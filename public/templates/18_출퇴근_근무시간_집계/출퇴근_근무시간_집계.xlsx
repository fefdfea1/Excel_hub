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직원목록" sheetId="2" state="visible" r:id="rId4"/>
    <sheet name="출퇴근기록" sheetId="3" state="visible" r:id="rId5"/>
    <sheet name="월별집계" sheetId="4" state="visible" r:id="rId6"/>
    <sheet name="개인별상세" sheetId="5" state="visible" r:id="rId7"/>
    <sheet name="일별현황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<sst xmlns="http://schemas.openxmlformats.org/spreadsheetml/2006/main" count="102" uniqueCount="86">
  <si>
    <t xml:space="preserve">출퇴근 기록 · 근무시간 집계</t>
  </si>
  <si>
    <t xml:space="preserve">핵심</t>
  </si>
  <si>
    <t xml:space="preserve">출근·퇴근 시각만 넣으면 근무시간이 자동으로 계산되고 월별로 집계됩니다.</t>
  </si>
  <si>
    <t xml:space="preserve">입력 규칙</t>
  </si>
  <si>
    <t xml:space="preserve">파란색 글씨 칸만 입력하세요. 검은색은 자동 계산입니다.</t>
  </si>
  <si>
    <t xml:space="preserve">① 직원목록</t>
  </si>
  <si>
    <t xml:space="preserve">사번·이름·부서와 하루 소정근로시간을 등록합니다.</t>
  </si>
  <si>
    <t xml:space="preserve">② 출퇴근기록</t>
  </si>
  <si>
    <t xml:space="preserve">날짜·사번·출근·퇴근·휴게시간(분)만 넣으면 됩니다.</t>
  </si>
  <si>
    <t xml:space="preserve">시각은 콜론(:) 없이 숫자 네 자리로 넣으세요.  오전 9시 → 900,  오후 6시 30분 → 1830</t>
  </si>
  <si>
    <t xml:space="preserve">③ 월별집계</t>
  </si>
  <si>
    <t xml:space="preserve">직원별 근무일수·총 근무시간·소정시간 대비 초과시간이 나옵니다.</t>
  </si>
  <si>
    <t xml:space="preserve">④ 개인별상세</t>
  </si>
  <si>
    <t xml:space="preserve">직원 한 명을 골라 한 달 기록을 날짜순으로 봅니다.</t>
  </si>
  <si>
    <t xml:space="preserve">⑤ 일별현황</t>
  </si>
  <si>
    <t xml:space="preserve">날짜별 출근 인원과 총 근무시간입니다.</t>
  </si>
  <si>
    <t xml:space="preserve">근무시간 계산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</si>
  <si>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퇴근 − 출근</t>
    </r>
    <r>
      <rPr>
        <sz val="10"/>
        <rFont val="맑은 고딕"/>
        <family val="0"/>
        <charset val="1"/>
      </rPr>
      <t xml:space="preserve">) − </t>
    </r>
    <r>
      <rPr>
        <sz val="10"/>
        <rFont val="Noto Sans CJK SC"/>
        <family val="2"/>
      </rPr>
      <t xml:space="preserve">휴게시간</t>
    </r>
  </si>
  <si>
    <t xml:space="preserve">중요</t>
  </si>
  <si>
    <t xml:space="preserve">이 파일은 근무시간만 집계합니다. 수당 금액은 계산하지 않습니다.</t>
  </si>
  <si>
    <t xml:space="preserve">※ 연장·야간·휴일 수당은 법정 기준과 회사 규정에 따라 달라집니다.</t>
  </si>
  <si>
    <t xml:space="preserve">   이 파일은 시간만 보여주니 금액은 급여 담당자가 별도로 계산하세요.</t>
  </si>
  <si>
    <t xml:space="preserve">※ 자정을 넘기는 근무는 계산되지 않습니다.</t>
  </si>
  <si>
    <t xml:space="preserve">직원목록</t>
  </si>
  <si>
    <t xml:space="preserve">사번</t>
  </si>
  <si>
    <t xml:space="preserve">이름</t>
  </si>
  <si>
    <t xml:space="preserve">부서</t>
  </si>
  <si>
    <t xml:space="preserve">직위</t>
  </si>
  <si>
    <t xml:space="preserve">입사일</t>
  </si>
  <si>
    <t xml:space="preserve">소정근로(시간/일)</t>
  </si>
  <si>
    <t xml:space="preserve">재직상태</t>
  </si>
  <si>
    <t xml:space="preserve">E001</t>
  </si>
  <si>
    <t xml:space="preserve">김직원</t>
  </si>
  <si>
    <t xml:space="preserve">생산1팀</t>
  </si>
  <si>
    <t xml:space="preserve">사원</t>
  </si>
  <si>
    <t xml:space="preserve">재직</t>
  </si>
  <si>
    <t xml:space="preserve">E002</t>
  </si>
  <si>
    <t xml:space="preserve">이직원</t>
  </si>
  <si>
    <t xml:space="preserve">주임</t>
  </si>
  <si>
    <t xml:space="preserve">E003</t>
  </si>
  <si>
    <t xml:space="preserve">박직원</t>
  </si>
  <si>
    <t xml:space="preserve">관리팀</t>
  </si>
  <si>
    <t xml:space="preserve">대리</t>
  </si>
  <si>
    <t xml:space="preserve">출퇴근기록  (날짜·사번·출근·퇴근·휴게만 입력)</t>
  </si>
  <si>
    <t xml:space="preserve">근무일</t>
  </si>
  <si>
    <t xml:space="preserve">이름(자동)</t>
  </si>
  <si>
    <t xml:space="preserve">부서(자동)</t>
  </si>
  <si>
    <t xml:space="preserve">출근시각
(예: 900)</t>
  </si>
  <si>
    <t xml:space="preserve">퇴근시각
(예: 1830)</t>
  </si>
  <si>
    <t xml:space="preserve">휴게(분)</t>
  </si>
  <si>
    <t xml:space="preserve">근무시간(자동)</t>
  </si>
  <si>
    <t xml:space="preserve">구분</t>
  </si>
  <si>
    <t xml:space="preserve">비고</t>
  </si>
  <si>
    <t xml:space="preserve">출근(분,자동)</t>
  </si>
  <si>
    <t xml:space="preserve">퇴근(분,자동)</t>
  </si>
  <si>
    <t xml:space="preserve">※ 휴게시간은 분 단위로 넣으세요. 점심 1시간이면 60입니다.</t>
  </si>
  <si>
    <t xml:space="preserve">월별집계  (근무시간만 · 금액 계산 없음)</t>
  </si>
  <si>
    <t xml:space="preserve">대상 연도</t>
  </si>
  <si>
    <t xml:space="preserve">대상 월</t>
  </si>
  <si>
    <t xml:space="preserve">← 두 칸만 바꾸세요</t>
  </si>
  <si>
    <t xml:space="preserve">근무일수</t>
  </si>
  <si>
    <t xml:space="preserve">평일시간</t>
  </si>
  <si>
    <t xml:space="preserve">휴일시간</t>
  </si>
  <si>
    <t xml:space="preserve">총 근무시간</t>
  </si>
  <si>
    <t xml:space="preserve">소정시간</t>
  </si>
  <si>
    <t xml:space="preserve">초과시간</t>
  </si>
  <si>
    <t xml:space="preserve">연차</t>
  </si>
  <si>
    <t xml:space="preserve">결근</t>
  </si>
  <si>
    <t xml:space="preserve">합계</t>
  </si>
  <si>
    <t xml:space="preserve">※ 초과시간 = 총 근무시간 − (근무일수 × 소정근로시간). 수당 금액은 계산하지 않습니다.</t>
  </si>
  <si>
    <t xml:space="preserve">개인별상세</t>
  </si>
  <si>
    <t xml:space="preserve">연도</t>
  </si>
  <si>
    <t xml:space="preserve">월</t>
  </si>
  <si>
    <t xml:space="preserve">일</t>
  </si>
  <si>
    <t xml:space="preserve">요일</t>
  </si>
  <si>
    <t xml:space="preserve">출근</t>
  </si>
  <si>
    <t xml:space="preserve">퇴근</t>
  </si>
  <si>
    <t xml:space="preserve">근무시간</t>
  </si>
  <si>
    <t xml:space="preserve">※ 같은 날 같은 사람의 기록이 두 줄 있으면 첫 줄만 표시됩니다.</t>
  </si>
  <si>
    <t xml:space="preserve">일별현황</t>
  </si>
  <si>
    <t xml:space="preserve">시작일</t>
  </si>
  <si>
    <t xml:space="preserve">← 이 날부터 31일간</t>
  </si>
  <si>
    <t xml:space="preserve">날짜</t>
  </si>
  <si>
    <t xml:space="preserve">출근 인원</t>
  </si>
  <si>
    <t xml:space="preserve">평균 근무시간</t>
  </si>
  <si>
    <t xml:space="preserve">연차·결근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</si>
</sst>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##"/>
    <numFmt numFmtId="167" formatCode="00\:00"/>
    <numFmt numFmtId="168" formatCode="#,##0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0"/>
      <charset val="1"/>
    </font>
    <font>
      <sz val="10"/>
      <name val="Noto Sans CJK SC"/>
      <family val="2"/>
    </font>
    <font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b val="true"/>
      <sz val="10"/>
      <name val="맑은 고딕"/>
      <family val="0"/>
      <charset val="1"/>
    </font>
    <font>
      <b val="true"/>
      <sz val="11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2F2F2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/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5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5" customFormat="false" ht="15" hidden="false" customHeight="true" outlineLevel="0" collapsed="false">
      <c r="B15" s="6" t="s">
        <v>20</v>
      </c>
    </row>
    <row r="16" customFormat="false" ht="15" hidden="false" customHeight="true" outlineLevel="0" collapsed="false">
      <c r="B16" s="6" t="s">
        <v>21</v>
      </c>
    </row>
    <row r="17" customFormat="false" ht="15" hidden="false" customHeight="true" outlineLevel="0" collapsed="false">
      <c r="B17" s="6" t="s">
        <v>22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9"/>
    <col collapsed="false" customWidth="true" hidden="false" outlineLevel="0" max="7" min="7" style="1" width="13"/>
  </cols>
  <sheetData>
    <row r="1" customFormat="false" ht="25.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</row>
    <row r="3" customFormat="false" ht="15" hidden="false" customHeight="true" outlineLevel="0" collapsed="false">
      <c r="A3" s="8" t="s">
        <v>31</v>
      </c>
      <c r="B3" s="9" t="s">
        <v>32</v>
      </c>
      <c r="C3" s="9" t="s">
        <v>33</v>
      </c>
      <c r="D3" s="9" t="s">
        <v>34</v>
      </c>
      <c r="E3" s="10" t="n">
        <v>45353</v>
      </c>
      <c r="F3" s="11" t="n">
        <v>8</v>
      </c>
      <c r="G3" s="9" t="s">
        <v>35</v>
      </c>
    </row>
    <row r="4" customFormat="false" ht="15" hidden="false" customHeight="true" outlineLevel="0" collapsed="false">
      <c r="A4" s="8" t="s">
        <v>36</v>
      </c>
      <c r="B4" s="9" t="s">
        <v>37</v>
      </c>
      <c r="C4" s="9" t="s">
        <v>33</v>
      </c>
      <c r="D4" s="9" t="s">
        <v>38</v>
      </c>
      <c r="E4" s="10" t="n">
        <v>45061</v>
      </c>
      <c r="F4" s="11" t="n">
        <v>8</v>
      </c>
      <c r="G4" s="9" t="s">
        <v>35</v>
      </c>
    </row>
    <row r="5" customFormat="false" ht="15" hidden="false" customHeight="true" outlineLevel="0" collapsed="false">
      <c r="A5" s="8" t="s">
        <v>39</v>
      </c>
      <c r="B5" s="9" t="s">
        <v>40</v>
      </c>
      <c r="C5" s="9" t="s">
        <v>41</v>
      </c>
      <c r="D5" s="9" t="s">
        <v>42</v>
      </c>
      <c r="E5" s="10" t="n">
        <v>44571</v>
      </c>
      <c r="F5" s="11" t="n">
        <v>8</v>
      </c>
      <c r="G5" s="9" t="s">
        <v>35</v>
      </c>
    </row>
    <row r="6" customFormat="false" ht="15" hidden="false" customHeight="true" outlineLevel="0" collapsed="false">
      <c r="A6" s="8"/>
      <c r="B6" s="8"/>
      <c r="C6" s="8"/>
      <c r="D6" s="8"/>
      <c r="E6" s="10"/>
      <c r="F6" s="11"/>
      <c r="G6" s="9"/>
    </row>
    <row r="7" customFormat="false" ht="15" hidden="false" customHeight="true" outlineLevel="0" collapsed="false">
      <c r="A7" s="8"/>
      <c r="B7" s="8"/>
      <c r="C7" s="8"/>
      <c r="D7" s="8"/>
      <c r="E7" s="10"/>
      <c r="F7" s="11"/>
      <c r="G7" s="9"/>
    </row>
    <row r="8" customFormat="false" ht="15" hidden="false" customHeight="true" outlineLevel="0" collapsed="false">
      <c r="A8" s="8"/>
      <c r="B8" s="8"/>
      <c r="C8" s="8"/>
      <c r="D8" s="8"/>
      <c r="E8" s="10"/>
      <c r="F8" s="11"/>
      <c r="G8" s="9"/>
    </row>
    <row r="9" customFormat="false" ht="15" hidden="false" customHeight="true" outlineLevel="0" collapsed="false">
      <c r="A9" s="8"/>
      <c r="B9" s="8"/>
      <c r="C9" s="8"/>
      <c r="D9" s="8"/>
      <c r="E9" s="10"/>
      <c r="F9" s="11"/>
      <c r="G9" s="9"/>
    </row>
    <row r="10" customFormat="false" ht="15" hidden="false" customHeight="true" outlineLevel="0" collapsed="false">
      <c r="A10" s="8"/>
      <c r="B10" s="8"/>
      <c r="C10" s="8"/>
      <c r="D10" s="8"/>
      <c r="E10" s="10"/>
      <c r="F10" s="11"/>
      <c r="G10" s="9"/>
    </row>
    <row r="11" customFormat="false" ht="15" hidden="false" customHeight="true" outlineLevel="0" collapsed="false">
      <c r="A11" s="8"/>
      <c r="B11" s="8"/>
      <c r="C11" s="8"/>
      <c r="D11" s="8"/>
      <c r="E11" s="10"/>
      <c r="F11" s="11"/>
      <c r="G11" s="9"/>
    </row>
    <row r="12" customFormat="false" ht="15" hidden="false" customHeight="true" outlineLevel="0" collapsed="false">
      <c r="A12" s="8"/>
      <c r="B12" s="8"/>
      <c r="C12" s="8"/>
      <c r="D12" s="8"/>
      <c r="E12" s="10"/>
      <c r="F12" s="11"/>
      <c r="G12" s="9"/>
    </row>
    <row r="13" customFormat="false" ht="15" hidden="false" customHeight="true" outlineLevel="0" collapsed="false">
      <c r="A13" s="8"/>
      <c r="B13" s="8"/>
      <c r="C13" s="8"/>
      <c r="D13" s="8"/>
      <c r="E13" s="10"/>
      <c r="F13" s="11"/>
      <c r="G13" s="9"/>
    </row>
    <row r="14" customFormat="false" ht="15" hidden="false" customHeight="true" outlineLevel="0" collapsed="false">
      <c r="A14" s="8"/>
      <c r="B14" s="8"/>
      <c r="C14" s="8"/>
      <c r="D14" s="8"/>
      <c r="E14" s="10"/>
      <c r="F14" s="11"/>
      <c r="G14" s="9"/>
    </row>
    <row r="15" customFormat="false" ht="15" hidden="false" customHeight="true" outlineLevel="0" collapsed="false">
      <c r="A15" s="8"/>
      <c r="B15" s="8"/>
      <c r="C15" s="8"/>
      <c r="D15" s="8"/>
      <c r="E15" s="10"/>
      <c r="F15" s="11"/>
      <c r="G15" s="9"/>
    </row>
    <row r="16" customFormat="false" ht="15" hidden="false" customHeight="true" outlineLevel="0" collapsed="false">
      <c r="A16" s="8"/>
      <c r="B16" s="8"/>
      <c r="C16" s="8"/>
      <c r="D16" s="8"/>
      <c r="E16" s="10"/>
      <c r="F16" s="11"/>
      <c r="G16" s="9"/>
    </row>
    <row r="17" customFormat="false" ht="15" hidden="false" customHeight="true" outlineLevel="0" collapsed="false">
      <c r="A17" s="8"/>
      <c r="B17" s="8"/>
      <c r="C17" s="8"/>
      <c r="D17" s="8"/>
      <c r="E17" s="10"/>
      <c r="F17" s="11"/>
      <c r="G17" s="9"/>
    </row>
    <row r="18" customFormat="false" ht="15" hidden="false" customHeight="true" outlineLevel="0" collapsed="false">
      <c r="A18" s="8"/>
      <c r="B18" s="8"/>
      <c r="C18" s="8"/>
      <c r="D18" s="8"/>
      <c r="E18" s="10"/>
      <c r="F18" s="11"/>
      <c r="G18" s="9"/>
    </row>
    <row r="19" customFormat="false" ht="15" hidden="false" customHeight="true" outlineLevel="0" collapsed="false">
      <c r="A19" s="8"/>
      <c r="B19" s="8"/>
      <c r="C19" s="8"/>
      <c r="D19" s="8"/>
      <c r="E19" s="10"/>
      <c r="F19" s="11"/>
      <c r="G19" s="9"/>
    </row>
    <row r="20" customFormat="false" ht="15" hidden="false" customHeight="true" outlineLevel="0" collapsed="false">
      <c r="A20" s="8"/>
      <c r="B20" s="8"/>
      <c r="C20" s="8"/>
      <c r="D20" s="8"/>
      <c r="E20" s="10"/>
      <c r="F20" s="11"/>
      <c r="G20" s="9"/>
    </row>
    <row r="21" customFormat="false" ht="15" hidden="false" customHeight="true" outlineLevel="0" collapsed="false">
      <c r="A21" s="8"/>
      <c r="B21" s="8"/>
      <c r="C21" s="8"/>
      <c r="D21" s="8"/>
      <c r="E21" s="10"/>
      <c r="F21" s="11"/>
      <c r="G21" s="9"/>
    </row>
    <row r="22" customFormat="false" ht="15" hidden="false" customHeight="true" outlineLevel="0" collapsed="false">
      <c r="A22" s="8"/>
      <c r="B22" s="8"/>
      <c r="C22" s="8"/>
      <c r="D22" s="8"/>
      <c r="E22" s="10"/>
      <c r="F22" s="11"/>
      <c r="G22" s="9"/>
    </row>
    <row r="23" customFormat="false" ht="15" hidden="false" customHeight="true" outlineLevel="0" collapsed="false">
      <c r="A23" s="8"/>
      <c r="B23" s="8"/>
      <c r="C23" s="8"/>
      <c r="D23" s="8"/>
      <c r="E23" s="10"/>
      <c r="F23" s="11"/>
      <c r="G23" s="9"/>
    </row>
    <row r="24" customFormat="false" ht="15" hidden="false" customHeight="true" outlineLevel="0" collapsed="false">
      <c r="A24" s="8"/>
      <c r="B24" s="8"/>
      <c r="C24" s="8"/>
      <c r="D24" s="8"/>
      <c r="E24" s="10"/>
      <c r="F24" s="11"/>
      <c r="G24" s="9"/>
    </row>
    <row r="25" customFormat="false" ht="15" hidden="false" customHeight="true" outlineLevel="0" collapsed="false">
      <c r="A25" s="8"/>
      <c r="B25" s="8"/>
      <c r="C25" s="8"/>
      <c r="D25" s="8"/>
      <c r="E25" s="10"/>
      <c r="F25" s="11"/>
      <c r="G25" s="9"/>
    </row>
    <row r="26" customFormat="false" ht="15" hidden="false" customHeight="true" outlineLevel="0" collapsed="false">
      <c r="A26" s="8"/>
      <c r="B26" s="8"/>
      <c r="C26" s="8"/>
      <c r="D26" s="8"/>
      <c r="E26" s="10"/>
      <c r="F26" s="11"/>
      <c r="G26" s="9"/>
    </row>
    <row r="27" customFormat="false" ht="15" hidden="false" customHeight="true" outlineLevel="0" collapsed="false">
      <c r="A27" s="8"/>
      <c r="B27" s="8"/>
      <c r="C27" s="8"/>
      <c r="D27" s="8"/>
      <c r="E27" s="10"/>
      <c r="F27" s="11"/>
      <c r="G27" s="9"/>
    </row>
    <row r="28" customFormat="false" ht="15" hidden="false" customHeight="true" outlineLevel="0" collapsed="false">
      <c r="A28" s="8"/>
      <c r="B28" s="8"/>
      <c r="C28" s="8"/>
      <c r="D28" s="8"/>
      <c r="E28" s="10"/>
      <c r="F28" s="11"/>
      <c r="G28" s="9"/>
    </row>
    <row r="29" customFormat="false" ht="15" hidden="false" customHeight="true" outlineLevel="0" collapsed="false">
      <c r="A29" s="8"/>
      <c r="B29" s="8"/>
      <c r="C29" s="8"/>
      <c r="D29" s="8"/>
      <c r="E29" s="10"/>
      <c r="F29" s="11"/>
      <c r="G29" s="9"/>
    </row>
    <row r="30" customFormat="false" ht="15" hidden="false" customHeight="true" outlineLevel="0" collapsed="false">
      <c r="A30" s="8"/>
      <c r="B30" s="8"/>
      <c r="C30" s="8"/>
      <c r="D30" s="8"/>
      <c r="E30" s="10"/>
      <c r="F30" s="11"/>
      <c r="G30" s="9"/>
    </row>
    <row r="31" customFormat="false" ht="15" hidden="false" customHeight="true" outlineLevel="0" collapsed="false">
      <c r="A31" s="8"/>
      <c r="B31" s="8"/>
      <c r="C31" s="8"/>
      <c r="D31" s="8"/>
      <c r="E31" s="10"/>
      <c r="F31" s="11"/>
      <c r="G31" s="9"/>
    </row>
    <row r="32" customFormat="false" ht="15" hidden="false" customHeight="true" outlineLevel="0" collapsed="false">
      <c r="A32" s="8"/>
      <c r="B32" s="8"/>
      <c r="C32" s="8"/>
      <c r="D32" s="8"/>
      <c r="E32" s="10"/>
      <c r="F32" s="11"/>
      <c r="G32" s="9"/>
    </row>
    <row r="33" customFormat="false" ht="15" hidden="false" customHeight="true" outlineLevel="0" collapsed="false">
      <c r="A33" s="8"/>
      <c r="B33" s="8"/>
      <c r="C33" s="8"/>
      <c r="D33" s="8"/>
      <c r="E33" s="10"/>
      <c r="F33" s="11"/>
      <c r="G33" s="9"/>
    </row>
    <row r="34" customFormat="false" ht="15" hidden="false" customHeight="true" outlineLevel="0" collapsed="false">
      <c r="A34" s="8"/>
      <c r="B34" s="8"/>
      <c r="C34" s="8"/>
      <c r="D34" s="8"/>
      <c r="E34" s="10"/>
      <c r="F34" s="11"/>
      <c r="G34" s="9"/>
    </row>
    <row r="35" customFormat="false" ht="15" hidden="false" customHeight="true" outlineLevel="0" collapsed="false">
      <c r="A35" s="8"/>
      <c r="B35" s="8"/>
      <c r="C35" s="8"/>
      <c r="D35" s="8"/>
      <c r="E35" s="10"/>
      <c r="F35" s="11"/>
      <c r="G35" s="9"/>
    </row>
    <row r="36" customFormat="false" ht="15" hidden="false" customHeight="true" outlineLevel="0" collapsed="false">
      <c r="A36" s="8"/>
      <c r="B36" s="8"/>
      <c r="C36" s="8"/>
      <c r="D36" s="8"/>
      <c r="E36" s="10"/>
      <c r="F36" s="11"/>
      <c r="G36" s="9"/>
    </row>
    <row r="37" customFormat="false" ht="15" hidden="false" customHeight="true" outlineLevel="0" collapsed="false">
      <c r="A37" s="8"/>
      <c r="B37" s="8"/>
      <c r="C37" s="8"/>
      <c r="D37" s="8"/>
      <c r="E37" s="10"/>
      <c r="F37" s="11"/>
      <c r="G37" s="9"/>
    </row>
    <row r="38" customFormat="false" ht="15" hidden="false" customHeight="true" outlineLevel="0" collapsed="false">
      <c r="A38" s="8"/>
      <c r="B38" s="8"/>
      <c r="C38" s="8"/>
      <c r="D38" s="8"/>
      <c r="E38" s="10"/>
      <c r="F38" s="11"/>
      <c r="G38" s="9"/>
    </row>
    <row r="39" customFormat="false" ht="15" hidden="false" customHeight="true" outlineLevel="0" collapsed="false">
      <c r="A39" s="8"/>
      <c r="B39" s="8"/>
      <c r="C39" s="8"/>
      <c r="D39" s="8"/>
      <c r="E39" s="10"/>
      <c r="F39" s="11"/>
      <c r="G39" s="9"/>
    </row>
    <row r="40" customFormat="false" ht="15" hidden="false" customHeight="true" outlineLevel="0" collapsed="false">
      <c r="A40" s="8"/>
      <c r="B40" s="8"/>
      <c r="C40" s="8"/>
      <c r="D40" s="8"/>
      <c r="E40" s="10"/>
      <c r="F40" s="11"/>
      <c r="G40" s="9"/>
    </row>
    <row r="41" customFormat="false" ht="15" hidden="false" customHeight="true" outlineLevel="0" collapsed="false">
      <c r="A41" s="8"/>
      <c r="B41" s="8"/>
      <c r="C41" s="8"/>
      <c r="D41" s="8"/>
      <c r="E41" s="10"/>
      <c r="F41" s="11"/>
      <c r="G41" s="9"/>
    </row>
    <row r="42" customFormat="false" ht="15" hidden="false" customHeight="true" outlineLevel="0" collapsed="false">
      <c r="A42" s="8"/>
      <c r="B42" s="8"/>
      <c r="C42" s="8"/>
      <c r="D42" s="8"/>
      <c r="E42" s="10"/>
      <c r="F42" s="11"/>
      <c r="G42" s="9"/>
    </row>
    <row r="43" customFormat="false" ht="15" hidden="false" customHeight="true" outlineLevel="0" collapsed="false">
      <c r="A43" s="8"/>
      <c r="B43" s="8"/>
      <c r="C43" s="8"/>
      <c r="D43" s="8"/>
      <c r="E43" s="10"/>
      <c r="F43" s="11"/>
      <c r="G43" s="9"/>
    </row>
    <row r="44" customFormat="false" ht="15" hidden="false" customHeight="true" outlineLevel="0" collapsed="false">
      <c r="A44" s="8"/>
      <c r="B44" s="8"/>
      <c r="C44" s="8"/>
      <c r="D44" s="8"/>
      <c r="E44" s="10"/>
      <c r="F44" s="11"/>
      <c r="G44" s="9"/>
    </row>
    <row r="45" customFormat="false" ht="15" hidden="false" customHeight="true" outlineLevel="0" collapsed="false">
      <c r="A45" s="8"/>
      <c r="B45" s="8"/>
      <c r="C45" s="8"/>
      <c r="D45" s="8"/>
      <c r="E45" s="10"/>
      <c r="F45" s="11"/>
      <c r="G45" s="9"/>
    </row>
    <row r="46" customFormat="false" ht="15" hidden="false" customHeight="true" outlineLevel="0" collapsed="false">
      <c r="A46" s="8"/>
      <c r="B46" s="8"/>
      <c r="C46" s="8"/>
      <c r="D46" s="8"/>
      <c r="E46" s="10"/>
      <c r="F46" s="11"/>
      <c r="G46" s="9"/>
    </row>
    <row r="47" customFormat="false" ht="15" hidden="false" customHeight="true" outlineLevel="0" collapsed="false">
      <c r="A47" s="8"/>
      <c r="B47" s="8"/>
      <c r="C47" s="8"/>
      <c r="D47" s="8"/>
      <c r="E47" s="10"/>
      <c r="F47" s="11"/>
      <c r="G47" s="9"/>
    </row>
    <row r="48" customFormat="false" ht="15" hidden="false" customHeight="true" outlineLevel="0" collapsed="false">
      <c r="A48" s="8"/>
      <c r="B48" s="8"/>
      <c r="C48" s="8"/>
      <c r="D48" s="8"/>
      <c r="E48" s="10"/>
      <c r="F48" s="11"/>
      <c r="G48" s="9"/>
    </row>
    <row r="49" customFormat="false" ht="15" hidden="false" customHeight="true" outlineLevel="0" collapsed="false">
      <c r="A49" s="8"/>
      <c r="B49" s="8"/>
      <c r="C49" s="8"/>
      <c r="D49" s="8"/>
      <c r="E49" s="10"/>
      <c r="F49" s="11"/>
      <c r="G49" s="9"/>
    </row>
    <row r="50" customFormat="false" ht="15" hidden="false" customHeight="true" outlineLevel="0" collapsed="false">
      <c r="A50" s="8"/>
      <c r="B50" s="8"/>
      <c r="C50" s="8"/>
      <c r="D50" s="8"/>
      <c r="E50" s="10"/>
      <c r="F50" s="11"/>
      <c r="G50" s="9"/>
    </row>
    <row r="51" customFormat="false" ht="15" hidden="false" customHeight="true" outlineLevel="0" collapsed="false">
      <c r="A51" s="8"/>
      <c r="B51" s="8"/>
      <c r="C51" s="8"/>
      <c r="D51" s="8"/>
      <c r="E51" s="10"/>
      <c r="F51" s="11"/>
      <c r="G51" s="9"/>
    </row>
    <row r="52" customFormat="false" ht="15" hidden="false" customHeight="true" outlineLevel="0" collapsed="false">
      <c r="A52" s="8"/>
      <c r="B52" s="8"/>
      <c r="C52" s="8"/>
      <c r="D52" s="8"/>
      <c r="E52" s="10"/>
      <c r="F52" s="11"/>
      <c r="G52" s="9"/>
    </row>
    <row r="53" customFormat="false" ht="15" hidden="false" customHeight="true" outlineLevel="0" collapsed="false">
      <c r="A53" s="8"/>
      <c r="B53" s="8"/>
      <c r="C53" s="8"/>
      <c r="D53" s="8"/>
      <c r="E53" s="10"/>
      <c r="F53" s="11"/>
      <c r="G53" s="9"/>
    </row>
    <row r="54" customFormat="false" ht="15" hidden="false" customHeight="true" outlineLevel="0" collapsed="false">
      <c r="A54" s="8"/>
      <c r="B54" s="8"/>
      <c r="C54" s="8"/>
      <c r="D54" s="8"/>
      <c r="E54" s="10"/>
      <c r="F54" s="11"/>
      <c r="G54" s="9"/>
    </row>
    <row r="55" customFormat="false" ht="15" hidden="false" customHeight="true" outlineLevel="0" collapsed="false">
      <c r="A55" s="8"/>
      <c r="B55" s="8"/>
      <c r="C55" s="8"/>
      <c r="D55" s="8"/>
      <c r="E55" s="10"/>
      <c r="F55" s="11"/>
      <c r="G55" s="9"/>
    </row>
    <row r="56" customFormat="false" ht="15" hidden="false" customHeight="true" outlineLevel="0" collapsed="false">
      <c r="A56" s="8"/>
      <c r="B56" s="8"/>
      <c r="C56" s="8"/>
      <c r="D56" s="8"/>
      <c r="E56" s="10"/>
      <c r="F56" s="11"/>
      <c r="G56" s="9"/>
    </row>
    <row r="57" customFormat="false" ht="15" hidden="false" customHeight="true" outlineLevel="0" collapsed="false">
      <c r="A57" s="8"/>
      <c r="B57" s="8"/>
      <c r="C57" s="8"/>
      <c r="D57" s="8"/>
      <c r="E57" s="10"/>
      <c r="F57" s="11"/>
      <c r="G57" s="9"/>
    </row>
    <row r="58" customFormat="false" ht="15" hidden="false" customHeight="true" outlineLevel="0" collapsed="false">
      <c r="A58" s="8"/>
      <c r="B58" s="8"/>
      <c r="C58" s="8"/>
      <c r="D58" s="8"/>
      <c r="E58" s="10"/>
      <c r="F58" s="11"/>
      <c r="G58" s="9"/>
    </row>
    <row r="59" customFormat="false" ht="15" hidden="false" customHeight="true" outlineLevel="0" collapsed="false">
      <c r="A59" s="8"/>
      <c r="B59" s="8"/>
      <c r="C59" s="8"/>
      <c r="D59" s="8"/>
      <c r="E59" s="10"/>
      <c r="F59" s="11"/>
      <c r="G59" s="9"/>
    </row>
    <row r="60" customFormat="false" ht="15" hidden="false" customHeight="true" outlineLevel="0" collapsed="false">
      <c r="A60" s="8"/>
      <c r="B60" s="8"/>
      <c r="C60" s="8"/>
      <c r="D60" s="8"/>
      <c r="E60" s="10"/>
      <c r="F60" s="11"/>
      <c r="G60" s="9"/>
    </row>
    <row r="61" customFormat="false" ht="15" hidden="false" customHeight="true" outlineLevel="0" collapsed="false">
      <c r="A61" s="8"/>
      <c r="B61" s="8"/>
      <c r="C61" s="8"/>
      <c r="D61" s="8"/>
      <c r="E61" s="10"/>
      <c r="F61" s="11"/>
      <c r="G61" s="9"/>
    </row>
    <row r="62" customFormat="false" ht="15" hidden="false" customHeight="true" outlineLevel="0" collapsed="false">
      <c r="A62" s="8"/>
      <c r="B62" s="8"/>
      <c r="C62" s="8"/>
      <c r="D62" s="8"/>
      <c r="E62" s="10"/>
      <c r="F62" s="11"/>
      <c r="G62" s="9"/>
    </row>
    <row r="63" customFormat="false" ht="15" hidden="false" customHeight="true" outlineLevel="0" collapsed="false">
      <c r="A63" s="8"/>
      <c r="B63" s="8"/>
      <c r="C63" s="8"/>
      <c r="D63" s="8"/>
      <c r="E63" s="10"/>
      <c r="F63" s="11"/>
      <c r="G63" s="9"/>
    </row>
    <row r="64" customFormat="false" ht="15" hidden="false" customHeight="true" outlineLevel="0" collapsed="false">
      <c r="A64" s="8"/>
      <c r="B64" s="8"/>
      <c r="C64" s="8"/>
      <c r="D64" s="8"/>
      <c r="E64" s="10"/>
      <c r="F64" s="11"/>
      <c r="G64" s="9"/>
    </row>
    <row r="65" customFormat="false" ht="15" hidden="false" customHeight="true" outlineLevel="0" collapsed="false">
      <c r="A65" s="8"/>
      <c r="B65" s="8"/>
      <c r="C65" s="8"/>
      <c r="D65" s="8"/>
      <c r="E65" s="10"/>
      <c r="F65" s="11"/>
      <c r="G65" s="9"/>
    </row>
    <row r="66" customFormat="false" ht="15" hidden="false" customHeight="true" outlineLevel="0" collapsed="false">
      <c r="A66" s="8"/>
      <c r="B66" s="8"/>
      <c r="C66" s="8"/>
      <c r="D66" s="8"/>
      <c r="E66" s="10"/>
      <c r="F66" s="11"/>
      <c r="G66" s="9"/>
    </row>
    <row r="67" customFormat="false" ht="15" hidden="false" customHeight="true" outlineLevel="0" collapsed="false">
      <c r="A67" s="8"/>
      <c r="B67" s="8"/>
      <c r="C67" s="8"/>
      <c r="D67" s="8"/>
      <c r="E67" s="10"/>
      <c r="F67" s="11"/>
      <c r="G67" s="9"/>
    </row>
    <row r="68" customFormat="false" ht="15" hidden="false" customHeight="true" outlineLevel="0" collapsed="false">
      <c r="A68" s="8"/>
      <c r="B68" s="8"/>
      <c r="C68" s="8"/>
      <c r="D68" s="8"/>
      <c r="E68" s="10"/>
      <c r="F68" s="11"/>
      <c r="G68" s="9"/>
    </row>
    <row r="69" customFormat="false" ht="15" hidden="false" customHeight="true" outlineLevel="0" collapsed="false">
      <c r="A69" s="8"/>
      <c r="B69" s="8"/>
      <c r="C69" s="8"/>
      <c r="D69" s="8"/>
      <c r="E69" s="10"/>
      <c r="F69" s="11"/>
      <c r="G69" s="9"/>
    </row>
    <row r="70" customFormat="false" ht="15" hidden="false" customHeight="true" outlineLevel="0" collapsed="false">
      <c r="A70" s="8"/>
      <c r="B70" s="8"/>
      <c r="C70" s="8"/>
      <c r="D70" s="8"/>
      <c r="E70" s="10"/>
      <c r="F70" s="11"/>
      <c r="G70" s="9"/>
    </row>
    <row r="71" customFormat="false" ht="15" hidden="false" customHeight="true" outlineLevel="0" collapsed="false">
      <c r="A71" s="8"/>
      <c r="B71" s="8"/>
      <c r="C71" s="8"/>
      <c r="D71" s="8"/>
      <c r="E71" s="10"/>
      <c r="F71" s="11"/>
      <c r="G71" s="9"/>
    </row>
    <row r="72" customFormat="false" ht="15" hidden="false" customHeight="true" outlineLevel="0" collapsed="false">
      <c r="A72" s="8"/>
      <c r="B72" s="8"/>
      <c r="C72" s="8"/>
      <c r="D72" s="8"/>
      <c r="E72" s="10"/>
      <c r="F72" s="11"/>
      <c r="G72" s="9"/>
    </row>
    <row r="73" customFormat="false" ht="15" hidden="false" customHeight="true" outlineLevel="0" collapsed="false">
      <c r="A73" s="8"/>
      <c r="B73" s="8"/>
      <c r="C73" s="8"/>
      <c r="D73" s="8"/>
      <c r="E73" s="10"/>
      <c r="F73" s="11"/>
      <c r="G73" s="9"/>
    </row>
    <row r="74" customFormat="false" ht="15" hidden="false" customHeight="true" outlineLevel="0" collapsed="false">
      <c r="A74" s="8"/>
      <c r="B74" s="8"/>
      <c r="C74" s="8"/>
      <c r="D74" s="8"/>
      <c r="E74" s="10"/>
      <c r="F74" s="11"/>
      <c r="G74" s="9"/>
    </row>
    <row r="75" customFormat="false" ht="15" hidden="false" customHeight="true" outlineLevel="0" collapsed="false">
      <c r="A75" s="8"/>
      <c r="B75" s="8"/>
      <c r="C75" s="8"/>
      <c r="D75" s="8"/>
      <c r="E75" s="10"/>
      <c r="F75" s="11"/>
      <c r="G75" s="9"/>
    </row>
    <row r="76" customFormat="false" ht="15" hidden="false" customHeight="true" outlineLevel="0" collapsed="false">
      <c r="A76" s="8"/>
      <c r="B76" s="8"/>
      <c r="C76" s="8"/>
      <c r="D76" s="8"/>
      <c r="E76" s="10"/>
      <c r="F76" s="11"/>
      <c r="G76" s="9"/>
    </row>
    <row r="77" customFormat="false" ht="15" hidden="false" customHeight="true" outlineLevel="0" collapsed="false">
      <c r="A77" s="8"/>
      <c r="B77" s="8"/>
      <c r="C77" s="8"/>
      <c r="D77" s="8"/>
      <c r="E77" s="10"/>
      <c r="F77" s="11"/>
      <c r="G77" s="9"/>
    </row>
    <row r="78" customFormat="false" ht="15" hidden="false" customHeight="true" outlineLevel="0" collapsed="false">
      <c r="A78" s="8"/>
      <c r="B78" s="8"/>
      <c r="C78" s="8"/>
      <c r="D78" s="8"/>
      <c r="E78" s="10"/>
      <c r="F78" s="11"/>
      <c r="G78" s="9"/>
    </row>
    <row r="79" customFormat="false" ht="15" hidden="false" customHeight="true" outlineLevel="0" collapsed="false">
      <c r="A79" s="8"/>
      <c r="B79" s="8"/>
      <c r="C79" s="8"/>
      <c r="D79" s="8"/>
      <c r="E79" s="10"/>
      <c r="F79" s="11"/>
      <c r="G79" s="9"/>
    </row>
    <row r="80" customFormat="false" ht="15" hidden="false" customHeight="true" outlineLevel="0" collapsed="false">
      <c r="A80" s="8"/>
      <c r="B80" s="8"/>
      <c r="C80" s="8"/>
      <c r="D80" s="8"/>
      <c r="E80" s="10"/>
      <c r="F80" s="11"/>
      <c r="G80" s="9"/>
    </row>
    <row r="81" customFormat="false" ht="15" hidden="false" customHeight="true" outlineLevel="0" collapsed="false">
      <c r="A81" s="8"/>
      <c r="B81" s="8"/>
      <c r="C81" s="8"/>
      <c r="D81" s="8"/>
      <c r="E81" s="10"/>
      <c r="F81" s="11"/>
      <c r="G81" s="9"/>
    </row>
    <row r="82" customFormat="false" ht="15" hidden="false" customHeight="true" outlineLevel="0" collapsed="false">
      <c r="A82" s="8"/>
      <c r="B82" s="8"/>
      <c r="C82" s="8"/>
      <c r="D82" s="8"/>
      <c r="E82" s="10"/>
      <c r="F82" s="11"/>
      <c r="G82" s="9"/>
    </row>
    <row r="83" customFormat="false" ht="15" hidden="false" customHeight="true" outlineLevel="0" collapsed="false">
      <c r="A83" s="8"/>
      <c r="B83" s="8"/>
      <c r="C83" s="8"/>
      <c r="D83" s="8"/>
      <c r="E83" s="10"/>
      <c r="F83" s="11"/>
      <c r="G83" s="9"/>
    </row>
    <row r="84" customFormat="false" ht="15" hidden="false" customHeight="true" outlineLevel="0" collapsed="false">
      <c r="A84" s="8"/>
      <c r="B84" s="8"/>
      <c r="C84" s="8"/>
      <c r="D84" s="8"/>
      <c r="E84" s="10"/>
      <c r="F84" s="11"/>
      <c r="G84" s="9"/>
    </row>
    <row r="85" customFormat="false" ht="15" hidden="false" customHeight="true" outlineLevel="0" collapsed="false">
      <c r="A85" s="8"/>
      <c r="B85" s="8"/>
      <c r="C85" s="8"/>
      <c r="D85" s="8"/>
      <c r="E85" s="10"/>
      <c r="F85" s="11"/>
      <c r="G85" s="9"/>
    </row>
    <row r="86" customFormat="false" ht="15" hidden="false" customHeight="true" outlineLevel="0" collapsed="false">
      <c r="A86" s="8"/>
      <c r="B86" s="8"/>
      <c r="C86" s="8"/>
      <c r="D86" s="8"/>
      <c r="E86" s="10"/>
      <c r="F86" s="11"/>
      <c r="G86" s="9"/>
    </row>
    <row r="87" customFormat="false" ht="15" hidden="false" customHeight="true" outlineLevel="0" collapsed="false">
      <c r="A87" s="8"/>
      <c r="B87" s="8"/>
      <c r="C87" s="8"/>
      <c r="D87" s="8"/>
      <c r="E87" s="10"/>
      <c r="F87" s="11"/>
      <c r="G87" s="9"/>
    </row>
    <row r="88" customFormat="false" ht="15" hidden="false" customHeight="true" outlineLevel="0" collapsed="false">
      <c r="A88" s="8"/>
      <c r="B88" s="8"/>
      <c r="C88" s="8"/>
      <c r="D88" s="8"/>
      <c r="E88" s="10"/>
      <c r="F88" s="11"/>
      <c r="G88" s="9"/>
    </row>
    <row r="89" customFormat="false" ht="15" hidden="false" customHeight="true" outlineLevel="0" collapsed="false">
      <c r="A89" s="8"/>
      <c r="B89" s="8"/>
      <c r="C89" s="8"/>
      <c r="D89" s="8"/>
      <c r="E89" s="10"/>
      <c r="F89" s="11"/>
      <c r="G89" s="9"/>
    </row>
    <row r="90" customFormat="false" ht="15" hidden="false" customHeight="true" outlineLevel="0" collapsed="false">
      <c r="A90" s="8"/>
      <c r="B90" s="8"/>
      <c r="C90" s="8"/>
      <c r="D90" s="8"/>
      <c r="E90" s="10"/>
      <c r="F90" s="11"/>
      <c r="G90" s="9"/>
    </row>
    <row r="91" customFormat="false" ht="15" hidden="false" customHeight="true" outlineLevel="0" collapsed="false">
      <c r="A91" s="8"/>
      <c r="B91" s="8"/>
      <c r="C91" s="8"/>
      <c r="D91" s="8"/>
      <c r="E91" s="10"/>
      <c r="F91" s="11"/>
      <c r="G91" s="9"/>
    </row>
    <row r="92" customFormat="false" ht="15" hidden="false" customHeight="true" outlineLevel="0" collapsed="false">
      <c r="A92" s="8"/>
      <c r="B92" s="8"/>
      <c r="C92" s="8"/>
      <c r="D92" s="8"/>
      <c r="E92" s="10"/>
      <c r="F92" s="11"/>
      <c r="G92" s="9"/>
    </row>
    <row r="93" customFormat="false" ht="15" hidden="false" customHeight="true" outlineLevel="0" collapsed="false">
      <c r="A93" s="8"/>
      <c r="B93" s="8"/>
      <c r="C93" s="8"/>
      <c r="D93" s="8"/>
      <c r="E93" s="10"/>
      <c r="F93" s="11"/>
      <c r="G93" s="9"/>
    </row>
    <row r="94" customFormat="false" ht="15" hidden="false" customHeight="true" outlineLevel="0" collapsed="false">
      <c r="A94" s="8"/>
      <c r="B94" s="8"/>
      <c r="C94" s="8"/>
      <c r="D94" s="8"/>
      <c r="E94" s="10"/>
      <c r="F94" s="11"/>
      <c r="G94" s="9"/>
    </row>
    <row r="95" customFormat="false" ht="15" hidden="false" customHeight="true" outlineLevel="0" collapsed="false">
      <c r="A95" s="8"/>
      <c r="B95" s="8"/>
      <c r="C95" s="8"/>
      <c r="D95" s="8"/>
      <c r="E95" s="10"/>
      <c r="F95" s="11"/>
      <c r="G95" s="9"/>
    </row>
    <row r="96" customFormat="false" ht="15" hidden="false" customHeight="true" outlineLevel="0" collapsed="false">
      <c r="A96" s="8"/>
      <c r="B96" s="8"/>
      <c r="C96" s="8"/>
      <c r="D96" s="8"/>
      <c r="E96" s="10"/>
      <c r="F96" s="11"/>
      <c r="G96" s="9"/>
    </row>
    <row r="97" customFormat="false" ht="15" hidden="false" customHeight="true" outlineLevel="0" collapsed="false">
      <c r="A97" s="8"/>
      <c r="B97" s="8"/>
      <c r="C97" s="8"/>
      <c r="D97" s="8"/>
      <c r="E97" s="10"/>
      <c r="F97" s="11"/>
      <c r="G97" s="9"/>
    </row>
    <row r="98" customFormat="false" ht="15" hidden="false" customHeight="true" outlineLevel="0" collapsed="false">
      <c r="A98" s="8"/>
      <c r="B98" s="8"/>
      <c r="C98" s="8"/>
      <c r="D98" s="8"/>
      <c r="E98" s="10"/>
      <c r="F98" s="11"/>
      <c r="G98" s="9"/>
    </row>
    <row r="99" customFormat="false" ht="15" hidden="false" customHeight="true" outlineLevel="0" collapsed="false">
      <c r="A99" s="8"/>
      <c r="B99" s="8"/>
      <c r="C99" s="8"/>
      <c r="D99" s="8"/>
      <c r="E99" s="10"/>
      <c r="F99" s="11"/>
      <c r="G99" s="9"/>
    </row>
    <row r="100" customFormat="false" ht="15" hidden="false" customHeight="true" outlineLevel="0" collapsed="false">
      <c r="A100" s="8"/>
      <c r="B100" s="8"/>
      <c r="C100" s="8"/>
      <c r="D100" s="8"/>
      <c r="E100" s="10"/>
      <c r="F100" s="11"/>
      <c r="G100" s="9"/>
    </row>
    <row r="101" customFormat="false" ht="15" hidden="false" customHeight="true" outlineLevel="0" collapsed="false">
      <c r="A101" s="8"/>
      <c r="B101" s="8"/>
      <c r="C101" s="8"/>
      <c r="D101" s="8"/>
      <c r="E101" s="10"/>
      <c r="F101" s="11"/>
      <c r="G101" s="9"/>
    </row>
    <row r="102" customFormat="false" ht="15" hidden="false" customHeight="true" outlineLevel="0" collapsed="false">
      <c r="A102" s="8"/>
      <c r="B102" s="8"/>
      <c r="C102" s="8"/>
      <c r="D102" s="8"/>
      <c r="E102" s="10"/>
      <c r="F102" s="11"/>
      <c r="G102" s="9"/>
    </row>
    <row r="103" customFormat="false" ht="15" hidden="false" customHeight="true" outlineLevel="0" collapsed="false">
      <c r="A103" s="8"/>
      <c r="B103" s="8"/>
      <c r="C103" s="8"/>
      <c r="D103" s="8"/>
      <c r="E103" s="10"/>
      <c r="F103" s="11"/>
      <c r="G103" s="9"/>
    </row>
    <row r="104" customFormat="false" ht="15" hidden="false" customHeight="true" outlineLevel="0" collapsed="false">
      <c r="A104" s="8"/>
      <c r="B104" s="8"/>
      <c r="C104" s="8"/>
      <c r="D104" s="8"/>
      <c r="E104" s="10"/>
      <c r="F104" s="11"/>
      <c r="G104" s="9"/>
    </row>
    <row r="105" customFormat="false" ht="15" hidden="false" customHeight="true" outlineLevel="0" collapsed="false">
      <c r="A105" s="8"/>
      <c r="B105" s="8"/>
      <c r="C105" s="8"/>
      <c r="D105" s="8"/>
      <c r="E105" s="10"/>
      <c r="F105" s="11"/>
      <c r="G105" s="9"/>
    </row>
    <row r="106" customFormat="false" ht="15" hidden="false" customHeight="true" outlineLevel="0" collapsed="false">
      <c r="A106" s="8"/>
      <c r="B106" s="8"/>
      <c r="C106" s="8"/>
      <c r="D106" s="8"/>
      <c r="E106" s="10"/>
      <c r="F106" s="11"/>
      <c r="G106" s="9"/>
    </row>
    <row r="107" customFormat="false" ht="15" hidden="false" customHeight="true" outlineLevel="0" collapsed="false">
      <c r="A107" s="8"/>
      <c r="B107" s="8"/>
      <c r="C107" s="8"/>
      <c r="D107" s="8"/>
      <c r="E107" s="10"/>
      <c r="F107" s="11"/>
      <c r="G107" s="9"/>
    </row>
    <row r="108" customFormat="false" ht="15" hidden="false" customHeight="true" outlineLevel="0" collapsed="false">
      <c r="A108" s="8"/>
      <c r="B108" s="8"/>
      <c r="C108" s="8"/>
      <c r="D108" s="8"/>
      <c r="E108" s="10"/>
      <c r="F108" s="11"/>
      <c r="G108" s="9"/>
    </row>
    <row r="109" customFormat="false" ht="15" hidden="false" customHeight="true" outlineLevel="0" collapsed="false">
      <c r="A109" s="8"/>
      <c r="B109" s="8"/>
      <c r="C109" s="8"/>
      <c r="D109" s="8"/>
      <c r="E109" s="10"/>
      <c r="F109" s="11"/>
      <c r="G109" s="9"/>
    </row>
    <row r="110" customFormat="false" ht="15" hidden="false" customHeight="true" outlineLevel="0" collapsed="false">
      <c r="A110" s="8"/>
      <c r="B110" s="8"/>
      <c r="C110" s="8"/>
      <c r="D110" s="8"/>
      <c r="E110" s="10"/>
      <c r="F110" s="11"/>
      <c r="G110" s="9"/>
    </row>
    <row r="111" customFormat="false" ht="15" hidden="false" customHeight="true" outlineLevel="0" collapsed="false">
      <c r="A111" s="8"/>
      <c r="B111" s="8"/>
      <c r="C111" s="8"/>
      <c r="D111" s="8"/>
      <c r="E111" s="10"/>
      <c r="F111" s="11"/>
      <c r="G111" s="9"/>
    </row>
    <row r="112" customFormat="false" ht="15" hidden="false" customHeight="true" outlineLevel="0" collapsed="false">
      <c r="A112" s="8"/>
      <c r="B112" s="8"/>
      <c r="C112" s="8"/>
      <c r="D112" s="8"/>
      <c r="E112" s="10"/>
      <c r="F112" s="11"/>
      <c r="G112" s="9"/>
    </row>
    <row r="113" customFormat="false" ht="15" hidden="false" customHeight="true" outlineLevel="0" collapsed="false">
      <c r="A113" s="8"/>
      <c r="B113" s="8"/>
      <c r="C113" s="8"/>
      <c r="D113" s="8"/>
      <c r="E113" s="10"/>
      <c r="F113" s="11"/>
      <c r="G113" s="9"/>
    </row>
    <row r="114" customFormat="false" ht="15" hidden="false" customHeight="true" outlineLevel="0" collapsed="false">
      <c r="A114" s="8"/>
      <c r="B114" s="8"/>
      <c r="C114" s="8"/>
      <c r="D114" s="8"/>
      <c r="E114" s="10"/>
      <c r="F114" s="11"/>
      <c r="G114" s="9"/>
    </row>
    <row r="115" customFormat="false" ht="15" hidden="false" customHeight="true" outlineLevel="0" collapsed="false">
      <c r="A115" s="8"/>
      <c r="B115" s="8"/>
      <c r="C115" s="8"/>
      <c r="D115" s="8"/>
      <c r="E115" s="10"/>
      <c r="F115" s="11"/>
      <c r="G115" s="9"/>
    </row>
    <row r="116" customFormat="false" ht="15" hidden="false" customHeight="true" outlineLevel="0" collapsed="false">
      <c r="A116" s="8"/>
      <c r="B116" s="8"/>
      <c r="C116" s="8"/>
      <c r="D116" s="8"/>
      <c r="E116" s="10"/>
      <c r="F116" s="11"/>
      <c r="G116" s="9"/>
    </row>
    <row r="117" customFormat="false" ht="15" hidden="false" customHeight="true" outlineLevel="0" collapsed="false">
      <c r="A117" s="8"/>
      <c r="B117" s="8"/>
      <c r="C117" s="8"/>
      <c r="D117" s="8"/>
      <c r="E117" s="10"/>
      <c r="F117" s="11"/>
      <c r="G117" s="9"/>
    </row>
    <row r="118" customFormat="false" ht="15" hidden="false" customHeight="true" outlineLevel="0" collapsed="false">
      <c r="A118" s="8"/>
      <c r="B118" s="8"/>
      <c r="C118" s="8"/>
      <c r="D118" s="8"/>
      <c r="E118" s="10"/>
      <c r="F118" s="11"/>
      <c r="G118" s="9"/>
    </row>
    <row r="119" customFormat="false" ht="15" hidden="false" customHeight="true" outlineLevel="0" collapsed="false">
      <c r="A119" s="8"/>
      <c r="B119" s="8"/>
      <c r="C119" s="8"/>
      <c r="D119" s="8"/>
      <c r="E119" s="10"/>
      <c r="F119" s="11"/>
      <c r="G119" s="9"/>
    </row>
    <row r="120" customFormat="false" ht="15" hidden="false" customHeight="true" outlineLevel="0" collapsed="false">
      <c r="A120" s="8"/>
      <c r="B120" s="8"/>
      <c r="C120" s="8"/>
      <c r="D120" s="8"/>
      <c r="E120" s="10"/>
      <c r="F120" s="11"/>
      <c r="G120" s="9"/>
    </row>
    <row r="121" customFormat="false" ht="15" hidden="false" customHeight="true" outlineLevel="0" collapsed="false">
      <c r="A121" s="8"/>
      <c r="B121" s="8"/>
      <c r="C121" s="8"/>
      <c r="D121" s="8"/>
      <c r="E121" s="10"/>
      <c r="F121" s="11"/>
      <c r="G121" s="9"/>
    </row>
    <row r="122" customFormat="false" ht="15" hidden="false" customHeight="true" outlineLevel="0" collapsed="false">
      <c r="A122" s="8"/>
      <c r="B122" s="8"/>
      <c r="C122" s="8"/>
      <c r="D122" s="8"/>
      <c r="E122" s="10"/>
      <c r="F122" s="11"/>
      <c r="G122" s="9"/>
    </row>
    <row r="123" customFormat="false" ht="15" hidden="false" customHeight="true" outlineLevel="0" collapsed="false">
      <c r="A123" s="8"/>
      <c r="B123" s="8"/>
      <c r="C123" s="8"/>
      <c r="D123" s="8"/>
      <c r="E123" s="10"/>
      <c r="F123" s="11"/>
      <c r="G123" s="9"/>
    </row>
    <row r="124" customFormat="false" ht="15" hidden="false" customHeight="true" outlineLevel="0" collapsed="false">
      <c r="A124" s="8"/>
      <c r="B124" s="8"/>
      <c r="C124" s="8"/>
      <c r="D124" s="8"/>
      <c r="E124" s="10"/>
      <c r="F124" s="11"/>
      <c r="G124" s="9"/>
    </row>
    <row r="125" customFormat="false" ht="15" hidden="false" customHeight="true" outlineLevel="0" collapsed="false">
      <c r="A125" s="8"/>
      <c r="B125" s="8"/>
      <c r="C125" s="8"/>
      <c r="D125" s="8"/>
      <c r="E125" s="10"/>
      <c r="F125" s="11"/>
      <c r="G125" s="9"/>
    </row>
    <row r="126" customFormat="false" ht="15" hidden="false" customHeight="true" outlineLevel="0" collapsed="false">
      <c r="A126" s="8"/>
      <c r="B126" s="8"/>
      <c r="C126" s="8"/>
      <c r="D126" s="8"/>
      <c r="E126" s="10"/>
      <c r="F126" s="11"/>
      <c r="G126" s="9"/>
    </row>
    <row r="127" customFormat="false" ht="15" hidden="false" customHeight="true" outlineLevel="0" collapsed="false">
      <c r="A127" s="8"/>
      <c r="B127" s="8"/>
      <c r="C127" s="8"/>
      <c r="D127" s="8"/>
      <c r="E127" s="10"/>
      <c r="F127" s="11"/>
      <c r="G127" s="9"/>
    </row>
    <row r="128" customFormat="false" ht="15" hidden="false" customHeight="true" outlineLevel="0" collapsed="false">
      <c r="A128" s="8"/>
      <c r="B128" s="8"/>
      <c r="C128" s="8"/>
      <c r="D128" s="8"/>
      <c r="E128" s="10"/>
      <c r="F128" s="11"/>
      <c r="G128" s="9"/>
    </row>
    <row r="129" customFormat="false" ht="15" hidden="false" customHeight="true" outlineLevel="0" collapsed="false">
      <c r="A129" s="8"/>
      <c r="B129" s="8"/>
      <c r="C129" s="8"/>
      <c r="D129" s="8"/>
      <c r="E129" s="10"/>
      <c r="F129" s="11"/>
      <c r="G129" s="9"/>
    </row>
    <row r="130" customFormat="false" ht="15" hidden="false" customHeight="true" outlineLevel="0" collapsed="false">
      <c r="A130" s="8"/>
      <c r="B130" s="8"/>
      <c r="C130" s="8"/>
      <c r="D130" s="8"/>
      <c r="E130" s="10"/>
      <c r="F130" s="11"/>
      <c r="G130" s="9"/>
    </row>
    <row r="131" customFormat="false" ht="15" hidden="false" customHeight="true" outlineLevel="0" collapsed="false">
      <c r="A131" s="8"/>
      <c r="B131" s="8"/>
      <c r="C131" s="8"/>
      <c r="D131" s="8"/>
      <c r="E131" s="10"/>
      <c r="F131" s="11"/>
      <c r="G131" s="9"/>
    </row>
    <row r="132" customFormat="false" ht="15" hidden="false" customHeight="true" outlineLevel="0" collapsed="false">
      <c r="A132" s="8"/>
      <c r="B132" s="8"/>
      <c r="C132" s="8"/>
      <c r="D132" s="8"/>
      <c r="E132" s="10"/>
      <c r="F132" s="11"/>
      <c r="G132" s="9"/>
    </row>
    <row r="133" customFormat="false" ht="15" hidden="false" customHeight="true" outlineLevel="0" collapsed="false">
      <c r="A133" s="8"/>
      <c r="B133" s="8"/>
      <c r="C133" s="8"/>
      <c r="D133" s="8"/>
      <c r="E133" s="10"/>
      <c r="F133" s="11"/>
      <c r="G133" s="9"/>
    </row>
    <row r="134" customFormat="false" ht="15" hidden="false" customHeight="true" outlineLevel="0" collapsed="false">
      <c r="A134" s="8"/>
      <c r="B134" s="8"/>
      <c r="C134" s="8"/>
      <c r="D134" s="8"/>
      <c r="E134" s="10"/>
      <c r="F134" s="11"/>
      <c r="G134" s="9"/>
    </row>
    <row r="135" customFormat="false" ht="15" hidden="false" customHeight="true" outlineLevel="0" collapsed="false">
      <c r="A135" s="8"/>
      <c r="B135" s="8"/>
      <c r="C135" s="8"/>
      <c r="D135" s="8"/>
      <c r="E135" s="10"/>
      <c r="F135" s="11"/>
      <c r="G135" s="9"/>
    </row>
    <row r="136" customFormat="false" ht="15" hidden="false" customHeight="true" outlineLevel="0" collapsed="false">
      <c r="A136" s="8"/>
      <c r="B136" s="8"/>
      <c r="C136" s="8"/>
      <c r="D136" s="8"/>
      <c r="E136" s="10"/>
      <c r="F136" s="11"/>
      <c r="G136" s="9"/>
    </row>
    <row r="137" customFormat="false" ht="15" hidden="false" customHeight="true" outlineLevel="0" collapsed="false">
      <c r="A137" s="8"/>
      <c r="B137" s="8"/>
      <c r="C137" s="8"/>
      <c r="D137" s="8"/>
      <c r="E137" s="10"/>
      <c r="F137" s="11"/>
      <c r="G137" s="9"/>
    </row>
    <row r="138" customFormat="false" ht="15" hidden="false" customHeight="true" outlineLevel="0" collapsed="false">
      <c r="A138" s="8"/>
      <c r="B138" s="8"/>
      <c r="C138" s="8"/>
      <c r="D138" s="8"/>
      <c r="E138" s="10"/>
      <c r="F138" s="11"/>
      <c r="G138" s="9"/>
    </row>
    <row r="139" customFormat="false" ht="15" hidden="false" customHeight="true" outlineLevel="0" collapsed="false">
      <c r="A139" s="8"/>
      <c r="B139" s="8"/>
      <c r="C139" s="8"/>
      <c r="D139" s="8"/>
      <c r="E139" s="10"/>
      <c r="F139" s="11"/>
      <c r="G139" s="9"/>
    </row>
    <row r="140" customFormat="false" ht="15" hidden="false" customHeight="true" outlineLevel="0" collapsed="false">
      <c r="A140" s="8"/>
      <c r="B140" s="8"/>
      <c r="C140" s="8"/>
      <c r="D140" s="8"/>
      <c r="E140" s="10"/>
      <c r="F140" s="11"/>
      <c r="G140" s="9"/>
    </row>
    <row r="141" customFormat="false" ht="15" hidden="false" customHeight="true" outlineLevel="0" collapsed="false">
      <c r="A141" s="8"/>
      <c r="B141" s="8"/>
      <c r="C141" s="8"/>
      <c r="D141" s="8"/>
      <c r="E141" s="10"/>
      <c r="F141" s="11"/>
      <c r="G141" s="9"/>
    </row>
    <row r="142" customFormat="false" ht="15" hidden="false" customHeight="true" outlineLevel="0" collapsed="false">
      <c r="A142" s="8"/>
      <c r="B142" s="8"/>
      <c r="C142" s="8"/>
      <c r="D142" s="8"/>
      <c r="E142" s="10"/>
      <c r="F142" s="11"/>
      <c r="G142" s="9"/>
    </row>
    <row r="143" customFormat="false" ht="15" hidden="false" customHeight="true" outlineLevel="0" collapsed="false">
      <c r="A143" s="8"/>
      <c r="B143" s="8"/>
      <c r="C143" s="8"/>
      <c r="D143" s="8"/>
      <c r="E143" s="10"/>
      <c r="F143" s="11"/>
      <c r="G143" s="9"/>
    </row>
    <row r="144" customFormat="false" ht="15" hidden="false" customHeight="true" outlineLevel="0" collapsed="false">
      <c r="A144" s="8"/>
      <c r="B144" s="8"/>
      <c r="C144" s="8"/>
      <c r="D144" s="8"/>
      <c r="E144" s="10"/>
      <c r="F144" s="11"/>
      <c r="G144" s="9"/>
    </row>
    <row r="145" customFormat="false" ht="15" hidden="false" customHeight="true" outlineLevel="0" collapsed="false">
      <c r="A145" s="8"/>
      <c r="B145" s="8"/>
      <c r="C145" s="8"/>
      <c r="D145" s="8"/>
      <c r="E145" s="10"/>
      <c r="F145" s="11"/>
      <c r="G145" s="9"/>
    </row>
    <row r="146" customFormat="false" ht="15" hidden="false" customHeight="true" outlineLevel="0" collapsed="false">
      <c r="A146" s="8"/>
      <c r="B146" s="8"/>
      <c r="C146" s="8"/>
      <c r="D146" s="8"/>
      <c r="E146" s="10"/>
      <c r="F146" s="11"/>
      <c r="G146" s="9"/>
    </row>
    <row r="147" customFormat="false" ht="15" hidden="false" customHeight="true" outlineLevel="0" collapsed="false">
      <c r="A147" s="8"/>
      <c r="B147" s="8"/>
      <c r="C147" s="8"/>
      <c r="D147" s="8"/>
      <c r="E147" s="10"/>
      <c r="F147" s="11"/>
      <c r="G147" s="9"/>
    </row>
    <row r="148" customFormat="false" ht="15" hidden="false" customHeight="true" outlineLevel="0" collapsed="false">
      <c r="A148" s="8"/>
      <c r="B148" s="8"/>
      <c r="C148" s="8"/>
      <c r="D148" s="8"/>
      <c r="E148" s="10"/>
      <c r="F148" s="11"/>
      <c r="G148" s="9"/>
    </row>
    <row r="149" customFormat="false" ht="15" hidden="false" customHeight="true" outlineLevel="0" collapsed="false">
      <c r="A149" s="8"/>
      <c r="B149" s="8"/>
      <c r="C149" s="8"/>
      <c r="D149" s="8"/>
      <c r="E149" s="10"/>
      <c r="F149" s="11"/>
      <c r="G149" s="9"/>
    </row>
    <row r="150" customFormat="false" ht="15" hidden="false" customHeight="true" outlineLevel="0" collapsed="false">
      <c r="A150" s="8"/>
      <c r="B150" s="8"/>
      <c r="C150" s="8"/>
      <c r="D150" s="8"/>
      <c r="E150" s="10"/>
      <c r="F150" s="11"/>
      <c r="G150" s="9"/>
    </row>
    <row r="151" customFormat="false" ht="15" hidden="false" customHeight="true" outlineLevel="0" collapsed="false">
      <c r="A151" s="8"/>
      <c r="B151" s="8"/>
      <c r="C151" s="8"/>
      <c r="D151" s="8"/>
      <c r="E151" s="10"/>
      <c r="F151" s="11"/>
      <c r="G151" s="9"/>
    </row>
    <row r="152" customFormat="false" ht="15" hidden="false" customHeight="true" outlineLevel="0" collapsed="false">
      <c r="A152" s="8"/>
      <c r="B152" s="8"/>
      <c r="C152" s="8"/>
      <c r="D152" s="8"/>
      <c r="E152" s="10"/>
      <c r="F152" s="11"/>
      <c r="G152" s="9"/>
    </row>
    <row r="153" customFormat="false" ht="15" hidden="false" customHeight="true" outlineLevel="0" collapsed="false">
      <c r="A153" s="8"/>
      <c r="B153" s="8"/>
      <c r="C153" s="8"/>
      <c r="D153" s="8"/>
      <c r="E153" s="10"/>
      <c r="F153" s="11"/>
      <c r="G153" s="9"/>
    </row>
    <row r="154" customFormat="false" ht="15" hidden="false" customHeight="true" outlineLevel="0" collapsed="false">
      <c r="A154" s="8"/>
      <c r="B154" s="8"/>
      <c r="C154" s="8"/>
      <c r="D154" s="8"/>
      <c r="E154" s="10"/>
      <c r="F154" s="11"/>
      <c r="G154" s="9"/>
    </row>
    <row r="155" customFormat="false" ht="15" hidden="false" customHeight="true" outlineLevel="0" collapsed="false">
      <c r="A155" s="8"/>
      <c r="B155" s="8"/>
      <c r="C155" s="8"/>
      <c r="D155" s="8"/>
      <c r="E155" s="10"/>
      <c r="F155" s="11"/>
      <c r="G155" s="9"/>
    </row>
    <row r="156" customFormat="false" ht="15" hidden="false" customHeight="true" outlineLevel="0" collapsed="false">
      <c r="A156" s="8"/>
      <c r="B156" s="8"/>
      <c r="C156" s="8"/>
      <c r="D156" s="8"/>
      <c r="E156" s="10"/>
      <c r="F156" s="11"/>
      <c r="G156" s="9"/>
    </row>
    <row r="157" customFormat="false" ht="15" hidden="false" customHeight="true" outlineLevel="0" collapsed="false">
      <c r="A157" s="8"/>
      <c r="B157" s="8"/>
      <c r="C157" s="8"/>
      <c r="D157" s="8"/>
      <c r="E157" s="10"/>
      <c r="F157" s="11"/>
      <c r="G157" s="9"/>
    </row>
    <row r="158" customFormat="false" ht="15" hidden="false" customHeight="true" outlineLevel="0" collapsed="false">
      <c r="A158" s="8"/>
      <c r="B158" s="8"/>
      <c r="C158" s="8"/>
      <c r="D158" s="8"/>
      <c r="E158" s="10"/>
      <c r="F158" s="11"/>
      <c r="G158" s="9"/>
    </row>
    <row r="159" customFormat="false" ht="15" hidden="false" customHeight="true" outlineLevel="0" collapsed="false">
      <c r="A159" s="8"/>
      <c r="B159" s="8"/>
      <c r="C159" s="8"/>
      <c r="D159" s="8"/>
      <c r="E159" s="10"/>
      <c r="F159" s="11"/>
      <c r="G159" s="9"/>
    </row>
    <row r="160" customFormat="false" ht="15" hidden="false" customHeight="true" outlineLevel="0" collapsed="false">
      <c r="A160" s="8"/>
      <c r="B160" s="8"/>
      <c r="C160" s="8"/>
      <c r="D160" s="8"/>
      <c r="E160" s="10"/>
      <c r="F160" s="11"/>
      <c r="G160" s="9"/>
    </row>
    <row r="161" customFormat="false" ht="15" hidden="false" customHeight="true" outlineLevel="0" collapsed="false">
      <c r="A161" s="8"/>
      <c r="B161" s="8"/>
      <c r="C161" s="8"/>
      <c r="D161" s="8"/>
      <c r="E161" s="10"/>
      <c r="F161" s="11"/>
      <c r="G161" s="9"/>
    </row>
    <row r="162" customFormat="false" ht="15" hidden="false" customHeight="true" outlineLevel="0" collapsed="false">
      <c r="A162" s="8"/>
      <c r="B162" s="8"/>
      <c r="C162" s="8"/>
      <c r="D162" s="8"/>
      <c r="E162" s="10"/>
      <c r="F162" s="11"/>
      <c r="G162" s="9"/>
    </row>
    <row r="163" customFormat="false" ht="15" hidden="false" customHeight="true" outlineLevel="0" collapsed="false">
      <c r="A163" s="8"/>
      <c r="B163" s="8"/>
      <c r="C163" s="8"/>
      <c r="D163" s="8"/>
      <c r="E163" s="10"/>
      <c r="F163" s="11"/>
      <c r="G163" s="9"/>
    </row>
    <row r="164" customFormat="false" ht="15" hidden="false" customHeight="true" outlineLevel="0" collapsed="false">
      <c r="A164" s="8"/>
      <c r="B164" s="8"/>
      <c r="C164" s="8"/>
      <c r="D164" s="8"/>
      <c r="E164" s="10"/>
      <c r="F164" s="11"/>
      <c r="G164" s="9"/>
    </row>
    <row r="165" customFormat="false" ht="15" hidden="false" customHeight="true" outlineLevel="0" collapsed="false">
      <c r="A165" s="8"/>
      <c r="B165" s="8"/>
      <c r="C165" s="8"/>
      <c r="D165" s="8"/>
      <c r="E165" s="10"/>
      <c r="F165" s="11"/>
      <c r="G165" s="9"/>
    </row>
    <row r="166" customFormat="false" ht="15" hidden="false" customHeight="true" outlineLevel="0" collapsed="false">
      <c r="A166" s="8"/>
      <c r="B166" s="8"/>
      <c r="C166" s="8"/>
      <c r="D166" s="8"/>
      <c r="E166" s="10"/>
      <c r="F166" s="11"/>
      <c r="G166" s="9"/>
    </row>
    <row r="167" customFormat="false" ht="15" hidden="false" customHeight="true" outlineLevel="0" collapsed="false">
      <c r="A167" s="8"/>
      <c r="B167" s="8"/>
      <c r="C167" s="8"/>
      <c r="D167" s="8"/>
      <c r="E167" s="10"/>
      <c r="F167" s="11"/>
      <c r="G167" s="9"/>
    </row>
    <row r="168" customFormat="false" ht="15" hidden="false" customHeight="true" outlineLevel="0" collapsed="false">
      <c r="A168" s="8"/>
      <c r="B168" s="8"/>
      <c r="C168" s="8"/>
      <c r="D168" s="8"/>
      <c r="E168" s="10"/>
      <c r="F168" s="11"/>
      <c r="G168" s="9"/>
    </row>
    <row r="169" customFormat="false" ht="15" hidden="false" customHeight="true" outlineLevel="0" collapsed="false">
      <c r="A169" s="8"/>
      <c r="B169" s="8"/>
      <c r="C169" s="8"/>
      <c r="D169" s="8"/>
      <c r="E169" s="10"/>
      <c r="F169" s="11"/>
      <c r="G169" s="9"/>
    </row>
    <row r="170" customFormat="false" ht="15" hidden="false" customHeight="true" outlineLevel="0" collapsed="false">
      <c r="A170" s="8"/>
      <c r="B170" s="8"/>
      <c r="C170" s="8"/>
      <c r="D170" s="8"/>
      <c r="E170" s="10"/>
      <c r="F170" s="11"/>
      <c r="G170" s="9"/>
    </row>
    <row r="171" customFormat="false" ht="15" hidden="false" customHeight="true" outlineLevel="0" collapsed="false">
      <c r="A171" s="8"/>
      <c r="B171" s="8"/>
      <c r="C171" s="8"/>
      <c r="D171" s="8"/>
      <c r="E171" s="10"/>
      <c r="F171" s="11"/>
      <c r="G171" s="9"/>
    </row>
    <row r="172" customFormat="false" ht="15" hidden="false" customHeight="true" outlineLevel="0" collapsed="false">
      <c r="A172" s="8"/>
      <c r="B172" s="8"/>
      <c r="C172" s="8"/>
      <c r="D172" s="8"/>
      <c r="E172" s="10"/>
      <c r="F172" s="11"/>
      <c r="G172" s="9"/>
    </row>
    <row r="173" customFormat="false" ht="15" hidden="false" customHeight="true" outlineLevel="0" collapsed="false">
      <c r="A173" s="8"/>
      <c r="B173" s="8"/>
      <c r="C173" s="8"/>
      <c r="D173" s="8"/>
      <c r="E173" s="10"/>
      <c r="F173" s="11"/>
      <c r="G173" s="9"/>
    </row>
    <row r="174" customFormat="false" ht="15" hidden="false" customHeight="true" outlineLevel="0" collapsed="false">
      <c r="A174" s="8"/>
      <c r="B174" s="8"/>
      <c r="C174" s="8"/>
      <c r="D174" s="8"/>
      <c r="E174" s="10"/>
      <c r="F174" s="11"/>
      <c r="G174" s="9"/>
    </row>
    <row r="175" customFormat="false" ht="15" hidden="false" customHeight="true" outlineLevel="0" collapsed="false">
      <c r="A175" s="8"/>
      <c r="B175" s="8"/>
      <c r="C175" s="8"/>
      <c r="D175" s="8"/>
      <c r="E175" s="10"/>
      <c r="F175" s="11"/>
      <c r="G175" s="9"/>
    </row>
    <row r="176" customFormat="false" ht="15" hidden="false" customHeight="true" outlineLevel="0" collapsed="false">
      <c r="A176" s="8"/>
      <c r="B176" s="8"/>
      <c r="C176" s="8"/>
      <c r="D176" s="8"/>
      <c r="E176" s="10"/>
      <c r="F176" s="11"/>
      <c r="G176" s="9"/>
    </row>
    <row r="177" customFormat="false" ht="15" hidden="false" customHeight="true" outlineLevel="0" collapsed="false">
      <c r="A177" s="8"/>
      <c r="B177" s="8"/>
      <c r="C177" s="8"/>
      <c r="D177" s="8"/>
      <c r="E177" s="10"/>
      <c r="F177" s="11"/>
      <c r="G177" s="9"/>
    </row>
    <row r="178" customFormat="false" ht="15" hidden="false" customHeight="true" outlineLevel="0" collapsed="false">
      <c r="A178" s="8"/>
      <c r="B178" s="8"/>
      <c r="C178" s="8"/>
      <c r="D178" s="8"/>
      <c r="E178" s="10"/>
      <c r="F178" s="11"/>
      <c r="G178" s="9"/>
    </row>
    <row r="179" customFormat="false" ht="15" hidden="false" customHeight="true" outlineLevel="0" collapsed="false">
      <c r="A179" s="8"/>
      <c r="B179" s="8"/>
      <c r="C179" s="8"/>
      <c r="D179" s="8"/>
      <c r="E179" s="10"/>
      <c r="F179" s="11"/>
      <c r="G179" s="9"/>
    </row>
    <row r="180" customFormat="false" ht="15" hidden="false" customHeight="true" outlineLevel="0" collapsed="false">
      <c r="A180" s="8"/>
      <c r="B180" s="8"/>
      <c r="C180" s="8"/>
      <c r="D180" s="8"/>
      <c r="E180" s="10"/>
      <c r="F180" s="11"/>
      <c r="G180" s="9"/>
    </row>
    <row r="181" customFormat="false" ht="15" hidden="false" customHeight="true" outlineLevel="0" collapsed="false">
      <c r="A181" s="8"/>
      <c r="B181" s="8"/>
      <c r="C181" s="8"/>
      <c r="D181" s="8"/>
      <c r="E181" s="10"/>
      <c r="F181" s="11"/>
      <c r="G181" s="9"/>
    </row>
    <row r="182" customFormat="false" ht="15" hidden="false" customHeight="true" outlineLevel="0" collapsed="false">
      <c r="A182" s="8"/>
      <c r="B182" s="8"/>
      <c r="C182" s="8"/>
      <c r="D182" s="8"/>
      <c r="E182" s="10"/>
      <c r="F182" s="11"/>
      <c r="G182" s="9"/>
    </row>
    <row r="183" customFormat="false" ht="15" hidden="false" customHeight="true" outlineLevel="0" collapsed="false">
      <c r="A183" s="8"/>
      <c r="B183" s="8"/>
      <c r="C183" s="8"/>
      <c r="D183" s="8"/>
      <c r="E183" s="10"/>
      <c r="F183" s="11"/>
      <c r="G183" s="9"/>
    </row>
    <row r="184" customFormat="false" ht="15" hidden="false" customHeight="true" outlineLevel="0" collapsed="false">
      <c r="A184" s="8"/>
      <c r="B184" s="8"/>
      <c r="C184" s="8"/>
      <c r="D184" s="8"/>
      <c r="E184" s="10"/>
      <c r="F184" s="11"/>
      <c r="G184" s="9"/>
    </row>
    <row r="185" customFormat="false" ht="15" hidden="false" customHeight="true" outlineLevel="0" collapsed="false">
      <c r="A185" s="8"/>
      <c r="B185" s="8"/>
      <c r="C185" s="8"/>
      <c r="D185" s="8"/>
      <c r="E185" s="10"/>
      <c r="F185" s="11"/>
      <c r="G185" s="9"/>
    </row>
    <row r="186" customFormat="false" ht="15" hidden="false" customHeight="true" outlineLevel="0" collapsed="false">
      <c r="A186" s="8"/>
      <c r="B186" s="8"/>
      <c r="C186" s="8"/>
      <c r="D186" s="8"/>
      <c r="E186" s="10"/>
      <c r="F186" s="11"/>
      <c r="G186" s="9"/>
    </row>
    <row r="187" customFormat="false" ht="15" hidden="false" customHeight="true" outlineLevel="0" collapsed="false">
      <c r="A187" s="8"/>
      <c r="B187" s="8"/>
      <c r="C187" s="8"/>
      <c r="D187" s="8"/>
      <c r="E187" s="10"/>
      <c r="F187" s="11"/>
      <c r="G187" s="9"/>
    </row>
    <row r="188" customFormat="false" ht="15" hidden="false" customHeight="true" outlineLevel="0" collapsed="false">
      <c r="A188" s="8"/>
      <c r="B188" s="8"/>
      <c r="C188" s="8"/>
      <c r="D188" s="8"/>
      <c r="E188" s="10"/>
      <c r="F188" s="11"/>
      <c r="G188" s="9"/>
    </row>
    <row r="189" customFormat="false" ht="15" hidden="false" customHeight="true" outlineLevel="0" collapsed="false">
      <c r="A189" s="8"/>
      <c r="B189" s="8"/>
      <c r="C189" s="8"/>
      <c r="D189" s="8"/>
      <c r="E189" s="10"/>
      <c r="F189" s="11"/>
      <c r="G189" s="9"/>
    </row>
    <row r="190" customFormat="false" ht="15" hidden="false" customHeight="true" outlineLevel="0" collapsed="false">
      <c r="A190" s="8"/>
      <c r="B190" s="8"/>
      <c r="C190" s="8"/>
      <c r="D190" s="8"/>
      <c r="E190" s="10"/>
      <c r="F190" s="11"/>
      <c r="G190" s="9"/>
    </row>
    <row r="191" customFormat="false" ht="15" hidden="false" customHeight="true" outlineLevel="0" collapsed="false">
      <c r="A191" s="8"/>
      <c r="B191" s="8"/>
      <c r="C191" s="8"/>
      <c r="D191" s="8"/>
      <c r="E191" s="10"/>
      <c r="F191" s="11"/>
      <c r="G191" s="9"/>
    </row>
    <row r="192" customFormat="false" ht="15" hidden="false" customHeight="true" outlineLevel="0" collapsed="false">
      <c r="A192" s="8"/>
      <c r="B192" s="8"/>
      <c r="C192" s="8"/>
      <c r="D192" s="8"/>
      <c r="E192" s="10"/>
      <c r="F192" s="11"/>
      <c r="G192" s="9"/>
    </row>
    <row r="193" customFormat="false" ht="15" hidden="false" customHeight="true" outlineLevel="0" collapsed="false">
      <c r="A193" s="8"/>
      <c r="B193" s="8"/>
      <c r="C193" s="8"/>
      <c r="D193" s="8"/>
      <c r="E193" s="10"/>
      <c r="F193" s="11"/>
      <c r="G193" s="9"/>
    </row>
    <row r="194" customFormat="false" ht="15" hidden="false" customHeight="true" outlineLevel="0" collapsed="false">
      <c r="A194" s="8"/>
      <c r="B194" s="8"/>
      <c r="C194" s="8"/>
      <c r="D194" s="8"/>
      <c r="E194" s="10"/>
      <c r="F194" s="11"/>
      <c r="G194" s="9"/>
    </row>
    <row r="195" customFormat="false" ht="15" hidden="false" customHeight="true" outlineLevel="0" collapsed="false">
      <c r="A195" s="8"/>
      <c r="B195" s="8"/>
      <c r="C195" s="8"/>
      <c r="D195" s="8"/>
      <c r="E195" s="10"/>
      <c r="F195" s="11"/>
      <c r="G195" s="9"/>
    </row>
    <row r="196" customFormat="false" ht="15" hidden="false" customHeight="true" outlineLevel="0" collapsed="false">
      <c r="A196" s="8"/>
      <c r="B196" s="8"/>
      <c r="C196" s="8"/>
      <c r="D196" s="8"/>
      <c r="E196" s="10"/>
      <c r="F196" s="11"/>
      <c r="G196" s="9"/>
    </row>
    <row r="197" customFormat="false" ht="15" hidden="false" customHeight="true" outlineLevel="0" collapsed="false">
      <c r="A197" s="8"/>
      <c r="B197" s="8"/>
      <c r="C197" s="8"/>
      <c r="D197" s="8"/>
      <c r="E197" s="10"/>
      <c r="F197" s="11"/>
      <c r="G197" s="9"/>
    </row>
    <row r="198" customFormat="false" ht="15" hidden="false" customHeight="true" outlineLevel="0" collapsed="false">
      <c r="A198" s="8"/>
      <c r="B198" s="8"/>
      <c r="C198" s="8"/>
      <c r="D198" s="8"/>
      <c r="E198" s="10"/>
      <c r="F198" s="11"/>
      <c r="G198" s="9"/>
    </row>
    <row r="199" customFormat="false" ht="15" hidden="false" customHeight="true" outlineLevel="0" collapsed="false">
      <c r="A199" s="8"/>
      <c r="B199" s="8"/>
      <c r="C199" s="8"/>
      <c r="D199" s="8"/>
      <c r="E199" s="10"/>
      <c r="F199" s="11"/>
      <c r="G199" s="9"/>
    </row>
    <row r="200" customFormat="false" ht="15" hidden="false" customHeight="true" outlineLevel="0" collapsed="false">
      <c r="A200" s="8"/>
      <c r="B200" s="8"/>
      <c r="C200" s="8"/>
      <c r="D200" s="8"/>
      <c r="E200" s="10"/>
      <c r="F200" s="11"/>
      <c r="G200" s="9"/>
    </row>
    <row r="201" customFormat="false" ht="15" hidden="false" customHeight="true" outlineLevel="0" collapsed="false">
      <c r="A201" s="8"/>
      <c r="B201" s="8"/>
      <c r="C201" s="8"/>
      <c r="D201" s="8"/>
      <c r="E201" s="10"/>
      <c r="F201" s="11"/>
      <c r="G201" s="9"/>
    </row>
    <row r="202" customFormat="false" ht="15" hidden="false" customHeight="true" outlineLevel="0" collapsed="false">
      <c r="A202" s="8"/>
      <c r="B202" s="8"/>
      <c r="C202" s="8"/>
      <c r="D202" s="8"/>
      <c r="E202" s="10"/>
      <c r="F202" s="11"/>
      <c r="G202" s="9"/>
    </row>
    <row r="203" customFormat="false" ht="15" hidden="false" customHeight="true" outlineLevel="0" collapsed="false">
      <c r="A203" s="8"/>
      <c r="B203" s="8"/>
      <c r="C203" s="8"/>
      <c r="D203" s="8"/>
      <c r="E203" s="10"/>
      <c r="F203" s="11"/>
      <c r="G203" s="9"/>
    </row>
    <row r="204" customFormat="false" ht="15" hidden="false" customHeight="true" outlineLevel="0" collapsed="false">
      <c r="A204" s="8"/>
      <c r="B204" s="8"/>
      <c r="C204" s="8"/>
      <c r="D204" s="8"/>
      <c r="E204" s="10"/>
      <c r="F204" s="11"/>
      <c r="G204" s="9"/>
    </row>
    <row r="205" customFormat="false" ht="15" hidden="false" customHeight="true" outlineLevel="0" collapsed="false">
      <c r="A205" s="8"/>
      <c r="B205" s="8"/>
      <c r="C205" s="8"/>
      <c r="D205" s="8"/>
      <c r="E205" s="10"/>
      <c r="F205" s="11"/>
      <c r="G205" s="9"/>
    </row>
    <row r="206" customFormat="false" ht="15" hidden="false" customHeight="true" outlineLevel="0" collapsed="false">
      <c r="A206" s="8"/>
      <c r="B206" s="8"/>
      <c r="C206" s="8"/>
      <c r="D206" s="8"/>
      <c r="E206" s="10"/>
      <c r="F206" s="11"/>
      <c r="G206" s="9"/>
    </row>
    <row r="207" customFormat="false" ht="15" hidden="false" customHeight="true" outlineLevel="0" collapsed="false">
      <c r="A207" s="8"/>
      <c r="B207" s="8"/>
      <c r="C207" s="8"/>
      <c r="D207" s="8"/>
      <c r="E207" s="10"/>
      <c r="F207" s="11"/>
      <c r="G207" s="9"/>
    </row>
    <row r="208" customFormat="false" ht="15" hidden="false" customHeight="true" outlineLevel="0" collapsed="false">
      <c r="A208" s="8"/>
      <c r="B208" s="8"/>
      <c r="C208" s="8"/>
      <c r="D208" s="8"/>
      <c r="E208" s="10"/>
      <c r="F208" s="11"/>
      <c r="G208" s="9"/>
    </row>
    <row r="209" customFormat="false" ht="15" hidden="false" customHeight="true" outlineLevel="0" collapsed="false">
      <c r="A209" s="8"/>
      <c r="B209" s="8"/>
      <c r="C209" s="8"/>
      <c r="D209" s="8"/>
      <c r="E209" s="10"/>
      <c r="F209" s="11"/>
      <c r="G209" s="9"/>
    </row>
    <row r="210" customFormat="false" ht="15" hidden="false" customHeight="true" outlineLevel="0" collapsed="false">
      <c r="A210" s="8"/>
      <c r="B210" s="8"/>
      <c r="C210" s="8"/>
      <c r="D210" s="8"/>
      <c r="E210" s="10"/>
      <c r="F210" s="11"/>
      <c r="G210" s="9"/>
    </row>
    <row r="211" customFormat="false" ht="15" hidden="false" customHeight="true" outlineLevel="0" collapsed="false">
      <c r="A211" s="8"/>
      <c r="B211" s="8"/>
      <c r="C211" s="8"/>
      <c r="D211" s="8"/>
      <c r="E211" s="10"/>
      <c r="F211" s="11"/>
      <c r="G211" s="9"/>
    </row>
    <row r="212" customFormat="false" ht="15" hidden="false" customHeight="true" outlineLevel="0" collapsed="false">
      <c r="A212" s="8"/>
      <c r="B212" s="8"/>
      <c r="C212" s="8"/>
      <c r="D212" s="8"/>
      <c r="E212" s="10"/>
      <c r="F212" s="11"/>
      <c r="G212" s="9"/>
    </row>
    <row r="213" customFormat="false" ht="15" hidden="false" customHeight="true" outlineLevel="0" collapsed="false">
      <c r="A213" s="8"/>
      <c r="B213" s="8"/>
      <c r="C213" s="8"/>
      <c r="D213" s="8"/>
      <c r="E213" s="10"/>
      <c r="F213" s="11"/>
      <c r="G213" s="9"/>
    </row>
    <row r="214" customFormat="false" ht="15" hidden="false" customHeight="true" outlineLevel="0" collapsed="false">
      <c r="A214" s="8"/>
      <c r="B214" s="8"/>
      <c r="C214" s="8"/>
      <c r="D214" s="8"/>
      <c r="E214" s="10"/>
      <c r="F214" s="11"/>
      <c r="G214" s="9"/>
    </row>
    <row r="215" customFormat="false" ht="15" hidden="false" customHeight="true" outlineLevel="0" collapsed="false">
      <c r="A215" s="8"/>
      <c r="B215" s="8"/>
      <c r="C215" s="8"/>
      <c r="D215" s="8"/>
      <c r="E215" s="10"/>
      <c r="F215" s="11"/>
      <c r="G215" s="9"/>
    </row>
    <row r="216" customFormat="false" ht="15" hidden="false" customHeight="true" outlineLevel="0" collapsed="false">
      <c r="A216" s="8"/>
      <c r="B216" s="8"/>
      <c r="C216" s="8"/>
      <c r="D216" s="8"/>
      <c r="E216" s="10"/>
      <c r="F216" s="11"/>
      <c r="G216" s="9"/>
    </row>
    <row r="217" customFormat="false" ht="15" hidden="false" customHeight="true" outlineLevel="0" collapsed="false">
      <c r="A217" s="8"/>
      <c r="B217" s="8"/>
      <c r="C217" s="8"/>
      <c r="D217" s="8"/>
      <c r="E217" s="10"/>
      <c r="F217" s="11"/>
      <c r="G217" s="9"/>
    </row>
    <row r="218" customFormat="false" ht="15" hidden="false" customHeight="true" outlineLevel="0" collapsed="false">
      <c r="A218" s="8"/>
      <c r="B218" s="8"/>
      <c r="C218" s="8"/>
      <c r="D218" s="8"/>
      <c r="E218" s="10"/>
      <c r="F218" s="11"/>
      <c r="G218" s="9"/>
    </row>
    <row r="219" customFormat="false" ht="15" hidden="false" customHeight="true" outlineLevel="0" collapsed="false">
      <c r="A219" s="8"/>
      <c r="B219" s="8"/>
      <c r="C219" s="8"/>
      <c r="D219" s="8"/>
      <c r="E219" s="10"/>
      <c r="F219" s="11"/>
      <c r="G219" s="9"/>
    </row>
    <row r="220" customFormat="false" ht="15" hidden="false" customHeight="true" outlineLevel="0" collapsed="false">
      <c r="A220" s="8"/>
      <c r="B220" s="8"/>
      <c r="C220" s="8"/>
      <c r="D220" s="8"/>
      <c r="E220" s="10"/>
      <c r="F220" s="11"/>
      <c r="G220" s="9"/>
    </row>
    <row r="221" customFormat="false" ht="15" hidden="false" customHeight="true" outlineLevel="0" collapsed="false">
      <c r="A221" s="8"/>
      <c r="B221" s="8"/>
      <c r="C221" s="8"/>
      <c r="D221" s="8"/>
      <c r="E221" s="10"/>
      <c r="F221" s="11"/>
      <c r="G221" s="9"/>
    </row>
    <row r="222" customFormat="false" ht="15" hidden="false" customHeight="true" outlineLevel="0" collapsed="false">
      <c r="A222" s="8"/>
      <c r="B222" s="8"/>
      <c r="C222" s="8"/>
      <c r="D222" s="8"/>
      <c r="E222" s="10"/>
      <c r="F222" s="11"/>
      <c r="G222" s="9"/>
    </row>
    <row r="223" customFormat="false" ht="15" hidden="false" customHeight="true" outlineLevel="0" collapsed="false">
      <c r="A223" s="8"/>
      <c r="B223" s="8"/>
      <c r="C223" s="8"/>
      <c r="D223" s="8"/>
      <c r="E223" s="10"/>
      <c r="F223" s="11"/>
      <c r="G223" s="9"/>
    </row>
    <row r="224" customFormat="false" ht="15" hidden="false" customHeight="true" outlineLevel="0" collapsed="false">
      <c r="A224" s="8"/>
      <c r="B224" s="8"/>
      <c r="C224" s="8"/>
      <c r="D224" s="8"/>
      <c r="E224" s="10"/>
      <c r="F224" s="11"/>
      <c r="G224" s="9"/>
    </row>
    <row r="225" customFormat="false" ht="15" hidden="false" customHeight="true" outlineLevel="0" collapsed="false">
      <c r="A225" s="8"/>
      <c r="B225" s="8"/>
      <c r="C225" s="8"/>
      <c r="D225" s="8"/>
      <c r="E225" s="10"/>
      <c r="F225" s="11"/>
      <c r="G225" s="9"/>
    </row>
    <row r="226" customFormat="false" ht="15" hidden="false" customHeight="true" outlineLevel="0" collapsed="false">
      <c r="A226" s="8"/>
      <c r="B226" s="8"/>
      <c r="C226" s="8"/>
      <c r="D226" s="8"/>
      <c r="E226" s="10"/>
      <c r="F226" s="11"/>
      <c r="G226" s="9"/>
    </row>
    <row r="227" customFormat="false" ht="15" hidden="false" customHeight="true" outlineLevel="0" collapsed="false">
      <c r="A227" s="8"/>
      <c r="B227" s="8"/>
      <c r="C227" s="8"/>
      <c r="D227" s="8"/>
      <c r="E227" s="10"/>
      <c r="F227" s="11"/>
      <c r="G227" s="9"/>
    </row>
    <row r="228" customFormat="false" ht="15" hidden="false" customHeight="true" outlineLevel="0" collapsed="false">
      <c r="A228" s="8"/>
      <c r="B228" s="8"/>
      <c r="C228" s="8"/>
      <c r="D228" s="8"/>
      <c r="E228" s="10"/>
      <c r="F228" s="11"/>
      <c r="G228" s="9"/>
    </row>
    <row r="229" customFormat="false" ht="15" hidden="false" customHeight="true" outlineLevel="0" collapsed="false">
      <c r="A229" s="8"/>
      <c r="B229" s="8"/>
      <c r="C229" s="8"/>
      <c r="D229" s="8"/>
      <c r="E229" s="10"/>
      <c r="F229" s="11"/>
      <c r="G229" s="9"/>
    </row>
    <row r="230" customFormat="false" ht="15" hidden="false" customHeight="true" outlineLevel="0" collapsed="false">
      <c r="A230" s="8"/>
      <c r="B230" s="8"/>
      <c r="C230" s="8"/>
      <c r="D230" s="8"/>
      <c r="E230" s="10"/>
      <c r="F230" s="11"/>
      <c r="G230" s="9"/>
    </row>
    <row r="231" customFormat="false" ht="15" hidden="false" customHeight="true" outlineLevel="0" collapsed="false">
      <c r="A231" s="8"/>
      <c r="B231" s="8"/>
      <c r="C231" s="8"/>
      <c r="D231" s="8"/>
      <c r="E231" s="10"/>
      <c r="F231" s="11"/>
      <c r="G231" s="9"/>
    </row>
    <row r="232" customFormat="false" ht="15" hidden="false" customHeight="true" outlineLevel="0" collapsed="false">
      <c r="A232" s="8"/>
      <c r="B232" s="8"/>
      <c r="C232" s="8"/>
      <c r="D232" s="8"/>
      <c r="E232" s="10"/>
      <c r="F232" s="11"/>
      <c r="G232" s="9"/>
    </row>
    <row r="233" customFormat="false" ht="15" hidden="false" customHeight="true" outlineLevel="0" collapsed="false">
      <c r="A233" s="8"/>
      <c r="B233" s="8"/>
      <c r="C233" s="8"/>
      <c r="D233" s="8"/>
      <c r="E233" s="10"/>
      <c r="F233" s="11"/>
      <c r="G233" s="9"/>
    </row>
    <row r="234" customFormat="false" ht="15" hidden="false" customHeight="true" outlineLevel="0" collapsed="false">
      <c r="A234" s="8"/>
      <c r="B234" s="8"/>
      <c r="C234" s="8"/>
      <c r="D234" s="8"/>
      <c r="E234" s="10"/>
      <c r="F234" s="11"/>
      <c r="G234" s="9"/>
    </row>
    <row r="235" customFormat="false" ht="15" hidden="false" customHeight="true" outlineLevel="0" collapsed="false">
      <c r="A235" s="8"/>
      <c r="B235" s="8"/>
      <c r="C235" s="8"/>
      <c r="D235" s="8"/>
      <c r="E235" s="10"/>
      <c r="F235" s="11"/>
      <c r="G235" s="9"/>
    </row>
    <row r="236" customFormat="false" ht="15" hidden="false" customHeight="true" outlineLevel="0" collapsed="false">
      <c r="A236" s="8"/>
      <c r="B236" s="8"/>
      <c r="C236" s="8"/>
      <c r="D236" s="8"/>
      <c r="E236" s="10"/>
      <c r="F236" s="11"/>
      <c r="G236" s="9"/>
    </row>
    <row r="237" customFormat="false" ht="15" hidden="false" customHeight="true" outlineLevel="0" collapsed="false">
      <c r="A237" s="8"/>
      <c r="B237" s="8"/>
      <c r="C237" s="8"/>
      <c r="D237" s="8"/>
      <c r="E237" s="10"/>
      <c r="F237" s="11"/>
      <c r="G237" s="9"/>
    </row>
    <row r="238" customFormat="false" ht="15" hidden="false" customHeight="true" outlineLevel="0" collapsed="false">
      <c r="A238" s="8"/>
      <c r="B238" s="8"/>
      <c r="C238" s="8"/>
      <c r="D238" s="8"/>
      <c r="E238" s="10"/>
      <c r="F238" s="11"/>
      <c r="G238" s="9"/>
    </row>
    <row r="239" customFormat="false" ht="15" hidden="false" customHeight="true" outlineLevel="0" collapsed="false">
      <c r="A239" s="8"/>
      <c r="B239" s="8"/>
      <c r="C239" s="8"/>
      <c r="D239" s="8"/>
      <c r="E239" s="10"/>
      <c r="F239" s="11"/>
      <c r="G239" s="9"/>
    </row>
    <row r="240" customFormat="false" ht="15" hidden="false" customHeight="true" outlineLevel="0" collapsed="false">
      <c r="A240" s="8"/>
      <c r="B240" s="8"/>
      <c r="C240" s="8"/>
      <c r="D240" s="8"/>
      <c r="E240" s="10"/>
      <c r="F240" s="11"/>
      <c r="G240" s="9"/>
    </row>
    <row r="241" customFormat="false" ht="15" hidden="false" customHeight="true" outlineLevel="0" collapsed="false">
      <c r="A241" s="8"/>
      <c r="B241" s="8"/>
      <c r="C241" s="8"/>
      <c r="D241" s="8"/>
      <c r="E241" s="10"/>
      <c r="F241" s="11"/>
      <c r="G241" s="9"/>
    </row>
    <row r="242" customFormat="false" ht="15" hidden="false" customHeight="true" outlineLevel="0" collapsed="false">
      <c r="A242" s="8"/>
      <c r="B242" s="8"/>
      <c r="C242" s="8"/>
      <c r="D242" s="8"/>
      <c r="E242" s="10"/>
      <c r="F242" s="11"/>
      <c r="G242" s="9"/>
    </row>
    <row r="243" customFormat="false" ht="15" hidden="false" customHeight="true" outlineLevel="0" collapsed="false">
      <c r="A243" s="8"/>
      <c r="B243" s="8"/>
      <c r="C243" s="8"/>
      <c r="D243" s="8"/>
      <c r="E243" s="10"/>
      <c r="F243" s="11"/>
      <c r="G243" s="9"/>
    </row>
    <row r="244" customFormat="false" ht="15" hidden="false" customHeight="true" outlineLevel="0" collapsed="false">
      <c r="A244" s="8"/>
      <c r="B244" s="8"/>
      <c r="C244" s="8"/>
      <c r="D244" s="8"/>
      <c r="E244" s="10"/>
      <c r="F244" s="11"/>
      <c r="G244" s="9"/>
    </row>
    <row r="245" customFormat="false" ht="15" hidden="false" customHeight="true" outlineLevel="0" collapsed="false">
      <c r="A245" s="8"/>
      <c r="B245" s="8"/>
      <c r="C245" s="8"/>
      <c r="D245" s="8"/>
      <c r="E245" s="10"/>
      <c r="F245" s="11"/>
      <c r="G245" s="9"/>
    </row>
    <row r="246" customFormat="false" ht="15" hidden="false" customHeight="true" outlineLevel="0" collapsed="false">
      <c r="A246" s="8"/>
      <c r="B246" s="8"/>
      <c r="C246" s="8"/>
      <c r="D246" s="8"/>
      <c r="E246" s="10"/>
      <c r="F246" s="11"/>
      <c r="G246" s="9"/>
    </row>
    <row r="247" customFormat="false" ht="15" hidden="false" customHeight="true" outlineLevel="0" collapsed="false">
      <c r="A247" s="8"/>
      <c r="B247" s="8"/>
      <c r="C247" s="8"/>
      <c r="D247" s="8"/>
      <c r="E247" s="10"/>
      <c r="F247" s="11"/>
      <c r="G247" s="9"/>
    </row>
    <row r="248" customFormat="false" ht="15" hidden="false" customHeight="true" outlineLevel="0" collapsed="false">
      <c r="A248" s="8"/>
      <c r="B248" s="8"/>
      <c r="C248" s="8"/>
      <c r="D248" s="8"/>
      <c r="E248" s="10"/>
      <c r="F248" s="11"/>
      <c r="G248" s="9"/>
    </row>
    <row r="249" customFormat="false" ht="15" hidden="false" customHeight="true" outlineLevel="0" collapsed="false">
      <c r="A249" s="8"/>
      <c r="B249" s="8"/>
      <c r="C249" s="8"/>
      <c r="D249" s="8"/>
      <c r="E249" s="10"/>
      <c r="F249" s="11"/>
      <c r="G249" s="9"/>
    </row>
    <row r="250" customFormat="false" ht="15" hidden="false" customHeight="true" outlineLevel="0" collapsed="false">
      <c r="A250" s="8"/>
      <c r="B250" s="8"/>
      <c r="C250" s="8"/>
      <c r="D250" s="8"/>
      <c r="E250" s="10"/>
      <c r="F250" s="11"/>
      <c r="G250" s="9"/>
    </row>
    <row r="251" customFormat="false" ht="15" hidden="false" customHeight="true" outlineLevel="0" collapsed="false">
      <c r="A251" s="8"/>
      <c r="B251" s="8"/>
      <c r="C251" s="8"/>
      <c r="D251" s="8"/>
      <c r="E251" s="10"/>
      <c r="F251" s="11"/>
      <c r="G251" s="9"/>
    </row>
    <row r="252" customFormat="false" ht="15" hidden="false" customHeight="true" outlineLevel="0" collapsed="false">
      <c r="A252" s="8"/>
      <c r="B252" s="8"/>
      <c r="C252" s="8"/>
      <c r="D252" s="8"/>
      <c r="E252" s="10"/>
      <c r="F252" s="11"/>
      <c r="G252" s="9"/>
    </row>
    <row r="253" customFormat="false" ht="15" hidden="false" customHeight="true" outlineLevel="0" collapsed="false">
      <c r="A253" s="8"/>
      <c r="B253" s="8"/>
      <c r="C253" s="8"/>
      <c r="D253" s="8"/>
      <c r="E253" s="10"/>
      <c r="F253" s="11"/>
      <c r="G253" s="9"/>
    </row>
    <row r="254" customFormat="false" ht="15" hidden="false" customHeight="true" outlineLevel="0" collapsed="false">
      <c r="A254" s="8"/>
      <c r="B254" s="8"/>
      <c r="C254" s="8"/>
      <c r="D254" s="8"/>
      <c r="E254" s="10"/>
      <c r="F254" s="11"/>
      <c r="G254" s="9"/>
    </row>
    <row r="255" customFormat="false" ht="15" hidden="false" customHeight="true" outlineLevel="0" collapsed="false">
      <c r="A255" s="8"/>
      <c r="B255" s="8"/>
      <c r="C255" s="8"/>
      <c r="D255" s="8"/>
      <c r="E255" s="10"/>
      <c r="F255" s="11"/>
      <c r="G255" s="9"/>
    </row>
    <row r="256" customFormat="false" ht="15" hidden="false" customHeight="true" outlineLevel="0" collapsed="false">
      <c r="A256" s="8"/>
      <c r="B256" s="8"/>
      <c r="C256" s="8"/>
      <c r="D256" s="8"/>
      <c r="E256" s="10"/>
      <c r="F256" s="11"/>
      <c r="G256" s="9"/>
    </row>
    <row r="257" customFormat="false" ht="15" hidden="false" customHeight="true" outlineLevel="0" collapsed="false">
      <c r="A257" s="8"/>
      <c r="B257" s="8"/>
      <c r="C257" s="8"/>
      <c r="D257" s="8"/>
      <c r="E257" s="10"/>
      <c r="F257" s="11"/>
      <c r="G257" s="9"/>
    </row>
    <row r="258" customFormat="false" ht="15" hidden="false" customHeight="true" outlineLevel="0" collapsed="false">
      <c r="A258" s="8"/>
      <c r="B258" s="8"/>
      <c r="C258" s="8"/>
      <c r="D258" s="8"/>
      <c r="E258" s="10"/>
      <c r="F258" s="11"/>
      <c r="G258" s="9"/>
    </row>
    <row r="259" customFormat="false" ht="15" hidden="false" customHeight="true" outlineLevel="0" collapsed="false">
      <c r="A259" s="8"/>
      <c r="B259" s="8"/>
      <c r="C259" s="8"/>
      <c r="D259" s="8"/>
      <c r="E259" s="10"/>
      <c r="F259" s="11"/>
      <c r="G259" s="9"/>
    </row>
    <row r="260" customFormat="false" ht="15" hidden="false" customHeight="true" outlineLevel="0" collapsed="false">
      <c r="A260" s="8"/>
      <c r="B260" s="8"/>
      <c r="C260" s="8"/>
      <c r="D260" s="8"/>
      <c r="E260" s="10"/>
      <c r="F260" s="11"/>
      <c r="G260" s="9"/>
    </row>
    <row r="261" customFormat="false" ht="15" hidden="false" customHeight="true" outlineLevel="0" collapsed="false">
      <c r="A261" s="8"/>
      <c r="B261" s="8"/>
      <c r="C261" s="8"/>
      <c r="D261" s="8"/>
      <c r="E261" s="10"/>
      <c r="F261" s="11"/>
      <c r="G261" s="9"/>
    </row>
    <row r="262" customFormat="false" ht="15" hidden="false" customHeight="true" outlineLevel="0" collapsed="false">
      <c r="A262" s="8"/>
      <c r="B262" s="8"/>
      <c r="C262" s="8"/>
      <c r="D262" s="8"/>
      <c r="E262" s="10"/>
      <c r="F262" s="11"/>
      <c r="G262" s="9"/>
    </row>
    <row r="263" customFormat="false" ht="15" hidden="false" customHeight="true" outlineLevel="0" collapsed="false">
      <c r="A263" s="8"/>
      <c r="B263" s="8"/>
      <c r="C263" s="8"/>
      <c r="D263" s="8"/>
      <c r="E263" s="10"/>
      <c r="F263" s="11"/>
      <c r="G263" s="9"/>
    </row>
    <row r="264" customFormat="false" ht="15" hidden="false" customHeight="true" outlineLevel="0" collapsed="false">
      <c r="A264" s="8"/>
      <c r="B264" s="8"/>
      <c r="C264" s="8"/>
      <c r="D264" s="8"/>
      <c r="E264" s="10"/>
      <c r="F264" s="11"/>
      <c r="G264" s="9"/>
    </row>
    <row r="265" customFormat="false" ht="15" hidden="false" customHeight="true" outlineLevel="0" collapsed="false">
      <c r="A265" s="8"/>
      <c r="B265" s="8"/>
      <c r="C265" s="8"/>
      <c r="D265" s="8"/>
      <c r="E265" s="10"/>
      <c r="F265" s="11"/>
      <c r="G265" s="9"/>
    </row>
    <row r="266" customFormat="false" ht="15" hidden="false" customHeight="true" outlineLevel="0" collapsed="false">
      <c r="A266" s="8"/>
      <c r="B266" s="8"/>
      <c r="C266" s="8"/>
      <c r="D266" s="8"/>
      <c r="E266" s="10"/>
      <c r="F266" s="11"/>
      <c r="G266" s="9"/>
    </row>
    <row r="267" customFormat="false" ht="15" hidden="false" customHeight="true" outlineLevel="0" collapsed="false">
      <c r="A267" s="8"/>
      <c r="B267" s="8"/>
      <c r="C267" s="8"/>
      <c r="D267" s="8"/>
      <c r="E267" s="10"/>
      <c r="F267" s="11"/>
      <c r="G267" s="9"/>
    </row>
    <row r="268" customFormat="false" ht="15" hidden="false" customHeight="true" outlineLevel="0" collapsed="false">
      <c r="A268" s="8"/>
      <c r="B268" s="8"/>
      <c r="C268" s="8"/>
      <c r="D268" s="8"/>
      <c r="E268" s="10"/>
      <c r="F268" s="11"/>
      <c r="G268" s="9"/>
    </row>
    <row r="269" customFormat="false" ht="15" hidden="false" customHeight="true" outlineLevel="0" collapsed="false">
      <c r="A269" s="8"/>
      <c r="B269" s="8"/>
      <c r="C269" s="8"/>
      <c r="D269" s="8"/>
      <c r="E269" s="10"/>
      <c r="F269" s="11"/>
      <c r="G269" s="9"/>
    </row>
    <row r="270" customFormat="false" ht="15" hidden="false" customHeight="true" outlineLevel="0" collapsed="false">
      <c r="A270" s="8"/>
      <c r="B270" s="8"/>
      <c r="C270" s="8"/>
      <c r="D270" s="8"/>
      <c r="E270" s="10"/>
      <c r="F270" s="11"/>
      <c r="G270" s="9"/>
    </row>
    <row r="271" customFormat="false" ht="15" hidden="false" customHeight="true" outlineLevel="0" collapsed="false">
      <c r="A271" s="8"/>
      <c r="B271" s="8"/>
      <c r="C271" s="8"/>
      <c r="D271" s="8"/>
      <c r="E271" s="10"/>
      <c r="F271" s="11"/>
      <c r="G271" s="9"/>
    </row>
    <row r="272" customFormat="false" ht="15" hidden="false" customHeight="true" outlineLevel="0" collapsed="false">
      <c r="A272" s="8"/>
      <c r="B272" s="8"/>
      <c r="C272" s="8"/>
      <c r="D272" s="8"/>
      <c r="E272" s="10"/>
      <c r="F272" s="11"/>
      <c r="G272" s="9"/>
    </row>
    <row r="273" customFormat="false" ht="15" hidden="false" customHeight="true" outlineLevel="0" collapsed="false">
      <c r="A273" s="8"/>
      <c r="B273" s="8"/>
      <c r="C273" s="8"/>
      <c r="D273" s="8"/>
      <c r="E273" s="10"/>
      <c r="F273" s="11"/>
      <c r="G273" s="9"/>
    </row>
    <row r="274" customFormat="false" ht="15" hidden="false" customHeight="true" outlineLevel="0" collapsed="false">
      <c r="A274" s="8"/>
      <c r="B274" s="8"/>
      <c r="C274" s="8"/>
      <c r="D274" s="8"/>
      <c r="E274" s="10"/>
      <c r="F274" s="11"/>
      <c r="G274" s="9"/>
    </row>
    <row r="275" customFormat="false" ht="15" hidden="false" customHeight="true" outlineLevel="0" collapsed="false">
      <c r="A275" s="8"/>
      <c r="B275" s="8"/>
      <c r="C275" s="8"/>
      <c r="D275" s="8"/>
      <c r="E275" s="10"/>
      <c r="F275" s="11"/>
      <c r="G275" s="9"/>
    </row>
    <row r="276" customFormat="false" ht="15" hidden="false" customHeight="true" outlineLevel="0" collapsed="false">
      <c r="A276" s="8"/>
      <c r="B276" s="8"/>
      <c r="C276" s="8"/>
      <c r="D276" s="8"/>
      <c r="E276" s="10"/>
      <c r="F276" s="11"/>
      <c r="G276" s="9"/>
    </row>
    <row r="277" customFormat="false" ht="15" hidden="false" customHeight="true" outlineLevel="0" collapsed="false">
      <c r="A277" s="8"/>
      <c r="B277" s="8"/>
      <c r="C277" s="8"/>
      <c r="D277" s="8"/>
      <c r="E277" s="10"/>
      <c r="F277" s="11"/>
      <c r="G277" s="9"/>
    </row>
    <row r="278" customFormat="false" ht="15" hidden="false" customHeight="true" outlineLevel="0" collapsed="false">
      <c r="A278" s="8"/>
      <c r="B278" s="8"/>
      <c r="C278" s="8"/>
      <c r="D278" s="8"/>
      <c r="E278" s="10"/>
      <c r="F278" s="11"/>
      <c r="G278" s="9"/>
    </row>
    <row r="279" customFormat="false" ht="15" hidden="false" customHeight="true" outlineLevel="0" collapsed="false">
      <c r="A279" s="8"/>
      <c r="B279" s="8"/>
      <c r="C279" s="8"/>
      <c r="D279" s="8"/>
      <c r="E279" s="10"/>
      <c r="F279" s="11"/>
      <c r="G279" s="9"/>
    </row>
    <row r="280" customFormat="false" ht="15" hidden="false" customHeight="true" outlineLevel="0" collapsed="false">
      <c r="A280" s="8"/>
      <c r="B280" s="8"/>
      <c r="C280" s="8"/>
      <c r="D280" s="8"/>
      <c r="E280" s="10"/>
      <c r="F280" s="11"/>
      <c r="G280" s="9"/>
    </row>
    <row r="281" customFormat="false" ht="15" hidden="false" customHeight="true" outlineLevel="0" collapsed="false">
      <c r="A281" s="8"/>
      <c r="B281" s="8"/>
      <c r="C281" s="8"/>
      <c r="D281" s="8"/>
      <c r="E281" s="10"/>
      <c r="F281" s="11"/>
      <c r="G281" s="9"/>
    </row>
    <row r="282" customFormat="false" ht="15" hidden="false" customHeight="true" outlineLevel="0" collapsed="false">
      <c r="A282" s="8"/>
      <c r="B282" s="8"/>
      <c r="C282" s="8"/>
      <c r="D282" s="8"/>
      <c r="E282" s="10"/>
      <c r="F282" s="11"/>
      <c r="G282" s="9"/>
    </row>
    <row r="283" customFormat="false" ht="15" hidden="false" customHeight="true" outlineLevel="0" collapsed="false">
      <c r="A283" s="8"/>
      <c r="B283" s="8"/>
      <c r="C283" s="8"/>
      <c r="D283" s="8"/>
      <c r="E283" s="10"/>
      <c r="F283" s="11"/>
      <c r="G283" s="9"/>
    </row>
    <row r="284" customFormat="false" ht="15" hidden="false" customHeight="true" outlineLevel="0" collapsed="false">
      <c r="A284" s="8"/>
      <c r="B284" s="8"/>
      <c r="C284" s="8"/>
      <c r="D284" s="8"/>
      <c r="E284" s="10"/>
      <c r="F284" s="11"/>
      <c r="G284" s="9"/>
    </row>
    <row r="285" customFormat="false" ht="15" hidden="false" customHeight="true" outlineLevel="0" collapsed="false">
      <c r="A285" s="8"/>
      <c r="B285" s="8"/>
      <c r="C285" s="8"/>
      <c r="D285" s="8"/>
      <c r="E285" s="10"/>
      <c r="F285" s="11"/>
      <c r="G285" s="9"/>
    </row>
    <row r="286" customFormat="false" ht="15" hidden="false" customHeight="true" outlineLevel="0" collapsed="false">
      <c r="A286" s="8"/>
      <c r="B286" s="8"/>
      <c r="C286" s="8"/>
      <c r="D286" s="8"/>
      <c r="E286" s="10"/>
      <c r="F286" s="11"/>
      <c r="G286" s="9"/>
    </row>
    <row r="287" customFormat="false" ht="15" hidden="false" customHeight="true" outlineLevel="0" collapsed="false">
      <c r="A287" s="8"/>
      <c r="B287" s="8"/>
      <c r="C287" s="8"/>
      <c r="D287" s="8"/>
      <c r="E287" s="10"/>
      <c r="F287" s="11"/>
      <c r="G287" s="9"/>
    </row>
    <row r="288" customFormat="false" ht="15" hidden="false" customHeight="true" outlineLevel="0" collapsed="false">
      <c r="A288" s="8"/>
      <c r="B288" s="8"/>
      <c r="C288" s="8"/>
      <c r="D288" s="8"/>
      <c r="E288" s="10"/>
      <c r="F288" s="11"/>
      <c r="G288" s="9"/>
    </row>
    <row r="289" customFormat="false" ht="15" hidden="false" customHeight="true" outlineLevel="0" collapsed="false">
      <c r="A289" s="8"/>
      <c r="B289" s="8"/>
      <c r="C289" s="8"/>
      <c r="D289" s="8"/>
      <c r="E289" s="10"/>
      <c r="F289" s="11"/>
      <c r="G289" s="9"/>
    </row>
    <row r="290" customFormat="false" ht="15" hidden="false" customHeight="true" outlineLevel="0" collapsed="false">
      <c r="A290" s="8"/>
      <c r="B290" s="8"/>
      <c r="C290" s="8"/>
      <c r="D290" s="8"/>
      <c r="E290" s="10"/>
      <c r="F290" s="11"/>
      <c r="G290" s="9"/>
    </row>
    <row r="291" customFormat="false" ht="15" hidden="false" customHeight="true" outlineLevel="0" collapsed="false">
      <c r="A291" s="8"/>
      <c r="B291" s="8"/>
      <c r="C291" s="8"/>
      <c r="D291" s="8"/>
      <c r="E291" s="10"/>
      <c r="F291" s="11"/>
      <c r="G291" s="9"/>
    </row>
    <row r="292" customFormat="false" ht="15" hidden="false" customHeight="true" outlineLevel="0" collapsed="false">
      <c r="A292" s="8"/>
      <c r="B292" s="8"/>
      <c r="C292" s="8"/>
      <c r="D292" s="8"/>
      <c r="E292" s="10"/>
      <c r="F292" s="11"/>
      <c r="G292" s="9"/>
    </row>
    <row r="293" customFormat="false" ht="15" hidden="false" customHeight="true" outlineLevel="0" collapsed="false">
      <c r="A293" s="8"/>
      <c r="B293" s="8"/>
      <c r="C293" s="8"/>
      <c r="D293" s="8"/>
      <c r="E293" s="10"/>
      <c r="F293" s="11"/>
      <c r="G293" s="9"/>
    </row>
    <row r="294" customFormat="false" ht="15" hidden="false" customHeight="true" outlineLevel="0" collapsed="false">
      <c r="A294" s="8"/>
      <c r="B294" s="8"/>
      <c r="C294" s="8"/>
      <c r="D294" s="8"/>
      <c r="E294" s="10"/>
      <c r="F294" s="11"/>
      <c r="G294" s="9"/>
    </row>
    <row r="295" customFormat="false" ht="15" hidden="false" customHeight="true" outlineLevel="0" collapsed="false">
      <c r="A295" s="8"/>
      <c r="B295" s="8"/>
      <c r="C295" s="8"/>
      <c r="D295" s="8"/>
      <c r="E295" s="10"/>
      <c r="F295" s="11"/>
      <c r="G295" s="9"/>
    </row>
    <row r="296" customFormat="false" ht="15" hidden="false" customHeight="true" outlineLevel="0" collapsed="false">
      <c r="A296" s="8"/>
      <c r="B296" s="8"/>
      <c r="C296" s="8"/>
      <c r="D296" s="8"/>
      <c r="E296" s="10"/>
      <c r="F296" s="11"/>
      <c r="G296" s="9"/>
    </row>
    <row r="297" customFormat="false" ht="15" hidden="false" customHeight="true" outlineLevel="0" collapsed="false">
      <c r="A297" s="8"/>
      <c r="B297" s="8"/>
      <c r="C297" s="8"/>
      <c r="D297" s="8"/>
      <c r="E297" s="10"/>
      <c r="F297" s="11"/>
      <c r="G297" s="9"/>
    </row>
    <row r="298" customFormat="false" ht="15" hidden="false" customHeight="true" outlineLevel="0" collapsed="false">
      <c r="A298" s="8"/>
      <c r="B298" s="8"/>
      <c r="C298" s="8"/>
      <c r="D298" s="8"/>
      <c r="E298" s="10"/>
      <c r="F298" s="11"/>
      <c r="G298" s="9"/>
    </row>
    <row r="299" customFormat="false" ht="15" hidden="false" customHeight="true" outlineLevel="0" collapsed="false">
      <c r="A299" s="8"/>
      <c r="B299" s="8"/>
      <c r="C299" s="8"/>
      <c r="D299" s="8"/>
      <c r="E299" s="10"/>
      <c r="F299" s="11"/>
      <c r="G299" s="9"/>
    </row>
    <row r="300" customFormat="false" ht="15" hidden="false" customHeight="true" outlineLevel="0" collapsed="false">
      <c r="A300" s="8"/>
      <c r="B300" s="8"/>
      <c r="C300" s="8"/>
      <c r="D300" s="8"/>
      <c r="E300" s="10"/>
      <c r="F300" s="11"/>
      <c r="G300" s="9"/>
    </row>
    <row r="301" customFormat="false" ht="15" hidden="false" customHeight="true" outlineLevel="0" collapsed="false">
      <c r="A301" s="8"/>
      <c r="B301" s="8"/>
      <c r="C301" s="8"/>
      <c r="D301" s="8"/>
      <c r="E301" s="10"/>
      <c r="F301" s="11"/>
      <c r="G301" s="9"/>
    </row>
    <row r="302" customFormat="false" ht="15" hidden="false" customHeight="true" outlineLevel="0" collapsed="false">
      <c r="A302" s="8"/>
      <c r="B302" s="8"/>
      <c r="C302" s="8"/>
      <c r="D302" s="8"/>
      <c r="E302" s="10"/>
      <c r="F302" s="11"/>
      <c r="G302" s="9"/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G3:G302" type="list">
      <formula1>"재직,휴직,퇴사"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22"/>
    <col collapsed="false" customWidth="true" hidden="false" outlineLevel="0" max="12" min="11" style="1" width="15"/>
  </cols>
  <sheetData>
    <row r="1" customFormat="false" ht="25.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7" t="s">
        <v>44</v>
      </c>
      <c r="B2" s="7" t="s">
        <v>24</v>
      </c>
      <c r="C2" s="12" t="s">
        <v>45</v>
      </c>
      <c r="D2" s="12" t="s">
        <v>46</v>
      </c>
      <c r="E2" s="7" t="s">
        <v>47</v>
      </c>
      <c r="F2" s="7" t="s">
        <v>48</v>
      </c>
      <c r="G2" s="7" t="s">
        <v>49</v>
      </c>
      <c r="H2" s="12" t="s">
        <v>50</v>
      </c>
      <c r="I2" s="7" t="s">
        <v>51</v>
      </c>
      <c r="J2" s="7" t="s">
        <v>52</v>
      </c>
      <c r="K2" s="12" t="s">
        <v>53</v>
      </c>
      <c r="L2" s="12" t="s">
        <v>54</v>
      </c>
    </row>
    <row r="3" customFormat="false" ht="15" hidden="false" customHeight="true" outlineLevel="0" collapsed="false">
      <c r="A3" s="10" t="n">
        <v>46266</v>
      </c>
      <c r="B3" s="8" t="inlineStr">
        <is>
          <t>E001</t>
        </is>
      </c>
      <c r="C3" s="13" t="str">
        <f aca="false">IF($B3="","",IFERROR(INDEX(직원목록!$B$3:$B$302,MATCH($B3,직원목록!$A$3:$A$302,0)),"미등록사번"))</f>
        <v>김직원</v>
      </c>
      <c r="D3" s="13" t="str">
        <f aca="false">IF($B3="","",IFERROR(INDEX(직원목록!$C$3:$C$302,MATCH($B3,직원목록!$A$3:$A$302,0)),""))</f>
        <v>생산1팀</v>
      </c>
      <c r="E3" s="14" t="n">
        <v>900</v>
      </c>
      <c r="F3" s="14" t="n">
        <v>1800</v>
      </c>
      <c r="G3" s="15" t="n">
        <v>60</v>
      </c>
      <c r="H3" s="16" t="n">
        <f aca="false">IF(OR($K3="",$L3=""),"",ROUND(MAX(0,($L3-$K3)-IF($G3="",0,$G3))/60,2))</f>
        <v>8</v>
      </c>
      <c r="I3" s="8" t="inlineStr">
        <is>
          <t>평일</t>
        </is>
      </c>
      <c r="J3" s="8" t="inlineStr">
        <is>
          <t>← 예시 행입니다. 지우고 쓰세요.</t>
        </is>
      </c>
      <c r="K3" s="17" t="n">
        <f aca="false">IF($E3="","",IF($E3&lt;1,ROUND($E3*1440,0),INT($E3/100)*60+MOD($E3,100)))</f>
        <v>540</v>
      </c>
      <c r="L3" s="17" t="n">
        <f aca="false">IF($F3="","",IF($F3&lt;1,ROUND($F3*1440,0),INT($F3/100)*60+MOD($F3,100)))</f>
        <v>1080</v>
      </c>
    </row>
    <row r="4" customFormat="false" ht="15" hidden="false" customHeight="true" outlineLevel="0" collapsed="false">
      <c r="A4" s="10" t="n">
        <v>46266</v>
      </c>
      <c r="B4" s="8" t="inlineStr">
        <is>
          <t>E002</t>
        </is>
      </c>
      <c r="C4" s="13" t="str">
        <f aca="false">IF($B4="","",IFERROR(INDEX(직원목록!$B$3:$B$302,MATCH($B4,직원목록!$A$3:$A$302,0)),"미등록사번"))</f>
        <v>이직원</v>
      </c>
      <c r="D4" s="13" t="str">
        <f aca="false">IF($B4="","",IFERROR(INDEX(직원목록!$C$3:$C$302,MATCH($B4,직원목록!$A$3:$A$302,0)),""))</f>
        <v>생산1팀</v>
      </c>
      <c r="E4" s="14" t="n">
        <v>900</v>
      </c>
      <c r="F4" s="14" t="n">
        <v>1800</v>
      </c>
      <c r="G4" s="15" t="n">
        <v>60</v>
      </c>
      <c r="H4" s="16" t="n">
        <f aca="false">IF(OR($K4="",$L4=""),"",ROUND(MAX(0,($L4-$K4)-IF($G4="",0,$G4))/60,2))</f>
        <v>8</v>
      </c>
      <c r="I4" s="8" t="inlineStr">
        <is>
          <t>평일</t>
        </is>
      </c>
      <c r="J4" s="8"/>
      <c r="K4" s="17" t="n">
        <f aca="false">IF($E4="","",IF($E4&lt;1,ROUND($E4*1440,0),INT($E4/100)*60+MOD($E4,100)))</f>
        <v>540</v>
      </c>
      <c r="L4" s="17" t="n">
        <f aca="false">IF($F4="","",IF($F4&lt;1,ROUND($F4*1440,0),INT($F4/100)*60+MOD($F4,100)))</f>
        <v>1080</v>
      </c>
    </row>
    <row r="5" customFormat="false" ht="15" hidden="false" customHeight="true" outlineLevel="0" collapsed="false">
      <c r="A5" s="10" t="n">
        <v>46266</v>
      </c>
      <c r="B5" s="8" t="inlineStr">
        <is>
          <t>E003</t>
        </is>
      </c>
      <c r="C5" s="13" t="str">
        <f aca="false">IF($B5="","",IFERROR(INDEX(직원목록!$B$3:$B$302,MATCH($B5,직원목록!$A$3:$A$302,0)),"미등록사번"))</f>
        <v>박직원</v>
      </c>
      <c r="D5" s="13" t="str">
        <f aca="false">IF($B5="","",IFERROR(INDEX(직원목록!$C$3:$C$302,MATCH($B5,직원목록!$A$3:$A$302,0)),""))</f>
        <v>관리팀</v>
      </c>
      <c r="E5" s="14" t="n">
        <v>850</v>
      </c>
      <c r="F5" s="14" t="n">
        <v>1830</v>
      </c>
      <c r="G5" s="15" t="n">
        <v>60</v>
      </c>
      <c r="H5" s="16" t="n">
        <f aca="false">IF(OR($K5="",$L5=""),"",ROUND(MAX(0,($L5-$K5)-IF($G5="",0,$G5))/60,2))</f>
        <v>8.67</v>
      </c>
      <c r="I5" s="8" t="inlineStr">
        <is>
          <t>평일</t>
        </is>
      </c>
      <c r="J5" s="8"/>
      <c r="K5" s="17" t="n">
        <f aca="false">IF($E5="","",IF($E5&lt;1,ROUND($E5*1440,0),INT($E5/100)*60+MOD($E5,100)))</f>
        <v>530</v>
      </c>
      <c r="L5" s="17" t="n">
        <f aca="false">IF($F5="","",IF($F5&lt;1,ROUND($F5*1440,0),INT($F5/100)*60+MOD($F5,100)))</f>
        <v>1110</v>
      </c>
    </row>
    <row r="6" customFormat="false" ht="15" hidden="false" customHeight="true" outlineLevel="0" collapsed="false">
      <c r="A6" s="10" t="n">
        <v>46267</v>
      </c>
      <c r="B6" s="8" t="inlineStr">
        <is>
          <t>E001</t>
        </is>
      </c>
      <c r="C6" s="13" t="str">
        <f aca="false">IF($B6="","",IFERROR(INDEX(직원목록!$B$3:$B$302,MATCH($B6,직원목록!$A$3:$A$302,0)),"미등록사번"))</f>
        <v>김직원</v>
      </c>
      <c r="D6" s="13" t="str">
        <f aca="false">IF($B6="","",IFERROR(INDEX(직원목록!$C$3:$C$302,MATCH($B6,직원목록!$A$3:$A$302,0)),""))</f>
        <v>생산1팀</v>
      </c>
      <c r="E6" s="14" t="n">
        <v>900</v>
      </c>
      <c r="F6" s="14" t="n">
        <v>1930</v>
      </c>
      <c r="G6" s="15" t="n">
        <v>60</v>
      </c>
      <c r="H6" s="16" t="n">
        <f aca="false">IF(OR($K6="",$L6=""),"",ROUND(MAX(0,($L6-$K6)-IF($G6="",0,$G6))/60,2))</f>
        <v>9.5</v>
      </c>
      <c r="I6" s="8" t="inlineStr">
        <is>
          <t>평일</t>
        </is>
      </c>
      <c r="J6" s="8"/>
      <c r="K6" s="17" t="n">
        <f aca="false">IF($E6="","",IF($E6&lt;1,ROUND($E6*1440,0),INT($E6/100)*60+MOD($E6,100)))</f>
        <v>540</v>
      </c>
      <c r="L6" s="17" t="n">
        <f aca="false">IF($F6="","",IF($F6&lt;1,ROUND($F6*1440,0),INT($F6/100)*60+MOD($F6,100)))</f>
        <v>1170</v>
      </c>
    </row>
    <row r="7" customFormat="false" ht="15" hidden="false" customHeight="true" outlineLevel="0" collapsed="false">
      <c r="A7" s="10" t="n">
        <v>46267</v>
      </c>
      <c r="B7" s="8" t="inlineStr">
        <is>
          <t>E002</t>
        </is>
      </c>
      <c r="C7" s="13" t="str">
        <f aca="false">IF($B7="","",IFERROR(INDEX(직원목록!$B$3:$B$302,MATCH($B7,직원목록!$A$3:$A$302,0)),"미등록사번"))</f>
        <v>이직원</v>
      </c>
      <c r="D7" s="13" t="str">
        <f aca="false">IF($B7="","",IFERROR(INDEX(직원목록!$C$3:$C$302,MATCH($B7,직원목록!$A$3:$A$302,0)),""))</f>
        <v>생산1팀</v>
      </c>
      <c r="E7" s="14" t="n">
        <v>900</v>
      </c>
      <c r="F7" s="14" t="n">
        <v>1800</v>
      </c>
      <c r="G7" s="15" t="n">
        <v>60</v>
      </c>
      <c r="H7" s="16" t="n">
        <f aca="false">IF(OR($K7="",$L7=""),"",ROUND(MAX(0,($L7-$K7)-IF($G7="",0,$G7))/60,2))</f>
        <v>8</v>
      </c>
      <c r="I7" s="8" t="inlineStr">
        <is>
          <t>평일</t>
        </is>
      </c>
      <c r="J7" s="8"/>
      <c r="K7" s="17" t="n">
        <f aca="false">IF($E7="","",IF($E7&lt;1,ROUND($E7*1440,0),INT($E7/100)*60+MOD($E7,100)))</f>
        <v>540</v>
      </c>
      <c r="L7" s="17" t="n">
        <f aca="false">IF($F7="","",IF($F7&lt;1,ROUND($F7*1440,0),INT($F7/100)*60+MOD($F7,100)))</f>
        <v>1080</v>
      </c>
    </row>
    <row r="8" customFormat="false" ht="15" hidden="false" customHeight="true" outlineLevel="0" collapsed="false">
      <c r="A8" s="10" t="n">
        <v>46267</v>
      </c>
      <c r="B8" s="8" t="inlineStr">
        <is>
          <t>E003</t>
        </is>
      </c>
      <c r="C8" s="13" t="str">
        <f aca="false">IF($B8="","",IFERROR(INDEX(직원목록!$B$3:$B$302,MATCH($B8,직원목록!$A$3:$A$302,0)),"미등록사번"))</f>
        <v>박직원</v>
      </c>
      <c r="D8" s="13" t="str">
        <f aca="false">IF($B8="","",IFERROR(INDEX(직원목록!$C$3:$C$302,MATCH($B8,직원목록!$A$3:$A$302,0)),""))</f>
        <v>관리팀</v>
      </c>
      <c r="E8" s="14" t="n">
        <v>900</v>
      </c>
      <c r="F8" s="14" t="n">
        <v>1800</v>
      </c>
      <c r="G8" s="15" t="n">
        <v>60</v>
      </c>
      <c r="H8" s="16" t="n">
        <f aca="false">IF(OR($K8="",$L8=""),"",ROUND(MAX(0,($L8-$K8)-IF($G8="",0,$G8))/60,2))</f>
        <v>8</v>
      </c>
      <c r="I8" s="8" t="inlineStr">
        <is>
          <t>평일</t>
        </is>
      </c>
      <c r="J8" s="8"/>
      <c r="K8" s="17" t="n">
        <f aca="false">IF($E8="","",IF($E8&lt;1,ROUND($E8*1440,0),INT($E8/100)*60+MOD($E8,100)))</f>
        <v>540</v>
      </c>
      <c r="L8" s="17" t="n">
        <f aca="false">IF($F8="","",IF($F8&lt;1,ROUND($F8*1440,0),INT($F8/100)*60+MOD($F8,100)))</f>
        <v>1080</v>
      </c>
    </row>
    <row r="9" customFormat="false" ht="15" hidden="false" customHeight="true" outlineLevel="0" collapsed="false">
      <c r="A9" s="10" t="n">
        <v>46268</v>
      </c>
      <c r="B9" s="8" t="inlineStr">
        <is>
          <t>E001</t>
        </is>
      </c>
      <c r="C9" s="13" t="str">
        <f aca="false">IF($B9="","",IFERROR(INDEX(직원목록!$B$3:$B$302,MATCH($B9,직원목록!$A$3:$A$302,0)),"미등록사번"))</f>
        <v>김직원</v>
      </c>
      <c r="D9" s="13" t="str">
        <f aca="false">IF($B9="","",IFERROR(INDEX(직원목록!$C$3:$C$302,MATCH($B9,직원목록!$A$3:$A$302,0)),""))</f>
        <v>생산1팀</v>
      </c>
      <c r="E9" s="14" t="n">
        <v>900</v>
      </c>
      <c r="F9" s="14" t="n">
        <v>2030</v>
      </c>
      <c r="G9" s="15" t="n">
        <v>60</v>
      </c>
      <c r="H9" s="16" t="n">
        <f aca="false">IF(OR($K9="",$L9=""),"",ROUND(MAX(0,($L9-$K9)-IF($G9="",0,$G9))/60,2))</f>
        <v>10.5</v>
      </c>
      <c r="I9" s="8" t="inlineStr">
        <is>
          <t>평일</t>
        </is>
      </c>
      <c r="J9" s="8"/>
      <c r="K9" s="17" t="n">
        <f aca="false">IF($E9="","",IF($E9&lt;1,ROUND($E9*1440,0),INT($E9/100)*60+MOD($E9,100)))</f>
        <v>540</v>
      </c>
      <c r="L9" s="17" t="n">
        <f aca="false">IF($F9="","",IF($F9&lt;1,ROUND($F9*1440,0),INT($F9/100)*60+MOD($F9,100)))</f>
        <v>1230</v>
      </c>
    </row>
    <row r="10" customFormat="false" ht="15" hidden="false" customHeight="true" outlineLevel="0" collapsed="false">
      <c r="A10" s="10" t="n">
        <v>46268</v>
      </c>
      <c r="B10" s="8" t="inlineStr">
        <is>
          <t>E002</t>
        </is>
      </c>
      <c r="C10" s="13" t="str">
        <f aca="false">IF($B10="","",IFERROR(INDEX(직원목록!$B$3:$B$302,MATCH($B10,직원목록!$A$3:$A$302,0)),"미등록사번"))</f>
        <v>이직원</v>
      </c>
      <c r="D10" s="13" t="str">
        <f aca="false">IF($B10="","",IFERROR(INDEX(직원목록!$C$3:$C$302,MATCH($B10,직원목록!$A$3:$A$302,0)),""))</f>
        <v>생산1팀</v>
      </c>
      <c r="E10" s="14"/>
      <c r="F10" s="14"/>
      <c r="G10" s="15"/>
      <c r="H10" s="16" t="str">
        <f aca="false">IF(OR($K10="",$L10=""),"",ROUND(MAX(0,($L10-$K10)-IF($G10="",0,$G10))/60,2))</f>
        <v/>
      </c>
      <c r="I10" s="8" t="inlineStr">
        <is>
          <t>연차</t>
        </is>
      </c>
      <c r="J10" s="8"/>
      <c r="K10" s="17" t="str">
        <f aca="false">IF($E10="","",IF($E10&lt;1,ROUND($E10*1440,0),INT($E10/100)*60+MOD($E10,100)))</f>
        <v/>
      </c>
      <c r="L10" s="17" t="str">
        <f aca="false">IF($F10="","",IF($F10&lt;1,ROUND($F10*1440,0),INT($F10/100)*60+MOD($F10,100)))</f>
        <v/>
      </c>
    </row>
    <row r="11" customFormat="false" ht="15" hidden="false" customHeight="true" outlineLevel="0" collapsed="false">
      <c r="A11" s="10" t="n">
        <v>46269</v>
      </c>
      <c r="B11" s="8" t="inlineStr">
        <is>
          <t>E001</t>
        </is>
      </c>
      <c r="C11" s="13" t="str">
        <f aca="false">IF($B11="","",IFERROR(INDEX(직원목록!$B$3:$B$302,MATCH($B11,직원목록!$A$3:$A$302,0)),"미등록사번"))</f>
        <v>김직원</v>
      </c>
      <c r="D11" s="13" t="str">
        <f aca="false">IF($B11="","",IFERROR(INDEX(직원목록!$C$3:$C$302,MATCH($B11,직원목록!$A$3:$A$302,0)),""))</f>
        <v>생산1팀</v>
      </c>
      <c r="E11" s="14" t="n">
        <v>900</v>
      </c>
      <c r="F11" s="14" t="n">
        <v>1800</v>
      </c>
      <c r="G11" s="15" t="n">
        <v>60</v>
      </c>
      <c r="H11" s="16" t="n">
        <f aca="false">IF(OR($K11="",$L11=""),"",ROUND(MAX(0,($L11-$K11)-IF($G11="",0,$G11))/60,2))</f>
        <v>8</v>
      </c>
      <c r="I11" s="8" t="inlineStr">
        <is>
          <t>평일</t>
        </is>
      </c>
      <c r="J11" s="8"/>
      <c r="K11" s="17" t="n">
        <f aca="false">IF($E11="","",IF($E11&lt;1,ROUND($E11*1440,0),INT($E11/100)*60+MOD($E11,100)))</f>
        <v>540</v>
      </c>
      <c r="L11" s="17" t="n">
        <f aca="false">IF($F11="","",IF($F11&lt;1,ROUND($F11*1440,0),INT($F11/100)*60+MOD($F11,100)))</f>
        <v>1080</v>
      </c>
    </row>
    <row r="12" customFormat="false" ht="15" hidden="false" customHeight="true" outlineLevel="0" collapsed="false">
      <c r="A12" s="10" t="n">
        <v>46272</v>
      </c>
      <c r="B12" s="8" t="inlineStr">
        <is>
          <t>E001</t>
        </is>
      </c>
      <c r="C12" s="13" t="str">
        <f aca="false">IF($B12="","",IFERROR(INDEX(직원목록!$B$3:$B$302,MATCH($B12,직원목록!$A$3:$A$302,0)),"미등록사번"))</f>
        <v>김직원</v>
      </c>
      <c r="D12" s="13" t="str">
        <f aca="false">IF($B12="","",IFERROR(INDEX(직원목록!$C$3:$C$302,MATCH($B12,직원목록!$A$3:$A$302,0)),""))</f>
        <v>생산1팀</v>
      </c>
      <c r="E12" s="14" t="n">
        <v>900</v>
      </c>
      <c r="F12" s="14" t="n">
        <v>1800</v>
      </c>
      <c r="G12" s="15" t="n">
        <v>60</v>
      </c>
      <c r="H12" s="16" t="n">
        <f aca="false">IF(OR($K12="",$L12=""),"",ROUND(MAX(0,($L12-$K12)-IF($G12="",0,$G12))/60,2))</f>
        <v>8</v>
      </c>
      <c r="I12" s="8" t="inlineStr">
        <is>
          <t>평일</t>
        </is>
      </c>
      <c r="J12" s="8"/>
      <c r="K12" s="17" t="n">
        <f aca="false">IF($E12="","",IF($E12&lt;1,ROUND($E12*1440,0),INT($E12/100)*60+MOD($E12,100)))</f>
        <v>540</v>
      </c>
      <c r="L12" s="17" t="n">
        <f aca="false">IF($F12="","",IF($F12&lt;1,ROUND($F12*1440,0),INT($F12/100)*60+MOD($F12,100)))</f>
        <v>1080</v>
      </c>
    </row>
    <row r="13" customFormat="false" ht="15" hidden="false" customHeight="true" outlineLevel="0" collapsed="false">
      <c r="A13" s="10" t="n">
        <v>46273</v>
      </c>
      <c r="B13" s="8" t="inlineStr">
        <is>
          <t>E001</t>
        </is>
      </c>
      <c r="C13" s="13" t="str">
        <f aca="false">IF($B13="","",IFERROR(INDEX(직원목록!$B$3:$B$302,MATCH($B13,직원목록!$A$3:$A$302,0)),"미등록사번"))</f>
        <v>김직원</v>
      </c>
      <c r="D13" s="13" t="str">
        <f aca="false">IF($B13="","",IFERROR(INDEX(직원목록!$C$3:$C$302,MATCH($B13,직원목록!$A$3:$A$302,0)),""))</f>
        <v>생산1팀</v>
      </c>
      <c r="E13" s="14" t="n">
        <v>900</v>
      </c>
      <c r="F13" s="14" t="n">
        <v>1900</v>
      </c>
      <c r="G13" s="15" t="n">
        <v>60</v>
      </c>
      <c r="H13" s="16" t="n">
        <f aca="false">IF(OR($K13="",$L13=""),"",ROUND(MAX(0,($L13-$K13)-IF($G13="",0,$G13))/60,2))</f>
        <v>9</v>
      </c>
      <c r="I13" s="8" t="inlineStr">
        <is>
          <t>평일</t>
        </is>
      </c>
      <c r="J13" s="8"/>
      <c r="K13" s="17" t="n">
        <f aca="false">IF($E13="","",IF($E13&lt;1,ROUND($E13*1440,0),INT($E13/100)*60+MOD($E13,100)))</f>
        <v>540</v>
      </c>
      <c r="L13" s="17" t="n">
        <f aca="false">IF($F13="","",IF($F13&lt;1,ROUND($F13*1440,0),INT($F13/100)*60+MOD($F13,100)))</f>
        <v>1140</v>
      </c>
    </row>
    <row r="14" customFormat="false" ht="15" hidden="false" customHeight="true" outlineLevel="0" collapsed="false">
      <c r="A14" s="10" t="n">
        <v>46274</v>
      </c>
      <c r="B14" s="8" t="inlineStr">
        <is>
          <t>E001</t>
        </is>
      </c>
      <c r="C14" s="13" t="str">
        <f aca="false">IF($B14="","",IFERROR(INDEX(직원목록!$B$3:$B$302,MATCH($B14,직원목록!$A$3:$A$302,0)),"미등록사번"))</f>
        <v>김직원</v>
      </c>
      <c r="D14" s="13" t="str">
        <f aca="false">IF($B14="","",IFERROR(INDEX(직원목록!$C$3:$C$302,MATCH($B14,직원목록!$A$3:$A$302,0)),""))</f>
        <v>생산1팀</v>
      </c>
      <c r="E14" s="14" t="n">
        <v>900</v>
      </c>
      <c r="F14" s="14" t="n">
        <v>1800</v>
      </c>
      <c r="G14" s="15" t="n">
        <v>60</v>
      </c>
      <c r="H14" s="16" t="n">
        <f aca="false">IF(OR($K14="",$L14=""),"",ROUND(MAX(0,($L14-$K14)-IF($G14="",0,$G14))/60,2))</f>
        <v>8</v>
      </c>
      <c r="I14" s="8" t="inlineStr">
        <is>
          <t>평일</t>
        </is>
      </c>
      <c r="J14" s="8"/>
      <c r="K14" s="17" t="n">
        <f aca="false">IF($E14="","",IF($E14&lt;1,ROUND($E14*1440,0),INT($E14/100)*60+MOD($E14,100)))</f>
        <v>540</v>
      </c>
      <c r="L14" s="17" t="n">
        <f aca="false">IF($F14="","",IF($F14&lt;1,ROUND($F14*1440,0),INT($F14/100)*60+MOD($F14,100)))</f>
        <v>1080</v>
      </c>
    </row>
    <row r="15" customFormat="false" ht="15" hidden="false" customHeight="true" outlineLevel="0" collapsed="false">
      <c r="A15" s="10" t="n">
        <v>46275</v>
      </c>
      <c r="B15" s="8" t="inlineStr">
        <is>
          <t>E001</t>
        </is>
      </c>
      <c r="C15" s="13" t="str">
        <f aca="false">IF($B15="","",IFERROR(INDEX(직원목록!$B$3:$B$302,MATCH($B15,직원목록!$A$3:$A$302,0)),"미등록사번"))</f>
        <v>김직원</v>
      </c>
      <c r="D15" s="13" t="str">
        <f aca="false">IF($B15="","",IFERROR(INDEX(직원목록!$C$3:$C$302,MATCH($B15,직원목록!$A$3:$A$302,0)),""))</f>
        <v>생산1팀</v>
      </c>
      <c r="E15" s="14" t="n">
        <v>900</v>
      </c>
      <c r="F15" s="14" t="n">
        <v>1800</v>
      </c>
      <c r="G15" s="15" t="n">
        <v>60</v>
      </c>
      <c r="H15" s="16" t="n">
        <f aca="false">IF(OR($K15="",$L15=""),"",ROUND(MAX(0,($L15-$K15)-IF($G15="",0,$G15))/60,2))</f>
        <v>8</v>
      </c>
      <c r="I15" s="8" t="inlineStr">
        <is>
          <t>평일</t>
        </is>
      </c>
      <c r="J15" s="8"/>
      <c r="K15" s="17" t="n">
        <f aca="false">IF($E15="","",IF($E15&lt;1,ROUND($E15*1440,0),INT($E15/100)*60+MOD($E15,100)))</f>
        <v>540</v>
      </c>
      <c r="L15" s="17" t="n">
        <f aca="false">IF($F15="","",IF($F15&lt;1,ROUND($F15*1440,0),INT($F15/100)*60+MOD($F15,100)))</f>
        <v>1080</v>
      </c>
    </row>
    <row r="16" customFormat="false" ht="15" hidden="false" customHeight="true" outlineLevel="0" collapsed="false">
      <c r="A16" s="10" t="n">
        <v>46276</v>
      </c>
      <c r="B16" s="8" t="inlineStr">
        <is>
          <t>E001</t>
        </is>
      </c>
      <c r="C16" s="13" t="str">
        <f aca="false">IF($B16="","",IFERROR(INDEX(직원목록!$B$3:$B$302,MATCH($B16,직원목록!$A$3:$A$302,0)),"미등록사번"))</f>
        <v>김직원</v>
      </c>
      <c r="D16" s="13" t="str">
        <f aca="false">IF($B16="","",IFERROR(INDEX(직원목록!$C$3:$C$302,MATCH($B16,직원목록!$A$3:$A$302,0)),""))</f>
        <v>생산1팀</v>
      </c>
      <c r="E16" s="14" t="n">
        <v>900</v>
      </c>
      <c r="F16" s="14" t="n">
        <v>1730</v>
      </c>
      <c r="G16" s="15" t="n">
        <v>60</v>
      </c>
      <c r="H16" s="16" t="n">
        <f aca="false">IF(OR($K16="",$L16=""),"",ROUND(MAX(0,($L16-$K16)-IF($G16="",0,$G16))/60,2))</f>
        <v>7.5</v>
      </c>
      <c r="I16" s="8" t="inlineStr">
        <is>
          <t>평일</t>
        </is>
      </c>
      <c r="J16" s="8"/>
      <c r="K16" s="17" t="n">
        <f aca="false">IF($E16="","",IF($E16&lt;1,ROUND($E16*1440,0),INT($E16/100)*60+MOD($E16,100)))</f>
        <v>540</v>
      </c>
      <c r="L16" s="17" t="n">
        <f aca="false">IF($F16="","",IF($F16&lt;1,ROUND($F16*1440,0),INT($F16/100)*60+MOD($F16,100)))</f>
        <v>1050</v>
      </c>
    </row>
    <row r="17" customFormat="false" ht="15" hidden="false" customHeight="true" outlineLevel="0" collapsed="false">
      <c r="A17" s="10" t="n">
        <v>46277</v>
      </c>
      <c r="B17" s="8" t="inlineStr">
        <is>
          <t>E002</t>
        </is>
      </c>
      <c r="C17" s="13" t="str">
        <f aca="false">IF($B17="","",IFERROR(INDEX(직원목록!$B$3:$B$302,MATCH($B17,직원목록!$A$3:$A$302,0)),"미등록사번"))</f>
        <v>이직원</v>
      </c>
      <c r="D17" s="13" t="str">
        <f aca="false">IF($B17="","",IFERROR(INDEX(직원목록!$C$3:$C$302,MATCH($B17,직원목록!$A$3:$A$302,0)),""))</f>
        <v>생산1팀</v>
      </c>
      <c r="E17" s="14" t="n">
        <v>900</v>
      </c>
      <c r="F17" s="14" t="n">
        <v>1500</v>
      </c>
      <c r="G17" s="15" t="n">
        <v>0</v>
      </c>
      <c r="H17" s="16" t="n">
        <f aca="false">IF(OR($K17="",$L17=""),"",ROUND(MAX(0,($L17-$K17)-IF($G17="",0,$G17))/60,2))</f>
        <v>6</v>
      </c>
      <c r="I17" s="8" t="inlineStr">
        <is>
          <t>휴일</t>
        </is>
      </c>
      <c r="J17" s="8"/>
      <c r="K17" s="17" t="n">
        <f aca="false">IF($E17="","",IF($E17&lt;1,ROUND($E17*1440,0),INT($E17/100)*60+MOD($E17,100)))</f>
        <v>540</v>
      </c>
      <c r="L17" s="17" t="n">
        <f aca="false">IF($F17="","",IF($F17&lt;1,ROUND($F17*1440,0),INT($F17/100)*60+MOD($F17,100)))</f>
        <v>900</v>
      </c>
    </row>
    <row r="18" customFormat="false" ht="15" hidden="false" customHeight="true" outlineLevel="0" collapsed="false">
      <c r="A18" s="10"/>
      <c r="B18" s="8"/>
      <c r="C18" s="13" t="str">
        <f aca="false">IF($B18="","",IFERROR(INDEX(직원목록!$B$3:$B$302,MATCH($B18,직원목록!$A$3:$A$302,0)),"미등록사번"))</f>
        <v/>
      </c>
      <c r="D18" s="13" t="str">
        <f aca="false">IF($B18="","",IFERROR(INDEX(직원목록!$C$3:$C$302,MATCH($B18,직원목록!$A$3:$A$302,0)),""))</f>
        <v/>
      </c>
      <c r="E18" s="14"/>
      <c r="F18" s="14"/>
      <c r="G18" s="15"/>
      <c r="H18" s="16" t="str">
        <f aca="false">IF(OR($K18="",$L18=""),"",ROUND(MAX(0,($L18-$K18)-IF($G18="",0,$G18))/60,2))</f>
        <v/>
      </c>
      <c r="I18" s="8"/>
      <c r="J18" s="8"/>
      <c r="K18" s="17" t="str">
        <f aca="false">IF($E18="","",IF($E18&lt;1,ROUND($E18*1440,0),INT($E18/100)*60+MOD($E18,100)))</f>
        <v/>
      </c>
      <c r="L18" s="17" t="str">
        <f aca="false">IF($F18="","",IF($F18&lt;1,ROUND($F18*1440,0),INT($F18/100)*60+MOD($F18,100)))</f>
        <v/>
      </c>
    </row>
    <row r="19" customFormat="false" ht="15" hidden="false" customHeight="true" outlineLevel="0" collapsed="false">
      <c r="A19" s="10"/>
      <c r="B19" s="8"/>
      <c r="C19" s="13" t="str">
        <f aca="false">IF($B19="","",IFERROR(INDEX(직원목록!$B$3:$B$302,MATCH($B19,직원목록!$A$3:$A$302,0)),"미등록사번"))</f>
        <v/>
      </c>
      <c r="D19" s="13" t="str">
        <f aca="false">IF($B19="","",IFERROR(INDEX(직원목록!$C$3:$C$302,MATCH($B19,직원목록!$A$3:$A$302,0)),""))</f>
        <v/>
      </c>
      <c r="E19" s="14"/>
      <c r="F19" s="14"/>
      <c r="G19" s="15"/>
      <c r="H19" s="16" t="str">
        <f aca="false">IF(OR($K19="",$L19=""),"",ROUND(MAX(0,($L19-$K19)-IF($G19="",0,$G19))/60,2))</f>
        <v/>
      </c>
      <c r="I19" s="8"/>
      <c r="J19" s="8"/>
      <c r="K19" s="17" t="str">
        <f aca="false">IF($E19="","",IF($E19&lt;1,ROUND($E19*1440,0),INT($E19/100)*60+MOD($E19,100)))</f>
        <v/>
      </c>
      <c r="L19" s="17" t="str">
        <f aca="false">IF($F19="","",IF($F19&lt;1,ROUND($F19*1440,0),INT($F19/100)*60+MOD($F19,100)))</f>
        <v/>
      </c>
    </row>
    <row r="20" customFormat="false" ht="15" hidden="false" customHeight="true" outlineLevel="0" collapsed="false">
      <c r="A20" s="10"/>
      <c r="B20" s="8"/>
      <c r="C20" s="13" t="str">
        <f aca="false">IF($B20="","",IFERROR(INDEX(직원목록!$B$3:$B$302,MATCH($B20,직원목록!$A$3:$A$302,0)),"미등록사번"))</f>
        <v/>
      </c>
      <c r="D20" s="13" t="str">
        <f aca="false">IF($B20="","",IFERROR(INDEX(직원목록!$C$3:$C$302,MATCH($B20,직원목록!$A$3:$A$302,0)),""))</f>
        <v/>
      </c>
      <c r="E20" s="14"/>
      <c r="F20" s="14"/>
      <c r="G20" s="15"/>
      <c r="H20" s="16" t="str">
        <f aca="false">IF(OR($K20="",$L20=""),"",ROUND(MAX(0,($L20-$K20)-IF($G20="",0,$G20))/60,2))</f>
        <v/>
      </c>
      <c r="I20" s="8"/>
      <c r="J20" s="8"/>
      <c r="K20" s="17" t="str">
        <f aca="false">IF($E20="","",IF($E20&lt;1,ROUND($E20*1440,0),INT($E20/100)*60+MOD($E20,100)))</f>
        <v/>
      </c>
      <c r="L20" s="17" t="str">
        <f aca="false">IF($F20="","",IF($F20&lt;1,ROUND($F20*1440,0),INT($F20/100)*60+MOD($F20,100)))</f>
        <v/>
      </c>
    </row>
    <row r="21" customFormat="false" ht="15" hidden="false" customHeight="true" outlineLevel="0" collapsed="false">
      <c r="A21" s="10"/>
      <c r="B21" s="8"/>
      <c r="C21" s="13" t="str">
        <f aca="false">IF($B21="","",IFERROR(INDEX(직원목록!$B$3:$B$302,MATCH($B21,직원목록!$A$3:$A$302,0)),"미등록사번"))</f>
        <v/>
      </c>
      <c r="D21" s="13" t="str">
        <f aca="false">IF($B21="","",IFERROR(INDEX(직원목록!$C$3:$C$302,MATCH($B21,직원목록!$A$3:$A$302,0)),""))</f>
        <v/>
      </c>
      <c r="E21" s="14"/>
      <c r="F21" s="14"/>
      <c r="G21" s="15"/>
      <c r="H21" s="16" t="str">
        <f aca="false">IF(OR($K21="",$L21=""),"",ROUND(MAX(0,($L21-$K21)-IF($G21="",0,$G21))/60,2))</f>
        <v/>
      </c>
      <c r="I21" s="8"/>
      <c r="J21" s="8"/>
      <c r="K21" s="17" t="str">
        <f aca="false">IF($E21="","",IF($E21&lt;1,ROUND($E21*1440,0),INT($E21/100)*60+MOD($E21,100)))</f>
        <v/>
      </c>
      <c r="L21" s="17" t="str">
        <f aca="false">IF($F21="","",IF($F21&lt;1,ROUND($F21*1440,0),INT($F21/100)*60+MOD($F21,100)))</f>
        <v/>
      </c>
    </row>
    <row r="22" customFormat="false" ht="15" hidden="false" customHeight="true" outlineLevel="0" collapsed="false">
      <c r="A22" s="10"/>
      <c r="B22" s="8"/>
      <c r="C22" s="13" t="str">
        <f aca="false">IF($B22="","",IFERROR(INDEX(직원목록!$B$3:$B$302,MATCH($B22,직원목록!$A$3:$A$302,0)),"미등록사번"))</f>
        <v/>
      </c>
      <c r="D22" s="13" t="str">
        <f aca="false">IF($B22="","",IFERROR(INDEX(직원목록!$C$3:$C$302,MATCH($B22,직원목록!$A$3:$A$302,0)),""))</f>
        <v/>
      </c>
      <c r="E22" s="14"/>
      <c r="F22" s="14"/>
      <c r="G22" s="15"/>
      <c r="H22" s="16" t="str">
        <f aca="false">IF(OR($K22="",$L22=""),"",ROUND(MAX(0,($L22-$K22)-IF($G22="",0,$G22))/60,2))</f>
        <v/>
      </c>
      <c r="I22" s="8"/>
      <c r="J22" s="8"/>
      <c r="K22" s="17" t="str">
        <f aca="false">IF($E22="","",IF($E22&lt;1,ROUND($E22*1440,0),INT($E22/100)*60+MOD($E22,100)))</f>
        <v/>
      </c>
      <c r="L22" s="17" t="str">
        <f aca="false">IF($F22="","",IF($F22&lt;1,ROUND($F22*1440,0),INT($F22/100)*60+MOD($F22,100)))</f>
        <v/>
      </c>
    </row>
    <row r="23" customFormat="false" ht="15" hidden="false" customHeight="true" outlineLevel="0" collapsed="false">
      <c r="A23" s="10"/>
      <c r="B23" s="8"/>
      <c r="C23" s="13" t="str">
        <f aca="false">IF($B23="","",IFERROR(INDEX(직원목록!$B$3:$B$302,MATCH($B23,직원목록!$A$3:$A$302,0)),"미등록사번"))</f>
        <v/>
      </c>
      <c r="D23" s="13" t="str">
        <f aca="false">IF($B23="","",IFERROR(INDEX(직원목록!$C$3:$C$302,MATCH($B23,직원목록!$A$3:$A$302,0)),""))</f>
        <v/>
      </c>
      <c r="E23" s="14"/>
      <c r="F23" s="14"/>
      <c r="G23" s="15"/>
      <c r="H23" s="16" t="str">
        <f aca="false">IF(OR($K23="",$L23=""),"",ROUND(MAX(0,($L23-$K23)-IF($G23="",0,$G23))/60,2))</f>
        <v/>
      </c>
      <c r="I23" s="8"/>
      <c r="J23" s="8"/>
      <c r="K23" s="17" t="str">
        <f aca="false">IF($E23="","",IF($E23&lt;1,ROUND($E23*1440,0),INT($E23/100)*60+MOD($E23,100)))</f>
        <v/>
      </c>
      <c r="L23" s="17" t="str">
        <f aca="false">IF($F23="","",IF($F23&lt;1,ROUND($F23*1440,0),INT($F23/100)*60+MOD($F23,100)))</f>
        <v/>
      </c>
    </row>
    <row r="24" customFormat="false" ht="15" hidden="false" customHeight="true" outlineLevel="0" collapsed="false">
      <c r="A24" s="10"/>
      <c r="B24" s="8"/>
      <c r="C24" s="13" t="str">
        <f aca="false">IF($B24="","",IFERROR(INDEX(직원목록!$B$3:$B$302,MATCH($B24,직원목록!$A$3:$A$302,0)),"미등록사번"))</f>
        <v/>
      </c>
      <c r="D24" s="13" t="str">
        <f aca="false">IF($B24="","",IFERROR(INDEX(직원목록!$C$3:$C$302,MATCH($B24,직원목록!$A$3:$A$302,0)),""))</f>
        <v/>
      </c>
      <c r="E24" s="14"/>
      <c r="F24" s="14"/>
      <c r="G24" s="15"/>
      <c r="H24" s="16" t="str">
        <f aca="false">IF(OR($K24="",$L24=""),"",ROUND(MAX(0,($L24-$K24)-IF($G24="",0,$G24))/60,2))</f>
        <v/>
      </c>
      <c r="I24" s="8"/>
      <c r="J24" s="8"/>
      <c r="K24" s="17" t="str">
        <f aca="false">IF($E24="","",IF($E24&lt;1,ROUND($E24*1440,0),INT($E24/100)*60+MOD($E24,100)))</f>
        <v/>
      </c>
      <c r="L24" s="17" t="str">
        <f aca="false">IF($F24="","",IF($F24&lt;1,ROUND($F24*1440,0),INT($F24/100)*60+MOD($F24,100)))</f>
        <v/>
      </c>
    </row>
    <row r="25" customFormat="false" ht="15" hidden="false" customHeight="true" outlineLevel="0" collapsed="false">
      <c r="A25" s="10"/>
      <c r="B25" s="8"/>
      <c r="C25" s="13" t="str">
        <f aca="false">IF($B25="","",IFERROR(INDEX(직원목록!$B$3:$B$302,MATCH($B25,직원목록!$A$3:$A$302,0)),"미등록사번"))</f>
        <v/>
      </c>
      <c r="D25" s="13" t="str">
        <f aca="false">IF($B25="","",IFERROR(INDEX(직원목록!$C$3:$C$302,MATCH($B25,직원목록!$A$3:$A$302,0)),""))</f>
        <v/>
      </c>
      <c r="E25" s="14"/>
      <c r="F25" s="14"/>
      <c r="G25" s="15"/>
      <c r="H25" s="16" t="str">
        <f aca="false">IF(OR($K25="",$L25=""),"",ROUND(MAX(0,($L25-$K25)-IF($G25="",0,$G25))/60,2))</f>
        <v/>
      </c>
      <c r="I25" s="8"/>
      <c r="J25" s="8"/>
      <c r="K25" s="17" t="str">
        <f aca="false">IF($E25="","",IF($E25&lt;1,ROUND($E25*1440,0),INT($E25/100)*60+MOD($E25,100)))</f>
        <v/>
      </c>
      <c r="L25" s="17" t="str">
        <f aca="false">IF($F25="","",IF($F25&lt;1,ROUND($F25*1440,0),INT($F25/100)*60+MOD($F25,100)))</f>
        <v/>
      </c>
    </row>
    <row r="26" customFormat="false" ht="15" hidden="false" customHeight="true" outlineLevel="0" collapsed="false">
      <c r="A26" s="10"/>
      <c r="B26" s="8"/>
      <c r="C26" s="13" t="str">
        <f aca="false">IF($B26="","",IFERROR(INDEX(직원목록!$B$3:$B$302,MATCH($B26,직원목록!$A$3:$A$302,0)),"미등록사번"))</f>
        <v/>
      </c>
      <c r="D26" s="13" t="str">
        <f aca="false">IF($B26="","",IFERROR(INDEX(직원목록!$C$3:$C$302,MATCH($B26,직원목록!$A$3:$A$302,0)),""))</f>
        <v/>
      </c>
      <c r="E26" s="14"/>
      <c r="F26" s="14"/>
      <c r="G26" s="15"/>
      <c r="H26" s="16" t="str">
        <f aca="false">IF(OR($K26="",$L26=""),"",ROUND(MAX(0,($L26-$K26)-IF($G26="",0,$G26))/60,2))</f>
        <v/>
      </c>
      <c r="I26" s="8"/>
      <c r="J26" s="8"/>
      <c r="K26" s="17" t="str">
        <f aca="false">IF($E26="","",IF($E26&lt;1,ROUND($E26*1440,0),INT($E26/100)*60+MOD($E26,100)))</f>
        <v/>
      </c>
      <c r="L26" s="17" t="str">
        <f aca="false">IF($F26="","",IF($F26&lt;1,ROUND($F26*1440,0),INT($F26/100)*60+MOD($F26,100)))</f>
        <v/>
      </c>
    </row>
    <row r="27" customFormat="false" ht="15" hidden="false" customHeight="true" outlineLevel="0" collapsed="false">
      <c r="A27" s="10"/>
      <c r="B27" s="8"/>
      <c r="C27" s="13" t="str">
        <f aca="false">IF($B27="","",IFERROR(INDEX(직원목록!$B$3:$B$302,MATCH($B27,직원목록!$A$3:$A$302,0)),"미등록사번"))</f>
        <v/>
      </c>
      <c r="D27" s="13" t="str">
        <f aca="false">IF($B27="","",IFERROR(INDEX(직원목록!$C$3:$C$302,MATCH($B27,직원목록!$A$3:$A$302,0)),""))</f>
        <v/>
      </c>
      <c r="E27" s="14"/>
      <c r="F27" s="14"/>
      <c r="G27" s="15"/>
      <c r="H27" s="16" t="str">
        <f aca="false">IF(OR($K27="",$L27=""),"",ROUND(MAX(0,($L27-$K27)-IF($G27="",0,$G27))/60,2))</f>
        <v/>
      </c>
      <c r="I27" s="8"/>
      <c r="J27" s="8"/>
      <c r="K27" s="17" t="str">
        <f aca="false">IF($E27="","",IF($E27&lt;1,ROUND($E27*1440,0),INT($E27/100)*60+MOD($E27,100)))</f>
        <v/>
      </c>
      <c r="L27" s="17" t="str">
        <f aca="false">IF($F27="","",IF($F27&lt;1,ROUND($F27*1440,0),INT($F27/100)*60+MOD($F27,100)))</f>
        <v/>
      </c>
    </row>
    <row r="28" customFormat="false" ht="15" hidden="false" customHeight="true" outlineLevel="0" collapsed="false">
      <c r="A28" s="10"/>
      <c r="B28" s="8"/>
      <c r="C28" s="13" t="str">
        <f aca="false">IF($B28="","",IFERROR(INDEX(직원목록!$B$3:$B$302,MATCH($B28,직원목록!$A$3:$A$302,0)),"미등록사번"))</f>
        <v/>
      </c>
      <c r="D28" s="13" t="str">
        <f aca="false">IF($B28="","",IFERROR(INDEX(직원목록!$C$3:$C$302,MATCH($B28,직원목록!$A$3:$A$302,0)),""))</f>
        <v/>
      </c>
      <c r="E28" s="14"/>
      <c r="F28" s="14"/>
      <c r="G28" s="15"/>
      <c r="H28" s="16" t="str">
        <f aca="false">IF(OR($K28="",$L28=""),"",ROUND(MAX(0,($L28-$K28)-IF($G28="",0,$G28))/60,2))</f>
        <v/>
      </c>
      <c r="I28" s="8"/>
      <c r="J28" s="8"/>
      <c r="K28" s="17" t="str">
        <f aca="false">IF($E28="","",IF($E28&lt;1,ROUND($E28*1440,0),INT($E28/100)*60+MOD($E28,100)))</f>
        <v/>
      </c>
      <c r="L28" s="17" t="str">
        <f aca="false">IF($F28="","",IF($F28&lt;1,ROUND($F28*1440,0),INT($F28/100)*60+MOD($F28,100)))</f>
        <v/>
      </c>
    </row>
    <row r="29" customFormat="false" ht="15" hidden="false" customHeight="true" outlineLevel="0" collapsed="false">
      <c r="A29" s="10"/>
      <c r="B29" s="8"/>
      <c r="C29" s="13" t="str">
        <f aca="false">IF($B29="","",IFERROR(INDEX(직원목록!$B$3:$B$302,MATCH($B29,직원목록!$A$3:$A$302,0)),"미등록사번"))</f>
        <v/>
      </c>
      <c r="D29" s="13" t="str">
        <f aca="false">IF($B29="","",IFERROR(INDEX(직원목록!$C$3:$C$302,MATCH($B29,직원목록!$A$3:$A$302,0)),""))</f>
        <v/>
      </c>
      <c r="E29" s="14"/>
      <c r="F29" s="14"/>
      <c r="G29" s="15"/>
      <c r="H29" s="16" t="str">
        <f aca="false">IF(OR($K29="",$L29=""),"",ROUND(MAX(0,($L29-$K29)-IF($G29="",0,$G29))/60,2))</f>
        <v/>
      </c>
      <c r="I29" s="8"/>
      <c r="J29" s="8"/>
      <c r="K29" s="17" t="str">
        <f aca="false">IF($E29="","",IF($E29&lt;1,ROUND($E29*1440,0),INT($E29/100)*60+MOD($E29,100)))</f>
        <v/>
      </c>
      <c r="L29" s="17" t="str">
        <f aca="false">IF($F29="","",IF($F29&lt;1,ROUND($F29*1440,0),INT($F29/100)*60+MOD($F29,100)))</f>
        <v/>
      </c>
    </row>
    <row r="30" customFormat="false" ht="15" hidden="false" customHeight="true" outlineLevel="0" collapsed="false">
      <c r="A30" s="10"/>
      <c r="B30" s="8"/>
      <c r="C30" s="13" t="str">
        <f aca="false">IF($B30="","",IFERROR(INDEX(직원목록!$B$3:$B$302,MATCH($B30,직원목록!$A$3:$A$302,0)),"미등록사번"))</f>
        <v/>
      </c>
      <c r="D30" s="13" t="str">
        <f aca="false">IF($B30="","",IFERROR(INDEX(직원목록!$C$3:$C$302,MATCH($B30,직원목록!$A$3:$A$302,0)),""))</f>
        <v/>
      </c>
      <c r="E30" s="14"/>
      <c r="F30" s="14"/>
      <c r="G30" s="15"/>
      <c r="H30" s="16" t="str">
        <f aca="false">IF(OR($K30="",$L30=""),"",ROUND(MAX(0,($L30-$K30)-IF($G30="",0,$G30))/60,2))</f>
        <v/>
      </c>
      <c r="I30" s="8"/>
      <c r="J30" s="8"/>
      <c r="K30" s="17" t="str">
        <f aca="false">IF($E30="","",IF($E30&lt;1,ROUND($E30*1440,0),INT($E30/100)*60+MOD($E30,100)))</f>
        <v/>
      </c>
      <c r="L30" s="17" t="str">
        <f aca="false">IF($F30="","",IF($F30&lt;1,ROUND($F30*1440,0),INT($F30/100)*60+MOD($F30,100)))</f>
        <v/>
      </c>
    </row>
    <row r="31" customFormat="false" ht="15" hidden="false" customHeight="true" outlineLevel="0" collapsed="false">
      <c r="A31" s="10"/>
      <c r="B31" s="8"/>
      <c r="C31" s="13" t="str">
        <f aca="false">IF($B31="","",IFERROR(INDEX(직원목록!$B$3:$B$302,MATCH($B31,직원목록!$A$3:$A$302,0)),"미등록사번"))</f>
        <v/>
      </c>
      <c r="D31" s="13" t="str">
        <f aca="false">IF($B31="","",IFERROR(INDEX(직원목록!$C$3:$C$302,MATCH($B31,직원목록!$A$3:$A$302,0)),""))</f>
        <v/>
      </c>
      <c r="E31" s="14"/>
      <c r="F31" s="14"/>
      <c r="G31" s="15"/>
      <c r="H31" s="16" t="str">
        <f aca="false">IF(OR($K31="",$L31=""),"",ROUND(MAX(0,($L31-$K31)-IF($G31="",0,$G31))/60,2))</f>
        <v/>
      </c>
      <c r="I31" s="8"/>
      <c r="J31" s="8"/>
      <c r="K31" s="17" t="str">
        <f aca="false">IF($E31="","",IF($E31&lt;1,ROUND($E31*1440,0),INT($E31/100)*60+MOD($E31,100)))</f>
        <v/>
      </c>
      <c r="L31" s="17" t="str">
        <f aca="false">IF($F31="","",IF($F31&lt;1,ROUND($F31*1440,0),INT($F31/100)*60+MOD($F31,100)))</f>
        <v/>
      </c>
    </row>
    <row r="32" customFormat="false" ht="15" hidden="false" customHeight="true" outlineLevel="0" collapsed="false">
      <c r="A32" s="10"/>
      <c r="B32" s="8"/>
      <c r="C32" s="13" t="str">
        <f aca="false">IF($B32="","",IFERROR(INDEX(직원목록!$B$3:$B$302,MATCH($B32,직원목록!$A$3:$A$302,0)),"미등록사번"))</f>
        <v/>
      </c>
      <c r="D32" s="13" t="str">
        <f aca="false">IF($B32="","",IFERROR(INDEX(직원목록!$C$3:$C$302,MATCH($B32,직원목록!$A$3:$A$302,0)),""))</f>
        <v/>
      </c>
      <c r="E32" s="14"/>
      <c r="F32" s="14"/>
      <c r="G32" s="15"/>
      <c r="H32" s="16" t="str">
        <f aca="false">IF(OR($K32="",$L32=""),"",ROUND(MAX(0,($L32-$K32)-IF($G32="",0,$G32))/60,2))</f>
        <v/>
      </c>
      <c r="I32" s="8"/>
      <c r="J32" s="8"/>
      <c r="K32" s="17" t="str">
        <f aca="false">IF($E32="","",IF($E32&lt;1,ROUND($E32*1440,0),INT($E32/100)*60+MOD($E32,100)))</f>
        <v/>
      </c>
      <c r="L32" s="17" t="str">
        <f aca="false">IF($F32="","",IF($F32&lt;1,ROUND($F32*1440,0),INT($F32/100)*60+MOD($F32,100)))</f>
        <v/>
      </c>
    </row>
    <row r="33" customFormat="false" ht="15" hidden="false" customHeight="true" outlineLevel="0" collapsed="false">
      <c r="A33" s="10"/>
      <c r="B33" s="8"/>
      <c r="C33" s="13" t="str">
        <f aca="false">IF($B33="","",IFERROR(INDEX(직원목록!$B$3:$B$302,MATCH($B33,직원목록!$A$3:$A$302,0)),"미등록사번"))</f>
        <v/>
      </c>
      <c r="D33" s="13" t="str">
        <f aca="false">IF($B33="","",IFERROR(INDEX(직원목록!$C$3:$C$302,MATCH($B33,직원목록!$A$3:$A$302,0)),""))</f>
        <v/>
      </c>
      <c r="E33" s="14"/>
      <c r="F33" s="14"/>
      <c r="G33" s="15"/>
      <c r="H33" s="16" t="str">
        <f aca="false">IF(OR($K33="",$L33=""),"",ROUND(MAX(0,($L33-$K33)-IF($G33="",0,$G33))/60,2))</f>
        <v/>
      </c>
      <c r="I33" s="8"/>
      <c r="J33" s="8"/>
      <c r="K33" s="17" t="str">
        <f aca="false">IF($E33="","",IF($E33&lt;1,ROUND($E33*1440,0),INT($E33/100)*60+MOD($E33,100)))</f>
        <v/>
      </c>
      <c r="L33" s="17" t="str">
        <f aca="false">IF($F33="","",IF($F33&lt;1,ROUND($F33*1440,0),INT($F33/100)*60+MOD($F33,100)))</f>
        <v/>
      </c>
    </row>
    <row r="34" customFormat="false" ht="15" hidden="false" customHeight="true" outlineLevel="0" collapsed="false">
      <c r="A34" s="10"/>
      <c r="B34" s="8"/>
      <c r="C34" s="13" t="str">
        <f aca="false">IF($B34="","",IFERROR(INDEX(직원목록!$B$3:$B$302,MATCH($B34,직원목록!$A$3:$A$302,0)),"미등록사번"))</f>
        <v/>
      </c>
      <c r="D34" s="13" t="str">
        <f aca="false">IF($B34="","",IFERROR(INDEX(직원목록!$C$3:$C$302,MATCH($B34,직원목록!$A$3:$A$302,0)),""))</f>
        <v/>
      </c>
      <c r="E34" s="14"/>
      <c r="F34" s="14"/>
      <c r="G34" s="15"/>
      <c r="H34" s="16" t="str">
        <f aca="false">IF(OR($K34="",$L34=""),"",ROUND(MAX(0,($L34-$K34)-IF($G34="",0,$G34))/60,2))</f>
        <v/>
      </c>
      <c r="I34" s="8"/>
      <c r="J34" s="8"/>
      <c r="K34" s="17" t="str">
        <f aca="false">IF($E34="","",IF($E34&lt;1,ROUND($E34*1440,0),INT($E34/100)*60+MOD($E34,100)))</f>
        <v/>
      </c>
      <c r="L34" s="17" t="str">
        <f aca="false">IF($F34="","",IF($F34&lt;1,ROUND($F34*1440,0),INT($F34/100)*60+MOD($F34,100)))</f>
        <v/>
      </c>
    </row>
    <row r="35" customFormat="false" ht="15" hidden="false" customHeight="true" outlineLevel="0" collapsed="false">
      <c r="A35" s="10"/>
      <c r="B35" s="8"/>
      <c r="C35" s="13" t="str">
        <f aca="false">IF($B35="","",IFERROR(INDEX(직원목록!$B$3:$B$302,MATCH($B35,직원목록!$A$3:$A$302,0)),"미등록사번"))</f>
        <v/>
      </c>
      <c r="D35" s="13" t="str">
        <f aca="false">IF($B35="","",IFERROR(INDEX(직원목록!$C$3:$C$302,MATCH($B35,직원목록!$A$3:$A$302,0)),""))</f>
        <v/>
      </c>
      <c r="E35" s="14"/>
      <c r="F35" s="14"/>
      <c r="G35" s="15"/>
      <c r="H35" s="16" t="str">
        <f aca="false">IF(OR($K35="",$L35=""),"",ROUND(MAX(0,($L35-$K35)-IF($G35="",0,$G35))/60,2))</f>
        <v/>
      </c>
      <c r="I35" s="8"/>
      <c r="J35" s="8"/>
      <c r="K35" s="17" t="str">
        <f aca="false">IF($E35="","",IF($E35&lt;1,ROUND($E35*1440,0),INT($E35/100)*60+MOD($E35,100)))</f>
        <v/>
      </c>
      <c r="L35" s="17" t="str">
        <f aca="false">IF($F35="","",IF($F35&lt;1,ROUND($F35*1440,0),INT($F35/100)*60+MOD($F35,100)))</f>
        <v/>
      </c>
    </row>
    <row r="36" customFormat="false" ht="15" hidden="false" customHeight="true" outlineLevel="0" collapsed="false">
      <c r="A36" s="10"/>
      <c r="B36" s="8"/>
      <c r="C36" s="13" t="str">
        <f aca="false">IF($B36="","",IFERROR(INDEX(직원목록!$B$3:$B$302,MATCH($B36,직원목록!$A$3:$A$302,0)),"미등록사번"))</f>
        <v/>
      </c>
      <c r="D36" s="13" t="str">
        <f aca="false">IF($B36="","",IFERROR(INDEX(직원목록!$C$3:$C$302,MATCH($B36,직원목록!$A$3:$A$302,0)),""))</f>
        <v/>
      </c>
      <c r="E36" s="14"/>
      <c r="F36" s="14"/>
      <c r="G36" s="15"/>
      <c r="H36" s="16" t="str">
        <f aca="false">IF(OR($K36="",$L36=""),"",ROUND(MAX(0,($L36-$K36)-IF($G36="",0,$G36))/60,2))</f>
        <v/>
      </c>
      <c r="I36" s="8"/>
      <c r="J36" s="8"/>
      <c r="K36" s="17" t="str">
        <f aca="false">IF($E36="","",IF($E36&lt;1,ROUND($E36*1440,0),INT($E36/100)*60+MOD($E36,100)))</f>
        <v/>
      </c>
      <c r="L36" s="17" t="str">
        <f aca="false">IF($F36="","",IF($F36&lt;1,ROUND($F36*1440,0),INT($F36/100)*60+MOD($F36,100)))</f>
        <v/>
      </c>
    </row>
    <row r="37" customFormat="false" ht="15" hidden="false" customHeight="true" outlineLevel="0" collapsed="false">
      <c r="A37" s="10"/>
      <c r="B37" s="8"/>
      <c r="C37" s="13" t="str">
        <f aca="false">IF($B37="","",IFERROR(INDEX(직원목록!$B$3:$B$302,MATCH($B37,직원목록!$A$3:$A$302,0)),"미등록사번"))</f>
        <v/>
      </c>
      <c r="D37" s="13" t="str">
        <f aca="false">IF($B37="","",IFERROR(INDEX(직원목록!$C$3:$C$302,MATCH($B37,직원목록!$A$3:$A$302,0)),""))</f>
        <v/>
      </c>
      <c r="E37" s="14"/>
      <c r="F37" s="14"/>
      <c r="G37" s="15"/>
      <c r="H37" s="16" t="str">
        <f aca="false">IF(OR($K37="",$L37=""),"",ROUND(MAX(0,($L37-$K37)-IF($G37="",0,$G37))/60,2))</f>
        <v/>
      </c>
      <c r="I37" s="8"/>
      <c r="J37" s="8"/>
      <c r="K37" s="17" t="str">
        <f aca="false">IF($E37="","",IF($E37&lt;1,ROUND($E37*1440,0),INT($E37/100)*60+MOD($E37,100)))</f>
        <v/>
      </c>
      <c r="L37" s="17" t="str">
        <f aca="false">IF($F37="","",IF($F37&lt;1,ROUND($F37*1440,0),INT($F37/100)*60+MOD($F37,100)))</f>
        <v/>
      </c>
    </row>
    <row r="38" customFormat="false" ht="15" hidden="false" customHeight="true" outlineLevel="0" collapsed="false">
      <c r="A38" s="10"/>
      <c r="B38" s="8"/>
      <c r="C38" s="13" t="str">
        <f aca="false">IF($B38="","",IFERROR(INDEX(직원목록!$B$3:$B$302,MATCH($B38,직원목록!$A$3:$A$302,0)),"미등록사번"))</f>
        <v/>
      </c>
      <c r="D38" s="13" t="str">
        <f aca="false">IF($B38="","",IFERROR(INDEX(직원목록!$C$3:$C$302,MATCH($B38,직원목록!$A$3:$A$302,0)),""))</f>
        <v/>
      </c>
      <c r="E38" s="14"/>
      <c r="F38" s="14"/>
      <c r="G38" s="15"/>
      <c r="H38" s="16" t="str">
        <f aca="false">IF(OR($K38="",$L38=""),"",ROUND(MAX(0,($L38-$K38)-IF($G38="",0,$G38))/60,2))</f>
        <v/>
      </c>
      <c r="I38" s="8"/>
      <c r="J38" s="8"/>
      <c r="K38" s="17" t="str">
        <f aca="false">IF($E38="","",IF($E38&lt;1,ROUND($E38*1440,0),INT($E38/100)*60+MOD($E38,100)))</f>
        <v/>
      </c>
      <c r="L38" s="17" t="str">
        <f aca="false">IF($F38="","",IF($F38&lt;1,ROUND($F38*1440,0),INT($F38/100)*60+MOD($F38,100)))</f>
        <v/>
      </c>
    </row>
    <row r="39" customFormat="false" ht="15" hidden="false" customHeight="true" outlineLevel="0" collapsed="false">
      <c r="A39" s="10"/>
      <c r="B39" s="8"/>
      <c r="C39" s="13" t="str">
        <f aca="false">IF($B39="","",IFERROR(INDEX(직원목록!$B$3:$B$302,MATCH($B39,직원목록!$A$3:$A$302,0)),"미등록사번"))</f>
        <v/>
      </c>
      <c r="D39" s="13" t="str">
        <f aca="false">IF($B39="","",IFERROR(INDEX(직원목록!$C$3:$C$302,MATCH($B39,직원목록!$A$3:$A$302,0)),""))</f>
        <v/>
      </c>
      <c r="E39" s="14"/>
      <c r="F39" s="14"/>
      <c r="G39" s="15"/>
      <c r="H39" s="16" t="str">
        <f aca="false">IF(OR($K39="",$L39=""),"",ROUND(MAX(0,($L39-$K39)-IF($G39="",0,$G39))/60,2))</f>
        <v/>
      </c>
      <c r="I39" s="8"/>
      <c r="J39" s="8"/>
      <c r="K39" s="17" t="str">
        <f aca="false">IF($E39="","",IF($E39&lt;1,ROUND($E39*1440,0),INT($E39/100)*60+MOD($E39,100)))</f>
        <v/>
      </c>
      <c r="L39" s="17" t="str">
        <f aca="false">IF($F39="","",IF($F39&lt;1,ROUND($F39*1440,0),INT($F39/100)*60+MOD($F39,100)))</f>
        <v/>
      </c>
    </row>
    <row r="40" customFormat="false" ht="15" hidden="false" customHeight="true" outlineLevel="0" collapsed="false">
      <c r="A40" s="10"/>
      <c r="B40" s="8"/>
      <c r="C40" s="13" t="str">
        <f aca="false">IF($B40="","",IFERROR(INDEX(직원목록!$B$3:$B$302,MATCH($B40,직원목록!$A$3:$A$302,0)),"미등록사번"))</f>
        <v/>
      </c>
      <c r="D40" s="13" t="str">
        <f aca="false">IF($B40="","",IFERROR(INDEX(직원목록!$C$3:$C$302,MATCH($B40,직원목록!$A$3:$A$302,0)),""))</f>
        <v/>
      </c>
      <c r="E40" s="14"/>
      <c r="F40" s="14"/>
      <c r="G40" s="15"/>
      <c r="H40" s="16" t="str">
        <f aca="false">IF(OR($K40="",$L40=""),"",ROUND(MAX(0,($L40-$K40)-IF($G40="",0,$G40))/60,2))</f>
        <v/>
      </c>
      <c r="I40" s="8"/>
      <c r="J40" s="8"/>
      <c r="K40" s="17" t="str">
        <f aca="false">IF($E40="","",IF($E40&lt;1,ROUND($E40*1440,0),INT($E40/100)*60+MOD($E40,100)))</f>
        <v/>
      </c>
      <c r="L40" s="17" t="str">
        <f aca="false">IF($F40="","",IF($F40&lt;1,ROUND($F40*1440,0),INT($F40/100)*60+MOD($F40,100)))</f>
        <v/>
      </c>
    </row>
    <row r="41" customFormat="false" ht="15" hidden="false" customHeight="true" outlineLevel="0" collapsed="false">
      <c r="A41" s="10"/>
      <c r="B41" s="8"/>
      <c r="C41" s="13" t="str">
        <f aca="false">IF($B41="","",IFERROR(INDEX(직원목록!$B$3:$B$302,MATCH($B41,직원목록!$A$3:$A$302,0)),"미등록사번"))</f>
        <v/>
      </c>
      <c r="D41" s="13" t="str">
        <f aca="false">IF($B41="","",IFERROR(INDEX(직원목록!$C$3:$C$302,MATCH($B41,직원목록!$A$3:$A$302,0)),""))</f>
        <v/>
      </c>
      <c r="E41" s="14"/>
      <c r="F41" s="14"/>
      <c r="G41" s="15"/>
      <c r="H41" s="16" t="str">
        <f aca="false">IF(OR($K41="",$L41=""),"",ROUND(MAX(0,($L41-$K41)-IF($G41="",0,$G41))/60,2))</f>
        <v/>
      </c>
      <c r="I41" s="8"/>
      <c r="J41" s="8"/>
      <c r="K41" s="17" t="str">
        <f aca="false">IF($E41="","",IF($E41&lt;1,ROUND($E41*1440,0),INT($E41/100)*60+MOD($E41,100)))</f>
        <v/>
      </c>
      <c r="L41" s="17" t="str">
        <f aca="false">IF($F41="","",IF($F41&lt;1,ROUND($F41*1440,0),INT($F41/100)*60+MOD($F41,100)))</f>
        <v/>
      </c>
    </row>
    <row r="42" customFormat="false" ht="15" hidden="false" customHeight="true" outlineLevel="0" collapsed="false">
      <c r="A42" s="10"/>
      <c r="B42" s="8"/>
      <c r="C42" s="13" t="str">
        <f aca="false">IF($B42="","",IFERROR(INDEX(직원목록!$B$3:$B$302,MATCH($B42,직원목록!$A$3:$A$302,0)),"미등록사번"))</f>
        <v/>
      </c>
      <c r="D42" s="13" t="str">
        <f aca="false">IF($B42="","",IFERROR(INDEX(직원목록!$C$3:$C$302,MATCH($B42,직원목록!$A$3:$A$302,0)),""))</f>
        <v/>
      </c>
      <c r="E42" s="14"/>
      <c r="F42" s="14"/>
      <c r="G42" s="15"/>
      <c r="H42" s="16" t="str">
        <f aca="false">IF(OR($K42="",$L42=""),"",ROUND(MAX(0,($L42-$K42)-IF($G42="",0,$G42))/60,2))</f>
        <v/>
      </c>
      <c r="I42" s="8"/>
      <c r="J42" s="8"/>
      <c r="K42" s="17" t="str">
        <f aca="false">IF($E42="","",IF($E42&lt;1,ROUND($E42*1440,0),INT($E42/100)*60+MOD($E42,100)))</f>
        <v/>
      </c>
      <c r="L42" s="17" t="str">
        <f aca="false">IF($F42="","",IF($F42&lt;1,ROUND($F42*1440,0),INT($F42/100)*60+MOD($F42,100)))</f>
        <v/>
      </c>
    </row>
    <row r="43" customFormat="false" ht="15" hidden="false" customHeight="true" outlineLevel="0" collapsed="false">
      <c r="A43" s="10"/>
      <c r="B43" s="8"/>
      <c r="C43" s="13" t="str">
        <f aca="false">IF($B43="","",IFERROR(INDEX(직원목록!$B$3:$B$302,MATCH($B43,직원목록!$A$3:$A$302,0)),"미등록사번"))</f>
        <v/>
      </c>
      <c r="D43" s="13" t="str">
        <f aca="false">IF($B43="","",IFERROR(INDEX(직원목록!$C$3:$C$302,MATCH($B43,직원목록!$A$3:$A$302,0)),""))</f>
        <v/>
      </c>
      <c r="E43" s="14"/>
      <c r="F43" s="14"/>
      <c r="G43" s="15"/>
      <c r="H43" s="16" t="str">
        <f aca="false">IF(OR($K43="",$L43=""),"",ROUND(MAX(0,($L43-$K43)-IF($G43="",0,$G43))/60,2))</f>
        <v/>
      </c>
      <c r="I43" s="8"/>
      <c r="J43" s="8"/>
      <c r="K43" s="17" t="str">
        <f aca="false">IF($E43="","",IF($E43&lt;1,ROUND($E43*1440,0),INT($E43/100)*60+MOD($E43,100)))</f>
        <v/>
      </c>
      <c r="L43" s="17" t="str">
        <f aca="false">IF($F43="","",IF($F43&lt;1,ROUND($F43*1440,0),INT($F43/100)*60+MOD($F43,100)))</f>
        <v/>
      </c>
    </row>
    <row r="44" customFormat="false" ht="15" hidden="false" customHeight="true" outlineLevel="0" collapsed="false">
      <c r="A44" s="10"/>
      <c r="B44" s="8"/>
      <c r="C44" s="13" t="str">
        <f aca="false">IF($B44="","",IFERROR(INDEX(직원목록!$B$3:$B$302,MATCH($B44,직원목록!$A$3:$A$302,0)),"미등록사번"))</f>
        <v/>
      </c>
      <c r="D44" s="13" t="str">
        <f aca="false">IF($B44="","",IFERROR(INDEX(직원목록!$C$3:$C$302,MATCH($B44,직원목록!$A$3:$A$302,0)),""))</f>
        <v/>
      </c>
      <c r="E44" s="14"/>
      <c r="F44" s="14"/>
      <c r="G44" s="15"/>
      <c r="H44" s="16" t="str">
        <f aca="false">IF(OR($K44="",$L44=""),"",ROUND(MAX(0,($L44-$K44)-IF($G44="",0,$G44))/60,2))</f>
        <v/>
      </c>
      <c r="I44" s="8"/>
      <c r="J44" s="8"/>
      <c r="K44" s="17" t="str">
        <f aca="false">IF($E44="","",IF($E44&lt;1,ROUND($E44*1440,0),INT($E44/100)*60+MOD($E44,100)))</f>
        <v/>
      </c>
      <c r="L44" s="17" t="str">
        <f aca="false">IF($F44="","",IF($F44&lt;1,ROUND($F44*1440,0),INT($F44/100)*60+MOD($F44,100)))</f>
        <v/>
      </c>
    </row>
    <row r="45" customFormat="false" ht="15" hidden="false" customHeight="true" outlineLevel="0" collapsed="false">
      <c r="A45" s="10"/>
      <c r="B45" s="8"/>
      <c r="C45" s="13" t="str">
        <f aca="false">IF($B45="","",IFERROR(INDEX(직원목록!$B$3:$B$302,MATCH($B45,직원목록!$A$3:$A$302,0)),"미등록사번"))</f>
        <v/>
      </c>
      <c r="D45" s="13" t="str">
        <f aca="false">IF($B45="","",IFERROR(INDEX(직원목록!$C$3:$C$302,MATCH($B45,직원목록!$A$3:$A$302,0)),""))</f>
        <v/>
      </c>
      <c r="E45" s="14"/>
      <c r="F45" s="14"/>
      <c r="G45" s="15"/>
      <c r="H45" s="16" t="str">
        <f aca="false">IF(OR($K45="",$L45=""),"",ROUND(MAX(0,($L45-$K45)-IF($G45="",0,$G45))/60,2))</f>
        <v/>
      </c>
      <c r="I45" s="8"/>
      <c r="J45" s="8"/>
      <c r="K45" s="17" t="str">
        <f aca="false">IF($E45="","",IF($E45&lt;1,ROUND($E45*1440,0),INT($E45/100)*60+MOD($E45,100)))</f>
        <v/>
      </c>
      <c r="L45" s="17" t="str">
        <f aca="false">IF($F45="","",IF($F45&lt;1,ROUND($F45*1440,0),INT($F45/100)*60+MOD($F45,100)))</f>
        <v/>
      </c>
    </row>
    <row r="46" customFormat="false" ht="15" hidden="false" customHeight="true" outlineLevel="0" collapsed="false">
      <c r="A46" s="10"/>
      <c r="B46" s="8"/>
      <c r="C46" s="13" t="str">
        <f aca="false">IF($B46="","",IFERROR(INDEX(직원목록!$B$3:$B$302,MATCH($B46,직원목록!$A$3:$A$302,0)),"미등록사번"))</f>
        <v/>
      </c>
      <c r="D46" s="13" t="str">
        <f aca="false">IF($B46="","",IFERROR(INDEX(직원목록!$C$3:$C$302,MATCH($B46,직원목록!$A$3:$A$302,0)),""))</f>
        <v/>
      </c>
      <c r="E46" s="14"/>
      <c r="F46" s="14"/>
      <c r="G46" s="15"/>
      <c r="H46" s="16" t="str">
        <f aca="false">IF(OR($K46="",$L46=""),"",ROUND(MAX(0,($L46-$K46)-IF($G46="",0,$G46))/60,2))</f>
        <v/>
      </c>
      <c r="I46" s="8"/>
      <c r="J46" s="8"/>
      <c r="K46" s="17" t="str">
        <f aca="false">IF($E46="","",IF($E46&lt;1,ROUND($E46*1440,0),INT($E46/100)*60+MOD($E46,100)))</f>
        <v/>
      </c>
      <c r="L46" s="17" t="str">
        <f aca="false">IF($F46="","",IF($F46&lt;1,ROUND($F46*1440,0),INT($F46/100)*60+MOD($F46,100)))</f>
        <v/>
      </c>
    </row>
    <row r="47" customFormat="false" ht="15" hidden="false" customHeight="true" outlineLevel="0" collapsed="false">
      <c r="A47" s="10"/>
      <c r="B47" s="8"/>
      <c r="C47" s="13" t="str">
        <f aca="false">IF($B47="","",IFERROR(INDEX(직원목록!$B$3:$B$302,MATCH($B47,직원목록!$A$3:$A$302,0)),"미등록사번"))</f>
        <v/>
      </c>
      <c r="D47" s="13" t="str">
        <f aca="false">IF($B47="","",IFERROR(INDEX(직원목록!$C$3:$C$302,MATCH($B47,직원목록!$A$3:$A$302,0)),""))</f>
        <v/>
      </c>
      <c r="E47" s="14"/>
      <c r="F47" s="14"/>
      <c r="G47" s="15"/>
      <c r="H47" s="16" t="str">
        <f aca="false">IF(OR($K47="",$L47=""),"",ROUND(MAX(0,($L47-$K47)-IF($G47="",0,$G47))/60,2))</f>
        <v/>
      </c>
      <c r="I47" s="8"/>
      <c r="J47" s="8"/>
      <c r="K47" s="17" t="str">
        <f aca="false">IF($E47="","",IF($E47&lt;1,ROUND($E47*1440,0),INT($E47/100)*60+MOD($E47,100)))</f>
        <v/>
      </c>
      <c r="L47" s="17" t="str">
        <f aca="false">IF($F47="","",IF($F47&lt;1,ROUND($F47*1440,0),INT($F47/100)*60+MOD($F47,100)))</f>
        <v/>
      </c>
    </row>
    <row r="48" customFormat="false" ht="15" hidden="false" customHeight="true" outlineLevel="0" collapsed="false">
      <c r="A48" s="10"/>
      <c r="B48" s="8"/>
      <c r="C48" s="13" t="str">
        <f aca="false">IF($B48="","",IFERROR(INDEX(직원목록!$B$3:$B$302,MATCH($B48,직원목록!$A$3:$A$302,0)),"미등록사번"))</f>
        <v/>
      </c>
      <c r="D48" s="13" t="str">
        <f aca="false">IF($B48="","",IFERROR(INDEX(직원목록!$C$3:$C$302,MATCH($B48,직원목록!$A$3:$A$302,0)),""))</f>
        <v/>
      </c>
      <c r="E48" s="14"/>
      <c r="F48" s="14"/>
      <c r="G48" s="15"/>
      <c r="H48" s="16" t="str">
        <f aca="false">IF(OR($K48="",$L48=""),"",ROUND(MAX(0,($L48-$K48)-IF($G48="",0,$G48))/60,2))</f>
        <v/>
      </c>
      <c r="I48" s="8"/>
      <c r="J48" s="8"/>
      <c r="K48" s="17" t="str">
        <f aca="false">IF($E48="","",IF($E48&lt;1,ROUND($E48*1440,0),INT($E48/100)*60+MOD($E48,100)))</f>
        <v/>
      </c>
      <c r="L48" s="17" t="str">
        <f aca="false">IF($F48="","",IF($F48&lt;1,ROUND($F48*1440,0),INT($F48/100)*60+MOD($F48,100)))</f>
        <v/>
      </c>
    </row>
    <row r="49" customFormat="false" ht="15" hidden="false" customHeight="true" outlineLevel="0" collapsed="false">
      <c r="A49" s="10"/>
      <c r="B49" s="8"/>
      <c r="C49" s="13" t="str">
        <f aca="false">IF($B49="","",IFERROR(INDEX(직원목록!$B$3:$B$302,MATCH($B49,직원목록!$A$3:$A$302,0)),"미등록사번"))</f>
        <v/>
      </c>
      <c r="D49" s="13" t="str">
        <f aca="false">IF($B49="","",IFERROR(INDEX(직원목록!$C$3:$C$302,MATCH($B49,직원목록!$A$3:$A$302,0)),""))</f>
        <v/>
      </c>
      <c r="E49" s="14"/>
      <c r="F49" s="14"/>
      <c r="G49" s="15"/>
      <c r="H49" s="16" t="str">
        <f aca="false">IF(OR($K49="",$L49=""),"",ROUND(MAX(0,($L49-$K49)-IF($G49="",0,$G49))/60,2))</f>
        <v/>
      </c>
      <c r="I49" s="8"/>
      <c r="J49" s="8"/>
      <c r="K49" s="17" t="str">
        <f aca="false">IF($E49="","",IF($E49&lt;1,ROUND($E49*1440,0),INT($E49/100)*60+MOD($E49,100)))</f>
        <v/>
      </c>
      <c r="L49" s="17" t="str">
        <f aca="false">IF($F49="","",IF($F49&lt;1,ROUND($F49*1440,0),INT($F49/100)*60+MOD($F49,100)))</f>
        <v/>
      </c>
    </row>
    <row r="50" customFormat="false" ht="15" hidden="false" customHeight="true" outlineLevel="0" collapsed="false">
      <c r="A50" s="10"/>
      <c r="B50" s="8"/>
      <c r="C50" s="13" t="str">
        <f aca="false">IF($B50="","",IFERROR(INDEX(직원목록!$B$3:$B$302,MATCH($B50,직원목록!$A$3:$A$302,0)),"미등록사번"))</f>
        <v/>
      </c>
      <c r="D50" s="13" t="str">
        <f aca="false">IF($B50="","",IFERROR(INDEX(직원목록!$C$3:$C$302,MATCH($B50,직원목록!$A$3:$A$302,0)),""))</f>
        <v/>
      </c>
      <c r="E50" s="14"/>
      <c r="F50" s="14"/>
      <c r="G50" s="15"/>
      <c r="H50" s="16" t="str">
        <f aca="false">IF(OR($K50="",$L50=""),"",ROUND(MAX(0,($L50-$K50)-IF($G50="",0,$G50))/60,2))</f>
        <v/>
      </c>
      <c r="I50" s="8"/>
      <c r="J50" s="8"/>
      <c r="K50" s="17" t="str">
        <f aca="false">IF($E50="","",IF($E50&lt;1,ROUND($E50*1440,0),INT($E50/100)*60+MOD($E50,100)))</f>
        <v/>
      </c>
      <c r="L50" s="17" t="str">
        <f aca="false">IF($F50="","",IF($F50&lt;1,ROUND($F50*1440,0),INT($F50/100)*60+MOD($F50,100)))</f>
        <v/>
      </c>
    </row>
    <row r="51" customFormat="false" ht="15" hidden="false" customHeight="true" outlineLevel="0" collapsed="false">
      <c r="A51" s="10"/>
      <c r="B51" s="8"/>
      <c r="C51" s="13" t="str">
        <f aca="false">IF($B51="","",IFERROR(INDEX(직원목록!$B$3:$B$302,MATCH($B51,직원목록!$A$3:$A$302,0)),"미등록사번"))</f>
        <v/>
      </c>
      <c r="D51" s="13" t="str">
        <f aca="false">IF($B51="","",IFERROR(INDEX(직원목록!$C$3:$C$302,MATCH($B51,직원목록!$A$3:$A$302,0)),""))</f>
        <v/>
      </c>
      <c r="E51" s="14"/>
      <c r="F51" s="14"/>
      <c r="G51" s="15"/>
      <c r="H51" s="16" t="str">
        <f aca="false">IF(OR($K51="",$L51=""),"",ROUND(MAX(0,($L51-$K51)-IF($G51="",0,$G51))/60,2))</f>
        <v/>
      </c>
      <c r="I51" s="8"/>
      <c r="J51" s="8"/>
      <c r="K51" s="17" t="str">
        <f aca="false">IF($E51="","",IF($E51&lt;1,ROUND($E51*1440,0),INT($E51/100)*60+MOD($E51,100)))</f>
        <v/>
      </c>
      <c r="L51" s="17" t="str">
        <f aca="false">IF($F51="","",IF($F51&lt;1,ROUND($F51*1440,0),INT($F51/100)*60+MOD($F51,100)))</f>
        <v/>
      </c>
    </row>
    <row r="52" customFormat="false" ht="15" hidden="false" customHeight="true" outlineLevel="0" collapsed="false">
      <c r="A52" s="10"/>
      <c r="B52" s="8"/>
      <c r="C52" s="13" t="str">
        <f aca="false">IF($B52="","",IFERROR(INDEX(직원목록!$B$3:$B$302,MATCH($B52,직원목록!$A$3:$A$302,0)),"미등록사번"))</f>
        <v/>
      </c>
      <c r="D52" s="13" t="str">
        <f aca="false">IF($B52="","",IFERROR(INDEX(직원목록!$C$3:$C$302,MATCH($B52,직원목록!$A$3:$A$302,0)),""))</f>
        <v/>
      </c>
      <c r="E52" s="14"/>
      <c r="F52" s="14"/>
      <c r="G52" s="15"/>
      <c r="H52" s="16" t="str">
        <f aca="false">IF(OR($K52="",$L52=""),"",ROUND(MAX(0,($L52-$K52)-IF($G52="",0,$G52))/60,2))</f>
        <v/>
      </c>
      <c r="I52" s="8"/>
      <c r="J52" s="8"/>
      <c r="K52" s="17" t="str">
        <f aca="false">IF($E52="","",IF($E52&lt;1,ROUND($E52*1440,0),INT($E52/100)*60+MOD($E52,100)))</f>
        <v/>
      </c>
      <c r="L52" s="17" t="str">
        <f aca="false">IF($F52="","",IF($F52&lt;1,ROUND($F52*1440,0),INT($F52/100)*60+MOD($F52,100)))</f>
        <v/>
      </c>
    </row>
    <row r="53" customFormat="false" ht="15" hidden="false" customHeight="true" outlineLevel="0" collapsed="false">
      <c r="A53" s="10"/>
      <c r="B53" s="8"/>
      <c r="C53" s="13" t="str">
        <f aca="false">IF($B53="","",IFERROR(INDEX(직원목록!$B$3:$B$302,MATCH($B53,직원목록!$A$3:$A$302,0)),"미등록사번"))</f>
        <v/>
      </c>
      <c r="D53" s="13" t="str">
        <f aca="false">IF($B53="","",IFERROR(INDEX(직원목록!$C$3:$C$302,MATCH($B53,직원목록!$A$3:$A$302,0)),""))</f>
        <v/>
      </c>
      <c r="E53" s="14"/>
      <c r="F53" s="14"/>
      <c r="G53" s="15"/>
      <c r="H53" s="16" t="str">
        <f aca="false">IF(OR($K53="",$L53=""),"",ROUND(MAX(0,($L53-$K53)-IF($G53="",0,$G53))/60,2))</f>
        <v/>
      </c>
      <c r="I53" s="8"/>
      <c r="J53" s="8"/>
      <c r="K53" s="17" t="str">
        <f aca="false">IF($E53="","",IF($E53&lt;1,ROUND($E53*1440,0),INT($E53/100)*60+MOD($E53,100)))</f>
        <v/>
      </c>
      <c r="L53" s="17" t="str">
        <f aca="false">IF($F53="","",IF($F53&lt;1,ROUND($F53*1440,0),INT($F53/100)*60+MOD($F53,100)))</f>
        <v/>
      </c>
    </row>
    <row r="54" customFormat="false" ht="15" hidden="false" customHeight="true" outlineLevel="0" collapsed="false">
      <c r="A54" s="10"/>
      <c r="B54" s="8"/>
      <c r="C54" s="13" t="str">
        <f aca="false">IF($B54="","",IFERROR(INDEX(직원목록!$B$3:$B$302,MATCH($B54,직원목록!$A$3:$A$302,0)),"미등록사번"))</f>
        <v/>
      </c>
      <c r="D54" s="13" t="str">
        <f aca="false">IF($B54="","",IFERROR(INDEX(직원목록!$C$3:$C$302,MATCH($B54,직원목록!$A$3:$A$302,0)),""))</f>
        <v/>
      </c>
      <c r="E54" s="14"/>
      <c r="F54" s="14"/>
      <c r="G54" s="15"/>
      <c r="H54" s="16" t="str">
        <f aca="false">IF(OR($K54="",$L54=""),"",ROUND(MAX(0,($L54-$K54)-IF($G54="",0,$G54))/60,2))</f>
        <v/>
      </c>
      <c r="I54" s="8"/>
      <c r="J54" s="8"/>
      <c r="K54" s="17" t="str">
        <f aca="false">IF($E54="","",IF($E54&lt;1,ROUND($E54*1440,0),INT($E54/100)*60+MOD($E54,100)))</f>
        <v/>
      </c>
      <c r="L54" s="17" t="str">
        <f aca="false">IF($F54="","",IF($F54&lt;1,ROUND($F54*1440,0),INT($F54/100)*60+MOD($F54,100)))</f>
        <v/>
      </c>
    </row>
    <row r="55" customFormat="false" ht="15" hidden="false" customHeight="true" outlineLevel="0" collapsed="false">
      <c r="A55" s="10"/>
      <c r="B55" s="8"/>
      <c r="C55" s="13" t="str">
        <f aca="false">IF($B55="","",IFERROR(INDEX(직원목록!$B$3:$B$302,MATCH($B55,직원목록!$A$3:$A$302,0)),"미등록사번"))</f>
        <v/>
      </c>
      <c r="D55" s="13" t="str">
        <f aca="false">IF($B55="","",IFERROR(INDEX(직원목록!$C$3:$C$302,MATCH($B55,직원목록!$A$3:$A$302,0)),""))</f>
        <v/>
      </c>
      <c r="E55" s="14"/>
      <c r="F55" s="14"/>
      <c r="G55" s="15"/>
      <c r="H55" s="16" t="str">
        <f aca="false">IF(OR($K55="",$L55=""),"",ROUND(MAX(0,($L55-$K55)-IF($G55="",0,$G55))/60,2))</f>
        <v/>
      </c>
      <c r="I55" s="8"/>
      <c r="J55" s="8"/>
      <c r="K55" s="17" t="str">
        <f aca="false">IF($E55="","",IF($E55&lt;1,ROUND($E55*1440,0),INT($E55/100)*60+MOD($E55,100)))</f>
        <v/>
      </c>
      <c r="L55" s="17" t="str">
        <f aca="false">IF($F55="","",IF($F55&lt;1,ROUND($F55*1440,0),INT($F55/100)*60+MOD($F55,100)))</f>
        <v/>
      </c>
    </row>
    <row r="56" customFormat="false" ht="15" hidden="false" customHeight="true" outlineLevel="0" collapsed="false">
      <c r="A56" s="10"/>
      <c r="B56" s="8"/>
      <c r="C56" s="13" t="str">
        <f aca="false">IF($B56="","",IFERROR(INDEX(직원목록!$B$3:$B$302,MATCH($B56,직원목록!$A$3:$A$302,0)),"미등록사번"))</f>
        <v/>
      </c>
      <c r="D56" s="13" t="str">
        <f aca="false">IF($B56="","",IFERROR(INDEX(직원목록!$C$3:$C$302,MATCH($B56,직원목록!$A$3:$A$302,0)),""))</f>
        <v/>
      </c>
      <c r="E56" s="14"/>
      <c r="F56" s="14"/>
      <c r="G56" s="15"/>
      <c r="H56" s="16" t="str">
        <f aca="false">IF(OR($K56="",$L56=""),"",ROUND(MAX(0,($L56-$K56)-IF($G56="",0,$G56))/60,2))</f>
        <v/>
      </c>
      <c r="I56" s="8"/>
      <c r="J56" s="8"/>
      <c r="K56" s="17" t="str">
        <f aca="false">IF($E56="","",IF($E56&lt;1,ROUND($E56*1440,0),INT($E56/100)*60+MOD($E56,100)))</f>
        <v/>
      </c>
      <c r="L56" s="17" t="str">
        <f aca="false">IF($F56="","",IF($F56&lt;1,ROUND($F56*1440,0),INT($F56/100)*60+MOD($F56,100)))</f>
        <v/>
      </c>
    </row>
    <row r="57" customFormat="false" ht="15" hidden="false" customHeight="true" outlineLevel="0" collapsed="false">
      <c r="A57" s="10"/>
      <c r="B57" s="8"/>
      <c r="C57" s="13" t="str">
        <f aca="false">IF($B57="","",IFERROR(INDEX(직원목록!$B$3:$B$302,MATCH($B57,직원목록!$A$3:$A$302,0)),"미등록사번"))</f>
        <v/>
      </c>
      <c r="D57" s="13" t="str">
        <f aca="false">IF($B57="","",IFERROR(INDEX(직원목록!$C$3:$C$302,MATCH($B57,직원목록!$A$3:$A$302,0)),""))</f>
        <v/>
      </c>
      <c r="E57" s="14"/>
      <c r="F57" s="14"/>
      <c r="G57" s="15"/>
      <c r="H57" s="16" t="str">
        <f aca="false">IF(OR($K57="",$L57=""),"",ROUND(MAX(0,($L57-$K57)-IF($G57="",0,$G57))/60,2))</f>
        <v/>
      </c>
      <c r="I57" s="8"/>
      <c r="J57" s="8"/>
      <c r="K57" s="17" t="str">
        <f aca="false">IF($E57="","",IF($E57&lt;1,ROUND($E57*1440,0),INT($E57/100)*60+MOD($E57,100)))</f>
        <v/>
      </c>
      <c r="L57" s="17" t="str">
        <f aca="false">IF($F57="","",IF($F57&lt;1,ROUND($F57*1440,0),INT($F57/100)*60+MOD($F57,100)))</f>
        <v/>
      </c>
    </row>
    <row r="58" customFormat="false" ht="15" hidden="false" customHeight="true" outlineLevel="0" collapsed="false">
      <c r="A58" s="10"/>
      <c r="B58" s="8"/>
      <c r="C58" s="13" t="str">
        <f aca="false">IF($B58="","",IFERROR(INDEX(직원목록!$B$3:$B$302,MATCH($B58,직원목록!$A$3:$A$302,0)),"미등록사번"))</f>
        <v/>
      </c>
      <c r="D58" s="13" t="str">
        <f aca="false">IF($B58="","",IFERROR(INDEX(직원목록!$C$3:$C$302,MATCH($B58,직원목록!$A$3:$A$302,0)),""))</f>
        <v/>
      </c>
      <c r="E58" s="14"/>
      <c r="F58" s="14"/>
      <c r="G58" s="15"/>
      <c r="H58" s="16" t="str">
        <f aca="false">IF(OR($K58="",$L58=""),"",ROUND(MAX(0,($L58-$K58)-IF($G58="",0,$G58))/60,2))</f>
        <v/>
      </c>
      <c r="I58" s="8"/>
      <c r="J58" s="8"/>
      <c r="K58" s="17" t="str">
        <f aca="false">IF($E58="","",IF($E58&lt;1,ROUND($E58*1440,0),INT($E58/100)*60+MOD($E58,100)))</f>
        <v/>
      </c>
      <c r="L58" s="17" t="str">
        <f aca="false">IF($F58="","",IF($F58&lt;1,ROUND($F58*1440,0),INT($F58/100)*60+MOD($F58,100)))</f>
        <v/>
      </c>
    </row>
    <row r="59" customFormat="false" ht="15" hidden="false" customHeight="true" outlineLevel="0" collapsed="false">
      <c r="A59" s="10"/>
      <c r="B59" s="8"/>
      <c r="C59" s="13" t="str">
        <f aca="false">IF($B59="","",IFERROR(INDEX(직원목록!$B$3:$B$302,MATCH($B59,직원목록!$A$3:$A$302,0)),"미등록사번"))</f>
        <v/>
      </c>
      <c r="D59" s="13" t="str">
        <f aca="false">IF($B59="","",IFERROR(INDEX(직원목록!$C$3:$C$302,MATCH($B59,직원목록!$A$3:$A$302,0)),""))</f>
        <v/>
      </c>
      <c r="E59" s="14"/>
      <c r="F59" s="14"/>
      <c r="G59" s="15"/>
      <c r="H59" s="16" t="str">
        <f aca="false">IF(OR($K59="",$L59=""),"",ROUND(MAX(0,($L59-$K59)-IF($G59="",0,$G59))/60,2))</f>
        <v/>
      </c>
      <c r="I59" s="8"/>
      <c r="J59" s="8"/>
      <c r="K59" s="17" t="str">
        <f aca="false">IF($E59="","",IF($E59&lt;1,ROUND($E59*1440,0),INT($E59/100)*60+MOD($E59,100)))</f>
        <v/>
      </c>
      <c r="L59" s="17" t="str">
        <f aca="false">IF($F59="","",IF($F59&lt;1,ROUND($F59*1440,0),INT($F59/100)*60+MOD($F59,100)))</f>
        <v/>
      </c>
    </row>
    <row r="60" customFormat="false" ht="15" hidden="false" customHeight="true" outlineLevel="0" collapsed="false">
      <c r="A60" s="10"/>
      <c r="B60" s="8"/>
      <c r="C60" s="13" t="str">
        <f aca="false">IF($B60="","",IFERROR(INDEX(직원목록!$B$3:$B$302,MATCH($B60,직원목록!$A$3:$A$302,0)),"미등록사번"))</f>
        <v/>
      </c>
      <c r="D60" s="13" t="str">
        <f aca="false">IF($B60="","",IFERROR(INDEX(직원목록!$C$3:$C$302,MATCH($B60,직원목록!$A$3:$A$302,0)),""))</f>
        <v/>
      </c>
      <c r="E60" s="14"/>
      <c r="F60" s="14"/>
      <c r="G60" s="15"/>
      <c r="H60" s="16" t="str">
        <f aca="false">IF(OR($K60="",$L60=""),"",ROUND(MAX(0,($L60-$K60)-IF($G60="",0,$G60))/60,2))</f>
        <v/>
      </c>
      <c r="I60" s="8"/>
      <c r="J60" s="8"/>
      <c r="K60" s="17" t="str">
        <f aca="false">IF($E60="","",IF($E60&lt;1,ROUND($E60*1440,0),INT($E60/100)*60+MOD($E60,100)))</f>
        <v/>
      </c>
      <c r="L60" s="17" t="str">
        <f aca="false">IF($F60="","",IF($F60&lt;1,ROUND($F60*1440,0),INT($F60/100)*60+MOD($F60,100)))</f>
        <v/>
      </c>
    </row>
    <row r="61" customFormat="false" ht="15" hidden="false" customHeight="true" outlineLevel="0" collapsed="false">
      <c r="A61" s="10"/>
      <c r="B61" s="8"/>
      <c r="C61" s="13" t="str">
        <f aca="false">IF($B61="","",IFERROR(INDEX(직원목록!$B$3:$B$302,MATCH($B61,직원목록!$A$3:$A$302,0)),"미등록사번"))</f>
        <v/>
      </c>
      <c r="D61" s="13" t="str">
        <f aca="false">IF($B61="","",IFERROR(INDEX(직원목록!$C$3:$C$302,MATCH($B61,직원목록!$A$3:$A$302,0)),""))</f>
        <v/>
      </c>
      <c r="E61" s="14"/>
      <c r="F61" s="14"/>
      <c r="G61" s="15"/>
      <c r="H61" s="16" t="str">
        <f aca="false">IF(OR($K61="",$L61=""),"",ROUND(MAX(0,($L61-$K61)-IF($G61="",0,$G61))/60,2))</f>
        <v/>
      </c>
      <c r="I61" s="8"/>
      <c r="J61" s="8"/>
      <c r="K61" s="17" t="str">
        <f aca="false">IF($E61="","",IF($E61&lt;1,ROUND($E61*1440,0),INT($E61/100)*60+MOD($E61,100)))</f>
        <v/>
      </c>
      <c r="L61" s="17" t="str">
        <f aca="false">IF($F61="","",IF($F61&lt;1,ROUND($F61*1440,0),INT($F61/100)*60+MOD($F61,100)))</f>
        <v/>
      </c>
    </row>
    <row r="62" customFormat="false" ht="15" hidden="false" customHeight="true" outlineLevel="0" collapsed="false">
      <c r="A62" s="10"/>
      <c r="B62" s="8"/>
      <c r="C62" s="13" t="str">
        <f aca="false">IF($B62="","",IFERROR(INDEX(직원목록!$B$3:$B$302,MATCH($B62,직원목록!$A$3:$A$302,0)),"미등록사번"))</f>
        <v/>
      </c>
      <c r="D62" s="13" t="str">
        <f aca="false">IF($B62="","",IFERROR(INDEX(직원목록!$C$3:$C$302,MATCH($B62,직원목록!$A$3:$A$302,0)),""))</f>
        <v/>
      </c>
      <c r="E62" s="14"/>
      <c r="F62" s="14"/>
      <c r="G62" s="15"/>
      <c r="H62" s="16" t="str">
        <f aca="false">IF(OR($K62="",$L62=""),"",ROUND(MAX(0,($L62-$K62)-IF($G62="",0,$G62))/60,2))</f>
        <v/>
      </c>
      <c r="I62" s="8"/>
      <c r="J62" s="8"/>
      <c r="K62" s="17" t="str">
        <f aca="false">IF($E62="","",IF($E62&lt;1,ROUND($E62*1440,0),INT($E62/100)*60+MOD($E62,100)))</f>
        <v/>
      </c>
      <c r="L62" s="17" t="str">
        <f aca="false">IF($F62="","",IF($F62&lt;1,ROUND($F62*1440,0),INT($F62/100)*60+MOD($F62,100)))</f>
        <v/>
      </c>
    </row>
    <row r="63" customFormat="false" ht="15" hidden="false" customHeight="true" outlineLevel="0" collapsed="false">
      <c r="A63" s="10"/>
      <c r="B63" s="8"/>
      <c r="C63" s="13" t="str">
        <f aca="false">IF($B63="","",IFERROR(INDEX(직원목록!$B$3:$B$302,MATCH($B63,직원목록!$A$3:$A$302,0)),"미등록사번"))</f>
        <v/>
      </c>
      <c r="D63" s="13" t="str">
        <f aca="false">IF($B63="","",IFERROR(INDEX(직원목록!$C$3:$C$302,MATCH($B63,직원목록!$A$3:$A$302,0)),""))</f>
        <v/>
      </c>
      <c r="E63" s="14"/>
      <c r="F63" s="14"/>
      <c r="G63" s="15"/>
      <c r="H63" s="16" t="str">
        <f aca="false">IF(OR($K63="",$L63=""),"",ROUND(MAX(0,($L63-$K63)-IF($G63="",0,$G63))/60,2))</f>
        <v/>
      </c>
      <c r="I63" s="8"/>
      <c r="J63" s="8"/>
      <c r="K63" s="17" t="str">
        <f aca="false">IF($E63="","",IF($E63&lt;1,ROUND($E63*1440,0),INT($E63/100)*60+MOD($E63,100)))</f>
        <v/>
      </c>
      <c r="L63" s="17" t="str">
        <f aca="false">IF($F63="","",IF($F63&lt;1,ROUND($F63*1440,0),INT($F63/100)*60+MOD($F63,100)))</f>
        <v/>
      </c>
    </row>
    <row r="64" customFormat="false" ht="15" hidden="false" customHeight="true" outlineLevel="0" collapsed="false">
      <c r="A64" s="10"/>
      <c r="B64" s="8"/>
      <c r="C64" s="13" t="str">
        <f aca="false">IF($B64="","",IFERROR(INDEX(직원목록!$B$3:$B$302,MATCH($B64,직원목록!$A$3:$A$302,0)),"미등록사번"))</f>
        <v/>
      </c>
      <c r="D64" s="13" t="str">
        <f aca="false">IF($B64="","",IFERROR(INDEX(직원목록!$C$3:$C$302,MATCH($B64,직원목록!$A$3:$A$302,0)),""))</f>
        <v/>
      </c>
      <c r="E64" s="14"/>
      <c r="F64" s="14"/>
      <c r="G64" s="15"/>
      <c r="H64" s="16" t="str">
        <f aca="false">IF(OR($K64="",$L64=""),"",ROUND(MAX(0,($L64-$K64)-IF($G64="",0,$G64))/60,2))</f>
        <v/>
      </c>
      <c r="I64" s="8"/>
      <c r="J64" s="8"/>
      <c r="K64" s="17" t="str">
        <f aca="false">IF($E64="","",IF($E64&lt;1,ROUND($E64*1440,0),INT($E64/100)*60+MOD($E64,100)))</f>
        <v/>
      </c>
      <c r="L64" s="17" t="str">
        <f aca="false">IF($F64="","",IF($F64&lt;1,ROUND($F64*1440,0),INT($F64/100)*60+MOD($F64,100)))</f>
        <v/>
      </c>
    </row>
    <row r="65" customFormat="false" ht="15" hidden="false" customHeight="true" outlineLevel="0" collapsed="false">
      <c r="A65" s="10"/>
      <c r="B65" s="8"/>
      <c r="C65" s="13" t="str">
        <f aca="false">IF($B65="","",IFERROR(INDEX(직원목록!$B$3:$B$302,MATCH($B65,직원목록!$A$3:$A$302,0)),"미등록사번"))</f>
        <v/>
      </c>
      <c r="D65" s="13" t="str">
        <f aca="false">IF($B65="","",IFERROR(INDEX(직원목록!$C$3:$C$302,MATCH($B65,직원목록!$A$3:$A$302,0)),""))</f>
        <v/>
      </c>
      <c r="E65" s="14"/>
      <c r="F65" s="14"/>
      <c r="G65" s="15"/>
      <c r="H65" s="16" t="str">
        <f aca="false">IF(OR($K65="",$L65=""),"",ROUND(MAX(0,($L65-$K65)-IF($G65="",0,$G65))/60,2))</f>
        <v/>
      </c>
      <c r="I65" s="8"/>
      <c r="J65" s="8"/>
      <c r="K65" s="17" t="str">
        <f aca="false">IF($E65="","",IF($E65&lt;1,ROUND($E65*1440,0),INT($E65/100)*60+MOD($E65,100)))</f>
        <v/>
      </c>
      <c r="L65" s="17" t="str">
        <f aca="false">IF($F65="","",IF($F65&lt;1,ROUND($F65*1440,0),INT($F65/100)*60+MOD($F65,100)))</f>
        <v/>
      </c>
    </row>
    <row r="66" customFormat="false" ht="15" hidden="false" customHeight="true" outlineLevel="0" collapsed="false">
      <c r="A66" s="10"/>
      <c r="B66" s="8"/>
      <c r="C66" s="13" t="str">
        <f aca="false">IF($B66="","",IFERROR(INDEX(직원목록!$B$3:$B$302,MATCH($B66,직원목록!$A$3:$A$302,0)),"미등록사번"))</f>
        <v/>
      </c>
      <c r="D66" s="13" t="str">
        <f aca="false">IF($B66="","",IFERROR(INDEX(직원목록!$C$3:$C$302,MATCH($B66,직원목록!$A$3:$A$302,0)),""))</f>
        <v/>
      </c>
      <c r="E66" s="14"/>
      <c r="F66" s="14"/>
      <c r="G66" s="15"/>
      <c r="H66" s="16" t="str">
        <f aca="false">IF(OR($K66="",$L66=""),"",ROUND(MAX(0,($L66-$K66)-IF($G66="",0,$G66))/60,2))</f>
        <v/>
      </c>
      <c r="I66" s="8"/>
      <c r="J66" s="8"/>
      <c r="K66" s="17" t="str">
        <f aca="false">IF($E66="","",IF($E66&lt;1,ROUND($E66*1440,0),INT($E66/100)*60+MOD($E66,100)))</f>
        <v/>
      </c>
      <c r="L66" s="17" t="str">
        <f aca="false">IF($F66="","",IF($F66&lt;1,ROUND($F66*1440,0),INT($F66/100)*60+MOD($F66,100)))</f>
        <v/>
      </c>
    </row>
    <row r="67" customFormat="false" ht="15" hidden="false" customHeight="true" outlineLevel="0" collapsed="false">
      <c r="A67" s="10"/>
      <c r="B67" s="8"/>
      <c r="C67" s="13" t="str">
        <f aca="false">IF($B67="","",IFERROR(INDEX(직원목록!$B$3:$B$302,MATCH($B67,직원목록!$A$3:$A$302,0)),"미등록사번"))</f>
        <v/>
      </c>
      <c r="D67" s="13" t="str">
        <f aca="false">IF($B67="","",IFERROR(INDEX(직원목록!$C$3:$C$302,MATCH($B67,직원목록!$A$3:$A$302,0)),""))</f>
        <v/>
      </c>
      <c r="E67" s="14"/>
      <c r="F67" s="14"/>
      <c r="G67" s="15"/>
      <c r="H67" s="16" t="str">
        <f aca="false">IF(OR($K67="",$L67=""),"",ROUND(MAX(0,($L67-$K67)-IF($G67="",0,$G67))/60,2))</f>
        <v/>
      </c>
      <c r="I67" s="8"/>
      <c r="J67" s="8"/>
      <c r="K67" s="17" t="str">
        <f aca="false">IF($E67="","",IF($E67&lt;1,ROUND($E67*1440,0),INT($E67/100)*60+MOD($E67,100)))</f>
        <v/>
      </c>
      <c r="L67" s="17" t="str">
        <f aca="false">IF($F67="","",IF($F67&lt;1,ROUND($F67*1440,0),INT($F67/100)*60+MOD($F67,100)))</f>
        <v/>
      </c>
    </row>
    <row r="68" customFormat="false" ht="15" hidden="false" customHeight="true" outlineLevel="0" collapsed="false">
      <c r="A68" s="10"/>
      <c r="B68" s="8"/>
      <c r="C68" s="13" t="str">
        <f aca="false">IF($B68="","",IFERROR(INDEX(직원목록!$B$3:$B$302,MATCH($B68,직원목록!$A$3:$A$302,0)),"미등록사번"))</f>
        <v/>
      </c>
      <c r="D68" s="13" t="str">
        <f aca="false">IF($B68="","",IFERROR(INDEX(직원목록!$C$3:$C$302,MATCH($B68,직원목록!$A$3:$A$302,0)),""))</f>
        <v/>
      </c>
      <c r="E68" s="14"/>
      <c r="F68" s="14"/>
      <c r="G68" s="15"/>
      <c r="H68" s="16" t="str">
        <f aca="false">IF(OR($K68="",$L68=""),"",ROUND(MAX(0,($L68-$K68)-IF($G68="",0,$G68))/60,2))</f>
        <v/>
      </c>
      <c r="I68" s="8"/>
      <c r="J68" s="8"/>
      <c r="K68" s="17" t="str">
        <f aca="false">IF($E68="","",IF($E68&lt;1,ROUND($E68*1440,0),INT($E68/100)*60+MOD($E68,100)))</f>
        <v/>
      </c>
      <c r="L68" s="17" t="str">
        <f aca="false">IF($F68="","",IF($F68&lt;1,ROUND($F68*1440,0),INT($F68/100)*60+MOD($F68,100)))</f>
        <v/>
      </c>
    </row>
    <row r="69" customFormat="false" ht="15" hidden="false" customHeight="true" outlineLevel="0" collapsed="false">
      <c r="A69" s="10"/>
      <c r="B69" s="8"/>
      <c r="C69" s="13" t="str">
        <f aca="false">IF($B69="","",IFERROR(INDEX(직원목록!$B$3:$B$302,MATCH($B69,직원목록!$A$3:$A$302,0)),"미등록사번"))</f>
        <v/>
      </c>
      <c r="D69" s="13" t="str">
        <f aca="false">IF($B69="","",IFERROR(INDEX(직원목록!$C$3:$C$302,MATCH($B69,직원목록!$A$3:$A$302,0)),""))</f>
        <v/>
      </c>
      <c r="E69" s="14"/>
      <c r="F69" s="14"/>
      <c r="G69" s="15"/>
      <c r="H69" s="16" t="str">
        <f aca="false">IF(OR($K69="",$L69=""),"",ROUND(MAX(0,($L69-$K69)-IF($G69="",0,$G69))/60,2))</f>
        <v/>
      </c>
      <c r="I69" s="8"/>
      <c r="J69" s="8"/>
      <c r="K69" s="17" t="str">
        <f aca="false">IF($E69="","",IF($E69&lt;1,ROUND($E69*1440,0),INT($E69/100)*60+MOD($E69,100)))</f>
        <v/>
      </c>
      <c r="L69" s="17" t="str">
        <f aca="false">IF($F69="","",IF($F69&lt;1,ROUND($F69*1440,0),INT($F69/100)*60+MOD($F69,100)))</f>
        <v/>
      </c>
    </row>
    <row r="70" customFormat="false" ht="15" hidden="false" customHeight="true" outlineLevel="0" collapsed="false">
      <c r="A70" s="10"/>
      <c r="B70" s="8"/>
      <c r="C70" s="13" t="str">
        <f aca="false">IF($B70="","",IFERROR(INDEX(직원목록!$B$3:$B$302,MATCH($B70,직원목록!$A$3:$A$302,0)),"미등록사번"))</f>
        <v/>
      </c>
      <c r="D70" s="13" t="str">
        <f aca="false">IF($B70="","",IFERROR(INDEX(직원목록!$C$3:$C$302,MATCH($B70,직원목록!$A$3:$A$302,0)),""))</f>
        <v/>
      </c>
      <c r="E70" s="14"/>
      <c r="F70" s="14"/>
      <c r="G70" s="15"/>
      <c r="H70" s="16" t="str">
        <f aca="false">IF(OR($K70="",$L70=""),"",ROUND(MAX(0,($L70-$K70)-IF($G70="",0,$G70))/60,2))</f>
        <v/>
      </c>
      <c r="I70" s="8"/>
      <c r="J70" s="8"/>
      <c r="K70" s="17" t="str">
        <f aca="false">IF($E70="","",IF($E70&lt;1,ROUND($E70*1440,0),INT($E70/100)*60+MOD($E70,100)))</f>
        <v/>
      </c>
      <c r="L70" s="17" t="str">
        <f aca="false">IF($F70="","",IF($F70&lt;1,ROUND($F70*1440,0),INT($F70/100)*60+MOD($F70,100)))</f>
        <v/>
      </c>
    </row>
    <row r="71" customFormat="false" ht="15" hidden="false" customHeight="true" outlineLevel="0" collapsed="false">
      <c r="A71" s="10"/>
      <c r="B71" s="8"/>
      <c r="C71" s="13" t="str">
        <f aca="false">IF($B71="","",IFERROR(INDEX(직원목록!$B$3:$B$302,MATCH($B71,직원목록!$A$3:$A$302,0)),"미등록사번"))</f>
        <v/>
      </c>
      <c r="D71" s="13" t="str">
        <f aca="false">IF($B71="","",IFERROR(INDEX(직원목록!$C$3:$C$302,MATCH($B71,직원목록!$A$3:$A$302,0)),""))</f>
        <v/>
      </c>
      <c r="E71" s="14"/>
      <c r="F71" s="14"/>
      <c r="G71" s="15"/>
      <c r="H71" s="16" t="str">
        <f aca="false">IF(OR($K71="",$L71=""),"",ROUND(MAX(0,($L71-$K71)-IF($G71="",0,$G71))/60,2))</f>
        <v/>
      </c>
      <c r="I71" s="8"/>
      <c r="J71" s="8"/>
      <c r="K71" s="17" t="str">
        <f aca="false">IF($E71="","",IF($E71&lt;1,ROUND($E71*1440,0),INT($E71/100)*60+MOD($E71,100)))</f>
        <v/>
      </c>
      <c r="L71" s="17" t="str">
        <f aca="false">IF($F71="","",IF($F71&lt;1,ROUND($F71*1440,0),INT($F71/100)*60+MOD($F71,100)))</f>
        <v/>
      </c>
    </row>
    <row r="72" customFormat="false" ht="15" hidden="false" customHeight="true" outlineLevel="0" collapsed="false">
      <c r="A72" s="10"/>
      <c r="B72" s="8"/>
      <c r="C72" s="13" t="str">
        <f aca="false">IF($B72="","",IFERROR(INDEX(직원목록!$B$3:$B$302,MATCH($B72,직원목록!$A$3:$A$302,0)),"미등록사번"))</f>
        <v/>
      </c>
      <c r="D72" s="13" t="str">
        <f aca="false">IF($B72="","",IFERROR(INDEX(직원목록!$C$3:$C$302,MATCH($B72,직원목록!$A$3:$A$302,0)),""))</f>
        <v/>
      </c>
      <c r="E72" s="14"/>
      <c r="F72" s="14"/>
      <c r="G72" s="15"/>
      <c r="H72" s="16" t="str">
        <f aca="false">IF(OR($K72="",$L72=""),"",ROUND(MAX(0,($L72-$K72)-IF($G72="",0,$G72))/60,2))</f>
        <v/>
      </c>
      <c r="I72" s="8"/>
      <c r="J72" s="8"/>
      <c r="K72" s="17" t="str">
        <f aca="false">IF($E72="","",IF($E72&lt;1,ROUND($E72*1440,0),INT($E72/100)*60+MOD($E72,100)))</f>
        <v/>
      </c>
      <c r="L72" s="17" t="str">
        <f aca="false">IF($F72="","",IF($F72&lt;1,ROUND($F72*1440,0),INT($F72/100)*60+MOD($F72,100)))</f>
        <v/>
      </c>
    </row>
    <row r="73" customFormat="false" ht="15" hidden="false" customHeight="true" outlineLevel="0" collapsed="false">
      <c r="A73" s="10"/>
      <c r="B73" s="8"/>
      <c r="C73" s="13" t="str">
        <f aca="false">IF($B73="","",IFERROR(INDEX(직원목록!$B$3:$B$302,MATCH($B73,직원목록!$A$3:$A$302,0)),"미등록사번"))</f>
        <v/>
      </c>
      <c r="D73" s="13" t="str">
        <f aca="false">IF($B73="","",IFERROR(INDEX(직원목록!$C$3:$C$302,MATCH($B73,직원목록!$A$3:$A$302,0)),""))</f>
        <v/>
      </c>
      <c r="E73" s="14"/>
      <c r="F73" s="14"/>
      <c r="G73" s="15"/>
      <c r="H73" s="16" t="str">
        <f aca="false">IF(OR($K73="",$L73=""),"",ROUND(MAX(0,($L73-$K73)-IF($G73="",0,$G73))/60,2))</f>
        <v/>
      </c>
      <c r="I73" s="8"/>
      <c r="J73" s="8"/>
      <c r="K73" s="17" t="str">
        <f aca="false">IF($E73="","",IF($E73&lt;1,ROUND($E73*1440,0),INT($E73/100)*60+MOD($E73,100)))</f>
        <v/>
      </c>
      <c r="L73" s="17" t="str">
        <f aca="false">IF($F73="","",IF($F73&lt;1,ROUND($F73*1440,0),INT($F73/100)*60+MOD($F73,100)))</f>
        <v/>
      </c>
    </row>
    <row r="74" customFormat="false" ht="15" hidden="false" customHeight="true" outlineLevel="0" collapsed="false">
      <c r="A74" s="10"/>
      <c r="B74" s="8"/>
      <c r="C74" s="13" t="str">
        <f aca="false">IF($B74="","",IFERROR(INDEX(직원목록!$B$3:$B$302,MATCH($B74,직원목록!$A$3:$A$302,0)),"미등록사번"))</f>
        <v/>
      </c>
      <c r="D74" s="13" t="str">
        <f aca="false">IF($B74="","",IFERROR(INDEX(직원목록!$C$3:$C$302,MATCH($B74,직원목록!$A$3:$A$302,0)),""))</f>
        <v/>
      </c>
      <c r="E74" s="14"/>
      <c r="F74" s="14"/>
      <c r="G74" s="15"/>
      <c r="H74" s="16" t="str">
        <f aca="false">IF(OR($K74="",$L74=""),"",ROUND(MAX(0,($L74-$K74)-IF($G74="",0,$G74))/60,2))</f>
        <v/>
      </c>
      <c r="I74" s="8"/>
      <c r="J74" s="8"/>
      <c r="K74" s="17" t="str">
        <f aca="false">IF($E74="","",IF($E74&lt;1,ROUND($E74*1440,0),INT($E74/100)*60+MOD($E74,100)))</f>
        <v/>
      </c>
      <c r="L74" s="17" t="str">
        <f aca="false">IF($F74="","",IF($F74&lt;1,ROUND($F74*1440,0),INT($F74/100)*60+MOD($F74,100)))</f>
        <v/>
      </c>
    </row>
    <row r="75" customFormat="false" ht="15" hidden="false" customHeight="true" outlineLevel="0" collapsed="false">
      <c r="A75" s="10"/>
      <c r="B75" s="8"/>
      <c r="C75" s="13" t="str">
        <f aca="false">IF($B75="","",IFERROR(INDEX(직원목록!$B$3:$B$302,MATCH($B75,직원목록!$A$3:$A$302,0)),"미등록사번"))</f>
        <v/>
      </c>
      <c r="D75" s="13" t="str">
        <f aca="false">IF($B75="","",IFERROR(INDEX(직원목록!$C$3:$C$302,MATCH($B75,직원목록!$A$3:$A$302,0)),""))</f>
        <v/>
      </c>
      <c r="E75" s="14"/>
      <c r="F75" s="14"/>
      <c r="G75" s="15"/>
      <c r="H75" s="16" t="str">
        <f aca="false">IF(OR($K75="",$L75=""),"",ROUND(MAX(0,($L75-$K75)-IF($G75="",0,$G75))/60,2))</f>
        <v/>
      </c>
      <c r="I75" s="8"/>
      <c r="J75" s="8"/>
      <c r="K75" s="17" t="str">
        <f aca="false">IF($E75="","",IF($E75&lt;1,ROUND($E75*1440,0),INT($E75/100)*60+MOD($E75,100)))</f>
        <v/>
      </c>
      <c r="L75" s="17" t="str">
        <f aca="false">IF($F75="","",IF($F75&lt;1,ROUND($F75*1440,0),INT($F75/100)*60+MOD($F75,100)))</f>
        <v/>
      </c>
    </row>
    <row r="76" customFormat="false" ht="15" hidden="false" customHeight="true" outlineLevel="0" collapsed="false">
      <c r="A76" s="10"/>
      <c r="B76" s="8"/>
      <c r="C76" s="13" t="str">
        <f aca="false">IF($B76="","",IFERROR(INDEX(직원목록!$B$3:$B$302,MATCH($B76,직원목록!$A$3:$A$302,0)),"미등록사번"))</f>
        <v/>
      </c>
      <c r="D76" s="13" t="str">
        <f aca="false">IF($B76="","",IFERROR(INDEX(직원목록!$C$3:$C$302,MATCH($B76,직원목록!$A$3:$A$302,0)),""))</f>
        <v/>
      </c>
      <c r="E76" s="14"/>
      <c r="F76" s="14"/>
      <c r="G76" s="15"/>
      <c r="H76" s="16" t="str">
        <f aca="false">IF(OR($K76="",$L76=""),"",ROUND(MAX(0,($L76-$K76)-IF($G76="",0,$G76))/60,2))</f>
        <v/>
      </c>
      <c r="I76" s="8"/>
      <c r="J76" s="8"/>
      <c r="K76" s="17" t="str">
        <f aca="false">IF($E76="","",IF($E76&lt;1,ROUND($E76*1440,0),INT($E76/100)*60+MOD($E76,100)))</f>
        <v/>
      </c>
      <c r="L76" s="17" t="str">
        <f aca="false">IF($F76="","",IF($F76&lt;1,ROUND($F76*1440,0),INT($F76/100)*60+MOD($F76,100)))</f>
        <v/>
      </c>
    </row>
    <row r="77" customFormat="false" ht="15" hidden="false" customHeight="true" outlineLevel="0" collapsed="false">
      <c r="A77" s="10"/>
      <c r="B77" s="8"/>
      <c r="C77" s="13" t="str">
        <f aca="false">IF($B77="","",IFERROR(INDEX(직원목록!$B$3:$B$302,MATCH($B77,직원목록!$A$3:$A$302,0)),"미등록사번"))</f>
        <v/>
      </c>
      <c r="D77" s="13" t="str">
        <f aca="false">IF($B77="","",IFERROR(INDEX(직원목록!$C$3:$C$302,MATCH($B77,직원목록!$A$3:$A$302,0)),""))</f>
        <v/>
      </c>
      <c r="E77" s="14"/>
      <c r="F77" s="14"/>
      <c r="G77" s="15"/>
      <c r="H77" s="16" t="str">
        <f aca="false">IF(OR($K77="",$L77=""),"",ROUND(MAX(0,($L77-$K77)-IF($G77="",0,$G77))/60,2))</f>
        <v/>
      </c>
      <c r="I77" s="8"/>
      <c r="J77" s="8"/>
      <c r="K77" s="17" t="str">
        <f aca="false">IF($E77="","",IF($E77&lt;1,ROUND($E77*1440,0),INT($E77/100)*60+MOD($E77,100)))</f>
        <v/>
      </c>
      <c r="L77" s="17" t="str">
        <f aca="false">IF($F77="","",IF($F77&lt;1,ROUND($F77*1440,0),INT($F77/100)*60+MOD($F77,100)))</f>
        <v/>
      </c>
    </row>
    <row r="78" customFormat="false" ht="15" hidden="false" customHeight="true" outlineLevel="0" collapsed="false">
      <c r="A78" s="10"/>
      <c r="B78" s="8"/>
      <c r="C78" s="13" t="str">
        <f aca="false">IF($B78="","",IFERROR(INDEX(직원목록!$B$3:$B$302,MATCH($B78,직원목록!$A$3:$A$302,0)),"미등록사번"))</f>
        <v/>
      </c>
      <c r="D78" s="13" t="str">
        <f aca="false">IF($B78="","",IFERROR(INDEX(직원목록!$C$3:$C$302,MATCH($B78,직원목록!$A$3:$A$302,0)),""))</f>
        <v/>
      </c>
      <c r="E78" s="14"/>
      <c r="F78" s="14"/>
      <c r="G78" s="15"/>
      <c r="H78" s="16" t="str">
        <f aca="false">IF(OR($K78="",$L78=""),"",ROUND(MAX(0,($L78-$K78)-IF($G78="",0,$G78))/60,2))</f>
        <v/>
      </c>
      <c r="I78" s="8"/>
      <c r="J78" s="8"/>
      <c r="K78" s="17" t="str">
        <f aca="false">IF($E78="","",IF($E78&lt;1,ROUND($E78*1440,0),INT($E78/100)*60+MOD($E78,100)))</f>
        <v/>
      </c>
      <c r="L78" s="17" t="str">
        <f aca="false">IF($F78="","",IF($F78&lt;1,ROUND($F78*1440,0),INT($F78/100)*60+MOD($F78,100)))</f>
        <v/>
      </c>
    </row>
    <row r="79" customFormat="false" ht="15" hidden="false" customHeight="true" outlineLevel="0" collapsed="false">
      <c r="A79" s="10"/>
      <c r="B79" s="8"/>
      <c r="C79" s="13" t="str">
        <f aca="false">IF($B79="","",IFERROR(INDEX(직원목록!$B$3:$B$302,MATCH($B79,직원목록!$A$3:$A$302,0)),"미등록사번"))</f>
        <v/>
      </c>
      <c r="D79" s="13" t="str">
        <f aca="false">IF($B79="","",IFERROR(INDEX(직원목록!$C$3:$C$302,MATCH($B79,직원목록!$A$3:$A$302,0)),""))</f>
        <v/>
      </c>
      <c r="E79" s="14"/>
      <c r="F79" s="14"/>
      <c r="G79" s="15"/>
      <c r="H79" s="16" t="str">
        <f aca="false">IF(OR($K79="",$L79=""),"",ROUND(MAX(0,($L79-$K79)-IF($G79="",0,$G79))/60,2))</f>
        <v/>
      </c>
      <c r="I79" s="8"/>
      <c r="J79" s="8"/>
      <c r="K79" s="17" t="str">
        <f aca="false">IF($E79="","",IF($E79&lt;1,ROUND($E79*1440,0),INT($E79/100)*60+MOD($E79,100)))</f>
        <v/>
      </c>
      <c r="L79" s="17" t="str">
        <f aca="false">IF($F79="","",IF($F79&lt;1,ROUND($F79*1440,0),INT($F79/100)*60+MOD($F79,100)))</f>
        <v/>
      </c>
    </row>
    <row r="80" customFormat="false" ht="15" hidden="false" customHeight="true" outlineLevel="0" collapsed="false">
      <c r="A80" s="10"/>
      <c r="B80" s="8"/>
      <c r="C80" s="13" t="str">
        <f aca="false">IF($B80="","",IFERROR(INDEX(직원목록!$B$3:$B$302,MATCH($B80,직원목록!$A$3:$A$302,0)),"미등록사번"))</f>
        <v/>
      </c>
      <c r="D80" s="13" t="str">
        <f aca="false">IF($B80="","",IFERROR(INDEX(직원목록!$C$3:$C$302,MATCH($B80,직원목록!$A$3:$A$302,0)),""))</f>
        <v/>
      </c>
      <c r="E80" s="14"/>
      <c r="F80" s="14"/>
      <c r="G80" s="15"/>
      <c r="H80" s="16" t="str">
        <f aca="false">IF(OR($K80="",$L80=""),"",ROUND(MAX(0,($L80-$K80)-IF($G80="",0,$G80))/60,2))</f>
        <v/>
      </c>
      <c r="I80" s="8"/>
      <c r="J80" s="8"/>
      <c r="K80" s="17" t="str">
        <f aca="false">IF($E80="","",IF($E80&lt;1,ROUND($E80*1440,0),INT($E80/100)*60+MOD($E80,100)))</f>
        <v/>
      </c>
      <c r="L80" s="17" t="str">
        <f aca="false">IF($F80="","",IF($F80&lt;1,ROUND($F80*1440,0),INT($F80/100)*60+MOD($F80,100)))</f>
        <v/>
      </c>
    </row>
    <row r="81" customFormat="false" ht="15" hidden="false" customHeight="true" outlineLevel="0" collapsed="false">
      <c r="A81" s="10"/>
      <c r="B81" s="8"/>
      <c r="C81" s="13" t="str">
        <f aca="false">IF($B81="","",IFERROR(INDEX(직원목록!$B$3:$B$302,MATCH($B81,직원목록!$A$3:$A$302,0)),"미등록사번"))</f>
        <v/>
      </c>
      <c r="D81" s="13" t="str">
        <f aca="false">IF($B81="","",IFERROR(INDEX(직원목록!$C$3:$C$302,MATCH($B81,직원목록!$A$3:$A$302,0)),""))</f>
        <v/>
      </c>
      <c r="E81" s="14"/>
      <c r="F81" s="14"/>
      <c r="G81" s="15"/>
      <c r="H81" s="16" t="str">
        <f aca="false">IF(OR($K81="",$L81=""),"",ROUND(MAX(0,($L81-$K81)-IF($G81="",0,$G81))/60,2))</f>
        <v/>
      </c>
      <c r="I81" s="8"/>
      <c r="J81" s="8"/>
      <c r="K81" s="17" t="str">
        <f aca="false">IF($E81="","",IF($E81&lt;1,ROUND($E81*1440,0),INT($E81/100)*60+MOD($E81,100)))</f>
        <v/>
      </c>
      <c r="L81" s="17" t="str">
        <f aca="false">IF($F81="","",IF($F81&lt;1,ROUND($F81*1440,0),INT($F81/100)*60+MOD($F81,100)))</f>
        <v/>
      </c>
    </row>
    <row r="82" customFormat="false" ht="15" hidden="false" customHeight="true" outlineLevel="0" collapsed="false">
      <c r="A82" s="10"/>
      <c r="B82" s="8"/>
      <c r="C82" s="13" t="str">
        <f aca="false">IF($B82="","",IFERROR(INDEX(직원목록!$B$3:$B$302,MATCH($B82,직원목록!$A$3:$A$302,0)),"미등록사번"))</f>
        <v/>
      </c>
      <c r="D82" s="13" t="str">
        <f aca="false">IF($B82="","",IFERROR(INDEX(직원목록!$C$3:$C$302,MATCH($B82,직원목록!$A$3:$A$302,0)),""))</f>
        <v/>
      </c>
      <c r="E82" s="14"/>
      <c r="F82" s="14"/>
      <c r="G82" s="15"/>
      <c r="H82" s="16" t="str">
        <f aca="false">IF(OR($K82="",$L82=""),"",ROUND(MAX(0,($L82-$K82)-IF($G82="",0,$G82))/60,2))</f>
        <v/>
      </c>
      <c r="I82" s="8"/>
      <c r="J82" s="8"/>
      <c r="K82" s="17" t="str">
        <f aca="false">IF($E82="","",IF($E82&lt;1,ROUND($E82*1440,0),INT($E82/100)*60+MOD($E82,100)))</f>
        <v/>
      </c>
      <c r="L82" s="17" t="str">
        <f aca="false">IF($F82="","",IF($F82&lt;1,ROUND($F82*1440,0),INT($F82/100)*60+MOD($F82,100)))</f>
        <v/>
      </c>
    </row>
    <row r="83" customFormat="false" ht="15" hidden="false" customHeight="true" outlineLevel="0" collapsed="false">
      <c r="A83" s="10"/>
      <c r="B83" s="8"/>
      <c r="C83" s="13" t="str">
        <f aca="false">IF($B83="","",IFERROR(INDEX(직원목록!$B$3:$B$302,MATCH($B83,직원목록!$A$3:$A$302,0)),"미등록사번"))</f>
        <v/>
      </c>
      <c r="D83" s="13" t="str">
        <f aca="false">IF($B83="","",IFERROR(INDEX(직원목록!$C$3:$C$302,MATCH($B83,직원목록!$A$3:$A$302,0)),""))</f>
        <v/>
      </c>
      <c r="E83" s="14"/>
      <c r="F83" s="14"/>
      <c r="G83" s="15"/>
      <c r="H83" s="16" t="str">
        <f aca="false">IF(OR($K83="",$L83=""),"",ROUND(MAX(0,($L83-$K83)-IF($G83="",0,$G83))/60,2))</f>
        <v/>
      </c>
      <c r="I83" s="8"/>
      <c r="J83" s="8"/>
      <c r="K83" s="17" t="str">
        <f aca="false">IF($E83="","",IF($E83&lt;1,ROUND($E83*1440,0),INT($E83/100)*60+MOD($E83,100)))</f>
        <v/>
      </c>
      <c r="L83" s="17" t="str">
        <f aca="false">IF($F83="","",IF($F83&lt;1,ROUND($F83*1440,0),INT($F83/100)*60+MOD($F83,100)))</f>
        <v/>
      </c>
    </row>
    <row r="84" customFormat="false" ht="15" hidden="false" customHeight="true" outlineLevel="0" collapsed="false">
      <c r="A84" s="10"/>
      <c r="B84" s="8"/>
      <c r="C84" s="13" t="str">
        <f aca="false">IF($B84="","",IFERROR(INDEX(직원목록!$B$3:$B$302,MATCH($B84,직원목록!$A$3:$A$302,0)),"미등록사번"))</f>
        <v/>
      </c>
      <c r="D84" s="13" t="str">
        <f aca="false">IF($B84="","",IFERROR(INDEX(직원목록!$C$3:$C$302,MATCH($B84,직원목록!$A$3:$A$302,0)),""))</f>
        <v/>
      </c>
      <c r="E84" s="14"/>
      <c r="F84" s="14"/>
      <c r="G84" s="15"/>
      <c r="H84" s="16" t="str">
        <f aca="false">IF(OR($K84="",$L84=""),"",ROUND(MAX(0,($L84-$K84)-IF($G84="",0,$G84))/60,2))</f>
        <v/>
      </c>
      <c r="I84" s="8"/>
      <c r="J84" s="8"/>
      <c r="K84" s="17" t="str">
        <f aca="false">IF($E84="","",IF($E84&lt;1,ROUND($E84*1440,0),INT($E84/100)*60+MOD($E84,100)))</f>
        <v/>
      </c>
      <c r="L84" s="17" t="str">
        <f aca="false">IF($F84="","",IF($F84&lt;1,ROUND($F84*1440,0),INT($F84/100)*60+MOD($F84,100)))</f>
        <v/>
      </c>
    </row>
    <row r="85" customFormat="false" ht="15" hidden="false" customHeight="true" outlineLevel="0" collapsed="false">
      <c r="A85" s="10"/>
      <c r="B85" s="8"/>
      <c r="C85" s="13" t="str">
        <f aca="false">IF($B85="","",IFERROR(INDEX(직원목록!$B$3:$B$302,MATCH($B85,직원목록!$A$3:$A$302,0)),"미등록사번"))</f>
        <v/>
      </c>
      <c r="D85" s="13" t="str">
        <f aca="false">IF($B85="","",IFERROR(INDEX(직원목록!$C$3:$C$302,MATCH($B85,직원목록!$A$3:$A$302,0)),""))</f>
        <v/>
      </c>
      <c r="E85" s="14"/>
      <c r="F85" s="14"/>
      <c r="G85" s="15"/>
      <c r="H85" s="16" t="str">
        <f aca="false">IF(OR($K85="",$L85=""),"",ROUND(MAX(0,($L85-$K85)-IF($G85="",0,$G85))/60,2))</f>
        <v/>
      </c>
      <c r="I85" s="8"/>
      <c r="J85" s="8"/>
      <c r="K85" s="17" t="str">
        <f aca="false">IF($E85="","",IF($E85&lt;1,ROUND($E85*1440,0),INT($E85/100)*60+MOD($E85,100)))</f>
        <v/>
      </c>
      <c r="L85" s="17" t="str">
        <f aca="false">IF($F85="","",IF($F85&lt;1,ROUND($F85*1440,0),INT($F85/100)*60+MOD($F85,100)))</f>
        <v/>
      </c>
    </row>
    <row r="86" customFormat="false" ht="15" hidden="false" customHeight="true" outlineLevel="0" collapsed="false">
      <c r="A86" s="10"/>
      <c r="B86" s="8"/>
      <c r="C86" s="13" t="str">
        <f aca="false">IF($B86="","",IFERROR(INDEX(직원목록!$B$3:$B$302,MATCH($B86,직원목록!$A$3:$A$302,0)),"미등록사번"))</f>
        <v/>
      </c>
      <c r="D86" s="13" t="str">
        <f aca="false">IF($B86="","",IFERROR(INDEX(직원목록!$C$3:$C$302,MATCH($B86,직원목록!$A$3:$A$302,0)),""))</f>
        <v/>
      </c>
      <c r="E86" s="14"/>
      <c r="F86" s="14"/>
      <c r="G86" s="15"/>
      <c r="H86" s="16" t="str">
        <f aca="false">IF(OR($K86="",$L86=""),"",ROUND(MAX(0,($L86-$K86)-IF($G86="",0,$G86))/60,2))</f>
        <v/>
      </c>
      <c r="I86" s="8"/>
      <c r="J86" s="8"/>
      <c r="K86" s="17" t="str">
        <f aca="false">IF($E86="","",IF($E86&lt;1,ROUND($E86*1440,0),INT($E86/100)*60+MOD($E86,100)))</f>
        <v/>
      </c>
      <c r="L86" s="17" t="str">
        <f aca="false">IF($F86="","",IF($F86&lt;1,ROUND($F86*1440,0),INT($F86/100)*60+MOD($F86,100)))</f>
        <v/>
      </c>
    </row>
    <row r="87" customFormat="false" ht="15" hidden="false" customHeight="true" outlineLevel="0" collapsed="false">
      <c r="A87" s="10"/>
      <c r="B87" s="8"/>
      <c r="C87" s="13" t="str">
        <f aca="false">IF($B87="","",IFERROR(INDEX(직원목록!$B$3:$B$302,MATCH($B87,직원목록!$A$3:$A$302,0)),"미등록사번"))</f>
        <v/>
      </c>
      <c r="D87" s="13" t="str">
        <f aca="false">IF($B87="","",IFERROR(INDEX(직원목록!$C$3:$C$302,MATCH($B87,직원목록!$A$3:$A$302,0)),""))</f>
        <v/>
      </c>
      <c r="E87" s="14"/>
      <c r="F87" s="14"/>
      <c r="G87" s="15"/>
      <c r="H87" s="16" t="str">
        <f aca="false">IF(OR($K87="",$L87=""),"",ROUND(MAX(0,($L87-$K87)-IF($G87="",0,$G87))/60,2))</f>
        <v/>
      </c>
      <c r="I87" s="8"/>
      <c r="J87" s="8"/>
      <c r="K87" s="17" t="str">
        <f aca="false">IF($E87="","",IF($E87&lt;1,ROUND($E87*1440,0),INT($E87/100)*60+MOD($E87,100)))</f>
        <v/>
      </c>
      <c r="L87" s="17" t="str">
        <f aca="false">IF($F87="","",IF($F87&lt;1,ROUND($F87*1440,0),INT($F87/100)*60+MOD($F87,100)))</f>
        <v/>
      </c>
    </row>
    <row r="88" customFormat="false" ht="15" hidden="false" customHeight="true" outlineLevel="0" collapsed="false">
      <c r="A88" s="10"/>
      <c r="B88" s="8"/>
      <c r="C88" s="13" t="str">
        <f aca="false">IF($B88="","",IFERROR(INDEX(직원목록!$B$3:$B$302,MATCH($B88,직원목록!$A$3:$A$302,0)),"미등록사번"))</f>
        <v/>
      </c>
      <c r="D88" s="13" t="str">
        <f aca="false">IF($B88="","",IFERROR(INDEX(직원목록!$C$3:$C$302,MATCH($B88,직원목록!$A$3:$A$302,0)),""))</f>
        <v/>
      </c>
      <c r="E88" s="14"/>
      <c r="F88" s="14"/>
      <c r="G88" s="15"/>
      <c r="H88" s="16" t="str">
        <f aca="false">IF(OR($K88="",$L88=""),"",ROUND(MAX(0,($L88-$K88)-IF($G88="",0,$G88))/60,2))</f>
        <v/>
      </c>
      <c r="I88" s="8"/>
      <c r="J88" s="8"/>
      <c r="K88" s="17" t="str">
        <f aca="false">IF($E88="","",IF($E88&lt;1,ROUND($E88*1440,0),INT($E88/100)*60+MOD($E88,100)))</f>
        <v/>
      </c>
      <c r="L88" s="17" t="str">
        <f aca="false">IF($F88="","",IF($F88&lt;1,ROUND($F88*1440,0),INT($F88/100)*60+MOD($F88,100)))</f>
        <v/>
      </c>
    </row>
    <row r="89" customFormat="false" ht="15" hidden="false" customHeight="true" outlineLevel="0" collapsed="false">
      <c r="A89" s="10"/>
      <c r="B89" s="8"/>
      <c r="C89" s="13" t="str">
        <f aca="false">IF($B89="","",IFERROR(INDEX(직원목록!$B$3:$B$302,MATCH($B89,직원목록!$A$3:$A$302,0)),"미등록사번"))</f>
        <v/>
      </c>
      <c r="D89" s="13" t="str">
        <f aca="false">IF($B89="","",IFERROR(INDEX(직원목록!$C$3:$C$302,MATCH($B89,직원목록!$A$3:$A$302,0)),""))</f>
        <v/>
      </c>
      <c r="E89" s="14"/>
      <c r="F89" s="14"/>
      <c r="G89" s="15"/>
      <c r="H89" s="16" t="str">
        <f aca="false">IF(OR($K89="",$L89=""),"",ROUND(MAX(0,($L89-$K89)-IF($G89="",0,$G89))/60,2))</f>
        <v/>
      </c>
      <c r="I89" s="8"/>
      <c r="J89" s="8"/>
      <c r="K89" s="17" t="str">
        <f aca="false">IF($E89="","",IF($E89&lt;1,ROUND($E89*1440,0),INT($E89/100)*60+MOD($E89,100)))</f>
        <v/>
      </c>
      <c r="L89" s="17" t="str">
        <f aca="false">IF($F89="","",IF($F89&lt;1,ROUND($F89*1440,0),INT($F89/100)*60+MOD($F89,100)))</f>
        <v/>
      </c>
    </row>
    <row r="90" customFormat="false" ht="15" hidden="false" customHeight="true" outlineLevel="0" collapsed="false">
      <c r="A90" s="10"/>
      <c r="B90" s="8"/>
      <c r="C90" s="13" t="str">
        <f aca="false">IF($B90="","",IFERROR(INDEX(직원목록!$B$3:$B$302,MATCH($B90,직원목록!$A$3:$A$302,0)),"미등록사번"))</f>
        <v/>
      </c>
      <c r="D90" s="13" t="str">
        <f aca="false">IF($B90="","",IFERROR(INDEX(직원목록!$C$3:$C$302,MATCH($B90,직원목록!$A$3:$A$302,0)),""))</f>
        <v/>
      </c>
      <c r="E90" s="14"/>
      <c r="F90" s="14"/>
      <c r="G90" s="15"/>
      <c r="H90" s="16" t="str">
        <f aca="false">IF(OR($K90="",$L90=""),"",ROUND(MAX(0,($L90-$K90)-IF($G90="",0,$G90))/60,2))</f>
        <v/>
      </c>
      <c r="I90" s="8"/>
      <c r="J90" s="8"/>
      <c r="K90" s="17" t="str">
        <f aca="false">IF($E90="","",IF($E90&lt;1,ROUND($E90*1440,0),INT($E90/100)*60+MOD($E90,100)))</f>
        <v/>
      </c>
      <c r="L90" s="17" t="str">
        <f aca="false">IF($F90="","",IF($F90&lt;1,ROUND($F90*1440,0),INT($F90/100)*60+MOD($F90,100)))</f>
        <v/>
      </c>
    </row>
    <row r="91" customFormat="false" ht="15" hidden="false" customHeight="true" outlineLevel="0" collapsed="false">
      <c r="A91" s="10"/>
      <c r="B91" s="8"/>
      <c r="C91" s="13" t="str">
        <f aca="false">IF($B91="","",IFERROR(INDEX(직원목록!$B$3:$B$302,MATCH($B91,직원목록!$A$3:$A$302,0)),"미등록사번"))</f>
        <v/>
      </c>
      <c r="D91" s="13" t="str">
        <f aca="false">IF($B91="","",IFERROR(INDEX(직원목록!$C$3:$C$302,MATCH($B91,직원목록!$A$3:$A$302,0)),""))</f>
        <v/>
      </c>
      <c r="E91" s="14"/>
      <c r="F91" s="14"/>
      <c r="G91" s="15"/>
      <c r="H91" s="16" t="str">
        <f aca="false">IF(OR($K91="",$L91=""),"",ROUND(MAX(0,($L91-$K91)-IF($G91="",0,$G91))/60,2))</f>
        <v/>
      </c>
      <c r="I91" s="8"/>
      <c r="J91" s="8"/>
      <c r="K91" s="17" t="str">
        <f aca="false">IF($E91="","",IF($E91&lt;1,ROUND($E91*1440,0),INT($E91/100)*60+MOD($E91,100)))</f>
        <v/>
      </c>
      <c r="L91" s="17" t="str">
        <f aca="false">IF($F91="","",IF($F91&lt;1,ROUND($F91*1440,0),INT($F91/100)*60+MOD($F91,100)))</f>
        <v/>
      </c>
    </row>
    <row r="92" customFormat="false" ht="15" hidden="false" customHeight="true" outlineLevel="0" collapsed="false">
      <c r="A92" s="10"/>
      <c r="B92" s="8"/>
      <c r="C92" s="13" t="str">
        <f aca="false">IF($B92="","",IFERROR(INDEX(직원목록!$B$3:$B$302,MATCH($B92,직원목록!$A$3:$A$302,0)),"미등록사번"))</f>
        <v/>
      </c>
      <c r="D92" s="13" t="str">
        <f aca="false">IF($B92="","",IFERROR(INDEX(직원목록!$C$3:$C$302,MATCH($B92,직원목록!$A$3:$A$302,0)),""))</f>
        <v/>
      </c>
      <c r="E92" s="14"/>
      <c r="F92" s="14"/>
      <c r="G92" s="15"/>
      <c r="H92" s="16" t="str">
        <f aca="false">IF(OR($K92="",$L92=""),"",ROUND(MAX(0,($L92-$K92)-IF($G92="",0,$G92))/60,2))</f>
        <v/>
      </c>
      <c r="I92" s="8"/>
      <c r="J92" s="8"/>
      <c r="K92" s="17" t="str">
        <f aca="false">IF($E92="","",IF($E92&lt;1,ROUND($E92*1440,0),INT($E92/100)*60+MOD($E92,100)))</f>
        <v/>
      </c>
      <c r="L92" s="17" t="str">
        <f aca="false">IF($F92="","",IF($F92&lt;1,ROUND($F92*1440,0),INT($F92/100)*60+MOD($F92,100)))</f>
        <v/>
      </c>
    </row>
    <row r="93" customFormat="false" ht="15" hidden="false" customHeight="true" outlineLevel="0" collapsed="false">
      <c r="A93" s="10"/>
      <c r="B93" s="8"/>
      <c r="C93" s="13" t="str">
        <f aca="false">IF($B93="","",IFERROR(INDEX(직원목록!$B$3:$B$302,MATCH($B93,직원목록!$A$3:$A$302,0)),"미등록사번"))</f>
        <v/>
      </c>
      <c r="D93" s="13" t="str">
        <f aca="false">IF($B93="","",IFERROR(INDEX(직원목록!$C$3:$C$302,MATCH($B93,직원목록!$A$3:$A$302,0)),""))</f>
        <v/>
      </c>
      <c r="E93" s="14"/>
      <c r="F93" s="14"/>
      <c r="G93" s="15"/>
      <c r="H93" s="16" t="str">
        <f aca="false">IF(OR($K93="",$L93=""),"",ROUND(MAX(0,($L93-$K93)-IF($G93="",0,$G93))/60,2))</f>
        <v/>
      </c>
      <c r="I93" s="8"/>
      <c r="J93" s="8"/>
      <c r="K93" s="17" t="str">
        <f aca="false">IF($E93="","",IF($E93&lt;1,ROUND($E93*1440,0),INT($E93/100)*60+MOD($E93,100)))</f>
        <v/>
      </c>
      <c r="L93" s="17" t="str">
        <f aca="false">IF($F93="","",IF($F93&lt;1,ROUND($F93*1440,0),INT($F93/100)*60+MOD($F93,100)))</f>
        <v/>
      </c>
    </row>
    <row r="94" customFormat="false" ht="15" hidden="false" customHeight="true" outlineLevel="0" collapsed="false">
      <c r="A94" s="10"/>
      <c r="B94" s="8"/>
      <c r="C94" s="13" t="str">
        <f aca="false">IF($B94="","",IFERROR(INDEX(직원목록!$B$3:$B$302,MATCH($B94,직원목록!$A$3:$A$302,0)),"미등록사번"))</f>
        <v/>
      </c>
      <c r="D94" s="13" t="str">
        <f aca="false">IF($B94="","",IFERROR(INDEX(직원목록!$C$3:$C$302,MATCH($B94,직원목록!$A$3:$A$302,0)),""))</f>
        <v/>
      </c>
      <c r="E94" s="14"/>
      <c r="F94" s="14"/>
      <c r="G94" s="15"/>
      <c r="H94" s="16" t="str">
        <f aca="false">IF(OR($K94="",$L94=""),"",ROUND(MAX(0,($L94-$K94)-IF($G94="",0,$G94))/60,2))</f>
        <v/>
      </c>
      <c r="I94" s="8"/>
      <c r="J94" s="8"/>
      <c r="K94" s="17" t="str">
        <f aca="false">IF($E94="","",IF($E94&lt;1,ROUND($E94*1440,0),INT($E94/100)*60+MOD($E94,100)))</f>
        <v/>
      </c>
      <c r="L94" s="17" t="str">
        <f aca="false">IF($F94="","",IF($F94&lt;1,ROUND($F94*1440,0),INT($F94/100)*60+MOD($F94,100)))</f>
        <v/>
      </c>
    </row>
    <row r="95" customFormat="false" ht="15" hidden="false" customHeight="true" outlineLevel="0" collapsed="false">
      <c r="A95" s="10"/>
      <c r="B95" s="8"/>
      <c r="C95" s="13" t="str">
        <f aca="false">IF($B95="","",IFERROR(INDEX(직원목록!$B$3:$B$302,MATCH($B95,직원목록!$A$3:$A$302,0)),"미등록사번"))</f>
        <v/>
      </c>
      <c r="D95" s="13" t="str">
        <f aca="false">IF($B95="","",IFERROR(INDEX(직원목록!$C$3:$C$302,MATCH($B95,직원목록!$A$3:$A$302,0)),""))</f>
        <v/>
      </c>
      <c r="E95" s="14"/>
      <c r="F95" s="14"/>
      <c r="G95" s="15"/>
      <c r="H95" s="16" t="str">
        <f aca="false">IF(OR($K95="",$L95=""),"",ROUND(MAX(0,($L95-$K95)-IF($G95="",0,$G95))/60,2))</f>
        <v/>
      </c>
      <c r="I95" s="8"/>
      <c r="J95" s="8"/>
      <c r="K95" s="17" t="str">
        <f aca="false">IF($E95="","",IF($E95&lt;1,ROUND($E95*1440,0),INT($E95/100)*60+MOD($E95,100)))</f>
        <v/>
      </c>
      <c r="L95" s="17" t="str">
        <f aca="false">IF($F95="","",IF($F95&lt;1,ROUND($F95*1440,0),INT($F95/100)*60+MOD($F95,100)))</f>
        <v/>
      </c>
    </row>
    <row r="96" customFormat="false" ht="15" hidden="false" customHeight="true" outlineLevel="0" collapsed="false">
      <c r="A96" s="10"/>
      <c r="B96" s="8"/>
      <c r="C96" s="13" t="str">
        <f aca="false">IF($B96="","",IFERROR(INDEX(직원목록!$B$3:$B$302,MATCH($B96,직원목록!$A$3:$A$302,0)),"미등록사번"))</f>
        <v/>
      </c>
      <c r="D96" s="13" t="str">
        <f aca="false">IF($B96="","",IFERROR(INDEX(직원목록!$C$3:$C$302,MATCH($B96,직원목록!$A$3:$A$302,0)),""))</f>
        <v/>
      </c>
      <c r="E96" s="14"/>
      <c r="F96" s="14"/>
      <c r="G96" s="15"/>
      <c r="H96" s="16" t="str">
        <f aca="false">IF(OR($K96="",$L96=""),"",ROUND(MAX(0,($L96-$K96)-IF($G96="",0,$G96))/60,2))</f>
        <v/>
      </c>
      <c r="I96" s="8"/>
      <c r="J96" s="8"/>
      <c r="K96" s="17" t="str">
        <f aca="false">IF($E96="","",IF($E96&lt;1,ROUND($E96*1440,0),INT($E96/100)*60+MOD($E96,100)))</f>
        <v/>
      </c>
      <c r="L96" s="17" t="str">
        <f aca="false">IF($F96="","",IF($F96&lt;1,ROUND($F96*1440,0),INT($F96/100)*60+MOD($F96,100)))</f>
        <v/>
      </c>
    </row>
    <row r="97" customFormat="false" ht="15" hidden="false" customHeight="true" outlineLevel="0" collapsed="false">
      <c r="A97" s="10"/>
      <c r="B97" s="8"/>
      <c r="C97" s="13" t="str">
        <f aca="false">IF($B97="","",IFERROR(INDEX(직원목록!$B$3:$B$302,MATCH($B97,직원목록!$A$3:$A$302,0)),"미등록사번"))</f>
        <v/>
      </c>
      <c r="D97" s="13" t="str">
        <f aca="false">IF($B97="","",IFERROR(INDEX(직원목록!$C$3:$C$302,MATCH($B97,직원목록!$A$3:$A$302,0)),""))</f>
        <v/>
      </c>
      <c r="E97" s="14"/>
      <c r="F97" s="14"/>
      <c r="G97" s="15"/>
      <c r="H97" s="16" t="str">
        <f aca="false">IF(OR($K97="",$L97=""),"",ROUND(MAX(0,($L97-$K97)-IF($G97="",0,$G97))/60,2))</f>
        <v/>
      </c>
      <c r="I97" s="8"/>
      <c r="J97" s="8"/>
      <c r="K97" s="17" t="str">
        <f aca="false">IF($E97="","",IF($E97&lt;1,ROUND($E97*1440,0),INT($E97/100)*60+MOD($E97,100)))</f>
        <v/>
      </c>
      <c r="L97" s="17" t="str">
        <f aca="false">IF($F97="","",IF($F97&lt;1,ROUND($F97*1440,0),INT($F97/100)*60+MOD($F97,100)))</f>
        <v/>
      </c>
    </row>
    <row r="98" customFormat="false" ht="15" hidden="false" customHeight="true" outlineLevel="0" collapsed="false">
      <c r="A98" s="10"/>
      <c r="B98" s="8"/>
      <c r="C98" s="13" t="str">
        <f aca="false">IF($B98="","",IFERROR(INDEX(직원목록!$B$3:$B$302,MATCH($B98,직원목록!$A$3:$A$302,0)),"미등록사번"))</f>
        <v/>
      </c>
      <c r="D98" s="13" t="str">
        <f aca="false">IF($B98="","",IFERROR(INDEX(직원목록!$C$3:$C$302,MATCH($B98,직원목록!$A$3:$A$302,0)),""))</f>
        <v/>
      </c>
      <c r="E98" s="14"/>
      <c r="F98" s="14"/>
      <c r="G98" s="15"/>
      <c r="H98" s="16" t="str">
        <f aca="false">IF(OR($K98="",$L98=""),"",ROUND(MAX(0,($L98-$K98)-IF($G98="",0,$G98))/60,2))</f>
        <v/>
      </c>
      <c r="I98" s="8"/>
      <c r="J98" s="8"/>
      <c r="K98" s="17" t="str">
        <f aca="false">IF($E98="","",IF($E98&lt;1,ROUND($E98*1440,0),INT($E98/100)*60+MOD($E98,100)))</f>
        <v/>
      </c>
      <c r="L98" s="17" t="str">
        <f aca="false">IF($F98="","",IF($F98&lt;1,ROUND($F98*1440,0),INT($F98/100)*60+MOD($F98,100)))</f>
        <v/>
      </c>
    </row>
    <row r="99" customFormat="false" ht="15" hidden="false" customHeight="true" outlineLevel="0" collapsed="false">
      <c r="A99" s="10"/>
      <c r="B99" s="8"/>
      <c r="C99" s="13" t="str">
        <f aca="false">IF($B99="","",IFERROR(INDEX(직원목록!$B$3:$B$302,MATCH($B99,직원목록!$A$3:$A$302,0)),"미등록사번"))</f>
        <v/>
      </c>
      <c r="D99" s="13" t="str">
        <f aca="false">IF($B99="","",IFERROR(INDEX(직원목록!$C$3:$C$302,MATCH($B99,직원목록!$A$3:$A$302,0)),""))</f>
        <v/>
      </c>
      <c r="E99" s="14"/>
      <c r="F99" s="14"/>
      <c r="G99" s="15"/>
      <c r="H99" s="16" t="str">
        <f aca="false">IF(OR($K99="",$L99=""),"",ROUND(MAX(0,($L99-$K99)-IF($G99="",0,$G99))/60,2))</f>
        <v/>
      </c>
      <c r="I99" s="8"/>
      <c r="J99" s="8"/>
      <c r="K99" s="17" t="str">
        <f aca="false">IF($E99="","",IF($E99&lt;1,ROUND($E99*1440,0),INT($E99/100)*60+MOD($E99,100)))</f>
        <v/>
      </c>
      <c r="L99" s="17" t="str">
        <f aca="false">IF($F99="","",IF($F99&lt;1,ROUND($F99*1440,0),INT($F99/100)*60+MOD($F99,100)))</f>
        <v/>
      </c>
    </row>
    <row r="100" customFormat="false" ht="15" hidden="false" customHeight="true" outlineLevel="0" collapsed="false">
      <c r="A100" s="10"/>
      <c r="B100" s="8"/>
      <c r="C100" s="13" t="str">
        <f aca="false">IF($B100="","",IFERROR(INDEX(직원목록!$B$3:$B$302,MATCH($B100,직원목록!$A$3:$A$302,0)),"미등록사번"))</f>
        <v/>
      </c>
      <c r="D100" s="13" t="str">
        <f aca="false">IF($B100="","",IFERROR(INDEX(직원목록!$C$3:$C$302,MATCH($B100,직원목록!$A$3:$A$302,0)),""))</f>
        <v/>
      </c>
      <c r="E100" s="14"/>
      <c r="F100" s="14"/>
      <c r="G100" s="15"/>
      <c r="H100" s="16" t="str">
        <f aca="false">IF(OR($K100="",$L100=""),"",ROUND(MAX(0,($L100-$K100)-IF($G100="",0,$G100))/60,2))</f>
        <v/>
      </c>
      <c r="I100" s="8"/>
      <c r="J100" s="8"/>
      <c r="K100" s="17" t="str">
        <f aca="false">IF($E100="","",IF($E100&lt;1,ROUND($E100*1440,0),INT($E100/100)*60+MOD($E100,100)))</f>
        <v/>
      </c>
      <c r="L100" s="17" t="str">
        <f aca="false">IF($F100="","",IF($F100&lt;1,ROUND($F100*1440,0),INT($F100/100)*60+MOD($F100,100)))</f>
        <v/>
      </c>
    </row>
    <row r="101" customFormat="false" ht="15" hidden="false" customHeight="true" outlineLevel="0" collapsed="false">
      <c r="A101" s="10"/>
      <c r="B101" s="8"/>
      <c r="C101" s="13" t="str">
        <f aca="false">IF($B101="","",IFERROR(INDEX(직원목록!$B$3:$B$302,MATCH($B101,직원목록!$A$3:$A$302,0)),"미등록사번"))</f>
        <v/>
      </c>
      <c r="D101" s="13" t="str">
        <f aca="false">IF($B101="","",IFERROR(INDEX(직원목록!$C$3:$C$302,MATCH($B101,직원목록!$A$3:$A$302,0)),""))</f>
        <v/>
      </c>
      <c r="E101" s="14"/>
      <c r="F101" s="14"/>
      <c r="G101" s="15"/>
      <c r="H101" s="16" t="str">
        <f aca="false">IF(OR($K101="",$L101=""),"",ROUND(MAX(0,($L101-$K101)-IF($G101="",0,$G101))/60,2))</f>
        <v/>
      </c>
      <c r="I101" s="8"/>
      <c r="J101" s="8"/>
      <c r="K101" s="17" t="str">
        <f aca="false">IF($E101="","",IF($E101&lt;1,ROUND($E101*1440,0),INT($E101/100)*60+MOD($E101,100)))</f>
        <v/>
      </c>
      <c r="L101" s="17" t="str">
        <f aca="false">IF($F101="","",IF($F101&lt;1,ROUND($F101*1440,0),INT($F101/100)*60+MOD($F101,100)))</f>
        <v/>
      </c>
    </row>
    <row r="102" customFormat="false" ht="15" hidden="false" customHeight="true" outlineLevel="0" collapsed="false">
      <c r="A102" s="10"/>
      <c r="B102" s="8"/>
      <c r="C102" s="13" t="str">
        <f aca="false">IF($B102="","",IFERROR(INDEX(직원목록!$B$3:$B$302,MATCH($B102,직원목록!$A$3:$A$302,0)),"미등록사번"))</f>
        <v/>
      </c>
      <c r="D102" s="13" t="str">
        <f aca="false">IF($B102="","",IFERROR(INDEX(직원목록!$C$3:$C$302,MATCH($B102,직원목록!$A$3:$A$302,0)),""))</f>
        <v/>
      </c>
      <c r="E102" s="14"/>
      <c r="F102" s="14"/>
      <c r="G102" s="15"/>
      <c r="H102" s="16" t="str">
        <f aca="false">IF(OR($K102="",$L102=""),"",ROUND(MAX(0,($L102-$K102)-IF($G102="",0,$G102))/60,2))</f>
        <v/>
      </c>
      <c r="I102" s="8"/>
      <c r="J102" s="8"/>
      <c r="K102" s="17" t="str">
        <f aca="false">IF($E102="","",IF($E102&lt;1,ROUND($E102*1440,0),INT($E102/100)*60+MOD($E102,100)))</f>
        <v/>
      </c>
      <c r="L102" s="17" t="str">
        <f aca="false">IF($F102="","",IF($F102&lt;1,ROUND($F102*1440,0),INT($F102/100)*60+MOD($F102,100)))</f>
        <v/>
      </c>
    </row>
    <row r="103" customFormat="false" ht="15" hidden="false" customHeight="true" outlineLevel="0" collapsed="false">
      <c r="A103" s="10"/>
      <c r="B103" s="8"/>
      <c r="C103" s="13" t="str">
        <f aca="false">IF($B103="","",IFERROR(INDEX(직원목록!$B$3:$B$302,MATCH($B103,직원목록!$A$3:$A$302,0)),"미등록사번"))</f>
        <v/>
      </c>
      <c r="D103" s="13" t="str">
        <f aca="false">IF($B103="","",IFERROR(INDEX(직원목록!$C$3:$C$302,MATCH($B103,직원목록!$A$3:$A$302,0)),""))</f>
        <v/>
      </c>
      <c r="E103" s="14"/>
      <c r="F103" s="14"/>
      <c r="G103" s="15"/>
      <c r="H103" s="16" t="str">
        <f aca="false">IF(OR($K103="",$L103=""),"",ROUND(MAX(0,($L103-$K103)-IF($G103="",0,$G103))/60,2))</f>
        <v/>
      </c>
      <c r="I103" s="8"/>
      <c r="J103" s="8"/>
      <c r="K103" s="17" t="str">
        <f aca="false">IF($E103="","",IF($E103&lt;1,ROUND($E103*1440,0),INT($E103/100)*60+MOD($E103,100)))</f>
        <v/>
      </c>
      <c r="L103" s="17" t="str">
        <f aca="false">IF($F103="","",IF($F103&lt;1,ROUND($F103*1440,0),INT($F103/100)*60+MOD($F103,100)))</f>
        <v/>
      </c>
    </row>
    <row r="104" customFormat="false" ht="15" hidden="false" customHeight="true" outlineLevel="0" collapsed="false">
      <c r="A104" s="10"/>
      <c r="B104" s="8"/>
      <c r="C104" s="13" t="str">
        <f aca="false">IF($B104="","",IFERROR(INDEX(직원목록!$B$3:$B$302,MATCH($B104,직원목록!$A$3:$A$302,0)),"미등록사번"))</f>
        <v/>
      </c>
      <c r="D104" s="13" t="str">
        <f aca="false">IF($B104="","",IFERROR(INDEX(직원목록!$C$3:$C$302,MATCH($B104,직원목록!$A$3:$A$302,0)),""))</f>
        <v/>
      </c>
      <c r="E104" s="14"/>
      <c r="F104" s="14"/>
      <c r="G104" s="15"/>
      <c r="H104" s="16" t="str">
        <f aca="false">IF(OR($K104="",$L104=""),"",ROUND(MAX(0,($L104-$K104)-IF($G104="",0,$G104))/60,2))</f>
        <v/>
      </c>
      <c r="I104" s="8"/>
      <c r="J104" s="8"/>
      <c r="K104" s="17" t="str">
        <f aca="false">IF($E104="","",IF($E104&lt;1,ROUND($E104*1440,0),INT($E104/100)*60+MOD($E104,100)))</f>
        <v/>
      </c>
      <c r="L104" s="17" t="str">
        <f aca="false">IF($F104="","",IF($F104&lt;1,ROUND($F104*1440,0),INT($F104/100)*60+MOD($F104,100)))</f>
        <v/>
      </c>
    </row>
    <row r="105" customFormat="false" ht="15" hidden="false" customHeight="true" outlineLevel="0" collapsed="false">
      <c r="A105" s="10"/>
      <c r="B105" s="8"/>
      <c r="C105" s="13" t="str">
        <f aca="false">IF($B105="","",IFERROR(INDEX(직원목록!$B$3:$B$302,MATCH($B105,직원목록!$A$3:$A$302,0)),"미등록사번"))</f>
        <v/>
      </c>
      <c r="D105" s="13" t="str">
        <f aca="false">IF($B105="","",IFERROR(INDEX(직원목록!$C$3:$C$302,MATCH($B105,직원목록!$A$3:$A$302,0)),""))</f>
        <v/>
      </c>
      <c r="E105" s="14"/>
      <c r="F105" s="14"/>
      <c r="G105" s="15"/>
      <c r="H105" s="16" t="str">
        <f aca="false">IF(OR($K105="",$L105=""),"",ROUND(MAX(0,($L105-$K105)-IF($G105="",0,$G105))/60,2))</f>
        <v/>
      </c>
      <c r="I105" s="8"/>
      <c r="J105" s="8"/>
      <c r="K105" s="17" t="str">
        <f aca="false">IF($E105="","",IF($E105&lt;1,ROUND($E105*1440,0),INT($E105/100)*60+MOD($E105,100)))</f>
        <v/>
      </c>
      <c r="L105" s="17" t="str">
        <f aca="false">IF($F105="","",IF($F105&lt;1,ROUND($F105*1440,0),INT($F105/100)*60+MOD($F105,100)))</f>
        <v/>
      </c>
    </row>
    <row r="106" customFormat="false" ht="15" hidden="false" customHeight="true" outlineLevel="0" collapsed="false">
      <c r="A106" s="10"/>
      <c r="B106" s="8"/>
      <c r="C106" s="13" t="str">
        <f aca="false">IF($B106="","",IFERROR(INDEX(직원목록!$B$3:$B$302,MATCH($B106,직원목록!$A$3:$A$302,0)),"미등록사번"))</f>
        <v/>
      </c>
      <c r="D106" s="13" t="str">
        <f aca="false">IF($B106="","",IFERROR(INDEX(직원목록!$C$3:$C$302,MATCH($B106,직원목록!$A$3:$A$302,0)),""))</f>
        <v/>
      </c>
      <c r="E106" s="14"/>
      <c r="F106" s="14"/>
      <c r="G106" s="15"/>
      <c r="H106" s="16" t="str">
        <f aca="false">IF(OR($K106="",$L106=""),"",ROUND(MAX(0,($L106-$K106)-IF($G106="",0,$G106))/60,2))</f>
        <v/>
      </c>
      <c r="I106" s="8"/>
      <c r="J106" s="8"/>
      <c r="K106" s="17" t="str">
        <f aca="false">IF($E106="","",IF($E106&lt;1,ROUND($E106*1440,0),INT($E106/100)*60+MOD($E106,100)))</f>
        <v/>
      </c>
      <c r="L106" s="17" t="str">
        <f aca="false">IF($F106="","",IF($F106&lt;1,ROUND($F106*1440,0),INT($F106/100)*60+MOD($F106,100)))</f>
        <v/>
      </c>
    </row>
    <row r="107" customFormat="false" ht="15" hidden="false" customHeight="true" outlineLevel="0" collapsed="false">
      <c r="A107" s="10"/>
      <c r="B107" s="8"/>
      <c r="C107" s="13" t="str">
        <f aca="false">IF($B107="","",IFERROR(INDEX(직원목록!$B$3:$B$302,MATCH($B107,직원목록!$A$3:$A$302,0)),"미등록사번"))</f>
        <v/>
      </c>
      <c r="D107" s="13" t="str">
        <f aca="false">IF($B107="","",IFERROR(INDEX(직원목록!$C$3:$C$302,MATCH($B107,직원목록!$A$3:$A$302,0)),""))</f>
        <v/>
      </c>
      <c r="E107" s="14"/>
      <c r="F107" s="14"/>
      <c r="G107" s="15"/>
      <c r="H107" s="16" t="str">
        <f aca="false">IF(OR($K107="",$L107=""),"",ROUND(MAX(0,($L107-$K107)-IF($G107="",0,$G107))/60,2))</f>
        <v/>
      </c>
      <c r="I107" s="8"/>
      <c r="J107" s="8"/>
      <c r="K107" s="17" t="str">
        <f aca="false">IF($E107="","",IF($E107&lt;1,ROUND($E107*1440,0),INT($E107/100)*60+MOD($E107,100)))</f>
        <v/>
      </c>
      <c r="L107" s="17" t="str">
        <f aca="false">IF($F107="","",IF($F107&lt;1,ROUND($F107*1440,0),INT($F107/100)*60+MOD($F107,100)))</f>
        <v/>
      </c>
    </row>
    <row r="108" customFormat="false" ht="15" hidden="false" customHeight="true" outlineLevel="0" collapsed="false">
      <c r="A108" s="10"/>
      <c r="B108" s="8"/>
      <c r="C108" s="13" t="str">
        <f aca="false">IF($B108="","",IFERROR(INDEX(직원목록!$B$3:$B$302,MATCH($B108,직원목록!$A$3:$A$302,0)),"미등록사번"))</f>
        <v/>
      </c>
      <c r="D108" s="13" t="str">
        <f aca="false">IF($B108="","",IFERROR(INDEX(직원목록!$C$3:$C$302,MATCH($B108,직원목록!$A$3:$A$302,0)),""))</f>
        <v/>
      </c>
      <c r="E108" s="14"/>
      <c r="F108" s="14"/>
      <c r="G108" s="15"/>
      <c r="H108" s="16" t="str">
        <f aca="false">IF(OR($K108="",$L108=""),"",ROUND(MAX(0,($L108-$K108)-IF($G108="",0,$G108))/60,2))</f>
        <v/>
      </c>
      <c r="I108" s="8"/>
      <c r="J108" s="8"/>
      <c r="K108" s="17" t="str">
        <f aca="false">IF($E108="","",IF($E108&lt;1,ROUND($E108*1440,0),INT($E108/100)*60+MOD($E108,100)))</f>
        <v/>
      </c>
      <c r="L108" s="17" t="str">
        <f aca="false">IF($F108="","",IF($F108&lt;1,ROUND($F108*1440,0),INT($F108/100)*60+MOD($F108,100)))</f>
        <v/>
      </c>
    </row>
    <row r="109" customFormat="false" ht="15" hidden="false" customHeight="true" outlineLevel="0" collapsed="false">
      <c r="A109" s="10"/>
      <c r="B109" s="8"/>
      <c r="C109" s="13" t="str">
        <f aca="false">IF($B109="","",IFERROR(INDEX(직원목록!$B$3:$B$302,MATCH($B109,직원목록!$A$3:$A$302,0)),"미등록사번"))</f>
        <v/>
      </c>
      <c r="D109" s="13" t="str">
        <f aca="false">IF($B109="","",IFERROR(INDEX(직원목록!$C$3:$C$302,MATCH($B109,직원목록!$A$3:$A$302,0)),""))</f>
        <v/>
      </c>
      <c r="E109" s="14"/>
      <c r="F109" s="14"/>
      <c r="G109" s="15"/>
      <c r="H109" s="16" t="str">
        <f aca="false">IF(OR($K109="",$L109=""),"",ROUND(MAX(0,($L109-$K109)-IF($G109="",0,$G109))/60,2))</f>
        <v/>
      </c>
      <c r="I109" s="8"/>
      <c r="J109" s="8"/>
      <c r="K109" s="17" t="str">
        <f aca="false">IF($E109="","",IF($E109&lt;1,ROUND($E109*1440,0),INT($E109/100)*60+MOD($E109,100)))</f>
        <v/>
      </c>
      <c r="L109" s="17" t="str">
        <f aca="false">IF($F109="","",IF($F109&lt;1,ROUND($F109*1440,0),INT($F109/100)*60+MOD($F109,100)))</f>
        <v/>
      </c>
    </row>
    <row r="110" customFormat="false" ht="15" hidden="false" customHeight="true" outlineLevel="0" collapsed="false">
      <c r="A110" s="10"/>
      <c r="B110" s="8"/>
      <c r="C110" s="13" t="str">
        <f aca="false">IF($B110="","",IFERROR(INDEX(직원목록!$B$3:$B$302,MATCH($B110,직원목록!$A$3:$A$302,0)),"미등록사번"))</f>
        <v/>
      </c>
      <c r="D110" s="13" t="str">
        <f aca="false">IF($B110="","",IFERROR(INDEX(직원목록!$C$3:$C$302,MATCH($B110,직원목록!$A$3:$A$302,0)),""))</f>
        <v/>
      </c>
      <c r="E110" s="14"/>
      <c r="F110" s="14"/>
      <c r="G110" s="15"/>
      <c r="H110" s="16" t="str">
        <f aca="false">IF(OR($K110="",$L110=""),"",ROUND(MAX(0,($L110-$K110)-IF($G110="",0,$G110))/60,2))</f>
        <v/>
      </c>
      <c r="I110" s="8"/>
      <c r="J110" s="8"/>
      <c r="K110" s="17" t="str">
        <f aca="false">IF($E110="","",IF($E110&lt;1,ROUND($E110*1440,0),INT($E110/100)*60+MOD($E110,100)))</f>
        <v/>
      </c>
      <c r="L110" s="17" t="str">
        <f aca="false">IF($F110="","",IF($F110&lt;1,ROUND($F110*1440,0),INT($F110/100)*60+MOD($F110,100)))</f>
        <v/>
      </c>
    </row>
    <row r="111" customFormat="false" ht="15" hidden="false" customHeight="true" outlineLevel="0" collapsed="false">
      <c r="A111" s="10"/>
      <c r="B111" s="8"/>
      <c r="C111" s="13" t="str">
        <f aca="false">IF($B111="","",IFERROR(INDEX(직원목록!$B$3:$B$302,MATCH($B111,직원목록!$A$3:$A$302,0)),"미등록사번"))</f>
        <v/>
      </c>
      <c r="D111" s="13" t="str">
        <f aca="false">IF($B111="","",IFERROR(INDEX(직원목록!$C$3:$C$302,MATCH($B111,직원목록!$A$3:$A$302,0)),""))</f>
        <v/>
      </c>
      <c r="E111" s="14"/>
      <c r="F111" s="14"/>
      <c r="G111" s="15"/>
      <c r="H111" s="16" t="str">
        <f aca="false">IF(OR($K111="",$L111=""),"",ROUND(MAX(0,($L111-$K111)-IF($G111="",0,$G111))/60,2))</f>
        <v/>
      </c>
      <c r="I111" s="8"/>
      <c r="J111" s="8"/>
      <c r="K111" s="17" t="str">
        <f aca="false">IF($E111="","",IF($E111&lt;1,ROUND($E111*1440,0),INT($E111/100)*60+MOD($E111,100)))</f>
        <v/>
      </c>
      <c r="L111" s="17" t="str">
        <f aca="false">IF($F111="","",IF($F111&lt;1,ROUND($F111*1440,0),INT($F111/100)*60+MOD($F111,100)))</f>
        <v/>
      </c>
    </row>
    <row r="112" customFormat="false" ht="15" hidden="false" customHeight="true" outlineLevel="0" collapsed="false">
      <c r="A112" s="10"/>
      <c r="B112" s="8"/>
      <c r="C112" s="13" t="str">
        <f aca="false">IF($B112="","",IFERROR(INDEX(직원목록!$B$3:$B$302,MATCH($B112,직원목록!$A$3:$A$302,0)),"미등록사번"))</f>
        <v/>
      </c>
      <c r="D112" s="13" t="str">
        <f aca="false">IF($B112="","",IFERROR(INDEX(직원목록!$C$3:$C$302,MATCH($B112,직원목록!$A$3:$A$302,0)),""))</f>
        <v/>
      </c>
      <c r="E112" s="14"/>
      <c r="F112" s="14"/>
      <c r="G112" s="15"/>
      <c r="H112" s="16" t="str">
        <f aca="false">IF(OR($K112="",$L112=""),"",ROUND(MAX(0,($L112-$K112)-IF($G112="",0,$G112))/60,2))</f>
        <v/>
      </c>
      <c r="I112" s="8"/>
      <c r="J112" s="8"/>
      <c r="K112" s="17" t="str">
        <f aca="false">IF($E112="","",IF($E112&lt;1,ROUND($E112*1440,0),INT($E112/100)*60+MOD($E112,100)))</f>
        <v/>
      </c>
      <c r="L112" s="17" t="str">
        <f aca="false">IF($F112="","",IF($F112&lt;1,ROUND($F112*1440,0),INT($F112/100)*60+MOD($F112,100)))</f>
        <v/>
      </c>
    </row>
    <row r="113" customFormat="false" ht="15" hidden="false" customHeight="true" outlineLevel="0" collapsed="false">
      <c r="A113" s="10"/>
      <c r="B113" s="8"/>
      <c r="C113" s="13" t="str">
        <f aca="false">IF($B113="","",IFERROR(INDEX(직원목록!$B$3:$B$302,MATCH($B113,직원목록!$A$3:$A$302,0)),"미등록사번"))</f>
        <v/>
      </c>
      <c r="D113" s="13" t="str">
        <f aca="false">IF($B113="","",IFERROR(INDEX(직원목록!$C$3:$C$302,MATCH($B113,직원목록!$A$3:$A$302,0)),""))</f>
        <v/>
      </c>
      <c r="E113" s="14"/>
      <c r="F113" s="14"/>
      <c r="G113" s="15"/>
      <c r="H113" s="16" t="str">
        <f aca="false">IF(OR($K113="",$L113=""),"",ROUND(MAX(0,($L113-$K113)-IF($G113="",0,$G113))/60,2))</f>
        <v/>
      </c>
      <c r="I113" s="8"/>
      <c r="J113" s="8"/>
      <c r="K113" s="17" t="str">
        <f aca="false">IF($E113="","",IF($E113&lt;1,ROUND($E113*1440,0),INT($E113/100)*60+MOD($E113,100)))</f>
        <v/>
      </c>
      <c r="L113" s="17" t="str">
        <f aca="false">IF($F113="","",IF($F113&lt;1,ROUND($F113*1440,0),INT($F113/100)*60+MOD($F113,100)))</f>
        <v/>
      </c>
    </row>
    <row r="114" customFormat="false" ht="15" hidden="false" customHeight="true" outlineLevel="0" collapsed="false">
      <c r="A114" s="10"/>
      <c r="B114" s="8"/>
      <c r="C114" s="13" t="str">
        <f aca="false">IF($B114="","",IFERROR(INDEX(직원목록!$B$3:$B$302,MATCH($B114,직원목록!$A$3:$A$302,0)),"미등록사번"))</f>
        <v/>
      </c>
      <c r="D114" s="13" t="str">
        <f aca="false">IF($B114="","",IFERROR(INDEX(직원목록!$C$3:$C$302,MATCH($B114,직원목록!$A$3:$A$302,0)),""))</f>
        <v/>
      </c>
      <c r="E114" s="14"/>
      <c r="F114" s="14"/>
      <c r="G114" s="15"/>
      <c r="H114" s="16" t="str">
        <f aca="false">IF(OR($K114="",$L114=""),"",ROUND(MAX(0,($L114-$K114)-IF($G114="",0,$G114))/60,2))</f>
        <v/>
      </c>
      <c r="I114" s="8"/>
      <c r="J114" s="8"/>
      <c r="K114" s="17" t="str">
        <f aca="false">IF($E114="","",IF($E114&lt;1,ROUND($E114*1440,0),INT($E114/100)*60+MOD($E114,100)))</f>
        <v/>
      </c>
      <c r="L114" s="17" t="str">
        <f aca="false">IF($F114="","",IF($F114&lt;1,ROUND($F114*1440,0),INT($F114/100)*60+MOD($F114,100)))</f>
        <v/>
      </c>
    </row>
    <row r="115" customFormat="false" ht="15" hidden="false" customHeight="true" outlineLevel="0" collapsed="false">
      <c r="A115" s="10"/>
      <c r="B115" s="8"/>
      <c r="C115" s="13" t="str">
        <f aca="false">IF($B115="","",IFERROR(INDEX(직원목록!$B$3:$B$302,MATCH($B115,직원목록!$A$3:$A$302,0)),"미등록사번"))</f>
        <v/>
      </c>
      <c r="D115" s="13" t="str">
        <f aca="false">IF($B115="","",IFERROR(INDEX(직원목록!$C$3:$C$302,MATCH($B115,직원목록!$A$3:$A$302,0)),""))</f>
        <v/>
      </c>
      <c r="E115" s="14"/>
      <c r="F115" s="14"/>
      <c r="G115" s="15"/>
      <c r="H115" s="16" t="str">
        <f aca="false">IF(OR($K115="",$L115=""),"",ROUND(MAX(0,($L115-$K115)-IF($G115="",0,$G115))/60,2))</f>
        <v/>
      </c>
      <c r="I115" s="8"/>
      <c r="J115" s="8"/>
      <c r="K115" s="17" t="str">
        <f aca="false">IF($E115="","",IF($E115&lt;1,ROUND($E115*1440,0),INT($E115/100)*60+MOD($E115,100)))</f>
        <v/>
      </c>
      <c r="L115" s="17" t="str">
        <f aca="false">IF($F115="","",IF($F115&lt;1,ROUND($F115*1440,0),INT($F115/100)*60+MOD($F115,100)))</f>
        <v/>
      </c>
    </row>
    <row r="116" customFormat="false" ht="15" hidden="false" customHeight="true" outlineLevel="0" collapsed="false">
      <c r="A116" s="10"/>
      <c r="B116" s="8"/>
      <c r="C116" s="13" t="str">
        <f aca="false">IF($B116="","",IFERROR(INDEX(직원목록!$B$3:$B$302,MATCH($B116,직원목록!$A$3:$A$302,0)),"미등록사번"))</f>
        <v/>
      </c>
      <c r="D116" s="13" t="str">
        <f aca="false">IF($B116="","",IFERROR(INDEX(직원목록!$C$3:$C$302,MATCH($B116,직원목록!$A$3:$A$302,0)),""))</f>
        <v/>
      </c>
      <c r="E116" s="14"/>
      <c r="F116" s="14"/>
      <c r="G116" s="15"/>
      <c r="H116" s="16" t="str">
        <f aca="false">IF(OR($K116="",$L116=""),"",ROUND(MAX(0,($L116-$K116)-IF($G116="",0,$G116))/60,2))</f>
        <v/>
      </c>
      <c r="I116" s="8"/>
      <c r="J116" s="8"/>
      <c r="K116" s="17" t="str">
        <f aca="false">IF($E116="","",IF($E116&lt;1,ROUND($E116*1440,0),INT($E116/100)*60+MOD($E116,100)))</f>
        <v/>
      </c>
      <c r="L116" s="17" t="str">
        <f aca="false">IF($F116="","",IF($F116&lt;1,ROUND($F116*1440,0),INT($F116/100)*60+MOD($F116,100)))</f>
        <v/>
      </c>
    </row>
    <row r="117" customFormat="false" ht="15" hidden="false" customHeight="true" outlineLevel="0" collapsed="false">
      <c r="A117" s="10"/>
      <c r="B117" s="8"/>
      <c r="C117" s="13" t="str">
        <f aca="false">IF($B117="","",IFERROR(INDEX(직원목록!$B$3:$B$302,MATCH($B117,직원목록!$A$3:$A$302,0)),"미등록사번"))</f>
        <v/>
      </c>
      <c r="D117" s="13" t="str">
        <f aca="false">IF($B117="","",IFERROR(INDEX(직원목록!$C$3:$C$302,MATCH($B117,직원목록!$A$3:$A$302,0)),""))</f>
        <v/>
      </c>
      <c r="E117" s="14"/>
      <c r="F117" s="14"/>
      <c r="G117" s="15"/>
      <c r="H117" s="16" t="str">
        <f aca="false">IF(OR($K117="",$L117=""),"",ROUND(MAX(0,($L117-$K117)-IF($G117="",0,$G117))/60,2))</f>
        <v/>
      </c>
      <c r="I117" s="8"/>
      <c r="J117" s="8"/>
      <c r="K117" s="17" t="str">
        <f aca="false">IF($E117="","",IF($E117&lt;1,ROUND($E117*1440,0),INT($E117/100)*60+MOD($E117,100)))</f>
        <v/>
      </c>
      <c r="L117" s="17" t="str">
        <f aca="false">IF($F117="","",IF($F117&lt;1,ROUND($F117*1440,0),INT($F117/100)*60+MOD($F117,100)))</f>
        <v/>
      </c>
    </row>
    <row r="118" customFormat="false" ht="15" hidden="false" customHeight="true" outlineLevel="0" collapsed="false">
      <c r="A118" s="10"/>
      <c r="B118" s="8"/>
      <c r="C118" s="13" t="str">
        <f aca="false">IF($B118="","",IFERROR(INDEX(직원목록!$B$3:$B$302,MATCH($B118,직원목록!$A$3:$A$302,0)),"미등록사번"))</f>
        <v/>
      </c>
      <c r="D118" s="13" t="str">
        <f aca="false">IF($B118="","",IFERROR(INDEX(직원목록!$C$3:$C$302,MATCH($B118,직원목록!$A$3:$A$302,0)),""))</f>
        <v/>
      </c>
      <c r="E118" s="14"/>
      <c r="F118" s="14"/>
      <c r="G118" s="15"/>
      <c r="H118" s="16" t="str">
        <f aca="false">IF(OR($K118="",$L118=""),"",ROUND(MAX(0,($L118-$K118)-IF($G118="",0,$G118))/60,2))</f>
        <v/>
      </c>
      <c r="I118" s="8"/>
      <c r="J118" s="8"/>
      <c r="K118" s="17" t="str">
        <f aca="false">IF($E118="","",IF($E118&lt;1,ROUND($E118*1440,0),INT($E118/100)*60+MOD($E118,100)))</f>
        <v/>
      </c>
      <c r="L118" s="17" t="str">
        <f aca="false">IF($F118="","",IF($F118&lt;1,ROUND($F118*1440,0),INT($F118/100)*60+MOD($F118,100)))</f>
        <v/>
      </c>
    </row>
    <row r="119" customFormat="false" ht="15" hidden="false" customHeight="true" outlineLevel="0" collapsed="false">
      <c r="A119" s="10"/>
      <c r="B119" s="8"/>
      <c r="C119" s="13" t="str">
        <f aca="false">IF($B119="","",IFERROR(INDEX(직원목록!$B$3:$B$302,MATCH($B119,직원목록!$A$3:$A$302,0)),"미등록사번"))</f>
        <v/>
      </c>
      <c r="D119" s="13" t="str">
        <f aca="false">IF($B119="","",IFERROR(INDEX(직원목록!$C$3:$C$302,MATCH($B119,직원목록!$A$3:$A$302,0)),""))</f>
        <v/>
      </c>
      <c r="E119" s="14"/>
      <c r="F119" s="14"/>
      <c r="G119" s="15"/>
      <c r="H119" s="16" t="str">
        <f aca="false">IF(OR($K119="",$L119=""),"",ROUND(MAX(0,($L119-$K119)-IF($G119="",0,$G119))/60,2))</f>
        <v/>
      </c>
      <c r="I119" s="8"/>
      <c r="J119" s="8"/>
      <c r="K119" s="17" t="str">
        <f aca="false">IF($E119="","",IF($E119&lt;1,ROUND($E119*1440,0),INT($E119/100)*60+MOD($E119,100)))</f>
        <v/>
      </c>
      <c r="L119" s="17" t="str">
        <f aca="false">IF($F119="","",IF($F119&lt;1,ROUND($F119*1440,0),INT($F119/100)*60+MOD($F119,100)))</f>
        <v/>
      </c>
    </row>
    <row r="120" customFormat="false" ht="15" hidden="false" customHeight="true" outlineLevel="0" collapsed="false">
      <c r="A120" s="10"/>
      <c r="B120" s="8"/>
      <c r="C120" s="13" t="str">
        <f aca="false">IF($B120="","",IFERROR(INDEX(직원목록!$B$3:$B$302,MATCH($B120,직원목록!$A$3:$A$302,0)),"미등록사번"))</f>
        <v/>
      </c>
      <c r="D120" s="13" t="str">
        <f aca="false">IF($B120="","",IFERROR(INDEX(직원목록!$C$3:$C$302,MATCH($B120,직원목록!$A$3:$A$302,0)),""))</f>
        <v/>
      </c>
      <c r="E120" s="14"/>
      <c r="F120" s="14"/>
      <c r="G120" s="15"/>
      <c r="H120" s="16" t="str">
        <f aca="false">IF(OR($K120="",$L120=""),"",ROUND(MAX(0,($L120-$K120)-IF($G120="",0,$G120))/60,2))</f>
        <v/>
      </c>
      <c r="I120" s="8"/>
      <c r="J120" s="8"/>
      <c r="K120" s="17" t="str">
        <f aca="false">IF($E120="","",IF($E120&lt;1,ROUND($E120*1440,0),INT($E120/100)*60+MOD($E120,100)))</f>
        <v/>
      </c>
      <c r="L120" s="17" t="str">
        <f aca="false">IF($F120="","",IF($F120&lt;1,ROUND($F120*1440,0),INT($F120/100)*60+MOD($F120,100)))</f>
        <v/>
      </c>
    </row>
    <row r="121" customFormat="false" ht="15" hidden="false" customHeight="true" outlineLevel="0" collapsed="false">
      <c r="A121" s="10"/>
      <c r="B121" s="8"/>
      <c r="C121" s="13" t="str">
        <f aca="false">IF($B121="","",IFERROR(INDEX(직원목록!$B$3:$B$302,MATCH($B121,직원목록!$A$3:$A$302,0)),"미등록사번"))</f>
        <v/>
      </c>
      <c r="D121" s="13" t="str">
        <f aca="false">IF($B121="","",IFERROR(INDEX(직원목록!$C$3:$C$302,MATCH($B121,직원목록!$A$3:$A$302,0)),""))</f>
        <v/>
      </c>
      <c r="E121" s="14"/>
      <c r="F121" s="14"/>
      <c r="G121" s="15"/>
      <c r="H121" s="16" t="str">
        <f aca="false">IF(OR($K121="",$L121=""),"",ROUND(MAX(0,($L121-$K121)-IF($G121="",0,$G121))/60,2))</f>
        <v/>
      </c>
      <c r="I121" s="8"/>
      <c r="J121" s="8"/>
      <c r="K121" s="17" t="str">
        <f aca="false">IF($E121="","",IF($E121&lt;1,ROUND($E121*1440,0),INT($E121/100)*60+MOD($E121,100)))</f>
        <v/>
      </c>
      <c r="L121" s="17" t="str">
        <f aca="false">IF($F121="","",IF($F121&lt;1,ROUND($F121*1440,0),INT($F121/100)*60+MOD($F121,100)))</f>
        <v/>
      </c>
    </row>
    <row r="122" customFormat="false" ht="15" hidden="false" customHeight="true" outlineLevel="0" collapsed="false">
      <c r="A122" s="10"/>
      <c r="B122" s="8"/>
      <c r="C122" s="13" t="str">
        <f aca="false">IF($B122="","",IFERROR(INDEX(직원목록!$B$3:$B$302,MATCH($B122,직원목록!$A$3:$A$302,0)),"미등록사번"))</f>
        <v/>
      </c>
      <c r="D122" s="13" t="str">
        <f aca="false">IF($B122="","",IFERROR(INDEX(직원목록!$C$3:$C$302,MATCH($B122,직원목록!$A$3:$A$302,0)),""))</f>
        <v/>
      </c>
      <c r="E122" s="14"/>
      <c r="F122" s="14"/>
      <c r="G122" s="15"/>
      <c r="H122" s="16" t="str">
        <f aca="false">IF(OR($K122="",$L122=""),"",ROUND(MAX(0,($L122-$K122)-IF($G122="",0,$G122))/60,2))</f>
        <v/>
      </c>
      <c r="I122" s="8"/>
      <c r="J122" s="8"/>
      <c r="K122" s="17" t="str">
        <f aca="false">IF($E122="","",IF($E122&lt;1,ROUND($E122*1440,0),INT($E122/100)*60+MOD($E122,100)))</f>
        <v/>
      </c>
      <c r="L122" s="17" t="str">
        <f aca="false">IF($F122="","",IF($F122&lt;1,ROUND($F122*1440,0),INT($F122/100)*60+MOD($F122,100)))</f>
        <v/>
      </c>
    </row>
    <row r="123" customFormat="false" ht="15" hidden="false" customHeight="true" outlineLevel="0" collapsed="false">
      <c r="A123" s="10"/>
      <c r="B123" s="8"/>
      <c r="C123" s="13" t="str">
        <f aca="false">IF($B123="","",IFERROR(INDEX(직원목록!$B$3:$B$302,MATCH($B123,직원목록!$A$3:$A$302,0)),"미등록사번"))</f>
        <v/>
      </c>
      <c r="D123" s="13" t="str">
        <f aca="false">IF($B123="","",IFERROR(INDEX(직원목록!$C$3:$C$302,MATCH($B123,직원목록!$A$3:$A$302,0)),""))</f>
        <v/>
      </c>
      <c r="E123" s="14"/>
      <c r="F123" s="14"/>
      <c r="G123" s="15"/>
      <c r="H123" s="16" t="str">
        <f aca="false">IF(OR($K123="",$L123=""),"",ROUND(MAX(0,($L123-$K123)-IF($G123="",0,$G123))/60,2))</f>
        <v/>
      </c>
      <c r="I123" s="8"/>
      <c r="J123" s="8"/>
      <c r="K123" s="17" t="str">
        <f aca="false">IF($E123="","",IF($E123&lt;1,ROUND($E123*1440,0),INT($E123/100)*60+MOD($E123,100)))</f>
        <v/>
      </c>
      <c r="L123" s="17" t="str">
        <f aca="false">IF($F123="","",IF($F123&lt;1,ROUND($F123*1440,0),INT($F123/100)*60+MOD($F123,100)))</f>
        <v/>
      </c>
    </row>
    <row r="124" customFormat="false" ht="15" hidden="false" customHeight="true" outlineLevel="0" collapsed="false">
      <c r="A124" s="10"/>
      <c r="B124" s="8"/>
      <c r="C124" s="13" t="str">
        <f aca="false">IF($B124="","",IFERROR(INDEX(직원목록!$B$3:$B$302,MATCH($B124,직원목록!$A$3:$A$302,0)),"미등록사번"))</f>
        <v/>
      </c>
      <c r="D124" s="13" t="str">
        <f aca="false">IF($B124="","",IFERROR(INDEX(직원목록!$C$3:$C$302,MATCH($B124,직원목록!$A$3:$A$302,0)),""))</f>
        <v/>
      </c>
      <c r="E124" s="14"/>
      <c r="F124" s="14"/>
      <c r="G124" s="15"/>
      <c r="H124" s="16" t="str">
        <f aca="false">IF(OR($K124="",$L124=""),"",ROUND(MAX(0,($L124-$K124)-IF($G124="",0,$G124))/60,2))</f>
        <v/>
      </c>
      <c r="I124" s="8"/>
      <c r="J124" s="8"/>
      <c r="K124" s="17" t="str">
        <f aca="false">IF($E124="","",IF($E124&lt;1,ROUND($E124*1440,0),INT($E124/100)*60+MOD($E124,100)))</f>
        <v/>
      </c>
      <c r="L124" s="17" t="str">
        <f aca="false">IF($F124="","",IF($F124&lt;1,ROUND($F124*1440,0),INT($F124/100)*60+MOD($F124,100)))</f>
        <v/>
      </c>
    </row>
    <row r="125" customFormat="false" ht="15" hidden="false" customHeight="true" outlineLevel="0" collapsed="false">
      <c r="A125" s="10"/>
      <c r="B125" s="8"/>
      <c r="C125" s="13" t="str">
        <f aca="false">IF($B125="","",IFERROR(INDEX(직원목록!$B$3:$B$302,MATCH($B125,직원목록!$A$3:$A$302,0)),"미등록사번"))</f>
        <v/>
      </c>
      <c r="D125" s="13" t="str">
        <f aca="false">IF($B125="","",IFERROR(INDEX(직원목록!$C$3:$C$302,MATCH($B125,직원목록!$A$3:$A$302,0)),""))</f>
        <v/>
      </c>
      <c r="E125" s="14"/>
      <c r="F125" s="14"/>
      <c r="G125" s="15"/>
      <c r="H125" s="16" t="str">
        <f aca="false">IF(OR($K125="",$L125=""),"",ROUND(MAX(0,($L125-$K125)-IF($G125="",0,$G125))/60,2))</f>
        <v/>
      </c>
      <c r="I125" s="8"/>
      <c r="J125" s="8"/>
      <c r="K125" s="17" t="str">
        <f aca="false">IF($E125="","",IF($E125&lt;1,ROUND($E125*1440,0),INT($E125/100)*60+MOD($E125,100)))</f>
        <v/>
      </c>
      <c r="L125" s="17" t="str">
        <f aca="false">IF($F125="","",IF($F125&lt;1,ROUND($F125*1440,0),INT($F125/100)*60+MOD($F125,100)))</f>
        <v/>
      </c>
    </row>
    <row r="126" customFormat="false" ht="15" hidden="false" customHeight="true" outlineLevel="0" collapsed="false">
      <c r="A126" s="10"/>
      <c r="B126" s="8"/>
      <c r="C126" s="13" t="str">
        <f aca="false">IF($B126="","",IFERROR(INDEX(직원목록!$B$3:$B$302,MATCH($B126,직원목록!$A$3:$A$302,0)),"미등록사번"))</f>
        <v/>
      </c>
      <c r="D126" s="13" t="str">
        <f aca="false">IF($B126="","",IFERROR(INDEX(직원목록!$C$3:$C$302,MATCH($B126,직원목록!$A$3:$A$302,0)),""))</f>
        <v/>
      </c>
      <c r="E126" s="14"/>
      <c r="F126" s="14"/>
      <c r="G126" s="15"/>
      <c r="H126" s="16" t="str">
        <f aca="false">IF(OR($K126="",$L126=""),"",ROUND(MAX(0,($L126-$K126)-IF($G126="",0,$G126))/60,2))</f>
        <v/>
      </c>
      <c r="I126" s="8"/>
      <c r="J126" s="8"/>
      <c r="K126" s="17" t="str">
        <f aca="false">IF($E126="","",IF($E126&lt;1,ROUND($E126*1440,0),INT($E126/100)*60+MOD($E126,100)))</f>
        <v/>
      </c>
      <c r="L126" s="17" t="str">
        <f aca="false">IF($F126="","",IF($F126&lt;1,ROUND($F126*1440,0),INT($F126/100)*60+MOD($F126,100)))</f>
        <v/>
      </c>
    </row>
    <row r="127" customFormat="false" ht="15" hidden="false" customHeight="true" outlineLevel="0" collapsed="false">
      <c r="A127" s="10"/>
      <c r="B127" s="8"/>
      <c r="C127" s="13" t="str">
        <f aca="false">IF($B127="","",IFERROR(INDEX(직원목록!$B$3:$B$302,MATCH($B127,직원목록!$A$3:$A$302,0)),"미등록사번"))</f>
        <v/>
      </c>
      <c r="D127" s="13" t="str">
        <f aca="false">IF($B127="","",IFERROR(INDEX(직원목록!$C$3:$C$302,MATCH($B127,직원목록!$A$3:$A$302,0)),""))</f>
        <v/>
      </c>
      <c r="E127" s="14"/>
      <c r="F127" s="14"/>
      <c r="G127" s="15"/>
      <c r="H127" s="16" t="str">
        <f aca="false">IF(OR($K127="",$L127=""),"",ROUND(MAX(0,($L127-$K127)-IF($G127="",0,$G127))/60,2))</f>
        <v/>
      </c>
      <c r="I127" s="8"/>
      <c r="J127" s="8"/>
      <c r="K127" s="17" t="str">
        <f aca="false">IF($E127="","",IF($E127&lt;1,ROUND($E127*1440,0),INT($E127/100)*60+MOD($E127,100)))</f>
        <v/>
      </c>
      <c r="L127" s="17" t="str">
        <f aca="false">IF($F127="","",IF($F127&lt;1,ROUND($F127*1440,0),INT($F127/100)*60+MOD($F127,100)))</f>
        <v/>
      </c>
    </row>
    <row r="128" customFormat="false" ht="15" hidden="false" customHeight="true" outlineLevel="0" collapsed="false">
      <c r="A128" s="10"/>
      <c r="B128" s="8"/>
      <c r="C128" s="13" t="str">
        <f aca="false">IF($B128="","",IFERROR(INDEX(직원목록!$B$3:$B$302,MATCH($B128,직원목록!$A$3:$A$302,0)),"미등록사번"))</f>
        <v/>
      </c>
      <c r="D128" s="13" t="str">
        <f aca="false">IF($B128="","",IFERROR(INDEX(직원목록!$C$3:$C$302,MATCH($B128,직원목록!$A$3:$A$302,0)),""))</f>
        <v/>
      </c>
      <c r="E128" s="14"/>
      <c r="F128" s="14"/>
      <c r="G128" s="15"/>
      <c r="H128" s="16" t="str">
        <f aca="false">IF(OR($K128="",$L128=""),"",ROUND(MAX(0,($L128-$K128)-IF($G128="",0,$G128))/60,2))</f>
        <v/>
      </c>
      <c r="I128" s="8"/>
      <c r="J128" s="8"/>
      <c r="K128" s="17" t="str">
        <f aca="false">IF($E128="","",IF($E128&lt;1,ROUND($E128*1440,0),INT($E128/100)*60+MOD($E128,100)))</f>
        <v/>
      </c>
      <c r="L128" s="17" t="str">
        <f aca="false">IF($F128="","",IF($F128&lt;1,ROUND($F128*1440,0),INT($F128/100)*60+MOD($F128,100)))</f>
        <v/>
      </c>
    </row>
    <row r="129" customFormat="false" ht="15" hidden="false" customHeight="true" outlineLevel="0" collapsed="false">
      <c r="A129" s="10"/>
      <c r="B129" s="8"/>
      <c r="C129" s="13" t="str">
        <f aca="false">IF($B129="","",IFERROR(INDEX(직원목록!$B$3:$B$302,MATCH($B129,직원목록!$A$3:$A$302,0)),"미등록사번"))</f>
        <v/>
      </c>
      <c r="D129" s="13" t="str">
        <f aca="false">IF($B129="","",IFERROR(INDEX(직원목록!$C$3:$C$302,MATCH($B129,직원목록!$A$3:$A$302,0)),""))</f>
        <v/>
      </c>
      <c r="E129" s="14"/>
      <c r="F129" s="14"/>
      <c r="G129" s="15"/>
      <c r="H129" s="16" t="str">
        <f aca="false">IF(OR($K129="",$L129=""),"",ROUND(MAX(0,($L129-$K129)-IF($G129="",0,$G129))/60,2))</f>
        <v/>
      </c>
      <c r="I129" s="8"/>
      <c r="J129" s="8"/>
      <c r="K129" s="17" t="str">
        <f aca="false">IF($E129="","",IF($E129&lt;1,ROUND($E129*1440,0),INT($E129/100)*60+MOD($E129,100)))</f>
        <v/>
      </c>
      <c r="L129" s="17" t="str">
        <f aca="false">IF($F129="","",IF($F129&lt;1,ROUND($F129*1440,0),INT($F129/100)*60+MOD($F129,100)))</f>
        <v/>
      </c>
    </row>
    <row r="130" customFormat="false" ht="15" hidden="false" customHeight="true" outlineLevel="0" collapsed="false">
      <c r="A130" s="10"/>
      <c r="B130" s="8"/>
      <c r="C130" s="13" t="str">
        <f aca="false">IF($B130="","",IFERROR(INDEX(직원목록!$B$3:$B$302,MATCH($B130,직원목록!$A$3:$A$302,0)),"미등록사번"))</f>
        <v/>
      </c>
      <c r="D130" s="13" t="str">
        <f aca="false">IF($B130="","",IFERROR(INDEX(직원목록!$C$3:$C$302,MATCH($B130,직원목록!$A$3:$A$302,0)),""))</f>
        <v/>
      </c>
      <c r="E130" s="14"/>
      <c r="F130" s="14"/>
      <c r="G130" s="15"/>
      <c r="H130" s="16" t="str">
        <f aca="false">IF(OR($K130="",$L130=""),"",ROUND(MAX(0,($L130-$K130)-IF($G130="",0,$G130))/60,2))</f>
        <v/>
      </c>
      <c r="I130" s="8"/>
      <c r="J130" s="8"/>
      <c r="K130" s="17" t="str">
        <f aca="false">IF($E130="","",IF($E130&lt;1,ROUND($E130*1440,0),INT($E130/100)*60+MOD($E130,100)))</f>
        <v/>
      </c>
      <c r="L130" s="17" t="str">
        <f aca="false">IF($F130="","",IF($F130&lt;1,ROUND($F130*1440,0),INT($F130/100)*60+MOD($F130,100)))</f>
        <v/>
      </c>
    </row>
    <row r="131" customFormat="false" ht="15" hidden="false" customHeight="true" outlineLevel="0" collapsed="false">
      <c r="A131" s="10"/>
      <c r="B131" s="8"/>
      <c r="C131" s="13" t="str">
        <f aca="false">IF($B131="","",IFERROR(INDEX(직원목록!$B$3:$B$302,MATCH($B131,직원목록!$A$3:$A$302,0)),"미등록사번"))</f>
        <v/>
      </c>
      <c r="D131" s="13" t="str">
        <f aca="false">IF($B131="","",IFERROR(INDEX(직원목록!$C$3:$C$302,MATCH($B131,직원목록!$A$3:$A$302,0)),""))</f>
        <v/>
      </c>
      <c r="E131" s="14"/>
      <c r="F131" s="14"/>
      <c r="G131" s="15"/>
      <c r="H131" s="16" t="str">
        <f aca="false">IF(OR($K131="",$L131=""),"",ROUND(MAX(0,($L131-$K131)-IF($G131="",0,$G131))/60,2))</f>
        <v/>
      </c>
      <c r="I131" s="8"/>
      <c r="J131" s="8"/>
      <c r="K131" s="17" t="str">
        <f aca="false">IF($E131="","",IF($E131&lt;1,ROUND($E131*1440,0),INT($E131/100)*60+MOD($E131,100)))</f>
        <v/>
      </c>
      <c r="L131" s="17" t="str">
        <f aca="false">IF($F131="","",IF($F131&lt;1,ROUND($F131*1440,0),INT($F131/100)*60+MOD($F131,100)))</f>
        <v/>
      </c>
    </row>
    <row r="132" customFormat="false" ht="15" hidden="false" customHeight="true" outlineLevel="0" collapsed="false">
      <c r="A132" s="10"/>
      <c r="B132" s="8"/>
      <c r="C132" s="13" t="str">
        <f aca="false">IF($B132="","",IFERROR(INDEX(직원목록!$B$3:$B$302,MATCH($B132,직원목록!$A$3:$A$302,0)),"미등록사번"))</f>
        <v/>
      </c>
      <c r="D132" s="13" t="str">
        <f aca="false">IF($B132="","",IFERROR(INDEX(직원목록!$C$3:$C$302,MATCH($B132,직원목록!$A$3:$A$302,0)),""))</f>
        <v/>
      </c>
      <c r="E132" s="14"/>
      <c r="F132" s="14"/>
      <c r="G132" s="15"/>
      <c r="H132" s="16" t="str">
        <f aca="false">IF(OR($K132="",$L132=""),"",ROUND(MAX(0,($L132-$K132)-IF($G132="",0,$G132))/60,2))</f>
        <v/>
      </c>
      <c r="I132" s="8"/>
      <c r="J132" s="8"/>
      <c r="K132" s="17" t="str">
        <f aca="false">IF($E132="","",IF($E132&lt;1,ROUND($E132*1440,0),INT($E132/100)*60+MOD($E132,100)))</f>
        <v/>
      </c>
      <c r="L132" s="17" t="str">
        <f aca="false">IF($F132="","",IF($F132&lt;1,ROUND($F132*1440,0),INT($F132/100)*60+MOD($F132,100)))</f>
        <v/>
      </c>
    </row>
    <row r="133" customFormat="false" ht="15" hidden="false" customHeight="true" outlineLevel="0" collapsed="false">
      <c r="A133" s="10"/>
      <c r="B133" s="8"/>
      <c r="C133" s="13" t="str">
        <f aca="false">IF($B133="","",IFERROR(INDEX(직원목록!$B$3:$B$302,MATCH($B133,직원목록!$A$3:$A$302,0)),"미등록사번"))</f>
        <v/>
      </c>
      <c r="D133" s="13" t="str">
        <f aca="false">IF($B133="","",IFERROR(INDEX(직원목록!$C$3:$C$302,MATCH($B133,직원목록!$A$3:$A$302,0)),""))</f>
        <v/>
      </c>
      <c r="E133" s="14"/>
      <c r="F133" s="14"/>
      <c r="G133" s="15"/>
      <c r="H133" s="16" t="str">
        <f aca="false">IF(OR($K133="",$L133=""),"",ROUND(MAX(0,($L133-$K133)-IF($G133="",0,$G133))/60,2))</f>
        <v/>
      </c>
      <c r="I133" s="8"/>
      <c r="J133" s="8"/>
      <c r="K133" s="17" t="str">
        <f aca="false">IF($E133="","",IF($E133&lt;1,ROUND($E133*1440,0),INT($E133/100)*60+MOD($E133,100)))</f>
        <v/>
      </c>
      <c r="L133" s="17" t="str">
        <f aca="false">IF($F133="","",IF($F133&lt;1,ROUND($F133*1440,0),INT($F133/100)*60+MOD($F133,100)))</f>
        <v/>
      </c>
    </row>
    <row r="134" customFormat="false" ht="15" hidden="false" customHeight="true" outlineLevel="0" collapsed="false">
      <c r="A134" s="10"/>
      <c r="B134" s="8"/>
      <c r="C134" s="13" t="str">
        <f aca="false">IF($B134="","",IFERROR(INDEX(직원목록!$B$3:$B$302,MATCH($B134,직원목록!$A$3:$A$302,0)),"미등록사번"))</f>
        <v/>
      </c>
      <c r="D134" s="13" t="str">
        <f aca="false">IF($B134="","",IFERROR(INDEX(직원목록!$C$3:$C$302,MATCH($B134,직원목록!$A$3:$A$302,0)),""))</f>
        <v/>
      </c>
      <c r="E134" s="14"/>
      <c r="F134" s="14"/>
      <c r="G134" s="15"/>
      <c r="H134" s="16" t="str">
        <f aca="false">IF(OR($K134="",$L134=""),"",ROUND(MAX(0,($L134-$K134)-IF($G134="",0,$G134))/60,2))</f>
        <v/>
      </c>
      <c r="I134" s="8"/>
      <c r="J134" s="8"/>
      <c r="K134" s="17" t="str">
        <f aca="false">IF($E134="","",IF($E134&lt;1,ROUND($E134*1440,0),INT($E134/100)*60+MOD($E134,100)))</f>
        <v/>
      </c>
      <c r="L134" s="17" t="str">
        <f aca="false">IF($F134="","",IF($F134&lt;1,ROUND($F134*1440,0),INT($F134/100)*60+MOD($F134,100)))</f>
        <v/>
      </c>
    </row>
    <row r="135" customFormat="false" ht="15" hidden="false" customHeight="true" outlineLevel="0" collapsed="false">
      <c r="A135" s="10"/>
      <c r="B135" s="8"/>
      <c r="C135" s="13" t="str">
        <f aca="false">IF($B135="","",IFERROR(INDEX(직원목록!$B$3:$B$302,MATCH($B135,직원목록!$A$3:$A$302,0)),"미등록사번"))</f>
        <v/>
      </c>
      <c r="D135" s="13" t="str">
        <f aca="false">IF($B135="","",IFERROR(INDEX(직원목록!$C$3:$C$302,MATCH($B135,직원목록!$A$3:$A$302,0)),""))</f>
        <v/>
      </c>
      <c r="E135" s="14"/>
      <c r="F135" s="14"/>
      <c r="G135" s="15"/>
      <c r="H135" s="16" t="str">
        <f aca="false">IF(OR($K135="",$L135=""),"",ROUND(MAX(0,($L135-$K135)-IF($G135="",0,$G135))/60,2))</f>
        <v/>
      </c>
      <c r="I135" s="8"/>
      <c r="J135" s="8"/>
      <c r="K135" s="17" t="str">
        <f aca="false">IF($E135="","",IF($E135&lt;1,ROUND($E135*1440,0),INT($E135/100)*60+MOD($E135,100)))</f>
        <v/>
      </c>
      <c r="L135" s="17" t="str">
        <f aca="false">IF($F135="","",IF($F135&lt;1,ROUND($F135*1440,0),INT($F135/100)*60+MOD($F135,100)))</f>
        <v/>
      </c>
    </row>
    <row r="136" customFormat="false" ht="15" hidden="false" customHeight="true" outlineLevel="0" collapsed="false">
      <c r="A136" s="10"/>
      <c r="B136" s="8"/>
      <c r="C136" s="13" t="str">
        <f aca="false">IF($B136="","",IFERROR(INDEX(직원목록!$B$3:$B$302,MATCH($B136,직원목록!$A$3:$A$302,0)),"미등록사번"))</f>
        <v/>
      </c>
      <c r="D136" s="13" t="str">
        <f aca="false">IF($B136="","",IFERROR(INDEX(직원목록!$C$3:$C$302,MATCH($B136,직원목록!$A$3:$A$302,0)),""))</f>
        <v/>
      </c>
      <c r="E136" s="14"/>
      <c r="F136" s="14"/>
      <c r="G136" s="15"/>
      <c r="H136" s="16" t="str">
        <f aca="false">IF(OR($K136="",$L136=""),"",ROUND(MAX(0,($L136-$K136)-IF($G136="",0,$G136))/60,2))</f>
        <v/>
      </c>
      <c r="I136" s="8"/>
      <c r="J136" s="8"/>
      <c r="K136" s="17" t="str">
        <f aca="false">IF($E136="","",IF($E136&lt;1,ROUND($E136*1440,0),INT($E136/100)*60+MOD($E136,100)))</f>
        <v/>
      </c>
      <c r="L136" s="17" t="str">
        <f aca="false">IF($F136="","",IF($F136&lt;1,ROUND($F136*1440,0),INT($F136/100)*60+MOD($F136,100)))</f>
        <v/>
      </c>
    </row>
    <row r="137" customFormat="false" ht="15" hidden="false" customHeight="true" outlineLevel="0" collapsed="false">
      <c r="A137" s="10"/>
      <c r="B137" s="8"/>
      <c r="C137" s="13" t="str">
        <f aca="false">IF($B137="","",IFERROR(INDEX(직원목록!$B$3:$B$302,MATCH($B137,직원목록!$A$3:$A$302,0)),"미등록사번"))</f>
        <v/>
      </c>
      <c r="D137" s="13" t="str">
        <f aca="false">IF($B137="","",IFERROR(INDEX(직원목록!$C$3:$C$302,MATCH($B137,직원목록!$A$3:$A$302,0)),""))</f>
        <v/>
      </c>
      <c r="E137" s="14"/>
      <c r="F137" s="14"/>
      <c r="G137" s="15"/>
      <c r="H137" s="16" t="str">
        <f aca="false">IF(OR($K137="",$L137=""),"",ROUND(MAX(0,($L137-$K137)-IF($G137="",0,$G137))/60,2))</f>
        <v/>
      </c>
      <c r="I137" s="8"/>
      <c r="J137" s="8"/>
      <c r="K137" s="17" t="str">
        <f aca="false">IF($E137="","",IF($E137&lt;1,ROUND($E137*1440,0),INT($E137/100)*60+MOD($E137,100)))</f>
        <v/>
      </c>
      <c r="L137" s="17" t="str">
        <f aca="false">IF($F137="","",IF($F137&lt;1,ROUND($F137*1440,0),INT($F137/100)*60+MOD($F137,100)))</f>
        <v/>
      </c>
    </row>
    <row r="138" customFormat="false" ht="15" hidden="false" customHeight="true" outlineLevel="0" collapsed="false">
      <c r="A138" s="10"/>
      <c r="B138" s="8"/>
      <c r="C138" s="13" t="str">
        <f aca="false">IF($B138="","",IFERROR(INDEX(직원목록!$B$3:$B$302,MATCH($B138,직원목록!$A$3:$A$302,0)),"미등록사번"))</f>
        <v/>
      </c>
      <c r="D138" s="13" t="str">
        <f aca="false">IF($B138="","",IFERROR(INDEX(직원목록!$C$3:$C$302,MATCH($B138,직원목록!$A$3:$A$302,0)),""))</f>
        <v/>
      </c>
      <c r="E138" s="14"/>
      <c r="F138" s="14"/>
      <c r="G138" s="15"/>
      <c r="H138" s="16" t="str">
        <f aca="false">IF(OR($K138="",$L138=""),"",ROUND(MAX(0,($L138-$K138)-IF($G138="",0,$G138))/60,2))</f>
        <v/>
      </c>
      <c r="I138" s="8"/>
      <c r="J138" s="8"/>
      <c r="K138" s="17" t="str">
        <f aca="false">IF($E138="","",IF($E138&lt;1,ROUND($E138*1440,0),INT($E138/100)*60+MOD($E138,100)))</f>
        <v/>
      </c>
      <c r="L138" s="17" t="str">
        <f aca="false">IF($F138="","",IF($F138&lt;1,ROUND($F138*1440,0),INT($F138/100)*60+MOD($F138,100)))</f>
        <v/>
      </c>
    </row>
    <row r="139" customFormat="false" ht="15" hidden="false" customHeight="true" outlineLevel="0" collapsed="false">
      <c r="A139" s="10"/>
      <c r="B139" s="8"/>
      <c r="C139" s="13" t="str">
        <f aca="false">IF($B139="","",IFERROR(INDEX(직원목록!$B$3:$B$302,MATCH($B139,직원목록!$A$3:$A$302,0)),"미등록사번"))</f>
        <v/>
      </c>
      <c r="D139" s="13" t="str">
        <f aca="false">IF($B139="","",IFERROR(INDEX(직원목록!$C$3:$C$302,MATCH($B139,직원목록!$A$3:$A$302,0)),""))</f>
        <v/>
      </c>
      <c r="E139" s="14"/>
      <c r="F139" s="14"/>
      <c r="G139" s="15"/>
      <c r="H139" s="16" t="str">
        <f aca="false">IF(OR($K139="",$L139=""),"",ROUND(MAX(0,($L139-$K139)-IF($G139="",0,$G139))/60,2))</f>
        <v/>
      </c>
      <c r="I139" s="8"/>
      <c r="J139" s="8"/>
      <c r="K139" s="17" t="str">
        <f aca="false">IF($E139="","",IF($E139&lt;1,ROUND($E139*1440,0),INT($E139/100)*60+MOD($E139,100)))</f>
        <v/>
      </c>
      <c r="L139" s="17" t="str">
        <f aca="false">IF($F139="","",IF($F139&lt;1,ROUND($F139*1440,0),INT($F139/100)*60+MOD($F139,100)))</f>
        <v/>
      </c>
    </row>
    <row r="140" customFormat="false" ht="15" hidden="false" customHeight="true" outlineLevel="0" collapsed="false">
      <c r="A140" s="10"/>
      <c r="B140" s="8"/>
      <c r="C140" s="13" t="str">
        <f aca="false">IF($B140="","",IFERROR(INDEX(직원목록!$B$3:$B$302,MATCH($B140,직원목록!$A$3:$A$302,0)),"미등록사번"))</f>
        <v/>
      </c>
      <c r="D140" s="13" t="str">
        <f aca="false">IF($B140="","",IFERROR(INDEX(직원목록!$C$3:$C$302,MATCH($B140,직원목록!$A$3:$A$302,0)),""))</f>
        <v/>
      </c>
      <c r="E140" s="14"/>
      <c r="F140" s="14"/>
      <c r="G140" s="15"/>
      <c r="H140" s="16" t="str">
        <f aca="false">IF(OR($K140="",$L140=""),"",ROUND(MAX(0,($L140-$K140)-IF($G140="",0,$G140))/60,2))</f>
        <v/>
      </c>
      <c r="I140" s="8"/>
      <c r="J140" s="8"/>
      <c r="K140" s="17" t="str">
        <f aca="false">IF($E140="","",IF($E140&lt;1,ROUND($E140*1440,0),INT($E140/100)*60+MOD($E140,100)))</f>
        <v/>
      </c>
      <c r="L140" s="17" t="str">
        <f aca="false">IF($F140="","",IF($F140&lt;1,ROUND($F140*1440,0),INT($F140/100)*60+MOD($F140,100)))</f>
        <v/>
      </c>
    </row>
    <row r="141" customFormat="false" ht="15" hidden="false" customHeight="true" outlineLevel="0" collapsed="false">
      <c r="A141" s="10"/>
      <c r="B141" s="8"/>
      <c r="C141" s="13" t="str">
        <f aca="false">IF($B141="","",IFERROR(INDEX(직원목록!$B$3:$B$302,MATCH($B141,직원목록!$A$3:$A$302,0)),"미등록사번"))</f>
        <v/>
      </c>
      <c r="D141" s="13" t="str">
        <f aca="false">IF($B141="","",IFERROR(INDEX(직원목록!$C$3:$C$302,MATCH($B141,직원목록!$A$3:$A$302,0)),""))</f>
        <v/>
      </c>
      <c r="E141" s="14"/>
      <c r="F141" s="14"/>
      <c r="G141" s="15"/>
      <c r="H141" s="16" t="str">
        <f aca="false">IF(OR($K141="",$L141=""),"",ROUND(MAX(0,($L141-$K141)-IF($G141="",0,$G141))/60,2))</f>
        <v/>
      </c>
      <c r="I141" s="8"/>
      <c r="J141" s="8"/>
      <c r="K141" s="17" t="str">
        <f aca="false">IF($E141="","",IF($E141&lt;1,ROUND($E141*1440,0),INT($E141/100)*60+MOD($E141,100)))</f>
        <v/>
      </c>
      <c r="L141" s="17" t="str">
        <f aca="false">IF($F141="","",IF($F141&lt;1,ROUND($F141*1440,0),INT($F141/100)*60+MOD($F141,100)))</f>
        <v/>
      </c>
    </row>
    <row r="142" customFormat="false" ht="15" hidden="false" customHeight="true" outlineLevel="0" collapsed="false">
      <c r="A142" s="10"/>
      <c r="B142" s="8"/>
      <c r="C142" s="13" t="str">
        <f aca="false">IF($B142="","",IFERROR(INDEX(직원목록!$B$3:$B$302,MATCH($B142,직원목록!$A$3:$A$302,0)),"미등록사번"))</f>
        <v/>
      </c>
      <c r="D142" s="13" t="str">
        <f aca="false">IF($B142="","",IFERROR(INDEX(직원목록!$C$3:$C$302,MATCH($B142,직원목록!$A$3:$A$302,0)),""))</f>
        <v/>
      </c>
      <c r="E142" s="14"/>
      <c r="F142" s="14"/>
      <c r="G142" s="15"/>
      <c r="H142" s="16" t="str">
        <f aca="false">IF(OR($K142="",$L142=""),"",ROUND(MAX(0,($L142-$K142)-IF($G142="",0,$G142))/60,2))</f>
        <v/>
      </c>
      <c r="I142" s="8"/>
      <c r="J142" s="8"/>
      <c r="K142" s="17" t="str">
        <f aca="false">IF($E142="","",IF($E142&lt;1,ROUND($E142*1440,0),INT($E142/100)*60+MOD($E142,100)))</f>
        <v/>
      </c>
      <c r="L142" s="17" t="str">
        <f aca="false">IF($F142="","",IF($F142&lt;1,ROUND($F142*1440,0),INT($F142/100)*60+MOD($F142,100)))</f>
        <v/>
      </c>
    </row>
    <row r="143" customFormat="false" ht="15" hidden="false" customHeight="true" outlineLevel="0" collapsed="false">
      <c r="A143" s="10"/>
      <c r="B143" s="8"/>
      <c r="C143" s="13" t="str">
        <f aca="false">IF($B143="","",IFERROR(INDEX(직원목록!$B$3:$B$302,MATCH($B143,직원목록!$A$3:$A$302,0)),"미등록사번"))</f>
        <v/>
      </c>
      <c r="D143" s="13" t="str">
        <f aca="false">IF($B143="","",IFERROR(INDEX(직원목록!$C$3:$C$302,MATCH($B143,직원목록!$A$3:$A$302,0)),""))</f>
        <v/>
      </c>
      <c r="E143" s="14"/>
      <c r="F143" s="14"/>
      <c r="G143" s="15"/>
      <c r="H143" s="16" t="str">
        <f aca="false">IF(OR($K143="",$L143=""),"",ROUND(MAX(0,($L143-$K143)-IF($G143="",0,$G143))/60,2))</f>
        <v/>
      </c>
      <c r="I143" s="8"/>
      <c r="J143" s="8"/>
      <c r="K143" s="17" t="str">
        <f aca="false">IF($E143="","",IF($E143&lt;1,ROUND($E143*1440,0),INT($E143/100)*60+MOD($E143,100)))</f>
        <v/>
      </c>
      <c r="L143" s="17" t="str">
        <f aca="false">IF($F143="","",IF($F143&lt;1,ROUND($F143*1440,0),INT($F143/100)*60+MOD($F143,100)))</f>
        <v/>
      </c>
    </row>
    <row r="144" customFormat="false" ht="15" hidden="false" customHeight="true" outlineLevel="0" collapsed="false">
      <c r="A144" s="10"/>
      <c r="B144" s="8"/>
      <c r="C144" s="13" t="str">
        <f aca="false">IF($B144="","",IFERROR(INDEX(직원목록!$B$3:$B$302,MATCH($B144,직원목록!$A$3:$A$302,0)),"미등록사번"))</f>
        <v/>
      </c>
      <c r="D144" s="13" t="str">
        <f aca="false">IF($B144="","",IFERROR(INDEX(직원목록!$C$3:$C$302,MATCH($B144,직원목록!$A$3:$A$302,0)),""))</f>
        <v/>
      </c>
      <c r="E144" s="14"/>
      <c r="F144" s="14"/>
      <c r="G144" s="15"/>
      <c r="H144" s="16" t="str">
        <f aca="false">IF(OR($K144="",$L144=""),"",ROUND(MAX(0,($L144-$K144)-IF($G144="",0,$G144))/60,2))</f>
        <v/>
      </c>
      <c r="I144" s="8"/>
      <c r="J144" s="8"/>
      <c r="K144" s="17" t="str">
        <f aca="false">IF($E144="","",IF($E144&lt;1,ROUND($E144*1440,0),INT($E144/100)*60+MOD($E144,100)))</f>
        <v/>
      </c>
      <c r="L144" s="17" t="str">
        <f aca="false">IF($F144="","",IF($F144&lt;1,ROUND($F144*1440,0),INT($F144/100)*60+MOD($F144,100)))</f>
        <v/>
      </c>
    </row>
    <row r="145" customFormat="false" ht="15" hidden="false" customHeight="true" outlineLevel="0" collapsed="false">
      <c r="A145" s="10"/>
      <c r="B145" s="8"/>
      <c r="C145" s="13" t="str">
        <f aca="false">IF($B145="","",IFERROR(INDEX(직원목록!$B$3:$B$302,MATCH($B145,직원목록!$A$3:$A$302,0)),"미등록사번"))</f>
        <v/>
      </c>
      <c r="D145" s="13" t="str">
        <f aca="false">IF($B145="","",IFERROR(INDEX(직원목록!$C$3:$C$302,MATCH($B145,직원목록!$A$3:$A$302,0)),""))</f>
        <v/>
      </c>
      <c r="E145" s="14"/>
      <c r="F145" s="14"/>
      <c r="G145" s="15"/>
      <c r="H145" s="16" t="str">
        <f aca="false">IF(OR($K145="",$L145=""),"",ROUND(MAX(0,($L145-$K145)-IF($G145="",0,$G145))/60,2))</f>
        <v/>
      </c>
      <c r="I145" s="8"/>
      <c r="J145" s="8"/>
      <c r="K145" s="17" t="str">
        <f aca="false">IF($E145="","",IF($E145&lt;1,ROUND($E145*1440,0),INT($E145/100)*60+MOD($E145,100)))</f>
        <v/>
      </c>
      <c r="L145" s="17" t="str">
        <f aca="false">IF($F145="","",IF($F145&lt;1,ROUND($F145*1440,0),INT($F145/100)*60+MOD($F145,100)))</f>
        <v/>
      </c>
    </row>
    <row r="146" customFormat="false" ht="15" hidden="false" customHeight="true" outlineLevel="0" collapsed="false">
      <c r="A146" s="10"/>
      <c r="B146" s="8"/>
      <c r="C146" s="13" t="str">
        <f aca="false">IF($B146="","",IFERROR(INDEX(직원목록!$B$3:$B$302,MATCH($B146,직원목록!$A$3:$A$302,0)),"미등록사번"))</f>
        <v/>
      </c>
      <c r="D146" s="13" t="str">
        <f aca="false">IF($B146="","",IFERROR(INDEX(직원목록!$C$3:$C$302,MATCH($B146,직원목록!$A$3:$A$302,0)),""))</f>
        <v/>
      </c>
      <c r="E146" s="14"/>
      <c r="F146" s="14"/>
      <c r="G146" s="15"/>
      <c r="H146" s="16" t="str">
        <f aca="false">IF(OR($K146="",$L146=""),"",ROUND(MAX(0,($L146-$K146)-IF($G146="",0,$G146))/60,2))</f>
        <v/>
      </c>
      <c r="I146" s="8"/>
      <c r="J146" s="8"/>
      <c r="K146" s="17" t="str">
        <f aca="false">IF($E146="","",IF($E146&lt;1,ROUND($E146*1440,0),INT($E146/100)*60+MOD($E146,100)))</f>
        <v/>
      </c>
      <c r="L146" s="17" t="str">
        <f aca="false">IF($F146="","",IF($F146&lt;1,ROUND($F146*1440,0),INT($F146/100)*60+MOD($F146,100)))</f>
        <v/>
      </c>
    </row>
    <row r="147" customFormat="false" ht="15" hidden="false" customHeight="true" outlineLevel="0" collapsed="false">
      <c r="A147" s="10"/>
      <c r="B147" s="8"/>
      <c r="C147" s="13" t="str">
        <f aca="false">IF($B147="","",IFERROR(INDEX(직원목록!$B$3:$B$302,MATCH($B147,직원목록!$A$3:$A$302,0)),"미등록사번"))</f>
        <v/>
      </c>
      <c r="D147" s="13" t="str">
        <f aca="false">IF($B147="","",IFERROR(INDEX(직원목록!$C$3:$C$302,MATCH($B147,직원목록!$A$3:$A$302,0)),""))</f>
        <v/>
      </c>
      <c r="E147" s="14"/>
      <c r="F147" s="14"/>
      <c r="G147" s="15"/>
      <c r="H147" s="16" t="str">
        <f aca="false">IF(OR($K147="",$L147=""),"",ROUND(MAX(0,($L147-$K147)-IF($G147="",0,$G147))/60,2))</f>
        <v/>
      </c>
      <c r="I147" s="8"/>
      <c r="J147" s="8"/>
      <c r="K147" s="17" t="str">
        <f aca="false">IF($E147="","",IF($E147&lt;1,ROUND($E147*1440,0),INT($E147/100)*60+MOD($E147,100)))</f>
        <v/>
      </c>
      <c r="L147" s="17" t="str">
        <f aca="false">IF($F147="","",IF($F147&lt;1,ROUND($F147*1440,0),INT($F147/100)*60+MOD($F147,100)))</f>
        <v/>
      </c>
    </row>
    <row r="148" customFormat="false" ht="15" hidden="false" customHeight="true" outlineLevel="0" collapsed="false">
      <c r="A148" s="10"/>
      <c r="B148" s="8"/>
      <c r="C148" s="13" t="str">
        <f aca="false">IF($B148="","",IFERROR(INDEX(직원목록!$B$3:$B$302,MATCH($B148,직원목록!$A$3:$A$302,0)),"미등록사번"))</f>
        <v/>
      </c>
      <c r="D148" s="13" t="str">
        <f aca="false">IF($B148="","",IFERROR(INDEX(직원목록!$C$3:$C$302,MATCH($B148,직원목록!$A$3:$A$302,0)),""))</f>
        <v/>
      </c>
      <c r="E148" s="14"/>
      <c r="F148" s="14"/>
      <c r="G148" s="15"/>
      <c r="H148" s="16" t="str">
        <f aca="false">IF(OR($K148="",$L148=""),"",ROUND(MAX(0,($L148-$K148)-IF($G148="",0,$G148))/60,2))</f>
        <v/>
      </c>
      <c r="I148" s="8"/>
      <c r="J148" s="8"/>
      <c r="K148" s="17" t="str">
        <f aca="false">IF($E148="","",IF($E148&lt;1,ROUND($E148*1440,0),INT($E148/100)*60+MOD($E148,100)))</f>
        <v/>
      </c>
      <c r="L148" s="17" t="str">
        <f aca="false">IF($F148="","",IF($F148&lt;1,ROUND($F148*1440,0),INT($F148/100)*60+MOD($F148,100)))</f>
        <v/>
      </c>
    </row>
    <row r="149" customFormat="false" ht="15" hidden="false" customHeight="true" outlineLevel="0" collapsed="false">
      <c r="A149" s="10"/>
      <c r="B149" s="8"/>
      <c r="C149" s="13" t="str">
        <f aca="false">IF($B149="","",IFERROR(INDEX(직원목록!$B$3:$B$302,MATCH($B149,직원목록!$A$3:$A$302,0)),"미등록사번"))</f>
        <v/>
      </c>
      <c r="D149" s="13" t="str">
        <f aca="false">IF($B149="","",IFERROR(INDEX(직원목록!$C$3:$C$302,MATCH($B149,직원목록!$A$3:$A$302,0)),""))</f>
        <v/>
      </c>
      <c r="E149" s="14"/>
      <c r="F149" s="14"/>
      <c r="G149" s="15"/>
      <c r="H149" s="16" t="str">
        <f aca="false">IF(OR($K149="",$L149=""),"",ROUND(MAX(0,($L149-$K149)-IF($G149="",0,$G149))/60,2))</f>
        <v/>
      </c>
      <c r="I149" s="8"/>
      <c r="J149" s="8"/>
      <c r="K149" s="17" t="str">
        <f aca="false">IF($E149="","",IF($E149&lt;1,ROUND($E149*1440,0),INT($E149/100)*60+MOD($E149,100)))</f>
        <v/>
      </c>
      <c r="L149" s="17" t="str">
        <f aca="false">IF($F149="","",IF($F149&lt;1,ROUND($F149*1440,0),INT($F149/100)*60+MOD($F149,100)))</f>
        <v/>
      </c>
    </row>
    <row r="150" customFormat="false" ht="15" hidden="false" customHeight="true" outlineLevel="0" collapsed="false">
      <c r="A150" s="10"/>
      <c r="B150" s="8"/>
      <c r="C150" s="13" t="str">
        <f aca="false">IF($B150="","",IFERROR(INDEX(직원목록!$B$3:$B$302,MATCH($B150,직원목록!$A$3:$A$302,0)),"미등록사번"))</f>
        <v/>
      </c>
      <c r="D150" s="13" t="str">
        <f aca="false">IF($B150="","",IFERROR(INDEX(직원목록!$C$3:$C$302,MATCH($B150,직원목록!$A$3:$A$302,0)),""))</f>
        <v/>
      </c>
      <c r="E150" s="14"/>
      <c r="F150" s="14"/>
      <c r="G150" s="15"/>
      <c r="H150" s="16" t="str">
        <f aca="false">IF(OR($K150="",$L150=""),"",ROUND(MAX(0,($L150-$K150)-IF($G150="",0,$G150))/60,2))</f>
        <v/>
      </c>
      <c r="I150" s="8"/>
      <c r="J150" s="8"/>
      <c r="K150" s="17" t="str">
        <f aca="false">IF($E150="","",IF($E150&lt;1,ROUND($E150*1440,0),INT($E150/100)*60+MOD($E150,100)))</f>
        <v/>
      </c>
      <c r="L150" s="17" t="str">
        <f aca="false">IF($F150="","",IF($F150&lt;1,ROUND($F150*1440,0),INT($F150/100)*60+MOD($F150,100)))</f>
        <v/>
      </c>
    </row>
    <row r="151" customFormat="false" ht="15" hidden="false" customHeight="true" outlineLevel="0" collapsed="false">
      <c r="A151" s="10"/>
      <c r="B151" s="8"/>
      <c r="C151" s="13" t="str">
        <f aca="false">IF($B151="","",IFERROR(INDEX(직원목록!$B$3:$B$302,MATCH($B151,직원목록!$A$3:$A$302,0)),"미등록사번"))</f>
        <v/>
      </c>
      <c r="D151" s="13" t="str">
        <f aca="false">IF($B151="","",IFERROR(INDEX(직원목록!$C$3:$C$302,MATCH($B151,직원목록!$A$3:$A$302,0)),""))</f>
        <v/>
      </c>
      <c r="E151" s="14"/>
      <c r="F151" s="14"/>
      <c r="G151" s="15"/>
      <c r="H151" s="16" t="str">
        <f aca="false">IF(OR($K151="",$L151=""),"",ROUND(MAX(0,($L151-$K151)-IF($G151="",0,$G151))/60,2))</f>
        <v/>
      </c>
      <c r="I151" s="8"/>
      <c r="J151" s="8"/>
      <c r="K151" s="17" t="str">
        <f aca="false">IF($E151="","",IF($E151&lt;1,ROUND($E151*1440,0),INT($E151/100)*60+MOD($E151,100)))</f>
        <v/>
      </c>
      <c r="L151" s="17" t="str">
        <f aca="false">IF($F151="","",IF($F151&lt;1,ROUND($F151*1440,0),INT($F151/100)*60+MOD($F151,100)))</f>
        <v/>
      </c>
    </row>
    <row r="152" customFormat="false" ht="15" hidden="false" customHeight="true" outlineLevel="0" collapsed="false">
      <c r="A152" s="10"/>
      <c r="B152" s="8"/>
      <c r="C152" s="13" t="str">
        <f aca="false">IF($B152="","",IFERROR(INDEX(직원목록!$B$3:$B$302,MATCH($B152,직원목록!$A$3:$A$302,0)),"미등록사번"))</f>
        <v/>
      </c>
      <c r="D152" s="13" t="str">
        <f aca="false">IF($B152="","",IFERROR(INDEX(직원목록!$C$3:$C$302,MATCH($B152,직원목록!$A$3:$A$302,0)),""))</f>
        <v/>
      </c>
      <c r="E152" s="14"/>
      <c r="F152" s="14"/>
      <c r="G152" s="15"/>
      <c r="H152" s="16" t="str">
        <f aca="false">IF(OR($K152="",$L152=""),"",ROUND(MAX(0,($L152-$K152)-IF($G152="",0,$G152))/60,2))</f>
        <v/>
      </c>
      <c r="I152" s="8"/>
      <c r="J152" s="8"/>
      <c r="K152" s="17" t="str">
        <f aca="false">IF($E152="","",IF($E152&lt;1,ROUND($E152*1440,0),INT($E152/100)*60+MOD($E152,100)))</f>
        <v/>
      </c>
      <c r="L152" s="17" t="str">
        <f aca="false">IF($F152="","",IF($F152&lt;1,ROUND($F152*1440,0),INT($F152/100)*60+MOD($F152,100)))</f>
        <v/>
      </c>
    </row>
    <row r="153" customFormat="false" ht="15" hidden="false" customHeight="true" outlineLevel="0" collapsed="false">
      <c r="A153" s="10"/>
      <c r="B153" s="8"/>
      <c r="C153" s="13" t="str">
        <f aca="false">IF($B153="","",IFERROR(INDEX(직원목록!$B$3:$B$302,MATCH($B153,직원목록!$A$3:$A$302,0)),"미등록사번"))</f>
        <v/>
      </c>
      <c r="D153" s="13" t="str">
        <f aca="false">IF($B153="","",IFERROR(INDEX(직원목록!$C$3:$C$302,MATCH($B153,직원목록!$A$3:$A$302,0)),""))</f>
        <v/>
      </c>
      <c r="E153" s="14"/>
      <c r="F153" s="14"/>
      <c r="G153" s="15"/>
      <c r="H153" s="16" t="str">
        <f aca="false">IF(OR($K153="",$L153=""),"",ROUND(MAX(0,($L153-$K153)-IF($G153="",0,$G153))/60,2))</f>
        <v/>
      </c>
      <c r="I153" s="8"/>
      <c r="J153" s="8"/>
      <c r="K153" s="17" t="str">
        <f aca="false">IF($E153="","",IF($E153&lt;1,ROUND($E153*1440,0),INT($E153/100)*60+MOD($E153,100)))</f>
        <v/>
      </c>
      <c r="L153" s="17" t="str">
        <f aca="false">IF($F153="","",IF($F153&lt;1,ROUND($F153*1440,0),INT($F153/100)*60+MOD($F153,100)))</f>
        <v/>
      </c>
    </row>
    <row r="154" customFormat="false" ht="15" hidden="false" customHeight="true" outlineLevel="0" collapsed="false">
      <c r="A154" s="10"/>
      <c r="B154" s="8"/>
      <c r="C154" s="13" t="str">
        <f aca="false">IF($B154="","",IFERROR(INDEX(직원목록!$B$3:$B$302,MATCH($B154,직원목록!$A$3:$A$302,0)),"미등록사번"))</f>
        <v/>
      </c>
      <c r="D154" s="13" t="str">
        <f aca="false">IF($B154="","",IFERROR(INDEX(직원목록!$C$3:$C$302,MATCH($B154,직원목록!$A$3:$A$302,0)),""))</f>
        <v/>
      </c>
      <c r="E154" s="14"/>
      <c r="F154" s="14"/>
      <c r="G154" s="15"/>
      <c r="H154" s="16" t="str">
        <f aca="false">IF(OR($K154="",$L154=""),"",ROUND(MAX(0,($L154-$K154)-IF($G154="",0,$G154))/60,2))</f>
        <v/>
      </c>
      <c r="I154" s="8"/>
      <c r="J154" s="8"/>
      <c r="K154" s="17" t="str">
        <f aca="false">IF($E154="","",IF($E154&lt;1,ROUND($E154*1440,0),INT($E154/100)*60+MOD($E154,100)))</f>
        <v/>
      </c>
      <c r="L154" s="17" t="str">
        <f aca="false">IF($F154="","",IF($F154&lt;1,ROUND($F154*1440,0),INT($F154/100)*60+MOD($F154,100)))</f>
        <v/>
      </c>
    </row>
    <row r="155" customFormat="false" ht="15" hidden="false" customHeight="true" outlineLevel="0" collapsed="false">
      <c r="A155" s="10"/>
      <c r="B155" s="8"/>
      <c r="C155" s="13" t="str">
        <f aca="false">IF($B155="","",IFERROR(INDEX(직원목록!$B$3:$B$302,MATCH($B155,직원목록!$A$3:$A$302,0)),"미등록사번"))</f>
        <v/>
      </c>
      <c r="D155" s="13" t="str">
        <f aca="false">IF($B155="","",IFERROR(INDEX(직원목록!$C$3:$C$302,MATCH($B155,직원목록!$A$3:$A$302,0)),""))</f>
        <v/>
      </c>
      <c r="E155" s="14"/>
      <c r="F155" s="14"/>
      <c r="G155" s="15"/>
      <c r="H155" s="16" t="str">
        <f aca="false">IF(OR($K155="",$L155=""),"",ROUND(MAX(0,($L155-$K155)-IF($G155="",0,$G155))/60,2))</f>
        <v/>
      </c>
      <c r="I155" s="8"/>
      <c r="J155" s="8"/>
      <c r="K155" s="17" t="str">
        <f aca="false">IF($E155="","",IF($E155&lt;1,ROUND($E155*1440,0),INT($E155/100)*60+MOD($E155,100)))</f>
        <v/>
      </c>
      <c r="L155" s="17" t="str">
        <f aca="false">IF($F155="","",IF($F155&lt;1,ROUND($F155*1440,0),INT($F155/100)*60+MOD($F155,100)))</f>
        <v/>
      </c>
    </row>
    <row r="156" customFormat="false" ht="15" hidden="false" customHeight="true" outlineLevel="0" collapsed="false">
      <c r="A156" s="10"/>
      <c r="B156" s="8"/>
      <c r="C156" s="13" t="str">
        <f aca="false">IF($B156="","",IFERROR(INDEX(직원목록!$B$3:$B$302,MATCH($B156,직원목록!$A$3:$A$302,0)),"미등록사번"))</f>
        <v/>
      </c>
      <c r="D156" s="13" t="str">
        <f aca="false">IF($B156="","",IFERROR(INDEX(직원목록!$C$3:$C$302,MATCH($B156,직원목록!$A$3:$A$302,0)),""))</f>
        <v/>
      </c>
      <c r="E156" s="14"/>
      <c r="F156" s="14"/>
      <c r="G156" s="15"/>
      <c r="H156" s="16" t="str">
        <f aca="false">IF(OR($K156="",$L156=""),"",ROUND(MAX(0,($L156-$K156)-IF($G156="",0,$G156))/60,2))</f>
        <v/>
      </c>
      <c r="I156" s="8"/>
      <c r="J156" s="8"/>
      <c r="K156" s="17" t="str">
        <f aca="false">IF($E156="","",IF($E156&lt;1,ROUND($E156*1440,0),INT($E156/100)*60+MOD($E156,100)))</f>
        <v/>
      </c>
      <c r="L156" s="17" t="str">
        <f aca="false">IF($F156="","",IF($F156&lt;1,ROUND($F156*1440,0),INT($F156/100)*60+MOD($F156,100)))</f>
        <v/>
      </c>
    </row>
    <row r="157" customFormat="false" ht="15" hidden="false" customHeight="true" outlineLevel="0" collapsed="false">
      <c r="A157" s="10"/>
      <c r="B157" s="8"/>
      <c r="C157" s="13" t="str">
        <f aca="false">IF($B157="","",IFERROR(INDEX(직원목록!$B$3:$B$302,MATCH($B157,직원목록!$A$3:$A$302,0)),"미등록사번"))</f>
        <v/>
      </c>
      <c r="D157" s="13" t="str">
        <f aca="false">IF($B157="","",IFERROR(INDEX(직원목록!$C$3:$C$302,MATCH($B157,직원목록!$A$3:$A$302,0)),""))</f>
        <v/>
      </c>
      <c r="E157" s="14"/>
      <c r="F157" s="14"/>
      <c r="G157" s="15"/>
      <c r="H157" s="16" t="str">
        <f aca="false">IF(OR($K157="",$L157=""),"",ROUND(MAX(0,($L157-$K157)-IF($G157="",0,$G157))/60,2))</f>
        <v/>
      </c>
      <c r="I157" s="8"/>
      <c r="J157" s="8"/>
      <c r="K157" s="17" t="str">
        <f aca="false">IF($E157="","",IF($E157&lt;1,ROUND($E157*1440,0),INT($E157/100)*60+MOD($E157,100)))</f>
        <v/>
      </c>
      <c r="L157" s="17" t="str">
        <f aca="false">IF($F157="","",IF($F157&lt;1,ROUND($F157*1440,0),INT($F157/100)*60+MOD($F157,100)))</f>
        <v/>
      </c>
    </row>
    <row r="158" customFormat="false" ht="15" hidden="false" customHeight="true" outlineLevel="0" collapsed="false">
      <c r="A158" s="10"/>
      <c r="B158" s="8"/>
      <c r="C158" s="13" t="str">
        <f aca="false">IF($B158="","",IFERROR(INDEX(직원목록!$B$3:$B$302,MATCH($B158,직원목록!$A$3:$A$302,0)),"미등록사번"))</f>
        <v/>
      </c>
      <c r="D158" s="13" t="str">
        <f aca="false">IF($B158="","",IFERROR(INDEX(직원목록!$C$3:$C$302,MATCH($B158,직원목록!$A$3:$A$302,0)),""))</f>
        <v/>
      </c>
      <c r="E158" s="14"/>
      <c r="F158" s="14"/>
      <c r="G158" s="15"/>
      <c r="H158" s="16" t="str">
        <f aca="false">IF(OR($K158="",$L158=""),"",ROUND(MAX(0,($L158-$K158)-IF($G158="",0,$G158))/60,2))</f>
        <v/>
      </c>
      <c r="I158" s="8"/>
      <c r="J158" s="8"/>
      <c r="K158" s="17" t="str">
        <f aca="false">IF($E158="","",IF($E158&lt;1,ROUND($E158*1440,0),INT($E158/100)*60+MOD($E158,100)))</f>
        <v/>
      </c>
      <c r="L158" s="17" t="str">
        <f aca="false">IF($F158="","",IF($F158&lt;1,ROUND($F158*1440,0),INT($F158/100)*60+MOD($F158,100)))</f>
        <v/>
      </c>
    </row>
    <row r="159" customFormat="false" ht="15" hidden="false" customHeight="true" outlineLevel="0" collapsed="false">
      <c r="A159" s="10"/>
      <c r="B159" s="8"/>
      <c r="C159" s="13" t="str">
        <f aca="false">IF($B159="","",IFERROR(INDEX(직원목록!$B$3:$B$302,MATCH($B159,직원목록!$A$3:$A$302,0)),"미등록사번"))</f>
        <v/>
      </c>
      <c r="D159" s="13" t="str">
        <f aca="false">IF($B159="","",IFERROR(INDEX(직원목록!$C$3:$C$302,MATCH($B159,직원목록!$A$3:$A$302,0)),""))</f>
        <v/>
      </c>
      <c r="E159" s="14"/>
      <c r="F159" s="14"/>
      <c r="G159" s="15"/>
      <c r="H159" s="16" t="str">
        <f aca="false">IF(OR($K159="",$L159=""),"",ROUND(MAX(0,($L159-$K159)-IF($G159="",0,$G159))/60,2))</f>
        <v/>
      </c>
      <c r="I159" s="8"/>
      <c r="J159" s="8"/>
      <c r="K159" s="17" t="str">
        <f aca="false">IF($E159="","",IF($E159&lt;1,ROUND($E159*1440,0),INT($E159/100)*60+MOD($E159,100)))</f>
        <v/>
      </c>
      <c r="L159" s="17" t="str">
        <f aca="false">IF($F159="","",IF($F159&lt;1,ROUND($F159*1440,0),INT($F159/100)*60+MOD($F159,100)))</f>
        <v/>
      </c>
    </row>
    <row r="160" customFormat="false" ht="15" hidden="false" customHeight="true" outlineLevel="0" collapsed="false">
      <c r="A160" s="10"/>
      <c r="B160" s="8"/>
      <c r="C160" s="13" t="str">
        <f aca="false">IF($B160="","",IFERROR(INDEX(직원목록!$B$3:$B$302,MATCH($B160,직원목록!$A$3:$A$302,0)),"미등록사번"))</f>
        <v/>
      </c>
      <c r="D160" s="13" t="str">
        <f aca="false">IF($B160="","",IFERROR(INDEX(직원목록!$C$3:$C$302,MATCH($B160,직원목록!$A$3:$A$302,0)),""))</f>
        <v/>
      </c>
      <c r="E160" s="14"/>
      <c r="F160" s="14"/>
      <c r="G160" s="15"/>
      <c r="H160" s="16" t="str">
        <f aca="false">IF(OR($K160="",$L160=""),"",ROUND(MAX(0,($L160-$K160)-IF($G160="",0,$G160))/60,2))</f>
        <v/>
      </c>
      <c r="I160" s="8"/>
      <c r="J160" s="8"/>
      <c r="K160" s="17" t="str">
        <f aca="false">IF($E160="","",IF($E160&lt;1,ROUND($E160*1440,0),INT($E160/100)*60+MOD($E160,100)))</f>
        <v/>
      </c>
      <c r="L160" s="17" t="str">
        <f aca="false">IF($F160="","",IF($F160&lt;1,ROUND($F160*1440,0),INT($F160/100)*60+MOD($F160,100)))</f>
        <v/>
      </c>
    </row>
    <row r="161" customFormat="false" ht="15" hidden="false" customHeight="true" outlineLevel="0" collapsed="false">
      <c r="A161" s="10"/>
      <c r="B161" s="8"/>
      <c r="C161" s="13" t="str">
        <f aca="false">IF($B161="","",IFERROR(INDEX(직원목록!$B$3:$B$302,MATCH($B161,직원목록!$A$3:$A$302,0)),"미등록사번"))</f>
        <v/>
      </c>
      <c r="D161" s="13" t="str">
        <f aca="false">IF($B161="","",IFERROR(INDEX(직원목록!$C$3:$C$302,MATCH($B161,직원목록!$A$3:$A$302,0)),""))</f>
        <v/>
      </c>
      <c r="E161" s="14"/>
      <c r="F161" s="14"/>
      <c r="G161" s="15"/>
      <c r="H161" s="16" t="str">
        <f aca="false">IF(OR($K161="",$L161=""),"",ROUND(MAX(0,($L161-$K161)-IF($G161="",0,$G161))/60,2))</f>
        <v/>
      </c>
      <c r="I161" s="8"/>
      <c r="J161" s="8"/>
      <c r="K161" s="17" t="str">
        <f aca="false">IF($E161="","",IF($E161&lt;1,ROUND($E161*1440,0),INT($E161/100)*60+MOD($E161,100)))</f>
        <v/>
      </c>
      <c r="L161" s="17" t="str">
        <f aca="false">IF($F161="","",IF($F161&lt;1,ROUND($F161*1440,0),INT($F161/100)*60+MOD($F161,100)))</f>
        <v/>
      </c>
    </row>
    <row r="162" customFormat="false" ht="15" hidden="false" customHeight="true" outlineLevel="0" collapsed="false">
      <c r="A162" s="10"/>
      <c r="B162" s="8"/>
      <c r="C162" s="13" t="str">
        <f aca="false">IF($B162="","",IFERROR(INDEX(직원목록!$B$3:$B$302,MATCH($B162,직원목록!$A$3:$A$302,0)),"미등록사번"))</f>
        <v/>
      </c>
      <c r="D162" s="13" t="str">
        <f aca="false">IF($B162="","",IFERROR(INDEX(직원목록!$C$3:$C$302,MATCH($B162,직원목록!$A$3:$A$302,0)),""))</f>
        <v/>
      </c>
      <c r="E162" s="14"/>
      <c r="F162" s="14"/>
      <c r="G162" s="15"/>
      <c r="H162" s="16" t="str">
        <f aca="false">IF(OR($K162="",$L162=""),"",ROUND(MAX(0,($L162-$K162)-IF($G162="",0,$G162))/60,2))</f>
        <v/>
      </c>
      <c r="I162" s="8"/>
      <c r="J162" s="8"/>
      <c r="K162" s="17" t="str">
        <f aca="false">IF($E162="","",IF($E162&lt;1,ROUND($E162*1440,0),INT($E162/100)*60+MOD($E162,100)))</f>
        <v/>
      </c>
      <c r="L162" s="17" t="str">
        <f aca="false">IF($F162="","",IF($F162&lt;1,ROUND($F162*1440,0),INT($F162/100)*60+MOD($F162,100)))</f>
        <v/>
      </c>
    </row>
    <row r="163" customFormat="false" ht="15" hidden="false" customHeight="true" outlineLevel="0" collapsed="false">
      <c r="A163" s="10"/>
      <c r="B163" s="8"/>
      <c r="C163" s="13" t="str">
        <f aca="false">IF($B163="","",IFERROR(INDEX(직원목록!$B$3:$B$302,MATCH($B163,직원목록!$A$3:$A$302,0)),"미등록사번"))</f>
        <v/>
      </c>
      <c r="D163" s="13" t="str">
        <f aca="false">IF($B163="","",IFERROR(INDEX(직원목록!$C$3:$C$302,MATCH($B163,직원목록!$A$3:$A$302,0)),""))</f>
        <v/>
      </c>
      <c r="E163" s="14"/>
      <c r="F163" s="14"/>
      <c r="G163" s="15"/>
      <c r="H163" s="16" t="str">
        <f aca="false">IF(OR($K163="",$L163=""),"",ROUND(MAX(0,($L163-$K163)-IF($G163="",0,$G163))/60,2))</f>
        <v/>
      </c>
      <c r="I163" s="8"/>
      <c r="J163" s="8"/>
      <c r="K163" s="17" t="str">
        <f aca="false">IF($E163="","",IF($E163&lt;1,ROUND($E163*1440,0),INT($E163/100)*60+MOD($E163,100)))</f>
        <v/>
      </c>
      <c r="L163" s="17" t="str">
        <f aca="false">IF($F163="","",IF($F163&lt;1,ROUND($F163*1440,0),INT($F163/100)*60+MOD($F163,100)))</f>
        <v/>
      </c>
    </row>
    <row r="164" customFormat="false" ht="15" hidden="false" customHeight="true" outlineLevel="0" collapsed="false">
      <c r="A164" s="10"/>
      <c r="B164" s="8"/>
      <c r="C164" s="13" t="str">
        <f aca="false">IF($B164="","",IFERROR(INDEX(직원목록!$B$3:$B$302,MATCH($B164,직원목록!$A$3:$A$302,0)),"미등록사번"))</f>
        <v/>
      </c>
      <c r="D164" s="13" t="str">
        <f aca="false">IF($B164="","",IFERROR(INDEX(직원목록!$C$3:$C$302,MATCH($B164,직원목록!$A$3:$A$302,0)),""))</f>
        <v/>
      </c>
      <c r="E164" s="14"/>
      <c r="F164" s="14"/>
      <c r="G164" s="15"/>
      <c r="H164" s="16" t="str">
        <f aca="false">IF(OR($K164="",$L164=""),"",ROUND(MAX(0,($L164-$K164)-IF($G164="",0,$G164))/60,2))</f>
        <v/>
      </c>
      <c r="I164" s="8"/>
      <c r="J164" s="8"/>
      <c r="K164" s="17" t="str">
        <f aca="false">IF($E164="","",IF($E164&lt;1,ROUND($E164*1440,0),INT($E164/100)*60+MOD($E164,100)))</f>
        <v/>
      </c>
      <c r="L164" s="17" t="str">
        <f aca="false">IF($F164="","",IF($F164&lt;1,ROUND($F164*1440,0),INT($F164/100)*60+MOD($F164,100)))</f>
        <v/>
      </c>
    </row>
    <row r="165" customFormat="false" ht="15" hidden="false" customHeight="true" outlineLevel="0" collapsed="false">
      <c r="A165" s="10"/>
      <c r="B165" s="8"/>
      <c r="C165" s="13" t="str">
        <f aca="false">IF($B165="","",IFERROR(INDEX(직원목록!$B$3:$B$302,MATCH($B165,직원목록!$A$3:$A$302,0)),"미등록사번"))</f>
        <v/>
      </c>
      <c r="D165" s="13" t="str">
        <f aca="false">IF($B165="","",IFERROR(INDEX(직원목록!$C$3:$C$302,MATCH($B165,직원목록!$A$3:$A$302,0)),""))</f>
        <v/>
      </c>
      <c r="E165" s="14"/>
      <c r="F165" s="14"/>
      <c r="G165" s="15"/>
      <c r="H165" s="16" t="str">
        <f aca="false">IF(OR($K165="",$L165=""),"",ROUND(MAX(0,($L165-$K165)-IF($G165="",0,$G165))/60,2))</f>
        <v/>
      </c>
      <c r="I165" s="8"/>
      <c r="J165" s="8"/>
      <c r="K165" s="17" t="str">
        <f aca="false">IF($E165="","",IF($E165&lt;1,ROUND($E165*1440,0),INT($E165/100)*60+MOD($E165,100)))</f>
        <v/>
      </c>
      <c r="L165" s="17" t="str">
        <f aca="false">IF($F165="","",IF($F165&lt;1,ROUND($F165*1440,0),INT($F165/100)*60+MOD($F165,100)))</f>
        <v/>
      </c>
    </row>
    <row r="166" customFormat="false" ht="15" hidden="false" customHeight="true" outlineLevel="0" collapsed="false">
      <c r="A166" s="10"/>
      <c r="B166" s="8"/>
      <c r="C166" s="13" t="str">
        <f aca="false">IF($B166="","",IFERROR(INDEX(직원목록!$B$3:$B$302,MATCH($B166,직원목록!$A$3:$A$302,0)),"미등록사번"))</f>
        <v/>
      </c>
      <c r="D166" s="13" t="str">
        <f aca="false">IF($B166="","",IFERROR(INDEX(직원목록!$C$3:$C$302,MATCH($B166,직원목록!$A$3:$A$302,0)),""))</f>
        <v/>
      </c>
      <c r="E166" s="14"/>
      <c r="F166" s="14"/>
      <c r="G166" s="15"/>
      <c r="H166" s="16" t="str">
        <f aca="false">IF(OR($K166="",$L166=""),"",ROUND(MAX(0,($L166-$K166)-IF($G166="",0,$G166))/60,2))</f>
        <v/>
      </c>
      <c r="I166" s="8"/>
      <c r="J166" s="8"/>
      <c r="K166" s="17" t="str">
        <f aca="false">IF($E166="","",IF($E166&lt;1,ROUND($E166*1440,0),INT($E166/100)*60+MOD($E166,100)))</f>
        <v/>
      </c>
      <c r="L166" s="17" t="str">
        <f aca="false">IF($F166="","",IF($F166&lt;1,ROUND($F166*1440,0),INT($F166/100)*60+MOD($F166,100)))</f>
        <v/>
      </c>
    </row>
    <row r="167" customFormat="false" ht="15" hidden="false" customHeight="true" outlineLevel="0" collapsed="false">
      <c r="A167" s="10"/>
      <c r="B167" s="8"/>
      <c r="C167" s="13" t="str">
        <f aca="false">IF($B167="","",IFERROR(INDEX(직원목록!$B$3:$B$302,MATCH($B167,직원목록!$A$3:$A$302,0)),"미등록사번"))</f>
        <v/>
      </c>
      <c r="D167" s="13" t="str">
        <f aca="false">IF($B167="","",IFERROR(INDEX(직원목록!$C$3:$C$302,MATCH($B167,직원목록!$A$3:$A$302,0)),""))</f>
        <v/>
      </c>
      <c r="E167" s="14"/>
      <c r="F167" s="14"/>
      <c r="G167" s="15"/>
      <c r="H167" s="16" t="str">
        <f aca="false">IF(OR($K167="",$L167=""),"",ROUND(MAX(0,($L167-$K167)-IF($G167="",0,$G167))/60,2))</f>
        <v/>
      </c>
      <c r="I167" s="8"/>
      <c r="J167" s="8"/>
      <c r="K167" s="17" t="str">
        <f aca="false">IF($E167="","",IF($E167&lt;1,ROUND($E167*1440,0),INT($E167/100)*60+MOD($E167,100)))</f>
        <v/>
      </c>
      <c r="L167" s="17" t="str">
        <f aca="false">IF($F167="","",IF($F167&lt;1,ROUND($F167*1440,0),INT($F167/100)*60+MOD($F167,100)))</f>
        <v/>
      </c>
    </row>
    <row r="168" customFormat="false" ht="15" hidden="false" customHeight="true" outlineLevel="0" collapsed="false">
      <c r="A168" s="10"/>
      <c r="B168" s="8"/>
      <c r="C168" s="13" t="str">
        <f aca="false">IF($B168="","",IFERROR(INDEX(직원목록!$B$3:$B$302,MATCH($B168,직원목록!$A$3:$A$302,0)),"미등록사번"))</f>
        <v/>
      </c>
      <c r="D168" s="13" t="str">
        <f aca="false">IF($B168="","",IFERROR(INDEX(직원목록!$C$3:$C$302,MATCH($B168,직원목록!$A$3:$A$302,0)),""))</f>
        <v/>
      </c>
      <c r="E168" s="14"/>
      <c r="F168" s="14"/>
      <c r="G168" s="15"/>
      <c r="H168" s="16" t="str">
        <f aca="false">IF(OR($K168="",$L168=""),"",ROUND(MAX(0,($L168-$K168)-IF($G168="",0,$G168))/60,2))</f>
        <v/>
      </c>
      <c r="I168" s="8"/>
      <c r="J168" s="8"/>
      <c r="K168" s="17" t="str">
        <f aca="false">IF($E168="","",IF($E168&lt;1,ROUND($E168*1440,0),INT($E168/100)*60+MOD($E168,100)))</f>
        <v/>
      </c>
      <c r="L168" s="17" t="str">
        <f aca="false">IF($F168="","",IF($F168&lt;1,ROUND($F168*1440,0),INT($F168/100)*60+MOD($F168,100)))</f>
        <v/>
      </c>
    </row>
    <row r="169" customFormat="false" ht="15" hidden="false" customHeight="true" outlineLevel="0" collapsed="false">
      <c r="A169" s="10"/>
      <c r="B169" s="8"/>
      <c r="C169" s="13" t="str">
        <f aca="false">IF($B169="","",IFERROR(INDEX(직원목록!$B$3:$B$302,MATCH($B169,직원목록!$A$3:$A$302,0)),"미등록사번"))</f>
        <v/>
      </c>
      <c r="D169" s="13" t="str">
        <f aca="false">IF($B169="","",IFERROR(INDEX(직원목록!$C$3:$C$302,MATCH($B169,직원목록!$A$3:$A$302,0)),""))</f>
        <v/>
      </c>
      <c r="E169" s="14"/>
      <c r="F169" s="14"/>
      <c r="G169" s="15"/>
      <c r="H169" s="16" t="str">
        <f aca="false">IF(OR($K169="",$L169=""),"",ROUND(MAX(0,($L169-$K169)-IF($G169="",0,$G169))/60,2))</f>
        <v/>
      </c>
      <c r="I169" s="8"/>
      <c r="J169" s="8"/>
      <c r="K169" s="17" t="str">
        <f aca="false">IF($E169="","",IF($E169&lt;1,ROUND($E169*1440,0),INT($E169/100)*60+MOD($E169,100)))</f>
        <v/>
      </c>
      <c r="L169" s="17" t="str">
        <f aca="false">IF($F169="","",IF($F169&lt;1,ROUND($F169*1440,0),INT($F169/100)*60+MOD($F169,100)))</f>
        <v/>
      </c>
    </row>
    <row r="170" customFormat="false" ht="15" hidden="false" customHeight="true" outlineLevel="0" collapsed="false">
      <c r="A170" s="10"/>
      <c r="B170" s="8"/>
      <c r="C170" s="13" t="str">
        <f aca="false">IF($B170="","",IFERROR(INDEX(직원목록!$B$3:$B$302,MATCH($B170,직원목록!$A$3:$A$302,0)),"미등록사번"))</f>
        <v/>
      </c>
      <c r="D170" s="13" t="str">
        <f aca="false">IF($B170="","",IFERROR(INDEX(직원목록!$C$3:$C$302,MATCH($B170,직원목록!$A$3:$A$302,0)),""))</f>
        <v/>
      </c>
      <c r="E170" s="14"/>
      <c r="F170" s="14"/>
      <c r="G170" s="15"/>
      <c r="H170" s="16" t="str">
        <f aca="false">IF(OR($K170="",$L170=""),"",ROUND(MAX(0,($L170-$K170)-IF($G170="",0,$G170))/60,2))</f>
        <v/>
      </c>
      <c r="I170" s="8"/>
      <c r="J170" s="8"/>
      <c r="K170" s="17" t="str">
        <f aca="false">IF($E170="","",IF($E170&lt;1,ROUND($E170*1440,0),INT($E170/100)*60+MOD($E170,100)))</f>
        <v/>
      </c>
      <c r="L170" s="17" t="str">
        <f aca="false">IF($F170="","",IF($F170&lt;1,ROUND($F170*1440,0),INT($F170/100)*60+MOD($F170,100)))</f>
        <v/>
      </c>
    </row>
    <row r="171" customFormat="false" ht="15" hidden="false" customHeight="true" outlineLevel="0" collapsed="false">
      <c r="A171" s="10"/>
      <c r="B171" s="8"/>
      <c r="C171" s="13" t="str">
        <f aca="false">IF($B171="","",IFERROR(INDEX(직원목록!$B$3:$B$302,MATCH($B171,직원목록!$A$3:$A$302,0)),"미등록사번"))</f>
        <v/>
      </c>
      <c r="D171" s="13" t="str">
        <f aca="false">IF($B171="","",IFERROR(INDEX(직원목록!$C$3:$C$302,MATCH($B171,직원목록!$A$3:$A$302,0)),""))</f>
        <v/>
      </c>
      <c r="E171" s="14"/>
      <c r="F171" s="14"/>
      <c r="G171" s="15"/>
      <c r="H171" s="16" t="str">
        <f aca="false">IF(OR($K171="",$L171=""),"",ROUND(MAX(0,($L171-$K171)-IF($G171="",0,$G171))/60,2))</f>
        <v/>
      </c>
      <c r="I171" s="8"/>
      <c r="J171" s="8"/>
      <c r="K171" s="17" t="str">
        <f aca="false">IF($E171="","",IF($E171&lt;1,ROUND($E171*1440,0),INT($E171/100)*60+MOD($E171,100)))</f>
        <v/>
      </c>
      <c r="L171" s="17" t="str">
        <f aca="false">IF($F171="","",IF($F171&lt;1,ROUND($F171*1440,0),INT($F171/100)*60+MOD($F171,100)))</f>
        <v/>
      </c>
    </row>
    <row r="172" customFormat="false" ht="15" hidden="false" customHeight="true" outlineLevel="0" collapsed="false">
      <c r="A172" s="10"/>
      <c r="B172" s="8"/>
      <c r="C172" s="13" t="str">
        <f aca="false">IF($B172="","",IFERROR(INDEX(직원목록!$B$3:$B$302,MATCH($B172,직원목록!$A$3:$A$302,0)),"미등록사번"))</f>
        <v/>
      </c>
      <c r="D172" s="13" t="str">
        <f aca="false">IF($B172="","",IFERROR(INDEX(직원목록!$C$3:$C$302,MATCH($B172,직원목록!$A$3:$A$302,0)),""))</f>
        <v/>
      </c>
      <c r="E172" s="14"/>
      <c r="F172" s="14"/>
      <c r="G172" s="15"/>
      <c r="H172" s="16" t="str">
        <f aca="false">IF(OR($K172="",$L172=""),"",ROUND(MAX(0,($L172-$K172)-IF($G172="",0,$G172))/60,2))</f>
        <v/>
      </c>
      <c r="I172" s="8"/>
      <c r="J172" s="8"/>
      <c r="K172" s="17" t="str">
        <f aca="false">IF($E172="","",IF($E172&lt;1,ROUND($E172*1440,0),INT($E172/100)*60+MOD($E172,100)))</f>
        <v/>
      </c>
      <c r="L172" s="17" t="str">
        <f aca="false">IF($F172="","",IF($F172&lt;1,ROUND($F172*1440,0),INT($F172/100)*60+MOD($F172,100)))</f>
        <v/>
      </c>
    </row>
    <row r="173" customFormat="false" ht="15" hidden="false" customHeight="true" outlineLevel="0" collapsed="false">
      <c r="A173" s="10"/>
      <c r="B173" s="8"/>
      <c r="C173" s="13" t="str">
        <f aca="false">IF($B173="","",IFERROR(INDEX(직원목록!$B$3:$B$302,MATCH($B173,직원목록!$A$3:$A$302,0)),"미등록사번"))</f>
        <v/>
      </c>
      <c r="D173" s="13" t="str">
        <f aca="false">IF($B173="","",IFERROR(INDEX(직원목록!$C$3:$C$302,MATCH($B173,직원목록!$A$3:$A$302,0)),""))</f>
        <v/>
      </c>
      <c r="E173" s="14"/>
      <c r="F173" s="14"/>
      <c r="G173" s="15"/>
      <c r="H173" s="16" t="str">
        <f aca="false">IF(OR($K173="",$L173=""),"",ROUND(MAX(0,($L173-$K173)-IF($G173="",0,$G173))/60,2))</f>
        <v/>
      </c>
      <c r="I173" s="8"/>
      <c r="J173" s="8"/>
      <c r="K173" s="17" t="str">
        <f aca="false">IF($E173="","",IF($E173&lt;1,ROUND($E173*1440,0),INT($E173/100)*60+MOD($E173,100)))</f>
        <v/>
      </c>
      <c r="L173" s="17" t="str">
        <f aca="false">IF($F173="","",IF($F173&lt;1,ROUND($F173*1440,0),INT($F173/100)*60+MOD($F173,100)))</f>
        <v/>
      </c>
    </row>
    <row r="174" customFormat="false" ht="15" hidden="false" customHeight="true" outlineLevel="0" collapsed="false">
      <c r="A174" s="10"/>
      <c r="B174" s="8"/>
      <c r="C174" s="13" t="str">
        <f aca="false">IF($B174="","",IFERROR(INDEX(직원목록!$B$3:$B$302,MATCH($B174,직원목록!$A$3:$A$302,0)),"미등록사번"))</f>
        <v/>
      </c>
      <c r="D174" s="13" t="str">
        <f aca="false">IF($B174="","",IFERROR(INDEX(직원목록!$C$3:$C$302,MATCH($B174,직원목록!$A$3:$A$302,0)),""))</f>
        <v/>
      </c>
      <c r="E174" s="14"/>
      <c r="F174" s="14"/>
      <c r="G174" s="15"/>
      <c r="H174" s="16" t="str">
        <f aca="false">IF(OR($K174="",$L174=""),"",ROUND(MAX(0,($L174-$K174)-IF($G174="",0,$G174))/60,2))</f>
        <v/>
      </c>
      <c r="I174" s="8"/>
      <c r="J174" s="8"/>
      <c r="K174" s="17" t="str">
        <f aca="false">IF($E174="","",IF($E174&lt;1,ROUND($E174*1440,0),INT($E174/100)*60+MOD($E174,100)))</f>
        <v/>
      </c>
      <c r="L174" s="17" t="str">
        <f aca="false">IF($F174="","",IF($F174&lt;1,ROUND($F174*1440,0),INT($F174/100)*60+MOD($F174,100)))</f>
        <v/>
      </c>
    </row>
    <row r="175" customFormat="false" ht="15" hidden="false" customHeight="true" outlineLevel="0" collapsed="false">
      <c r="A175" s="10"/>
      <c r="B175" s="8"/>
      <c r="C175" s="13" t="str">
        <f aca="false">IF($B175="","",IFERROR(INDEX(직원목록!$B$3:$B$302,MATCH($B175,직원목록!$A$3:$A$302,0)),"미등록사번"))</f>
        <v/>
      </c>
      <c r="D175" s="13" t="str">
        <f aca="false">IF($B175="","",IFERROR(INDEX(직원목록!$C$3:$C$302,MATCH($B175,직원목록!$A$3:$A$302,0)),""))</f>
        <v/>
      </c>
      <c r="E175" s="14"/>
      <c r="F175" s="14"/>
      <c r="G175" s="15"/>
      <c r="H175" s="16" t="str">
        <f aca="false">IF(OR($K175="",$L175=""),"",ROUND(MAX(0,($L175-$K175)-IF($G175="",0,$G175))/60,2))</f>
        <v/>
      </c>
      <c r="I175" s="8"/>
      <c r="J175" s="8"/>
      <c r="K175" s="17" t="str">
        <f aca="false">IF($E175="","",IF($E175&lt;1,ROUND($E175*1440,0),INT($E175/100)*60+MOD($E175,100)))</f>
        <v/>
      </c>
      <c r="L175" s="17" t="str">
        <f aca="false">IF($F175="","",IF($F175&lt;1,ROUND($F175*1440,0),INT($F175/100)*60+MOD($F175,100)))</f>
        <v/>
      </c>
    </row>
    <row r="176" customFormat="false" ht="15" hidden="false" customHeight="true" outlineLevel="0" collapsed="false">
      <c r="A176" s="10"/>
      <c r="B176" s="8"/>
      <c r="C176" s="13" t="str">
        <f aca="false">IF($B176="","",IFERROR(INDEX(직원목록!$B$3:$B$302,MATCH($B176,직원목록!$A$3:$A$302,0)),"미등록사번"))</f>
        <v/>
      </c>
      <c r="D176" s="13" t="str">
        <f aca="false">IF($B176="","",IFERROR(INDEX(직원목록!$C$3:$C$302,MATCH($B176,직원목록!$A$3:$A$302,0)),""))</f>
        <v/>
      </c>
      <c r="E176" s="14"/>
      <c r="F176" s="14"/>
      <c r="G176" s="15"/>
      <c r="H176" s="16" t="str">
        <f aca="false">IF(OR($K176="",$L176=""),"",ROUND(MAX(0,($L176-$K176)-IF($G176="",0,$G176))/60,2))</f>
        <v/>
      </c>
      <c r="I176" s="8"/>
      <c r="J176" s="8"/>
      <c r="K176" s="17" t="str">
        <f aca="false">IF($E176="","",IF($E176&lt;1,ROUND($E176*1440,0),INT($E176/100)*60+MOD($E176,100)))</f>
        <v/>
      </c>
      <c r="L176" s="17" t="str">
        <f aca="false">IF($F176="","",IF($F176&lt;1,ROUND($F176*1440,0),INT($F176/100)*60+MOD($F176,100)))</f>
        <v/>
      </c>
    </row>
    <row r="177" customFormat="false" ht="15" hidden="false" customHeight="true" outlineLevel="0" collapsed="false">
      <c r="A177" s="10"/>
      <c r="B177" s="8"/>
      <c r="C177" s="13" t="str">
        <f aca="false">IF($B177="","",IFERROR(INDEX(직원목록!$B$3:$B$302,MATCH($B177,직원목록!$A$3:$A$302,0)),"미등록사번"))</f>
        <v/>
      </c>
      <c r="D177" s="13" t="str">
        <f aca="false">IF($B177="","",IFERROR(INDEX(직원목록!$C$3:$C$302,MATCH($B177,직원목록!$A$3:$A$302,0)),""))</f>
        <v/>
      </c>
      <c r="E177" s="14"/>
      <c r="F177" s="14"/>
      <c r="G177" s="15"/>
      <c r="H177" s="16" t="str">
        <f aca="false">IF(OR($K177="",$L177=""),"",ROUND(MAX(0,($L177-$K177)-IF($G177="",0,$G177))/60,2))</f>
        <v/>
      </c>
      <c r="I177" s="8"/>
      <c r="J177" s="8"/>
      <c r="K177" s="17" t="str">
        <f aca="false">IF($E177="","",IF($E177&lt;1,ROUND($E177*1440,0),INT($E177/100)*60+MOD($E177,100)))</f>
        <v/>
      </c>
      <c r="L177" s="17" t="str">
        <f aca="false">IF($F177="","",IF($F177&lt;1,ROUND($F177*1440,0),INT($F177/100)*60+MOD($F177,100)))</f>
        <v/>
      </c>
    </row>
    <row r="178" customFormat="false" ht="15" hidden="false" customHeight="true" outlineLevel="0" collapsed="false">
      <c r="A178" s="10"/>
      <c r="B178" s="8"/>
      <c r="C178" s="13" t="str">
        <f aca="false">IF($B178="","",IFERROR(INDEX(직원목록!$B$3:$B$302,MATCH($B178,직원목록!$A$3:$A$302,0)),"미등록사번"))</f>
        <v/>
      </c>
      <c r="D178" s="13" t="str">
        <f aca="false">IF($B178="","",IFERROR(INDEX(직원목록!$C$3:$C$302,MATCH($B178,직원목록!$A$3:$A$302,0)),""))</f>
        <v/>
      </c>
      <c r="E178" s="14"/>
      <c r="F178" s="14"/>
      <c r="G178" s="15"/>
      <c r="H178" s="16" t="str">
        <f aca="false">IF(OR($K178="",$L178=""),"",ROUND(MAX(0,($L178-$K178)-IF($G178="",0,$G178))/60,2))</f>
        <v/>
      </c>
      <c r="I178" s="8"/>
      <c r="J178" s="8"/>
      <c r="K178" s="17" t="str">
        <f aca="false">IF($E178="","",IF($E178&lt;1,ROUND($E178*1440,0),INT($E178/100)*60+MOD($E178,100)))</f>
        <v/>
      </c>
      <c r="L178" s="17" t="str">
        <f aca="false">IF($F178="","",IF($F178&lt;1,ROUND($F178*1440,0),INT($F178/100)*60+MOD($F178,100)))</f>
        <v/>
      </c>
    </row>
    <row r="179" customFormat="false" ht="15" hidden="false" customHeight="true" outlineLevel="0" collapsed="false">
      <c r="A179" s="10"/>
      <c r="B179" s="8"/>
      <c r="C179" s="13" t="str">
        <f aca="false">IF($B179="","",IFERROR(INDEX(직원목록!$B$3:$B$302,MATCH($B179,직원목록!$A$3:$A$302,0)),"미등록사번"))</f>
        <v/>
      </c>
      <c r="D179" s="13" t="str">
        <f aca="false">IF($B179="","",IFERROR(INDEX(직원목록!$C$3:$C$302,MATCH($B179,직원목록!$A$3:$A$302,0)),""))</f>
        <v/>
      </c>
      <c r="E179" s="14"/>
      <c r="F179" s="14"/>
      <c r="G179" s="15"/>
      <c r="H179" s="16" t="str">
        <f aca="false">IF(OR($K179="",$L179=""),"",ROUND(MAX(0,($L179-$K179)-IF($G179="",0,$G179))/60,2))</f>
        <v/>
      </c>
      <c r="I179" s="8"/>
      <c r="J179" s="8"/>
      <c r="K179" s="17" t="str">
        <f aca="false">IF($E179="","",IF($E179&lt;1,ROUND($E179*1440,0),INT($E179/100)*60+MOD($E179,100)))</f>
        <v/>
      </c>
      <c r="L179" s="17" t="str">
        <f aca="false">IF($F179="","",IF($F179&lt;1,ROUND($F179*1440,0),INT($F179/100)*60+MOD($F179,100)))</f>
        <v/>
      </c>
    </row>
    <row r="180" customFormat="false" ht="15" hidden="false" customHeight="true" outlineLevel="0" collapsed="false">
      <c r="A180" s="10"/>
      <c r="B180" s="8"/>
      <c r="C180" s="13" t="str">
        <f aca="false">IF($B180="","",IFERROR(INDEX(직원목록!$B$3:$B$302,MATCH($B180,직원목록!$A$3:$A$302,0)),"미등록사번"))</f>
        <v/>
      </c>
      <c r="D180" s="13" t="str">
        <f aca="false">IF($B180="","",IFERROR(INDEX(직원목록!$C$3:$C$302,MATCH($B180,직원목록!$A$3:$A$302,0)),""))</f>
        <v/>
      </c>
      <c r="E180" s="14"/>
      <c r="F180" s="14"/>
      <c r="G180" s="15"/>
      <c r="H180" s="16" t="str">
        <f aca="false">IF(OR($K180="",$L180=""),"",ROUND(MAX(0,($L180-$K180)-IF($G180="",0,$G180))/60,2))</f>
        <v/>
      </c>
      <c r="I180" s="8"/>
      <c r="J180" s="8"/>
      <c r="K180" s="17" t="str">
        <f aca="false">IF($E180="","",IF($E180&lt;1,ROUND($E180*1440,0),INT($E180/100)*60+MOD($E180,100)))</f>
        <v/>
      </c>
      <c r="L180" s="17" t="str">
        <f aca="false">IF($F180="","",IF($F180&lt;1,ROUND($F180*1440,0),INT($F180/100)*60+MOD($F180,100)))</f>
        <v/>
      </c>
    </row>
    <row r="181" customFormat="false" ht="15" hidden="false" customHeight="true" outlineLevel="0" collapsed="false">
      <c r="A181" s="10"/>
      <c r="B181" s="8"/>
      <c r="C181" s="13" t="str">
        <f aca="false">IF($B181="","",IFERROR(INDEX(직원목록!$B$3:$B$302,MATCH($B181,직원목록!$A$3:$A$302,0)),"미등록사번"))</f>
        <v/>
      </c>
      <c r="D181" s="13" t="str">
        <f aca="false">IF($B181="","",IFERROR(INDEX(직원목록!$C$3:$C$302,MATCH($B181,직원목록!$A$3:$A$302,0)),""))</f>
        <v/>
      </c>
      <c r="E181" s="14"/>
      <c r="F181" s="14"/>
      <c r="G181" s="15"/>
      <c r="H181" s="16" t="str">
        <f aca="false">IF(OR($K181="",$L181=""),"",ROUND(MAX(0,($L181-$K181)-IF($G181="",0,$G181))/60,2))</f>
        <v/>
      </c>
      <c r="I181" s="8"/>
      <c r="J181" s="8"/>
      <c r="K181" s="17" t="str">
        <f aca="false">IF($E181="","",IF($E181&lt;1,ROUND($E181*1440,0),INT($E181/100)*60+MOD($E181,100)))</f>
        <v/>
      </c>
      <c r="L181" s="17" t="str">
        <f aca="false">IF($F181="","",IF($F181&lt;1,ROUND($F181*1440,0),INT($F181/100)*60+MOD($F181,100)))</f>
        <v/>
      </c>
    </row>
    <row r="182" customFormat="false" ht="15" hidden="false" customHeight="true" outlineLevel="0" collapsed="false">
      <c r="A182" s="10"/>
      <c r="B182" s="8"/>
      <c r="C182" s="13" t="str">
        <f aca="false">IF($B182="","",IFERROR(INDEX(직원목록!$B$3:$B$302,MATCH($B182,직원목록!$A$3:$A$302,0)),"미등록사번"))</f>
        <v/>
      </c>
      <c r="D182" s="13" t="str">
        <f aca="false">IF($B182="","",IFERROR(INDEX(직원목록!$C$3:$C$302,MATCH($B182,직원목록!$A$3:$A$302,0)),""))</f>
        <v/>
      </c>
      <c r="E182" s="14"/>
      <c r="F182" s="14"/>
      <c r="G182" s="15"/>
      <c r="H182" s="16" t="str">
        <f aca="false">IF(OR($K182="",$L182=""),"",ROUND(MAX(0,($L182-$K182)-IF($G182="",0,$G182))/60,2))</f>
        <v/>
      </c>
      <c r="I182" s="8"/>
      <c r="J182" s="8"/>
      <c r="K182" s="17" t="str">
        <f aca="false">IF($E182="","",IF($E182&lt;1,ROUND($E182*1440,0),INT($E182/100)*60+MOD($E182,100)))</f>
        <v/>
      </c>
      <c r="L182" s="17" t="str">
        <f aca="false">IF($F182="","",IF($F182&lt;1,ROUND($F182*1440,0),INT($F182/100)*60+MOD($F182,100)))</f>
        <v/>
      </c>
    </row>
    <row r="183" customFormat="false" ht="15" hidden="false" customHeight="true" outlineLevel="0" collapsed="false">
      <c r="A183" s="10"/>
      <c r="B183" s="8"/>
      <c r="C183" s="13" t="str">
        <f aca="false">IF($B183="","",IFERROR(INDEX(직원목록!$B$3:$B$302,MATCH($B183,직원목록!$A$3:$A$302,0)),"미등록사번"))</f>
        <v/>
      </c>
      <c r="D183" s="13" t="str">
        <f aca="false">IF($B183="","",IFERROR(INDEX(직원목록!$C$3:$C$302,MATCH($B183,직원목록!$A$3:$A$302,0)),""))</f>
        <v/>
      </c>
      <c r="E183" s="14"/>
      <c r="F183" s="14"/>
      <c r="G183" s="15"/>
      <c r="H183" s="16" t="str">
        <f aca="false">IF(OR($K183="",$L183=""),"",ROUND(MAX(0,($L183-$K183)-IF($G183="",0,$G183))/60,2))</f>
        <v/>
      </c>
      <c r="I183" s="8"/>
      <c r="J183" s="8"/>
      <c r="K183" s="17" t="str">
        <f aca="false">IF($E183="","",IF($E183&lt;1,ROUND($E183*1440,0),INT($E183/100)*60+MOD($E183,100)))</f>
        <v/>
      </c>
      <c r="L183" s="17" t="str">
        <f aca="false">IF($F183="","",IF($F183&lt;1,ROUND($F183*1440,0),INT($F183/100)*60+MOD($F183,100)))</f>
        <v/>
      </c>
    </row>
    <row r="184" customFormat="false" ht="15" hidden="false" customHeight="true" outlineLevel="0" collapsed="false">
      <c r="A184" s="10"/>
      <c r="B184" s="8"/>
      <c r="C184" s="13" t="str">
        <f aca="false">IF($B184="","",IFERROR(INDEX(직원목록!$B$3:$B$302,MATCH($B184,직원목록!$A$3:$A$302,0)),"미등록사번"))</f>
        <v/>
      </c>
      <c r="D184" s="13" t="str">
        <f aca="false">IF($B184="","",IFERROR(INDEX(직원목록!$C$3:$C$302,MATCH($B184,직원목록!$A$3:$A$302,0)),""))</f>
        <v/>
      </c>
      <c r="E184" s="14"/>
      <c r="F184" s="14"/>
      <c r="G184" s="15"/>
      <c r="H184" s="16" t="str">
        <f aca="false">IF(OR($K184="",$L184=""),"",ROUND(MAX(0,($L184-$K184)-IF($G184="",0,$G184))/60,2))</f>
        <v/>
      </c>
      <c r="I184" s="8"/>
      <c r="J184" s="8"/>
      <c r="K184" s="17" t="str">
        <f aca="false">IF($E184="","",IF($E184&lt;1,ROUND($E184*1440,0),INT($E184/100)*60+MOD($E184,100)))</f>
        <v/>
      </c>
      <c r="L184" s="17" t="str">
        <f aca="false">IF($F184="","",IF($F184&lt;1,ROUND($F184*1440,0),INT($F184/100)*60+MOD($F184,100)))</f>
        <v/>
      </c>
    </row>
    <row r="185" customFormat="false" ht="15" hidden="false" customHeight="true" outlineLevel="0" collapsed="false">
      <c r="A185" s="10"/>
      <c r="B185" s="8"/>
      <c r="C185" s="13" t="str">
        <f aca="false">IF($B185="","",IFERROR(INDEX(직원목록!$B$3:$B$302,MATCH($B185,직원목록!$A$3:$A$302,0)),"미등록사번"))</f>
        <v/>
      </c>
      <c r="D185" s="13" t="str">
        <f aca="false">IF($B185="","",IFERROR(INDEX(직원목록!$C$3:$C$302,MATCH($B185,직원목록!$A$3:$A$302,0)),""))</f>
        <v/>
      </c>
      <c r="E185" s="14"/>
      <c r="F185" s="14"/>
      <c r="G185" s="15"/>
      <c r="H185" s="16" t="str">
        <f aca="false">IF(OR($K185="",$L185=""),"",ROUND(MAX(0,($L185-$K185)-IF($G185="",0,$G185))/60,2))</f>
        <v/>
      </c>
      <c r="I185" s="8"/>
      <c r="J185" s="8"/>
      <c r="K185" s="17" t="str">
        <f aca="false">IF($E185="","",IF($E185&lt;1,ROUND($E185*1440,0),INT($E185/100)*60+MOD($E185,100)))</f>
        <v/>
      </c>
      <c r="L185" s="17" t="str">
        <f aca="false">IF($F185="","",IF($F185&lt;1,ROUND($F185*1440,0),INT($F185/100)*60+MOD($F185,100)))</f>
        <v/>
      </c>
    </row>
    <row r="186" customFormat="false" ht="15" hidden="false" customHeight="true" outlineLevel="0" collapsed="false">
      <c r="A186" s="10"/>
      <c r="B186" s="8"/>
      <c r="C186" s="13" t="str">
        <f aca="false">IF($B186="","",IFERROR(INDEX(직원목록!$B$3:$B$302,MATCH($B186,직원목록!$A$3:$A$302,0)),"미등록사번"))</f>
        <v/>
      </c>
      <c r="D186" s="13" t="str">
        <f aca="false">IF($B186="","",IFERROR(INDEX(직원목록!$C$3:$C$302,MATCH($B186,직원목록!$A$3:$A$302,0)),""))</f>
        <v/>
      </c>
      <c r="E186" s="14"/>
      <c r="F186" s="14"/>
      <c r="G186" s="15"/>
      <c r="H186" s="16" t="str">
        <f aca="false">IF(OR($K186="",$L186=""),"",ROUND(MAX(0,($L186-$K186)-IF($G186="",0,$G186))/60,2))</f>
        <v/>
      </c>
      <c r="I186" s="8"/>
      <c r="J186" s="8"/>
      <c r="K186" s="17" t="str">
        <f aca="false">IF($E186="","",IF($E186&lt;1,ROUND($E186*1440,0),INT($E186/100)*60+MOD($E186,100)))</f>
        <v/>
      </c>
      <c r="L186" s="17" t="str">
        <f aca="false">IF($F186="","",IF($F186&lt;1,ROUND($F186*1440,0),INT($F186/100)*60+MOD($F186,100)))</f>
        <v/>
      </c>
    </row>
    <row r="187" customFormat="false" ht="15" hidden="false" customHeight="true" outlineLevel="0" collapsed="false">
      <c r="A187" s="10"/>
      <c r="B187" s="8"/>
      <c r="C187" s="13" t="str">
        <f aca="false">IF($B187="","",IFERROR(INDEX(직원목록!$B$3:$B$302,MATCH($B187,직원목록!$A$3:$A$302,0)),"미등록사번"))</f>
        <v/>
      </c>
      <c r="D187" s="13" t="str">
        <f aca="false">IF($B187="","",IFERROR(INDEX(직원목록!$C$3:$C$302,MATCH($B187,직원목록!$A$3:$A$302,0)),""))</f>
        <v/>
      </c>
      <c r="E187" s="14"/>
      <c r="F187" s="14"/>
      <c r="G187" s="15"/>
      <c r="H187" s="16" t="str">
        <f aca="false">IF(OR($K187="",$L187=""),"",ROUND(MAX(0,($L187-$K187)-IF($G187="",0,$G187))/60,2))</f>
        <v/>
      </c>
      <c r="I187" s="8"/>
      <c r="J187" s="8"/>
      <c r="K187" s="17" t="str">
        <f aca="false">IF($E187="","",IF($E187&lt;1,ROUND($E187*1440,0),INT($E187/100)*60+MOD($E187,100)))</f>
        <v/>
      </c>
      <c r="L187" s="17" t="str">
        <f aca="false">IF($F187="","",IF($F187&lt;1,ROUND($F187*1440,0),INT($F187/100)*60+MOD($F187,100)))</f>
        <v/>
      </c>
    </row>
    <row r="188" customFormat="false" ht="15" hidden="false" customHeight="true" outlineLevel="0" collapsed="false">
      <c r="A188" s="10"/>
      <c r="B188" s="8"/>
      <c r="C188" s="13" t="str">
        <f aca="false">IF($B188="","",IFERROR(INDEX(직원목록!$B$3:$B$302,MATCH($B188,직원목록!$A$3:$A$302,0)),"미등록사번"))</f>
        <v/>
      </c>
      <c r="D188" s="13" t="str">
        <f aca="false">IF($B188="","",IFERROR(INDEX(직원목록!$C$3:$C$302,MATCH($B188,직원목록!$A$3:$A$302,0)),""))</f>
        <v/>
      </c>
      <c r="E188" s="14"/>
      <c r="F188" s="14"/>
      <c r="G188" s="15"/>
      <c r="H188" s="16" t="str">
        <f aca="false">IF(OR($K188="",$L188=""),"",ROUND(MAX(0,($L188-$K188)-IF($G188="",0,$G188))/60,2))</f>
        <v/>
      </c>
      <c r="I188" s="8"/>
      <c r="J188" s="8"/>
      <c r="K188" s="17" t="str">
        <f aca="false">IF($E188="","",IF($E188&lt;1,ROUND($E188*1440,0),INT($E188/100)*60+MOD($E188,100)))</f>
        <v/>
      </c>
      <c r="L188" s="17" t="str">
        <f aca="false">IF($F188="","",IF($F188&lt;1,ROUND($F188*1440,0),INT($F188/100)*60+MOD($F188,100)))</f>
        <v/>
      </c>
    </row>
    <row r="189" customFormat="false" ht="15" hidden="false" customHeight="true" outlineLevel="0" collapsed="false">
      <c r="A189" s="10"/>
      <c r="B189" s="8"/>
      <c r="C189" s="13" t="str">
        <f aca="false">IF($B189="","",IFERROR(INDEX(직원목록!$B$3:$B$302,MATCH($B189,직원목록!$A$3:$A$302,0)),"미등록사번"))</f>
        <v/>
      </c>
      <c r="D189" s="13" t="str">
        <f aca="false">IF($B189="","",IFERROR(INDEX(직원목록!$C$3:$C$302,MATCH($B189,직원목록!$A$3:$A$302,0)),""))</f>
        <v/>
      </c>
      <c r="E189" s="14"/>
      <c r="F189" s="14"/>
      <c r="G189" s="15"/>
      <c r="H189" s="16" t="str">
        <f aca="false">IF(OR($K189="",$L189=""),"",ROUND(MAX(0,($L189-$K189)-IF($G189="",0,$G189))/60,2))</f>
        <v/>
      </c>
      <c r="I189" s="8"/>
      <c r="J189" s="8"/>
      <c r="K189" s="17" t="str">
        <f aca="false">IF($E189="","",IF($E189&lt;1,ROUND($E189*1440,0),INT($E189/100)*60+MOD($E189,100)))</f>
        <v/>
      </c>
      <c r="L189" s="17" t="str">
        <f aca="false">IF($F189="","",IF($F189&lt;1,ROUND($F189*1440,0),INT($F189/100)*60+MOD($F189,100)))</f>
        <v/>
      </c>
    </row>
    <row r="190" customFormat="false" ht="15" hidden="false" customHeight="true" outlineLevel="0" collapsed="false">
      <c r="A190" s="10"/>
      <c r="B190" s="8"/>
      <c r="C190" s="13" t="str">
        <f aca="false">IF($B190="","",IFERROR(INDEX(직원목록!$B$3:$B$302,MATCH($B190,직원목록!$A$3:$A$302,0)),"미등록사번"))</f>
        <v/>
      </c>
      <c r="D190" s="13" t="str">
        <f aca="false">IF($B190="","",IFERROR(INDEX(직원목록!$C$3:$C$302,MATCH($B190,직원목록!$A$3:$A$302,0)),""))</f>
        <v/>
      </c>
      <c r="E190" s="14"/>
      <c r="F190" s="14"/>
      <c r="G190" s="15"/>
      <c r="H190" s="16" t="str">
        <f aca="false">IF(OR($K190="",$L190=""),"",ROUND(MAX(0,($L190-$K190)-IF($G190="",0,$G190))/60,2))</f>
        <v/>
      </c>
      <c r="I190" s="8"/>
      <c r="J190" s="8"/>
      <c r="K190" s="17" t="str">
        <f aca="false">IF($E190="","",IF($E190&lt;1,ROUND($E190*1440,0),INT($E190/100)*60+MOD($E190,100)))</f>
        <v/>
      </c>
      <c r="L190" s="17" t="str">
        <f aca="false">IF($F190="","",IF($F190&lt;1,ROUND($F190*1440,0),INT($F190/100)*60+MOD($F190,100)))</f>
        <v/>
      </c>
    </row>
    <row r="191" customFormat="false" ht="15" hidden="false" customHeight="true" outlineLevel="0" collapsed="false">
      <c r="A191" s="10"/>
      <c r="B191" s="8"/>
      <c r="C191" s="13" t="str">
        <f aca="false">IF($B191="","",IFERROR(INDEX(직원목록!$B$3:$B$302,MATCH($B191,직원목록!$A$3:$A$302,0)),"미등록사번"))</f>
        <v/>
      </c>
      <c r="D191" s="13" t="str">
        <f aca="false">IF($B191="","",IFERROR(INDEX(직원목록!$C$3:$C$302,MATCH($B191,직원목록!$A$3:$A$302,0)),""))</f>
        <v/>
      </c>
      <c r="E191" s="14"/>
      <c r="F191" s="14"/>
      <c r="G191" s="15"/>
      <c r="H191" s="16" t="str">
        <f aca="false">IF(OR($K191="",$L191=""),"",ROUND(MAX(0,($L191-$K191)-IF($G191="",0,$G191))/60,2))</f>
        <v/>
      </c>
      <c r="I191" s="8"/>
      <c r="J191" s="8"/>
      <c r="K191" s="17" t="str">
        <f aca="false">IF($E191="","",IF($E191&lt;1,ROUND($E191*1440,0),INT($E191/100)*60+MOD($E191,100)))</f>
        <v/>
      </c>
      <c r="L191" s="17" t="str">
        <f aca="false">IF($F191="","",IF($F191&lt;1,ROUND($F191*1440,0),INT($F191/100)*60+MOD($F191,100)))</f>
        <v/>
      </c>
    </row>
    <row r="192" customFormat="false" ht="15" hidden="false" customHeight="true" outlineLevel="0" collapsed="false">
      <c r="A192" s="10"/>
      <c r="B192" s="8"/>
      <c r="C192" s="13" t="str">
        <f aca="false">IF($B192="","",IFERROR(INDEX(직원목록!$B$3:$B$302,MATCH($B192,직원목록!$A$3:$A$302,0)),"미등록사번"))</f>
        <v/>
      </c>
      <c r="D192" s="13" t="str">
        <f aca="false">IF($B192="","",IFERROR(INDEX(직원목록!$C$3:$C$302,MATCH($B192,직원목록!$A$3:$A$302,0)),""))</f>
        <v/>
      </c>
      <c r="E192" s="14"/>
      <c r="F192" s="14"/>
      <c r="G192" s="15"/>
      <c r="H192" s="16" t="str">
        <f aca="false">IF(OR($K192="",$L192=""),"",ROUND(MAX(0,($L192-$K192)-IF($G192="",0,$G192))/60,2))</f>
        <v/>
      </c>
      <c r="I192" s="8"/>
      <c r="J192" s="8"/>
      <c r="K192" s="17" t="str">
        <f aca="false">IF($E192="","",IF($E192&lt;1,ROUND($E192*1440,0),INT($E192/100)*60+MOD($E192,100)))</f>
        <v/>
      </c>
      <c r="L192" s="17" t="str">
        <f aca="false">IF($F192="","",IF($F192&lt;1,ROUND($F192*1440,0),INT($F192/100)*60+MOD($F192,100)))</f>
        <v/>
      </c>
    </row>
    <row r="193" customFormat="false" ht="15" hidden="false" customHeight="true" outlineLevel="0" collapsed="false">
      <c r="A193" s="10"/>
      <c r="B193" s="8"/>
      <c r="C193" s="13" t="str">
        <f aca="false">IF($B193="","",IFERROR(INDEX(직원목록!$B$3:$B$302,MATCH($B193,직원목록!$A$3:$A$302,0)),"미등록사번"))</f>
        <v/>
      </c>
      <c r="D193" s="13" t="str">
        <f aca="false">IF($B193="","",IFERROR(INDEX(직원목록!$C$3:$C$302,MATCH($B193,직원목록!$A$3:$A$302,0)),""))</f>
        <v/>
      </c>
      <c r="E193" s="14"/>
      <c r="F193" s="14"/>
      <c r="G193" s="15"/>
      <c r="H193" s="16" t="str">
        <f aca="false">IF(OR($K193="",$L193=""),"",ROUND(MAX(0,($L193-$K193)-IF($G193="",0,$G193))/60,2))</f>
        <v/>
      </c>
      <c r="I193" s="8"/>
      <c r="J193" s="8"/>
      <c r="K193" s="17" t="str">
        <f aca="false">IF($E193="","",IF($E193&lt;1,ROUND($E193*1440,0),INT($E193/100)*60+MOD($E193,100)))</f>
        <v/>
      </c>
      <c r="L193" s="17" t="str">
        <f aca="false">IF($F193="","",IF($F193&lt;1,ROUND($F193*1440,0),INT($F193/100)*60+MOD($F193,100)))</f>
        <v/>
      </c>
    </row>
    <row r="194" customFormat="false" ht="15" hidden="false" customHeight="true" outlineLevel="0" collapsed="false">
      <c r="A194" s="10"/>
      <c r="B194" s="8"/>
      <c r="C194" s="13" t="str">
        <f aca="false">IF($B194="","",IFERROR(INDEX(직원목록!$B$3:$B$302,MATCH($B194,직원목록!$A$3:$A$302,0)),"미등록사번"))</f>
        <v/>
      </c>
      <c r="D194" s="13" t="str">
        <f aca="false">IF($B194="","",IFERROR(INDEX(직원목록!$C$3:$C$302,MATCH($B194,직원목록!$A$3:$A$302,0)),""))</f>
        <v/>
      </c>
      <c r="E194" s="14"/>
      <c r="F194" s="14"/>
      <c r="G194" s="15"/>
      <c r="H194" s="16" t="str">
        <f aca="false">IF(OR($K194="",$L194=""),"",ROUND(MAX(0,($L194-$K194)-IF($G194="",0,$G194))/60,2))</f>
        <v/>
      </c>
      <c r="I194" s="8"/>
      <c r="J194" s="8"/>
      <c r="K194" s="17" t="str">
        <f aca="false">IF($E194="","",IF($E194&lt;1,ROUND($E194*1440,0),INT($E194/100)*60+MOD($E194,100)))</f>
        <v/>
      </c>
      <c r="L194" s="17" t="str">
        <f aca="false">IF($F194="","",IF($F194&lt;1,ROUND($F194*1440,0),INT($F194/100)*60+MOD($F194,100)))</f>
        <v/>
      </c>
    </row>
    <row r="195" customFormat="false" ht="15" hidden="false" customHeight="true" outlineLevel="0" collapsed="false">
      <c r="A195" s="10"/>
      <c r="B195" s="8"/>
      <c r="C195" s="13" t="str">
        <f aca="false">IF($B195="","",IFERROR(INDEX(직원목록!$B$3:$B$302,MATCH($B195,직원목록!$A$3:$A$302,0)),"미등록사번"))</f>
        <v/>
      </c>
      <c r="D195" s="13" t="str">
        <f aca="false">IF($B195="","",IFERROR(INDEX(직원목록!$C$3:$C$302,MATCH($B195,직원목록!$A$3:$A$302,0)),""))</f>
        <v/>
      </c>
      <c r="E195" s="14"/>
      <c r="F195" s="14"/>
      <c r="G195" s="15"/>
      <c r="H195" s="16" t="str">
        <f aca="false">IF(OR($K195="",$L195=""),"",ROUND(MAX(0,($L195-$K195)-IF($G195="",0,$G195))/60,2))</f>
        <v/>
      </c>
      <c r="I195" s="8"/>
      <c r="J195" s="8"/>
      <c r="K195" s="17" t="str">
        <f aca="false">IF($E195="","",IF($E195&lt;1,ROUND($E195*1440,0),INT($E195/100)*60+MOD($E195,100)))</f>
        <v/>
      </c>
      <c r="L195" s="17" t="str">
        <f aca="false">IF($F195="","",IF($F195&lt;1,ROUND($F195*1440,0),INT($F195/100)*60+MOD($F195,100)))</f>
        <v/>
      </c>
    </row>
    <row r="196" customFormat="false" ht="15" hidden="false" customHeight="true" outlineLevel="0" collapsed="false">
      <c r="A196" s="10"/>
      <c r="B196" s="8"/>
      <c r="C196" s="13" t="str">
        <f aca="false">IF($B196="","",IFERROR(INDEX(직원목록!$B$3:$B$302,MATCH($B196,직원목록!$A$3:$A$302,0)),"미등록사번"))</f>
        <v/>
      </c>
      <c r="D196" s="13" t="str">
        <f aca="false">IF($B196="","",IFERROR(INDEX(직원목록!$C$3:$C$302,MATCH($B196,직원목록!$A$3:$A$302,0)),""))</f>
        <v/>
      </c>
      <c r="E196" s="14"/>
      <c r="F196" s="14"/>
      <c r="G196" s="15"/>
      <c r="H196" s="16" t="str">
        <f aca="false">IF(OR($K196="",$L196=""),"",ROUND(MAX(0,($L196-$K196)-IF($G196="",0,$G196))/60,2))</f>
        <v/>
      </c>
      <c r="I196" s="8"/>
      <c r="J196" s="8"/>
      <c r="K196" s="17" t="str">
        <f aca="false">IF($E196="","",IF($E196&lt;1,ROUND($E196*1440,0),INT($E196/100)*60+MOD($E196,100)))</f>
        <v/>
      </c>
      <c r="L196" s="17" t="str">
        <f aca="false">IF($F196="","",IF($F196&lt;1,ROUND($F196*1440,0),INT($F196/100)*60+MOD($F196,100)))</f>
        <v/>
      </c>
    </row>
    <row r="197" customFormat="false" ht="15" hidden="false" customHeight="true" outlineLevel="0" collapsed="false">
      <c r="A197" s="10"/>
      <c r="B197" s="8"/>
      <c r="C197" s="13" t="str">
        <f aca="false">IF($B197="","",IFERROR(INDEX(직원목록!$B$3:$B$302,MATCH($B197,직원목록!$A$3:$A$302,0)),"미등록사번"))</f>
        <v/>
      </c>
      <c r="D197" s="13" t="str">
        <f aca="false">IF($B197="","",IFERROR(INDEX(직원목록!$C$3:$C$302,MATCH($B197,직원목록!$A$3:$A$302,0)),""))</f>
        <v/>
      </c>
      <c r="E197" s="14"/>
      <c r="F197" s="14"/>
      <c r="G197" s="15"/>
      <c r="H197" s="16" t="str">
        <f aca="false">IF(OR($K197="",$L197=""),"",ROUND(MAX(0,($L197-$K197)-IF($G197="",0,$G197))/60,2))</f>
        <v/>
      </c>
      <c r="I197" s="8"/>
      <c r="J197" s="8"/>
      <c r="K197" s="17" t="str">
        <f aca="false">IF($E197="","",IF($E197&lt;1,ROUND($E197*1440,0),INT($E197/100)*60+MOD($E197,100)))</f>
        <v/>
      </c>
      <c r="L197" s="17" t="str">
        <f aca="false">IF($F197="","",IF($F197&lt;1,ROUND($F197*1440,0),INT($F197/100)*60+MOD($F197,100)))</f>
        <v/>
      </c>
    </row>
    <row r="198" customFormat="false" ht="15" hidden="false" customHeight="true" outlineLevel="0" collapsed="false">
      <c r="A198" s="10"/>
      <c r="B198" s="8"/>
      <c r="C198" s="13" t="str">
        <f aca="false">IF($B198="","",IFERROR(INDEX(직원목록!$B$3:$B$302,MATCH($B198,직원목록!$A$3:$A$302,0)),"미등록사번"))</f>
        <v/>
      </c>
      <c r="D198" s="13" t="str">
        <f aca="false">IF($B198="","",IFERROR(INDEX(직원목록!$C$3:$C$302,MATCH($B198,직원목록!$A$3:$A$302,0)),""))</f>
        <v/>
      </c>
      <c r="E198" s="14"/>
      <c r="F198" s="14"/>
      <c r="G198" s="15"/>
      <c r="H198" s="16" t="str">
        <f aca="false">IF(OR($K198="",$L198=""),"",ROUND(MAX(0,($L198-$K198)-IF($G198="",0,$G198))/60,2))</f>
        <v/>
      </c>
      <c r="I198" s="8"/>
      <c r="J198" s="8"/>
      <c r="K198" s="17" t="str">
        <f aca="false">IF($E198="","",IF($E198&lt;1,ROUND($E198*1440,0),INT($E198/100)*60+MOD($E198,100)))</f>
        <v/>
      </c>
      <c r="L198" s="17" t="str">
        <f aca="false">IF($F198="","",IF($F198&lt;1,ROUND($F198*1440,0),INT($F198/100)*60+MOD($F198,100)))</f>
        <v/>
      </c>
    </row>
    <row r="199" customFormat="false" ht="15" hidden="false" customHeight="true" outlineLevel="0" collapsed="false">
      <c r="A199" s="10"/>
      <c r="B199" s="8"/>
      <c r="C199" s="13" t="str">
        <f aca="false">IF($B199="","",IFERROR(INDEX(직원목록!$B$3:$B$302,MATCH($B199,직원목록!$A$3:$A$302,0)),"미등록사번"))</f>
        <v/>
      </c>
      <c r="D199" s="13" t="str">
        <f aca="false">IF($B199="","",IFERROR(INDEX(직원목록!$C$3:$C$302,MATCH($B199,직원목록!$A$3:$A$302,0)),""))</f>
        <v/>
      </c>
      <c r="E199" s="14"/>
      <c r="F199" s="14"/>
      <c r="G199" s="15"/>
      <c r="H199" s="16" t="str">
        <f aca="false">IF(OR($K199="",$L199=""),"",ROUND(MAX(0,($L199-$K199)-IF($G199="",0,$G199))/60,2))</f>
        <v/>
      </c>
      <c r="I199" s="8"/>
      <c r="J199" s="8"/>
      <c r="K199" s="17" t="str">
        <f aca="false">IF($E199="","",IF($E199&lt;1,ROUND($E199*1440,0),INT($E199/100)*60+MOD($E199,100)))</f>
        <v/>
      </c>
      <c r="L199" s="17" t="str">
        <f aca="false">IF($F199="","",IF($F199&lt;1,ROUND($F199*1440,0),INT($F199/100)*60+MOD($F199,100)))</f>
        <v/>
      </c>
    </row>
    <row r="200" customFormat="false" ht="15" hidden="false" customHeight="true" outlineLevel="0" collapsed="false">
      <c r="A200" s="10"/>
      <c r="B200" s="8"/>
      <c r="C200" s="13" t="str">
        <f aca="false">IF($B200="","",IFERROR(INDEX(직원목록!$B$3:$B$302,MATCH($B200,직원목록!$A$3:$A$302,0)),"미등록사번"))</f>
        <v/>
      </c>
      <c r="D200" s="13" t="str">
        <f aca="false">IF($B200="","",IFERROR(INDEX(직원목록!$C$3:$C$302,MATCH($B200,직원목록!$A$3:$A$302,0)),""))</f>
        <v/>
      </c>
      <c r="E200" s="14"/>
      <c r="F200" s="14"/>
      <c r="G200" s="15"/>
      <c r="H200" s="16" t="str">
        <f aca="false">IF(OR($K200="",$L200=""),"",ROUND(MAX(0,($L200-$K200)-IF($G200="",0,$G200))/60,2))</f>
        <v/>
      </c>
      <c r="I200" s="8"/>
      <c r="J200" s="8"/>
      <c r="K200" s="17" t="str">
        <f aca="false">IF($E200="","",IF($E200&lt;1,ROUND($E200*1440,0),INT($E200/100)*60+MOD($E200,100)))</f>
        <v/>
      </c>
      <c r="L200" s="17" t="str">
        <f aca="false">IF($F200="","",IF($F200&lt;1,ROUND($F200*1440,0),INT($F200/100)*60+MOD($F200,100)))</f>
        <v/>
      </c>
    </row>
    <row r="201" customFormat="false" ht="15" hidden="false" customHeight="true" outlineLevel="0" collapsed="false">
      <c r="A201" s="10"/>
      <c r="B201" s="8"/>
      <c r="C201" s="13" t="str">
        <f aca="false">IF($B201="","",IFERROR(INDEX(직원목록!$B$3:$B$302,MATCH($B201,직원목록!$A$3:$A$302,0)),"미등록사번"))</f>
        <v/>
      </c>
      <c r="D201" s="13" t="str">
        <f aca="false">IF($B201="","",IFERROR(INDEX(직원목록!$C$3:$C$302,MATCH($B201,직원목록!$A$3:$A$302,0)),""))</f>
        <v/>
      </c>
      <c r="E201" s="14"/>
      <c r="F201" s="14"/>
      <c r="G201" s="15"/>
      <c r="H201" s="16" t="str">
        <f aca="false">IF(OR($K201="",$L201=""),"",ROUND(MAX(0,($L201-$K201)-IF($G201="",0,$G201))/60,2))</f>
        <v/>
      </c>
      <c r="I201" s="8"/>
      <c r="J201" s="8"/>
      <c r="K201" s="17" t="str">
        <f aca="false">IF($E201="","",IF($E201&lt;1,ROUND($E201*1440,0),INT($E201/100)*60+MOD($E201,100)))</f>
        <v/>
      </c>
      <c r="L201" s="17" t="str">
        <f aca="false">IF($F201="","",IF($F201&lt;1,ROUND($F201*1440,0),INT($F201/100)*60+MOD($F201,100)))</f>
        <v/>
      </c>
    </row>
    <row r="202" customFormat="false" ht="15" hidden="false" customHeight="true" outlineLevel="0" collapsed="false">
      <c r="A202" s="10"/>
      <c r="B202" s="8"/>
      <c r="C202" s="13" t="str">
        <f aca="false">IF($B202="","",IFERROR(INDEX(직원목록!$B$3:$B$302,MATCH($B202,직원목록!$A$3:$A$302,0)),"미등록사번"))</f>
        <v/>
      </c>
      <c r="D202" s="13" t="str">
        <f aca="false">IF($B202="","",IFERROR(INDEX(직원목록!$C$3:$C$302,MATCH($B202,직원목록!$A$3:$A$302,0)),""))</f>
        <v/>
      </c>
      <c r="E202" s="14"/>
      <c r="F202" s="14"/>
      <c r="G202" s="15"/>
      <c r="H202" s="16" t="str">
        <f aca="false">IF(OR($K202="",$L202=""),"",ROUND(MAX(0,($L202-$K202)-IF($G202="",0,$G202))/60,2))</f>
        <v/>
      </c>
      <c r="I202" s="8"/>
      <c r="J202" s="8"/>
      <c r="K202" s="17" t="str">
        <f aca="false">IF($E202="","",IF($E202&lt;1,ROUND($E202*1440,0),INT($E202/100)*60+MOD($E202,100)))</f>
        <v/>
      </c>
      <c r="L202" s="17" t="str">
        <f aca="false">IF($F202="","",IF($F202&lt;1,ROUND($F202*1440,0),INT($F202/100)*60+MOD($F202,100)))</f>
        <v/>
      </c>
    </row>
    <row r="203" customFormat="false" ht="15" hidden="false" customHeight="true" outlineLevel="0" collapsed="false">
      <c r="A203" s="10"/>
      <c r="B203" s="8"/>
      <c r="C203" s="13" t="str">
        <f aca="false">IF($B203="","",IFERROR(INDEX(직원목록!$B$3:$B$302,MATCH($B203,직원목록!$A$3:$A$302,0)),"미등록사번"))</f>
        <v/>
      </c>
      <c r="D203" s="13" t="str">
        <f aca="false">IF($B203="","",IFERROR(INDEX(직원목록!$C$3:$C$302,MATCH($B203,직원목록!$A$3:$A$302,0)),""))</f>
        <v/>
      </c>
      <c r="E203" s="14"/>
      <c r="F203" s="14"/>
      <c r="G203" s="15"/>
      <c r="H203" s="16" t="str">
        <f aca="false">IF(OR($K203="",$L203=""),"",ROUND(MAX(0,($L203-$K203)-IF($G203="",0,$G203))/60,2))</f>
        <v/>
      </c>
      <c r="I203" s="8"/>
      <c r="J203" s="8"/>
      <c r="K203" s="17" t="str">
        <f aca="false">IF($E203="","",IF($E203&lt;1,ROUND($E203*1440,0),INT($E203/100)*60+MOD($E203,100)))</f>
        <v/>
      </c>
      <c r="L203" s="17" t="str">
        <f aca="false">IF($F203="","",IF($F203&lt;1,ROUND($F203*1440,0),INT($F203/100)*60+MOD($F203,100)))</f>
        <v/>
      </c>
    </row>
    <row r="204" customFormat="false" ht="15" hidden="false" customHeight="true" outlineLevel="0" collapsed="false">
      <c r="A204" s="10"/>
      <c r="B204" s="8"/>
      <c r="C204" s="13" t="str">
        <f aca="false">IF($B204="","",IFERROR(INDEX(직원목록!$B$3:$B$302,MATCH($B204,직원목록!$A$3:$A$302,0)),"미등록사번"))</f>
        <v/>
      </c>
      <c r="D204" s="13" t="str">
        <f aca="false">IF($B204="","",IFERROR(INDEX(직원목록!$C$3:$C$302,MATCH($B204,직원목록!$A$3:$A$302,0)),""))</f>
        <v/>
      </c>
      <c r="E204" s="14"/>
      <c r="F204" s="14"/>
      <c r="G204" s="15"/>
      <c r="H204" s="16" t="str">
        <f aca="false">IF(OR($K204="",$L204=""),"",ROUND(MAX(0,($L204-$K204)-IF($G204="",0,$G204))/60,2))</f>
        <v/>
      </c>
      <c r="I204" s="8"/>
      <c r="J204" s="8"/>
      <c r="K204" s="17" t="str">
        <f aca="false">IF($E204="","",IF($E204&lt;1,ROUND($E204*1440,0),INT($E204/100)*60+MOD($E204,100)))</f>
        <v/>
      </c>
      <c r="L204" s="17" t="str">
        <f aca="false">IF($F204="","",IF($F204&lt;1,ROUND($F204*1440,0),INT($F204/100)*60+MOD($F204,100)))</f>
        <v/>
      </c>
    </row>
    <row r="205" customFormat="false" ht="15" hidden="false" customHeight="true" outlineLevel="0" collapsed="false">
      <c r="A205" s="10"/>
      <c r="B205" s="8"/>
      <c r="C205" s="13" t="str">
        <f aca="false">IF($B205="","",IFERROR(INDEX(직원목록!$B$3:$B$302,MATCH($B205,직원목록!$A$3:$A$302,0)),"미등록사번"))</f>
        <v/>
      </c>
      <c r="D205" s="13" t="str">
        <f aca="false">IF($B205="","",IFERROR(INDEX(직원목록!$C$3:$C$302,MATCH($B205,직원목록!$A$3:$A$302,0)),""))</f>
        <v/>
      </c>
      <c r="E205" s="14"/>
      <c r="F205" s="14"/>
      <c r="G205" s="15"/>
      <c r="H205" s="16" t="str">
        <f aca="false">IF(OR($K205="",$L205=""),"",ROUND(MAX(0,($L205-$K205)-IF($G205="",0,$G205))/60,2))</f>
        <v/>
      </c>
      <c r="I205" s="8"/>
      <c r="J205" s="8"/>
      <c r="K205" s="17" t="str">
        <f aca="false">IF($E205="","",IF($E205&lt;1,ROUND($E205*1440,0),INT($E205/100)*60+MOD($E205,100)))</f>
        <v/>
      </c>
      <c r="L205" s="17" t="str">
        <f aca="false">IF($F205="","",IF($F205&lt;1,ROUND($F205*1440,0),INT($F205/100)*60+MOD($F205,100)))</f>
        <v/>
      </c>
    </row>
    <row r="206" customFormat="false" ht="15" hidden="false" customHeight="true" outlineLevel="0" collapsed="false">
      <c r="A206" s="10"/>
      <c r="B206" s="8"/>
      <c r="C206" s="13" t="str">
        <f aca="false">IF($B206="","",IFERROR(INDEX(직원목록!$B$3:$B$302,MATCH($B206,직원목록!$A$3:$A$302,0)),"미등록사번"))</f>
        <v/>
      </c>
      <c r="D206" s="13" t="str">
        <f aca="false">IF($B206="","",IFERROR(INDEX(직원목록!$C$3:$C$302,MATCH($B206,직원목록!$A$3:$A$302,0)),""))</f>
        <v/>
      </c>
      <c r="E206" s="14"/>
      <c r="F206" s="14"/>
      <c r="G206" s="15"/>
      <c r="H206" s="16" t="str">
        <f aca="false">IF(OR($K206="",$L206=""),"",ROUND(MAX(0,($L206-$K206)-IF($G206="",0,$G206))/60,2))</f>
        <v/>
      </c>
      <c r="I206" s="8"/>
      <c r="J206" s="8"/>
      <c r="K206" s="17" t="str">
        <f aca="false">IF($E206="","",IF($E206&lt;1,ROUND($E206*1440,0),INT($E206/100)*60+MOD($E206,100)))</f>
        <v/>
      </c>
      <c r="L206" s="17" t="str">
        <f aca="false">IF($F206="","",IF($F206&lt;1,ROUND($F206*1440,0),INT($F206/100)*60+MOD($F206,100)))</f>
        <v/>
      </c>
    </row>
    <row r="207" customFormat="false" ht="15" hidden="false" customHeight="true" outlineLevel="0" collapsed="false">
      <c r="A207" s="10"/>
      <c r="B207" s="8"/>
      <c r="C207" s="13" t="str">
        <f aca="false">IF($B207="","",IFERROR(INDEX(직원목록!$B$3:$B$302,MATCH($B207,직원목록!$A$3:$A$302,0)),"미등록사번"))</f>
        <v/>
      </c>
      <c r="D207" s="13" t="str">
        <f aca="false">IF($B207="","",IFERROR(INDEX(직원목록!$C$3:$C$302,MATCH($B207,직원목록!$A$3:$A$302,0)),""))</f>
        <v/>
      </c>
      <c r="E207" s="14"/>
      <c r="F207" s="14"/>
      <c r="G207" s="15"/>
      <c r="H207" s="16" t="str">
        <f aca="false">IF(OR($K207="",$L207=""),"",ROUND(MAX(0,($L207-$K207)-IF($G207="",0,$G207))/60,2))</f>
        <v/>
      </c>
      <c r="I207" s="8"/>
      <c r="J207" s="8"/>
      <c r="K207" s="17" t="str">
        <f aca="false">IF($E207="","",IF($E207&lt;1,ROUND($E207*1440,0),INT($E207/100)*60+MOD($E207,100)))</f>
        <v/>
      </c>
      <c r="L207" s="17" t="str">
        <f aca="false">IF($F207="","",IF($F207&lt;1,ROUND($F207*1440,0),INT($F207/100)*60+MOD($F207,100)))</f>
        <v/>
      </c>
    </row>
    <row r="208" customFormat="false" ht="15" hidden="false" customHeight="true" outlineLevel="0" collapsed="false">
      <c r="A208" s="10"/>
      <c r="B208" s="8"/>
      <c r="C208" s="13" t="str">
        <f aca="false">IF($B208="","",IFERROR(INDEX(직원목록!$B$3:$B$302,MATCH($B208,직원목록!$A$3:$A$302,0)),"미등록사번"))</f>
        <v/>
      </c>
      <c r="D208" s="13" t="str">
        <f aca="false">IF($B208="","",IFERROR(INDEX(직원목록!$C$3:$C$302,MATCH($B208,직원목록!$A$3:$A$302,0)),""))</f>
        <v/>
      </c>
      <c r="E208" s="14"/>
      <c r="F208" s="14"/>
      <c r="G208" s="15"/>
      <c r="H208" s="16" t="str">
        <f aca="false">IF(OR($K208="",$L208=""),"",ROUND(MAX(0,($L208-$K208)-IF($G208="",0,$G208))/60,2))</f>
        <v/>
      </c>
      <c r="I208" s="8"/>
      <c r="J208" s="8"/>
      <c r="K208" s="17" t="str">
        <f aca="false">IF($E208="","",IF($E208&lt;1,ROUND($E208*1440,0),INT($E208/100)*60+MOD($E208,100)))</f>
        <v/>
      </c>
      <c r="L208" s="17" t="str">
        <f aca="false">IF($F208="","",IF($F208&lt;1,ROUND($F208*1440,0),INT($F208/100)*60+MOD($F208,100)))</f>
        <v/>
      </c>
    </row>
    <row r="209" customFormat="false" ht="15" hidden="false" customHeight="true" outlineLevel="0" collapsed="false">
      <c r="A209" s="10"/>
      <c r="B209" s="8"/>
      <c r="C209" s="13" t="str">
        <f aca="false">IF($B209="","",IFERROR(INDEX(직원목록!$B$3:$B$302,MATCH($B209,직원목록!$A$3:$A$302,0)),"미등록사번"))</f>
        <v/>
      </c>
      <c r="D209" s="13" t="str">
        <f aca="false">IF($B209="","",IFERROR(INDEX(직원목록!$C$3:$C$302,MATCH($B209,직원목록!$A$3:$A$302,0)),""))</f>
        <v/>
      </c>
      <c r="E209" s="14"/>
      <c r="F209" s="14"/>
      <c r="G209" s="15"/>
      <c r="H209" s="16" t="str">
        <f aca="false">IF(OR($K209="",$L209=""),"",ROUND(MAX(0,($L209-$K209)-IF($G209="",0,$G209))/60,2))</f>
        <v/>
      </c>
      <c r="I209" s="8"/>
      <c r="J209" s="8"/>
      <c r="K209" s="17" t="str">
        <f aca="false">IF($E209="","",IF($E209&lt;1,ROUND($E209*1440,0),INT($E209/100)*60+MOD($E209,100)))</f>
        <v/>
      </c>
      <c r="L209" s="17" t="str">
        <f aca="false">IF($F209="","",IF($F209&lt;1,ROUND($F209*1440,0),INT($F209/100)*60+MOD($F209,100)))</f>
        <v/>
      </c>
    </row>
    <row r="210" customFormat="false" ht="15" hidden="false" customHeight="true" outlineLevel="0" collapsed="false">
      <c r="A210" s="10"/>
      <c r="B210" s="8"/>
      <c r="C210" s="13" t="str">
        <f aca="false">IF($B210="","",IFERROR(INDEX(직원목록!$B$3:$B$302,MATCH($B210,직원목록!$A$3:$A$302,0)),"미등록사번"))</f>
        <v/>
      </c>
      <c r="D210" s="13" t="str">
        <f aca="false">IF($B210="","",IFERROR(INDEX(직원목록!$C$3:$C$302,MATCH($B210,직원목록!$A$3:$A$302,0)),""))</f>
        <v/>
      </c>
      <c r="E210" s="14"/>
      <c r="F210" s="14"/>
      <c r="G210" s="15"/>
      <c r="H210" s="16" t="str">
        <f aca="false">IF(OR($K210="",$L210=""),"",ROUND(MAX(0,($L210-$K210)-IF($G210="",0,$G210))/60,2))</f>
        <v/>
      </c>
      <c r="I210" s="8"/>
      <c r="J210" s="8"/>
      <c r="K210" s="17" t="str">
        <f aca="false">IF($E210="","",IF($E210&lt;1,ROUND($E210*1440,0),INT($E210/100)*60+MOD($E210,100)))</f>
        <v/>
      </c>
      <c r="L210" s="17" t="str">
        <f aca="false">IF($F210="","",IF($F210&lt;1,ROUND($F210*1440,0),INT($F210/100)*60+MOD($F210,100)))</f>
        <v/>
      </c>
    </row>
    <row r="211" customFormat="false" ht="15" hidden="false" customHeight="true" outlineLevel="0" collapsed="false">
      <c r="A211" s="10"/>
      <c r="B211" s="8"/>
      <c r="C211" s="13" t="str">
        <f aca="false">IF($B211="","",IFERROR(INDEX(직원목록!$B$3:$B$302,MATCH($B211,직원목록!$A$3:$A$302,0)),"미등록사번"))</f>
        <v/>
      </c>
      <c r="D211" s="13" t="str">
        <f aca="false">IF($B211="","",IFERROR(INDEX(직원목록!$C$3:$C$302,MATCH($B211,직원목록!$A$3:$A$302,0)),""))</f>
        <v/>
      </c>
      <c r="E211" s="14"/>
      <c r="F211" s="14"/>
      <c r="G211" s="15"/>
      <c r="H211" s="16" t="str">
        <f aca="false">IF(OR($K211="",$L211=""),"",ROUND(MAX(0,($L211-$K211)-IF($G211="",0,$G211))/60,2))</f>
        <v/>
      </c>
      <c r="I211" s="8"/>
      <c r="J211" s="8"/>
      <c r="K211" s="17" t="str">
        <f aca="false">IF($E211="","",IF($E211&lt;1,ROUND($E211*1440,0),INT($E211/100)*60+MOD($E211,100)))</f>
        <v/>
      </c>
      <c r="L211" s="17" t="str">
        <f aca="false">IF($F211="","",IF($F211&lt;1,ROUND($F211*1440,0),INT($F211/100)*60+MOD($F211,100)))</f>
        <v/>
      </c>
    </row>
    <row r="212" customFormat="false" ht="15" hidden="false" customHeight="true" outlineLevel="0" collapsed="false">
      <c r="A212" s="10"/>
      <c r="B212" s="8"/>
      <c r="C212" s="13" t="str">
        <f aca="false">IF($B212="","",IFERROR(INDEX(직원목록!$B$3:$B$302,MATCH($B212,직원목록!$A$3:$A$302,0)),"미등록사번"))</f>
        <v/>
      </c>
      <c r="D212" s="13" t="str">
        <f aca="false">IF($B212="","",IFERROR(INDEX(직원목록!$C$3:$C$302,MATCH($B212,직원목록!$A$3:$A$302,0)),""))</f>
        <v/>
      </c>
      <c r="E212" s="14"/>
      <c r="F212" s="14"/>
      <c r="G212" s="15"/>
      <c r="H212" s="16" t="str">
        <f aca="false">IF(OR($K212="",$L212=""),"",ROUND(MAX(0,($L212-$K212)-IF($G212="",0,$G212))/60,2))</f>
        <v/>
      </c>
      <c r="I212" s="8"/>
      <c r="J212" s="8"/>
      <c r="K212" s="17" t="str">
        <f aca="false">IF($E212="","",IF($E212&lt;1,ROUND($E212*1440,0),INT($E212/100)*60+MOD($E212,100)))</f>
        <v/>
      </c>
      <c r="L212" s="17" t="str">
        <f aca="false">IF($F212="","",IF($F212&lt;1,ROUND($F212*1440,0),INT($F212/100)*60+MOD($F212,100)))</f>
        <v/>
      </c>
    </row>
    <row r="213" customFormat="false" ht="15" hidden="false" customHeight="true" outlineLevel="0" collapsed="false">
      <c r="A213" s="10"/>
      <c r="B213" s="8"/>
      <c r="C213" s="13" t="str">
        <f aca="false">IF($B213="","",IFERROR(INDEX(직원목록!$B$3:$B$302,MATCH($B213,직원목록!$A$3:$A$302,0)),"미등록사번"))</f>
        <v/>
      </c>
      <c r="D213" s="13" t="str">
        <f aca="false">IF($B213="","",IFERROR(INDEX(직원목록!$C$3:$C$302,MATCH($B213,직원목록!$A$3:$A$302,0)),""))</f>
        <v/>
      </c>
      <c r="E213" s="14"/>
      <c r="F213" s="14"/>
      <c r="G213" s="15"/>
      <c r="H213" s="16" t="str">
        <f aca="false">IF(OR($K213="",$L213=""),"",ROUND(MAX(0,($L213-$K213)-IF($G213="",0,$G213))/60,2))</f>
        <v/>
      </c>
      <c r="I213" s="8"/>
      <c r="J213" s="8"/>
      <c r="K213" s="17" t="str">
        <f aca="false">IF($E213="","",IF($E213&lt;1,ROUND($E213*1440,0),INT($E213/100)*60+MOD($E213,100)))</f>
        <v/>
      </c>
      <c r="L213" s="17" t="str">
        <f aca="false">IF($F213="","",IF($F213&lt;1,ROUND($F213*1440,0),INT($F213/100)*60+MOD($F213,100)))</f>
        <v/>
      </c>
    </row>
    <row r="214" customFormat="false" ht="15" hidden="false" customHeight="true" outlineLevel="0" collapsed="false">
      <c r="A214" s="10"/>
      <c r="B214" s="8"/>
      <c r="C214" s="13" t="str">
        <f aca="false">IF($B214="","",IFERROR(INDEX(직원목록!$B$3:$B$302,MATCH($B214,직원목록!$A$3:$A$302,0)),"미등록사번"))</f>
        <v/>
      </c>
      <c r="D214" s="13" t="str">
        <f aca="false">IF($B214="","",IFERROR(INDEX(직원목록!$C$3:$C$302,MATCH($B214,직원목록!$A$3:$A$302,0)),""))</f>
        <v/>
      </c>
      <c r="E214" s="14"/>
      <c r="F214" s="14"/>
      <c r="G214" s="15"/>
      <c r="H214" s="16" t="str">
        <f aca="false">IF(OR($K214="",$L214=""),"",ROUND(MAX(0,($L214-$K214)-IF($G214="",0,$G214))/60,2))</f>
        <v/>
      </c>
      <c r="I214" s="8"/>
      <c r="J214" s="8"/>
      <c r="K214" s="17" t="str">
        <f aca="false">IF($E214="","",IF($E214&lt;1,ROUND($E214*1440,0),INT($E214/100)*60+MOD($E214,100)))</f>
        <v/>
      </c>
      <c r="L214" s="17" t="str">
        <f aca="false">IF($F214="","",IF($F214&lt;1,ROUND($F214*1440,0),INT($F214/100)*60+MOD($F214,100)))</f>
        <v/>
      </c>
    </row>
    <row r="215" customFormat="false" ht="15" hidden="false" customHeight="true" outlineLevel="0" collapsed="false">
      <c r="A215" s="10"/>
      <c r="B215" s="8"/>
      <c r="C215" s="13" t="str">
        <f aca="false">IF($B215="","",IFERROR(INDEX(직원목록!$B$3:$B$302,MATCH($B215,직원목록!$A$3:$A$302,0)),"미등록사번"))</f>
        <v/>
      </c>
      <c r="D215" s="13" t="str">
        <f aca="false">IF($B215="","",IFERROR(INDEX(직원목록!$C$3:$C$302,MATCH($B215,직원목록!$A$3:$A$302,0)),""))</f>
        <v/>
      </c>
      <c r="E215" s="14"/>
      <c r="F215" s="14"/>
      <c r="G215" s="15"/>
      <c r="H215" s="16" t="str">
        <f aca="false">IF(OR($K215="",$L215=""),"",ROUND(MAX(0,($L215-$K215)-IF($G215="",0,$G215))/60,2))</f>
        <v/>
      </c>
      <c r="I215" s="8"/>
      <c r="J215" s="8"/>
      <c r="K215" s="17" t="str">
        <f aca="false">IF($E215="","",IF($E215&lt;1,ROUND($E215*1440,0),INT($E215/100)*60+MOD($E215,100)))</f>
        <v/>
      </c>
      <c r="L215" s="17" t="str">
        <f aca="false">IF($F215="","",IF($F215&lt;1,ROUND($F215*1440,0),INT($F215/100)*60+MOD($F215,100)))</f>
        <v/>
      </c>
    </row>
    <row r="216" customFormat="false" ht="15" hidden="false" customHeight="true" outlineLevel="0" collapsed="false">
      <c r="A216" s="10"/>
      <c r="B216" s="8"/>
      <c r="C216" s="13" t="str">
        <f aca="false">IF($B216="","",IFERROR(INDEX(직원목록!$B$3:$B$302,MATCH($B216,직원목록!$A$3:$A$302,0)),"미등록사번"))</f>
        <v/>
      </c>
      <c r="D216" s="13" t="str">
        <f aca="false">IF($B216="","",IFERROR(INDEX(직원목록!$C$3:$C$302,MATCH($B216,직원목록!$A$3:$A$302,0)),""))</f>
        <v/>
      </c>
      <c r="E216" s="14"/>
      <c r="F216" s="14"/>
      <c r="G216" s="15"/>
      <c r="H216" s="16" t="str">
        <f aca="false">IF(OR($K216="",$L216=""),"",ROUND(MAX(0,($L216-$K216)-IF($G216="",0,$G216))/60,2))</f>
        <v/>
      </c>
      <c r="I216" s="8"/>
      <c r="J216" s="8"/>
      <c r="K216" s="17" t="str">
        <f aca="false">IF($E216="","",IF($E216&lt;1,ROUND($E216*1440,0),INT($E216/100)*60+MOD($E216,100)))</f>
        <v/>
      </c>
      <c r="L216" s="17" t="str">
        <f aca="false">IF($F216="","",IF($F216&lt;1,ROUND($F216*1440,0),INT($F216/100)*60+MOD($F216,100)))</f>
        <v/>
      </c>
    </row>
    <row r="217" customFormat="false" ht="15" hidden="false" customHeight="true" outlineLevel="0" collapsed="false">
      <c r="A217" s="10"/>
      <c r="B217" s="8"/>
      <c r="C217" s="13" t="str">
        <f aca="false">IF($B217="","",IFERROR(INDEX(직원목록!$B$3:$B$302,MATCH($B217,직원목록!$A$3:$A$302,0)),"미등록사번"))</f>
        <v/>
      </c>
      <c r="D217" s="13" t="str">
        <f aca="false">IF($B217="","",IFERROR(INDEX(직원목록!$C$3:$C$302,MATCH($B217,직원목록!$A$3:$A$302,0)),""))</f>
        <v/>
      </c>
      <c r="E217" s="14"/>
      <c r="F217" s="14"/>
      <c r="G217" s="15"/>
      <c r="H217" s="16" t="str">
        <f aca="false">IF(OR($K217="",$L217=""),"",ROUND(MAX(0,($L217-$K217)-IF($G217="",0,$G217))/60,2))</f>
        <v/>
      </c>
      <c r="I217" s="8"/>
      <c r="J217" s="8"/>
      <c r="K217" s="17" t="str">
        <f aca="false">IF($E217="","",IF($E217&lt;1,ROUND($E217*1440,0),INT($E217/100)*60+MOD($E217,100)))</f>
        <v/>
      </c>
      <c r="L217" s="17" t="str">
        <f aca="false">IF($F217="","",IF($F217&lt;1,ROUND($F217*1440,0),INT($F217/100)*60+MOD($F217,100)))</f>
        <v/>
      </c>
    </row>
    <row r="218" customFormat="false" ht="15" hidden="false" customHeight="true" outlineLevel="0" collapsed="false">
      <c r="A218" s="10"/>
      <c r="B218" s="8"/>
      <c r="C218" s="13" t="str">
        <f aca="false">IF($B218="","",IFERROR(INDEX(직원목록!$B$3:$B$302,MATCH($B218,직원목록!$A$3:$A$302,0)),"미등록사번"))</f>
        <v/>
      </c>
      <c r="D218" s="13" t="str">
        <f aca="false">IF($B218="","",IFERROR(INDEX(직원목록!$C$3:$C$302,MATCH($B218,직원목록!$A$3:$A$302,0)),""))</f>
        <v/>
      </c>
      <c r="E218" s="14"/>
      <c r="F218" s="14"/>
      <c r="G218" s="15"/>
      <c r="H218" s="16" t="str">
        <f aca="false">IF(OR($K218="",$L218=""),"",ROUND(MAX(0,($L218-$K218)-IF($G218="",0,$G218))/60,2))</f>
        <v/>
      </c>
      <c r="I218" s="8"/>
      <c r="J218" s="8"/>
      <c r="K218" s="17" t="str">
        <f aca="false">IF($E218="","",IF($E218&lt;1,ROUND($E218*1440,0),INT($E218/100)*60+MOD($E218,100)))</f>
        <v/>
      </c>
      <c r="L218" s="17" t="str">
        <f aca="false">IF($F218="","",IF($F218&lt;1,ROUND($F218*1440,0),INT($F218/100)*60+MOD($F218,100)))</f>
        <v/>
      </c>
    </row>
    <row r="219" customFormat="false" ht="15" hidden="false" customHeight="true" outlineLevel="0" collapsed="false">
      <c r="A219" s="10"/>
      <c r="B219" s="8"/>
      <c r="C219" s="13" t="str">
        <f aca="false">IF($B219="","",IFERROR(INDEX(직원목록!$B$3:$B$302,MATCH($B219,직원목록!$A$3:$A$302,0)),"미등록사번"))</f>
        <v/>
      </c>
      <c r="D219" s="13" t="str">
        <f aca="false">IF($B219="","",IFERROR(INDEX(직원목록!$C$3:$C$302,MATCH($B219,직원목록!$A$3:$A$302,0)),""))</f>
        <v/>
      </c>
      <c r="E219" s="14"/>
      <c r="F219" s="14"/>
      <c r="G219" s="15"/>
      <c r="H219" s="16" t="str">
        <f aca="false">IF(OR($K219="",$L219=""),"",ROUND(MAX(0,($L219-$K219)-IF($G219="",0,$G219))/60,2))</f>
        <v/>
      </c>
      <c r="I219" s="8"/>
      <c r="J219" s="8"/>
      <c r="K219" s="17" t="str">
        <f aca="false">IF($E219="","",IF($E219&lt;1,ROUND($E219*1440,0),INT($E219/100)*60+MOD($E219,100)))</f>
        <v/>
      </c>
      <c r="L219" s="17" t="str">
        <f aca="false">IF($F219="","",IF($F219&lt;1,ROUND($F219*1440,0),INT($F219/100)*60+MOD($F219,100)))</f>
        <v/>
      </c>
    </row>
    <row r="220" customFormat="false" ht="15" hidden="false" customHeight="true" outlineLevel="0" collapsed="false">
      <c r="A220" s="10"/>
      <c r="B220" s="8"/>
      <c r="C220" s="13" t="str">
        <f aca="false">IF($B220="","",IFERROR(INDEX(직원목록!$B$3:$B$302,MATCH($B220,직원목록!$A$3:$A$302,0)),"미등록사번"))</f>
        <v/>
      </c>
      <c r="D220" s="13" t="str">
        <f aca="false">IF($B220="","",IFERROR(INDEX(직원목록!$C$3:$C$302,MATCH($B220,직원목록!$A$3:$A$302,0)),""))</f>
        <v/>
      </c>
      <c r="E220" s="14"/>
      <c r="F220" s="14"/>
      <c r="G220" s="15"/>
      <c r="H220" s="16" t="str">
        <f aca="false">IF(OR($K220="",$L220=""),"",ROUND(MAX(0,($L220-$K220)-IF($G220="",0,$G220))/60,2))</f>
        <v/>
      </c>
      <c r="I220" s="8"/>
      <c r="J220" s="8"/>
      <c r="K220" s="17" t="str">
        <f aca="false">IF($E220="","",IF($E220&lt;1,ROUND($E220*1440,0),INT($E220/100)*60+MOD($E220,100)))</f>
        <v/>
      </c>
      <c r="L220" s="17" t="str">
        <f aca="false">IF($F220="","",IF($F220&lt;1,ROUND($F220*1440,0),INT($F220/100)*60+MOD($F220,100)))</f>
        <v/>
      </c>
    </row>
    <row r="221" customFormat="false" ht="15" hidden="false" customHeight="true" outlineLevel="0" collapsed="false">
      <c r="A221" s="10"/>
      <c r="B221" s="8"/>
      <c r="C221" s="13" t="str">
        <f aca="false">IF($B221="","",IFERROR(INDEX(직원목록!$B$3:$B$302,MATCH($B221,직원목록!$A$3:$A$302,0)),"미등록사번"))</f>
        <v/>
      </c>
      <c r="D221" s="13" t="str">
        <f aca="false">IF($B221="","",IFERROR(INDEX(직원목록!$C$3:$C$302,MATCH($B221,직원목록!$A$3:$A$302,0)),""))</f>
        <v/>
      </c>
      <c r="E221" s="14"/>
      <c r="F221" s="14"/>
      <c r="G221" s="15"/>
      <c r="H221" s="16" t="str">
        <f aca="false">IF(OR($K221="",$L221=""),"",ROUND(MAX(0,($L221-$K221)-IF($G221="",0,$G221))/60,2))</f>
        <v/>
      </c>
      <c r="I221" s="8"/>
      <c r="J221" s="8"/>
      <c r="K221" s="17" t="str">
        <f aca="false">IF($E221="","",IF($E221&lt;1,ROUND($E221*1440,0),INT($E221/100)*60+MOD($E221,100)))</f>
        <v/>
      </c>
      <c r="L221" s="17" t="str">
        <f aca="false">IF($F221="","",IF($F221&lt;1,ROUND($F221*1440,0),INT($F221/100)*60+MOD($F221,100)))</f>
        <v/>
      </c>
    </row>
    <row r="222" customFormat="false" ht="15" hidden="false" customHeight="true" outlineLevel="0" collapsed="false">
      <c r="A222" s="10"/>
      <c r="B222" s="8"/>
      <c r="C222" s="13" t="str">
        <f aca="false">IF($B222="","",IFERROR(INDEX(직원목록!$B$3:$B$302,MATCH($B222,직원목록!$A$3:$A$302,0)),"미등록사번"))</f>
        <v/>
      </c>
      <c r="D222" s="13" t="str">
        <f aca="false">IF($B222="","",IFERROR(INDEX(직원목록!$C$3:$C$302,MATCH($B222,직원목록!$A$3:$A$302,0)),""))</f>
        <v/>
      </c>
      <c r="E222" s="14"/>
      <c r="F222" s="14"/>
      <c r="G222" s="15"/>
      <c r="H222" s="16" t="str">
        <f aca="false">IF(OR($K222="",$L222=""),"",ROUND(MAX(0,($L222-$K222)-IF($G222="",0,$G222))/60,2))</f>
        <v/>
      </c>
      <c r="I222" s="8"/>
      <c r="J222" s="8"/>
      <c r="K222" s="17" t="str">
        <f aca="false">IF($E222="","",IF($E222&lt;1,ROUND($E222*1440,0),INT($E222/100)*60+MOD($E222,100)))</f>
        <v/>
      </c>
      <c r="L222" s="17" t="str">
        <f aca="false">IF($F222="","",IF($F222&lt;1,ROUND($F222*1440,0),INT($F222/100)*60+MOD($F222,100)))</f>
        <v/>
      </c>
    </row>
    <row r="223" customFormat="false" ht="15" hidden="false" customHeight="true" outlineLevel="0" collapsed="false">
      <c r="A223" s="10"/>
      <c r="B223" s="8"/>
      <c r="C223" s="13" t="str">
        <f aca="false">IF($B223="","",IFERROR(INDEX(직원목록!$B$3:$B$302,MATCH($B223,직원목록!$A$3:$A$302,0)),"미등록사번"))</f>
        <v/>
      </c>
      <c r="D223" s="13" t="str">
        <f aca="false">IF($B223="","",IFERROR(INDEX(직원목록!$C$3:$C$302,MATCH($B223,직원목록!$A$3:$A$302,0)),""))</f>
        <v/>
      </c>
      <c r="E223" s="14"/>
      <c r="F223" s="14"/>
      <c r="G223" s="15"/>
      <c r="H223" s="16" t="str">
        <f aca="false">IF(OR($K223="",$L223=""),"",ROUND(MAX(0,($L223-$K223)-IF($G223="",0,$G223))/60,2))</f>
        <v/>
      </c>
      <c r="I223" s="8"/>
      <c r="J223" s="8"/>
      <c r="K223" s="17" t="str">
        <f aca="false">IF($E223="","",IF($E223&lt;1,ROUND($E223*1440,0),INT($E223/100)*60+MOD($E223,100)))</f>
        <v/>
      </c>
      <c r="L223" s="17" t="str">
        <f aca="false">IF($F223="","",IF($F223&lt;1,ROUND($F223*1440,0),INT($F223/100)*60+MOD($F223,100)))</f>
        <v/>
      </c>
    </row>
    <row r="224" customFormat="false" ht="15" hidden="false" customHeight="true" outlineLevel="0" collapsed="false">
      <c r="A224" s="10"/>
      <c r="B224" s="8"/>
      <c r="C224" s="13" t="str">
        <f aca="false">IF($B224="","",IFERROR(INDEX(직원목록!$B$3:$B$302,MATCH($B224,직원목록!$A$3:$A$302,0)),"미등록사번"))</f>
        <v/>
      </c>
      <c r="D224" s="13" t="str">
        <f aca="false">IF($B224="","",IFERROR(INDEX(직원목록!$C$3:$C$302,MATCH($B224,직원목록!$A$3:$A$302,0)),""))</f>
        <v/>
      </c>
      <c r="E224" s="14"/>
      <c r="F224" s="14"/>
      <c r="G224" s="15"/>
      <c r="H224" s="16" t="str">
        <f aca="false">IF(OR($K224="",$L224=""),"",ROUND(MAX(0,($L224-$K224)-IF($G224="",0,$G224))/60,2))</f>
        <v/>
      </c>
      <c r="I224" s="8"/>
      <c r="J224" s="8"/>
      <c r="K224" s="17" t="str">
        <f aca="false">IF($E224="","",IF($E224&lt;1,ROUND($E224*1440,0),INT($E224/100)*60+MOD($E224,100)))</f>
        <v/>
      </c>
      <c r="L224" s="17" t="str">
        <f aca="false">IF($F224="","",IF($F224&lt;1,ROUND($F224*1440,0),INT($F224/100)*60+MOD($F224,100)))</f>
        <v/>
      </c>
    </row>
    <row r="225" customFormat="false" ht="15" hidden="false" customHeight="true" outlineLevel="0" collapsed="false">
      <c r="A225" s="10"/>
      <c r="B225" s="8"/>
      <c r="C225" s="13" t="str">
        <f aca="false">IF($B225="","",IFERROR(INDEX(직원목록!$B$3:$B$302,MATCH($B225,직원목록!$A$3:$A$302,0)),"미등록사번"))</f>
        <v/>
      </c>
      <c r="D225" s="13" t="str">
        <f aca="false">IF($B225="","",IFERROR(INDEX(직원목록!$C$3:$C$302,MATCH($B225,직원목록!$A$3:$A$302,0)),""))</f>
        <v/>
      </c>
      <c r="E225" s="14"/>
      <c r="F225" s="14"/>
      <c r="G225" s="15"/>
      <c r="H225" s="16" t="str">
        <f aca="false">IF(OR($K225="",$L225=""),"",ROUND(MAX(0,($L225-$K225)-IF($G225="",0,$G225))/60,2))</f>
        <v/>
      </c>
      <c r="I225" s="8"/>
      <c r="J225" s="8"/>
      <c r="K225" s="17" t="str">
        <f aca="false">IF($E225="","",IF($E225&lt;1,ROUND($E225*1440,0),INT($E225/100)*60+MOD($E225,100)))</f>
        <v/>
      </c>
      <c r="L225" s="17" t="str">
        <f aca="false">IF($F225="","",IF($F225&lt;1,ROUND($F225*1440,0),INT($F225/100)*60+MOD($F225,100)))</f>
        <v/>
      </c>
    </row>
    <row r="226" customFormat="false" ht="15" hidden="false" customHeight="true" outlineLevel="0" collapsed="false">
      <c r="A226" s="10"/>
      <c r="B226" s="8"/>
      <c r="C226" s="13" t="str">
        <f aca="false">IF($B226="","",IFERROR(INDEX(직원목록!$B$3:$B$302,MATCH($B226,직원목록!$A$3:$A$302,0)),"미등록사번"))</f>
        <v/>
      </c>
      <c r="D226" s="13" t="str">
        <f aca="false">IF($B226="","",IFERROR(INDEX(직원목록!$C$3:$C$302,MATCH($B226,직원목록!$A$3:$A$302,0)),""))</f>
        <v/>
      </c>
      <c r="E226" s="14"/>
      <c r="F226" s="14"/>
      <c r="G226" s="15"/>
      <c r="H226" s="16" t="str">
        <f aca="false">IF(OR($K226="",$L226=""),"",ROUND(MAX(0,($L226-$K226)-IF($G226="",0,$G226))/60,2))</f>
        <v/>
      </c>
      <c r="I226" s="8"/>
      <c r="J226" s="8"/>
      <c r="K226" s="17" t="str">
        <f aca="false">IF($E226="","",IF($E226&lt;1,ROUND($E226*1440,0),INT($E226/100)*60+MOD($E226,100)))</f>
        <v/>
      </c>
      <c r="L226" s="17" t="str">
        <f aca="false">IF($F226="","",IF($F226&lt;1,ROUND($F226*1440,0),INT($F226/100)*60+MOD($F226,100)))</f>
        <v/>
      </c>
    </row>
    <row r="227" customFormat="false" ht="15" hidden="false" customHeight="true" outlineLevel="0" collapsed="false">
      <c r="A227" s="10"/>
      <c r="B227" s="8"/>
      <c r="C227" s="13" t="str">
        <f aca="false">IF($B227="","",IFERROR(INDEX(직원목록!$B$3:$B$302,MATCH($B227,직원목록!$A$3:$A$302,0)),"미등록사번"))</f>
        <v/>
      </c>
      <c r="D227" s="13" t="str">
        <f aca="false">IF($B227="","",IFERROR(INDEX(직원목록!$C$3:$C$302,MATCH($B227,직원목록!$A$3:$A$302,0)),""))</f>
        <v/>
      </c>
      <c r="E227" s="14"/>
      <c r="F227" s="14"/>
      <c r="G227" s="15"/>
      <c r="H227" s="16" t="str">
        <f aca="false">IF(OR($K227="",$L227=""),"",ROUND(MAX(0,($L227-$K227)-IF($G227="",0,$G227))/60,2))</f>
        <v/>
      </c>
      <c r="I227" s="8"/>
      <c r="J227" s="8"/>
      <c r="K227" s="17" t="str">
        <f aca="false">IF($E227="","",IF($E227&lt;1,ROUND($E227*1440,0),INT($E227/100)*60+MOD($E227,100)))</f>
        <v/>
      </c>
      <c r="L227" s="17" t="str">
        <f aca="false">IF($F227="","",IF($F227&lt;1,ROUND($F227*1440,0),INT($F227/100)*60+MOD($F227,100)))</f>
        <v/>
      </c>
    </row>
    <row r="228" customFormat="false" ht="15" hidden="false" customHeight="true" outlineLevel="0" collapsed="false">
      <c r="A228" s="10"/>
      <c r="B228" s="8"/>
      <c r="C228" s="13" t="str">
        <f aca="false">IF($B228="","",IFERROR(INDEX(직원목록!$B$3:$B$302,MATCH($B228,직원목록!$A$3:$A$302,0)),"미등록사번"))</f>
        <v/>
      </c>
      <c r="D228" s="13" t="str">
        <f aca="false">IF($B228="","",IFERROR(INDEX(직원목록!$C$3:$C$302,MATCH($B228,직원목록!$A$3:$A$302,0)),""))</f>
        <v/>
      </c>
      <c r="E228" s="14"/>
      <c r="F228" s="14"/>
      <c r="G228" s="15"/>
      <c r="H228" s="16" t="str">
        <f aca="false">IF(OR($K228="",$L228=""),"",ROUND(MAX(0,($L228-$K228)-IF($G228="",0,$G228))/60,2))</f>
        <v/>
      </c>
      <c r="I228" s="8"/>
      <c r="J228" s="8"/>
      <c r="K228" s="17" t="str">
        <f aca="false">IF($E228="","",IF($E228&lt;1,ROUND($E228*1440,0),INT($E228/100)*60+MOD($E228,100)))</f>
        <v/>
      </c>
      <c r="L228" s="17" t="str">
        <f aca="false">IF($F228="","",IF($F228&lt;1,ROUND($F228*1440,0),INT($F228/100)*60+MOD($F228,100)))</f>
        <v/>
      </c>
    </row>
    <row r="229" customFormat="false" ht="15" hidden="false" customHeight="true" outlineLevel="0" collapsed="false">
      <c r="A229" s="10"/>
      <c r="B229" s="8"/>
      <c r="C229" s="13" t="str">
        <f aca="false">IF($B229="","",IFERROR(INDEX(직원목록!$B$3:$B$302,MATCH($B229,직원목록!$A$3:$A$302,0)),"미등록사번"))</f>
        <v/>
      </c>
      <c r="D229" s="13" t="str">
        <f aca="false">IF($B229="","",IFERROR(INDEX(직원목록!$C$3:$C$302,MATCH($B229,직원목록!$A$3:$A$302,0)),""))</f>
        <v/>
      </c>
      <c r="E229" s="14"/>
      <c r="F229" s="14"/>
      <c r="G229" s="15"/>
      <c r="H229" s="16" t="str">
        <f aca="false">IF(OR($K229="",$L229=""),"",ROUND(MAX(0,($L229-$K229)-IF($G229="",0,$G229))/60,2))</f>
        <v/>
      </c>
      <c r="I229" s="8"/>
      <c r="J229" s="8"/>
      <c r="K229" s="17" t="str">
        <f aca="false">IF($E229="","",IF($E229&lt;1,ROUND($E229*1440,0),INT($E229/100)*60+MOD($E229,100)))</f>
        <v/>
      </c>
      <c r="L229" s="17" t="str">
        <f aca="false">IF($F229="","",IF($F229&lt;1,ROUND($F229*1440,0),INT($F229/100)*60+MOD($F229,100)))</f>
        <v/>
      </c>
    </row>
    <row r="230" customFormat="false" ht="15" hidden="false" customHeight="true" outlineLevel="0" collapsed="false">
      <c r="A230" s="10"/>
      <c r="B230" s="8"/>
      <c r="C230" s="13" t="str">
        <f aca="false">IF($B230="","",IFERROR(INDEX(직원목록!$B$3:$B$302,MATCH($B230,직원목록!$A$3:$A$302,0)),"미등록사번"))</f>
        <v/>
      </c>
      <c r="D230" s="13" t="str">
        <f aca="false">IF($B230="","",IFERROR(INDEX(직원목록!$C$3:$C$302,MATCH($B230,직원목록!$A$3:$A$302,0)),""))</f>
        <v/>
      </c>
      <c r="E230" s="14"/>
      <c r="F230" s="14"/>
      <c r="G230" s="15"/>
      <c r="H230" s="16" t="str">
        <f aca="false">IF(OR($K230="",$L230=""),"",ROUND(MAX(0,($L230-$K230)-IF($G230="",0,$G230))/60,2))</f>
        <v/>
      </c>
      <c r="I230" s="8"/>
      <c r="J230" s="8"/>
      <c r="K230" s="17" t="str">
        <f aca="false">IF($E230="","",IF($E230&lt;1,ROUND($E230*1440,0),INT($E230/100)*60+MOD($E230,100)))</f>
        <v/>
      </c>
      <c r="L230" s="17" t="str">
        <f aca="false">IF($F230="","",IF($F230&lt;1,ROUND($F230*1440,0),INT($F230/100)*60+MOD($F230,100)))</f>
        <v/>
      </c>
    </row>
    <row r="231" customFormat="false" ht="15" hidden="false" customHeight="true" outlineLevel="0" collapsed="false">
      <c r="A231" s="10"/>
      <c r="B231" s="8"/>
      <c r="C231" s="13" t="str">
        <f aca="false">IF($B231="","",IFERROR(INDEX(직원목록!$B$3:$B$302,MATCH($B231,직원목록!$A$3:$A$302,0)),"미등록사번"))</f>
        <v/>
      </c>
      <c r="D231" s="13" t="str">
        <f aca="false">IF($B231="","",IFERROR(INDEX(직원목록!$C$3:$C$302,MATCH($B231,직원목록!$A$3:$A$302,0)),""))</f>
        <v/>
      </c>
      <c r="E231" s="14"/>
      <c r="F231" s="14"/>
      <c r="G231" s="15"/>
      <c r="H231" s="16" t="str">
        <f aca="false">IF(OR($K231="",$L231=""),"",ROUND(MAX(0,($L231-$K231)-IF($G231="",0,$G231))/60,2))</f>
        <v/>
      </c>
      <c r="I231" s="8"/>
      <c r="J231" s="8"/>
      <c r="K231" s="17" t="str">
        <f aca="false">IF($E231="","",IF($E231&lt;1,ROUND($E231*1440,0),INT($E231/100)*60+MOD($E231,100)))</f>
        <v/>
      </c>
      <c r="L231" s="17" t="str">
        <f aca="false">IF($F231="","",IF($F231&lt;1,ROUND($F231*1440,0),INT($F231/100)*60+MOD($F231,100)))</f>
        <v/>
      </c>
    </row>
    <row r="232" customFormat="false" ht="15" hidden="false" customHeight="true" outlineLevel="0" collapsed="false">
      <c r="A232" s="10"/>
      <c r="B232" s="8"/>
      <c r="C232" s="13" t="str">
        <f aca="false">IF($B232="","",IFERROR(INDEX(직원목록!$B$3:$B$302,MATCH($B232,직원목록!$A$3:$A$302,0)),"미등록사번"))</f>
        <v/>
      </c>
      <c r="D232" s="13" t="str">
        <f aca="false">IF($B232="","",IFERROR(INDEX(직원목록!$C$3:$C$302,MATCH($B232,직원목록!$A$3:$A$302,0)),""))</f>
        <v/>
      </c>
      <c r="E232" s="14"/>
      <c r="F232" s="14"/>
      <c r="G232" s="15"/>
      <c r="H232" s="16" t="str">
        <f aca="false">IF(OR($K232="",$L232=""),"",ROUND(MAX(0,($L232-$K232)-IF($G232="",0,$G232))/60,2))</f>
        <v/>
      </c>
      <c r="I232" s="8"/>
      <c r="J232" s="8"/>
      <c r="K232" s="17" t="str">
        <f aca="false">IF($E232="","",IF($E232&lt;1,ROUND($E232*1440,0),INT($E232/100)*60+MOD($E232,100)))</f>
        <v/>
      </c>
      <c r="L232" s="17" t="str">
        <f aca="false">IF($F232="","",IF($F232&lt;1,ROUND($F232*1440,0),INT($F232/100)*60+MOD($F232,100)))</f>
        <v/>
      </c>
    </row>
    <row r="233" customFormat="false" ht="15" hidden="false" customHeight="true" outlineLevel="0" collapsed="false">
      <c r="A233" s="10"/>
      <c r="B233" s="8"/>
      <c r="C233" s="13" t="str">
        <f aca="false">IF($B233="","",IFERROR(INDEX(직원목록!$B$3:$B$302,MATCH($B233,직원목록!$A$3:$A$302,0)),"미등록사번"))</f>
        <v/>
      </c>
      <c r="D233" s="13" t="str">
        <f aca="false">IF($B233="","",IFERROR(INDEX(직원목록!$C$3:$C$302,MATCH($B233,직원목록!$A$3:$A$302,0)),""))</f>
        <v/>
      </c>
      <c r="E233" s="14"/>
      <c r="F233" s="14"/>
      <c r="G233" s="15"/>
      <c r="H233" s="16" t="str">
        <f aca="false">IF(OR($K233="",$L233=""),"",ROUND(MAX(0,($L233-$K233)-IF($G233="",0,$G233))/60,2))</f>
        <v/>
      </c>
      <c r="I233" s="8"/>
      <c r="J233" s="8"/>
      <c r="K233" s="17" t="str">
        <f aca="false">IF($E233="","",IF($E233&lt;1,ROUND($E233*1440,0),INT($E233/100)*60+MOD($E233,100)))</f>
        <v/>
      </c>
      <c r="L233" s="17" t="str">
        <f aca="false">IF($F233="","",IF($F233&lt;1,ROUND($F233*1440,0),INT($F233/100)*60+MOD($F233,100)))</f>
        <v/>
      </c>
    </row>
    <row r="234" customFormat="false" ht="15" hidden="false" customHeight="true" outlineLevel="0" collapsed="false">
      <c r="A234" s="10"/>
      <c r="B234" s="8"/>
      <c r="C234" s="13" t="str">
        <f aca="false">IF($B234="","",IFERROR(INDEX(직원목록!$B$3:$B$302,MATCH($B234,직원목록!$A$3:$A$302,0)),"미등록사번"))</f>
        <v/>
      </c>
      <c r="D234" s="13" t="str">
        <f aca="false">IF($B234="","",IFERROR(INDEX(직원목록!$C$3:$C$302,MATCH($B234,직원목록!$A$3:$A$302,0)),""))</f>
        <v/>
      </c>
      <c r="E234" s="14"/>
      <c r="F234" s="14"/>
      <c r="G234" s="15"/>
      <c r="H234" s="16" t="str">
        <f aca="false">IF(OR($K234="",$L234=""),"",ROUND(MAX(0,($L234-$K234)-IF($G234="",0,$G234))/60,2))</f>
        <v/>
      </c>
      <c r="I234" s="8"/>
      <c r="J234" s="8"/>
      <c r="K234" s="17" t="str">
        <f aca="false">IF($E234="","",IF($E234&lt;1,ROUND($E234*1440,0),INT($E234/100)*60+MOD($E234,100)))</f>
        <v/>
      </c>
      <c r="L234" s="17" t="str">
        <f aca="false">IF($F234="","",IF($F234&lt;1,ROUND($F234*1440,0),INT($F234/100)*60+MOD($F234,100)))</f>
        <v/>
      </c>
    </row>
    <row r="235" customFormat="false" ht="15" hidden="false" customHeight="true" outlineLevel="0" collapsed="false">
      <c r="A235" s="10"/>
      <c r="B235" s="8"/>
      <c r="C235" s="13" t="str">
        <f aca="false">IF($B235="","",IFERROR(INDEX(직원목록!$B$3:$B$302,MATCH($B235,직원목록!$A$3:$A$302,0)),"미등록사번"))</f>
        <v/>
      </c>
      <c r="D235" s="13" t="str">
        <f aca="false">IF($B235="","",IFERROR(INDEX(직원목록!$C$3:$C$302,MATCH($B235,직원목록!$A$3:$A$302,0)),""))</f>
        <v/>
      </c>
      <c r="E235" s="14"/>
      <c r="F235" s="14"/>
      <c r="G235" s="15"/>
      <c r="H235" s="16" t="str">
        <f aca="false">IF(OR($K235="",$L235=""),"",ROUND(MAX(0,($L235-$K235)-IF($G235="",0,$G235))/60,2))</f>
        <v/>
      </c>
      <c r="I235" s="8"/>
      <c r="J235" s="8"/>
      <c r="K235" s="17" t="str">
        <f aca="false">IF($E235="","",IF($E235&lt;1,ROUND($E235*1440,0),INT($E235/100)*60+MOD($E235,100)))</f>
        <v/>
      </c>
      <c r="L235" s="17" t="str">
        <f aca="false">IF($F235="","",IF($F235&lt;1,ROUND($F235*1440,0),INT($F235/100)*60+MOD($F235,100)))</f>
        <v/>
      </c>
    </row>
    <row r="236" customFormat="false" ht="15" hidden="false" customHeight="true" outlineLevel="0" collapsed="false">
      <c r="A236" s="10"/>
      <c r="B236" s="8"/>
      <c r="C236" s="13" t="str">
        <f aca="false">IF($B236="","",IFERROR(INDEX(직원목록!$B$3:$B$302,MATCH($B236,직원목록!$A$3:$A$302,0)),"미등록사번"))</f>
        <v/>
      </c>
      <c r="D236" s="13" t="str">
        <f aca="false">IF($B236="","",IFERROR(INDEX(직원목록!$C$3:$C$302,MATCH($B236,직원목록!$A$3:$A$302,0)),""))</f>
        <v/>
      </c>
      <c r="E236" s="14"/>
      <c r="F236" s="14"/>
      <c r="G236" s="15"/>
      <c r="H236" s="16" t="str">
        <f aca="false">IF(OR($K236="",$L236=""),"",ROUND(MAX(0,($L236-$K236)-IF($G236="",0,$G236))/60,2))</f>
        <v/>
      </c>
      <c r="I236" s="8"/>
      <c r="J236" s="8"/>
      <c r="K236" s="17" t="str">
        <f aca="false">IF($E236="","",IF($E236&lt;1,ROUND($E236*1440,0),INT($E236/100)*60+MOD($E236,100)))</f>
        <v/>
      </c>
      <c r="L236" s="17" t="str">
        <f aca="false">IF($F236="","",IF($F236&lt;1,ROUND($F236*1440,0),INT($F236/100)*60+MOD($F236,100)))</f>
        <v/>
      </c>
    </row>
    <row r="237" customFormat="false" ht="15" hidden="false" customHeight="true" outlineLevel="0" collapsed="false">
      <c r="A237" s="10"/>
      <c r="B237" s="8"/>
      <c r="C237" s="13" t="str">
        <f aca="false">IF($B237="","",IFERROR(INDEX(직원목록!$B$3:$B$302,MATCH($B237,직원목록!$A$3:$A$302,0)),"미등록사번"))</f>
        <v/>
      </c>
      <c r="D237" s="13" t="str">
        <f aca="false">IF($B237="","",IFERROR(INDEX(직원목록!$C$3:$C$302,MATCH($B237,직원목록!$A$3:$A$302,0)),""))</f>
        <v/>
      </c>
      <c r="E237" s="14"/>
      <c r="F237" s="14"/>
      <c r="G237" s="15"/>
      <c r="H237" s="16" t="str">
        <f aca="false">IF(OR($K237="",$L237=""),"",ROUND(MAX(0,($L237-$K237)-IF($G237="",0,$G237))/60,2))</f>
        <v/>
      </c>
      <c r="I237" s="8"/>
      <c r="J237" s="8"/>
      <c r="K237" s="17" t="str">
        <f aca="false">IF($E237="","",IF($E237&lt;1,ROUND($E237*1440,0),INT($E237/100)*60+MOD($E237,100)))</f>
        <v/>
      </c>
      <c r="L237" s="17" t="str">
        <f aca="false">IF($F237="","",IF($F237&lt;1,ROUND($F237*1440,0),INT($F237/100)*60+MOD($F237,100)))</f>
        <v/>
      </c>
    </row>
    <row r="238" customFormat="false" ht="15" hidden="false" customHeight="true" outlineLevel="0" collapsed="false">
      <c r="A238" s="10"/>
      <c r="B238" s="8"/>
      <c r="C238" s="13" t="str">
        <f aca="false">IF($B238="","",IFERROR(INDEX(직원목록!$B$3:$B$302,MATCH($B238,직원목록!$A$3:$A$302,0)),"미등록사번"))</f>
        <v/>
      </c>
      <c r="D238" s="13" t="str">
        <f aca="false">IF($B238="","",IFERROR(INDEX(직원목록!$C$3:$C$302,MATCH($B238,직원목록!$A$3:$A$302,0)),""))</f>
        <v/>
      </c>
      <c r="E238" s="14"/>
      <c r="F238" s="14"/>
      <c r="G238" s="15"/>
      <c r="H238" s="16" t="str">
        <f aca="false">IF(OR($K238="",$L238=""),"",ROUND(MAX(0,($L238-$K238)-IF($G238="",0,$G238))/60,2))</f>
        <v/>
      </c>
      <c r="I238" s="8"/>
      <c r="J238" s="8"/>
      <c r="K238" s="17" t="str">
        <f aca="false">IF($E238="","",IF($E238&lt;1,ROUND($E238*1440,0),INT($E238/100)*60+MOD($E238,100)))</f>
        <v/>
      </c>
      <c r="L238" s="17" t="str">
        <f aca="false">IF($F238="","",IF($F238&lt;1,ROUND($F238*1440,0),INT($F238/100)*60+MOD($F238,100)))</f>
        <v/>
      </c>
    </row>
    <row r="239" customFormat="false" ht="15" hidden="false" customHeight="true" outlineLevel="0" collapsed="false">
      <c r="A239" s="10"/>
      <c r="B239" s="8"/>
      <c r="C239" s="13" t="str">
        <f aca="false">IF($B239="","",IFERROR(INDEX(직원목록!$B$3:$B$302,MATCH($B239,직원목록!$A$3:$A$302,0)),"미등록사번"))</f>
        <v/>
      </c>
      <c r="D239" s="13" t="str">
        <f aca="false">IF($B239="","",IFERROR(INDEX(직원목록!$C$3:$C$302,MATCH($B239,직원목록!$A$3:$A$302,0)),""))</f>
        <v/>
      </c>
      <c r="E239" s="14"/>
      <c r="F239" s="14"/>
      <c r="G239" s="15"/>
      <c r="H239" s="16" t="str">
        <f aca="false">IF(OR($K239="",$L239=""),"",ROUND(MAX(0,($L239-$K239)-IF($G239="",0,$G239))/60,2))</f>
        <v/>
      </c>
      <c r="I239" s="8"/>
      <c r="J239" s="8"/>
      <c r="K239" s="17" t="str">
        <f aca="false">IF($E239="","",IF($E239&lt;1,ROUND($E239*1440,0),INT($E239/100)*60+MOD($E239,100)))</f>
        <v/>
      </c>
      <c r="L239" s="17" t="str">
        <f aca="false">IF($F239="","",IF($F239&lt;1,ROUND($F239*1440,0),INT($F239/100)*60+MOD($F239,100)))</f>
        <v/>
      </c>
    </row>
    <row r="240" customFormat="false" ht="15" hidden="false" customHeight="true" outlineLevel="0" collapsed="false">
      <c r="A240" s="10"/>
      <c r="B240" s="8"/>
      <c r="C240" s="13" t="str">
        <f aca="false">IF($B240="","",IFERROR(INDEX(직원목록!$B$3:$B$302,MATCH($B240,직원목록!$A$3:$A$302,0)),"미등록사번"))</f>
        <v/>
      </c>
      <c r="D240" s="13" t="str">
        <f aca="false">IF($B240="","",IFERROR(INDEX(직원목록!$C$3:$C$302,MATCH($B240,직원목록!$A$3:$A$302,0)),""))</f>
        <v/>
      </c>
      <c r="E240" s="14"/>
      <c r="F240" s="14"/>
      <c r="G240" s="15"/>
      <c r="H240" s="16" t="str">
        <f aca="false">IF(OR($K240="",$L240=""),"",ROUND(MAX(0,($L240-$K240)-IF($G240="",0,$G240))/60,2))</f>
        <v/>
      </c>
      <c r="I240" s="8"/>
      <c r="J240" s="8"/>
      <c r="K240" s="17" t="str">
        <f aca="false">IF($E240="","",IF($E240&lt;1,ROUND($E240*1440,0),INT($E240/100)*60+MOD($E240,100)))</f>
        <v/>
      </c>
      <c r="L240" s="17" t="str">
        <f aca="false">IF($F240="","",IF($F240&lt;1,ROUND($F240*1440,0),INT($F240/100)*60+MOD($F240,100)))</f>
        <v/>
      </c>
    </row>
    <row r="241" customFormat="false" ht="15" hidden="false" customHeight="true" outlineLevel="0" collapsed="false">
      <c r="A241" s="10"/>
      <c r="B241" s="8"/>
      <c r="C241" s="13" t="str">
        <f aca="false">IF($B241="","",IFERROR(INDEX(직원목록!$B$3:$B$302,MATCH($B241,직원목록!$A$3:$A$302,0)),"미등록사번"))</f>
        <v/>
      </c>
      <c r="D241" s="13" t="str">
        <f aca="false">IF($B241="","",IFERROR(INDEX(직원목록!$C$3:$C$302,MATCH($B241,직원목록!$A$3:$A$302,0)),""))</f>
        <v/>
      </c>
      <c r="E241" s="14"/>
      <c r="F241" s="14"/>
      <c r="G241" s="15"/>
      <c r="H241" s="16" t="str">
        <f aca="false">IF(OR($K241="",$L241=""),"",ROUND(MAX(0,($L241-$K241)-IF($G241="",0,$G241))/60,2))</f>
        <v/>
      </c>
      <c r="I241" s="8"/>
      <c r="J241" s="8"/>
      <c r="K241" s="17" t="str">
        <f aca="false">IF($E241="","",IF($E241&lt;1,ROUND($E241*1440,0),INT($E241/100)*60+MOD($E241,100)))</f>
        <v/>
      </c>
      <c r="L241" s="17" t="str">
        <f aca="false">IF($F241="","",IF($F241&lt;1,ROUND($F241*1440,0),INT($F241/100)*60+MOD($F241,100)))</f>
        <v/>
      </c>
    </row>
    <row r="242" customFormat="false" ht="15" hidden="false" customHeight="true" outlineLevel="0" collapsed="false">
      <c r="A242" s="10"/>
      <c r="B242" s="8"/>
      <c r="C242" s="13" t="str">
        <f aca="false">IF($B242="","",IFERROR(INDEX(직원목록!$B$3:$B$302,MATCH($B242,직원목록!$A$3:$A$302,0)),"미등록사번"))</f>
        <v/>
      </c>
      <c r="D242" s="13" t="str">
        <f aca="false">IF($B242="","",IFERROR(INDEX(직원목록!$C$3:$C$302,MATCH($B242,직원목록!$A$3:$A$302,0)),""))</f>
        <v/>
      </c>
      <c r="E242" s="14"/>
      <c r="F242" s="14"/>
      <c r="G242" s="15"/>
      <c r="H242" s="16" t="str">
        <f aca="false">IF(OR($K242="",$L242=""),"",ROUND(MAX(0,($L242-$K242)-IF($G242="",0,$G242))/60,2))</f>
        <v/>
      </c>
      <c r="I242" s="8"/>
      <c r="J242" s="8"/>
      <c r="K242" s="17" t="str">
        <f aca="false">IF($E242="","",IF($E242&lt;1,ROUND($E242*1440,0),INT($E242/100)*60+MOD($E242,100)))</f>
        <v/>
      </c>
      <c r="L242" s="17" t="str">
        <f aca="false">IF($F242="","",IF($F242&lt;1,ROUND($F242*1440,0),INT($F242/100)*60+MOD($F242,100)))</f>
        <v/>
      </c>
    </row>
    <row r="243" customFormat="false" ht="15" hidden="false" customHeight="true" outlineLevel="0" collapsed="false">
      <c r="A243" s="10"/>
      <c r="B243" s="8"/>
      <c r="C243" s="13" t="str">
        <f aca="false">IF($B243="","",IFERROR(INDEX(직원목록!$B$3:$B$302,MATCH($B243,직원목록!$A$3:$A$302,0)),"미등록사번"))</f>
        <v/>
      </c>
      <c r="D243" s="13" t="str">
        <f aca="false">IF($B243="","",IFERROR(INDEX(직원목록!$C$3:$C$302,MATCH($B243,직원목록!$A$3:$A$302,0)),""))</f>
        <v/>
      </c>
      <c r="E243" s="14"/>
      <c r="F243" s="14"/>
      <c r="G243" s="15"/>
      <c r="H243" s="16" t="str">
        <f aca="false">IF(OR($K243="",$L243=""),"",ROUND(MAX(0,($L243-$K243)-IF($G243="",0,$G243))/60,2))</f>
        <v/>
      </c>
      <c r="I243" s="8"/>
      <c r="J243" s="8"/>
      <c r="K243" s="17" t="str">
        <f aca="false">IF($E243="","",IF($E243&lt;1,ROUND($E243*1440,0),INT($E243/100)*60+MOD($E243,100)))</f>
        <v/>
      </c>
      <c r="L243" s="17" t="str">
        <f aca="false">IF($F243="","",IF($F243&lt;1,ROUND($F243*1440,0),INT($F243/100)*60+MOD($F243,100)))</f>
        <v/>
      </c>
    </row>
    <row r="244" customFormat="false" ht="15" hidden="false" customHeight="true" outlineLevel="0" collapsed="false">
      <c r="A244" s="10"/>
      <c r="B244" s="8"/>
      <c r="C244" s="13" t="str">
        <f aca="false">IF($B244="","",IFERROR(INDEX(직원목록!$B$3:$B$302,MATCH($B244,직원목록!$A$3:$A$302,0)),"미등록사번"))</f>
        <v/>
      </c>
      <c r="D244" s="13" t="str">
        <f aca="false">IF($B244="","",IFERROR(INDEX(직원목록!$C$3:$C$302,MATCH($B244,직원목록!$A$3:$A$302,0)),""))</f>
        <v/>
      </c>
      <c r="E244" s="14"/>
      <c r="F244" s="14"/>
      <c r="G244" s="15"/>
      <c r="H244" s="16" t="str">
        <f aca="false">IF(OR($K244="",$L244=""),"",ROUND(MAX(0,($L244-$K244)-IF($G244="",0,$G244))/60,2))</f>
        <v/>
      </c>
      <c r="I244" s="8"/>
      <c r="J244" s="8"/>
      <c r="K244" s="17" t="str">
        <f aca="false">IF($E244="","",IF($E244&lt;1,ROUND($E244*1440,0),INT($E244/100)*60+MOD($E244,100)))</f>
        <v/>
      </c>
      <c r="L244" s="17" t="str">
        <f aca="false">IF($F244="","",IF($F244&lt;1,ROUND($F244*1440,0),INT($F244/100)*60+MOD($F244,100)))</f>
        <v/>
      </c>
    </row>
    <row r="245" customFormat="false" ht="15" hidden="false" customHeight="true" outlineLevel="0" collapsed="false">
      <c r="A245" s="10"/>
      <c r="B245" s="8"/>
      <c r="C245" s="13" t="str">
        <f aca="false">IF($B245="","",IFERROR(INDEX(직원목록!$B$3:$B$302,MATCH($B245,직원목록!$A$3:$A$302,0)),"미등록사번"))</f>
        <v/>
      </c>
      <c r="D245" s="13" t="str">
        <f aca="false">IF($B245="","",IFERROR(INDEX(직원목록!$C$3:$C$302,MATCH($B245,직원목록!$A$3:$A$302,0)),""))</f>
        <v/>
      </c>
      <c r="E245" s="14"/>
      <c r="F245" s="14"/>
      <c r="G245" s="15"/>
      <c r="H245" s="16" t="str">
        <f aca="false">IF(OR($K245="",$L245=""),"",ROUND(MAX(0,($L245-$K245)-IF($G245="",0,$G245))/60,2))</f>
        <v/>
      </c>
      <c r="I245" s="8"/>
      <c r="J245" s="8"/>
      <c r="K245" s="17" t="str">
        <f aca="false">IF($E245="","",IF($E245&lt;1,ROUND($E245*1440,0),INT($E245/100)*60+MOD($E245,100)))</f>
        <v/>
      </c>
      <c r="L245" s="17" t="str">
        <f aca="false">IF($F245="","",IF($F245&lt;1,ROUND($F245*1440,0),INT($F245/100)*60+MOD($F245,100)))</f>
        <v/>
      </c>
    </row>
    <row r="246" customFormat="false" ht="15" hidden="false" customHeight="true" outlineLevel="0" collapsed="false">
      <c r="A246" s="10"/>
      <c r="B246" s="8"/>
      <c r="C246" s="13" t="str">
        <f aca="false">IF($B246="","",IFERROR(INDEX(직원목록!$B$3:$B$302,MATCH($B246,직원목록!$A$3:$A$302,0)),"미등록사번"))</f>
        <v/>
      </c>
      <c r="D246" s="13" t="str">
        <f aca="false">IF($B246="","",IFERROR(INDEX(직원목록!$C$3:$C$302,MATCH($B246,직원목록!$A$3:$A$302,0)),""))</f>
        <v/>
      </c>
      <c r="E246" s="14"/>
      <c r="F246" s="14"/>
      <c r="G246" s="15"/>
      <c r="H246" s="16" t="str">
        <f aca="false">IF(OR($K246="",$L246=""),"",ROUND(MAX(0,($L246-$K246)-IF($G246="",0,$G246))/60,2))</f>
        <v/>
      </c>
      <c r="I246" s="8"/>
      <c r="J246" s="8"/>
      <c r="K246" s="17" t="str">
        <f aca="false">IF($E246="","",IF($E246&lt;1,ROUND($E246*1440,0),INT($E246/100)*60+MOD($E246,100)))</f>
        <v/>
      </c>
      <c r="L246" s="17" t="str">
        <f aca="false">IF($F246="","",IF($F246&lt;1,ROUND($F246*1440,0),INT($F246/100)*60+MOD($F246,100)))</f>
        <v/>
      </c>
    </row>
    <row r="247" customFormat="false" ht="15" hidden="false" customHeight="true" outlineLevel="0" collapsed="false">
      <c r="A247" s="10"/>
      <c r="B247" s="8"/>
      <c r="C247" s="13" t="str">
        <f aca="false">IF($B247="","",IFERROR(INDEX(직원목록!$B$3:$B$302,MATCH($B247,직원목록!$A$3:$A$302,0)),"미등록사번"))</f>
        <v/>
      </c>
      <c r="D247" s="13" t="str">
        <f aca="false">IF($B247="","",IFERROR(INDEX(직원목록!$C$3:$C$302,MATCH($B247,직원목록!$A$3:$A$302,0)),""))</f>
        <v/>
      </c>
      <c r="E247" s="14"/>
      <c r="F247" s="14"/>
      <c r="G247" s="15"/>
      <c r="H247" s="16" t="str">
        <f aca="false">IF(OR($K247="",$L247=""),"",ROUND(MAX(0,($L247-$K247)-IF($G247="",0,$G247))/60,2))</f>
        <v/>
      </c>
      <c r="I247" s="8"/>
      <c r="J247" s="8"/>
      <c r="K247" s="17" t="str">
        <f aca="false">IF($E247="","",IF($E247&lt;1,ROUND($E247*1440,0),INT($E247/100)*60+MOD($E247,100)))</f>
        <v/>
      </c>
      <c r="L247" s="17" t="str">
        <f aca="false">IF($F247="","",IF($F247&lt;1,ROUND($F247*1440,0),INT($F247/100)*60+MOD($F247,100)))</f>
        <v/>
      </c>
    </row>
    <row r="248" customFormat="false" ht="15" hidden="false" customHeight="true" outlineLevel="0" collapsed="false">
      <c r="A248" s="10"/>
      <c r="B248" s="8"/>
      <c r="C248" s="13" t="str">
        <f aca="false">IF($B248="","",IFERROR(INDEX(직원목록!$B$3:$B$302,MATCH($B248,직원목록!$A$3:$A$302,0)),"미등록사번"))</f>
        <v/>
      </c>
      <c r="D248" s="13" t="str">
        <f aca="false">IF($B248="","",IFERROR(INDEX(직원목록!$C$3:$C$302,MATCH($B248,직원목록!$A$3:$A$302,0)),""))</f>
        <v/>
      </c>
      <c r="E248" s="14"/>
      <c r="F248" s="14"/>
      <c r="G248" s="15"/>
      <c r="H248" s="16" t="str">
        <f aca="false">IF(OR($K248="",$L248=""),"",ROUND(MAX(0,($L248-$K248)-IF($G248="",0,$G248))/60,2))</f>
        <v/>
      </c>
      <c r="I248" s="8"/>
      <c r="J248" s="8"/>
      <c r="K248" s="17" t="str">
        <f aca="false">IF($E248="","",IF($E248&lt;1,ROUND($E248*1440,0),INT($E248/100)*60+MOD($E248,100)))</f>
        <v/>
      </c>
      <c r="L248" s="17" t="str">
        <f aca="false">IF($F248="","",IF($F248&lt;1,ROUND($F248*1440,0),INT($F248/100)*60+MOD($F248,100)))</f>
        <v/>
      </c>
    </row>
    <row r="249" customFormat="false" ht="15" hidden="false" customHeight="true" outlineLevel="0" collapsed="false">
      <c r="A249" s="10"/>
      <c r="B249" s="8"/>
      <c r="C249" s="13" t="str">
        <f aca="false">IF($B249="","",IFERROR(INDEX(직원목록!$B$3:$B$302,MATCH($B249,직원목록!$A$3:$A$302,0)),"미등록사번"))</f>
        <v/>
      </c>
      <c r="D249" s="13" t="str">
        <f aca="false">IF($B249="","",IFERROR(INDEX(직원목록!$C$3:$C$302,MATCH($B249,직원목록!$A$3:$A$302,0)),""))</f>
        <v/>
      </c>
      <c r="E249" s="14"/>
      <c r="F249" s="14"/>
      <c r="G249" s="15"/>
      <c r="H249" s="16" t="str">
        <f aca="false">IF(OR($K249="",$L249=""),"",ROUND(MAX(0,($L249-$K249)-IF($G249="",0,$G249))/60,2))</f>
        <v/>
      </c>
      <c r="I249" s="8"/>
      <c r="J249" s="8"/>
      <c r="K249" s="17" t="str">
        <f aca="false">IF($E249="","",IF($E249&lt;1,ROUND($E249*1440,0),INT($E249/100)*60+MOD($E249,100)))</f>
        <v/>
      </c>
      <c r="L249" s="17" t="str">
        <f aca="false">IF($F249="","",IF($F249&lt;1,ROUND($F249*1440,0),INT($F249/100)*60+MOD($F249,100)))</f>
        <v/>
      </c>
    </row>
    <row r="250" customFormat="false" ht="15" hidden="false" customHeight="true" outlineLevel="0" collapsed="false">
      <c r="A250" s="10"/>
      <c r="B250" s="8"/>
      <c r="C250" s="13" t="str">
        <f aca="false">IF($B250="","",IFERROR(INDEX(직원목록!$B$3:$B$302,MATCH($B250,직원목록!$A$3:$A$302,0)),"미등록사번"))</f>
        <v/>
      </c>
      <c r="D250" s="13" t="str">
        <f aca="false">IF($B250="","",IFERROR(INDEX(직원목록!$C$3:$C$302,MATCH($B250,직원목록!$A$3:$A$302,0)),""))</f>
        <v/>
      </c>
      <c r="E250" s="14"/>
      <c r="F250" s="14"/>
      <c r="G250" s="15"/>
      <c r="H250" s="16" t="str">
        <f aca="false">IF(OR($K250="",$L250=""),"",ROUND(MAX(0,($L250-$K250)-IF($G250="",0,$G250))/60,2))</f>
        <v/>
      </c>
      <c r="I250" s="8"/>
      <c r="J250" s="8"/>
      <c r="K250" s="17" t="str">
        <f aca="false">IF($E250="","",IF($E250&lt;1,ROUND($E250*1440,0),INT($E250/100)*60+MOD($E250,100)))</f>
        <v/>
      </c>
      <c r="L250" s="17" t="str">
        <f aca="false">IF($F250="","",IF($F250&lt;1,ROUND($F250*1440,0),INT($F250/100)*60+MOD($F250,100)))</f>
        <v/>
      </c>
    </row>
    <row r="251" customFormat="false" ht="15" hidden="false" customHeight="true" outlineLevel="0" collapsed="false">
      <c r="A251" s="10"/>
      <c r="B251" s="8"/>
      <c r="C251" s="13" t="str">
        <f aca="false">IF($B251="","",IFERROR(INDEX(직원목록!$B$3:$B$302,MATCH($B251,직원목록!$A$3:$A$302,0)),"미등록사번"))</f>
        <v/>
      </c>
      <c r="D251" s="13" t="str">
        <f aca="false">IF($B251="","",IFERROR(INDEX(직원목록!$C$3:$C$302,MATCH($B251,직원목록!$A$3:$A$302,0)),""))</f>
        <v/>
      </c>
      <c r="E251" s="14"/>
      <c r="F251" s="14"/>
      <c r="G251" s="15"/>
      <c r="H251" s="16" t="str">
        <f aca="false">IF(OR($K251="",$L251=""),"",ROUND(MAX(0,($L251-$K251)-IF($G251="",0,$G251))/60,2))</f>
        <v/>
      </c>
      <c r="I251" s="8"/>
      <c r="J251" s="8"/>
      <c r="K251" s="17" t="str">
        <f aca="false">IF($E251="","",IF($E251&lt;1,ROUND($E251*1440,0),INT($E251/100)*60+MOD($E251,100)))</f>
        <v/>
      </c>
      <c r="L251" s="17" t="str">
        <f aca="false">IF($F251="","",IF($F251&lt;1,ROUND($F251*1440,0),INT($F251/100)*60+MOD($F251,100)))</f>
        <v/>
      </c>
    </row>
    <row r="252" customFormat="false" ht="15" hidden="false" customHeight="true" outlineLevel="0" collapsed="false">
      <c r="A252" s="10"/>
      <c r="B252" s="8"/>
      <c r="C252" s="13" t="str">
        <f aca="false">IF($B252="","",IFERROR(INDEX(직원목록!$B$3:$B$302,MATCH($B252,직원목록!$A$3:$A$302,0)),"미등록사번"))</f>
        <v/>
      </c>
      <c r="D252" s="13" t="str">
        <f aca="false">IF($B252="","",IFERROR(INDEX(직원목록!$C$3:$C$302,MATCH($B252,직원목록!$A$3:$A$302,0)),""))</f>
        <v/>
      </c>
      <c r="E252" s="14"/>
      <c r="F252" s="14"/>
      <c r="G252" s="15"/>
      <c r="H252" s="16" t="str">
        <f aca="false">IF(OR($K252="",$L252=""),"",ROUND(MAX(0,($L252-$K252)-IF($G252="",0,$G252))/60,2))</f>
        <v/>
      </c>
      <c r="I252" s="8"/>
      <c r="J252" s="8"/>
      <c r="K252" s="17" t="str">
        <f aca="false">IF($E252="","",IF($E252&lt;1,ROUND($E252*1440,0),INT($E252/100)*60+MOD($E252,100)))</f>
        <v/>
      </c>
      <c r="L252" s="17" t="str">
        <f aca="false">IF($F252="","",IF($F252&lt;1,ROUND($F252*1440,0),INT($F252/100)*60+MOD($F252,100)))</f>
        <v/>
      </c>
    </row>
    <row r="253" customFormat="false" ht="15" hidden="false" customHeight="true" outlineLevel="0" collapsed="false">
      <c r="A253" s="10"/>
      <c r="B253" s="8"/>
      <c r="C253" s="13" t="str">
        <f aca="false">IF($B253="","",IFERROR(INDEX(직원목록!$B$3:$B$302,MATCH($B253,직원목록!$A$3:$A$302,0)),"미등록사번"))</f>
        <v/>
      </c>
      <c r="D253" s="13" t="str">
        <f aca="false">IF($B253="","",IFERROR(INDEX(직원목록!$C$3:$C$302,MATCH($B253,직원목록!$A$3:$A$302,0)),""))</f>
        <v/>
      </c>
      <c r="E253" s="14"/>
      <c r="F253" s="14"/>
      <c r="G253" s="15"/>
      <c r="H253" s="16" t="str">
        <f aca="false">IF(OR($K253="",$L253=""),"",ROUND(MAX(0,($L253-$K253)-IF($G253="",0,$G253))/60,2))</f>
        <v/>
      </c>
      <c r="I253" s="8"/>
      <c r="J253" s="8"/>
      <c r="K253" s="17" t="str">
        <f aca="false">IF($E253="","",IF($E253&lt;1,ROUND($E253*1440,0),INT($E253/100)*60+MOD($E253,100)))</f>
        <v/>
      </c>
      <c r="L253" s="17" t="str">
        <f aca="false">IF($F253="","",IF($F253&lt;1,ROUND($F253*1440,0),INT($F253/100)*60+MOD($F253,100)))</f>
        <v/>
      </c>
    </row>
    <row r="254" customFormat="false" ht="15" hidden="false" customHeight="true" outlineLevel="0" collapsed="false">
      <c r="A254" s="10"/>
      <c r="B254" s="8"/>
      <c r="C254" s="13" t="str">
        <f aca="false">IF($B254="","",IFERROR(INDEX(직원목록!$B$3:$B$302,MATCH($B254,직원목록!$A$3:$A$302,0)),"미등록사번"))</f>
        <v/>
      </c>
      <c r="D254" s="13" t="str">
        <f aca="false">IF($B254="","",IFERROR(INDEX(직원목록!$C$3:$C$302,MATCH($B254,직원목록!$A$3:$A$302,0)),""))</f>
        <v/>
      </c>
      <c r="E254" s="14"/>
      <c r="F254" s="14"/>
      <c r="G254" s="15"/>
      <c r="H254" s="16" t="str">
        <f aca="false">IF(OR($K254="",$L254=""),"",ROUND(MAX(0,($L254-$K254)-IF($G254="",0,$G254))/60,2))</f>
        <v/>
      </c>
      <c r="I254" s="8"/>
      <c r="J254" s="8"/>
      <c r="K254" s="17" t="str">
        <f aca="false">IF($E254="","",IF($E254&lt;1,ROUND($E254*1440,0),INT($E254/100)*60+MOD($E254,100)))</f>
        <v/>
      </c>
      <c r="L254" s="17" t="str">
        <f aca="false">IF($F254="","",IF($F254&lt;1,ROUND($F254*1440,0),INT($F254/100)*60+MOD($F254,100)))</f>
        <v/>
      </c>
    </row>
    <row r="255" customFormat="false" ht="15" hidden="false" customHeight="true" outlineLevel="0" collapsed="false">
      <c r="A255" s="10"/>
      <c r="B255" s="8"/>
      <c r="C255" s="13" t="str">
        <f aca="false">IF($B255="","",IFERROR(INDEX(직원목록!$B$3:$B$302,MATCH($B255,직원목록!$A$3:$A$302,0)),"미등록사번"))</f>
        <v/>
      </c>
      <c r="D255" s="13" t="str">
        <f aca="false">IF($B255="","",IFERROR(INDEX(직원목록!$C$3:$C$302,MATCH($B255,직원목록!$A$3:$A$302,0)),""))</f>
        <v/>
      </c>
      <c r="E255" s="14"/>
      <c r="F255" s="14"/>
      <c r="G255" s="15"/>
      <c r="H255" s="16" t="str">
        <f aca="false">IF(OR($K255="",$L255=""),"",ROUND(MAX(0,($L255-$K255)-IF($G255="",0,$G255))/60,2))</f>
        <v/>
      </c>
      <c r="I255" s="8"/>
      <c r="J255" s="8"/>
      <c r="K255" s="17" t="str">
        <f aca="false">IF($E255="","",IF($E255&lt;1,ROUND($E255*1440,0),INT($E255/100)*60+MOD($E255,100)))</f>
        <v/>
      </c>
      <c r="L255" s="17" t="str">
        <f aca="false">IF($F255="","",IF($F255&lt;1,ROUND($F255*1440,0),INT($F255/100)*60+MOD($F255,100)))</f>
        <v/>
      </c>
    </row>
    <row r="256" customFormat="false" ht="15" hidden="false" customHeight="true" outlineLevel="0" collapsed="false">
      <c r="A256" s="10"/>
      <c r="B256" s="8"/>
      <c r="C256" s="13" t="str">
        <f aca="false">IF($B256="","",IFERROR(INDEX(직원목록!$B$3:$B$302,MATCH($B256,직원목록!$A$3:$A$302,0)),"미등록사번"))</f>
        <v/>
      </c>
      <c r="D256" s="13" t="str">
        <f aca="false">IF($B256="","",IFERROR(INDEX(직원목록!$C$3:$C$302,MATCH($B256,직원목록!$A$3:$A$302,0)),""))</f>
        <v/>
      </c>
      <c r="E256" s="14"/>
      <c r="F256" s="14"/>
      <c r="G256" s="15"/>
      <c r="H256" s="16" t="str">
        <f aca="false">IF(OR($K256="",$L256=""),"",ROUND(MAX(0,($L256-$K256)-IF($G256="",0,$G256))/60,2))</f>
        <v/>
      </c>
      <c r="I256" s="8"/>
      <c r="J256" s="8"/>
      <c r="K256" s="17" t="str">
        <f aca="false">IF($E256="","",IF($E256&lt;1,ROUND($E256*1440,0),INT($E256/100)*60+MOD($E256,100)))</f>
        <v/>
      </c>
      <c r="L256" s="17" t="str">
        <f aca="false">IF($F256="","",IF($F256&lt;1,ROUND($F256*1440,0),INT($F256/100)*60+MOD($F256,100)))</f>
        <v/>
      </c>
    </row>
    <row r="257" customFormat="false" ht="15" hidden="false" customHeight="true" outlineLevel="0" collapsed="false">
      <c r="A257" s="10"/>
      <c r="B257" s="8"/>
      <c r="C257" s="13" t="str">
        <f aca="false">IF($B257="","",IFERROR(INDEX(직원목록!$B$3:$B$302,MATCH($B257,직원목록!$A$3:$A$302,0)),"미등록사번"))</f>
        <v/>
      </c>
      <c r="D257" s="13" t="str">
        <f aca="false">IF($B257="","",IFERROR(INDEX(직원목록!$C$3:$C$302,MATCH($B257,직원목록!$A$3:$A$302,0)),""))</f>
        <v/>
      </c>
      <c r="E257" s="14"/>
      <c r="F257" s="14"/>
      <c r="G257" s="15"/>
      <c r="H257" s="16" t="str">
        <f aca="false">IF(OR($K257="",$L257=""),"",ROUND(MAX(0,($L257-$K257)-IF($G257="",0,$G257))/60,2))</f>
        <v/>
      </c>
      <c r="I257" s="8"/>
      <c r="J257" s="8"/>
      <c r="K257" s="17" t="str">
        <f aca="false">IF($E257="","",IF($E257&lt;1,ROUND($E257*1440,0),INT($E257/100)*60+MOD($E257,100)))</f>
        <v/>
      </c>
      <c r="L257" s="17" t="str">
        <f aca="false">IF($F257="","",IF($F257&lt;1,ROUND($F257*1440,0),INT($F257/100)*60+MOD($F257,100)))</f>
        <v/>
      </c>
    </row>
    <row r="258" customFormat="false" ht="15" hidden="false" customHeight="true" outlineLevel="0" collapsed="false">
      <c r="A258" s="10"/>
      <c r="B258" s="8"/>
      <c r="C258" s="13" t="str">
        <f aca="false">IF($B258="","",IFERROR(INDEX(직원목록!$B$3:$B$302,MATCH($B258,직원목록!$A$3:$A$302,0)),"미등록사번"))</f>
        <v/>
      </c>
      <c r="D258" s="13" t="str">
        <f aca="false">IF($B258="","",IFERROR(INDEX(직원목록!$C$3:$C$302,MATCH($B258,직원목록!$A$3:$A$302,0)),""))</f>
        <v/>
      </c>
      <c r="E258" s="14"/>
      <c r="F258" s="14"/>
      <c r="G258" s="15"/>
      <c r="H258" s="16" t="str">
        <f aca="false">IF(OR($K258="",$L258=""),"",ROUND(MAX(0,($L258-$K258)-IF($G258="",0,$G258))/60,2))</f>
        <v/>
      </c>
      <c r="I258" s="8"/>
      <c r="J258" s="8"/>
      <c r="K258" s="17" t="str">
        <f aca="false">IF($E258="","",IF($E258&lt;1,ROUND($E258*1440,0),INT($E258/100)*60+MOD($E258,100)))</f>
        <v/>
      </c>
      <c r="L258" s="17" t="str">
        <f aca="false">IF($F258="","",IF($F258&lt;1,ROUND($F258*1440,0),INT($F258/100)*60+MOD($F258,100)))</f>
        <v/>
      </c>
    </row>
    <row r="259" customFormat="false" ht="15" hidden="false" customHeight="true" outlineLevel="0" collapsed="false">
      <c r="A259" s="10"/>
      <c r="B259" s="8"/>
      <c r="C259" s="13" t="str">
        <f aca="false">IF($B259="","",IFERROR(INDEX(직원목록!$B$3:$B$302,MATCH($B259,직원목록!$A$3:$A$302,0)),"미등록사번"))</f>
        <v/>
      </c>
      <c r="D259" s="13" t="str">
        <f aca="false">IF($B259="","",IFERROR(INDEX(직원목록!$C$3:$C$302,MATCH($B259,직원목록!$A$3:$A$302,0)),""))</f>
        <v/>
      </c>
      <c r="E259" s="14"/>
      <c r="F259" s="14"/>
      <c r="G259" s="15"/>
      <c r="H259" s="16" t="str">
        <f aca="false">IF(OR($K259="",$L259=""),"",ROUND(MAX(0,($L259-$K259)-IF($G259="",0,$G259))/60,2))</f>
        <v/>
      </c>
      <c r="I259" s="8"/>
      <c r="J259" s="8"/>
      <c r="K259" s="17" t="str">
        <f aca="false">IF($E259="","",IF($E259&lt;1,ROUND($E259*1440,0),INT($E259/100)*60+MOD($E259,100)))</f>
        <v/>
      </c>
      <c r="L259" s="17" t="str">
        <f aca="false">IF($F259="","",IF($F259&lt;1,ROUND($F259*1440,0),INT($F259/100)*60+MOD($F259,100)))</f>
        <v/>
      </c>
    </row>
    <row r="260" customFormat="false" ht="15" hidden="false" customHeight="true" outlineLevel="0" collapsed="false">
      <c r="A260" s="10"/>
      <c r="B260" s="8"/>
      <c r="C260" s="13" t="str">
        <f aca="false">IF($B260="","",IFERROR(INDEX(직원목록!$B$3:$B$302,MATCH($B260,직원목록!$A$3:$A$302,0)),"미등록사번"))</f>
        <v/>
      </c>
      <c r="D260" s="13" t="str">
        <f aca="false">IF($B260="","",IFERROR(INDEX(직원목록!$C$3:$C$302,MATCH($B260,직원목록!$A$3:$A$302,0)),""))</f>
        <v/>
      </c>
      <c r="E260" s="14"/>
      <c r="F260" s="14"/>
      <c r="G260" s="15"/>
      <c r="H260" s="16" t="str">
        <f aca="false">IF(OR($K260="",$L260=""),"",ROUND(MAX(0,($L260-$K260)-IF($G260="",0,$G260))/60,2))</f>
        <v/>
      </c>
      <c r="I260" s="8"/>
      <c r="J260" s="8"/>
      <c r="K260" s="17" t="str">
        <f aca="false">IF($E260="","",IF($E260&lt;1,ROUND($E260*1440,0),INT($E260/100)*60+MOD($E260,100)))</f>
        <v/>
      </c>
      <c r="L260" s="17" t="str">
        <f aca="false">IF($F260="","",IF($F260&lt;1,ROUND($F260*1440,0),INT($F260/100)*60+MOD($F260,100)))</f>
        <v/>
      </c>
    </row>
    <row r="261" customFormat="false" ht="15" hidden="false" customHeight="true" outlineLevel="0" collapsed="false">
      <c r="A261" s="10"/>
      <c r="B261" s="8"/>
      <c r="C261" s="13" t="str">
        <f aca="false">IF($B261="","",IFERROR(INDEX(직원목록!$B$3:$B$302,MATCH($B261,직원목록!$A$3:$A$302,0)),"미등록사번"))</f>
        <v/>
      </c>
      <c r="D261" s="13" t="str">
        <f aca="false">IF($B261="","",IFERROR(INDEX(직원목록!$C$3:$C$302,MATCH($B261,직원목록!$A$3:$A$302,0)),""))</f>
        <v/>
      </c>
      <c r="E261" s="14"/>
      <c r="F261" s="14"/>
      <c r="G261" s="15"/>
      <c r="H261" s="16" t="str">
        <f aca="false">IF(OR($K261="",$L261=""),"",ROUND(MAX(0,($L261-$K261)-IF($G261="",0,$G261))/60,2))</f>
        <v/>
      </c>
      <c r="I261" s="8"/>
      <c r="J261" s="8"/>
      <c r="K261" s="17" t="str">
        <f aca="false">IF($E261="","",IF($E261&lt;1,ROUND($E261*1440,0),INT($E261/100)*60+MOD($E261,100)))</f>
        <v/>
      </c>
      <c r="L261" s="17" t="str">
        <f aca="false">IF($F261="","",IF($F261&lt;1,ROUND($F261*1440,0),INT($F261/100)*60+MOD($F261,100)))</f>
        <v/>
      </c>
    </row>
    <row r="262" customFormat="false" ht="15" hidden="false" customHeight="true" outlineLevel="0" collapsed="false">
      <c r="A262" s="10"/>
      <c r="B262" s="8"/>
      <c r="C262" s="13" t="str">
        <f aca="false">IF($B262="","",IFERROR(INDEX(직원목록!$B$3:$B$302,MATCH($B262,직원목록!$A$3:$A$302,0)),"미등록사번"))</f>
        <v/>
      </c>
      <c r="D262" s="13" t="str">
        <f aca="false">IF($B262="","",IFERROR(INDEX(직원목록!$C$3:$C$302,MATCH($B262,직원목록!$A$3:$A$302,0)),""))</f>
        <v/>
      </c>
      <c r="E262" s="14"/>
      <c r="F262" s="14"/>
      <c r="G262" s="15"/>
      <c r="H262" s="16" t="str">
        <f aca="false">IF(OR($K262="",$L262=""),"",ROUND(MAX(0,($L262-$K262)-IF($G262="",0,$G262))/60,2))</f>
        <v/>
      </c>
      <c r="I262" s="8"/>
      <c r="J262" s="8"/>
      <c r="K262" s="17" t="str">
        <f aca="false">IF($E262="","",IF($E262&lt;1,ROUND($E262*1440,0),INT($E262/100)*60+MOD($E262,100)))</f>
        <v/>
      </c>
      <c r="L262" s="17" t="str">
        <f aca="false">IF($F262="","",IF($F262&lt;1,ROUND($F262*1440,0),INT($F262/100)*60+MOD($F262,100)))</f>
        <v/>
      </c>
    </row>
    <row r="263" customFormat="false" ht="15" hidden="false" customHeight="true" outlineLevel="0" collapsed="false">
      <c r="A263" s="10"/>
      <c r="B263" s="8"/>
      <c r="C263" s="13" t="str">
        <f aca="false">IF($B263="","",IFERROR(INDEX(직원목록!$B$3:$B$302,MATCH($B263,직원목록!$A$3:$A$302,0)),"미등록사번"))</f>
        <v/>
      </c>
      <c r="D263" s="13" t="str">
        <f aca="false">IF($B263="","",IFERROR(INDEX(직원목록!$C$3:$C$302,MATCH($B263,직원목록!$A$3:$A$302,0)),""))</f>
        <v/>
      </c>
      <c r="E263" s="14"/>
      <c r="F263" s="14"/>
      <c r="G263" s="15"/>
      <c r="H263" s="16" t="str">
        <f aca="false">IF(OR($K263="",$L263=""),"",ROUND(MAX(0,($L263-$K263)-IF($G263="",0,$G263))/60,2))</f>
        <v/>
      </c>
      <c r="I263" s="8"/>
      <c r="J263" s="8"/>
      <c r="K263" s="17" t="str">
        <f aca="false">IF($E263="","",IF($E263&lt;1,ROUND($E263*1440,0),INT($E263/100)*60+MOD($E263,100)))</f>
        <v/>
      </c>
      <c r="L263" s="17" t="str">
        <f aca="false">IF($F263="","",IF($F263&lt;1,ROUND($F263*1440,0),INT($F263/100)*60+MOD($F263,100)))</f>
        <v/>
      </c>
    </row>
    <row r="264" customFormat="false" ht="15" hidden="false" customHeight="true" outlineLevel="0" collapsed="false">
      <c r="A264" s="10"/>
      <c r="B264" s="8"/>
      <c r="C264" s="13" t="str">
        <f aca="false">IF($B264="","",IFERROR(INDEX(직원목록!$B$3:$B$302,MATCH($B264,직원목록!$A$3:$A$302,0)),"미등록사번"))</f>
        <v/>
      </c>
      <c r="D264" s="13" t="str">
        <f aca="false">IF($B264="","",IFERROR(INDEX(직원목록!$C$3:$C$302,MATCH($B264,직원목록!$A$3:$A$302,0)),""))</f>
        <v/>
      </c>
      <c r="E264" s="14"/>
      <c r="F264" s="14"/>
      <c r="G264" s="15"/>
      <c r="H264" s="16" t="str">
        <f aca="false">IF(OR($K264="",$L264=""),"",ROUND(MAX(0,($L264-$K264)-IF($G264="",0,$G264))/60,2))</f>
        <v/>
      </c>
      <c r="I264" s="8"/>
      <c r="J264" s="8"/>
      <c r="K264" s="17" t="str">
        <f aca="false">IF($E264="","",IF($E264&lt;1,ROUND($E264*1440,0),INT($E264/100)*60+MOD($E264,100)))</f>
        <v/>
      </c>
      <c r="L264" s="17" t="str">
        <f aca="false">IF($F264="","",IF($F264&lt;1,ROUND($F264*1440,0),INT($F264/100)*60+MOD($F264,100)))</f>
        <v/>
      </c>
    </row>
    <row r="265" customFormat="false" ht="15" hidden="false" customHeight="true" outlineLevel="0" collapsed="false">
      <c r="A265" s="10"/>
      <c r="B265" s="8"/>
      <c r="C265" s="13" t="str">
        <f aca="false">IF($B265="","",IFERROR(INDEX(직원목록!$B$3:$B$302,MATCH($B265,직원목록!$A$3:$A$302,0)),"미등록사번"))</f>
        <v/>
      </c>
      <c r="D265" s="13" t="str">
        <f aca="false">IF($B265="","",IFERROR(INDEX(직원목록!$C$3:$C$302,MATCH($B265,직원목록!$A$3:$A$302,0)),""))</f>
        <v/>
      </c>
      <c r="E265" s="14"/>
      <c r="F265" s="14"/>
      <c r="G265" s="15"/>
      <c r="H265" s="16" t="str">
        <f aca="false">IF(OR($K265="",$L265=""),"",ROUND(MAX(0,($L265-$K265)-IF($G265="",0,$G265))/60,2))</f>
        <v/>
      </c>
      <c r="I265" s="8"/>
      <c r="J265" s="8"/>
      <c r="K265" s="17" t="str">
        <f aca="false">IF($E265="","",IF($E265&lt;1,ROUND($E265*1440,0),INT($E265/100)*60+MOD($E265,100)))</f>
        <v/>
      </c>
      <c r="L265" s="17" t="str">
        <f aca="false">IF($F265="","",IF($F265&lt;1,ROUND($F265*1440,0),INT($F265/100)*60+MOD($F265,100)))</f>
        <v/>
      </c>
    </row>
    <row r="266" customFormat="false" ht="15" hidden="false" customHeight="true" outlineLevel="0" collapsed="false">
      <c r="A266" s="10"/>
      <c r="B266" s="8"/>
      <c r="C266" s="13" t="str">
        <f aca="false">IF($B266="","",IFERROR(INDEX(직원목록!$B$3:$B$302,MATCH($B266,직원목록!$A$3:$A$302,0)),"미등록사번"))</f>
        <v/>
      </c>
      <c r="D266" s="13" t="str">
        <f aca="false">IF($B266="","",IFERROR(INDEX(직원목록!$C$3:$C$302,MATCH($B266,직원목록!$A$3:$A$302,0)),""))</f>
        <v/>
      </c>
      <c r="E266" s="14"/>
      <c r="F266" s="14"/>
      <c r="G266" s="15"/>
      <c r="H266" s="16" t="str">
        <f aca="false">IF(OR($K266="",$L266=""),"",ROUND(MAX(0,($L266-$K266)-IF($G266="",0,$G266))/60,2))</f>
        <v/>
      </c>
      <c r="I266" s="8"/>
      <c r="J266" s="8"/>
      <c r="K266" s="17" t="str">
        <f aca="false">IF($E266="","",IF($E266&lt;1,ROUND($E266*1440,0),INT($E266/100)*60+MOD($E266,100)))</f>
        <v/>
      </c>
      <c r="L266" s="17" t="str">
        <f aca="false">IF($F266="","",IF($F266&lt;1,ROUND($F266*1440,0),INT($F266/100)*60+MOD($F266,100)))</f>
        <v/>
      </c>
    </row>
    <row r="267" customFormat="false" ht="15" hidden="false" customHeight="true" outlineLevel="0" collapsed="false">
      <c r="A267" s="10"/>
      <c r="B267" s="8"/>
      <c r="C267" s="13" t="str">
        <f aca="false">IF($B267="","",IFERROR(INDEX(직원목록!$B$3:$B$302,MATCH($B267,직원목록!$A$3:$A$302,0)),"미등록사번"))</f>
        <v/>
      </c>
      <c r="D267" s="13" t="str">
        <f aca="false">IF($B267="","",IFERROR(INDEX(직원목록!$C$3:$C$302,MATCH($B267,직원목록!$A$3:$A$302,0)),""))</f>
        <v/>
      </c>
      <c r="E267" s="14"/>
      <c r="F267" s="14"/>
      <c r="G267" s="15"/>
      <c r="H267" s="16" t="str">
        <f aca="false">IF(OR($K267="",$L267=""),"",ROUND(MAX(0,($L267-$K267)-IF($G267="",0,$G267))/60,2))</f>
        <v/>
      </c>
      <c r="I267" s="8"/>
      <c r="J267" s="8"/>
      <c r="K267" s="17" t="str">
        <f aca="false">IF($E267="","",IF($E267&lt;1,ROUND($E267*1440,0),INT($E267/100)*60+MOD($E267,100)))</f>
        <v/>
      </c>
      <c r="L267" s="17" t="str">
        <f aca="false">IF($F267="","",IF($F267&lt;1,ROUND($F267*1440,0),INT($F267/100)*60+MOD($F267,100)))</f>
        <v/>
      </c>
    </row>
    <row r="268" customFormat="false" ht="15" hidden="false" customHeight="true" outlineLevel="0" collapsed="false">
      <c r="A268" s="10"/>
      <c r="B268" s="8"/>
      <c r="C268" s="13" t="str">
        <f aca="false">IF($B268="","",IFERROR(INDEX(직원목록!$B$3:$B$302,MATCH($B268,직원목록!$A$3:$A$302,0)),"미등록사번"))</f>
        <v/>
      </c>
      <c r="D268" s="13" t="str">
        <f aca="false">IF($B268="","",IFERROR(INDEX(직원목록!$C$3:$C$302,MATCH($B268,직원목록!$A$3:$A$302,0)),""))</f>
        <v/>
      </c>
      <c r="E268" s="14"/>
      <c r="F268" s="14"/>
      <c r="G268" s="15"/>
      <c r="H268" s="16" t="str">
        <f aca="false">IF(OR($K268="",$L268=""),"",ROUND(MAX(0,($L268-$K268)-IF($G268="",0,$G268))/60,2))</f>
        <v/>
      </c>
      <c r="I268" s="8"/>
      <c r="J268" s="8"/>
      <c r="K268" s="17" t="str">
        <f aca="false">IF($E268="","",IF($E268&lt;1,ROUND($E268*1440,0),INT($E268/100)*60+MOD($E268,100)))</f>
        <v/>
      </c>
      <c r="L268" s="17" t="str">
        <f aca="false">IF($F268="","",IF($F268&lt;1,ROUND($F268*1440,0),INT($F268/100)*60+MOD($F268,100)))</f>
        <v/>
      </c>
    </row>
    <row r="269" customFormat="false" ht="15" hidden="false" customHeight="true" outlineLevel="0" collapsed="false">
      <c r="A269" s="10"/>
      <c r="B269" s="8"/>
      <c r="C269" s="13" t="str">
        <f aca="false">IF($B269="","",IFERROR(INDEX(직원목록!$B$3:$B$302,MATCH($B269,직원목록!$A$3:$A$302,0)),"미등록사번"))</f>
        <v/>
      </c>
      <c r="D269" s="13" t="str">
        <f aca="false">IF($B269="","",IFERROR(INDEX(직원목록!$C$3:$C$302,MATCH($B269,직원목록!$A$3:$A$302,0)),""))</f>
        <v/>
      </c>
      <c r="E269" s="14"/>
      <c r="F269" s="14"/>
      <c r="G269" s="15"/>
      <c r="H269" s="16" t="str">
        <f aca="false">IF(OR($K269="",$L269=""),"",ROUND(MAX(0,($L269-$K269)-IF($G269="",0,$G269))/60,2))</f>
        <v/>
      </c>
      <c r="I269" s="8"/>
      <c r="J269" s="8"/>
      <c r="K269" s="17" t="str">
        <f aca="false">IF($E269="","",IF($E269&lt;1,ROUND($E269*1440,0),INT($E269/100)*60+MOD($E269,100)))</f>
        <v/>
      </c>
      <c r="L269" s="17" t="str">
        <f aca="false">IF($F269="","",IF($F269&lt;1,ROUND($F269*1440,0),INT($F269/100)*60+MOD($F269,100)))</f>
        <v/>
      </c>
    </row>
    <row r="270" customFormat="false" ht="15" hidden="false" customHeight="true" outlineLevel="0" collapsed="false">
      <c r="A270" s="10"/>
      <c r="B270" s="8"/>
      <c r="C270" s="13" t="str">
        <f aca="false">IF($B270="","",IFERROR(INDEX(직원목록!$B$3:$B$302,MATCH($B270,직원목록!$A$3:$A$302,0)),"미등록사번"))</f>
        <v/>
      </c>
      <c r="D270" s="13" t="str">
        <f aca="false">IF($B270="","",IFERROR(INDEX(직원목록!$C$3:$C$302,MATCH($B270,직원목록!$A$3:$A$302,0)),""))</f>
        <v/>
      </c>
      <c r="E270" s="14"/>
      <c r="F270" s="14"/>
      <c r="G270" s="15"/>
      <c r="H270" s="16" t="str">
        <f aca="false">IF(OR($K270="",$L270=""),"",ROUND(MAX(0,($L270-$K270)-IF($G270="",0,$G270))/60,2))</f>
        <v/>
      </c>
      <c r="I270" s="8"/>
      <c r="J270" s="8"/>
      <c r="K270" s="17" t="str">
        <f aca="false">IF($E270="","",IF($E270&lt;1,ROUND($E270*1440,0),INT($E270/100)*60+MOD($E270,100)))</f>
        <v/>
      </c>
      <c r="L270" s="17" t="str">
        <f aca="false">IF($F270="","",IF($F270&lt;1,ROUND($F270*1440,0),INT($F270/100)*60+MOD($F270,100)))</f>
        <v/>
      </c>
    </row>
    <row r="271" customFormat="false" ht="15" hidden="false" customHeight="true" outlineLevel="0" collapsed="false">
      <c r="A271" s="10"/>
      <c r="B271" s="8"/>
      <c r="C271" s="13" t="str">
        <f aca="false">IF($B271="","",IFERROR(INDEX(직원목록!$B$3:$B$302,MATCH($B271,직원목록!$A$3:$A$302,0)),"미등록사번"))</f>
        <v/>
      </c>
      <c r="D271" s="13" t="str">
        <f aca="false">IF($B271="","",IFERROR(INDEX(직원목록!$C$3:$C$302,MATCH($B271,직원목록!$A$3:$A$302,0)),""))</f>
        <v/>
      </c>
      <c r="E271" s="14"/>
      <c r="F271" s="14"/>
      <c r="G271" s="15"/>
      <c r="H271" s="16" t="str">
        <f aca="false">IF(OR($K271="",$L271=""),"",ROUND(MAX(0,($L271-$K271)-IF($G271="",0,$G271))/60,2))</f>
        <v/>
      </c>
      <c r="I271" s="8"/>
      <c r="J271" s="8"/>
      <c r="K271" s="17" t="str">
        <f aca="false">IF($E271="","",IF($E271&lt;1,ROUND($E271*1440,0),INT($E271/100)*60+MOD($E271,100)))</f>
        <v/>
      </c>
      <c r="L271" s="17" t="str">
        <f aca="false">IF($F271="","",IF($F271&lt;1,ROUND($F271*1440,0),INT($F271/100)*60+MOD($F271,100)))</f>
        <v/>
      </c>
    </row>
    <row r="272" customFormat="false" ht="15" hidden="false" customHeight="true" outlineLevel="0" collapsed="false">
      <c r="A272" s="10"/>
      <c r="B272" s="8"/>
      <c r="C272" s="13" t="str">
        <f aca="false">IF($B272="","",IFERROR(INDEX(직원목록!$B$3:$B$302,MATCH($B272,직원목록!$A$3:$A$302,0)),"미등록사번"))</f>
        <v/>
      </c>
      <c r="D272" s="13" t="str">
        <f aca="false">IF($B272="","",IFERROR(INDEX(직원목록!$C$3:$C$302,MATCH($B272,직원목록!$A$3:$A$302,0)),""))</f>
        <v/>
      </c>
      <c r="E272" s="14"/>
      <c r="F272" s="14"/>
      <c r="G272" s="15"/>
      <c r="H272" s="16" t="str">
        <f aca="false">IF(OR($K272="",$L272=""),"",ROUND(MAX(0,($L272-$K272)-IF($G272="",0,$G272))/60,2))</f>
        <v/>
      </c>
      <c r="I272" s="8"/>
      <c r="J272" s="8"/>
      <c r="K272" s="17" t="str">
        <f aca="false">IF($E272="","",IF($E272&lt;1,ROUND($E272*1440,0),INT($E272/100)*60+MOD($E272,100)))</f>
        <v/>
      </c>
      <c r="L272" s="17" t="str">
        <f aca="false">IF($F272="","",IF($F272&lt;1,ROUND($F272*1440,0),INT($F272/100)*60+MOD($F272,100)))</f>
        <v/>
      </c>
    </row>
    <row r="273" customFormat="false" ht="15" hidden="false" customHeight="true" outlineLevel="0" collapsed="false">
      <c r="A273" s="10"/>
      <c r="B273" s="8"/>
      <c r="C273" s="13" t="str">
        <f aca="false">IF($B273="","",IFERROR(INDEX(직원목록!$B$3:$B$302,MATCH($B273,직원목록!$A$3:$A$302,0)),"미등록사번"))</f>
        <v/>
      </c>
      <c r="D273" s="13" t="str">
        <f aca="false">IF($B273="","",IFERROR(INDEX(직원목록!$C$3:$C$302,MATCH($B273,직원목록!$A$3:$A$302,0)),""))</f>
        <v/>
      </c>
      <c r="E273" s="14"/>
      <c r="F273" s="14"/>
      <c r="G273" s="15"/>
      <c r="H273" s="16" t="str">
        <f aca="false">IF(OR($K273="",$L273=""),"",ROUND(MAX(0,($L273-$K273)-IF($G273="",0,$G273))/60,2))</f>
        <v/>
      </c>
      <c r="I273" s="8"/>
      <c r="J273" s="8"/>
      <c r="K273" s="17" t="str">
        <f aca="false">IF($E273="","",IF($E273&lt;1,ROUND($E273*1440,0),INT($E273/100)*60+MOD($E273,100)))</f>
        <v/>
      </c>
      <c r="L273" s="17" t="str">
        <f aca="false">IF($F273="","",IF($F273&lt;1,ROUND($F273*1440,0),INT($F273/100)*60+MOD($F273,100)))</f>
        <v/>
      </c>
    </row>
    <row r="274" customFormat="false" ht="15" hidden="false" customHeight="true" outlineLevel="0" collapsed="false">
      <c r="A274" s="10"/>
      <c r="B274" s="8"/>
      <c r="C274" s="13" t="str">
        <f aca="false">IF($B274="","",IFERROR(INDEX(직원목록!$B$3:$B$302,MATCH($B274,직원목록!$A$3:$A$302,0)),"미등록사번"))</f>
        <v/>
      </c>
      <c r="D274" s="13" t="str">
        <f aca="false">IF($B274="","",IFERROR(INDEX(직원목록!$C$3:$C$302,MATCH($B274,직원목록!$A$3:$A$302,0)),""))</f>
        <v/>
      </c>
      <c r="E274" s="14"/>
      <c r="F274" s="14"/>
      <c r="G274" s="15"/>
      <c r="H274" s="16" t="str">
        <f aca="false">IF(OR($K274="",$L274=""),"",ROUND(MAX(0,($L274-$K274)-IF($G274="",0,$G274))/60,2))</f>
        <v/>
      </c>
      <c r="I274" s="8"/>
      <c r="J274" s="8"/>
      <c r="K274" s="17" t="str">
        <f aca="false">IF($E274="","",IF($E274&lt;1,ROUND($E274*1440,0),INT($E274/100)*60+MOD($E274,100)))</f>
        <v/>
      </c>
      <c r="L274" s="17" t="str">
        <f aca="false">IF($F274="","",IF($F274&lt;1,ROUND($F274*1440,0),INT($F274/100)*60+MOD($F274,100)))</f>
        <v/>
      </c>
    </row>
    <row r="275" customFormat="false" ht="15" hidden="false" customHeight="true" outlineLevel="0" collapsed="false">
      <c r="A275" s="10"/>
      <c r="B275" s="8"/>
      <c r="C275" s="13" t="str">
        <f aca="false">IF($B275="","",IFERROR(INDEX(직원목록!$B$3:$B$302,MATCH($B275,직원목록!$A$3:$A$302,0)),"미등록사번"))</f>
        <v/>
      </c>
      <c r="D275" s="13" t="str">
        <f aca="false">IF($B275="","",IFERROR(INDEX(직원목록!$C$3:$C$302,MATCH($B275,직원목록!$A$3:$A$302,0)),""))</f>
        <v/>
      </c>
      <c r="E275" s="14"/>
      <c r="F275" s="14"/>
      <c r="G275" s="15"/>
      <c r="H275" s="16" t="str">
        <f aca="false">IF(OR($K275="",$L275=""),"",ROUND(MAX(0,($L275-$K275)-IF($G275="",0,$G275))/60,2))</f>
        <v/>
      </c>
      <c r="I275" s="8"/>
      <c r="J275" s="8"/>
      <c r="K275" s="17" t="str">
        <f aca="false">IF($E275="","",IF($E275&lt;1,ROUND($E275*1440,0),INT($E275/100)*60+MOD($E275,100)))</f>
        <v/>
      </c>
      <c r="L275" s="17" t="str">
        <f aca="false">IF($F275="","",IF($F275&lt;1,ROUND($F275*1440,0),INT($F275/100)*60+MOD($F275,100)))</f>
        <v/>
      </c>
    </row>
    <row r="276" customFormat="false" ht="15" hidden="false" customHeight="true" outlineLevel="0" collapsed="false">
      <c r="A276" s="10"/>
      <c r="B276" s="8"/>
      <c r="C276" s="13" t="str">
        <f aca="false">IF($B276="","",IFERROR(INDEX(직원목록!$B$3:$B$302,MATCH($B276,직원목록!$A$3:$A$302,0)),"미등록사번"))</f>
        <v/>
      </c>
      <c r="D276" s="13" t="str">
        <f aca="false">IF($B276="","",IFERROR(INDEX(직원목록!$C$3:$C$302,MATCH($B276,직원목록!$A$3:$A$302,0)),""))</f>
        <v/>
      </c>
      <c r="E276" s="14"/>
      <c r="F276" s="14"/>
      <c r="G276" s="15"/>
      <c r="H276" s="16" t="str">
        <f aca="false">IF(OR($K276="",$L276=""),"",ROUND(MAX(0,($L276-$K276)-IF($G276="",0,$G276))/60,2))</f>
        <v/>
      </c>
      <c r="I276" s="8"/>
      <c r="J276" s="8"/>
      <c r="K276" s="17" t="str">
        <f aca="false">IF($E276="","",IF($E276&lt;1,ROUND($E276*1440,0),INT($E276/100)*60+MOD($E276,100)))</f>
        <v/>
      </c>
      <c r="L276" s="17" t="str">
        <f aca="false">IF($F276="","",IF($F276&lt;1,ROUND($F276*1440,0),INT($F276/100)*60+MOD($F276,100)))</f>
        <v/>
      </c>
    </row>
    <row r="277" customFormat="false" ht="15" hidden="false" customHeight="true" outlineLevel="0" collapsed="false">
      <c r="A277" s="10"/>
      <c r="B277" s="8"/>
      <c r="C277" s="13" t="str">
        <f aca="false">IF($B277="","",IFERROR(INDEX(직원목록!$B$3:$B$302,MATCH($B277,직원목록!$A$3:$A$302,0)),"미등록사번"))</f>
        <v/>
      </c>
      <c r="D277" s="13" t="str">
        <f aca="false">IF($B277="","",IFERROR(INDEX(직원목록!$C$3:$C$302,MATCH($B277,직원목록!$A$3:$A$302,0)),""))</f>
        <v/>
      </c>
      <c r="E277" s="14"/>
      <c r="F277" s="14"/>
      <c r="G277" s="15"/>
      <c r="H277" s="16" t="str">
        <f aca="false">IF(OR($K277="",$L277=""),"",ROUND(MAX(0,($L277-$K277)-IF($G277="",0,$G277))/60,2))</f>
        <v/>
      </c>
      <c r="I277" s="8"/>
      <c r="J277" s="8"/>
      <c r="K277" s="17" t="str">
        <f aca="false">IF($E277="","",IF($E277&lt;1,ROUND($E277*1440,0),INT($E277/100)*60+MOD($E277,100)))</f>
        <v/>
      </c>
      <c r="L277" s="17" t="str">
        <f aca="false">IF($F277="","",IF($F277&lt;1,ROUND($F277*1440,0),INT($F277/100)*60+MOD($F277,100)))</f>
        <v/>
      </c>
    </row>
    <row r="278" customFormat="false" ht="15" hidden="false" customHeight="true" outlineLevel="0" collapsed="false">
      <c r="A278" s="10"/>
      <c r="B278" s="8"/>
      <c r="C278" s="13" t="str">
        <f aca="false">IF($B278="","",IFERROR(INDEX(직원목록!$B$3:$B$302,MATCH($B278,직원목록!$A$3:$A$302,0)),"미등록사번"))</f>
        <v/>
      </c>
      <c r="D278" s="13" t="str">
        <f aca="false">IF($B278="","",IFERROR(INDEX(직원목록!$C$3:$C$302,MATCH($B278,직원목록!$A$3:$A$302,0)),""))</f>
        <v/>
      </c>
      <c r="E278" s="14"/>
      <c r="F278" s="14"/>
      <c r="G278" s="15"/>
      <c r="H278" s="16" t="str">
        <f aca="false">IF(OR($K278="",$L278=""),"",ROUND(MAX(0,($L278-$K278)-IF($G278="",0,$G278))/60,2))</f>
        <v/>
      </c>
      <c r="I278" s="8"/>
      <c r="J278" s="8"/>
      <c r="K278" s="17" t="str">
        <f aca="false">IF($E278="","",IF($E278&lt;1,ROUND($E278*1440,0),INT($E278/100)*60+MOD($E278,100)))</f>
        <v/>
      </c>
      <c r="L278" s="17" t="str">
        <f aca="false">IF($F278="","",IF($F278&lt;1,ROUND($F278*1440,0),INT($F278/100)*60+MOD($F278,100)))</f>
        <v/>
      </c>
    </row>
    <row r="279" customFormat="false" ht="15" hidden="false" customHeight="true" outlineLevel="0" collapsed="false">
      <c r="A279" s="10"/>
      <c r="B279" s="8"/>
      <c r="C279" s="13" t="str">
        <f aca="false">IF($B279="","",IFERROR(INDEX(직원목록!$B$3:$B$302,MATCH($B279,직원목록!$A$3:$A$302,0)),"미등록사번"))</f>
        <v/>
      </c>
      <c r="D279" s="13" t="str">
        <f aca="false">IF($B279="","",IFERROR(INDEX(직원목록!$C$3:$C$302,MATCH($B279,직원목록!$A$3:$A$302,0)),""))</f>
        <v/>
      </c>
      <c r="E279" s="14"/>
      <c r="F279" s="14"/>
      <c r="G279" s="15"/>
      <c r="H279" s="16" t="str">
        <f aca="false">IF(OR($K279="",$L279=""),"",ROUND(MAX(0,($L279-$K279)-IF($G279="",0,$G279))/60,2))</f>
        <v/>
      </c>
      <c r="I279" s="8"/>
      <c r="J279" s="8"/>
      <c r="K279" s="17" t="str">
        <f aca="false">IF($E279="","",IF($E279&lt;1,ROUND($E279*1440,0),INT($E279/100)*60+MOD($E279,100)))</f>
        <v/>
      </c>
      <c r="L279" s="17" t="str">
        <f aca="false">IF($F279="","",IF($F279&lt;1,ROUND($F279*1440,0),INT($F279/100)*60+MOD($F279,100)))</f>
        <v/>
      </c>
    </row>
    <row r="280" customFormat="false" ht="15" hidden="false" customHeight="true" outlineLevel="0" collapsed="false">
      <c r="A280" s="10"/>
      <c r="B280" s="8"/>
      <c r="C280" s="13" t="str">
        <f aca="false">IF($B280="","",IFERROR(INDEX(직원목록!$B$3:$B$302,MATCH($B280,직원목록!$A$3:$A$302,0)),"미등록사번"))</f>
        <v/>
      </c>
      <c r="D280" s="13" t="str">
        <f aca="false">IF($B280="","",IFERROR(INDEX(직원목록!$C$3:$C$302,MATCH($B280,직원목록!$A$3:$A$302,0)),""))</f>
        <v/>
      </c>
      <c r="E280" s="14"/>
      <c r="F280" s="14"/>
      <c r="G280" s="15"/>
      <c r="H280" s="16" t="str">
        <f aca="false">IF(OR($K280="",$L280=""),"",ROUND(MAX(0,($L280-$K280)-IF($G280="",0,$G280))/60,2))</f>
        <v/>
      </c>
      <c r="I280" s="8"/>
      <c r="J280" s="8"/>
      <c r="K280" s="17" t="str">
        <f aca="false">IF($E280="","",IF($E280&lt;1,ROUND($E280*1440,0),INT($E280/100)*60+MOD($E280,100)))</f>
        <v/>
      </c>
      <c r="L280" s="17" t="str">
        <f aca="false">IF($F280="","",IF($F280&lt;1,ROUND($F280*1440,0),INT($F280/100)*60+MOD($F280,100)))</f>
        <v/>
      </c>
    </row>
    <row r="281" customFormat="false" ht="15" hidden="false" customHeight="true" outlineLevel="0" collapsed="false">
      <c r="A281" s="10"/>
      <c r="B281" s="8"/>
      <c r="C281" s="13" t="str">
        <f aca="false">IF($B281="","",IFERROR(INDEX(직원목록!$B$3:$B$302,MATCH($B281,직원목록!$A$3:$A$302,0)),"미등록사번"))</f>
        <v/>
      </c>
      <c r="D281" s="13" t="str">
        <f aca="false">IF($B281="","",IFERROR(INDEX(직원목록!$C$3:$C$302,MATCH($B281,직원목록!$A$3:$A$302,0)),""))</f>
        <v/>
      </c>
      <c r="E281" s="14"/>
      <c r="F281" s="14"/>
      <c r="G281" s="15"/>
      <c r="H281" s="16" t="str">
        <f aca="false">IF(OR($K281="",$L281=""),"",ROUND(MAX(0,($L281-$K281)-IF($G281="",0,$G281))/60,2))</f>
        <v/>
      </c>
      <c r="I281" s="8"/>
      <c r="J281" s="8"/>
      <c r="K281" s="17" t="str">
        <f aca="false">IF($E281="","",IF($E281&lt;1,ROUND($E281*1440,0),INT($E281/100)*60+MOD($E281,100)))</f>
        <v/>
      </c>
      <c r="L281" s="17" t="str">
        <f aca="false">IF($F281="","",IF($F281&lt;1,ROUND($F281*1440,0),INT($F281/100)*60+MOD($F281,100)))</f>
        <v/>
      </c>
    </row>
    <row r="282" customFormat="false" ht="15" hidden="false" customHeight="true" outlineLevel="0" collapsed="false">
      <c r="A282" s="10"/>
      <c r="B282" s="8"/>
      <c r="C282" s="13" t="str">
        <f aca="false">IF($B282="","",IFERROR(INDEX(직원목록!$B$3:$B$302,MATCH($B282,직원목록!$A$3:$A$302,0)),"미등록사번"))</f>
        <v/>
      </c>
      <c r="D282" s="13" t="str">
        <f aca="false">IF($B282="","",IFERROR(INDEX(직원목록!$C$3:$C$302,MATCH($B282,직원목록!$A$3:$A$302,0)),""))</f>
        <v/>
      </c>
      <c r="E282" s="14"/>
      <c r="F282" s="14"/>
      <c r="G282" s="15"/>
      <c r="H282" s="16" t="str">
        <f aca="false">IF(OR($K282="",$L282=""),"",ROUND(MAX(0,($L282-$K282)-IF($G282="",0,$G282))/60,2))</f>
        <v/>
      </c>
      <c r="I282" s="8"/>
      <c r="J282" s="8"/>
      <c r="K282" s="17" t="str">
        <f aca="false">IF($E282="","",IF($E282&lt;1,ROUND($E282*1440,0),INT($E282/100)*60+MOD($E282,100)))</f>
        <v/>
      </c>
      <c r="L282" s="17" t="str">
        <f aca="false">IF($F282="","",IF($F282&lt;1,ROUND($F282*1440,0),INT($F282/100)*60+MOD($F282,100)))</f>
        <v/>
      </c>
    </row>
    <row r="283" customFormat="false" ht="15" hidden="false" customHeight="true" outlineLevel="0" collapsed="false">
      <c r="A283" s="10"/>
      <c r="B283" s="8"/>
      <c r="C283" s="13" t="str">
        <f aca="false">IF($B283="","",IFERROR(INDEX(직원목록!$B$3:$B$302,MATCH($B283,직원목록!$A$3:$A$302,0)),"미등록사번"))</f>
        <v/>
      </c>
      <c r="D283" s="13" t="str">
        <f aca="false">IF($B283="","",IFERROR(INDEX(직원목록!$C$3:$C$302,MATCH($B283,직원목록!$A$3:$A$302,0)),""))</f>
        <v/>
      </c>
      <c r="E283" s="14"/>
      <c r="F283" s="14"/>
      <c r="G283" s="15"/>
      <c r="H283" s="16" t="str">
        <f aca="false">IF(OR($K283="",$L283=""),"",ROUND(MAX(0,($L283-$K283)-IF($G283="",0,$G283))/60,2))</f>
        <v/>
      </c>
      <c r="I283" s="8"/>
      <c r="J283" s="8"/>
      <c r="K283" s="17" t="str">
        <f aca="false">IF($E283="","",IF($E283&lt;1,ROUND($E283*1440,0),INT($E283/100)*60+MOD($E283,100)))</f>
        <v/>
      </c>
      <c r="L283" s="17" t="str">
        <f aca="false">IF($F283="","",IF($F283&lt;1,ROUND($F283*1440,0),INT($F283/100)*60+MOD($F283,100)))</f>
        <v/>
      </c>
    </row>
    <row r="284" customFormat="false" ht="15" hidden="false" customHeight="true" outlineLevel="0" collapsed="false">
      <c r="A284" s="10"/>
      <c r="B284" s="8"/>
      <c r="C284" s="13" t="str">
        <f aca="false">IF($B284="","",IFERROR(INDEX(직원목록!$B$3:$B$302,MATCH($B284,직원목록!$A$3:$A$302,0)),"미등록사번"))</f>
        <v/>
      </c>
      <c r="D284" s="13" t="str">
        <f aca="false">IF($B284="","",IFERROR(INDEX(직원목록!$C$3:$C$302,MATCH($B284,직원목록!$A$3:$A$302,0)),""))</f>
        <v/>
      </c>
      <c r="E284" s="14"/>
      <c r="F284" s="14"/>
      <c r="G284" s="15"/>
      <c r="H284" s="16" t="str">
        <f aca="false">IF(OR($K284="",$L284=""),"",ROUND(MAX(0,($L284-$K284)-IF($G284="",0,$G284))/60,2))</f>
        <v/>
      </c>
      <c r="I284" s="8"/>
      <c r="J284" s="8"/>
      <c r="K284" s="17" t="str">
        <f aca="false">IF($E284="","",IF($E284&lt;1,ROUND($E284*1440,0),INT($E284/100)*60+MOD($E284,100)))</f>
        <v/>
      </c>
      <c r="L284" s="17" t="str">
        <f aca="false">IF($F284="","",IF($F284&lt;1,ROUND($F284*1440,0),INT($F284/100)*60+MOD($F284,100)))</f>
        <v/>
      </c>
    </row>
    <row r="285" customFormat="false" ht="15" hidden="false" customHeight="true" outlineLevel="0" collapsed="false">
      <c r="A285" s="10"/>
      <c r="B285" s="8"/>
      <c r="C285" s="13" t="str">
        <f aca="false">IF($B285="","",IFERROR(INDEX(직원목록!$B$3:$B$302,MATCH($B285,직원목록!$A$3:$A$302,0)),"미등록사번"))</f>
        <v/>
      </c>
      <c r="D285" s="13" t="str">
        <f aca="false">IF($B285="","",IFERROR(INDEX(직원목록!$C$3:$C$302,MATCH($B285,직원목록!$A$3:$A$302,0)),""))</f>
        <v/>
      </c>
      <c r="E285" s="14"/>
      <c r="F285" s="14"/>
      <c r="G285" s="15"/>
      <c r="H285" s="16" t="str">
        <f aca="false">IF(OR($K285="",$L285=""),"",ROUND(MAX(0,($L285-$K285)-IF($G285="",0,$G285))/60,2))</f>
        <v/>
      </c>
      <c r="I285" s="8"/>
      <c r="J285" s="8"/>
      <c r="K285" s="17" t="str">
        <f aca="false">IF($E285="","",IF($E285&lt;1,ROUND($E285*1440,0),INT($E285/100)*60+MOD($E285,100)))</f>
        <v/>
      </c>
      <c r="L285" s="17" t="str">
        <f aca="false">IF($F285="","",IF($F285&lt;1,ROUND($F285*1440,0),INT($F285/100)*60+MOD($F285,100)))</f>
        <v/>
      </c>
    </row>
    <row r="286" customFormat="false" ht="15" hidden="false" customHeight="true" outlineLevel="0" collapsed="false">
      <c r="A286" s="10"/>
      <c r="B286" s="8"/>
      <c r="C286" s="13" t="str">
        <f aca="false">IF($B286="","",IFERROR(INDEX(직원목록!$B$3:$B$302,MATCH($B286,직원목록!$A$3:$A$302,0)),"미등록사번"))</f>
        <v/>
      </c>
      <c r="D286" s="13" t="str">
        <f aca="false">IF($B286="","",IFERROR(INDEX(직원목록!$C$3:$C$302,MATCH($B286,직원목록!$A$3:$A$302,0)),""))</f>
        <v/>
      </c>
      <c r="E286" s="14"/>
      <c r="F286" s="14"/>
      <c r="G286" s="15"/>
      <c r="H286" s="16" t="str">
        <f aca="false">IF(OR($K286="",$L286=""),"",ROUND(MAX(0,($L286-$K286)-IF($G286="",0,$G286))/60,2))</f>
        <v/>
      </c>
      <c r="I286" s="8"/>
      <c r="J286" s="8"/>
      <c r="K286" s="17" t="str">
        <f aca="false">IF($E286="","",IF($E286&lt;1,ROUND($E286*1440,0),INT($E286/100)*60+MOD($E286,100)))</f>
        <v/>
      </c>
      <c r="L286" s="17" t="str">
        <f aca="false">IF($F286="","",IF($F286&lt;1,ROUND($F286*1440,0),INT($F286/100)*60+MOD($F286,100)))</f>
        <v/>
      </c>
    </row>
    <row r="287" customFormat="false" ht="15" hidden="false" customHeight="true" outlineLevel="0" collapsed="false">
      <c r="A287" s="10"/>
      <c r="B287" s="8"/>
      <c r="C287" s="13" t="str">
        <f aca="false">IF($B287="","",IFERROR(INDEX(직원목록!$B$3:$B$302,MATCH($B287,직원목록!$A$3:$A$302,0)),"미등록사번"))</f>
        <v/>
      </c>
      <c r="D287" s="13" t="str">
        <f aca="false">IF($B287="","",IFERROR(INDEX(직원목록!$C$3:$C$302,MATCH($B287,직원목록!$A$3:$A$302,0)),""))</f>
        <v/>
      </c>
      <c r="E287" s="14"/>
      <c r="F287" s="14"/>
      <c r="G287" s="15"/>
      <c r="H287" s="16" t="str">
        <f aca="false">IF(OR($K287="",$L287=""),"",ROUND(MAX(0,($L287-$K287)-IF($G287="",0,$G287))/60,2))</f>
        <v/>
      </c>
      <c r="I287" s="8"/>
      <c r="J287" s="8"/>
      <c r="K287" s="17" t="str">
        <f aca="false">IF($E287="","",IF($E287&lt;1,ROUND($E287*1440,0),INT($E287/100)*60+MOD($E287,100)))</f>
        <v/>
      </c>
      <c r="L287" s="17" t="str">
        <f aca="false">IF($F287="","",IF($F287&lt;1,ROUND($F287*1440,0),INT($F287/100)*60+MOD($F287,100)))</f>
        <v/>
      </c>
    </row>
    <row r="288" customFormat="false" ht="15" hidden="false" customHeight="true" outlineLevel="0" collapsed="false">
      <c r="A288" s="10"/>
      <c r="B288" s="8"/>
      <c r="C288" s="13" t="str">
        <f aca="false">IF($B288="","",IFERROR(INDEX(직원목록!$B$3:$B$302,MATCH($B288,직원목록!$A$3:$A$302,0)),"미등록사번"))</f>
        <v/>
      </c>
      <c r="D288" s="13" t="str">
        <f aca="false">IF($B288="","",IFERROR(INDEX(직원목록!$C$3:$C$302,MATCH($B288,직원목록!$A$3:$A$302,0)),""))</f>
        <v/>
      </c>
      <c r="E288" s="14"/>
      <c r="F288" s="14"/>
      <c r="G288" s="15"/>
      <c r="H288" s="16" t="str">
        <f aca="false">IF(OR($K288="",$L288=""),"",ROUND(MAX(0,($L288-$K288)-IF($G288="",0,$G288))/60,2))</f>
        <v/>
      </c>
      <c r="I288" s="8"/>
      <c r="J288" s="8"/>
      <c r="K288" s="17" t="str">
        <f aca="false">IF($E288="","",IF($E288&lt;1,ROUND($E288*1440,0),INT($E288/100)*60+MOD($E288,100)))</f>
        <v/>
      </c>
      <c r="L288" s="17" t="str">
        <f aca="false">IF($F288="","",IF($F288&lt;1,ROUND($F288*1440,0),INT($F288/100)*60+MOD($F288,100)))</f>
        <v/>
      </c>
    </row>
    <row r="289" customFormat="false" ht="15" hidden="false" customHeight="true" outlineLevel="0" collapsed="false">
      <c r="A289" s="10"/>
      <c r="B289" s="8"/>
      <c r="C289" s="13" t="str">
        <f aca="false">IF($B289="","",IFERROR(INDEX(직원목록!$B$3:$B$302,MATCH($B289,직원목록!$A$3:$A$302,0)),"미등록사번"))</f>
        <v/>
      </c>
      <c r="D289" s="13" t="str">
        <f aca="false">IF($B289="","",IFERROR(INDEX(직원목록!$C$3:$C$302,MATCH($B289,직원목록!$A$3:$A$302,0)),""))</f>
        <v/>
      </c>
      <c r="E289" s="14"/>
      <c r="F289" s="14"/>
      <c r="G289" s="15"/>
      <c r="H289" s="16" t="str">
        <f aca="false">IF(OR($K289="",$L289=""),"",ROUND(MAX(0,($L289-$K289)-IF($G289="",0,$G289))/60,2))</f>
        <v/>
      </c>
      <c r="I289" s="8"/>
      <c r="J289" s="8"/>
      <c r="K289" s="17" t="str">
        <f aca="false">IF($E289="","",IF($E289&lt;1,ROUND($E289*1440,0),INT($E289/100)*60+MOD($E289,100)))</f>
        <v/>
      </c>
      <c r="L289" s="17" t="str">
        <f aca="false">IF($F289="","",IF($F289&lt;1,ROUND($F289*1440,0),INT($F289/100)*60+MOD($F289,100)))</f>
        <v/>
      </c>
    </row>
    <row r="290" customFormat="false" ht="15" hidden="false" customHeight="true" outlineLevel="0" collapsed="false">
      <c r="A290" s="10"/>
      <c r="B290" s="8"/>
      <c r="C290" s="13" t="str">
        <f aca="false">IF($B290="","",IFERROR(INDEX(직원목록!$B$3:$B$302,MATCH($B290,직원목록!$A$3:$A$302,0)),"미등록사번"))</f>
        <v/>
      </c>
      <c r="D290" s="13" t="str">
        <f aca="false">IF($B290="","",IFERROR(INDEX(직원목록!$C$3:$C$302,MATCH($B290,직원목록!$A$3:$A$302,0)),""))</f>
        <v/>
      </c>
      <c r="E290" s="14"/>
      <c r="F290" s="14"/>
      <c r="G290" s="15"/>
      <c r="H290" s="16" t="str">
        <f aca="false">IF(OR($K290="",$L290=""),"",ROUND(MAX(0,($L290-$K290)-IF($G290="",0,$G290))/60,2))</f>
        <v/>
      </c>
      <c r="I290" s="8"/>
      <c r="J290" s="8"/>
      <c r="K290" s="17" t="str">
        <f aca="false">IF($E290="","",IF($E290&lt;1,ROUND($E290*1440,0),INT($E290/100)*60+MOD($E290,100)))</f>
        <v/>
      </c>
      <c r="L290" s="17" t="str">
        <f aca="false">IF($F290="","",IF($F290&lt;1,ROUND($F290*1440,0),INT($F290/100)*60+MOD($F290,100)))</f>
        <v/>
      </c>
    </row>
    <row r="291" customFormat="false" ht="15" hidden="false" customHeight="true" outlineLevel="0" collapsed="false">
      <c r="A291" s="10"/>
      <c r="B291" s="8"/>
      <c r="C291" s="13" t="str">
        <f aca="false">IF($B291="","",IFERROR(INDEX(직원목록!$B$3:$B$302,MATCH($B291,직원목록!$A$3:$A$302,0)),"미등록사번"))</f>
        <v/>
      </c>
      <c r="D291" s="13" t="str">
        <f aca="false">IF($B291="","",IFERROR(INDEX(직원목록!$C$3:$C$302,MATCH($B291,직원목록!$A$3:$A$302,0)),""))</f>
        <v/>
      </c>
      <c r="E291" s="14"/>
      <c r="F291" s="14"/>
      <c r="G291" s="15"/>
      <c r="H291" s="16" t="str">
        <f aca="false">IF(OR($K291="",$L291=""),"",ROUND(MAX(0,($L291-$K291)-IF($G291="",0,$G291))/60,2))</f>
        <v/>
      </c>
      <c r="I291" s="8"/>
      <c r="J291" s="8"/>
      <c r="K291" s="17" t="str">
        <f aca="false">IF($E291="","",IF($E291&lt;1,ROUND($E291*1440,0),INT($E291/100)*60+MOD($E291,100)))</f>
        <v/>
      </c>
      <c r="L291" s="17" t="str">
        <f aca="false">IF($F291="","",IF($F291&lt;1,ROUND($F291*1440,0),INT($F291/100)*60+MOD($F291,100)))</f>
        <v/>
      </c>
    </row>
    <row r="292" customFormat="false" ht="15" hidden="false" customHeight="true" outlineLevel="0" collapsed="false">
      <c r="A292" s="10"/>
      <c r="B292" s="8"/>
      <c r="C292" s="13" t="str">
        <f aca="false">IF($B292="","",IFERROR(INDEX(직원목록!$B$3:$B$302,MATCH($B292,직원목록!$A$3:$A$302,0)),"미등록사번"))</f>
        <v/>
      </c>
      <c r="D292" s="13" t="str">
        <f aca="false">IF($B292="","",IFERROR(INDEX(직원목록!$C$3:$C$302,MATCH($B292,직원목록!$A$3:$A$302,0)),""))</f>
        <v/>
      </c>
      <c r="E292" s="14"/>
      <c r="F292" s="14"/>
      <c r="G292" s="15"/>
      <c r="H292" s="16" t="str">
        <f aca="false">IF(OR($K292="",$L292=""),"",ROUND(MAX(0,($L292-$K292)-IF($G292="",0,$G292))/60,2))</f>
        <v/>
      </c>
      <c r="I292" s="8"/>
      <c r="J292" s="8"/>
      <c r="K292" s="17" t="str">
        <f aca="false">IF($E292="","",IF($E292&lt;1,ROUND($E292*1440,0),INT($E292/100)*60+MOD($E292,100)))</f>
        <v/>
      </c>
      <c r="L292" s="17" t="str">
        <f aca="false">IF($F292="","",IF($F292&lt;1,ROUND($F292*1440,0),INT($F292/100)*60+MOD($F292,100)))</f>
        <v/>
      </c>
    </row>
    <row r="293" customFormat="false" ht="15" hidden="false" customHeight="true" outlineLevel="0" collapsed="false">
      <c r="A293" s="10"/>
      <c r="B293" s="8"/>
      <c r="C293" s="13" t="str">
        <f aca="false">IF($B293="","",IFERROR(INDEX(직원목록!$B$3:$B$302,MATCH($B293,직원목록!$A$3:$A$302,0)),"미등록사번"))</f>
        <v/>
      </c>
      <c r="D293" s="13" t="str">
        <f aca="false">IF($B293="","",IFERROR(INDEX(직원목록!$C$3:$C$302,MATCH($B293,직원목록!$A$3:$A$302,0)),""))</f>
        <v/>
      </c>
      <c r="E293" s="14"/>
      <c r="F293" s="14"/>
      <c r="G293" s="15"/>
      <c r="H293" s="16" t="str">
        <f aca="false">IF(OR($K293="",$L293=""),"",ROUND(MAX(0,($L293-$K293)-IF($G293="",0,$G293))/60,2))</f>
        <v/>
      </c>
      <c r="I293" s="8"/>
      <c r="J293" s="8"/>
      <c r="K293" s="17" t="str">
        <f aca="false">IF($E293="","",IF($E293&lt;1,ROUND($E293*1440,0),INT($E293/100)*60+MOD($E293,100)))</f>
        <v/>
      </c>
      <c r="L293" s="17" t="str">
        <f aca="false">IF($F293="","",IF($F293&lt;1,ROUND($F293*1440,0),INT($F293/100)*60+MOD($F293,100)))</f>
        <v/>
      </c>
    </row>
    <row r="294" customFormat="false" ht="15" hidden="false" customHeight="true" outlineLevel="0" collapsed="false">
      <c r="A294" s="10"/>
      <c r="B294" s="8"/>
      <c r="C294" s="13" t="str">
        <f aca="false">IF($B294="","",IFERROR(INDEX(직원목록!$B$3:$B$302,MATCH($B294,직원목록!$A$3:$A$302,0)),"미등록사번"))</f>
        <v/>
      </c>
      <c r="D294" s="13" t="str">
        <f aca="false">IF($B294="","",IFERROR(INDEX(직원목록!$C$3:$C$302,MATCH($B294,직원목록!$A$3:$A$302,0)),""))</f>
        <v/>
      </c>
      <c r="E294" s="14"/>
      <c r="F294" s="14"/>
      <c r="G294" s="15"/>
      <c r="H294" s="16" t="str">
        <f aca="false">IF(OR($K294="",$L294=""),"",ROUND(MAX(0,($L294-$K294)-IF($G294="",0,$G294))/60,2))</f>
        <v/>
      </c>
      <c r="I294" s="8"/>
      <c r="J294" s="8"/>
      <c r="K294" s="17" t="str">
        <f aca="false">IF($E294="","",IF($E294&lt;1,ROUND($E294*1440,0),INT($E294/100)*60+MOD($E294,100)))</f>
        <v/>
      </c>
      <c r="L294" s="17" t="str">
        <f aca="false">IF($F294="","",IF($F294&lt;1,ROUND($F294*1440,0),INT($F294/100)*60+MOD($F294,100)))</f>
        <v/>
      </c>
    </row>
    <row r="295" customFormat="false" ht="15" hidden="false" customHeight="true" outlineLevel="0" collapsed="false">
      <c r="A295" s="10"/>
      <c r="B295" s="8"/>
      <c r="C295" s="13" t="str">
        <f aca="false">IF($B295="","",IFERROR(INDEX(직원목록!$B$3:$B$302,MATCH($B295,직원목록!$A$3:$A$302,0)),"미등록사번"))</f>
        <v/>
      </c>
      <c r="D295" s="13" t="str">
        <f aca="false">IF($B295="","",IFERROR(INDEX(직원목록!$C$3:$C$302,MATCH($B295,직원목록!$A$3:$A$302,0)),""))</f>
        <v/>
      </c>
      <c r="E295" s="14"/>
      <c r="F295" s="14"/>
      <c r="G295" s="15"/>
      <c r="H295" s="16" t="str">
        <f aca="false">IF(OR($K295="",$L295=""),"",ROUND(MAX(0,($L295-$K295)-IF($G295="",0,$G295))/60,2))</f>
        <v/>
      </c>
      <c r="I295" s="8"/>
      <c r="J295" s="8"/>
      <c r="K295" s="17" t="str">
        <f aca="false">IF($E295="","",IF($E295&lt;1,ROUND($E295*1440,0),INT($E295/100)*60+MOD($E295,100)))</f>
        <v/>
      </c>
      <c r="L295" s="17" t="str">
        <f aca="false">IF($F295="","",IF($F295&lt;1,ROUND($F295*1440,0),INT($F295/100)*60+MOD($F295,100)))</f>
        <v/>
      </c>
    </row>
    <row r="296" customFormat="false" ht="15" hidden="false" customHeight="true" outlineLevel="0" collapsed="false">
      <c r="A296" s="10"/>
      <c r="B296" s="8"/>
      <c r="C296" s="13" t="str">
        <f aca="false">IF($B296="","",IFERROR(INDEX(직원목록!$B$3:$B$302,MATCH($B296,직원목록!$A$3:$A$302,0)),"미등록사번"))</f>
        <v/>
      </c>
      <c r="D296" s="13" t="str">
        <f aca="false">IF($B296="","",IFERROR(INDEX(직원목록!$C$3:$C$302,MATCH($B296,직원목록!$A$3:$A$302,0)),""))</f>
        <v/>
      </c>
      <c r="E296" s="14"/>
      <c r="F296" s="14"/>
      <c r="G296" s="15"/>
      <c r="H296" s="16" t="str">
        <f aca="false">IF(OR($K296="",$L296=""),"",ROUND(MAX(0,($L296-$K296)-IF($G296="",0,$G296))/60,2))</f>
        <v/>
      </c>
      <c r="I296" s="8"/>
      <c r="J296" s="8"/>
      <c r="K296" s="17" t="str">
        <f aca="false">IF($E296="","",IF($E296&lt;1,ROUND($E296*1440,0),INT($E296/100)*60+MOD($E296,100)))</f>
        <v/>
      </c>
      <c r="L296" s="17" t="str">
        <f aca="false">IF($F296="","",IF($F296&lt;1,ROUND($F296*1440,0),INT($F296/100)*60+MOD($F296,100)))</f>
        <v/>
      </c>
    </row>
    <row r="297" customFormat="false" ht="15" hidden="false" customHeight="true" outlineLevel="0" collapsed="false">
      <c r="A297" s="10"/>
      <c r="B297" s="8"/>
      <c r="C297" s="13" t="str">
        <f aca="false">IF($B297="","",IFERROR(INDEX(직원목록!$B$3:$B$302,MATCH($B297,직원목록!$A$3:$A$302,0)),"미등록사번"))</f>
        <v/>
      </c>
      <c r="D297" s="13" t="str">
        <f aca="false">IF($B297="","",IFERROR(INDEX(직원목록!$C$3:$C$302,MATCH($B297,직원목록!$A$3:$A$302,0)),""))</f>
        <v/>
      </c>
      <c r="E297" s="14"/>
      <c r="F297" s="14"/>
      <c r="G297" s="15"/>
      <c r="H297" s="16" t="str">
        <f aca="false">IF(OR($K297="",$L297=""),"",ROUND(MAX(0,($L297-$K297)-IF($G297="",0,$G297))/60,2))</f>
        <v/>
      </c>
      <c r="I297" s="8"/>
      <c r="J297" s="8"/>
      <c r="K297" s="17" t="str">
        <f aca="false">IF($E297="","",IF($E297&lt;1,ROUND($E297*1440,0),INT($E297/100)*60+MOD($E297,100)))</f>
        <v/>
      </c>
      <c r="L297" s="17" t="str">
        <f aca="false">IF($F297="","",IF($F297&lt;1,ROUND($F297*1440,0),INT($F297/100)*60+MOD($F297,100)))</f>
        <v/>
      </c>
    </row>
    <row r="298" customFormat="false" ht="15" hidden="false" customHeight="true" outlineLevel="0" collapsed="false">
      <c r="A298" s="10"/>
      <c r="B298" s="8"/>
      <c r="C298" s="13" t="str">
        <f aca="false">IF($B298="","",IFERROR(INDEX(직원목록!$B$3:$B$302,MATCH($B298,직원목록!$A$3:$A$302,0)),"미등록사번"))</f>
        <v/>
      </c>
      <c r="D298" s="13" t="str">
        <f aca="false">IF($B298="","",IFERROR(INDEX(직원목록!$C$3:$C$302,MATCH($B298,직원목록!$A$3:$A$302,0)),""))</f>
        <v/>
      </c>
      <c r="E298" s="14"/>
      <c r="F298" s="14"/>
      <c r="G298" s="15"/>
      <c r="H298" s="16" t="str">
        <f aca="false">IF(OR($K298="",$L298=""),"",ROUND(MAX(0,($L298-$K298)-IF($G298="",0,$G298))/60,2))</f>
        <v/>
      </c>
      <c r="I298" s="8"/>
      <c r="J298" s="8"/>
      <c r="K298" s="17" t="str">
        <f aca="false">IF($E298="","",IF($E298&lt;1,ROUND($E298*1440,0),INT($E298/100)*60+MOD($E298,100)))</f>
        <v/>
      </c>
      <c r="L298" s="17" t="str">
        <f aca="false">IF($F298="","",IF($F298&lt;1,ROUND($F298*1440,0),INT($F298/100)*60+MOD($F298,100)))</f>
        <v/>
      </c>
    </row>
    <row r="299" customFormat="false" ht="15" hidden="false" customHeight="true" outlineLevel="0" collapsed="false">
      <c r="A299" s="10"/>
      <c r="B299" s="8"/>
      <c r="C299" s="13" t="str">
        <f aca="false">IF($B299="","",IFERROR(INDEX(직원목록!$B$3:$B$302,MATCH($B299,직원목록!$A$3:$A$302,0)),"미등록사번"))</f>
        <v/>
      </c>
      <c r="D299" s="13" t="str">
        <f aca="false">IF($B299="","",IFERROR(INDEX(직원목록!$C$3:$C$302,MATCH($B299,직원목록!$A$3:$A$302,0)),""))</f>
        <v/>
      </c>
      <c r="E299" s="14"/>
      <c r="F299" s="14"/>
      <c r="G299" s="15"/>
      <c r="H299" s="16" t="str">
        <f aca="false">IF(OR($K299="",$L299=""),"",ROUND(MAX(0,($L299-$K299)-IF($G299="",0,$G299))/60,2))</f>
        <v/>
      </c>
      <c r="I299" s="8"/>
      <c r="J299" s="8"/>
      <c r="K299" s="17" t="str">
        <f aca="false">IF($E299="","",IF($E299&lt;1,ROUND($E299*1440,0),INT($E299/100)*60+MOD($E299,100)))</f>
        <v/>
      </c>
      <c r="L299" s="17" t="str">
        <f aca="false">IF($F299="","",IF($F299&lt;1,ROUND($F299*1440,0),INT($F299/100)*60+MOD($F299,100)))</f>
        <v/>
      </c>
    </row>
    <row r="300" customFormat="false" ht="15" hidden="false" customHeight="true" outlineLevel="0" collapsed="false">
      <c r="A300" s="10"/>
      <c r="B300" s="8"/>
      <c r="C300" s="13" t="str">
        <f aca="false">IF($B300="","",IFERROR(INDEX(직원목록!$B$3:$B$302,MATCH($B300,직원목록!$A$3:$A$302,0)),"미등록사번"))</f>
        <v/>
      </c>
      <c r="D300" s="13" t="str">
        <f aca="false">IF($B300="","",IFERROR(INDEX(직원목록!$C$3:$C$302,MATCH($B300,직원목록!$A$3:$A$302,0)),""))</f>
        <v/>
      </c>
      <c r="E300" s="14"/>
      <c r="F300" s="14"/>
      <c r="G300" s="15"/>
      <c r="H300" s="16" t="str">
        <f aca="false">IF(OR($K300="",$L300=""),"",ROUND(MAX(0,($L300-$K300)-IF($G300="",0,$G300))/60,2))</f>
        <v/>
      </c>
      <c r="I300" s="8"/>
      <c r="J300" s="8"/>
      <c r="K300" s="17" t="str">
        <f aca="false">IF($E300="","",IF($E300&lt;1,ROUND($E300*1440,0),INT($E300/100)*60+MOD($E300,100)))</f>
        <v/>
      </c>
      <c r="L300" s="17" t="str">
        <f aca="false">IF($F300="","",IF($F300&lt;1,ROUND($F300*1440,0),INT($F300/100)*60+MOD($F300,100)))</f>
        <v/>
      </c>
    </row>
    <row r="301" customFormat="false" ht="15" hidden="false" customHeight="true" outlineLevel="0" collapsed="false">
      <c r="A301" s="10"/>
      <c r="B301" s="8"/>
      <c r="C301" s="13" t="str">
        <f aca="false">IF($B301="","",IFERROR(INDEX(직원목록!$B$3:$B$302,MATCH($B301,직원목록!$A$3:$A$302,0)),"미등록사번"))</f>
        <v/>
      </c>
      <c r="D301" s="13" t="str">
        <f aca="false">IF($B301="","",IFERROR(INDEX(직원목록!$C$3:$C$302,MATCH($B301,직원목록!$A$3:$A$302,0)),""))</f>
        <v/>
      </c>
      <c r="E301" s="14"/>
      <c r="F301" s="14"/>
      <c r="G301" s="15"/>
      <c r="H301" s="16" t="str">
        <f aca="false">IF(OR($K301="",$L301=""),"",ROUND(MAX(0,($L301-$K301)-IF($G301="",0,$G301))/60,2))</f>
        <v/>
      </c>
      <c r="I301" s="8"/>
      <c r="J301" s="8"/>
      <c r="K301" s="17" t="str">
        <f aca="false">IF($E301="","",IF($E301&lt;1,ROUND($E301*1440,0),INT($E301/100)*60+MOD($E301,100)))</f>
        <v/>
      </c>
      <c r="L301" s="17" t="str">
        <f aca="false">IF($F301="","",IF($F301&lt;1,ROUND($F301*1440,0),INT($F301/100)*60+MOD($F301,100)))</f>
        <v/>
      </c>
    </row>
    <row r="302" customFormat="false" ht="15" hidden="false" customHeight="true" outlineLevel="0" collapsed="false">
      <c r="A302" s="10"/>
      <c r="B302" s="8"/>
      <c r="C302" s="13" t="str">
        <f aca="false">IF($B302="","",IFERROR(INDEX(직원목록!$B$3:$B$302,MATCH($B302,직원목록!$A$3:$A$302,0)),"미등록사번"))</f>
        <v/>
      </c>
      <c r="D302" s="13" t="str">
        <f aca="false">IF($B302="","",IFERROR(INDEX(직원목록!$C$3:$C$302,MATCH($B302,직원목록!$A$3:$A$302,0)),""))</f>
        <v/>
      </c>
      <c r="E302" s="14"/>
      <c r="F302" s="14"/>
      <c r="G302" s="15"/>
      <c r="H302" s="16" t="str">
        <f aca="false">IF(OR($K302="",$L302=""),"",ROUND(MAX(0,($L302-$K302)-IF($G302="",0,$G302))/60,2))</f>
        <v/>
      </c>
      <c r="I302" s="8"/>
      <c r="J302" s="8"/>
      <c r="K302" s="17" t="str">
        <f aca="false">IF($E302="","",IF($E302&lt;1,ROUND($E302*1440,0),INT($E302/100)*60+MOD($E302,100)))</f>
        <v/>
      </c>
      <c r="L302" s="17" t="str">
        <f aca="false">IF($F302="","",IF($F302&lt;1,ROUND($F302*1440,0),INT($F302/100)*60+MOD($F302,100)))</f>
        <v/>
      </c>
    </row>
    <row r="303" customFormat="false" ht="15" hidden="false" customHeight="true" outlineLevel="0" collapsed="false">
      <c r="A303" s="10"/>
      <c r="B303" s="8"/>
      <c r="C303" s="13" t="str">
        <f aca="false">IF($B303="","",IFERROR(INDEX(직원목록!$B$3:$B$302,MATCH($B303,직원목록!$A$3:$A$302,0)),"미등록사번"))</f>
        <v/>
      </c>
      <c r="D303" s="13" t="str">
        <f aca="false">IF($B303="","",IFERROR(INDEX(직원목록!$C$3:$C$302,MATCH($B303,직원목록!$A$3:$A$302,0)),""))</f>
        <v/>
      </c>
      <c r="E303" s="14"/>
      <c r="F303" s="14"/>
      <c r="G303" s="15"/>
      <c r="H303" s="16" t="str">
        <f aca="false">IF(OR($K303="",$L303=""),"",ROUND(MAX(0,($L303-$K303)-IF($G303="",0,$G303))/60,2))</f>
        <v/>
      </c>
      <c r="I303" s="8"/>
      <c r="J303" s="8"/>
      <c r="K303" s="17" t="str">
        <f aca="false">IF($E303="","",IF($E303&lt;1,ROUND($E303*1440,0),INT($E303/100)*60+MOD($E303,100)))</f>
        <v/>
      </c>
      <c r="L303" s="17" t="str">
        <f aca="false">IF($F303="","",IF($F303&lt;1,ROUND($F303*1440,0),INT($F303/100)*60+MOD($F303,100)))</f>
        <v/>
      </c>
    </row>
    <row r="304" customFormat="false" ht="15" hidden="false" customHeight="true" outlineLevel="0" collapsed="false">
      <c r="A304" s="10"/>
      <c r="B304" s="8"/>
      <c r="C304" s="13" t="str">
        <f aca="false">IF($B304="","",IFERROR(INDEX(직원목록!$B$3:$B$302,MATCH($B304,직원목록!$A$3:$A$302,0)),"미등록사번"))</f>
        <v/>
      </c>
      <c r="D304" s="13" t="str">
        <f aca="false">IF($B304="","",IFERROR(INDEX(직원목록!$C$3:$C$302,MATCH($B304,직원목록!$A$3:$A$302,0)),""))</f>
        <v/>
      </c>
      <c r="E304" s="14"/>
      <c r="F304" s="14"/>
      <c r="G304" s="15"/>
      <c r="H304" s="16" t="str">
        <f aca="false">IF(OR($K304="",$L304=""),"",ROUND(MAX(0,($L304-$K304)-IF($G304="",0,$G304))/60,2))</f>
        <v/>
      </c>
      <c r="I304" s="8"/>
      <c r="J304" s="8"/>
      <c r="K304" s="17" t="str">
        <f aca="false">IF($E304="","",IF($E304&lt;1,ROUND($E304*1440,0),INT($E304/100)*60+MOD($E304,100)))</f>
        <v/>
      </c>
      <c r="L304" s="17" t="str">
        <f aca="false">IF($F304="","",IF($F304&lt;1,ROUND($F304*1440,0),INT($F304/100)*60+MOD($F304,100)))</f>
        <v/>
      </c>
    </row>
    <row r="305" customFormat="false" ht="15" hidden="false" customHeight="true" outlineLevel="0" collapsed="false">
      <c r="A305" s="10"/>
      <c r="B305" s="8"/>
      <c r="C305" s="13" t="str">
        <f aca="false">IF($B305="","",IFERROR(INDEX(직원목록!$B$3:$B$302,MATCH($B305,직원목록!$A$3:$A$302,0)),"미등록사번"))</f>
        <v/>
      </c>
      <c r="D305" s="13" t="str">
        <f aca="false">IF($B305="","",IFERROR(INDEX(직원목록!$C$3:$C$302,MATCH($B305,직원목록!$A$3:$A$302,0)),""))</f>
        <v/>
      </c>
      <c r="E305" s="14"/>
      <c r="F305" s="14"/>
      <c r="G305" s="15"/>
      <c r="H305" s="16" t="str">
        <f aca="false">IF(OR($K305="",$L305=""),"",ROUND(MAX(0,($L305-$K305)-IF($G305="",0,$G305))/60,2))</f>
        <v/>
      </c>
      <c r="I305" s="8"/>
      <c r="J305" s="8"/>
      <c r="K305" s="17" t="str">
        <f aca="false">IF($E305="","",IF($E305&lt;1,ROUND($E305*1440,0),INT($E305/100)*60+MOD($E305,100)))</f>
        <v/>
      </c>
      <c r="L305" s="17" t="str">
        <f aca="false">IF($F305="","",IF($F305&lt;1,ROUND($F305*1440,0),INT($F305/100)*60+MOD($F305,100)))</f>
        <v/>
      </c>
    </row>
    <row r="306" customFormat="false" ht="15" hidden="false" customHeight="true" outlineLevel="0" collapsed="false">
      <c r="A306" s="10"/>
      <c r="B306" s="8"/>
      <c r="C306" s="13" t="str">
        <f aca="false">IF($B306="","",IFERROR(INDEX(직원목록!$B$3:$B$302,MATCH($B306,직원목록!$A$3:$A$302,0)),"미등록사번"))</f>
        <v/>
      </c>
      <c r="D306" s="13" t="str">
        <f aca="false">IF($B306="","",IFERROR(INDEX(직원목록!$C$3:$C$302,MATCH($B306,직원목록!$A$3:$A$302,0)),""))</f>
        <v/>
      </c>
      <c r="E306" s="14"/>
      <c r="F306" s="14"/>
      <c r="G306" s="15"/>
      <c r="H306" s="16" t="str">
        <f aca="false">IF(OR($K306="",$L306=""),"",ROUND(MAX(0,($L306-$K306)-IF($G306="",0,$G306))/60,2))</f>
        <v/>
      </c>
      <c r="I306" s="8"/>
      <c r="J306" s="8"/>
      <c r="K306" s="17" t="str">
        <f aca="false">IF($E306="","",IF($E306&lt;1,ROUND($E306*1440,0),INT($E306/100)*60+MOD($E306,100)))</f>
        <v/>
      </c>
      <c r="L306" s="17" t="str">
        <f aca="false">IF($F306="","",IF($F306&lt;1,ROUND($F306*1440,0),INT($F306/100)*60+MOD($F306,100)))</f>
        <v/>
      </c>
    </row>
    <row r="307" customFormat="false" ht="15" hidden="false" customHeight="true" outlineLevel="0" collapsed="false">
      <c r="A307" s="10"/>
      <c r="B307" s="8"/>
      <c r="C307" s="13" t="str">
        <f aca="false">IF($B307="","",IFERROR(INDEX(직원목록!$B$3:$B$302,MATCH($B307,직원목록!$A$3:$A$302,0)),"미등록사번"))</f>
        <v/>
      </c>
      <c r="D307" s="13" t="str">
        <f aca="false">IF($B307="","",IFERROR(INDEX(직원목록!$C$3:$C$302,MATCH($B307,직원목록!$A$3:$A$302,0)),""))</f>
        <v/>
      </c>
      <c r="E307" s="14"/>
      <c r="F307" s="14"/>
      <c r="G307" s="15"/>
      <c r="H307" s="16" t="str">
        <f aca="false">IF(OR($K307="",$L307=""),"",ROUND(MAX(0,($L307-$K307)-IF($G307="",0,$G307))/60,2))</f>
        <v/>
      </c>
      <c r="I307" s="8"/>
      <c r="J307" s="8"/>
      <c r="K307" s="17" t="str">
        <f aca="false">IF($E307="","",IF($E307&lt;1,ROUND($E307*1440,0),INT($E307/100)*60+MOD($E307,100)))</f>
        <v/>
      </c>
      <c r="L307" s="17" t="str">
        <f aca="false">IF($F307="","",IF($F307&lt;1,ROUND($F307*1440,0),INT($F307/100)*60+MOD($F307,100)))</f>
        <v/>
      </c>
    </row>
    <row r="308" customFormat="false" ht="15" hidden="false" customHeight="true" outlineLevel="0" collapsed="false">
      <c r="A308" s="10"/>
      <c r="B308" s="8"/>
      <c r="C308" s="13" t="str">
        <f aca="false">IF($B308="","",IFERROR(INDEX(직원목록!$B$3:$B$302,MATCH($B308,직원목록!$A$3:$A$302,0)),"미등록사번"))</f>
        <v/>
      </c>
      <c r="D308" s="13" t="str">
        <f aca="false">IF($B308="","",IFERROR(INDEX(직원목록!$C$3:$C$302,MATCH($B308,직원목록!$A$3:$A$302,0)),""))</f>
        <v/>
      </c>
      <c r="E308" s="14"/>
      <c r="F308" s="14"/>
      <c r="G308" s="15"/>
      <c r="H308" s="16" t="str">
        <f aca="false">IF(OR($K308="",$L308=""),"",ROUND(MAX(0,($L308-$K308)-IF($G308="",0,$G308))/60,2))</f>
        <v/>
      </c>
      <c r="I308" s="8"/>
      <c r="J308" s="8"/>
      <c r="K308" s="17" t="str">
        <f aca="false">IF($E308="","",IF($E308&lt;1,ROUND($E308*1440,0),INT($E308/100)*60+MOD($E308,100)))</f>
        <v/>
      </c>
      <c r="L308" s="17" t="str">
        <f aca="false">IF($F308="","",IF($F308&lt;1,ROUND($F308*1440,0),INT($F308/100)*60+MOD($F308,100)))</f>
        <v/>
      </c>
    </row>
    <row r="309" customFormat="false" ht="15" hidden="false" customHeight="true" outlineLevel="0" collapsed="false">
      <c r="A309" s="10"/>
      <c r="B309" s="8"/>
      <c r="C309" s="13" t="str">
        <f aca="false">IF($B309="","",IFERROR(INDEX(직원목록!$B$3:$B$302,MATCH($B309,직원목록!$A$3:$A$302,0)),"미등록사번"))</f>
        <v/>
      </c>
      <c r="D309" s="13" t="str">
        <f aca="false">IF($B309="","",IFERROR(INDEX(직원목록!$C$3:$C$302,MATCH($B309,직원목록!$A$3:$A$302,0)),""))</f>
        <v/>
      </c>
      <c r="E309" s="14"/>
      <c r="F309" s="14"/>
      <c r="G309" s="15"/>
      <c r="H309" s="16" t="str">
        <f aca="false">IF(OR($K309="",$L309=""),"",ROUND(MAX(0,($L309-$K309)-IF($G309="",0,$G309))/60,2))</f>
        <v/>
      </c>
      <c r="I309" s="8"/>
      <c r="J309" s="8"/>
      <c r="K309" s="17" t="str">
        <f aca="false">IF($E309="","",IF($E309&lt;1,ROUND($E309*1440,0),INT($E309/100)*60+MOD($E309,100)))</f>
        <v/>
      </c>
      <c r="L309" s="17" t="str">
        <f aca="false">IF($F309="","",IF($F309&lt;1,ROUND($F309*1440,0),INT($F309/100)*60+MOD($F309,100)))</f>
        <v/>
      </c>
    </row>
    <row r="310" customFormat="false" ht="15" hidden="false" customHeight="true" outlineLevel="0" collapsed="false">
      <c r="A310" s="10"/>
      <c r="B310" s="8"/>
      <c r="C310" s="13" t="str">
        <f aca="false">IF($B310="","",IFERROR(INDEX(직원목록!$B$3:$B$302,MATCH($B310,직원목록!$A$3:$A$302,0)),"미등록사번"))</f>
        <v/>
      </c>
      <c r="D310" s="13" t="str">
        <f aca="false">IF($B310="","",IFERROR(INDEX(직원목록!$C$3:$C$302,MATCH($B310,직원목록!$A$3:$A$302,0)),""))</f>
        <v/>
      </c>
      <c r="E310" s="14"/>
      <c r="F310" s="14"/>
      <c r="G310" s="15"/>
      <c r="H310" s="16" t="str">
        <f aca="false">IF(OR($K310="",$L310=""),"",ROUND(MAX(0,($L310-$K310)-IF($G310="",0,$G310))/60,2))</f>
        <v/>
      </c>
      <c r="I310" s="8"/>
      <c r="J310" s="8"/>
      <c r="K310" s="17" t="str">
        <f aca="false">IF($E310="","",IF($E310&lt;1,ROUND($E310*1440,0),INT($E310/100)*60+MOD($E310,100)))</f>
        <v/>
      </c>
      <c r="L310" s="17" t="str">
        <f aca="false">IF($F310="","",IF($F310&lt;1,ROUND($F310*1440,0),INT($F310/100)*60+MOD($F310,100)))</f>
        <v/>
      </c>
    </row>
    <row r="311" customFormat="false" ht="15" hidden="false" customHeight="true" outlineLevel="0" collapsed="false">
      <c r="A311" s="10"/>
      <c r="B311" s="8"/>
      <c r="C311" s="13" t="str">
        <f aca="false">IF($B311="","",IFERROR(INDEX(직원목록!$B$3:$B$302,MATCH($B311,직원목록!$A$3:$A$302,0)),"미등록사번"))</f>
        <v/>
      </c>
      <c r="D311" s="13" t="str">
        <f aca="false">IF($B311="","",IFERROR(INDEX(직원목록!$C$3:$C$302,MATCH($B311,직원목록!$A$3:$A$302,0)),""))</f>
        <v/>
      </c>
      <c r="E311" s="14"/>
      <c r="F311" s="14"/>
      <c r="G311" s="15"/>
      <c r="H311" s="16" t="str">
        <f aca="false">IF(OR($K311="",$L311=""),"",ROUND(MAX(0,($L311-$K311)-IF($G311="",0,$G311))/60,2))</f>
        <v/>
      </c>
      <c r="I311" s="8"/>
      <c r="J311" s="8"/>
      <c r="K311" s="17" t="str">
        <f aca="false">IF($E311="","",IF($E311&lt;1,ROUND($E311*1440,0),INT($E311/100)*60+MOD($E311,100)))</f>
        <v/>
      </c>
      <c r="L311" s="17" t="str">
        <f aca="false">IF($F311="","",IF($F311&lt;1,ROUND($F311*1440,0),INT($F311/100)*60+MOD($F311,100)))</f>
        <v/>
      </c>
    </row>
    <row r="312" customFormat="false" ht="15" hidden="false" customHeight="true" outlineLevel="0" collapsed="false">
      <c r="A312" s="10"/>
      <c r="B312" s="8"/>
      <c r="C312" s="13" t="str">
        <f aca="false">IF($B312="","",IFERROR(INDEX(직원목록!$B$3:$B$302,MATCH($B312,직원목록!$A$3:$A$302,0)),"미등록사번"))</f>
        <v/>
      </c>
      <c r="D312" s="13" t="str">
        <f aca="false">IF($B312="","",IFERROR(INDEX(직원목록!$C$3:$C$302,MATCH($B312,직원목록!$A$3:$A$302,0)),""))</f>
        <v/>
      </c>
      <c r="E312" s="14"/>
      <c r="F312" s="14"/>
      <c r="G312" s="15"/>
      <c r="H312" s="16" t="str">
        <f aca="false">IF(OR($K312="",$L312=""),"",ROUND(MAX(0,($L312-$K312)-IF($G312="",0,$G312))/60,2))</f>
        <v/>
      </c>
      <c r="I312" s="8"/>
      <c r="J312" s="8"/>
      <c r="K312" s="17" t="str">
        <f aca="false">IF($E312="","",IF($E312&lt;1,ROUND($E312*1440,0),INT($E312/100)*60+MOD($E312,100)))</f>
        <v/>
      </c>
      <c r="L312" s="17" t="str">
        <f aca="false">IF($F312="","",IF($F312&lt;1,ROUND($F312*1440,0),INT($F312/100)*60+MOD($F312,100)))</f>
        <v/>
      </c>
    </row>
    <row r="313" customFormat="false" ht="15" hidden="false" customHeight="true" outlineLevel="0" collapsed="false">
      <c r="A313" s="10"/>
      <c r="B313" s="8"/>
      <c r="C313" s="13" t="str">
        <f aca="false">IF($B313="","",IFERROR(INDEX(직원목록!$B$3:$B$302,MATCH($B313,직원목록!$A$3:$A$302,0)),"미등록사번"))</f>
        <v/>
      </c>
      <c r="D313" s="13" t="str">
        <f aca="false">IF($B313="","",IFERROR(INDEX(직원목록!$C$3:$C$302,MATCH($B313,직원목록!$A$3:$A$302,0)),""))</f>
        <v/>
      </c>
      <c r="E313" s="14"/>
      <c r="F313" s="14"/>
      <c r="G313" s="15"/>
      <c r="H313" s="16" t="str">
        <f aca="false">IF(OR($K313="",$L313=""),"",ROUND(MAX(0,($L313-$K313)-IF($G313="",0,$G313))/60,2))</f>
        <v/>
      </c>
      <c r="I313" s="8"/>
      <c r="J313" s="8"/>
      <c r="K313" s="17" t="str">
        <f aca="false">IF($E313="","",IF($E313&lt;1,ROUND($E313*1440,0),INT($E313/100)*60+MOD($E313,100)))</f>
        <v/>
      </c>
      <c r="L313" s="17" t="str">
        <f aca="false">IF($F313="","",IF($F313&lt;1,ROUND($F313*1440,0),INT($F313/100)*60+MOD($F313,100)))</f>
        <v/>
      </c>
    </row>
    <row r="314" customFormat="false" ht="15" hidden="false" customHeight="true" outlineLevel="0" collapsed="false">
      <c r="A314" s="10"/>
      <c r="B314" s="8"/>
      <c r="C314" s="13" t="str">
        <f aca="false">IF($B314="","",IFERROR(INDEX(직원목록!$B$3:$B$302,MATCH($B314,직원목록!$A$3:$A$302,0)),"미등록사번"))</f>
        <v/>
      </c>
      <c r="D314" s="13" t="str">
        <f aca="false">IF($B314="","",IFERROR(INDEX(직원목록!$C$3:$C$302,MATCH($B314,직원목록!$A$3:$A$302,0)),""))</f>
        <v/>
      </c>
      <c r="E314" s="14"/>
      <c r="F314" s="14"/>
      <c r="G314" s="15"/>
      <c r="H314" s="16" t="str">
        <f aca="false">IF(OR($K314="",$L314=""),"",ROUND(MAX(0,($L314-$K314)-IF($G314="",0,$G314))/60,2))</f>
        <v/>
      </c>
      <c r="I314" s="8"/>
      <c r="J314" s="8"/>
      <c r="K314" s="17" t="str">
        <f aca="false">IF($E314="","",IF($E314&lt;1,ROUND($E314*1440,0),INT($E314/100)*60+MOD($E314,100)))</f>
        <v/>
      </c>
      <c r="L314" s="17" t="str">
        <f aca="false">IF($F314="","",IF($F314&lt;1,ROUND($F314*1440,0),INT($F314/100)*60+MOD($F314,100)))</f>
        <v/>
      </c>
    </row>
    <row r="315" customFormat="false" ht="15" hidden="false" customHeight="true" outlineLevel="0" collapsed="false">
      <c r="A315" s="10"/>
      <c r="B315" s="8"/>
      <c r="C315" s="13" t="str">
        <f aca="false">IF($B315="","",IFERROR(INDEX(직원목록!$B$3:$B$302,MATCH($B315,직원목록!$A$3:$A$302,0)),"미등록사번"))</f>
        <v/>
      </c>
      <c r="D315" s="13" t="str">
        <f aca="false">IF($B315="","",IFERROR(INDEX(직원목록!$C$3:$C$302,MATCH($B315,직원목록!$A$3:$A$302,0)),""))</f>
        <v/>
      </c>
      <c r="E315" s="14"/>
      <c r="F315" s="14"/>
      <c r="G315" s="15"/>
      <c r="H315" s="16" t="str">
        <f aca="false">IF(OR($K315="",$L315=""),"",ROUND(MAX(0,($L315-$K315)-IF($G315="",0,$G315))/60,2))</f>
        <v/>
      </c>
      <c r="I315" s="8"/>
      <c r="J315" s="8"/>
      <c r="K315" s="17" t="str">
        <f aca="false">IF($E315="","",IF($E315&lt;1,ROUND($E315*1440,0),INT($E315/100)*60+MOD($E315,100)))</f>
        <v/>
      </c>
      <c r="L315" s="17" t="str">
        <f aca="false">IF($F315="","",IF($F315&lt;1,ROUND($F315*1440,0),INT($F315/100)*60+MOD($F315,100)))</f>
        <v/>
      </c>
    </row>
    <row r="316" customFormat="false" ht="15" hidden="false" customHeight="true" outlineLevel="0" collapsed="false">
      <c r="A316" s="10"/>
      <c r="B316" s="8"/>
      <c r="C316" s="13" t="str">
        <f aca="false">IF($B316="","",IFERROR(INDEX(직원목록!$B$3:$B$302,MATCH($B316,직원목록!$A$3:$A$302,0)),"미등록사번"))</f>
        <v/>
      </c>
      <c r="D316" s="13" t="str">
        <f aca="false">IF($B316="","",IFERROR(INDEX(직원목록!$C$3:$C$302,MATCH($B316,직원목록!$A$3:$A$302,0)),""))</f>
        <v/>
      </c>
      <c r="E316" s="14"/>
      <c r="F316" s="14"/>
      <c r="G316" s="15"/>
      <c r="H316" s="16" t="str">
        <f aca="false">IF(OR($K316="",$L316=""),"",ROUND(MAX(0,($L316-$K316)-IF($G316="",0,$G316))/60,2))</f>
        <v/>
      </c>
      <c r="I316" s="8"/>
      <c r="J316" s="8"/>
      <c r="K316" s="17" t="str">
        <f aca="false">IF($E316="","",IF($E316&lt;1,ROUND($E316*1440,0),INT($E316/100)*60+MOD($E316,100)))</f>
        <v/>
      </c>
      <c r="L316" s="17" t="str">
        <f aca="false">IF($F316="","",IF($F316&lt;1,ROUND($F316*1440,0),INT($F316/100)*60+MOD($F316,100)))</f>
        <v/>
      </c>
    </row>
    <row r="317" customFormat="false" ht="15" hidden="false" customHeight="true" outlineLevel="0" collapsed="false">
      <c r="A317" s="10"/>
      <c r="B317" s="8"/>
      <c r="C317" s="13" t="str">
        <f aca="false">IF($B317="","",IFERROR(INDEX(직원목록!$B$3:$B$302,MATCH($B317,직원목록!$A$3:$A$302,0)),"미등록사번"))</f>
        <v/>
      </c>
      <c r="D317" s="13" t="str">
        <f aca="false">IF($B317="","",IFERROR(INDEX(직원목록!$C$3:$C$302,MATCH($B317,직원목록!$A$3:$A$302,0)),""))</f>
        <v/>
      </c>
      <c r="E317" s="14"/>
      <c r="F317" s="14"/>
      <c r="G317" s="15"/>
      <c r="H317" s="16" t="str">
        <f aca="false">IF(OR($K317="",$L317=""),"",ROUND(MAX(0,($L317-$K317)-IF($G317="",0,$G317))/60,2))</f>
        <v/>
      </c>
      <c r="I317" s="8"/>
      <c r="J317" s="8"/>
      <c r="K317" s="17" t="str">
        <f aca="false">IF($E317="","",IF($E317&lt;1,ROUND($E317*1440,0),INT($E317/100)*60+MOD($E317,100)))</f>
        <v/>
      </c>
      <c r="L317" s="17" t="str">
        <f aca="false">IF($F317="","",IF($F317&lt;1,ROUND($F317*1440,0),INT($F317/100)*60+MOD($F317,100)))</f>
        <v/>
      </c>
    </row>
    <row r="318" customFormat="false" ht="15" hidden="false" customHeight="true" outlineLevel="0" collapsed="false">
      <c r="A318" s="10"/>
      <c r="B318" s="8"/>
      <c r="C318" s="13" t="str">
        <f aca="false">IF($B318="","",IFERROR(INDEX(직원목록!$B$3:$B$302,MATCH($B318,직원목록!$A$3:$A$302,0)),"미등록사번"))</f>
        <v/>
      </c>
      <c r="D318" s="13" t="str">
        <f aca="false">IF($B318="","",IFERROR(INDEX(직원목록!$C$3:$C$302,MATCH($B318,직원목록!$A$3:$A$302,0)),""))</f>
        <v/>
      </c>
      <c r="E318" s="14"/>
      <c r="F318" s="14"/>
      <c r="G318" s="15"/>
      <c r="H318" s="16" t="str">
        <f aca="false">IF(OR($K318="",$L318=""),"",ROUND(MAX(0,($L318-$K318)-IF($G318="",0,$G318))/60,2))</f>
        <v/>
      </c>
      <c r="I318" s="8"/>
      <c r="J318" s="8"/>
      <c r="K318" s="17" t="str">
        <f aca="false">IF($E318="","",IF($E318&lt;1,ROUND($E318*1440,0),INT($E318/100)*60+MOD($E318,100)))</f>
        <v/>
      </c>
      <c r="L318" s="17" t="str">
        <f aca="false">IF($F318="","",IF($F318&lt;1,ROUND($F318*1440,0),INT($F318/100)*60+MOD($F318,100)))</f>
        <v/>
      </c>
    </row>
    <row r="319" customFormat="false" ht="15" hidden="false" customHeight="true" outlineLevel="0" collapsed="false">
      <c r="A319" s="10"/>
      <c r="B319" s="8"/>
      <c r="C319" s="13" t="str">
        <f aca="false">IF($B319="","",IFERROR(INDEX(직원목록!$B$3:$B$302,MATCH($B319,직원목록!$A$3:$A$302,0)),"미등록사번"))</f>
        <v/>
      </c>
      <c r="D319" s="13" t="str">
        <f aca="false">IF($B319="","",IFERROR(INDEX(직원목록!$C$3:$C$302,MATCH($B319,직원목록!$A$3:$A$302,0)),""))</f>
        <v/>
      </c>
      <c r="E319" s="14"/>
      <c r="F319" s="14"/>
      <c r="G319" s="15"/>
      <c r="H319" s="16" t="str">
        <f aca="false">IF(OR($K319="",$L319=""),"",ROUND(MAX(0,($L319-$K319)-IF($G319="",0,$G319))/60,2))</f>
        <v/>
      </c>
      <c r="I319" s="8"/>
      <c r="J319" s="8"/>
      <c r="K319" s="17" t="str">
        <f aca="false">IF($E319="","",IF($E319&lt;1,ROUND($E319*1440,0),INT($E319/100)*60+MOD($E319,100)))</f>
        <v/>
      </c>
      <c r="L319" s="17" t="str">
        <f aca="false">IF($F319="","",IF($F319&lt;1,ROUND($F319*1440,0),INT($F319/100)*60+MOD($F319,100)))</f>
        <v/>
      </c>
    </row>
    <row r="320" customFormat="false" ht="15" hidden="false" customHeight="true" outlineLevel="0" collapsed="false">
      <c r="A320" s="10"/>
      <c r="B320" s="8"/>
      <c r="C320" s="13" t="str">
        <f aca="false">IF($B320="","",IFERROR(INDEX(직원목록!$B$3:$B$302,MATCH($B320,직원목록!$A$3:$A$302,0)),"미등록사번"))</f>
        <v/>
      </c>
      <c r="D320" s="13" t="str">
        <f aca="false">IF($B320="","",IFERROR(INDEX(직원목록!$C$3:$C$302,MATCH($B320,직원목록!$A$3:$A$302,0)),""))</f>
        <v/>
      </c>
      <c r="E320" s="14"/>
      <c r="F320" s="14"/>
      <c r="G320" s="15"/>
      <c r="H320" s="16" t="str">
        <f aca="false">IF(OR($K320="",$L320=""),"",ROUND(MAX(0,($L320-$K320)-IF($G320="",0,$G320))/60,2))</f>
        <v/>
      </c>
      <c r="I320" s="8"/>
      <c r="J320" s="8"/>
      <c r="K320" s="17" t="str">
        <f aca="false">IF($E320="","",IF($E320&lt;1,ROUND($E320*1440,0),INT($E320/100)*60+MOD($E320,100)))</f>
        <v/>
      </c>
      <c r="L320" s="17" t="str">
        <f aca="false">IF($F320="","",IF($F320&lt;1,ROUND($F320*1440,0),INT($F320/100)*60+MOD($F320,100)))</f>
        <v/>
      </c>
    </row>
    <row r="321" customFormat="false" ht="15" hidden="false" customHeight="true" outlineLevel="0" collapsed="false">
      <c r="A321" s="10"/>
      <c r="B321" s="8"/>
      <c r="C321" s="13" t="str">
        <f aca="false">IF($B321="","",IFERROR(INDEX(직원목록!$B$3:$B$302,MATCH($B321,직원목록!$A$3:$A$302,0)),"미등록사번"))</f>
        <v/>
      </c>
      <c r="D321" s="13" t="str">
        <f aca="false">IF($B321="","",IFERROR(INDEX(직원목록!$C$3:$C$302,MATCH($B321,직원목록!$A$3:$A$302,0)),""))</f>
        <v/>
      </c>
      <c r="E321" s="14"/>
      <c r="F321" s="14"/>
      <c r="G321" s="15"/>
      <c r="H321" s="16" t="str">
        <f aca="false">IF(OR($K321="",$L321=""),"",ROUND(MAX(0,($L321-$K321)-IF($G321="",0,$G321))/60,2))</f>
        <v/>
      </c>
      <c r="I321" s="8"/>
      <c r="J321" s="8"/>
      <c r="K321" s="17" t="str">
        <f aca="false">IF($E321="","",IF($E321&lt;1,ROUND($E321*1440,0),INT($E321/100)*60+MOD($E321,100)))</f>
        <v/>
      </c>
      <c r="L321" s="17" t="str">
        <f aca="false">IF($F321="","",IF($F321&lt;1,ROUND($F321*1440,0),INT($F321/100)*60+MOD($F321,100)))</f>
        <v/>
      </c>
    </row>
    <row r="322" customFormat="false" ht="15" hidden="false" customHeight="true" outlineLevel="0" collapsed="false">
      <c r="A322" s="10"/>
      <c r="B322" s="8"/>
      <c r="C322" s="13" t="str">
        <f aca="false">IF($B322="","",IFERROR(INDEX(직원목록!$B$3:$B$302,MATCH($B322,직원목록!$A$3:$A$302,0)),"미등록사번"))</f>
        <v/>
      </c>
      <c r="D322" s="13" t="str">
        <f aca="false">IF($B322="","",IFERROR(INDEX(직원목록!$C$3:$C$302,MATCH($B322,직원목록!$A$3:$A$302,0)),""))</f>
        <v/>
      </c>
      <c r="E322" s="14"/>
      <c r="F322" s="14"/>
      <c r="G322" s="15"/>
      <c r="H322" s="16" t="str">
        <f aca="false">IF(OR($K322="",$L322=""),"",ROUND(MAX(0,($L322-$K322)-IF($G322="",0,$G322))/60,2))</f>
        <v/>
      </c>
      <c r="I322" s="8"/>
      <c r="J322" s="8"/>
      <c r="K322" s="17" t="str">
        <f aca="false">IF($E322="","",IF($E322&lt;1,ROUND($E322*1440,0),INT($E322/100)*60+MOD($E322,100)))</f>
        <v/>
      </c>
      <c r="L322" s="17" t="str">
        <f aca="false">IF($F322="","",IF($F322&lt;1,ROUND($F322*1440,0),INT($F322/100)*60+MOD($F322,100)))</f>
        <v/>
      </c>
    </row>
    <row r="323" customFormat="false" ht="15" hidden="false" customHeight="true" outlineLevel="0" collapsed="false">
      <c r="A323" s="10"/>
      <c r="B323" s="8"/>
      <c r="C323" s="13" t="str">
        <f aca="false">IF($B323="","",IFERROR(INDEX(직원목록!$B$3:$B$302,MATCH($B323,직원목록!$A$3:$A$302,0)),"미등록사번"))</f>
        <v/>
      </c>
      <c r="D323" s="13" t="str">
        <f aca="false">IF($B323="","",IFERROR(INDEX(직원목록!$C$3:$C$302,MATCH($B323,직원목록!$A$3:$A$302,0)),""))</f>
        <v/>
      </c>
      <c r="E323" s="14"/>
      <c r="F323" s="14"/>
      <c r="G323" s="15"/>
      <c r="H323" s="16" t="str">
        <f aca="false">IF(OR($K323="",$L323=""),"",ROUND(MAX(0,($L323-$K323)-IF($G323="",0,$G323))/60,2))</f>
        <v/>
      </c>
      <c r="I323" s="8"/>
      <c r="J323" s="8"/>
      <c r="K323" s="17" t="str">
        <f aca="false">IF($E323="","",IF($E323&lt;1,ROUND($E323*1440,0),INT($E323/100)*60+MOD($E323,100)))</f>
        <v/>
      </c>
      <c r="L323" s="17" t="str">
        <f aca="false">IF($F323="","",IF($F323&lt;1,ROUND($F323*1440,0),INT($F323/100)*60+MOD($F323,100)))</f>
        <v/>
      </c>
    </row>
    <row r="324" customFormat="false" ht="15" hidden="false" customHeight="true" outlineLevel="0" collapsed="false">
      <c r="A324" s="10"/>
      <c r="B324" s="8"/>
      <c r="C324" s="13" t="str">
        <f aca="false">IF($B324="","",IFERROR(INDEX(직원목록!$B$3:$B$302,MATCH($B324,직원목록!$A$3:$A$302,0)),"미등록사번"))</f>
        <v/>
      </c>
      <c r="D324" s="13" t="str">
        <f aca="false">IF($B324="","",IFERROR(INDEX(직원목록!$C$3:$C$302,MATCH($B324,직원목록!$A$3:$A$302,0)),""))</f>
        <v/>
      </c>
      <c r="E324" s="14"/>
      <c r="F324" s="14"/>
      <c r="G324" s="15"/>
      <c r="H324" s="16" t="str">
        <f aca="false">IF(OR($K324="",$L324=""),"",ROUND(MAX(0,($L324-$K324)-IF($G324="",0,$G324))/60,2))</f>
        <v/>
      </c>
      <c r="I324" s="8"/>
      <c r="J324" s="8"/>
      <c r="K324" s="17" t="str">
        <f aca="false">IF($E324="","",IF($E324&lt;1,ROUND($E324*1440,0),INT($E324/100)*60+MOD($E324,100)))</f>
        <v/>
      </c>
      <c r="L324" s="17" t="str">
        <f aca="false">IF($F324="","",IF($F324&lt;1,ROUND($F324*1440,0),INT($F324/100)*60+MOD($F324,100)))</f>
        <v/>
      </c>
    </row>
    <row r="325" customFormat="false" ht="15" hidden="false" customHeight="true" outlineLevel="0" collapsed="false">
      <c r="A325" s="10"/>
      <c r="B325" s="8"/>
      <c r="C325" s="13" t="str">
        <f aca="false">IF($B325="","",IFERROR(INDEX(직원목록!$B$3:$B$302,MATCH($B325,직원목록!$A$3:$A$302,0)),"미등록사번"))</f>
        <v/>
      </c>
      <c r="D325" s="13" t="str">
        <f aca="false">IF($B325="","",IFERROR(INDEX(직원목록!$C$3:$C$302,MATCH($B325,직원목록!$A$3:$A$302,0)),""))</f>
        <v/>
      </c>
      <c r="E325" s="14"/>
      <c r="F325" s="14"/>
      <c r="G325" s="15"/>
      <c r="H325" s="16" t="str">
        <f aca="false">IF(OR($K325="",$L325=""),"",ROUND(MAX(0,($L325-$K325)-IF($G325="",0,$G325))/60,2))</f>
        <v/>
      </c>
      <c r="I325" s="8"/>
      <c r="J325" s="8"/>
      <c r="K325" s="17" t="str">
        <f aca="false">IF($E325="","",IF($E325&lt;1,ROUND($E325*1440,0),INT($E325/100)*60+MOD($E325,100)))</f>
        <v/>
      </c>
      <c r="L325" s="17" t="str">
        <f aca="false">IF($F325="","",IF($F325&lt;1,ROUND($F325*1440,0),INT($F325/100)*60+MOD($F325,100)))</f>
        <v/>
      </c>
    </row>
    <row r="326" customFormat="false" ht="15" hidden="false" customHeight="true" outlineLevel="0" collapsed="false">
      <c r="A326" s="10"/>
      <c r="B326" s="8"/>
      <c r="C326" s="13" t="str">
        <f aca="false">IF($B326="","",IFERROR(INDEX(직원목록!$B$3:$B$302,MATCH($B326,직원목록!$A$3:$A$302,0)),"미등록사번"))</f>
        <v/>
      </c>
      <c r="D326" s="13" t="str">
        <f aca="false">IF($B326="","",IFERROR(INDEX(직원목록!$C$3:$C$302,MATCH($B326,직원목록!$A$3:$A$302,0)),""))</f>
        <v/>
      </c>
      <c r="E326" s="14"/>
      <c r="F326" s="14"/>
      <c r="G326" s="15"/>
      <c r="H326" s="16" t="str">
        <f aca="false">IF(OR($K326="",$L326=""),"",ROUND(MAX(0,($L326-$K326)-IF($G326="",0,$G326))/60,2))</f>
        <v/>
      </c>
      <c r="I326" s="8"/>
      <c r="J326" s="8"/>
      <c r="K326" s="17" t="str">
        <f aca="false">IF($E326="","",IF($E326&lt;1,ROUND($E326*1440,0),INT($E326/100)*60+MOD($E326,100)))</f>
        <v/>
      </c>
      <c r="L326" s="17" t="str">
        <f aca="false">IF($F326="","",IF($F326&lt;1,ROUND($F326*1440,0),INT($F326/100)*60+MOD($F326,100)))</f>
        <v/>
      </c>
    </row>
    <row r="327" customFormat="false" ht="15" hidden="false" customHeight="true" outlineLevel="0" collapsed="false">
      <c r="A327" s="10"/>
      <c r="B327" s="8"/>
      <c r="C327" s="13" t="str">
        <f aca="false">IF($B327="","",IFERROR(INDEX(직원목록!$B$3:$B$302,MATCH($B327,직원목록!$A$3:$A$302,0)),"미등록사번"))</f>
        <v/>
      </c>
      <c r="D327" s="13" t="str">
        <f aca="false">IF($B327="","",IFERROR(INDEX(직원목록!$C$3:$C$302,MATCH($B327,직원목록!$A$3:$A$302,0)),""))</f>
        <v/>
      </c>
      <c r="E327" s="14"/>
      <c r="F327" s="14"/>
      <c r="G327" s="15"/>
      <c r="H327" s="16" t="str">
        <f aca="false">IF(OR($K327="",$L327=""),"",ROUND(MAX(0,($L327-$K327)-IF($G327="",0,$G327))/60,2))</f>
        <v/>
      </c>
      <c r="I327" s="8"/>
      <c r="J327" s="8"/>
      <c r="K327" s="17" t="str">
        <f aca="false">IF($E327="","",IF($E327&lt;1,ROUND($E327*1440,0),INT($E327/100)*60+MOD($E327,100)))</f>
        <v/>
      </c>
      <c r="L327" s="17" t="str">
        <f aca="false">IF($F327="","",IF($F327&lt;1,ROUND($F327*1440,0),INT($F327/100)*60+MOD($F327,100)))</f>
        <v/>
      </c>
    </row>
    <row r="328" customFormat="false" ht="15" hidden="false" customHeight="true" outlineLevel="0" collapsed="false">
      <c r="A328" s="10"/>
      <c r="B328" s="8"/>
      <c r="C328" s="13" t="str">
        <f aca="false">IF($B328="","",IFERROR(INDEX(직원목록!$B$3:$B$302,MATCH($B328,직원목록!$A$3:$A$302,0)),"미등록사번"))</f>
        <v/>
      </c>
      <c r="D328" s="13" t="str">
        <f aca="false">IF($B328="","",IFERROR(INDEX(직원목록!$C$3:$C$302,MATCH($B328,직원목록!$A$3:$A$302,0)),""))</f>
        <v/>
      </c>
      <c r="E328" s="14"/>
      <c r="F328" s="14"/>
      <c r="G328" s="15"/>
      <c r="H328" s="16" t="str">
        <f aca="false">IF(OR($K328="",$L328=""),"",ROUND(MAX(0,($L328-$K328)-IF($G328="",0,$G328))/60,2))</f>
        <v/>
      </c>
      <c r="I328" s="8"/>
      <c r="J328" s="8"/>
      <c r="K328" s="17" t="str">
        <f aca="false">IF($E328="","",IF($E328&lt;1,ROUND($E328*1440,0),INT($E328/100)*60+MOD($E328,100)))</f>
        <v/>
      </c>
      <c r="L328" s="17" t="str">
        <f aca="false">IF($F328="","",IF($F328&lt;1,ROUND($F328*1440,0),INT($F328/100)*60+MOD($F328,100)))</f>
        <v/>
      </c>
    </row>
    <row r="329" customFormat="false" ht="15" hidden="false" customHeight="true" outlineLevel="0" collapsed="false">
      <c r="A329" s="10"/>
      <c r="B329" s="8"/>
      <c r="C329" s="13" t="str">
        <f aca="false">IF($B329="","",IFERROR(INDEX(직원목록!$B$3:$B$302,MATCH($B329,직원목록!$A$3:$A$302,0)),"미등록사번"))</f>
        <v/>
      </c>
      <c r="D329" s="13" t="str">
        <f aca="false">IF($B329="","",IFERROR(INDEX(직원목록!$C$3:$C$302,MATCH($B329,직원목록!$A$3:$A$302,0)),""))</f>
        <v/>
      </c>
      <c r="E329" s="14"/>
      <c r="F329" s="14"/>
      <c r="G329" s="15"/>
      <c r="H329" s="16" t="str">
        <f aca="false">IF(OR($K329="",$L329=""),"",ROUND(MAX(0,($L329-$K329)-IF($G329="",0,$G329))/60,2))</f>
        <v/>
      </c>
      <c r="I329" s="8"/>
      <c r="J329" s="8"/>
      <c r="K329" s="17" t="str">
        <f aca="false">IF($E329="","",IF($E329&lt;1,ROUND($E329*1440,0),INT($E329/100)*60+MOD($E329,100)))</f>
        <v/>
      </c>
      <c r="L329" s="17" t="str">
        <f aca="false">IF($F329="","",IF($F329&lt;1,ROUND($F329*1440,0),INT($F329/100)*60+MOD($F329,100)))</f>
        <v/>
      </c>
    </row>
    <row r="330" customFormat="false" ht="15" hidden="false" customHeight="true" outlineLevel="0" collapsed="false">
      <c r="A330" s="10"/>
      <c r="B330" s="8"/>
      <c r="C330" s="13" t="str">
        <f aca="false">IF($B330="","",IFERROR(INDEX(직원목록!$B$3:$B$302,MATCH($B330,직원목록!$A$3:$A$302,0)),"미등록사번"))</f>
        <v/>
      </c>
      <c r="D330" s="13" t="str">
        <f aca="false">IF($B330="","",IFERROR(INDEX(직원목록!$C$3:$C$302,MATCH($B330,직원목록!$A$3:$A$302,0)),""))</f>
        <v/>
      </c>
      <c r="E330" s="14"/>
      <c r="F330" s="14"/>
      <c r="G330" s="15"/>
      <c r="H330" s="16" t="str">
        <f aca="false">IF(OR($K330="",$L330=""),"",ROUND(MAX(0,($L330-$K330)-IF($G330="",0,$G330))/60,2))</f>
        <v/>
      </c>
      <c r="I330" s="8"/>
      <c r="J330" s="8"/>
      <c r="K330" s="17" t="str">
        <f aca="false">IF($E330="","",IF($E330&lt;1,ROUND($E330*1440,0),INT($E330/100)*60+MOD($E330,100)))</f>
        <v/>
      </c>
      <c r="L330" s="17" t="str">
        <f aca="false">IF($F330="","",IF($F330&lt;1,ROUND($F330*1440,0),INT($F330/100)*60+MOD($F330,100)))</f>
        <v/>
      </c>
    </row>
    <row r="331" customFormat="false" ht="15" hidden="false" customHeight="true" outlineLevel="0" collapsed="false">
      <c r="A331" s="10"/>
      <c r="B331" s="8"/>
      <c r="C331" s="13" t="str">
        <f aca="false">IF($B331="","",IFERROR(INDEX(직원목록!$B$3:$B$302,MATCH($B331,직원목록!$A$3:$A$302,0)),"미등록사번"))</f>
        <v/>
      </c>
      <c r="D331" s="13" t="str">
        <f aca="false">IF($B331="","",IFERROR(INDEX(직원목록!$C$3:$C$302,MATCH($B331,직원목록!$A$3:$A$302,0)),""))</f>
        <v/>
      </c>
      <c r="E331" s="14"/>
      <c r="F331" s="14"/>
      <c r="G331" s="15"/>
      <c r="H331" s="16" t="str">
        <f aca="false">IF(OR($K331="",$L331=""),"",ROUND(MAX(0,($L331-$K331)-IF($G331="",0,$G331))/60,2))</f>
        <v/>
      </c>
      <c r="I331" s="8"/>
      <c r="J331" s="8"/>
      <c r="K331" s="17" t="str">
        <f aca="false">IF($E331="","",IF($E331&lt;1,ROUND($E331*1440,0),INT($E331/100)*60+MOD($E331,100)))</f>
        <v/>
      </c>
      <c r="L331" s="17" t="str">
        <f aca="false">IF($F331="","",IF($F331&lt;1,ROUND($F331*1440,0),INT($F331/100)*60+MOD($F331,100)))</f>
        <v/>
      </c>
    </row>
    <row r="332" customFormat="false" ht="15" hidden="false" customHeight="true" outlineLevel="0" collapsed="false">
      <c r="A332" s="10"/>
      <c r="B332" s="8"/>
      <c r="C332" s="13" t="str">
        <f aca="false">IF($B332="","",IFERROR(INDEX(직원목록!$B$3:$B$302,MATCH($B332,직원목록!$A$3:$A$302,0)),"미등록사번"))</f>
        <v/>
      </c>
      <c r="D332" s="13" t="str">
        <f aca="false">IF($B332="","",IFERROR(INDEX(직원목록!$C$3:$C$302,MATCH($B332,직원목록!$A$3:$A$302,0)),""))</f>
        <v/>
      </c>
      <c r="E332" s="14"/>
      <c r="F332" s="14"/>
      <c r="G332" s="15"/>
      <c r="H332" s="16" t="str">
        <f aca="false">IF(OR($K332="",$L332=""),"",ROUND(MAX(0,($L332-$K332)-IF($G332="",0,$G332))/60,2))</f>
        <v/>
      </c>
      <c r="I332" s="8"/>
      <c r="J332" s="8"/>
      <c r="K332" s="17" t="str">
        <f aca="false">IF($E332="","",IF($E332&lt;1,ROUND($E332*1440,0),INT($E332/100)*60+MOD($E332,100)))</f>
        <v/>
      </c>
      <c r="L332" s="17" t="str">
        <f aca="false">IF($F332="","",IF($F332&lt;1,ROUND($F332*1440,0),INT($F332/100)*60+MOD($F332,100)))</f>
        <v/>
      </c>
    </row>
    <row r="333" customFormat="false" ht="15" hidden="false" customHeight="true" outlineLevel="0" collapsed="false">
      <c r="A333" s="10"/>
      <c r="B333" s="8"/>
      <c r="C333" s="13" t="str">
        <f aca="false">IF($B333="","",IFERROR(INDEX(직원목록!$B$3:$B$302,MATCH($B333,직원목록!$A$3:$A$302,0)),"미등록사번"))</f>
        <v/>
      </c>
      <c r="D333" s="13" t="str">
        <f aca="false">IF($B333="","",IFERROR(INDEX(직원목록!$C$3:$C$302,MATCH($B333,직원목록!$A$3:$A$302,0)),""))</f>
        <v/>
      </c>
      <c r="E333" s="14"/>
      <c r="F333" s="14"/>
      <c r="G333" s="15"/>
      <c r="H333" s="16" t="str">
        <f aca="false">IF(OR($K333="",$L333=""),"",ROUND(MAX(0,($L333-$K333)-IF($G333="",0,$G333))/60,2))</f>
        <v/>
      </c>
      <c r="I333" s="8"/>
      <c r="J333" s="8"/>
      <c r="K333" s="17" t="str">
        <f aca="false">IF($E333="","",IF($E333&lt;1,ROUND($E333*1440,0),INT($E333/100)*60+MOD($E333,100)))</f>
        <v/>
      </c>
      <c r="L333" s="17" t="str">
        <f aca="false">IF($F333="","",IF($F333&lt;1,ROUND($F333*1440,0),INT($F333/100)*60+MOD($F333,100)))</f>
        <v/>
      </c>
    </row>
    <row r="334" customFormat="false" ht="15" hidden="false" customHeight="true" outlineLevel="0" collapsed="false">
      <c r="A334" s="10"/>
      <c r="B334" s="8"/>
      <c r="C334" s="13" t="str">
        <f aca="false">IF($B334="","",IFERROR(INDEX(직원목록!$B$3:$B$302,MATCH($B334,직원목록!$A$3:$A$302,0)),"미등록사번"))</f>
        <v/>
      </c>
      <c r="D334" s="13" t="str">
        <f aca="false">IF($B334="","",IFERROR(INDEX(직원목록!$C$3:$C$302,MATCH($B334,직원목록!$A$3:$A$302,0)),""))</f>
        <v/>
      </c>
      <c r="E334" s="14"/>
      <c r="F334" s="14"/>
      <c r="G334" s="15"/>
      <c r="H334" s="16" t="str">
        <f aca="false">IF(OR($K334="",$L334=""),"",ROUND(MAX(0,($L334-$K334)-IF($G334="",0,$G334))/60,2))</f>
        <v/>
      </c>
      <c r="I334" s="8"/>
      <c r="J334" s="8"/>
      <c r="K334" s="17" t="str">
        <f aca="false">IF($E334="","",IF($E334&lt;1,ROUND($E334*1440,0),INT($E334/100)*60+MOD($E334,100)))</f>
        <v/>
      </c>
      <c r="L334" s="17" t="str">
        <f aca="false">IF($F334="","",IF($F334&lt;1,ROUND($F334*1440,0),INT($F334/100)*60+MOD($F334,100)))</f>
        <v/>
      </c>
    </row>
    <row r="335" customFormat="false" ht="15" hidden="false" customHeight="true" outlineLevel="0" collapsed="false">
      <c r="A335" s="10"/>
      <c r="B335" s="8"/>
      <c r="C335" s="13" t="str">
        <f aca="false">IF($B335="","",IFERROR(INDEX(직원목록!$B$3:$B$302,MATCH($B335,직원목록!$A$3:$A$302,0)),"미등록사번"))</f>
        <v/>
      </c>
      <c r="D335" s="13" t="str">
        <f aca="false">IF($B335="","",IFERROR(INDEX(직원목록!$C$3:$C$302,MATCH($B335,직원목록!$A$3:$A$302,0)),""))</f>
        <v/>
      </c>
      <c r="E335" s="14"/>
      <c r="F335" s="14"/>
      <c r="G335" s="15"/>
      <c r="H335" s="16" t="str">
        <f aca="false">IF(OR($K335="",$L335=""),"",ROUND(MAX(0,($L335-$K335)-IF($G335="",0,$G335))/60,2))</f>
        <v/>
      </c>
      <c r="I335" s="8"/>
      <c r="J335" s="8"/>
      <c r="K335" s="17" t="str">
        <f aca="false">IF($E335="","",IF($E335&lt;1,ROUND($E335*1440,0),INT($E335/100)*60+MOD($E335,100)))</f>
        <v/>
      </c>
      <c r="L335" s="17" t="str">
        <f aca="false">IF($F335="","",IF($F335&lt;1,ROUND($F335*1440,0),INT($F335/100)*60+MOD($F335,100)))</f>
        <v/>
      </c>
    </row>
    <row r="336" customFormat="false" ht="15" hidden="false" customHeight="true" outlineLevel="0" collapsed="false">
      <c r="A336" s="10"/>
      <c r="B336" s="8"/>
      <c r="C336" s="13" t="str">
        <f aca="false">IF($B336="","",IFERROR(INDEX(직원목록!$B$3:$B$302,MATCH($B336,직원목록!$A$3:$A$302,0)),"미등록사번"))</f>
        <v/>
      </c>
      <c r="D336" s="13" t="str">
        <f aca="false">IF($B336="","",IFERROR(INDEX(직원목록!$C$3:$C$302,MATCH($B336,직원목록!$A$3:$A$302,0)),""))</f>
        <v/>
      </c>
      <c r="E336" s="14"/>
      <c r="F336" s="14"/>
      <c r="G336" s="15"/>
      <c r="H336" s="16" t="str">
        <f aca="false">IF(OR($K336="",$L336=""),"",ROUND(MAX(0,($L336-$K336)-IF($G336="",0,$G336))/60,2))</f>
        <v/>
      </c>
      <c r="I336" s="8"/>
      <c r="J336" s="8"/>
      <c r="K336" s="17" t="str">
        <f aca="false">IF($E336="","",IF($E336&lt;1,ROUND($E336*1440,0),INT($E336/100)*60+MOD($E336,100)))</f>
        <v/>
      </c>
      <c r="L336" s="17" t="str">
        <f aca="false">IF($F336="","",IF($F336&lt;1,ROUND($F336*1440,0),INT($F336/100)*60+MOD($F336,100)))</f>
        <v/>
      </c>
    </row>
    <row r="337" customFormat="false" ht="15" hidden="false" customHeight="true" outlineLevel="0" collapsed="false">
      <c r="A337" s="10"/>
      <c r="B337" s="8"/>
      <c r="C337" s="13" t="str">
        <f aca="false">IF($B337="","",IFERROR(INDEX(직원목록!$B$3:$B$302,MATCH($B337,직원목록!$A$3:$A$302,0)),"미등록사번"))</f>
        <v/>
      </c>
      <c r="D337" s="13" t="str">
        <f aca="false">IF($B337="","",IFERROR(INDEX(직원목록!$C$3:$C$302,MATCH($B337,직원목록!$A$3:$A$302,0)),""))</f>
        <v/>
      </c>
      <c r="E337" s="14"/>
      <c r="F337" s="14"/>
      <c r="G337" s="15"/>
      <c r="H337" s="16" t="str">
        <f aca="false">IF(OR($K337="",$L337=""),"",ROUND(MAX(0,($L337-$K337)-IF($G337="",0,$G337))/60,2))</f>
        <v/>
      </c>
      <c r="I337" s="8"/>
      <c r="J337" s="8"/>
      <c r="K337" s="17" t="str">
        <f aca="false">IF($E337="","",IF($E337&lt;1,ROUND($E337*1440,0),INT($E337/100)*60+MOD($E337,100)))</f>
        <v/>
      </c>
      <c r="L337" s="17" t="str">
        <f aca="false">IF($F337="","",IF($F337&lt;1,ROUND($F337*1440,0),INT($F337/100)*60+MOD($F337,100)))</f>
        <v/>
      </c>
    </row>
    <row r="338" customFormat="false" ht="15" hidden="false" customHeight="true" outlineLevel="0" collapsed="false">
      <c r="A338" s="10"/>
      <c r="B338" s="8"/>
      <c r="C338" s="13" t="str">
        <f aca="false">IF($B338="","",IFERROR(INDEX(직원목록!$B$3:$B$302,MATCH($B338,직원목록!$A$3:$A$302,0)),"미등록사번"))</f>
        <v/>
      </c>
      <c r="D338" s="13" t="str">
        <f aca="false">IF($B338="","",IFERROR(INDEX(직원목록!$C$3:$C$302,MATCH($B338,직원목록!$A$3:$A$302,0)),""))</f>
        <v/>
      </c>
      <c r="E338" s="14"/>
      <c r="F338" s="14"/>
      <c r="G338" s="15"/>
      <c r="H338" s="16" t="str">
        <f aca="false">IF(OR($K338="",$L338=""),"",ROUND(MAX(0,($L338-$K338)-IF($G338="",0,$G338))/60,2))</f>
        <v/>
      </c>
      <c r="I338" s="8"/>
      <c r="J338" s="8"/>
      <c r="K338" s="17" t="str">
        <f aca="false">IF($E338="","",IF($E338&lt;1,ROUND($E338*1440,0),INT($E338/100)*60+MOD($E338,100)))</f>
        <v/>
      </c>
      <c r="L338" s="17" t="str">
        <f aca="false">IF($F338="","",IF($F338&lt;1,ROUND($F338*1440,0),INT($F338/100)*60+MOD($F338,100)))</f>
        <v/>
      </c>
    </row>
    <row r="339" customFormat="false" ht="15" hidden="false" customHeight="true" outlineLevel="0" collapsed="false">
      <c r="A339" s="10"/>
      <c r="B339" s="8"/>
      <c r="C339" s="13" t="str">
        <f aca="false">IF($B339="","",IFERROR(INDEX(직원목록!$B$3:$B$302,MATCH($B339,직원목록!$A$3:$A$302,0)),"미등록사번"))</f>
        <v/>
      </c>
      <c r="D339" s="13" t="str">
        <f aca="false">IF($B339="","",IFERROR(INDEX(직원목록!$C$3:$C$302,MATCH($B339,직원목록!$A$3:$A$302,0)),""))</f>
        <v/>
      </c>
      <c r="E339" s="14"/>
      <c r="F339" s="14"/>
      <c r="G339" s="15"/>
      <c r="H339" s="16" t="str">
        <f aca="false">IF(OR($K339="",$L339=""),"",ROUND(MAX(0,($L339-$K339)-IF($G339="",0,$G339))/60,2))</f>
        <v/>
      </c>
      <c r="I339" s="8"/>
      <c r="J339" s="8"/>
      <c r="K339" s="17" t="str">
        <f aca="false">IF($E339="","",IF($E339&lt;1,ROUND($E339*1440,0),INT($E339/100)*60+MOD($E339,100)))</f>
        <v/>
      </c>
      <c r="L339" s="17" t="str">
        <f aca="false">IF($F339="","",IF($F339&lt;1,ROUND($F339*1440,0),INT($F339/100)*60+MOD($F339,100)))</f>
        <v/>
      </c>
    </row>
    <row r="340" customFormat="false" ht="15" hidden="false" customHeight="true" outlineLevel="0" collapsed="false">
      <c r="A340" s="10"/>
      <c r="B340" s="8"/>
      <c r="C340" s="13" t="str">
        <f aca="false">IF($B340="","",IFERROR(INDEX(직원목록!$B$3:$B$302,MATCH($B340,직원목록!$A$3:$A$302,0)),"미등록사번"))</f>
        <v/>
      </c>
      <c r="D340" s="13" t="str">
        <f aca="false">IF($B340="","",IFERROR(INDEX(직원목록!$C$3:$C$302,MATCH($B340,직원목록!$A$3:$A$302,0)),""))</f>
        <v/>
      </c>
      <c r="E340" s="14"/>
      <c r="F340" s="14"/>
      <c r="G340" s="15"/>
      <c r="H340" s="16" t="str">
        <f aca="false">IF(OR($K340="",$L340=""),"",ROUND(MAX(0,($L340-$K340)-IF($G340="",0,$G340))/60,2))</f>
        <v/>
      </c>
      <c r="I340" s="8"/>
      <c r="J340" s="8"/>
      <c r="K340" s="17" t="str">
        <f aca="false">IF($E340="","",IF($E340&lt;1,ROUND($E340*1440,0),INT($E340/100)*60+MOD($E340,100)))</f>
        <v/>
      </c>
      <c r="L340" s="17" t="str">
        <f aca="false">IF($F340="","",IF($F340&lt;1,ROUND($F340*1440,0),INT($F340/100)*60+MOD($F340,100)))</f>
        <v/>
      </c>
    </row>
    <row r="341" customFormat="false" ht="15" hidden="false" customHeight="true" outlineLevel="0" collapsed="false">
      <c r="A341" s="10"/>
      <c r="B341" s="8"/>
      <c r="C341" s="13" t="str">
        <f aca="false">IF($B341="","",IFERROR(INDEX(직원목록!$B$3:$B$302,MATCH($B341,직원목록!$A$3:$A$302,0)),"미등록사번"))</f>
        <v/>
      </c>
      <c r="D341" s="13" t="str">
        <f aca="false">IF($B341="","",IFERROR(INDEX(직원목록!$C$3:$C$302,MATCH($B341,직원목록!$A$3:$A$302,0)),""))</f>
        <v/>
      </c>
      <c r="E341" s="14"/>
      <c r="F341" s="14"/>
      <c r="G341" s="15"/>
      <c r="H341" s="16" t="str">
        <f aca="false">IF(OR($K341="",$L341=""),"",ROUND(MAX(0,($L341-$K341)-IF($G341="",0,$G341))/60,2))</f>
        <v/>
      </c>
      <c r="I341" s="8"/>
      <c r="J341" s="8"/>
      <c r="K341" s="17" t="str">
        <f aca="false">IF($E341="","",IF($E341&lt;1,ROUND($E341*1440,0),INT($E341/100)*60+MOD($E341,100)))</f>
        <v/>
      </c>
      <c r="L341" s="17" t="str">
        <f aca="false">IF($F341="","",IF($F341&lt;1,ROUND($F341*1440,0),INT($F341/100)*60+MOD($F341,100)))</f>
        <v/>
      </c>
    </row>
    <row r="342" customFormat="false" ht="15" hidden="false" customHeight="true" outlineLevel="0" collapsed="false">
      <c r="A342" s="10"/>
      <c r="B342" s="8"/>
      <c r="C342" s="13" t="str">
        <f aca="false">IF($B342="","",IFERROR(INDEX(직원목록!$B$3:$B$302,MATCH($B342,직원목록!$A$3:$A$302,0)),"미등록사번"))</f>
        <v/>
      </c>
      <c r="D342" s="13" t="str">
        <f aca="false">IF($B342="","",IFERROR(INDEX(직원목록!$C$3:$C$302,MATCH($B342,직원목록!$A$3:$A$302,0)),""))</f>
        <v/>
      </c>
      <c r="E342" s="14"/>
      <c r="F342" s="14"/>
      <c r="G342" s="15"/>
      <c r="H342" s="16" t="str">
        <f aca="false">IF(OR($K342="",$L342=""),"",ROUND(MAX(0,($L342-$K342)-IF($G342="",0,$G342))/60,2))</f>
        <v/>
      </c>
      <c r="I342" s="8"/>
      <c r="J342" s="8"/>
      <c r="K342" s="17" t="str">
        <f aca="false">IF($E342="","",IF($E342&lt;1,ROUND($E342*1440,0),INT($E342/100)*60+MOD($E342,100)))</f>
        <v/>
      </c>
      <c r="L342" s="17" t="str">
        <f aca="false">IF($F342="","",IF($F342&lt;1,ROUND($F342*1440,0),INT($F342/100)*60+MOD($F342,100)))</f>
        <v/>
      </c>
    </row>
    <row r="343" customFormat="false" ht="15" hidden="false" customHeight="true" outlineLevel="0" collapsed="false">
      <c r="A343" s="10"/>
      <c r="B343" s="8"/>
      <c r="C343" s="13" t="str">
        <f aca="false">IF($B343="","",IFERROR(INDEX(직원목록!$B$3:$B$302,MATCH($B343,직원목록!$A$3:$A$302,0)),"미등록사번"))</f>
        <v/>
      </c>
      <c r="D343" s="13" t="str">
        <f aca="false">IF($B343="","",IFERROR(INDEX(직원목록!$C$3:$C$302,MATCH($B343,직원목록!$A$3:$A$302,0)),""))</f>
        <v/>
      </c>
      <c r="E343" s="14"/>
      <c r="F343" s="14"/>
      <c r="G343" s="15"/>
      <c r="H343" s="16" t="str">
        <f aca="false">IF(OR($K343="",$L343=""),"",ROUND(MAX(0,($L343-$K343)-IF($G343="",0,$G343))/60,2))</f>
        <v/>
      </c>
      <c r="I343" s="8"/>
      <c r="J343" s="8"/>
      <c r="K343" s="17" t="str">
        <f aca="false">IF($E343="","",IF($E343&lt;1,ROUND($E343*1440,0),INT($E343/100)*60+MOD($E343,100)))</f>
        <v/>
      </c>
      <c r="L343" s="17" t="str">
        <f aca="false">IF($F343="","",IF($F343&lt;1,ROUND($F343*1440,0),INT($F343/100)*60+MOD($F343,100)))</f>
        <v/>
      </c>
    </row>
    <row r="344" customFormat="false" ht="15" hidden="false" customHeight="true" outlineLevel="0" collapsed="false">
      <c r="A344" s="10"/>
      <c r="B344" s="8"/>
      <c r="C344" s="13" t="str">
        <f aca="false">IF($B344="","",IFERROR(INDEX(직원목록!$B$3:$B$302,MATCH($B344,직원목록!$A$3:$A$302,0)),"미등록사번"))</f>
        <v/>
      </c>
      <c r="D344" s="13" t="str">
        <f aca="false">IF($B344="","",IFERROR(INDEX(직원목록!$C$3:$C$302,MATCH($B344,직원목록!$A$3:$A$302,0)),""))</f>
        <v/>
      </c>
      <c r="E344" s="14"/>
      <c r="F344" s="14"/>
      <c r="G344" s="15"/>
      <c r="H344" s="16" t="str">
        <f aca="false">IF(OR($K344="",$L344=""),"",ROUND(MAX(0,($L344-$K344)-IF($G344="",0,$G344))/60,2))</f>
        <v/>
      </c>
      <c r="I344" s="8"/>
      <c r="J344" s="8"/>
      <c r="K344" s="17" t="str">
        <f aca="false">IF($E344="","",IF($E344&lt;1,ROUND($E344*1440,0),INT($E344/100)*60+MOD($E344,100)))</f>
        <v/>
      </c>
      <c r="L344" s="17" t="str">
        <f aca="false">IF($F344="","",IF($F344&lt;1,ROUND($F344*1440,0),INT($F344/100)*60+MOD($F344,100)))</f>
        <v/>
      </c>
    </row>
    <row r="345" customFormat="false" ht="15" hidden="false" customHeight="true" outlineLevel="0" collapsed="false">
      <c r="A345" s="10"/>
      <c r="B345" s="8"/>
      <c r="C345" s="13" t="str">
        <f aca="false">IF($B345="","",IFERROR(INDEX(직원목록!$B$3:$B$302,MATCH($B345,직원목록!$A$3:$A$302,0)),"미등록사번"))</f>
        <v/>
      </c>
      <c r="D345" s="13" t="str">
        <f aca="false">IF($B345="","",IFERROR(INDEX(직원목록!$C$3:$C$302,MATCH($B345,직원목록!$A$3:$A$302,0)),""))</f>
        <v/>
      </c>
      <c r="E345" s="14"/>
      <c r="F345" s="14"/>
      <c r="G345" s="15"/>
      <c r="H345" s="16" t="str">
        <f aca="false">IF(OR($K345="",$L345=""),"",ROUND(MAX(0,($L345-$K345)-IF($G345="",0,$G345))/60,2))</f>
        <v/>
      </c>
      <c r="I345" s="8"/>
      <c r="J345" s="8"/>
      <c r="K345" s="17" t="str">
        <f aca="false">IF($E345="","",IF($E345&lt;1,ROUND($E345*1440,0),INT($E345/100)*60+MOD($E345,100)))</f>
        <v/>
      </c>
      <c r="L345" s="17" t="str">
        <f aca="false">IF($F345="","",IF($F345&lt;1,ROUND($F345*1440,0),INT($F345/100)*60+MOD($F345,100)))</f>
        <v/>
      </c>
    </row>
    <row r="346" customFormat="false" ht="15" hidden="false" customHeight="true" outlineLevel="0" collapsed="false">
      <c r="A346" s="10"/>
      <c r="B346" s="8"/>
      <c r="C346" s="13" t="str">
        <f aca="false">IF($B346="","",IFERROR(INDEX(직원목록!$B$3:$B$302,MATCH($B346,직원목록!$A$3:$A$302,0)),"미등록사번"))</f>
        <v/>
      </c>
      <c r="D346" s="13" t="str">
        <f aca="false">IF($B346="","",IFERROR(INDEX(직원목록!$C$3:$C$302,MATCH($B346,직원목록!$A$3:$A$302,0)),""))</f>
        <v/>
      </c>
      <c r="E346" s="14"/>
      <c r="F346" s="14"/>
      <c r="G346" s="15"/>
      <c r="H346" s="16" t="str">
        <f aca="false">IF(OR($K346="",$L346=""),"",ROUND(MAX(0,($L346-$K346)-IF($G346="",0,$G346))/60,2))</f>
        <v/>
      </c>
      <c r="I346" s="8"/>
      <c r="J346" s="8"/>
      <c r="K346" s="17" t="str">
        <f aca="false">IF($E346="","",IF($E346&lt;1,ROUND($E346*1440,0),INT($E346/100)*60+MOD($E346,100)))</f>
        <v/>
      </c>
      <c r="L346" s="17" t="str">
        <f aca="false">IF($F346="","",IF($F346&lt;1,ROUND($F346*1440,0),INT($F346/100)*60+MOD($F346,100)))</f>
        <v/>
      </c>
    </row>
    <row r="347" customFormat="false" ht="15" hidden="false" customHeight="true" outlineLevel="0" collapsed="false">
      <c r="A347" s="10"/>
      <c r="B347" s="8"/>
      <c r="C347" s="13" t="str">
        <f aca="false">IF($B347="","",IFERROR(INDEX(직원목록!$B$3:$B$302,MATCH($B347,직원목록!$A$3:$A$302,0)),"미등록사번"))</f>
        <v/>
      </c>
      <c r="D347" s="13" t="str">
        <f aca="false">IF($B347="","",IFERROR(INDEX(직원목록!$C$3:$C$302,MATCH($B347,직원목록!$A$3:$A$302,0)),""))</f>
        <v/>
      </c>
      <c r="E347" s="14"/>
      <c r="F347" s="14"/>
      <c r="G347" s="15"/>
      <c r="H347" s="16" t="str">
        <f aca="false">IF(OR($K347="",$L347=""),"",ROUND(MAX(0,($L347-$K347)-IF($G347="",0,$G347))/60,2))</f>
        <v/>
      </c>
      <c r="I347" s="8"/>
      <c r="J347" s="8"/>
      <c r="K347" s="17" t="str">
        <f aca="false">IF($E347="","",IF($E347&lt;1,ROUND($E347*1440,0),INT($E347/100)*60+MOD($E347,100)))</f>
        <v/>
      </c>
      <c r="L347" s="17" t="str">
        <f aca="false">IF($F347="","",IF($F347&lt;1,ROUND($F347*1440,0),INT($F347/100)*60+MOD($F347,100)))</f>
        <v/>
      </c>
    </row>
    <row r="348" customFormat="false" ht="15" hidden="false" customHeight="true" outlineLevel="0" collapsed="false">
      <c r="A348" s="10"/>
      <c r="B348" s="8"/>
      <c r="C348" s="13" t="str">
        <f aca="false">IF($B348="","",IFERROR(INDEX(직원목록!$B$3:$B$302,MATCH($B348,직원목록!$A$3:$A$302,0)),"미등록사번"))</f>
        <v/>
      </c>
      <c r="D348" s="13" t="str">
        <f aca="false">IF($B348="","",IFERROR(INDEX(직원목록!$C$3:$C$302,MATCH($B348,직원목록!$A$3:$A$302,0)),""))</f>
        <v/>
      </c>
      <c r="E348" s="14"/>
      <c r="F348" s="14"/>
      <c r="G348" s="15"/>
      <c r="H348" s="16" t="str">
        <f aca="false">IF(OR($K348="",$L348=""),"",ROUND(MAX(0,($L348-$K348)-IF($G348="",0,$G348))/60,2))</f>
        <v/>
      </c>
      <c r="I348" s="8"/>
      <c r="J348" s="8"/>
      <c r="K348" s="17" t="str">
        <f aca="false">IF($E348="","",IF($E348&lt;1,ROUND($E348*1440,0),INT($E348/100)*60+MOD($E348,100)))</f>
        <v/>
      </c>
      <c r="L348" s="17" t="str">
        <f aca="false">IF($F348="","",IF($F348&lt;1,ROUND($F348*1440,0),INT($F348/100)*60+MOD($F348,100)))</f>
        <v/>
      </c>
    </row>
    <row r="349" customFormat="false" ht="15" hidden="false" customHeight="true" outlineLevel="0" collapsed="false">
      <c r="A349" s="10"/>
      <c r="B349" s="8"/>
      <c r="C349" s="13" t="str">
        <f aca="false">IF($B349="","",IFERROR(INDEX(직원목록!$B$3:$B$302,MATCH($B349,직원목록!$A$3:$A$302,0)),"미등록사번"))</f>
        <v/>
      </c>
      <c r="D349" s="13" t="str">
        <f aca="false">IF($B349="","",IFERROR(INDEX(직원목록!$C$3:$C$302,MATCH($B349,직원목록!$A$3:$A$302,0)),""))</f>
        <v/>
      </c>
      <c r="E349" s="14"/>
      <c r="F349" s="14"/>
      <c r="G349" s="15"/>
      <c r="H349" s="16" t="str">
        <f aca="false">IF(OR($K349="",$L349=""),"",ROUND(MAX(0,($L349-$K349)-IF($G349="",0,$G349))/60,2))</f>
        <v/>
      </c>
      <c r="I349" s="8"/>
      <c r="J349" s="8"/>
      <c r="K349" s="17" t="str">
        <f aca="false">IF($E349="","",IF($E349&lt;1,ROUND($E349*1440,0),INT($E349/100)*60+MOD($E349,100)))</f>
        <v/>
      </c>
      <c r="L349" s="17" t="str">
        <f aca="false">IF($F349="","",IF($F349&lt;1,ROUND($F349*1440,0),INT($F349/100)*60+MOD($F349,100)))</f>
        <v/>
      </c>
    </row>
    <row r="350" customFormat="false" ht="15" hidden="false" customHeight="true" outlineLevel="0" collapsed="false">
      <c r="A350" s="10"/>
      <c r="B350" s="8"/>
      <c r="C350" s="13" t="str">
        <f aca="false">IF($B350="","",IFERROR(INDEX(직원목록!$B$3:$B$302,MATCH($B350,직원목록!$A$3:$A$302,0)),"미등록사번"))</f>
        <v/>
      </c>
      <c r="D350" s="13" t="str">
        <f aca="false">IF($B350="","",IFERROR(INDEX(직원목록!$C$3:$C$302,MATCH($B350,직원목록!$A$3:$A$302,0)),""))</f>
        <v/>
      </c>
      <c r="E350" s="14"/>
      <c r="F350" s="14"/>
      <c r="G350" s="15"/>
      <c r="H350" s="16" t="str">
        <f aca="false">IF(OR($K350="",$L350=""),"",ROUND(MAX(0,($L350-$K350)-IF($G350="",0,$G350))/60,2))</f>
        <v/>
      </c>
      <c r="I350" s="8"/>
      <c r="J350" s="8"/>
      <c r="K350" s="17" t="str">
        <f aca="false">IF($E350="","",IF($E350&lt;1,ROUND($E350*1440,0),INT($E350/100)*60+MOD($E350,100)))</f>
        <v/>
      </c>
      <c r="L350" s="17" t="str">
        <f aca="false">IF($F350="","",IF($F350&lt;1,ROUND($F350*1440,0),INT($F350/100)*60+MOD($F350,100)))</f>
        <v/>
      </c>
    </row>
    <row r="351" customFormat="false" ht="15" hidden="false" customHeight="true" outlineLevel="0" collapsed="false">
      <c r="A351" s="10"/>
      <c r="B351" s="8"/>
      <c r="C351" s="13" t="str">
        <f aca="false">IF($B351="","",IFERROR(INDEX(직원목록!$B$3:$B$302,MATCH($B351,직원목록!$A$3:$A$302,0)),"미등록사번"))</f>
        <v/>
      </c>
      <c r="D351" s="13" t="str">
        <f aca="false">IF($B351="","",IFERROR(INDEX(직원목록!$C$3:$C$302,MATCH($B351,직원목록!$A$3:$A$302,0)),""))</f>
        <v/>
      </c>
      <c r="E351" s="14"/>
      <c r="F351" s="14"/>
      <c r="G351" s="15"/>
      <c r="H351" s="16" t="str">
        <f aca="false">IF(OR($K351="",$L351=""),"",ROUND(MAX(0,($L351-$K351)-IF($G351="",0,$G351))/60,2))</f>
        <v/>
      </c>
      <c r="I351" s="8"/>
      <c r="J351" s="8"/>
      <c r="K351" s="17" t="str">
        <f aca="false">IF($E351="","",IF($E351&lt;1,ROUND($E351*1440,0),INT($E351/100)*60+MOD($E351,100)))</f>
        <v/>
      </c>
      <c r="L351" s="17" t="str">
        <f aca="false">IF($F351="","",IF($F351&lt;1,ROUND($F351*1440,0),INT($F351/100)*60+MOD($F351,100)))</f>
        <v/>
      </c>
    </row>
    <row r="352" customFormat="false" ht="15" hidden="false" customHeight="true" outlineLevel="0" collapsed="false">
      <c r="A352" s="10"/>
      <c r="B352" s="8"/>
      <c r="C352" s="13" t="str">
        <f aca="false">IF($B352="","",IFERROR(INDEX(직원목록!$B$3:$B$302,MATCH($B352,직원목록!$A$3:$A$302,0)),"미등록사번"))</f>
        <v/>
      </c>
      <c r="D352" s="13" t="str">
        <f aca="false">IF($B352="","",IFERROR(INDEX(직원목록!$C$3:$C$302,MATCH($B352,직원목록!$A$3:$A$302,0)),""))</f>
        <v/>
      </c>
      <c r="E352" s="14"/>
      <c r="F352" s="14"/>
      <c r="G352" s="15"/>
      <c r="H352" s="16" t="str">
        <f aca="false">IF(OR($K352="",$L352=""),"",ROUND(MAX(0,($L352-$K352)-IF($G352="",0,$G352))/60,2))</f>
        <v/>
      </c>
      <c r="I352" s="8"/>
      <c r="J352" s="8"/>
      <c r="K352" s="17" t="str">
        <f aca="false">IF($E352="","",IF($E352&lt;1,ROUND($E352*1440,0),INT($E352/100)*60+MOD($E352,100)))</f>
        <v/>
      </c>
      <c r="L352" s="17" t="str">
        <f aca="false">IF($F352="","",IF($F352&lt;1,ROUND($F352*1440,0),INT($F352/100)*60+MOD($F352,100)))</f>
        <v/>
      </c>
    </row>
    <row r="353" customFormat="false" ht="15" hidden="false" customHeight="true" outlineLevel="0" collapsed="false">
      <c r="A353" s="10"/>
      <c r="B353" s="8"/>
      <c r="C353" s="13" t="str">
        <f aca="false">IF($B353="","",IFERROR(INDEX(직원목록!$B$3:$B$302,MATCH($B353,직원목록!$A$3:$A$302,0)),"미등록사번"))</f>
        <v/>
      </c>
      <c r="D353" s="13" t="str">
        <f aca="false">IF($B353="","",IFERROR(INDEX(직원목록!$C$3:$C$302,MATCH($B353,직원목록!$A$3:$A$302,0)),""))</f>
        <v/>
      </c>
      <c r="E353" s="14"/>
      <c r="F353" s="14"/>
      <c r="G353" s="15"/>
      <c r="H353" s="16" t="str">
        <f aca="false">IF(OR($K353="",$L353=""),"",ROUND(MAX(0,($L353-$K353)-IF($G353="",0,$G353))/60,2))</f>
        <v/>
      </c>
      <c r="I353" s="8"/>
      <c r="J353" s="8"/>
      <c r="K353" s="17" t="str">
        <f aca="false">IF($E353="","",IF($E353&lt;1,ROUND($E353*1440,0),INT($E353/100)*60+MOD($E353,100)))</f>
        <v/>
      </c>
      <c r="L353" s="17" t="str">
        <f aca="false">IF($F353="","",IF($F353&lt;1,ROUND($F353*1440,0),INT($F353/100)*60+MOD($F353,100)))</f>
        <v/>
      </c>
    </row>
    <row r="354" customFormat="false" ht="15" hidden="false" customHeight="true" outlineLevel="0" collapsed="false">
      <c r="A354" s="10"/>
      <c r="B354" s="8"/>
      <c r="C354" s="13" t="str">
        <f aca="false">IF($B354="","",IFERROR(INDEX(직원목록!$B$3:$B$302,MATCH($B354,직원목록!$A$3:$A$302,0)),"미등록사번"))</f>
        <v/>
      </c>
      <c r="D354" s="13" t="str">
        <f aca="false">IF($B354="","",IFERROR(INDEX(직원목록!$C$3:$C$302,MATCH($B354,직원목록!$A$3:$A$302,0)),""))</f>
        <v/>
      </c>
      <c r="E354" s="14"/>
      <c r="F354" s="14"/>
      <c r="G354" s="15"/>
      <c r="H354" s="16" t="str">
        <f aca="false">IF(OR($K354="",$L354=""),"",ROUND(MAX(0,($L354-$K354)-IF($G354="",0,$G354))/60,2))</f>
        <v/>
      </c>
      <c r="I354" s="8"/>
      <c r="J354" s="8"/>
      <c r="K354" s="17" t="str">
        <f aca="false">IF($E354="","",IF($E354&lt;1,ROUND($E354*1440,0),INT($E354/100)*60+MOD($E354,100)))</f>
        <v/>
      </c>
      <c r="L354" s="17" t="str">
        <f aca="false">IF($F354="","",IF($F354&lt;1,ROUND($F354*1440,0),INT($F354/100)*60+MOD($F354,100)))</f>
        <v/>
      </c>
    </row>
    <row r="355" customFormat="false" ht="15" hidden="false" customHeight="true" outlineLevel="0" collapsed="false">
      <c r="A355" s="10"/>
      <c r="B355" s="8"/>
      <c r="C355" s="13" t="str">
        <f aca="false">IF($B355="","",IFERROR(INDEX(직원목록!$B$3:$B$302,MATCH($B355,직원목록!$A$3:$A$302,0)),"미등록사번"))</f>
        <v/>
      </c>
      <c r="D355" s="13" t="str">
        <f aca="false">IF($B355="","",IFERROR(INDEX(직원목록!$C$3:$C$302,MATCH($B355,직원목록!$A$3:$A$302,0)),""))</f>
        <v/>
      </c>
      <c r="E355" s="14"/>
      <c r="F355" s="14"/>
      <c r="G355" s="15"/>
      <c r="H355" s="16" t="str">
        <f aca="false">IF(OR($K355="",$L355=""),"",ROUND(MAX(0,($L355-$K355)-IF($G355="",0,$G355))/60,2))</f>
        <v/>
      </c>
      <c r="I355" s="8"/>
      <c r="J355" s="8"/>
      <c r="K355" s="17" t="str">
        <f aca="false">IF($E355="","",IF($E355&lt;1,ROUND($E355*1440,0),INT($E355/100)*60+MOD($E355,100)))</f>
        <v/>
      </c>
      <c r="L355" s="17" t="str">
        <f aca="false">IF($F355="","",IF($F355&lt;1,ROUND($F355*1440,0),INT($F355/100)*60+MOD($F355,100)))</f>
        <v/>
      </c>
    </row>
    <row r="356" customFormat="false" ht="15" hidden="false" customHeight="true" outlineLevel="0" collapsed="false">
      <c r="A356" s="10"/>
      <c r="B356" s="8"/>
      <c r="C356" s="13" t="str">
        <f aca="false">IF($B356="","",IFERROR(INDEX(직원목록!$B$3:$B$302,MATCH($B356,직원목록!$A$3:$A$302,0)),"미등록사번"))</f>
        <v/>
      </c>
      <c r="D356" s="13" t="str">
        <f aca="false">IF($B356="","",IFERROR(INDEX(직원목록!$C$3:$C$302,MATCH($B356,직원목록!$A$3:$A$302,0)),""))</f>
        <v/>
      </c>
      <c r="E356" s="14"/>
      <c r="F356" s="14"/>
      <c r="G356" s="15"/>
      <c r="H356" s="16" t="str">
        <f aca="false">IF(OR($K356="",$L356=""),"",ROUND(MAX(0,($L356-$K356)-IF($G356="",0,$G356))/60,2))</f>
        <v/>
      </c>
      <c r="I356" s="8"/>
      <c r="J356" s="8"/>
      <c r="K356" s="17" t="str">
        <f aca="false">IF($E356="","",IF($E356&lt;1,ROUND($E356*1440,0),INT($E356/100)*60+MOD($E356,100)))</f>
        <v/>
      </c>
      <c r="L356" s="17" t="str">
        <f aca="false">IF($F356="","",IF($F356&lt;1,ROUND($F356*1440,0),INT($F356/100)*60+MOD($F356,100)))</f>
        <v/>
      </c>
    </row>
    <row r="357" customFormat="false" ht="15" hidden="false" customHeight="true" outlineLevel="0" collapsed="false">
      <c r="A357" s="10"/>
      <c r="B357" s="8"/>
      <c r="C357" s="13" t="str">
        <f aca="false">IF($B357="","",IFERROR(INDEX(직원목록!$B$3:$B$302,MATCH($B357,직원목록!$A$3:$A$302,0)),"미등록사번"))</f>
        <v/>
      </c>
      <c r="D357" s="13" t="str">
        <f aca="false">IF($B357="","",IFERROR(INDEX(직원목록!$C$3:$C$302,MATCH($B357,직원목록!$A$3:$A$302,0)),""))</f>
        <v/>
      </c>
      <c r="E357" s="14"/>
      <c r="F357" s="14"/>
      <c r="G357" s="15"/>
      <c r="H357" s="16" t="str">
        <f aca="false">IF(OR($K357="",$L357=""),"",ROUND(MAX(0,($L357-$K357)-IF($G357="",0,$G357))/60,2))</f>
        <v/>
      </c>
      <c r="I357" s="8"/>
      <c r="J357" s="8"/>
      <c r="K357" s="17" t="str">
        <f aca="false">IF($E357="","",IF($E357&lt;1,ROUND($E357*1440,0),INT($E357/100)*60+MOD($E357,100)))</f>
        <v/>
      </c>
      <c r="L357" s="17" t="str">
        <f aca="false">IF($F357="","",IF($F357&lt;1,ROUND($F357*1440,0),INT($F357/100)*60+MOD($F357,100)))</f>
        <v/>
      </c>
    </row>
    <row r="358" customFormat="false" ht="15" hidden="false" customHeight="true" outlineLevel="0" collapsed="false">
      <c r="A358" s="10"/>
      <c r="B358" s="8"/>
      <c r="C358" s="13" t="str">
        <f aca="false">IF($B358="","",IFERROR(INDEX(직원목록!$B$3:$B$302,MATCH($B358,직원목록!$A$3:$A$302,0)),"미등록사번"))</f>
        <v/>
      </c>
      <c r="D358" s="13" t="str">
        <f aca="false">IF($B358="","",IFERROR(INDEX(직원목록!$C$3:$C$302,MATCH($B358,직원목록!$A$3:$A$302,0)),""))</f>
        <v/>
      </c>
      <c r="E358" s="14"/>
      <c r="F358" s="14"/>
      <c r="G358" s="15"/>
      <c r="H358" s="16" t="str">
        <f aca="false">IF(OR($K358="",$L358=""),"",ROUND(MAX(0,($L358-$K358)-IF($G358="",0,$G358))/60,2))</f>
        <v/>
      </c>
      <c r="I358" s="8"/>
      <c r="J358" s="8"/>
      <c r="K358" s="17" t="str">
        <f aca="false">IF($E358="","",IF($E358&lt;1,ROUND($E358*1440,0),INT($E358/100)*60+MOD($E358,100)))</f>
        <v/>
      </c>
      <c r="L358" s="17" t="str">
        <f aca="false">IF($F358="","",IF($F358&lt;1,ROUND($F358*1440,0),INT($F358/100)*60+MOD($F358,100)))</f>
        <v/>
      </c>
    </row>
    <row r="359" customFormat="false" ht="15" hidden="false" customHeight="true" outlineLevel="0" collapsed="false">
      <c r="A359" s="10"/>
      <c r="B359" s="8"/>
      <c r="C359" s="13" t="str">
        <f aca="false">IF($B359="","",IFERROR(INDEX(직원목록!$B$3:$B$302,MATCH($B359,직원목록!$A$3:$A$302,0)),"미등록사번"))</f>
        <v/>
      </c>
      <c r="D359" s="13" t="str">
        <f aca="false">IF($B359="","",IFERROR(INDEX(직원목록!$C$3:$C$302,MATCH($B359,직원목록!$A$3:$A$302,0)),""))</f>
        <v/>
      </c>
      <c r="E359" s="14"/>
      <c r="F359" s="14"/>
      <c r="G359" s="15"/>
      <c r="H359" s="16" t="str">
        <f aca="false">IF(OR($K359="",$L359=""),"",ROUND(MAX(0,($L359-$K359)-IF($G359="",0,$G359))/60,2))</f>
        <v/>
      </c>
      <c r="I359" s="8"/>
      <c r="J359" s="8"/>
      <c r="K359" s="17" t="str">
        <f aca="false">IF($E359="","",IF($E359&lt;1,ROUND($E359*1440,0),INT($E359/100)*60+MOD($E359,100)))</f>
        <v/>
      </c>
      <c r="L359" s="17" t="str">
        <f aca="false">IF($F359="","",IF($F359&lt;1,ROUND($F359*1440,0),INT($F359/100)*60+MOD($F359,100)))</f>
        <v/>
      </c>
    </row>
    <row r="360" customFormat="false" ht="15" hidden="false" customHeight="true" outlineLevel="0" collapsed="false">
      <c r="A360" s="10"/>
      <c r="B360" s="8"/>
      <c r="C360" s="13" t="str">
        <f aca="false">IF($B360="","",IFERROR(INDEX(직원목록!$B$3:$B$302,MATCH($B360,직원목록!$A$3:$A$302,0)),"미등록사번"))</f>
        <v/>
      </c>
      <c r="D360" s="13" t="str">
        <f aca="false">IF($B360="","",IFERROR(INDEX(직원목록!$C$3:$C$302,MATCH($B360,직원목록!$A$3:$A$302,0)),""))</f>
        <v/>
      </c>
      <c r="E360" s="14"/>
      <c r="F360" s="14"/>
      <c r="G360" s="15"/>
      <c r="H360" s="16" t="str">
        <f aca="false">IF(OR($K360="",$L360=""),"",ROUND(MAX(0,($L360-$K360)-IF($G360="",0,$G360))/60,2))</f>
        <v/>
      </c>
      <c r="I360" s="8"/>
      <c r="J360" s="8"/>
      <c r="K360" s="17" t="str">
        <f aca="false">IF($E360="","",IF($E360&lt;1,ROUND($E360*1440,0),INT($E360/100)*60+MOD($E360,100)))</f>
        <v/>
      </c>
      <c r="L360" s="17" t="str">
        <f aca="false">IF($F360="","",IF($F360&lt;1,ROUND($F360*1440,0),INT($F360/100)*60+MOD($F360,100)))</f>
        <v/>
      </c>
    </row>
    <row r="361" customFormat="false" ht="15" hidden="false" customHeight="true" outlineLevel="0" collapsed="false">
      <c r="A361" s="10"/>
      <c r="B361" s="8"/>
      <c r="C361" s="13" t="str">
        <f aca="false">IF($B361="","",IFERROR(INDEX(직원목록!$B$3:$B$302,MATCH($B361,직원목록!$A$3:$A$302,0)),"미등록사번"))</f>
        <v/>
      </c>
      <c r="D361" s="13" t="str">
        <f aca="false">IF($B361="","",IFERROR(INDEX(직원목록!$C$3:$C$302,MATCH($B361,직원목록!$A$3:$A$302,0)),""))</f>
        <v/>
      </c>
      <c r="E361" s="14"/>
      <c r="F361" s="14"/>
      <c r="G361" s="15"/>
      <c r="H361" s="16" t="str">
        <f aca="false">IF(OR($K361="",$L361=""),"",ROUND(MAX(0,($L361-$K361)-IF($G361="",0,$G361))/60,2))</f>
        <v/>
      </c>
      <c r="I361" s="8"/>
      <c r="J361" s="8"/>
      <c r="K361" s="17" t="str">
        <f aca="false">IF($E361="","",IF($E361&lt;1,ROUND($E361*1440,0),INT($E361/100)*60+MOD($E361,100)))</f>
        <v/>
      </c>
      <c r="L361" s="17" t="str">
        <f aca="false">IF($F361="","",IF($F361&lt;1,ROUND($F361*1440,0),INT($F361/100)*60+MOD($F361,100)))</f>
        <v/>
      </c>
    </row>
    <row r="362" customFormat="false" ht="15" hidden="false" customHeight="true" outlineLevel="0" collapsed="false">
      <c r="A362" s="10"/>
      <c r="B362" s="8"/>
      <c r="C362" s="13" t="str">
        <f aca="false">IF($B362="","",IFERROR(INDEX(직원목록!$B$3:$B$302,MATCH($B362,직원목록!$A$3:$A$302,0)),"미등록사번"))</f>
        <v/>
      </c>
      <c r="D362" s="13" t="str">
        <f aca="false">IF($B362="","",IFERROR(INDEX(직원목록!$C$3:$C$302,MATCH($B362,직원목록!$A$3:$A$302,0)),""))</f>
        <v/>
      </c>
      <c r="E362" s="14"/>
      <c r="F362" s="14"/>
      <c r="G362" s="15"/>
      <c r="H362" s="16" t="str">
        <f aca="false">IF(OR($K362="",$L362=""),"",ROUND(MAX(0,($L362-$K362)-IF($G362="",0,$G362))/60,2))</f>
        <v/>
      </c>
      <c r="I362" s="8"/>
      <c r="J362" s="8"/>
      <c r="K362" s="17" t="str">
        <f aca="false">IF($E362="","",IF($E362&lt;1,ROUND($E362*1440,0),INT($E362/100)*60+MOD($E362,100)))</f>
        <v/>
      </c>
      <c r="L362" s="17" t="str">
        <f aca="false">IF($F362="","",IF($F362&lt;1,ROUND($F362*1440,0),INT($F362/100)*60+MOD($F362,100)))</f>
        <v/>
      </c>
    </row>
    <row r="363" customFormat="false" ht="15" hidden="false" customHeight="true" outlineLevel="0" collapsed="false">
      <c r="A363" s="10"/>
      <c r="B363" s="8"/>
      <c r="C363" s="13" t="str">
        <f aca="false">IF($B363="","",IFERROR(INDEX(직원목록!$B$3:$B$302,MATCH($B363,직원목록!$A$3:$A$302,0)),"미등록사번"))</f>
        <v/>
      </c>
      <c r="D363" s="13" t="str">
        <f aca="false">IF($B363="","",IFERROR(INDEX(직원목록!$C$3:$C$302,MATCH($B363,직원목록!$A$3:$A$302,0)),""))</f>
        <v/>
      </c>
      <c r="E363" s="14"/>
      <c r="F363" s="14"/>
      <c r="G363" s="15"/>
      <c r="H363" s="16" t="str">
        <f aca="false">IF(OR($K363="",$L363=""),"",ROUND(MAX(0,($L363-$K363)-IF($G363="",0,$G363))/60,2))</f>
        <v/>
      </c>
      <c r="I363" s="8"/>
      <c r="J363" s="8"/>
      <c r="K363" s="17" t="str">
        <f aca="false">IF($E363="","",IF($E363&lt;1,ROUND($E363*1440,0),INT($E363/100)*60+MOD($E363,100)))</f>
        <v/>
      </c>
      <c r="L363" s="17" t="str">
        <f aca="false">IF($F363="","",IF($F363&lt;1,ROUND($F363*1440,0),INT($F363/100)*60+MOD($F363,100)))</f>
        <v/>
      </c>
    </row>
    <row r="364" customFormat="false" ht="15" hidden="false" customHeight="true" outlineLevel="0" collapsed="false">
      <c r="A364" s="10"/>
      <c r="B364" s="8"/>
      <c r="C364" s="13" t="str">
        <f aca="false">IF($B364="","",IFERROR(INDEX(직원목록!$B$3:$B$302,MATCH($B364,직원목록!$A$3:$A$302,0)),"미등록사번"))</f>
        <v/>
      </c>
      <c r="D364" s="13" t="str">
        <f aca="false">IF($B364="","",IFERROR(INDEX(직원목록!$C$3:$C$302,MATCH($B364,직원목록!$A$3:$A$302,0)),""))</f>
        <v/>
      </c>
      <c r="E364" s="14"/>
      <c r="F364" s="14"/>
      <c r="G364" s="15"/>
      <c r="H364" s="16" t="str">
        <f aca="false">IF(OR($K364="",$L364=""),"",ROUND(MAX(0,($L364-$K364)-IF($G364="",0,$G364))/60,2))</f>
        <v/>
      </c>
      <c r="I364" s="8"/>
      <c r="J364" s="8"/>
      <c r="K364" s="17" t="str">
        <f aca="false">IF($E364="","",IF($E364&lt;1,ROUND($E364*1440,0),INT($E364/100)*60+MOD($E364,100)))</f>
        <v/>
      </c>
      <c r="L364" s="17" t="str">
        <f aca="false">IF($F364="","",IF($F364&lt;1,ROUND($F364*1440,0),INT($F364/100)*60+MOD($F364,100)))</f>
        <v/>
      </c>
    </row>
    <row r="365" customFormat="false" ht="15" hidden="false" customHeight="true" outlineLevel="0" collapsed="false">
      <c r="A365" s="10"/>
      <c r="B365" s="8"/>
      <c r="C365" s="13" t="str">
        <f aca="false">IF($B365="","",IFERROR(INDEX(직원목록!$B$3:$B$302,MATCH($B365,직원목록!$A$3:$A$302,0)),"미등록사번"))</f>
        <v/>
      </c>
      <c r="D365" s="13" t="str">
        <f aca="false">IF($B365="","",IFERROR(INDEX(직원목록!$C$3:$C$302,MATCH($B365,직원목록!$A$3:$A$302,0)),""))</f>
        <v/>
      </c>
      <c r="E365" s="14"/>
      <c r="F365" s="14"/>
      <c r="G365" s="15"/>
      <c r="H365" s="16" t="str">
        <f aca="false">IF(OR($K365="",$L365=""),"",ROUND(MAX(0,($L365-$K365)-IF($G365="",0,$G365))/60,2))</f>
        <v/>
      </c>
      <c r="I365" s="8"/>
      <c r="J365" s="8"/>
      <c r="K365" s="17" t="str">
        <f aca="false">IF($E365="","",IF($E365&lt;1,ROUND($E365*1440,0),INT($E365/100)*60+MOD($E365,100)))</f>
        <v/>
      </c>
      <c r="L365" s="17" t="str">
        <f aca="false">IF($F365="","",IF($F365&lt;1,ROUND($F365*1440,0),INT($F365/100)*60+MOD($F365,100)))</f>
        <v/>
      </c>
    </row>
    <row r="366" customFormat="false" ht="15" hidden="false" customHeight="true" outlineLevel="0" collapsed="false">
      <c r="A366" s="10"/>
      <c r="B366" s="8"/>
      <c r="C366" s="13" t="str">
        <f aca="false">IF($B366="","",IFERROR(INDEX(직원목록!$B$3:$B$302,MATCH($B366,직원목록!$A$3:$A$302,0)),"미등록사번"))</f>
        <v/>
      </c>
      <c r="D366" s="13" t="str">
        <f aca="false">IF($B366="","",IFERROR(INDEX(직원목록!$C$3:$C$302,MATCH($B366,직원목록!$A$3:$A$302,0)),""))</f>
        <v/>
      </c>
      <c r="E366" s="14"/>
      <c r="F366" s="14"/>
      <c r="G366" s="15"/>
      <c r="H366" s="16" t="str">
        <f aca="false">IF(OR($K366="",$L366=""),"",ROUND(MAX(0,($L366-$K366)-IF($G366="",0,$G366))/60,2))</f>
        <v/>
      </c>
      <c r="I366" s="8"/>
      <c r="J366" s="8"/>
      <c r="K366" s="17" t="str">
        <f aca="false">IF($E366="","",IF($E366&lt;1,ROUND($E366*1440,0),INT($E366/100)*60+MOD($E366,100)))</f>
        <v/>
      </c>
      <c r="L366" s="17" t="str">
        <f aca="false">IF($F366="","",IF($F366&lt;1,ROUND($F366*1440,0),INT($F366/100)*60+MOD($F366,100)))</f>
        <v/>
      </c>
    </row>
    <row r="367" customFormat="false" ht="15" hidden="false" customHeight="true" outlineLevel="0" collapsed="false">
      <c r="A367" s="10"/>
      <c r="B367" s="8"/>
      <c r="C367" s="13" t="str">
        <f aca="false">IF($B367="","",IFERROR(INDEX(직원목록!$B$3:$B$302,MATCH($B367,직원목록!$A$3:$A$302,0)),"미등록사번"))</f>
        <v/>
      </c>
      <c r="D367" s="13" t="str">
        <f aca="false">IF($B367="","",IFERROR(INDEX(직원목록!$C$3:$C$302,MATCH($B367,직원목록!$A$3:$A$302,0)),""))</f>
        <v/>
      </c>
      <c r="E367" s="14"/>
      <c r="F367" s="14"/>
      <c r="G367" s="15"/>
      <c r="H367" s="16" t="str">
        <f aca="false">IF(OR($K367="",$L367=""),"",ROUND(MAX(0,($L367-$K367)-IF($G367="",0,$G367))/60,2))</f>
        <v/>
      </c>
      <c r="I367" s="8"/>
      <c r="J367" s="8"/>
      <c r="K367" s="17" t="str">
        <f aca="false">IF($E367="","",IF($E367&lt;1,ROUND($E367*1440,0),INT($E367/100)*60+MOD($E367,100)))</f>
        <v/>
      </c>
      <c r="L367" s="17" t="str">
        <f aca="false">IF($F367="","",IF($F367&lt;1,ROUND($F367*1440,0),INT($F367/100)*60+MOD($F367,100)))</f>
        <v/>
      </c>
    </row>
    <row r="368" customFormat="false" ht="15" hidden="false" customHeight="true" outlineLevel="0" collapsed="false">
      <c r="A368" s="10"/>
      <c r="B368" s="8"/>
      <c r="C368" s="13" t="str">
        <f aca="false">IF($B368="","",IFERROR(INDEX(직원목록!$B$3:$B$302,MATCH($B368,직원목록!$A$3:$A$302,0)),"미등록사번"))</f>
        <v/>
      </c>
      <c r="D368" s="13" t="str">
        <f aca="false">IF($B368="","",IFERROR(INDEX(직원목록!$C$3:$C$302,MATCH($B368,직원목록!$A$3:$A$302,0)),""))</f>
        <v/>
      </c>
      <c r="E368" s="14"/>
      <c r="F368" s="14"/>
      <c r="G368" s="15"/>
      <c r="H368" s="16" t="str">
        <f aca="false">IF(OR($K368="",$L368=""),"",ROUND(MAX(0,($L368-$K368)-IF($G368="",0,$G368))/60,2))</f>
        <v/>
      </c>
      <c r="I368" s="8"/>
      <c r="J368" s="8"/>
      <c r="K368" s="17" t="str">
        <f aca="false">IF($E368="","",IF($E368&lt;1,ROUND($E368*1440,0),INT($E368/100)*60+MOD($E368,100)))</f>
        <v/>
      </c>
      <c r="L368" s="17" t="str">
        <f aca="false">IF($F368="","",IF($F368&lt;1,ROUND($F368*1440,0),INT($F368/100)*60+MOD($F368,100)))</f>
        <v/>
      </c>
    </row>
    <row r="369" customFormat="false" ht="15" hidden="false" customHeight="true" outlineLevel="0" collapsed="false">
      <c r="A369" s="10"/>
      <c r="B369" s="8"/>
      <c r="C369" s="13" t="str">
        <f aca="false">IF($B369="","",IFERROR(INDEX(직원목록!$B$3:$B$302,MATCH($B369,직원목록!$A$3:$A$302,0)),"미등록사번"))</f>
        <v/>
      </c>
      <c r="D369" s="13" t="str">
        <f aca="false">IF($B369="","",IFERROR(INDEX(직원목록!$C$3:$C$302,MATCH($B369,직원목록!$A$3:$A$302,0)),""))</f>
        <v/>
      </c>
      <c r="E369" s="14"/>
      <c r="F369" s="14"/>
      <c r="G369" s="15"/>
      <c r="H369" s="16" t="str">
        <f aca="false">IF(OR($K369="",$L369=""),"",ROUND(MAX(0,($L369-$K369)-IF($G369="",0,$G369))/60,2))</f>
        <v/>
      </c>
      <c r="I369" s="8"/>
      <c r="J369" s="8"/>
      <c r="K369" s="17" t="str">
        <f aca="false">IF($E369="","",IF($E369&lt;1,ROUND($E369*1440,0),INT($E369/100)*60+MOD($E369,100)))</f>
        <v/>
      </c>
      <c r="L369" s="17" t="str">
        <f aca="false">IF($F369="","",IF($F369&lt;1,ROUND($F369*1440,0),INT($F369/100)*60+MOD($F369,100)))</f>
        <v/>
      </c>
    </row>
    <row r="370" customFormat="false" ht="15" hidden="false" customHeight="true" outlineLevel="0" collapsed="false">
      <c r="A370" s="10"/>
      <c r="B370" s="8"/>
      <c r="C370" s="13" t="str">
        <f aca="false">IF($B370="","",IFERROR(INDEX(직원목록!$B$3:$B$302,MATCH($B370,직원목록!$A$3:$A$302,0)),"미등록사번"))</f>
        <v/>
      </c>
      <c r="D370" s="13" t="str">
        <f aca="false">IF($B370="","",IFERROR(INDEX(직원목록!$C$3:$C$302,MATCH($B370,직원목록!$A$3:$A$302,0)),""))</f>
        <v/>
      </c>
      <c r="E370" s="14"/>
      <c r="F370" s="14"/>
      <c r="G370" s="15"/>
      <c r="H370" s="16" t="str">
        <f aca="false">IF(OR($K370="",$L370=""),"",ROUND(MAX(0,($L370-$K370)-IF($G370="",0,$G370))/60,2))</f>
        <v/>
      </c>
      <c r="I370" s="8"/>
      <c r="J370" s="8"/>
      <c r="K370" s="17" t="str">
        <f aca="false">IF($E370="","",IF($E370&lt;1,ROUND($E370*1440,0),INT($E370/100)*60+MOD($E370,100)))</f>
        <v/>
      </c>
      <c r="L370" s="17" t="str">
        <f aca="false">IF($F370="","",IF($F370&lt;1,ROUND($F370*1440,0),INT($F370/100)*60+MOD($F370,100)))</f>
        <v/>
      </c>
    </row>
    <row r="371" customFormat="false" ht="15" hidden="false" customHeight="true" outlineLevel="0" collapsed="false">
      <c r="A371" s="10"/>
      <c r="B371" s="8"/>
      <c r="C371" s="13" t="str">
        <f aca="false">IF($B371="","",IFERROR(INDEX(직원목록!$B$3:$B$302,MATCH($B371,직원목록!$A$3:$A$302,0)),"미등록사번"))</f>
        <v/>
      </c>
      <c r="D371" s="13" t="str">
        <f aca="false">IF($B371="","",IFERROR(INDEX(직원목록!$C$3:$C$302,MATCH($B371,직원목록!$A$3:$A$302,0)),""))</f>
        <v/>
      </c>
      <c r="E371" s="14"/>
      <c r="F371" s="14"/>
      <c r="G371" s="15"/>
      <c r="H371" s="16" t="str">
        <f aca="false">IF(OR($K371="",$L371=""),"",ROUND(MAX(0,($L371-$K371)-IF($G371="",0,$G371))/60,2))</f>
        <v/>
      </c>
      <c r="I371" s="8"/>
      <c r="J371" s="8"/>
      <c r="K371" s="17" t="str">
        <f aca="false">IF($E371="","",IF($E371&lt;1,ROUND($E371*1440,0),INT($E371/100)*60+MOD($E371,100)))</f>
        <v/>
      </c>
      <c r="L371" s="17" t="str">
        <f aca="false">IF($F371="","",IF($F371&lt;1,ROUND($F371*1440,0),INT($F371/100)*60+MOD($F371,100)))</f>
        <v/>
      </c>
    </row>
    <row r="372" customFormat="false" ht="15" hidden="false" customHeight="true" outlineLevel="0" collapsed="false">
      <c r="A372" s="10"/>
      <c r="B372" s="8"/>
      <c r="C372" s="13" t="str">
        <f aca="false">IF($B372="","",IFERROR(INDEX(직원목록!$B$3:$B$302,MATCH($B372,직원목록!$A$3:$A$302,0)),"미등록사번"))</f>
        <v/>
      </c>
      <c r="D372" s="13" t="str">
        <f aca="false">IF($B372="","",IFERROR(INDEX(직원목록!$C$3:$C$302,MATCH($B372,직원목록!$A$3:$A$302,0)),""))</f>
        <v/>
      </c>
      <c r="E372" s="14"/>
      <c r="F372" s="14"/>
      <c r="G372" s="15"/>
      <c r="H372" s="16" t="str">
        <f aca="false">IF(OR($K372="",$L372=""),"",ROUND(MAX(0,($L372-$K372)-IF($G372="",0,$G372))/60,2))</f>
        <v/>
      </c>
      <c r="I372" s="8"/>
      <c r="J372" s="8"/>
      <c r="K372" s="17" t="str">
        <f aca="false">IF($E372="","",IF($E372&lt;1,ROUND($E372*1440,0),INT($E372/100)*60+MOD($E372,100)))</f>
        <v/>
      </c>
      <c r="L372" s="17" t="str">
        <f aca="false">IF($F372="","",IF($F372&lt;1,ROUND($F372*1440,0),INT($F372/100)*60+MOD($F372,100)))</f>
        <v/>
      </c>
    </row>
    <row r="373" customFormat="false" ht="15" hidden="false" customHeight="true" outlineLevel="0" collapsed="false">
      <c r="A373" s="10"/>
      <c r="B373" s="8"/>
      <c r="C373" s="13" t="str">
        <f aca="false">IF($B373="","",IFERROR(INDEX(직원목록!$B$3:$B$302,MATCH($B373,직원목록!$A$3:$A$302,0)),"미등록사번"))</f>
        <v/>
      </c>
      <c r="D373" s="13" t="str">
        <f aca="false">IF($B373="","",IFERROR(INDEX(직원목록!$C$3:$C$302,MATCH($B373,직원목록!$A$3:$A$302,0)),""))</f>
        <v/>
      </c>
      <c r="E373" s="14"/>
      <c r="F373" s="14"/>
      <c r="G373" s="15"/>
      <c r="H373" s="16" t="str">
        <f aca="false">IF(OR($K373="",$L373=""),"",ROUND(MAX(0,($L373-$K373)-IF($G373="",0,$G373))/60,2))</f>
        <v/>
      </c>
      <c r="I373" s="8"/>
      <c r="J373" s="8"/>
      <c r="K373" s="17" t="str">
        <f aca="false">IF($E373="","",IF($E373&lt;1,ROUND($E373*1440,0),INT($E373/100)*60+MOD($E373,100)))</f>
        <v/>
      </c>
      <c r="L373" s="17" t="str">
        <f aca="false">IF($F373="","",IF($F373&lt;1,ROUND($F373*1440,0),INT($F373/100)*60+MOD($F373,100)))</f>
        <v/>
      </c>
    </row>
    <row r="374" customFormat="false" ht="15" hidden="false" customHeight="true" outlineLevel="0" collapsed="false">
      <c r="A374" s="10"/>
      <c r="B374" s="8"/>
      <c r="C374" s="13" t="str">
        <f aca="false">IF($B374="","",IFERROR(INDEX(직원목록!$B$3:$B$302,MATCH($B374,직원목록!$A$3:$A$302,0)),"미등록사번"))</f>
        <v/>
      </c>
      <c r="D374" s="13" t="str">
        <f aca="false">IF($B374="","",IFERROR(INDEX(직원목록!$C$3:$C$302,MATCH($B374,직원목록!$A$3:$A$302,0)),""))</f>
        <v/>
      </c>
      <c r="E374" s="14"/>
      <c r="F374" s="14"/>
      <c r="G374" s="15"/>
      <c r="H374" s="16" t="str">
        <f aca="false">IF(OR($K374="",$L374=""),"",ROUND(MAX(0,($L374-$K374)-IF($G374="",0,$G374))/60,2))</f>
        <v/>
      </c>
      <c r="I374" s="8"/>
      <c r="J374" s="8"/>
      <c r="K374" s="17" t="str">
        <f aca="false">IF($E374="","",IF($E374&lt;1,ROUND($E374*1440,0),INT($E374/100)*60+MOD($E374,100)))</f>
        <v/>
      </c>
      <c r="L374" s="17" t="str">
        <f aca="false">IF($F374="","",IF($F374&lt;1,ROUND($F374*1440,0),INT($F374/100)*60+MOD($F374,100)))</f>
        <v/>
      </c>
    </row>
    <row r="375" customFormat="false" ht="15" hidden="false" customHeight="true" outlineLevel="0" collapsed="false">
      <c r="A375" s="10"/>
      <c r="B375" s="8"/>
      <c r="C375" s="13" t="str">
        <f aca="false">IF($B375="","",IFERROR(INDEX(직원목록!$B$3:$B$302,MATCH($B375,직원목록!$A$3:$A$302,0)),"미등록사번"))</f>
        <v/>
      </c>
      <c r="D375" s="13" t="str">
        <f aca="false">IF($B375="","",IFERROR(INDEX(직원목록!$C$3:$C$302,MATCH($B375,직원목록!$A$3:$A$302,0)),""))</f>
        <v/>
      </c>
      <c r="E375" s="14"/>
      <c r="F375" s="14"/>
      <c r="G375" s="15"/>
      <c r="H375" s="16" t="str">
        <f aca="false">IF(OR($K375="",$L375=""),"",ROUND(MAX(0,($L375-$K375)-IF($G375="",0,$G375))/60,2))</f>
        <v/>
      </c>
      <c r="I375" s="8"/>
      <c r="J375" s="8"/>
      <c r="K375" s="17" t="str">
        <f aca="false">IF($E375="","",IF($E375&lt;1,ROUND($E375*1440,0),INT($E375/100)*60+MOD($E375,100)))</f>
        <v/>
      </c>
      <c r="L375" s="17" t="str">
        <f aca="false">IF($F375="","",IF($F375&lt;1,ROUND($F375*1440,0),INT($F375/100)*60+MOD($F375,100)))</f>
        <v/>
      </c>
    </row>
    <row r="376" customFormat="false" ht="15" hidden="false" customHeight="true" outlineLevel="0" collapsed="false">
      <c r="A376" s="10"/>
      <c r="B376" s="8"/>
      <c r="C376" s="13" t="str">
        <f aca="false">IF($B376="","",IFERROR(INDEX(직원목록!$B$3:$B$302,MATCH($B376,직원목록!$A$3:$A$302,0)),"미등록사번"))</f>
        <v/>
      </c>
      <c r="D376" s="13" t="str">
        <f aca="false">IF($B376="","",IFERROR(INDEX(직원목록!$C$3:$C$302,MATCH($B376,직원목록!$A$3:$A$302,0)),""))</f>
        <v/>
      </c>
      <c r="E376" s="14"/>
      <c r="F376" s="14"/>
      <c r="G376" s="15"/>
      <c r="H376" s="16" t="str">
        <f aca="false">IF(OR($K376="",$L376=""),"",ROUND(MAX(0,($L376-$K376)-IF($G376="",0,$G376))/60,2))</f>
        <v/>
      </c>
      <c r="I376" s="8"/>
      <c r="J376" s="8"/>
      <c r="K376" s="17" t="str">
        <f aca="false">IF($E376="","",IF($E376&lt;1,ROUND($E376*1440,0),INT($E376/100)*60+MOD($E376,100)))</f>
        <v/>
      </c>
      <c r="L376" s="17" t="str">
        <f aca="false">IF($F376="","",IF($F376&lt;1,ROUND($F376*1440,0),INT($F376/100)*60+MOD($F376,100)))</f>
        <v/>
      </c>
    </row>
    <row r="377" customFormat="false" ht="15" hidden="false" customHeight="true" outlineLevel="0" collapsed="false">
      <c r="A377" s="10"/>
      <c r="B377" s="8"/>
      <c r="C377" s="13" t="str">
        <f aca="false">IF($B377="","",IFERROR(INDEX(직원목록!$B$3:$B$302,MATCH($B377,직원목록!$A$3:$A$302,0)),"미등록사번"))</f>
        <v/>
      </c>
      <c r="D377" s="13" t="str">
        <f aca="false">IF($B377="","",IFERROR(INDEX(직원목록!$C$3:$C$302,MATCH($B377,직원목록!$A$3:$A$302,0)),""))</f>
        <v/>
      </c>
      <c r="E377" s="14"/>
      <c r="F377" s="14"/>
      <c r="G377" s="15"/>
      <c r="H377" s="16" t="str">
        <f aca="false">IF(OR($K377="",$L377=""),"",ROUND(MAX(0,($L377-$K377)-IF($G377="",0,$G377))/60,2))</f>
        <v/>
      </c>
      <c r="I377" s="8"/>
      <c r="J377" s="8"/>
      <c r="K377" s="17" t="str">
        <f aca="false">IF($E377="","",IF($E377&lt;1,ROUND($E377*1440,0),INT($E377/100)*60+MOD($E377,100)))</f>
        <v/>
      </c>
      <c r="L377" s="17" t="str">
        <f aca="false">IF($F377="","",IF($F377&lt;1,ROUND($F377*1440,0),INT($F377/100)*60+MOD($F377,100)))</f>
        <v/>
      </c>
    </row>
    <row r="378" customFormat="false" ht="15" hidden="false" customHeight="true" outlineLevel="0" collapsed="false">
      <c r="A378" s="10"/>
      <c r="B378" s="8"/>
      <c r="C378" s="13" t="str">
        <f aca="false">IF($B378="","",IFERROR(INDEX(직원목록!$B$3:$B$302,MATCH($B378,직원목록!$A$3:$A$302,0)),"미등록사번"))</f>
        <v/>
      </c>
      <c r="D378" s="13" t="str">
        <f aca="false">IF($B378="","",IFERROR(INDEX(직원목록!$C$3:$C$302,MATCH($B378,직원목록!$A$3:$A$302,0)),""))</f>
        <v/>
      </c>
      <c r="E378" s="14"/>
      <c r="F378" s="14"/>
      <c r="G378" s="15"/>
      <c r="H378" s="16" t="str">
        <f aca="false">IF(OR($K378="",$L378=""),"",ROUND(MAX(0,($L378-$K378)-IF($G378="",0,$G378))/60,2))</f>
        <v/>
      </c>
      <c r="I378" s="8"/>
      <c r="J378" s="8"/>
      <c r="K378" s="17" t="str">
        <f aca="false">IF($E378="","",IF($E378&lt;1,ROUND($E378*1440,0),INT($E378/100)*60+MOD($E378,100)))</f>
        <v/>
      </c>
      <c r="L378" s="17" t="str">
        <f aca="false">IF($F378="","",IF($F378&lt;1,ROUND($F378*1440,0),INT($F378/100)*60+MOD($F378,100)))</f>
        <v/>
      </c>
    </row>
    <row r="379" customFormat="false" ht="15" hidden="false" customHeight="true" outlineLevel="0" collapsed="false">
      <c r="A379" s="10"/>
      <c r="B379" s="8"/>
      <c r="C379" s="13" t="str">
        <f aca="false">IF($B379="","",IFERROR(INDEX(직원목록!$B$3:$B$302,MATCH($B379,직원목록!$A$3:$A$302,0)),"미등록사번"))</f>
        <v/>
      </c>
      <c r="D379" s="13" t="str">
        <f aca="false">IF($B379="","",IFERROR(INDEX(직원목록!$C$3:$C$302,MATCH($B379,직원목록!$A$3:$A$302,0)),""))</f>
        <v/>
      </c>
      <c r="E379" s="14"/>
      <c r="F379" s="14"/>
      <c r="G379" s="15"/>
      <c r="H379" s="16" t="str">
        <f aca="false">IF(OR($K379="",$L379=""),"",ROUND(MAX(0,($L379-$K379)-IF($G379="",0,$G379))/60,2))</f>
        <v/>
      </c>
      <c r="I379" s="8"/>
      <c r="J379" s="8"/>
      <c r="K379" s="17" t="str">
        <f aca="false">IF($E379="","",IF($E379&lt;1,ROUND($E379*1440,0),INT($E379/100)*60+MOD($E379,100)))</f>
        <v/>
      </c>
      <c r="L379" s="17" t="str">
        <f aca="false">IF($F379="","",IF($F379&lt;1,ROUND($F379*1440,0),INT($F379/100)*60+MOD($F379,100)))</f>
        <v/>
      </c>
    </row>
    <row r="380" customFormat="false" ht="15" hidden="false" customHeight="true" outlineLevel="0" collapsed="false">
      <c r="A380" s="10"/>
      <c r="B380" s="8"/>
      <c r="C380" s="13" t="str">
        <f aca="false">IF($B380="","",IFERROR(INDEX(직원목록!$B$3:$B$302,MATCH($B380,직원목록!$A$3:$A$302,0)),"미등록사번"))</f>
        <v/>
      </c>
      <c r="D380" s="13" t="str">
        <f aca="false">IF($B380="","",IFERROR(INDEX(직원목록!$C$3:$C$302,MATCH($B380,직원목록!$A$3:$A$302,0)),""))</f>
        <v/>
      </c>
      <c r="E380" s="14"/>
      <c r="F380" s="14"/>
      <c r="G380" s="15"/>
      <c r="H380" s="16" t="str">
        <f aca="false">IF(OR($K380="",$L380=""),"",ROUND(MAX(0,($L380-$K380)-IF($G380="",0,$G380))/60,2))</f>
        <v/>
      </c>
      <c r="I380" s="8"/>
      <c r="J380" s="8"/>
      <c r="K380" s="17" t="str">
        <f aca="false">IF($E380="","",IF($E380&lt;1,ROUND($E380*1440,0),INT($E380/100)*60+MOD($E380,100)))</f>
        <v/>
      </c>
      <c r="L380" s="17" t="str">
        <f aca="false">IF($F380="","",IF($F380&lt;1,ROUND($F380*1440,0),INT($F380/100)*60+MOD($F380,100)))</f>
        <v/>
      </c>
    </row>
    <row r="381" customFormat="false" ht="15" hidden="false" customHeight="true" outlineLevel="0" collapsed="false">
      <c r="A381" s="10"/>
      <c r="B381" s="8"/>
      <c r="C381" s="13" t="str">
        <f aca="false">IF($B381="","",IFERROR(INDEX(직원목록!$B$3:$B$302,MATCH($B381,직원목록!$A$3:$A$302,0)),"미등록사번"))</f>
        <v/>
      </c>
      <c r="D381" s="13" t="str">
        <f aca="false">IF($B381="","",IFERROR(INDEX(직원목록!$C$3:$C$302,MATCH($B381,직원목록!$A$3:$A$302,0)),""))</f>
        <v/>
      </c>
      <c r="E381" s="14"/>
      <c r="F381" s="14"/>
      <c r="G381" s="15"/>
      <c r="H381" s="16" t="str">
        <f aca="false">IF(OR($K381="",$L381=""),"",ROUND(MAX(0,($L381-$K381)-IF($G381="",0,$G381))/60,2))</f>
        <v/>
      </c>
      <c r="I381" s="8"/>
      <c r="J381" s="8"/>
      <c r="K381" s="17" t="str">
        <f aca="false">IF($E381="","",IF($E381&lt;1,ROUND($E381*1440,0),INT($E381/100)*60+MOD($E381,100)))</f>
        <v/>
      </c>
      <c r="L381" s="17" t="str">
        <f aca="false">IF($F381="","",IF($F381&lt;1,ROUND($F381*1440,0),INT($F381/100)*60+MOD($F381,100)))</f>
        <v/>
      </c>
    </row>
    <row r="382" customFormat="false" ht="15" hidden="false" customHeight="true" outlineLevel="0" collapsed="false">
      <c r="A382" s="10"/>
      <c r="B382" s="8"/>
      <c r="C382" s="13" t="str">
        <f aca="false">IF($B382="","",IFERROR(INDEX(직원목록!$B$3:$B$302,MATCH($B382,직원목록!$A$3:$A$302,0)),"미등록사번"))</f>
        <v/>
      </c>
      <c r="D382" s="13" t="str">
        <f aca="false">IF($B382="","",IFERROR(INDEX(직원목록!$C$3:$C$302,MATCH($B382,직원목록!$A$3:$A$302,0)),""))</f>
        <v/>
      </c>
      <c r="E382" s="14"/>
      <c r="F382" s="14"/>
      <c r="G382" s="15"/>
      <c r="H382" s="16" t="str">
        <f aca="false">IF(OR($K382="",$L382=""),"",ROUND(MAX(0,($L382-$K382)-IF($G382="",0,$G382))/60,2))</f>
        <v/>
      </c>
      <c r="I382" s="8"/>
      <c r="J382" s="8"/>
      <c r="K382" s="17" t="str">
        <f aca="false">IF($E382="","",IF($E382&lt;1,ROUND($E382*1440,0),INT($E382/100)*60+MOD($E382,100)))</f>
        <v/>
      </c>
      <c r="L382" s="17" t="str">
        <f aca="false">IF($F382="","",IF($F382&lt;1,ROUND($F382*1440,0),INT($F382/100)*60+MOD($F382,100)))</f>
        <v/>
      </c>
    </row>
    <row r="383" customFormat="false" ht="15" hidden="false" customHeight="true" outlineLevel="0" collapsed="false">
      <c r="A383" s="10"/>
      <c r="B383" s="8"/>
      <c r="C383" s="13" t="str">
        <f aca="false">IF($B383="","",IFERROR(INDEX(직원목록!$B$3:$B$302,MATCH($B383,직원목록!$A$3:$A$302,0)),"미등록사번"))</f>
        <v/>
      </c>
      <c r="D383" s="13" t="str">
        <f aca="false">IF($B383="","",IFERROR(INDEX(직원목록!$C$3:$C$302,MATCH($B383,직원목록!$A$3:$A$302,0)),""))</f>
        <v/>
      </c>
      <c r="E383" s="14"/>
      <c r="F383" s="14"/>
      <c r="G383" s="15"/>
      <c r="H383" s="16" t="str">
        <f aca="false">IF(OR($K383="",$L383=""),"",ROUND(MAX(0,($L383-$K383)-IF($G383="",0,$G383))/60,2))</f>
        <v/>
      </c>
      <c r="I383" s="8"/>
      <c r="J383" s="8"/>
      <c r="K383" s="17" t="str">
        <f aca="false">IF($E383="","",IF($E383&lt;1,ROUND($E383*1440,0),INT($E383/100)*60+MOD($E383,100)))</f>
        <v/>
      </c>
      <c r="L383" s="17" t="str">
        <f aca="false">IF($F383="","",IF($F383&lt;1,ROUND($F383*1440,0),INT($F383/100)*60+MOD($F383,100)))</f>
        <v/>
      </c>
    </row>
    <row r="384" customFormat="false" ht="15" hidden="false" customHeight="true" outlineLevel="0" collapsed="false">
      <c r="A384" s="10"/>
      <c r="B384" s="8"/>
      <c r="C384" s="13" t="str">
        <f aca="false">IF($B384="","",IFERROR(INDEX(직원목록!$B$3:$B$302,MATCH($B384,직원목록!$A$3:$A$302,0)),"미등록사번"))</f>
        <v/>
      </c>
      <c r="D384" s="13" t="str">
        <f aca="false">IF($B384="","",IFERROR(INDEX(직원목록!$C$3:$C$302,MATCH($B384,직원목록!$A$3:$A$302,0)),""))</f>
        <v/>
      </c>
      <c r="E384" s="14"/>
      <c r="F384" s="14"/>
      <c r="G384" s="15"/>
      <c r="H384" s="16" t="str">
        <f aca="false">IF(OR($K384="",$L384=""),"",ROUND(MAX(0,($L384-$K384)-IF($G384="",0,$G384))/60,2))</f>
        <v/>
      </c>
      <c r="I384" s="8"/>
      <c r="J384" s="8"/>
      <c r="K384" s="17" t="str">
        <f aca="false">IF($E384="","",IF($E384&lt;1,ROUND($E384*1440,0),INT($E384/100)*60+MOD($E384,100)))</f>
        <v/>
      </c>
      <c r="L384" s="17" t="str">
        <f aca="false">IF($F384="","",IF($F384&lt;1,ROUND($F384*1440,0),INT($F384/100)*60+MOD($F384,100)))</f>
        <v/>
      </c>
    </row>
    <row r="385" customFormat="false" ht="15" hidden="false" customHeight="true" outlineLevel="0" collapsed="false">
      <c r="A385" s="10"/>
      <c r="B385" s="8"/>
      <c r="C385" s="13" t="str">
        <f aca="false">IF($B385="","",IFERROR(INDEX(직원목록!$B$3:$B$302,MATCH($B385,직원목록!$A$3:$A$302,0)),"미등록사번"))</f>
        <v/>
      </c>
      <c r="D385" s="13" t="str">
        <f aca="false">IF($B385="","",IFERROR(INDEX(직원목록!$C$3:$C$302,MATCH($B385,직원목록!$A$3:$A$302,0)),""))</f>
        <v/>
      </c>
      <c r="E385" s="14"/>
      <c r="F385" s="14"/>
      <c r="G385" s="15"/>
      <c r="H385" s="16" t="str">
        <f aca="false">IF(OR($K385="",$L385=""),"",ROUND(MAX(0,($L385-$K385)-IF($G385="",0,$G385))/60,2))</f>
        <v/>
      </c>
      <c r="I385" s="8"/>
      <c r="J385" s="8"/>
      <c r="K385" s="17" t="str">
        <f aca="false">IF($E385="","",IF($E385&lt;1,ROUND($E385*1440,0),INT($E385/100)*60+MOD($E385,100)))</f>
        <v/>
      </c>
      <c r="L385" s="17" t="str">
        <f aca="false">IF($F385="","",IF($F385&lt;1,ROUND($F385*1440,0),INT($F385/100)*60+MOD($F385,100)))</f>
        <v/>
      </c>
    </row>
    <row r="386" customFormat="false" ht="15" hidden="false" customHeight="true" outlineLevel="0" collapsed="false">
      <c r="A386" s="10"/>
      <c r="B386" s="8"/>
      <c r="C386" s="13" t="str">
        <f aca="false">IF($B386="","",IFERROR(INDEX(직원목록!$B$3:$B$302,MATCH($B386,직원목록!$A$3:$A$302,0)),"미등록사번"))</f>
        <v/>
      </c>
      <c r="D386" s="13" t="str">
        <f aca="false">IF($B386="","",IFERROR(INDEX(직원목록!$C$3:$C$302,MATCH($B386,직원목록!$A$3:$A$302,0)),""))</f>
        <v/>
      </c>
      <c r="E386" s="14"/>
      <c r="F386" s="14"/>
      <c r="G386" s="15"/>
      <c r="H386" s="16" t="str">
        <f aca="false">IF(OR($K386="",$L386=""),"",ROUND(MAX(0,($L386-$K386)-IF($G386="",0,$G386))/60,2))</f>
        <v/>
      </c>
      <c r="I386" s="8"/>
      <c r="J386" s="8"/>
      <c r="K386" s="17" t="str">
        <f aca="false">IF($E386="","",IF($E386&lt;1,ROUND($E386*1440,0),INT($E386/100)*60+MOD($E386,100)))</f>
        <v/>
      </c>
      <c r="L386" s="17" t="str">
        <f aca="false">IF($F386="","",IF($F386&lt;1,ROUND($F386*1440,0),INT($F386/100)*60+MOD($F386,100)))</f>
        <v/>
      </c>
    </row>
    <row r="387" customFormat="false" ht="15" hidden="false" customHeight="true" outlineLevel="0" collapsed="false">
      <c r="A387" s="10"/>
      <c r="B387" s="8"/>
      <c r="C387" s="13" t="str">
        <f aca="false">IF($B387="","",IFERROR(INDEX(직원목록!$B$3:$B$302,MATCH($B387,직원목록!$A$3:$A$302,0)),"미등록사번"))</f>
        <v/>
      </c>
      <c r="D387" s="13" t="str">
        <f aca="false">IF($B387="","",IFERROR(INDEX(직원목록!$C$3:$C$302,MATCH($B387,직원목록!$A$3:$A$302,0)),""))</f>
        <v/>
      </c>
      <c r="E387" s="14"/>
      <c r="F387" s="14"/>
      <c r="G387" s="15"/>
      <c r="H387" s="16" t="str">
        <f aca="false">IF(OR($K387="",$L387=""),"",ROUND(MAX(0,($L387-$K387)-IF($G387="",0,$G387))/60,2))</f>
        <v/>
      </c>
      <c r="I387" s="8"/>
      <c r="J387" s="8"/>
      <c r="K387" s="17" t="str">
        <f aca="false">IF($E387="","",IF($E387&lt;1,ROUND($E387*1440,0),INT($E387/100)*60+MOD($E387,100)))</f>
        <v/>
      </c>
      <c r="L387" s="17" t="str">
        <f aca="false">IF($F387="","",IF($F387&lt;1,ROUND($F387*1440,0),INT($F387/100)*60+MOD($F387,100)))</f>
        <v/>
      </c>
    </row>
    <row r="388" customFormat="false" ht="15" hidden="false" customHeight="true" outlineLevel="0" collapsed="false">
      <c r="A388" s="10"/>
      <c r="B388" s="8"/>
      <c r="C388" s="13" t="str">
        <f aca="false">IF($B388="","",IFERROR(INDEX(직원목록!$B$3:$B$302,MATCH($B388,직원목록!$A$3:$A$302,0)),"미등록사번"))</f>
        <v/>
      </c>
      <c r="D388" s="13" t="str">
        <f aca="false">IF($B388="","",IFERROR(INDEX(직원목록!$C$3:$C$302,MATCH($B388,직원목록!$A$3:$A$302,0)),""))</f>
        <v/>
      </c>
      <c r="E388" s="14"/>
      <c r="F388" s="14"/>
      <c r="G388" s="15"/>
      <c r="H388" s="16" t="str">
        <f aca="false">IF(OR($K388="",$L388=""),"",ROUND(MAX(0,($L388-$K388)-IF($G388="",0,$G388))/60,2))</f>
        <v/>
      </c>
      <c r="I388" s="8"/>
      <c r="J388" s="8"/>
      <c r="K388" s="17" t="str">
        <f aca="false">IF($E388="","",IF($E388&lt;1,ROUND($E388*1440,0),INT($E388/100)*60+MOD($E388,100)))</f>
        <v/>
      </c>
      <c r="L388" s="17" t="str">
        <f aca="false">IF($F388="","",IF($F388&lt;1,ROUND($F388*1440,0),INT($F388/100)*60+MOD($F388,100)))</f>
        <v/>
      </c>
    </row>
    <row r="389" customFormat="false" ht="15" hidden="false" customHeight="true" outlineLevel="0" collapsed="false">
      <c r="A389" s="10"/>
      <c r="B389" s="8"/>
      <c r="C389" s="13" t="str">
        <f aca="false">IF($B389="","",IFERROR(INDEX(직원목록!$B$3:$B$302,MATCH($B389,직원목록!$A$3:$A$302,0)),"미등록사번"))</f>
        <v/>
      </c>
      <c r="D389" s="13" t="str">
        <f aca="false">IF($B389="","",IFERROR(INDEX(직원목록!$C$3:$C$302,MATCH($B389,직원목록!$A$3:$A$302,0)),""))</f>
        <v/>
      </c>
      <c r="E389" s="14"/>
      <c r="F389" s="14"/>
      <c r="G389" s="15"/>
      <c r="H389" s="16" t="str">
        <f aca="false">IF(OR($K389="",$L389=""),"",ROUND(MAX(0,($L389-$K389)-IF($G389="",0,$G389))/60,2))</f>
        <v/>
      </c>
      <c r="I389" s="8"/>
      <c r="J389" s="8"/>
      <c r="K389" s="17" t="str">
        <f aca="false">IF($E389="","",IF($E389&lt;1,ROUND($E389*1440,0),INT($E389/100)*60+MOD($E389,100)))</f>
        <v/>
      </c>
      <c r="L389" s="17" t="str">
        <f aca="false">IF($F389="","",IF($F389&lt;1,ROUND($F389*1440,0),INT($F389/100)*60+MOD($F389,100)))</f>
        <v/>
      </c>
    </row>
    <row r="390" customFormat="false" ht="15" hidden="false" customHeight="true" outlineLevel="0" collapsed="false">
      <c r="A390" s="10"/>
      <c r="B390" s="8"/>
      <c r="C390" s="13" t="str">
        <f aca="false">IF($B390="","",IFERROR(INDEX(직원목록!$B$3:$B$302,MATCH($B390,직원목록!$A$3:$A$302,0)),"미등록사번"))</f>
        <v/>
      </c>
      <c r="D390" s="13" t="str">
        <f aca="false">IF($B390="","",IFERROR(INDEX(직원목록!$C$3:$C$302,MATCH($B390,직원목록!$A$3:$A$302,0)),""))</f>
        <v/>
      </c>
      <c r="E390" s="14"/>
      <c r="F390" s="14"/>
      <c r="G390" s="15"/>
      <c r="H390" s="16" t="str">
        <f aca="false">IF(OR($K390="",$L390=""),"",ROUND(MAX(0,($L390-$K390)-IF($G390="",0,$G390))/60,2))</f>
        <v/>
      </c>
      <c r="I390" s="8"/>
      <c r="J390" s="8"/>
      <c r="K390" s="17" t="str">
        <f aca="false">IF($E390="","",IF($E390&lt;1,ROUND($E390*1440,0),INT($E390/100)*60+MOD($E390,100)))</f>
        <v/>
      </c>
      <c r="L390" s="17" t="str">
        <f aca="false">IF($F390="","",IF($F390&lt;1,ROUND($F390*1440,0),INT($F390/100)*60+MOD($F390,100)))</f>
        <v/>
      </c>
    </row>
    <row r="391" customFormat="false" ht="15" hidden="false" customHeight="true" outlineLevel="0" collapsed="false">
      <c r="A391" s="10"/>
      <c r="B391" s="8"/>
      <c r="C391" s="13" t="str">
        <f aca="false">IF($B391="","",IFERROR(INDEX(직원목록!$B$3:$B$302,MATCH($B391,직원목록!$A$3:$A$302,0)),"미등록사번"))</f>
        <v/>
      </c>
      <c r="D391" s="13" t="str">
        <f aca="false">IF($B391="","",IFERROR(INDEX(직원목록!$C$3:$C$302,MATCH($B391,직원목록!$A$3:$A$302,0)),""))</f>
        <v/>
      </c>
      <c r="E391" s="14"/>
      <c r="F391" s="14"/>
      <c r="G391" s="15"/>
      <c r="H391" s="16" t="str">
        <f aca="false">IF(OR($K391="",$L391=""),"",ROUND(MAX(0,($L391-$K391)-IF($G391="",0,$G391))/60,2))</f>
        <v/>
      </c>
      <c r="I391" s="8"/>
      <c r="J391" s="8"/>
      <c r="K391" s="17" t="str">
        <f aca="false">IF($E391="","",IF($E391&lt;1,ROUND($E391*1440,0),INT($E391/100)*60+MOD($E391,100)))</f>
        <v/>
      </c>
      <c r="L391" s="17" t="str">
        <f aca="false">IF($F391="","",IF($F391&lt;1,ROUND($F391*1440,0),INT($F391/100)*60+MOD($F391,100)))</f>
        <v/>
      </c>
    </row>
    <row r="392" customFormat="false" ht="15" hidden="false" customHeight="true" outlineLevel="0" collapsed="false">
      <c r="A392" s="10"/>
      <c r="B392" s="8"/>
      <c r="C392" s="13" t="str">
        <f aca="false">IF($B392="","",IFERROR(INDEX(직원목록!$B$3:$B$302,MATCH($B392,직원목록!$A$3:$A$302,0)),"미등록사번"))</f>
        <v/>
      </c>
      <c r="D392" s="13" t="str">
        <f aca="false">IF($B392="","",IFERROR(INDEX(직원목록!$C$3:$C$302,MATCH($B392,직원목록!$A$3:$A$302,0)),""))</f>
        <v/>
      </c>
      <c r="E392" s="14"/>
      <c r="F392" s="14"/>
      <c r="G392" s="15"/>
      <c r="H392" s="16" t="str">
        <f aca="false">IF(OR($K392="",$L392=""),"",ROUND(MAX(0,($L392-$K392)-IF($G392="",0,$G392))/60,2))</f>
        <v/>
      </c>
      <c r="I392" s="8"/>
      <c r="J392" s="8"/>
      <c r="K392" s="17" t="str">
        <f aca="false">IF($E392="","",IF($E392&lt;1,ROUND($E392*1440,0),INT($E392/100)*60+MOD($E392,100)))</f>
        <v/>
      </c>
      <c r="L392" s="17" t="str">
        <f aca="false">IF($F392="","",IF($F392&lt;1,ROUND($F392*1440,0),INT($F392/100)*60+MOD($F392,100)))</f>
        <v/>
      </c>
    </row>
    <row r="393" customFormat="false" ht="15" hidden="false" customHeight="true" outlineLevel="0" collapsed="false">
      <c r="A393" s="10"/>
      <c r="B393" s="8"/>
      <c r="C393" s="13" t="str">
        <f aca="false">IF($B393="","",IFERROR(INDEX(직원목록!$B$3:$B$302,MATCH($B393,직원목록!$A$3:$A$302,0)),"미등록사번"))</f>
        <v/>
      </c>
      <c r="D393" s="13" t="str">
        <f aca="false">IF($B393="","",IFERROR(INDEX(직원목록!$C$3:$C$302,MATCH($B393,직원목록!$A$3:$A$302,0)),""))</f>
        <v/>
      </c>
      <c r="E393" s="14"/>
      <c r="F393" s="14"/>
      <c r="G393" s="15"/>
      <c r="H393" s="16" t="str">
        <f aca="false">IF(OR($K393="",$L393=""),"",ROUND(MAX(0,($L393-$K393)-IF($G393="",0,$G393))/60,2))</f>
        <v/>
      </c>
      <c r="I393" s="8"/>
      <c r="J393" s="8"/>
      <c r="K393" s="17" t="str">
        <f aca="false">IF($E393="","",IF($E393&lt;1,ROUND($E393*1440,0),INT($E393/100)*60+MOD($E393,100)))</f>
        <v/>
      </c>
      <c r="L393" s="17" t="str">
        <f aca="false">IF($F393="","",IF($F393&lt;1,ROUND($F393*1440,0),INT($F393/100)*60+MOD($F393,100)))</f>
        <v/>
      </c>
    </row>
    <row r="394" customFormat="false" ht="15" hidden="false" customHeight="true" outlineLevel="0" collapsed="false">
      <c r="A394" s="10"/>
      <c r="B394" s="8"/>
      <c r="C394" s="13" t="str">
        <f aca="false">IF($B394="","",IFERROR(INDEX(직원목록!$B$3:$B$302,MATCH($B394,직원목록!$A$3:$A$302,0)),"미등록사번"))</f>
        <v/>
      </c>
      <c r="D394" s="13" t="str">
        <f aca="false">IF($B394="","",IFERROR(INDEX(직원목록!$C$3:$C$302,MATCH($B394,직원목록!$A$3:$A$302,0)),""))</f>
        <v/>
      </c>
      <c r="E394" s="14"/>
      <c r="F394" s="14"/>
      <c r="G394" s="15"/>
      <c r="H394" s="16" t="str">
        <f aca="false">IF(OR($K394="",$L394=""),"",ROUND(MAX(0,($L394-$K394)-IF($G394="",0,$G394))/60,2))</f>
        <v/>
      </c>
      <c r="I394" s="8"/>
      <c r="J394" s="8"/>
      <c r="K394" s="17" t="str">
        <f aca="false">IF($E394="","",IF($E394&lt;1,ROUND($E394*1440,0),INT($E394/100)*60+MOD($E394,100)))</f>
        <v/>
      </c>
      <c r="L394" s="17" t="str">
        <f aca="false">IF($F394="","",IF($F394&lt;1,ROUND($F394*1440,0),INT($F394/100)*60+MOD($F394,100)))</f>
        <v/>
      </c>
    </row>
    <row r="395" customFormat="false" ht="15" hidden="false" customHeight="true" outlineLevel="0" collapsed="false">
      <c r="A395" s="10"/>
      <c r="B395" s="8"/>
      <c r="C395" s="13" t="str">
        <f aca="false">IF($B395="","",IFERROR(INDEX(직원목록!$B$3:$B$302,MATCH($B395,직원목록!$A$3:$A$302,0)),"미등록사번"))</f>
        <v/>
      </c>
      <c r="D395" s="13" t="str">
        <f aca="false">IF($B395="","",IFERROR(INDEX(직원목록!$C$3:$C$302,MATCH($B395,직원목록!$A$3:$A$302,0)),""))</f>
        <v/>
      </c>
      <c r="E395" s="14"/>
      <c r="F395" s="14"/>
      <c r="G395" s="15"/>
      <c r="H395" s="16" t="str">
        <f aca="false">IF(OR($K395="",$L395=""),"",ROUND(MAX(0,($L395-$K395)-IF($G395="",0,$G395))/60,2))</f>
        <v/>
      </c>
      <c r="I395" s="8"/>
      <c r="J395" s="8"/>
      <c r="K395" s="17" t="str">
        <f aca="false">IF($E395="","",IF($E395&lt;1,ROUND($E395*1440,0),INT($E395/100)*60+MOD($E395,100)))</f>
        <v/>
      </c>
      <c r="L395" s="17" t="str">
        <f aca="false">IF($F395="","",IF($F395&lt;1,ROUND($F395*1440,0),INT($F395/100)*60+MOD($F395,100)))</f>
        <v/>
      </c>
    </row>
    <row r="396" customFormat="false" ht="15" hidden="false" customHeight="true" outlineLevel="0" collapsed="false">
      <c r="A396" s="10"/>
      <c r="B396" s="8"/>
      <c r="C396" s="13" t="str">
        <f aca="false">IF($B396="","",IFERROR(INDEX(직원목록!$B$3:$B$302,MATCH($B396,직원목록!$A$3:$A$302,0)),"미등록사번"))</f>
        <v/>
      </c>
      <c r="D396" s="13" t="str">
        <f aca="false">IF($B396="","",IFERROR(INDEX(직원목록!$C$3:$C$302,MATCH($B396,직원목록!$A$3:$A$302,0)),""))</f>
        <v/>
      </c>
      <c r="E396" s="14"/>
      <c r="F396" s="14"/>
      <c r="G396" s="15"/>
      <c r="H396" s="16" t="str">
        <f aca="false">IF(OR($K396="",$L396=""),"",ROUND(MAX(0,($L396-$K396)-IF($G396="",0,$G396))/60,2))</f>
        <v/>
      </c>
      <c r="I396" s="8"/>
      <c r="J396" s="8"/>
      <c r="K396" s="17" t="str">
        <f aca="false">IF($E396="","",IF($E396&lt;1,ROUND($E396*1440,0),INT($E396/100)*60+MOD($E396,100)))</f>
        <v/>
      </c>
      <c r="L396" s="17" t="str">
        <f aca="false">IF($F396="","",IF($F396&lt;1,ROUND($F396*1440,0),INT($F396/100)*60+MOD($F396,100)))</f>
        <v/>
      </c>
    </row>
    <row r="397" customFormat="false" ht="15" hidden="false" customHeight="true" outlineLevel="0" collapsed="false">
      <c r="A397" s="10"/>
      <c r="B397" s="8"/>
      <c r="C397" s="13" t="str">
        <f aca="false">IF($B397="","",IFERROR(INDEX(직원목록!$B$3:$B$302,MATCH($B397,직원목록!$A$3:$A$302,0)),"미등록사번"))</f>
        <v/>
      </c>
      <c r="D397" s="13" t="str">
        <f aca="false">IF($B397="","",IFERROR(INDEX(직원목록!$C$3:$C$302,MATCH($B397,직원목록!$A$3:$A$302,0)),""))</f>
        <v/>
      </c>
      <c r="E397" s="14"/>
      <c r="F397" s="14"/>
      <c r="G397" s="15"/>
      <c r="H397" s="16" t="str">
        <f aca="false">IF(OR($K397="",$L397=""),"",ROUND(MAX(0,($L397-$K397)-IF($G397="",0,$G397))/60,2))</f>
        <v/>
      </c>
      <c r="I397" s="8"/>
      <c r="J397" s="8"/>
      <c r="K397" s="17" t="str">
        <f aca="false">IF($E397="","",IF($E397&lt;1,ROUND($E397*1440,0),INT($E397/100)*60+MOD($E397,100)))</f>
        <v/>
      </c>
      <c r="L397" s="17" t="str">
        <f aca="false">IF($F397="","",IF($F397&lt;1,ROUND($F397*1440,0),INT($F397/100)*60+MOD($F397,100)))</f>
        <v/>
      </c>
    </row>
    <row r="398" customFormat="false" ht="15" hidden="false" customHeight="true" outlineLevel="0" collapsed="false">
      <c r="A398" s="10"/>
      <c r="B398" s="8"/>
      <c r="C398" s="13" t="str">
        <f aca="false">IF($B398="","",IFERROR(INDEX(직원목록!$B$3:$B$302,MATCH($B398,직원목록!$A$3:$A$302,0)),"미등록사번"))</f>
        <v/>
      </c>
      <c r="D398" s="13" t="str">
        <f aca="false">IF($B398="","",IFERROR(INDEX(직원목록!$C$3:$C$302,MATCH($B398,직원목록!$A$3:$A$302,0)),""))</f>
        <v/>
      </c>
      <c r="E398" s="14"/>
      <c r="F398" s="14"/>
      <c r="G398" s="15"/>
      <c r="H398" s="16" t="str">
        <f aca="false">IF(OR($K398="",$L398=""),"",ROUND(MAX(0,($L398-$K398)-IF($G398="",0,$G398))/60,2))</f>
        <v/>
      </c>
      <c r="I398" s="8"/>
      <c r="J398" s="8"/>
      <c r="K398" s="17" t="str">
        <f aca="false">IF($E398="","",IF($E398&lt;1,ROUND($E398*1440,0),INT($E398/100)*60+MOD($E398,100)))</f>
        <v/>
      </c>
      <c r="L398" s="17" t="str">
        <f aca="false">IF($F398="","",IF($F398&lt;1,ROUND($F398*1440,0),INT($F398/100)*60+MOD($F398,100)))</f>
        <v/>
      </c>
    </row>
    <row r="399" customFormat="false" ht="15" hidden="false" customHeight="true" outlineLevel="0" collapsed="false">
      <c r="A399" s="10"/>
      <c r="B399" s="8"/>
      <c r="C399" s="13" t="str">
        <f aca="false">IF($B399="","",IFERROR(INDEX(직원목록!$B$3:$B$302,MATCH($B399,직원목록!$A$3:$A$302,0)),"미등록사번"))</f>
        <v/>
      </c>
      <c r="D399" s="13" t="str">
        <f aca="false">IF($B399="","",IFERROR(INDEX(직원목록!$C$3:$C$302,MATCH($B399,직원목록!$A$3:$A$302,0)),""))</f>
        <v/>
      </c>
      <c r="E399" s="14"/>
      <c r="F399" s="14"/>
      <c r="G399" s="15"/>
      <c r="H399" s="16" t="str">
        <f aca="false">IF(OR($K399="",$L399=""),"",ROUND(MAX(0,($L399-$K399)-IF($G399="",0,$G399))/60,2))</f>
        <v/>
      </c>
      <c r="I399" s="8"/>
      <c r="J399" s="8"/>
      <c r="K399" s="17" t="str">
        <f aca="false">IF($E399="","",IF($E399&lt;1,ROUND($E399*1440,0),INT($E399/100)*60+MOD($E399,100)))</f>
        <v/>
      </c>
      <c r="L399" s="17" t="str">
        <f aca="false">IF($F399="","",IF($F399&lt;1,ROUND($F399*1440,0),INT($F399/100)*60+MOD($F399,100)))</f>
        <v/>
      </c>
    </row>
    <row r="400" customFormat="false" ht="15" hidden="false" customHeight="true" outlineLevel="0" collapsed="false">
      <c r="A400" s="10"/>
      <c r="B400" s="8"/>
      <c r="C400" s="13" t="str">
        <f aca="false">IF($B400="","",IFERROR(INDEX(직원목록!$B$3:$B$302,MATCH($B400,직원목록!$A$3:$A$302,0)),"미등록사번"))</f>
        <v/>
      </c>
      <c r="D400" s="13" t="str">
        <f aca="false">IF($B400="","",IFERROR(INDEX(직원목록!$C$3:$C$302,MATCH($B400,직원목록!$A$3:$A$302,0)),""))</f>
        <v/>
      </c>
      <c r="E400" s="14"/>
      <c r="F400" s="14"/>
      <c r="G400" s="15"/>
      <c r="H400" s="16" t="str">
        <f aca="false">IF(OR($K400="",$L400=""),"",ROUND(MAX(0,($L400-$K400)-IF($G400="",0,$G400))/60,2))</f>
        <v/>
      </c>
      <c r="I400" s="8"/>
      <c r="J400" s="8"/>
      <c r="K400" s="17" t="str">
        <f aca="false">IF($E400="","",IF($E400&lt;1,ROUND($E400*1440,0),INT($E400/100)*60+MOD($E400,100)))</f>
        <v/>
      </c>
      <c r="L400" s="17" t="str">
        <f aca="false">IF($F400="","",IF($F400&lt;1,ROUND($F400*1440,0),INT($F400/100)*60+MOD($F400,100)))</f>
        <v/>
      </c>
    </row>
    <row r="401" customFormat="false" ht="15" hidden="false" customHeight="true" outlineLevel="0" collapsed="false">
      <c r="A401" s="10"/>
      <c r="B401" s="8"/>
      <c r="C401" s="13" t="str">
        <f aca="false">IF($B401="","",IFERROR(INDEX(직원목록!$B$3:$B$302,MATCH($B401,직원목록!$A$3:$A$302,0)),"미등록사번"))</f>
        <v/>
      </c>
      <c r="D401" s="13" t="str">
        <f aca="false">IF($B401="","",IFERROR(INDEX(직원목록!$C$3:$C$302,MATCH($B401,직원목록!$A$3:$A$302,0)),""))</f>
        <v/>
      </c>
      <c r="E401" s="14"/>
      <c r="F401" s="14"/>
      <c r="G401" s="15"/>
      <c r="H401" s="16" t="str">
        <f aca="false">IF(OR($K401="",$L401=""),"",ROUND(MAX(0,($L401-$K401)-IF($G401="",0,$G401))/60,2))</f>
        <v/>
      </c>
      <c r="I401" s="8"/>
      <c r="J401" s="8"/>
      <c r="K401" s="17" t="str">
        <f aca="false">IF($E401="","",IF($E401&lt;1,ROUND($E401*1440,0),INT($E401/100)*60+MOD($E401,100)))</f>
        <v/>
      </c>
      <c r="L401" s="17" t="str">
        <f aca="false">IF($F401="","",IF($F401&lt;1,ROUND($F401*1440,0),INT($F401/100)*60+MOD($F401,100)))</f>
        <v/>
      </c>
    </row>
    <row r="402" customFormat="false" ht="15" hidden="false" customHeight="true" outlineLevel="0" collapsed="false">
      <c r="A402" s="10"/>
      <c r="B402" s="8"/>
      <c r="C402" s="13" t="str">
        <f aca="false">IF($B402="","",IFERROR(INDEX(직원목록!$B$3:$B$302,MATCH($B402,직원목록!$A$3:$A$302,0)),"미등록사번"))</f>
        <v/>
      </c>
      <c r="D402" s="13" t="str">
        <f aca="false">IF($B402="","",IFERROR(INDEX(직원목록!$C$3:$C$302,MATCH($B402,직원목록!$A$3:$A$302,0)),""))</f>
        <v/>
      </c>
      <c r="E402" s="14"/>
      <c r="F402" s="14"/>
      <c r="G402" s="15"/>
      <c r="H402" s="16" t="str">
        <f aca="false">IF(OR($K402="",$L402=""),"",ROUND(MAX(0,($L402-$K402)-IF($G402="",0,$G402))/60,2))</f>
        <v/>
      </c>
      <c r="I402" s="8"/>
      <c r="J402" s="8"/>
      <c r="K402" s="17" t="str">
        <f aca="false">IF($E402="","",IF($E402&lt;1,ROUND($E402*1440,0),INT($E402/100)*60+MOD($E402,100)))</f>
        <v/>
      </c>
      <c r="L402" s="17" t="str">
        <f aca="false">IF($F402="","",IF($F402&lt;1,ROUND($F402*1440,0),INT($F402/100)*60+MOD($F402,100)))</f>
        <v/>
      </c>
    </row>
    <row r="403" customFormat="false" ht="15" hidden="false" customHeight="true" outlineLevel="0" collapsed="false">
      <c r="A403" s="10"/>
      <c r="B403" s="8"/>
      <c r="C403" s="13" t="str">
        <f aca="false">IF($B403="","",IFERROR(INDEX(직원목록!$B$3:$B$302,MATCH($B403,직원목록!$A$3:$A$302,0)),"미등록사번"))</f>
        <v/>
      </c>
      <c r="D403" s="13" t="str">
        <f aca="false">IF($B403="","",IFERROR(INDEX(직원목록!$C$3:$C$302,MATCH($B403,직원목록!$A$3:$A$302,0)),""))</f>
        <v/>
      </c>
      <c r="E403" s="14"/>
      <c r="F403" s="14"/>
      <c r="G403" s="15"/>
      <c r="H403" s="16" t="str">
        <f aca="false">IF(OR($K403="",$L403=""),"",ROUND(MAX(0,($L403-$K403)-IF($G403="",0,$G403))/60,2))</f>
        <v/>
      </c>
      <c r="I403" s="8"/>
      <c r="J403" s="8"/>
      <c r="K403" s="17" t="str">
        <f aca="false">IF($E403="","",IF($E403&lt;1,ROUND($E403*1440,0),INT($E403/100)*60+MOD($E403,100)))</f>
        <v/>
      </c>
      <c r="L403" s="17" t="str">
        <f aca="false">IF($F403="","",IF($F403&lt;1,ROUND($F403*1440,0),INT($F403/100)*60+MOD($F403,100)))</f>
        <v/>
      </c>
    </row>
    <row r="404" customFormat="false" ht="15" hidden="false" customHeight="true" outlineLevel="0" collapsed="false">
      <c r="A404" s="10"/>
      <c r="B404" s="8"/>
      <c r="C404" s="13" t="str">
        <f aca="false">IF($B404="","",IFERROR(INDEX(직원목록!$B$3:$B$302,MATCH($B404,직원목록!$A$3:$A$302,0)),"미등록사번"))</f>
        <v/>
      </c>
      <c r="D404" s="13" t="str">
        <f aca="false">IF($B404="","",IFERROR(INDEX(직원목록!$C$3:$C$302,MATCH($B404,직원목록!$A$3:$A$302,0)),""))</f>
        <v/>
      </c>
      <c r="E404" s="14"/>
      <c r="F404" s="14"/>
      <c r="G404" s="15"/>
      <c r="H404" s="16" t="str">
        <f aca="false">IF(OR($K404="",$L404=""),"",ROUND(MAX(0,($L404-$K404)-IF($G404="",0,$G404))/60,2))</f>
        <v/>
      </c>
      <c r="I404" s="8"/>
      <c r="J404" s="8"/>
      <c r="K404" s="17" t="str">
        <f aca="false">IF($E404="","",IF($E404&lt;1,ROUND($E404*1440,0),INT($E404/100)*60+MOD($E404,100)))</f>
        <v/>
      </c>
      <c r="L404" s="17" t="str">
        <f aca="false">IF($F404="","",IF($F404&lt;1,ROUND($F404*1440,0),INT($F404/100)*60+MOD($F404,100)))</f>
        <v/>
      </c>
    </row>
    <row r="405" customFormat="false" ht="15" hidden="false" customHeight="true" outlineLevel="0" collapsed="false">
      <c r="A405" s="10"/>
      <c r="B405" s="8"/>
      <c r="C405" s="13" t="str">
        <f aca="false">IF($B405="","",IFERROR(INDEX(직원목록!$B$3:$B$302,MATCH($B405,직원목록!$A$3:$A$302,0)),"미등록사번"))</f>
        <v/>
      </c>
      <c r="D405" s="13" t="str">
        <f aca="false">IF($B405="","",IFERROR(INDEX(직원목록!$C$3:$C$302,MATCH($B405,직원목록!$A$3:$A$302,0)),""))</f>
        <v/>
      </c>
      <c r="E405" s="14"/>
      <c r="F405" s="14"/>
      <c r="G405" s="15"/>
      <c r="H405" s="16" t="str">
        <f aca="false">IF(OR($K405="",$L405=""),"",ROUND(MAX(0,($L405-$K405)-IF($G405="",0,$G405))/60,2))</f>
        <v/>
      </c>
      <c r="I405" s="8"/>
      <c r="J405" s="8"/>
      <c r="K405" s="17" t="str">
        <f aca="false">IF($E405="","",IF($E405&lt;1,ROUND($E405*1440,0),INT($E405/100)*60+MOD($E405,100)))</f>
        <v/>
      </c>
      <c r="L405" s="17" t="str">
        <f aca="false">IF($F405="","",IF($F405&lt;1,ROUND($F405*1440,0),INT($F405/100)*60+MOD($F405,100)))</f>
        <v/>
      </c>
    </row>
    <row r="406" customFormat="false" ht="15" hidden="false" customHeight="true" outlineLevel="0" collapsed="false">
      <c r="A406" s="10"/>
      <c r="B406" s="8"/>
      <c r="C406" s="13" t="str">
        <f aca="false">IF($B406="","",IFERROR(INDEX(직원목록!$B$3:$B$302,MATCH($B406,직원목록!$A$3:$A$302,0)),"미등록사번"))</f>
        <v/>
      </c>
      <c r="D406" s="13" t="str">
        <f aca="false">IF($B406="","",IFERROR(INDEX(직원목록!$C$3:$C$302,MATCH($B406,직원목록!$A$3:$A$302,0)),""))</f>
        <v/>
      </c>
      <c r="E406" s="14"/>
      <c r="F406" s="14"/>
      <c r="G406" s="15"/>
      <c r="H406" s="16" t="str">
        <f aca="false">IF(OR($K406="",$L406=""),"",ROUND(MAX(0,($L406-$K406)-IF($G406="",0,$G406))/60,2))</f>
        <v/>
      </c>
      <c r="I406" s="8"/>
      <c r="J406" s="8"/>
      <c r="K406" s="17" t="str">
        <f aca="false">IF($E406="","",IF($E406&lt;1,ROUND($E406*1440,0),INT($E406/100)*60+MOD($E406,100)))</f>
        <v/>
      </c>
      <c r="L406" s="17" t="str">
        <f aca="false">IF($F406="","",IF($F406&lt;1,ROUND($F406*1440,0),INT($F406/100)*60+MOD($F406,100)))</f>
        <v/>
      </c>
    </row>
    <row r="407" customFormat="false" ht="15" hidden="false" customHeight="true" outlineLevel="0" collapsed="false">
      <c r="A407" s="10"/>
      <c r="B407" s="8"/>
      <c r="C407" s="13" t="str">
        <f aca="false">IF($B407="","",IFERROR(INDEX(직원목록!$B$3:$B$302,MATCH($B407,직원목록!$A$3:$A$302,0)),"미등록사번"))</f>
        <v/>
      </c>
      <c r="D407" s="13" t="str">
        <f aca="false">IF($B407="","",IFERROR(INDEX(직원목록!$C$3:$C$302,MATCH($B407,직원목록!$A$3:$A$302,0)),""))</f>
        <v/>
      </c>
      <c r="E407" s="14"/>
      <c r="F407" s="14"/>
      <c r="G407" s="15"/>
      <c r="H407" s="16" t="str">
        <f aca="false">IF(OR($K407="",$L407=""),"",ROUND(MAX(0,($L407-$K407)-IF($G407="",0,$G407))/60,2))</f>
        <v/>
      </c>
      <c r="I407" s="8"/>
      <c r="J407" s="8"/>
      <c r="K407" s="17" t="str">
        <f aca="false">IF($E407="","",IF($E407&lt;1,ROUND($E407*1440,0),INT($E407/100)*60+MOD($E407,100)))</f>
        <v/>
      </c>
      <c r="L407" s="17" t="str">
        <f aca="false">IF($F407="","",IF($F407&lt;1,ROUND($F407*1440,0),INT($F407/100)*60+MOD($F407,100)))</f>
        <v/>
      </c>
    </row>
    <row r="408" customFormat="false" ht="15" hidden="false" customHeight="true" outlineLevel="0" collapsed="false">
      <c r="A408" s="10"/>
      <c r="B408" s="8"/>
      <c r="C408" s="13" t="str">
        <f aca="false">IF($B408="","",IFERROR(INDEX(직원목록!$B$3:$B$302,MATCH($B408,직원목록!$A$3:$A$302,0)),"미등록사번"))</f>
        <v/>
      </c>
      <c r="D408" s="13" t="str">
        <f aca="false">IF($B408="","",IFERROR(INDEX(직원목록!$C$3:$C$302,MATCH($B408,직원목록!$A$3:$A$302,0)),""))</f>
        <v/>
      </c>
      <c r="E408" s="14"/>
      <c r="F408" s="14"/>
      <c r="G408" s="15"/>
      <c r="H408" s="16" t="str">
        <f aca="false">IF(OR($K408="",$L408=""),"",ROUND(MAX(0,($L408-$K408)-IF($G408="",0,$G408))/60,2))</f>
        <v/>
      </c>
      <c r="I408" s="8"/>
      <c r="J408" s="8"/>
      <c r="K408" s="17" t="str">
        <f aca="false">IF($E408="","",IF($E408&lt;1,ROUND($E408*1440,0),INT($E408/100)*60+MOD($E408,100)))</f>
        <v/>
      </c>
      <c r="L408" s="17" t="str">
        <f aca="false">IF($F408="","",IF($F408&lt;1,ROUND($F408*1440,0),INT($F408/100)*60+MOD($F408,100)))</f>
        <v/>
      </c>
    </row>
    <row r="409" customFormat="false" ht="15" hidden="false" customHeight="true" outlineLevel="0" collapsed="false">
      <c r="A409" s="10"/>
      <c r="B409" s="8"/>
      <c r="C409" s="13" t="str">
        <f aca="false">IF($B409="","",IFERROR(INDEX(직원목록!$B$3:$B$302,MATCH($B409,직원목록!$A$3:$A$302,0)),"미등록사번"))</f>
        <v/>
      </c>
      <c r="D409" s="13" t="str">
        <f aca="false">IF($B409="","",IFERROR(INDEX(직원목록!$C$3:$C$302,MATCH($B409,직원목록!$A$3:$A$302,0)),""))</f>
        <v/>
      </c>
      <c r="E409" s="14"/>
      <c r="F409" s="14"/>
      <c r="G409" s="15"/>
      <c r="H409" s="16" t="str">
        <f aca="false">IF(OR($K409="",$L409=""),"",ROUND(MAX(0,($L409-$K409)-IF($G409="",0,$G409))/60,2))</f>
        <v/>
      </c>
      <c r="I409" s="8"/>
      <c r="J409" s="8"/>
      <c r="K409" s="17" t="str">
        <f aca="false">IF($E409="","",IF($E409&lt;1,ROUND($E409*1440,0),INT($E409/100)*60+MOD($E409,100)))</f>
        <v/>
      </c>
      <c r="L409" s="17" t="str">
        <f aca="false">IF($F409="","",IF($F409&lt;1,ROUND($F409*1440,0),INT($F409/100)*60+MOD($F409,100)))</f>
        <v/>
      </c>
    </row>
    <row r="410" customFormat="false" ht="15" hidden="false" customHeight="true" outlineLevel="0" collapsed="false">
      <c r="A410" s="10"/>
      <c r="B410" s="8"/>
      <c r="C410" s="13" t="str">
        <f aca="false">IF($B410="","",IFERROR(INDEX(직원목록!$B$3:$B$302,MATCH($B410,직원목록!$A$3:$A$302,0)),"미등록사번"))</f>
        <v/>
      </c>
      <c r="D410" s="13" t="str">
        <f aca="false">IF($B410="","",IFERROR(INDEX(직원목록!$C$3:$C$302,MATCH($B410,직원목록!$A$3:$A$302,0)),""))</f>
        <v/>
      </c>
      <c r="E410" s="14"/>
      <c r="F410" s="14"/>
      <c r="G410" s="15"/>
      <c r="H410" s="16" t="str">
        <f aca="false">IF(OR($K410="",$L410=""),"",ROUND(MAX(0,($L410-$K410)-IF($G410="",0,$G410))/60,2))</f>
        <v/>
      </c>
      <c r="I410" s="8"/>
      <c r="J410" s="8"/>
      <c r="K410" s="17" t="str">
        <f aca="false">IF($E410="","",IF($E410&lt;1,ROUND($E410*1440,0),INT($E410/100)*60+MOD($E410,100)))</f>
        <v/>
      </c>
      <c r="L410" s="17" t="str">
        <f aca="false">IF($F410="","",IF($F410&lt;1,ROUND($F410*1440,0),INT($F410/100)*60+MOD($F410,100)))</f>
        <v/>
      </c>
    </row>
    <row r="411" customFormat="false" ht="15" hidden="false" customHeight="true" outlineLevel="0" collapsed="false">
      <c r="A411" s="10"/>
      <c r="B411" s="8"/>
      <c r="C411" s="13" t="str">
        <f aca="false">IF($B411="","",IFERROR(INDEX(직원목록!$B$3:$B$302,MATCH($B411,직원목록!$A$3:$A$302,0)),"미등록사번"))</f>
        <v/>
      </c>
      <c r="D411" s="13" t="str">
        <f aca="false">IF($B411="","",IFERROR(INDEX(직원목록!$C$3:$C$302,MATCH($B411,직원목록!$A$3:$A$302,0)),""))</f>
        <v/>
      </c>
      <c r="E411" s="14"/>
      <c r="F411" s="14"/>
      <c r="G411" s="15"/>
      <c r="H411" s="16" t="str">
        <f aca="false">IF(OR($K411="",$L411=""),"",ROUND(MAX(0,($L411-$K411)-IF($G411="",0,$G411))/60,2))</f>
        <v/>
      </c>
      <c r="I411" s="8"/>
      <c r="J411" s="8"/>
      <c r="K411" s="17" t="str">
        <f aca="false">IF($E411="","",IF($E411&lt;1,ROUND($E411*1440,0),INT($E411/100)*60+MOD($E411,100)))</f>
        <v/>
      </c>
      <c r="L411" s="17" t="str">
        <f aca="false">IF($F411="","",IF($F411&lt;1,ROUND($F411*1440,0),INT($F411/100)*60+MOD($F411,100)))</f>
        <v/>
      </c>
    </row>
    <row r="412" customFormat="false" ht="15" hidden="false" customHeight="true" outlineLevel="0" collapsed="false">
      <c r="A412" s="10"/>
      <c r="B412" s="8"/>
      <c r="C412" s="13" t="str">
        <f aca="false">IF($B412="","",IFERROR(INDEX(직원목록!$B$3:$B$302,MATCH($B412,직원목록!$A$3:$A$302,0)),"미등록사번"))</f>
        <v/>
      </c>
      <c r="D412" s="13" t="str">
        <f aca="false">IF($B412="","",IFERROR(INDEX(직원목록!$C$3:$C$302,MATCH($B412,직원목록!$A$3:$A$302,0)),""))</f>
        <v/>
      </c>
      <c r="E412" s="14"/>
      <c r="F412" s="14"/>
      <c r="G412" s="15"/>
      <c r="H412" s="16" t="str">
        <f aca="false">IF(OR($K412="",$L412=""),"",ROUND(MAX(0,($L412-$K412)-IF($G412="",0,$G412))/60,2))</f>
        <v/>
      </c>
      <c r="I412" s="8"/>
      <c r="J412" s="8"/>
      <c r="K412" s="17" t="str">
        <f aca="false">IF($E412="","",IF($E412&lt;1,ROUND($E412*1440,0),INT($E412/100)*60+MOD($E412,100)))</f>
        <v/>
      </c>
      <c r="L412" s="17" t="str">
        <f aca="false">IF($F412="","",IF($F412&lt;1,ROUND($F412*1440,0),INT($F412/100)*60+MOD($F412,100)))</f>
        <v/>
      </c>
    </row>
    <row r="413" customFormat="false" ht="15" hidden="false" customHeight="true" outlineLevel="0" collapsed="false">
      <c r="A413" s="10"/>
      <c r="B413" s="8"/>
      <c r="C413" s="13" t="str">
        <f aca="false">IF($B413="","",IFERROR(INDEX(직원목록!$B$3:$B$302,MATCH($B413,직원목록!$A$3:$A$302,0)),"미등록사번"))</f>
        <v/>
      </c>
      <c r="D413" s="13" t="str">
        <f aca="false">IF($B413="","",IFERROR(INDEX(직원목록!$C$3:$C$302,MATCH($B413,직원목록!$A$3:$A$302,0)),""))</f>
        <v/>
      </c>
      <c r="E413" s="14"/>
      <c r="F413" s="14"/>
      <c r="G413" s="15"/>
      <c r="H413" s="16" t="str">
        <f aca="false">IF(OR($K413="",$L413=""),"",ROUND(MAX(0,($L413-$K413)-IF($G413="",0,$G413))/60,2))</f>
        <v/>
      </c>
      <c r="I413" s="8"/>
      <c r="J413" s="8"/>
      <c r="K413" s="17" t="str">
        <f aca="false">IF($E413="","",IF($E413&lt;1,ROUND($E413*1440,0),INT($E413/100)*60+MOD($E413,100)))</f>
        <v/>
      </c>
      <c r="L413" s="17" t="str">
        <f aca="false">IF($F413="","",IF($F413&lt;1,ROUND($F413*1440,0),INT($F413/100)*60+MOD($F413,100)))</f>
        <v/>
      </c>
    </row>
    <row r="414" customFormat="false" ht="15" hidden="false" customHeight="true" outlineLevel="0" collapsed="false">
      <c r="A414" s="10"/>
      <c r="B414" s="8"/>
      <c r="C414" s="13" t="str">
        <f aca="false">IF($B414="","",IFERROR(INDEX(직원목록!$B$3:$B$302,MATCH($B414,직원목록!$A$3:$A$302,0)),"미등록사번"))</f>
        <v/>
      </c>
      <c r="D414" s="13" t="str">
        <f aca="false">IF($B414="","",IFERROR(INDEX(직원목록!$C$3:$C$302,MATCH($B414,직원목록!$A$3:$A$302,0)),""))</f>
        <v/>
      </c>
      <c r="E414" s="14"/>
      <c r="F414" s="14"/>
      <c r="G414" s="15"/>
      <c r="H414" s="16" t="str">
        <f aca="false">IF(OR($K414="",$L414=""),"",ROUND(MAX(0,($L414-$K414)-IF($G414="",0,$G414))/60,2))</f>
        <v/>
      </c>
      <c r="I414" s="8"/>
      <c r="J414" s="8"/>
      <c r="K414" s="17" t="str">
        <f aca="false">IF($E414="","",IF($E414&lt;1,ROUND($E414*1440,0),INT($E414/100)*60+MOD($E414,100)))</f>
        <v/>
      </c>
      <c r="L414" s="17" t="str">
        <f aca="false">IF($F414="","",IF($F414&lt;1,ROUND($F414*1440,0),INT($F414/100)*60+MOD($F414,100)))</f>
        <v/>
      </c>
    </row>
    <row r="415" customFormat="false" ht="15" hidden="false" customHeight="true" outlineLevel="0" collapsed="false">
      <c r="A415" s="10"/>
      <c r="B415" s="8"/>
      <c r="C415" s="13" t="str">
        <f aca="false">IF($B415="","",IFERROR(INDEX(직원목록!$B$3:$B$302,MATCH($B415,직원목록!$A$3:$A$302,0)),"미등록사번"))</f>
        <v/>
      </c>
      <c r="D415" s="13" t="str">
        <f aca="false">IF($B415="","",IFERROR(INDEX(직원목록!$C$3:$C$302,MATCH($B415,직원목록!$A$3:$A$302,0)),""))</f>
        <v/>
      </c>
      <c r="E415" s="14"/>
      <c r="F415" s="14"/>
      <c r="G415" s="15"/>
      <c r="H415" s="16" t="str">
        <f aca="false">IF(OR($K415="",$L415=""),"",ROUND(MAX(0,($L415-$K415)-IF($G415="",0,$G415))/60,2))</f>
        <v/>
      </c>
      <c r="I415" s="8"/>
      <c r="J415" s="8"/>
      <c r="K415" s="17" t="str">
        <f aca="false">IF($E415="","",IF($E415&lt;1,ROUND($E415*1440,0),INT($E415/100)*60+MOD($E415,100)))</f>
        <v/>
      </c>
      <c r="L415" s="17" t="str">
        <f aca="false">IF($F415="","",IF($F415&lt;1,ROUND($F415*1440,0),INT($F415/100)*60+MOD($F415,100)))</f>
        <v/>
      </c>
    </row>
    <row r="416" customFormat="false" ht="15" hidden="false" customHeight="true" outlineLevel="0" collapsed="false">
      <c r="A416" s="10"/>
      <c r="B416" s="8"/>
      <c r="C416" s="13" t="str">
        <f aca="false">IF($B416="","",IFERROR(INDEX(직원목록!$B$3:$B$302,MATCH($B416,직원목록!$A$3:$A$302,0)),"미등록사번"))</f>
        <v/>
      </c>
      <c r="D416" s="13" t="str">
        <f aca="false">IF($B416="","",IFERROR(INDEX(직원목록!$C$3:$C$302,MATCH($B416,직원목록!$A$3:$A$302,0)),""))</f>
        <v/>
      </c>
      <c r="E416" s="14"/>
      <c r="F416" s="14"/>
      <c r="G416" s="15"/>
      <c r="H416" s="16" t="str">
        <f aca="false">IF(OR($K416="",$L416=""),"",ROUND(MAX(0,($L416-$K416)-IF($G416="",0,$G416))/60,2))</f>
        <v/>
      </c>
      <c r="I416" s="8"/>
      <c r="J416" s="8"/>
      <c r="K416" s="17" t="str">
        <f aca="false">IF($E416="","",IF($E416&lt;1,ROUND($E416*1440,0),INT($E416/100)*60+MOD($E416,100)))</f>
        <v/>
      </c>
      <c r="L416" s="17" t="str">
        <f aca="false">IF($F416="","",IF($F416&lt;1,ROUND($F416*1440,0),INT($F416/100)*60+MOD($F416,100)))</f>
        <v/>
      </c>
    </row>
    <row r="417" customFormat="false" ht="15" hidden="false" customHeight="true" outlineLevel="0" collapsed="false">
      <c r="A417" s="10"/>
      <c r="B417" s="8"/>
      <c r="C417" s="13" t="str">
        <f aca="false">IF($B417="","",IFERROR(INDEX(직원목록!$B$3:$B$302,MATCH($B417,직원목록!$A$3:$A$302,0)),"미등록사번"))</f>
        <v/>
      </c>
      <c r="D417" s="13" t="str">
        <f aca="false">IF($B417="","",IFERROR(INDEX(직원목록!$C$3:$C$302,MATCH($B417,직원목록!$A$3:$A$302,0)),""))</f>
        <v/>
      </c>
      <c r="E417" s="14"/>
      <c r="F417" s="14"/>
      <c r="G417" s="15"/>
      <c r="H417" s="16" t="str">
        <f aca="false">IF(OR($K417="",$L417=""),"",ROUND(MAX(0,($L417-$K417)-IF($G417="",0,$G417))/60,2))</f>
        <v/>
      </c>
      <c r="I417" s="8"/>
      <c r="J417" s="8"/>
      <c r="K417" s="17" t="str">
        <f aca="false">IF($E417="","",IF($E417&lt;1,ROUND($E417*1440,0),INT($E417/100)*60+MOD($E417,100)))</f>
        <v/>
      </c>
      <c r="L417" s="17" t="str">
        <f aca="false">IF($F417="","",IF($F417&lt;1,ROUND($F417*1440,0),INT($F417/100)*60+MOD($F417,100)))</f>
        <v/>
      </c>
    </row>
    <row r="418" customFormat="false" ht="15" hidden="false" customHeight="true" outlineLevel="0" collapsed="false">
      <c r="A418" s="10"/>
      <c r="B418" s="8"/>
      <c r="C418" s="13" t="str">
        <f aca="false">IF($B418="","",IFERROR(INDEX(직원목록!$B$3:$B$302,MATCH($B418,직원목록!$A$3:$A$302,0)),"미등록사번"))</f>
        <v/>
      </c>
      <c r="D418" s="13" t="str">
        <f aca="false">IF($B418="","",IFERROR(INDEX(직원목록!$C$3:$C$302,MATCH($B418,직원목록!$A$3:$A$302,0)),""))</f>
        <v/>
      </c>
      <c r="E418" s="14"/>
      <c r="F418" s="14"/>
      <c r="G418" s="15"/>
      <c r="H418" s="16" t="str">
        <f aca="false">IF(OR($K418="",$L418=""),"",ROUND(MAX(0,($L418-$K418)-IF($G418="",0,$G418))/60,2))</f>
        <v/>
      </c>
      <c r="I418" s="8"/>
      <c r="J418" s="8"/>
      <c r="K418" s="17" t="str">
        <f aca="false">IF($E418="","",IF($E418&lt;1,ROUND($E418*1440,0),INT($E418/100)*60+MOD($E418,100)))</f>
        <v/>
      </c>
      <c r="L418" s="17" t="str">
        <f aca="false">IF($F418="","",IF($F418&lt;1,ROUND($F418*1440,0),INT($F418/100)*60+MOD($F418,100)))</f>
        <v/>
      </c>
    </row>
    <row r="419" customFormat="false" ht="15" hidden="false" customHeight="true" outlineLevel="0" collapsed="false">
      <c r="A419" s="10"/>
      <c r="B419" s="8"/>
      <c r="C419" s="13" t="str">
        <f aca="false">IF($B419="","",IFERROR(INDEX(직원목록!$B$3:$B$302,MATCH($B419,직원목록!$A$3:$A$302,0)),"미등록사번"))</f>
        <v/>
      </c>
      <c r="D419" s="13" t="str">
        <f aca="false">IF($B419="","",IFERROR(INDEX(직원목록!$C$3:$C$302,MATCH($B419,직원목록!$A$3:$A$302,0)),""))</f>
        <v/>
      </c>
      <c r="E419" s="14"/>
      <c r="F419" s="14"/>
      <c r="G419" s="15"/>
      <c r="H419" s="16" t="str">
        <f aca="false">IF(OR($K419="",$L419=""),"",ROUND(MAX(0,($L419-$K419)-IF($G419="",0,$G419))/60,2))</f>
        <v/>
      </c>
      <c r="I419" s="8"/>
      <c r="J419" s="8"/>
      <c r="K419" s="17" t="str">
        <f aca="false">IF($E419="","",IF($E419&lt;1,ROUND($E419*1440,0),INT($E419/100)*60+MOD($E419,100)))</f>
        <v/>
      </c>
      <c r="L419" s="17" t="str">
        <f aca="false">IF($F419="","",IF($F419&lt;1,ROUND($F419*1440,0),INT($F419/100)*60+MOD($F419,100)))</f>
        <v/>
      </c>
    </row>
    <row r="420" customFormat="false" ht="15" hidden="false" customHeight="true" outlineLevel="0" collapsed="false">
      <c r="A420" s="10"/>
      <c r="B420" s="8"/>
      <c r="C420" s="13" t="str">
        <f aca="false">IF($B420="","",IFERROR(INDEX(직원목록!$B$3:$B$302,MATCH($B420,직원목록!$A$3:$A$302,0)),"미등록사번"))</f>
        <v/>
      </c>
      <c r="D420" s="13" t="str">
        <f aca="false">IF($B420="","",IFERROR(INDEX(직원목록!$C$3:$C$302,MATCH($B420,직원목록!$A$3:$A$302,0)),""))</f>
        <v/>
      </c>
      <c r="E420" s="14"/>
      <c r="F420" s="14"/>
      <c r="G420" s="15"/>
      <c r="H420" s="16" t="str">
        <f aca="false">IF(OR($K420="",$L420=""),"",ROUND(MAX(0,($L420-$K420)-IF($G420="",0,$G420))/60,2))</f>
        <v/>
      </c>
      <c r="I420" s="8"/>
      <c r="J420" s="8"/>
      <c r="K420" s="17" t="str">
        <f aca="false">IF($E420="","",IF($E420&lt;1,ROUND($E420*1440,0),INT($E420/100)*60+MOD($E420,100)))</f>
        <v/>
      </c>
      <c r="L420" s="17" t="str">
        <f aca="false">IF($F420="","",IF($F420&lt;1,ROUND($F420*1440,0),INT($F420/100)*60+MOD($F420,100)))</f>
        <v/>
      </c>
    </row>
    <row r="421" customFormat="false" ht="15" hidden="false" customHeight="true" outlineLevel="0" collapsed="false">
      <c r="A421" s="10"/>
      <c r="B421" s="8"/>
      <c r="C421" s="13" t="str">
        <f aca="false">IF($B421="","",IFERROR(INDEX(직원목록!$B$3:$B$302,MATCH($B421,직원목록!$A$3:$A$302,0)),"미등록사번"))</f>
        <v/>
      </c>
      <c r="D421" s="13" t="str">
        <f aca="false">IF($B421="","",IFERROR(INDEX(직원목록!$C$3:$C$302,MATCH($B421,직원목록!$A$3:$A$302,0)),""))</f>
        <v/>
      </c>
      <c r="E421" s="14"/>
      <c r="F421" s="14"/>
      <c r="G421" s="15"/>
      <c r="H421" s="16" t="str">
        <f aca="false">IF(OR($K421="",$L421=""),"",ROUND(MAX(0,($L421-$K421)-IF($G421="",0,$G421))/60,2))</f>
        <v/>
      </c>
      <c r="I421" s="8"/>
      <c r="J421" s="8"/>
      <c r="K421" s="17" t="str">
        <f aca="false">IF($E421="","",IF($E421&lt;1,ROUND($E421*1440,0),INT($E421/100)*60+MOD($E421,100)))</f>
        <v/>
      </c>
      <c r="L421" s="17" t="str">
        <f aca="false">IF($F421="","",IF($F421&lt;1,ROUND($F421*1440,0),INT($F421/100)*60+MOD($F421,100)))</f>
        <v/>
      </c>
    </row>
    <row r="422" customFormat="false" ht="15" hidden="false" customHeight="true" outlineLevel="0" collapsed="false">
      <c r="A422" s="10"/>
      <c r="B422" s="8"/>
      <c r="C422" s="13" t="str">
        <f aca="false">IF($B422="","",IFERROR(INDEX(직원목록!$B$3:$B$302,MATCH($B422,직원목록!$A$3:$A$302,0)),"미등록사번"))</f>
        <v/>
      </c>
      <c r="D422" s="13" t="str">
        <f aca="false">IF($B422="","",IFERROR(INDEX(직원목록!$C$3:$C$302,MATCH($B422,직원목록!$A$3:$A$302,0)),""))</f>
        <v/>
      </c>
      <c r="E422" s="14"/>
      <c r="F422" s="14"/>
      <c r="G422" s="15"/>
      <c r="H422" s="16" t="str">
        <f aca="false">IF(OR($K422="",$L422=""),"",ROUND(MAX(0,($L422-$K422)-IF($G422="",0,$G422))/60,2))</f>
        <v/>
      </c>
      <c r="I422" s="8"/>
      <c r="J422" s="8"/>
      <c r="K422" s="17" t="str">
        <f aca="false">IF($E422="","",IF($E422&lt;1,ROUND($E422*1440,0),INT($E422/100)*60+MOD($E422,100)))</f>
        <v/>
      </c>
      <c r="L422" s="17" t="str">
        <f aca="false">IF($F422="","",IF($F422&lt;1,ROUND($F422*1440,0),INT($F422/100)*60+MOD($F422,100)))</f>
        <v/>
      </c>
    </row>
    <row r="423" customFormat="false" ht="15" hidden="false" customHeight="true" outlineLevel="0" collapsed="false">
      <c r="A423" s="10"/>
      <c r="B423" s="8"/>
      <c r="C423" s="13" t="str">
        <f aca="false">IF($B423="","",IFERROR(INDEX(직원목록!$B$3:$B$302,MATCH($B423,직원목록!$A$3:$A$302,0)),"미등록사번"))</f>
        <v/>
      </c>
      <c r="D423" s="13" t="str">
        <f aca="false">IF($B423="","",IFERROR(INDEX(직원목록!$C$3:$C$302,MATCH($B423,직원목록!$A$3:$A$302,0)),""))</f>
        <v/>
      </c>
      <c r="E423" s="14"/>
      <c r="F423" s="14"/>
      <c r="G423" s="15"/>
      <c r="H423" s="16" t="str">
        <f aca="false">IF(OR($K423="",$L423=""),"",ROUND(MAX(0,($L423-$K423)-IF($G423="",0,$G423))/60,2))</f>
        <v/>
      </c>
      <c r="I423" s="8"/>
      <c r="J423" s="8"/>
      <c r="K423" s="17" t="str">
        <f aca="false">IF($E423="","",IF($E423&lt;1,ROUND($E423*1440,0),INT($E423/100)*60+MOD($E423,100)))</f>
        <v/>
      </c>
      <c r="L423" s="17" t="str">
        <f aca="false">IF($F423="","",IF($F423&lt;1,ROUND($F423*1440,0),INT($F423/100)*60+MOD($F423,100)))</f>
        <v/>
      </c>
    </row>
    <row r="424" customFormat="false" ht="15" hidden="false" customHeight="true" outlineLevel="0" collapsed="false">
      <c r="A424" s="10"/>
      <c r="B424" s="8"/>
      <c r="C424" s="13" t="str">
        <f aca="false">IF($B424="","",IFERROR(INDEX(직원목록!$B$3:$B$302,MATCH($B424,직원목록!$A$3:$A$302,0)),"미등록사번"))</f>
        <v/>
      </c>
      <c r="D424" s="13" t="str">
        <f aca="false">IF($B424="","",IFERROR(INDEX(직원목록!$C$3:$C$302,MATCH($B424,직원목록!$A$3:$A$302,0)),""))</f>
        <v/>
      </c>
      <c r="E424" s="14"/>
      <c r="F424" s="14"/>
      <c r="G424" s="15"/>
      <c r="H424" s="16" t="str">
        <f aca="false">IF(OR($K424="",$L424=""),"",ROUND(MAX(0,($L424-$K424)-IF($G424="",0,$G424))/60,2))</f>
        <v/>
      </c>
      <c r="I424" s="8"/>
      <c r="J424" s="8"/>
      <c r="K424" s="17" t="str">
        <f aca="false">IF($E424="","",IF($E424&lt;1,ROUND($E424*1440,0),INT($E424/100)*60+MOD($E424,100)))</f>
        <v/>
      </c>
      <c r="L424" s="17" t="str">
        <f aca="false">IF($F424="","",IF($F424&lt;1,ROUND($F424*1440,0),INT($F424/100)*60+MOD($F424,100)))</f>
        <v/>
      </c>
    </row>
    <row r="425" customFormat="false" ht="15" hidden="false" customHeight="true" outlineLevel="0" collapsed="false">
      <c r="A425" s="10"/>
      <c r="B425" s="8"/>
      <c r="C425" s="13" t="str">
        <f aca="false">IF($B425="","",IFERROR(INDEX(직원목록!$B$3:$B$302,MATCH($B425,직원목록!$A$3:$A$302,0)),"미등록사번"))</f>
        <v/>
      </c>
      <c r="D425" s="13" t="str">
        <f aca="false">IF($B425="","",IFERROR(INDEX(직원목록!$C$3:$C$302,MATCH($B425,직원목록!$A$3:$A$302,0)),""))</f>
        <v/>
      </c>
      <c r="E425" s="14"/>
      <c r="F425" s="14"/>
      <c r="G425" s="15"/>
      <c r="H425" s="16" t="str">
        <f aca="false">IF(OR($K425="",$L425=""),"",ROUND(MAX(0,($L425-$K425)-IF($G425="",0,$G425))/60,2))</f>
        <v/>
      </c>
      <c r="I425" s="8"/>
      <c r="J425" s="8"/>
      <c r="K425" s="17" t="str">
        <f aca="false">IF($E425="","",IF($E425&lt;1,ROUND($E425*1440,0),INT($E425/100)*60+MOD($E425,100)))</f>
        <v/>
      </c>
      <c r="L425" s="17" t="str">
        <f aca="false">IF($F425="","",IF($F425&lt;1,ROUND($F425*1440,0),INT($F425/100)*60+MOD($F425,100)))</f>
        <v/>
      </c>
    </row>
    <row r="426" customFormat="false" ht="15" hidden="false" customHeight="true" outlineLevel="0" collapsed="false">
      <c r="A426" s="10"/>
      <c r="B426" s="8"/>
      <c r="C426" s="13" t="str">
        <f aca="false">IF($B426="","",IFERROR(INDEX(직원목록!$B$3:$B$302,MATCH($B426,직원목록!$A$3:$A$302,0)),"미등록사번"))</f>
        <v/>
      </c>
      <c r="D426" s="13" t="str">
        <f aca="false">IF($B426="","",IFERROR(INDEX(직원목록!$C$3:$C$302,MATCH($B426,직원목록!$A$3:$A$302,0)),""))</f>
        <v/>
      </c>
      <c r="E426" s="14"/>
      <c r="F426" s="14"/>
      <c r="G426" s="15"/>
      <c r="H426" s="16" t="str">
        <f aca="false">IF(OR($K426="",$L426=""),"",ROUND(MAX(0,($L426-$K426)-IF($G426="",0,$G426))/60,2))</f>
        <v/>
      </c>
      <c r="I426" s="8"/>
      <c r="J426" s="8"/>
      <c r="K426" s="17" t="str">
        <f aca="false">IF($E426="","",IF($E426&lt;1,ROUND($E426*1440,0),INT($E426/100)*60+MOD($E426,100)))</f>
        <v/>
      </c>
      <c r="L426" s="17" t="str">
        <f aca="false">IF($F426="","",IF($F426&lt;1,ROUND($F426*1440,0),INT($F426/100)*60+MOD($F426,100)))</f>
        <v/>
      </c>
    </row>
    <row r="427" customFormat="false" ht="15" hidden="false" customHeight="true" outlineLevel="0" collapsed="false">
      <c r="A427" s="10"/>
      <c r="B427" s="8"/>
      <c r="C427" s="13" t="str">
        <f aca="false">IF($B427="","",IFERROR(INDEX(직원목록!$B$3:$B$302,MATCH($B427,직원목록!$A$3:$A$302,0)),"미등록사번"))</f>
        <v/>
      </c>
      <c r="D427" s="13" t="str">
        <f aca="false">IF($B427="","",IFERROR(INDEX(직원목록!$C$3:$C$302,MATCH($B427,직원목록!$A$3:$A$302,0)),""))</f>
        <v/>
      </c>
      <c r="E427" s="14"/>
      <c r="F427" s="14"/>
      <c r="G427" s="15"/>
      <c r="H427" s="16" t="str">
        <f aca="false">IF(OR($K427="",$L427=""),"",ROUND(MAX(0,($L427-$K427)-IF($G427="",0,$G427))/60,2))</f>
        <v/>
      </c>
      <c r="I427" s="8"/>
      <c r="J427" s="8"/>
      <c r="K427" s="17" t="str">
        <f aca="false">IF($E427="","",IF($E427&lt;1,ROUND($E427*1440,0),INT($E427/100)*60+MOD($E427,100)))</f>
        <v/>
      </c>
      <c r="L427" s="17" t="str">
        <f aca="false">IF($F427="","",IF($F427&lt;1,ROUND($F427*1440,0),INT($F427/100)*60+MOD($F427,100)))</f>
        <v/>
      </c>
    </row>
    <row r="428" customFormat="false" ht="15" hidden="false" customHeight="true" outlineLevel="0" collapsed="false">
      <c r="A428" s="10"/>
      <c r="B428" s="8"/>
      <c r="C428" s="13" t="str">
        <f aca="false">IF($B428="","",IFERROR(INDEX(직원목록!$B$3:$B$302,MATCH($B428,직원목록!$A$3:$A$302,0)),"미등록사번"))</f>
        <v/>
      </c>
      <c r="D428" s="13" t="str">
        <f aca="false">IF($B428="","",IFERROR(INDEX(직원목록!$C$3:$C$302,MATCH($B428,직원목록!$A$3:$A$302,0)),""))</f>
        <v/>
      </c>
      <c r="E428" s="14"/>
      <c r="F428" s="14"/>
      <c r="G428" s="15"/>
      <c r="H428" s="16" t="str">
        <f aca="false">IF(OR($K428="",$L428=""),"",ROUND(MAX(0,($L428-$K428)-IF($G428="",0,$G428))/60,2))</f>
        <v/>
      </c>
      <c r="I428" s="8"/>
      <c r="J428" s="8"/>
      <c r="K428" s="17" t="str">
        <f aca="false">IF($E428="","",IF($E428&lt;1,ROUND($E428*1440,0),INT($E428/100)*60+MOD($E428,100)))</f>
        <v/>
      </c>
      <c r="L428" s="17" t="str">
        <f aca="false">IF($F428="","",IF($F428&lt;1,ROUND($F428*1440,0),INT($F428/100)*60+MOD($F428,100)))</f>
        <v/>
      </c>
    </row>
    <row r="429" customFormat="false" ht="15" hidden="false" customHeight="true" outlineLevel="0" collapsed="false">
      <c r="A429" s="10"/>
      <c r="B429" s="8"/>
      <c r="C429" s="13" t="str">
        <f aca="false">IF($B429="","",IFERROR(INDEX(직원목록!$B$3:$B$302,MATCH($B429,직원목록!$A$3:$A$302,0)),"미등록사번"))</f>
        <v/>
      </c>
      <c r="D429" s="13" t="str">
        <f aca="false">IF($B429="","",IFERROR(INDEX(직원목록!$C$3:$C$302,MATCH($B429,직원목록!$A$3:$A$302,0)),""))</f>
        <v/>
      </c>
      <c r="E429" s="14"/>
      <c r="F429" s="14"/>
      <c r="G429" s="15"/>
      <c r="H429" s="16" t="str">
        <f aca="false">IF(OR($K429="",$L429=""),"",ROUND(MAX(0,($L429-$K429)-IF($G429="",0,$G429))/60,2))</f>
        <v/>
      </c>
      <c r="I429" s="8"/>
      <c r="J429" s="8"/>
      <c r="K429" s="17" t="str">
        <f aca="false">IF($E429="","",IF($E429&lt;1,ROUND($E429*1440,0),INT($E429/100)*60+MOD($E429,100)))</f>
        <v/>
      </c>
      <c r="L429" s="17" t="str">
        <f aca="false">IF($F429="","",IF($F429&lt;1,ROUND($F429*1440,0),INT($F429/100)*60+MOD($F429,100)))</f>
        <v/>
      </c>
    </row>
    <row r="430" customFormat="false" ht="15" hidden="false" customHeight="true" outlineLevel="0" collapsed="false">
      <c r="A430" s="10"/>
      <c r="B430" s="8"/>
      <c r="C430" s="13" t="str">
        <f aca="false">IF($B430="","",IFERROR(INDEX(직원목록!$B$3:$B$302,MATCH($B430,직원목록!$A$3:$A$302,0)),"미등록사번"))</f>
        <v/>
      </c>
      <c r="D430" s="13" t="str">
        <f aca="false">IF($B430="","",IFERROR(INDEX(직원목록!$C$3:$C$302,MATCH($B430,직원목록!$A$3:$A$302,0)),""))</f>
        <v/>
      </c>
      <c r="E430" s="14"/>
      <c r="F430" s="14"/>
      <c r="G430" s="15"/>
      <c r="H430" s="16" t="str">
        <f aca="false">IF(OR($K430="",$L430=""),"",ROUND(MAX(0,($L430-$K430)-IF($G430="",0,$G430))/60,2))</f>
        <v/>
      </c>
      <c r="I430" s="8"/>
      <c r="J430" s="8"/>
      <c r="K430" s="17" t="str">
        <f aca="false">IF($E430="","",IF($E430&lt;1,ROUND($E430*1440,0),INT($E430/100)*60+MOD($E430,100)))</f>
        <v/>
      </c>
      <c r="L430" s="17" t="str">
        <f aca="false">IF($F430="","",IF($F430&lt;1,ROUND($F430*1440,0),INT($F430/100)*60+MOD($F430,100)))</f>
        <v/>
      </c>
    </row>
    <row r="431" customFormat="false" ht="15" hidden="false" customHeight="true" outlineLevel="0" collapsed="false">
      <c r="A431" s="10"/>
      <c r="B431" s="8"/>
      <c r="C431" s="13" t="str">
        <f aca="false">IF($B431="","",IFERROR(INDEX(직원목록!$B$3:$B$302,MATCH($B431,직원목록!$A$3:$A$302,0)),"미등록사번"))</f>
        <v/>
      </c>
      <c r="D431" s="13" t="str">
        <f aca="false">IF($B431="","",IFERROR(INDEX(직원목록!$C$3:$C$302,MATCH($B431,직원목록!$A$3:$A$302,0)),""))</f>
        <v/>
      </c>
      <c r="E431" s="14"/>
      <c r="F431" s="14"/>
      <c r="G431" s="15"/>
      <c r="H431" s="16" t="str">
        <f aca="false">IF(OR($K431="",$L431=""),"",ROUND(MAX(0,($L431-$K431)-IF($G431="",0,$G431))/60,2))</f>
        <v/>
      </c>
      <c r="I431" s="8"/>
      <c r="J431" s="8"/>
      <c r="K431" s="17" t="str">
        <f aca="false">IF($E431="","",IF($E431&lt;1,ROUND($E431*1440,0),INT($E431/100)*60+MOD($E431,100)))</f>
        <v/>
      </c>
      <c r="L431" s="17" t="str">
        <f aca="false">IF($F431="","",IF($F431&lt;1,ROUND($F431*1440,0),INT($F431/100)*60+MOD($F431,100)))</f>
        <v/>
      </c>
    </row>
    <row r="432" customFormat="false" ht="15" hidden="false" customHeight="true" outlineLevel="0" collapsed="false">
      <c r="A432" s="10"/>
      <c r="B432" s="8"/>
      <c r="C432" s="13" t="str">
        <f aca="false">IF($B432="","",IFERROR(INDEX(직원목록!$B$3:$B$302,MATCH($B432,직원목록!$A$3:$A$302,0)),"미등록사번"))</f>
        <v/>
      </c>
      <c r="D432" s="13" t="str">
        <f aca="false">IF($B432="","",IFERROR(INDEX(직원목록!$C$3:$C$302,MATCH($B432,직원목록!$A$3:$A$302,0)),""))</f>
        <v/>
      </c>
      <c r="E432" s="14"/>
      <c r="F432" s="14"/>
      <c r="G432" s="15"/>
      <c r="H432" s="16" t="str">
        <f aca="false">IF(OR($K432="",$L432=""),"",ROUND(MAX(0,($L432-$K432)-IF($G432="",0,$G432))/60,2))</f>
        <v/>
      </c>
      <c r="I432" s="8"/>
      <c r="J432" s="8"/>
      <c r="K432" s="17" t="str">
        <f aca="false">IF($E432="","",IF($E432&lt;1,ROUND($E432*1440,0),INT($E432/100)*60+MOD($E432,100)))</f>
        <v/>
      </c>
      <c r="L432" s="17" t="str">
        <f aca="false">IF($F432="","",IF($F432&lt;1,ROUND($F432*1440,0),INT($F432/100)*60+MOD($F432,100)))</f>
        <v/>
      </c>
    </row>
    <row r="433" customFormat="false" ht="15" hidden="false" customHeight="true" outlineLevel="0" collapsed="false">
      <c r="A433" s="10"/>
      <c r="B433" s="8"/>
      <c r="C433" s="13" t="str">
        <f aca="false">IF($B433="","",IFERROR(INDEX(직원목록!$B$3:$B$302,MATCH($B433,직원목록!$A$3:$A$302,0)),"미등록사번"))</f>
        <v/>
      </c>
      <c r="D433" s="13" t="str">
        <f aca="false">IF($B433="","",IFERROR(INDEX(직원목록!$C$3:$C$302,MATCH($B433,직원목록!$A$3:$A$302,0)),""))</f>
        <v/>
      </c>
      <c r="E433" s="14"/>
      <c r="F433" s="14"/>
      <c r="G433" s="15"/>
      <c r="H433" s="16" t="str">
        <f aca="false">IF(OR($K433="",$L433=""),"",ROUND(MAX(0,($L433-$K433)-IF($G433="",0,$G433))/60,2))</f>
        <v/>
      </c>
      <c r="I433" s="8"/>
      <c r="J433" s="8"/>
      <c r="K433" s="17" t="str">
        <f aca="false">IF($E433="","",IF($E433&lt;1,ROUND($E433*1440,0),INT($E433/100)*60+MOD($E433,100)))</f>
        <v/>
      </c>
      <c r="L433" s="17" t="str">
        <f aca="false">IF($F433="","",IF($F433&lt;1,ROUND($F433*1440,0),INT($F433/100)*60+MOD($F433,100)))</f>
        <v/>
      </c>
    </row>
    <row r="434" customFormat="false" ht="15" hidden="false" customHeight="true" outlineLevel="0" collapsed="false">
      <c r="A434" s="10"/>
      <c r="B434" s="8"/>
      <c r="C434" s="13" t="str">
        <f aca="false">IF($B434="","",IFERROR(INDEX(직원목록!$B$3:$B$302,MATCH($B434,직원목록!$A$3:$A$302,0)),"미등록사번"))</f>
        <v/>
      </c>
      <c r="D434" s="13" t="str">
        <f aca="false">IF($B434="","",IFERROR(INDEX(직원목록!$C$3:$C$302,MATCH($B434,직원목록!$A$3:$A$302,0)),""))</f>
        <v/>
      </c>
      <c r="E434" s="14"/>
      <c r="F434" s="14"/>
      <c r="G434" s="15"/>
      <c r="H434" s="16" t="str">
        <f aca="false">IF(OR($K434="",$L434=""),"",ROUND(MAX(0,($L434-$K434)-IF($G434="",0,$G434))/60,2))</f>
        <v/>
      </c>
      <c r="I434" s="8"/>
      <c r="J434" s="8"/>
      <c r="K434" s="17" t="str">
        <f aca="false">IF($E434="","",IF($E434&lt;1,ROUND($E434*1440,0),INT($E434/100)*60+MOD($E434,100)))</f>
        <v/>
      </c>
      <c r="L434" s="17" t="str">
        <f aca="false">IF($F434="","",IF($F434&lt;1,ROUND($F434*1440,0),INT($F434/100)*60+MOD($F434,100)))</f>
        <v/>
      </c>
    </row>
    <row r="435" customFormat="false" ht="15" hidden="false" customHeight="true" outlineLevel="0" collapsed="false">
      <c r="A435" s="10"/>
      <c r="B435" s="8"/>
      <c r="C435" s="13" t="str">
        <f aca="false">IF($B435="","",IFERROR(INDEX(직원목록!$B$3:$B$302,MATCH($B435,직원목록!$A$3:$A$302,0)),"미등록사번"))</f>
        <v/>
      </c>
      <c r="D435" s="13" t="str">
        <f aca="false">IF($B435="","",IFERROR(INDEX(직원목록!$C$3:$C$302,MATCH($B435,직원목록!$A$3:$A$302,0)),""))</f>
        <v/>
      </c>
      <c r="E435" s="14"/>
      <c r="F435" s="14"/>
      <c r="G435" s="15"/>
      <c r="H435" s="16" t="str">
        <f aca="false">IF(OR($K435="",$L435=""),"",ROUND(MAX(0,($L435-$K435)-IF($G435="",0,$G435))/60,2))</f>
        <v/>
      </c>
      <c r="I435" s="8"/>
      <c r="J435" s="8"/>
      <c r="K435" s="17" t="str">
        <f aca="false">IF($E435="","",IF($E435&lt;1,ROUND($E435*1440,0),INT($E435/100)*60+MOD($E435,100)))</f>
        <v/>
      </c>
      <c r="L435" s="17" t="str">
        <f aca="false">IF($F435="","",IF($F435&lt;1,ROUND($F435*1440,0),INT($F435/100)*60+MOD($F435,100)))</f>
        <v/>
      </c>
    </row>
    <row r="436" customFormat="false" ht="15" hidden="false" customHeight="true" outlineLevel="0" collapsed="false">
      <c r="A436" s="10"/>
      <c r="B436" s="8"/>
      <c r="C436" s="13" t="str">
        <f aca="false">IF($B436="","",IFERROR(INDEX(직원목록!$B$3:$B$302,MATCH($B436,직원목록!$A$3:$A$302,0)),"미등록사번"))</f>
        <v/>
      </c>
      <c r="D436" s="13" t="str">
        <f aca="false">IF($B436="","",IFERROR(INDEX(직원목록!$C$3:$C$302,MATCH($B436,직원목록!$A$3:$A$302,0)),""))</f>
        <v/>
      </c>
      <c r="E436" s="14"/>
      <c r="F436" s="14"/>
      <c r="G436" s="15"/>
      <c r="H436" s="16" t="str">
        <f aca="false">IF(OR($K436="",$L436=""),"",ROUND(MAX(0,($L436-$K436)-IF($G436="",0,$G436))/60,2))</f>
        <v/>
      </c>
      <c r="I436" s="8"/>
      <c r="J436" s="8"/>
      <c r="K436" s="17" t="str">
        <f aca="false">IF($E436="","",IF($E436&lt;1,ROUND($E436*1440,0),INT($E436/100)*60+MOD($E436,100)))</f>
        <v/>
      </c>
      <c r="L436" s="17" t="str">
        <f aca="false">IF($F436="","",IF($F436&lt;1,ROUND($F436*1440,0),INT($F436/100)*60+MOD($F436,100)))</f>
        <v/>
      </c>
    </row>
    <row r="437" customFormat="false" ht="15" hidden="false" customHeight="true" outlineLevel="0" collapsed="false">
      <c r="A437" s="10"/>
      <c r="B437" s="8"/>
      <c r="C437" s="13" t="str">
        <f aca="false">IF($B437="","",IFERROR(INDEX(직원목록!$B$3:$B$302,MATCH($B437,직원목록!$A$3:$A$302,0)),"미등록사번"))</f>
        <v/>
      </c>
      <c r="D437" s="13" t="str">
        <f aca="false">IF($B437="","",IFERROR(INDEX(직원목록!$C$3:$C$302,MATCH($B437,직원목록!$A$3:$A$302,0)),""))</f>
        <v/>
      </c>
      <c r="E437" s="14"/>
      <c r="F437" s="14"/>
      <c r="G437" s="15"/>
      <c r="H437" s="16" t="str">
        <f aca="false">IF(OR($K437="",$L437=""),"",ROUND(MAX(0,($L437-$K437)-IF($G437="",0,$G437))/60,2))</f>
        <v/>
      </c>
      <c r="I437" s="8"/>
      <c r="J437" s="8"/>
      <c r="K437" s="17" t="str">
        <f aca="false">IF($E437="","",IF($E437&lt;1,ROUND($E437*1440,0),INT($E437/100)*60+MOD($E437,100)))</f>
        <v/>
      </c>
      <c r="L437" s="17" t="str">
        <f aca="false">IF($F437="","",IF($F437&lt;1,ROUND($F437*1440,0),INT($F437/100)*60+MOD($F437,100)))</f>
        <v/>
      </c>
    </row>
    <row r="438" customFormat="false" ht="15" hidden="false" customHeight="true" outlineLevel="0" collapsed="false">
      <c r="A438" s="10"/>
      <c r="B438" s="8"/>
      <c r="C438" s="13" t="str">
        <f aca="false">IF($B438="","",IFERROR(INDEX(직원목록!$B$3:$B$302,MATCH($B438,직원목록!$A$3:$A$302,0)),"미등록사번"))</f>
        <v/>
      </c>
      <c r="D438" s="13" t="str">
        <f aca="false">IF($B438="","",IFERROR(INDEX(직원목록!$C$3:$C$302,MATCH($B438,직원목록!$A$3:$A$302,0)),""))</f>
        <v/>
      </c>
      <c r="E438" s="14"/>
      <c r="F438" s="14"/>
      <c r="G438" s="15"/>
      <c r="H438" s="16" t="str">
        <f aca="false">IF(OR($K438="",$L438=""),"",ROUND(MAX(0,($L438-$K438)-IF($G438="",0,$G438))/60,2))</f>
        <v/>
      </c>
      <c r="I438" s="8"/>
      <c r="J438" s="8"/>
      <c r="K438" s="17" t="str">
        <f aca="false">IF($E438="","",IF($E438&lt;1,ROUND($E438*1440,0),INT($E438/100)*60+MOD($E438,100)))</f>
        <v/>
      </c>
      <c r="L438" s="17" t="str">
        <f aca="false">IF($F438="","",IF($F438&lt;1,ROUND($F438*1440,0),INT($F438/100)*60+MOD($F438,100)))</f>
        <v/>
      </c>
    </row>
    <row r="439" customFormat="false" ht="15" hidden="false" customHeight="true" outlineLevel="0" collapsed="false">
      <c r="A439" s="10"/>
      <c r="B439" s="8"/>
      <c r="C439" s="13" t="str">
        <f aca="false">IF($B439="","",IFERROR(INDEX(직원목록!$B$3:$B$302,MATCH($B439,직원목록!$A$3:$A$302,0)),"미등록사번"))</f>
        <v/>
      </c>
      <c r="D439" s="13" t="str">
        <f aca="false">IF($B439="","",IFERROR(INDEX(직원목록!$C$3:$C$302,MATCH($B439,직원목록!$A$3:$A$302,0)),""))</f>
        <v/>
      </c>
      <c r="E439" s="14"/>
      <c r="F439" s="14"/>
      <c r="G439" s="15"/>
      <c r="H439" s="16" t="str">
        <f aca="false">IF(OR($K439="",$L439=""),"",ROUND(MAX(0,($L439-$K439)-IF($G439="",0,$G439))/60,2))</f>
        <v/>
      </c>
      <c r="I439" s="8"/>
      <c r="J439" s="8"/>
      <c r="K439" s="17" t="str">
        <f aca="false">IF($E439="","",IF($E439&lt;1,ROUND($E439*1440,0),INT($E439/100)*60+MOD($E439,100)))</f>
        <v/>
      </c>
      <c r="L439" s="17" t="str">
        <f aca="false">IF($F439="","",IF($F439&lt;1,ROUND($F439*1440,0),INT($F439/100)*60+MOD($F439,100)))</f>
        <v/>
      </c>
    </row>
    <row r="440" customFormat="false" ht="15" hidden="false" customHeight="true" outlineLevel="0" collapsed="false">
      <c r="A440" s="10"/>
      <c r="B440" s="8"/>
      <c r="C440" s="13" t="str">
        <f aca="false">IF($B440="","",IFERROR(INDEX(직원목록!$B$3:$B$302,MATCH($B440,직원목록!$A$3:$A$302,0)),"미등록사번"))</f>
        <v/>
      </c>
      <c r="D440" s="13" t="str">
        <f aca="false">IF($B440="","",IFERROR(INDEX(직원목록!$C$3:$C$302,MATCH($B440,직원목록!$A$3:$A$302,0)),""))</f>
        <v/>
      </c>
      <c r="E440" s="14"/>
      <c r="F440" s="14"/>
      <c r="G440" s="15"/>
      <c r="H440" s="16" t="str">
        <f aca="false">IF(OR($K440="",$L440=""),"",ROUND(MAX(0,($L440-$K440)-IF($G440="",0,$G440))/60,2))</f>
        <v/>
      </c>
      <c r="I440" s="8"/>
      <c r="J440" s="8"/>
      <c r="K440" s="17" t="str">
        <f aca="false">IF($E440="","",IF($E440&lt;1,ROUND($E440*1440,0),INT($E440/100)*60+MOD($E440,100)))</f>
        <v/>
      </c>
      <c r="L440" s="17" t="str">
        <f aca="false">IF($F440="","",IF($F440&lt;1,ROUND($F440*1440,0),INT($F440/100)*60+MOD($F440,100)))</f>
        <v/>
      </c>
    </row>
    <row r="441" customFormat="false" ht="15" hidden="false" customHeight="true" outlineLevel="0" collapsed="false">
      <c r="A441" s="10"/>
      <c r="B441" s="8"/>
      <c r="C441" s="13" t="str">
        <f aca="false">IF($B441="","",IFERROR(INDEX(직원목록!$B$3:$B$302,MATCH($B441,직원목록!$A$3:$A$302,0)),"미등록사번"))</f>
        <v/>
      </c>
      <c r="D441" s="13" t="str">
        <f aca="false">IF($B441="","",IFERROR(INDEX(직원목록!$C$3:$C$302,MATCH($B441,직원목록!$A$3:$A$302,0)),""))</f>
        <v/>
      </c>
      <c r="E441" s="14"/>
      <c r="F441" s="14"/>
      <c r="G441" s="15"/>
      <c r="H441" s="16" t="str">
        <f aca="false">IF(OR($K441="",$L441=""),"",ROUND(MAX(0,($L441-$K441)-IF($G441="",0,$G441))/60,2))</f>
        <v/>
      </c>
      <c r="I441" s="8"/>
      <c r="J441" s="8"/>
      <c r="K441" s="17" t="str">
        <f aca="false">IF($E441="","",IF($E441&lt;1,ROUND($E441*1440,0),INT($E441/100)*60+MOD($E441,100)))</f>
        <v/>
      </c>
      <c r="L441" s="17" t="str">
        <f aca="false">IF($F441="","",IF($F441&lt;1,ROUND($F441*1440,0),INT($F441/100)*60+MOD($F441,100)))</f>
        <v/>
      </c>
    </row>
    <row r="442" customFormat="false" ht="15" hidden="false" customHeight="true" outlineLevel="0" collapsed="false">
      <c r="A442" s="10"/>
      <c r="B442" s="8"/>
      <c r="C442" s="13" t="str">
        <f aca="false">IF($B442="","",IFERROR(INDEX(직원목록!$B$3:$B$302,MATCH($B442,직원목록!$A$3:$A$302,0)),"미등록사번"))</f>
        <v/>
      </c>
      <c r="D442" s="13" t="str">
        <f aca="false">IF($B442="","",IFERROR(INDEX(직원목록!$C$3:$C$302,MATCH($B442,직원목록!$A$3:$A$302,0)),""))</f>
        <v/>
      </c>
      <c r="E442" s="14"/>
      <c r="F442" s="14"/>
      <c r="G442" s="15"/>
      <c r="H442" s="16" t="str">
        <f aca="false">IF(OR($K442="",$L442=""),"",ROUND(MAX(0,($L442-$K442)-IF($G442="",0,$G442))/60,2))</f>
        <v/>
      </c>
      <c r="I442" s="8"/>
      <c r="J442" s="8"/>
      <c r="K442" s="17" t="str">
        <f aca="false">IF($E442="","",IF($E442&lt;1,ROUND($E442*1440,0),INT($E442/100)*60+MOD($E442,100)))</f>
        <v/>
      </c>
      <c r="L442" s="17" t="str">
        <f aca="false">IF($F442="","",IF($F442&lt;1,ROUND($F442*1440,0),INT($F442/100)*60+MOD($F442,100)))</f>
        <v/>
      </c>
    </row>
    <row r="443" customFormat="false" ht="15" hidden="false" customHeight="true" outlineLevel="0" collapsed="false">
      <c r="A443" s="10"/>
      <c r="B443" s="8"/>
      <c r="C443" s="13" t="str">
        <f aca="false">IF($B443="","",IFERROR(INDEX(직원목록!$B$3:$B$302,MATCH($B443,직원목록!$A$3:$A$302,0)),"미등록사번"))</f>
        <v/>
      </c>
      <c r="D443" s="13" t="str">
        <f aca="false">IF($B443="","",IFERROR(INDEX(직원목록!$C$3:$C$302,MATCH($B443,직원목록!$A$3:$A$302,0)),""))</f>
        <v/>
      </c>
      <c r="E443" s="14"/>
      <c r="F443" s="14"/>
      <c r="G443" s="15"/>
      <c r="H443" s="16" t="str">
        <f aca="false">IF(OR($K443="",$L443=""),"",ROUND(MAX(0,($L443-$K443)-IF($G443="",0,$G443))/60,2))</f>
        <v/>
      </c>
      <c r="I443" s="8"/>
      <c r="J443" s="8"/>
      <c r="K443" s="17" t="str">
        <f aca="false">IF($E443="","",IF($E443&lt;1,ROUND($E443*1440,0),INT($E443/100)*60+MOD($E443,100)))</f>
        <v/>
      </c>
      <c r="L443" s="17" t="str">
        <f aca="false">IF($F443="","",IF($F443&lt;1,ROUND($F443*1440,0),INT($F443/100)*60+MOD($F443,100)))</f>
        <v/>
      </c>
    </row>
    <row r="444" customFormat="false" ht="15" hidden="false" customHeight="true" outlineLevel="0" collapsed="false">
      <c r="A444" s="10"/>
      <c r="B444" s="8"/>
      <c r="C444" s="13" t="str">
        <f aca="false">IF($B444="","",IFERROR(INDEX(직원목록!$B$3:$B$302,MATCH($B444,직원목록!$A$3:$A$302,0)),"미등록사번"))</f>
        <v/>
      </c>
      <c r="D444" s="13" t="str">
        <f aca="false">IF($B444="","",IFERROR(INDEX(직원목록!$C$3:$C$302,MATCH($B444,직원목록!$A$3:$A$302,0)),""))</f>
        <v/>
      </c>
      <c r="E444" s="14"/>
      <c r="F444" s="14"/>
      <c r="G444" s="15"/>
      <c r="H444" s="16" t="str">
        <f aca="false">IF(OR($K444="",$L444=""),"",ROUND(MAX(0,($L444-$K444)-IF($G444="",0,$G444))/60,2))</f>
        <v/>
      </c>
      <c r="I444" s="8"/>
      <c r="J444" s="8"/>
      <c r="K444" s="17" t="str">
        <f aca="false">IF($E444="","",IF($E444&lt;1,ROUND($E444*1440,0),INT($E444/100)*60+MOD($E444,100)))</f>
        <v/>
      </c>
      <c r="L444" s="17" t="str">
        <f aca="false">IF($F444="","",IF($F444&lt;1,ROUND($F444*1440,0),INT($F444/100)*60+MOD($F444,100)))</f>
        <v/>
      </c>
    </row>
    <row r="445" customFormat="false" ht="15" hidden="false" customHeight="true" outlineLevel="0" collapsed="false">
      <c r="A445" s="10"/>
      <c r="B445" s="8"/>
      <c r="C445" s="13" t="str">
        <f aca="false">IF($B445="","",IFERROR(INDEX(직원목록!$B$3:$B$302,MATCH($B445,직원목록!$A$3:$A$302,0)),"미등록사번"))</f>
        <v/>
      </c>
      <c r="D445" s="13" t="str">
        <f aca="false">IF($B445="","",IFERROR(INDEX(직원목록!$C$3:$C$302,MATCH($B445,직원목록!$A$3:$A$302,0)),""))</f>
        <v/>
      </c>
      <c r="E445" s="14"/>
      <c r="F445" s="14"/>
      <c r="G445" s="15"/>
      <c r="H445" s="16" t="str">
        <f aca="false">IF(OR($K445="",$L445=""),"",ROUND(MAX(0,($L445-$K445)-IF($G445="",0,$G445))/60,2))</f>
        <v/>
      </c>
      <c r="I445" s="8"/>
      <c r="J445" s="8"/>
      <c r="K445" s="17" t="str">
        <f aca="false">IF($E445="","",IF($E445&lt;1,ROUND($E445*1440,0),INT($E445/100)*60+MOD($E445,100)))</f>
        <v/>
      </c>
      <c r="L445" s="17" t="str">
        <f aca="false">IF($F445="","",IF($F445&lt;1,ROUND($F445*1440,0),INT($F445/100)*60+MOD($F445,100)))</f>
        <v/>
      </c>
    </row>
    <row r="446" customFormat="false" ht="15" hidden="false" customHeight="true" outlineLevel="0" collapsed="false">
      <c r="A446" s="10"/>
      <c r="B446" s="8"/>
      <c r="C446" s="13" t="str">
        <f aca="false">IF($B446="","",IFERROR(INDEX(직원목록!$B$3:$B$302,MATCH($B446,직원목록!$A$3:$A$302,0)),"미등록사번"))</f>
        <v/>
      </c>
      <c r="D446" s="13" t="str">
        <f aca="false">IF($B446="","",IFERROR(INDEX(직원목록!$C$3:$C$302,MATCH($B446,직원목록!$A$3:$A$302,0)),""))</f>
        <v/>
      </c>
      <c r="E446" s="14"/>
      <c r="F446" s="14"/>
      <c r="G446" s="15"/>
      <c r="H446" s="16" t="str">
        <f aca="false">IF(OR($K446="",$L446=""),"",ROUND(MAX(0,($L446-$K446)-IF($G446="",0,$G446))/60,2))</f>
        <v/>
      </c>
      <c r="I446" s="8"/>
      <c r="J446" s="8"/>
      <c r="K446" s="17" t="str">
        <f aca="false">IF($E446="","",IF($E446&lt;1,ROUND($E446*1440,0),INT($E446/100)*60+MOD($E446,100)))</f>
        <v/>
      </c>
      <c r="L446" s="17" t="str">
        <f aca="false">IF($F446="","",IF($F446&lt;1,ROUND($F446*1440,0),INT($F446/100)*60+MOD($F446,100)))</f>
        <v/>
      </c>
    </row>
    <row r="447" customFormat="false" ht="15" hidden="false" customHeight="true" outlineLevel="0" collapsed="false">
      <c r="A447" s="10"/>
      <c r="B447" s="8"/>
      <c r="C447" s="13" t="str">
        <f aca="false">IF($B447="","",IFERROR(INDEX(직원목록!$B$3:$B$302,MATCH($B447,직원목록!$A$3:$A$302,0)),"미등록사번"))</f>
        <v/>
      </c>
      <c r="D447" s="13" t="str">
        <f aca="false">IF($B447="","",IFERROR(INDEX(직원목록!$C$3:$C$302,MATCH($B447,직원목록!$A$3:$A$302,0)),""))</f>
        <v/>
      </c>
      <c r="E447" s="14"/>
      <c r="F447" s="14"/>
      <c r="G447" s="15"/>
      <c r="H447" s="16" t="str">
        <f aca="false">IF(OR($K447="",$L447=""),"",ROUND(MAX(0,($L447-$K447)-IF($G447="",0,$G447))/60,2))</f>
        <v/>
      </c>
      <c r="I447" s="8"/>
      <c r="J447" s="8"/>
      <c r="K447" s="17" t="str">
        <f aca="false">IF($E447="","",IF($E447&lt;1,ROUND($E447*1440,0),INT($E447/100)*60+MOD($E447,100)))</f>
        <v/>
      </c>
      <c r="L447" s="17" t="str">
        <f aca="false">IF($F447="","",IF($F447&lt;1,ROUND($F447*1440,0),INT($F447/100)*60+MOD($F447,100)))</f>
        <v/>
      </c>
    </row>
    <row r="448" customFormat="false" ht="15" hidden="false" customHeight="true" outlineLevel="0" collapsed="false">
      <c r="A448" s="10"/>
      <c r="B448" s="8"/>
      <c r="C448" s="13" t="str">
        <f aca="false">IF($B448="","",IFERROR(INDEX(직원목록!$B$3:$B$302,MATCH($B448,직원목록!$A$3:$A$302,0)),"미등록사번"))</f>
        <v/>
      </c>
      <c r="D448" s="13" t="str">
        <f aca="false">IF($B448="","",IFERROR(INDEX(직원목록!$C$3:$C$302,MATCH($B448,직원목록!$A$3:$A$302,0)),""))</f>
        <v/>
      </c>
      <c r="E448" s="14"/>
      <c r="F448" s="14"/>
      <c r="G448" s="15"/>
      <c r="H448" s="16" t="str">
        <f aca="false">IF(OR($K448="",$L448=""),"",ROUND(MAX(0,($L448-$K448)-IF($G448="",0,$G448))/60,2))</f>
        <v/>
      </c>
      <c r="I448" s="8"/>
      <c r="J448" s="8"/>
      <c r="K448" s="17" t="str">
        <f aca="false">IF($E448="","",IF($E448&lt;1,ROUND($E448*1440,0),INT($E448/100)*60+MOD($E448,100)))</f>
        <v/>
      </c>
      <c r="L448" s="17" t="str">
        <f aca="false">IF($F448="","",IF($F448&lt;1,ROUND($F448*1440,0),INT($F448/100)*60+MOD($F448,100)))</f>
        <v/>
      </c>
    </row>
    <row r="449" customFormat="false" ht="15" hidden="false" customHeight="true" outlineLevel="0" collapsed="false">
      <c r="A449" s="10"/>
      <c r="B449" s="8"/>
      <c r="C449" s="13" t="str">
        <f aca="false">IF($B449="","",IFERROR(INDEX(직원목록!$B$3:$B$302,MATCH($B449,직원목록!$A$3:$A$302,0)),"미등록사번"))</f>
        <v/>
      </c>
      <c r="D449" s="13" t="str">
        <f aca="false">IF($B449="","",IFERROR(INDEX(직원목록!$C$3:$C$302,MATCH($B449,직원목록!$A$3:$A$302,0)),""))</f>
        <v/>
      </c>
      <c r="E449" s="14"/>
      <c r="F449" s="14"/>
      <c r="G449" s="15"/>
      <c r="H449" s="16" t="str">
        <f aca="false">IF(OR($K449="",$L449=""),"",ROUND(MAX(0,($L449-$K449)-IF($G449="",0,$G449))/60,2))</f>
        <v/>
      </c>
      <c r="I449" s="8"/>
      <c r="J449" s="8"/>
      <c r="K449" s="17" t="str">
        <f aca="false">IF($E449="","",IF($E449&lt;1,ROUND($E449*1440,0),INT($E449/100)*60+MOD($E449,100)))</f>
        <v/>
      </c>
      <c r="L449" s="17" t="str">
        <f aca="false">IF($F449="","",IF($F449&lt;1,ROUND($F449*1440,0),INT($F449/100)*60+MOD($F449,100)))</f>
        <v/>
      </c>
    </row>
    <row r="450" customFormat="false" ht="15" hidden="false" customHeight="true" outlineLevel="0" collapsed="false">
      <c r="A450" s="10"/>
      <c r="B450" s="8"/>
      <c r="C450" s="13" t="str">
        <f aca="false">IF($B450="","",IFERROR(INDEX(직원목록!$B$3:$B$302,MATCH($B450,직원목록!$A$3:$A$302,0)),"미등록사번"))</f>
        <v/>
      </c>
      <c r="D450" s="13" t="str">
        <f aca="false">IF($B450="","",IFERROR(INDEX(직원목록!$C$3:$C$302,MATCH($B450,직원목록!$A$3:$A$302,0)),""))</f>
        <v/>
      </c>
      <c r="E450" s="14"/>
      <c r="F450" s="14"/>
      <c r="G450" s="15"/>
      <c r="H450" s="16" t="str">
        <f aca="false">IF(OR($K450="",$L450=""),"",ROUND(MAX(0,($L450-$K450)-IF($G450="",0,$G450))/60,2))</f>
        <v/>
      </c>
      <c r="I450" s="8"/>
      <c r="J450" s="8"/>
      <c r="K450" s="17" t="str">
        <f aca="false">IF($E450="","",IF($E450&lt;1,ROUND($E450*1440,0),INT($E450/100)*60+MOD($E450,100)))</f>
        <v/>
      </c>
      <c r="L450" s="17" t="str">
        <f aca="false">IF($F450="","",IF($F450&lt;1,ROUND($F450*1440,0),INT($F450/100)*60+MOD($F450,100)))</f>
        <v/>
      </c>
    </row>
    <row r="451" customFormat="false" ht="15" hidden="false" customHeight="true" outlineLevel="0" collapsed="false">
      <c r="A451" s="10"/>
      <c r="B451" s="8"/>
      <c r="C451" s="13" t="str">
        <f aca="false">IF($B451="","",IFERROR(INDEX(직원목록!$B$3:$B$302,MATCH($B451,직원목록!$A$3:$A$302,0)),"미등록사번"))</f>
        <v/>
      </c>
      <c r="D451" s="13" t="str">
        <f aca="false">IF($B451="","",IFERROR(INDEX(직원목록!$C$3:$C$302,MATCH($B451,직원목록!$A$3:$A$302,0)),""))</f>
        <v/>
      </c>
      <c r="E451" s="14"/>
      <c r="F451" s="14"/>
      <c r="G451" s="15"/>
      <c r="H451" s="16" t="str">
        <f aca="false">IF(OR($K451="",$L451=""),"",ROUND(MAX(0,($L451-$K451)-IF($G451="",0,$G451))/60,2))</f>
        <v/>
      </c>
      <c r="I451" s="8"/>
      <c r="J451" s="8"/>
      <c r="K451" s="17" t="str">
        <f aca="false">IF($E451="","",IF($E451&lt;1,ROUND($E451*1440,0),INT($E451/100)*60+MOD($E451,100)))</f>
        <v/>
      </c>
      <c r="L451" s="17" t="str">
        <f aca="false">IF($F451="","",IF($F451&lt;1,ROUND($F451*1440,0),INT($F451/100)*60+MOD($F451,100)))</f>
        <v/>
      </c>
    </row>
    <row r="452" customFormat="false" ht="15" hidden="false" customHeight="true" outlineLevel="0" collapsed="false">
      <c r="A452" s="10"/>
      <c r="B452" s="8"/>
      <c r="C452" s="13" t="str">
        <f aca="false">IF($B452="","",IFERROR(INDEX(직원목록!$B$3:$B$302,MATCH($B452,직원목록!$A$3:$A$302,0)),"미등록사번"))</f>
        <v/>
      </c>
      <c r="D452" s="13" t="str">
        <f aca="false">IF($B452="","",IFERROR(INDEX(직원목록!$C$3:$C$302,MATCH($B452,직원목록!$A$3:$A$302,0)),""))</f>
        <v/>
      </c>
      <c r="E452" s="14"/>
      <c r="F452" s="14"/>
      <c r="G452" s="15"/>
      <c r="H452" s="16" t="str">
        <f aca="false">IF(OR($K452="",$L452=""),"",ROUND(MAX(0,($L452-$K452)-IF($G452="",0,$G452))/60,2))</f>
        <v/>
      </c>
      <c r="I452" s="8"/>
      <c r="J452" s="8"/>
      <c r="K452" s="17" t="str">
        <f aca="false">IF($E452="","",IF($E452&lt;1,ROUND($E452*1440,0),INT($E452/100)*60+MOD($E452,100)))</f>
        <v/>
      </c>
      <c r="L452" s="17" t="str">
        <f aca="false">IF($F452="","",IF($F452&lt;1,ROUND($F452*1440,0),INT($F452/100)*60+MOD($F452,100)))</f>
        <v/>
      </c>
    </row>
    <row r="453" customFormat="false" ht="15" hidden="false" customHeight="true" outlineLevel="0" collapsed="false">
      <c r="A453" s="10"/>
      <c r="B453" s="8"/>
      <c r="C453" s="13" t="str">
        <f aca="false">IF($B453="","",IFERROR(INDEX(직원목록!$B$3:$B$302,MATCH($B453,직원목록!$A$3:$A$302,0)),"미등록사번"))</f>
        <v/>
      </c>
      <c r="D453" s="13" t="str">
        <f aca="false">IF($B453="","",IFERROR(INDEX(직원목록!$C$3:$C$302,MATCH($B453,직원목록!$A$3:$A$302,0)),""))</f>
        <v/>
      </c>
      <c r="E453" s="14"/>
      <c r="F453" s="14"/>
      <c r="G453" s="15"/>
      <c r="H453" s="16" t="str">
        <f aca="false">IF(OR($K453="",$L453=""),"",ROUND(MAX(0,($L453-$K453)-IF($G453="",0,$G453))/60,2))</f>
        <v/>
      </c>
      <c r="I453" s="8"/>
      <c r="J453" s="8"/>
      <c r="K453" s="17" t="str">
        <f aca="false">IF($E453="","",IF($E453&lt;1,ROUND($E453*1440,0),INT($E453/100)*60+MOD($E453,100)))</f>
        <v/>
      </c>
      <c r="L453" s="17" t="str">
        <f aca="false">IF($F453="","",IF($F453&lt;1,ROUND($F453*1440,0),INT($F453/100)*60+MOD($F453,100)))</f>
        <v/>
      </c>
    </row>
    <row r="454" customFormat="false" ht="15" hidden="false" customHeight="true" outlineLevel="0" collapsed="false">
      <c r="A454" s="10"/>
      <c r="B454" s="8"/>
      <c r="C454" s="13" t="str">
        <f aca="false">IF($B454="","",IFERROR(INDEX(직원목록!$B$3:$B$302,MATCH($B454,직원목록!$A$3:$A$302,0)),"미등록사번"))</f>
        <v/>
      </c>
      <c r="D454" s="13" t="str">
        <f aca="false">IF($B454="","",IFERROR(INDEX(직원목록!$C$3:$C$302,MATCH($B454,직원목록!$A$3:$A$302,0)),""))</f>
        <v/>
      </c>
      <c r="E454" s="14"/>
      <c r="F454" s="14"/>
      <c r="G454" s="15"/>
      <c r="H454" s="16" t="str">
        <f aca="false">IF(OR($K454="",$L454=""),"",ROUND(MAX(0,($L454-$K454)-IF($G454="",0,$G454))/60,2))</f>
        <v/>
      </c>
      <c r="I454" s="8"/>
      <c r="J454" s="8"/>
      <c r="K454" s="17" t="str">
        <f aca="false">IF($E454="","",IF($E454&lt;1,ROUND($E454*1440,0),INT($E454/100)*60+MOD($E454,100)))</f>
        <v/>
      </c>
      <c r="L454" s="17" t="str">
        <f aca="false">IF($F454="","",IF($F454&lt;1,ROUND($F454*1440,0),INT($F454/100)*60+MOD($F454,100)))</f>
        <v/>
      </c>
    </row>
    <row r="455" customFormat="false" ht="15" hidden="false" customHeight="true" outlineLevel="0" collapsed="false">
      <c r="A455" s="10"/>
      <c r="B455" s="8"/>
      <c r="C455" s="13" t="str">
        <f aca="false">IF($B455="","",IFERROR(INDEX(직원목록!$B$3:$B$302,MATCH($B455,직원목록!$A$3:$A$302,0)),"미등록사번"))</f>
        <v/>
      </c>
      <c r="D455" s="13" t="str">
        <f aca="false">IF($B455="","",IFERROR(INDEX(직원목록!$C$3:$C$302,MATCH($B455,직원목록!$A$3:$A$302,0)),""))</f>
        <v/>
      </c>
      <c r="E455" s="14"/>
      <c r="F455" s="14"/>
      <c r="G455" s="15"/>
      <c r="H455" s="16" t="str">
        <f aca="false">IF(OR($K455="",$L455=""),"",ROUND(MAX(0,($L455-$K455)-IF($G455="",0,$G455))/60,2))</f>
        <v/>
      </c>
      <c r="I455" s="8"/>
      <c r="J455" s="8"/>
      <c r="K455" s="17" t="str">
        <f aca="false">IF($E455="","",IF($E455&lt;1,ROUND($E455*1440,0),INT($E455/100)*60+MOD($E455,100)))</f>
        <v/>
      </c>
      <c r="L455" s="17" t="str">
        <f aca="false">IF($F455="","",IF($F455&lt;1,ROUND($F455*1440,0),INT($F455/100)*60+MOD($F455,100)))</f>
        <v/>
      </c>
    </row>
    <row r="456" customFormat="false" ht="15" hidden="false" customHeight="true" outlineLevel="0" collapsed="false">
      <c r="A456" s="10"/>
      <c r="B456" s="8"/>
      <c r="C456" s="13" t="str">
        <f aca="false">IF($B456="","",IFERROR(INDEX(직원목록!$B$3:$B$302,MATCH($B456,직원목록!$A$3:$A$302,0)),"미등록사번"))</f>
        <v/>
      </c>
      <c r="D456" s="13" t="str">
        <f aca="false">IF($B456="","",IFERROR(INDEX(직원목록!$C$3:$C$302,MATCH($B456,직원목록!$A$3:$A$302,0)),""))</f>
        <v/>
      </c>
      <c r="E456" s="14"/>
      <c r="F456" s="14"/>
      <c r="G456" s="15"/>
      <c r="H456" s="16" t="str">
        <f aca="false">IF(OR($K456="",$L456=""),"",ROUND(MAX(0,($L456-$K456)-IF($G456="",0,$G456))/60,2))</f>
        <v/>
      </c>
      <c r="I456" s="8"/>
      <c r="J456" s="8"/>
      <c r="K456" s="17" t="str">
        <f aca="false">IF($E456="","",IF($E456&lt;1,ROUND($E456*1440,0),INT($E456/100)*60+MOD($E456,100)))</f>
        <v/>
      </c>
      <c r="L456" s="17" t="str">
        <f aca="false">IF($F456="","",IF($F456&lt;1,ROUND($F456*1440,0),INT($F456/100)*60+MOD($F456,100)))</f>
        <v/>
      </c>
    </row>
    <row r="457" customFormat="false" ht="15" hidden="false" customHeight="true" outlineLevel="0" collapsed="false">
      <c r="A457" s="10"/>
      <c r="B457" s="8"/>
      <c r="C457" s="13" t="str">
        <f aca="false">IF($B457="","",IFERROR(INDEX(직원목록!$B$3:$B$302,MATCH($B457,직원목록!$A$3:$A$302,0)),"미등록사번"))</f>
        <v/>
      </c>
      <c r="D457" s="13" t="str">
        <f aca="false">IF($B457="","",IFERROR(INDEX(직원목록!$C$3:$C$302,MATCH($B457,직원목록!$A$3:$A$302,0)),""))</f>
        <v/>
      </c>
      <c r="E457" s="14"/>
      <c r="F457" s="14"/>
      <c r="G457" s="15"/>
      <c r="H457" s="16" t="str">
        <f aca="false">IF(OR($K457="",$L457=""),"",ROUND(MAX(0,($L457-$K457)-IF($G457="",0,$G457))/60,2))</f>
        <v/>
      </c>
      <c r="I457" s="8"/>
      <c r="J457" s="8"/>
      <c r="K457" s="17" t="str">
        <f aca="false">IF($E457="","",IF($E457&lt;1,ROUND($E457*1440,0),INT($E457/100)*60+MOD($E457,100)))</f>
        <v/>
      </c>
      <c r="L457" s="17" t="str">
        <f aca="false">IF($F457="","",IF($F457&lt;1,ROUND($F457*1440,0),INT($F457/100)*60+MOD($F457,100)))</f>
        <v/>
      </c>
    </row>
    <row r="458" customFormat="false" ht="15" hidden="false" customHeight="true" outlineLevel="0" collapsed="false">
      <c r="A458" s="10"/>
      <c r="B458" s="8"/>
      <c r="C458" s="13" t="str">
        <f aca="false">IF($B458="","",IFERROR(INDEX(직원목록!$B$3:$B$302,MATCH($B458,직원목록!$A$3:$A$302,0)),"미등록사번"))</f>
        <v/>
      </c>
      <c r="D458" s="13" t="str">
        <f aca="false">IF($B458="","",IFERROR(INDEX(직원목록!$C$3:$C$302,MATCH($B458,직원목록!$A$3:$A$302,0)),""))</f>
        <v/>
      </c>
      <c r="E458" s="14"/>
      <c r="F458" s="14"/>
      <c r="G458" s="15"/>
      <c r="H458" s="16" t="str">
        <f aca="false">IF(OR($K458="",$L458=""),"",ROUND(MAX(0,($L458-$K458)-IF($G458="",0,$G458))/60,2))</f>
        <v/>
      </c>
      <c r="I458" s="8"/>
      <c r="J458" s="8"/>
      <c r="K458" s="17" t="str">
        <f aca="false">IF($E458="","",IF($E458&lt;1,ROUND($E458*1440,0),INT($E458/100)*60+MOD($E458,100)))</f>
        <v/>
      </c>
      <c r="L458" s="17" t="str">
        <f aca="false">IF($F458="","",IF($F458&lt;1,ROUND($F458*1440,0),INT($F458/100)*60+MOD($F458,100)))</f>
        <v/>
      </c>
    </row>
    <row r="459" customFormat="false" ht="15" hidden="false" customHeight="true" outlineLevel="0" collapsed="false">
      <c r="A459" s="10"/>
      <c r="B459" s="8"/>
      <c r="C459" s="13" t="str">
        <f aca="false">IF($B459="","",IFERROR(INDEX(직원목록!$B$3:$B$302,MATCH($B459,직원목록!$A$3:$A$302,0)),"미등록사번"))</f>
        <v/>
      </c>
      <c r="D459" s="13" t="str">
        <f aca="false">IF($B459="","",IFERROR(INDEX(직원목록!$C$3:$C$302,MATCH($B459,직원목록!$A$3:$A$302,0)),""))</f>
        <v/>
      </c>
      <c r="E459" s="14"/>
      <c r="F459" s="14"/>
      <c r="G459" s="15"/>
      <c r="H459" s="16" t="str">
        <f aca="false">IF(OR($K459="",$L459=""),"",ROUND(MAX(0,($L459-$K459)-IF($G459="",0,$G459))/60,2))</f>
        <v/>
      </c>
      <c r="I459" s="8"/>
      <c r="J459" s="8"/>
      <c r="K459" s="17" t="str">
        <f aca="false">IF($E459="","",IF($E459&lt;1,ROUND($E459*1440,0),INT($E459/100)*60+MOD($E459,100)))</f>
        <v/>
      </c>
      <c r="L459" s="17" t="str">
        <f aca="false">IF($F459="","",IF($F459&lt;1,ROUND($F459*1440,0),INT($F459/100)*60+MOD($F459,100)))</f>
        <v/>
      </c>
    </row>
    <row r="460" customFormat="false" ht="15" hidden="false" customHeight="true" outlineLevel="0" collapsed="false">
      <c r="A460" s="10"/>
      <c r="B460" s="8"/>
      <c r="C460" s="13" t="str">
        <f aca="false">IF($B460="","",IFERROR(INDEX(직원목록!$B$3:$B$302,MATCH($B460,직원목록!$A$3:$A$302,0)),"미등록사번"))</f>
        <v/>
      </c>
      <c r="D460" s="13" t="str">
        <f aca="false">IF($B460="","",IFERROR(INDEX(직원목록!$C$3:$C$302,MATCH($B460,직원목록!$A$3:$A$302,0)),""))</f>
        <v/>
      </c>
      <c r="E460" s="14"/>
      <c r="F460" s="14"/>
      <c r="G460" s="15"/>
      <c r="H460" s="16" t="str">
        <f aca="false">IF(OR($K460="",$L460=""),"",ROUND(MAX(0,($L460-$K460)-IF($G460="",0,$G460))/60,2))</f>
        <v/>
      </c>
      <c r="I460" s="8"/>
      <c r="J460" s="8"/>
      <c r="K460" s="17" t="str">
        <f aca="false">IF($E460="","",IF($E460&lt;1,ROUND($E460*1440,0),INT($E460/100)*60+MOD($E460,100)))</f>
        <v/>
      </c>
      <c r="L460" s="17" t="str">
        <f aca="false">IF($F460="","",IF($F460&lt;1,ROUND($F460*1440,0),INT($F460/100)*60+MOD($F460,100)))</f>
        <v/>
      </c>
    </row>
    <row r="461" customFormat="false" ht="15" hidden="false" customHeight="true" outlineLevel="0" collapsed="false">
      <c r="A461" s="10"/>
      <c r="B461" s="8"/>
      <c r="C461" s="13" t="str">
        <f aca="false">IF($B461="","",IFERROR(INDEX(직원목록!$B$3:$B$302,MATCH($B461,직원목록!$A$3:$A$302,0)),"미등록사번"))</f>
        <v/>
      </c>
      <c r="D461" s="13" t="str">
        <f aca="false">IF($B461="","",IFERROR(INDEX(직원목록!$C$3:$C$302,MATCH($B461,직원목록!$A$3:$A$302,0)),""))</f>
        <v/>
      </c>
      <c r="E461" s="14"/>
      <c r="F461" s="14"/>
      <c r="G461" s="15"/>
      <c r="H461" s="16" t="str">
        <f aca="false">IF(OR($K461="",$L461=""),"",ROUND(MAX(0,($L461-$K461)-IF($G461="",0,$G461))/60,2))</f>
        <v/>
      </c>
      <c r="I461" s="8"/>
      <c r="J461" s="8"/>
      <c r="K461" s="17" t="str">
        <f aca="false">IF($E461="","",IF($E461&lt;1,ROUND($E461*1440,0),INT($E461/100)*60+MOD($E461,100)))</f>
        <v/>
      </c>
      <c r="L461" s="17" t="str">
        <f aca="false">IF($F461="","",IF($F461&lt;1,ROUND($F461*1440,0),INT($F461/100)*60+MOD($F461,100)))</f>
        <v/>
      </c>
    </row>
    <row r="462" customFormat="false" ht="15" hidden="false" customHeight="true" outlineLevel="0" collapsed="false">
      <c r="A462" s="10"/>
      <c r="B462" s="8"/>
      <c r="C462" s="13" t="str">
        <f aca="false">IF($B462="","",IFERROR(INDEX(직원목록!$B$3:$B$302,MATCH($B462,직원목록!$A$3:$A$302,0)),"미등록사번"))</f>
        <v/>
      </c>
      <c r="D462" s="13" t="str">
        <f aca="false">IF($B462="","",IFERROR(INDEX(직원목록!$C$3:$C$302,MATCH($B462,직원목록!$A$3:$A$302,0)),""))</f>
        <v/>
      </c>
      <c r="E462" s="14"/>
      <c r="F462" s="14"/>
      <c r="G462" s="15"/>
      <c r="H462" s="16" t="str">
        <f aca="false">IF(OR($K462="",$L462=""),"",ROUND(MAX(0,($L462-$K462)-IF($G462="",0,$G462))/60,2))</f>
        <v/>
      </c>
      <c r="I462" s="8"/>
      <c r="J462" s="8"/>
      <c r="K462" s="17" t="str">
        <f aca="false">IF($E462="","",IF($E462&lt;1,ROUND($E462*1440,0),INT($E462/100)*60+MOD($E462,100)))</f>
        <v/>
      </c>
      <c r="L462" s="17" t="str">
        <f aca="false">IF($F462="","",IF($F462&lt;1,ROUND($F462*1440,0),INT($F462/100)*60+MOD($F462,100)))</f>
        <v/>
      </c>
    </row>
    <row r="463" customFormat="false" ht="15" hidden="false" customHeight="true" outlineLevel="0" collapsed="false">
      <c r="A463" s="10"/>
      <c r="B463" s="8"/>
      <c r="C463" s="13" t="str">
        <f aca="false">IF($B463="","",IFERROR(INDEX(직원목록!$B$3:$B$302,MATCH($B463,직원목록!$A$3:$A$302,0)),"미등록사번"))</f>
        <v/>
      </c>
      <c r="D463" s="13" t="str">
        <f aca="false">IF($B463="","",IFERROR(INDEX(직원목록!$C$3:$C$302,MATCH($B463,직원목록!$A$3:$A$302,0)),""))</f>
        <v/>
      </c>
      <c r="E463" s="14"/>
      <c r="F463" s="14"/>
      <c r="G463" s="15"/>
      <c r="H463" s="16" t="str">
        <f aca="false">IF(OR($K463="",$L463=""),"",ROUND(MAX(0,($L463-$K463)-IF($G463="",0,$G463))/60,2))</f>
        <v/>
      </c>
      <c r="I463" s="8"/>
      <c r="J463" s="8"/>
      <c r="K463" s="17" t="str">
        <f aca="false">IF($E463="","",IF($E463&lt;1,ROUND($E463*1440,0),INT($E463/100)*60+MOD($E463,100)))</f>
        <v/>
      </c>
      <c r="L463" s="17" t="str">
        <f aca="false">IF($F463="","",IF($F463&lt;1,ROUND($F463*1440,0),INT($F463/100)*60+MOD($F463,100)))</f>
        <v/>
      </c>
    </row>
    <row r="464" customFormat="false" ht="15" hidden="false" customHeight="true" outlineLevel="0" collapsed="false">
      <c r="A464" s="10"/>
      <c r="B464" s="8"/>
      <c r="C464" s="13" t="str">
        <f aca="false">IF($B464="","",IFERROR(INDEX(직원목록!$B$3:$B$302,MATCH($B464,직원목록!$A$3:$A$302,0)),"미등록사번"))</f>
        <v/>
      </c>
      <c r="D464" s="13" t="str">
        <f aca="false">IF($B464="","",IFERROR(INDEX(직원목록!$C$3:$C$302,MATCH($B464,직원목록!$A$3:$A$302,0)),""))</f>
        <v/>
      </c>
      <c r="E464" s="14"/>
      <c r="F464" s="14"/>
      <c r="G464" s="15"/>
      <c r="H464" s="16" t="str">
        <f aca="false">IF(OR($K464="",$L464=""),"",ROUND(MAX(0,($L464-$K464)-IF($G464="",0,$G464))/60,2))</f>
        <v/>
      </c>
      <c r="I464" s="8"/>
      <c r="J464" s="8"/>
      <c r="K464" s="17" t="str">
        <f aca="false">IF($E464="","",IF($E464&lt;1,ROUND($E464*1440,0),INT($E464/100)*60+MOD($E464,100)))</f>
        <v/>
      </c>
      <c r="L464" s="17" t="str">
        <f aca="false">IF($F464="","",IF($F464&lt;1,ROUND($F464*1440,0),INT($F464/100)*60+MOD($F464,100)))</f>
        <v/>
      </c>
    </row>
    <row r="465" customFormat="false" ht="15" hidden="false" customHeight="true" outlineLevel="0" collapsed="false">
      <c r="A465" s="10"/>
      <c r="B465" s="8"/>
      <c r="C465" s="13" t="str">
        <f aca="false">IF($B465="","",IFERROR(INDEX(직원목록!$B$3:$B$302,MATCH($B465,직원목록!$A$3:$A$302,0)),"미등록사번"))</f>
        <v/>
      </c>
      <c r="D465" s="13" t="str">
        <f aca="false">IF($B465="","",IFERROR(INDEX(직원목록!$C$3:$C$302,MATCH($B465,직원목록!$A$3:$A$302,0)),""))</f>
        <v/>
      </c>
      <c r="E465" s="14"/>
      <c r="F465" s="14"/>
      <c r="G465" s="15"/>
      <c r="H465" s="16" t="str">
        <f aca="false">IF(OR($K465="",$L465=""),"",ROUND(MAX(0,($L465-$K465)-IF($G465="",0,$G465))/60,2))</f>
        <v/>
      </c>
      <c r="I465" s="8"/>
      <c r="J465" s="8"/>
      <c r="K465" s="17" t="str">
        <f aca="false">IF($E465="","",IF($E465&lt;1,ROUND($E465*1440,0),INT($E465/100)*60+MOD($E465,100)))</f>
        <v/>
      </c>
      <c r="L465" s="17" t="str">
        <f aca="false">IF($F465="","",IF($F465&lt;1,ROUND($F465*1440,0),INT($F465/100)*60+MOD($F465,100)))</f>
        <v/>
      </c>
    </row>
    <row r="466" customFormat="false" ht="15" hidden="false" customHeight="true" outlineLevel="0" collapsed="false">
      <c r="A466" s="10"/>
      <c r="B466" s="8"/>
      <c r="C466" s="13" t="str">
        <f aca="false">IF($B466="","",IFERROR(INDEX(직원목록!$B$3:$B$302,MATCH($B466,직원목록!$A$3:$A$302,0)),"미등록사번"))</f>
        <v/>
      </c>
      <c r="D466" s="13" t="str">
        <f aca="false">IF($B466="","",IFERROR(INDEX(직원목록!$C$3:$C$302,MATCH($B466,직원목록!$A$3:$A$302,0)),""))</f>
        <v/>
      </c>
      <c r="E466" s="14"/>
      <c r="F466" s="14"/>
      <c r="G466" s="15"/>
      <c r="H466" s="16" t="str">
        <f aca="false">IF(OR($K466="",$L466=""),"",ROUND(MAX(0,($L466-$K466)-IF($G466="",0,$G466))/60,2))</f>
        <v/>
      </c>
      <c r="I466" s="8"/>
      <c r="J466" s="8"/>
      <c r="K466" s="17" t="str">
        <f aca="false">IF($E466="","",IF($E466&lt;1,ROUND($E466*1440,0),INT($E466/100)*60+MOD($E466,100)))</f>
        <v/>
      </c>
      <c r="L466" s="17" t="str">
        <f aca="false">IF($F466="","",IF($F466&lt;1,ROUND($F466*1440,0),INT($F466/100)*60+MOD($F466,100)))</f>
        <v/>
      </c>
    </row>
    <row r="467" customFormat="false" ht="15" hidden="false" customHeight="true" outlineLevel="0" collapsed="false">
      <c r="A467" s="10"/>
      <c r="B467" s="8"/>
      <c r="C467" s="13" t="str">
        <f aca="false">IF($B467="","",IFERROR(INDEX(직원목록!$B$3:$B$302,MATCH($B467,직원목록!$A$3:$A$302,0)),"미등록사번"))</f>
        <v/>
      </c>
      <c r="D467" s="13" t="str">
        <f aca="false">IF($B467="","",IFERROR(INDEX(직원목록!$C$3:$C$302,MATCH($B467,직원목록!$A$3:$A$302,0)),""))</f>
        <v/>
      </c>
      <c r="E467" s="14"/>
      <c r="F467" s="14"/>
      <c r="G467" s="15"/>
      <c r="H467" s="16" t="str">
        <f aca="false">IF(OR($K467="",$L467=""),"",ROUND(MAX(0,($L467-$K467)-IF($G467="",0,$G467))/60,2))</f>
        <v/>
      </c>
      <c r="I467" s="8"/>
      <c r="J467" s="8"/>
      <c r="K467" s="17" t="str">
        <f aca="false">IF($E467="","",IF($E467&lt;1,ROUND($E467*1440,0),INT($E467/100)*60+MOD($E467,100)))</f>
        <v/>
      </c>
      <c r="L467" s="17" t="str">
        <f aca="false">IF($F467="","",IF($F467&lt;1,ROUND($F467*1440,0),INT($F467/100)*60+MOD($F467,100)))</f>
        <v/>
      </c>
    </row>
    <row r="468" customFormat="false" ht="15" hidden="false" customHeight="true" outlineLevel="0" collapsed="false">
      <c r="A468" s="10"/>
      <c r="B468" s="8"/>
      <c r="C468" s="13" t="str">
        <f aca="false">IF($B468="","",IFERROR(INDEX(직원목록!$B$3:$B$302,MATCH($B468,직원목록!$A$3:$A$302,0)),"미등록사번"))</f>
        <v/>
      </c>
      <c r="D468" s="13" t="str">
        <f aca="false">IF($B468="","",IFERROR(INDEX(직원목록!$C$3:$C$302,MATCH($B468,직원목록!$A$3:$A$302,0)),""))</f>
        <v/>
      </c>
      <c r="E468" s="14"/>
      <c r="F468" s="14"/>
      <c r="G468" s="15"/>
      <c r="H468" s="16" t="str">
        <f aca="false">IF(OR($K468="",$L468=""),"",ROUND(MAX(0,($L468-$K468)-IF($G468="",0,$G468))/60,2))</f>
        <v/>
      </c>
      <c r="I468" s="8"/>
      <c r="J468" s="8"/>
      <c r="K468" s="17" t="str">
        <f aca="false">IF($E468="","",IF($E468&lt;1,ROUND($E468*1440,0),INT($E468/100)*60+MOD($E468,100)))</f>
        <v/>
      </c>
      <c r="L468" s="17" t="str">
        <f aca="false">IF($F468="","",IF($F468&lt;1,ROUND($F468*1440,0),INT($F468/100)*60+MOD($F468,100)))</f>
        <v/>
      </c>
    </row>
    <row r="469" customFormat="false" ht="15" hidden="false" customHeight="true" outlineLevel="0" collapsed="false">
      <c r="A469" s="10"/>
      <c r="B469" s="8"/>
      <c r="C469" s="13" t="str">
        <f aca="false">IF($B469="","",IFERROR(INDEX(직원목록!$B$3:$B$302,MATCH($B469,직원목록!$A$3:$A$302,0)),"미등록사번"))</f>
        <v/>
      </c>
      <c r="D469" s="13" t="str">
        <f aca="false">IF($B469="","",IFERROR(INDEX(직원목록!$C$3:$C$302,MATCH($B469,직원목록!$A$3:$A$302,0)),""))</f>
        <v/>
      </c>
      <c r="E469" s="14"/>
      <c r="F469" s="14"/>
      <c r="G469" s="15"/>
      <c r="H469" s="16" t="str">
        <f aca="false">IF(OR($K469="",$L469=""),"",ROUND(MAX(0,($L469-$K469)-IF($G469="",0,$G469))/60,2))</f>
        <v/>
      </c>
      <c r="I469" s="8"/>
      <c r="J469" s="8"/>
      <c r="K469" s="17" t="str">
        <f aca="false">IF($E469="","",IF($E469&lt;1,ROUND($E469*1440,0),INT($E469/100)*60+MOD($E469,100)))</f>
        <v/>
      </c>
      <c r="L469" s="17" t="str">
        <f aca="false">IF($F469="","",IF($F469&lt;1,ROUND($F469*1440,0),INT($F469/100)*60+MOD($F469,100)))</f>
        <v/>
      </c>
    </row>
    <row r="470" customFormat="false" ht="15" hidden="false" customHeight="true" outlineLevel="0" collapsed="false">
      <c r="A470" s="10"/>
      <c r="B470" s="8"/>
      <c r="C470" s="13" t="str">
        <f aca="false">IF($B470="","",IFERROR(INDEX(직원목록!$B$3:$B$302,MATCH($B470,직원목록!$A$3:$A$302,0)),"미등록사번"))</f>
        <v/>
      </c>
      <c r="D470" s="13" t="str">
        <f aca="false">IF($B470="","",IFERROR(INDEX(직원목록!$C$3:$C$302,MATCH($B470,직원목록!$A$3:$A$302,0)),""))</f>
        <v/>
      </c>
      <c r="E470" s="14"/>
      <c r="F470" s="14"/>
      <c r="G470" s="15"/>
      <c r="H470" s="16" t="str">
        <f aca="false">IF(OR($K470="",$L470=""),"",ROUND(MAX(0,($L470-$K470)-IF($G470="",0,$G470))/60,2))</f>
        <v/>
      </c>
      <c r="I470" s="8"/>
      <c r="J470" s="8"/>
      <c r="K470" s="17" t="str">
        <f aca="false">IF($E470="","",IF($E470&lt;1,ROUND($E470*1440,0),INT($E470/100)*60+MOD($E470,100)))</f>
        <v/>
      </c>
      <c r="L470" s="17" t="str">
        <f aca="false">IF($F470="","",IF($F470&lt;1,ROUND($F470*1440,0),INT($F470/100)*60+MOD($F470,100)))</f>
        <v/>
      </c>
    </row>
    <row r="471" customFormat="false" ht="15" hidden="false" customHeight="true" outlineLevel="0" collapsed="false">
      <c r="A471" s="10"/>
      <c r="B471" s="8"/>
      <c r="C471" s="13" t="str">
        <f aca="false">IF($B471="","",IFERROR(INDEX(직원목록!$B$3:$B$302,MATCH($B471,직원목록!$A$3:$A$302,0)),"미등록사번"))</f>
        <v/>
      </c>
      <c r="D471" s="13" t="str">
        <f aca="false">IF($B471="","",IFERROR(INDEX(직원목록!$C$3:$C$302,MATCH($B471,직원목록!$A$3:$A$302,0)),""))</f>
        <v/>
      </c>
      <c r="E471" s="14"/>
      <c r="F471" s="14"/>
      <c r="G471" s="15"/>
      <c r="H471" s="16" t="str">
        <f aca="false">IF(OR($K471="",$L471=""),"",ROUND(MAX(0,($L471-$K471)-IF($G471="",0,$G471))/60,2))</f>
        <v/>
      </c>
      <c r="I471" s="8"/>
      <c r="J471" s="8"/>
      <c r="K471" s="17" t="str">
        <f aca="false">IF($E471="","",IF($E471&lt;1,ROUND($E471*1440,0),INT($E471/100)*60+MOD($E471,100)))</f>
        <v/>
      </c>
      <c r="L471" s="17" t="str">
        <f aca="false">IF($F471="","",IF($F471&lt;1,ROUND($F471*1440,0),INT($F471/100)*60+MOD($F471,100)))</f>
        <v/>
      </c>
    </row>
    <row r="472" customFormat="false" ht="15" hidden="false" customHeight="true" outlineLevel="0" collapsed="false">
      <c r="A472" s="10"/>
      <c r="B472" s="8"/>
      <c r="C472" s="13" t="str">
        <f aca="false">IF($B472="","",IFERROR(INDEX(직원목록!$B$3:$B$302,MATCH($B472,직원목록!$A$3:$A$302,0)),"미등록사번"))</f>
        <v/>
      </c>
      <c r="D472" s="13" t="str">
        <f aca="false">IF($B472="","",IFERROR(INDEX(직원목록!$C$3:$C$302,MATCH($B472,직원목록!$A$3:$A$302,0)),""))</f>
        <v/>
      </c>
      <c r="E472" s="14"/>
      <c r="F472" s="14"/>
      <c r="G472" s="15"/>
      <c r="H472" s="16" t="str">
        <f aca="false">IF(OR($K472="",$L472=""),"",ROUND(MAX(0,($L472-$K472)-IF($G472="",0,$G472))/60,2))</f>
        <v/>
      </c>
      <c r="I472" s="8"/>
      <c r="J472" s="8"/>
      <c r="K472" s="17" t="str">
        <f aca="false">IF($E472="","",IF($E472&lt;1,ROUND($E472*1440,0),INT($E472/100)*60+MOD($E472,100)))</f>
        <v/>
      </c>
      <c r="L472" s="17" t="str">
        <f aca="false">IF($F472="","",IF($F472&lt;1,ROUND($F472*1440,0),INT($F472/100)*60+MOD($F472,100)))</f>
        <v/>
      </c>
    </row>
    <row r="473" customFormat="false" ht="15" hidden="false" customHeight="true" outlineLevel="0" collapsed="false">
      <c r="A473" s="10"/>
      <c r="B473" s="8"/>
      <c r="C473" s="13" t="str">
        <f aca="false">IF($B473="","",IFERROR(INDEX(직원목록!$B$3:$B$302,MATCH($B473,직원목록!$A$3:$A$302,0)),"미등록사번"))</f>
        <v/>
      </c>
      <c r="D473" s="13" t="str">
        <f aca="false">IF($B473="","",IFERROR(INDEX(직원목록!$C$3:$C$302,MATCH($B473,직원목록!$A$3:$A$302,0)),""))</f>
        <v/>
      </c>
      <c r="E473" s="14"/>
      <c r="F473" s="14"/>
      <c r="G473" s="15"/>
      <c r="H473" s="16" t="str">
        <f aca="false">IF(OR($K473="",$L473=""),"",ROUND(MAX(0,($L473-$K473)-IF($G473="",0,$G473))/60,2))</f>
        <v/>
      </c>
      <c r="I473" s="8"/>
      <c r="J473" s="8"/>
      <c r="K473" s="17" t="str">
        <f aca="false">IF($E473="","",IF($E473&lt;1,ROUND($E473*1440,0),INT($E473/100)*60+MOD($E473,100)))</f>
        <v/>
      </c>
      <c r="L473" s="17" t="str">
        <f aca="false">IF($F473="","",IF($F473&lt;1,ROUND($F473*1440,0),INT($F473/100)*60+MOD($F473,100)))</f>
        <v/>
      </c>
    </row>
    <row r="474" customFormat="false" ht="15" hidden="false" customHeight="true" outlineLevel="0" collapsed="false">
      <c r="A474" s="10"/>
      <c r="B474" s="8"/>
      <c r="C474" s="13" t="str">
        <f aca="false">IF($B474="","",IFERROR(INDEX(직원목록!$B$3:$B$302,MATCH($B474,직원목록!$A$3:$A$302,0)),"미등록사번"))</f>
        <v/>
      </c>
      <c r="D474" s="13" t="str">
        <f aca="false">IF($B474="","",IFERROR(INDEX(직원목록!$C$3:$C$302,MATCH($B474,직원목록!$A$3:$A$302,0)),""))</f>
        <v/>
      </c>
      <c r="E474" s="14"/>
      <c r="F474" s="14"/>
      <c r="G474" s="15"/>
      <c r="H474" s="16" t="str">
        <f aca="false">IF(OR($K474="",$L474=""),"",ROUND(MAX(0,($L474-$K474)-IF($G474="",0,$G474))/60,2))</f>
        <v/>
      </c>
      <c r="I474" s="8"/>
      <c r="J474" s="8"/>
      <c r="K474" s="17" t="str">
        <f aca="false">IF($E474="","",IF($E474&lt;1,ROUND($E474*1440,0),INT($E474/100)*60+MOD($E474,100)))</f>
        <v/>
      </c>
      <c r="L474" s="17" t="str">
        <f aca="false">IF($F474="","",IF($F474&lt;1,ROUND($F474*1440,0),INT($F474/100)*60+MOD($F474,100)))</f>
        <v/>
      </c>
    </row>
    <row r="475" customFormat="false" ht="15" hidden="false" customHeight="true" outlineLevel="0" collapsed="false">
      <c r="A475" s="10"/>
      <c r="B475" s="8"/>
      <c r="C475" s="13" t="str">
        <f aca="false">IF($B475="","",IFERROR(INDEX(직원목록!$B$3:$B$302,MATCH($B475,직원목록!$A$3:$A$302,0)),"미등록사번"))</f>
        <v/>
      </c>
      <c r="D475" s="13" t="str">
        <f aca="false">IF($B475="","",IFERROR(INDEX(직원목록!$C$3:$C$302,MATCH($B475,직원목록!$A$3:$A$302,0)),""))</f>
        <v/>
      </c>
      <c r="E475" s="14"/>
      <c r="F475" s="14"/>
      <c r="G475" s="15"/>
      <c r="H475" s="16" t="str">
        <f aca="false">IF(OR($K475="",$L475=""),"",ROUND(MAX(0,($L475-$K475)-IF($G475="",0,$G475))/60,2))</f>
        <v/>
      </c>
      <c r="I475" s="8"/>
      <c r="J475" s="8"/>
      <c r="K475" s="17" t="str">
        <f aca="false">IF($E475="","",IF($E475&lt;1,ROUND($E475*1440,0),INT($E475/100)*60+MOD($E475,100)))</f>
        <v/>
      </c>
      <c r="L475" s="17" t="str">
        <f aca="false">IF($F475="","",IF($F475&lt;1,ROUND($F475*1440,0),INT($F475/100)*60+MOD($F475,100)))</f>
        <v/>
      </c>
    </row>
    <row r="476" customFormat="false" ht="15" hidden="false" customHeight="true" outlineLevel="0" collapsed="false">
      <c r="A476" s="10"/>
      <c r="B476" s="8"/>
      <c r="C476" s="13" t="str">
        <f aca="false">IF($B476="","",IFERROR(INDEX(직원목록!$B$3:$B$302,MATCH($B476,직원목록!$A$3:$A$302,0)),"미등록사번"))</f>
        <v/>
      </c>
      <c r="D476" s="13" t="str">
        <f aca="false">IF($B476="","",IFERROR(INDEX(직원목록!$C$3:$C$302,MATCH($B476,직원목록!$A$3:$A$302,0)),""))</f>
        <v/>
      </c>
      <c r="E476" s="14"/>
      <c r="F476" s="14"/>
      <c r="G476" s="15"/>
      <c r="H476" s="16" t="str">
        <f aca="false">IF(OR($K476="",$L476=""),"",ROUND(MAX(0,($L476-$K476)-IF($G476="",0,$G476))/60,2))</f>
        <v/>
      </c>
      <c r="I476" s="8"/>
      <c r="J476" s="8"/>
      <c r="K476" s="17" t="str">
        <f aca="false">IF($E476="","",IF($E476&lt;1,ROUND($E476*1440,0),INT($E476/100)*60+MOD($E476,100)))</f>
        <v/>
      </c>
      <c r="L476" s="17" t="str">
        <f aca="false">IF($F476="","",IF($F476&lt;1,ROUND($F476*1440,0),INT($F476/100)*60+MOD($F476,100)))</f>
        <v/>
      </c>
    </row>
    <row r="477" customFormat="false" ht="15" hidden="false" customHeight="true" outlineLevel="0" collapsed="false">
      <c r="A477" s="10"/>
      <c r="B477" s="8"/>
      <c r="C477" s="13" t="str">
        <f aca="false">IF($B477="","",IFERROR(INDEX(직원목록!$B$3:$B$302,MATCH($B477,직원목록!$A$3:$A$302,0)),"미등록사번"))</f>
        <v/>
      </c>
      <c r="D477" s="13" t="str">
        <f aca="false">IF($B477="","",IFERROR(INDEX(직원목록!$C$3:$C$302,MATCH($B477,직원목록!$A$3:$A$302,0)),""))</f>
        <v/>
      </c>
      <c r="E477" s="14"/>
      <c r="F477" s="14"/>
      <c r="G477" s="15"/>
      <c r="H477" s="16" t="str">
        <f aca="false">IF(OR($K477="",$L477=""),"",ROUND(MAX(0,($L477-$K477)-IF($G477="",0,$G477))/60,2))</f>
        <v/>
      </c>
      <c r="I477" s="8"/>
      <c r="J477" s="8"/>
      <c r="K477" s="17" t="str">
        <f aca="false">IF($E477="","",IF($E477&lt;1,ROUND($E477*1440,0),INT($E477/100)*60+MOD($E477,100)))</f>
        <v/>
      </c>
      <c r="L477" s="17" t="str">
        <f aca="false">IF($F477="","",IF($F477&lt;1,ROUND($F477*1440,0),INT($F477/100)*60+MOD($F477,100)))</f>
        <v/>
      </c>
    </row>
    <row r="478" customFormat="false" ht="15" hidden="false" customHeight="true" outlineLevel="0" collapsed="false">
      <c r="A478" s="10"/>
      <c r="B478" s="8"/>
      <c r="C478" s="13" t="str">
        <f aca="false">IF($B478="","",IFERROR(INDEX(직원목록!$B$3:$B$302,MATCH($B478,직원목록!$A$3:$A$302,0)),"미등록사번"))</f>
        <v/>
      </c>
      <c r="D478" s="13" t="str">
        <f aca="false">IF($B478="","",IFERROR(INDEX(직원목록!$C$3:$C$302,MATCH($B478,직원목록!$A$3:$A$302,0)),""))</f>
        <v/>
      </c>
      <c r="E478" s="14"/>
      <c r="F478" s="14"/>
      <c r="G478" s="15"/>
      <c r="H478" s="16" t="str">
        <f aca="false">IF(OR($K478="",$L478=""),"",ROUND(MAX(0,($L478-$K478)-IF($G478="",0,$G478))/60,2))</f>
        <v/>
      </c>
      <c r="I478" s="8"/>
      <c r="J478" s="8"/>
      <c r="K478" s="17" t="str">
        <f aca="false">IF($E478="","",IF($E478&lt;1,ROUND($E478*1440,0),INT($E478/100)*60+MOD($E478,100)))</f>
        <v/>
      </c>
      <c r="L478" s="17" t="str">
        <f aca="false">IF($F478="","",IF($F478&lt;1,ROUND($F478*1440,0),INT($F478/100)*60+MOD($F478,100)))</f>
        <v/>
      </c>
    </row>
    <row r="479" customFormat="false" ht="15" hidden="false" customHeight="true" outlineLevel="0" collapsed="false">
      <c r="A479" s="10"/>
      <c r="B479" s="8"/>
      <c r="C479" s="13" t="str">
        <f aca="false">IF($B479="","",IFERROR(INDEX(직원목록!$B$3:$B$302,MATCH($B479,직원목록!$A$3:$A$302,0)),"미등록사번"))</f>
        <v/>
      </c>
      <c r="D479" s="13" t="str">
        <f aca="false">IF($B479="","",IFERROR(INDEX(직원목록!$C$3:$C$302,MATCH($B479,직원목록!$A$3:$A$302,0)),""))</f>
        <v/>
      </c>
      <c r="E479" s="14"/>
      <c r="F479" s="14"/>
      <c r="G479" s="15"/>
      <c r="H479" s="16" t="str">
        <f aca="false">IF(OR($K479="",$L479=""),"",ROUND(MAX(0,($L479-$K479)-IF($G479="",0,$G479))/60,2))</f>
        <v/>
      </c>
      <c r="I479" s="8"/>
      <c r="J479" s="8"/>
      <c r="K479" s="17" t="str">
        <f aca="false">IF($E479="","",IF($E479&lt;1,ROUND($E479*1440,0),INT($E479/100)*60+MOD($E479,100)))</f>
        <v/>
      </c>
      <c r="L479" s="17" t="str">
        <f aca="false">IF($F479="","",IF($F479&lt;1,ROUND($F479*1440,0),INT($F479/100)*60+MOD($F479,100)))</f>
        <v/>
      </c>
    </row>
    <row r="480" customFormat="false" ht="15" hidden="false" customHeight="true" outlineLevel="0" collapsed="false">
      <c r="A480" s="10"/>
      <c r="B480" s="8"/>
      <c r="C480" s="13" t="str">
        <f aca="false">IF($B480="","",IFERROR(INDEX(직원목록!$B$3:$B$302,MATCH($B480,직원목록!$A$3:$A$302,0)),"미등록사번"))</f>
        <v/>
      </c>
      <c r="D480" s="13" t="str">
        <f aca="false">IF($B480="","",IFERROR(INDEX(직원목록!$C$3:$C$302,MATCH($B480,직원목록!$A$3:$A$302,0)),""))</f>
        <v/>
      </c>
      <c r="E480" s="14"/>
      <c r="F480" s="14"/>
      <c r="G480" s="15"/>
      <c r="H480" s="16" t="str">
        <f aca="false">IF(OR($K480="",$L480=""),"",ROUND(MAX(0,($L480-$K480)-IF($G480="",0,$G480))/60,2))</f>
        <v/>
      </c>
      <c r="I480" s="8"/>
      <c r="J480" s="8"/>
      <c r="K480" s="17" t="str">
        <f aca="false">IF($E480="","",IF($E480&lt;1,ROUND($E480*1440,0),INT($E480/100)*60+MOD($E480,100)))</f>
        <v/>
      </c>
      <c r="L480" s="17" t="str">
        <f aca="false">IF($F480="","",IF($F480&lt;1,ROUND($F480*1440,0),INT($F480/100)*60+MOD($F480,100)))</f>
        <v/>
      </c>
    </row>
    <row r="481" customFormat="false" ht="15" hidden="false" customHeight="true" outlineLevel="0" collapsed="false">
      <c r="A481" s="10"/>
      <c r="B481" s="8"/>
      <c r="C481" s="13" t="str">
        <f aca="false">IF($B481="","",IFERROR(INDEX(직원목록!$B$3:$B$302,MATCH($B481,직원목록!$A$3:$A$302,0)),"미등록사번"))</f>
        <v/>
      </c>
      <c r="D481" s="13" t="str">
        <f aca="false">IF($B481="","",IFERROR(INDEX(직원목록!$C$3:$C$302,MATCH($B481,직원목록!$A$3:$A$302,0)),""))</f>
        <v/>
      </c>
      <c r="E481" s="14"/>
      <c r="F481" s="14"/>
      <c r="G481" s="15"/>
      <c r="H481" s="16" t="str">
        <f aca="false">IF(OR($K481="",$L481=""),"",ROUND(MAX(0,($L481-$K481)-IF($G481="",0,$G481))/60,2))</f>
        <v/>
      </c>
      <c r="I481" s="8"/>
      <c r="J481" s="8"/>
      <c r="K481" s="17" t="str">
        <f aca="false">IF($E481="","",IF($E481&lt;1,ROUND($E481*1440,0),INT($E481/100)*60+MOD($E481,100)))</f>
        <v/>
      </c>
      <c r="L481" s="17" t="str">
        <f aca="false">IF($F481="","",IF($F481&lt;1,ROUND($F481*1440,0),INT($F481/100)*60+MOD($F481,100)))</f>
        <v/>
      </c>
    </row>
    <row r="482" customFormat="false" ht="15" hidden="false" customHeight="true" outlineLevel="0" collapsed="false">
      <c r="A482" s="10"/>
      <c r="B482" s="8"/>
      <c r="C482" s="13" t="str">
        <f aca="false">IF($B482="","",IFERROR(INDEX(직원목록!$B$3:$B$302,MATCH($B482,직원목록!$A$3:$A$302,0)),"미등록사번"))</f>
        <v/>
      </c>
      <c r="D482" s="13" t="str">
        <f aca="false">IF($B482="","",IFERROR(INDEX(직원목록!$C$3:$C$302,MATCH($B482,직원목록!$A$3:$A$302,0)),""))</f>
        <v/>
      </c>
      <c r="E482" s="14"/>
      <c r="F482" s="14"/>
      <c r="G482" s="15"/>
      <c r="H482" s="16" t="str">
        <f aca="false">IF(OR($K482="",$L482=""),"",ROUND(MAX(0,($L482-$K482)-IF($G482="",0,$G482))/60,2))</f>
        <v/>
      </c>
      <c r="I482" s="8"/>
      <c r="J482" s="8"/>
      <c r="K482" s="17" t="str">
        <f aca="false">IF($E482="","",IF($E482&lt;1,ROUND($E482*1440,0),INT($E482/100)*60+MOD($E482,100)))</f>
        <v/>
      </c>
      <c r="L482" s="17" t="str">
        <f aca="false">IF($F482="","",IF($F482&lt;1,ROUND($F482*1440,0),INT($F482/100)*60+MOD($F482,100)))</f>
        <v/>
      </c>
    </row>
    <row r="483" customFormat="false" ht="15" hidden="false" customHeight="true" outlineLevel="0" collapsed="false">
      <c r="A483" s="10"/>
      <c r="B483" s="8"/>
      <c r="C483" s="13" t="str">
        <f aca="false">IF($B483="","",IFERROR(INDEX(직원목록!$B$3:$B$302,MATCH($B483,직원목록!$A$3:$A$302,0)),"미등록사번"))</f>
        <v/>
      </c>
      <c r="D483" s="13" t="str">
        <f aca="false">IF($B483="","",IFERROR(INDEX(직원목록!$C$3:$C$302,MATCH($B483,직원목록!$A$3:$A$302,0)),""))</f>
        <v/>
      </c>
      <c r="E483" s="14"/>
      <c r="F483" s="14"/>
      <c r="G483" s="15"/>
      <c r="H483" s="16" t="str">
        <f aca="false">IF(OR($K483="",$L483=""),"",ROUND(MAX(0,($L483-$K483)-IF($G483="",0,$G483))/60,2))</f>
        <v/>
      </c>
      <c r="I483" s="8"/>
      <c r="J483" s="8"/>
      <c r="K483" s="17" t="str">
        <f aca="false">IF($E483="","",IF($E483&lt;1,ROUND($E483*1440,0),INT($E483/100)*60+MOD($E483,100)))</f>
        <v/>
      </c>
      <c r="L483" s="17" t="str">
        <f aca="false">IF($F483="","",IF($F483&lt;1,ROUND($F483*1440,0),INT($F483/100)*60+MOD($F483,100)))</f>
        <v/>
      </c>
    </row>
    <row r="484" customFormat="false" ht="15" hidden="false" customHeight="true" outlineLevel="0" collapsed="false">
      <c r="A484" s="10"/>
      <c r="B484" s="8"/>
      <c r="C484" s="13" t="str">
        <f aca="false">IF($B484="","",IFERROR(INDEX(직원목록!$B$3:$B$302,MATCH($B484,직원목록!$A$3:$A$302,0)),"미등록사번"))</f>
        <v/>
      </c>
      <c r="D484" s="13" t="str">
        <f aca="false">IF($B484="","",IFERROR(INDEX(직원목록!$C$3:$C$302,MATCH($B484,직원목록!$A$3:$A$302,0)),""))</f>
        <v/>
      </c>
      <c r="E484" s="14"/>
      <c r="F484" s="14"/>
      <c r="G484" s="15"/>
      <c r="H484" s="16" t="str">
        <f aca="false">IF(OR($K484="",$L484=""),"",ROUND(MAX(0,($L484-$K484)-IF($G484="",0,$G484))/60,2))</f>
        <v/>
      </c>
      <c r="I484" s="8"/>
      <c r="J484" s="8"/>
      <c r="K484" s="17" t="str">
        <f aca="false">IF($E484="","",IF($E484&lt;1,ROUND($E484*1440,0),INT($E484/100)*60+MOD($E484,100)))</f>
        <v/>
      </c>
      <c r="L484" s="17" t="str">
        <f aca="false">IF($F484="","",IF($F484&lt;1,ROUND($F484*1440,0),INT($F484/100)*60+MOD($F484,100)))</f>
        <v/>
      </c>
    </row>
    <row r="485" customFormat="false" ht="15" hidden="false" customHeight="true" outlineLevel="0" collapsed="false">
      <c r="A485" s="10"/>
      <c r="B485" s="8"/>
      <c r="C485" s="13" t="str">
        <f aca="false">IF($B485="","",IFERROR(INDEX(직원목록!$B$3:$B$302,MATCH($B485,직원목록!$A$3:$A$302,0)),"미등록사번"))</f>
        <v/>
      </c>
      <c r="D485" s="13" t="str">
        <f aca="false">IF($B485="","",IFERROR(INDEX(직원목록!$C$3:$C$302,MATCH($B485,직원목록!$A$3:$A$302,0)),""))</f>
        <v/>
      </c>
      <c r="E485" s="14"/>
      <c r="F485" s="14"/>
      <c r="G485" s="15"/>
      <c r="H485" s="16" t="str">
        <f aca="false">IF(OR($K485="",$L485=""),"",ROUND(MAX(0,($L485-$K485)-IF($G485="",0,$G485))/60,2))</f>
        <v/>
      </c>
      <c r="I485" s="8"/>
      <c r="J485" s="8"/>
      <c r="K485" s="17" t="str">
        <f aca="false">IF($E485="","",IF($E485&lt;1,ROUND($E485*1440,0),INT($E485/100)*60+MOD($E485,100)))</f>
        <v/>
      </c>
      <c r="L485" s="17" t="str">
        <f aca="false">IF($F485="","",IF($F485&lt;1,ROUND($F485*1440,0),INT($F485/100)*60+MOD($F485,100)))</f>
        <v/>
      </c>
    </row>
    <row r="486" customFormat="false" ht="15" hidden="false" customHeight="true" outlineLevel="0" collapsed="false">
      <c r="A486" s="10"/>
      <c r="B486" s="8"/>
      <c r="C486" s="13" t="str">
        <f aca="false">IF($B486="","",IFERROR(INDEX(직원목록!$B$3:$B$302,MATCH($B486,직원목록!$A$3:$A$302,0)),"미등록사번"))</f>
        <v/>
      </c>
      <c r="D486" s="13" t="str">
        <f aca="false">IF($B486="","",IFERROR(INDEX(직원목록!$C$3:$C$302,MATCH($B486,직원목록!$A$3:$A$302,0)),""))</f>
        <v/>
      </c>
      <c r="E486" s="14"/>
      <c r="F486" s="14"/>
      <c r="G486" s="15"/>
      <c r="H486" s="16" t="str">
        <f aca="false">IF(OR($K486="",$L486=""),"",ROUND(MAX(0,($L486-$K486)-IF($G486="",0,$G486))/60,2))</f>
        <v/>
      </c>
      <c r="I486" s="8"/>
      <c r="J486" s="8"/>
      <c r="K486" s="17" t="str">
        <f aca="false">IF($E486="","",IF($E486&lt;1,ROUND($E486*1440,0),INT($E486/100)*60+MOD($E486,100)))</f>
        <v/>
      </c>
      <c r="L486" s="17" t="str">
        <f aca="false">IF($F486="","",IF($F486&lt;1,ROUND($F486*1440,0),INT($F486/100)*60+MOD($F486,100)))</f>
        <v/>
      </c>
    </row>
    <row r="487" customFormat="false" ht="15" hidden="false" customHeight="true" outlineLevel="0" collapsed="false">
      <c r="A487" s="10"/>
      <c r="B487" s="8"/>
      <c r="C487" s="13" t="str">
        <f aca="false">IF($B487="","",IFERROR(INDEX(직원목록!$B$3:$B$302,MATCH($B487,직원목록!$A$3:$A$302,0)),"미등록사번"))</f>
        <v/>
      </c>
      <c r="D487" s="13" t="str">
        <f aca="false">IF($B487="","",IFERROR(INDEX(직원목록!$C$3:$C$302,MATCH($B487,직원목록!$A$3:$A$302,0)),""))</f>
        <v/>
      </c>
      <c r="E487" s="14"/>
      <c r="F487" s="14"/>
      <c r="G487" s="15"/>
      <c r="H487" s="16" t="str">
        <f aca="false">IF(OR($K487="",$L487=""),"",ROUND(MAX(0,($L487-$K487)-IF($G487="",0,$G487))/60,2))</f>
        <v/>
      </c>
      <c r="I487" s="8"/>
      <c r="J487" s="8"/>
      <c r="K487" s="17" t="str">
        <f aca="false">IF($E487="","",IF($E487&lt;1,ROUND($E487*1440,0),INT($E487/100)*60+MOD($E487,100)))</f>
        <v/>
      </c>
      <c r="L487" s="17" t="str">
        <f aca="false">IF($F487="","",IF($F487&lt;1,ROUND($F487*1440,0),INT($F487/100)*60+MOD($F487,100)))</f>
        <v/>
      </c>
    </row>
    <row r="488" customFormat="false" ht="15" hidden="false" customHeight="true" outlineLevel="0" collapsed="false">
      <c r="A488" s="10"/>
      <c r="B488" s="8"/>
      <c r="C488" s="13" t="str">
        <f aca="false">IF($B488="","",IFERROR(INDEX(직원목록!$B$3:$B$302,MATCH($B488,직원목록!$A$3:$A$302,0)),"미등록사번"))</f>
        <v/>
      </c>
      <c r="D488" s="13" t="str">
        <f aca="false">IF($B488="","",IFERROR(INDEX(직원목록!$C$3:$C$302,MATCH($B488,직원목록!$A$3:$A$302,0)),""))</f>
        <v/>
      </c>
      <c r="E488" s="14"/>
      <c r="F488" s="14"/>
      <c r="G488" s="15"/>
      <c r="H488" s="16" t="str">
        <f aca="false">IF(OR($K488="",$L488=""),"",ROUND(MAX(0,($L488-$K488)-IF($G488="",0,$G488))/60,2))</f>
        <v/>
      </c>
      <c r="I488" s="8"/>
      <c r="J488" s="8"/>
      <c r="K488" s="17" t="str">
        <f aca="false">IF($E488="","",IF($E488&lt;1,ROUND($E488*1440,0),INT($E488/100)*60+MOD($E488,100)))</f>
        <v/>
      </c>
      <c r="L488" s="17" t="str">
        <f aca="false">IF($F488="","",IF($F488&lt;1,ROUND($F488*1440,0),INT($F488/100)*60+MOD($F488,100)))</f>
        <v/>
      </c>
    </row>
    <row r="489" customFormat="false" ht="15" hidden="false" customHeight="true" outlineLevel="0" collapsed="false">
      <c r="A489" s="10"/>
      <c r="B489" s="8"/>
      <c r="C489" s="13" t="str">
        <f aca="false">IF($B489="","",IFERROR(INDEX(직원목록!$B$3:$B$302,MATCH($B489,직원목록!$A$3:$A$302,0)),"미등록사번"))</f>
        <v/>
      </c>
      <c r="D489" s="13" t="str">
        <f aca="false">IF($B489="","",IFERROR(INDEX(직원목록!$C$3:$C$302,MATCH($B489,직원목록!$A$3:$A$302,0)),""))</f>
        <v/>
      </c>
      <c r="E489" s="14"/>
      <c r="F489" s="14"/>
      <c r="G489" s="15"/>
      <c r="H489" s="16" t="str">
        <f aca="false">IF(OR($K489="",$L489=""),"",ROUND(MAX(0,($L489-$K489)-IF($G489="",0,$G489))/60,2))</f>
        <v/>
      </c>
      <c r="I489" s="8"/>
      <c r="J489" s="8"/>
      <c r="K489" s="17" t="str">
        <f aca="false">IF($E489="","",IF($E489&lt;1,ROUND($E489*1440,0),INT($E489/100)*60+MOD($E489,100)))</f>
        <v/>
      </c>
      <c r="L489" s="17" t="str">
        <f aca="false">IF($F489="","",IF($F489&lt;1,ROUND($F489*1440,0),INT($F489/100)*60+MOD($F489,100)))</f>
        <v/>
      </c>
    </row>
    <row r="490" customFormat="false" ht="15" hidden="false" customHeight="true" outlineLevel="0" collapsed="false">
      <c r="A490" s="10"/>
      <c r="B490" s="8"/>
      <c r="C490" s="13" t="str">
        <f aca="false">IF($B490="","",IFERROR(INDEX(직원목록!$B$3:$B$302,MATCH($B490,직원목록!$A$3:$A$302,0)),"미등록사번"))</f>
        <v/>
      </c>
      <c r="D490" s="13" t="str">
        <f aca="false">IF($B490="","",IFERROR(INDEX(직원목록!$C$3:$C$302,MATCH($B490,직원목록!$A$3:$A$302,0)),""))</f>
        <v/>
      </c>
      <c r="E490" s="14"/>
      <c r="F490" s="14"/>
      <c r="G490" s="15"/>
      <c r="H490" s="16" t="str">
        <f aca="false">IF(OR($K490="",$L490=""),"",ROUND(MAX(0,($L490-$K490)-IF($G490="",0,$G490))/60,2))</f>
        <v/>
      </c>
      <c r="I490" s="8"/>
      <c r="J490" s="8"/>
      <c r="K490" s="17" t="str">
        <f aca="false">IF($E490="","",IF($E490&lt;1,ROUND($E490*1440,0),INT($E490/100)*60+MOD($E490,100)))</f>
        <v/>
      </c>
      <c r="L490" s="17" t="str">
        <f aca="false">IF($F490="","",IF($F490&lt;1,ROUND($F490*1440,0),INT($F490/100)*60+MOD($F490,100)))</f>
        <v/>
      </c>
    </row>
    <row r="491" customFormat="false" ht="15" hidden="false" customHeight="true" outlineLevel="0" collapsed="false">
      <c r="A491" s="10"/>
      <c r="B491" s="8"/>
      <c r="C491" s="13" t="str">
        <f aca="false">IF($B491="","",IFERROR(INDEX(직원목록!$B$3:$B$302,MATCH($B491,직원목록!$A$3:$A$302,0)),"미등록사번"))</f>
        <v/>
      </c>
      <c r="D491" s="13" t="str">
        <f aca="false">IF($B491="","",IFERROR(INDEX(직원목록!$C$3:$C$302,MATCH($B491,직원목록!$A$3:$A$302,0)),""))</f>
        <v/>
      </c>
      <c r="E491" s="14"/>
      <c r="F491" s="14"/>
      <c r="G491" s="15"/>
      <c r="H491" s="16" t="str">
        <f aca="false">IF(OR($K491="",$L491=""),"",ROUND(MAX(0,($L491-$K491)-IF($G491="",0,$G491))/60,2))</f>
        <v/>
      </c>
      <c r="I491" s="8"/>
      <c r="J491" s="8"/>
      <c r="K491" s="17" t="str">
        <f aca="false">IF($E491="","",IF($E491&lt;1,ROUND($E491*1440,0),INT($E491/100)*60+MOD($E491,100)))</f>
        <v/>
      </c>
      <c r="L491" s="17" t="str">
        <f aca="false">IF($F491="","",IF($F491&lt;1,ROUND($F491*1440,0),INT($F491/100)*60+MOD($F491,100)))</f>
        <v/>
      </c>
    </row>
    <row r="492" customFormat="false" ht="15" hidden="false" customHeight="true" outlineLevel="0" collapsed="false">
      <c r="A492" s="10"/>
      <c r="B492" s="8"/>
      <c r="C492" s="13" t="str">
        <f aca="false">IF($B492="","",IFERROR(INDEX(직원목록!$B$3:$B$302,MATCH($B492,직원목록!$A$3:$A$302,0)),"미등록사번"))</f>
        <v/>
      </c>
      <c r="D492" s="13" t="str">
        <f aca="false">IF($B492="","",IFERROR(INDEX(직원목록!$C$3:$C$302,MATCH($B492,직원목록!$A$3:$A$302,0)),""))</f>
        <v/>
      </c>
      <c r="E492" s="14"/>
      <c r="F492" s="14"/>
      <c r="G492" s="15"/>
      <c r="H492" s="16" t="str">
        <f aca="false">IF(OR($K492="",$L492=""),"",ROUND(MAX(0,($L492-$K492)-IF($G492="",0,$G492))/60,2))</f>
        <v/>
      </c>
      <c r="I492" s="8"/>
      <c r="J492" s="8"/>
      <c r="K492" s="17" t="str">
        <f aca="false">IF($E492="","",IF($E492&lt;1,ROUND($E492*1440,0),INT($E492/100)*60+MOD($E492,100)))</f>
        <v/>
      </c>
      <c r="L492" s="17" t="str">
        <f aca="false">IF($F492="","",IF($F492&lt;1,ROUND($F492*1440,0),INT($F492/100)*60+MOD($F492,100)))</f>
        <v/>
      </c>
    </row>
    <row r="493" customFormat="false" ht="15" hidden="false" customHeight="true" outlineLevel="0" collapsed="false">
      <c r="A493" s="10"/>
      <c r="B493" s="8"/>
      <c r="C493" s="13" t="str">
        <f aca="false">IF($B493="","",IFERROR(INDEX(직원목록!$B$3:$B$302,MATCH($B493,직원목록!$A$3:$A$302,0)),"미등록사번"))</f>
        <v/>
      </c>
      <c r="D493" s="13" t="str">
        <f aca="false">IF($B493="","",IFERROR(INDEX(직원목록!$C$3:$C$302,MATCH($B493,직원목록!$A$3:$A$302,0)),""))</f>
        <v/>
      </c>
      <c r="E493" s="14"/>
      <c r="F493" s="14"/>
      <c r="G493" s="15"/>
      <c r="H493" s="16" t="str">
        <f aca="false">IF(OR($K493="",$L493=""),"",ROUND(MAX(0,($L493-$K493)-IF($G493="",0,$G493))/60,2))</f>
        <v/>
      </c>
      <c r="I493" s="8"/>
      <c r="J493" s="8"/>
      <c r="K493" s="17" t="str">
        <f aca="false">IF($E493="","",IF($E493&lt;1,ROUND($E493*1440,0),INT($E493/100)*60+MOD($E493,100)))</f>
        <v/>
      </c>
      <c r="L493" s="17" t="str">
        <f aca="false">IF($F493="","",IF($F493&lt;1,ROUND($F493*1440,0),INT($F493/100)*60+MOD($F493,100)))</f>
        <v/>
      </c>
    </row>
    <row r="494" customFormat="false" ht="15" hidden="false" customHeight="true" outlineLevel="0" collapsed="false">
      <c r="A494" s="10"/>
      <c r="B494" s="8"/>
      <c r="C494" s="13" t="str">
        <f aca="false">IF($B494="","",IFERROR(INDEX(직원목록!$B$3:$B$302,MATCH($B494,직원목록!$A$3:$A$302,0)),"미등록사번"))</f>
        <v/>
      </c>
      <c r="D494" s="13" t="str">
        <f aca="false">IF($B494="","",IFERROR(INDEX(직원목록!$C$3:$C$302,MATCH($B494,직원목록!$A$3:$A$302,0)),""))</f>
        <v/>
      </c>
      <c r="E494" s="14"/>
      <c r="F494" s="14"/>
      <c r="G494" s="15"/>
      <c r="H494" s="16" t="str">
        <f aca="false">IF(OR($K494="",$L494=""),"",ROUND(MAX(0,($L494-$K494)-IF($G494="",0,$G494))/60,2))</f>
        <v/>
      </c>
      <c r="I494" s="8"/>
      <c r="J494" s="8"/>
      <c r="K494" s="17" t="str">
        <f aca="false">IF($E494="","",IF($E494&lt;1,ROUND($E494*1440,0),INT($E494/100)*60+MOD($E494,100)))</f>
        <v/>
      </c>
      <c r="L494" s="17" t="str">
        <f aca="false">IF($F494="","",IF($F494&lt;1,ROUND($F494*1440,0),INT($F494/100)*60+MOD($F494,100)))</f>
        <v/>
      </c>
    </row>
    <row r="495" customFormat="false" ht="15" hidden="false" customHeight="true" outlineLevel="0" collapsed="false">
      <c r="A495" s="10"/>
      <c r="B495" s="8"/>
      <c r="C495" s="13" t="str">
        <f aca="false">IF($B495="","",IFERROR(INDEX(직원목록!$B$3:$B$302,MATCH($B495,직원목록!$A$3:$A$302,0)),"미등록사번"))</f>
        <v/>
      </c>
      <c r="D495" s="13" t="str">
        <f aca="false">IF($B495="","",IFERROR(INDEX(직원목록!$C$3:$C$302,MATCH($B495,직원목록!$A$3:$A$302,0)),""))</f>
        <v/>
      </c>
      <c r="E495" s="14"/>
      <c r="F495" s="14"/>
      <c r="G495" s="15"/>
      <c r="H495" s="16" t="str">
        <f aca="false">IF(OR($K495="",$L495=""),"",ROUND(MAX(0,($L495-$K495)-IF($G495="",0,$G495))/60,2))</f>
        <v/>
      </c>
      <c r="I495" s="8"/>
      <c r="J495" s="8"/>
      <c r="K495" s="17" t="str">
        <f aca="false">IF($E495="","",IF($E495&lt;1,ROUND($E495*1440,0),INT($E495/100)*60+MOD($E495,100)))</f>
        <v/>
      </c>
      <c r="L495" s="17" t="str">
        <f aca="false">IF($F495="","",IF($F495&lt;1,ROUND($F495*1440,0),INT($F495/100)*60+MOD($F495,100)))</f>
        <v/>
      </c>
    </row>
    <row r="496" customFormat="false" ht="15" hidden="false" customHeight="true" outlineLevel="0" collapsed="false">
      <c r="A496" s="10"/>
      <c r="B496" s="8"/>
      <c r="C496" s="13" t="str">
        <f aca="false">IF($B496="","",IFERROR(INDEX(직원목록!$B$3:$B$302,MATCH($B496,직원목록!$A$3:$A$302,0)),"미등록사번"))</f>
        <v/>
      </c>
      <c r="D496" s="13" t="str">
        <f aca="false">IF($B496="","",IFERROR(INDEX(직원목록!$C$3:$C$302,MATCH($B496,직원목록!$A$3:$A$302,0)),""))</f>
        <v/>
      </c>
      <c r="E496" s="14"/>
      <c r="F496" s="14"/>
      <c r="G496" s="15"/>
      <c r="H496" s="16" t="str">
        <f aca="false">IF(OR($K496="",$L496=""),"",ROUND(MAX(0,($L496-$K496)-IF($G496="",0,$G496))/60,2))</f>
        <v/>
      </c>
      <c r="I496" s="8"/>
      <c r="J496" s="8"/>
      <c r="K496" s="17" t="str">
        <f aca="false">IF($E496="","",IF($E496&lt;1,ROUND($E496*1440,0),INT($E496/100)*60+MOD($E496,100)))</f>
        <v/>
      </c>
      <c r="L496" s="17" t="str">
        <f aca="false">IF($F496="","",IF($F496&lt;1,ROUND($F496*1440,0),INT($F496/100)*60+MOD($F496,100)))</f>
        <v/>
      </c>
    </row>
    <row r="497" customFormat="false" ht="15" hidden="false" customHeight="true" outlineLevel="0" collapsed="false">
      <c r="A497" s="10"/>
      <c r="B497" s="8"/>
      <c r="C497" s="13" t="str">
        <f aca="false">IF($B497="","",IFERROR(INDEX(직원목록!$B$3:$B$302,MATCH($B497,직원목록!$A$3:$A$302,0)),"미등록사번"))</f>
        <v/>
      </c>
      <c r="D497" s="13" t="str">
        <f aca="false">IF($B497="","",IFERROR(INDEX(직원목록!$C$3:$C$302,MATCH($B497,직원목록!$A$3:$A$302,0)),""))</f>
        <v/>
      </c>
      <c r="E497" s="14"/>
      <c r="F497" s="14"/>
      <c r="G497" s="15"/>
      <c r="H497" s="16" t="str">
        <f aca="false">IF(OR($K497="",$L497=""),"",ROUND(MAX(0,($L497-$K497)-IF($G497="",0,$G497))/60,2))</f>
        <v/>
      </c>
      <c r="I497" s="8"/>
      <c r="J497" s="8"/>
      <c r="K497" s="17" t="str">
        <f aca="false">IF($E497="","",IF($E497&lt;1,ROUND($E497*1440,0),INT($E497/100)*60+MOD($E497,100)))</f>
        <v/>
      </c>
      <c r="L497" s="17" t="str">
        <f aca="false">IF($F497="","",IF($F497&lt;1,ROUND($F497*1440,0),INT($F497/100)*60+MOD($F497,100)))</f>
        <v/>
      </c>
    </row>
    <row r="498" customFormat="false" ht="15" hidden="false" customHeight="true" outlineLevel="0" collapsed="false">
      <c r="A498" s="10"/>
      <c r="B498" s="8"/>
      <c r="C498" s="13" t="str">
        <f aca="false">IF($B498="","",IFERROR(INDEX(직원목록!$B$3:$B$302,MATCH($B498,직원목록!$A$3:$A$302,0)),"미등록사번"))</f>
        <v/>
      </c>
      <c r="D498" s="13" t="str">
        <f aca="false">IF($B498="","",IFERROR(INDEX(직원목록!$C$3:$C$302,MATCH($B498,직원목록!$A$3:$A$302,0)),""))</f>
        <v/>
      </c>
      <c r="E498" s="14"/>
      <c r="F498" s="14"/>
      <c r="G498" s="15"/>
      <c r="H498" s="16" t="str">
        <f aca="false">IF(OR($K498="",$L498=""),"",ROUND(MAX(0,($L498-$K498)-IF($G498="",0,$G498))/60,2))</f>
        <v/>
      </c>
      <c r="I498" s="8"/>
      <c r="J498" s="8"/>
      <c r="K498" s="17" t="str">
        <f aca="false">IF($E498="","",IF($E498&lt;1,ROUND($E498*1440,0),INT($E498/100)*60+MOD($E498,100)))</f>
        <v/>
      </c>
      <c r="L498" s="17" t="str">
        <f aca="false">IF($F498="","",IF($F498&lt;1,ROUND($F498*1440,0),INT($F498/100)*60+MOD($F498,100)))</f>
        <v/>
      </c>
    </row>
    <row r="499" customFormat="false" ht="15" hidden="false" customHeight="true" outlineLevel="0" collapsed="false">
      <c r="A499" s="10"/>
      <c r="B499" s="8"/>
      <c r="C499" s="13" t="str">
        <f aca="false">IF($B499="","",IFERROR(INDEX(직원목록!$B$3:$B$302,MATCH($B499,직원목록!$A$3:$A$302,0)),"미등록사번"))</f>
        <v/>
      </c>
      <c r="D499" s="13" t="str">
        <f aca="false">IF($B499="","",IFERROR(INDEX(직원목록!$C$3:$C$302,MATCH($B499,직원목록!$A$3:$A$302,0)),""))</f>
        <v/>
      </c>
      <c r="E499" s="14"/>
      <c r="F499" s="14"/>
      <c r="G499" s="15"/>
      <c r="H499" s="16" t="str">
        <f aca="false">IF(OR($K499="",$L499=""),"",ROUND(MAX(0,($L499-$K499)-IF($G499="",0,$G499))/60,2))</f>
        <v/>
      </c>
      <c r="I499" s="8"/>
      <c r="J499" s="8"/>
      <c r="K499" s="17" t="str">
        <f aca="false">IF($E499="","",IF($E499&lt;1,ROUND($E499*1440,0),INT($E499/100)*60+MOD($E499,100)))</f>
        <v/>
      </c>
      <c r="L499" s="17" t="str">
        <f aca="false">IF($F499="","",IF($F499&lt;1,ROUND($F499*1440,0),INT($F499/100)*60+MOD($F499,100)))</f>
        <v/>
      </c>
    </row>
    <row r="500" customFormat="false" ht="15" hidden="false" customHeight="true" outlineLevel="0" collapsed="false">
      <c r="A500" s="10"/>
      <c r="B500" s="8"/>
      <c r="C500" s="13" t="str">
        <f aca="false">IF($B500="","",IFERROR(INDEX(직원목록!$B$3:$B$302,MATCH($B500,직원목록!$A$3:$A$302,0)),"미등록사번"))</f>
        <v/>
      </c>
      <c r="D500" s="13" t="str">
        <f aca="false">IF($B500="","",IFERROR(INDEX(직원목록!$C$3:$C$302,MATCH($B500,직원목록!$A$3:$A$302,0)),""))</f>
        <v/>
      </c>
      <c r="E500" s="14"/>
      <c r="F500" s="14"/>
      <c r="G500" s="15"/>
      <c r="H500" s="16" t="str">
        <f aca="false">IF(OR($K500="",$L500=""),"",ROUND(MAX(0,($L500-$K500)-IF($G500="",0,$G500))/60,2))</f>
        <v/>
      </c>
      <c r="I500" s="8"/>
      <c r="J500" s="8"/>
      <c r="K500" s="17" t="str">
        <f aca="false">IF($E500="","",IF($E500&lt;1,ROUND($E500*1440,0),INT($E500/100)*60+MOD($E500,100)))</f>
        <v/>
      </c>
      <c r="L500" s="17" t="str">
        <f aca="false">IF($F500="","",IF($F500&lt;1,ROUND($F500*1440,0),INT($F500/100)*60+MOD($F500,100)))</f>
        <v/>
      </c>
    </row>
    <row r="501" customFormat="false" ht="15" hidden="false" customHeight="true" outlineLevel="0" collapsed="false">
      <c r="A501" s="10"/>
      <c r="B501" s="8"/>
      <c r="C501" s="13" t="str">
        <f aca="false">IF($B501="","",IFERROR(INDEX(직원목록!$B$3:$B$302,MATCH($B501,직원목록!$A$3:$A$302,0)),"미등록사번"))</f>
        <v/>
      </c>
      <c r="D501" s="13" t="str">
        <f aca="false">IF($B501="","",IFERROR(INDEX(직원목록!$C$3:$C$302,MATCH($B501,직원목록!$A$3:$A$302,0)),""))</f>
        <v/>
      </c>
      <c r="E501" s="14"/>
      <c r="F501" s="14"/>
      <c r="G501" s="15"/>
      <c r="H501" s="16" t="str">
        <f aca="false">IF(OR($K501="",$L501=""),"",ROUND(MAX(0,($L501-$K501)-IF($G501="",0,$G501))/60,2))</f>
        <v/>
      </c>
      <c r="I501" s="8"/>
      <c r="J501" s="8"/>
      <c r="K501" s="17" t="str">
        <f aca="false">IF($E501="","",IF($E501&lt;1,ROUND($E501*1440,0),INT($E501/100)*60+MOD($E501,100)))</f>
        <v/>
      </c>
      <c r="L501" s="17" t="str">
        <f aca="false">IF($F501="","",IF($F501&lt;1,ROUND($F501*1440,0),INT($F501/100)*60+MOD($F501,100)))</f>
        <v/>
      </c>
    </row>
    <row r="502" customFormat="false" ht="15" hidden="false" customHeight="true" outlineLevel="0" collapsed="false">
      <c r="A502" s="10"/>
      <c r="B502" s="8"/>
      <c r="C502" s="13" t="str">
        <f aca="false">IF($B502="","",IFERROR(INDEX(직원목록!$B$3:$B$302,MATCH($B502,직원목록!$A$3:$A$302,0)),"미등록사번"))</f>
        <v/>
      </c>
      <c r="D502" s="13" t="str">
        <f aca="false">IF($B502="","",IFERROR(INDEX(직원목록!$C$3:$C$302,MATCH($B502,직원목록!$A$3:$A$302,0)),""))</f>
        <v/>
      </c>
      <c r="E502" s="14"/>
      <c r="F502" s="14"/>
      <c r="G502" s="15"/>
      <c r="H502" s="16" t="str">
        <f aca="false">IF(OR($K502="",$L502=""),"",ROUND(MAX(0,($L502-$K502)-IF($G502="",0,$G502))/60,2))</f>
        <v/>
      </c>
      <c r="I502" s="8"/>
      <c r="J502" s="8"/>
      <c r="K502" s="17" t="str">
        <f aca="false">IF($E502="","",IF($E502&lt;1,ROUND($E502*1440,0),INT($E502/100)*60+MOD($E502,100)))</f>
        <v/>
      </c>
      <c r="L502" s="17" t="str">
        <f aca="false">IF($F502="","",IF($F502&lt;1,ROUND($F502*1440,0),INT($F502/100)*60+MOD($F502,100)))</f>
        <v/>
      </c>
    </row>
    <row r="503" customFormat="false" ht="15" hidden="false" customHeight="true" outlineLevel="0" collapsed="false">
      <c r="A503" s="10"/>
      <c r="B503" s="8"/>
      <c r="C503" s="13" t="str">
        <f aca="false">IF($B503="","",IFERROR(INDEX(직원목록!$B$3:$B$302,MATCH($B503,직원목록!$A$3:$A$302,0)),"미등록사번"))</f>
        <v/>
      </c>
      <c r="D503" s="13" t="str">
        <f aca="false">IF($B503="","",IFERROR(INDEX(직원목록!$C$3:$C$302,MATCH($B503,직원목록!$A$3:$A$302,0)),""))</f>
        <v/>
      </c>
      <c r="E503" s="14"/>
      <c r="F503" s="14"/>
      <c r="G503" s="15"/>
      <c r="H503" s="16" t="str">
        <f aca="false">IF(OR($K503="",$L503=""),"",ROUND(MAX(0,($L503-$K503)-IF($G503="",0,$G503))/60,2))</f>
        <v/>
      </c>
      <c r="I503" s="8"/>
      <c r="J503" s="8"/>
      <c r="K503" s="17" t="str">
        <f aca="false">IF($E503="","",IF($E503&lt;1,ROUND($E503*1440,0),INT($E503/100)*60+MOD($E503,100)))</f>
        <v/>
      </c>
      <c r="L503" s="17" t="str">
        <f aca="false">IF($F503="","",IF($F503&lt;1,ROUND($F503*1440,0),INT($F503/100)*60+MOD($F503,100)))</f>
        <v/>
      </c>
    </row>
    <row r="504" customFormat="false" ht="15" hidden="false" customHeight="true" outlineLevel="0" collapsed="false">
      <c r="A504" s="10"/>
      <c r="B504" s="8"/>
      <c r="C504" s="13" t="str">
        <f aca="false">IF($B504="","",IFERROR(INDEX(직원목록!$B$3:$B$302,MATCH($B504,직원목록!$A$3:$A$302,0)),"미등록사번"))</f>
        <v/>
      </c>
      <c r="D504" s="13" t="str">
        <f aca="false">IF($B504="","",IFERROR(INDEX(직원목록!$C$3:$C$302,MATCH($B504,직원목록!$A$3:$A$302,0)),""))</f>
        <v/>
      </c>
      <c r="E504" s="14"/>
      <c r="F504" s="14"/>
      <c r="G504" s="15"/>
      <c r="H504" s="16" t="str">
        <f aca="false">IF(OR($K504="",$L504=""),"",ROUND(MAX(0,($L504-$K504)-IF($G504="",0,$G504))/60,2))</f>
        <v/>
      </c>
      <c r="I504" s="8"/>
      <c r="J504" s="8"/>
      <c r="K504" s="17" t="str">
        <f aca="false">IF($E504="","",IF($E504&lt;1,ROUND($E504*1440,0),INT($E504/100)*60+MOD($E504,100)))</f>
        <v/>
      </c>
      <c r="L504" s="17" t="str">
        <f aca="false">IF($F504="","",IF($F504&lt;1,ROUND($F504*1440,0),INT($F504/100)*60+MOD($F504,100)))</f>
        <v/>
      </c>
    </row>
    <row r="505" customFormat="false" ht="15" hidden="false" customHeight="true" outlineLevel="0" collapsed="false">
      <c r="A505" s="10"/>
      <c r="B505" s="8"/>
      <c r="C505" s="13" t="str">
        <f aca="false">IF($B505="","",IFERROR(INDEX(직원목록!$B$3:$B$302,MATCH($B505,직원목록!$A$3:$A$302,0)),"미등록사번"))</f>
        <v/>
      </c>
      <c r="D505" s="13" t="str">
        <f aca="false">IF($B505="","",IFERROR(INDEX(직원목록!$C$3:$C$302,MATCH($B505,직원목록!$A$3:$A$302,0)),""))</f>
        <v/>
      </c>
      <c r="E505" s="14"/>
      <c r="F505" s="14"/>
      <c r="G505" s="15"/>
      <c r="H505" s="16" t="str">
        <f aca="false">IF(OR($K505="",$L505=""),"",ROUND(MAX(0,($L505-$K505)-IF($G505="",0,$G505))/60,2))</f>
        <v/>
      </c>
      <c r="I505" s="8"/>
      <c r="J505" s="8"/>
      <c r="K505" s="17" t="str">
        <f aca="false">IF($E505="","",IF($E505&lt;1,ROUND($E505*1440,0),INT($E505/100)*60+MOD($E505,100)))</f>
        <v/>
      </c>
      <c r="L505" s="17" t="str">
        <f aca="false">IF($F505="","",IF($F505&lt;1,ROUND($F505*1440,0),INT($F505/100)*60+MOD($F505,100)))</f>
        <v/>
      </c>
    </row>
    <row r="506" customFormat="false" ht="15" hidden="false" customHeight="true" outlineLevel="0" collapsed="false">
      <c r="A506" s="10"/>
      <c r="B506" s="8"/>
      <c r="C506" s="13" t="str">
        <f aca="false">IF($B506="","",IFERROR(INDEX(직원목록!$B$3:$B$302,MATCH($B506,직원목록!$A$3:$A$302,0)),"미등록사번"))</f>
        <v/>
      </c>
      <c r="D506" s="13" t="str">
        <f aca="false">IF($B506="","",IFERROR(INDEX(직원목록!$C$3:$C$302,MATCH($B506,직원목록!$A$3:$A$302,0)),""))</f>
        <v/>
      </c>
      <c r="E506" s="14"/>
      <c r="F506" s="14"/>
      <c r="G506" s="15"/>
      <c r="H506" s="16" t="str">
        <f aca="false">IF(OR($K506="",$L506=""),"",ROUND(MAX(0,($L506-$K506)-IF($G506="",0,$G506))/60,2))</f>
        <v/>
      </c>
      <c r="I506" s="8"/>
      <c r="J506" s="8"/>
      <c r="K506" s="17" t="str">
        <f aca="false">IF($E506="","",IF($E506&lt;1,ROUND($E506*1440,0),INT($E506/100)*60+MOD($E506,100)))</f>
        <v/>
      </c>
      <c r="L506" s="17" t="str">
        <f aca="false">IF($F506="","",IF($F506&lt;1,ROUND($F506*1440,0),INT($F506/100)*60+MOD($F506,100)))</f>
        <v/>
      </c>
    </row>
    <row r="507" customFormat="false" ht="15" hidden="false" customHeight="true" outlineLevel="0" collapsed="false">
      <c r="A507" s="10"/>
      <c r="B507" s="8"/>
      <c r="C507" s="13" t="str">
        <f aca="false">IF($B507="","",IFERROR(INDEX(직원목록!$B$3:$B$302,MATCH($B507,직원목록!$A$3:$A$302,0)),"미등록사번"))</f>
        <v/>
      </c>
      <c r="D507" s="13" t="str">
        <f aca="false">IF($B507="","",IFERROR(INDEX(직원목록!$C$3:$C$302,MATCH($B507,직원목록!$A$3:$A$302,0)),""))</f>
        <v/>
      </c>
      <c r="E507" s="14"/>
      <c r="F507" s="14"/>
      <c r="G507" s="15"/>
      <c r="H507" s="16" t="str">
        <f aca="false">IF(OR($K507="",$L507=""),"",ROUND(MAX(0,($L507-$K507)-IF($G507="",0,$G507))/60,2))</f>
        <v/>
      </c>
      <c r="I507" s="8"/>
      <c r="J507" s="8"/>
      <c r="K507" s="17" t="str">
        <f aca="false">IF($E507="","",IF($E507&lt;1,ROUND($E507*1440,0),INT($E507/100)*60+MOD($E507,100)))</f>
        <v/>
      </c>
      <c r="L507" s="17" t="str">
        <f aca="false">IF($F507="","",IF($F507&lt;1,ROUND($F507*1440,0),INT($F507/100)*60+MOD($F507,100)))</f>
        <v/>
      </c>
    </row>
    <row r="508" customFormat="false" ht="15" hidden="false" customHeight="true" outlineLevel="0" collapsed="false">
      <c r="A508" s="10"/>
      <c r="B508" s="8"/>
      <c r="C508" s="13" t="str">
        <f aca="false">IF($B508="","",IFERROR(INDEX(직원목록!$B$3:$B$302,MATCH($B508,직원목록!$A$3:$A$302,0)),"미등록사번"))</f>
        <v/>
      </c>
      <c r="D508" s="13" t="str">
        <f aca="false">IF($B508="","",IFERROR(INDEX(직원목록!$C$3:$C$302,MATCH($B508,직원목록!$A$3:$A$302,0)),""))</f>
        <v/>
      </c>
      <c r="E508" s="14"/>
      <c r="F508" s="14"/>
      <c r="G508" s="15"/>
      <c r="H508" s="16" t="str">
        <f aca="false">IF(OR($K508="",$L508=""),"",ROUND(MAX(0,($L508-$K508)-IF($G508="",0,$G508))/60,2))</f>
        <v/>
      </c>
      <c r="I508" s="8"/>
      <c r="J508" s="8"/>
      <c r="K508" s="17" t="str">
        <f aca="false">IF($E508="","",IF($E508&lt;1,ROUND($E508*1440,0),INT($E508/100)*60+MOD($E508,100)))</f>
        <v/>
      </c>
      <c r="L508" s="17" t="str">
        <f aca="false">IF($F508="","",IF($F508&lt;1,ROUND($F508*1440,0),INT($F508/100)*60+MOD($F508,100)))</f>
        <v/>
      </c>
    </row>
    <row r="509" customFormat="false" ht="15" hidden="false" customHeight="true" outlineLevel="0" collapsed="false">
      <c r="A509" s="10"/>
      <c r="B509" s="8"/>
      <c r="C509" s="13" t="str">
        <f aca="false">IF($B509="","",IFERROR(INDEX(직원목록!$B$3:$B$302,MATCH($B509,직원목록!$A$3:$A$302,0)),"미등록사번"))</f>
        <v/>
      </c>
      <c r="D509" s="13" t="str">
        <f aca="false">IF($B509="","",IFERROR(INDEX(직원목록!$C$3:$C$302,MATCH($B509,직원목록!$A$3:$A$302,0)),""))</f>
        <v/>
      </c>
      <c r="E509" s="14"/>
      <c r="F509" s="14"/>
      <c r="G509" s="15"/>
      <c r="H509" s="16" t="str">
        <f aca="false">IF(OR($K509="",$L509=""),"",ROUND(MAX(0,($L509-$K509)-IF($G509="",0,$G509))/60,2))</f>
        <v/>
      </c>
      <c r="I509" s="8"/>
      <c r="J509" s="8"/>
      <c r="K509" s="17" t="str">
        <f aca="false">IF($E509="","",IF($E509&lt;1,ROUND($E509*1440,0),INT($E509/100)*60+MOD($E509,100)))</f>
        <v/>
      </c>
      <c r="L509" s="17" t="str">
        <f aca="false">IF($F509="","",IF($F509&lt;1,ROUND($F509*1440,0),INT($F509/100)*60+MOD($F509,100)))</f>
        <v/>
      </c>
    </row>
    <row r="510" customFormat="false" ht="15" hidden="false" customHeight="true" outlineLevel="0" collapsed="false">
      <c r="A510" s="10"/>
      <c r="B510" s="8"/>
      <c r="C510" s="13" t="str">
        <f aca="false">IF($B510="","",IFERROR(INDEX(직원목록!$B$3:$B$302,MATCH($B510,직원목록!$A$3:$A$302,0)),"미등록사번"))</f>
        <v/>
      </c>
      <c r="D510" s="13" t="str">
        <f aca="false">IF($B510="","",IFERROR(INDEX(직원목록!$C$3:$C$302,MATCH($B510,직원목록!$A$3:$A$302,0)),""))</f>
        <v/>
      </c>
      <c r="E510" s="14"/>
      <c r="F510" s="14"/>
      <c r="G510" s="15"/>
      <c r="H510" s="16" t="str">
        <f aca="false">IF(OR($K510="",$L510=""),"",ROUND(MAX(0,($L510-$K510)-IF($G510="",0,$G510))/60,2))</f>
        <v/>
      </c>
      <c r="I510" s="8"/>
      <c r="J510" s="8"/>
      <c r="K510" s="17" t="str">
        <f aca="false">IF($E510="","",IF($E510&lt;1,ROUND($E510*1440,0),INT($E510/100)*60+MOD($E510,100)))</f>
        <v/>
      </c>
      <c r="L510" s="17" t="str">
        <f aca="false">IF($F510="","",IF($F510&lt;1,ROUND($F510*1440,0),INT($F510/100)*60+MOD($F510,100)))</f>
        <v/>
      </c>
    </row>
    <row r="511" customFormat="false" ht="15" hidden="false" customHeight="true" outlineLevel="0" collapsed="false">
      <c r="A511" s="10"/>
      <c r="B511" s="8"/>
      <c r="C511" s="13" t="str">
        <f aca="false">IF($B511="","",IFERROR(INDEX(직원목록!$B$3:$B$302,MATCH($B511,직원목록!$A$3:$A$302,0)),"미등록사번"))</f>
        <v/>
      </c>
      <c r="D511" s="13" t="str">
        <f aca="false">IF($B511="","",IFERROR(INDEX(직원목록!$C$3:$C$302,MATCH($B511,직원목록!$A$3:$A$302,0)),""))</f>
        <v/>
      </c>
      <c r="E511" s="14"/>
      <c r="F511" s="14"/>
      <c r="G511" s="15"/>
      <c r="H511" s="16" t="str">
        <f aca="false">IF(OR($K511="",$L511=""),"",ROUND(MAX(0,($L511-$K511)-IF($G511="",0,$G511))/60,2))</f>
        <v/>
      </c>
      <c r="I511" s="8"/>
      <c r="J511" s="8"/>
      <c r="K511" s="17" t="str">
        <f aca="false">IF($E511="","",IF($E511&lt;1,ROUND($E511*1440,0),INT($E511/100)*60+MOD($E511,100)))</f>
        <v/>
      </c>
      <c r="L511" s="17" t="str">
        <f aca="false">IF($F511="","",IF($F511&lt;1,ROUND($F511*1440,0),INT($F511/100)*60+MOD($F511,100)))</f>
        <v/>
      </c>
    </row>
    <row r="512" customFormat="false" ht="15" hidden="false" customHeight="true" outlineLevel="0" collapsed="false">
      <c r="A512" s="10"/>
      <c r="B512" s="8"/>
      <c r="C512" s="13" t="str">
        <f aca="false">IF($B512="","",IFERROR(INDEX(직원목록!$B$3:$B$302,MATCH($B512,직원목록!$A$3:$A$302,0)),"미등록사번"))</f>
        <v/>
      </c>
      <c r="D512" s="13" t="str">
        <f aca="false">IF($B512="","",IFERROR(INDEX(직원목록!$C$3:$C$302,MATCH($B512,직원목록!$A$3:$A$302,0)),""))</f>
        <v/>
      </c>
      <c r="E512" s="14"/>
      <c r="F512" s="14"/>
      <c r="G512" s="15"/>
      <c r="H512" s="16" t="str">
        <f aca="false">IF(OR($K512="",$L512=""),"",ROUND(MAX(0,($L512-$K512)-IF($G512="",0,$G512))/60,2))</f>
        <v/>
      </c>
      <c r="I512" s="8"/>
      <c r="J512" s="8"/>
      <c r="K512" s="17" t="str">
        <f aca="false">IF($E512="","",IF($E512&lt;1,ROUND($E512*1440,0),INT($E512/100)*60+MOD($E512,100)))</f>
        <v/>
      </c>
      <c r="L512" s="17" t="str">
        <f aca="false">IF($F512="","",IF($F512&lt;1,ROUND($F512*1440,0),INT($F512/100)*60+MOD($F512,100)))</f>
        <v/>
      </c>
    </row>
    <row r="513" customFormat="false" ht="15" hidden="false" customHeight="true" outlineLevel="0" collapsed="false">
      <c r="A513" s="10"/>
      <c r="B513" s="8"/>
      <c r="C513" s="13" t="str">
        <f aca="false">IF($B513="","",IFERROR(INDEX(직원목록!$B$3:$B$302,MATCH($B513,직원목록!$A$3:$A$302,0)),"미등록사번"))</f>
        <v/>
      </c>
      <c r="D513" s="13" t="str">
        <f aca="false">IF($B513="","",IFERROR(INDEX(직원목록!$C$3:$C$302,MATCH($B513,직원목록!$A$3:$A$302,0)),""))</f>
        <v/>
      </c>
      <c r="E513" s="14"/>
      <c r="F513" s="14"/>
      <c r="G513" s="15"/>
      <c r="H513" s="16" t="str">
        <f aca="false">IF(OR($K513="",$L513=""),"",ROUND(MAX(0,($L513-$K513)-IF($G513="",0,$G513))/60,2))</f>
        <v/>
      </c>
      <c r="I513" s="8"/>
      <c r="J513" s="8"/>
      <c r="K513" s="17" t="str">
        <f aca="false">IF($E513="","",IF($E513&lt;1,ROUND($E513*1440,0),INT($E513/100)*60+MOD($E513,100)))</f>
        <v/>
      </c>
      <c r="L513" s="17" t="str">
        <f aca="false">IF($F513="","",IF($F513&lt;1,ROUND($F513*1440,0),INT($F513/100)*60+MOD($F513,100)))</f>
        <v/>
      </c>
    </row>
    <row r="514" customFormat="false" ht="15" hidden="false" customHeight="true" outlineLevel="0" collapsed="false">
      <c r="A514" s="10"/>
      <c r="B514" s="8"/>
      <c r="C514" s="13" t="str">
        <f aca="false">IF($B514="","",IFERROR(INDEX(직원목록!$B$3:$B$302,MATCH($B514,직원목록!$A$3:$A$302,0)),"미등록사번"))</f>
        <v/>
      </c>
      <c r="D514" s="13" t="str">
        <f aca="false">IF($B514="","",IFERROR(INDEX(직원목록!$C$3:$C$302,MATCH($B514,직원목록!$A$3:$A$302,0)),""))</f>
        <v/>
      </c>
      <c r="E514" s="14"/>
      <c r="F514" s="14"/>
      <c r="G514" s="15"/>
      <c r="H514" s="16" t="str">
        <f aca="false">IF(OR($K514="",$L514=""),"",ROUND(MAX(0,($L514-$K514)-IF($G514="",0,$G514))/60,2))</f>
        <v/>
      </c>
      <c r="I514" s="8"/>
      <c r="J514" s="8"/>
      <c r="K514" s="17" t="str">
        <f aca="false">IF($E514="","",IF($E514&lt;1,ROUND($E514*1440,0),INT($E514/100)*60+MOD($E514,100)))</f>
        <v/>
      </c>
      <c r="L514" s="17" t="str">
        <f aca="false">IF($F514="","",IF($F514&lt;1,ROUND($F514*1440,0),INT($F514/100)*60+MOD($F514,100)))</f>
        <v/>
      </c>
    </row>
    <row r="515" customFormat="false" ht="15" hidden="false" customHeight="true" outlineLevel="0" collapsed="false">
      <c r="A515" s="10"/>
      <c r="B515" s="8"/>
      <c r="C515" s="13" t="str">
        <f aca="false">IF($B515="","",IFERROR(INDEX(직원목록!$B$3:$B$302,MATCH($B515,직원목록!$A$3:$A$302,0)),"미등록사번"))</f>
        <v/>
      </c>
      <c r="D515" s="13" t="str">
        <f aca="false">IF($B515="","",IFERROR(INDEX(직원목록!$C$3:$C$302,MATCH($B515,직원목록!$A$3:$A$302,0)),""))</f>
        <v/>
      </c>
      <c r="E515" s="14"/>
      <c r="F515" s="14"/>
      <c r="G515" s="15"/>
      <c r="H515" s="16" t="str">
        <f aca="false">IF(OR($K515="",$L515=""),"",ROUND(MAX(0,($L515-$K515)-IF($G515="",0,$G515))/60,2))</f>
        <v/>
      </c>
      <c r="I515" s="8"/>
      <c r="J515" s="8"/>
      <c r="K515" s="17" t="str">
        <f aca="false">IF($E515="","",IF($E515&lt;1,ROUND($E515*1440,0),INT($E515/100)*60+MOD($E515,100)))</f>
        <v/>
      </c>
      <c r="L515" s="17" t="str">
        <f aca="false">IF($F515="","",IF($F515&lt;1,ROUND($F515*1440,0),INT($F515/100)*60+MOD($F515,100)))</f>
        <v/>
      </c>
    </row>
    <row r="516" customFormat="false" ht="15" hidden="false" customHeight="true" outlineLevel="0" collapsed="false">
      <c r="A516" s="10"/>
      <c r="B516" s="8"/>
      <c r="C516" s="13" t="str">
        <f aca="false">IF($B516="","",IFERROR(INDEX(직원목록!$B$3:$B$302,MATCH($B516,직원목록!$A$3:$A$302,0)),"미등록사번"))</f>
        <v/>
      </c>
      <c r="D516" s="13" t="str">
        <f aca="false">IF($B516="","",IFERROR(INDEX(직원목록!$C$3:$C$302,MATCH($B516,직원목록!$A$3:$A$302,0)),""))</f>
        <v/>
      </c>
      <c r="E516" s="14"/>
      <c r="F516" s="14"/>
      <c r="G516" s="15"/>
      <c r="H516" s="16" t="str">
        <f aca="false">IF(OR($K516="",$L516=""),"",ROUND(MAX(0,($L516-$K516)-IF($G516="",0,$G516))/60,2))</f>
        <v/>
      </c>
      <c r="I516" s="8"/>
      <c r="J516" s="8"/>
      <c r="K516" s="17" t="str">
        <f aca="false">IF($E516="","",IF($E516&lt;1,ROUND($E516*1440,0),INT($E516/100)*60+MOD($E516,100)))</f>
        <v/>
      </c>
      <c r="L516" s="17" t="str">
        <f aca="false">IF($F516="","",IF($F516&lt;1,ROUND($F516*1440,0),INT($F516/100)*60+MOD($F516,100)))</f>
        <v/>
      </c>
    </row>
    <row r="517" customFormat="false" ht="15" hidden="false" customHeight="true" outlineLevel="0" collapsed="false">
      <c r="A517" s="10"/>
      <c r="B517" s="8"/>
      <c r="C517" s="13" t="str">
        <f aca="false">IF($B517="","",IFERROR(INDEX(직원목록!$B$3:$B$302,MATCH($B517,직원목록!$A$3:$A$302,0)),"미등록사번"))</f>
        <v/>
      </c>
      <c r="D517" s="13" t="str">
        <f aca="false">IF($B517="","",IFERROR(INDEX(직원목록!$C$3:$C$302,MATCH($B517,직원목록!$A$3:$A$302,0)),""))</f>
        <v/>
      </c>
      <c r="E517" s="14"/>
      <c r="F517" s="14"/>
      <c r="G517" s="15"/>
      <c r="H517" s="16" t="str">
        <f aca="false">IF(OR($K517="",$L517=""),"",ROUND(MAX(0,($L517-$K517)-IF($G517="",0,$G517))/60,2))</f>
        <v/>
      </c>
      <c r="I517" s="8"/>
      <c r="J517" s="8"/>
      <c r="K517" s="17" t="str">
        <f aca="false">IF($E517="","",IF($E517&lt;1,ROUND($E517*1440,0),INT($E517/100)*60+MOD($E517,100)))</f>
        <v/>
      </c>
      <c r="L517" s="17" t="str">
        <f aca="false">IF($F517="","",IF($F517&lt;1,ROUND($F517*1440,0),INT($F517/100)*60+MOD($F517,100)))</f>
        <v/>
      </c>
    </row>
    <row r="518" customFormat="false" ht="15" hidden="false" customHeight="true" outlineLevel="0" collapsed="false">
      <c r="A518" s="10"/>
      <c r="B518" s="8"/>
      <c r="C518" s="13" t="str">
        <f aca="false">IF($B518="","",IFERROR(INDEX(직원목록!$B$3:$B$302,MATCH($B518,직원목록!$A$3:$A$302,0)),"미등록사번"))</f>
        <v/>
      </c>
      <c r="D518" s="13" t="str">
        <f aca="false">IF($B518="","",IFERROR(INDEX(직원목록!$C$3:$C$302,MATCH($B518,직원목록!$A$3:$A$302,0)),""))</f>
        <v/>
      </c>
      <c r="E518" s="14"/>
      <c r="F518" s="14"/>
      <c r="G518" s="15"/>
      <c r="H518" s="16" t="str">
        <f aca="false">IF(OR($K518="",$L518=""),"",ROUND(MAX(0,($L518-$K518)-IF($G518="",0,$G518))/60,2))</f>
        <v/>
      </c>
      <c r="I518" s="8"/>
      <c r="J518" s="8"/>
      <c r="K518" s="17" t="str">
        <f aca="false">IF($E518="","",IF($E518&lt;1,ROUND($E518*1440,0),INT($E518/100)*60+MOD($E518,100)))</f>
        <v/>
      </c>
      <c r="L518" s="17" t="str">
        <f aca="false">IF($F518="","",IF($F518&lt;1,ROUND($F518*1440,0),INT($F518/100)*60+MOD($F518,100)))</f>
        <v/>
      </c>
    </row>
    <row r="519" customFormat="false" ht="15" hidden="false" customHeight="true" outlineLevel="0" collapsed="false">
      <c r="A519" s="10"/>
      <c r="B519" s="8"/>
      <c r="C519" s="13" t="str">
        <f aca="false">IF($B519="","",IFERROR(INDEX(직원목록!$B$3:$B$302,MATCH($B519,직원목록!$A$3:$A$302,0)),"미등록사번"))</f>
        <v/>
      </c>
      <c r="D519" s="13" t="str">
        <f aca="false">IF($B519="","",IFERROR(INDEX(직원목록!$C$3:$C$302,MATCH($B519,직원목록!$A$3:$A$302,0)),""))</f>
        <v/>
      </c>
      <c r="E519" s="14"/>
      <c r="F519" s="14"/>
      <c r="G519" s="15"/>
      <c r="H519" s="16" t="str">
        <f aca="false">IF(OR($K519="",$L519=""),"",ROUND(MAX(0,($L519-$K519)-IF($G519="",0,$G519))/60,2))</f>
        <v/>
      </c>
      <c r="I519" s="8"/>
      <c r="J519" s="8"/>
      <c r="K519" s="17" t="str">
        <f aca="false">IF($E519="","",IF($E519&lt;1,ROUND($E519*1440,0),INT($E519/100)*60+MOD($E519,100)))</f>
        <v/>
      </c>
      <c r="L519" s="17" t="str">
        <f aca="false">IF($F519="","",IF($F519&lt;1,ROUND($F519*1440,0),INT($F519/100)*60+MOD($F519,100)))</f>
        <v/>
      </c>
    </row>
    <row r="520" customFormat="false" ht="15" hidden="false" customHeight="true" outlineLevel="0" collapsed="false">
      <c r="A520" s="10"/>
      <c r="B520" s="8"/>
      <c r="C520" s="13" t="str">
        <f aca="false">IF($B520="","",IFERROR(INDEX(직원목록!$B$3:$B$302,MATCH($B520,직원목록!$A$3:$A$302,0)),"미등록사번"))</f>
        <v/>
      </c>
      <c r="D520" s="13" t="str">
        <f aca="false">IF($B520="","",IFERROR(INDEX(직원목록!$C$3:$C$302,MATCH($B520,직원목록!$A$3:$A$302,0)),""))</f>
        <v/>
      </c>
      <c r="E520" s="14"/>
      <c r="F520" s="14"/>
      <c r="G520" s="15"/>
      <c r="H520" s="16" t="str">
        <f aca="false">IF(OR($K520="",$L520=""),"",ROUND(MAX(0,($L520-$K520)-IF($G520="",0,$G520))/60,2))</f>
        <v/>
      </c>
      <c r="I520" s="8"/>
      <c r="J520" s="8"/>
      <c r="K520" s="17" t="str">
        <f aca="false">IF($E520="","",IF($E520&lt;1,ROUND($E520*1440,0),INT($E520/100)*60+MOD($E520,100)))</f>
        <v/>
      </c>
      <c r="L520" s="17" t="str">
        <f aca="false">IF($F520="","",IF($F520&lt;1,ROUND($F520*1440,0),INT($F520/100)*60+MOD($F520,100)))</f>
        <v/>
      </c>
    </row>
    <row r="521" customFormat="false" ht="15" hidden="false" customHeight="true" outlineLevel="0" collapsed="false">
      <c r="A521" s="10"/>
      <c r="B521" s="8"/>
      <c r="C521" s="13" t="str">
        <f aca="false">IF($B521="","",IFERROR(INDEX(직원목록!$B$3:$B$302,MATCH($B521,직원목록!$A$3:$A$302,0)),"미등록사번"))</f>
        <v/>
      </c>
      <c r="D521" s="13" t="str">
        <f aca="false">IF($B521="","",IFERROR(INDEX(직원목록!$C$3:$C$302,MATCH($B521,직원목록!$A$3:$A$302,0)),""))</f>
        <v/>
      </c>
      <c r="E521" s="14"/>
      <c r="F521" s="14"/>
      <c r="G521" s="15"/>
      <c r="H521" s="16" t="str">
        <f aca="false">IF(OR($K521="",$L521=""),"",ROUND(MAX(0,($L521-$K521)-IF($G521="",0,$G521))/60,2))</f>
        <v/>
      </c>
      <c r="I521" s="8"/>
      <c r="J521" s="8"/>
      <c r="K521" s="17" t="str">
        <f aca="false">IF($E521="","",IF($E521&lt;1,ROUND($E521*1440,0),INT($E521/100)*60+MOD($E521,100)))</f>
        <v/>
      </c>
      <c r="L521" s="17" t="str">
        <f aca="false">IF($F521="","",IF($F521&lt;1,ROUND($F521*1440,0),INT($F521/100)*60+MOD($F521,100)))</f>
        <v/>
      </c>
    </row>
    <row r="522" customFormat="false" ht="15" hidden="false" customHeight="true" outlineLevel="0" collapsed="false">
      <c r="A522" s="10"/>
      <c r="B522" s="8"/>
      <c r="C522" s="13" t="str">
        <f aca="false">IF($B522="","",IFERROR(INDEX(직원목록!$B$3:$B$302,MATCH($B522,직원목록!$A$3:$A$302,0)),"미등록사번"))</f>
        <v/>
      </c>
      <c r="D522" s="13" t="str">
        <f aca="false">IF($B522="","",IFERROR(INDEX(직원목록!$C$3:$C$302,MATCH($B522,직원목록!$A$3:$A$302,0)),""))</f>
        <v/>
      </c>
      <c r="E522" s="14"/>
      <c r="F522" s="14"/>
      <c r="G522" s="15"/>
      <c r="H522" s="16" t="str">
        <f aca="false">IF(OR($K522="",$L522=""),"",ROUND(MAX(0,($L522-$K522)-IF($G522="",0,$G522))/60,2))</f>
        <v/>
      </c>
      <c r="I522" s="8"/>
      <c r="J522" s="8"/>
      <c r="K522" s="17" t="str">
        <f aca="false">IF($E522="","",IF($E522&lt;1,ROUND($E522*1440,0),INT($E522/100)*60+MOD($E522,100)))</f>
        <v/>
      </c>
      <c r="L522" s="17" t="str">
        <f aca="false">IF($F522="","",IF($F522&lt;1,ROUND($F522*1440,0),INT($F522/100)*60+MOD($F522,100)))</f>
        <v/>
      </c>
    </row>
    <row r="523" customFormat="false" ht="15" hidden="false" customHeight="true" outlineLevel="0" collapsed="false">
      <c r="A523" s="10"/>
      <c r="B523" s="8"/>
      <c r="C523" s="13" t="str">
        <f aca="false">IF($B523="","",IFERROR(INDEX(직원목록!$B$3:$B$302,MATCH($B523,직원목록!$A$3:$A$302,0)),"미등록사번"))</f>
        <v/>
      </c>
      <c r="D523" s="13" t="str">
        <f aca="false">IF($B523="","",IFERROR(INDEX(직원목록!$C$3:$C$302,MATCH($B523,직원목록!$A$3:$A$302,0)),""))</f>
        <v/>
      </c>
      <c r="E523" s="14"/>
      <c r="F523" s="14"/>
      <c r="G523" s="15"/>
      <c r="H523" s="16" t="str">
        <f aca="false">IF(OR($K523="",$L523=""),"",ROUND(MAX(0,($L523-$K523)-IF($G523="",0,$G523))/60,2))</f>
        <v/>
      </c>
      <c r="I523" s="8"/>
      <c r="J523" s="8"/>
      <c r="K523" s="17" t="str">
        <f aca="false">IF($E523="","",IF($E523&lt;1,ROUND($E523*1440,0),INT($E523/100)*60+MOD($E523,100)))</f>
        <v/>
      </c>
      <c r="L523" s="17" t="str">
        <f aca="false">IF($F523="","",IF($F523&lt;1,ROUND($F523*1440,0),INT($F523/100)*60+MOD($F523,100)))</f>
        <v/>
      </c>
    </row>
    <row r="524" customFormat="false" ht="15" hidden="false" customHeight="true" outlineLevel="0" collapsed="false">
      <c r="A524" s="10"/>
      <c r="B524" s="8"/>
      <c r="C524" s="13" t="str">
        <f aca="false">IF($B524="","",IFERROR(INDEX(직원목록!$B$3:$B$302,MATCH($B524,직원목록!$A$3:$A$302,0)),"미등록사번"))</f>
        <v/>
      </c>
      <c r="D524" s="13" t="str">
        <f aca="false">IF($B524="","",IFERROR(INDEX(직원목록!$C$3:$C$302,MATCH($B524,직원목록!$A$3:$A$302,0)),""))</f>
        <v/>
      </c>
      <c r="E524" s="14"/>
      <c r="F524" s="14"/>
      <c r="G524" s="15"/>
      <c r="H524" s="16" t="str">
        <f aca="false">IF(OR($K524="",$L524=""),"",ROUND(MAX(0,($L524-$K524)-IF($G524="",0,$G524))/60,2))</f>
        <v/>
      </c>
      <c r="I524" s="8"/>
      <c r="J524" s="8"/>
      <c r="K524" s="17" t="str">
        <f aca="false">IF($E524="","",IF($E524&lt;1,ROUND($E524*1440,0),INT($E524/100)*60+MOD($E524,100)))</f>
        <v/>
      </c>
      <c r="L524" s="17" t="str">
        <f aca="false">IF($F524="","",IF($F524&lt;1,ROUND($F524*1440,0),INT($F524/100)*60+MOD($F524,100)))</f>
        <v/>
      </c>
    </row>
    <row r="525" customFormat="false" ht="15" hidden="false" customHeight="true" outlineLevel="0" collapsed="false">
      <c r="A525" s="10"/>
      <c r="B525" s="8"/>
      <c r="C525" s="13" t="str">
        <f aca="false">IF($B525="","",IFERROR(INDEX(직원목록!$B$3:$B$302,MATCH($B525,직원목록!$A$3:$A$302,0)),"미등록사번"))</f>
        <v/>
      </c>
      <c r="D525" s="13" t="str">
        <f aca="false">IF($B525="","",IFERROR(INDEX(직원목록!$C$3:$C$302,MATCH($B525,직원목록!$A$3:$A$302,0)),""))</f>
        <v/>
      </c>
      <c r="E525" s="14"/>
      <c r="F525" s="14"/>
      <c r="G525" s="15"/>
      <c r="H525" s="16" t="str">
        <f aca="false">IF(OR($K525="",$L525=""),"",ROUND(MAX(0,($L525-$K525)-IF($G525="",0,$G525))/60,2))</f>
        <v/>
      </c>
      <c r="I525" s="8"/>
      <c r="J525" s="8"/>
      <c r="K525" s="17" t="str">
        <f aca="false">IF($E525="","",IF($E525&lt;1,ROUND($E525*1440,0),INT($E525/100)*60+MOD($E525,100)))</f>
        <v/>
      </c>
      <c r="L525" s="17" t="str">
        <f aca="false">IF($F525="","",IF($F525&lt;1,ROUND($F525*1440,0),INT($F525/100)*60+MOD($F525,100)))</f>
        <v/>
      </c>
    </row>
    <row r="526" customFormat="false" ht="15" hidden="false" customHeight="true" outlineLevel="0" collapsed="false">
      <c r="A526" s="10"/>
      <c r="B526" s="8"/>
      <c r="C526" s="13" t="str">
        <f aca="false">IF($B526="","",IFERROR(INDEX(직원목록!$B$3:$B$302,MATCH($B526,직원목록!$A$3:$A$302,0)),"미등록사번"))</f>
        <v/>
      </c>
      <c r="D526" s="13" t="str">
        <f aca="false">IF($B526="","",IFERROR(INDEX(직원목록!$C$3:$C$302,MATCH($B526,직원목록!$A$3:$A$302,0)),""))</f>
        <v/>
      </c>
      <c r="E526" s="14"/>
      <c r="F526" s="14"/>
      <c r="G526" s="15"/>
      <c r="H526" s="16" t="str">
        <f aca="false">IF(OR($K526="",$L526=""),"",ROUND(MAX(0,($L526-$K526)-IF($G526="",0,$G526))/60,2))</f>
        <v/>
      </c>
      <c r="I526" s="8"/>
      <c r="J526" s="8"/>
      <c r="K526" s="17" t="str">
        <f aca="false">IF($E526="","",IF($E526&lt;1,ROUND($E526*1440,0),INT($E526/100)*60+MOD($E526,100)))</f>
        <v/>
      </c>
      <c r="L526" s="17" t="str">
        <f aca="false">IF($F526="","",IF($F526&lt;1,ROUND($F526*1440,0),INT($F526/100)*60+MOD($F526,100)))</f>
        <v/>
      </c>
    </row>
    <row r="527" customFormat="false" ht="15" hidden="false" customHeight="true" outlineLevel="0" collapsed="false">
      <c r="A527" s="10"/>
      <c r="B527" s="8"/>
      <c r="C527" s="13" t="str">
        <f aca="false">IF($B527="","",IFERROR(INDEX(직원목록!$B$3:$B$302,MATCH($B527,직원목록!$A$3:$A$302,0)),"미등록사번"))</f>
        <v/>
      </c>
      <c r="D527" s="13" t="str">
        <f aca="false">IF($B527="","",IFERROR(INDEX(직원목록!$C$3:$C$302,MATCH($B527,직원목록!$A$3:$A$302,0)),""))</f>
        <v/>
      </c>
      <c r="E527" s="14"/>
      <c r="F527" s="14"/>
      <c r="G527" s="15"/>
      <c r="H527" s="16" t="str">
        <f aca="false">IF(OR($K527="",$L527=""),"",ROUND(MAX(0,($L527-$K527)-IF($G527="",0,$G527))/60,2))</f>
        <v/>
      </c>
      <c r="I527" s="8"/>
      <c r="J527" s="8"/>
      <c r="K527" s="17" t="str">
        <f aca="false">IF($E527="","",IF($E527&lt;1,ROUND($E527*1440,0),INT($E527/100)*60+MOD($E527,100)))</f>
        <v/>
      </c>
      <c r="L527" s="17" t="str">
        <f aca="false">IF($F527="","",IF($F527&lt;1,ROUND($F527*1440,0),INT($F527/100)*60+MOD($F527,100)))</f>
        <v/>
      </c>
    </row>
    <row r="528" customFormat="false" ht="15" hidden="false" customHeight="true" outlineLevel="0" collapsed="false">
      <c r="A528" s="10"/>
      <c r="B528" s="8"/>
      <c r="C528" s="13" t="str">
        <f aca="false">IF($B528="","",IFERROR(INDEX(직원목록!$B$3:$B$302,MATCH($B528,직원목록!$A$3:$A$302,0)),"미등록사번"))</f>
        <v/>
      </c>
      <c r="D528" s="13" t="str">
        <f aca="false">IF($B528="","",IFERROR(INDEX(직원목록!$C$3:$C$302,MATCH($B528,직원목록!$A$3:$A$302,0)),""))</f>
        <v/>
      </c>
      <c r="E528" s="14"/>
      <c r="F528" s="14"/>
      <c r="G528" s="15"/>
      <c r="H528" s="16" t="str">
        <f aca="false">IF(OR($K528="",$L528=""),"",ROUND(MAX(0,($L528-$K528)-IF($G528="",0,$G528))/60,2))</f>
        <v/>
      </c>
      <c r="I528" s="8"/>
      <c r="J528" s="8"/>
      <c r="K528" s="17" t="str">
        <f aca="false">IF($E528="","",IF($E528&lt;1,ROUND($E528*1440,0),INT($E528/100)*60+MOD($E528,100)))</f>
        <v/>
      </c>
      <c r="L528" s="17" t="str">
        <f aca="false">IF($F528="","",IF($F528&lt;1,ROUND($F528*1440,0),INT($F528/100)*60+MOD($F528,100)))</f>
        <v/>
      </c>
    </row>
    <row r="529" customFormat="false" ht="15" hidden="false" customHeight="true" outlineLevel="0" collapsed="false">
      <c r="A529" s="10"/>
      <c r="B529" s="8"/>
      <c r="C529" s="13" t="str">
        <f aca="false">IF($B529="","",IFERROR(INDEX(직원목록!$B$3:$B$302,MATCH($B529,직원목록!$A$3:$A$302,0)),"미등록사번"))</f>
        <v/>
      </c>
      <c r="D529" s="13" t="str">
        <f aca="false">IF($B529="","",IFERROR(INDEX(직원목록!$C$3:$C$302,MATCH($B529,직원목록!$A$3:$A$302,0)),""))</f>
        <v/>
      </c>
      <c r="E529" s="14"/>
      <c r="F529" s="14"/>
      <c r="G529" s="15"/>
      <c r="H529" s="16" t="str">
        <f aca="false">IF(OR($K529="",$L529=""),"",ROUND(MAX(0,($L529-$K529)-IF($G529="",0,$G529))/60,2))</f>
        <v/>
      </c>
      <c r="I529" s="8"/>
      <c r="J529" s="8"/>
      <c r="K529" s="17" t="str">
        <f aca="false">IF($E529="","",IF($E529&lt;1,ROUND($E529*1440,0),INT($E529/100)*60+MOD($E529,100)))</f>
        <v/>
      </c>
      <c r="L529" s="17" t="str">
        <f aca="false">IF($F529="","",IF($F529&lt;1,ROUND($F529*1440,0),INT($F529/100)*60+MOD($F529,100)))</f>
        <v/>
      </c>
    </row>
    <row r="530" customFormat="false" ht="15" hidden="false" customHeight="true" outlineLevel="0" collapsed="false">
      <c r="A530" s="10"/>
      <c r="B530" s="8"/>
      <c r="C530" s="13" t="str">
        <f aca="false">IF($B530="","",IFERROR(INDEX(직원목록!$B$3:$B$302,MATCH($B530,직원목록!$A$3:$A$302,0)),"미등록사번"))</f>
        <v/>
      </c>
      <c r="D530" s="13" t="str">
        <f aca="false">IF($B530="","",IFERROR(INDEX(직원목록!$C$3:$C$302,MATCH($B530,직원목록!$A$3:$A$302,0)),""))</f>
        <v/>
      </c>
      <c r="E530" s="14"/>
      <c r="F530" s="14"/>
      <c r="G530" s="15"/>
      <c r="H530" s="16" t="str">
        <f aca="false">IF(OR($K530="",$L530=""),"",ROUND(MAX(0,($L530-$K530)-IF($G530="",0,$G530))/60,2))</f>
        <v/>
      </c>
      <c r="I530" s="8"/>
      <c r="J530" s="8"/>
      <c r="K530" s="17" t="str">
        <f aca="false">IF($E530="","",IF($E530&lt;1,ROUND($E530*1440,0),INT($E530/100)*60+MOD($E530,100)))</f>
        <v/>
      </c>
      <c r="L530" s="17" t="str">
        <f aca="false">IF($F530="","",IF($F530&lt;1,ROUND($F530*1440,0),INT($F530/100)*60+MOD($F530,100)))</f>
        <v/>
      </c>
    </row>
    <row r="531" customFormat="false" ht="15" hidden="false" customHeight="true" outlineLevel="0" collapsed="false">
      <c r="A531" s="10"/>
      <c r="B531" s="8"/>
      <c r="C531" s="13" t="str">
        <f aca="false">IF($B531="","",IFERROR(INDEX(직원목록!$B$3:$B$302,MATCH($B531,직원목록!$A$3:$A$302,0)),"미등록사번"))</f>
        <v/>
      </c>
      <c r="D531" s="13" t="str">
        <f aca="false">IF($B531="","",IFERROR(INDEX(직원목록!$C$3:$C$302,MATCH($B531,직원목록!$A$3:$A$302,0)),""))</f>
        <v/>
      </c>
      <c r="E531" s="14"/>
      <c r="F531" s="14"/>
      <c r="G531" s="15"/>
      <c r="H531" s="16" t="str">
        <f aca="false">IF(OR($K531="",$L531=""),"",ROUND(MAX(0,($L531-$K531)-IF($G531="",0,$G531))/60,2))</f>
        <v/>
      </c>
      <c r="I531" s="8"/>
      <c r="J531" s="8"/>
      <c r="K531" s="17" t="str">
        <f aca="false">IF($E531="","",IF($E531&lt;1,ROUND($E531*1440,0),INT($E531/100)*60+MOD($E531,100)))</f>
        <v/>
      </c>
      <c r="L531" s="17" t="str">
        <f aca="false">IF($F531="","",IF($F531&lt;1,ROUND($F531*1440,0),INT($F531/100)*60+MOD($F531,100)))</f>
        <v/>
      </c>
    </row>
    <row r="532" customFormat="false" ht="15" hidden="false" customHeight="true" outlineLevel="0" collapsed="false">
      <c r="A532" s="10"/>
      <c r="B532" s="8"/>
      <c r="C532" s="13" t="str">
        <f aca="false">IF($B532="","",IFERROR(INDEX(직원목록!$B$3:$B$302,MATCH($B532,직원목록!$A$3:$A$302,0)),"미등록사번"))</f>
        <v/>
      </c>
      <c r="D532" s="13" t="str">
        <f aca="false">IF($B532="","",IFERROR(INDEX(직원목록!$C$3:$C$302,MATCH($B532,직원목록!$A$3:$A$302,0)),""))</f>
        <v/>
      </c>
      <c r="E532" s="14"/>
      <c r="F532" s="14"/>
      <c r="G532" s="15"/>
      <c r="H532" s="16" t="str">
        <f aca="false">IF(OR($K532="",$L532=""),"",ROUND(MAX(0,($L532-$K532)-IF($G532="",0,$G532))/60,2))</f>
        <v/>
      </c>
      <c r="I532" s="8"/>
      <c r="J532" s="8"/>
      <c r="K532" s="17" t="str">
        <f aca="false">IF($E532="","",IF($E532&lt;1,ROUND($E532*1440,0),INT($E532/100)*60+MOD($E532,100)))</f>
        <v/>
      </c>
      <c r="L532" s="17" t="str">
        <f aca="false">IF($F532="","",IF($F532&lt;1,ROUND($F532*1440,0),INT($F532/100)*60+MOD($F532,100)))</f>
        <v/>
      </c>
    </row>
    <row r="533" customFormat="false" ht="15" hidden="false" customHeight="true" outlineLevel="0" collapsed="false">
      <c r="A533" s="10"/>
      <c r="B533" s="8"/>
      <c r="C533" s="13" t="str">
        <f aca="false">IF($B533="","",IFERROR(INDEX(직원목록!$B$3:$B$302,MATCH($B533,직원목록!$A$3:$A$302,0)),"미등록사번"))</f>
        <v/>
      </c>
      <c r="D533" s="13" t="str">
        <f aca="false">IF($B533="","",IFERROR(INDEX(직원목록!$C$3:$C$302,MATCH($B533,직원목록!$A$3:$A$302,0)),""))</f>
        <v/>
      </c>
      <c r="E533" s="14"/>
      <c r="F533" s="14"/>
      <c r="G533" s="15"/>
      <c r="H533" s="16" t="str">
        <f aca="false">IF(OR($K533="",$L533=""),"",ROUND(MAX(0,($L533-$K533)-IF($G533="",0,$G533))/60,2))</f>
        <v/>
      </c>
      <c r="I533" s="8"/>
      <c r="J533" s="8"/>
      <c r="K533" s="17" t="str">
        <f aca="false">IF($E533="","",IF($E533&lt;1,ROUND($E533*1440,0),INT($E533/100)*60+MOD($E533,100)))</f>
        <v/>
      </c>
      <c r="L533" s="17" t="str">
        <f aca="false">IF($F533="","",IF($F533&lt;1,ROUND($F533*1440,0),INT($F533/100)*60+MOD($F533,100)))</f>
        <v/>
      </c>
    </row>
    <row r="534" customFormat="false" ht="15" hidden="false" customHeight="true" outlineLevel="0" collapsed="false">
      <c r="A534" s="10"/>
      <c r="B534" s="8"/>
      <c r="C534" s="13" t="str">
        <f aca="false">IF($B534="","",IFERROR(INDEX(직원목록!$B$3:$B$302,MATCH($B534,직원목록!$A$3:$A$302,0)),"미등록사번"))</f>
        <v/>
      </c>
      <c r="D534" s="13" t="str">
        <f aca="false">IF($B534="","",IFERROR(INDEX(직원목록!$C$3:$C$302,MATCH($B534,직원목록!$A$3:$A$302,0)),""))</f>
        <v/>
      </c>
      <c r="E534" s="14"/>
      <c r="F534" s="14"/>
      <c r="G534" s="15"/>
      <c r="H534" s="16" t="str">
        <f aca="false">IF(OR($K534="",$L534=""),"",ROUND(MAX(0,($L534-$K534)-IF($G534="",0,$G534))/60,2))</f>
        <v/>
      </c>
      <c r="I534" s="8"/>
      <c r="J534" s="8"/>
      <c r="K534" s="17" t="str">
        <f aca="false">IF($E534="","",IF($E534&lt;1,ROUND($E534*1440,0),INT($E534/100)*60+MOD($E534,100)))</f>
        <v/>
      </c>
      <c r="L534" s="17" t="str">
        <f aca="false">IF($F534="","",IF($F534&lt;1,ROUND($F534*1440,0),INT($F534/100)*60+MOD($F534,100)))</f>
        <v/>
      </c>
    </row>
    <row r="535" customFormat="false" ht="15" hidden="false" customHeight="true" outlineLevel="0" collapsed="false">
      <c r="A535" s="10"/>
      <c r="B535" s="8"/>
      <c r="C535" s="13" t="str">
        <f aca="false">IF($B535="","",IFERROR(INDEX(직원목록!$B$3:$B$302,MATCH($B535,직원목록!$A$3:$A$302,0)),"미등록사번"))</f>
        <v/>
      </c>
      <c r="D535" s="13" t="str">
        <f aca="false">IF($B535="","",IFERROR(INDEX(직원목록!$C$3:$C$302,MATCH($B535,직원목록!$A$3:$A$302,0)),""))</f>
        <v/>
      </c>
      <c r="E535" s="14"/>
      <c r="F535" s="14"/>
      <c r="G535" s="15"/>
      <c r="H535" s="16" t="str">
        <f aca="false">IF(OR($K535="",$L535=""),"",ROUND(MAX(0,($L535-$K535)-IF($G535="",0,$G535))/60,2))</f>
        <v/>
      </c>
      <c r="I535" s="8"/>
      <c r="J535" s="8"/>
      <c r="K535" s="17" t="str">
        <f aca="false">IF($E535="","",IF($E535&lt;1,ROUND($E535*1440,0),INT($E535/100)*60+MOD($E535,100)))</f>
        <v/>
      </c>
      <c r="L535" s="17" t="str">
        <f aca="false">IF($F535="","",IF($F535&lt;1,ROUND($F535*1440,0),INT($F535/100)*60+MOD($F535,100)))</f>
        <v/>
      </c>
    </row>
    <row r="536" customFormat="false" ht="15" hidden="false" customHeight="true" outlineLevel="0" collapsed="false">
      <c r="A536" s="10"/>
      <c r="B536" s="8"/>
      <c r="C536" s="13" t="str">
        <f aca="false">IF($B536="","",IFERROR(INDEX(직원목록!$B$3:$B$302,MATCH($B536,직원목록!$A$3:$A$302,0)),"미등록사번"))</f>
        <v/>
      </c>
      <c r="D536" s="13" t="str">
        <f aca="false">IF($B536="","",IFERROR(INDEX(직원목록!$C$3:$C$302,MATCH($B536,직원목록!$A$3:$A$302,0)),""))</f>
        <v/>
      </c>
      <c r="E536" s="14"/>
      <c r="F536" s="14"/>
      <c r="G536" s="15"/>
      <c r="H536" s="16" t="str">
        <f aca="false">IF(OR($K536="",$L536=""),"",ROUND(MAX(0,($L536-$K536)-IF($G536="",0,$G536))/60,2))</f>
        <v/>
      </c>
      <c r="I536" s="8"/>
      <c r="J536" s="8"/>
      <c r="K536" s="17" t="str">
        <f aca="false">IF($E536="","",IF($E536&lt;1,ROUND($E536*1440,0),INT($E536/100)*60+MOD($E536,100)))</f>
        <v/>
      </c>
      <c r="L536" s="17" t="str">
        <f aca="false">IF($F536="","",IF($F536&lt;1,ROUND($F536*1440,0),INT($F536/100)*60+MOD($F536,100)))</f>
        <v/>
      </c>
    </row>
    <row r="537" customFormat="false" ht="15" hidden="false" customHeight="true" outlineLevel="0" collapsed="false">
      <c r="A537" s="10"/>
      <c r="B537" s="8"/>
      <c r="C537" s="13" t="str">
        <f aca="false">IF($B537="","",IFERROR(INDEX(직원목록!$B$3:$B$302,MATCH($B537,직원목록!$A$3:$A$302,0)),"미등록사번"))</f>
        <v/>
      </c>
      <c r="D537" s="13" t="str">
        <f aca="false">IF($B537="","",IFERROR(INDEX(직원목록!$C$3:$C$302,MATCH($B537,직원목록!$A$3:$A$302,0)),""))</f>
        <v/>
      </c>
      <c r="E537" s="14"/>
      <c r="F537" s="14"/>
      <c r="G537" s="15"/>
      <c r="H537" s="16" t="str">
        <f aca="false">IF(OR($K537="",$L537=""),"",ROUND(MAX(0,($L537-$K537)-IF($G537="",0,$G537))/60,2))</f>
        <v/>
      </c>
      <c r="I537" s="8"/>
      <c r="J537" s="8"/>
      <c r="K537" s="17" t="str">
        <f aca="false">IF($E537="","",IF($E537&lt;1,ROUND($E537*1440,0),INT($E537/100)*60+MOD($E537,100)))</f>
        <v/>
      </c>
      <c r="L537" s="17" t="str">
        <f aca="false">IF($F537="","",IF($F537&lt;1,ROUND($F537*1440,0),INT($F537/100)*60+MOD($F537,100)))</f>
        <v/>
      </c>
    </row>
    <row r="538" customFormat="false" ht="15" hidden="false" customHeight="true" outlineLevel="0" collapsed="false">
      <c r="A538" s="10"/>
      <c r="B538" s="8"/>
      <c r="C538" s="13" t="str">
        <f aca="false">IF($B538="","",IFERROR(INDEX(직원목록!$B$3:$B$302,MATCH($B538,직원목록!$A$3:$A$302,0)),"미등록사번"))</f>
        <v/>
      </c>
      <c r="D538" s="13" t="str">
        <f aca="false">IF($B538="","",IFERROR(INDEX(직원목록!$C$3:$C$302,MATCH($B538,직원목록!$A$3:$A$302,0)),""))</f>
        <v/>
      </c>
      <c r="E538" s="14"/>
      <c r="F538" s="14"/>
      <c r="G538" s="15"/>
      <c r="H538" s="16" t="str">
        <f aca="false">IF(OR($K538="",$L538=""),"",ROUND(MAX(0,($L538-$K538)-IF($G538="",0,$G538))/60,2))</f>
        <v/>
      </c>
      <c r="I538" s="8"/>
      <c r="J538" s="8"/>
      <c r="K538" s="17" t="str">
        <f aca="false">IF($E538="","",IF($E538&lt;1,ROUND($E538*1440,0),INT($E538/100)*60+MOD($E538,100)))</f>
        <v/>
      </c>
      <c r="L538" s="17" t="str">
        <f aca="false">IF($F538="","",IF($F538&lt;1,ROUND($F538*1440,0),INT($F538/100)*60+MOD($F538,100)))</f>
        <v/>
      </c>
    </row>
    <row r="539" customFormat="false" ht="15" hidden="false" customHeight="true" outlineLevel="0" collapsed="false">
      <c r="A539" s="10"/>
      <c r="B539" s="8"/>
      <c r="C539" s="13" t="str">
        <f aca="false">IF($B539="","",IFERROR(INDEX(직원목록!$B$3:$B$302,MATCH($B539,직원목록!$A$3:$A$302,0)),"미등록사번"))</f>
        <v/>
      </c>
      <c r="D539" s="13" t="str">
        <f aca="false">IF($B539="","",IFERROR(INDEX(직원목록!$C$3:$C$302,MATCH($B539,직원목록!$A$3:$A$302,0)),""))</f>
        <v/>
      </c>
      <c r="E539" s="14"/>
      <c r="F539" s="14"/>
      <c r="G539" s="15"/>
      <c r="H539" s="16" t="str">
        <f aca="false">IF(OR($K539="",$L539=""),"",ROUND(MAX(0,($L539-$K539)-IF($G539="",0,$G539))/60,2))</f>
        <v/>
      </c>
      <c r="I539" s="8"/>
      <c r="J539" s="8"/>
      <c r="K539" s="17" t="str">
        <f aca="false">IF($E539="","",IF($E539&lt;1,ROUND($E539*1440,0),INT($E539/100)*60+MOD($E539,100)))</f>
        <v/>
      </c>
      <c r="L539" s="17" t="str">
        <f aca="false">IF($F539="","",IF($F539&lt;1,ROUND($F539*1440,0),INT($F539/100)*60+MOD($F539,100)))</f>
        <v/>
      </c>
    </row>
    <row r="540" customFormat="false" ht="15" hidden="false" customHeight="true" outlineLevel="0" collapsed="false">
      <c r="A540" s="10"/>
      <c r="B540" s="8"/>
      <c r="C540" s="13" t="str">
        <f aca="false">IF($B540="","",IFERROR(INDEX(직원목록!$B$3:$B$302,MATCH($B540,직원목록!$A$3:$A$302,0)),"미등록사번"))</f>
        <v/>
      </c>
      <c r="D540" s="13" t="str">
        <f aca="false">IF($B540="","",IFERROR(INDEX(직원목록!$C$3:$C$302,MATCH($B540,직원목록!$A$3:$A$302,0)),""))</f>
        <v/>
      </c>
      <c r="E540" s="14"/>
      <c r="F540" s="14"/>
      <c r="G540" s="15"/>
      <c r="H540" s="16" t="str">
        <f aca="false">IF(OR($K540="",$L540=""),"",ROUND(MAX(0,($L540-$K540)-IF($G540="",0,$G540))/60,2))</f>
        <v/>
      </c>
      <c r="I540" s="8"/>
      <c r="J540" s="8"/>
      <c r="K540" s="17" t="str">
        <f aca="false">IF($E540="","",IF($E540&lt;1,ROUND($E540*1440,0),INT($E540/100)*60+MOD($E540,100)))</f>
        <v/>
      </c>
      <c r="L540" s="17" t="str">
        <f aca="false">IF($F540="","",IF($F540&lt;1,ROUND($F540*1440,0),INT($F540/100)*60+MOD($F540,100)))</f>
        <v/>
      </c>
    </row>
    <row r="541" customFormat="false" ht="15" hidden="false" customHeight="true" outlineLevel="0" collapsed="false">
      <c r="A541" s="10"/>
      <c r="B541" s="8"/>
      <c r="C541" s="13" t="str">
        <f aca="false">IF($B541="","",IFERROR(INDEX(직원목록!$B$3:$B$302,MATCH($B541,직원목록!$A$3:$A$302,0)),"미등록사번"))</f>
        <v/>
      </c>
      <c r="D541" s="13" t="str">
        <f aca="false">IF($B541="","",IFERROR(INDEX(직원목록!$C$3:$C$302,MATCH($B541,직원목록!$A$3:$A$302,0)),""))</f>
        <v/>
      </c>
      <c r="E541" s="14"/>
      <c r="F541" s="14"/>
      <c r="G541" s="15"/>
      <c r="H541" s="16" t="str">
        <f aca="false">IF(OR($K541="",$L541=""),"",ROUND(MAX(0,($L541-$K541)-IF($G541="",0,$G541))/60,2))</f>
        <v/>
      </c>
      <c r="I541" s="8"/>
      <c r="J541" s="8"/>
      <c r="K541" s="17" t="str">
        <f aca="false">IF($E541="","",IF($E541&lt;1,ROUND($E541*1440,0),INT($E541/100)*60+MOD($E541,100)))</f>
        <v/>
      </c>
      <c r="L541" s="17" t="str">
        <f aca="false">IF($F541="","",IF($F541&lt;1,ROUND($F541*1440,0),INT($F541/100)*60+MOD($F541,100)))</f>
        <v/>
      </c>
    </row>
    <row r="542" customFormat="false" ht="15" hidden="false" customHeight="true" outlineLevel="0" collapsed="false">
      <c r="A542" s="10"/>
      <c r="B542" s="8"/>
      <c r="C542" s="13" t="str">
        <f aca="false">IF($B542="","",IFERROR(INDEX(직원목록!$B$3:$B$302,MATCH($B542,직원목록!$A$3:$A$302,0)),"미등록사번"))</f>
        <v/>
      </c>
      <c r="D542" s="13" t="str">
        <f aca="false">IF($B542="","",IFERROR(INDEX(직원목록!$C$3:$C$302,MATCH($B542,직원목록!$A$3:$A$302,0)),""))</f>
        <v/>
      </c>
      <c r="E542" s="14"/>
      <c r="F542" s="14"/>
      <c r="G542" s="15"/>
      <c r="H542" s="16" t="str">
        <f aca="false">IF(OR($K542="",$L542=""),"",ROUND(MAX(0,($L542-$K542)-IF($G542="",0,$G542))/60,2))</f>
        <v/>
      </c>
      <c r="I542" s="8"/>
      <c r="J542" s="8"/>
      <c r="K542" s="17" t="str">
        <f aca="false">IF($E542="","",IF($E542&lt;1,ROUND($E542*1440,0),INT($E542/100)*60+MOD($E542,100)))</f>
        <v/>
      </c>
      <c r="L542" s="17" t="str">
        <f aca="false">IF($F542="","",IF($F542&lt;1,ROUND($F542*1440,0),INT($F542/100)*60+MOD($F542,100)))</f>
        <v/>
      </c>
    </row>
    <row r="543" customFormat="false" ht="15" hidden="false" customHeight="true" outlineLevel="0" collapsed="false">
      <c r="A543" s="10"/>
      <c r="B543" s="8"/>
      <c r="C543" s="13" t="str">
        <f aca="false">IF($B543="","",IFERROR(INDEX(직원목록!$B$3:$B$302,MATCH($B543,직원목록!$A$3:$A$302,0)),"미등록사번"))</f>
        <v/>
      </c>
      <c r="D543" s="13" t="str">
        <f aca="false">IF($B543="","",IFERROR(INDEX(직원목록!$C$3:$C$302,MATCH($B543,직원목록!$A$3:$A$302,0)),""))</f>
        <v/>
      </c>
      <c r="E543" s="14"/>
      <c r="F543" s="14"/>
      <c r="G543" s="15"/>
      <c r="H543" s="16" t="str">
        <f aca="false">IF(OR($K543="",$L543=""),"",ROUND(MAX(0,($L543-$K543)-IF($G543="",0,$G543))/60,2))</f>
        <v/>
      </c>
      <c r="I543" s="8"/>
      <c r="J543" s="8"/>
      <c r="K543" s="17" t="str">
        <f aca="false">IF($E543="","",IF($E543&lt;1,ROUND($E543*1440,0),INT($E543/100)*60+MOD($E543,100)))</f>
        <v/>
      </c>
      <c r="L543" s="17" t="str">
        <f aca="false">IF($F543="","",IF($F543&lt;1,ROUND($F543*1440,0),INT($F543/100)*60+MOD($F543,100)))</f>
        <v/>
      </c>
    </row>
    <row r="544" customFormat="false" ht="15" hidden="false" customHeight="true" outlineLevel="0" collapsed="false">
      <c r="A544" s="10"/>
      <c r="B544" s="8"/>
      <c r="C544" s="13" t="str">
        <f aca="false">IF($B544="","",IFERROR(INDEX(직원목록!$B$3:$B$302,MATCH($B544,직원목록!$A$3:$A$302,0)),"미등록사번"))</f>
        <v/>
      </c>
      <c r="D544" s="13" t="str">
        <f aca="false">IF($B544="","",IFERROR(INDEX(직원목록!$C$3:$C$302,MATCH($B544,직원목록!$A$3:$A$302,0)),""))</f>
        <v/>
      </c>
      <c r="E544" s="14"/>
      <c r="F544" s="14"/>
      <c r="G544" s="15"/>
      <c r="H544" s="16" t="str">
        <f aca="false">IF(OR($K544="",$L544=""),"",ROUND(MAX(0,($L544-$K544)-IF($G544="",0,$G544))/60,2))</f>
        <v/>
      </c>
      <c r="I544" s="8"/>
      <c r="J544" s="8"/>
      <c r="K544" s="17" t="str">
        <f aca="false">IF($E544="","",IF($E544&lt;1,ROUND($E544*1440,0),INT($E544/100)*60+MOD($E544,100)))</f>
        <v/>
      </c>
      <c r="L544" s="17" t="str">
        <f aca="false">IF($F544="","",IF($F544&lt;1,ROUND($F544*1440,0),INT($F544/100)*60+MOD($F544,100)))</f>
        <v/>
      </c>
    </row>
    <row r="545" customFormat="false" ht="15" hidden="false" customHeight="true" outlineLevel="0" collapsed="false">
      <c r="A545" s="10"/>
      <c r="B545" s="8"/>
      <c r="C545" s="13" t="str">
        <f aca="false">IF($B545="","",IFERROR(INDEX(직원목록!$B$3:$B$302,MATCH($B545,직원목록!$A$3:$A$302,0)),"미등록사번"))</f>
        <v/>
      </c>
      <c r="D545" s="13" t="str">
        <f aca="false">IF($B545="","",IFERROR(INDEX(직원목록!$C$3:$C$302,MATCH($B545,직원목록!$A$3:$A$302,0)),""))</f>
        <v/>
      </c>
      <c r="E545" s="14"/>
      <c r="F545" s="14"/>
      <c r="G545" s="15"/>
      <c r="H545" s="16" t="str">
        <f aca="false">IF(OR($K545="",$L545=""),"",ROUND(MAX(0,($L545-$K545)-IF($G545="",0,$G545))/60,2))</f>
        <v/>
      </c>
      <c r="I545" s="8"/>
      <c r="J545" s="8"/>
      <c r="K545" s="17" t="str">
        <f aca="false">IF($E545="","",IF($E545&lt;1,ROUND($E545*1440,0),INT($E545/100)*60+MOD($E545,100)))</f>
        <v/>
      </c>
      <c r="L545" s="17" t="str">
        <f aca="false">IF($F545="","",IF($F545&lt;1,ROUND($F545*1440,0),INT($F545/100)*60+MOD($F545,100)))</f>
        <v/>
      </c>
    </row>
    <row r="546" customFormat="false" ht="15" hidden="false" customHeight="true" outlineLevel="0" collapsed="false">
      <c r="A546" s="10"/>
      <c r="B546" s="8"/>
      <c r="C546" s="13" t="str">
        <f aca="false">IF($B546="","",IFERROR(INDEX(직원목록!$B$3:$B$302,MATCH($B546,직원목록!$A$3:$A$302,0)),"미등록사번"))</f>
        <v/>
      </c>
      <c r="D546" s="13" t="str">
        <f aca="false">IF($B546="","",IFERROR(INDEX(직원목록!$C$3:$C$302,MATCH($B546,직원목록!$A$3:$A$302,0)),""))</f>
        <v/>
      </c>
      <c r="E546" s="14"/>
      <c r="F546" s="14"/>
      <c r="G546" s="15"/>
      <c r="H546" s="16" t="str">
        <f aca="false">IF(OR($K546="",$L546=""),"",ROUND(MAX(0,($L546-$K546)-IF($G546="",0,$G546))/60,2))</f>
        <v/>
      </c>
      <c r="I546" s="8"/>
      <c r="J546" s="8"/>
      <c r="K546" s="17" t="str">
        <f aca="false">IF($E546="","",IF($E546&lt;1,ROUND($E546*1440,0),INT($E546/100)*60+MOD($E546,100)))</f>
        <v/>
      </c>
      <c r="L546" s="17" t="str">
        <f aca="false">IF($F546="","",IF($F546&lt;1,ROUND($F546*1440,0),INT($F546/100)*60+MOD($F546,100)))</f>
        <v/>
      </c>
    </row>
    <row r="547" customFormat="false" ht="15" hidden="false" customHeight="true" outlineLevel="0" collapsed="false">
      <c r="A547" s="10"/>
      <c r="B547" s="8"/>
      <c r="C547" s="13" t="str">
        <f aca="false">IF($B547="","",IFERROR(INDEX(직원목록!$B$3:$B$302,MATCH($B547,직원목록!$A$3:$A$302,0)),"미등록사번"))</f>
        <v/>
      </c>
      <c r="D547" s="13" t="str">
        <f aca="false">IF($B547="","",IFERROR(INDEX(직원목록!$C$3:$C$302,MATCH($B547,직원목록!$A$3:$A$302,0)),""))</f>
        <v/>
      </c>
      <c r="E547" s="14"/>
      <c r="F547" s="14"/>
      <c r="G547" s="15"/>
      <c r="H547" s="16" t="str">
        <f aca="false">IF(OR($K547="",$L547=""),"",ROUND(MAX(0,($L547-$K547)-IF($G547="",0,$G547))/60,2))</f>
        <v/>
      </c>
      <c r="I547" s="8"/>
      <c r="J547" s="8"/>
      <c r="K547" s="17" t="str">
        <f aca="false">IF($E547="","",IF($E547&lt;1,ROUND($E547*1440,0),INT($E547/100)*60+MOD($E547,100)))</f>
        <v/>
      </c>
      <c r="L547" s="17" t="str">
        <f aca="false">IF($F547="","",IF($F547&lt;1,ROUND($F547*1440,0),INT($F547/100)*60+MOD($F547,100)))</f>
        <v/>
      </c>
    </row>
    <row r="548" customFormat="false" ht="15" hidden="false" customHeight="true" outlineLevel="0" collapsed="false">
      <c r="A548" s="10"/>
      <c r="B548" s="8"/>
      <c r="C548" s="13" t="str">
        <f aca="false">IF($B548="","",IFERROR(INDEX(직원목록!$B$3:$B$302,MATCH($B548,직원목록!$A$3:$A$302,0)),"미등록사번"))</f>
        <v/>
      </c>
      <c r="D548" s="13" t="str">
        <f aca="false">IF($B548="","",IFERROR(INDEX(직원목록!$C$3:$C$302,MATCH($B548,직원목록!$A$3:$A$302,0)),""))</f>
        <v/>
      </c>
      <c r="E548" s="14"/>
      <c r="F548" s="14"/>
      <c r="G548" s="15"/>
      <c r="H548" s="16" t="str">
        <f aca="false">IF(OR($K548="",$L548=""),"",ROUND(MAX(0,($L548-$K548)-IF($G548="",0,$G548))/60,2))</f>
        <v/>
      </c>
      <c r="I548" s="8"/>
      <c r="J548" s="8"/>
      <c r="K548" s="17" t="str">
        <f aca="false">IF($E548="","",IF($E548&lt;1,ROUND($E548*1440,0),INT($E548/100)*60+MOD($E548,100)))</f>
        <v/>
      </c>
      <c r="L548" s="17" t="str">
        <f aca="false">IF($F548="","",IF($F548&lt;1,ROUND($F548*1440,0),INT($F548/100)*60+MOD($F548,100)))</f>
        <v/>
      </c>
    </row>
    <row r="549" customFormat="false" ht="15" hidden="false" customHeight="true" outlineLevel="0" collapsed="false">
      <c r="A549" s="10"/>
      <c r="B549" s="8"/>
      <c r="C549" s="13" t="str">
        <f aca="false">IF($B549="","",IFERROR(INDEX(직원목록!$B$3:$B$302,MATCH($B549,직원목록!$A$3:$A$302,0)),"미등록사번"))</f>
        <v/>
      </c>
      <c r="D549" s="13" t="str">
        <f aca="false">IF($B549="","",IFERROR(INDEX(직원목록!$C$3:$C$302,MATCH($B549,직원목록!$A$3:$A$302,0)),""))</f>
        <v/>
      </c>
      <c r="E549" s="14"/>
      <c r="F549" s="14"/>
      <c r="G549" s="15"/>
      <c r="H549" s="16" t="str">
        <f aca="false">IF(OR($K549="",$L549=""),"",ROUND(MAX(0,($L549-$K549)-IF($G549="",0,$G549))/60,2))</f>
        <v/>
      </c>
      <c r="I549" s="8"/>
      <c r="J549" s="8"/>
      <c r="K549" s="17" t="str">
        <f aca="false">IF($E549="","",IF($E549&lt;1,ROUND($E549*1440,0),INT($E549/100)*60+MOD($E549,100)))</f>
        <v/>
      </c>
      <c r="L549" s="17" t="str">
        <f aca="false">IF($F549="","",IF($F549&lt;1,ROUND($F549*1440,0),INT($F549/100)*60+MOD($F549,100)))</f>
        <v/>
      </c>
    </row>
    <row r="550" customFormat="false" ht="15" hidden="false" customHeight="true" outlineLevel="0" collapsed="false">
      <c r="A550" s="10"/>
      <c r="B550" s="8"/>
      <c r="C550" s="13" t="str">
        <f aca="false">IF($B550="","",IFERROR(INDEX(직원목록!$B$3:$B$302,MATCH($B550,직원목록!$A$3:$A$302,0)),"미등록사번"))</f>
        <v/>
      </c>
      <c r="D550" s="13" t="str">
        <f aca="false">IF($B550="","",IFERROR(INDEX(직원목록!$C$3:$C$302,MATCH($B550,직원목록!$A$3:$A$302,0)),""))</f>
        <v/>
      </c>
      <c r="E550" s="14"/>
      <c r="F550" s="14"/>
      <c r="G550" s="15"/>
      <c r="H550" s="16" t="str">
        <f aca="false">IF(OR($K550="",$L550=""),"",ROUND(MAX(0,($L550-$K550)-IF($G550="",0,$G550))/60,2))</f>
        <v/>
      </c>
      <c r="I550" s="8"/>
      <c r="J550" s="8"/>
      <c r="K550" s="17" t="str">
        <f aca="false">IF($E550="","",IF($E550&lt;1,ROUND($E550*1440,0),INT($E550/100)*60+MOD($E550,100)))</f>
        <v/>
      </c>
      <c r="L550" s="17" t="str">
        <f aca="false">IF($F550="","",IF($F550&lt;1,ROUND($F550*1440,0),INT($F550/100)*60+MOD($F550,100)))</f>
        <v/>
      </c>
    </row>
    <row r="551" customFormat="false" ht="15" hidden="false" customHeight="true" outlineLevel="0" collapsed="false">
      <c r="A551" s="10"/>
      <c r="B551" s="8"/>
      <c r="C551" s="13" t="str">
        <f aca="false">IF($B551="","",IFERROR(INDEX(직원목록!$B$3:$B$302,MATCH($B551,직원목록!$A$3:$A$302,0)),"미등록사번"))</f>
        <v/>
      </c>
      <c r="D551" s="13" t="str">
        <f aca="false">IF($B551="","",IFERROR(INDEX(직원목록!$C$3:$C$302,MATCH($B551,직원목록!$A$3:$A$302,0)),""))</f>
        <v/>
      </c>
      <c r="E551" s="14"/>
      <c r="F551" s="14"/>
      <c r="G551" s="15"/>
      <c r="H551" s="16" t="str">
        <f aca="false">IF(OR($K551="",$L551=""),"",ROUND(MAX(0,($L551-$K551)-IF($G551="",0,$G551))/60,2))</f>
        <v/>
      </c>
      <c r="I551" s="8"/>
      <c r="J551" s="8"/>
      <c r="K551" s="17" t="str">
        <f aca="false">IF($E551="","",IF($E551&lt;1,ROUND($E551*1440,0),INT($E551/100)*60+MOD($E551,100)))</f>
        <v/>
      </c>
      <c r="L551" s="17" t="str">
        <f aca="false">IF($F551="","",IF($F551&lt;1,ROUND($F551*1440,0),INT($F551/100)*60+MOD($F551,100)))</f>
        <v/>
      </c>
    </row>
    <row r="552" customFormat="false" ht="15" hidden="false" customHeight="true" outlineLevel="0" collapsed="false">
      <c r="A552" s="10"/>
      <c r="B552" s="8"/>
      <c r="C552" s="13" t="str">
        <f aca="false">IF($B552="","",IFERROR(INDEX(직원목록!$B$3:$B$302,MATCH($B552,직원목록!$A$3:$A$302,0)),"미등록사번"))</f>
        <v/>
      </c>
      <c r="D552" s="13" t="str">
        <f aca="false">IF($B552="","",IFERROR(INDEX(직원목록!$C$3:$C$302,MATCH($B552,직원목록!$A$3:$A$302,0)),""))</f>
        <v/>
      </c>
      <c r="E552" s="14"/>
      <c r="F552" s="14"/>
      <c r="G552" s="15"/>
      <c r="H552" s="16" t="str">
        <f aca="false">IF(OR($K552="",$L552=""),"",ROUND(MAX(0,($L552-$K552)-IF($G552="",0,$G552))/60,2))</f>
        <v/>
      </c>
      <c r="I552" s="8"/>
      <c r="J552" s="8"/>
      <c r="K552" s="17" t="str">
        <f aca="false">IF($E552="","",IF($E552&lt;1,ROUND($E552*1440,0),INT($E552/100)*60+MOD($E552,100)))</f>
        <v/>
      </c>
      <c r="L552" s="17" t="str">
        <f aca="false">IF($F552="","",IF($F552&lt;1,ROUND($F552*1440,0),INT($F552/100)*60+MOD($F552,100)))</f>
        <v/>
      </c>
    </row>
    <row r="553" customFormat="false" ht="15" hidden="false" customHeight="true" outlineLevel="0" collapsed="false">
      <c r="A553" s="10"/>
      <c r="B553" s="8"/>
      <c r="C553" s="13" t="str">
        <f aca="false">IF($B553="","",IFERROR(INDEX(직원목록!$B$3:$B$302,MATCH($B553,직원목록!$A$3:$A$302,0)),"미등록사번"))</f>
        <v/>
      </c>
      <c r="D553" s="13" t="str">
        <f aca="false">IF($B553="","",IFERROR(INDEX(직원목록!$C$3:$C$302,MATCH($B553,직원목록!$A$3:$A$302,0)),""))</f>
        <v/>
      </c>
      <c r="E553" s="14"/>
      <c r="F553" s="14"/>
      <c r="G553" s="15"/>
      <c r="H553" s="16" t="str">
        <f aca="false">IF(OR($K553="",$L553=""),"",ROUND(MAX(0,($L553-$K553)-IF($G553="",0,$G553))/60,2))</f>
        <v/>
      </c>
      <c r="I553" s="8"/>
      <c r="J553" s="8"/>
      <c r="K553" s="17" t="str">
        <f aca="false">IF($E553="","",IF($E553&lt;1,ROUND($E553*1440,0),INT($E553/100)*60+MOD($E553,100)))</f>
        <v/>
      </c>
      <c r="L553" s="17" t="str">
        <f aca="false">IF($F553="","",IF($F553&lt;1,ROUND($F553*1440,0),INT($F553/100)*60+MOD($F553,100)))</f>
        <v/>
      </c>
    </row>
    <row r="554" customFormat="false" ht="15" hidden="false" customHeight="true" outlineLevel="0" collapsed="false">
      <c r="A554" s="10"/>
      <c r="B554" s="8"/>
      <c r="C554" s="13" t="str">
        <f aca="false">IF($B554="","",IFERROR(INDEX(직원목록!$B$3:$B$302,MATCH($B554,직원목록!$A$3:$A$302,0)),"미등록사번"))</f>
        <v/>
      </c>
      <c r="D554" s="13" t="str">
        <f aca="false">IF($B554="","",IFERROR(INDEX(직원목록!$C$3:$C$302,MATCH($B554,직원목록!$A$3:$A$302,0)),""))</f>
        <v/>
      </c>
      <c r="E554" s="14"/>
      <c r="F554" s="14"/>
      <c r="G554" s="15"/>
      <c r="H554" s="16" t="str">
        <f aca="false">IF(OR($K554="",$L554=""),"",ROUND(MAX(0,($L554-$K554)-IF($G554="",0,$G554))/60,2))</f>
        <v/>
      </c>
      <c r="I554" s="8"/>
      <c r="J554" s="8"/>
      <c r="K554" s="17" t="str">
        <f aca="false">IF($E554="","",IF($E554&lt;1,ROUND($E554*1440,0),INT($E554/100)*60+MOD($E554,100)))</f>
        <v/>
      </c>
      <c r="L554" s="17" t="str">
        <f aca="false">IF($F554="","",IF($F554&lt;1,ROUND($F554*1440,0),INT($F554/100)*60+MOD($F554,100)))</f>
        <v/>
      </c>
    </row>
    <row r="555" customFormat="false" ht="15" hidden="false" customHeight="true" outlineLevel="0" collapsed="false">
      <c r="A555" s="10"/>
      <c r="B555" s="8"/>
      <c r="C555" s="13" t="str">
        <f aca="false">IF($B555="","",IFERROR(INDEX(직원목록!$B$3:$B$302,MATCH($B555,직원목록!$A$3:$A$302,0)),"미등록사번"))</f>
        <v/>
      </c>
      <c r="D555" s="13" t="str">
        <f aca="false">IF($B555="","",IFERROR(INDEX(직원목록!$C$3:$C$302,MATCH($B555,직원목록!$A$3:$A$302,0)),""))</f>
        <v/>
      </c>
      <c r="E555" s="14"/>
      <c r="F555" s="14"/>
      <c r="G555" s="15"/>
      <c r="H555" s="16" t="str">
        <f aca="false">IF(OR($K555="",$L555=""),"",ROUND(MAX(0,($L555-$K555)-IF($G555="",0,$G555))/60,2))</f>
        <v/>
      </c>
      <c r="I555" s="8"/>
      <c r="J555" s="8"/>
      <c r="K555" s="17" t="str">
        <f aca="false">IF($E555="","",IF($E555&lt;1,ROUND($E555*1440,0),INT($E555/100)*60+MOD($E555,100)))</f>
        <v/>
      </c>
      <c r="L555" s="17" t="str">
        <f aca="false">IF($F555="","",IF($F555&lt;1,ROUND($F555*1440,0),INT($F555/100)*60+MOD($F555,100)))</f>
        <v/>
      </c>
    </row>
    <row r="556" customFormat="false" ht="15" hidden="false" customHeight="true" outlineLevel="0" collapsed="false">
      <c r="A556" s="10"/>
      <c r="B556" s="8"/>
      <c r="C556" s="13" t="str">
        <f aca="false">IF($B556="","",IFERROR(INDEX(직원목록!$B$3:$B$302,MATCH($B556,직원목록!$A$3:$A$302,0)),"미등록사번"))</f>
        <v/>
      </c>
      <c r="D556" s="13" t="str">
        <f aca="false">IF($B556="","",IFERROR(INDEX(직원목록!$C$3:$C$302,MATCH($B556,직원목록!$A$3:$A$302,0)),""))</f>
        <v/>
      </c>
      <c r="E556" s="14"/>
      <c r="F556" s="14"/>
      <c r="G556" s="15"/>
      <c r="H556" s="16" t="str">
        <f aca="false">IF(OR($K556="",$L556=""),"",ROUND(MAX(0,($L556-$K556)-IF($G556="",0,$G556))/60,2))</f>
        <v/>
      </c>
      <c r="I556" s="8"/>
      <c r="J556" s="8"/>
      <c r="K556" s="17" t="str">
        <f aca="false">IF($E556="","",IF($E556&lt;1,ROUND($E556*1440,0),INT($E556/100)*60+MOD($E556,100)))</f>
        <v/>
      </c>
      <c r="L556" s="17" t="str">
        <f aca="false">IF($F556="","",IF($F556&lt;1,ROUND($F556*1440,0),INT($F556/100)*60+MOD($F556,100)))</f>
        <v/>
      </c>
    </row>
    <row r="557" customFormat="false" ht="15" hidden="false" customHeight="true" outlineLevel="0" collapsed="false">
      <c r="A557" s="10"/>
      <c r="B557" s="8"/>
      <c r="C557" s="13" t="str">
        <f aca="false">IF($B557="","",IFERROR(INDEX(직원목록!$B$3:$B$302,MATCH($B557,직원목록!$A$3:$A$302,0)),"미등록사번"))</f>
        <v/>
      </c>
      <c r="D557" s="13" t="str">
        <f aca="false">IF($B557="","",IFERROR(INDEX(직원목록!$C$3:$C$302,MATCH($B557,직원목록!$A$3:$A$302,0)),""))</f>
        <v/>
      </c>
      <c r="E557" s="14"/>
      <c r="F557" s="14"/>
      <c r="G557" s="15"/>
      <c r="H557" s="16" t="str">
        <f aca="false">IF(OR($K557="",$L557=""),"",ROUND(MAX(0,($L557-$K557)-IF($G557="",0,$G557))/60,2))</f>
        <v/>
      </c>
      <c r="I557" s="8"/>
      <c r="J557" s="8"/>
      <c r="K557" s="17" t="str">
        <f aca="false">IF($E557="","",IF($E557&lt;1,ROUND($E557*1440,0),INT($E557/100)*60+MOD($E557,100)))</f>
        <v/>
      </c>
      <c r="L557" s="17" t="str">
        <f aca="false">IF($F557="","",IF($F557&lt;1,ROUND($F557*1440,0),INT($F557/100)*60+MOD($F557,100)))</f>
        <v/>
      </c>
    </row>
    <row r="558" customFormat="false" ht="15" hidden="false" customHeight="true" outlineLevel="0" collapsed="false">
      <c r="A558" s="10"/>
      <c r="B558" s="8"/>
      <c r="C558" s="13" t="str">
        <f aca="false">IF($B558="","",IFERROR(INDEX(직원목록!$B$3:$B$302,MATCH($B558,직원목록!$A$3:$A$302,0)),"미등록사번"))</f>
        <v/>
      </c>
      <c r="D558" s="13" t="str">
        <f aca="false">IF($B558="","",IFERROR(INDEX(직원목록!$C$3:$C$302,MATCH($B558,직원목록!$A$3:$A$302,0)),""))</f>
        <v/>
      </c>
      <c r="E558" s="14"/>
      <c r="F558" s="14"/>
      <c r="G558" s="15"/>
      <c r="H558" s="16" t="str">
        <f aca="false">IF(OR($K558="",$L558=""),"",ROUND(MAX(0,($L558-$K558)-IF($G558="",0,$G558))/60,2))</f>
        <v/>
      </c>
      <c r="I558" s="8"/>
      <c r="J558" s="8"/>
      <c r="K558" s="17" t="str">
        <f aca="false">IF($E558="","",IF($E558&lt;1,ROUND($E558*1440,0),INT($E558/100)*60+MOD($E558,100)))</f>
        <v/>
      </c>
      <c r="L558" s="17" t="str">
        <f aca="false">IF($F558="","",IF($F558&lt;1,ROUND($F558*1440,0),INT($F558/100)*60+MOD($F558,100)))</f>
        <v/>
      </c>
    </row>
    <row r="559" customFormat="false" ht="15" hidden="false" customHeight="true" outlineLevel="0" collapsed="false">
      <c r="A559" s="10"/>
      <c r="B559" s="8"/>
      <c r="C559" s="13" t="str">
        <f aca="false">IF($B559="","",IFERROR(INDEX(직원목록!$B$3:$B$302,MATCH($B559,직원목록!$A$3:$A$302,0)),"미등록사번"))</f>
        <v/>
      </c>
      <c r="D559" s="13" t="str">
        <f aca="false">IF($B559="","",IFERROR(INDEX(직원목록!$C$3:$C$302,MATCH($B559,직원목록!$A$3:$A$302,0)),""))</f>
        <v/>
      </c>
      <c r="E559" s="14"/>
      <c r="F559" s="14"/>
      <c r="G559" s="15"/>
      <c r="H559" s="16" t="str">
        <f aca="false">IF(OR($K559="",$L559=""),"",ROUND(MAX(0,($L559-$K559)-IF($G559="",0,$G559))/60,2))</f>
        <v/>
      </c>
      <c r="I559" s="8"/>
      <c r="J559" s="8"/>
      <c r="K559" s="17" t="str">
        <f aca="false">IF($E559="","",IF($E559&lt;1,ROUND($E559*1440,0),INT($E559/100)*60+MOD($E559,100)))</f>
        <v/>
      </c>
      <c r="L559" s="17" t="str">
        <f aca="false">IF($F559="","",IF($F559&lt;1,ROUND($F559*1440,0),INT($F559/100)*60+MOD($F559,100)))</f>
        <v/>
      </c>
    </row>
    <row r="560" customFormat="false" ht="15" hidden="false" customHeight="true" outlineLevel="0" collapsed="false">
      <c r="A560" s="10"/>
      <c r="B560" s="8"/>
      <c r="C560" s="13" t="str">
        <f aca="false">IF($B560="","",IFERROR(INDEX(직원목록!$B$3:$B$302,MATCH($B560,직원목록!$A$3:$A$302,0)),"미등록사번"))</f>
        <v/>
      </c>
      <c r="D560" s="13" t="str">
        <f aca="false">IF($B560="","",IFERROR(INDEX(직원목록!$C$3:$C$302,MATCH($B560,직원목록!$A$3:$A$302,0)),""))</f>
        <v/>
      </c>
      <c r="E560" s="14"/>
      <c r="F560" s="14"/>
      <c r="G560" s="15"/>
      <c r="H560" s="16" t="str">
        <f aca="false">IF(OR($K560="",$L560=""),"",ROUND(MAX(0,($L560-$K560)-IF($G560="",0,$G560))/60,2))</f>
        <v/>
      </c>
      <c r="I560" s="8"/>
      <c r="J560" s="8"/>
      <c r="K560" s="17" t="str">
        <f aca="false">IF($E560="","",IF($E560&lt;1,ROUND($E560*1440,0),INT($E560/100)*60+MOD($E560,100)))</f>
        <v/>
      </c>
      <c r="L560" s="17" t="str">
        <f aca="false">IF($F560="","",IF($F560&lt;1,ROUND($F560*1440,0),INT($F560/100)*60+MOD($F560,100)))</f>
        <v/>
      </c>
    </row>
    <row r="561" customFormat="false" ht="15" hidden="false" customHeight="true" outlineLevel="0" collapsed="false">
      <c r="A561" s="10"/>
      <c r="B561" s="8"/>
      <c r="C561" s="13" t="str">
        <f aca="false">IF($B561="","",IFERROR(INDEX(직원목록!$B$3:$B$302,MATCH($B561,직원목록!$A$3:$A$302,0)),"미등록사번"))</f>
        <v/>
      </c>
      <c r="D561" s="13" t="str">
        <f aca="false">IF($B561="","",IFERROR(INDEX(직원목록!$C$3:$C$302,MATCH($B561,직원목록!$A$3:$A$302,0)),""))</f>
        <v/>
      </c>
      <c r="E561" s="14"/>
      <c r="F561" s="14"/>
      <c r="G561" s="15"/>
      <c r="H561" s="16" t="str">
        <f aca="false">IF(OR($K561="",$L561=""),"",ROUND(MAX(0,($L561-$K561)-IF($G561="",0,$G561))/60,2))</f>
        <v/>
      </c>
      <c r="I561" s="8"/>
      <c r="J561" s="8"/>
      <c r="K561" s="17" t="str">
        <f aca="false">IF($E561="","",IF($E561&lt;1,ROUND($E561*1440,0),INT($E561/100)*60+MOD($E561,100)))</f>
        <v/>
      </c>
      <c r="L561" s="17" t="str">
        <f aca="false">IF($F561="","",IF($F561&lt;1,ROUND($F561*1440,0),INT($F561/100)*60+MOD($F561,100)))</f>
        <v/>
      </c>
    </row>
    <row r="562" customFormat="false" ht="15" hidden="false" customHeight="true" outlineLevel="0" collapsed="false">
      <c r="A562" s="10"/>
      <c r="B562" s="8"/>
      <c r="C562" s="13" t="str">
        <f aca="false">IF($B562="","",IFERROR(INDEX(직원목록!$B$3:$B$302,MATCH($B562,직원목록!$A$3:$A$302,0)),"미등록사번"))</f>
        <v/>
      </c>
      <c r="D562" s="13" t="str">
        <f aca="false">IF($B562="","",IFERROR(INDEX(직원목록!$C$3:$C$302,MATCH($B562,직원목록!$A$3:$A$302,0)),""))</f>
        <v/>
      </c>
      <c r="E562" s="14"/>
      <c r="F562" s="14"/>
      <c r="G562" s="15"/>
      <c r="H562" s="16" t="str">
        <f aca="false">IF(OR($K562="",$L562=""),"",ROUND(MAX(0,($L562-$K562)-IF($G562="",0,$G562))/60,2))</f>
        <v/>
      </c>
      <c r="I562" s="8"/>
      <c r="J562" s="8"/>
      <c r="K562" s="17" t="str">
        <f aca="false">IF($E562="","",IF($E562&lt;1,ROUND($E562*1440,0),INT($E562/100)*60+MOD($E562,100)))</f>
        <v/>
      </c>
      <c r="L562" s="17" t="str">
        <f aca="false">IF($F562="","",IF($F562&lt;1,ROUND($F562*1440,0),INT($F562/100)*60+MOD($F562,100)))</f>
        <v/>
      </c>
    </row>
    <row r="563" customFormat="false" ht="15" hidden="false" customHeight="true" outlineLevel="0" collapsed="false">
      <c r="A563" s="10"/>
      <c r="B563" s="8"/>
      <c r="C563" s="13" t="str">
        <f aca="false">IF($B563="","",IFERROR(INDEX(직원목록!$B$3:$B$302,MATCH($B563,직원목록!$A$3:$A$302,0)),"미등록사번"))</f>
        <v/>
      </c>
      <c r="D563" s="13" t="str">
        <f aca="false">IF($B563="","",IFERROR(INDEX(직원목록!$C$3:$C$302,MATCH($B563,직원목록!$A$3:$A$302,0)),""))</f>
        <v/>
      </c>
      <c r="E563" s="14"/>
      <c r="F563" s="14"/>
      <c r="G563" s="15"/>
      <c r="H563" s="16" t="str">
        <f aca="false">IF(OR($K563="",$L563=""),"",ROUND(MAX(0,($L563-$K563)-IF($G563="",0,$G563))/60,2))</f>
        <v/>
      </c>
      <c r="I563" s="8"/>
      <c r="J563" s="8"/>
      <c r="K563" s="17" t="str">
        <f aca="false">IF($E563="","",IF($E563&lt;1,ROUND($E563*1440,0),INT($E563/100)*60+MOD($E563,100)))</f>
        <v/>
      </c>
      <c r="L563" s="17" t="str">
        <f aca="false">IF($F563="","",IF($F563&lt;1,ROUND($F563*1440,0),INT($F563/100)*60+MOD($F563,100)))</f>
        <v/>
      </c>
    </row>
    <row r="564" customFormat="false" ht="15" hidden="false" customHeight="true" outlineLevel="0" collapsed="false">
      <c r="A564" s="10"/>
      <c r="B564" s="8"/>
      <c r="C564" s="13" t="str">
        <f aca="false">IF($B564="","",IFERROR(INDEX(직원목록!$B$3:$B$302,MATCH($B564,직원목록!$A$3:$A$302,0)),"미등록사번"))</f>
        <v/>
      </c>
      <c r="D564" s="13" t="str">
        <f aca="false">IF($B564="","",IFERROR(INDEX(직원목록!$C$3:$C$302,MATCH($B564,직원목록!$A$3:$A$302,0)),""))</f>
        <v/>
      </c>
      <c r="E564" s="14"/>
      <c r="F564" s="14"/>
      <c r="G564" s="15"/>
      <c r="H564" s="16" t="str">
        <f aca="false">IF(OR($K564="",$L564=""),"",ROUND(MAX(0,($L564-$K564)-IF($G564="",0,$G564))/60,2))</f>
        <v/>
      </c>
      <c r="I564" s="8"/>
      <c r="J564" s="8"/>
      <c r="K564" s="17" t="str">
        <f aca="false">IF($E564="","",IF($E564&lt;1,ROUND($E564*1440,0),INT($E564/100)*60+MOD($E564,100)))</f>
        <v/>
      </c>
      <c r="L564" s="17" t="str">
        <f aca="false">IF($F564="","",IF($F564&lt;1,ROUND($F564*1440,0),INT($F564/100)*60+MOD($F564,100)))</f>
        <v/>
      </c>
    </row>
    <row r="565" customFormat="false" ht="15" hidden="false" customHeight="true" outlineLevel="0" collapsed="false">
      <c r="A565" s="10"/>
      <c r="B565" s="8"/>
      <c r="C565" s="13" t="str">
        <f aca="false">IF($B565="","",IFERROR(INDEX(직원목록!$B$3:$B$302,MATCH($B565,직원목록!$A$3:$A$302,0)),"미등록사번"))</f>
        <v/>
      </c>
      <c r="D565" s="13" t="str">
        <f aca="false">IF($B565="","",IFERROR(INDEX(직원목록!$C$3:$C$302,MATCH($B565,직원목록!$A$3:$A$302,0)),""))</f>
        <v/>
      </c>
      <c r="E565" s="14"/>
      <c r="F565" s="14"/>
      <c r="G565" s="15"/>
      <c r="H565" s="16" t="str">
        <f aca="false">IF(OR($K565="",$L565=""),"",ROUND(MAX(0,($L565-$K565)-IF($G565="",0,$G565))/60,2))</f>
        <v/>
      </c>
      <c r="I565" s="8"/>
      <c r="J565" s="8"/>
      <c r="K565" s="17" t="str">
        <f aca="false">IF($E565="","",IF($E565&lt;1,ROUND($E565*1440,0),INT($E565/100)*60+MOD($E565,100)))</f>
        <v/>
      </c>
      <c r="L565" s="17" t="str">
        <f aca="false">IF($F565="","",IF($F565&lt;1,ROUND($F565*1440,0),INT($F565/100)*60+MOD($F565,100)))</f>
        <v/>
      </c>
    </row>
    <row r="566" customFormat="false" ht="15" hidden="false" customHeight="true" outlineLevel="0" collapsed="false">
      <c r="A566" s="10"/>
      <c r="B566" s="8"/>
      <c r="C566" s="13" t="str">
        <f aca="false">IF($B566="","",IFERROR(INDEX(직원목록!$B$3:$B$302,MATCH($B566,직원목록!$A$3:$A$302,0)),"미등록사번"))</f>
        <v/>
      </c>
      <c r="D566" s="13" t="str">
        <f aca="false">IF($B566="","",IFERROR(INDEX(직원목록!$C$3:$C$302,MATCH($B566,직원목록!$A$3:$A$302,0)),""))</f>
        <v/>
      </c>
      <c r="E566" s="14"/>
      <c r="F566" s="14"/>
      <c r="G566" s="15"/>
      <c r="H566" s="16" t="str">
        <f aca="false">IF(OR($K566="",$L566=""),"",ROUND(MAX(0,($L566-$K566)-IF($G566="",0,$G566))/60,2))</f>
        <v/>
      </c>
      <c r="I566" s="8"/>
      <c r="J566" s="8"/>
      <c r="K566" s="17" t="str">
        <f aca="false">IF($E566="","",IF($E566&lt;1,ROUND($E566*1440,0),INT($E566/100)*60+MOD($E566,100)))</f>
        <v/>
      </c>
      <c r="L566" s="17" t="str">
        <f aca="false">IF($F566="","",IF($F566&lt;1,ROUND($F566*1440,0),INT($F566/100)*60+MOD($F566,100)))</f>
        <v/>
      </c>
    </row>
    <row r="567" customFormat="false" ht="15" hidden="false" customHeight="true" outlineLevel="0" collapsed="false">
      <c r="A567" s="10"/>
      <c r="B567" s="8"/>
      <c r="C567" s="13" t="str">
        <f aca="false">IF($B567="","",IFERROR(INDEX(직원목록!$B$3:$B$302,MATCH($B567,직원목록!$A$3:$A$302,0)),"미등록사번"))</f>
        <v/>
      </c>
      <c r="D567" s="13" t="str">
        <f aca="false">IF($B567="","",IFERROR(INDEX(직원목록!$C$3:$C$302,MATCH($B567,직원목록!$A$3:$A$302,0)),""))</f>
        <v/>
      </c>
      <c r="E567" s="14"/>
      <c r="F567" s="14"/>
      <c r="G567" s="15"/>
      <c r="H567" s="16" t="str">
        <f aca="false">IF(OR($K567="",$L567=""),"",ROUND(MAX(0,($L567-$K567)-IF($G567="",0,$G567))/60,2))</f>
        <v/>
      </c>
      <c r="I567" s="8"/>
      <c r="J567" s="8"/>
      <c r="K567" s="17" t="str">
        <f aca="false">IF($E567="","",IF($E567&lt;1,ROUND($E567*1440,0),INT($E567/100)*60+MOD($E567,100)))</f>
        <v/>
      </c>
      <c r="L567" s="17" t="str">
        <f aca="false">IF($F567="","",IF($F567&lt;1,ROUND($F567*1440,0),INT($F567/100)*60+MOD($F567,100)))</f>
        <v/>
      </c>
    </row>
    <row r="568" customFormat="false" ht="15" hidden="false" customHeight="true" outlineLevel="0" collapsed="false">
      <c r="A568" s="10"/>
      <c r="B568" s="8"/>
      <c r="C568" s="13" t="str">
        <f aca="false">IF($B568="","",IFERROR(INDEX(직원목록!$B$3:$B$302,MATCH($B568,직원목록!$A$3:$A$302,0)),"미등록사번"))</f>
        <v/>
      </c>
      <c r="D568" s="13" t="str">
        <f aca="false">IF($B568="","",IFERROR(INDEX(직원목록!$C$3:$C$302,MATCH($B568,직원목록!$A$3:$A$302,0)),""))</f>
        <v/>
      </c>
      <c r="E568" s="14"/>
      <c r="F568" s="14"/>
      <c r="G568" s="15"/>
      <c r="H568" s="16" t="str">
        <f aca="false">IF(OR($K568="",$L568=""),"",ROUND(MAX(0,($L568-$K568)-IF($G568="",0,$G568))/60,2))</f>
        <v/>
      </c>
      <c r="I568" s="8"/>
      <c r="J568" s="8"/>
      <c r="K568" s="17" t="str">
        <f aca="false">IF($E568="","",IF($E568&lt;1,ROUND($E568*1440,0),INT($E568/100)*60+MOD($E568,100)))</f>
        <v/>
      </c>
      <c r="L568" s="17" t="str">
        <f aca="false">IF($F568="","",IF($F568&lt;1,ROUND($F568*1440,0),INT($F568/100)*60+MOD($F568,100)))</f>
        <v/>
      </c>
    </row>
    <row r="569" customFormat="false" ht="15" hidden="false" customHeight="true" outlineLevel="0" collapsed="false">
      <c r="A569" s="10"/>
      <c r="B569" s="8"/>
      <c r="C569" s="13" t="str">
        <f aca="false">IF($B569="","",IFERROR(INDEX(직원목록!$B$3:$B$302,MATCH($B569,직원목록!$A$3:$A$302,0)),"미등록사번"))</f>
        <v/>
      </c>
      <c r="D569" s="13" t="str">
        <f aca="false">IF($B569="","",IFERROR(INDEX(직원목록!$C$3:$C$302,MATCH($B569,직원목록!$A$3:$A$302,0)),""))</f>
        <v/>
      </c>
      <c r="E569" s="14"/>
      <c r="F569" s="14"/>
      <c r="G569" s="15"/>
      <c r="H569" s="16" t="str">
        <f aca="false">IF(OR($K569="",$L569=""),"",ROUND(MAX(0,($L569-$K569)-IF($G569="",0,$G569))/60,2))</f>
        <v/>
      </c>
      <c r="I569" s="8"/>
      <c r="J569" s="8"/>
      <c r="K569" s="17" t="str">
        <f aca="false">IF($E569="","",IF($E569&lt;1,ROUND($E569*1440,0),INT($E569/100)*60+MOD($E569,100)))</f>
        <v/>
      </c>
      <c r="L569" s="17" t="str">
        <f aca="false">IF($F569="","",IF($F569&lt;1,ROUND($F569*1440,0),INT($F569/100)*60+MOD($F569,100)))</f>
        <v/>
      </c>
    </row>
    <row r="570" customFormat="false" ht="15" hidden="false" customHeight="true" outlineLevel="0" collapsed="false">
      <c r="A570" s="10"/>
      <c r="B570" s="8"/>
      <c r="C570" s="13" t="str">
        <f aca="false">IF($B570="","",IFERROR(INDEX(직원목록!$B$3:$B$302,MATCH($B570,직원목록!$A$3:$A$302,0)),"미등록사번"))</f>
        <v/>
      </c>
      <c r="D570" s="13" t="str">
        <f aca="false">IF($B570="","",IFERROR(INDEX(직원목록!$C$3:$C$302,MATCH($B570,직원목록!$A$3:$A$302,0)),""))</f>
        <v/>
      </c>
      <c r="E570" s="14"/>
      <c r="F570" s="14"/>
      <c r="G570" s="15"/>
      <c r="H570" s="16" t="str">
        <f aca="false">IF(OR($K570="",$L570=""),"",ROUND(MAX(0,($L570-$K570)-IF($G570="",0,$G570))/60,2))</f>
        <v/>
      </c>
      <c r="I570" s="8"/>
      <c r="J570" s="8"/>
      <c r="K570" s="17" t="str">
        <f aca="false">IF($E570="","",IF($E570&lt;1,ROUND($E570*1440,0),INT($E570/100)*60+MOD($E570,100)))</f>
        <v/>
      </c>
      <c r="L570" s="17" t="str">
        <f aca="false">IF($F570="","",IF($F570&lt;1,ROUND($F570*1440,0),INT($F570/100)*60+MOD($F570,100)))</f>
        <v/>
      </c>
    </row>
    <row r="571" customFormat="false" ht="15" hidden="false" customHeight="true" outlineLevel="0" collapsed="false">
      <c r="A571" s="10"/>
      <c r="B571" s="8"/>
      <c r="C571" s="13" t="str">
        <f aca="false">IF($B571="","",IFERROR(INDEX(직원목록!$B$3:$B$302,MATCH($B571,직원목록!$A$3:$A$302,0)),"미등록사번"))</f>
        <v/>
      </c>
      <c r="D571" s="13" t="str">
        <f aca="false">IF($B571="","",IFERROR(INDEX(직원목록!$C$3:$C$302,MATCH($B571,직원목록!$A$3:$A$302,0)),""))</f>
        <v/>
      </c>
      <c r="E571" s="14"/>
      <c r="F571" s="14"/>
      <c r="G571" s="15"/>
      <c r="H571" s="16" t="str">
        <f aca="false">IF(OR($K571="",$L571=""),"",ROUND(MAX(0,($L571-$K571)-IF($G571="",0,$G571))/60,2))</f>
        <v/>
      </c>
      <c r="I571" s="8"/>
      <c r="J571" s="8"/>
      <c r="K571" s="17" t="str">
        <f aca="false">IF($E571="","",IF($E571&lt;1,ROUND($E571*1440,0),INT($E571/100)*60+MOD($E571,100)))</f>
        <v/>
      </c>
      <c r="L571" s="17" t="str">
        <f aca="false">IF($F571="","",IF($F571&lt;1,ROUND($F571*1440,0),INT($F571/100)*60+MOD($F571,100)))</f>
        <v/>
      </c>
    </row>
    <row r="572" customFormat="false" ht="15" hidden="false" customHeight="true" outlineLevel="0" collapsed="false">
      <c r="A572" s="10"/>
      <c r="B572" s="8"/>
      <c r="C572" s="13" t="str">
        <f aca="false">IF($B572="","",IFERROR(INDEX(직원목록!$B$3:$B$302,MATCH($B572,직원목록!$A$3:$A$302,0)),"미등록사번"))</f>
        <v/>
      </c>
      <c r="D572" s="13" t="str">
        <f aca="false">IF($B572="","",IFERROR(INDEX(직원목록!$C$3:$C$302,MATCH($B572,직원목록!$A$3:$A$302,0)),""))</f>
        <v/>
      </c>
      <c r="E572" s="14"/>
      <c r="F572" s="14"/>
      <c r="G572" s="15"/>
      <c r="H572" s="16" t="str">
        <f aca="false">IF(OR($K572="",$L572=""),"",ROUND(MAX(0,($L572-$K572)-IF($G572="",0,$G572))/60,2))</f>
        <v/>
      </c>
      <c r="I572" s="8"/>
      <c r="J572" s="8"/>
      <c r="K572" s="17" t="str">
        <f aca="false">IF($E572="","",IF($E572&lt;1,ROUND($E572*1440,0),INT($E572/100)*60+MOD($E572,100)))</f>
        <v/>
      </c>
      <c r="L572" s="17" t="str">
        <f aca="false">IF($F572="","",IF($F572&lt;1,ROUND($F572*1440,0),INT($F572/100)*60+MOD($F572,100)))</f>
        <v/>
      </c>
    </row>
    <row r="573" customFormat="false" ht="15" hidden="false" customHeight="true" outlineLevel="0" collapsed="false">
      <c r="A573" s="10"/>
      <c r="B573" s="8"/>
      <c r="C573" s="13" t="str">
        <f aca="false">IF($B573="","",IFERROR(INDEX(직원목록!$B$3:$B$302,MATCH($B573,직원목록!$A$3:$A$302,0)),"미등록사번"))</f>
        <v/>
      </c>
      <c r="D573" s="13" t="str">
        <f aca="false">IF($B573="","",IFERROR(INDEX(직원목록!$C$3:$C$302,MATCH($B573,직원목록!$A$3:$A$302,0)),""))</f>
        <v/>
      </c>
      <c r="E573" s="14"/>
      <c r="F573" s="14"/>
      <c r="G573" s="15"/>
      <c r="H573" s="16" t="str">
        <f aca="false">IF(OR($K573="",$L573=""),"",ROUND(MAX(0,($L573-$K573)-IF($G573="",0,$G573))/60,2))</f>
        <v/>
      </c>
      <c r="I573" s="8"/>
      <c r="J573" s="8"/>
      <c r="K573" s="17" t="str">
        <f aca="false">IF($E573="","",IF($E573&lt;1,ROUND($E573*1440,0),INT($E573/100)*60+MOD($E573,100)))</f>
        <v/>
      </c>
      <c r="L573" s="17" t="str">
        <f aca="false">IF($F573="","",IF($F573&lt;1,ROUND($F573*1440,0),INT($F573/100)*60+MOD($F573,100)))</f>
        <v/>
      </c>
    </row>
    <row r="574" customFormat="false" ht="15" hidden="false" customHeight="true" outlineLevel="0" collapsed="false">
      <c r="A574" s="10"/>
      <c r="B574" s="8"/>
      <c r="C574" s="13" t="str">
        <f aca="false">IF($B574="","",IFERROR(INDEX(직원목록!$B$3:$B$302,MATCH($B574,직원목록!$A$3:$A$302,0)),"미등록사번"))</f>
        <v/>
      </c>
      <c r="D574" s="13" t="str">
        <f aca="false">IF($B574="","",IFERROR(INDEX(직원목록!$C$3:$C$302,MATCH($B574,직원목록!$A$3:$A$302,0)),""))</f>
        <v/>
      </c>
      <c r="E574" s="14"/>
      <c r="F574" s="14"/>
      <c r="G574" s="15"/>
      <c r="H574" s="16" t="str">
        <f aca="false">IF(OR($K574="",$L574=""),"",ROUND(MAX(0,($L574-$K574)-IF($G574="",0,$G574))/60,2))</f>
        <v/>
      </c>
      <c r="I574" s="8"/>
      <c r="J574" s="8"/>
      <c r="K574" s="17" t="str">
        <f aca="false">IF($E574="","",IF($E574&lt;1,ROUND($E574*1440,0),INT($E574/100)*60+MOD($E574,100)))</f>
        <v/>
      </c>
      <c r="L574" s="17" t="str">
        <f aca="false">IF($F574="","",IF($F574&lt;1,ROUND($F574*1440,0),INT($F574/100)*60+MOD($F574,100)))</f>
        <v/>
      </c>
    </row>
    <row r="575" customFormat="false" ht="15" hidden="false" customHeight="true" outlineLevel="0" collapsed="false">
      <c r="A575" s="10"/>
      <c r="B575" s="8"/>
      <c r="C575" s="13" t="str">
        <f aca="false">IF($B575="","",IFERROR(INDEX(직원목록!$B$3:$B$302,MATCH($B575,직원목록!$A$3:$A$302,0)),"미등록사번"))</f>
        <v/>
      </c>
      <c r="D575" s="13" t="str">
        <f aca="false">IF($B575="","",IFERROR(INDEX(직원목록!$C$3:$C$302,MATCH($B575,직원목록!$A$3:$A$302,0)),""))</f>
        <v/>
      </c>
      <c r="E575" s="14"/>
      <c r="F575" s="14"/>
      <c r="G575" s="15"/>
      <c r="H575" s="16" t="str">
        <f aca="false">IF(OR($K575="",$L575=""),"",ROUND(MAX(0,($L575-$K575)-IF($G575="",0,$G575))/60,2))</f>
        <v/>
      </c>
      <c r="I575" s="8"/>
      <c r="J575" s="8"/>
      <c r="K575" s="17" t="str">
        <f aca="false">IF($E575="","",IF($E575&lt;1,ROUND($E575*1440,0),INT($E575/100)*60+MOD($E575,100)))</f>
        <v/>
      </c>
      <c r="L575" s="17" t="str">
        <f aca="false">IF($F575="","",IF($F575&lt;1,ROUND($F575*1440,0),INT($F575/100)*60+MOD($F575,100)))</f>
        <v/>
      </c>
    </row>
    <row r="576" customFormat="false" ht="15" hidden="false" customHeight="true" outlineLevel="0" collapsed="false">
      <c r="A576" s="10"/>
      <c r="B576" s="8"/>
      <c r="C576" s="13" t="str">
        <f aca="false">IF($B576="","",IFERROR(INDEX(직원목록!$B$3:$B$302,MATCH($B576,직원목록!$A$3:$A$302,0)),"미등록사번"))</f>
        <v/>
      </c>
      <c r="D576" s="13" t="str">
        <f aca="false">IF($B576="","",IFERROR(INDEX(직원목록!$C$3:$C$302,MATCH($B576,직원목록!$A$3:$A$302,0)),""))</f>
        <v/>
      </c>
      <c r="E576" s="14"/>
      <c r="F576" s="14"/>
      <c r="G576" s="15"/>
      <c r="H576" s="16" t="str">
        <f aca="false">IF(OR($K576="",$L576=""),"",ROUND(MAX(0,($L576-$K576)-IF($G576="",0,$G576))/60,2))</f>
        <v/>
      </c>
      <c r="I576" s="8"/>
      <c r="J576" s="8"/>
      <c r="K576" s="17" t="str">
        <f aca="false">IF($E576="","",IF($E576&lt;1,ROUND($E576*1440,0),INT($E576/100)*60+MOD($E576,100)))</f>
        <v/>
      </c>
      <c r="L576" s="17" t="str">
        <f aca="false">IF($F576="","",IF($F576&lt;1,ROUND($F576*1440,0),INT($F576/100)*60+MOD($F576,100)))</f>
        <v/>
      </c>
    </row>
    <row r="577" customFormat="false" ht="15" hidden="false" customHeight="true" outlineLevel="0" collapsed="false">
      <c r="A577" s="10"/>
      <c r="B577" s="8"/>
      <c r="C577" s="13" t="str">
        <f aca="false">IF($B577="","",IFERROR(INDEX(직원목록!$B$3:$B$302,MATCH($B577,직원목록!$A$3:$A$302,0)),"미등록사번"))</f>
        <v/>
      </c>
      <c r="D577" s="13" t="str">
        <f aca="false">IF($B577="","",IFERROR(INDEX(직원목록!$C$3:$C$302,MATCH($B577,직원목록!$A$3:$A$302,0)),""))</f>
        <v/>
      </c>
      <c r="E577" s="14"/>
      <c r="F577" s="14"/>
      <c r="G577" s="15"/>
      <c r="H577" s="16" t="str">
        <f aca="false">IF(OR($K577="",$L577=""),"",ROUND(MAX(0,($L577-$K577)-IF($G577="",0,$G577))/60,2))</f>
        <v/>
      </c>
      <c r="I577" s="8"/>
      <c r="J577" s="8"/>
      <c r="K577" s="17" t="str">
        <f aca="false">IF($E577="","",IF($E577&lt;1,ROUND($E577*1440,0),INT($E577/100)*60+MOD($E577,100)))</f>
        <v/>
      </c>
      <c r="L577" s="17" t="str">
        <f aca="false">IF($F577="","",IF($F577&lt;1,ROUND($F577*1440,0),INT($F577/100)*60+MOD($F577,100)))</f>
        <v/>
      </c>
    </row>
    <row r="578" customFormat="false" ht="15" hidden="false" customHeight="true" outlineLevel="0" collapsed="false">
      <c r="A578" s="10"/>
      <c r="B578" s="8"/>
      <c r="C578" s="13" t="str">
        <f aca="false">IF($B578="","",IFERROR(INDEX(직원목록!$B$3:$B$302,MATCH($B578,직원목록!$A$3:$A$302,0)),"미등록사번"))</f>
        <v/>
      </c>
      <c r="D578" s="13" t="str">
        <f aca="false">IF($B578="","",IFERROR(INDEX(직원목록!$C$3:$C$302,MATCH($B578,직원목록!$A$3:$A$302,0)),""))</f>
        <v/>
      </c>
      <c r="E578" s="14"/>
      <c r="F578" s="14"/>
      <c r="G578" s="15"/>
      <c r="H578" s="16" t="str">
        <f aca="false">IF(OR($K578="",$L578=""),"",ROUND(MAX(0,($L578-$K578)-IF($G578="",0,$G578))/60,2))</f>
        <v/>
      </c>
      <c r="I578" s="8"/>
      <c r="J578" s="8"/>
      <c r="K578" s="17" t="str">
        <f aca="false">IF($E578="","",IF($E578&lt;1,ROUND($E578*1440,0),INT($E578/100)*60+MOD($E578,100)))</f>
        <v/>
      </c>
      <c r="L578" s="17" t="str">
        <f aca="false">IF($F578="","",IF($F578&lt;1,ROUND($F578*1440,0),INT($F578/100)*60+MOD($F578,100)))</f>
        <v/>
      </c>
    </row>
    <row r="579" customFormat="false" ht="15" hidden="false" customHeight="true" outlineLevel="0" collapsed="false">
      <c r="A579" s="10"/>
      <c r="B579" s="8"/>
      <c r="C579" s="13" t="str">
        <f aca="false">IF($B579="","",IFERROR(INDEX(직원목록!$B$3:$B$302,MATCH($B579,직원목록!$A$3:$A$302,0)),"미등록사번"))</f>
        <v/>
      </c>
      <c r="D579" s="13" t="str">
        <f aca="false">IF($B579="","",IFERROR(INDEX(직원목록!$C$3:$C$302,MATCH($B579,직원목록!$A$3:$A$302,0)),""))</f>
        <v/>
      </c>
      <c r="E579" s="14"/>
      <c r="F579" s="14"/>
      <c r="G579" s="15"/>
      <c r="H579" s="16" t="str">
        <f aca="false">IF(OR($K579="",$L579=""),"",ROUND(MAX(0,($L579-$K579)-IF($G579="",0,$G579))/60,2))</f>
        <v/>
      </c>
      <c r="I579" s="8"/>
      <c r="J579" s="8"/>
      <c r="K579" s="17" t="str">
        <f aca="false">IF($E579="","",IF($E579&lt;1,ROUND($E579*1440,0),INT($E579/100)*60+MOD($E579,100)))</f>
        <v/>
      </c>
      <c r="L579" s="17" t="str">
        <f aca="false">IF($F579="","",IF($F579&lt;1,ROUND($F579*1440,0),INT($F579/100)*60+MOD($F579,100)))</f>
        <v/>
      </c>
    </row>
    <row r="580" customFormat="false" ht="15" hidden="false" customHeight="true" outlineLevel="0" collapsed="false">
      <c r="A580" s="10"/>
      <c r="B580" s="8"/>
      <c r="C580" s="13" t="str">
        <f aca="false">IF($B580="","",IFERROR(INDEX(직원목록!$B$3:$B$302,MATCH($B580,직원목록!$A$3:$A$302,0)),"미등록사번"))</f>
        <v/>
      </c>
      <c r="D580" s="13" t="str">
        <f aca="false">IF($B580="","",IFERROR(INDEX(직원목록!$C$3:$C$302,MATCH($B580,직원목록!$A$3:$A$302,0)),""))</f>
        <v/>
      </c>
      <c r="E580" s="14"/>
      <c r="F580" s="14"/>
      <c r="G580" s="15"/>
      <c r="H580" s="16" t="str">
        <f aca="false">IF(OR($K580="",$L580=""),"",ROUND(MAX(0,($L580-$K580)-IF($G580="",0,$G580))/60,2))</f>
        <v/>
      </c>
      <c r="I580" s="8"/>
      <c r="J580" s="8"/>
      <c r="K580" s="17" t="str">
        <f aca="false">IF($E580="","",IF($E580&lt;1,ROUND($E580*1440,0),INT($E580/100)*60+MOD($E580,100)))</f>
        <v/>
      </c>
      <c r="L580" s="17" t="str">
        <f aca="false">IF($F580="","",IF($F580&lt;1,ROUND($F580*1440,0),INT($F580/100)*60+MOD($F580,100)))</f>
        <v/>
      </c>
    </row>
    <row r="581" customFormat="false" ht="15" hidden="false" customHeight="true" outlineLevel="0" collapsed="false">
      <c r="A581" s="10"/>
      <c r="B581" s="8"/>
      <c r="C581" s="13" t="str">
        <f aca="false">IF($B581="","",IFERROR(INDEX(직원목록!$B$3:$B$302,MATCH($B581,직원목록!$A$3:$A$302,0)),"미등록사번"))</f>
        <v/>
      </c>
      <c r="D581" s="13" t="str">
        <f aca="false">IF($B581="","",IFERROR(INDEX(직원목록!$C$3:$C$302,MATCH($B581,직원목록!$A$3:$A$302,0)),""))</f>
        <v/>
      </c>
      <c r="E581" s="14"/>
      <c r="F581" s="14"/>
      <c r="G581" s="15"/>
      <c r="H581" s="16" t="str">
        <f aca="false">IF(OR($K581="",$L581=""),"",ROUND(MAX(0,($L581-$K581)-IF($G581="",0,$G581))/60,2))</f>
        <v/>
      </c>
      <c r="I581" s="8"/>
      <c r="J581" s="8"/>
      <c r="K581" s="17" t="str">
        <f aca="false">IF($E581="","",IF($E581&lt;1,ROUND($E581*1440,0),INT($E581/100)*60+MOD($E581,100)))</f>
        <v/>
      </c>
      <c r="L581" s="17" t="str">
        <f aca="false">IF($F581="","",IF($F581&lt;1,ROUND($F581*1440,0),INT($F581/100)*60+MOD($F581,100)))</f>
        <v/>
      </c>
    </row>
    <row r="582" customFormat="false" ht="15" hidden="false" customHeight="true" outlineLevel="0" collapsed="false">
      <c r="A582" s="10"/>
      <c r="B582" s="8"/>
      <c r="C582" s="13" t="str">
        <f aca="false">IF($B582="","",IFERROR(INDEX(직원목록!$B$3:$B$302,MATCH($B582,직원목록!$A$3:$A$302,0)),"미등록사번"))</f>
        <v/>
      </c>
      <c r="D582" s="13" t="str">
        <f aca="false">IF($B582="","",IFERROR(INDEX(직원목록!$C$3:$C$302,MATCH($B582,직원목록!$A$3:$A$302,0)),""))</f>
        <v/>
      </c>
      <c r="E582" s="14"/>
      <c r="F582" s="14"/>
      <c r="G582" s="15"/>
      <c r="H582" s="16" t="str">
        <f aca="false">IF(OR($K582="",$L582=""),"",ROUND(MAX(0,($L582-$K582)-IF($G582="",0,$G582))/60,2))</f>
        <v/>
      </c>
      <c r="I582" s="8"/>
      <c r="J582" s="8"/>
      <c r="K582" s="17" t="str">
        <f aca="false">IF($E582="","",IF($E582&lt;1,ROUND($E582*1440,0),INT($E582/100)*60+MOD($E582,100)))</f>
        <v/>
      </c>
      <c r="L582" s="17" t="str">
        <f aca="false">IF($F582="","",IF($F582&lt;1,ROUND($F582*1440,0),INT($F582/100)*60+MOD($F582,100)))</f>
        <v/>
      </c>
    </row>
    <row r="583" customFormat="false" ht="15" hidden="false" customHeight="true" outlineLevel="0" collapsed="false">
      <c r="A583" s="10"/>
      <c r="B583" s="8"/>
      <c r="C583" s="13" t="str">
        <f aca="false">IF($B583="","",IFERROR(INDEX(직원목록!$B$3:$B$302,MATCH($B583,직원목록!$A$3:$A$302,0)),"미등록사번"))</f>
        <v/>
      </c>
      <c r="D583" s="13" t="str">
        <f aca="false">IF($B583="","",IFERROR(INDEX(직원목록!$C$3:$C$302,MATCH($B583,직원목록!$A$3:$A$302,0)),""))</f>
        <v/>
      </c>
      <c r="E583" s="14"/>
      <c r="F583" s="14"/>
      <c r="G583" s="15"/>
      <c r="H583" s="16" t="str">
        <f aca="false">IF(OR($K583="",$L583=""),"",ROUND(MAX(0,($L583-$K583)-IF($G583="",0,$G583))/60,2))</f>
        <v/>
      </c>
      <c r="I583" s="8"/>
      <c r="J583" s="8"/>
      <c r="K583" s="17" t="str">
        <f aca="false">IF($E583="","",IF($E583&lt;1,ROUND($E583*1440,0),INT($E583/100)*60+MOD($E583,100)))</f>
        <v/>
      </c>
      <c r="L583" s="17" t="str">
        <f aca="false">IF($F583="","",IF($F583&lt;1,ROUND($F583*1440,0),INT($F583/100)*60+MOD($F583,100)))</f>
        <v/>
      </c>
    </row>
    <row r="584" customFormat="false" ht="15" hidden="false" customHeight="true" outlineLevel="0" collapsed="false">
      <c r="A584" s="10"/>
      <c r="B584" s="8"/>
      <c r="C584" s="13" t="str">
        <f aca="false">IF($B584="","",IFERROR(INDEX(직원목록!$B$3:$B$302,MATCH($B584,직원목록!$A$3:$A$302,0)),"미등록사번"))</f>
        <v/>
      </c>
      <c r="D584" s="13" t="str">
        <f aca="false">IF($B584="","",IFERROR(INDEX(직원목록!$C$3:$C$302,MATCH($B584,직원목록!$A$3:$A$302,0)),""))</f>
        <v/>
      </c>
      <c r="E584" s="14"/>
      <c r="F584" s="14"/>
      <c r="G584" s="15"/>
      <c r="H584" s="16" t="str">
        <f aca="false">IF(OR($K584="",$L584=""),"",ROUND(MAX(0,($L584-$K584)-IF($G584="",0,$G584))/60,2))</f>
        <v/>
      </c>
      <c r="I584" s="8"/>
      <c r="J584" s="8"/>
      <c r="K584" s="17" t="str">
        <f aca="false">IF($E584="","",IF($E584&lt;1,ROUND($E584*1440,0),INT($E584/100)*60+MOD($E584,100)))</f>
        <v/>
      </c>
      <c r="L584" s="17" t="str">
        <f aca="false">IF($F584="","",IF($F584&lt;1,ROUND($F584*1440,0),INT($F584/100)*60+MOD($F584,100)))</f>
        <v/>
      </c>
    </row>
    <row r="585" customFormat="false" ht="15" hidden="false" customHeight="true" outlineLevel="0" collapsed="false">
      <c r="A585" s="10"/>
      <c r="B585" s="8"/>
      <c r="C585" s="13" t="str">
        <f aca="false">IF($B585="","",IFERROR(INDEX(직원목록!$B$3:$B$302,MATCH($B585,직원목록!$A$3:$A$302,0)),"미등록사번"))</f>
        <v/>
      </c>
      <c r="D585" s="13" t="str">
        <f aca="false">IF($B585="","",IFERROR(INDEX(직원목록!$C$3:$C$302,MATCH($B585,직원목록!$A$3:$A$302,0)),""))</f>
        <v/>
      </c>
      <c r="E585" s="14"/>
      <c r="F585" s="14"/>
      <c r="G585" s="15"/>
      <c r="H585" s="16" t="str">
        <f aca="false">IF(OR($K585="",$L585=""),"",ROUND(MAX(0,($L585-$K585)-IF($G585="",0,$G585))/60,2))</f>
        <v/>
      </c>
      <c r="I585" s="8"/>
      <c r="J585" s="8"/>
      <c r="K585" s="17" t="str">
        <f aca="false">IF($E585="","",IF($E585&lt;1,ROUND($E585*1440,0),INT($E585/100)*60+MOD($E585,100)))</f>
        <v/>
      </c>
      <c r="L585" s="17" t="str">
        <f aca="false">IF($F585="","",IF($F585&lt;1,ROUND($F585*1440,0),INT($F585/100)*60+MOD($F585,100)))</f>
        <v/>
      </c>
    </row>
    <row r="586" customFormat="false" ht="15" hidden="false" customHeight="true" outlineLevel="0" collapsed="false">
      <c r="A586" s="10"/>
      <c r="B586" s="8"/>
      <c r="C586" s="13" t="str">
        <f aca="false">IF($B586="","",IFERROR(INDEX(직원목록!$B$3:$B$302,MATCH($B586,직원목록!$A$3:$A$302,0)),"미등록사번"))</f>
        <v/>
      </c>
      <c r="D586" s="13" t="str">
        <f aca="false">IF($B586="","",IFERROR(INDEX(직원목록!$C$3:$C$302,MATCH($B586,직원목록!$A$3:$A$302,0)),""))</f>
        <v/>
      </c>
      <c r="E586" s="14"/>
      <c r="F586" s="14"/>
      <c r="G586" s="15"/>
      <c r="H586" s="16" t="str">
        <f aca="false">IF(OR($K586="",$L586=""),"",ROUND(MAX(0,($L586-$K586)-IF($G586="",0,$G586))/60,2))</f>
        <v/>
      </c>
      <c r="I586" s="8"/>
      <c r="J586" s="8"/>
      <c r="K586" s="17" t="str">
        <f aca="false">IF($E586="","",IF($E586&lt;1,ROUND($E586*1440,0),INT($E586/100)*60+MOD($E586,100)))</f>
        <v/>
      </c>
      <c r="L586" s="17" t="str">
        <f aca="false">IF($F586="","",IF($F586&lt;1,ROUND($F586*1440,0),INT($F586/100)*60+MOD($F586,100)))</f>
        <v/>
      </c>
    </row>
    <row r="587" customFormat="false" ht="15" hidden="false" customHeight="true" outlineLevel="0" collapsed="false">
      <c r="A587" s="10"/>
      <c r="B587" s="8"/>
      <c r="C587" s="13" t="str">
        <f aca="false">IF($B587="","",IFERROR(INDEX(직원목록!$B$3:$B$302,MATCH($B587,직원목록!$A$3:$A$302,0)),"미등록사번"))</f>
        <v/>
      </c>
      <c r="D587" s="13" t="str">
        <f aca="false">IF($B587="","",IFERROR(INDEX(직원목록!$C$3:$C$302,MATCH($B587,직원목록!$A$3:$A$302,0)),""))</f>
        <v/>
      </c>
      <c r="E587" s="14"/>
      <c r="F587" s="14"/>
      <c r="G587" s="15"/>
      <c r="H587" s="16" t="str">
        <f aca="false">IF(OR($K587="",$L587=""),"",ROUND(MAX(0,($L587-$K587)-IF($G587="",0,$G587))/60,2))</f>
        <v/>
      </c>
      <c r="I587" s="8"/>
      <c r="J587" s="8"/>
      <c r="K587" s="17" t="str">
        <f aca="false">IF($E587="","",IF($E587&lt;1,ROUND($E587*1440,0),INT($E587/100)*60+MOD($E587,100)))</f>
        <v/>
      </c>
      <c r="L587" s="17" t="str">
        <f aca="false">IF($F587="","",IF($F587&lt;1,ROUND($F587*1440,0),INT($F587/100)*60+MOD($F587,100)))</f>
        <v/>
      </c>
    </row>
    <row r="588" customFormat="false" ht="15" hidden="false" customHeight="true" outlineLevel="0" collapsed="false">
      <c r="A588" s="10"/>
      <c r="B588" s="8"/>
      <c r="C588" s="13" t="str">
        <f aca="false">IF($B588="","",IFERROR(INDEX(직원목록!$B$3:$B$302,MATCH($B588,직원목록!$A$3:$A$302,0)),"미등록사번"))</f>
        <v/>
      </c>
      <c r="D588" s="13" t="str">
        <f aca="false">IF($B588="","",IFERROR(INDEX(직원목록!$C$3:$C$302,MATCH($B588,직원목록!$A$3:$A$302,0)),""))</f>
        <v/>
      </c>
      <c r="E588" s="14"/>
      <c r="F588" s="14"/>
      <c r="G588" s="15"/>
      <c r="H588" s="16" t="str">
        <f aca="false">IF(OR($K588="",$L588=""),"",ROUND(MAX(0,($L588-$K588)-IF($G588="",0,$G588))/60,2))</f>
        <v/>
      </c>
      <c r="I588" s="8"/>
      <c r="J588" s="8"/>
      <c r="K588" s="17" t="str">
        <f aca="false">IF($E588="","",IF($E588&lt;1,ROUND($E588*1440,0),INT($E588/100)*60+MOD($E588,100)))</f>
        <v/>
      </c>
      <c r="L588" s="17" t="str">
        <f aca="false">IF($F588="","",IF($F588&lt;1,ROUND($F588*1440,0),INT($F588/100)*60+MOD($F588,100)))</f>
        <v/>
      </c>
    </row>
    <row r="589" customFormat="false" ht="15" hidden="false" customHeight="true" outlineLevel="0" collapsed="false">
      <c r="A589" s="10"/>
      <c r="B589" s="8"/>
      <c r="C589" s="13" t="str">
        <f aca="false">IF($B589="","",IFERROR(INDEX(직원목록!$B$3:$B$302,MATCH($B589,직원목록!$A$3:$A$302,0)),"미등록사번"))</f>
        <v/>
      </c>
      <c r="D589" s="13" t="str">
        <f aca="false">IF($B589="","",IFERROR(INDEX(직원목록!$C$3:$C$302,MATCH($B589,직원목록!$A$3:$A$302,0)),""))</f>
        <v/>
      </c>
      <c r="E589" s="14"/>
      <c r="F589" s="14"/>
      <c r="G589" s="15"/>
      <c r="H589" s="16" t="str">
        <f aca="false">IF(OR($K589="",$L589=""),"",ROUND(MAX(0,($L589-$K589)-IF($G589="",0,$G589))/60,2))</f>
        <v/>
      </c>
      <c r="I589" s="8"/>
      <c r="J589" s="8"/>
      <c r="K589" s="17" t="str">
        <f aca="false">IF($E589="","",IF($E589&lt;1,ROUND($E589*1440,0),INT($E589/100)*60+MOD($E589,100)))</f>
        <v/>
      </c>
      <c r="L589" s="17" t="str">
        <f aca="false">IF($F589="","",IF($F589&lt;1,ROUND($F589*1440,0),INT($F589/100)*60+MOD($F589,100)))</f>
        <v/>
      </c>
    </row>
    <row r="590" customFormat="false" ht="15" hidden="false" customHeight="true" outlineLevel="0" collapsed="false">
      <c r="A590" s="10"/>
      <c r="B590" s="8"/>
      <c r="C590" s="13" t="str">
        <f aca="false">IF($B590="","",IFERROR(INDEX(직원목록!$B$3:$B$302,MATCH($B590,직원목록!$A$3:$A$302,0)),"미등록사번"))</f>
        <v/>
      </c>
      <c r="D590" s="13" t="str">
        <f aca="false">IF($B590="","",IFERROR(INDEX(직원목록!$C$3:$C$302,MATCH($B590,직원목록!$A$3:$A$302,0)),""))</f>
        <v/>
      </c>
      <c r="E590" s="14"/>
      <c r="F590" s="14"/>
      <c r="G590" s="15"/>
      <c r="H590" s="16" t="str">
        <f aca="false">IF(OR($K590="",$L590=""),"",ROUND(MAX(0,($L590-$K590)-IF($G590="",0,$G590))/60,2))</f>
        <v/>
      </c>
      <c r="I590" s="8"/>
      <c r="J590" s="8"/>
      <c r="K590" s="17" t="str">
        <f aca="false">IF($E590="","",IF($E590&lt;1,ROUND($E590*1440,0),INT($E590/100)*60+MOD($E590,100)))</f>
        <v/>
      </c>
      <c r="L590" s="17" t="str">
        <f aca="false">IF($F590="","",IF($F590&lt;1,ROUND($F590*1440,0),INT($F590/100)*60+MOD($F590,100)))</f>
        <v/>
      </c>
    </row>
    <row r="591" customFormat="false" ht="15" hidden="false" customHeight="true" outlineLevel="0" collapsed="false">
      <c r="A591" s="10"/>
      <c r="B591" s="8"/>
      <c r="C591" s="13" t="str">
        <f aca="false">IF($B591="","",IFERROR(INDEX(직원목록!$B$3:$B$302,MATCH($B591,직원목록!$A$3:$A$302,0)),"미등록사번"))</f>
        <v/>
      </c>
      <c r="D591" s="13" t="str">
        <f aca="false">IF($B591="","",IFERROR(INDEX(직원목록!$C$3:$C$302,MATCH($B591,직원목록!$A$3:$A$302,0)),""))</f>
        <v/>
      </c>
      <c r="E591" s="14"/>
      <c r="F591" s="14"/>
      <c r="G591" s="15"/>
      <c r="H591" s="16" t="str">
        <f aca="false">IF(OR($K591="",$L591=""),"",ROUND(MAX(0,($L591-$K591)-IF($G591="",0,$G591))/60,2))</f>
        <v/>
      </c>
      <c r="I591" s="8"/>
      <c r="J591" s="8"/>
      <c r="K591" s="17" t="str">
        <f aca="false">IF($E591="","",IF($E591&lt;1,ROUND($E591*1440,0),INT($E591/100)*60+MOD($E591,100)))</f>
        <v/>
      </c>
      <c r="L591" s="17" t="str">
        <f aca="false">IF($F591="","",IF($F591&lt;1,ROUND($F591*1440,0),INT($F591/100)*60+MOD($F591,100)))</f>
        <v/>
      </c>
    </row>
    <row r="592" customFormat="false" ht="15" hidden="false" customHeight="true" outlineLevel="0" collapsed="false">
      <c r="A592" s="10"/>
      <c r="B592" s="8"/>
      <c r="C592" s="13" t="str">
        <f aca="false">IF($B592="","",IFERROR(INDEX(직원목록!$B$3:$B$302,MATCH($B592,직원목록!$A$3:$A$302,0)),"미등록사번"))</f>
        <v/>
      </c>
      <c r="D592" s="13" t="str">
        <f aca="false">IF($B592="","",IFERROR(INDEX(직원목록!$C$3:$C$302,MATCH($B592,직원목록!$A$3:$A$302,0)),""))</f>
        <v/>
      </c>
      <c r="E592" s="14"/>
      <c r="F592" s="14"/>
      <c r="G592" s="15"/>
      <c r="H592" s="16" t="str">
        <f aca="false">IF(OR($K592="",$L592=""),"",ROUND(MAX(0,($L592-$K592)-IF($G592="",0,$G592))/60,2))</f>
        <v/>
      </c>
      <c r="I592" s="8"/>
      <c r="J592" s="8"/>
      <c r="K592" s="17" t="str">
        <f aca="false">IF($E592="","",IF($E592&lt;1,ROUND($E592*1440,0),INT($E592/100)*60+MOD($E592,100)))</f>
        <v/>
      </c>
      <c r="L592" s="17" t="str">
        <f aca="false">IF($F592="","",IF($F592&lt;1,ROUND($F592*1440,0),INT($F592/100)*60+MOD($F592,100)))</f>
        <v/>
      </c>
    </row>
    <row r="593" customFormat="false" ht="15" hidden="false" customHeight="true" outlineLevel="0" collapsed="false">
      <c r="A593" s="10"/>
      <c r="B593" s="8"/>
      <c r="C593" s="13" t="str">
        <f aca="false">IF($B593="","",IFERROR(INDEX(직원목록!$B$3:$B$302,MATCH($B593,직원목록!$A$3:$A$302,0)),"미등록사번"))</f>
        <v/>
      </c>
      <c r="D593" s="13" t="str">
        <f aca="false">IF($B593="","",IFERROR(INDEX(직원목록!$C$3:$C$302,MATCH($B593,직원목록!$A$3:$A$302,0)),""))</f>
        <v/>
      </c>
      <c r="E593" s="14"/>
      <c r="F593" s="14"/>
      <c r="G593" s="15"/>
      <c r="H593" s="16" t="str">
        <f aca="false">IF(OR($K593="",$L593=""),"",ROUND(MAX(0,($L593-$K593)-IF($G593="",0,$G593))/60,2))</f>
        <v/>
      </c>
      <c r="I593" s="8"/>
      <c r="J593" s="8"/>
      <c r="K593" s="17" t="str">
        <f aca="false">IF($E593="","",IF($E593&lt;1,ROUND($E593*1440,0),INT($E593/100)*60+MOD($E593,100)))</f>
        <v/>
      </c>
      <c r="L593" s="17" t="str">
        <f aca="false">IF($F593="","",IF($F593&lt;1,ROUND($F593*1440,0),INT($F593/100)*60+MOD($F593,100)))</f>
        <v/>
      </c>
    </row>
    <row r="594" customFormat="false" ht="15" hidden="false" customHeight="true" outlineLevel="0" collapsed="false">
      <c r="A594" s="10"/>
      <c r="B594" s="8"/>
      <c r="C594" s="13" t="str">
        <f aca="false">IF($B594="","",IFERROR(INDEX(직원목록!$B$3:$B$302,MATCH($B594,직원목록!$A$3:$A$302,0)),"미등록사번"))</f>
        <v/>
      </c>
      <c r="D594" s="13" t="str">
        <f aca="false">IF($B594="","",IFERROR(INDEX(직원목록!$C$3:$C$302,MATCH($B594,직원목록!$A$3:$A$302,0)),""))</f>
        <v/>
      </c>
      <c r="E594" s="14"/>
      <c r="F594" s="14"/>
      <c r="G594" s="15"/>
      <c r="H594" s="16" t="str">
        <f aca="false">IF(OR($K594="",$L594=""),"",ROUND(MAX(0,($L594-$K594)-IF($G594="",0,$G594))/60,2))</f>
        <v/>
      </c>
      <c r="I594" s="8"/>
      <c r="J594" s="8"/>
      <c r="K594" s="17" t="str">
        <f aca="false">IF($E594="","",IF($E594&lt;1,ROUND($E594*1440,0),INT($E594/100)*60+MOD($E594,100)))</f>
        <v/>
      </c>
      <c r="L594" s="17" t="str">
        <f aca="false">IF($F594="","",IF($F594&lt;1,ROUND($F594*1440,0),INT($F594/100)*60+MOD($F594,100)))</f>
        <v/>
      </c>
    </row>
    <row r="595" customFormat="false" ht="15" hidden="false" customHeight="true" outlineLevel="0" collapsed="false">
      <c r="A595" s="10"/>
      <c r="B595" s="8"/>
      <c r="C595" s="13" t="str">
        <f aca="false">IF($B595="","",IFERROR(INDEX(직원목록!$B$3:$B$302,MATCH($B595,직원목록!$A$3:$A$302,0)),"미등록사번"))</f>
        <v/>
      </c>
      <c r="D595" s="13" t="str">
        <f aca="false">IF($B595="","",IFERROR(INDEX(직원목록!$C$3:$C$302,MATCH($B595,직원목록!$A$3:$A$302,0)),""))</f>
        <v/>
      </c>
      <c r="E595" s="14"/>
      <c r="F595" s="14"/>
      <c r="G595" s="15"/>
      <c r="H595" s="16" t="str">
        <f aca="false">IF(OR($K595="",$L595=""),"",ROUND(MAX(0,($L595-$K595)-IF($G595="",0,$G595))/60,2))</f>
        <v/>
      </c>
      <c r="I595" s="8"/>
      <c r="J595" s="8"/>
      <c r="K595" s="17" t="str">
        <f aca="false">IF($E595="","",IF($E595&lt;1,ROUND($E595*1440,0),INT($E595/100)*60+MOD($E595,100)))</f>
        <v/>
      </c>
      <c r="L595" s="17" t="str">
        <f aca="false">IF($F595="","",IF($F595&lt;1,ROUND($F595*1440,0),INT($F595/100)*60+MOD($F595,100)))</f>
        <v/>
      </c>
    </row>
    <row r="596" customFormat="false" ht="15" hidden="false" customHeight="true" outlineLevel="0" collapsed="false">
      <c r="A596" s="10"/>
      <c r="B596" s="8"/>
      <c r="C596" s="13" t="str">
        <f aca="false">IF($B596="","",IFERROR(INDEX(직원목록!$B$3:$B$302,MATCH($B596,직원목록!$A$3:$A$302,0)),"미등록사번"))</f>
        <v/>
      </c>
      <c r="D596" s="13" t="str">
        <f aca="false">IF($B596="","",IFERROR(INDEX(직원목록!$C$3:$C$302,MATCH($B596,직원목록!$A$3:$A$302,0)),""))</f>
        <v/>
      </c>
      <c r="E596" s="14"/>
      <c r="F596" s="14"/>
      <c r="G596" s="15"/>
      <c r="H596" s="16" t="str">
        <f aca="false">IF(OR($K596="",$L596=""),"",ROUND(MAX(0,($L596-$K596)-IF($G596="",0,$G596))/60,2))</f>
        <v/>
      </c>
      <c r="I596" s="8"/>
      <c r="J596" s="8"/>
      <c r="K596" s="17" t="str">
        <f aca="false">IF($E596="","",IF($E596&lt;1,ROUND($E596*1440,0),INT($E596/100)*60+MOD($E596,100)))</f>
        <v/>
      </c>
      <c r="L596" s="17" t="str">
        <f aca="false">IF($F596="","",IF($F596&lt;1,ROUND($F596*1440,0),INT($F596/100)*60+MOD($F596,100)))</f>
        <v/>
      </c>
    </row>
    <row r="597" customFormat="false" ht="15" hidden="false" customHeight="true" outlineLevel="0" collapsed="false">
      <c r="A597" s="10"/>
      <c r="B597" s="8"/>
      <c r="C597" s="13" t="str">
        <f aca="false">IF($B597="","",IFERROR(INDEX(직원목록!$B$3:$B$302,MATCH($B597,직원목록!$A$3:$A$302,0)),"미등록사번"))</f>
        <v/>
      </c>
      <c r="D597" s="13" t="str">
        <f aca="false">IF($B597="","",IFERROR(INDEX(직원목록!$C$3:$C$302,MATCH($B597,직원목록!$A$3:$A$302,0)),""))</f>
        <v/>
      </c>
      <c r="E597" s="14"/>
      <c r="F597" s="14"/>
      <c r="G597" s="15"/>
      <c r="H597" s="16" t="str">
        <f aca="false">IF(OR($K597="",$L597=""),"",ROUND(MAX(0,($L597-$K597)-IF($G597="",0,$G597))/60,2))</f>
        <v/>
      </c>
      <c r="I597" s="8"/>
      <c r="J597" s="8"/>
      <c r="K597" s="17" t="str">
        <f aca="false">IF($E597="","",IF($E597&lt;1,ROUND($E597*1440,0),INT($E597/100)*60+MOD($E597,100)))</f>
        <v/>
      </c>
      <c r="L597" s="17" t="str">
        <f aca="false">IF($F597="","",IF($F597&lt;1,ROUND($F597*1440,0),INT($F597/100)*60+MOD($F597,100)))</f>
        <v/>
      </c>
    </row>
    <row r="598" customFormat="false" ht="15" hidden="false" customHeight="true" outlineLevel="0" collapsed="false">
      <c r="A598" s="10"/>
      <c r="B598" s="8"/>
      <c r="C598" s="13" t="str">
        <f aca="false">IF($B598="","",IFERROR(INDEX(직원목록!$B$3:$B$302,MATCH($B598,직원목록!$A$3:$A$302,0)),"미등록사번"))</f>
        <v/>
      </c>
      <c r="D598" s="13" t="str">
        <f aca="false">IF($B598="","",IFERROR(INDEX(직원목록!$C$3:$C$302,MATCH($B598,직원목록!$A$3:$A$302,0)),""))</f>
        <v/>
      </c>
      <c r="E598" s="14"/>
      <c r="F598" s="14"/>
      <c r="G598" s="15"/>
      <c r="H598" s="16" t="str">
        <f aca="false">IF(OR($K598="",$L598=""),"",ROUND(MAX(0,($L598-$K598)-IF($G598="",0,$G598))/60,2))</f>
        <v/>
      </c>
      <c r="I598" s="8"/>
      <c r="J598" s="8"/>
      <c r="K598" s="17" t="str">
        <f aca="false">IF($E598="","",IF($E598&lt;1,ROUND($E598*1440,0),INT($E598/100)*60+MOD($E598,100)))</f>
        <v/>
      </c>
      <c r="L598" s="17" t="str">
        <f aca="false">IF($F598="","",IF($F598&lt;1,ROUND($F598*1440,0),INT($F598/100)*60+MOD($F598,100)))</f>
        <v/>
      </c>
    </row>
    <row r="599" customFormat="false" ht="15" hidden="false" customHeight="true" outlineLevel="0" collapsed="false">
      <c r="A599" s="10"/>
      <c r="B599" s="8"/>
      <c r="C599" s="13" t="str">
        <f aca="false">IF($B599="","",IFERROR(INDEX(직원목록!$B$3:$B$302,MATCH($B599,직원목록!$A$3:$A$302,0)),"미등록사번"))</f>
        <v/>
      </c>
      <c r="D599" s="13" t="str">
        <f aca="false">IF($B599="","",IFERROR(INDEX(직원목록!$C$3:$C$302,MATCH($B599,직원목록!$A$3:$A$302,0)),""))</f>
        <v/>
      </c>
      <c r="E599" s="14"/>
      <c r="F599" s="14"/>
      <c r="G599" s="15"/>
      <c r="H599" s="16" t="str">
        <f aca="false">IF(OR($K599="",$L599=""),"",ROUND(MAX(0,($L599-$K599)-IF($G599="",0,$G599))/60,2))</f>
        <v/>
      </c>
      <c r="I599" s="8"/>
      <c r="J599" s="8"/>
      <c r="K599" s="17" t="str">
        <f aca="false">IF($E599="","",IF($E599&lt;1,ROUND($E599*1440,0),INT($E599/100)*60+MOD($E599,100)))</f>
        <v/>
      </c>
      <c r="L599" s="17" t="str">
        <f aca="false">IF($F599="","",IF($F599&lt;1,ROUND($F599*1440,0),INT($F599/100)*60+MOD($F599,100)))</f>
        <v/>
      </c>
    </row>
    <row r="600" customFormat="false" ht="15" hidden="false" customHeight="true" outlineLevel="0" collapsed="false">
      <c r="A600" s="10"/>
      <c r="B600" s="8"/>
      <c r="C600" s="13" t="str">
        <f aca="false">IF($B600="","",IFERROR(INDEX(직원목록!$B$3:$B$302,MATCH($B600,직원목록!$A$3:$A$302,0)),"미등록사번"))</f>
        <v/>
      </c>
      <c r="D600" s="13" t="str">
        <f aca="false">IF($B600="","",IFERROR(INDEX(직원목록!$C$3:$C$302,MATCH($B600,직원목록!$A$3:$A$302,0)),""))</f>
        <v/>
      </c>
      <c r="E600" s="14"/>
      <c r="F600" s="14"/>
      <c r="G600" s="15"/>
      <c r="H600" s="16" t="str">
        <f aca="false">IF(OR($K600="",$L600=""),"",ROUND(MAX(0,($L600-$K600)-IF($G600="",0,$G600))/60,2))</f>
        <v/>
      </c>
      <c r="I600" s="8"/>
      <c r="J600" s="8"/>
      <c r="K600" s="17" t="str">
        <f aca="false">IF($E600="","",IF($E600&lt;1,ROUND($E600*1440,0),INT($E600/100)*60+MOD($E600,100)))</f>
        <v/>
      </c>
      <c r="L600" s="17" t="str">
        <f aca="false">IF($F600="","",IF($F600&lt;1,ROUND($F600*1440,0),INT($F600/100)*60+MOD($F600,100)))</f>
        <v/>
      </c>
    </row>
    <row r="601" customFormat="false" ht="15" hidden="false" customHeight="true" outlineLevel="0" collapsed="false">
      <c r="A601" s="10"/>
      <c r="B601" s="8"/>
      <c r="C601" s="13" t="str">
        <f aca="false">IF($B601="","",IFERROR(INDEX(직원목록!$B$3:$B$302,MATCH($B601,직원목록!$A$3:$A$302,0)),"미등록사번"))</f>
        <v/>
      </c>
      <c r="D601" s="13" t="str">
        <f aca="false">IF($B601="","",IFERROR(INDEX(직원목록!$C$3:$C$302,MATCH($B601,직원목록!$A$3:$A$302,0)),""))</f>
        <v/>
      </c>
      <c r="E601" s="14"/>
      <c r="F601" s="14"/>
      <c r="G601" s="15"/>
      <c r="H601" s="16" t="str">
        <f aca="false">IF(OR($K601="",$L601=""),"",ROUND(MAX(0,($L601-$K601)-IF($G601="",0,$G601))/60,2))</f>
        <v/>
      </c>
      <c r="I601" s="8"/>
      <c r="J601" s="8"/>
      <c r="K601" s="17" t="str">
        <f aca="false">IF($E601="","",IF($E601&lt;1,ROUND($E601*1440,0),INT($E601/100)*60+MOD($E601,100)))</f>
        <v/>
      </c>
      <c r="L601" s="17" t="str">
        <f aca="false">IF($F601="","",IF($F601&lt;1,ROUND($F601*1440,0),INT($F601/100)*60+MOD($F601,100)))</f>
        <v/>
      </c>
    </row>
    <row r="602" customFormat="false" ht="15" hidden="false" customHeight="true" outlineLevel="0" collapsed="false">
      <c r="A602" s="10"/>
      <c r="B602" s="8"/>
      <c r="C602" s="13" t="str">
        <f aca="false">IF($B602="","",IFERROR(INDEX(직원목록!$B$3:$B$302,MATCH($B602,직원목록!$A$3:$A$302,0)),"미등록사번"))</f>
        <v/>
      </c>
      <c r="D602" s="13" t="str">
        <f aca="false">IF($B602="","",IFERROR(INDEX(직원목록!$C$3:$C$302,MATCH($B602,직원목록!$A$3:$A$302,0)),""))</f>
        <v/>
      </c>
      <c r="E602" s="14"/>
      <c r="F602" s="14"/>
      <c r="G602" s="15"/>
      <c r="H602" s="16" t="str">
        <f aca="false">IF(OR($K602="",$L602=""),"",ROUND(MAX(0,($L602-$K602)-IF($G602="",0,$G602))/60,2))</f>
        <v/>
      </c>
      <c r="I602" s="8"/>
      <c r="J602" s="8"/>
      <c r="K602" s="17" t="str">
        <f aca="false">IF($E602="","",IF($E602&lt;1,ROUND($E602*1440,0),INT($E602/100)*60+MOD($E602,100)))</f>
        <v/>
      </c>
      <c r="L602" s="17" t="str">
        <f aca="false">IF($F602="","",IF($F602&lt;1,ROUND($F602*1440,0),INT($F602/100)*60+MOD($F602,100)))</f>
        <v/>
      </c>
    </row>
    <row r="603" customFormat="false" ht="15" hidden="false" customHeight="true" outlineLevel="0" collapsed="false">
      <c r="A603" s="10"/>
      <c r="B603" s="8"/>
      <c r="C603" s="13" t="str">
        <f aca="false">IF($B603="","",IFERROR(INDEX(직원목록!$B$3:$B$302,MATCH($B603,직원목록!$A$3:$A$302,0)),"미등록사번"))</f>
        <v/>
      </c>
      <c r="D603" s="13" t="str">
        <f aca="false">IF($B603="","",IFERROR(INDEX(직원목록!$C$3:$C$302,MATCH($B603,직원목록!$A$3:$A$302,0)),""))</f>
        <v/>
      </c>
      <c r="E603" s="14"/>
      <c r="F603" s="14"/>
      <c r="G603" s="15"/>
      <c r="H603" s="16" t="str">
        <f aca="false">IF(OR($K603="",$L603=""),"",ROUND(MAX(0,($L603-$K603)-IF($G603="",0,$G603))/60,2))</f>
        <v/>
      </c>
      <c r="I603" s="8"/>
      <c r="J603" s="8"/>
      <c r="K603" s="17" t="str">
        <f aca="false">IF($E603="","",IF($E603&lt;1,ROUND($E603*1440,0),INT($E603/100)*60+MOD($E603,100)))</f>
        <v/>
      </c>
      <c r="L603" s="17" t="str">
        <f aca="false">IF($F603="","",IF($F603&lt;1,ROUND($F603*1440,0),INT($F603/100)*60+MOD($F603,100)))</f>
        <v/>
      </c>
    </row>
    <row r="604" customFormat="false" ht="15" hidden="false" customHeight="true" outlineLevel="0" collapsed="false">
      <c r="A604" s="10"/>
      <c r="B604" s="8"/>
      <c r="C604" s="13" t="str">
        <f aca="false">IF($B604="","",IFERROR(INDEX(직원목록!$B$3:$B$302,MATCH($B604,직원목록!$A$3:$A$302,0)),"미등록사번"))</f>
        <v/>
      </c>
      <c r="D604" s="13" t="str">
        <f aca="false">IF($B604="","",IFERROR(INDEX(직원목록!$C$3:$C$302,MATCH($B604,직원목록!$A$3:$A$302,0)),""))</f>
        <v/>
      </c>
      <c r="E604" s="14"/>
      <c r="F604" s="14"/>
      <c r="G604" s="15"/>
      <c r="H604" s="16" t="str">
        <f aca="false">IF(OR($K604="",$L604=""),"",ROUND(MAX(0,($L604-$K604)-IF($G604="",0,$G604))/60,2))</f>
        <v/>
      </c>
      <c r="I604" s="8"/>
      <c r="J604" s="8"/>
      <c r="K604" s="17" t="str">
        <f aca="false">IF($E604="","",IF($E604&lt;1,ROUND($E604*1440,0),INT($E604/100)*60+MOD($E604,100)))</f>
        <v/>
      </c>
      <c r="L604" s="17" t="str">
        <f aca="false">IF($F604="","",IF($F604&lt;1,ROUND($F604*1440,0),INT($F604/100)*60+MOD($F604,100)))</f>
        <v/>
      </c>
    </row>
    <row r="605" customFormat="false" ht="15" hidden="false" customHeight="true" outlineLevel="0" collapsed="false">
      <c r="A605" s="10"/>
      <c r="B605" s="8"/>
      <c r="C605" s="13" t="str">
        <f aca="false">IF($B605="","",IFERROR(INDEX(직원목록!$B$3:$B$302,MATCH($B605,직원목록!$A$3:$A$302,0)),"미등록사번"))</f>
        <v/>
      </c>
      <c r="D605" s="13" t="str">
        <f aca="false">IF($B605="","",IFERROR(INDEX(직원목록!$C$3:$C$302,MATCH($B605,직원목록!$A$3:$A$302,0)),""))</f>
        <v/>
      </c>
      <c r="E605" s="14"/>
      <c r="F605" s="14"/>
      <c r="G605" s="15"/>
      <c r="H605" s="16" t="str">
        <f aca="false">IF(OR($K605="",$L605=""),"",ROUND(MAX(0,($L605-$K605)-IF($G605="",0,$G605))/60,2))</f>
        <v/>
      </c>
      <c r="I605" s="8"/>
      <c r="J605" s="8"/>
      <c r="K605" s="17" t="str">
        <f aca="false">IF($E605="","",IF($E605&lt;1,ROUND($E605*1440,0),INT($E605/100)*60+MOD($E605,100)))</f>
        <v/>
      </c>
      <c r="L605" s="17" t="str">
        <f aca="false">IF($F605="","",IF($F605&lt;1,ROUND($F605*1440,0),INT($F605/100)*60+MOD($F605,100)))</f>
        <v/>
      </c>
    </row>
    <row r="606" customFormat="false" ht="15" hidden="false" customHeight="true" outlineLevel="0" collapsed="false">
      <c r="A606" s="10"/>
      <c r="B606" s="8"/>
      <c r="C606" s="13" t="str">
        <f aca="false">IF($B606="","",IFERROR(INDEX(직원목록!$B$3:$B$302,MATCH($B606,직원목록!$A$3:$A$302,0)),"미등록사번"))</f>
        <v/>
      </c>
      <c r="D606" s="13" t="str">
        <f aca="false">IF($B606="","",IFERROR(INDEX(직원목록!$C$3:$C$302,MATCH($B606,직원목록!$A$3:$A$302,0)),""))</f>
        <v/>
      </c>
      <c r="E606" s="14"/>
      <c r="F606" s="14"/>
      <c r="G606" s="15"/>
      <c r="H606" s="16" t="str">
        <f aca="false">IF(OR($K606="",$L606=""),"",ROUND(MAX(0,($L606-$K606)-IF($G606="",0,$G606))/60,2))</f>
        <v/>
      </c>
      <c r="I606" s="8"/>
      <c r="J606" s="8"/>
      <c r="K606" s="17" t="str">
        <f aca="false">IF($E606="","",IF($E606&lt;1,ROUND($E606*1440,0),INT($E606/100)*60+MOD($E606,100)))</f>
        <v/>
      </c>
      <c r="L606" s="17" t="str">
        <f aca="false">IF($F606="","",IF($F606&lt;1,ROUND($F606*1440,0),INT($F606/100)*60+MOD($F606,100)))</f>
        <v/>
      </c>
    </row>
    <row r="607" customFormat="false" ht="15" hidden="false" customHeight="true" outlineLevel="0" collapsed="false">
      <c r="A607" s="10"/>
      <c r="B607" s="8"/>
      <c r="C607" s="13" t="str">
        <f aca="false">IF($B607="","",IFERROR(INDEX(직원목록!$B$3:$B$302,MATCH($B607,직원목록!$A$3:$A$302,0)),"미등록사번"))</f>
        <v/>
      </c>
      <c r="D607" s="13" t="str">
        <f aca="false">IF($B607="","",IFERROR(INDEX(직원목록!$C$3:$C$302,MATCH($B607,직원목록!$A$3:$A$302,0)),""))</f>
        <v/>
      </c>
      <c r="E607" s="14"/>
      <c r="F607" s="14"/>
      <c r="G607" s="15"/>
      <c r="H607" s="16" t="str">
        <f aca="false">IF(OR($K607="",$L607=""),"",ROUND(MAX(0,($L607-$K607)-IF($G607="",0,$G607))/60,2))</f>
        <v/>
      </c>
      <c r="I607" s="8"/>
      <c r="J607" s="8"/>
      <c r="K607" s="17" t="str">
        <f aca="false">IF($E607="","",IF($E607&lt;1,ROUND($E607*1440,0),INT($E607/100)*60+MOD($E607,100)))</f>
        <v/>
      </c>
      <c r="L607" s="17" t="str">
        <f aca="false">IF($F607="","",IF($F607&lt;1,ROUND($F607*1440,0),INT($F607/100)*60+MOD($F607,100)))</f>
        <v/>
      </c>
    </row>
    <row r="608" customFormat="false" ht="15" hidden="false" customHeight="true" outlineLevel="0" collapsed="false">
      <c r="A608" s="10"/>
      <c r="B608" s="8"/>
      <c r="C608" s="13" t="str">
        <f aca="false">IF($B608="","",IFERROR(INDEX(직원목록!$B$3:$B$302,MATCH($B608,직원목록!$A$3:$A$302,0)),"미등록사번"))</f>
        <v/>
      </c>
      <c r="D608" s="13" t="str">
        <f aca="false">IF($B608="","",IFERROR(INDEX(직원목록!$C$3:$C$302,MATCH($B608,직원목록!$A$3:$A$302,0)),""))</f>
        <v/>
      </c>
      <c r="E608" s="14"/>
      <c r="F608" s="14"/>
      <c r="G608" s="15"/>
      <c r="H608" s="16" t="str">
        <f aca="false">IF(OR($K608="",$L608=""),"",ROUND(MAX(0,($L608-$K608)-IF($G608="",0,$G608))/60,2))</f>
        <v/>
      </c>
      <c r="I608" s="8"/>
      <c r="J608" s="8"/>
      <c r="K608" s="17" t="str">
        <f aca="false">IF($E608="","",IF($E608&lt;1,ROUND($E608*1440,0),INT($E608/100)*60+MOD($E608,100)))</f>
        <v/>
      </c>
      <c r="L608" s="17" t="str">
        <f aca="false">IF($F608="","",IF($F608&lt;1,ROUND($F608*1440,0),INT($F608/100)*60+MOD($F608,100)))</f>
        <v/>
      </c>
    </row>
    <row r="609" customFormat="false" ht="15" hidden="false" customHeight="true" outlineLevel="0" collapsed="false">
      <c r="A609" s="10"/>
      <c r="B609" s="8"/>
      <c r="C609" s="13" t="str">
        <f aca="false">IF($B609="","",IFERROR(INDEX(직원목록!$B$3:$B$302,MATCH($B609,직원목록!$A$3:$A$302,0)),"미등록사번"))</f>
        <v/>
      </c>
      <c r="D609" s="13" t="str">
        <f aca="false">IF($B609="","",IFERROR(INDEX(직원목록!$C$3:$C$302,MATCH($B609,직원목록!$A$3:$A$302,0)),""))</f>
        <v/>
      </c>
      <c r="E609" s="14"/>
      <c r="F609" s="14"/>
      <c r="G609" s="15"/>
      <c r="H609" s="16" t="str">
        <f aca="false">IF(OR($K609="",$L609=""),"",ROUND(MAX(0,($L609-$K609)-IF($G609="",0,$G609))/60,2))</f>
        <v/>
      </c>
      <c r="I609" s="8"/>
      <c r="J609" s="8"/>
      <c r="K609" s="17" t="str">
        <f aca="false">IF($E609="","",IF($E609&lt;1,ROUND($E609*1440,0),INT($E609/100)*60+MOD($E609,100)))</f>
        <v/>
      </c>
      <c r="L609" s="17" t="str">
        <f aca="false">IF($F609="","",IF($F609&lt;1,ROUND($F609*1440,0),INT($F609/100)*60+MOD($F609,100)))</f>
        <v/>
      </c>
    </row>
    <row r="610" customFormat="false" ht="15" hidden="false" customHeight="true" outlineLevel="0" collapsed="false">
      <c r="A610" s="10"/>
      <c r="B610" s="8"/>
      <c r="C610" s="13" t="str">
        <f aca="false">IF($B610="","",IFERROR(INDEX(직원목록!$B$3:$B$302,MATCH($B610,직원목록!$A$3:$A$302,0)),"미등록사번"))</f>
        <v/>
      </c>
      <c r="D610" s="13" t="str">
        <f aca="false">IF($B610="","",IFERROR(INDEX(직원목록!$C$3:$C$302,MATCH($B610,직원목록!$A$3:$A$302,0)),""))</f>
        <v/>
      </c>
      <c r="E610" s="14"/>
      <c r="F610" s="14"/>
      <c r="G610" s="15"/>
      <c r="H610" s="16" t="str">
        <f aca="false">IF(OR($K610="",$L610=""),"",ROUND(MAX(0,($L610-$K610)-IF($G610="",0,$G610))/60,2))</f>
        <v/>
      </c>
      <c r="I610" s="8"/>
      <c r="J610" s="8"/>
      <c r="K610" s="17" t="str">
        <f aca="false">IF($E610="","",IF($E610&lt;1,ROUND($E610*1440,0),INT($E610/100)*60+MOD($E610,100)))</f>
        <v/>
      </c>
      <c r="L610" s="17" t="str">
        <f aca="false">IF($F610="","",IF($F610&lt;1,ROUND($F610*1440,0),INT($F610/100)*60+MOD($F610,100)))</f>
        <v/>
      </c>
    </row>
    <row r="611" customFormat="false" ht="15" hidden="false" customHeight="true" outlineLevel="0" collapsed="false">
      <c r="A611" s="10"/>
      <c r="B611" s="8"/>
      <c r="C611" s="13" t="str">
        <f aca="false">IF($B611="","",IFERROR(INDEX(직원목록!$B$3:$B$302,MATCH($B611,직원목록!$A$3:$A$302,0)),"미등록사번"))</f>
        <v/>
      </c>
      <c r="D611" s="13" t="str">
        <f aca="false">IF($B611="","",IFERROR(INDEX(직원목록!$C$3:$C$302,MATCH($B611,직원목록!$A$3:$A$302,0)),""))</f>
        <v/>
      </c>
      <c r="E611" s="14"/>
      <c r="F611" s="14"/>
      <c r="G611" s="15"/>
      <c r="H611" s="16" t="str">
        <f aca="false">IF(OR($K611="",$L611=""),"",ROUND(MAX(0,($L611-$K611)-IF($G611="",0,$G611))/60,2))</f>
        <v/>
      </c>
      <c r="I611" s="8"/>
      <c r="J611" s="8"/>
      <c r="K611" s="17" t="str">
        <f aca="false">IF($E611="","",IF($E611&lt;1,ROUND($E611*1440,0),INT($E611/100)*60+MOD($E611,100)))</f>
        <v/>
      </c>
      <c r="L611" s="17" t="str">
        <f aca="false">IF($F611="","",IF($F611&lt;1,ROUND($F611*1440,0),INT($F611/100)*60+MOD($F611,100)))</f>
        <v/>
      </c>
    </row>
    <row r="612" customFormat="false" ht="15" hidden="false" customHeight="true" outlineLevel="0" collapsed="false">
      <c r="A612" s="10"/>
      <c r="B612" s="8"/>
      <c r="C612" s="13" t="str">
        <f aca="false">IF($B612="","",IFERROR(INDEX(직원목록!$B$3:$B$302,MATCH($B612,직원목록!$A$3:$A$302,0)),"미등록사번"))</f>
        <v/>
      </c>
      <c r="D612" s="13" t="str">
        <f aca="false">IF($B612="","",IFERROR(INDEX(직원목록!$C$3:$C$302,MATCH($B612,직원목록!$A$3:$A$302,0)),""))</f>
        <v/>
      </c>
      <c r="E612" s="14"/>
      <c r="F612" s="14"/>
      <c r="G612" s="15"/>
      <c r="H612" s="16" t="str">
        <f aca="false">IF(OR($K612="",$L612=""),"",ROUND(MAX(0,($L612-$K612)-IF($G612="",0,$G612))/60,2))</f>
        <v/>
      </c>
      <c r="I612" s="8"/>
      <c r="J612" s="8"/>
      <c r="K612" s="17" t="str">
        <f aca="false">IF($E612="","",IF($E612&lt;1,ROUND($E612*1440,0),INT($E612/100)*60+MOD($E612,100)))</f>
        <v/>
      </c>
      <c r="L612" s="17" t="str">
        <f aca="false">IF($F612="","",IF($F612&lt;1,ROUND($F612*1440,0),INT($F612/100)*60+MOD($F612,100)))</f>
        <v/>
      </c>
    </row>
    <row r="613" customFormat="false" ht="15" hidden="false" customHeight="true" outlineLevel="0" collapsed="false">
      <c r="A613" s="10"/>
      <c r="B613" s="8"/>
      <c r="C613" s="13" t="str">
        <f aca="false">IF($B613="","",IFERROR(INDEX(직원목록!$B$3:$B$302,MATCH($B613,직원목록!$A$3:$A$302,0)),"미등록사번"))</f>
        <v/>
      </c>
      <c r="D613" s="13" t="str">
        <f aca="false">IF($B613="","",IFERROR(INDEX(직원목록!$C$3:$C$302,MATCH($B613,직원목록!$A$3:$A$302,0)),""))</f>
        <v/>
      </c>
      <c r="E613" s="14"/>
      <c r="F613" s="14"/>
      <c r="G613" s="15"/>
      <c r="H613" s="16" t="str">
        <f aca="false">IF(OR($K613="",$L613=""),"",ROUND(MAX(0,($L613-$K613)-IF($G613="",0,$G613))/60,2))</f>
        <v/>
      </c>
      <c r="I613" s="8"/>
      <c r="J613" s="8"/>
      <c r="K613" s="17" t="str">
        <f aca="false">IF($E613="","",IF($E613&lt;1,ROUND($E613*1440,0),INT($E613/100)*60+MOD($E613,100)))</f>
        <v/>
      </c>
      <c r="L613" s="17" t="str">
        <f aca="false">IF($F613="","",IF($F613&lt;1,ROUND($F613*1440,0),INT($F613/100)*60+MOD($F613,100)))</f>
        <v/>
      </c>
    </row>
    <row r="614" customFormat="false" ht="15" hidden="false" customHeight="true" outlineLevel="0" collapsed="false">
      <c r="A614" s="10"/>
      <c r="B614" s="8"/>
      <c r="C614" s="13" t="str">
        <f aca="false">IF($B614="","",IFERROR(INDEX(직원목록!$B$3:$B$302,MATCH($B614,직원목록!$A$3:$A$302,0)),"미등록사번"))</f>
        <v/>
      </c>
      <c r="D614" s="13" t="str">
        <f aca="false">IF($B614="","",IFERROR(INDEX(직원목록!$C$3:$C$302,MATCH($B614,직원목록!$A$3:$A$302,0)),""))</f>
        <v/>
      </c>
      <c r="E614" s="14"/>
      <c r="F614" s="14"/>
      <c r="G614" s="15"/>
      <c r="H614" s="16" t="str">
        <f aca="false">IF(OR($K614="",$L614=""),"",ROUND(MAX(0,($L614-$K614)-IF($G614="",0,$G614))/60,2))</f>
        <v/>
      </c>
      <c r="I614" s="8"/>
      <c r="J614" s="8"/>
      <c r="K614" s="17" t="str">
        <f aca="false">IF($E614="","",IF($E614&lt;1,ROUND($E614*1440,0),INT($E614/100)*60+MOD($E614,100)))</f>
        <v/>
      </c>
      <c r="L614" s="17" t="str">
        <f aca="false">IF($F614="","",IF($F614&lt;1,ROUND($F614*1440,0),INT($F614/100)*60+MOD($F614,100)))</f>
        <v/>
      </c>
    </row>
    <row r="615" customFormat="false" ht="15" hidden="false" customHeight="true" outlineLevel="0" collapsed="false">
      <c r="A615" s="10"/>
      <c r="B615" s="8"/>
      <c r="C615" s="13" t="str">
        <f aca="false">IF($B615="","",IFERROR(INDEX(직원목록!$B$3:$B$302,MATCH($B615,직원목록!$A$3:$A$302,0)),"미등록사번"))</f>
        <v/>
      </c>
      <c r="D615" s="13" t="str">
        <f aca="false">IF($B615="","",IFERROR(INDEX(직원목록!$C$3:$C$302,MATCH($B615,직원목록!$A$3:$A$302,0)),""))</f>
        <v/>
      </c>
      <c r="E615" s="14"/>
      <c r="F615" s="14"/>
      <c r="G615" s="15"/>
      <c r="H615" s="16" t="str">
        <f aca="false">IF(OR($K615="",$L615=""),"",ROUND(MAX(0,($L615-$K615)-IF($G615="",0,$G615))/60,2))</f>
        <v/>
      </c>
      <c r="I615" s="8"/>
      <c r="J615" s="8"/>
      <c r="K615" s="17" t="str">
        <f aca="false">IF($E615="","",IF($E615&lt;1,ROUND($E615*1440,0),INT($E615/100)*60+MOD($E615,100)))</f>
        <v/>
      </c>
      <c r="L615" s="17" t="str">
        <f aca="false">IF($F615="","",IF($F615&lt;1,ROUND($F615*1440,0),INT($F615/100)*60+MOD($F615,100)))</f>
        <v/>
      </c>
    </row>
    <row r="616" customFormat="false" ht="15" hidden="false" customHeight="true" outlineLevel="0" collapsed="false">
      <c r="A616" s="10"/>
      <c r="B616" s="8"/>
      <c r="C616" s="13" t="str">
        <f aca="false">IF($B616="","",IFERROR(INDEX(직원목록!$B$3:$B$302,MATCH($B616,직원목록!$A$3:$A$302,0)),"미등록사번"))</f>
        <v/>
      </c>
      <c r="D616" s="13" t="str">
        <f aca="false">IF($B616="","",IFERROR(INDEX(직원목록!$C$3:$C$302,MATCH($B616,직원목록!$A$3:$A$302,0)),""))</f>
        <v/>
      </c>
      <c r="E616" s="14"/>
      <c r="F616" s="14"/>
      <c r="G616" s="15"/>
      <c r="H616" s="16" t="str">
        <f aca="false">IF(OR($K616="",$L616=""),"",ROUND(MAX(0,($L616-$K616)-IF($G616="",0,$G616))/60,2))</f>
        <v/>
      </c>
      <c r="I616" s="8"/>
      <c r="J616" s="8"/>
      <c r="K616" s="17" t="str">
        <f aca="false">IF($E616="","",IF($E616&lt;1,ROUND($E616*1440,0),INT($E616/100)*60+MOD($E616,100)))</f>
        <v/>
      </c>
      <c r="L616" s="17" t="str">
        <f aca="false">IF($F616="","",IF($F616&lt;1,ROUND($F616*1440,0),INT($F616/100)*60+MOD($F616,100)))</f>
        <v/>
      </c>
    </row>
    <row r="617" customFormat="false" ht="15" hidden="false" customHeight="true" outlineLevel="0" collapsed="false">
      <c r="A617" s="10"/>
      <c r="B617" s="8"/>
      <c r="C617" s="13" t="str">
        <f aca="false">IF($B617="","",IFERROR(INDEX(직원목록!$B$3:$B$302,MATCH($B617,직원목록!$A$3:$A$302,0)),"미등록사번"))</f>
        <v/>
      </c>
      <c r="D617" s="13" t="str">
        <f aca="false">IF($B617="","",IFERROR(INDEX(직원목록!$C$3:$C$302,MATCH($B617,직원목록!$A$3:$A$302,0)),""))</f>
        <v/>
      </c>
      <c r="E617" s="14"/>
      <c r="F617" s="14"/>
      <c r="G617" s="15"/>
      <c r="H617" s="16" t="str">
        <f aca="false">IF(OR($K617="",$L617=""),"",ROUND(MAX(0,($L617-$K617)-IF($G617="",0,$G617))/60,2))</f>
        <v/>
      </c>
      <c r="I617" s="8"/>
      <c r="J617" s="8"/>
      <c r="K617" s="17" t="str">
        <f aca="false">IF($E617="","",IF($E617&lt;1,ROUND($E617*1440,0),INT($E617/100)*60+MOD($E617,100)))</f>
        <v/>
      </c>
      <c r="L617" s="17" t="str">
        <f aca="false">IF($F617="","",IF($F617&lt;1,ROUND($F617*1440,0),INT($F617/100)*60+MOD($F617,100)))</f>
        <v/>
      </c>
    </row>
    <row r="618" customFormat="false" ht="15" hidden="false" customHeight="true" outlineLevel="0" collapsed="false">
      <c r="A618" s="10"/>
      <c r="B618" s="8"/>
      <c r="C618" s="13" t="str">
        <f aca="false">IF($B618="","",IFERROR(INDEX(직원목록!$B$3:$B$302,MATCH($B618,직원목록!$A$3:$A$302,0)),"미등록사번"))</f>
        <v/>
      </c>
      <c r="D618" s="13" t="str">
        <f aca="false">IF($B618="","",IFERROR(INDEX(직원목록!$C$3:$C$302,MATCH($B618,직원목록!$A$3:$A$302,0)),""))</f>
        <v/>
      </c>
      <c r="E618" s="14"/>
      <c r="F618" s="14"/>
      <c r="G618" s="15"/>
      <c r="H618" s="16" t="str">
        <f aca="false">IF(OR($K618="",$L618=""),"",ROUND(MAX(0,($L618-$K618)-IF($G618="",0,$G618))/60,2))</f>
        <v/>
      </c>
      <c r="I618" s="8"/>
      <c r="J618" s="8"/>
      <c r="K618" s="17" t="str">
        <f aca="false">IF($E618="","",IF($E618&lt;1,ROUND($E618*1440,0),INT($E618/100)*60+MOD($E618,100)))</f>
        <v/>
      </c>
      <c r="L618" s="17" t="str">
        <f aca="false">IF($F618="","",IF($F618&lt;1,ROUND($F618*1440,0),INT($F618/100)*60+MOD($F618,100)))</f>
        <v/>
      </c>
    </row>
    <row r="619" customFormat="false" ht="15" hidden="false" customHeight="true" outlineLevel="0" collapsed="false">
      <c r="A619" s="10"/>
      <c r="B619" s="8"/>
      <c r="C619" s="13" t="str">
        <f aca="false">IF($B619="","",IFERROR(INDEX(직원목록!$B$3:$B$302,MATCH($B619,직원목록!$A$3:$A$302,0)),"미등록사번"))</f>
        <v/>
      </c>
      <c r="D619" s="13" t="str">
        <f aca="false">IF($B619="","",IFERROR(INDEX(직원목록!$C$3:$C$302,MATCH($B619,직원목록!$A$3:$A$302,0)),""))</f>
        <v/>
      </c>
      <c r="E619" s="14"/>
      <c r="F619" s="14"/>
      <c r="G619" s="15"/>
      <c r="H619" s="16" t="str">
        <f aca="false">IF(OR($K619="",$L619=""),"",ROUND(MAX(0,($L619-$K619)-IF($G619="",0,$G619))/60,2))</f>
        <v/>
      </c>
      <c r="I619" s="8"/>
      <c r="J619" s="8"/>
      <c r="K619" s="17" t="str">
        <f aca="false">IF($E619="","",IF($E619&lt;1,ROUND($E619*1440,0),INT($E619/100)*60+MOD($E619,100)))</f>
        <v/>
      </c>
      <c r="L619" s="17" t="str">
        <f aca="false">IF($F619="","",IF($F619&lt;1,ROUND($F619*1440,0),INT($F619/100)*60+MOD($F619,100)))</f>
        <v/>
      </c>
    </row>
    <row r="620" customFormat="false" ht="15" hidden="false" customHeight="true" outlineLevel="0" collapsed="false">
      <c r="A620" s="10"/>
      <c r="B620" s="8"/>
      <c r="C620" s="13" t="str">
        <f aca="false">IF($B620="","",IFERROR(INDEX(직원목록!$B$3:$B$302,MATCH($B620,직원목록!$A$3:$A$302,0)),"미등록사번"))</f>
        <v/>
      </c>
      <c r="D620" s="13" t="str">
        <f aca="false">IF($B620="","",IFERROR(INDEX(직원목록!$C$3:$C$302,MATCH($B620,직원목록!$A$3:$A$302,0)),""))</f>
        <v/>
      </c>
      <c r="E620" s="14"/>
      <c r="F620" s="14"/>
      <c r="G620" s="15"/>
      <c r="H620" s="16" t="str">
        <f aca="false">IF(OR($K620="",$L620=""),"",ROUND(MAX(0,($L620-$K620)-IF($G620="",0,$G620))/60,2))</f>
        <v/>
      </c>
      <c r="I620" s="8"/>
      <c r="J620" s="8"/>
      <c r="K620" s="17" t="str">
        <f aca="false">IF($E620="","",IF($E620&lt;1,ROUND($E620*1440,0),INT($E620/100)*60+MOD($E620,100)))</f>
        <v/>
      </c>
      <c r="L620" s="17" t="str">
        <f aca="false">IF($F620="","",IF($F620&lt;1,ROUND($F620*1440,0),INT($F620/100)*60+MOD($F620,100)))</f>
        <v/>
      </c>
    </row>
    <row r="621" customFormat="false" ht="15" hidden="false" customHeight="true" outlineLevel="0" collapsed="false">
      <c r="A621" s="10"/>
      <c r="B621" s="8"/>
      <c r="C621" s="13" t="str">
        <f aca="false">IF($B621="","",IFERROR(INDEX(직원목록!$B$3:$B$302,MATCH($B621,직원목록!$A$3:$A$302,0)),"미등록사번"))</f>
        <v/>
      </c>
      <c r="D621" s="13" t="str">
        <f aca="false">IF($B621="","",IFERROR(INDEX(직원목록!$C$3:$C$302,MATCH($B621,직원목록!$A$3:$A$302,0)),""))</f>
        <v/>
      </c>
      <c r="E621" s="14"/>
      <c r="F621" s="14"/>
      <c r="G621" s="15"/>
      <c r="H621" s="16" t="str">
        <f aca="false">IF(OR($K621="",$L621=""),"",ROUND(MAX(0,($L621-$K621)-IF($G621="",0,$G621))/60,2))</f>
        <v/>
      </c>
      <c r="I621" s="8"/>
      <c r="J621" s="8"/>
      <c r="K621" s="17" t="str">
        <f aca="false">IF($E621="","",IF($E621&lt;1,ROUND($E621*1440,0),INT($E621/100)*60+MOD($E621,100)))</f>
        <v/>
      </c>
      <c r="L621" s="17" t="str">
        <f aca="false">IF($F621="","",IF($F621&lt;1,ROUND($F621*1440,0),INT($F621/100)*60+MOD($F621,100)))</f>
        <v/>
      </c>
    </row>
    <row r="622" customFormat="false" ht="15" hidden="false" customHeight="true" outlineLevel="0" collapsed="false">
      <c r="A622" s="10"/>
      <c r="B622" s="8"/>
      <c r="C622" s="13" t="str">
        <f aca="false">IF($B622="","",IFERROR(INDEX(직원목록!$B$3:$B$302,MATCH($B622,직원목록!$A$3:$A$302,0)),"미등록사번"))</f>
        <v/>
      </c>
      <c r="D622" s="13" t="str">
        <f aca="false">IF($B622="","",IFERROR(INDEX(직원목록!$C$3:$C$302,MATCH($B622,직원목록!$A$3:$A$302,0)),""))</f>
        <v/>
      </c>
      <c r="E622" s="14"/>
      <c r="F622" s="14"/>
      <c r="G622" s="15"/>
      <c r="H622" s="16" t="str">
        <f aca="false">IF(OR($K622="",$L622=""),"",ROUND(MAX(0,($L622-$K622)-IF($G622="",0,$G622))/60,2))</f>
        <v/>
      </c>
      <c r="I622" s="8"/>
      <c r="J622" s="8"/>
      <c r="K622" s="17" t="str">
        <f aca="false">IF($E622="","",IF($E622&lt;1,ROUND($E622*1440,0),INT($E622/100)*60+MOD($E622,100)))</f>
        <v/>
      </c>
      <c r="L622" s="17" t="str">
        <f aca="false">IF($F622="","",IF($F622&lt;1,ROUND($F622*1440,0),INT($F622/100)*60+MOD($F622,100)))</f>
        <v/>
      </c>
    </row>
    <row r="623" customFormat="false" ht="15" hidden="false" customHeight="true" outlineLevel="0" collapsed="false">
      <c r="A623" s="10"/>
      <c r="B623" s="8"/>
      <c r="C623" s="13" t="str">
        <f aca="false">IF($B623="","",IFERROR(INDEX(직원목록!$B$3:$B$302,MATCH($B623,직원목록!$A$3:$A$302,0)),"미등록사번"))</f>
        <v/>
      </c>
      <c r="D623" s="13" t="str">
        <f aca="false">IF($B623="","",IFERROR(INDEX(직원목록!$C$3:$C$302,MATCH($B623,직원목록!$A$3:$A$302,0)),""))</f>
        <v/>
      </c>
      <c r="E623" s="14"/>
      <c r="F623" s="14"/>
      <c r="G623" s="15"/>
      <c r="H623" s="16" t="str">
        <f aca="false">IF(OR($K623="",$L623=""),"",ROUND(MAX(0,($L623-$K623)-IF($G623="",0,$G623))/60,2))</f>
        <v/>
      </c>
      <c r="I623" s="8"/>
      <c r="J623" s="8"/>
      <c r="K623" s="17" t="str">
        <f aca="false">IF($E623="","",IF($E623&lt;1,ROUND($E623*1440,0),INT($E623/100)*60+MOD($E623,100)))</f>
        <v/>
      </c>
      <c r="L623" s="17" t="str">
        <f aca="false">IF($F623="","",IF($F623&lt;1,ROUND($F623*1440,0),INT($F623/100)*60+MOD($F623,100)))</f>
        <v/>
      </c>
    </row>
    <row r="624" customFormat="false" ht="15" hidden="false" customHeight="true" outlineLevel="0" collapsed="false">
      <c r="A624" s="10"/>
      <c r="B624" s="8"/>
      <c r="C624" s="13" t="str">
        <f aca="false">IF($B624="","",IFERROR(INDEX(직원목록!$B$3:$B$302,MATCH($B624,직원목록!$A$3:$A$302,0)),"미등록사번"))</f>
        <v/>
      </c>
      <c r="D624" s="13" t="str">
        <f aca="false">IF($B624="","",IFERROR(INDEX(직원목록!$C$3:$C$302,MATCH($B624,직원목록!$A$3:$A$302,0)),""))</f>
        <v/>
      </c>
      <c r="E624" s="14"/>
      <c r="F624" s="14"/>
      <c r="G624" s="15"/>
      <c r="H624" s="16" t="str">
        <f aca="false">IF(OR($K624="",$L624=""),"",ROUND(MAX(0,($L624-$K624)-IF($G624="",0,$G624))/60,2))</f>
        <v/>
      </c>
      <c r="I624" s="8"/>
      <c r="J624" s="8"/>
      <c r="K624" s="17" t="str">
        <f aca="false">IF($E624="","",IF($E624&lt;1,ROUND($E624*1440,0),INT($E624/100)*60+MOD($E624,100)))</f>
        <v/>
      </c>
      <c r="L624" s="17" t="str">
        <f aca="false">IF($F624="","",IF($F624&lt;1,ROUND($F624*1440,0),INT($F624/100)*60+MOD($F624,100)))</f>
        <v/>
      </c>
    </row>
    <row r="625" customFormat="false" ht="15" hidden="false" customHeight="true" outlineLevel="0" collapsed="false">
      <c r="A625" s="10"/>
      <c r="B625" s="8"/>
      <c r="C625" s="13" t="str">
        <f aca="false">IF($B625="","",IFERROR(INDEX(직원목록!$B$3:$B$302,MATCH($B625,직원목록!$A$3:$A$302,0)),"미등록사번"))</f>
        <v/>
      </c>
      <c r="D625" s="13" t="str">
        <f aca="false">IF($B625="","",IFERROR(INDEX(직원목록!$C$3:$C$302,MATCH($B625,직원목록!$A$3:$A$302,0)),""))</f>
        <v/>
      </c>
      <c r="E625" s="14"/>
      <c r="F625" s="14"/>
      <c r="G625" s="15"/>
      <c r="H625" s="16" t="str">
        <f aca="false">IF(OR($K625="",$L625=""),"",ROUND(MAX(0,($L625-$K625)-IF($G625="",0,$G625))/60,2))</f>
        <v/>
      </c>
      <c r="I625" s="8"/>
      <c r="J625" s="8"/>
      <c r="K625" s="17" t="str">
        <f aca="false">IF($E625="","",IF($E625&lt;1,ROUND($E625*1440,0),INT($E625/100)*60+MOD($E625,100)))</f>
        <v/>
      </c>
      <c r="L625" s="17" t="str">
        <f aca="false">IF($F625="","",IF($F625&lt;1,ROUND($F625*1440,0),INT($F625/100)*60+MOD($F625,100)))</f>
        <v/>
      </c>
    </row>
    <row r="626" customFormat="false" ht="15" hidden="false" customHeight="true" outlineLevel="0" collapsed="false">
      <c r="A626" s="10"/>
      <c r="B626" s="8"/>
      <c r="C626" s="13" t="str">
        <f aca="false">IF($B626="","",IFERROR(INDEX(직원목록!$B$3:$B$302,MATCH($B626,직원목록!$A$3:$A$302,0)),"미등록사번"))</f>
        <v/>
      </c>
      <c r="D626" s="13" t="str">
        <f aca="false">IF($B626="","",IFERROR(INDEX(직원목록!$C$3:$C$302,MATCH($B626,직원목록!$A$3:$A$302,0)),""))</f>
        <v/>
      </c>
      <c r="E626" s="14"/>
      <c r="F626" s="14"/>
      <c r="G626" s="15"/>
      <c r="H626" s="16" t="str">
        <f aca="false">IF(OR($K626="",$L626=""),"",ROUND(MAX(0,($L626-$K626)-IF($G626="",0,$G626))/60,2))</f>
        <v/>
      </c>
      <c r="I626" s="8"/>
      <c r="J626" s="8"/>
      <c r="K626" s="17" t="str">
        <f aca="false">IF($E626="","",IF($E626&lt;1,ROUND($E626*1440,0),INT($E626/100)*60+MOD($E626,100)))</f>
        <v/>
      </c>
      <c r="L626" s="17" t="str">
        <f aca="false">IF($F626="","",IF($F626&lt;1,ROUND($F626*1440,0),INT($F626/100)*60+MOD($F626,100)))</f>
        <v/>
      </c>
    </row>
    <row r="627" customFormat="false" ht="15" hidden="false" customHeight="true" outlineLevel="0" collapsed="false">
      <c r="A627" s="10"/>
      <c r="B627" s="8"/>
      <c r="C627" s="13" t="str">
        <f aca="false">IF($B627="","",IFERROR(INDEX(직원목록!$B$3:$B$302,MATCH($B627,직원목록!$A$3:$A$302,0)),"미등록사번"))</f>
        <v/>
      </c>
      <c r="D627" s="13" t="str">
        <f aca="false">IF($B627="","",IFERROR(INDEX(직원목록!$C$3:$C$302,MATCH($B627,직원목록!$A$3:$A$302,0)),""))</f>
        <v/>
      </c>
      <c r="E627" s="14"/>
      <c r="F627" s="14"/>
      <c r="G627" s="15"/>
      <c r="H627" s="16" t="str">
        <f aca="false">IF(OR($K627="",$L627=""),"",ROUND(MAX(0,($L627-$K627)-IF($G627="",0,$G627))/60,2))</f>
        <v/>
      </c>
      <c r="I627" s="8"/>
      <c r="J627" s="8"/>
      <c r="K627" s="17" t="str">
        <f aca="false">IF($E627="","",IF($E627&lt;1,ROUND($E627*1440,0),INT($E627/100)*60+MOD($E627,100)))</f>
        <v/>
      </c>
      <c r="L627" s="17" t="str">
        <f aca="false">IF($F627="","",IF($F627&lt;1,ROUND($F627*1440,0),INT($F627/100)*60+MOD($F627,100)))</f>
        <v/>
      </c>
    </row>
    <row r="628" customFormat="false" ht="15" hidden="false" customHeight="true" outlineLevel="0" collapsed="false">
      <c r="A628" s="10"/>
      <c r="B628" s="8"/>
      <c r="C628" s="13" t="str">
        <f aca="false">IF($B628="","",IFERROR(INDEX(직원목록!$B$3:$B$302,MATCH($B628,직원목록!$A$3:$A$302,0)),"미등록사번"))</f>
        <v/>
      </c>
      <c r="D628" s="13" t="str">
        <f aca="false">IF($B628="","",IFERROR(INDEX(직원목록!$C$3:$C$302,MATCH($B628,직원목록!$A$3:$A$302,0)),""))</f>
        <v/>
      </c>
      <c r="E628" s="14"/>
      <c r="F628" s="14"/>
      <c r="G628" s="15"/>
      <c r="H628" s="16" t="str">
        <f aca="false">IF(OR($K628="",$L628=""),"",ROUND(MAX(0,($L628-$K628)-IF($G628="",0,$G628))/60,2))</f>
        <v/>
      </c>
      <c r="I628" s="8"/>
      <c r="J628" s="8"/>
      <c r="K628" s="17" t="str">
        <f aca="false">IF($E628="","",IF($E628&lt;1,ROUND($E628*1440,0),INT($E628/100)*60+MOD($E628,100)))</f>
        <v/>
      </c>
      <c r="L628" s="17" t="str">
        <f aca="false">IF($F628="","",IF($F628&lt;1,ROUND($F628*1440,0),INT($F628/100)*60+MOD($F628,100)))</f>
        <v/>
      </c>
    </row>
    <row r="629" customFormat="false" ht="15" hidden="false" customHeight="true" outlineLevel="0" collapsed="false">
      <c r="A629" s="10"/>
      <c r="B629" s="8"/>
      <c r="C629" s="13" t="str">
        <f aca="false">IF($B629="","",IFERROR(INDEX(직원목록!$B$3:$B$302,MATCH($B629,직원목록!$A$3:$A$302,0)),"미등록사번"))</f>
        <v/>
      </c>
      <c r="D629" s="13" t="str">
        <f aca="false">IF($B629="","",IFERROR(INDEX(직원목록!$C$3:$C$302,MATCH($B629,직원목록!$A$3:$A$302,0)),""))</f>
        <v/>
      </c>
      <c r="E629" s="14"/>
      <c r="F629" s="14"/>
      <c r="G629" s="15"/>
      <c r="H629" s="16" t="str">
        <f aca="false">IF(OR($K629="",$L629=""),"",ROUND(MAX(0,($L629-$K629)-IF($G629="",0,$G629))/60,2))</f>
        <v/>
      </c>
      <c r="I629" s="8"/>
      <c r="J629" s="8"/>
      <c r="K629" s="17" t="str">
        <f aca="false">IF($E629="","",IF($E629&lt;1,ROUND($E629*1440,0),INT($E629/100)*60+MOD($E629,100)))</f>
        <v/>
      </c>
      <c r="L629" s="17" t="str">
        <f aca="false">IF($F629="","",IF($F629&lt;1,ROUND($F629*1440,0),INT($F629/100)*60+MOD($F629,100)))</f>
        <v/>
      </c>
    </row>
    <row r="630" customFormat="false" ht="15" hidden="false" customHeight="true" outlineLevel="0" collapsed="false">
      <c r="A630" s="10"/>
      <c r="B630" s="8"/>
      <c r="C630" s="13" t="str">
        <f aca="false">IF($B630="","",IFERROR(INDEX(직원목록!$B$3:$B$302,MATCH($B630,직원목록!$A$3:$A$302,0)),"미등록사번"))</f>
        <v/>
      </c>
      <c r="D630" s="13" t="str">
        <f aca="false">IF($B630="","",IFERROR(INDEX(직원목록!$C$3:$C$302,MATCH($B630,직원목록!$A$3:$A$302,0)),""))</f>
        <v/>
      </c>
      <c r="E630" s="14"/>
      <c r="F630" s="14"/>
      <c r="G630" s="15"/>
      <c r="H630" s="16" t="str">
        <f aca="false">IF(OR($K630="",$L630=""),"",ROUND(MAX(0,($L630-$K630)-IF($G630="",0,$G630))/60,2))</f>
        <v/>
      </c>
      <c r="I630" s="8"/>
      <c r="J630" s="8"/>
      <c r="K630" s="17" t="str">
        <f aca="false">IF($E630="","",IF($E630&lt;1,ROUND($E630*1440,0),INT($E630/100)*60+MOD($E630,100)))</f>
        <v/>
      </c>
      <c r="L630" s="17" t="str">
        <f aca="false">IF($F630="","",IF($F630&lt;1,ROUND($F630*1440,0),INT($F630/100)*60+MOD($F630,100)))</f>
        <v/>
      </c>
    </row>
    <row r="631" customFormat="false" ht="15" hidden="false" customHeight="true" outlineLevel="0" collapsed="false">
      <c r="A631" s="10"/>
      <c r="B631" s="8"/>
      <c r="C631" s="13" t="str">
        <f aca="false">IF($B631="","",IFERROR(INDEX(직원목록!$B$3:$B$302,MATCH($B631,직원목록!$A$3:$A$302,0)),"미등록사번"))</f>
        <v/>
      </c>
      <c r="D631" s="13" t="str">
        <f aca="false">IF($B631="","",IFERROR(INDEX(직원목록!$C$3:$C$302,MATCH($B631,직원목록!$A$3:$A$302,0)),""))</f>
        <v/>
      </c>
      <c r="E631" s="14"/>
      <c r="F631" s="14"/>
      <c r="G631" s="15"/>
      <c r="H631" s="16" t="str">
        <f aca="false">IF(OR($K631="",$L631=""),"",ROUND(MAX(0,($L631-$K631)-IF($G631="",0,$G631))/60,2))</f>
        <v/>
      </c>
      <c r="I631" s="8"/>
      <c r="J631" s="8"/>
      <c r="K631" s="17" t="str">
        <f aca="false">IF($E631="","",IF($E631&lt;1,ROUND($E631*1440,0),INT($E631/100)*60+MOD($E631,100)))</f>
        <v/>
      </c>
      <c r="L631" s="17" t="str">
        <f aca="false">IF($F631="","",IF($F631&lt;1,ROUND($F631*1440,0),INT($F631/100)*60+MOD($F631,100)))</f>
        <v/>
      </c>
    </row>
    <row r="632" customFormat="false" ht="15" hidden="false" customHeight="true" outlineLevel="0" collapsed="false">
      <c r="A632" s="10"/>
      <c r="B632" s="8"/>
      <c r="C632" s="13" t="str">
        <f aca="false">IF($B632="","",IFERROR(INDEX(직원목록!$B$3:$B$302,MATCH($B632,직원목록!$A$3:$A$302,0)),"미등록사번"))</f>
        <v/>
      </c>
      <c r="D632" s="13" t="str">
        <f aca="false">IF($B632="","",IFERROR(INDEX(직원목록!$C$3:$C$302,MATCH($B632,직원목록!$A$3:$A$302,0)),""))</f>
        <v/>
      </c>
      <c r="E632" s="14"/>
      <c r="F632" s="14"/>
      <c r="G632" s="15"/>
      <c r="H632" s="16" t="str">
        <f aca="false">IF(OR($K632="",$L632=""),"",ROUND(MAX(0,($L632-$K632)-IF($G632="",0,$G632))/60,2))</f>
        <v/>
      </c>
      <c r="I632" s="8"/>
      <c r="J632" s="8"/>
      <c r="K632" s="17" t="str">
        <f aca="false">IF($E632="","",IF($E632&lt;1,ROUND($E632*1440,0),INT($E632/100)*60+MOD($E632,100)))</f>
        <v/>
      </c>
      <c r="L632" s="17" t="str">
        <f aca="false">IF($F632="","",IF($F632&lt;1,ROUND($F632*1440,0),INT($F632/100)*60+MOD($F632,100)))</f>
        <v/>
      </c>
    </row>
    <row r="633" customFormat="false" ht="15" hidden="false" customHeight="true" outlineLevel="0" collapsed="false">
      <c r="A633" s="10"/>
      <c r="B633" s="8"/>
      <c r="C633" s="13" t="str">
        <f aca="false">IF($B633="","",IFERROR(INDEX(직원목록!$B$3:$B$302,MATCH($B633,직원목록!$A$3:$A$302,0)),"미등록사번"))</f>
        <v/>
      </c>
      <c r="D633" s="13" t="str">
        <f aca="false">IF($B633="","",IFERROR(INDEX(직원목록!$C$3:$C$302,MATCH($B633,직원목록!$A$3:$A$302,0)),""))</f>
        <v/>
      </c>
      <c r="E633" s="14"/>
      <c r="F633" s="14"/>
      <c r="G633" s="15"/>
      <c r="H633" s="16" t="str">
        <f aca="false">IF(OR($K633="",$L633=""),"",ROUND(MAX(0,($L633-$K633)-IF($G633="",0,$G633))/60,2))</f>
        <v/>
      </c>
      <c r="I633" s="8"/>
      <c r="J633" s="8"/>
      <c r="K633" s="17" t="str">
        <f aca="false">IF($E633="","",IF($E633&lt;1,ROUND($E633*1440,0),INT($E633/100)*60+MOD($E633,100)))</f>
        <v/>
      </c>
      <c r="L633" s="17" t="str">
        <f aca="false">IF($F633="","",IF($F633&lt;1,ROUND($F633*1440,0),INT($F633/100)*60+MOD($F633,100)))</f>
        <v/>
      </c>
    </row>
    <row r="634" customFormat="false" ht="15" hidden="false" customHeight="true" outlineLevel="0" collapsed="false">
      <c r="A634" s="10"/>
      <c r="B634" s="8"/>
      <c r="C634" s="13" t="str">
        <f aca="false">IF($B634="","",IFERROR(INDEX(직원목록!$B$3:$B$302,MATCH($B634,직원목록!$A$3:$A$302,0)),"미등록사번"))</f>
        <v/>
      </c>
      <c r="D634" s="13" t="str">
        <f aca="false">IF($B634="","",IFERROR(INDEX(직원목록!$C$3:$C$302,MATCH($B634,직원목록!$A$3:$A$302,0)),""))</f>
        <v/>
      </c>
      <c r="E634" s="14"/>
      <c r="F634" s="14"/>
      <c r="G634" s="15"/>
      <c r="H634" s="16" t="str">
        <f aca="false">IF(OR($K634="",$L634=""),"",ROUND(MAX(0,($L634-$K634)-IF($G634="",0,$G634))/60,2))</f>
        <v/>
      </c>
      <c r="I634" s="8"/>
      <c r="J634" s="8"/>
      <c r="K634" s="17" t="str">
        <f aca="false">IF($E634="","",IF($E634&lt;1,ROUND($E634*1440,0),INT($E634/100)*60+MOD($E634,100)))</f>
        <v/>
      </c>
      <c r="L634" s="17" t="str">
        <f aca="false">IF($F634="","",IF($F634&lt;1,ROUND($F634*1440,0),INT($F634/100)*60+MOD($F634,100)))</f>
        <v/>
      </c>
    </row>
    <row r="635" customFormat="false" ht="15" hidden="false" customHeight="true" outlineLevel="0" collapsed="false">
      <c r="A635" s="10"/>
      <c r="B635" s="8"/>
      <c r="C635" s="13" t="str">
        <f aca="false">IF($B635="","",IFERROR(INDEX(직원목록!$B$3:$B$302,MATCH($B635,직원목록!$A$3:$A$302,0)),"미등록사번"))</f>
        <v/>
      </c>
      <c r="D635" s="13" t="str">
        <f aca="false">IF($B635="","",IFERROR(INDEX(직원목록!$C$3:$C$302,MATCH($B635,직원목록!$A$3:$A$302,0)),""))</f>
        <v/>
      </c>
      <c r="E635" s="14"/>
      <c r="F635" s="14"/>
      <c r="G635" s="15"/>
      <c r="H635" s="16" t="str">
        <f aca="false">IF(OR($K635="",$L635=""),"",ROUND(MAX(0,($L635-$K635)-IF($G635="",0,$G635))/60,2))</f>
        <v/>
      </c>
      <c r="I635" s="8"/>
      <c r="J635" s="8"/>
      <c r="K635" s="17" t="str">
        <f aca="false">IF($E635="","",IF($E635&lt;1,ROUND($E635*1440,0),INT($E635/100)*60+MOD($E635,100)))</f>
        <v/>
      </c>
      <c r="L635" s="17" t="str">
        <f aca="false">IF($F635="","",IF($F635&lt;1,ROUND($F635*1440,0),INT($F635/100)*60+MOD($F635,100)))</f>
        <v/>
      </c>
    </row>
    <row r="636" customFormat="false" ht="15" hidden="false" customHeight="true" outlineLevel="0" collapsed="false">
      <c r="A636" s="10"/>
      <c r="B636" s="8"/>
      <c r="C636" s="13" t="str">
        <f aca="false">IF($B636="","",IFERROR(INDEX(직원목록!$B$3:$B$302,MATCH($B636,직원목록!$A$3:$A$302,0)),"미등록사번"))</f>
        <v/>
      </c>
      <c r="D636" s="13" t="str">
        <f aca="false">IF($B636="","",IFERROR(INDEX(직원목록!$C$3:$C$302,MATCH($B636,직원목록!$A$3:$A$302,0)),""))</f>
        <v/>
      </c>
      <c r="E636" s="14"/>
      <c r="F636" s="14"/>
      <c r="G636" s="15"/>
      <c r="H636" s="16" t="str">
        <f aca="false">IF(OR($K636="",$L636=""),"",ROUND(MAX(0,($L636-$K636)-IF($G636="",0,$G636))/60,2))</f>
        <v/>
      </c>
      <c r="I636" s="8"/>
      <c r="J636" s="8"/>
      <c r="K636" s="17" t="str">
        <f aca="false">IF($E636="","",IF($E636&lt;1,ROUND($E636*1440,0),INT($E636/100)*60+MOD($E636,100)))</f>
        <v/>
      </c>
      <c r="L636" s="17" t="str">
        <f aca="false">IF($F636="","",IF($F636&lt;1,ROUND($F636*1440,0),INT($F636/100)*60+MOD($F636,100)))</f>
        <v/>
      </c>
    </row>
    <row r="637" customFormat="false" ht="15" hidden="false" customHeight="true" outlineLevel="0" collapsed="false">
      <c r="A637" s="10"/>
      <c r="B637" s="8"/>
      <c r="C637" s="13" t="str">
        <f aca="false">IF($B637="","",IFERROR(INDEX(직원목록!$B$3:$B$302,MATCH($B637,직원목록!$A$3:$A$302,0)),"미등록사번"))</f>
        <v/>
      </c>
      <c r="D637" s="13" t="str">
        <f aca="false">IF($B637="","",IFERROR(INDEX(직원목록!$C$3:$C$302,MATCH($B637,직원목록!$A$3:$A$302,0)),""))</f>
        <v/>
      </c>
      <c r="E637" s="14"/>
      <c r="F637" s="14"/>
      <c r="G637" s="15"/>
      <c r="H637" s="16" t="str">
        <f aca="false">IF(OR($K637="",$L637=""),"",ROUND(MAX(0,($L637-$K637)-IF($G637="",0,$G637))/60,2))</f>
        <v/>
      </c>
      <c r="I637" s="8"/>
      <c r="J637" s="8"/>
      <c r="K637" s="17" t="str">
        <f aca="false">IF($E637="","",IF($E637&lt;1,ROUND($E637*1440,0),INT($E637/100)*60+MOD($E637,100)))</f>
        <v/>
      </c>
      <c r="L637" s="17" t="str">
        <f aca="false">IF($F637="","",IF($F637&lt;1,ROUND($F637*1440,0),INT($F637/100)*60+MOD($F637,100)))</f>
        <v/>
      </c>
    </row>
    <row r="638" customFormat="false" ht="15" hidden="false" customHeight="true" outlineLevel="0" collapsed="false">
      <c r="A638" s="10"/>
      <c r="B638" s="8"/>
      <c r="C638" s="13" t="str">
        <f aca="false">IF($B638="","",IFERROR(INDEX(직원목록!$B$3:$B$302,MATCH($B638,직원목록!$A$3:$A$302,0)),"미등록사번"))</f>
        <v/>
      </c>
      <c r="D638" s="13" t="str">
        <f aca="false">IF($B638="","",IFERROR(INDEX(직원목록!$C$3:$C$302,MATCH($B638,직원목록!$A$3:$A$302,0)),""))</f>
        <v/>
      </c>
      <c r="E638" s="14"/>
      <c r="F638" s="14"/>
      <c r="G638" s="15"/>
      <c r="H638" s="16" t="str">
        <f aca="false">IF(OR($K638="",$L638=""),"",ROUND(MAX(0,($L638-$K638)-IF($G638="",0,$G638))/60,2))</f>
        <v/>
      </c>
      <c r="I638" s="8"/>
      <c r="J638" s="8"/>
      <c r="K638" s="17" t="str">
        <f aca="false">IF($E638="","",IF($E638&lt;1,ROUND($E638*1440,0),INT($E638/100)*60+MOD($E638,100)))</f>
        <v/>
      </c>
      <c r="L638" s="17" t="str">
        <f aca="false">IF($F638="","",IF($F638&lt;1,ROUND($F638*1440,0),INT($F638/100)*60+MOD($F638,100)))</f>
        <v/>
      </c>
    </row>
    <row r="639" customFormat="false" ht="15" hidden="false" customHeight="true" outlineLevel="0" collapsed="false">
      <c r="A639" s="10"/>
      <c r="B639" s="8"/>
      <c r="C639" s="13" t="str">
        <f aca="false">IF($B639="","",IFERROR(INDEX(직원목록!$B$3:$B$302,MATCH($B639,직원목록!$A$3:$A$302,0)),"미등록사번"))</f>
        <v/>
      </c>
      <c r="D639" s="13" t="str">
        <f aca="false">IF($B639="","",IFERROR(INDEX(직원목록!$C$3:$C$302,MATCH($B639,직원목록!$A$3:$A$302,0)),""))</f>
        <v/>
      </c>
      <c r="E639" s="14"/>
      <c r="F639" s="14"/>
      <c r="G639" s="15"/>
      <c r="H639" s="16" t="str">
        <f aca="false">IF(OR($K639="",$L639=""),"",ROUND(MAX(0,($L639-$K639)-IF($G639="",0,$G639))/60,2))</f>
        <v/>
      </c>
      <c r="I639" s="8"/>
      <c r="J639" s="8"/>
      <c r="K639" s="17" t="str">
        <f aca="false">IF($E639="","",IF($E639&lt;1,ROUND($E639*1440,0),INT($E639/100)*60+MOD($E639,100)))</f>
        <v/>
      </c>
      <c r="L639" s="17" t="str">
        <f aca="false">IF($F639="","",IF($F639&lt;1,ROUND($F639*1440,0),INT($F639/100)*60+MOD($F639,100)))</f>
        <v/>
      </c>
    </row>
    <row r="640" customFormat="false" ht="15" hidden="false" customHeight="true" outlineLevel="0" collapsed="false">
      <c r="A640" s="10"/>
      <c r="B640" s="8"/>
      <c r="C640" s="13" t="str">
        <f aca="false">IF($B640="","",IFERROR(INDEX(직원목록!$B$3:$B$302,MATCH($B640,직원목록!$A$3:$A$302,0)),"미등록사번"))</f>
        <v/>
      </c>
      <c r="D640" s="13" t="str">
        <f aca="false">IF($B640="","",IFERROR(INDEX(직원목록!$C$3:$C$302,MATCH($B640,직원목록!$A$3:$A$302,0)),""))</f>
        <v/>
      </c>
      <c r="E640" s="14"/>
      <c r="F640" s="14"/>
      <c r="G640" s="15"/>
      <c r="H640" s="16" t="str">
        <f aca="false">IF(OR($K640="",$L640=""),"",ROUND(MAX(0,($L640-$K640)-IF($G640="",0,$G640))/60,2))</f>
        <v/>
      </c>
      <c r="I640" s="8"/>
      <c r="J640" s="8"/>
      <c r="K640" s="17" t="str">
        <f aca="false">IF($E640="","",IF($E640&lt;1,ROUND($E640*1440,0),INT($E640/100)*60+MOD($E640,100)))</f>
        <v/>
      </c>
      <c r="L640" s="17" t="str">
        <f aca="false">IF($F640="","",IF($F640&lt;1,ROUND($F640*1440,0),INT($F640/100)*60+MOD($F640,100)))</f>
        <v/>
      </c>
    </row>
    <row r="641" customFormat="false" ht="15" hidden="false" customHeight="true" outlineLevel="0" collapsed="false">
      <c r="A641" s="10"/>
      <c r="B641" s="8"/>
      <c r="C641" s="13" t="str">
        <f aca="false">IF($B641="","",IFERROR(INDEX(직원목록!$B$3:$B$302,MATCH($B641,직원목록!$A$3:$A$302,0)),"미등록사번"))</f>
        <v/>
      </c>
      <c r="D641" s="13" t="str">
        <f aca="false">IF($B641="","",IFERROR(INDEX(직원목록!$C$3:$C$302,MATCH($B641,직원목록!$A$3:$A$302,0)),""))</f>
        <v/>
      </c>
      <c r="E641" s="14"/>
      <c r="F641" s="14"/>
      <c r="G641" s="15"/>
      <c r="H641" s="16" t="str">
        <f aca="false">IF(OR($K641="",$L641=""),"",ROUND(MAX(0,($L641-$K641)-IF($G641="",0,$G641))/60,2))</f>
        <v/>
      </c>
      <c r="I641" s="8"/>
      <c r="J641" s="8"/>
      <c r="K641" s="17" t="str">
        <f aca="false">IF($E641="","",IF($E641&lt;1,ROUND($E641*1440,0),INT($E641/100)*60+MOD($E641,100)))</f>
        <v/>
      </c>
      <c r="L641" s="17" t="str">
        <f aca="false">IF($F641="","",IF($F641&lt;1,ROUND($F641*1440,0),INT($F641/100)*60+MOD($F641,100)))</f>
        <v/>
      </c>
    </row>
    <row r="642" customFormat="false" ht="15" hidden="false" customHeight="true" outlineLevel="0" collapsed="false">
      <c r="A642" s="10"/>
      <c r="B642" s="8"/>
      <c r="C642" s="13" t="str">
        <f aca="false">IF($B642="","",IFERROR(INDEX(직원목록!$B$3:$B$302,MATCH($B642,직원목록!$A$3:$A$302,0)),"미등록사번"))</f>
        <v/>
      </c>
      <c r="D642" s="13" t="str">
        <f aca="false">IF($B642="","",IFERROR(INDEX(직원목록!$C$3:$C$302,MATCH($B642,직원목록!$A$3:$A$302,0)),""))</f>
        <v/>
      </c>
      <c r="E642" s="14"/>
      <c r="F642" s="14"/>
      <c r="G642" s="15"/>
      <c r="H642" s="16" t="str">
        <f aca="false">IF(OR($K642="",$L642=""),"",ROUND(MAX(0,($L642-$K642)-IF($G642="",0,$G642))/60,2))</f>
        <v/>
      </c>
      <c r="I642" s="8"/>
      <c r="J642" s="8"/>
      <c r="K642" s="17" t="str">
        <f aca="false">IF($E642="","",IF($E642&lt;1,ROUND($E642*1440,0),INT($E642/100)*60+MOD($E642,100)))</f>
        <v/>
      </c>
      <c r="L642" s="17" t="str">
        <f aca="false">IF($F642="","",IF($F642&lt;1,ROUND($F642*1440,0),INT($F642/100)*60+MOD($F642,100)))</f>
        <v/>
      </c>
    </row>
    <row r="643" customFormat="false" ht="15" hidden="false" customHeight="true" outlineLevel="0" collapsed="false">
      <c r="A643" s="10"/>
      <c r="B643" s="8"/>
      <c r="C643" s="13" t="str">
        <f aca="false">IF($B643="","",IFERROR(INDEX(직원목록!$B$3:$B$302,MATCH($B643,직원목록!$A$3:$A$302,0)),"미등록사번"))</f>
        <v/>
      </c>
      <c r="D643" s="13" t="str">
        <f aca="false">IF($B643="","",IFERROR(INDEX(직원목록!$C$3:$C$302,MATCH($B643,직원목록!$A$3:$A$302,0)),""))</f>
        <v/>
      </c>
      <c r="E643" s="14"/>
      <c r="F643" s="14"/>
      <c r="G643" s="15"/>
      <c r="H643" s="16" t="str">
        <f aca="false">IF(OR($K643="",$L643=""),"",ROUND(MAX(0,($L643-$K643)-IF($G643="",0,$G643))/60,2))</f>
        <v/>
      </c>
      <c r="I643" s="8"/>
      <c r="J643" s="8"/>
      <c r="K643" s="17" t="str">
        <f aca="false">IF($E643="","",IF($E643&lt;1,ROUND($E643*1440,0),INT($E643/100)*60+MOD($E643,100)))</f>
        <v/>
      </c>
      <c r="L643" s="17" t="str">
        <f aca="false">IF($F643="","",IF($F643&lt;1,ROUND($F643*1440,0),INT($F643/100)*60+MOD($F643,100)))</f>
        <v/>
      </c>
    </row>
    <row r="644" customFormat="false" ht="15" hidden="false" customHeight="true" outlineLevel="0" collapsed="false">
      <c r="A644" s="10"/>
      <c r="B644" s="8"/>
      <c r="C644" s="13" t="str">
        <f aca="false">IF($B644="","",IFERROR(INDEX(직원목록!$B$3:$B$302,MATCH($B644,직원목록!$A$3:$A$302,0)),"미등록사번"))</f>
        <v/>
      </c>
      <c r="D644" s="13" t="str">
        <f aca="false">IF($B644="","",IFERROR(INDEX(직원목록!$C$3:$C$302,MATCH($B644,직원목록!$A$3:$A$302,0)),""))</f>
        <v/>
      </c>
      <c r="E644" s="14"/>
      <c r="F644" s="14"/>
      <c r="G644" s="15"/>
      <c r="H644" s="16" t="str">
        <f aca="false">IF(OR($K644="",$L644=""),"",ROUND(MAX(0,($L644-$K644)-IF($G644="",0,$G644))/60,2))</f>
        <v/>
      </c>
      <c r="I644" s="8"/>
      <c r="J644" s="8"/>
      <c r="K644" s="17" t="str">
        <f aca="false">IF($E644="","",IF($E644&lt;1,ROUND($E644*1440,0),INT($E644/100)*60+MOD($E644,100)))</f>
        <v/>
      </c>
      <c r="L644" s="17" t="str">
        <f aca="false">IF($F644="","",IF($F644&lt;1,ROUND($F644*1440,0),INT($F644/100)*60+MOD($F644,100)))</f>
        <v/>
      </c>
    </row>
    <row r="645" customFormat="false" ht="15" hidden="false" customHeight="true" outlineLevel="0" collapsed="false">
      <c r="A645" s="10"/>
      <c r="B645" s="8"/>
      <c r="C645" s="13" t="str">
        <f aca="false">IF($B645="","",IFERROR(INDEX(직원목록!$B$3:$B$302,MATCH($B645,직원목록!$A$3:$A$302,0)),"미등록사번"))</f>
        <v/>
      </c>
      <c r="D645" s="13" t="str">
        <f aca="false">IF($B645="","",IFERROR(INDEX(직원목록!$C$3:$C$302,MATCH($B645,직원목록!$A$3:$A$302,0)),""))</f>
        <v/>
      </c>
      <c r="E645" s="14"/>
      <c r="F645" s="14"/>
      <c r="G645" s="15"/>
      <c r="H645" s="16" t="str">
        <f aca="false">IF(OR($K645="",$L645=""),"",ROUND(MAX(0,($L645-$K645)-IF($G645="",0,$G645))/60,2))</f>
        <v/>
      </c>
      <c r="I645" s="8"/>
      <c r="J645" s="8"/>
      <c r="K645" s="17" t="str">
        <f aca="false">IF($E645="","",IF($E645&lt;1,ROUND($E645*1440,0),INT($E645/100)*60+MOD($E645,100)))</f>
        <v/>
      </c>
      <c r="L645" s="17" t="str">
        <f aca="false">IF($F645="","",IF($F645&lt;1,ROUND($F645*1440,0),INT($F645/100)*60+MOD($F645,100)))</f>
        <v/>
      </c>
    </row>
    <row r="646" customFormat="false" ht="15" hidden="false" customHeight="true" outlineLevel="0" collapsed="false">
      <c r="A646" s="10"/>
      <c r="B646" s="8"/>
      <c r="C646" s="13" t="str">
        <f aca="false">IF($B646="","",IFERROR(INDEX(직원목록!$B$3:$B$302,MATCH($B646,직원목록!$A$3:$A$302,0)),"미등록사번"))</f>
        <v/>
      </c>
      <c r="D646" s="13" t="str">
        <f aca="false">IF($B646="","",IFERROR(INDEX(직원목록!$C$3:$C$302,MATCH($B646,직원목록!$A$3:$A$302,0)),""))</f>
        <v/>
      </c>
      <c r="E646" s="14"/>
      <c r="F646" s="14"/>
      <c r="G646" s="15"/>
      <c r="H646" s="16" t="str">
        <f aca="false">IF(OR($K646="",$L646=""),"",ROUND(MAX(0,($L646-$K646)-IF($G646="",0,$G646))/60,2))</f>
        <v/>
      </c>
      <c r="I646" s="8"/>
      <c r="J646" s="8"/>
      <c r="K646" s="17" t="str">
        <f aca="false">IF($E646="","",IF($E646&lt;1,ROUND($E646*1440,0),INT($E646/100)*60+MOD($E646,100)))</f>
        <v/>
      </c>
      <c r="L646" s="17" t="str">
        <f aca="false">IF($F646="","",IF($F646&lt;1,ROUND($F646*1440,0),INT($F646/100)*60+MOD($F646,100)))</f>
        <v/>
      </c>
    </row>
    <row r="647" customFormat="false" ht="15" hidden="false" customHeight="true" outlineLevel="0" collapsed="false">
      <c r="A647" s="10"/>
      <c r="B647" s="8"/>
      <c r="C647" s="13" t="str">
        <f aca="false">IF($B647="","",IFERROR(INDEX(직원목록!$B$3:$B$302,MATCH($B647,직원목록!$A$3:$A$302,0)),"미등록사번"))</f>
        <v/>
      </c>
      <c r="D647" s="13" t="str">
        <f aca="false">IF($B647="","",IFERROR(INDEX(직원목록!$C$3:$C$302,MATCH($B647,직원목록!$A$3:$A$302,0)),""))</f>
        <v/>
      </c>
      <c r="E647" s="14"/>
      <c r="F647" s="14"/>
      <c r="G647" s="15"/>
      <c r="H647" s="16" t="str">
        <f aca="false">IF(OR($K647="",$L647=""),"",ROUND(MAX(0,($L647-$K647)-IF($G647="",0,$G647))/60,2))</f>
        <v/>
      </c>
      <c r="I647" s="8"/>
      <c r="J647" s="8"/>
      <c r="K647" s="17" t="str">
        <f aca="false">IF($E647="","",IF($E647&lt;1,ROUND($E647*1440,0),INT($E647/100)*60+MOD($E647,100)))</f>
        <v/>
      </c>
      <c r="L647" s="17" t="str">
        <f aca="false">IF($F647="","",IF($F647&lt;1,ROUND($F647*1440,0),INT($F647/100)*60+MOD($F647,100)))</f>
        <v/>
      </c>
    </row>
    <row r="648" customFormat="false" ht="15" hidden="false" customHeight="true" outlineLevel="0" collapsed="false">
      <c r="A648" s="10"/>
      <c r="B648" s="8"/>
      <c r="C648" s="13" t="str">
        <f aca="false">IF($B648="","",IFERROR(INDEX(직원목록!$B$3:$B$302,MATCH($B648,직원목록!$A$3:$A$302,0)),"미등록사번"))</f>
        <v/>
      </c>
      <c r="D648" s="13" t="str">
        <f aca="false">IF($B648="","",IFERROR(INDEX(직원목록!$C$3:$C$302,MATCH($B648,직원목록!$A$3:$A$302,0)),""))</f>
        <v/>
      </c>
      <c r="E648" s="14"/>
      <c r="F648" s="14"/>
      <c r="G648" s="15"/>
      <c r="H648" s="16" t="str">
        <f aca="false">IF(OR($K648="",$L648=""),"",ROUND(MAX(0,($L648-$K648)-IF($G648="",0,$G648))/60,2))</f>
        <v/>
      </c>
      <c r="I648" s="8"/>
      <c r="J648" s="8"/>
      <c r="K648" s="17" t="str">
        <f aca="false">IF($E648="","",IF($E648&lt;1,ROUND($E648*1440,0),INT($E648/100)*60+MOD($E648,100)))</f>
        <v/>
      </c>
      <c r="L648" s="17" t="str">
        <f aca="false">IF($F648="","",IF($F648&lt;1,ROUND($F648*1440,0),INT($F648/100)*60+MOD($F648,100)))</f>
        <v/>
      </c>
    </row>
    <row r="649" customFormat="false" ht="15" hidden="false" customHeight="true" outlineLevel="0" collapsed="false">
      <c r="A649" s="10"/>
      <c r="B649" s="8"/>
      <c r="C649" s="13" t="str">
        <f aca="false">IF($B649="","",IFERROR(INDEX(직원목록!$B$3:$B$302,MATCH($B649,직원목록!$A$3:$A$302,0)),"미등록사번"))</f>
        <v/>
      </c>
      <c r="D649" s="13" t="str">
        <f aca="false">IF($B649="","",IFERROR(INDEX(직원목록!$C$3:$C$302,MATCH($B649,직원목록!$A$3:$A$302,0)),""))</f>
        <v/>
      </c>
      <c r="E649" s="14"/>
      <c r="F649" s="14"/>
      <c r="G649" s="15"/>
      <c r="H649" s="16" t="str">
        <f aca="false">IF(OR($K649="",$L649=""),"",ROUND(MAX(0,($L649-$K649)-IF($G649="",0,$G649))/60,2))</f>
        <v/>
      </c>
      <c r="I649" s="8"/>
      <c r="J649" s="8"/>
      <c r="K649" s="17" t="str">
        <f aca="false">IF($E649="","",IF($E649&lt;1,ROUND($E649*1440,0),INT($E649/100)*60+MOD($E649,100)))</f>
        <v/>
      </c>
      <c r="L649" s="17" t="str">
        <f aca="false">IF($F649="","",IF($F649&lt;1,ROUND($F649*1440,0),INT($F649/100)*60+MOD($F649,100)))</f>
        <v/>
      </c>
    </row>
    <row r="650" customFormat="false" ht="15" hidden="false" customHeight="true" outlineLevel="0" collapsed="false">
      <c r="A650" s="10"/>
      <c r="B650" s="8"/>
      <c r="C650" s="13" t="str">
        <f aca="false">IF($B650="","",IFERROR(INDEX(직원목록!$B$3:$B$302,MATCH($B650,직원목록!$A$3:$A$302,0)),"미등록사번"))</f>
        <v/>
      </c>
      <c r="D650" s="13" t="str">
        <f aca="false">IF($B650="","",IFERROR(INDEX(직원목록!$C$3:$C$302,MATCH($B650,직원목록!$A$3:$A$302,0)),""))</f>
        <v/>
      </c>
      <c r="E650" s="14"/>
      <c r="F650" s="14"/>
      <c r="G650" s="15"/>
      <c r="H650" s="16" t="str">
        <f aca="false">IF(OR($K650="",$L650=""),"",ROUND(MAX(0,($L650-$K650)-IF($G650="",0,$G650))/60,2))</f>
        <v/>
      </c>
      <c r="I650" s="8"/>
      <c r="J650" s="8"/>
      <c r="K650" s="17" t="str">
        <f aca="false">IF($E650="","",IF($E650&lt;1,ROUND($E650*1440,0),INT($E650/100)*60+MOD($E650,100)))</f>
        <v/>
      </c>
      <c r="L650" s="17" t="str">
        <f aca="false">IF($F650="","",IF($F650&lt;1,ROUND($F650*1440,0),INT($F650/100)*60+MOD($F650,100)))</f>
        <v/>
      </c>
    </row>
    <row r="651" customFormat="false" ht="15" hidden="false" customHeight="true" outlineLevel="0" collapsed="false">
      <c r="A651" s="10"/>
      <c r="B651" s="8"/>
      <c r="C651" s="13" t="str">
        <f aca="false">IF($B651="","",IFERROR(INDEX(직원목록!$B$3:$B$302,MATCH($B651,직원목록!$A$3:$A$302,0)),"미등록사번"))</f>
        <v/>
      </c>
      <c r="D651" s="13" t="str">
        <f aca="false">IF($B651="","",IFERROR(INDEX(직원목록!$C$3:$C$302,MATCH($B651,직원목록!$A$3:$A$302,0)),""))</f>
        <v/>
      </c>
      <c r="E651" s="14"/>
      <c r="F651" s="14"/>
      <c r="G651" s="15"/>
      <c r="H651" s="16" t="str">
        <f aca="false">IF(OR($K651="",$L651=""),"",ROUND(MAX(0,($L651-$K651)-IF($G651="",0,$G651))/60,2))</f>
        <v/>
      </c>
      <c r="I651" s="8"/>
      <c r="J651" s="8"/>
      <c r="K651" s="17" t="str">
        <f aca="false">IF($E651="","",IF($E651&lt;1,ROUND($E651*1440,0),INT($E651/100)*60+MOD($E651,100)))</f>
        <v/>
      </c>
      <c r="L651" s="17" t="str">
        <f aca="false">IF($F651="","",IF($F651&lt;1,ROUND($F651*1440,0),INT($F651/100)*60+MOD($F651,100)))</f>
        <v/>
      </c>
    </row>
    <row r="652" customFormat="false" ht="15" hidden="false" customHeight="true" outlineLevel="0" collapsed="false">
      <c r="A652" s="10"/>
      <c r="B652" s="8"/>
      <c r="C652" s="13" t="str">
        <f aca="false">IF($B652="","",IFERROR(INDEX(직원목록!$B$3:$B$302,MATCH($B652,직원목록!$A$3:$A$302,0)),"미등록사번"))</f>
        <v/>
      </c>
      <c r="D652" s="13" t="str">
        <f aca="false">IF($B652="","",IFERROR(INDEX(직원목록!$C$3:$C$302,MATCH($B652,직원목록!$A$3:$A$302,0)),""))</f>
        <v/>
      </c>
      <c r="E652" s="14"/>
      <c r="F652" s="14"/>
      <c r="G652" s="15"/>
      <c r="H652" s="16" t="str">
        <f aca="false">IF(OR($K652="",$L652=""),"",ROUND(MAX(0,($L652-$K652)-IF($G652="",0,$G652))/60,2))</f>
        <v/>
      </c>
      <c r="I652" s="8"/>
      <c r="J652" s="8"/>
      <c r="K652" s="17" t="str">
        <f aca="false">IF($E652="","",IF($E652&lt;1,ROUND($E652*1440,0),INT($E652/100)*60+MOD($E652,100)))</f>
        <v/>
      </c>
      <c r="L652" s="17" t="str">
        <f aca="false">IF($F652="","",IF($F652&lt;1,ROUND($F652*1440,0),INT($F652/100)*60+MOD($F652,100)))</f>
        <v/>
      </c>
    </row>
    <row r="653" customFormat="false" ht="15" hidden="false" customHeight="true" outlineLevel="0" collapsed="false">
      <c r="A653" s="10"/>
      <c r="B653" s="8"/>
      <c r="C653" s="13" t="str">
        <f aca="false">IF($B653="","",IFERROR(INDEX(직원목록!$B$3:$B$302,MATCH($B653,직원목록!$A$3:$A$302,0)),"미등록사번"))</f>
        <v/>
      </c>
      <c r="D653" s="13" t="str">
        <f aca="false">IF($B653="","",IFERROR(INDEX(직원목록!$C$3:$C$302,MATCH($B653,직원목록!$A$3:$A$302,0)),""))</f>
        <v/>
      </c>
      <c r="E653" s="14"/>
      <c r="F653" s="14"/>
      <c r="G653" s="15"/>
      <c r="H653" s="16" t="str">
        <f aca="false">IF(OR($K653="",$L653=""),"",ROUND(MAX(0,($L653-$K653)-IF($G653="",0,$G653))/60,2))</f>
        <v/>
      </c>
      <c r="I653" s="8"/>
      <c r="J653" s="8"/>
      <c r="K653" s="17" t="str">
        <f aca="false">IF($E653="","",IF($E653&lt;1,ROUND($E653*1440,0),INT($E653/100)*60+MOD($E653,100)))</f>
        <v/>
      </c>
      <c r="L653" s="17" t="str">
        <f aca="false">IF($F653="","",IF($F653&lt;1,ROUND($F653*1440,0),INT($F653/100)*60+MOD($F653,100)))</f>
        <v/>
      </c>
    </row>
    <row r="654" customFormat="false" ht="15" hidden="false" customHeight="true" outlineLevel="0" collapsed="false">
      <c r="A654" s="10"/>
      <c r="B654" s="8"/>
      <c r="C654" s="13" t="str">
        <f aca="false">IF($B654="","",IFERROR(INDEX(직원목록!$B$3:$B$302,MATCH($B654,직원목록!$A$3:$A$302,0)),"미등록사번"))</f>
        <v/>
      </c>
      <c r="D654" s="13" t="str">
        <f aca="false">IF($B654="","",IFERROR(INDEX(직원목록!$C$3:$C$302,MATCH($B654,직원목록!$A$3:$A$302,0)),""))</f>
        <v/>
      </c>
      <c r="E654" s="14"/>
      <c r="F654" s="14"/>
      <c r="G654" s="15"/>
      <c r="H654" s="16" t="str">
        <f aca="false">IF(OR($K654="",$L654=""),"",ROUND(MAX(0,($L654-$K654)-IF($G654="",0,$G654))/60,2))</f>
        <v/>
      </c>
      <c r="I654" s="8"/>
      <c r="J654" s="8"/>
      <c r="K654" s="17" t="str">
        <f aca="false">IF($E654="","",IF($E654&lt;1,ROUND($E654*1440,0),INT($E654/100)*60+MOD($E654,100)))</f>
        <v/>
      </c>
      <c r="L654" s="17" t="str">
        <f aca="false">IF($F654="","",IF($F654&lt;1,ROUND($F654*1440,0),INT($F654/100)*60+MOD($F654,100)))</f>
        <v/>
      </c>
    </row>
    <row r="655" customFormat="false" ht="15" hidden="false" customHeight="true" outlineLevel="0" collapsed="false">
      <c r="A655" s="10"/>
      <c r="B655" s="8"/>
      <c r="C655" s="13" t="str">
        <f aca="false">IF($B655="","",IFERROR(INDEX(직원목록!$B$3:$B$302,MATCH($B655,직원목록!$A$3:$A$302,0)),"미등록사번"))</f>
        <v/>
      </c>
      <c r="D655" s="13" t="str">
        <f aca="false">IF($B655="","",IFERROR(INDEX(직원목록!$C$3:$C$302,MATCH($B655,직원목록!$A$3:$A$302,0)),""))</f>
        <v/>
      </c>
      <c r="E655" s="14"/>
      <c r="F655" s="14"/>
      <c r="G655" s="15"/>
      <c r="H655" s="16" t="str">
        <f aca="false">IF(OR($K655="",$L655=""),"",ROUND(MAX(0,($L655-$K655)-IF($G655="",0,$G655))/60,2))</f>
        <v/>
      </c>
      <c r="I655" s="8"/>
      <c r="J655" s="8"/>
      <c r="K655" s="17" t="str">
        <f aca="false">IF($E655="","",IF($E655&lt;1,ROUND($E655*1440,0),INT($E655/100)*60+MOD($E655,100)))</f>
        <v/>
      </c>
      <c r="L655" s="17" t="str">
        <f aca="false">IF($F655="","",IF($F655&lt;1,ROUND($F655*1440,0),INT($F655/100)*60+MOD($F655,100)))</f>
        <v/>
      </c>
    </row>
    <row r="656" customFormat="false" ht="15" hidden="false" customHeight="true" outlineLevel="0" collapsed="false">
      <c r="A656" s="10"/>
      <c r="B656" s="8"/>
      <c r="C656" s="13" t="str">
        <f aca="false">IF($B656="","",IFERROR(INDEX(직원목록!$B$3:$B$302,MATCH($B656,직원목록!$A$3:$A$302,0)),"미등록사번"))</f>
        <v/>
      </c>
      <c r="D656" s="13" t="str">
        <f aca="false">IF($B656="","",IFERROR(INDEX(직원목록!$C$3:$C$302,MATCH($B656,직원목록!$A$3:$A$302,0)),""))</f>
        <v/>
      </c>
      <c r="E656" s="14"/>
      <c r="F656" s="14"/>
      <c r="G656" s="15"/>
      <c r="H656" s="16" t="str">
        <f aca="false">IF(OR($K656="",$L656=""),"",ROUND(MAX(0,($L656-$K656)-IF($G656="",0,$G656))/60,2))</f>
        <v/>
      </c>
      <c r="I656" s="8"/>
      <c r="J656" s="8"/>
      <c r="K656" s="17" t="str">
        <f aca="false">IF($E656="","",IF($E656&lt;1,ROUND($E656*1440,0),INT($E656/100)*60+MOD($E656,100)))</f>
        <v/>
      </c>
      <c r="L656" s="17" t="str">
        <f aca="false">IF($F656="","",IF($F656&lt;1,ROUND($F656*1440,0),INT($F656/100)*60+MOD($F656,100)))</f>
        <v/>
      </c>
    </row>
    <row r="657" customFormat="false" ht="15" hidden="false" customHeight="true" outlineLevel="0" collapsed="false">
      <c r="A657" s="10"/>
      <c r="B657" s="8"/>
      <c r="C657" s="13" t="str">
        <f aca="false">IF($B657="","",IFERROR(INDEX(직원목록!$B$3:$B$302,MATCH($B657,직원목록!$A$3:$A$302,0)),"미등록사번"))</f>
        <v/>
      </c>
      <c r="D657" s="13" t="str">
        <f aca="false">IF($B657="","",IFERROR(INDEX(직원목록!$C$3:$C$302,MATCH($B657,직원목록!$A$3:$A$302,0)),""))</f>
        <v/>
      </c>
      <c r="E657" s="14"/>
      <c r="F657" s="14"/>
      <c r="G657" s="15"/>
      <c r="H657" s="16" t="str">
        <f aca="false">IF(OR($K657="",$L657=""),"",ROUND(MAX(0,($L657-$K657)-IF($G657="",0,$G657))/60,2))</f>
        <v/>
      </c>
      <c r="I657" s="8"/>
      <c r="J657" s="8"/>
      <c r="K657" s="17" t="str">
        <f aca="false">IF($E657="","",IF($E657&lt;1,ROUND($E657*1440,0),INT($E657/100)*60+MOD($E657,100)))</f>
        <v/>
      </c>
      <c r="L657" s="17" t="str">
        <f aca="false">IF($F657="","",IF($F657&lt;1,ROUND($F657*1440,0),INT($F657/100)*60+MOD($F657,100)))</f>
        <v/>
      </c>
    </row>
    <row r="658" customFormat="false" ht="15" hidden="false" customHeight="true" outlineLevel="0" collapsed="false">
      <c r="A658" s="10"/>
      <c r="B658" s="8"/>
      <c r="C658" s="13" t="str">
        <f aca="false">IF($B658="","",IFERROR(INDEX(직원목록!$B$3:$B$302,MATCH($B658,직원목록!$A$3:$A$302,0)),"미등록사번"))</f>
        <v/>
      </c>
      <c r="D658" s="13" t="str">
        <f aca="false">IF($B658="","",IFERROR(INDEX(직원목록!$C$3:$C$302,MATCH($B658,직원목록!$A$3:$A$302,0)),""))</f>
        <v/>
      </c>
      <c r="E658" s="14"/>
      <c r="F658" s="14"/>
      <c r="G658" s="15"/>
      <c r="H658" s="16" t="str">
        <f aca="false">IF(OR($K658="",$L658=""),"",ROUND(MAX(0,($L658-$K658)-IF($G658="",0,$G658))/60,2))</f>
        <v/>
      </c>
      <c r="I658" s="8"/>
      <c r="J658" s="8"/>
      <c r="K658" s="17" t="str">
        <f aca="false">IF($E658="","",IF($E658&lt;1,ROUND($E658*1440,0),INT($E658/100)*60+MOD($E658,100)))</f>
        <v/>
      </c>
      <c r="L658" s="17" t="str">
        <f aca="false">IF($F658="","",IF($F658&lt;1,ROUND($F658*1440,0),INT($F658/100)*60+MOD($F658,100)))</f>
        <v/>
      </c>
    </row>
    <row r="659" customFormat="false" ht="15" hidden="false" customHeight="true" outlineLevel="0" collapsed="false">
      <c r="A659" s="10"/>
      <c r="B659" s="8"/>
      <c r="C659" s="13" t="str">
        <f aca="false">IF($B659="","",IFERROR(INDEX(직원목록!$B$3:$B$302,MATCH($B659,직원목록!$A$3:$A$302,0)),"미등록사번"))</f>
        <v/>
      </c>
      <c r="D659" s="13" t="str">
        <f aca="false">IF($B659="","",IFERROR(INDEX(직원목록!$C$3:$C$302,MATCH($B659,직원목록!$A$3:$A$302,0)),""))</f>
        <v/>
      </c>
      <c r="E659" s="14"/>
      <c r="F659" s="14"/>
      <c r="G659" s="15"/>
      <c r="H659" s="16" t="str">
        <f aca="false">IF(OR($K659="",$L659=""),"",ROUND(MAX(0,($L659-$K659)-IF($G659="",0,$G659))/60,2))</f>
        <v/>
      </c>
      <c r="I659" s="8"/>
      <c r="J659" s="8"/>
      <c r="K659" s="17" t="str">
        <f aca="false">IF($E659="","",IF($E659&lt;1,ROUND($E659*1440,0),INT($E659/100)*60+MOD($E659,100)))</f>
        <v/>
      </c>
      <c r="L659" s="17" t="str">
        <f aca="false">IF($F659="","",IF($F659&lt;1,ROUND($F659*1440,0),INT($F659/100)*60+MOD($F659,100)))</f>
        <v/>
      </c>
    </row>
    <row r="660" customFormat="false" ht="15" hidden="false" customHeight="true" outlineLevel="0" collapsed="false">
      <c r="A660" s="10"/>
      <c r="B660" s="8"/>
      <c r="C660" s="13" t="str">
        <f aca="false">IF($B660="","",IFERROR(INDEX(직원목록!$B$3:$B$302,MATCH($B660,직원목록!$A$3:$A$302,0)),"미등록사번"))</f>
        <v/>
      </c>
      <c r="D660" s="13" t="str">
        <f aca="false">IF($B660="","",IFERROR(INDEX(직원목록!$C$3:$C$302,MATCH($B660,직원목록!$A$3:$A$302,0)),""))</f>
        <v/>
      </c>
      <c r="E660" s="14"/>
      <c r="F660" s="14"/>
      <c r="G660" s="15"/>
      <c r="H660" s="16" t="str">
        <f aca="false">IF(OR($K660="",$L660=""),"",ROUND(MAX(0,($L660-$K660)-IF($G660="",0,$G660))/60,2))</f>
        <v/>
      </c>
      <c r="I660" s="8"/>
      <c r="J660" s="8"/>
      <c r="K660" s="17" t="str">
        <f aca="false">IF($E660="","",IF($E660&lt;1,ROUND($E660*1440,0),INT($E660/100)*60+MOD($E660,100)))</f>
        <v/>
      </c>
      <c r="L660" s="17" t="str">
        <f aca="false">IF($F660="","",IF($F660&lt;1,ROUND($F660*1440,0),INT($F660/100)*60+MOD($F660,100)))</f>
        <v/>
      </c>
    </row>
    <row r="661" customFormat="false" ht="15" hidden="false" customHeight="true" outlineLevel="0" collapsed="false">
      <c r="A661" s="10"/>
      <c r="B661" s="8"/>
      <c r="C661" s="13" t="str">
        <f aca="false">IF($B661="","",IFERROR(INDEX(직원목록!$B$3:$B$302,MATCH($B661,직원목록!$A$3:$A$302,0)),"미등록사번"))</f>
        <v/>
      </c>
      <c r="D661" s="13" t="str">
        <f aca="false">IF($B661="","",IFERROR(INDEX(직원목록!$C$3:$C$302,MATCH($B661,직원목록!$A$3:$A$302,0)),""))</f>
        <v/>
      </c>
      <c r="E661" s="14"/>
      <c r="F661" s="14"/>
      <c r="G661" s="15"/>
      <c r="H661" s="16" t="str">
        <f aca="false">IF(OR($K661="",$L661=""),"",ROUND(MAX(0,($L661-$K661)-IF($G661="",0,$G661))/60,2))</f>
        <v/>
      </c>
      <c r="I661" s="8"/>
      <c r="J661" s="8"/>
      <c r="K661" s="17" t="str">
        <f aca="false">IF($E661="","",IF($E661&lt;1,ROUND($E661*1440,0),INT($E661/100)*60+MOD($E661,100)))</f>
        <v/>
      </c>
      <c r="L661" s="17" t="str">
        <f aca="false">IF($F661="","",IF($F661&lt;1,ROUND($F661*1440,0),INT($F661/100)*60+MOD($F661,100)))</f>
        <v/>
      </c>
    </row>
    <row r="662" customFormat="false" ht="15" hidden="false" customHeight="true" outlineLevel="0" collapsed="false">
      <c r="A662" s="10"/>
      <c r="B662" s="8"/>
      <c r="C662" s="13" t="str">
        <f aca="false">IF($B662="","",IFERROR(INDEX(직원목록!$B$3:$B$302,MATCH($B662,직원목록!$A$3:$A$302,0)),"미등록사번"))</f>
        <v/>
      </c>
      <c r="D662" s="13" t="str">
        <f aca="false">IF($B662="","",IFERROR(INDEX(직원목록!$C$3:$C$302,MATCH($B662,직원목록!$A$3:$A$302,0)),""))</f>
        <v/>
      </c>
      <c r="E662" s="14"/>
      <c r="F662" s="14"/>
      <c r="G662" s="15"/>
      <c r="H662" s="16" t="str">
        <f aca="false">IF(OR($K662="",$L662=""),"",ROUND(MAX(0,($L662-$K662)-IF($G662="",0,$G662))/60,2))</f>
        <v/>
      </c>
      <c r="I662" s="8"/>
      <c r="J662" s="8"/>
      <c r="K662" s="17" t="str">
        <f aca="false">IF($E662="","",IF($E662&lt;1,ROUND($E662*1440,0),INT($E662/100)*60+MOD($E662,100)))</f>
        <v/>
      </c>
      <c r="L662" s="17" t="str">
        <f aca="false">IF($F662="","",IF($F662&lt;1,ROUND($F662*1440,0),INT($F662/100)*60+MOD($F662,100)))</f>
        <v/>
      </c>
    </row>
    <row r="663" customFormat="false" ht="15" hidden="false" customHeight="true" outlineLevel="0" collapsed="false">
      <c r="A663" s="10"/>
      <c r="B663" s="8"/>
      <c r="C663" s="13" t="str">
        <f aca="false">IF($B663="","",IFERROR(INDEX(직원목록!$B$3:$B$302,MATCH($B663,직원목록!$A$3:$A$302,0)),"미등록사번"))</f>
        <v/>
      </c>
      <c r="D663" s="13" t="str">
        <f aca="false">IF($B663="","",IFERROR(INDEX(직원목록!$C$3:$C$302,MATCH($B663,직원목록!$A$3:$A$302,0)),""))</f>
        <v/>
      </c>
      <c r="E663" s="14"/>
      <c r="F663" s="14"/>
      <c r="G663" s="15"/>
      <c r="H663" s="16" t="str">
        <f aca="false">IF(OR($K663="",$L663=""),"",ROUND(MAX(0,($L663-$K663)-IF($G663="",0,$G663))/60,2))</f>
        <v/>
      </c>
      <c r="I663" s="8"/>
      <c r="J663" s="8"/>
      <c r="K663" s="17" t="str">
        <f aca="false">IF($E663="","",IF($E663&lt;1,ROUND($E663*1440,0),INT($E663/100)*60+MOD($E663,100)))</f>
        <v/>
      </c>
      <c r="L663" s="17" t="str">
        <f aca="false">IF($F663="","",IF($F663&lt;1,ROUND($F663*1440,0),INT($F663/100)*60+MOD($F663,100)))</f>
        <v/>
      </c>
    </row>
    <row r="664" customFormat="false" ht="15" hidden="false" customHeight="true" outlineLevel="0" collapsed="false">
      <c r="A664" s="10"/>
      <c r="B664" s="8"/>
      <c r="C664" s="13" t="str">
        <f aca="false">IF($B664="","",IFERROR(INDEX(직원목록!$B$3:$B$302,MATCH($B664,직원목록!$A$3:$A$302,0)),"미등록사번"))</f>
        <v/>
      </c>
      <c r="D664" s="13" t="str">
        <f aca="false">IF($B664="","",IFERROR(INDEX(직원목록!$C$3:$C$302,MATCH($B664,직원목록!$A$3:$A$302,0)),""))</f>
        <v/>
      </c>
      <c r="E664" s="14"/>
      <c r="F664" s="14"/>
      <c r="G664" s="15"/>
      <c r="H664" s="16" t="str">
        <f aca="false">IF(OR($K664="",$L664=""),"",ROUND(MAX(0,($L664-$K664)-IF($G664="",0,$G664))/60,2))</f>
        <v/>
      </c>
      <c r="I664" s="8"/>
      <c r="J664" s="8"/>
      <c r="K664" s="17" t="str">
        <f aca="false">IF($E664="","",IF($E664&lt;1,ROUND($E664*1440,0),INT($E664/100)*60+MOD($E664,100)))</f>
        <v/>
      </c>
      <c r="L664" s="17" t="str">
        <f aca="false">IF($F664="","",IF($F664&lt;1,ROUND($F664*1440,0),INT($F664/100)*60+MOD($F664,100)))</f>
        <v/>
      </c>
    </row>
    <row r="665" customFormat="false" ht="15" hidden="false" customHeight="true" outlineLevel="0" collapsed="false">
      <c r="A665" s="10"/>
      <c r="B665" s="8"/>
      <c r="C665" s="13" t="str">
        <f aca="false">IF($B665="","",IFERROR(INDEX(직원목록!$B$3:$B$302,MATCH($B665,직원목록!$A$3:$A$302,0)),"미등록사번"))</f>
        <v/>
      </c>
      <c r="D665" s="13" t="str">
        <f aca="false">IF($B665="","",IFERROR(INDEX(직원목록!$C$3:$C$302,MATCH($B665,직원목록!$A$3:$A$302,0)),""))</f>
        <v/>
      </c>
      <c r="E665" s="14"/>
      <c r="F665" s="14"/>
      <c r="G665" s="15"/>
      <c r="H665" s="16" t="str">
        <f aca="false">IF(OR($K665="",$L665=""),"",ROUND(MAX(0,($L665-$K665)-IF($G665="",0,$G665))/60,2))</f>
        <v/>
      </c>
      <c r="I665" s="8"/>
      <c r="J665" s="8"/>
      <c r="K665" s="17" t="str">
        <f aca="false">IF($E665="","",IF($E665&lt;1,ROUND($E665*1440,0),INT($E665/100)*60+MOD($E665,100)))</f>
        <v/>
      </c>
      <c r="L665" s="17" t="str">
        <f aca="false">IF($F665="","",IF($F665&lt;1,ROUND($F665*1440,0),INT($F665/100)*60+MOD($F665,100)))</f>
        <v/>
      </c>
    </row>
    <row r="666" customFormat="false" ht="15" hidden="false" customHeight="true" outlineLevel="0" collapsed="false">
      <c r="A666" s="10"/>
      <c r="B666" s="8"/>
      <c r="C666" s="13" t="str">
        <f aca="false">IF($B666="","",IFERROR(INDEX(직원목록!$B$3:$B$302,MATCH($B666,직원목록!$A$3:$A$302,0)),"미등록사번"))</f>
        <v/>
      </c>
      <c r="D666" s="13" t="str">
        <f aca="false">IF($B666="","",IFERROR(INDEX(직원목록!$C$3:$C$302,MATCH($B666,직원목록!$A$3:$A$302,0)),""))</f>
        <v/>
      </c>
      <c r="E666" s="14"/>
      <c r="F666" s="14"/>
      <c r="G666" s="15"/>
      <c r="H666" s="16" t="str">
        <f aca="false">IF(OR($K666="",$L666=""),"",ROUND(MAX(0,($L666-$K666)-IF($G666="",0,$G666))/60,2))</f>
        <v/>
      </c>
      <c r="I666" s="8"/>
      <c r="J666" s="8"/>
      <c r="K666" s="17" t="str">
        <f aca="false">IF($E666="","",IF($E666&lt;1,ROUND($E666*1440,0),INT($E666/100)*60+MOD($E666,100)))</f>
        <v/>
      </c>
      <c r="L666" s="17" t="str">
        <f aca="false">IF($F666="","",IF($F666&lt;1,ROUND($F666*1440,0),INT($F666/100)*60+MOD($F666,100)))</f>
        <v/>
      </c>
    </row>
    <row r="667" customFormat="false" ht="15" hidden="false" customHeight="true" outlineLevel="0" collapsed="false">
      <c r="A667" s="10"/>
      <c r="B667" s="8"/>
      <c r="C667" s="13" t="str">
        <f aca="false">IF($B667="","",IFERROR(INDEX(직원목록!$B$3:$B$302,MATCH($B667,직원목록!$A$3:$A$302,0)),"미등록사번"))</f>
        <v/>
      </c>
      <c r="D667" s="13" t="str">
        <f aca="false">IF($B667="","",IFERROR(INDEX(직원목록!$C$3:$C$302,MATCH($B667,직원목록!$A$3:$A$302,0)),""))</f>
        <v/>
      </c>
      <c r="E667" s="14"/>
      <c r="F667" s="14"/>
      <c r="G667" s="15"/>
      <c r="H667" s="16" t="str">
        <f aca="false">IF(OR($K667="",$L667=""),"",ROUND(MAX(0,($L667-$K667)-IF($G667="",0,$G667))/60,2))</f>
        <v/>
      </c>
      <c r="I667" s="8"/>
      <c r="J667" s="8"/>
      <c r="K667" s="17" t="str">
        <f aca="false">IF($E667="","",IF($E667&lt;1,ROUND($E667*1440,0),INT($E667/100)*60+MOD($E667,100)))</f>
        <v/>
      </c>
      <c r="L667" s="17" t="str">
        <f aca="false">IF($F667="","",IF($F667&lt;1,ROUND($F667*1440,0),INT($F667/100)*60+MOD($F667,100)))</f>
        <v/>
      </c>
    </row>
    <row r="668" customFormat="false" ht="15" hidden="false" customHeight="true" outlineLevel="0" collapsed="false">
      <c r="A668" s="10"/>
      <c r="B668" s="8"/>
      <c r="C668" s="13" t="str">
        <f aca="false">IF($B668="","",IFERROR(INDEX(직원목록!$B$3:$B$302,MATCH($B668,직원목록!$A$3:$A$302,0)),"미등록사번"))</f>
        <v/>
      </c>
      <c r="D668" s="13" t="str">
        <f aca="false">IF($B668="","",IFERROR(INDEX(직원목록!$C$3:$C$302,MATCH($B668,직원목록!$A$3:$A$302,0)),""))</f>
        <v/>
      </c>
      <c r="E668" s="14"/>
      <c r="F668" s="14"/>
      <c r="G668" s="15"/>
      <c r="H668" s="16" t="str">
        <f aca="false">IF(OR($K668="",$L668=""),"",ROUND(MAX(0,($L668-$K668)-IF($G668="",0,$G668))/60,2))</f>
        <v/>
      </c>
      <c r="I668" s="8"/>
      <c r="J668" s="8"/>
      <c r="K668" s="17" t="str">
        <f aca="false">IF($E668="","",IF($E668&lt;1,ROUND($E668*1440,0),INT($E668/100)*60+MOD($E668,100)))</f>
        <v/>
      </c>
      <c r="L668" s="17" t="str">
        <f aca="false">IF($F668="","",IF($F668&lt;1,ROUND($F668*1440,0),INT($F668/100)*60+MOD($F668,100)))</f>
        <v/>
      </c>
    </row>
    <row r="669" customFormat="false" ht="15" hidden="false" customHeight="true" outlineLevel="0" collapsed="false">
      <c r="A669" s="10"/>
      <c r="B669" s="8"/>
      <c r="C669" s="13" t="str">
        <f aca="false">IF($B669="","",IFERROR(INDEX(직원목록!$B$3:$B$302,MATCH($B669,직원목록!$A$3:$A$302,0)),"미등록사번"))</f>
        <v/>
      </c>
      <c r="D669" s="13" t="str">
        <f aca="false">IF($B669="","",IFERROR(INDEX(직원목록!$C$3:$C$302,MATCH($B669,직원목록!$A$3:$A$302,0)),""))</f>
        <v/>
      </c>
      <c r="E669" s="14"/>
      <c r="F669" s="14"/>
      <c r="G669" s="15"/>
      <c r="H669" s="16" t="str">
        <f aca="false">IF(OR($K669="",$L669=""),"",ROUND(MAX(0,($L669-$K669)-IF($G669="",0,$G669))/60,2))</f>
        <v/>
      </c>
      <c r="I669" s="8"/>
      <c r="J669" s="8"/>
      <c r="K669" s="17" t="str">
        <f aca="false">IF($E669="","",IF($E669&lt;1,ROUND($E669*1440,0),INT($E669/100)*60+MOD($E669,100)))</f>
        <v/>
      </c>
      <c r="L669" s="17" t="str">
        <f aca="false">IF($F669="","",IF($F669&lt;1,ROUND($F669*1440,0),INT($F669/100)*60+MOD($F669,100)))</f>
        <v/>
      </c>
    </row>
    <row r="670" customFormat="false" ht="15" hidden="false" customHeight="true" outlineLevel="0" collapsed="false">
      <c r="A670" s="10"/>
      <c r="B670" s="8"/>
      <c r="C670" s="13" t="str">
        <f aca="false">IF($B670="","",IFERROR(INDEX(직원목록!$B$3:$B$302,MATCH($B670,직원목록!$A$3:$A$302,0)),"미등록사번"))</f>
        <v/>
      </c>
      <c r="D670" s="13" t="str">
        <f aca="false">IF($B670="","",IFERROR(INDEX(직원목록!$C$3:$C$302,MATCH($B670,직원목록!$A$3:$A$302,0)),""))</f>
        <v/>
      </c>
      <c r="E670" s="14"/>
      <c r="F670" s="14"/>
      <c r="G670" s="15"/>
      <c r="H670" s="16" t="str">
        <f aca="false">IF(OR($K670="",$L670=""),"",ROUND(MAX(0,($L670-$K670)-IF($G670="",0,$G670))/60,2))</f>
        <v/>
      </c>
      <c r="I670" s="8"/>
      <c r="J670" s="8"/>
      <c r="K670" s="17" t="str">
        <f aca="false">IF($E670="","",IF($E670&lt;1,ROUND($E670*1440,0),INT($E670/100)*60+MOD($E670,100)))</f>
        <v/>
      </c>
      <c r="L670" s="17" t="str">
        <f aca="false">IF($F670="","",IF($F670&lt;1,ROUND($F670*1440,0),INT($F670/100)*60+MOD($F670,100)))</f>
        <v/>
      </c>
    </row>
    <row r="671" customFormat="false" ht="15" hidden="false" customHeight="true" outlineLevel="0" collapsed="false">
      <c r="A671" s="10"/>
      <c r="B671" s="8"/>
      <c r="C671" s="13" t="str">
        <f aca="false">IF($B671="","",IFERROR(INDEX(직원목록!$B$3:$B$302,MATCH($B671,직원목록!$A$3:$A$302,0)),"미등록사번"))</f>
        <v/>
      </c>
      <c r="D671" s="13" t="str">
        <f aca="false">IF($B671="","",IFERROR(INDEX(직원목록!$C$3:$C$302,MATCH($B671,직원목록!$A$3:$A$302,0)),""))</f>
        <v/>
      </c>
      <c r="E671" s="14"/>
      <c r="F671" s="14"/>
      <c r="G671" s="15"/>
      <c r="H671" s="16" t="str">
        <f aca="false">IF(OR($K671="",$L671=""),"",ROUND(MAX(0,($L671-$K671)-IF($G671="",0,$G671))/60,2))</f>
        <v/>
      </c>
      <c r="I671" s="8"/>
      <c r="J671" s="8"/>
      <c r="K671" s="17" t="str">
        <f aca="false">IF($E671="","",IF($E671&lt;1,ROUND($E671*1440,0),INT($E671/100)*60+MOD($E671,100)))</f>
        <v/>
      </c>
      <c r="L671" s="17" t="str">
        <f aca="false">IF($F671="","",IF($F671&lt;1,ROUND($F671*1440,0),INT($F671/100)*60+MOD($F671,100)))</f>
        <v/>
      </c>
    </row>
    <row r="672" customFormat="false" ht="15" hidden="false" customHeight="true" outlineLevel="0" collapsed="false">
      <c r="A672" s="10"/>
      <c r="B672" s="8"/>
      <c r="C672" s="13" t="str">
        <f aca="false">IF($B672="","",IFERROR(INDEX(직원목록!$B$3:$B$302,MATCH($B672,직원목록!$A$3:$A$302,0)),"미등록사번"))</f>
        <v/>
      </c>
      <c r="D672" s="13" t="str">
        <f aca="false">IF($B672="","",IFERROR(INDEX(직원목록!$C$3:$C$302,MATCH($B672,직원목록!$A$3:$A$302,0)),""))</f>
        <v/>
      </c>
      <c r="E672" s="14"/>
      <c r="F672" s="14"/>
      <c r="G672" s="15"/>
      <c r="H672" s="16" t="str">
        <f aca="false">IF(OR($K672="",$L672=""),"",ROUND(MAX(0,($L672-$K672)-IF($G672="",0,$G672))/60,2))</f>
        <v/>
      </c>
      <c r="I672" s="8"/>
      <c r="J672" s="8"/>
      <c r="K672" s="17" t="str">
        <f aca="false">IF($E672="","",IF($E672&lt;1,ROUND($E672*1440,0),INT($E672/100)*60+MOD($E672,100)))</f>
        <v/>
      </c>
      <c r="L672" s="17" t="str">
        <f aca="false">IF($F672="","",IF($F672&lt;1,ROUND($F672*1440,0),INT($F672/100)*60+MOD($F672,100)))</f>
        <v/>
      </c>
    </row>
    <row r="673" customFormat="false" ht="15" hidden="false" customHeight="true" outlineLevel="0" collapsed="false">
      <c r="A673" s="10"/>
      <c r="B673" s="8"/>
      <c r="C673" s="13" t="str">
        <f aca="false">IF($B673="","",IFERROR(INDEX(직원목록!$B$3:$B$302,MATCH($B673,직원목록!$A$3:$A$302,0)),"미등록사번"))</f>
        <v/>
      </c>
      <c r="D673" s="13" t="str">
        <f aca="false">IF($B673="","",IFERROR(INDEX(직원목록!$C$3:$C$302,MATCH($B673,직원목록!$A$3:$A$302,0)),""))</f>
        <v/>
      </c>
      <c r="E673" s="14"/>
      <c r="F673" s="14"/>
      <c r="G673" s="15"/>
      <c r="H673" s="16" t="str">
        <f aca="false">IF(OR($K673="",$L673=""),"",ROUND(MAX(0,($L673-$K673)-IF($G673="",0,$G673))/60,2))</f>
        <v/>
      </c>
      <c r="I673" s="8"/>
      <c r="J673" s="8"/>
      <c r="K673" s="17" t="str">
        <f aca="false">IF($E673="","",IF($E673&lt;1,ROUND($E673*1440,0),INT($E673/100)*60+MOD($E673,100)))</f>
        <v/>
      </c>
      <c r="L673" s="17" t="str">
        <f aca="false">IF($F673="","",IF($F673&lt;1,ROUND($F673*1440,0),INT($F673/100)*60+MOD($F673,100)))</f>
        <v/>
      </c>
    </row>
    <row r="674" customFormat="false" ht="15" hidden="false" customHeight="true" outlineLevel="0" collapsed="false">
      <c r="A674" s="10"/>
      <c r="B674" s="8"/>
      <c r="C674" s="13" t="str">
        <f aca="false">IF($B674="","",IFERROR(INDEX(직원목록!$B$3:$B$302,MATCH($B674,직원목록!$A$3:$A$302,0)),"미등록사번"))</f>
        <v/>
      </c>
      <c r="D674" s="13" t="str">
        <f aca="false">IF($B674="","",IFERROR(INDEX(직원목록!$C$3:$C$302,MATCH($B674,직원목록!$A$3:$A$302,0)),""))</f>
        <v/>
      </c>
      <c r="E674" s="14"/>
      <c r="F674" s="14"/>
      <c r="G674" s="15"/>
      <c r="H674" s="16" t="str">
        <f aca="false">IF(OR($K674="",$L674=""),"",ROUND(MAX(0,($L674-$K674)-IF($G674="",0,$G674))/60,2))</f>
        <v/>
      </c>
      <c r="I674" s="8"/>
      <c r="J674" s="8"/>
      <c r="K674" s="17" t="str">
        <f aca="false">IF($E674="","",IF($E674&lt;1,ROUND($E674*1440,0),INT($E674/100)*60+MOD($E674,100)))</f>
        <v/>
      </c>
      <c r="L674" s="17" t="str">
        <f aca="false">IF($F674="","",IF($F674&lt;1,ROUND($F674*1440,0),INT($F674/100)*60+MOD($F674,100)))</f>
        <v/>
      </c>
    </row>
    <row r="675" customFormat="false" ht="15" hidden="false" customHeight="true" outlineLevel="0" collapsed="false">
      <c r="A675" s="10"/>
      <c r="B675" s="8"/>
      <c r="C675" s="13" t="str">
        <f aca="false">IF($B675="","",IFERROR(INDEX(직원목록!$B$3:$B$302,MATCH($B675,직원목록!$A$3:$A$302,0)),"미등록사번"))</f>
        <v/>
      </c>
      <c r="D675" s="13" t="str">
        <f aca="false">IF($B675="","",IFERROR(INDEX(직원목록!$C$3:$C$302,MATCH($B675,직원목록!$A$3:$A$302,0)),""))</f>
        <v/>
      </c>
      <c r="E675" s="14"/>
      <c r="F675" s="14"/>
      <c r="G675" s="15"/>
      <c r="H675" s="16" t="str">
        <f aca="false">IF(OR($K675="",$L675=""),"",ROUND(MAX(0,($L675-$K675)-IF($G675="",0,$G675))/60,2))</f>
        <v/>
      </c>
      <c r="I675" s="8"/>
      <c r="J675" s="8"/>
      <c r="K675" s="17" t="str">
        <f aca="false">IF($E675="","",IF($E675&lt;1,ROUND($E675*1440,0),INT($E675/100)*60+MOD($E675,100)))</f>
        <v/>
      </c>
      <c r="L675" s="17" t="str">
        <f aca="false">IF($F675="","",IF($F675&lt;1,ROUND($F675*1440,0),INT($F675/100)*60+MOD($F675,100)))</f>
        <v/>
      </c>
    </row>
    <row r="676" customFormat="false" ht="15" hidden="false" customHeight="true" outlineLevel="0" collapsed="false">
      <c r="A676" s="10"/>
      <c r="B676" s="8"/>
      <c r="C676" s="13" t="str">
        <f aca="false">IF($B676="","",IFERROR(INDEX(직원목록!$B$3:$B$302,MATCH($B676,직원목록!$A$3:$A$302,0)),"미등록사번"))</f>
        <v/>
      </c>
      <c r="D676" s="13" t="str">
        <f aca="false">IF($B676="","",IFERROR(INDEX(직원목록!$C$3:$C$302,MATCH($B676,직원목록!$A$3:$A$302,0)),""))</f>
        <v/>
      </c>
      <c r="E676" s="14"/>
      <c r="F676" s="14"/>
      <c r="G676" s="15"/>
      <c r="H676" s="16" t="str">
        <f aca="false">IF(OR($K676="",$L676=""),"",ROUND(MAX(0,($L676-$K676)-IF($G676="",0,$G676))/60,2))</f>
        <v/>
      </c>
      <c r="I676" s="8"/>
      <c r="J676" s="8"/>
      <c r="K676" s="17" t="str">
        <f aca="false">IF($E676="","",IF($E676&lt;1,ROUND($E676*1440,0),INT($E676/100)*60+MOD($E676,100)))</f>
        <v/>
      </c>
      <c r="L676" s="17" t="str">
        <f aca="false">IF($F676="","",IF($F676&lt;1,ROUND($F676*1440,0),INT($F676/100)*60+MOD($F676,100)))</f>
        <v/>
      </c>
    </row>
    <row r="677" customFormat="false" ht="15" hidden="false" customHeight="true" outlineLevel="0" collapsed="false">
      <c r="A677" s="10"/>
      <c r="B677" s="8"/>
      <c r="C677" s="13" t="str">
        <f aca="false">IF($B677="","",IFERROR(INDEX(직원목록!$B$3:$B$302,MATCH($B677,직원목록!$A$3:$A$302,0)),"미등록사번"))</f>
        <v/>
      </c>
      <c r="D677" s="13" t="str">
        <f aca="false">IF($B677="","",IFERROR(INDEX(직원목록!$C$3:$C$302,MATCH($B677,직원목록!$A$3:$A$302,0)),""))</f>
        <v/>
      </c>
      <c r="E677" s="14"/>
      <c r="F677" s="14"/>
      <c r="G677" s="15"/>
      <c r="H677" s="16" t="str">
        <f aca="false">IF(OR($K677="",$L677=""),"",ROUND(MAX(0,($L677-$K677)-IF($G677="",0,$G677))/60,2))</f>
        <v/>
      </c>
      <c r="I677" s="8"/>
      <c r="J677" s="8"/>
      <c r="K677" s="17" t="str">
        <f aca="false">IF($E677="","",IF($E677&lt;1,ROUND($E677*1440,0),INT($E677/100)*60+MOD($E677,100)))</f>
        <v/>
      </c>
      <c r="L677" s="17" t="str">
        <f aca="false">IF($F677="","",IF($F677&lt;1,ROUND($F677*1440,0),INT($F677/100)*60+MOD($F677,100)))</f>
        <v/>
      </c>
    </row>
    <row r="678" customFormat="false" ht="15" hidden="false" customHeight="true" outlineLevel="0" collapsed="false">
      <c r="A678" s="10"/>
      <c r="B678" s="8"/>
      <c r="C678" s="13" t="str">
        <f aca="false">IF($B678="","",IFERROR(INDEX(직원목록!$B$3:$B$302,MATCH($B678,직원목록!$A$3:$A$302,0)),"미등록사번"))</f>
        <v/>
      </c>
      <c r="D678" s="13" t="str">
        <f aca="false">IF($B678="","",IFERROR(INDEX(직원목록!$C$3:$C$302,MATCH($B678,직원목록!$A$3:$A$302,0)),""))</f>
        <v/>
      </c>
      <c r="E678" s="14"/>
      <c r="F678" s="14"/>
      <c r="G678" s="15"/>
      <c r="H678" s="16" t="str">
        <f aca="false">IF(OR($K678="",$L678=""),"",ROUND(MAX(0,($L678-$K678)-IF($G678="",0,$G678))/60,2))</f>
        <v/>
      </c>
      <c r="I678" s="8"/>
      <c r="J678" s="8"/>
      <c r="K678" s="17" t="str">
        <f aca="false">IF($E678="","",IF($E678&lt;1,ROUND($E678*1440,0),INT($E678/100)*60+MOD($E678,100)))</f>
        <v/>
      </c>
      <c r="L678" s="17" t="str">
        <f aca="false">IF($F678="","",IF($F678&lt;1,ROUND($F678*1440,0),INT($F678/100)*60+MOD($F678,100)))</f>
        <v/>
      </c>
    </row>
    <row r="679" customFormat="false" ht="15" hidden="false" customHeight="true" outlineLevel="0" collapsed="false">
      <c r="A679" s="10"/>
      <c r="B679" s="8"/>
      <c r="C679" s="13" t="str">
        <f aca="false">IF($B679="","",IFERROR(INDEX(직원목록!$B$3:$B$302,MATCH($B679,직원목록!$A$3:$A$302,0)),"미등록사번"))</f>
        <v/>
      </c>
      <c r="D679" s="13" t="str">
        <f aca="false">IF($B679="","",IFERROR(INDEX(직원목록!$C$3:$C$302,MATCH($B679,직원목록!$A$3:$A$302,0)),""))</f>
        <v/>
      </c>
      <c r="E679" s="14"/>
      <c r="F679" s="14"/>
      <c r="G679" s="15"/>
      <c r="H679" s="16" t="str">
        <f aca="false">IF(OR($K679="",$L679=""),"",ROUND(MAX(0,($L679-$K679)-IF($G679="",0,$G679))/60,2))</f>
        <v/>
      </c>
      <c r="I679" s="8"/>
      <c r="J679" s="8"/>
      <c r="K679" s="17" t="str">
        <f aca="false">IF($E679="","",IF($E679&lt;1,ROUND($E679*1440,0),INT($E679/100)*60+MOD($E679,100)))</f>
        <v/>
      </c>
      <c r="L679" s="17" t="str">
        <f aca="false">IF($F679="","",IF($F679&lt;1,ROUND($F679*1440,0),INT($F679/100)*60+MOD($F679,100)))</f>
        <v/>
      </c>
    </row>
    <row r="680" customFormat="false" ht="15" hidden="false" customHeight="true" outlineLevel="0" collapsed="false">
      <c r="A680" s="10"/>
      <c r="B680" s="8"/>
      <c r="C680" s="13" t="str">
        <f aca="false">IF($B680="","",IFERROR(INDEX(직원목록!$B$3:$B$302,MATCH($B680,직원목록!$A$3:$A$302,0)),"미등록사번"))</f>
        <v/>
      </c>
      <c r="D680" s="13" t="str">
        <f aca="false">IF($B680="","",IFERROR(INDEX(직원목록!$C$3:$C$302,MATCH($B680,직원목록!$A$3:$A$302,0)),""))</f>
        <v/>
      </c>
      <c r="E680" s="14"/>
      <c r="F680" s="14"/>
      <c r="G680" s="15"/>
      <c r="H680" s="16" t="str">
        <f aca="false">IF(OR($K680="",$L680=""),"",ROUND(MAX(0,($L680-$K680)-IF($G680="",0,$G680))/60,2))</f>
        <v/>
      </c>
      <c r="I680" s="8"/>
      <c r="J680" s="8"/>
      <c r="K680" s="17" t="str">
        <f aca="false">IF($E680="","",IF($E680&lt;1,ROUND($E680*1440,0),INT($E680/100)*60+MOD($E680,100)))</f>
        <v/>
      </c>
      <c r="L680" s="17" t="str">
        <f aca="false">IF($F680="","",IF($F680&lt;1,ROUND($F680*1440,0),INT($F680/100)*60+MOD($F680,100)))</f>
        <v/>
      </c>
    </row>
    <row r="681" customFormat="false" ht="15" hidden="false" customHeight="true" outlineLevel="0" collapsed="false">
      <c r="A681" s="10"/>
      <c r="B681" s="8"/>
      <c r="C681" s="13" t="str">
        <f aca="false">IF($B681="","",IFERROR(INDEX(직원목록!$B$3:$B$302,MATCH($B681,직원목록!$A$3:$A$302,0)),"미등록사번"))</f>
        <v/>
      </c>
      <c r="D681" s="13" t="str">
        <f aca="false">IF($B681="","",IFERROR(INDEX(직원목록!$C$3:$C$302,MATCH($B681,직원목록!$A$3:$A$302,0)),""))</f>
        <v/>
      </c>
      <c r="E681" s="14"/>
      <c r="F681" s="14"/>
      <c r="G681" s="15"/>
      <c r="H681" s="16" t="str">
        <f aca="false">IF(OR($K681="",$L681=""),"",ROUND(MAX(0,($L681-$K681)-IF($G681="",0,$G681))/60,2))</f>
        <v/>
      </c>
      <c r="I681" s="8"/>
      <c r="J681" s="8"/>
      <c r="K681" s="17" t="str">
        <f aca="false">IF($E681="","",IF($E681&lt;1,ROUND($E681*1440,0),INT($E681/100)*60+MOD($E681,100)))</f>
        <v/>
      </c>
      <c r="L681" s="17" t="str">
        <f aca="false">IF($F681="","",IF($F681&lt;1,ROUND($F681*1440,0),INT($F681/100)*60+MOD($F681,100)))</f>
        <v/>
      </c>
    </row>
    <row r="682" customFormat="false" ht="15" hidden="false" customHeight="true" outlineLevel="0" collapsed="false">
      <c r="A682" s="10"/>
      <c r="B682" s="8"/>
      <c r="C682" s="13" t="str">
        <f aca="false">IF($B682="","",IFERROR(INDEX(직원목록!$B$3:$B$302,MATCH($B682,직원목록!$A$3:$A$302,0)),"미등록사번"))</f>
        <v/>
      </c>
      <c r="D682" s="13" t="str">
        <f aca="false">IF($B682="","",IFERROR(INDEX(직원목록!$C$3:$C$302,MATCH($B682,직원목록!$A$3:$A$302,0)),""))</f>
        <v/>
      </c>
      <c r="E682" s="14"/>
      <c r="F682" s="14"/>
      <c r="G682" s="15"/>
      <c r="H682" s="16" t="str">
        <f aca="false">IF(OR($K682="",$L682=""),"",ROUND(MAX(0,($L682-$K682)-IF($G682="",0,$G682))/60,2))</f>
        <v/>
      </c>
      <c r="I682" s="8"/>
      <c r="J682" s="8"/>
      <c r="K682" s="17" t="str">
        <f aca="false">IF($E682="","",IF($E682&lt;1,ROUND($E682*1440,0),INT($E682/100)*60+MOD($E682,100)))</f>
        <v/>
      </c>
      <c r="L682" s="17" t="str">
        <f aca="false">IF($F682="","",IF($F682&lt;1,ROUND($F682*1440,0),INT($F682/100)*60+MOD($F682,100)))</f>
        <v/>
      </c>
    </row>
    <row r="683" customFormat="false" ht="15" hidden="false" customHeight="true" outlineLevel="0" collapsed="false">
      <c r="A683" s="10"/>
      <c r="B683" s="8"/>
      <c r="C683" s="13" t="str">
        <f aca="false">IF($B683="","",IFERROR(INDEX(직원목록!$B$3:$B$302,MATCH($B683,직원목록!$A$3:$A$302,0)),"미등록사번"))</f>
        <v/>
      </c>
      <c r="D683" s="13" t="str">
        <f aca="false">IF($B683="","",IFERROR(INDEX(직원목록!$C$3:$C$302,MATCH($B683,직원목록!$A$3:$A$302,0)),""))</f>
        <v/>
      </c>
      <c r="E683" s="14"/>
      <c r="F683" s="14"/>
      <c r="G683" s="15"/>
      <c r="H683" s="16" t="str">
        <f aca="false">IF(OR($K683="",$L683=""),"",ROUND(MAX(0,($L683-$K683)-IF($G683="",0,$G683))/60,2))</f>
        <v/>
      </c>
      <c r="I683" s="8"/>
      <c r="J683" s="8"/>
      <c r="K683" s="17" t="str">
        <f aca="false">IF($E683="","",IF($E683&lt;1,ROUND($E683*1440,0),INT($E683/100)*60+MOD($E683,100)))</f>
        <v/>
      </c>
      <c r="L683" s="17" t="str">
        <f aca="false">IF($F683="","",IF($F683&lt;1,ROUND($F683*1440,0),INT($F683/100)*60+MOD($F683,100)))</f>
        <v/>
      </c>
    </row>
    <row r="684" customFormat="false" ht="15" hidden="false" customHeight="true" outlineLevel="0" collapsed="false">
      <c r="A684" s="10"/>
      <c r="B684" s="8"/>
      <c r="C684" s="13" t="str">
        <f aca="false">IF($B684="","",IFERROR(INDEX(직원목록!$B$3:$B$302,MATCH($B684,직원목록!$A$3:$A$302,0)),"미등록사번"))</f>
        <v/>
      </c>
      <c r="D684" s="13" t="str">
        <f aca="false">IF($B684="","",IFERROR(INDEX(직원목록!$C$3:$C$302,MATCH($B684,직원목록!$A$3:$A$302,0)),""))</f>
        <v/>
      </c>
      <c r="E684" s="14"/>
      <c r="F684" s="14"/>
      <c r="G684" s="15"/>
      <c r="H684" s="16" t="str">
        <f aca="false">IF(OR($K684="",$L684=""),"",ROUND(MAX(0,($L684-$K684)-IF($G684="",0,$G684))/60,2))</f>
        <v/>
      </c>
      <c r="I684" s="8"/>
      <c r="J684" s="8"/>
      <c r="K684" s="17" t="str">
        <f aca="false">IF($E684="","",IF($E684&lt;1,ROUND($E684*1440,0),INT($E684/100)*60+MOD($E684,100)))</f>
        <v/>
      </c>
      <c r="L684" s="17" t="str">
        <f aca="false">IF($F684="","",IF($F684&lt;1,ROUND($F684*1440,0),INT($F684/100)*60+MOD($F684,100)))</f>
        <v/>
      </c>
    </row>
    <row r="685" customFormat="false" ht="15" hidden="false" customHeight="true" outlineLevel="0" collapsed="false">
      <c r="A685" s="10"/>
      <c r="B685" s="8"/>
      <c r="C685" s="13" t="str">
        <f aca="false">IF($B685="","",IFERROR(INDEX(직원목록!$B$3:$B$302,MATCH($B685,직원목록!$A$3:$A$302,0)),"미등록사번"))</f>
        <v/>
      </c>
      <c r="D685" s="13" t="str">
        <f aca="false">IF($B685="","",IFERROR(INDEX(직원목록!$C$3:$C$302,MATCH($B685,직원목록!$A$3:$A$302,0)),""))</f>
        <v/>
      </c>
      <c r="E685" s="14"/>
      <c r="F685" s="14"/>
      <c r="G685" s="15"/>
      <c r="H685" s="16" t="str">
        <f aca="false">IF(OR($K685="",$L685=""),"",ROUND(MAX(0,($L685-$K685)-IF($G685="",0,$G685))/60,2))</f>
        <v/>
      </c>
      <c r="I685" s="8"/>
      <c r="J685" s="8"/>
      <c r="K685" s="17" t="str">
        <f aca="false">IF($E685="","",IF($E685&lt;1,ROUND($E685*1440,0),INT($E685/100)*60+MOD($E685,100)))</f>
        <v/>
      </c>
      <c r="L685" s="17" t="str">
        <f aca="false">IF($F685="","",IF($F685&lt;1,ROUND($F685*1440,0),INT($F685/100)*60+MOD($F685,100)))</f>
        <v/>
      </c>
    </row>
    <row r="686" customFormat="false" ht="15" hidden="false" customHeight="true" outlineLevel="0" collapsed="false">
      <c r="A686" s="10"/>
      <c r="B686" s="8"/>
      <c r="C686" s="13" t="str">
        <f aca="false">IF($B686="","",IFERROR(INDEX(직원목록!$B$3:$B$302,MATCH($B686,직원목록!$A$3:$A$302,0)),"미등록사번"))</f>
        <v/>
      </c>
      <c r="D686" s="13" t="str">
        <f aca="false">IF($B686="","",IFERROR(INDEX(직원목록!$C$3:$C$302,MATCH($B686,직원목록!$A$3:$A$302,0)),""))</f>
        <v/>
      </c>
      <c r="E686" s="14"/>
      <c r="F686" s="14"/>
      <c r="G686" s="15"/>
      <c r="H686" s="16" t="str">
        <f aca="false">IF(OR($K686="",$L686=""),"",ROUND(MAX(0,($L686-$K686)-IF($G686="",0,$G686))/60,2))</f>
        <v/>
      </c>
      <c r="I686" s="8"/>
      <c r="J686" s="8"/>
      <c r="K686" s="17" t="str">
        <f aca="false">IF($E686="","",IF($E686&lt;1,ROUND($E686*1440,0),INT($E686/100)*60+MOD($E686,100)))</f>
        <v/>
      </c>
      <c r="L686" s="17" t="str">
        <f aca="false">IF($F686="","",IF($F686&lt;1,ROUND($F686*1440,0),INT($F686/100)*60+MOD($F686,100)))</f>
        <v/>
      </c>
    </row>
    <row r="687" customFormat="false" ht="15" hidden="false" customHeight="true" outlineLevel="0" collapsed="false">
      <c r="A687" s="10"/>
      <c r="B687" s="8"/>
      <c r="C687" s="13" t="str">
        <f aca="false">IF($B687="","",IFERROR(INDEX(직원목록!$B$3:$B$302,MATCH($B687,직원목록!$A$3:$A$302,0)),"미등록사번"))</f>
        <v/>
      </c>
      <c r="D687" s="13" t="str">
        <f aca="false">IF($B687="","",IFERROR(INDEX(직원목록!$C$3:$C$302,MATCH($B687,직원목록!$A$3:$A$302,0)),""))</f>
        <v/>
      </c>
      <c r="E687" s="14"/>
      <c r="F687" s="14"/>
      <c r="G687" s="15"/>
      <c r="H687" s="16" t="str">
        <f aca="false">IF(OR($K687="",$L687=""),"",ROUND(MAX(0,($L687-$K687)-IF($G687="",0,$G687))/60,2))</f>
        <v/>
      </c>
      <c r="I687" s="8"/>
      <c r="J687" s="8"/>
      <c r="K687" s="17" t="str">
        <f aca="false">IF($E687="","",IF($E687&lt;1,ROUND($E687*1440,0),INT($E687/100)*60+MOD($E687,100)))</f>
        <v/>
      </c>
      <c r="L687" s="17" t="str">
        <f aca="false">IF($F687="","",IF($F687&lt;1,ROUND($F687*1440,0),INT($F687/100)*60+MOD($F687,100)))</f>
        <v/>
      </c>
    </row>
    <row r="688" customFormat="false" ht="15" hidden="false" customHeight="true" outlineLevel="0" collapsed="false">
      <c r="A688" s="10"/>
      <c r="B688" s="8"/>
      <c r="C688" s="13" t="str">
        <f aca="false">IF($B688="","",IFERROR(INDEX(직원목록!$B$3:$B$302,MATCH($B688,직원목록!$A$3:$A$302,0)),"미등록사번"))</f>
        <v/>
      </c>
      <c r="D688" s="13" t="str">
        <f aca="false">IF($B688="","",IFERROR(INDEX(직원목록!$C$3:$C$302,MATCH($B688,직원목록!$A$3:$A$302,0)),""))</f>
        <v/>
      </c>
      <c r="E688" s="14"/>
      <c r="F688" s="14"/>
      <c r="G688" s="15"/>
      <c r="H688" s="16" t="str">
        <f aca="false">IF(OR($K688="",$L688=""),"",ROUND(MAX(0,($L688-$K688)-IF($G688="",0,$G688))/60,2))</f>
        <v/>
      </c>
      <c r="I688" s="8"/>
      <c r="J688" s="8"/>
      <c r="K688" s="17" t="str">
        <f aca="false">IF($E688="","",IF($E688&lt;1,ROUND($E688*1440,0),INT($E688/100)*60+MOD($E688,100)))</f>
        <v/>
      </c>
      <c r="L688" s="17" t="str">
        <f aca="false">IF($F688="","",IF($F688&lt;1,ROUND($F688*1440,0),INT($F688/100)*60+MOD($F688,100)))</f>
        <v/>
      </c>
    </row>
    <row r="689" customFormat="false" ht="15" hidden="false" customHeight="true" outlineLevel="0" collapsed="false">
      <c r="A689" s="10"/>
      <c r="B689" s="8"/>
      <c r="C689" s="13" t="str">
        <f aca="false">IF($B689="","",IFERROR(INDEX(직원목록!$B$3:$B$302,MATCH($B689,직원목록!$A$3:$A$302,0)),"미등록사번"))</f>
        <v/>
      </c>
      <c r="D689" s="13" t="str">
        <f aca="false">IF($B689="","",IFERROR(INDEX(직원목록!$C$3:$C$302,MATCH($B689,직원목록!$A$3:$A$302,0)),""))</f>
        <v/>
      </c>
      <c r="E689" s="14"/>
      <c r="F689" s="14"/>
      <c r="G689" s="15"/>
      <c r="H689" s="16" t="str">
        <f aca="false">IF(OR($K689="",$L689=""),"",ROUND(MAX(0,($L689-$K689)-IF($G689="",0,$G689))/60,2))</f>
        <v/>
      </c>
      <c r="I689" s="8"/>
      <c r="J689" s="8"/>
      <c r="K689" s="17" t="str">
        <f aca="false">IF($E689="","",IF($E689&lt;1,ROUND($E689*1440,0),INT($E689/100)*60+MOD($E689,100)))</f>
        <v/>
      </c>
      <c r="L689" s="17" t="str">
        <f aca="false">IF($F689="","",IF($F689&lt;1,ROUND($F689*1440,0),INT($F689/100)*60+MOD($F689,100)))</f>
        <v/>
      </c>
    </row>
    <row r="690" customFormat="false" ht="15" hidden="false" customHeight="true" outlineLevel="0" collapsed="false">
      <c r="A690" s="10"/>
      <c r="B690" s="8"/>
      <c r="C690" s="13" t="str">
        <f aca="false">IF($B690="","",IFERROR(INDEX(직원목록!$B$3:$B$302,MATCH($B690,직원목록!$A$3:$A$302,0)),"미등록사번"))</f>
        <v/>
      </c>
      <c r="D690" s="13" t="str">
        <f aca="false">IF($B690="","",IFERROR(INDEX(직원목록!$C$3:$C$302,MATCH($B690,직원목록!$A$3:$A$302,0)),""))</f>
        <v/>
      </c>
      <c r="E690" s="14"/>
      <c r="F690" s="14"/>
      <c r="G690" s="15"/>
      <c r="H690" s="16" t="str">
        <f aca="false">IF(OR($K690="",$L690=""),"",ROUND(MAX(0,($L690-$K690)-IF($G690="",0,$G690))/60,2))</f>
        <v/>
      </c>
      <c r="I690" s="8"/>
      <c r="J690" s="8"/>
      <c r="K690" s="17" t="str">
        <f aca="false">IF($E690="","",IF($E690&lt;1,ROUND($E690*1440,0),INT($E690/100)*60+MOD($E690,100)))</f>
        <v/>
      </c>
      <c r="L690" s="17" t="str">
        <f aca="false">IF($F690="","",IF($F690&lt;1,ROUND($F690*1440,0),INT($F690/100)*60+MOD($F690,100)))</f>
        <v/>
      </c>
    </row>
    <row r="691" customFormat="false" ht="15" hidden="false" customHeight="true" outlineLevel="0" collapsed="false">
      <c r="A691" s="10"/>
      <c r="B691" s="8"/>
      <c r="C691" s="13" t="str">
        <f aca="false">IF($B691="","",IFERROR(INDEX(직원목록!$B$3:$B$302,MATCH($B691,직원목록!$A$3:$A$302,0)),"미등록사번"))</f>
        <v/>
      </c>
      <c r="D691" s="13" t="str">
        <f aca="false">IF($B691="","",IFERROR(INDEX(직원목록!$C$3:$C$302,MATCH($B691,직원목록!$A$3:$A$302,0)),""))</f>
        <v/>
      </c>
      <c r="E691" s="14"/>
      <c r="F691" s="14"/>
      <c r="G691" s="15"/>
      <c r="H691" s="16" t="str">
        <f aca="false">IF(OR($K691="",$L691=""),"",ROUND(MAX(0,($L691-$K691)-IF($G691="",0,$G691))/60,2))</f>
        <v/>
      </c>
      <c r="I691" s="8"/>
      <c r="J691" s="8"/>
      <c r="K691" s="17" t="str">
        <f aca="false">IF($E691="","",IF($E691&lt;1,ROUND($E691*1440,0),INT($E691/100)*60+MOD($E691,100)))</f>
        <v/>
      </c>
      <c r="L691" s="17" t="str">
        <f aca="false">IF($F691="","",IF($F691&lt;1,ROUND($F691*1440,0),INT($F691/100)*60+MOD($F691,100)))</f>
        <v/>
      </c>
    </row>
    <row r="692" customFormat="false" ht="15" hidden="false" customHeight="true" outlineLevel="0" collapsed="false">
      <c r="A692" s="10"/>
      <c r="B692" s="8"/>
      <c r="C692" s="13" t="str">
        <f aca="false">IF($B692="","",IFERROR(INDEX(직원목록!$B$3:$B$302,MATCH($B692,직원목록!$A$3:$A$302,0)),"미등록사번"))</f>
        <v/>
      </c>
      <c r="D692" s="13" t="str">
        <f aca="false">IF($B692="","",IFERROR(INDEX(직원목록!$C$3:$C$302,MATCH($B692,직원목록!$A$3:$A$302,0)),""))</f>
        <v/>
      </c>
      <c r="E692" s="14"/>
      <c r="F692" s="14"/>
      <c r="G692" s="15"/>
      <c r="H692" s="16" t="str">
        <f aca="false">IF(OR($K692="",$L692=""),"",ROUND(MAX(0,($L692-$K692)-IF($G692="",0,$G692))/60,2))</f>
        <v/>
      </c>
      <c r="I692" s="8"/>
      <c r="J692" s="8"/>
      <c r="K692" s="17" t="str">
        <f aca="false">IF($E692="","",IF($E692&lt;1,ROUND($E692*1440,0),INT($E692/100)*60+MOD($E692,100)))</f>
        <v/>
      </c>
      <c r="L692" s="17" t="str">
        <f aca="false">IF($F692="","",IF($F692&lt;1,ROUND($F692*1440,0),INT($F692/100)*60+MOD($F692,100)))</f>
        <v/>
      </c>
    </row>
    <row r="693" customFormat="false" ht="15" hidden="false" customHeight="true" outlineLevel="0" collapsed="false">
      <c r="A693" s="10"/>
      <c r="B693" s="8"/>
      <c r="C693" s="13" t="str">
        <f aca="false">IF($B693="","",IFERROR(INDEX(직원목록!$B$3:$B$302,MATCH($B693,직원목록!$A$3:$A$302,0)),"미등록사번"))</f>
        <v/>
      </c>
      <c r="D693" s="13" t="str">
        <f aca="false">IF($B693="","",IFERROR(INDEX(직원목록!$C$3:$C$302,MATCH($B693,직원목록!$A$3:$A$302,0)),""))</f>
        <v/>
      </c>
      <c r="E693" s="14"/>
      <c r="F693" s="14"/>
      <c r="G693" s="15"/>
      <c r="H693" s="16" t="str">
        <f aca="false">IF(OR($K693="",$L693=""),"",ROUND(MAX(0,($L693-$K693)-IF($G693="",0,$G693))/60,2))</f>
        <v/>
      </c>
      <c r="I693" s="8"/>
      <c r="J693" s="8"/>
      <c r="K693" s="17" t="str">
        <f aca="false">IF($E693="","",IF($E693&lt;1,ROUND($E693*1440,0),INT($E693/100)*60+MOD($E693,100)))</f>
        <v/>
      </c>
      <c r="L693" s="17" t="str">
        <f aca="false">IF($F693="","",IF($F693&lt;1,ROUND($F693*1440,0),INT($F693/100)*60+MOD($F693,100)))</f>
        <v/>
      </c>
    </row>
    <row r="694" customFormat="false" ht="15" hidden="false" customHeight="true" outlineLevel="0" collapsed="false">
      <c r="A694" s="10"/>
      <c r="B694" s="8"/>
      <c r="C694" s="13" t="str">
        <f aca="false">IF($B694="","",IFERROR(INDEX(직원목록!$B$3:$B$302,MATCH($B694,직원목록!$A$3:$A$302,0)),"미등록사번"))</f>
        <v/>
      </c>
      <c r="D694" s="13" t="str">
        <f aca="false">IF($B694="","",IFERROR(INDEX(직원목록!$C$3:$C$302,MATCH($B694,직원목록!$A$3:$A$302,0)),""))</f>
        <v/>
      </c>
      <c r="E694" s="14"/>
      <c r="F694" s="14"/>
      <c r="G694" s="15"/>
      <c r="H694" s="16" t="str">
        <f aca="false">IF(OR($K694="",$L694=""),"",ROUND(MAX(0,($L694-$K694)-IF($G694="",0,$G694))/60,2))</f>
        <v/>
      </c>
      <c r="I694" s="8"/>
      <c r="J694" s="8"/>
      <c r="K694" s="17" t="str">
        <f aca="false">IF($E694="","",IF($E694&lt;1,ROUND($E694*1440,0),INT($E694/100)*60+MOD($E694,100)))</f>
        <v/>
      </c>
      <c r="L694" s="17" t="str">
        <f aca="false">IF($F694="","",IF($F694&lt;1,ROUND($F694*1440,0),INT($F694/100)*60+MOD($F694,100)))</f>
        <v/>
      </c>
    </row>
    <row r="695" customFormat="false" ht="15" hidden="false" customHeight="true" outlineLevel="0" collapsed="false">
      <c r="A695" s="10"/>
      <c r="B695" s="8"/>
      <c r="C695" s="13" t="str">
        <f aca="false">IF($B695="","",IFERROR(INDEX(직원목록!$B$3:$B$302,MATCH($B695,직원목록!$A$3:$A$302,0)),"미등록사번"))</f>
        <v/>
      </c>
      <c r="D695" s="13" t="str">
        <f aca="false">IF($B695="","",IFERROR(INDEX(직원목록!$C$3:$C$302,MATCH($B695,직원목록!$A$3:$A$302,0)),""))</f>
        <v/>
      </c>
      <c r="E695" s="14"/>
      <c r="F695" s="14"/>
      <c r="G695" s="15"/>
      <c r="H695" s="16" t="str">
        <f aca="false">IF(OR($K695="",$L695=""),"",ROUND(MAX(0,($L695-$K695)-IF($G695="",0,$G695))/60,2))</f>
        <v/>
      </c>
      <c r="I695" s="8"/>
      <c r="J695" s="8"/>
      <c r="K695" s="17" t="str">
        <f aca="false">IF($E695="","",IF($E695&lt;1,ROUND($E695*1440,0),INT($E695/100)*60+MOD($E695,100)))</f>
        <v/>
      </c>
      <c r="L695" s="17" t="str">
        <f aca="false">IF($F695="","",IF($F695&lt;1,ROUND($F695*1440,0),INT($F695/100)*60+MOD($F695,100)))</f>
        <v/>
      </c>
    </row>
    <row r="696" customFormat="false" ht="15" hidden="false" customHeight="true" outlineLevel="0" collapsed="false">
      <c r="A696" s="10"/>
      <c r="B696" s="8"/>
      <c r="C696" s="13" t="str">
        <f aca="false">IF($B696="","",IFERROR(INDEX(직원목록!$B$3:$B$302,MATCH($B696,직원목록!$A$3:$A$302,0)),"미등록사번"))</f>
        <v/>
      </c>
      <c r="D696" s="13" t="str">
        <f aca="false">IF($B696="","",IFERROR(INDEX(직원목록!$C$3:$C$302,MATCH($B696,직원목록!$A$3:$A$302,0)),""))</f>
        <v/>
      </c>
      <c r="E696" s="14"/>
      <c r="F696" s="14"/>
      <c r="G696" s="15"/>
      <c r="H696" s="16" t="str">
        <f aca="false">IF(OR($K696="",$L696=""),"",ROUND(MAX(0,($L696-$K696)-IF($G696="",0,$G696))/60,2))</f>
        <v/>
      </c>
      <c r="I696" s="8"/>
      <c r="J696" s="8"/>
      <c r="K696" s="17" t="str">
        <f aca="false">IF($E696="","",IF($E696&lt;1,ROUND($E696*1440,0),INT($E696/100)*60+MOD($E696,100)))</f>
        <v/>
      </c>
      <c r="L696" s="17" t="str">
        <f aca="false">IF($F696="","",IF($F696&lt;1,ROUND($F696*1440,0),INT($F696/100)*60+MOD($F696,100)))</f>
        <v/>
      </c>
    </row>
    <row r="697" customFormat="false" ht="15" hidden="false" customHeight="true" outlineLevel="0" collapsed="false">
      <c r="A697" s="10"/>
      <c r="B697" s="8"/>
      <c r="C697" s="13" t="str">
        <f aca="false">IF($B697="","",IFERROR(INDEX(직원목록!$B$3:$B$302,MATCH($B697,직원목록!$A$3:$A$302,0)),"미등록사번"))</f>
        <v/>
      </c>
      <c r="D697" s="13" t="str">
        <f aca="false">IF($B697="","",IFERROR(INDEX(직원목록!$C$3:$C$302,MATCH($B697,직원목록!$A$3:$A$302,0)),""))</f>
        <v/>
      </c>
      <c r="E697" s="14"/>
      <c r="F697" s="14"/>
      <c r="G697" s="15"/>
      <c r="H697" s="16" t="str">
        <f aca="false">IF(OR($K697="",$L697=""),"",ROUND(MAX(0,($L697-$K697)-IF($G697="",0,$G697))/60,2))</f>
        <v/>
      </c>
      <c r="I697" s="8"/>
      <c r="J697" s="8"/>
      <c r="K697" s="17" t="str">
        <f aca="false">IF($E697="","",IF($E697&lt;1,ROUND($E697*1440,0),INT($E697/100)*60+MOD($E697,100)))</f>
        <v/>
      </c>
      <c r="L697" s="17" t="str">
        <f aca="false">IF($F697="","",IF($F697&lt;1,ROUND($F697*1440,0),INT($F697/100)*60+MOD($F697,100)))</f>
        <v/>
      </c>
    </row>
    <row r="698" customFormat="false" ht="15" hidden="false" customHeight="true" outlineLevel="0" collapsed="false">
      <c r="A698" s="10"/>
      <c r="B698" s="8"/>
      <c r="C698" s="13" t="str">
        <f aca="false">IF($B698="","",IFERROR(INDEX(직원목록!$B$3:$B$302,MATCH($B698,직원목록!$A$3:$A$302,0)),"미등록사번"))</f>
        <v/>
      </c>
      <c r="D698" s="13" t="str">
        <f aca="false">IF($B698="","",IFERROR(INDEX(직원목록!$C$3:$C$302,MATCH($B698,직원목록!$A$3:$A$302,0)),""))</f>
        <v/>
      </c>
      <c r="E698" s="14"/>
      <c r="F698" s="14"/>
      <c r="G698" s="15"/>
      <c r="H698" s="16" t="str">
        <f aca="false">IF(OR($K698="",$L698=""),"",ROUND(MAX(0,($L698-$K698)-IF($G698="",0,$G698))/60,2))</f>
        <v/>
      </c>
      <c r="I698" s="8"/>
      <c r="J698" s="8"/>
      <c r="K698" s="17" t="str">
        <f aca="false">IF($E698="","",IF($E698&lt;1,ROUND($E698*1440,0),INT($E698/100)*60+MOD($E698,100)))</f>
        <v/>
      </c>
      <c r="L698" s="17" t="str">
        <f aca="false">IF($F698="","",IF($F698&lt;1,ROUND($F698*1440,0),INT($F698/100)*60+MOD($F698,100)))</f>
        <v/>
      </c>
    </row>
    <row r="699" customFormat="false" ht="15" hidden="false" customHeight="true" outlineLevel="0" collapsed="false">
      <c r="A699" s="10"/>
      <c r="B699" s="8"/>
      <c r="C699" s="13" t="str">
        <f aca="false">IF($B699="","",IFERROR(INDEX(직원목록!$B$3:$B$302,MATCH($B699,직원목록!$A$3:$A$302,0)),"미등록사번"))</f>
        <v/>
      </c>
      <c r="D699" s="13" t="str">
        <f aca="false">IF($B699="","",IFERROR(INDEX(직원목록!$C$3:$C$302,MATCH($B699,직원목록!$A$3:$A$302,0)),""))</f>
        <v/>
      </c>
      <c r="E699" s="14"/>
      <c r="F699" s="14"/>
      <c r="G699" s="15"/>
      <c r="H699" s="16" t="str">
        <f aca="false">IF(OR($K699="",$L699=""),"",ROUND(MAX(0,($L699-$K699)-IF($G699="",0,$G699))/60,2))</f>
        <v/>
      </c>
      <c r="I699" s="8"/>
      <c r="J699" s="8"/>
      <c r="K699" s="17" t="str">
        <f aca="false">IF($E699="","",IF($E699&lt;1,ROUND($E699*1440,0),INT($E699/100)*60+MOD($E699,100)))</f>
        <v/>
      </c>
      <c r="L699" s="17" t="str">
        <f aca="false">IF($F699="","",IF($F699&lt;1,ROUND($F699*1440,0),INT($F699/100)*60+MOD($F699,100)))</f>
        <v/>
      </c>
    </row>
    <row r="700" customFormat="false" ht="15" hidden="false" customHeight="true" outlineLevel="0" collapsed="false">
      <c r="A700" s="10"/>
      <c r="B700" s="8"/>
      <c r="C700" s="13" t="str">
        <f aca="false">IF($B700="","",IFERROR(INDEX(직원목록!$B$3:$B$302,MATCH($B700,직원목록!$A$3:$A$302,0)),"미등록사번"))</f>
        <v/>
      </c>
      <c r="D700" s="13" t="str">
        <f aca="false">IF($B700="","",IFERROR(INDEX(직원목록!$C$3:$C$302,MATCH($B700,직원목록!$A$3:$A$302,0)),""))</f>
        <v/>
      </c>
      <c r="E700" s="14"/>
      <c r="F700" s="14"/>
      <c r="G700" s="15"/>
      <c r="H700" s="16" t="str">
        <f aca="false">IF(OR($K700="",$L700=""),"",ROUND(MAX(0,($L700-$K700)-IF($G700="",0,$G700))/60,2))</f>
        <v/>
      </c>
      <c r="I700" s="8"/>
      <c r="J700" s="8"/>
      <c r="K700" s="17" t="str">
        <f aca="false">IF($E700="","",IF($E700&lt;1,ROUND($E700*1440,0),INT($E700/100)*60+MOD($E700,100)))</f>
        <v/>
      </c>
      <c r="L700" s="17" t="str">
        <f aca="false">IF($F700="","",IF($F700&lt;1,ROUND($F700*1440,0),INT($F700/100)*60+MOD($F700,100)))</f>
        <v/>
      </c>
    </row>
    <row r="701" customFormat="false" ht="15" hidden="false" customHeight="true" outlineLevel="0" collapsed="false">
      <c r="A701" s="10"/>
      <c r="B701" s="8"/>
      <c r="C701" s="13" t="str">
        <f aca="false">IF($B701="","",IFERROR(INDEX(직원목록!$B$3:$B$302,MATCH($B701,직원목록!$A$3:$A$302,0)),"미등록사번"))</f>
        <v/>
      </c>
      <c r="D701" s="13" t="str">
        <f aca="false">IF($B701="","",IFERROR(INDEX(직원목록!$C$3:$C$302,MATCH($B701,직원목록!$A$3:$A$302,0)),""))</f>
        <v/>
      </c>
      <c r="E701" s="14"/>
      <c r="F701" s="14"/>
      <c r="G701" s="15"/>
      <c r="H701" s="16" t="str">
        <f aca="false">IF(OR($K701="",$L701=""),"",ROUND(MAX(0,($L701-$K701)-IF($G701="",0,$G701))/60,2))</f>
        <v/>
      </c>
      <c r="I701" s="8"/>
      <c r="J701" s="8"/>
      <c r="K701" s="17" t="str">
        <f aca="false">IF($E701="","",IF($E701&lt;1,ROUND($E701*1440,0),INT($E701/100)*60+MOD($E701,100)))</f>
        <v/>
      </c>
      <c r="L701" s="17" t="str">
        <f aca="false">IF($F701="","",IF($F701&lt;1,ROUND($F701*1440,0),INT($F701/100)*60+MOD($F701,100)))</f>
        <v/>
      </c>
    </row>
    <row r="702" customFormat="false" ht="15" hidden="false" customHeight="true" outlineLevel="0" collapsed="false">
      <c r="A702" s="10"/>
      <c r="B702" s="8"/>
      <c r="C702" s="13" t="str">
        <f aca="false">IF($B702="","",IFERROR(INDEX(직원목록!$B$3:$B$302,MATCH($B702,직원목록!$A$3:$A$302,0)),"미등록사번"))</f>
        <v/>
      </c>
      <c r="D702" s="13" t="str">
        <f aca="false">IF($B702="","",IFERROR(INDEX(직원목록!$C$3:$C$302,MATCH($B702,직원목록!$A$3:$A$302,0)),""))</f>
        <v/>
      </c>
      <c r="E702" s="14"/>
      <c r="F702" s="14"/>
      <c r="G702" s="15"/>
      <c r="H702" s="16" t="str">
        <f aca="false">IF(OR($K702="",$L702=""),"",ROUND(MAX(0,($L702-$K702)-IF($G702="",0,$G702))/60,2))</f>
        <v/>
      </c>
      <c r="I702" s="8"/>
      <c r="J702" s="8"/>
      <c r="K702" s="17" t="str">
        <f aca="false">IF($E702="","",IF($E702&lt;1,ROUND($E702*1440,0),INT($E702/100)*60+MOD($E702,100)))</f>
        <v/>
      </c>
      <c r="L702" s="17" t="str">
        <f aca="false">IF($F702="","",IF($F702&lt;1,ROUND($F702*1440,0),INT($F702/100)*60+MOD($F702,100)))</f>
        <v/>
      </c>
    </row>
    <row r="703" customFormat="false" ht="15" hidden="false" customHeight="true" outlineLevel="0" collapsed="false">
      <c r="A703" s="10"/>
      <c r="B703" s="8"/>
      <c r="C703" s="13" t="str">
        <f aca="false">IF($B703="","",IFERROR(INDEX(직원목록!$B$3:$B$302,MATCH($B703,직원목록!$A$3:$A$302,0)),"미등록사번"))</f>
        <v/>
      </c>
      <c r="D703" s="13" t="str">
        <f aca="false">IF($B703="","",IFERROR(INDEX(직원목록!$C$3:$C$302,MATCH($B703,직원목록!$A$3:$A$302,0)),""))</f>
        <v/>
      </c>
      <c r="E703" s="14"/>
      <c r="F703" s="14"/>
      <c r="G703" s="15"/>
      <c r="H703" s="16" t="str">
        <f aca="false">IF(OR($K703="",$L703=""),"",ROUND(MAX(0,($L703-$K703)-IF($G703="",0,$G703))/60,2))</f>
        <v/>
      </c>
      <c r="I703" s="8"/>
      <c r="J703" s="8"/>
      <c r="K703" s="17" t="str">
        <f aca="false">IF($E703="","",IF($E703&lt;1,ROUND($E703*1440,0),INT($E703/100)*60+MOD($E703,100)))</f>
        <v/>
      </c>
      <c r="L703" s="17" t="str">
        <f aca="false">IF($F703="","",IF($F703&lt;1,ROUND($F703*1440,0),INT($F703/100)*60+MOD($F703,100)))</f>
        <v/>
      </c>
    </row>
    <row r="704" customFormat="false" ht="15" hidden="false" customHeight="true" outlineLevel="0" collapsed="false">
      <c r="A704" s="10"/>
      <c r="B704" s="8"/>
      <c r="C704" s="13" t="str">
        <f aca="false">IF($B704="","",IFERROR(INDEX(직원목록!$B$3:$B$302,MATCH($B704,직원목록!$A$3:$A$302,0)),"미등록사번"))</f>
        <v/>
      </c>
      <c r="D704" s="13" t="str">
        <f aca="false">IF($B704="","",IFERROR(INDEX(직원목록!$C$3:$C$302,MATCH($B704,직원목록!$A$3:$A$302,0)),""))</f>
        <v/>
      </c>
      <c r="E704" s="14"/>
      <c r="F704" s="14"/>
      <c r="G704" s="15"/>
      <c r="H704" s="16" t="str">
        <f aca="false">IF(OR($K704="",$L704=""),"",ROUND(MAX(0,($L704-$K704)-IF($G704="",0,$G704))/60,2))</f>
        <v/>
      </c>
      <c r="I704" s="8"/>
      <c r="J704" s="8"/>
      <c r="K704" s="17" t="str">
        <f aca="false">IF($E704="","",IF($E704&lt;1,ROUND($E704*1440,0),INT($E704/100)*60+MOD($E704,100)))</f>
        <v/>
      </c>
      <c r="L704" s="17" t="str">
        <f aca="false">IF($F704="","",IF($F704&lt;1,ROUND($F704*1440,0),INT($F704/100)*60+MOD($F704,100)))</f>
        <v/>
      </c>
    </row>
    <row r="705" customFormat="false" ht="15" hidden="false" customHeight="true" outlineLevel="0" collapsed="false">
      <c r="A705" s="10"/>
      <c r="B705" s="8"/>
      <c r="C705" s="13" t="str">
        <f aca="false">IF($B705="","",IFERROR(INDEX(직원목록!$B$3:$B$302,MATCH($B705,직원목록!$A$3:$A$302,0)),"미등록사번"))</f>
        <v/>
      </c>
      <c r="D705" s="13" t="str">
        <f aca="false">IF($B705="","",IFERROR(INDEX(직원목록!$C$3:$C$302,MATCH($B705,직원목록!$A$3:$A$302,0)),""))</f>
        <v/>
      </c>
      <c r="E705" s="14"/>
      <c r="F705" s="14"/>
      <c r="G705" s="15"/>
      <c r="H705" s="16" t="str">
        <f aca="false">IF(OR($K705="",$L705=""),"",ROUND(MAX(0,($L705-$K705)-IF($G705="",0,$G705))/60,2))</f>
        <v/>
      </c>
      <c r="I705" s="8"/>
      <c r="J705" s="8"/>
      <c r="K705" s="17" t="str">
        <f aca="false">IF($E705="","",IF($E705&lt;1,ROUND($E705*1440,0),INT($E705/100)*60+MOD($E705,100)))</f>
        <v/>
      </c>
      <c r="L705" s="17" t="str">
        <f aca="false">IF($F705="","",IF($F705&lt;1,ROUND($F705*1440,0),INT($F705/100)*60+MOD($F705,100)))</f>
        <v/>
      </c>
    </row>
    <row r="706" customFormat="false" ht="15" hidden="false" customHeight="true" outlineLevel="0" collapsed="false">
      <c r="A706" s="10"/>
      <c r="B706" s="8"/>
      <c r="C706" s="13" t="str">
        <f aca="false">IF($B706="","",IFERROR(INDEX(직원목록!$B$3:$B$302,MATCH($B706,직원목록!$A$3:$A$302,0)),"미등록사번"))</f>
        <v/>
      </c>
      <c r="D706" s="13" t="str">
        <f aca="false">IF($B706="","",IFERROR(INDEX(직원목록!$C$3:$C$302,MATCH($B706,직원목록!$A$3:$A$302,0)),""))</f>
        <v/>
      </c>
      <c r="E706" s="14"/>
      <c r="F706" s="14"/>
      <c r="G706" s="15"/>
      <c r="H706" s="16" t="str">
        <f aca="false">IF(OR($K706="",$L706=""),"",ROUND(MAX(0,($L706-$K706)-IF($G706="",0,$G706))/60,2))</f>
        <v/>
      </c>
      <c r="I706" s="8"/>
      <c r="J706" s="8"/>
      <c r="K706" s="17" t="str">
        <f aca="false">IF($E706="","",IF($E706&lt;1,ROUND($E706*1440,0),INT($E706/100)*60+MOD($E706,100)))</f>
        <v/>
      </c>
      <c r="L706" s="17" t="str">
        <f aca="false">IF($F706="","",IF($F706&lt;1,ROUND($F706*1440,0),INT($F706/100)*60+MOD($F706,100)))</f>
        <v/>
      </c>
    </row>
    <row r="707" customFormat="false" ht="15" hidden="false" customHeight="true" outlineLevel="0" collapsed="false">
      <c r="A707" s="10"/>
      <c r="B707" s="8"/>
      <c r="C707" s="13" t="str">
        <f aca="false">IF($B707="","",IFERROR(INDEX(직원목록!$B$3:$B$302,MATCH($B707,직원목록!$A$3:$A$302,0)),"미등록사번"))</f>
        <v/>
      </c>
      <c r="D707" s="13" t="str">
        <f aca="false">IF($B707="","",IFERROR(INDEX(직원목록!$C$3:$C$302,MATCH($B707,직원목록!$A$3:$A$302,0)),""))</f>
        <v/>
      </c>
      <c r="E707" s="14"/>
      <c r="F707" s="14"/>
      <c r="G707" s="15"/>
      <c r="H707" s="16" t="str">
        <f aca="false">IF(OR($K707="",$L707=""),"",ROUND(MAX(0,($L707-$K707)-IF($G707="",0,$G707))/60,2))</f>
        <v/>
      </c>
      <c r="I707" s="8"/>
      <c r="J707" s="8"/>
      <c r="K707" s="17" t="str">
        <f aca="false">IF($E707="","",IF($E707&lt;1,ROUND($E707*1440,0),INT($E707/100)*60+MOD($E707,100)))</f>
        <v/>
      </c>
      <c r="L707" s="17" t="str">
        <f aca="false">IF($F707="","",IF($F707&lt;1,ROUND($F707*1440,0),INT($F707/100)*60+MOD($F707,100)))</f>
        <v/>
      </c>
    </row>
    <row r="708" customFormat="false" ht="15" hidden="false" customHeight="true" outlineLevel="0" collapsed="false">
      <c r="A708" s="10"/>
      <c r="B708" s="8"/>
      <c r="C708" s="13" t="str">
        <f aca="false">IF($B708="","",IFERROR(INDEX(직원목록!$B$3:$B$302,MATCH($B708,직원목록!$A$3:$A$302,0)),"미등록사번"))</f>
        <v/>
      </c>
      <c r="D708" s="13" t="str">
        <f aca="false">IF($B708="","",IFERROR(INDEX(직원목록!$C$3:$C$302,MATCH($B708,직원목록!$A$3:$A$302,0)),""))</f>
        <v/>
      </c>
      <c r="E708" s="14"/>
      <c r="F708" s="14"/>
      <c r="G708" s="15"/>
      <c r="H708" s="16" t="str">
        <f aca="false">IF(OR($K708="",$L708=""),"",ROUND(MAX(0,($L708-$K708)-IF($G708="",0,$G708))/60,2))</f>
        <v/>
      </c>
      <c r="I708" s="8"/>
      <c r="J708" s="8"/>
      <c r="K708" s="17" t="str">
        <f aca="false">IF($E708="","",IF($E708&lt;1,ROUND($E708*1440,0),INT($E708/100)*60+MOD($E708,100)))</f>
        <v/>
      </c>
      <c r="L708" s="17" t="str">
        <f aca="false">IF($F708="","",IF($F708&lt;1,ROUND($F708*1440,0),INT($F708/100)*60+MOD($F708,100)))</f>
        <v/>
      </c>
    </row>
    <row r="709" customFormat="false" ht="15" hidden="false" customHeight="true" outlineLevel="0" collapsed="false">
      <c r="A709" s="10"/>
      <c r="B709" s="8"/>
      <c r="C709" s="13" t="str">
        <f aca="false">IF($B709="","",IFERROR(INDEX(직원목록!$B$3:$B$302,MATCH($B709,직원목록!$A$3:$A$302,0)),"미등록사번"))</f>
        <v/>
      </c>
      <c r="D709" s="13" t="str">
        <f aca="false">IF($B709="","",IFERROR(INDEX(직원목록!$C$3:$C$302,MATCH($B709,직원목록!$A$3:$A$302,0)),""))</f>
        <v/>
      </c>
      <c r="E709" s="14"/>
      <c r="F709" s="14"/>
      <c r="G709" s="15"/>
      <c r="H709" s="16" t="str">
        <f aca="false">IF(OR($K709="",$L709=""),"",ROUND(MAX(0,($L709-$K709)-IF($G709="",0,$G709))/60,2))</f>
        <v/>
      </c>
      <c r="I709" s="8"/>
      <c r="J709" s="8"/>
      <c r="K709" s="17" t="str">
        <f aca="false">IF($E709="","",IF($E709&lt;1,ROUND($E709*1440,0),INT($E709/100)*60+MOD($E709,100)))</f>
        <v/>
      </c>
      <c r="L709" s="17" t="str">
        <f aca="false">IF($F709="","",IF($F709&lt;1,ROUND($F709*1440,0),INT($F709/100)*60+MOD($F709,100)))</f>
        <v/>
      </c>
    </row>
    <row r="710" customFormat="false" ht="15" hidden="false" customHeight="true" outlineLevel="0" collapsed="false">
      <c r="A710" s="10"/>
      <c r="B710" s="8"/>
      <c r="C710" s="13" t="str">
        <f aca="false">IF($B710="","",IFERROR(INDEX(직원목록!$B$3:$B$302,MATCH($B710,직원목록!$A$3:$A$302,0)),"미등록사번"))</f>
        <v/>
      </c>
      <c r="D710" s="13" t="str">
        <f aca="false">IF($B710="","",IFERROR(INDEX(직원목록!$C$3:$C$302,MATCH($B710,직원목록!$A$3:$A$302,0)),""))</f>
        <v/>
      </c>
      <c r="E710" s="14"/>
      <c r="F710" s="14"/>
      <c r="G710" s="15"/>
      <c r="H710" s="16" t="str">
        <f aca="false">IF(OR($K710="",$L710=""),"",ROUND(MAX(0,($L710-$K710)-IF($G710="",0,$G710))/60,2))</f>
        <v/>
      </c>
      <c r="I710" s="8"/>
      <c r="J710" s="8"/>
      <c r="K710" s="17" t="str">
        <f aca="false">IF($E710="","",IF($E710&lt;1,ROUND($E710*1440,0),INT($E710/100)*60+MOD($E710,100)))</f>
        <v/>
      </c>
      <c r="L710" s="17" t="str">
        <f aca="false">IF($F710="","",IF($F710&lt;1,ROUND($F710*1440,0),INT($F710/100)*60+MOD($F710,100)))</f>
        <v/>
      </c>
    </row>
    <row r="711" customFormat="false" ht="15" hidden="false" customHeight="true" outlineLevel="0" collapsed="false">
      <c r="A711" s="10"/>
      <c r="B711" s="8"/>
      <c r="C711" s="13" t="str">
        <f aca="false">IF($B711="","",IFERROR(INDEX(직원목록!$B$3:$B$302,MATCH($B711,직원목록!$A$3:$A$302,0)),"미등록사번"))</f>
        <v/>
      </c>
      <c r="D711" s="13" t="str">
        <f aca="false">IF($B711="","",IFERROR(INDEX(직원목록!$C$3:$C$302,MATCH($B711,직원목록!$A$3:$A$302,0)),""))</f>
        <v/>
      </c>
      <c r="E711" s="14"/>
      <c r="F711" s="14"/>
      <c r="G711" s="15"/>
      <c r="H711" s="16" t="str">
        <f aca="false">IF(OR($K711="",$L711=""),"",ROUND(MAX(0,($L711-$K711)-IF($G711="",0,$G711))/60,2))</f>
        <v/>
      </c>
      <c r="I711" s="8"/>
      <c r="J711" s="8"/>
      <c r="K711" s="17" t="str">
        <f aca="false">IF($E711="","",IF($E711&lt;1,ROUND($E711*1440,0),INT($E711/100)*60+MOD($E711,100)))</f>
        <v/>
      </c>
      <c r="L711" s="17" t="str">
        <f aca="false">IF($F711="","",IF($F711&lt;1,ROUND($F711*1440,0),INT($F711/100)*60+MOD($F711,100)))</f>
        <v/>
      </c>
    </row>
    <row r="712" customFormat="false" ht="15" hidden="false" customHeight="true" outlineLevel="0" collapsed="false">
      <c r="A712" s="10"/>
      <c r="B712" s="8"/>
      <c r="C712" s="13" t="str">
        <f aca="false">IF($B712="","",IFERROR(INDEX(직원목록!$B$3:$B$302,MATCH($B712,직원목록!$A$3:$A$302,0)),"미등록사번"))</f>
        <v/>
      </c>
      <c r="D712" s="13" t="str">
        <f aca="false">IF($B712="","",IFERROR(INDEX(직원목록!$C$3:$C$302,MATCH($B712,직원목록!$A$3:$A$302,0)),""))</f>
        <v/>
      </c>
      <c r="E712" s="14"/>
      <c r="F712" s="14"/>
      <c r="G712" s="15"/>
      <c r="H712" s="16" t="str">
        <f aca="false">IF(OR($K712="",$L712=""),"",ROUND(MAX(0,($L712-$K712)-IF($G712="",0,$G712))/60,2))</f>
        <v/>
      </c>
      <c r="I712" s="8"/>
      <c r="J712" s="8"/>
      <c r="K712" s="17" t="str">
        <f aca="false">IF($E712="","",IF($E712&lt;1,ROUND($E712*1440,0),INT($E712/100)*60+MOD($E712,100)))</f>
        <v/>
      </c>
      <c r="L712" s="17" t="str">
        <f aca="false">IF($F712="","",IF($F712&lt;1,ROUND($F712*1440,0),INT($F712/100)*60+MOD($F712,100)))</f>
        <v/>
      </c>
    </row>
    <row r="713" customFormat="false" ht="15" hidden="false" customHeight="true" outlineLevel="0" collapsed="false">
      <c r="A713" s="10"/>
      <c r="B713" s="8"/>
      <c r="C713" s="13" t="str">
        <f aca="false">IF($B713="","",IFERROR(INDEX(직원목록!$B$3:$B$302,MATCH($B713,직원목록!$A$3:$A$302,0)),"미등록사번"))</f>
        <v/>
      </c>
      <c r="D713" s="13" t="str">
        <f aca="false">IF($B713="","",IFERROR(INDEX(직원목록!$C$3:$C$302,MATCH($B713,직원목록!$A$3:$A$302,0)),""))</f>
        <v/>
      </c>
      <c r="E713" s="14"/>
      <c r="F713" s="14"/>
      <c r="G713" s="15"/>
      <c r="H713" s="16" t="str">
        <f aca="false">IF(OR($K713="",$L713=""),"",ROUND(MAX(0,($L713-$K713)-IF($G713="",0,$G713))/60,2))</f>
        <v/>
      </c>
      <c r="I713" s="8"/>
      <c r="J713" s="8"/>
      <c r="K713" s="17" t="str">
        <f aca="false">IF($E713="","",IF($E713&lt;1,ROUND($E713*1440,0),INT($E713/100)*60+MOD($E713,100)))</f>
        <v/>
      </c>
      <c r="L713" s="17" t="str">
        <f aca="false">IF($F713="","",IF($F713&lt;1,ROUND($F713*1440,0),INT($F713/100)*60+MOD($F713,100)))</f>
        <v/>
      </c>
    </row>
    <row r="714" customFormat="false" ht="15" hidden="false" customHeight="true" outlineLevel="0" collapsed="false">
      <c r="A714" s="10"/>
      <c r="B714" s="8"/>
      <c r="C714" s="13" t="str">
        <f aca="false">IF($B714="","",IFERROR(INDEX(직원목록!$B$3:$B$302,MATCH($B714,직원목록!$A$3:$A$302,0)),"미등록사번"))</f>
        <v/>
      </c>
      <c r="D714" s="13" t="str">
        <f aca="false">IF($B714="","",IFERROR(INDEX(직원목록!$C$3:$C$302,MATCH($B714,직원목록!$A$3:$A$302,0)),""))</f>
        <v/>
      </c>
      <c r="E714" s="14"/>
      <c r="F714" s="14"/>
      <c r="G714" s="15"/>
      <c r="H714" s="16" t="str">
        <f aca="false">IF(OR($K714="",$L714=""),"",ROUND(MAX(0,($L714-$K714)-IF($G714="",0,$G714))/60,2))</f>
        <v/>
      </c>
      <c r="I714" s="8"/>
      <c r="J714" s="8"/>
      <c r="K714" s="17" t="str">
        <f aca="false">IF($E714="","",IF($E714&lt;1,ROUND($E714*1440,0),INT($E714/100)*60+MOD($E714,100)))</f>
        <v/>
      </c>
      <c r="L714" s="17" t="str">
        <f aca="false">IF($F714="","",IF($F714&lt;1,ROUND($F714*1440,0),INT($F714/100)*60+MOD($F714,100)))</f>
        <v/>
      </c>
    </row>
    <row r="715" customFormat="false" ht="15" hidden="false" customHeight="true" outlineLevel="0" collapsed="false">
      <c r="A715" s="10"/>
      <c r="B715" s="8"/>
      <c r="C715" s="13" t="str">
        <f aca="false">IF($B715="","",IFERROR(INDEX(직원목록!$B$3:$B$302,MATCH($B715,직원목록!$A$3:$A$302,0)),"미등록사번"))</f>
        <v/>
      </c>
      <c r="D715" s="13" t="str">
        <f aca="false">IF($B715="","",IFERROR(INDEX(직원목록!$C$3:$C$302,MATCH($B715,직원목록!$A$3:$A$302,0)),""))</f>
        <v/>
      </c>
      <c r="E715" s="14"/>
      <c r="F715" s="14"/>
      <c r="G715" s="15"/>
      <c r="H715" s="16" t="str">
        <f aca="false">IF(OR($K715="",$L715=""),"",ROUND(MAX(0,($L715-$K715)-IF($G715="",0,$G715))/60,2))</f>
        <v/>
      </c>
      <c r="I715" s="8"/>
      <c r="J715" s="8"/>
      <c r="K715" s="17" t="str">
        <f aca="false">IF($E715="","",IF($E715&lt;1,ROUND($E715*1440,0),INT($E715/100)*60+MOD($E715,100)))</f>
        <v/>
      </c>
      <c r="L715" s="17" t="str">
        <f aca="false">IF($F715="","",IF($F715&lt;1,ROUND($F715*1440,0),INT($F715/100)*60+MOD($F715,100)))</f>
        <v/>
      </c>
    </row>
    <row r="716" customFormat="false" ht="15" hidden="false" customHeight="true" outlineLevel="0" collapsed="false">
      <c r="A716" s="10"/>
      <c r="B716" s="8"/>
      <c r="C716" s="13" t="str">
        <f aca="false">IF($B716="","",IFERROR(INDEX(직원목록!$B$3:$B$302,MATCH($B716,직원목록!$A$3:$A$302,0)),"미등록사번"))</f>
        <v/>
      </c>
      <c r="D716" s="13" t="str">
        <f aca="false">IF($B716="","",IFERROR(INDEX(직원목록!$C$3:$C$302,MATCH($B716,직원목록!$A$3:$A$302,0)),""))</f>
        <v/>
      </c>
      <c r="E716" s="14"/>
      <c r="F716" s="14"/>
      <c r="G716" s="15"/>
      <c r="H716" s="16" t="str">
        <f aca="false">IF(OR($K716="",$L716=""),"",ROUND(MAX(0,($L716-$K716)-IF($G716="",0,$G716))/60,2))</f>
        <v/>
      </c>
      <c r="I716" s="8"/>
      <c r="J716" s="8"/>
      <c r="K716" s="17" t="str">
        <f aca="false">IF($E716="","",IF($E716&lt;1,ROUND($E716*1440,0),INT($E716/100)*60+MOD($E716,100)))</f>
        <v/>
      </c>
      <c r="L716" s="17" t="str">
        <f aca="false">IF($F716="","",IF($F716&lt;1,ROUND($F716*1440,0),INT($F716/100)*60+MOD($F716,100)))</f>
        <v/>
      </c>
    </row>
    <row r="717" customFormat="false" ht="15" hidden="false" customHeight="true" outlineLevel="0" collapsed="false">
      <c r="A717" s="10"/>
      <c r="B717" s="8"/>
      <c r="C717" s="13" t="str">
        <f aca="false">IF($B717="","",IFERROR(INDEX(직원목록!$B$3:$B$302,MATCH($B717,직원목록!$A$3:$A$302,0)),"미등록사번"))</f>
        <v/>
      </c>
      <c r="D717" s="13" t="str">
        <f aca="false">IF($B717="","",IFERROR(INDEX(직원목록!$C$3:$C$302,MATCH($B717,직원목록!$A$3:$A$302,0)),""))</f>
        <v/>
      </c>
      <c r="E717" s="14"/>
      <c r="F717" s="14"/>
      <c r="G717" s="15"/>
      <c r="H717" s="16" t="str">
        <f aca="false">IF(OR($K717="",$L717=""),"",ROUND(MAX(0,($L717-$K717)-IF($G717="",0,$G717))/60,2))</f>
        <v/>
      </c>
      <c r="I717" s="8"/>
      <c r="J717" s="8"/>
      <c r="K717" s="17" t="str">
        <f aca="false">IF($E717="","",IF($E717&lt;1,ROUND($E717*1440,0),INT($E717/100)*60+MOD($E717,100)))</f>
        <v/>
      </c>
      <c r="L717" s="17" t="str">
        <f aca="false">IF($F717="","",IF($F717&lt;1,ROUND($F717*1440,0),INT($F717/100)*60+MOD($F717,100)))</f>
        <v/>
      </c>
    </row>
    <row r="718" customFormat="false" ht="15" hidden="false" customHeight="true" outlineLevel="0" collapsed="false">
      <c r="A718" s="10"/>
      <c r="B718" s="8"/>
      <c r="C718" s="13" t="str">
        <f aca="false">IF($B718="","",IFERROR(INDEX(직원목록!$B$3:$B$302,MATCH($B718,직원목록!$A$3:$A$302,0)),"미등록사번"))</f>
        <v/>
      </c>
      <c r="D718" s="13" t="str">
        <f aca="false">IF($B718="","",IFERROR(INDEX(직원목록!$C$3:$C$302,MATCH($B718,직원목록!$A$3:$A$302,0)),""))</f>
        <v/>
      </c>
      <c r="E718" s="14"/>
      <c r="F718" s="14"/>
      <c r="G718" s="15"/>
      <c r="H718" s="16" t="str">
        <f aca="false">IF(OR($K718="",$L718=""),"",ROUND(MAX(0,($L718-$K718)-IF($G718="",0,$G718))/60,2))</f>
        <v/>
      </c>
      <c r="I718" s="8"/>
      <c r="J718" s="8"/>
      <c r="K718" s="17" t="str">
        <f aca="false">IF($E718="","",IF($E718&lt;1,ROUND($E718*1440,0),INT($E718/100)*60+MOD($E718,100)))</f>
        <v/>
      </c>
      <c r="L718" s="17" t="str">
        <f aca="false">IF($F718="","",IF($F718&lt;1,ROUND($F718*1440,0),INT($F718/100)*60+MOD($F718,100)))</f>
        <v/>
      </c>
    </row>
    <row r="719" customFormat="false" ht="15" hidden="false" customHeight="true" outlineLevel="0" collapsed="false">
      <c r="A719" s="10"/>
      <c r="B719" s="8"/>
      <c r="C719" s="13" t="str">
        <f aca="false">IF($B719="","",IFERROR(INDEX(직원목록!$B$3:$B$302,MATCH($B719,직원목록!$A$3:$A$302,0)),"미등록사번"))</f>
        <v/>
      </c>
      <c r="D719" s="13" t="str">
        <f aca="false">IF($B719="","",IFERROR(INDEX(직원목록!$C$3:$C$302,MATCH($B719,직원목록!$A$3:$A$302,0)),""))</f>
        <v/>
      </c>
      <c r="E719" s="14"/>
      <c r="F719" s="14"/>
      <c r="G719" s="15"/>
      <c r="H719" s="16" t="str">
        <f aca="false">IF(OR($K719="",$L719=""),"",ROUND(MAX(0,($L719-$K719)-IF($G719="",0,$G719))/60,2))</f>
        <v/>
      </c>
      <c r="I719" s="8"/>
      <c r="J719" s="8"/>
      <c r="K719" s="17" t="str">
        <f aca="false">IF($E719="","",IF($E719&lt;1,ROUND($E719*1440,0),INT($E719/100)*60+MOD($E719,100)))</f>
        <v/>
      </c>
      <c r="L719" s="17" t="str">
        <f aca="false">IF($F719="","",IF($F719&lt;1,ROUND($F719*1440,0),INT($F719/100)*60+MOD($F719,100)))</f>
        <v/>
      </c>
    </row>
    <row r="720" customFormat="false" ht="15" hidden="false" customHeight="true" outlineLevel="0" collapsed="false">
      <c r="A720" s="10"/>
      <c r="B720" s="8"/>
      <c r="C720" s="13" t="str">
        <f aca="false">IF($B720="","",IFERROR(INDEX(직원목록!$B$3:$B$302,MATCH($B720,직원목록!$A$3:$A$302,0)),"미등록사번"))</f>
        <v/>
      </c>
      <c r="D720" s="13" t="str">
        <f aca="false">IF($B720="","",IFERROR(INDEX(직원목록!$C$3:$C$302,MATCH($B720,직원목록!$A$3:$A$302,0)),""))</f>
        <v/>
      </c>
      <c r="E720" s="14"/>
      <c r="F720" s="14"/>
      <c r="G720" s="15"/>
      <c r="H720" s="16" t="str">
        <f aca="false">IF(OR($K720="",$L720=""),"",ROUND(MAX(0,($L720-$K720)-IF($G720="",0,$G720))/60,2))</f>
        <v/>
      </c>
      <c r="I720" s="8"/>
      <c r="J720" s="8"/>
      <c r="K720" s="17" t="str">
        <f aca="false">IF($E720="","",IF($E720&lt;1,ROUND($E720*1440,0),INT($E720/100)*60+MOD($E720,100)))</f>
        <v/>
      </c>
      <c r="L720" s="17" t="str">
        <f aca="false">IF($F720="","",IF($F720&lt;1,ROUND($F720*1440,0),INT($F720/100)*60+MOD($F720,100)))</f>
        <v/>
      </c>
    </row>
    <row r="721" customFormat="false" ht="15" hidden="false" customHeight="true" outlineLevel="0" collapsed="false">
      <c r="A721" s="10"/>
      <c r="B721" s="8"/>
      <c r="C721" s="13" t="str">
        <f aca="false">IF($B721="","",IFERROR(INDEX(직원목록!$B$3:$B$302,MATCH($B721,직원목록!$A$3:$A$302,0)),"미등록사번"))</f>
        <v/>
      </c>
      <c r="D721" s="13" t="str">
        <f aca="false">IF($B721="","",IFERROR(INDEX(직원목록!$C$3:$C$302,MATCH($B721,직원목록!$A$3:$A$302,0)),""))</f>
        <v/>
      </c>
      <c r="E721" s="14"/>
      <c r="F721" s="14"/>
      <c r="G721" s="15"/>
      <c r="H721" s="16" t="str">
        <f aca="false">IF(OR($K721="",$L721=""),"",ROUND(MAX(0,($L721-$K721)-IF($G721="",0,$G721))/60,2))</f>
        <v/>
      </c>
      <c r="I721" s="8"/>
      <c r="J721" s="8"/>
      <c r="K721" s="17" t="str">
        <f aca="false">IF($E721="","",IF($E721&lt;1,ROUND($E721*1440,0),INT($E721/100)*60+MOD($E721,100)))</f>
        <v/>
      </c>
      <c r="L721" s="17" t="str">
        <f aca="false">IF($F721="","",IF($F721&lt;1,ROUND($F721*1440,0),INT($F721/100)*60+MOD($F721,100)))</f>
        <v/>
      </c>
    </row>
    <row r="722" customFormat="false" ht="15" hidden="false" customHeight="true" outlineLevel="0" collapsed="false">
      <c r="A722" s="10"/>
      <c r="B722" s="8"/>
      <c r="C722" s="13" t="str">
        <f aca="false">IF($B722="","",IFERROR(INDEX(직원목록!$B$3:$B$302,MATCH($B722,직원목록!$A$3:$A$302,0)),"미등록사번"))</f>
        <v/>
      </c>
      <c r="D722" s="13" t="str">
        <f aca="false">IF($B722="","",IFERROR(INDEX(직원목록!$C$3:$C$302,MATCH($B722,직원목록!$A$3:$A$302,0)),""))</f>
        <v/>
      </c>
      <c r="E722" s="14"/>
      <c r="F722" s="14"/>
      <c r="G722" s="15"/>
      <c r="H722" s="16" t="str">
        <f aca="false">IF(OR($K722="",$L722=""),"",ROUND(MAX(0,($L722-$K722)-IF($G722="",0,$G722))/60,2))</f>
        <v/>
      </c>
      <c r="I722" s="8"/>
      <c r="J722" s="8"/>
      <c r="K722" s="17" t="str">
        <f aca="false">IF($E722="","",IF($E722&lt;1,ROUND($E722*1440,0),INT($E722/100)*60+MOD($E722,100)))</f>
        <v/>
      </c>
      <c r="L722" s="17" t="str">
        <f aca="false">IF($F722="","",IF($F722&lt;1,ROUND($F722*1440,0),INT($F722/100)*60+MOD($F722,100)))</f>
        <v/>
      </c>
    </row>
    <row r="723" customFormat="false" ht="15" hidden="false" customHeight="true" outlineLevel="0" collapsed="false">
      <c r="A723" s="10"/>
      <c r="B723" s="8"/>
      <c r="C723" s="13" t="str">
        <f aca="false">IF($B723="","",IFERROR(INDEX(직원목록!$B$3:$B$302,MATCH($B723,직원목록!$A$3:$A$302,0)),"미등록사번"))</f>
        <v/>
      </c>
      <c r="D723" s="13" t="str">
        <f aca="false">IF($B723="","",IFERROR(INDEX(직원목록!$C$3:$C$302,MATCH($B723,직원목록!$A$3:$A$302,0)),""))</f>
        <v/>
      </c>
      <c r="E723" s="14"/>
      <c r="F723" s="14"/>
      <c r="G723" s="15"/>
      <c r="H723" s="16" t="str">
        <f aca="false">IF(OR($K723="",$L723=""),"",ROUND(MAX(0,($L723-$K723)-IF($G723="",0,$G723))/60,2))</f>
        <v/>
      </c>
      <c r="I723" s="8"/>
      <c r="J723" s="8"/>
      <c r="K723" s="17" t="str">
        <f aca="false">IF($E723="","",IF($E723&lt;1,ROUND($E723*1440,0),INT($E723/100)*60+MOD($E723,100)))</f>
        <v/>
      </c>
      <c r="L723" s="17" t="str">
        <f aca="false">IF($F723="","",IF($F723&lt;1,ROUND($F723*1440,0),INT($F723/100)*60+MOD($F723,100)))</f>
        <v/>
      </c>
    </row>
    <row r="724" customFormat="false" ht="15" hidden="false" customHeight="true" outlineLevel="0" collapsed="false">
      <c r="A724" s="10"/>
      <c r="B724" s="8"/>
      <c r="C724" s="13" t="str">
        <f aca="false">IF($B724="","",IFERROR(INDEX(직원목록!$B$3:$B$302,MATCH($B724,직원목록!$A$3:$A$302,0)),"미등록사번"))</f>
        <v/>
      </c>
      <c r="D724" s="13" t="str">
        <f aca="false">IF($B724="","",IFERROR(INDEX(직원목록!$C$3:$C$302,MATCH($B724,직원목록!$A$3:$A$302,0)),""))</f>
        <v/>
      </c>
      <c r="E724" s="14"/>
      <c r="F724" s="14"/>
      <c r="G724" s="15"/>
      <c r="H724" s="16" t="str">
        <f aca="false">IF(OR($K724="",$L724=""),"",ROUND(MAX(0,($L724-$K724)-IF($G724="",0,$G724))/60,2))</f>
        <v/>
      </c>
      <c r="I724" s="8"/>
      <c r="J724" s="8"/>
      <c r="K724" s="17" t="str">
        <f aca="false">IF($E724="","",IF($E724&lt;1,ROUND($E724*1440,0),INT($E724/100)*60+MOD($E724,100)))</f>
        <v/>
      </c>
      <c r="L724" s="17" t="str">
        <f aca="false">IF($F724="","",IF($F724&lt;1,ROUND($F724*1440,0),INT($F724/100)*60+MOD($F724,100)))</f>
        <v/>
      </c>
    </row>
    <row r="725" customFormat="false" ht="15" hidden="false" customHeight="true" outlineLevel="0" collapsed="false">
      <c r="A725" s="10"/>
      <c r="B725" s="8"/>
      <c r="C725" s="13" t="str">
        <f aca="false">IF($B725="","",IFERROR(INDEX(직원목록!$B$3:$B$302,MATCH($B725,직원목록!$A$3:$A$302,0)),"미등록사번"))</f>
        <v/>
      </c>
      <c r="D725" s="13" t="str">
        <f aca="false">IF($B725="","",IFERROR(INDEX(직원목록!$C$3:$C$302,MATCH($B725,직원목록!$A$3:$A$302,0)),""))</f>
        <v/>
      </c>
      <c r="E725" s="14"/>
      <c r="F725" s="14"/>
      <c r="G725" s="15"/>
      <c r="H725" s="16" t="str">
        <f aca="false">IF(OR($K725="",$L725=""),"",ROUND(MAX(0,($L725-$K725)-IF($G725="",0,$G725))/60,2))</f>
        <v/>
      </c>
      <c r="I725" s="8"/>
      <c r="J725" s="8"/>
      <c r="K725" s="17" t="str">
        <f aca="false">IF($E725="","",IF($E725&lt;1,ROUND($E725*1440,0),INT($E725/100)*60+MOD($E725,100)))</f>
        <v/>
      </c>
      <c r="L725" s="17" t="str">
        <f aca="false">IF($F725="","",IF($F725&lt;1,ROUND($F725*1440,0),INT($F725/100)*60+MOD($F725,100)))</f>
        <v/>
      </c>
    </row>
    <row r="726" customFormat="false" ht="15" hidden="false" customHeight="true" outlineLevel="0" collapsed="false">
      <c r="A726" s="10"/>
      <c r="B726" s="8"/>
      <c r="C726" s="13" t="str">
        <f aca="false">IF($B726="","",IFERROR(INDEX(직원목록!$B$3:$B$302,MATCH($B726,직원목록!$A$3:$A$302,0)),"미등록사번"))</f>
        <v/>
      </c>
      <c r="D726" s="13" t="str">
        <f aca="false">IF($B726="","",IFERROR(INDEX(직원목록!$C$3:$C$302,MATCH($B726,직원목록!$A$3:$A$302,0)),""))</f>
        <v/>
      </c>
      <c r="E726" s="14"/>
      <c r="F726" s="14"/>
      <c r="G726" s="15"/>
      <c r="H726" s="16" t="str">
        <f aca="false">IF(OR($K726="",$L726=""),"",ROUND(MAX(0,($L726-$K726)-IF($G726="",0,$G726))/60,2))</f>
        <v/>
      </c>
      <c r="I726" s="8"/>
      <c r="J726" s="8"/>
      <c r="K726" s="17" t="str">
        <f aca="false">IF($E726="","",IF($E726&lt;1,ROUND($E726*1440,0),INT($E726/100)*60+MOD($E726,100)))</f>
        <v/>
      </c>
      <c r="L726" s="17" t="str">
        <f aca="false">IF($F726="","",IF($F726&lt;1,ROUND($F726*1440,0),INT($F726/100)*60+MOD($F726,100)))</f>
        <v/>
      </c>
    </row>
    <row r="727" customFormat="false" ht="15" hidden="false" customHeight="true" outlineLevel="0" collapsed="false">
      <c r="A727" s="10"/>
      <c r="B727" s="8"/>
      <c r="C727" s="13" t="str">
        <f aca="false">IF($B727="","",IFERROR(INDEX(직원목록!$B$3:$B$302,MATCH($B727,직원목록!$A$3:$A$302,0)),"미등록사번"))</f>
        <v/>
      </c>
      <c r="D727" s="13" t="str">
        <f aca="false">IF($B727="","",IFERROR(INDEX(직원목록!$C$3:$C$302,MATCH($B727,직원목록!$A$3:$A$302,0)),""))</f>
        <v/>
      </c>
      <c r="E727" s="14"/>
      <c r="F727" s="14"/>
      <c r="G727" s="15"/>
      <c r="H727" s="16" t="str">
        <f aca="false">IF(OR($K727="",$L727=""),"",ROUND(MAX(0,($L727-$K727)-IF($G727="",0,$G727))/60,2))</f>
        <v/>
      </c>
      <c r="I727" s="8"/>
      <c r="J727" s="8"/>
      <c r="K727" s="17" t="str">
        <f aca="false">IF($E727="","",IF($E727&lt;1,ROUND($E727*1440,0),INT($E727/100)*60+MOD($E727,100)))</f>
        <v/>
      </c>
      <c r="L727" s="17" t="str">
        <f aca="false">IF($F727="","",IF($F727&lt;1,ROUND($F727*1440,0),INT($F727/100)*60+MOD($F727,100)))</f>
        <v/>
      </c>
    </row>
    <row r="728" customFormat="false" ht="15" hidden="false" customHeight="true" outlineLevel="0" collapsed="false">
      <c r="A728" s="10"/>
      <c r="B728" s="8"/>
      <c r="C728" s="13" t="str">
        <f aca="false">IF($B728="","",IFERROR(INDEX(직원목록!$B$3:$B$302,MATCH($B728,직원목록!$A$3:$A$302,0)),"미등록사번"))</f>
        <v/>
      </c>
      <c r="D728" s="13" t="str">
        <f aca="false">IF($B728="","",IFERROR(INDEX(직원목록!$C$3:$C$302,MATCH($B728,직원목록!$A$3:$A$302,0)),""))</f>
        <v/>
      </c>
      <c r="E728" s="14"/>
      <c r="F728" s="14"/>
      <c r="G728" s="15"/>
      <c r="H728" s="16" t="str">
        <f aca="false">IF(OR($K728="",$L728=""),"",ROUND(MAX(0,($L728-$K728)-IF($G728="",0,$G728))/60,2))</f>
        <v/>
      </c>
      <c r="I728" s="8"/>
      <c r="J728" s="8"/>
      <c r="K728" s="17" t="str">
        <f aca="false">IF($E728="","",IF($E728&lt;1,ROUND($E728*1440,0),INT($E728/100)*60+MOD($E728,100)))</f>
        <v/>
      </c>
      <c r="L728" s="17" t="str">
        <f aca="false">IF($F728="","",IF($F728&lt;1,ROUND($F728*1440,0),INT($F728/100)*60+MOD($F728,100)))</f>
        <v/>
      </c>
    </row>
    <row r="729" customFormat="false" ht="15" hidden="false" customHeight="true" outlineLevel="0" collapsed="false">
      <c r="A729" s="10"/>
      <c r="B729" s="8"/>
      <c r="C729" s="13" t="str">
        <f aca="false">IF($B729="","",IFERROR(INDEX(직원목록!$B$3:$B$302,MATCH($B729,직원목록!$A$3:$A$302,0)),"미등록사번"))</f>
        <v/>
      </c>
      <c r="D729" s="13" t="str">
        <f aca="false">IF($B729="","",IFERROR(INDEX(직원목록!$C$3:$C$302,MATCH($B729,직원목록!$A$3:$A$302,0)),""))</f>
        <v/>
      </c>
      <c r="E729" s="14"/>
      <c r="F729" s="14"/>
      <c r="G729" s="15"/>
      <c r="H729" s="16" t="str">
        <f aca="false">IF(OR($K729="",$L729=""),"",ROUND(MAX(0,($L729-$K729)-IF($G729="",0,$G729))/60,2))</f>
        <v/>
      </c>
      <c r="I729" s="8"/>
      <c r="J729" s="8"/>
      <c r="K729" s="17" t="str">
        <f aca="false">IF($E729="","",IF($E729&lt;1,ROUND($E729*1440,0),INT($E729/100)*60+MOD($E729,100)))</f>
        <v/>
      </c>
      <c r="L729" s="17" t="str">
        <f aca="false">IF($F729="","",IF($F729&lt;1,ROUND($F729*1440,0),INT($F729/100)*60+MOD($F729,100)))</f>
        <v/>
      </c>
    </row>
    <row r="730" customFormat="false" ht="15" hidden="false" customHeight="true" outlineLevel="0" collapsed="false">
      <c r="A730" s="10"/>
      <c r="B730" s="8"/>
      <c r="C730" s="13" t="str">
        <f aca="false">IF($B730="","",IFERROR(INDEX(직원목록!$B$3:$B$302,MATCH($B730,직원목록!$A$3:$A$302,0)),"미등록사번"))</f>
        <v/>
      </c>
      <c r="D730" s="13" t="str">
        <f aca="false">IF($B730="","",IFERROR(INDEX(직원목록!$C$3:$C$302,MATCH($B730,직원목록!$A$3:$A$302,0)),""))</f>
        <v/>
      </c>
      <c r="E730" s="14"/>
      <c r="F730" s="14"/>
      <c r="G730" s="15"/>
      <c r="H730" s="16" t="str">
        <f aca="false">IF(OR($K730="",$L730=""),"",ROUND(MAX(0,($L730-$K730)-IF($G730="",0,$G730))/60,2))</f>
        <v/>
      </c>
      <c r="I730" s="8"/>
      <c r="J730" s="8"/>
      <c r="K730" s="17" t="str">
        <f aca="false">IF($E730="","",IF($E730&lt;1,ROUND($E730*1440,0),INT($E730/100)*60+MOD($E730,100)))</f>
        <v/>
      </c>
      <c r="L730" s="17" t="str">
        <f aca="false">IF($F730="","",IF($F730&lt;1,ROUND($F730*1440,0),INT($F730/100)*60+MOD($F730,100)))</f>
        <v/>
      </c>
    </row>
    <row r="731" customFormat="false" ht="15" hidden="false" customHeight="true" outlineLevel="0" collapsed="false">
      <c r="A731" s="10"/>
      <c r="B731" s="8"/>
      <c r="C731" s="13" t="str">
        <f aca="false">IF($B731="","",IFERROR(INDEX(직원목록!$B$3:$B$302,MATCH($B731,직원목록!$A$3:$A$302,0)),"미등록사번"))</f>
        <v/>
      </c>
      <c r="D731" s="13" t="str">
        <f aca="false">IF($B731="","",IFERROR(INDEX(직원목록!$C$3:$C$302,MATCH($B731,직원목록!$A$3:$A$302,0)),""))</f>
        <v/>
      </c>
      <c r="E731" s="14"/>
      <c r="F731" s="14"/>
      <c r="G731" s="15"/>
      <c r="H731" s="16" t="str">
        <f aca="false">IF(OR($K731="",$L731=""),"",ROUND(MAX(0,($L731-$K731)-IF($G731="",0,$G731))/60,2))</f>
        <v/>
      </c>
      <c r="I731" s="8"/>
      <c r="J731" s="8"/>
      <c r="K731" s="17" t="str">
        <f aca="false">IF($E731="","",IF($E731&lt;1,ROUND($E731*1440,0),INT($E731/100)*60+MOD($E731,100)))</f>
        <v/>
      </c>
      <c r="L731" s="17" t="str">
        <f aca="false">IF($F731="","",IF($F731&lt;1,ROUND($F731*1440,0),INT($F731/100)*60+MOD($F731,100)))</f>
        <v/>
      </c>
    </row>
    <row r="732" customFormat="false" ht="15" hidden="false" customHeight="true" outlineLevel="0" collapsed="false">
      <c r="A732" s="10"/>
      <c r="B732" s="8"/>
      <c r="C732" s="13" t="str">
        <f aca="false">IF($B732="","",IFERROR(INDEX(직원목록!$B$3:$B$302,MATCH($B732,직원목록!$A$3:$A$302,0)),"미등록사번"))</f>
        <v/>
      </c>
      <c r="D732" s="13" t="str">
        <f aca="false">IF($B732="","",IFERROR(INDEX(직원목록!$C$3:$C$302,MATCH($B732,직원목록!$A$3:$A$302,0)),""))</f>
        <v/>
      </c>
      <c r="E732" s="14"/>
      <c r="F732" s="14"/>
      <c r="G732" s="15"/>
      <c r="H732" s="16" t="str">
        <f aca="false">IF(OR($K732="",$L732=""),"",ROUND(MAX(0,($L732-$K732)-IF($G732="",0,$G732))/60,2))</f>
        <v/>
      </c>
      <c r="I732" s="8"/>
      <c r="J732" s="8"/>
      <c r="K732" s="17" t="str">
        <f aca="false">IF($E732="","",IF($E732&lt;1,ROUND($E732*1440,0),INT($E732/100)*60+MOD($E732,100)))</f>
        <v/>
      </c>
      <c r="L732" s="17" t="str">
        <f aca="false">IF($F732="","",IF($F732&lt;1,ROUND($F732*1440,0),INT($F732/100)*60+MOD($F732,100)))</f>
        <v/>
      </c>
    </row>
    <row r="733" customFormat="false" ht="15" hidden="false" customHeight="true" outlineLevel="0" collapsed="false">
      <c r="A733" s="10"/>
      <c r="B733" s="8"/>
      <c r="C733" s="13" t="str">
        <f aca="false">IF($B733="","",IFERROR(INDEX(직원목록!$B$3:$B$302,MATCH($B733,직원목록!$A$3:$A$302,0)),"미등록사번"))</f>
        <v/>
      </c>
      <c r="D733" s="13" t="str">
        <f aca="false">IF($B733="","",IFERROR(INDEX(직원목록!$C$3:$C$302,MATCH($B733,직원목록!$A$3:$A$302,0)),""))</f>
        <v/>
      </c>
      <c r="E733" s="14"/>
      <c r="F733" s="14"/>
      <c r="G733" s="15"/>
      <c r="H733" s="16" t="str">
        <f aca="false">IF(OR($K733="",$L733=""),"",ROUND(MAX(0,($L733-$K733)-IF($G733="",0,$G733))/60,2))</f>
        <v/>
      </c>
      <c r="I733" s="8"/>
      <c r="J733" s="8"/>
      <c r="K733" s="17" t="str">
        <f aca="false">IF($E733="","",IF($E733&lt;1,ROUND($E733*1440,0),INT($E733/100)*60+MOD($E733,100)))</f>
        <v/>
      </c>
      <c r="L733" s="17" t="str">
        <f aca="false">IF($F733="","",IF($F733&lt;1,ROUND($F733*1440,0),INT($F733/100)*60+MOD($F733,100)))</f>
        <v/>
      </c>
    </row>
    <row r="734" customFormat="false" ht="15" hidden="false" customHeight="true" outlineLevel="0" collapsed="false">
      <c r="A734" s="10"/>
      <c r="B734" s="8"/>
      <c r="C734" s="13" t="str">
        <f aca="false">IF($B734="","",IFERROR(INDEX(직원목록!$B$3:$B$302,MATCH($B734,직원목록!$A$3:$A$302,0)),"미등록사번"))</f>
        <v/>
      </c>
      <c r="D734" s="13" t="str">
        <f aca="false">IF($B734="","",IFERROR(INDEX(직원목록!$C$3:$C$302,MATCH($B734,직원목록!$A$3:$A$302,0)),""))</f>
        <v/>
      </c>
      <c r="E734" s="14"/>
      <c r="F734" s="14"/>
      <c r="G734" s="15"/>
      <c r="H734" s="16" t="str">
        <f aca="false">IF(OR($K734="",$L734=""),"",ROUND(MAX(0,($L734-$K734)-IF($G734="",0,$G734))/60,2))</f>
        <v/>
      </c>
      <c r="I734" s="8"/>
      <c r="J734" s="8"/>
      <c r="K734" s="17" t="str">
        <f aca="false">IF($E734="","",IF($E734&lt;1,ROUND($E734*1440,0),INT($E734/100)*60+MOD($E734,100)))</f>
        <v/>
      </c>
      <c r="L734" s="17" t="str">
        <f aca="false">IF($F734="","",IF($F734&lt;1,ROUND($F734*1440,0),INT($F734/100)*60+MOD($F734,100)))</f>
        <v/>
      </c>
    </row>
    <row r="735" customFormat="false" ht="15" hidden="false" customHeight="true" outlineLevel="0" collapsed="false">
      <c r="A735" s="10"/>
      <c r="B735" s="8"/>
      <c r="C735" s="13" t="str">
        <f aca="false">IF($B735="","",IFERROR(INDEX(직원목록!$B$3:$B$302,MATCH($B735,직원목록!$A$3:$A$302,0)),"미등록사번"))</f>
        <v/>
      </c>
      <c r="D735" s="13" t="str">
        <f aca="false">IF($B735="","",IFERROR(INDEX(직원목록!$C$3:$C$302,MATCH($B735,직원목록!$A$3:$A$302,0)),""))</f>
        <v/>
      </c>
      <c r="E735" s="14"/>
      <c r="F735" s="14"/>
      <c r="G735" s="15"/>
      <c r="H735" s="16" t="str">
        <f aca="false">IF(OR($K735="",$L735=""),"",ROUND(MAX(0,($L735-$K735)-IF($G735="",0,$G735))/60,2))</f>
        <v/>
      </c>
      <c r="I735" s="8"/>
      <c r="J735" s="8"/>
      <c r="K735" s="17" t="str">
        <f aca="false">IF($E735="","",IF($E735&lt;1,ROUND($E735*1440,0),INT($E735/100)*60+MOD($E735,100)))</f>
        <v/>
      </c>
      <c r="L735" s="17" t="str">
        <f aca="false">IF($F735="","",IF($F735&lt;1,ROUND($F735*1440,0),INT($F735/100)*60+MOD($F735,100)))</f>
        <v/>
      </c>
    </row>
    <row r="736" customFormat="false" ht="15" hidden="false" customHeight="true" outlineLevel="0" collapsed="false">
      <c r="A736" s="10"/>
      <c r="B736" s="8"/>
      <c r="C736" s="13" t="str">
        <f aca="false">IF($B736="","",IFERROR(INDEX(직원목록!$B$3:$B$302,MATCH($B736,직원목록!$A$3:$A$302,0)),"미등록사번"))</f>
        <v/>
      </c>
      <c r="D736" s="13" t="str">
        <f aca="false">IF($B736="","",IFERROR(INDEX(직원목록!$C$3:$C$302,MATCH($B736,직원목록!$A$3:$A$302,0)),""))</f>
        <v/>
      </c>
      <c r="E736" s="14"/>
      <c r="F736" s="14"/>
      <c r="G736" s="15"/>
      <c r="H736" s="16" t="str">
        <f aca="false">IF(OR($K736="",$L736=""),"",ROUND(MAX(0,($L736-$K736)-IF($G736="",0,$G736))/60,2))</f>
        <v/>
      </c>
      <c r="I736" s="8"/>
      <c r="J736" s="8"/>
      <c r="K736" s="17" t="str">
        <f aca="false">IF($E736="","",IF($E736&lt;1,ROUND($E736*1440,0),INT($E736/100)*60+MOD($E736,100)))</f>
        <v/>
      </c>
      <c r="L736" s="17" t="str">
        <f aca="false">IF($F736="","",IF($F736&lt;1,ROUND($F736*1440,0),INT($F736/100)*60+MOD($F736,100)))</f>
        <v/>
      </c>
    </row>
    <row r="737" customFormat="false" ht="15" hidden="false" customHeight="true" outlineLevel="0" collapsed="false">
      <c r="A737" s="10"/>
      <c r="B737" s="8"/>
      <c r="C737" s="13" t="str">
        <f aca="false">IF($B737="","",IFERROR(INDEX(직원목록!$B$3:$B$302,MATCH($B737,직원목록!$A$3:$A$302,0)),"미등록사번"))</f>
        <v/>
      </c>
      <c r="D737" s="13" t="str">
        <f aca="false">IF($B737="","",IFERROR(INDEX(직원목록!$C$3:$C$302,MATCH($B737,직원목록!$A$3:$A$302,0)),""))</f>
        <v/>
      </c>
      <c r="E737" s="14"/>
      <c r="F737" s="14"/>
      <c r="G737" s="15"/>
      <c r="H737" s="16" t="str">
        <f aca="false">IF(OR($K737="",$L737=""),"",ROUND(MAX(0,($L737-$K737)-IF($G737="",0,$G737))/60,2))</f>
        <v/>
      </c>
      <c r="I737" s="8"/>
      <c r="J737" s="8"/>
      <c r="K737" s="17" t="str">
        <f aca="false">IF($E737="","",IF($E737&lt;1,ROUND($E737*1440,0),INT($E737/100)*60+MOD($E737,100)))</f>
        <v/>
      </c>
      <c r="L737" s="17" t="str">
        <f aca="false">IF($F737="","",IF($F737&lt;1,ROUND($F737*1440,0),INT($F737/100)*60+MOD($F737,100)))</f>
        <v/>
      </c>
    </row>
    <row r="738" customFormat="false" ht="15" hidden="false" customHeight="true" outlineLevel="0" collapsed="false">
      <c r="A738" s="10"/>
      <c r="B738" s="8"/>
      <c r="C738" s="13" t="str">
        <f aca="false">IF($B738="","",IFERROR(INDEX(직원목록!$B$3:$B$302,MATCH($B738,직원목록!$A$3:$A$302,0)),"미등록사번"))</f>
        <v/>
      </c>
      <c r="D738" s="13" t="str">
        <f aca="false">IF($B738="","",IFERROR(INDEX(직원목록!$C$3:$C$302,MATCH($B738,직원목록!$A$3:$A$302,0)),""))</f>
        <v/>
      </c>
      <c r="E738" s="14"/>
      <c r="F738" s="14"/>
      <c r="G738" s="15"/>
      <c r="H738" s="16" t="str">
        <f aca="false">IF(OR($K738="",$L738=""),"",ROUND(MAX(0,($L738-$K738)-IF($G738="",0,$G738))/60,2))</f>
        <v/>
      </c>
      <c r="I738" s="8"/>
      <c r="J738" s="8"/>
      <c r="K738" s="17" t="str">
        <f aca="false">IF($E738="","",IF($E738&lt;1,ROUND($E738*1440,0),INT($E738/100)*60+MOD($E738,100)))</f>
        <v/>
      </c>
      <c r="L738" s="17" t="str">
        <f aca="false">IF($F738="","",IF($F738&lt;1,ROUND($F738*1440,0),INT($F738/100)*60+MOD($F738,100)))</f>
        <v/>
      </c>
    </row>
    <row r="739" customFormat="false" ht="15" hidden="false" customHeight="true" outlineLevel="0" collapsed="false">
      <c r="A739" s="10"/>
      <c r="B739" s="8"/>
      <c r="C739" s="13" t="str">
        <f aca="false">IF($B739="","",IFERROR(INDEX(직원목록!$B$3:$B$302,MATCH($B739,직원목록!$A$3:$A$302,0)),"미등록사번"))</f>
        <v/>
      </c>
      <c r="D739" s="13" t="str">
        <f aca="false">IF($B739="","",IFERROR(INDEX(직원목록!$C$3:$C$302,MATCH($B739,직원목록!$A$3:$A$302,0)),""))</f>
        <v/>
      </c>
      <c r="E739" s="14"/>
      <c r="F739" s="14"/>
      <c r="G739" s="15"/>
      <c r="H739" s="16" t="str">
        <f aca="false">IF(OR($K739="",$L739=""),"",ROUND(MAX(0,($L739-$K739)-IF($G739="",0,$G739))/60,2))</f>
        <v/>
      </c>
      <c r="I739" s="8"/>
      <c r="J739" s="8"/>
      <c r="K739" s="17" t="str">
        <f aca="false">IF($E739="","",IF($E739&lt;1,ROUND($E739*1440,0),INT($E739/100)*60+MOD($E739,100)))</f>
        <v/>
      </c>
      <c r="L739" s="17" t="str">
        <f aca="false">IF($F739="","",IF($F739&lt;1,ROUND($F739*1440,0),INT($F739/100)*60+MOD($F739,100)))</f>
        <v/>
      </c>
    </row>
    <row r="740" customFormat="false" ht="15" hidden="false" customHeight="true" outlineLevel="0" collapsed="false">
      <c r="A740" s="10"/>
      <c r="B740" s="8"/>
      <c r="C740" s="13" t="str">
        <f aca="false">IF($B740="","",IFERROR(INDEX(직원목록!$B$3:$B$302,MATCH($B740,직원목록!$A$3:$A$302,0)),"미등록사번"))</f>
        <v/>
      </c>
      <c r="D740" s="13" t="str">
        <f aca="false">IF($B740="","",IFERROR(INDEX(직원목록!$C$3:$C$302,MATCH($B740,직원목록!$A$3:$A$302,0)),""))</f>
        <v/>
      </c>
      <c r="E740" s="14"/>
      <c r="F740" s="14"/>
      <c r="G740" s="15"/>
      <c r="H740" s="16" t="str">
        <f aca="false">IF(OR($K740="",$L740=""),"",ROUND(MAX(0,($L740-$K740)-IF($G740="",0,$G740))/60,2))</f>
        <v/>
      </c>
      <c r="I740" s="8"/>
      <c r="J740" s="8"/>
      <c r="K740" s="17" t="str">
        <f aca="false">IF($E740="","",IF($E740&lt;1,ROUND($E740*1440,0),INT($E740/100)*60+MOD($E740,100)))</f>
        <v/>
      </c>
      <c r="L740" s="17" t="str">
        <f aca="false">IF($F740="","",IF($F740&lt;1,ROUND($F740*1440,0),INT($F740/100)*60+MOD($F740,100)))</f>
        <v/>
      </c>
    </row>
    <row r="741" customFormat="false" ht="15" hidden="false" customHeight="true" outlineLevel="0" collapsed="false">
      <c r="A741" s="10"/>
      <c r="B741" s="8"/>
      <c r="C741" s="13" t="str">
        <f aca="false">IF($B741="","",IFERROR(INDEX(직원목록!$B$3:$B$302,MATCH($B741,직원목록!$A$3:$A$302,0)),"미등록사번"))</f>
        <v/>
      </c>
      <c r="D741" s="13" t="str">
        <f aca="false">IF($B741="","",IFERROR(INDEX(직원목록!$C$3:$C$302,MATCH($B741,직원목록!$A$3:$A$302,0)),""))</f>
        <v/>
      </c>
      <c r="E741" s="14"/>
      <c r="F741" s="14"/>
      <c r="G741" s="15"/>
      <c r="H741" s="16" t="str">
        <f aca="false">IF(OR($K741="",$L741=""),"",ROUND(MAX(0,($L741-$K741)-IF($G741="",0,$G741))/60,2))</f>
        <v/>
      </c>
      <c r="I741" s="8"/>
      <c r="J741" s="8"/>
      <c r="K741" s="17" t="str">
        <f aca="false">IF($E741="","",IF($E741&lt;1,ROUND($E741*1440,0),INT($E741/100)*60+MOD($E741,100)))</f>
        <v/>
      </c>
      <c r="L741" s="17" t="str">
        <f aca="false">IF($F741="","",IF($F741&lt;1,ROUND($F741*1440,0),INT($F741/100)*60+MOD($F741,100)))</f>
        <v/>
      </c>
    </row>
    <row r="742" customFormat="false" ht="15" hidden="false" customHeight="true" outlineLevel="0" collapsed="false">
      <c r="A742" s="10"/>
      <c r="B742" s="8"/>
      <c r="C742" s="13" t="str">
        <f aca="false">IF($B742="","",IFERROR(INDEX(직원목록!$B$3:$B$302,MATCH($B742,직원목록!$A$3:$A$302,0)),"미등록사번"))</f>
        <v/>
      </c>
      <c r="D742" s="13" t="str">
        <f aca="false">IF($B742="","",IFERROR(INDEX(직원목록!$C$3:$C$302,MATCH($B742,직원목록!$A$3:$A$302,0)),""))</f>
        <v/>
      </c>
      <c r="E742" s="14"/>
      <c r="F742" s="14"/>
      <c r="G742" s="15"/>
      <c r="H742" s="16" t="str">
        <f aca="false">IF(OR($K742="",$L742=""),"",ROUND(MAX(0,($L742-$K742)-IF($G742="",0,$G742))/60,2))</f>
        <v/>
      </c>
      <c r="I742" s="8"/>
      <c r="J742" s="8"/>
      <c r="K742" s="17" t="str">
        <f aca="false">IF($E742="","",IF($E742&lt;1,ROUND($E742*1440,0),INT($E742/100)*60+MOD($E742,100)))</f>
        <v/>
      </c>
      <c r="L742" s="17" t="str">
        <f aca="false">IF($F742="","",IF($F742&lt;1,ROUND($F742*1440,0),INT($F742/100)*60+MOD($F742,100)))</f>
        <v/>
      </c>
    </row>
    <row r="743" customFormat="false" ht="15" hidden="false" customHeight="true" outlineLevel="0" collapsed="false">
      <c r="A743" s="10"/>
      <c r="B743" s="8"/>
      <c r="C743" s="13" t="str">
        <f aca="false">IF($B743="","",IFERROR(INDEX(직원목록!$B$3:$B$302,MATCH($B743,직원목록!$A$3:$A$302,0)),"미등록사번"))</f>
        <v/>
      </c>
      <c r="D743" s="13" t="str">
        <f aca="false">IF($B743="","",IFERROR(INDEX(직원목록!$C$3:$C$302,MATCH($B743,직원목록!$A$3:$A$302,0)),""))</f>
        <v/>
      </c>
      <c r="E743" s="14"/>
      <c r="F743" s="14"/>
      <c r="G743" s="15"/>
      <c r="H743" s="16" t="str">
        <f aca="false">IF(OR($K743="",$L743=""),"",ROUND(MAX(0,($L743-$K743)-IF($G743="",0,$G743))/60,2))</f>
        <v/>
      </c>
      <c r="I743" s="8"/>
      <c r="J743" s="8"/>
      <c r="K743" s="17" t="str">
        <f aca="false">IF($E743="","",IF($E743&lt;1,ROUND($E743*1440,0),INT($E743/100)*60+MOD($E743,100)))</f>
        <v/>
      </c>
      <c r="L743" s="17" t="str">
        <f aca="false">IF($F743="","",IF($F743&lt;1,ROUND($F743*1440,0),INT($F743/100)*60+MOD($F743,100)))</f>
        <v/>
      </c>
    </row>
    <row r="744" customFormat="false" ht="15" hidden="false" customHeight="true" outlineLevel="0" collapsed="false">
      <c r="A744" s="10"/>
      <c r="B744" s="8"/>
      <c r="C744" s="13" t="str">
        <f aca="false">IF($B744="","",IFERROR(INDEX(직원목록!$B$3:$B$302,MATCH($B744,직원목록!$A$3:$A$302,0)),"미등록사번"))</f>
        <v/>
      </c>
      <c r="D744" s="13" t="str">
        <f aca="false">IF($B744="","",IFERROR(INDEX(직원목록!$C$3:$C$302,MATCH($B744,직원목록!$A$3:$A$302,0)),""))</f>
        <v/>
      </c>
      <c r="E744" s="14"/>
      <c r="F744" s="14"/>
      <c r="G744" s="15"/>
      <c r="H744" s="16" t="str">
        <f aca="false">IF(OR($K744="",$L744=""),"",ROUND(MAX(0,($L744-$K744)-IF($G744="",0,$G744))/60,2))</f>
        <v/>
      </c>
      <c r="I744" s="8"/>
      <c r="J744" s="8"/>
      <c r="K744" s="17" t="str">
        <f aca="false">IF($E744="","",IF($E744&lt;1,ROUND($E744*1440,0),INT($E744/100)*60+MOD($E744,100)))</f>
        <v/>
      </c>
      <c r="L744" s="17" t="str">
        <f aca="false">IF($F744="","",IF($F744&lt;1,ROUND($F744*1440,0),INT($F744/100)*60+MOD($F744,100)))</f>
        <v/>
      </c>
    </row>
    <row r="745" customFormat="false" ht="15" hidden="false" customHeight="true" outlineLevel="0" collapsed="false">
      <c r="A745" s="10"/>
      <c r="B745" s="8"/>
      <c r="C745" s="13" t="str">
        <f aca="false">IF($B745="","",IFERROR(INDEX(직원목록!$B$3:$B$302,MATCH($B745,직원목록!$A$3:$A$302,0)),"미등록사번"))</f>
        <v/>
      </c>
      <c r="D745" s="13" t="str">
        <f aca="false">IF($B745="","",IFERROR(INDEX(직원목록!$C$3:$C$302,MATCH($B745,직원목록!$A$3:$A$302,0)),""))</f>
        <v/>
      </c>
      <c r="E745" s="14"/>
      <c r="F745" s="14"/>
      <c r="G745" s="15"/>
      <c r="H745" s="16" t="str">
        <f aca="false">IF(OR($K745="",$L745=""),"",ROUND(MAX(0,($L745-$K745)-IF($G745="",0,$G745))/60,2))</f>
        <v/>
      </c>
      <c r="I745" s="8"/>
      <c r="J745" s="8"/>
      <c r="K745" s="17" t="str">
        <f aca="false">IF($E745="","",IF($E745&lt;1,ROUND($E745*1440,0),INT($E745/100)*60+MOD($E745,100)))</f>
        <v/>
      </c>
      <c r="L745" s="17" t="str">
        <f aca="false">IF($F745="","",IF($F745&lt;1,ROUND($F745*1440,0),INT($F745/100)*60+MOD($F745,100)))</f>
        <v/>
      </c>
    </row>
    <row r="746" customFormat="false" ht="15" hidden="false" customHeight="true" outlineLevel="0" collapsed="false">
      <c r="A746" s="10"/>
      <c r="B746" s="8"/>
      <c r="C746" s="13" t="str">
        <f aca="false">IF($B746="","",IFERROR(INDEX(직원목록!$B$3:$B$302,MATCH($B746,직원목록!$A$3:$A$302,0)),"미등록사번"))</f>
        <v/>
      </c>
      <c r="D746" s="13" t="str">
        <f aca="false">IF($B746="","",IFERROR(INDEX(직원목록!$C$3:$C$302,MATCH($B746,직원목록!$A$3:$A$302,0)),""))</f>
        <v/>
      </c>
      <c r="E746" s="14"/>
      <c r="F746" s="14"/>
      <c r="G746" s="15"/>
      <c r="H746" s="16" t="str">
        <f aca="false">IF(OR($K746="",$L746=""),"",ROUND(MAX(0,($L746-$K746)-IF($G746="",0,$G746))/60,2))</f>
        <v/>
      </c>
      <c r="I746" s="8"/>
      <c r="J746" s="8"/>
      <c r="K746" s="17" t="str">
        <f aca="false">IF($E746="","",IF($E746&lt;1,ROUND($E746*1440,0),INT($E746/100)*60+MOD($E746,100)))</f>
        <v/>
      </c>
      <c r="L746" s="17" t="str">
        <f aca="false">IF($F746="","",IF($F746&lt;1,ROUND($F746*1440,0),INT($F746/100)*60+MOD($F746,100)))</f>
        <v/>
      </c>
    </row>
    <row r="747" customFormat="false" ht="15" hidden="false" customHeight="true" outlineLevel="0" collapsed="false">
      <c r="A747" s="10"/>
      <c r="B747" s="8"/>
      <c r="C747" s="13" t="str">
        <f aca="false">IF($B747="","",IFERROR(INDEX(직원목록!$B$3:$B$302,MATCH($B747,직원목록!$A$3:$A$302,0)),"미등록사번"))</f>
        <v/>
      </c>
      <c r="D747" s="13" t="str">
        <f aca="false">IF($B747="","",IFERROR(INDEX(직원목록!$C$3:$C$302,MATCH($B747,직원목록!$A$3:$A$302,0)),""))</f>
        <v/>
      </c>
      <c r="E747" s="14"/>
      <c r="F747" s="14"/>
      <c r="G747" s="15"/>
      <c r="H747" s="16" t="str">
        <f aca="false">IF(OR($K747="",$L747=""),"",ROUND(MAX(0,($L747-$K747)-IF($G747="",0,$G747))/60,2))</f>
        <v/>
      </c>
      <c r="I747" s="8"/>
      <c r="J747" s="8"/>
      <c r="K747" s="17" t="str">
        <f aca="false">IF($E747="","",IF($E747&lt;1,ROUND($E747*1440,0),INT($E747/100)*60+MOD($E747,100)))</f>
        <v/>
      </c>
      <c r="L747" s="17" t="str">
        <f aca="false">IF($F747="","",IF($F747&lt;1,ROUND($F747*1440,0),INT($F747/100)*60+MOD($F747,100)))</f>
        <v/>
      </c>
    </row>
    <row r="748" customFormat="false" ht="15" hidden="false" customHeight="true" outlineLevel="0" collapsed="false">
      <c r="A748" s="10"/>
      <c r="B748" s="8"/>
      <c r="C748" s="13" t="str">
        <f aca="false">IF($B748="","",IFERROR(INDEX(직원목록!$B$3:$B$302,MATCH($B748,직원목록!$A$3:$A$302,0)),"미등록사번"))</f>
        <v/>
      </c>
      <c r="D748" s="13" t="str">
        <f aca="false">IF($B748="","",IFERROR(INDEX(직원목록!$C$3:$C$302,MATCH($B748,직원목록!$A$3:$A$302,0)),""))</f>
        <v/>
      </c>
      <c r="E748" s="14"/>
      <c r="F748" s="14"/>
      <c r="G748" s="15"/>
      <c r="H748" s="16" t="str">
        <f aca="false">IF(OR($K748="",$L748=""),"",ROUND(MAX(0,($L748-$K748)-IF($G748="",0,$G748))/60,2))</f>
        <v/>
      </c>
      <c r="I748" s="8"/>
      <c r="J748" s="8"/>
      <c r="K748" s="17" t="str">
        <f aca="false">IF($E748="","",IF($E748&lt;1,ROUND($E748*1440,0),INT($E748/100)*60+MOD($E748,100)))</f>
        <v/>
      </c>
      <c r="L748" s="17" t="str">
        <f aca="false">IF($F748="","",IF($F748&lt;1,ROUND($F748*1440,0),INT($F748/100)*60+MOD($F748,100)))</f>
        <v/>
      </c>
    </row>
    <row r="749" customFormat="false" ht="15" hidden="false" customHeight="true" outlineLevel="0" collapsed="false">
      <c r="A749" s="10"/>
      <c r="B749" s="8"/>
      <c r="C749" s="13" t="str">
        <f aca="false">IF($B749="","",IFERROR(INDEX(직원목록!$B$3:$B$302,MATCH($B749,직원목록!$A$3:$A$302,0)),"미등록사번"))</f>
        <v/>
      </c>
      <c r="D749" s="13" t="str">
        <f aca="false">IF($B749="","",IFERROR(INDEX(직원목록!$C$3:$C$302,MATCH($B749,직원목록!$A$3:$A$302,0)),""))</f>
        <v/>
      </c>
      <c r="E749" s="14"/>
      <c r="F749" s="14"/>
      <c r="G749" s="15"/>
      <c r="H749" s="16" t="str">
        <f aca="false">IF(OR($K749="",$L749=""),"",ROUND(MAX(0,($L749-$K749)-IF($G749="",0,$G749))/60,2))</f>
        <v/>
      </c>
      <c r="I749" s="8"/>
      <c r="J749" s="8"/>
      <c r="K749" s="17" t="str">
        <f aca="false">IF($E749="","",IF($E749&lt;1,ROUND($E749*1440,0),INT($E749/100)*60+MOD($E749,100)))</f>
        <v/>
      </c>
      <c r="L749" s="17" t="str">
        <f aca="false">IF($F749="","",IF($F749&lt;1,ROUND($F749*1440,0),INT($F749/100)*60+MOD($F749,100)))</f>
        <v/>
      </c>
    </row>
    <row r="750" customFormat="false" ht="15" hidden="false" customHeight="true" outlineLevel="0" collapsed="false">
      <c r="A750" s="10"/>
      <c r="B750" s="8"/>
      <c r="C750" s="13" t="str">
        <f aca="false">IF($B750="","",IFERROR(INDEX(직원목록!$B$3:$B$302,MATCH($B750,직원목록!$A$3:$A$302,0)),"미등록사번"))</f>
        <v/>
      </c>
      <c r="D750" s="13" t="str">
        <f aca="false">IF($B750="","",IFERROR(INDEX(직원목록!$C$3:$C$302,MATCH($B750,직원목록!$A$3:$A$302,0)),""))</f>
        <v/>
      </c>
      <c r="E750" s="14"/>
      <c r="F750" s="14"/>
      <c r="G750" s="15"/>
      <c r="H750" s="16" t="str">
        <f aca="false">IF(OR($K750="",$L750=""),"",ROUND(MAX(0,($L750-$K750)-IF($G750="",0,$G750))/60,2))</f>
        <v/>
      </c>
      <c r="I750" s="8"/>
      <c r="J750" s="8"/>
      <c r="K750" s="17" t="str">
        <f aca="false">IF($E750="","",IF($E750&lt;1,ROUND($E750*1440,0),INT($E750/100)*60+MOD($E750,100)))</f>
        <v/>
      </c>
      <c r="L750" s="17" t="str">
        <f aca="false">IF($F750="","",IF($F750&lt;1,ROUND($F750*1440,0),INT($F750/100)*60+MOD($F750,100)))</f>
        <v/>
      </c>
    </row>
    <row r="751" customFormat="false" ht="15" hidden="false" customHeight="true" outlineLevel="0" collapsed="false">
      <c r="A751" s="10"/>
      <c r="B751" s="8"/>
      <c r="C751" s="13" t="str">
        <f aca="false">IF($B751="","",IFERROR(INDEX(직원목록!$B$3:$B$302,MATCH($B751,직원목록!$A$3:$A$302,0)),"미등록사번"))</f>
        <v/>
      </c>
      <c r="D751" s="13" t="str">
        <f aca="false">IF($B751="","",IFERROR(INDEX(직원목록!$C$3:$C$302,MATCH($B751,직원목록!$A$3:$A$302,0)),""))</f>
        <v/>
      </c>
      <c r="E751" s="14"/>
      <c r="F751" s="14"/>
      <c r="G751" s="15"/>
      <c r="H751" s="16" t="str">
        <f aca="false">IF(OR($K751="",$L751=""),"",ROUND(MAX(0,($L751-$K751)-IF($G751="",0,$G751))/60,2))</f>
        <v/>
      </c>
      <c r="I751" s="8"/>
      <c r="J751" s="8"/>
      <c r="K751" s="17" t="str">
        <f aca="false">IF($E751="","",IF($E751&lt;1,ROUND($E751*1440,0),INT($E751/100)*60+MOD($E751,100)))</f>
        <v/>
      </c>
      <c r="L751" s="17" t="str">
        <f aca="false">IF($F751="","",IF($F751&lt;1,ROUND($F751*1440,0),INT($F751/100)*60+MOD($F751,100)))</f>
        <v/>
      </c>
    </row>
    <row r="752" customFormat="false" ht="15" hidden="false" customHeight="true" outlineLevel="0" collapsed="false">
      <c r="A752" s="10"/>
      <c r="B752" s="8"/>
      <c r="C752" s="13" t="str">
        <f aca="false">IF($B752="","",IFERROR(INDEX(직원목록!$B$3:$B$302,MATCH($B752,직원목록!$A$3:$A$302,0)),"미등록사번"))</f>
        <v/>
      </c>
      <c r="D752" s="13" t="str">
        <f aca="false">IF($B752="","",IFERROR(INDEX(직원목록!$C$3:$C$302,MATCH($B752,직원목록!$A$3:$A$302,0)),""))</f>
        <v/>
      </c>
      <c r="E752" s="14"/>
      <c r="F752" s="14"/>
      <c r="G752" s="15"/>
      <c r="H752" s="16" t="str">
        <f aca="false">IF(OR($K752="",$L752=""),"",ROUND(MAX(0,($L752-$K752)-IF($G752="",0,$G752))/60,2))</f>
        <v/>
      </c>
      <c r="I752" s="8"/>
      <c r="J752" s="8"/>
      <c r="K752" s="17" t="str">
        <f aca="false">IF($E752="","",IF($E752&lt;1,ROUND($E752*1440,0),INT($E752/100)*60+MOD($E752,100)))</f>
        <v/>
      </c>
      <c r="L752" s="17" t="str">
        <f aca="false">IF($F752="","",IF($F752&lt;1,ROUND($F752*1440,0),INT($F752/100)*60+MOD($F752,100)))</f>
        <v/>
      </c>
    </row>
    <row r="753" customFormat="false" ht="15" hidden="false" customHeight="true" outlineLevel="0" collapsed="false">
      <c r="A753" s="10"/>
      <c r="B753" s="8"/>
      <c r="C753" s="13" t="str">
        <f aca="false">IF($B753="","",IFERROR(INDEX(직원목록!$B$3:$B$302,MATCH($B753,직원목록!$A$3:$A$302,0)),"미등록사번"))</f>
        <v/>
      </c>
      <c r="D753" s="13" t="str">
        <f aca="false">IF($B753="","",IFERROR(INDEX(직원목록!$C$3:$C$302,MATCH($B753,직원목록!$A$3:$A$302,0)),""))</f>
        <v/>
      </c>
      <c r="E753" s="14"/>
      <c r="F753" s="14"/>
      <c r="G753" s="15"/>
      <c r="H753" s="16" t="str">
        <f aca="false">IF(OR($K753="",$L753=""),"",ROUND(MAX(0,($L753-$K753)-IF($G753="",0,$G753))/60,2))</f>
        <v/>
      </c>
      <c r="I753" s="8"/>
      <c r="J753" s="8"/>
      <c r="K753" s="17" t="str">
        <f aca="false">IF($E753="","",IF($E753&lt;1,ROUND($E753*1440,0),INT($E753/100)*60+MOD($E753,100)))</f>
        <v/>
      </c>
      <c r="L753" s="17" t="str">
        <f aca="false">IF($F753="","",IF($F753&lt;1,ROUND($F753*1440,0),INT($F753/100)*60+MOD($F753,100)))</f>
        <v/>
      </c>
    </row>
    <row r="754" customFormat="false" ht="15" hidden="false" customHeight="true" outlineLevel="0" collapsed="false">
      <c r="A754" s="10"/>
      <c r="B754" s="8"/>
      <c r="C754" s="13" t="str">
        <f aca="false">IF($B754="","",IFERROR(INDEX(직원목록!$B$3:$B$302,MATCH($B754,직원목록!$A$3:$A$302,0)),"미등록사번"))</f>
        <v/>
      </c>
      <c r="D754" s="13" t="str">
        <f aca="false">IF($B754="","",IFERROR(INDEX(직원목록!$C$3:$C$302,MATCH($B754,직원목록!$A$3:$A$302,0)),""))</f>
        <v/>
      </c>
      <c r="E754" s="14"/>
      <c r="F754" s="14"/>
      <c r="G754" s="15"/>
      <c r="H754" s="16" t="str">
        <f aca="false">IF(OR($K754="",$L754=""),"",ROUND(MAX(0,($L754-$K754)-IF($G754="",0,$G754))/60,2))</f>
        <v/>
      </c>
      <c r="I754" s="8"/>
      <c r="J754" s="8"/>
      <c r="K754" s="17" t="str">
        <f aca="false">IF($E754="","",IF($E754&lt;1,ROUND($E754*1440,0),INT($E754/100)*60+MOD($E754,100)))</f>
        <v/>
      </c>
      <c r="L754" s="17" t="str">
        <f aca="false">IF($F754="","",IF($F754&lt;1,ROUND($F754*1440,0),INT($F754/100)*60+MOD($F754,100)))</f>
        <v/>
      </c>
    </row>
    <row r="755" customFormat="false" ht="15" hidden="false" customHeight="true" outlineLevel="0" collapsed="false">
      <c r="A755" s="10"/>
      <c r="B755" s="8"/>
      <c r="C755" s="13" t="str">
        <f aca="false">IF($B755="","",IFERROR(INDEX(직원목록!$B$3:$B$302,MATCH($B755,직원목록!$A$3:$A$302,0)),"미등록사번"))</f>
        <v/>
      </c>
      <c r="D755" s="13" t="str">
        <f aca="false">IF($B755="","",IFERROR(INDEX(직원목록!$C$3:$C$302,MATCH($B755,직원목록!$A$3:$A$302,0)),""))</f>
        <v/>
      </c>
      <c r="E755" s="14"/>
      <c r="F755" s="14"/>
      <c r="G755" s="15"/>
      <c r="H755" s="16" t="str">
        <f aca="false">IF(OR($K755="",$L755=""),"",ROUND(MAX(0,($L755-$K755)-IF($G755="",0,$G755))/60,2))</f>
        <v/>
      </c>
      <c r="I755" s="8"/>
      <c r="J755" s="8"/>
      <c r="K755" s="17" t="str">
        <f aca="false">IF($E755="","",IF($E755&lt;1,ROUND($E755*1440,0),INT($E755/100)*60+MOD($E755,100)))</f>
        <v/>
      </c>
      <c r="L755" s="17" t="str">
        <f aca="false">IF($F755="","",IF($F755&lt;1,ROUND($F755*1440,0),INT($F755/100)*60+MOD($F755,100)))</f>
        <v/>
      </c>
    </row>
    <row r="756" customFormat="false" ht="15" hidden="false" customHeight="true" outlineLevel="0" collapsed="false">
      <c r="A756" s="10"/>
      <c r="B756" s="8"/>
      <c r="C756" s="13" t="str">
        <f aca="false">IF($B756="","",IFERROR(INDEX(직원목록!$B$3:$B$302,MATCH($B756,직원목록!$A$3:$A$302,0)),"미등록사번"))</f>
        <v/>
      </c>
      <c r="D756" s="13" t="str">
        <f aca="false">IF($B756="","",IFERROR(INDEX(직원목록!$C$3:$C$302,MATCH($B756,직원목록!$A$3:$A$302,0)),""))</f>
        <v/>
      </c>
      <c r="E756" s="14"/>
      <c r="F756" s="14"/>
      <c r="G756" s="15"/>
      <c r="H756" s="16" t="str">
        <f aca="false">IF(OR($K756="",$L756=""),"",ROUND(MAX(0,($L756-$K756)-IF($G756="",0,$G756))/60,2))</f>
        <v/>
      </c>
      <c r="I756" s="8"/>
      <c r="J756" s="8"/>
      <c r="K756" s="17" t="str">
        <f aca="false">IF($E756="","",IF($E756&lt;1,ROUND($E756*1440,0),INT($E756/100)*60+MOD($E756,100)))</f>
        <v/>
      </c>
      <c r="L756" s="17" t="str">
        <f aca="false">IF($F756="","",IF($F756&lt;1,ROUND($F756*1440,0),INT($F756/100)*60+MOD($F756,100)))</f>
        <v/>
      </c>
    </row>
    <row r="757" customFormat="false" ht="15" hidden="false" customHeight="true" outlineLevel="0" collapsed="false">
      <c r="A757" s="10"/>
      <c r="B757" s="8"/>
      <c r="C757" s="13" t="str">
        <f aca="false">IF($B757="","",IFERROR(INDEX(직원목록!$B$3:$B$302,MATCH($B757,직원목록!$A$3:$A$302,0)),"미등록사번"))</f>
        <v/>
      </c>
      <c r="D757" s="13" t="str">
        <f aca="false">IF($B757="","",IFERROR(INDEX(직원목록!$C$3:$C$302,MATCH($B757,직원목록!$A$3:$A$302,0)),""))</f>
        <v/>
      </c>
      <c r="E757" s="14"/>
      <c r="F757" s="14"/>
      <c r="G757" s="15"/>
      <c r="H757" s="16" t="str">
        <f aca="false">IF(OR($K757="",$L757=""),"",ROUND(MAX(0,($L757-$K757)-IF($G757="",0,$G757))/60,2))</f>
        <v/>
      </c>
      <c r="I757" s="8"/>
      <c r="J757" s="8"/>
      <c r="K757" s="17" t="str">
        <f aca="false">IF($E757="","",IF($E757&lt;1,ROUND($E757*1440,0),INT($E757/100)*60+MOD($E757,100)))</f>
        <v/>
      </c>
      <c r="L757" s="17" t="str">
        <f aca="false">IF($F757="","",IF($F757&lt;1,ROUND($F757*1440,0),INT($F757/100)*60+MOD($F757,100)))</f>
        <v/>
      </c>
    </row>
    <row r="758" customFormat="false" ht="15" hidden="false" customHeight="true" outlineLevel="0" collapsed="false">
      <c r="A758" s="10"/>
      <c r="B758" s="8"/>
      <c r="C758" s="13" t="str">
        <f aca="false">IF($B758="","",IFERROR(INDEX(직원목록!$B$3:$B$302,MATCH($B758,직원목록!$A$3:$A$302,0)),"미등록사번"))</f>
        <v/>
      </c>
      <c r="D758" s="13" t="str">
        <f aca="false">IF($B758="","",IFERROR(INDEX(직원목록!$C$3:$C$302,MATCH($B758,직원목록!$A$3:$A$302,0)),""))</f>
        <v/>
      </c>
      <c r="E758" s="14"/>
      <c r="F758" s="14"/>
      <c r="G758" s="15"/>
      <c r="H758" s="16" t="str">
        <f aca="false">IF(OR($K758="",$L758=""),"",ROUND(MAX(0,($L758-$K758)-IF($G758="",0,$G758))/60,2))</f>
        <v/>
      </c>
      <c r="I758" s="8"/>
      <c r="J758" s="8"/>
      <c r="K758" s="17" t="str">
        <f aca="false">IF($E758="","",IF($E758&lt;1,ROUND($E758*1440,0),INT($E758/100)*60+MOD($E758,100)))</f>
        <v/>
      </c>
      <c r="L758" s="17" t="str">
        <f aca="false">IF($F758="","",IF($F758&lt;1,ROUND($F758*1440,0),INT($F758/100)*60+MOD($F758,100)))</f>
        <v/>
      </c>
    </row>
    <row r="759" customFormat="false" ht="15" hidden="false" customHeight="true" outlineLevel="0" collapsed="false">
      <c r="A759" s="10"/>
      <c r="B759" s="8"/>
      <c r="C759" s="13" t="str">
        <f aca="false">IF($B759="","",IFERROR(INDEX(직원목록!$B$3:$B$302,MATCH($B759,직원목록!$A$3:$A$302,0)),"미등록사번"))</f>
        <v/>
      </c>
      <c r="D759" s="13" t="str">
        <f aca="false">IF($B759="","",IFERROR(INDEX(직원목록!$C$3:$C$302,MATCH($B759,직원목록!$A$3:$A$302,0)),""))</f>
        <v/>
      </c>
      <c r="E759" s="14"/>
      <c r="F759" s="14"/>
      <c r="G759" s="15"/>
      <c r="H759" s="16" t="str">
        <f aca="false">IF(OR($K759="",$L759=""),"",ROUND(MAX(0,($L759-$K759)-IF($G759="",0,$G759))/60,2))</f>
        <v/>
      </c>
      <c r="I759" s="8"/>
      <c r="J759" s="8"/>
      <c r="K759" s="17" t="str">
        <f aca="false">IF($E759="","",IF($E759&lt;1,ROUND($E759*1440,0),INT($E759/100)*60+MOD($E759,100)))</f>
        <v/>
      </c>
      <c r="L759" s="17" t="str">
        <f aca="false">IF($F759="","",IF($F759&lt;1,ROUND($F759*1440,0),INT($F759/100)*60+MOD($F759,100)))</f>
        <v/>
      </c>
    </row>
    <row r="760" customFormat="false" ht="15" hidden="false" customHeight="true" outlineLevel="0" collapsed="false">
      <c r="A760" s="10"/>
      <c r="B760" s="8"/>
      <c r="C760" s="13" t="str">
        <f aca="false">IF($B760="","",IFERROR(INDEX(직원목록!$B$3:$B$302,MATCH($B760,직원목록!$A$3:$A$302,0)),"미등록사번"))</f>
        <v/>
      </c>
      <c r="D760" s="13" t="str">
        <f aca="false">IF($B760="","",IFERROR(INDEX(직원목록!$C$3:$C$302,MATCH($B760,직원목록!$A$3:$A$302,0)),""))</f>
        <v/>
      </c>
      <c r="E760" s="14"/>
      <c r="F760" s="14"/>
      <c r="G760" s="15"/>
      <c r="H760" s="16" t="str">
        <f aca="false">IF(OR($K760="",$L760=""),"",ROUND(MAX(0,($L760-$K760)-IF($G760="",0,$G760))/60,2))</f>
        <v/>
      </c>
      <c r="I760" s="8"/>
      <c r="J760" s="8"/>
      <c r="K760" s="17" t="str">
        <f aca="false">IF($E760="","",IF($E760&lt;1,ROUND($E760*1440,0),INT($E760/100)*60+MOD($E760,100)))</f>
        <v/>
      </c>
      <c r="L760" s="17" t="str">
        <f aca="false">IF($F760="","",IF($F760&lt;1,ROUND($F760*1440,0),INT($F760/100)*60+MOD($F760,100)))</f>
        <v/>
      </c>
    </row>
    <row r="761" customFormat="false" ht="15" hidden="false" customHeight="true" outlineLevel="0" collapsed="false">
      <c r="A761" s="10"/>
      <c r="B761" s="8"/>
      <c r="C761" s="13" t="str">
        <f aca="false">IF($B761="","",IFERROR(INDEX(직원목록!$B$3:$B$302,MATCH($B761,직원목록!$A$3:$A$302,0)),"미등록사번"))</f>
        <v/>
      </c>
      <c r="D761" s="13" t="str">
        <f aca="false">IF($B761="","",IFERROR(INDEX(직원목록!$C$3:$C$302,MATCH($B761,직원목록!$A$3:$A$302,0)),""))</f>
        <v/>
      </c>
      <c r="E761" s="14"/>
      <c r="F761" s="14"/>
      <c r="G761" s="15"/>
      <c r="H761" s="16" t="str">
        <f aca="false">IF(OR($K761="",$L761=""),"",ROUND(MAX(0,($L761-$K761)-IF($G761="",0,$G761))/60,2))</f>
        <v/>
      </c>
      <c r="I761" s="8"/>
      <c r="J761" s="8"/>
      <c r="K761" s="17" t="str">
        <f aca="false">IF($E761="","",IF($E761&lt;1,ROUND($E761*1440,0),INT($E761/100)*60+MOD($E761,100)))</f>
        <v/>
      </c>
      <c r="L761" s="17" t="str">
        <f aca="false">IF($F761="","",IF($F761&lt;1,ROUND($F761*1440,0),INT($F761/100)*60+MOD($F761,100)))</f>
        <v/>
      </c>
    </row>
    <row r="762" customFormat="false" ht="15" hidden="false" customHeight="true" outlineLevel="0" collapsed="false">
      <c r="A762" s="10"/>
      <c r="B762" s="8"/>
      <c r="C762" s="13" t="str">
        <f aca="false">IF($B762="","",IFERROR(INDEX(직원목록!$B$3:$B$302,MATCH($B762,직원목록!$A$3:$A$302,0)),"미등록사번"))</f>
        <v/>
      </c>
      <c r="D762" s="13" t="str">
        <f aca="false">IF($B762="","",IFERROR(INDEX(직원목록!$C$3:$C$302,MATCH($B762,직원목록!$A$3:$A$302,0)),""))</f>
        <v/>
      </c>
      <c r="E762" s="14"/>
      <c r="F762" s="14"/>
      <c r="G762" s="15"/>
      <c r="H762" s="16" t="str">
        <f aca="false">IF(OR($K762="",$L762=""),"",ROUND(MAX(0,($L762-$K762)-IF($G762="",0,$G762))/60,2))</f>
        <v/>
      </c>
      <c r="I762" s="8"/>
      <c r="J762" s="8"/>
      <c r="K762" s="17" t="str">
        <f aca="false">IF($E762="","",IF($E762&lt;1,ROUND($E762*1440,0),INT($E762/100)*60+MOD($E762,100)))</f>
        <v/>
      </c>
      <c r="L762" s="17" t="str">
        <f aca="false">IF($F762="","",IF($F762&lt;1,ROUND($F762*1440,0),INT($F762/100)*60+MOD($F762,100)))</f>
        <v/>
      </c>
    </row>
    <row r="763" customFormat="false" ht="15" hidden="false" customHeight="true" outlineLevel="0" collapsed="false">
      <c r="A763" s="10"/>
      <c r="B763" s="8"/>
      <c r="C763" s="13" t="str">
        <f aca="false">IF($B763="","",IFERROR(INDEX(직원목록!$B$3:$B$302,MATCH($B763,직원목록!$A$3:$A$302,0)),"미등록사번"))</f>
        <v/>
      </c>
      <c r="D763" s="13" t="str">
        <f aca="false">IF($B763="","",IFERROR(INDEX(직원목록!$C$3:$C$302,MATCH($B763,직원목록!$A$3:$A$302,0)),""))</f>
        <v/>
      </c>
      <c r="E763" s="14"/>
      <c r="F763" s="14"/>
      <c r="G763" s="15"/>
      <c r="H763" s="16" t="str">
        <f aca="false">IF(OR($K763="",$L763=""),"",ROUND(MAX(0,($L763-$K763)-IF($G763="",0,$G763))/60,2))</f>
        <v/>
      </c>
      <c r="I763" s="8"/>
      <c r="J763" s="8"/>
      <c r="K763" s="17" t="str">
        <f aca="false">IF($E763="","",IF($E763&lt;1,ROUND($E763*1440,0),INT($E763/100)*60+MOD($E763,100)))</f>
        <v/>
      </c>
      <c r="L763" s="17" t="str">
        <f aca="false">IF($F763="","",IF($F763&lt;1,ROUND($F763*1440,0),INT($F763/100)*60+MOD($F763,100)))</f>
        <v/>
      </c>
    </row>
    <row r="764" customFormat="false" ht="15" hidden="false" customHeight="true" outlineLevel="0" collapsed="false">
      <c r="A764" s="10"/>
      <c r="B764" s="8"/>
      <c r="C764" s="13" t="str">
        <f aca="false">IF($B764="","",IFERROR(INDEX(직원목록!$B$3:$B$302,MATCH($B764,직원목록!$A$3:$A$302,0)),"미등록사번"))</f>
        <v/>
      </c>
      <c r="D764" s="13" t="str">
        <f aca="false">IF($B764="","",IFERROR(INDEX(직원목록!$C$3:$C$302,MATCH($B764,직원목록!$A$3:$A$302,0)),""))</f>
        <v/>
      </c>
      <c r="E764" s="14"/>
      <c r="F764" s="14"/>
      <c r="G764" s="15"/>
      <c r="H764" s="16" t="str">
        <f aca="false">IF(OR($K764="",$L764=""),"",ROUND(MAX(0,($L764-$K764)-IF($G764="",0,$G764))/60,2))</f>
        <v/>
      </c>
      <c r="I764" s="8"/>
      <c r="J764" s="8"/>
      <c r="K764" s="17" t="str">
        <f aca="false">IF($E764="","",IF($E764&lt;1,ROUND($E764*1440,0),INT($E764/100)*60+MOD($E764,100)))</f>
        <v/>
      </c>
      <c r="L764" s="17" t="str">
        <f aca="false">IF($F764="","",IF($F764&lt;1,ROUND($F764*1440,0),INT($F764/100)*60+MOD($F764,100)))</f>
        <v/>
      </c>
    </row>
    <row r="765" customFormat="false" ht="15" hidden="false" customHeight="true" outlineLevel="0" collapsed="false">
      <c r="A765" s="10"/>
      <c r="B765" s="8"/>
      <c r="C765" s="13" t="str">
        <f aca="false">IF($B765="","",IFERROR(INDEX(직원목록!$B$3:$B$302,MATCH($B765,직원목록!$A$3:$A$302,0)),"미등록사번"))</f>
        <v/>
      </c>
      <c r="D765" s="13" t="str">
        <f aca="false">IF($B765="","",IFERROR(INDEX(직원목록!$C$3:$C$302,MATCH($B765,직원목록!$A$3:$A$302,0)),""))</f>
        <v/>
      </c>
      <c r="E765" s="14"/>
      <c r="F765" s="14"/>
      <c r="G765" s="15"/>
      <c r="H765" s="16" t="str">
        <f aca="false">IF(OR($K765="",$L765=""),"",ROUND(MAX(0,($L765-$K765)-IF($G765="",0,$G765))/60,2))</f>
        <v/>
      </c>
      <c r="I765" s="8"/>
      <c r="J765" s="8"/>
      <c r="K765" s="17" t="str">
        <f aca="false">IF($E765="","",IF($E765&lt;1,ROUND($E765*1440,0),INT($E765/100)*60+MOD($E765,100)))</f>
        <v/>
      </c>
      <c r="L765" s="17" t="str">
        <f aca="false">IF($F765="","",IF($F765&lt;1,ROUND($F765*1440,0),INT($F765/100)*60+MOD($F765,100)))</f>
        <v/>
      </c>
    </row>
    <row r="766" customFormat="false" ht="15" hidden="false" customHeight="true" outlineLevel="0" collapsed="false">
      <c r="A766" s="10"/>
      <c r="B766" s="8"/>
      <c r="C766" s="13" t="str">
        <f aca="false">IF($B766="","",IFERROR(INDEX(직원목록!$B$3:$B$302,MATCH($B766,직원목록!$A$3:$A$302,0)),"미등록사번"))</f>
        <v/>
      </c>
      <c r="D766" s="13" t="str">
        <f aca="false">IF($B766="","",IFERROR(INDEX(직원목록!$C$3:$C$302,MATCH($B766,직원목록!$A$3:$A$302,0)),""))</f>
        <v/>
      </c>
      <c r="E766" s="14"/>
      <c r="F766" s="14"/>
      <c r="G766" s="15"/>
      <c r="H766" s="16" t="str">
        <f aca="false">IF(OR($K766="",$L766=""),"",ROUND(MAX(0,($L766-$K766)-IF($G766="",0,$G766))/60,2))</f>
        <v/>
      </c>
      <c r="I766" s="8"/>
      <c r="J766" s="8"/>
      <c r="K766" s="17" t="str">
        <f aca="false">IF($E766="","",IF($E766&lt;1,ROUND($E766*1440,0),INT($E766/100)*60+MOD($E766,100)))</f>
        <v/>
      </c>
      <c r="L766" s="17" t="str">
        <f aca="false">IF($F766="","",IF($F766&lt;1,ROUND($F766*1440,0),INT($F766/100)*60+MOD($F766,100)))</f>
        <v/>
      </c>
    </row>
    <row r="767" customFormat="false" ht="15" hidden="false" customHeight="true" outlineLevel="0" collapsed="false">
      <c r="A767" s="10"/>
      <c r="B767" s="8"/>
      <c r="C767" s="13" t="str">
        <f aca="false">IF($B767="","",IFERROR(INDEX(직원목록!$B$3:$B$302,MATCH($B767,직원목록!$A$3:$A$302,0)),"미등록사번"))</f>
        <v/>
      </c>
      <c r="D767" s="13" t="str">
        <f aca="false">IF($B767="","",IFERROR(INDEX(직원목록!$C$3:$C$302,MATCH($B767,직원목록!$A$3:$A$302,0)),""))</f>
        <v/>
      </c>
      <c r="E767" s="14"/>
      <c r="F767" s="14"/>
      <c r="G767" s="15"/>
      <c r="H767" s="16" t="str">
        <f aca="false">IF(OR($K767="",$L767=""),"",ROUND(MAX(0,($L767-$K767)-IF($G767="",0,$G767))/60,2))</f>
        <v/>
      </c>
      <c r="I767" s="8"/>
      <c r="J767" s="8"/>
      <c r="K767" s="17" t="str">
        <f aca="false">IF($E767="","",IF($E767&lt;1,ROUND($E767*1440,0),INT($E767/100)*60+MOD($E767,100)))</f>
        <v/>
      </c>
      <c r="L767" s="17" t="str">
        <f aca="false">IF($F767="","",IF($F767&lt;1,ROUND($F767*1440,0),INT($F767/100)*60+MOD($F767,100)))</f>
        <v/>
      </c>
    </row>
    <row r="768" customFormat="false" ht="15" hidden="false" customHeight="true" outlineLevel="0" collapsed="false">
      <c r="A768" s="10"/>
      <c r="B768" s="8"/>
      <c r="C768" s="13" t="str">
        <f aca="false">IF($B768="","",IFERROR(INDEX(직원목록!$B$3:$B$302,MATCH($B768,직원목록!$A$3:$A$302,0)),"미등록사번"))</f>
        <v/>
      </c>
      <c r="D768" s="13" t="str">
        <f aca="false">IF($B768="","",IFERROR(INDEX(직원목록!$C$3:$C$302,MATCH($B768,직원목록!$A$3:$A$302,0)),""))</f>
        <v/>
      </c>
      <c r="E768" s="14"/>
      <c r="F768" s="14"/>
      <c r="G768" s="15"/>
      <c r="H768" s="16" t="str">
        <f aca="false">IF(OR($K768="",$L768=""),"",ROUND(MAX(0,($L768-$K768)-IF($G768="",0,$G768))/60,2))</f>
        <v/>
      </c>
      <c r="I768" s="8"/>
      <c r="J768" s="8"/>
      <c r="K768" s="17" t="str">
        <f aca="false">IF($E768="","",IF($E768&lt;1,ROUND($E768*1440,0),INT($E768/100)*60+MOD($E768,100)))</f>
        <v/>
      </c>
      <c r="L768" s="17" t="str">
        <f aca="false">IF($F768="","",IF($F768&lt;1,ROUND($F768*1440,0),INT($F768/100)*60+MOD($F768,100)))</f>
        <v/>
      </c>
    </row>
    <row r="769" customFormat="false" ht="15" hidden="false" customHeight="true" outlineLevel="0" collapsed="false">
      <c r="A769" s="10"/>
      <c r="B769" s="8"/>
      <c r="C769" s="13" t="str">
        <f aca="false">IF($B769="","",IFERROR(INDEX(직원목록!$B$3:$B$302,MATCH($B769,직원목록!$A$3:$A$302,0)),"미등록사번"))</f>
        <v/>
      </c>
      <c r="D769" s="13" t="str">
        <f aca="false">IF($B769="","",IFERROR(INDEX(직원목록!$C$3:$C$302,MATCH($B769,직원목록!$A$3:$A$302,0)),""))</f>
        <v/>
      </c>
      <c r="E769" s="14"/>
      <c r="F769" s="14"/>
      <c r="G769" s="15"/>
      <c r="H769" s="16" t="str">
        <f aca="false">IF(OR($K769="",$L769=""),"",ROUND(MAX(0,($L769-$K769)-IF($G769="",0,$G769))/60,2))</f>
        <v/>
      </c>
      <c r="I769" s="8"/>
      <c r="J769" s="8"/>
      <c r="K769" s="17" t="str">
        <f aca="false">IF($E769="","",IF($E769&lt;1,ROUND($E769*1440,0),INT($E769/100)*60+MOD($E769,100)))</f>
        <v/>
      </c>
      <c r="L769" s="17" t="str">
        <f aca="false">IF($F769="","",IF($F769&lt;1,ROUND($F769*1440,0),INT($F769/100)*60+MOD($F769,100)))</f>
        <v/>
      </c>
    </row>
    <row r="770" customFormat="false" ht="15" hidden="false" customHeight="true" outlineLevel="0" collapsed="false">
      <c r="A770" s="10"/>
      <c r="B770" s="8"/>
      <c r="C770" s="13" t="str">
        <f aca="false">IF($B770="","",IFERROR(INDEX(직원목록!$B$3:$B$302,MATCH($B770,직원목록!$A$3:$A$302,0)),"미등록사번"))</f>
        <v/>
      </c>
      <c r="D770" s="13" t="str">
        <f aca="false">IF($B770="","",IFERROR(INDEX(직원목록!$C$3:$C$302,MATCH($B770,직원목록!$A$3:$A$302,0)),""))</f>
        <v/>
      </c>
      <c r="E770" s="14"/>
      <c r="F770" s="14"/>
      <c r="G770" s="15"/>
      <c r="H770" s="16" t="str">
        <f aca="false">IF(OR($K770="",$L770=""),"",ROUND(MAX(0,($L770-$K770)-IF($G770="",0,$G770))/60,2))</f>
        <v/>
      </c>
      <c r="I770" s="8"/>
      <c r="J770" s="8"/>
      <c r="K770" s="17" t="str">
        <f aca="false">IF($E770="","",IF($E770&lt;1,ROUND($E770*1440,0),INT($E770/100)*60+MOD($E770,100)))</f>
        <v/>
      </c>
      <c r="L770" s="17" t="str">
        <f aca="false">IF($F770="","",IF($F770&lt;1,ROUND($F770*1440,0),INT($F770/100)*60+MOD($F770,100)))</f>
        <v/>
      </c>
    </row>
    <row r="771" customFormat="false" ht="15" hidden="false" customHeight="true" outlineLevel="0" collapsed="false">
      <c r="A771" s="10"/>
      <c r="B771" s="8"/>
      <c r="C771" s="13" t="str">
        <f aca="false">IF($B771="","",IFERROR(INDEX(직원목록!$B$3:$B$302,MATCH($B771,직원목록!$A$3:$A$302,0)),"미등록사번"))</f>
        <v/>
      </c>
      <c r="D771" s="13" t="str">
        <f aca="false">IF($B771="","",IFERROR(INDEX(직원목록!$C$3:$C$302,MATCH($B771,직원목록!$A$3:$A$302,0)),""))</f>
        <v/>
      </c>
      <c r="E771" s="14"/>
      <c r="F771" s="14"/>
      <c r="G771" s="15"/>
      <c r="H771" s="16" t="str">
        <f aca="false">IF(OR($K771="",$L771=""),"",ROUND(MAX(0,($L771-$K771)-IF($G771="",0,$G771))/60,2))</f>
        <v/>
      </c>
      <c r="I771" s="8"/>
      <c r="J771" s="8"/>
      <c r="K771" s="17" t="str">
        <f aca="false">IF($E771="","",IF($E771&lt;1,ROUND($E771*1440,0),INT($E771/100)*60+MOD($E771,100)))</f>
        <v/>
      </c>
      <c r="L771" s="17" t="str">
        <f aca="false">IF($F771="","",IF($F771&lt;1,ROUND($F771*1440,0),INT($F771/100)*60+MOD($F771,100)))</f>
        <v/>
      </c>
    </row>
    <row r="772" customFormat="false" ht="15" hidden="false" customHeight="true" outlineLevel="0" collapsed="false">
      <c r="A772" s="10"/>
      <c r="B772" s="8"/>
      <c r="C772" s="13" t="str">
        <f aca="false">IF($B772="","",IFERROR(INDEX(직원목록!$B$3:$B$302,MATCH($B772,직원목록!$A$3:$A$302,0)),"미등록사번"))</f>
        <v/>
      </c>
      <c r="D772" s="13" t="str">
        <f aca="false">IF($B772="","",IFERROR(INDEX(직원목록!$C$3:$C$302,MATCH($B772,직원목록!$A$3:$A$302,0)),""))</f>
        <v/>
      </c>
      <c r="E772" s="14"/>
      <c r="F772" s="14"/>
      <c r="G772" s="15"/>
      <c r="H772" s="16" t="str">
        <f aca="false">IF(OR($K772="",$L772=""),"",ROUND(MAX(0,($L772-$K772)-IF($G772="",0,$G772))/60,2))</f>
        <v/>
      </c>
      <c r="I772" s="8"/>
      <c r="J772" s="8"/>
      <c r="K772" s="17" t="str">
        <f aca="false">IF($E772="","",IF($E772&lt;1,ROUND($E772*1440,0),INT($E772/100)*60+MOD($E772,100)))</f>
        <v/>
      </c>
      <c r="L772" s="17" t="str">
        <f aca="false">IF($F772="","",IF($F772&lt;1,ROUND($F772*1440,0),INT($F772/100)*60+MOD($F772,100)))</f>
        <v/>
      </c>
    </row>
    <row r="773" customFormat="false" ht="15" hidden="false" customHeight="true" outlineLevel="0" collapsed="false">
      <c r="A773" s="10"/>
      <c r="B773" s="8"/>
      <c r="C773" s="13" t="str">
        <f aca="false">IF($B773="","",IFERROR(INDEX(직원목록!$B$3:$B$302,MATCH($B773,직원목록!$A$3:$A$302,0)),"미등록사번"))</f>
        <v/>
      </c>
      <c r="D773" s="13" t="str">
        <f aca="false">IF($B773="","",IFERROR(INDEX(직원목록!$C$3:$C$302,MATCH($B773,직원목록!$A$3:$A$302,0)),""))</f>
        <v/>
      </c>
      <c r="E773" s="14"/>
      <c r="F773" s="14"/>
      <c r="G773" s="15"/>
      <c r="H773" s="16" t="str">
        <f aca="false">IF(OR($K773="",$L773=""),"",ROUND(MAX(0,($L773-$K773)-IF($G773="",0,$G773))/60,2))</f>
        <v/>
      </c>
      <c r="I773" s="8"/>
      <c r="J773" s="8"/>
      <c r="K773" s="17" t="str">
        <f aca="false">IF($E773="","",IF($E773&lt;1,ROUND($E773*1440,0),INT($E773/100)*60+MOD($E773,100)))</f>
        <v/>
      </c>
      <c r="L773" s="17" t="str">
        <f aca="false">IF($F773="","",IF($F773&lt;1,ROUND($F773*1440,0),INT($F773/100)*60+MOD($F773,100)))</f>
        <v/>
      </c>
    </row>
    <row r="774" customFormat="false" ht="15" hidden="false" customHeight="true" outlineLevel="0" collapsed="false">
      <c r="A774" s="10"/>
      <c r="B774" s="8"/>
      <c r="C774" s="13" t="str">
        <f aca="false">IF($B774="","",IFERROR(INDEX(직원목록!$B$3:$B$302,MATCH($B774,직원목록!$A$3:$A$302,0)),"미등록사번"))</f>
        <v/>
      </c>
      <c r="D774" s="13" t="str">
        <f aca="false">IF($B774="","",IFERROR(INDEX(직원목록!$C$3:$C$302,MATCH($B774,직원목록!$A$3:$A$302,0)),""))</f>
        <v/>
      </c>
      <c r="E774" s="14"/>
      <c r="F774" s="14"/>
      <c r="G774" s="15"/>
      <c r="H774" s="16" t="str">
        <f aca="false">IF(OR($K774="",$L774=""),"",ROUND(MAX(0,($L774-$K774)-IF($G774="",0,$G774))/60,2))</f>
        <v/>
      </c>
      <c r="I774" s="8"/>
      <c r="J774" s="8"/>
      <c r="K774" s="17" t="str">
        <f aca="false">IF($E774="","",IF($E774&lt;1,ROUND($E774*1440,0),INT($E774/100)*60+MOD($E774,100)))</f>
        <v/>
      </c>
      <c r="L774" s="17" t="str">
        <f aca="false">IF($F774="","",IF($F774&lt;1,ROUND($F774*1440,0),INT($F774/100)*60+MOD($F774,100)))</f>
        <v/>
      </c>
    </row>
    <row r="775" customFormat="false" ht="15" hidden="false" customHeight="true" outlineLevel="0" collapsed="false">
      <c r="A775" s="10"/>
      <c r="B775" s="8"/>
      <c r="C775" s="13" t="str">
        <f aca="false">IF($B775="","",IFERROR(INDEX(직원목록!$B$3:$B$302,MATCH($B775,직원목록!$A$3:$A$302,0)),"미등록사번"))</f>
        <v/>
      </c>
      <c r="D775" s="13" t="str">
        <f aca="false">IF($B775="","",IFERROR(INDEX(직원목록!$C$3:$C$302,MATCH($B775,직원목록!$A$3:$A$302,0)),""))</f>
        <v/>
      </c>
      <c r="E775" s="14"/>
      <c r="F775" s="14"/>
      <c r="G775" s="15"/>
      <c r="H775" s="16" t="str">
        <f aca="false">IF(OR($K775="",$L775=""),"",ROUND(MAX(0,($L775-$K775)-IF($G775="",0,$G775))/60,2))</f>
        <v/>
      </c>
      <c r="I775" s="8"/>
      <c r="J775" s="8"/>
      <c r="K775" s="17" t="str">
        <f aca="false">IF($E775="","",IF($E775&lt;1,ROUND($E775*1440,0),INT($E775/100)*60+MOD($E775,100)))</f>
        <v/>
      </c>
      <c r="L775" s="17" t="str">
        <f aca="false">IF($F775="","",IF($F775&lt;1,ROUND($F775*1440,0),INT($F775/100)*60+MOD($F775,100)))</f>
        <v/>
      </c>
    </row>
    <row r="776" customFormat="false" ht="15" hidden="false" customHeight="true" outlineLevel="0" collapsed="false">
      <c r="A776" s="10"/>
      <c r="B776" s="8"/>
      <c r="C776" s="13" t="str">
        <f aca="false">IF($B776="","",IFERROR(INDEX(직원목록!$B$3:$B$302,MATCH($B776,직원목록!$A$3:$A$302,0)),"미등록사번"))</f>
        <v/>
      </c>
      <c r="D776" s="13" t="str">
        <f aca="false">IF($B776="","",IFERROR(INDEX(직원목록!$C$3:$C$302,MATCH($B776,직원목록!$A$3:$A$302,0)),""))</f>
        <v/>
      </c>
      <c r="E776" s="14"/>
      <c r="F776" s="14"/>
      <c r="G776" s="15"/>
      <c r="H776" s="16" t="str">
        <f aca="false">IF(OR($K776="",$L776=""),"",ROUND(MAX(0,($L776-$K776)-IF($G776="",0,$G776))/60,2))</f>
        <v/>
      </c>
      <c r="I776" s="8"/>
      <c r="J776" s="8"/>
      <c r="K776" s="17" t="str">
        <f aca="false">IF($E776="","",IF($E776&lt;1,ROUND($E776*1440,0),INT($E776/100)*60+MOD($E776,100)))</f>
        <v/>
      </c>
      <c r="L776" s="17" t="str">
        <f aca="false">IF($F776="","",IF($F776&lt;1,ROUND($F776*1440,0),INT($F776/100)*60+MOD($F776,100)))</f>
        <v/>
      </c>
    </row>
    <row r="777" customFormat="false" ht="15" hidden="false" customHeight="true" outlineLevel="0" collapsed="false">
      <c r="A777" s="10"/>
      <c r="B777" s="8"/>
      <c r="C777" s="13" t="str">
        <f aca="false">IF($B777="","",IFERROR(INDEX(직원목록!$B$3:$B$302,MATCH($B777,직원목록!$A$3:$A$302,0)),"미등록사번"))</f>
        <v/>
      </c>
      <c r="D777" s="13" t="str">
        <f aca="false">IF($B777="","",IFERROR(INDEX(직원목록!$C$3:$C$302,MATCH($B777,직원목록!$A$3:$A$302,0)),""))</f>
        <v/>
      </c>
      <c r="E777" s="14"/>
      <c r="F777" s="14"/>
      <c r="G777" s="15"/>
      <c r="H777" s="16" t="str">
        <f aca="false">IF(OR($K777="",$L777=""),"",ROUND(MAX(0,($L777-$K777)-IF($G777="",0,$G777))/60,2))</f>
        <v/>
      </c>
      <c r="I777" s="8"/>
      <c r="J777" s="8"/>
      <c r="K777" s="17" t="str">
        <f aca="false">IF($E777="","",IF($E777&lt;1,ROUND($E777*1440,0),INT($E777/100)*60+MOD($E777,100)))</f>
        <v/>
      </c>
      <c r="L777" s="17" t="str">
        <f aca="false">IF($F777="","",IF($F777&lt;1,ROUND($F777*1440,0),INT($F777/100)*60+MOD($F777,100)))</f>
        <v/>
      </c>
    </row>
    <row r="778" customFormat="false" ht="15" hidden="false" customHeight="true" outlineLevel="0" collapsed="false">
      <c r="A778" s="10"/>
      <c r="B778" s="8"/>
      <c r="C778" s="13" t="str">
        <f aca="false">IF($B778="","",IFERROR(INDEX(직원목록!$B$3:$B$302,MATCH($B778,직원목록!$A$3:$A$302,0)),"미등록사번"))</f>
        <v/>
      </c>
      <c r="D778" s="13" t="str">
        <f aca="false">IF($B778="","",IFERROR(INDEX(직원목록!$C$3:$C$302,MATCH($B778,직원목록!$A$3:$A$302,0)),""))</f>
        <v/>
      </c>
      <c r="E778" s="14"/>
      <c r="F778" s="14"/>
      <c r="G778" s="15"/>
      <c r="H778" s="16" t="str">
        <f aca="false">IF(OR($K778="",$L778=""),"",ROUND(MAX(0,($L778-$K778)-IF($G778="",0,$G778))/60,2))</f>
        <v/>
      </c>
      <c r="I778" s="8"/>
      <c r="J778" s="8"/>
      <c r="K778" s="17" t="str">
        <f aca="false">IF($E778="","",IF($E778&lt;1,ROUND($E778*1440,0),INT($E778/100)*60+MOD($E778,100)))</f>
        <v/>
      </c>
      <c r="L778" s="17" t="str">
        <f aca="false">IF($F778="","",IF($F778&lt;1,ROUND($F778*1440,0),INT($F778/100)*60+MOD($F778,100)))</f>
        <v/>
      </c>
    </row>
    <row r="779" customFormat="false" ht="15" hidden="false" customHeight="true" outlineLevel="0" collapsed="false">
      <c r="A779" s="10"/>
      <c r="B779" s="8"/>
      <c r="C779" s="13" t="str">
        <f aca="false">IF($B779="","",IFERROR(INDEX(직원목록!$B$3:$B$302,MATCH($B779,직원목록!$A$3:$A$302,0)),"미등록사번"))</f>
        <v/>
      </c>
      <c r="D779" s="13" t="str">
        <f aca="false">IF($B779="","",IFERROR(INDEX(직원목록!$C$3:$C$302,MATCH($B779,직원목록!$A$3:$A$302,0)),""))</f>
        <v/>
      </c>
      <c r="E779" s="14"/>
      <c r="F779" s="14"/>
      <c r="G779" s="15"/>
      <c r="H779" s="16" t="str">
        <f aca="false">IF(OR($K779="",$L779=""),"",ROUND(MAX(0,($L779-$K779)-IF($G779="",0,$G779))/60,2))</f>
        <v/>
      </c>
      <c r="I779" s="8"/>
      <c r="J779" s="8"/>
      <c r="K779" s="17" t="str">
        <f aca="false">IF($E779="","",IF($E779&lt;1,ROUND($E779*1440,0),INT($E779/100)*60+MOD($E779,100)))</f>
        <v/>
      </c>
      <c r="L779" s="17" t="str">
        <f aca="false">IF($F779="","",IF($F779&lt;1,ROUND($F779*1440,0),INT($F779/100)*60+MOD($F779,100)))</f>
        <v/>
      </c>
    </row>
    <row r="780" customFormat="false" ht="15" hidden="false" customHeight="true" outlineLevel="0" collapsed="false">
      <c r="A780" s="10"/>
      <c r="B780" s="8"/>
      <c r="C780" s="13" t="str">
        <f aca="false">IF($B780="","",IFERROR(INDEX(직원목록!$B$3:$B$302,MATCH($B780,직원목록!$A$3:$A$302,0)),"미등록사번"))</f>
        <v/>
      </c>
      <c r="D780" s="13" t="str">
        <f aca="false">IF($B780="","",IFERROR(INDEX(직원목록!$C$3:$C$302,MATCH($B780,직원목록!$A$3:$A$302,0)),""))</f>
        <v/>
      </c>
      <c r="E780" s="14"/>
      <c r="F780" s="14"/>
      <c r="G780" s="15"/>
      <c r="H780" s="16" t="str">
        <f aca="false">IF(OR($K780="",$L780=""),"",ROUND(MAX(0,($L780-$K780)-IF($G780="",0,$G780))/60,2))</f>
        <v/>
      </c>
      <c r="I780" s="8"/>
      <c r="J780" s="8"/>
      <c r="K780" s="17" t="str">
        <f aca="false">IF($E780="","",IF($E780&lt;1,ROUND($E780*1440,0),INT($E780/100)*60+MOD($E780,100)))</f>
        <v/>
      </c>
      <c r="L780" s="17" t="str">
        <f aca="false">IF($F780="","",IF($F780&lt;1,ROUND($F780*1440,0),INT($F780/100)*60+MOD($F780,100)))</f>
        <v/>
      </c>
    </row>
    <row r="781" customFormat="false" ht="15" hidden="false" customHeight="true" outlineLevel="0" collapsed="false">
      <c r="A781" s="10"/>
      <c r="B781" s="8"/>
      <c r="C781" s="13" t="str">
        <f aca="false">IF($B781="","",IFERROR(INDEX(직원목록!$B$3:$B$302,MATCH($B781,직원목록!$A$3:$A$302,0)),"미등록사번"))</f>
        <v/>
      </c>
      <c r="D781" s="13" t="str">
        <f aca="false">IF($B781="","",IFERROR(INDEX(직원목록!$C$3:$C$302,MATCH($B781,직원목록!$A$3:$A$302,0)),""))</f>
        <v/>
      </c>
      <c r="E781" s="14"/>
      <c r="F781" s="14"/>
      <c r="G781" s="15"/>
      <c r="H781" s="16" t="str">
        <f aca="false">IF(OR($K781="",$L781=""),"",ROUND(MAX(0,($L781-$K781)-IF($G781="",0,$G781))/60,2))</f>
        <v/>
      </c>
      <c r="I781" s="8"/>
      <c r="J781" s="8"/>
      <c r="K781" s="17" t="str">
        <f aca="false">IF($E781="","",IF($E781&lt;1,ROUND($E781*1440,0),INT($E781/100)*60+MOD($E781,100)))</f>
        <v/>
      </c>
      <c r="L781" s="17" t="str">
        <f aca="false">IF($F781="","",IF($F781&lt;1,ROUND($F781*1440,0),INT($F781/100)*60+MOD($F781,100)))</f>
        <v/>
      </c>
    </row>
    <row r="782" customFormat="false" ht="15" hidden="false" customHeight="true" outlineLevel="0" collapsed="false">
      <c r="A782" s="10"/>
      <c r="B782" s="8"/>
      <c r="C782" s="13" t="str">
        <f aca="false">IF($B782="","",IFERROR(INDEX(직원목록!$B$3:$B$302,MATCH($B782,직원목록!$A$3:$A$302,0)),"미등록사번"))</f>
        <v/>
      </c>
      <c r="D782" s="13" t="str">
        <f aca="false">IF($B782="","",IFERROR(INDEX(직원목록!$C$3:$C$302,MATCH($B782,직원목록!$A$3:$A$302,0)),""))</f>
        <v/>
      </c>
      <c r="E782" s="14"/>
      <c r="F782" s="14"/>
      <c r="G782" s="15"/>
      <c r="H782" s="16" t="str">
        <f aca="false">IF(OR($K782="",$L782=""),"",ROUND(MAX(0,($L782-$K782)-IF($G782="",0,$G782))/60,2))</f>
        <v/>
      </c>
      <c r="I782" s="8"/>
      <c r="J782" s="8"/>
      <c r="K782" s="17" t="str">
        <f aca="false">IF($E782="","",IF($E782&lt;1,ROUND($E782*1440,0),INT($E782/100)*60+MOD($E782,100)))</f>
        <v/>
      </c>
      <c r="L782" s="17" t="str">
        <f aca="false">IF($F782="","",IF($F782&lt;1,ROUND($F782*1440,0),INT($F782/100)*60+MOD($F782,100)))</f>
        <v/>
      </c>
    </row>
    <row r="783" customFormat="false" ht="15" hidden="false" customHeight="true" outlineLevel="0" collapsed="false">
      <c r="A783" s="10"/>
      <c r="B783" s="8"/>
      <c r="C783" s="13" t="str">
        <f aca="false">IF($B783="","",IFERROR(INDEX(직원목록!$B$3:$B$302,MATCH($B783,직원목록!$A$3:$A$302,0)),"미등록사번"))</f>
        <v/>
      </c>
      <c r="D783" s="13" t="str">
        <f aca="false">IF($B783="","",IFERROR(INDEX(직원목록!$C$3:$C$302,MATCH($B783,직원목록!$A$3:$A$302,0)),""))</f>
        <v/>
      </c>
      <c r="E783" s="14"/>
      <c r="F783" s="14"/>
      <c r="G783" s="15"/>
      <c r="H783" s="16" t="str">
        <f aca="false">IF(OR($K783="",$L783=""),"",ROUND(MAX(0,($L783-$K783)-IF($G783="",0,$G783))/60,2))</f>
        <v/>
      </c>
      <c r="I783" s="8"/>
      <c r="J783" s="8"/>
      <c r="K783" s="17" t="str">
        <f aca="false">IF($E783="","",IF($E783&lt;1,ROUND($E783*1440,0),INT($E783/100)*60+MOD($E783,100)))</f>
        <v/>
      </c>
      <c r="L783" s="17" t="str">
        <f aca="false">IF($F783="","",IF($F783&lt;1,ROUND($F783*1440,0),INT($F783/100)*60+MOD($F783,100)))</f>
        <v/>
      </c>
    </row>
    <row r="784" customFormat="false" ht="15" hidden="false" customHeight="true" outlineLevel="0" collapsed="false">
      <c r="A784" s="10"/>
      <c r="B784" s="8"/>
      <c r="C784" s="13" t="str">
        <f aca="false">IF($B784="","",IFERROR(INDEX(직원목록!$B$3:$B$302,MATCH($B784,직원목록!$A$3:$A$302,0)),"미등록사번"))</f>
        <v/>
      </c>
      <c r="D784" s="13" t="str">
        <f aca="false">IF($B784="","",IFERROR(INDEX(직원목록!$C$3:$C$302,MATCH($B784,직원목록!$A$3:$A$302,0)),""))</f>
        <v/>
      </c>
      <c r="E784" s="14"/>
      <c r="F784" s="14"/>
      <c r="G784" s="15"/>
      <c r="H784" s="16" t="str">
        <f aca="false">IF(OR($K784="",$L784=""),"",ROUND(MAX(0,($L784-$K784)-IF($G784="",0,$G784))/60,2))</f>
        <v/>
      </c>
      <c r="I784" s="8"/>
      <c r="J784" s="8"/>
      <c r="K784" s="17" t="str">
        <f aca="false">IF($E784="","",IF($E784&lt;1,ROUND($E784*1440,0),INT($E784/100)*60+MOD($E784,100)))</f>
        <v/>
      </c>
      <c r="L784" s="17" t="str">
        <f aca="false">IF($F784="","",IF($F784&lt;1,ROUND($F784*1440,0),INT($F784/100)*60+MOD($F784,100)))</f>
        <v/>
      </c>
    </row>
    <row r="785" customFormat="false" ht="15" hidden="false" customHeight="true" outlineLevel="0" collapsed="false">
      <c r="A785" s="10"/>
      <c r="B785" s="8"/>
      <c r="C785" s="13" t="str">
        <f aca="false">IF($B785="","",IFERROR(INDEX(직원목록!$B$3:$B$302,MATCH($B785,직원목록!$A$3:$A$302,0)),"미등록사번"))</f>
        <v/>
      </c>
      <c r="D785" s="13" t="str">
        <f aca="false">IF($B785="","",IFERROR(INDEX(직원목록!$C$3:$C$302,MATCH($B785,직원목록!$A$3:$A$302,0)),""))</f>
        <v/>
      </c>
      <c r="E785" s="14"/>
      <c r="F785" s="14"/>
      <c r="G785" s="15"/>
      <c r="H785" s="16" t="str">
        <f aca="false">IF(OR($K785="",$L785=""),"",ROUND(MAX(0,($L785-$K785)-IF($G785="",0,$G785))/60,2))</f>
        <v/>
      </c>
      <c r="I785" s="8"/>
      <c r="J785" s="8"/>
      <c r="K785" s="17" t="str">
        <f aca="false">IF($E785="","",IF($E785&lt;1,ROUND($E785*1440,0),INT($E785/100)*60+MOD($E785,100)))</f>
        <v/>
      </c>
      <c r="L785" s="17" t="str">
        <f aca="false">IF($F785="","",IF($F785&lt;1,ROUND($F785*1440,0),INT($F785/100)*60+MOD($F785,100)))</f>
        <v/>
      </c>
    </row>
    <row r="786" customFormat="false" ht="15" hidden="false" customHeight="true" outlineLevel="0" collapsed="false">
      <c r="A786" s="10"/>
      <c r="B786" s="8"/>
      <c r="C786" s="13" t="str">
        <f aca="false">IF($B786="","",IFERROR(INDEX(직원목록!$B$3:$B$302,MATCH($B786,직원목록!$A$3:$A$302,0)),"미등록사번"))</f>
        <v/>
      </c>
      <c r="D786" s="13" t="str">
        <f aca="false">IF($B786="","",IFERROR(INDEX(직원목록!$C$3:$C$302,MATCH($B786,직원목록!$A$3:$A$302,0)),""))</f>
        <v/>
      </c>
      <c r="E786" s="14"/>
      <c r="F786" s="14"/>
      <c r="G786" s="15"/>
      <c r="H786" s="16" t="str">
        <f aca="false">IF(OR($K786="",$L786=""),"",ROUND(MAX(0,($L786-$K786)-IF($G786="",0,$G786))/60,2))</f>
        <v/>
      </c>
      <c r="I786" s="8"/>
      <c r="J786" s="8"/>
      <c r="K786" s="17" t="str">
        <f aca="false">IF($E786="","",IF($E786&lt;1,ROUND($E786*1440,0),INT($E786/100)*60+MOD($E786,100)))</f>
        <v/>
      </c>
      <c r="L786" s="17" t="str">
        <f aca="false">IF($F786="","",IF($F786&lt;1,ROUND($F786*1440,0),INT($F786/100)*60+MOD($F786,100)))</f>
        <v/>
      </c>
    </row>
    <row r="787" customFormat="false" ht="15" hidden="false" customHeight="true" outlineLevel="0" collapsed="false">
      <c r="A787" s="10"/>
      <c r="B787" s="8"/>
      <c r="C787" s="13" t="str">
        <f aca="false">IF($B787="","",IFERROR(INDEX(직원목록!$B$3:$B$302,MATCH($B787,직원목록!$A$3:$A$302,0)),"미등록사번"))</f>
        <v/>
      </c>
      <c r="D787" s="13" t="str">
        <f aca="false">IF($B787="","",IFERROR(INDEX(직원목록!$C$3:$C$302,MATCH($B787,직원목록!$A$3:$A$302,0)),""))</f>
        <v/>
      </c>
      <c r="E787" s="14"/>
      <c r="F787" s="14"/>
      <c r="G787" s="15"/>
      <c r="H787" s="16" t="str">
        <f aca="false">IF(OR($K787="",$L787=""),"",ROUND(MAX(0,($L787-$K787)-IF($G787="",0,$G787))/60,2))</f>
        <v/>
      </c>
      <c r="I787" s="8"/>
      <c r="J787" s="8"/>
      <c r="K787" s="17" t="str">
        <f aca="false">IF($E787="","",IF($E787&lt;1,ROUND($E787*1440,0),INT($E787/100)*60+MOD($E787,100)))</f>
        <v/>
      </c>
      <c r="L787" s="17" t="str">
        <f aca="false">IF($F787="","",IF($F787&lt;1,ROUND($F787*1440,0),INT($F787/100)*60+MOD($F787,100)))</f>
        <v/>
      </c>
    </row>
    <row r="788" customFormat="false" ht="15" hidden="false" customHeight="true" outlineLevel="0" collapsed="false">
      <c r="A788" s="10"/>
      <c r="B788" s="8"/>
      <c r="C788" s="13" t="str">
        <f aca="false">IF($B788="","",IFERROR(INDEX(직원목록!$B$3:$B$302,MATCH($B788,직원목록!$A$3:$A$302,0)),"미등록사번"))</f>
        <v/>
      </c>
      <c r="D788" s="13" t="str">
        <f aca="false">IF($B788="","",IFERROR(INDEX(직원목록!$C$3:$C$302,MATCH($B788,직원목록!$A$3:$A$302,0)),""))</f>
        <v/>
      </c>
      <c r="E788" s="14"/>
      <c r="F788" s="14"/>
      <c r="G788" s="15"/>
      <c r="H788" s="16" t="str">
        <f aca="false">IF(OR($K788="",$L788=""),"",ROUND(MAX(0,($L788-$K788)-IF($G788="",0,$G788))/60,2))</f>
        <v/>
      </c>
      <c r="I788" s="8"/>
      <c r="J788" s="8"/>
      <c r="K788" s="17" t="str">
        <f aca="false">IF($E788="","",IF($E788&lt;1,ROUND($E788*1440,0),INT($E788/100)*60+MOD($E788,100)))</f>
        <v/>
      </c>
      <c r="L788" s="17" t="str">
        <f aca="false">IF($F788="","",IF($F788&lt;1,ROUND($F788*1440,0),INT($F788/100)*60+MOD($F788,100)))</f>
        <v/>
      </c>
    </row>
    <row r="789" customFormat="false" ht="15" hidden="false" customHeight="true" outlineLevel="0" collapsed="false">
      <c r="A789" s="10"/>
      <c r="B789" s="8"/>
      <c r="C789" s="13" t="str">
        <f aca="false">IF($B789="","",IFERROR(INDEX(직원목록!$B$3:$B$302,MATCH($B789,직원목록!$A$3:$A$302,0)),"미등록사번"))</f>
        <v/>
      </c>
      <c r="D789" s="13" t="str">
        <f aca="false">IF($B789="","",IFERROR(INDEX(직원목록!$C$3:$C$302,MATCH($B789,직원목록!$A$3:$A$302,0)),""))</f>
        <v/>
      </c>
      <c r="E789" s="14"/>
      <c r="F789" s="14"/>
      <c r="G789" s="15"/>
      <c r="H789" s="16" t="str">
        <f aca="false">IF(OR($K789="",$L789=""),"",ROUND(MAX(0,($L789-$K789)-IF($G789="",0,$G789))/60,2))</f>
        <v/>
      </c>
      <c r="I789" s="8"/>
      <c r="J789" s="8"/>
      <c r="K789" s="17" t="str">
        <f aca="false">IF($E789="","",IF($E789&lt;1,ROUND($E789*1440,0),INT($E789/100)*60+MOD($E789,100)))</f>
        <v/>
      </c>
      <c r="L789" s="17" t="str">
        <f aca="false">IF($F789="","",IF($F789&lt;1,ROUND($F789*1440,0),INT($F789/100)*60+MOD($F789,100)))</f>
        <v/>
      </c>
    </row>
    <row r="790" customFormat="false" ht="15" hidden="false" customHeight="true" outlineLevel="0" collapsed="false">
      <c r="A790" s="10"/>
      <c r="B790" s="8"/>
      <c r="C790" s="13" t="str">
        <f aca="false">IF($B790="","",IFERROR(INDEX(직원목록!$B$3:$B$302,MATCH($B790,직원목록!$A$3:$A$302,0)),"미등록사번"))</f>
        <v/>
      </c>
      <c r="D790" s="13" t="str">
        <f aca="false">IF($B790="","",IFERROR(INDEX(직원목록!$C$3:$C$302,MATCH($B790,직원목록!$A$3:$A$302,0)),""))</f>
        <v/>
      </c>
      <c r="E790" s="14"/>
      <c r="F790" s="14"/>
      <c r="G790" s="15"/>
      <c r="H790" s="16" t="str">
        <f aca="false">IF(OR($K790="",$L790=""),"",ROUND(MAX(0,($L790-$K790)-IF($G790="",0,$G790))/60,2))</f>
        <v/>
      </c>
      <c r="I790" s="8"/>
      <c r="J790" s="8"/>
      <c r="K790" s="17" t="str">
        <f aca="false">IF($E790="","",IF($E790&lt;1,ROUND($E790*1440,0),INT($E790/100)*60+MOD($E790,100)))</f>
        <v/>
      </c>
      <c r="L790" s="17" t="str">
        <f aca="false">IF($F790="","",IF($F790&lt;1,ROUND($F790*1440,0),INT($F790/100)*60+MOD($F790,100)))</f>
        <v/>
      </c>
    </row>
    <row r="791" customFormat="false" ht="15" hidden="false" customHeight="true" outlineLevel="0" collapsed="false">
      <c r="A791" s="10"/>
      <c r="B791" s="8"/>
      <c r="C791" s="13" t="str">
        <f aca="false">IF($B791="","",IFERROR(INDEX(직원목록!$B$3:$B$302,MATCH($B791,직원목록!$A$3:$A$302,0)),"미등록사번"))</f>
        <v/>
      </c>
      <c r="D791" s="13" t="str">
        <f aca="false">IF($B791="","",IFERROR(INDEX(직원목록!$C$3:$C$302,MATCH($B791,직원목록!$A$3:$A$302,0)),""))</f>
        <v/>
      </c>
      <c r="E791" s="14"/>
      <c r="F791" s="14"/>
      <c r="G791" s="15"/>
      <c r="H791" s="16" t="str">
        <f aca="false">IF(OR($K791="",$L791=""),"",ROUND(MAX(0,($L791-$K791)-IF($G791="",0,$G791))/60,2))</f>
        <v/>
      </c>
      <c r="I791" s="8"/>
      <c r="J791" s="8"/>
      <c r="K791" s="17" t="str">
        <f aca="false">IF($E791="","",IF($E791&lt;1,ROUND($E791*1440,0),INT($E791/100)*60+MOD($E791,100)))</f>
        <v/>
      </c>
      <c r="L791" s="17" t="str">
        <f aca="false">IF($F791="","",IF($F791&lt;1,ROUND($F791*1440,0),INT($F791/100)*60+MOD($F791,100)))</f>
        <v/>
      </c>
    </row>
    <row r="792" customFormat="false" ht="15" hidden="false" customHeight="true" outlineLevel="0" collapsed="false">
      <c r="A792" s="10"/>
      <c r="B792" s="8"/>
      <c r="C792" s="13" t="str">
        <f aca="false">IF($B792="","",IFERROR(INDEX(직원목록!$B$3:$B$302,MATCH($B792,직원목록!$A$3:$A$302,0)),"미등록사번"))</f>
        <v/>
      </c>
      <c r="D792" s="13" t="str">
        <f aca="false">IF($B792="","",IFERROR(INDEX(직원목록!$C$3:$C$302,MATCH($B792,직원목록!$A$3:$A$302,0)),""))</f>
        <v/>
      </c>
      <c r="E792" s="14"/>
      <c r="F792" s="14"/>
      <c r="G792" s="15"/>
      <c r="H792" s="16" t="str">
        <f aca="false">IF(OR($K792="",$L792=""),"",ROUND(MAX(0,($L792-$K792)-IF($G792="",0,$G792))/60,2))</f>
        <v/>
      </c>
      <c r="I792" s="8"/>
      <c r="J792" s="8"/>
      <c r="K792" s="17" t="str">
        <f aca="false">IF($E792="","",IF($E792&lt;1,ROUND($E792*1440,0),INT($E792/100)*60+MOD($E792,100)))</f>
        <v/>
      </c>
      <c r="L792" s="17" t="str">
        <f aca="false">IF($F792="","",IF($F792&lt;1,ROUND($F792*1440,0),INT($F792/100)*60+MOD($F792,100)))</f>
        <v/>
      </c>
    </row>
    <row r="793" customFormat="false" ht="15" hidden="false" customHeight="true" outlineLevel="0" collapsed="false">
      <c r="A793" s="10"/>
      <c r="B793" s="8"/>
      <c r="C793" s="13" t="str">
        <f aca="false">IF($B793="","",IFERROR(INDEX(직원목록!$B$3:$B$302,MATCH($B793,직원목록!$A$3:$A$302,0)),"미등록사번"))</f>
        <v/>
      </c>
      <c r="D793" s="13" t="str">
        <f aca="false">IF($B793="","",IFERROR(INDEX(직원목록!$C$3:$C$302,MATCH($B793,직원목록!$A$3:$A$302,0)),""))</f>
        <v/>
      </c>
      <c r="E793" s="14"/>
      <c r="F793" s="14"/>
      <c r="G793" s="15"/>
      <c r="H793" s="16" t="str">
        <f aca="false">IF(OR($K793="",$L793=""),"",ROUND(MAX(0,($L793-$K793)-IF($G793="",0,$G793))/60,2))</f>
        <v/>
      </c>
      <c r="I793" s="8"/>
      <c r="J793" s="8"/>
      <c r="K793" s="17" t="str">
        <f aca="false">IF($E793="","",IF($E793&lt;1,ROUND($E793*1440,0),INT($E793/100)*60+MOD($E793,100)))</f>
        <v/>
      </c>
      <c r="L793" s="17" t="str">
        <f aca="false">IF($F793="","",IF($F793&lt;1,ROUND($F793*1440,0),INT($F793/100)*60+MOD($F793,100)))</f>
        <v/>
      </c>
    </row>
    <row r="794" customFormat="false" ht="15" hidden="false" customHeight="true" outlineLevel="0" collapsed="false">
      <c r="A794" s="10"/>
      <c r="B794" s="8"/>
      <c r="C794" s="13" t="str">
        <f aca="false">IF($B794="","",IFERROR(INDEX(직원목록!$B$3:$B$302,MATCH($B794,직원목록!$A$3:$A$302,0)),"미등록사번"))</f>
        <v/>
      </c>
      <c r="D794" s="13" t="str">
        <f aca="false">IF($B794="","",IFERROR(INDEX(직원목록!$C$3:$C$302,MATCH($B794,직원목록!$A$3:$A$302,0)),""))</f>
        <v/>
      </c>
      <c r="E794" s="14"/>
      <c r="F794" s="14"/>
      <c r="G794" s="15"/>
      <c r="H794" s="16" t="str">
        <f aca="false">IF(OR($K794="",$L794=""),"",ROUND(MAX(0,($L794-$K794)-IF($G794="",0,$G794))/60,2))</f>
        <v/>
      </c>
      <c r="I794" s="8"/>
      <c r="J794" s="8"/>
      <c r="K794" s="17" t="str">
        <f aca="false">IF($E794="","",IF($E794&lt;1,ROUND($E794*1440,0),INT($E794/100)*60+MOD($E794,100)))</f>
        <v/>
      </c>
      <c r="L794" s="17" t="str">
        <f aca="false">IF($F794="","",IF($F794&lt;1,ROUND($F794*1440,0),INT($F794/100)*60+MOD($F794,100)))</f>
        <v/>
      </c>
    </row>
    <row r="795" customFormat="false" ht="15" hidden="false" customHeight="true" outlineLevel="0" collapsed="false">
      <c r="A795" s="10"/>
      <c r="B795" s="8"/>
      <c r="C795" s="13" t="str">
        <f aca="false">IF($B795="","",IFERROR(INDEX(직원목록!$B$3:$B$302,MATCH($B795,직원목록!$A$3:$A$302,0)),"미등록사번"))</f>
        <v/>
      </c>
      <c r="D795" s="13" t="str">
        <f aca="false">IF($B795="","",IFERROR(INDEX(직원목록!$C$3:$C$302,MATCH($B795,직원목록!$A$3:$A$302,0)),""))</f>
        <v/>
      </c>
      <c r="E795" s="14"/>
      <c r="F795" s="14"/>
      <c r="G795" s="15"/>
      <c r="H795" s="16" t="str">
        <f aca="false">IF(OR($K795="",$L795=""),"",ROUND(MAX(0,($L795-$K795)-IF($G795="",0,$G795))/60,2))</f>
        <v/>
      </c>
      <c r="I795" s="8"/>
      <c r="J795" s="8"/>
      <c r="K795" s="17" t="str">
        <f aca="false">IF($E795="","",IF($E795&lt;1,ROUND($E795*1440,0),INT($E795/100)*60+MOD($E795,100)))</f>
        <v/>
      </c>
      <c r="L795" s="17" t="str">
        <f aca="false">IF($F795="","",IF($F795&lt;1,ROUND($F795*1440,0),INT($F795/100)*60+MOD($F795,100)))</f>
        <v/>
      </c>
    </row>
    <row r="796" customFormat="false" ht="15" hidden="false" customHeight="true" outlineLevel="0" collapsed="false">
      <c r="A796" s="10"/>
      <c r="B796" s="8"/>
      <c r="C796" s="13" t="str">
        <f aca="false">IF($B796="","",IFERROR(INDEX(직원목록!$B$3:$B$302,MATCH($B796,직원목록!$A$3:$A$302,0)),"미등록사번"))</f>
        <v/>
      </c>
      <c r="D796" s="13" t="str">
        <f aca="false">IF($B796="","",IFERROR(INDEX(직원목록!$C$3:$C$302,MATCH($B796,직원목록!$A$3:$A$302,0)),""))</f>
        <v/>
      </c>
      <c r="E796" s="14"/>
      <c r="F796" s="14"/>
      <c r="G796" s="15"/>
      <c r="H796" s="16" t="str">
        <f aca="false">IF(OR($K796="",$L796=""),"",ROUND(MAX(0,($L796-$K796)-IF($G796="",0,$G796))/60,2))</f>
        <v/>
      </c>
      <c r="I796" s="8"/>
      <c r="J796" s="8"/>
      <c r="K796" s="17" t="str">
        <f aca="false">IF($E796="","",IF($E796&lt;1,ROUND($E796*1440,0),INT($E796/100)*60+MOD($E796,100)))</f>
        <v/>
      </c>
      <c r="L796" s="17" t="str">
        <f aca="false">IF($F796="","",IF($F796&lt;1,ROUND($F796*1440,0),INT($F796/100)*60+MOD($F796,100)))</f>
        <v/>
      </c>
    </row>
    <row r="797" customFormat="false" ht="15" hidden="false" customHeight="true" outlineLevel="0" collapsed="false">
      <c r="A797" s="10"/>
      <c r="B797" s="8"/>
      <c r="C797" s="13" t="str">
        <f aca="false">IF($B797="","",IFERROR(INDEX(직원목록!$B$3:$B$302,MATCH($B797,직원목록!$A$3:$A$302,0)),"미등록사번"))</f>
        <v/>
      </c>
      <c r="D797" s="13" t="str">
        <f aca="false">IF($B797="","",IFERROR(INDEX(직원목록!$C$3:$C$302,MATCH($B797,직원목록!$A$3:$A$302,0)),""))</f>
        <v/>
      </c>
      <c r="E797" s="14"/>
      <c r="F797" s="14"/>
      <c r="G797" s="15"/>
      <c r="H797" s="16" t="str">
        <f aca="false">IF(OR($K797="",$L797=""),"",ROUND(MAX(0,($L797-$K797)-IF($G797="",0,$G797))/60,2))</f>
        <v/>
      </c>
      <c r="I797" s="8"/>
      <c r="J797" s="8"/>
      <c r="K797" s="17" t="str">
        <f aca="false">IF($E797="","",IF($E797&lt;1,ROUND($E797*1440,0),INT($E797/100)*60+MOD($E797,100)))</f>
        <v/>
      </c>
      <c r="L797" s="17" t="str">
        <f aca="false">IF($F797="","",IF($F797&lt;1,ROUND($F797*1440,0),INT($F797/100)*60+MOD($F797,100)))</f>
        <v/>
      </c>
    </row>
    <row r="798" customFormat="false" ht="15" hidden="false" customHeight="true" outlineLevel="0" collapsed="false">
      <c r="A798" s="10"/>
      <c r="B798" s="8"/>
      <c r="C798" s="13" t="str">
        <f aca="false">IF($B798="","",IFERROR(INDEX(직원목록!$B$3:$B$302,MATCH($B798,직원목록!$A$3:$A$302,0)),"미등록사번"))</f>
        <v/>
      </c>
      <c r="D798" s="13" t="str">
        <f aca="false">IF($B798="","",IFERROR(INDEX(직원목록!$C$3:$C$302,MATCH($B798,직원목록!$A$3:$A$302,0)),""))</f>
        <v/>
      </c>
      <c r="E798" s="14"/>
      <c r="F798" s="14"/>
      <c r="G798" s="15"/>
      <c r="H798" s="16" t="str">
        <f aca="false">IF(OR($K798="",$L798=""),"",ROUND(MAX(0,($L798-$K798)-IF($G798="",0,$G798))/60,2))</f>
        <v/>
      </c>
      <c r="I798" s="8"/>
      <c r="J798" s="8"/>
      <c r="K798" s="17" t="str">
        <f aca="false">IF($E798="","",IF($E798&lt;1,ROUND($E798*1440,0),INT($E798/100)*60+MOD($E798,100)))</f>
        <v/>
      </c>
      <c r="L798" s="17" t="str">
        <f aca="false">IF($F798="","",IF($F798&lt;1,ROUND($F798*1440,0),INT($F798/100)*60+MOD($F798,100)))</f>
        <v/>
      </c>
    </row>
    <row r="799" customFormat="false" ht="15" hidden="false" customHeight="true" outlineLevel="0" collapsed="false">
      <c r="A799" s="10"/>
      <c r="B799" s="8"/>
      <c r="C799" s="13" t="str">
        <f aca="false">IF($B799="","",IFERROR(INDEX(직원목록!$B$3:$B$302,MATCH($B799,직원목록!$A$3:$A$302,0)),"미등록사번"))</f>
        <v/>
      </c>
      <c r="D799" s="13" t="str">
        <f aca="false">IF($B799="","",IFERROR(INDEX(직원목록!$C$3:$C$302,MATCH($B799,직원목록!$A$3:$A$302,0)),""))</f>
        <v/>
      </c>
      <c r="E799" s="14"/>
      <c r="F799" s="14"/>
      <c r="G799" s="15"/>
      <c r="H799" s="16" t="str">
        <f aca="false">IF(OR($K799="",$L799=""),"",ROUND(MAX(0,($L799-$K799)-IF($G799="",0,$G799))/60,2))</f>
        <v/>
      </c>
      <c r="I799" s="8"/>
      <c r="J799" s="8"/>
      <c r="K799" s="17" t="str">
        <f aca="false">IF($E799="","",IF($E799&lt;1,ROUND($E799*1440,0),INT($E799/100)*60+MOD($E799,100)))</f>
        <v/>
      </c>
      <c r="L799" s="17" t="str">
        <f aca="false">IF($F799="","",IF($F799&lt;1,ROUND($F799*1440,0),INT($F799/100)*60+MOD($F799,100)))</f>
        <v/>
      </c>
    </row>
    <row r="800" customFormat="false" ht="15" hidden="false" customHeight="true" outlineLevel="0" collapsed="false">
      <c r="A800" s="10"/>
      <c r="B800" s="8"/>
      <c r="C800" s="13" t="str">
        <f aca="false">IF($B800="","",IFERROR(INDEX(직원목록!$B$3:$B$302,MATCH($B800,직원목록!$A$3:$A$302,0)),"미등록사번"))</f>
        <v/>
      </c>
      <c r="D800" s="13" t="str">
        <f aca="false">IF($B800="","",IFERROR(INDEX(직원목록!$C$3:$C$302,MATCH($B800,직원목록!$A$3:$A$302,0)),""))</f>
        <v/>
      </c>
      <c r="E800" s="14"/>
      <c r="F800" s="14"/>
      <c r="G800" s="15"/>
      <c r="H800" s="16" t="str">
        <f aca="false">IF(OR($K800="",$L800=""),"",ROUND(MAX(0,($L800-$K800)-IF($G800="",0,$G800))/60,2))</f>
        <v/>
      </c>
      <c r="I800" s="8"/>
      <c r="J800" s="8"/>
      <c r="K800" s="17" t="str">
        <f aca="false">IF($E800="","",IF($E800&lt;1,ROUND($E800*1440,0),INT($E800/100)*60+MOD($E800,100)))</f>
        <v/>
      </c>
      <c r="L800" s="17" t="str">
        <f aca="false">IF($F800="","",IF($F800&lt;1,ROUND($F800*1440,0),INT($F800/100)*60+MOD($F800,100)))</f>
        <v/>
      </c>
    </row>
    <row r="801" customFormat="false" ht="15" hidden="false" customHeight="true" outlineLevel="0" collapsed="false">
      <c r="A801" s="10"/>
      <c r="B801" s="8"/>
      <c r="C801" s="13" t="str">
        <f aca="false">IF($B801="","",IFERROR(INDEX(직원목록!$B$3:$B$302,MATCH($B801,직원목록!$A$3:$A$302,0)),"미등록사번"))</f>
        <v/>
      </c>
      <c r="D801" s="13" t="str">
        <f aca="false">IF($B801="","",IFERROR(INDEX(직원목록!$C$3:$C$302,MATCH($B801,직원목록!$A$3:$A$302,0)),""))</f>
        <v/>
      </c>
      <c r="E801" s="14"/>
      <c r="F801" s="14"/>
      <c r="G801" s="15"/>
      <c r="H801" s="16" t="str">
        <f aca="false">IF(OR($K801="",$L801=""),"",ROUND(MAX(0,($L801-$K801)-IF($G801="",0,$G801))/60,2))</f>
        <v/>
      </c>
      <c r="I801" s="8"/>
      <c r="J801" s="8"/>
      <c r="K801" s="17" t="str">
        <f aca="false">IF($E801="","",IF($E801&lt;1,ROUND($E801*1440,0),INT($E801/100)*60+MOD($E801,100)))</f>
        <v/>
      </c>
      <c r="L801" s="17" t="str">
        <f aca="false">IF($F801="","",IF($F801&lt;1,ROUND($F801*1440,0),INT($F801/100)*60+MOD($F801,100)))</f>
        <v/>
      </c>
    </row>
    <row r="802" customFormat="false" ht="15" hidden="false" customHeight="true" outlineLevel="0" collapsed="false">
      <c r="A802" s="10"/>
      <c r="B802" s="8"/>
      <c r="C802" s="13" t="str">
        <f aca="false">IF($B802="","",IFERROR(INDEX(직원목록!$B$3:$B$302,MATCH($B802,직원목록!$A$3:$A$302,0)),"미등록사번"))</f>
        <v/>
      </c>
      <c r="D802" s="13" t="str">
        <f aca="false">IF($B802="","",IFERROR(INDEX(직원목록!$C$3:$C$302,MATCH($B802,직원목록!$A$3:$A$302,0)),""))</f>
        <v/>
      </c>
      <c r="E802" s="14"/>
      <c r="F802" s="14"/>
      <c r="G802" s="15"/>
      <c r="H802" s="16" t="str">
        <f aca="false">IF(OR($K802="",$L802=""),"",ROUND(MAX(0,($L802-$K802)-IF($G802="",0,$G802))/60,2))</f>
        <v/>
      </c>
      <c r="I802" s="8"/>
      <c r="J802" s="8"/>
      <c r="K802" s="17" t="str">
        <f aca="false">IF($E802="","",IF($E802&lt;1,ROUND($E802*1440,0),INT($E802/100)*60+MOD($E802,100)))</f>
        <v/>
      </c>
      <c r="L802" s="17" t="str">
        <f aca="false">IF($F802="","",IF($F802&lt;1,ROUND($F802*1440,0),INT($F802/100)*60+MOD($F802,100)))</f>
        <v/>
      </c>
    </row>
    <row r="803" customFormat="false" ht="15" hidden="false" customHeight="true" outlineLevel="0" collapsed="false">
      <c r="A803" s="10"/>
      <c r="B803" s="8"/>
      <c r="C803" s="13" t="str">
        <f aca="false">IF($B803="","",IFERROR(INDEX(직원목록!$B$3:$B$302,MATCH($B803,직원목록!$A$3:$A$302,0)),"미등록사번"))</f>
        <v/>
      </c>
      <c r="D803" s="13" t="str">
        <f aca="false">IF($B803="","",IFERROR(INDEX(직원목록!$C$3:$C$302,MATCH($B803,직원목록!$A$3:$A$302,0)),""))</f>
        <v/>
      </c>
      <c r="E803" s="14"/>
      <c r="F803" s="14"/>
      <c r="G803" s="15"/>
      <c r="H803" s="16" t="str">
        <f aca="false">IF(OR($K803="",$L803=""),"",ROUND(MAX(0,($L803-$K803)-IF($G803="",0,$G803))/60,2))</f>
        <v/>
      </c>
      <c r="I803" s="8"/>
      <c r="J803" s="8"/>
      <c r="K803" s="17" t="str">
        <f aca="false">IF($E803="","",IF($E803&lt;1,ROUND($E803*1440,0),INT($E803/100)*60+MOD($E803,100)))</f>
        <v/>
      </c>
      <c r="L803" s="17" t="str">
        <f aca="false">IF($F803="","",IF($F803&lt;1,ROUND($F803*1440,0),INT($F803/100)*60+MOD($F803,100)))</f>
        <v/>
      </c>
    </row>
    <row r="804" customFormat="false" ht="15" hidden="false" customHeight="true" outlineLevel="0" collapsed="false">
      <c r="A804" s="10"/>
      <c r="B804" s="8"/>
      <c r="C804" s="13" t="str">
        <f aca="false">IF($B804="","",IFERROR(INDEX(직원목록!$B$3:$B$302,MATCH($B804,직원목록!$A$3:$A$302,0)),"미등록사번"))</f>
        <v/>
      </c>
      <c r="D804" s="13" t="str">
        <f aca="false">IF($B804="","",IFERROR(INDEX(직원목록!$C$3:$C$302,MATCH($B804,직원목록!$A$3:$A$302,0)),""))</f>
        <v/>
      </c>
      <c r="E804" s="14"/>
      <c r="F804" s="14"/>
      <c r="G804" s="15"/>
      <c r="H804" s="16" t="str">
        <f aca="false">IF(OR($K804="",$L804=""),"",ROUND(MAX(0,($L804-$K804)-IF($G804="",0,$G804))/60,2))</f>
        <v/>
      </c>
      <c r="I804" s="8"/>
      <c r="J804" s="8"/>
      <c r="K804" s="17" t="str">
        <f aca="false">IF($E804="","",IF($E804&lt;1,ROUND($E804*1440,0),INT($E804/100)*60+MOD($E804,100)))</f>
        <v/>
      </c>
      <c r="L804" s="17" t="str">
        <f aca="false">IF($F804="","",IF($F804&lt;1,ROUND($F804*1440,0),INT($F804/100)*60+MOD($F804,100)))</f>
        <v/>
      </c>
    </row>
    <row r="805" customFormat="false" ht="15" hidden="false" customHeight="true" outlineLevel="0" collapsed="false">
      <c r="A805" s="10"/>
      <c r="B805" s="8"/>
      <c r="C805" s="13" t="str">
        <f aca="false">IF($B805="","",IFERROR(INDEX(직원목록!$B$3:$B$302,MATCH($B805,직원목록!$A$3:$A$302,0)),"미등록사번"))</f>
        <v/>
      </c>
      <c r="D805" s="13" t="str">
        <f aca="false">IF($B805="","",IFERROR(INDEX(직원목록!$C$3:$C$302,MATCH($B805,직원목록!$A$3:$A$302,0)),""))</f>
        <v/>
      </c>
      <c r="E805" s="14"/>
      <c r="F805" s="14"/>
      <c r="G805" s="15"/>
      <c r="H805" s="16" t="str">
        <f aca="false">IF(OR($K805="",$L805=""),"",ROUND(MAX(0,($L805-$K805)-IF($G805="",0,$G805))/60,2))</f>
        <v/>
      </c>
      <c r="I805" s="8"/>
      <c r="J805" s="8"/>
      <c r="K805" s="17" t="str">
        <f aca="false">IF($E805="","",IF($E805&lt;1,ROUND($E805*1440,0),INT($E805/100)*60+MOD($E805,100)))</f>
        <v/>
      </c>
      <c r="L805" s="17" t="str">
        <f aca="false">IF($F805="","",IF($F805&lt;1,ROUND($F805*1440,0),INT($F805/100)*60+MOD($F805,100)))</f>
        <v/>
      </c>
    </row>
    <row r="806" customFormat="false" ht="15" hidden="false" customHeight="true" outlineLevel="0" collapsed="false">
      <c r="A806" s="10"/>
      <c r="B806" s="8"/>
      <c r="C806" s="13" t="str">
        <f aca="false">IF($B806="","",IFERROR(INDEX(직원목록!$B$3:$B$302,MATCH($B806,직원목록!$A$3:$A$302,0)),"미등록사번"))</f>
        <v/>
      </c>
      <c r="D806" s="13" t="str">
        <f aca="false">IF($B806="","",IFERROR(INDEX(직원목록!$C$3:$C$302,MATCH($B806,직원목록!$A$3:$A$302,0)),""))</f>
        <v/>
      </c>
      <c r="E806" s="14"/>
      <c r="F806" s="14"/>
      <c r="G806" s="15"/>
      <c r="H806" s="16" t="str">
        <f aca="false">IF(OR($K806="",$L806=""),"",ROUND(MAX(0,($L806-$K806)-IF($G806="",0,$G806))/60,2))</f>
        <v/>
      </c>
      <c r="I806" s="8"/>
      <c r="J806" s="8"/>
      <c r="K806" s="17" t="str">
        <f aca="false">IF($E806="","",IF($E806&lt;1,ROUND($E806*1440,0),INT($E806/100)*60+MOD($E806,100)))</f>
        <v/>
      </c>
      <c r="L806" s="17" t="str">
        <f aca="false">IF($F806="","",IF($F806&lt;1,ROUND($F806*1440,0),INT($F806/100)*60+MOD($F806,100)))</f>
        <v/>
      </c>
    </row>
    <row r="807" customFormat="false" ht="15" hidden="false" customHeight="true" outlineLevel="0" collapsed="false">
      <c r="A807" s="10"/>
      <c r="B807" s="8"/>
      <c r="C807" s="13" t="str">
        <f aca="false">IF($B807="","",IFERROR(INDEX(직원목록!$B$3:$B$302,MATCH($B807,직원목록!$A$3:$A$302,0)),"미등록사번"))</f>
        <v/>
      </c>
      <c r="D807" s="13" t="str">
        <f aca="false">IF($B807="","",IFERROR(INDEX(직원목록!$C$3:$C$302,MATCH($B807,직원목록!$A$3:$A$302,0)),""))</f>
        <v/>
      </c>
      <c r="E807" s="14"/>
      <c r="F807" s="14"/>
      <c r="G807" s="15"/>
      <c r="H807" s="16" t="str">
        <f aca="false">IF(OR($K807="",$L807=""),"",ROUND(MAX(0,($L807-$K807)-IF($G807="",0,$G807))/60,2))</f>
        <v/>
      </c>
      <c r="I807" s="8"/>
      <c r="J807" s="8"/>
      <c r="K807" s="17" t="str">
        <f aca="false">IF($E807="","",IF($E807&lt;1,ROUND($E807*1440,0),INT($E807/100)*60+MOD($E807,100)))</f>
        <v/>
      </c>
      <c r="L807" s="17" t="str">
        <f aca="false">IF($F807="","",IF($F807&lt;1,ROUND($F807*1440,0),INT($F807/100)*60+MOD($F807,100)))</f>
        <v/>
      </c>
    </row>
    <row r="808" customFormat="false" ht="15" hidden="false" customHeight="true" outlineLevel="0" collapsed="false">
      <c r="A808" s="10"/>
      <c r="B808" s="8"/>
      <c r="C808" s="13" t="str">
        <f aca="false">IF($B808="","",IFERROR(INDEX(직원목록!$B$3:$B$302,MATCH($B808,직원목록!$A$3:$A$302,0)),"미등록사번"))</f>
        <v/>
      </c>
      <c r="D808" s="13" t="str">
        <f aca="false">IF($B808="","",IFERROR(INDEX(직원목록!$C$3:$C$302,MATCH($B808,직원목록!$A$3:$A$302,0)),""))</f>
        <v/>
      </c>
      <c r="E808" s="14"/>
      <c r="F808" s="14"/>
      <c r="G808" s="15"/>
      <c r="H808" s="16" t="str">
        <f aca="false">IF(OR($K808="",$L808=""),"",ROUND(MAX(0,($L808-$K808)-IF($G808="",0,$G808))/60,2))</f>
        <v/>
      </c>
      <c r="I808" s="8"/>
      <c r="J808" s="8"/>
      <c r="K808" s="17" t="str">
        <f aca="false">IF($E808="","",IF($E808&lt;1,ROUND($E808*1440,0),INT($E808/100)*60+MOD($E808,100)))</f>
        <v/>
      </c>
      <c r="L808" s="17" t="str">
        <f aca="false">IF($F808="","",IF($F808&lt;1,ROUND($F808*1440,0),INT($F808/100)*60+MOD($F808,100)))</f>
        <v/>
      </c>
    </row>
    <row r="809" customFormat="false" ht="15" hidden="false" customHeight="true" outlineLevel="0" collapsed="false">
      <c r="A809" s="10"/>
      <c r="B809" s="8"/>
      <c r="C809" s="13" t="str">
        <f aca="false">IF($B809="","",IFERROR(INDEX(직원목록!$B$3:$B$302,MATCH($B809,직원목록!$A$3:$A$302,0)),"미등록사번"))</f>
        <v/>
      </c>
      <c r="D809" s="13" t="str">
        <f aca="false">IF($B809="","",IFERROR(INDEX(직원목록!$C$3:$C$302,MATCH($B809,직원목록!$A$3:$A$302,0)),""))</f>
        <v/>
      </c>
      <c r="E809" s="14"/>
      <c r="F809" s="14"/>
      <c r="G809" s="15"/>
      <c r="H809" s="16" t="str">
        <f aca="false">IF(OR($K809="",$L809=""),"",ROUND(MAX(0,($L809-$K809)-IF($G809="",0,$G809))/60,2))</f>
        <v/>
      </c>
      <c r="I809" s="8"/>
      <c r="J809" s="8"/>
      <c r="K809" s="17" t="str">
        <f aca="false">IF($E809="","",IF($E809&lt;1,ROUND($E809*1440,0),INT($E809/100)*60+MOD($E809,100)))</f>
        <v/>
      </c>
      <c r="L809" s="17" t="str">
        <f aca="false">IF($F809="","",IF($F809&lt;1,ROUND($F809*1440,0),INT($F809/100)*60+MOD($F809,100)))</f>
        <v/>
      </c>
    </row>
    <row r="810" customFormat="false" ht="15" hidden="false" customHeight="true" outlineLevel="0" collapsed="false">
      <c r="A810" s="10"/>
      <c r="B810" s="8"/>
      <c r="C810" s="13" t="str">
        <f aca="false">IF($B810="","",IFERROR(INDEX(직원목록!$B$3:$B$302,MATCH($B810,직원목록!$A$3:$A$302,0)),"미등록사번"))</f>
        <v/>
      </c>
      <c r="D810" s="13" t="str">
        <f aca="false">IF($B810="","",IFERROR(INDEX(직원목록!$C$3:$C$302,MATCH($B810,직원목록!$A$3:$A$302,0)),""))</f>
        <v/>
      </c>
      <c r="E810" s="14"/>
      <c r="F810" s="14"/>
      <c r="G810" s="15"/>
      <c r="H810" s="16" t="str">
        <f aca="false">IF(OR($K810="",$L810=""),"",ROUND(MAX(0,($L810-$K810)-IF($G810="",0,$G810))/60,2))</f>
        <v/>
      </c>
      <c r="I810" s="8"/>
      <c r="J810" s="8"/>
      <c r="K810" s="17" t="str">
        <f aca="false">IF($E810="","",IF($E810&lt;1,ROUND($E810*1440,0),INT($E810/100)*60+MOD($E810,100)))</f>
        <v/>
      </c>
      <c r="L810" s="17" t="str">
        <f aca="false">IF($F810="","",IF($F810&lt;1,ROUND($F810*1440,0),INT($F810/100)*60+MOD($F810,100)))</f>
        <v/>
      </c>
    </row>
    <row r="811" customFormat="false" ht="15" hidden="false" customHeight="true" outlineLevel="0" collapsed="false">
      <c r="A811" s="10"/>
      <c r="B811" s="8"/>
      <c r="C811" s="13" t="str">
        <f aca="false">IF($B811="","",IFERROR(INDEX(직원목록!$B$3:$B$302,MATCH($B811,직원목록!$A$3:$A$302,0)),"미등록사번"))</f>
        <v/>
      </c>
      <c r="D811" s="13" t="str">
        <f aca="false">IF($B811="","",IFERROR(INDEX(직원목록!$C$3:$C$302,MATCH($B811,직원목록!$A$3:$A$302,0)),""))</f>
        <v/>
      </c>
      <c r="E811" s="14"/>
      <c r="F811" s="14"/>
      <c r="G811" s="15"/>
      <c r="H811" s="16" t="str">
        <f aca="false">IF(OR($K811="",$L811=""),"",ROUND(MAX(0,($L811-$K811)-IF($G811="",0,$G811))/60,2))</f>
        <v/>
      </c>
      <c r="I811" s="8"/>
      <c r="J811" s="8"/>
      <c r="K811" s="17" t="str">
        <f aca="false">IF($E811="","",IF($E811&lt;1,ROUND($E811*1440,0),INT($E811/100)*60+MOD($E811,100)))</f>
        <v/>
      </c>
      <c r="L811" s="17" t="str">
        <f aca="false">IF($F811="","",IF($F811&lt;1,ROUND($F811*1440,0),INT($F811/100)*60+MOD($F811,100)))</f>
        <v/>
      </c>
    </row>
    <row r="812" customFormat="false" ht="15" hidden="false" customHeight="true" outlineLevel="0" collapsed="false">
      <c r="A812" s="10"/>
      <c r="B812" s="8"/>
      <c r="C812" s="13" t="str">
        <f aca="false">IF($B812="","",IFERROR(INDEX(직원목록!$B$3:$B$302,MATCH($B812,직원목록!$A$3:$A$302,0)),"미등록사번"))</f>
        <v/>
      </c>
      <c r="D812" s="13" t="str">
        <f aca="false">IF($B812="","",IFERROR(INDEX(직원목록!$C$3:$C$302,MATCH($B812,직원목록!$A$3:$A$302,0)),""))</f>
        <v/>
      </c>
      <c r="E812" s="14"/>
      <c r="F812" s="14"/>
      <c r="G812" s="15"/>
      <c r="H812" s="16" t="str">
        <f aca="false">IF(OR($K812="",$L812=""),"",ROUND(MAX(0,($L812-$K812)-IF($G812="",0,$G812))/60,2))</f>
        <v/>
      </c>
      <c r="I812" s="8"/>
      <c r="J812" s="8"/>
      <c r="K812" s="17" t="str">
        <f aca="false">IF($E812="","",IF($E812&lt;1,ROUND($E812*1440,0),INT($E812/100)*60+MOD($E812,100)))</f>
        <v/>
      </c>
      <c r="L812" s="17" t="str">
        <f aca="false">IF($F812="","",IF($F812&lt;1,ROUND($F812*1440,0),INT($F812/100)*60+MOD($F812,100)))</f>
        <v/>
      </c>
    </row>
    <row r="813" customFormat="false" ht="15" hidden="false" customHeight="true" outlineLevel="0" collapsed="false">
      <c r="A813" s="10"/>
      <c r="B813" s="8"/>
      <c r="C813" s="13" t="str">
        <f aca="false">IF($B813="","",IFERROR(INDEX(직원목록!$B$3:$B$302,MATCH($B813,직원목록!$A$3:$A$302,0)),"미등록사번"))</f>
        <v/>
      </c>
      <c r="D813" s="13" t="str">
        <f aca="false">IF($B813="","",IFERROR(INDEX(직원목록!$C$3:$C$302,MATCH($B813,직원목록!$A$3:$A$302,0)),""))</f>
        <v/>
      </c>
      <c r="E813" s="14"/>
      <c r="F813" s="14"/>
      <c r="G813" s="15"/>
      <c r="H813" s="16" t="str">
        <f aca="false">IF(OR($K813="",$L813=""),"",ROUND(MAX(0,($L813-$K813)-IF($G813="",0,$G813))/60,2))</f>
        <v/>
      </c>
      <c r="I813" s="8"/>
      <c r="J813" s="8"/>
      <c r="K813" s="17" t="str">
        <f aca="false">IF($E813="","",IF($E813&lt;1,ROUND($E813*1440,0),INT($E813/100)*60+MOD($E813,100)))</f>
        <v/>
      </c>
      <c r="L813" s="17" t="str">
        <f aca="false">IF($F813="","",IF($F813&lt;1,ROUND($F813*1440,0),INT($F813/100)*60+MOD($F813,100)))</f>
        <v/>
      </c>
    </row>
    <row r="814" customFormat="false" ht="15" hidden="false" customHeight="true" outlineLevel="0" collapsed="false">
      <c r="A814" s="10"/>
      <c r="B814" s="8"/>
      <c r="C814" s="13" t="str">
        <f aca="false">IF($B814="","",IFERROR(INDEX(직원목록!$B$3:$B$302,MATCH($B814,직원목록!$A$3:$A$302,0)),"미등록사번"))</f>
        <v/>
      </c>
      <c r="D814" s="13" t="str">
        <f aca="false">IF($B814="","",IFERROR(INDEX(직원목록!$C$3:$C$302,MATCH($B814,직원목록!$A$3:$A$302,0)),""))</f>
        <v/>
      </c>
      <c r="E814" s="14"/>
      <c r="F814" s="14"/>
      <c r="G814" s="15"/>
      <c r="H814" s="16" t="str">
        <f aca="false">IF(OR($K814="",$L814=""),"",ROUND(MAX(0,($L814-$K814)-IF($G814="",0,$G814))/60,2))</f>
        <v/>
      </c>
      <c r="I814" s="8"/>
      <c r="J814" s="8"/>
      <c r="K814" s="17" t="str">
        <f aca="false">IF($E814="","",IF($E814&lt;1,ROUND($E814*1440,0),INT($E814/100)*60+MOD($E814,100)))</f>
        <v/>
      </c>
      <c r="L814" s="17" t="str">
        <f aca="false">IF($F814="","",IF($F814&lt;1,ROUND($F814*1440,0),INT($F814/100)*60+MOD($F814,100)))</f>
        <v/>
      </c>
    </row>
    <row r="815" customFormat="false" ht="15" hidden="false" customHeight="true" outlineLevel="0" collapsed="false">
      <c r="A815" s="10"/>
      <c r="B815" s="8"/>
      <c r="C815" s="13" t="str">
        <f aca="false">IF($B815="","",IFERROR(INDEX(직원목록!$B$3:$B$302,MATCH($B815,직원목록!$A$3:$A$302,0)),"미등록사번"))</f>
        <v/>
      </c>
      <c r="D815" s="13" t="str">
        <f aca="false">IF($B815="","",IFERROR(INDEX(직원목록!$C$3:$C$302,MATCH($B815,직원목록!$A$3:$A$302,0)),""))</f>
        <v/>
      </c>
      <c r="E815" s="14"/>
      <c r="F815" s="14"/>
      <c r="G815" s="15"/>
      <c r="H815" s="16" t="str">
        <f aca="false">IF(OR($K815="",$L815=""),"",ROUND(MAX(0,($L815-$K815)-IF($G815="",0,$G815))/60,2))</f>
        <v/>
      </c>
      <c r="I815" s="8"/>
      <c r="J815" s="8"/>
      <c r="K815" s="17" t="str">
        <f aca="false">IF($E815="","",IF($E815&lt;1,ROUND($E815*1440,0),INT($E815/100)*60+MOD($E815,100)))</f>
        <v/>
      </c>
      <c r="L815" s="17" t="str">
        <f aca="false">IF($F815="","",IF($F815&lt;1,ROUND($F815*1440,0),INT($F815/100)*60+MOD($F815,100)))</f>
        <v/>
      </c>
    </row>
    <row r="816" customFormat="false" ht="15" hidden="false" customHeight="true" outlineLevel="0" collapsed="false">
      <c r="A816" s="10"/>
      <c r="B816" s="8"/>
      <c r="C816" s="13" t="str">
        <f aca="false">IF($B816="","",IFERROR(INDEX(직원목록!$B$3:$B$302,MATCH($B816,직원목록!$A$3:$A$302,0)),"미등록사번"))</f>
        <v/>
      </c>
      <c r="D816" s="13" t="str">
        <f aca="false">IF($B816="","",IFERROR(INDEX(직원목록!$C$3:$C$302,MATCH($B816,직원목록!$A$3:$A$302,0)),""))</f>
        <v/>
      </c>
      <c r="E816" s="14"/>
      <c r="F816" s="14"/>
      <c r="G816" s="15"/>
      <c r="H816" s="16" t="str">
        <f aca="false">IF(OR($K816="",$L816=""),"",ROUND(MAX(0,($L816-$K816)-IF($G816="",0,$G816))/60,2))</f>
        <v/>
      </c>
      <c r="I816" s="8"/>
      <c r="J816" s="8"/>
      <c r="K816" s="17" t="str">
        <f aca="false">IF($E816="","",IF($E816&lt;1,ROUND($E816*1440,0),INT($E816/100)*60+MOD($E816,100)))</f>
        <v/>
      </c>
      <c r="L816" s="17" t="str">
        <f aca="false">IF($F816="","",IF($F816&lt;1,ROUND($F816*1440,0),INT($F816/100)*60+MOD($F816,100)))</f>
        <v/>
      </c>
    </row>
    <row r="817" customFormat="false" ht="15" hidden="false" customHeight="true" outlineLevel="0" collapsed="false">
      <c r="A817" s="10"/>
      <c r="B817" s="8"/>
      <c r="C817" s="13" t="str">
        <f aca="false">IF($B817="","",IFERROR(INDEX(직원목록!$B$3:$B$302,MATCH($B817,직원목록!$A$3:$A$302,0)),"미등록사번"))</f>
        <v/>
      </c>
      <c r="D817" s="13" t="str">
        <f aca="false">IF($B817="","",IFERROR(INDEX(직원목록!$C$3:$C$302,MATCH($B817,직원목록!$A$3:$A$302,0)),""))</f>
        <v/>
      </c>
      <c r="E817" s="14"/>
      <c r="F817" s="14"/>
      <c r="G817" s="15"/>
      <c r="H817" s="16" t="str">
        <f aca="false">IF(OR($K817="",$L817=""),"",ROUND(MAX(0,($L817-$K817)-IF($G817="",0,$G817))/60,2))</f>
        <v/>
      </c>
      <c r="I817" s="8"/>
      <c r="J817" s="8"/>
      <c r="K817" s="17" t="str">
        <f aca="false">IF($E817="","",IF($E817&lt;1,ROUND($E817*1440,0),INT($E817/100)*60+MOD($E817,100)))</f>
        <v/>
      </c>
      <c r="L817" s="17" t="str">
        <f aca="false">IF($F817="","",IF($F817&lt;1,ROUND($F817*1440,0),INT($F817/100)*60+MOD($F817,100)))</f>
        <v/>
      </c>
    </row>
    <row r="818" customFormat="false" ht="15" hidden="false" customHeight="true" outlineLevel="0" collapsed="false">
      <c r="A818" s="10"/>
      <c r="B818" s="8"/>
      <c r="C818" s="13" t="str">
        <f aca="false">IF($B818="","",IFERROR(INDEX(직원목록!$B$3:$B$302,MATCH($B818,직원목록!$A$3:$A$302,0)),"미등록사번"))</f>
        <v/>
      </c>
      <c r="D818" s="13" t="str">
        <f aca="false">IF($B818="","",IFERROR(INDEX(직원목록!$C$3:$C$302,MATCH($B818,직원목록!$A$3:$A$302,0)),""))</f>
        <v/>
      </c>
      <c r="E818" s="14"/>
      <c r="F818" s="14"/>
      <c r="G818" s="15"/>
      <c r="H818" s="16" t="str">
        <f aca="false">IF(OR($K818="",$L818=""),"",ROUND(MAX(0,($L818-$K818)-IF($G818="",0,$G818))/60,2))</f>
        <v/>
      </c>
      <c r="I818" s="8"/>
      <c r="J818" s="8"/>
      <c r="K818" s="17" t="str">
        <f aca="false">IF($E818="","",IF($E818&lt;1,ROUND($E818*1440,0),INT($E818/100)*60+MOD($E818,100)))</f>
        <v/>
      </c>
      <c r="L818" s="17" t="str">
        <f aca="false">IF($F818="","",IF($F818&lt;1,ROUND($F818*1440,0),INT($F818/100)*60+MOD($F818,100)))</f>
        <v/>
      </c>
    </row>
    <row r="819" customFormat="false" ht="15" hidden="false" customHeight="true" outlineLevel="0" collapsed="false">
      <c r="A819" s="10"/>
      <c r="B819" s="8"/>
      <c r="C819" s="13" t="str">
        <f aca="false">IF($B819="","",IFERROR(INDEX(직원목록!$B$3:$B$302,MATCH($B819,직원목록!$A$3:$A$302,0)),"미등록사번"))</f>
        <v/>
      </c>
      <c r="D819" s="13" t="str">
        <f aca="false">IF($B819="","",IFERROR(INDEX(직원목록!$C$3:$C$302,MATCH($B819,직원목록!$A$3:$A$302,0)),""))</f>
        <v/>
      </c>
      <c r="E819" s="14"/>
      <c r="F819" s="14"/>
      <c r="G819" s="15"/>
      <c r="H819" s="16" t="str">
        <f aca="false">IF(OR($K819="",$L819=""),"",ROUND(MAX(0,($L819-$K819)-IF($G819="",0,$G819))/60,2))</f>
        <v/>
      </c>
      <c r="I819" s="8"/>
      <c r="J819" s="8"/>
      <c r="K819" s="17" t="str">
        <f aca="false">IF($E819="","",IF($E819&lt;1,ROUND($E819*1440,0),INT($E819/100)*60+MOD($E819,100)))</f>
        <v/>
      </c>
      <c r="L819" s="17" t="str">
        <f aca="false">IF($F819="","",IF($F819&lt;1,ROUND($F819*1440,0),INT($F819/100)*60+MOD($F819,100)))</f>
        <v/>
      </c>
    </row>
    <row r="820" customFormat="false" ht="15" hidden="false" customHeight="true" outlineLevel="0" collapsed="false">
      <c r="A820" s="10"/>
      <c r="B820" s="8"/>
      <c r="C820" s="13" t="str">
        <f aca="false">IF($B820="","",IFERROR(INDEX(직원목록!$B$3:$B$302,MATCH($B820,직원목록!$A$3:$A$302,0)),"미등록사번"))</f>
        <v/>
      </c>
      <c r="D820" s="13" t="str">
        <f aca="false">IF($B820="","",IFERROR(INDEX(직원목록!$C$3:$C$302,MATCH($B820,직원목록!$A$3:$A$302,0)),""))</f>
        <v/>
      </c>
      <c r="E820" s="14"/>
      <c r="F820" s="14"/>
      <c r="G820" s="15"/>
      <c r="H820" s="16" t="str">
        <f aca="false">IF(OR($K820="",$L820=""),"",ROUND(MAX(0,($L820-$K820)-IF($G820="",0,$G820))/60,2))</f>
        <v/>
      </c>
      <c r="I820" s="8"/>
      <c r="J820" s="8"/>
      <c r="K820" s="17" t="str">
        <f aca="false">IF($E820="","",IF($E820&lt;1,ROUND($E820*1440,0),INT($E820/100)*60+MOD($E820,100)))</f>
        <v/>
      </c>
      <c r="L820" s="17" t="str">
        <f aca="false">IF($F820="","",IF($F820&lt;1,ROUND($F820*1440,0),INT($F820/100)*60+MOD($F820,100)))</f>
        <v/>
      </c>
    </row>
    <row r="821" customFormat="false" ht="15" hidden="false" customHeight="true" outlineLevel="0" collapsed="false">
      <c r="A821" s="10"/>
      <c r="B821" s="8"/>
      <c r="C821" s="13" t="str">
        <f aca="false">IF($B821="","",IFERROR(INDEX(직원목록!$B$3:$B$302,MATCH($B821,직원목록!$A$3:$A$302,0)),"미등록사번"))</f>
        <v/>
      </c>
      <c r="D821" s="13" t="str">
        <f aca="false">IF($B821="","",IFERROR(INDEX(직원목록!$C$3:$C$302,MATCH($B821,직원목록!$A$3:$A$302,0)),""))</f>
        <v/>
      </c>
      <c r="E821" s="14"/>
      <c r="F821" s="14"/>
      <c r="G821" s="15"/>
      <c r="H821" s="16" t="str">
        <f aca="false">IF(OR($K821="",$L821=""),"",ROUND(MAX(0,($L821-$K821)-IF($G821="",0,$G821))/60,2))</f>
        <v/>
      </c>
      <c r="I821" s="8"/>
      <c r="J821" s="8"/>
      <c r="K821" s="17" t="str">
        <f aca="false">IF($E821="","",IF($E821&lt;1,ROUND($E821*1440,0),INT($E821/100)*60+MOD($E821,100)))</f>
        <v/>
      </c>
      <c r="L821" s="17" t="str">
        <f aca="false">IF($F821="","",IF($F821&lt;1,ROUND($F821*1440,0),INT($F821/100)*60+MOD($F821,100)))</f>
        <v/>
      </c>
    </row>
    <row r="822" customFormat="false" ht="15" hidden="false" customHeight="true" outlineLevel="0" collapsed="false">
      <c r="A822" s="10"/>
      <c r="B822" s="8"/>
      <c r="C822" s="13" t="str">
        <f aca="false">IF($B822="","",IFERROR(INDEX(직원목록!$B$3:$B$302,MATCH($B822,직원목록!$A$3:$A$302,0)),"미등록사번"))</f>
        <v/>
      </c>
      <c r="D822" s="13" t="str">
        <f aca="false">IF($B822="","",IFERROR(INDEX(직원목록!$C$3:$C$302,MATCH($B822,직원목록!$A$3:$A$302,0)),""))</f>
        <v/>
      </c>
      <c r="E822" s="14"/>
      <c r="F822" s="14"/>
      <c r="G822" s="15"/>
      <c r="H822" s="16" t="str">
        <f aca="false">IF(OR($K822="",$L822=""),"",ROUND(MAX(0,($L822-$K822)-IF($G822="",0,$G822))/60,2))</f>
        <v/>
      </c>
      <c r="I822" s="8"/>
      <c r="J822" s="8"/>
      <c r="K822" s="17" t="str">
        <f aca="false">IF($E822="","",IF($E822&lt;1,ROUND($E822*1440,0),INT($E822/100)*60+MOD($E822,100)))</f>
        <v/>
      </c>
      <c r="L822" s="17" t="str">
        <f aca="false">IF($F822="","",IF($F822&lt;1,ROUND($F822*1440,0),INT($F822/100)*60+MOD($F822,100)))</f>
        <v/>
      </c>
    </row>
    <row r="823" customFormat="false" ht="15" hidden="false" customHeight="true" outlineLevel="0" collapsed="false">
      <c r="A823" s="10"/>
      <c r="B823" s="8"/>
      <c r="C823" s="13" t="str">
        <f aca="false">IF($B823="","",IFERROR(INDEX(직원목록!$B$3:$B$302,MATCH($B823,직원목록!$A$3:$A$302,0)),"미등록사번"))</f>
        <v/>
      </c>
      <c r="D823" s="13" t="str">
        <f aca="false">IF($B823="","",IFERROR(INDEX(직원목록!$C$3:$C$302,MATCH($B823,직원목록!$A$3:$A$302,0)),""))</f>
        <v/>
      </c>
      <c r="E823" s="14"/>
      <c r="F823" s="14"/>
      <c r="G823" s="15"/>
      <c r="H823" s="16" t="str">
        <f aca="false">IF(OR($K823="",$L823=""),"",ROUND(MAX(0,($L823-$K823)-IF($G823="",0,$G823))/60,2))</f>
        <v/>
      </c>
      <c r="I823" s="8"/>
      <c r="J823" s="8"/>
      <c r="K823" s="17" t="str">
        <f aca="false">IF($E823="","",IF($E823&lt;1,ROUND($E823*1440,0),INT($E823/100)*60+MOD($E823,100)))</f>
        <v/>
      </c>
      <c r="L823" s="17" t="str">
        <f aca="false">IF($F823="","",IF($F823&lt;1,ROUND($F823*1440,0),INT($F823/100)*60+MOD($F823,100)))</f>
        <v/>
      </c>
    </row>
    <row r="824" customFormat="false" ht="15" hidden="false" customHeight="true" outlineLevel="0" collapsed="false">
      <c r="A824" s="10"/>
      <c r="B824" s="8"/>
      <c r="C824" s="13" t="str">
        <f aca="false">IF($B824="","",IFERROR(INDEX(직원목록!$B$3:$B$302,MATCH($B824,직원목록!$A$3:$A$302,0)),"미등록사번"))</f>
        <v/>
      </c>
      <c r="D824" s="13" t="str">
        <f aca="false">IF($B824="","",IFERROR(INDEX(직원목록!$C$3:$C$302,MATCH($B824,직원목록!$A$3:$A$302,0)),""))</f>
        <v/>
      </c>
      <c r="E824" s="14"/>
      <c r="F824" s="14"/>
      <c r="G824" s="15"/>
      <c r="H824" s="16" t="str">
        <f aca="false">IF(OR($K824="",$L824=""),"",ROUND(MAX(0,($L824-$K824)-IF($G824="",0,$G824))/60,2))</f>
        <v/>
      </c>
      <c r="I824" s="8"/>
      <c r="J824" s="8"/>
      <c r="K824" s="17" t="str">
        <f aca="false">IF($E824="","",IF($E824&lt;1,ROUND($E824*1440,0),INT($E824/100)*60+MOD($E824,100)))</f>
        <v/>
      </c>
      <c r="L824" s="17" t="str">
        <f aca="false">IF($F824="","",IF($F824&lt;1,ROUND($F824*1440,0),INT($F824/100)*60+MOD($F824,100)))</f>
        <v/>
      </c>
    </row>
    <row r="825" customFormat="false" ht="15" hidden="false" customHeight="true" outlineLevel="0" collapsed="false">
      <c r="A825" s="10"/>
      <c r="B825" s="8"/>
      <c r="C825" s="13" t="str">
        <f aca="false">IF($B825="","",IFERROR(INDEX(직원목록!$B$3:$B$302,MATCH($B825,직원목록!$A$3:$A$302,0)),"미등록사번"))</f>
        <v/>
      </c>
      <c r="D825" s="13" t="str">
        <f aca="false">IF($B825="","",IFERROR(INDEX(직원목록!$C$3:$C$302,MATCH($B825,직원목록!$A$3:$A$302,0)),""))</f>
        <v/>
      </c>
      <c r="E825" s="14"/>
      <c r="F825" s="14"/>
      <c r="G825" s="15"/>
      <c r="H825" s="16" t="str">
        <f aca="false">IF(OR($K825="",$L825=""),"",ROUND(MAX(0,($L825-$K825)-IF($G825="",0,$G825))/60,2))</f>
        <v/>
      </c>
      <c r="I825" s="8"/>
      <c r="J825" s="8"/>
      <c r="K825" s="17" t="str">
        <f aca="false">IF($E825="","",IF($E825&lt;1,ROUND($E825*1440,0),INT($E825/100)*60+MOD($E825,100)))</f>
        <v/>
      </c>
      <c r="L825" s="17" t="str">
        <f aca="false">IF($F825="","",IF($F825&lt;1,ROUND($F825*1440,0),INT($F825/100)*60+MOD($F825,100)))</f>
        <v/>
      </c>
    </row>
    <row r="826" customFormat="false" ht="15" hidden="false" customHeight="true" outlineLevel="0" collapsed="false">
      <c r="A826" s="10"/>
      <c r="B826" s="8"/>
      <c r="C826" s="13" t="str">
        <f aca="false">IF($B826="","",IFERROR(INDEX(직원목록!$B$3:$B$302,MATCH($B826,직원목록!$A$3:$A$302,0)),"미등록사번"))</f>
        <v/>
      </c>
      <c r="D826" s="13" t="str">
        <f aca="false">IF($B826="","",IFERROR(INDEX(직원목록!$C$3:$C$302,MATCH($B826,직원목록!$A$3:$A$302,0)),""))</f>
        <v/>
      </c>
      <c r="E826" s="14"/>
      <c r="F826" s="14"/>
      <c r="G826" s="15"/>
      <c r="H826" s="16" t="str">
        <f aca="false">IF(OR($K826="",$L826=""),"",ROUND(MAX(0,($L826-$K826)-IF($G826="",0,$G826))/60,2))</f>
        <v/>
      </c>
      <c r="I826" s="8"/>
      <c r="J826" s="8"/>
      <c r="K826" s="17" t="str">
        <f aca="false">IF($E826="","",IF($E826&lt;1,ROUND($E826*1440,0),INT($E826/100)*60+MOD($E826,100)))</f>
        <v/>
      </c>
      <c r="L826" s="17" t="str">
        <f aca="false">IF($F826="","",IF($F826&lt;1,ROUND($F826*1440,0),INT($F826/100)*60+MOD($F826,100)))</f>
        <v/>
      </c>
    </row>
    <row r="827" customFormat="false" ht="15" hidden="false" customHeight="true" outlineLevel="0" collapsed="false">
      <c r="A827" s="10"/>
      <c r="B827" s="8"/>
      <c r="C827" s="13" t="str">
        <f aca="false">IF($B827="","",IFERROR(INDEX(직원목록!$B$3:$B$302,MATCH($B827,직원목록!$A$3:$A$302,0)),"미등록사번"))</f>
        <v/>
      </c>
      <c r="D827" s="13" t="str">
        <f aca="false">IF($B827="","",IFERROR(INDEX(직원목록!$C$3:$C$302,MATCH($B827,직원목록!$A$3:$A$302,0)),""))</f>
        <v/>
      </c>
      <c r="E827" s="14"/>
      <c r="F827" s="14"/>
      <c r="G827" s="15"/>
      <c r="H827" s="16" t="str">
        <f aca="false">IF(OR($K827="",$L827=""),"",ROUND(MAX(0,($L827-$K827)-IF($G827="",0,$G827))/60,2))</f>
        <v/>
      </c>
      <c r="I827" s="8"/>
      <c r="J827" s="8"/>
      <c r="K827" s="17" t="str">
        <f aca="false">IF($E827="","",IF($E827&lt;1,ROUND($E827*1440,0),INT($E827/100)*60+MOD($E827,100)))</f>
        <v/>
      </c>
      <c r="L827" s="17" t="str">
        <f aca="false">IF($F827="","",IF($F827&lt;1,ROUND($F827*1440,0),INT($F827/100)*60+MOD($F827,100)))</f>
        <v/>
      </c>
    </row>
    <row r="828" customFormat="false" ht="15" hidden="false" customHeight="true" outlineLevel="0" collapsed="false">
      <c r="A828" s="10"/>
      <c r="B828" s="8"/>
      <c r="C828" s="13" t="str">
        <f aca="false">IF($B828="","",IFERROR(INDEX(직원목록!$B$3:$B$302,MATCH($B828,직원목록!$A$3:$A$302,0)),"미등록사번"))</f>
        <v/>
      </c>
      <c r="D828" s="13" t="str">
        <f aca="false">IF($B828="","",IFERROR(INDEX(직원목록!$C$3:$C$302,MATCH($B828,직원목록!$A$3:$A$302,0)),""))</f>
        <v/>
      </c>
      <c r="E828" s="14"/>
      <c r="F828" s="14"/>
      <c r="G828" s="15"/>
      <c r="H828" s="16" t="str">
        <f aca="false">IF(OR($K828="",$L828=""),"",ROUND(MAX(0,($L828-$K828)-IF($G828="",0,$G828))/60,2))</f>
        <v/>
      </c>
      <c r="I828" s="8"/>
      <c r="J828" s="8"/>
      <c r="K828" s="17" t="str">
        <f aca="false">IF($E828="","",IF($E828&lt;1,ROUND($E828*1440,0),INT($E828/100)*60+MOD($E828,100)))</f>
        <v/>
      </c>
      <c r="L828" s="17" t="str">
        <f aca="false">IF($F828="","",IF($F828&lt;1,ROUND($F828*1440,0),INT($F828/100)*60+MOD($F828,100)))</f>
        <v/>
      </c>
    </row>
    <row r="829" customFormat="false" ht="15" hidden="false" customHeight="true" outlineLevel="0" collapsed="false">
      <c r="A829" s="10"/>
      <c r="B829" s="8"/>
      <c r="C829" s="13" t="str">
        <f aca="false">IF($B829="","",IFERROR(INDEX(직원목록!$B$3:$B$302,MATCH($B829,직원목록!$A$3:$A$302,0)),"미등록사번"))</f>
        <v/>
      </c>
      <c r="D829" s="13" t="str">
        <f aca="false">IF($B829="","",IFERROR(INDEX(직원목록!$C$3:$C$302,MATCH($B829,직원목록!$A$3:$A$302,0)),""))</f>
        <v/>
      </c>
      <c r="E829" s="14"/>
      <c r="F829" s="14"/>
      <c r="G829" s="15"/>
      <c r="H829" s="16" t="str">
        <f aca="false">IF(OR($K829="",$L829=""),"",ROUND(MAX(0,($L829-$K829)-IF($G829="",0,$G829))/60,2))</f>
        <v/>
      </c>
      <c r="I829" s="8"/>
      <c r="J829" s="8"/>
      <c r="K829" s="17" t="str">
        <f aca="false">IF($E829="","",IF($E829&lt;1,ROUND($E829*1440,0),INT($E829/100)*60+MOD($E829,100)))</f>
        <v/>
      </c>
      <c r="L829" s="17" t="str">
        <f aca="false">IF($F829="","",IF($F829&lt;1,ROUND($F829*1440,0),INT($F829/100)*60+MOD($F829,100)))</f>
        <v/>
      </c>
    </row>
    <row r="830" customFormat="false" ht="15" hidden="false" customHeight="true" outlineLevel="0" collapsed="false">
      <c r="A830" s="10"/>
      <c r="B830" s="8"/>
      <c r="C830" s="13" t="str">
        <f aca="false">IF($B830="","",IFERROR(INDEX(직원목록!$B$3:$B$302,MATCH($B830,직원목록!$A$3:$A$302,0)),"미등록사번"))</f>
        <v/>
      </c>
      <c r="D830" s="13" t="str">
        <f aca="false">IF($B830="","",IFERROR(INDEX(직원목록!$C$3:$C$302,MATCH($B830,직원목록!$A$3:$A$302,0)),""))</f>
        <v/>
      </c>
      <c r="E830" s="14"/>
      <c r="F830" s="14"/>
      <c r="G830" s="15"/>
      <c r="H830" s="16" t="str">
        <f aca="false">IF(OR($K830="",$L830=""),"",ROUND(MAX(0,($L830-$K830)-IF($G830="",0,$G830))/60,2))</f>
        <v/>
      </c>
      <c r="I830" s="8"/>
      <c r="J830" s="8"/>
      <c r="K830" s="17" t="str">
        <f aca="false">IF($E830="","",IF($E830&lt;1,ROUND($E830*1440,0),INT($E830/100)*60+MOD($E830,100)))</f>
        <v/>
      </c>
      <c r="L830" s="17" t="str">
        <f aca="false">IF($F830="","",IF($F830&lt;1,ROUND($F830*1440,0),INT($F830/100)*60+MOD($F830,100)))</f>
        <v/>
      </c>
    </row>
    <row r="831" customFormat="false" ht="15" hidden="false" customHeight="true" outlineLevel="0" collapsed="false">
      <c r="A831" s="10"/>
      <c r="B831" s="8"/>
      <c r="C831" s="13" t="str">
        <f aca="false">IF($B831="","",IFERROR(INDEX(직원목록!$B$3:$B$302,MATCH($B831,직원목록!$A$3:$A$302,0)),"미등록사번"))</f>
        <v/>
      </c>
      <c r="D831" s="13" t="str">
        <f aca="false">IF($B831="","",IFERROR(INDEX(직원목록!$C$3:$C$302,MATCH($B831,직원목록!$A$3:$A$302,0)),""))</f>
        <v/>
      </c>
      <c r="E831" s="14"/>
      <c r="F831" s="14"/>
      <c r="G831" s="15"/>
      <c r="H831" s="16" t="str">
        <f aca="false">IF(OR($K831="",$L831=""),"",ROUND(MAX(0,($L831-$K831)-IF($G831="",0,$G831))/60,2))</f>
        <v/>
      </c>
      <c r="I831" s="8"/>
      <c r="J831" s="8"/>
      <c r="K831" s="17" t="str">
        <f aca="false">IF($E831="","",IF($E831&lt;1,ROUND($E831*1440,0),INT($E831/100)*60+MOD($E831,100)))</f>
        <v/>
      </c>
      <c r="L831" s="17" t="str">
        <f aca="false">IF($F831="","",IF($F831&lt;1,ROUND($F831*1440,0),INT($F831/100)*60+MOD($F831,100)))</f>
        <v/>
      </c>
    </row>
    <row r="832" customFormat="false" ht="15" hidden="false" customHeight="true" outlineLevel="0" collapsed="false">
      <c r="A832" s="10"/>
      <c r="B832" s="8"/>
      <c r="C832" s="13" t="str">
        <f aca="false">IF($B832="","",IFERROR(INDEX(직원목록!$B$3:$B$302,MATCH($B832,직원목록!$A$3:$A$302,0)),"미등록사번"))</f>
        <v/>
      </c>
      <c r="D832" s="13" t="str">
        <f aca="false">IF($B832="","",IFERROR(INDEX(직원목록!$C$3:$C$302,MATCH($B832,직원목록!$A$3:$A$302,0)),""))</f>
        <v/>
      </c>
      <c r="E832" s="14"/>
      <c r="F832" s="14"/>
      <c r="G832" s="15"/>
      <c r="H832" s="16" t="str">
        <f aca="false">IF(OR($K832="",$L832=""),"",ROUND(MAX(0,($L832-$K832)-IF($G832="",0,$G832))/60,2))</f>
        <v/>
      </c>
      <c r="I832" s="8"/>
      <c r="J832" s="8"/>
      <c r="K832" s="17" t="str">
        <f aca="false">IF($E832="","",IF($E832&lt;1,ROUND($E832*1440,0),INT($E832/100)*60+MOD($E832,100)))</f>
        <v/>
      </c>
      <c r="L832" s="17" t="str">
        <f aca="false">IF($F832="","",IF($F832&lt;1,ROUND($F832*1440,0),INT($F832/100)*60+MOD($F832,100)))</f>
        <v/>
      </c>
    </row>
    <row r="833" customFormat="false" ht="15" hidden="false" customHeight="true" outlineLevel="0" collapsed="false">
      <c r="A833" s="10"/>
      <c r="B833" s="8"/>
      <c r="C833" s="13" t="str">
        <f aca="false">IF($B833="","",IFERROR(INDEX(직원목록!$B$3:$B$302,MATCH($B833,직원목록!$A$3:$A$302,0)),"미등록사번"))</f>
        <v/>
      </c>
      <c r="D833" s="13" t="str">
        <f aca="false">IF($B833="","",IFERROR(INDEX(직원목록!$C$3:$C$302,MATCH($B833,직원목록!$A$3:$A$302,0)),""))</f>
        <v/>
      </c>
      <c r="E833" s="14"/>
      <c r="F833" s="14"/>
      <c r="G833" s="15"/>
      <c r="H833" s="16" t="str">
        <f aca="false">IF(OR($K833="",$L833=""),"",ROUND(MAX(0,($L833-$K833)-IF($G833="",0,$G833))/60,2))</f>
        <v/>
      </c>
      <c r="I833" s="8"/>
      <c r="J833" s="8"/>
      <c r="K833" s="17" t="str">
        <f aca="false">IF($E833="","",IF($E833&lt;1,ROUND($E833*1440,0),INT($E833/100)*60+MOD($E833,100)))</f>
        <v/>
      </c>
      <c r="L833" s="17" t="str">
        <f aca="false">IF($F833="","",IF($F833&lt;1,ROUND($F833*1440,0),INT($F833/100)*60+MOD($F833,100)))</f>
        <v/>
      </c>
    </row>
    <row r="834" customFormat="false" ht="15" hidden="false" customHeight="true" outlineLevel="0" collapsed="false">
      <c r="A834" s="10"/>
      <c r="B834" s="8"/>
      <c r="C834" s="13" t="str">
        <f aca="false">IF($B834="","",IFERROR(INDEX(직원목록!$B$3:$B$302,MATCH($B834,직원목록!$A$3:$A$302,0)),"미등록사번"))</f>
        <v/>
      </c>
      <c r="D834" s="13" t="str">
        <f aca="false">IF($B834="","",IFERROR(INDEX(직원목록!$C$3:$C$302,MATCH($B834,직원목록!$A$3:$A$302,0)),""))</f>
        <v/>
      </c>
      <c r="E834" s="14"/>
      <c r="F834" s="14"/>
      <c r="G834" s="15"/>
      <c r="H834" s="16" t="str">
        <f aca="false">IF(OR($K834="",$L834=""),"",ROUND(MAX(0,($L834-$K834)-IF($G834="",0,$G834))/60,2))</f>
        <v/>
      </c>
      <c r="I834" s="8"/>
      <c r="J834" s="8"/>
      <c r="K834" s="17" t="str">
        <f aca="false">IF($E834="","",IF($E834&lt;1,ROUND($E834*1440,0),INT($E834/100)*60+MOD($E834,100)))</f>
        <v/>
      </c>
      <c r="L834" s="17" t="str">
        <f aca="false">IF($F834="","",IF($F834&lt;1,ROUND($F834*1440,0),INT($F834/100)*60+MOD($F834,100)))</f>
        <v/>
      </c>
    </row>
    <row r="835" customFormat="false" ht="15" hidden="false" customHeight="true" outlineLevel="0" collapsed="false">
      <c r="A835" s="10"/>
      <c r="B835" s="8"/>
      <c r="C835" s="13" t="str">
        <f aca="false">IF($B835="","",IFERROR(INDEX(직원목록!$B$3:$B$302,MATCH($B835,직원목록!$A$3:$A$302,0)),"미등록사번"))</f>
        <v/>
      </c>
      <c r="D835" s="13" t="str">
        <f aca="false">IF($B835="","",IFERROR(INDEX(직원목록!$C$3:$C$302,MATCH($B835,직원목록!$A$3:$A$302,0)),""))</f>
        <v/>
      </c>
      <c r="E835" s="14"/>
      <c r="F835" s="14"/>
      <c r="G835" s="15"/>
      <c r="H835" s="16" t="str">
        <f aca="false">IF(OR($K835="",$L835=""),"",ROUND(MAX(0,($L835-$K835)-IF($G835="",0,$G835))/60,2))</f>
        <v/>
      </c>
      <c r="I835" s="8"/>
      <c r="J835" s="8"/>
      <c r="K835" s="17" t="str">
        <f aca="false">IF($E835="","",IF($E835&lt;1,ROUND($E835*1440,0),INT($E835/100)*60+MOD($E835,100)))</f>
        <v/>
      </c>
      <c r="L835" s="17" t="str">
        <f aca="false">IF($F835="","",IF($F835&lt;1,ROUND($F835*1440,0),INT($F835/100)*60+MOD($F835,100)))</f>
        <v/>
      </c>
    </row>
    <row r="836" customFormat="false" ht="15" hidden="false" customHeight="true" outlineLevel="0" collapsed="false">
      <c r="A836" s="10"/>
      <c r="B836" s="8"/>
      <c r="C836" s="13" t="str">
        <f aca="false">IF($B836="","",IFERROR(INDEX(직원목록!$B$3:$B$302,MATCH($B836,직원목록!$A$3:$A$302,0)),"미등록사번"))</f>
        <v/>
      </c>
      <c r="D836" s="13" t="str">
        <f aca="false">IF($B836="","",IFERROR(INDEX(직원목록!$C$3:$C$302,MATCH($B836,직원목록!$A$3:$A$302,0)),""))</f>
        <v/>
      </c>
      <c r="E836" s="14"/>
      <c r="F836" s="14"/>
      <c r="G836" s="15"/>
      <c r="H836" s="16" t="str">
        <f aca="false">IF(OR($K836="",$L836=""),"",ROUND(MAX(0,($L836-$K836)-IF($G836="",0,$G836))/60,2))</f>
        <v/>
      </c>
      <c r="I836" s="8"/>
      <c r="J836" s="8"/>
      <c r="K836" s="17" t="str">
        <f aca="false">IF($E836="","",IF($E836&lt;1,ROUND($E836*1440,0),INT($E836/100)*60+MOD($E836,100)))</f>
        <v/>
      </c>
      <c r="L836" s="17" t="str">
        <f aca="false">IF($F836="","",IF($F836&lt;1,ROUND($F836*1440,0),INT($F836/100)*60+MOD($F836,100)))</f>
        <v/>
      </c>
    </row>
    <row r="837" customFormat="false" ht="15" hidden="false" customHeight="true" outlineLevel="0" collapsed="false">
      <c r="A837" s="10"/>
      <c r="B837" s="8"/>
      <c r="C837" s="13" t="str">
        <f aca="false">IF($B837="","",IFERROR(INDEX(직원목록!$B$3:$B$302,MATCH($B837,직원목록!$A$3:$A$302,0)),"미등록사번"))</f>
        <v/>
      </c>
      <c r="D837" s="13" t="str">
        <f aca="false">IF($B837="","",IFERROR(INDEX(직원목록!$C$3:$C$302,MATCH($B837,직원목록!$A$3:$A$302,0)),""))</f>
        <v/>
      </c>
      <c r="E837" s="14"/>
      <c r="F837" s="14"/>
      <c r="G837" s="15"/>
      <c r="H837" s="16" t="str">
        <f aca="false">IF(OR($K837="",$L837=""),"",ROUND(MAX(0,($L837-$K837)-IF($G837="",0,$G837))/60,2))</f>
        <v/>
      </c>
      <c r="I837" s="8"/>
      <c r="J837" s="8"/>
      <c r="K837" s="17" t="str">
        <f aca="false">IF($E837="","",IF($E837&lt;1,ROUND($E837*1440,0),INT($E837/100)*60+MOD($E837,100)))</f>
        <v/>
      </c>
      <c r="L837" s="17" t="str">
        <f aca="false">IF($F837="","",IF($F837&lt;1,ROUND($F837*1440,0),INT($F837/100)*60+MOD($F837,100)))</f>
        <v/>
      </c>
    </row>
    <row r="838" customFormat="false" ht="15" hidden="false" customHeight="true" outlineLevel="0" collapsed="false">
      <c r="A838" s="10"/>
      <c r="B838" s="8"/>
      <c r="C838" s="13" t="str">
        <f aca="false">IF($B838="","",IFERROR(INDEX(직원목록!$B$3:$B$302,MATCH($B838,직원목록!$A$3:$A$302,0)),"미등록사번"))</f>
        <v/>
      </c>
      <c r="D838" s="13" t="str">
        <f aca="false">IF($B838="","",IFERROR(INDEX(직원목록!$C$3:$C$302,MATCH($B838,직원목록!$A$3:$A$302,0)),""))</f>
        <v/>
      </c>
      <c r="E838" s="14"/>
      <c r="F838" s="14"/>
      <c r="G838" s="15"/>
      <c r="H838" s="16" t="str">
        <f aca="false">IF(OR($K838="",$L838=""),"",ROUND(MAX(0,($L838-$K838)-IF($G838="",0,$G838))/60,2))</f>
        <v/>
      </c>
      <c r="I838" s="8"/>
      <c r="J838" s="8"/>
      <c r="K838" s="17" t="str">
        <f aca="false">IF($E838="","",IF($E838&lt;1,ROUND($E838*1440,0),INT($E838/100)*60+MOD($E838,100)))</f>
        <v/>
      </c>
      <c r="L838" s="17" t="str">
        <f aca="false">IF($F838="","",IF($F838&lt;1,ROUND($F838*1440,0),INT($F838/100)*60+MOD($F838,100)))</f>
        <v/>
      </c>
    </row>
    <row r="839" customFormat="false" ht="15" hidden="false" customHeight="true" outlineLevel="0" collapsed="false">
      <c r="A839" s="10"/>
      <c r="B839" s="8"/>
      <c r="C839" s="13" t="str">
        <f aca="false">IF($B839="","",IFERROR(INDEX(직원목록!$B$3:$B$302,MATCH($B839,직원목록!$A$3:$A$302,0)),"미등록사번"))</f>
        <v/>
      </c>
      <c r="D839" s="13" t="str">
        <f aca="false">IF($B839="","",IFERROR(INDEX(직원목록!$C$3:$C$302,MATCH($B839,직원목록!$A$3:$A$302,0)),""))</f>
        <v/>
      </c>
      <c r="E839" s="14"/>
      <c r="F839" s="14"/>
      <c r="G839" s="15"/>
      <c r="H839" s="16" t="str">
        <f aca="false">IF(OR($K839="",$L839=""),"",ROUND(MAX(0,($L839-$K839)-IF($G839="",0,$G839))/60,2))</f>
        <v/>
      </c>
      <c r="I839" s="8"/>
      <c r="J839" s="8"/>
      <c r="K839" s="17" t="str">
        <f aca="false">IF($E839="","",IF($E839&lt;1,ROUND($E839*1440,0),INT($E839/100)*60+MOD($E839,100)))</f>
        <v/>
      </c>
      <c r="L839" s="17" t="str">
        <f aca="false">IF($F839="","",IF($F839&lt;1,ROUND($F839*1440,0),INT($F839/100)*60+MOD($F839,100)))</f>
        <v/>
      </c>
    </row>
    <row r="840" customFormat="false" ht="15" hidden="false" customHeight="true" outlineLevel="0" collapsed="false">
      <c r="A840" s="10"/>
      <c r="B840" s="8"/>
      <c r="C840" s="13" t="str">
        <f aca="false">IF($B840="","",IFERROR(INDEX(직원목록!$B$3:$B$302,MATCH($B840,직원목록!$A$3:$A$302,0)),"미등록사번"))</f>
        <v/>
      </c>
      <c r="D840" s="13" t="str">
        <f aca="false">IF($B840="","",IFERROR(INDEX(직원목록!$C$3:$C$302,MATCH($B840,직원목록!$A$3:$A$302,0)),""))</f>
        <v/>
      </c>
      <c r="E840" s="14"/>
      <c r="F840" s="14"/>
      <c r="G840" s="15"/>
      <c r="H840" s="16" t="str">
        <f aca="false">IF(OR($K840="",$L840=""),"",ROUND(MAX(0,($L840-$K840)-IF($G840="",0,$G840))/60,2))</f>
        <v/>
      </c>
      <c r="I840" s="8"/>
      <c r="J840" s="8"/>
      <c r="K840" s="17" t="str">
        <f aca="false">IF($E840="","",IF($E840&lt;1,ROUND($E840*1440,0),INT($E840/100)*60+MOD($E840,100)))</f>
        <v/>
      </c>
      <c r="L840" s="17" t="str">
        <f aca="false">IF($F840="","",IF($F840&lt;1,ROUND($F840*1440,0),INT($F840/100)*60+MOD($F840,100)))</f>
        <v/>
      </c>
    </row>
    <row r="841" customFormat="false" ht="15" hidden="false" customHeight="true" outlineLevel="0" collapsed="false">
      <c r="A841" s="10"/>
      <c r="B841" s="8"/>
      <c r="C841" s="13" t="str">
        <f aca="false">IF($B841="","",IFERROR(INDEX(직원목록!$B$3:$B$302,MATCH($B841,직원목록!$A$3:$A$302,0)),"미등록사번"))</f>
        <v/>
      </c>
      <c r="D841" s="13" t="str">
        <f aca="false">IF($B841="","",IFERROR(INDEX(직원목록!$C$3:$C$302,MATCH($B841,직원목록!$A$3:$A$302,0)),""))</f>
        <v/>
      </c>
      <c r="E841" s="14"/>
      <c r="F841" s="14"/>
      <c r="G841" s="15"/>
      <c r="H841" s="16" t="str">
        <f aca="false">IF(OR($K841="",$L841=""),"",ROUND(MAX(0,($L841-$K841)-IF($G841="",0,$G841))/60,2))</f>
        <v/>
      </c>
      <c r="I841" s="8"/>
      <c r="J841" s="8"/>
      <c r="K841" s="17" t="str">
        <f aca="false">IF($E841="","",IF($E841&lt;1,ROUND($E841*1440,0),INT($E841/100)*60+MOD($E841,100)))</f>
        <v/>
      </c>
      <c r="L841" s="17" t="str">
        <f aca="false">IF($F841="","",IF($F841&lt;1,ROUND($F841*1440,0),INT($F841/100)*60+MOD($F841,100)))</f>
        <v/>
      </c>
    </row>
    <row r="842" customFormat="false" ht="15" hidden="false" customHeight="true" outlineLevel="0" collapsed="false">
      <c r="A842" s="10"/>
      <c r="B842" s="8"/>
      <c r="C842" s="13" t="str">
        <f aca="false">IF($B842="","",IFERROR(INDEX(직원목록!$B$3:$B$302,MATCH($B842,직원목록!$A$3:$A$302,0)),"미등록사번"))</f>
        <v/>
      </c>
      <c r="D842" s="13" t="str">
        <f aca="false">IF($B842="","",IFERROR(INDEX(직원목록!$C$3:$C$302,MATCH($B842,직원목록!$A$3:$A$302,0)),""))</f>
        <v/>
      </c>
      <c r="E842" s="14"/>
      <c r="F842" s="14"/>
      <c r="G842" s="15"/>
      <c r="H842" s="16" t="str">
        <f aca="false">IF(OR($K842="",$L842=""),"",ROUND(MAX(0,($L842-$K842)-IF($G842="",0,$G842))/60,2))</f>
        <v/>
      </c>
      <c r="I842" s="8"/>
      <c r="J842" s="8"/>
      <c r="K842" s="17" t="str">
        <f aca="false">IF($E842="","",IF($E842&lt;1,ROUND($E842*1440,0),INT($E842/100)*60+MOD($E842,100)))</f>
        <v/>
      </c>
      <c r="L842" s="17" t="str">
        <f aca="false">IF($F842="","",IF($F842&lt;1,ROUND($F842*1440,0),INT($F842/100)*60+MOD($F842,100)))</f>
        <v/>
      </c>
    </row>
    <row r="843" customFormat="false" ht="15" hidden="false" customHeight="true" outlineLevel="0" collapsed="false">
      <c r="A843" s="10"/>
      <c r="B843" s="8"/>
      <c r="C843" s="13" t="str">
        <f aca="false">IF($B843="","",IFERROR(INDEX(직원목록!$B$3:$B$302,MATCH($B843,직원목록!$A$3:$A$302,0)),"미등록사번"))</f>
        <v/>
      </c>
      <c r="D843" s="13" t="str">
        <f aca="false">IF($B843="","",IFERROR(INDEX(직원목록!$C$3:$C$302,MATCH($B843,직원목록!$A$3:$A$302,0)),""))</f>
        <v/>
      </c>
      <c r="E843" s="14"/>
      <c r="F843" s="14"/>
      <c r="G843" s="15"/>
      <c r="H843" s="16" t="str">
        <f aca="false">IF(OR($K843="",$L843=""),"",ROUND(MAX(0,($L843-$K843)-IF($G843="",0,$G843))/60,2))</f>
        <v/>
      </c>
      <c r="I843" s="8"/>
      <c r="J843" s="8"/>
      <c r="K843" s="17" t="str">
        <f aca="false">IF($E843="","",IF($E843&lt;1,ROUND($E843*1440,0),INT($E843/100)*60+MOD($E843,100)))</f>
        <v/>
      </c>
      <c r="L843" s="17" t="str">
        <f aca="false">IF($F843="","",IF($F843&lt;1,ROUND($F843*1440,0),INT($F843/100)*60+MOD($F843,100)))</f>
        <v/>
      </c>
    </row>
    <row r="844" customFormat="false" ht="15" hidden="false" customHeight="true" outlineLevel="0" collapsed="false">
      <c r="A844" s="10"/>
      <c r="B844" s="8"/>
      <c r="C844" s="13" t="str">
        <f aca="false">IF($B844="","",IFERROR(INDEX(직원목록!$B$3:$B$302,MATCH($B844,직원목록!$A$3:$A$302,0)),"미등록사번"))</f>
        <v/>
      </c>
      <c r="D844" s="13" t="str">
        <f aca="false">IF($B844="","",IFERROR(INDEX(직원목록!$C$3:$C$302,MATCH($B844,직원목록!$A$3:$A$302,0)),""))</f>
        <v/>
      </c>
      <c r="E844" s="14"/>
      <c r="F844" s="14"/>
      <c r="G844" s="15"/>
      <c r="H844" s="16" t="str">
        <f aca="false">IF(OR($K844="",$L844=""),"",ROUND(MAX(0,($L844-$K844)-IF($G844="",0,$G844))/60,2))</f>
        <v/>
      </c>
      <c r="I844" s="8"/>
      <c r="J844" s="8"/>
      <c r="K844" s="17" t="str">
        <f aca="false">IF($E844="","",IF($E844&lt;1,ROUND($E844*1440,0),INT($E844/100)*60+MOD($E844,100)))</f>
        <v/>
      </c>
      <c r="L844" s="17" t="str">
        <f aca="false">IF($F844="","",IF($F844&lt;1,ROUND($F844*1440,0),INT($F844/100)*60+MOD($F844,100)))</f>
        <v/>
      </c>
    </row>
    <row r="845" customFormat="false" ht="15" hidden="false" customHeight="true" outlineLevel="0" collapsed="false">
      <c r="A845" s="10"/>
      <c r="B845" s="8"/>
      <c r="C845" s="13" t="str">
        <f aca="false">IF($B845="","",IFERROR(INDEX(직원목록!$B$3:$B$302,MATCH($B845,직원목록!$A$3:$A$302,0)),"미등록사번"))</f>
        <v/>
      </c>
      <c r="D845" s="13" t="str">
        <f aca="false">IF($B845="","",IFERROR(INDEX(직원목록!$C$3:$C$302,MATCH($B845,직원목록!$A$3:$A$302,0)),""))</f>
        <v/>
      </c>
      <c r="E845" s="14"/>
      <c r="F845" s="14"/>
      <c r="G845" s="15"/>
      <c r="H845" s="16" t="str">
        <f aca="false">IF(OR($K845="",$L845=""),"",ROUND(MAX(0,($L845-$K845)-IF($G845="",0,$G845))/60,2))</f>
        <v/>
      </c>
      <c r="I845" s="8"/>
      <c r="J845" s="8"/>
      <c r="K845" s="17" t="str">
        <f aca="false">IF($E845="","",IF($E845&lt;1,ROUND($E845*1440,0),INT($E845/100)*60+MOD($E845,100)))</f>
        <v/>
      </c>
      <c r="L845" s="17" t="str">
        <f aca="false">IF($F845="","",IF($F845&lt;1,ROUND($F845*1440,0),INT($F845/100)*60+MOD($F845,100)))</f>
        <v/>
      </c>
    </row>
    <row r="846" customFormat="false" ht="15" hidden="false" customHeight="true" outlineLevel="0" collapsed="false">
      <c r="A846" s="10"/>
      <c r="B846" s="8"/>
      <c r="C846" s="13" t="str">
        <f aca="false">IF($B846="","",IFERROR(INDEX(직원목록!$B$3:$B$302,MATCH($B846,직원목록!$A$3:$A$302,0)),"미등록사번"))</f>
        <v/>
      </c>
      <c r="D846" s="13" t="str">
        <f aca="false">IF($B846="","",IFERROR(INDEX(직원목록!$C$3:$C$302,MATCH($B846,직원목록!$A$3:$A$302,0)),""))</f>
        <v/>
      </c>
      <c r="E846" s="14"/>
      <c r="F846" s="14"/>
      <c r="G846" s="15"/>
      <c r="H846" s="16" t="str">
        <f aca="false">IF(OR($K846="",$L846=""),"",ROUND(MAX(0,($L846-$K846)-IF($G846="",0,$G846))/60,2))</f>
        <v/>
      </c>
      <c r="I846" s="8"/>
      <c r="J846" s="8"/>
      <c r="K846" s="17" t="str">
        <f aca="false">IF($E846="","",IF($E846&lt;1,ROUND($E846*1440,0),INT($E846/100)*60+MOD($E846,100)))</f>
        <v/>
      </c>
      <c r="L846" s="17" t="str">
        <f aca="false">IF($F846="","",IF($F846&lt;1,ROUND($F846*1440,0),INT($F846/100)*60+MOD($F846,100)))</f>
        <v/>
      </c>
    </row>
    <row r="847" customFormat="false" ht="15" hidden="false" customHeight="true" outlineLevel="0" collapsed="false">
      <c r="A847" s="10"/>
      <c r="B847" s="8"/>
      <c r="C847" s="13" t="str">
        <f aca="false">IF($B847="","",IFERROR(INDEX(직원목록!$B$3:$B$302,MATCH($B847,직원목록!$A$3:$A$302,0)),"미등록사번"))</f>
        <v/>
      </c>
      <c r="D847" s="13" t="str">
        <f aca="false">IF($B847="","",IFERROR(INDEX(직원목록!$C$3:$C$302,MATCH($B847,직원목록!$A$3:$A$302,0)),""))</f>
        <v/>
      </c>
      <c r="E847" s="14"/>
      <c r="F847" s="14"/>
      <c r="G847" s="15"/>
      <c r="H847" s="16" t="str">
        <f aca="false">IF(OR($K847="",$L847=""),"",ROUND(MAX(0,($L847-$K847)-IF($G847="",0,$G847))/60,2))</f>
        <v/>
      </c>
      <c r="I847" s="8"/>
      <c r="J847" s="8"/>
      <c r="K847" s="17" t="str">
        <f aca="false">IF($E847="","",IF($E847&lt;1,ROUND($E847*1440,0),INT($E847/100)*60+MOD($E847,100)))</f>
        <v/>
      </c>
      <c r="L847" s="17" t="str">
        <f aca="false">IF($F847="","",IF($F847&lt;1,ROUND($F847*1440,0),INT($F847/100)*60+MOD($F847,100)))</f>
        <v/>
      </c>
    </row>
    <row r="848" customFormat="false" ht="15" hidden="false" customHeight="true" outlineLevel="0" collapsed="false">
      <c r="A848" s="10"/>
      <c r="B848" s="8"/>
      <c r="C848" s="13" t="str">
        <f aca="false">IF($B848="","",IFERROR(INDEX(직원목록!$B$3:$B$302,MATCH($B848,직원목록!$A$3:$A$302,0)),"미등록사번"))</f>
        <v/>
      </c>
      <c r="D848" s="13" t="str">
        <f aca="false">IF($B848="","",IFERROR(INDEX(직원목록!$C$3:$C$302,MATCH($B848,직원목록!$A$3:$A$302,0)),""))</f>
        <v/>
      </c>
      <c r="E848" s="14"/>
      <c r="F848" s="14"/>
      <c r="G848" s="15"/>
      <c r="H848" s="16" t="str">
        <f aca="false">IF(OR($K848="",$L848=""),"",ROUND(MAX(0,($L848-$K848)-IF($G848="",0,$G848))/60,2))</f>
        <v/>
      </c>
      <c r="I848" s="8"/>
      <c r="J848" s="8"/>
      <c r="K848" s="17" t="str">
        <f aca="false">IF($E848="","",IF($E848&lt;1,ROUND($E848*1440,0),INT($E848/100)*60+MOD($E848,100)))</f>
        <v/>
      </c>
      <c r="L848" s="17" t="str">
        <f aca="false">IF($F848="","",IF($F848&lt;1,ROUND($F848*1440,0),INT($F848/100)*60+MOD($F848,100)))</f>
        <v/>
      </c>
    </row>
    <row r="849" customFormat="false" ht="15" hidden="false" customHeight="true" outlineLevel="0" collapsed="false">
      <c r="A849" s="10"/>
      <c r="B849" s="8"/>
      <c r="C849" s="13" t="str">
        <f aca="false">IF($B849="","",IFERROR(INDEX(직원목록!$B$3:$B$302,MATCH($B849,직원목록!$A$3:$A$302,0)),"미등록사번"))</f>
        <v/>
      </c>
      <c r="D849" s="13" t="str">
        <f aca="false">IF($B849="","",IFERROR(INDEX(직원목록!$C$3:$C$302,MATCH($B849,직원목록!$A$3:$A$302,0)),""))</f>
        <v/>
      </c>
      <c r="E849" s="14"/>
      <c r="F849" s="14"/>
      <c r="G849" s="15"/>
      <c r="H849" s="16" t="str">
        <f aca="false">IF(OR($K849="",$L849=""),"",ROUND(MAX(0,($L849-$K849)-IF($G849="",0,$G849))/60,2))</f>
        <v/>
      </c>
      <c r="I849" s="8"/>
      <c r="J849" s="8"/>
      <c r="K849" s="17" t="str">
        <f aca="false">IF($E849="","",IF($E849&lt;1,ROUND($E849*1440,0),INT($E849/100)*60+MOD($E849,100)))</f>
        <v/>
      </c>
      <c r="L849" s="17" t="str">
        <f aca="false">IF($F849="","",IF($F849&lt;1,ROUND($F849*1440,0),INT($F849/100)*60+MOD($F849,100)))</f>
        <v/>
      </c>
    </row>
    <row r="850" customFormat="false" ht="15" hidden="false" customHeight="true" outlineLevel="0" collapsed="false">
      <c r="A850" s="10"/>
      <c r="B850" s="8"/>
      <c r="C850" s="13" t="str">
        <f aca="false">IF($B850="","",IFERROR(INDEX(직원목록!$B$3:$B$302,MATCH($B850,직원목록!$A$3:$A$302,0)),"미등록사번"))</f>
        <v/>
      </c>
      <c r="D850" s="13" t="str">
        <f aca="false">IF($B850="","",IFERROR(INDEX(직원목록!$C$3:$C$302,MATCH($B850,직원목록!$A$3:$A$302,0)),""))</f>
        <v/>
      </c>
      <c r="E850" s="14"/>
      <c r="F850" s="14"/>
      <c r="G850" s="15"/>
      <c r="H850" s="16" t="str">
        <f aca="false">IF(OR($K850="",$L850=""),"",ROUND(MAX(0,($L850-$K850)-IF($G850="",0,$G850))/60,2))</f>
        <v/>
      </c>
      <c r="I850" s="8"/>
      <c r="J850" s="8"/>
      <c r="K850" s="17" t="str">
        <f aca="false">IF($E850="","",IF($E850&lt;1,ROUND($E850*1440,0),INT($E850/100)*60+MOD($E850,100)))</f>
        <v/>
      </c>
      <c r="L850" s="17" t="str">
        <f aca="false">IF($F850="","",IF($F850&lt;1,ROUND($F850*1440,0),INT($F850/100)*60+MOD($F850,100)))</f>
        <v/>
      </c>
    </row>
    <row r="851" customFormat="false" ht="15" hidden="false" customHeight="true" outlineLevel="0" collapsed="false">
      <c r="A851" s="10"/>
      <c r="B851" s="8"/>
      <c r="C851" s="13" t="str">
        <f aca="false">IF($B851="","",IFERROR(INDEX(직원목록!$B$3:$B$302,MATCH($B851,직원목록!$A$3:$A$302,0)),"미등록사번"))</f>
        <v/>
      </c>
      <c r="D851" s="13" t="str">
        <f aca="false">IF($B851="","",IFERROR(INDEX(직원목록!$C$3:$C$302,MATCH($B851,직원목록!$A$3:$A$302,0)),""))</f>
        <v/>
      </c>
      <c r="E851" s="14"/>
      <c r="F851" s="14"/>
      <c r="G851" s="15"/>
      <c r="H851" s="16" t="str">
        <f aca="false">IF(OR($K851="",$L851=""),"",ROUND(MAX(0,($L851-$K851)-IF($G851="",0,$G851))/60,2))</f>
        <v/>
      </c>
      <c r="I851" s="8"/>
      <c r="J851" s="8"/>
      <c r="K851" s="17" t="str">
        <f aca="false">IF($E851="","",IF($E851&lt;1,ROUND($E851*1440,0),INT($E851/100)*60+MOD($E851,100)))</f>
        <v/>
      </c>
      <c r="L851" s="17" t="str">
        <f aca="false">IF($F851="","",IF($F851&lt;1,ROUND($F851*1440,0),INT($F851/100)*60+MOD($F851,100)))</f>
        <v/>
      </c>
    </row>
    <row r="852" customFormat="false" ht="15" hidden="false" customHeight="true" outlineLevel="0" collapsed="false">
      <c r="A852" s="10"/>
      <c r="B852" s="8"/>
      <c r="C852" s="13" t="str">
        <f aca="false">IF($B852="","",IFERROR(INDEX(직원목록!$B$3:$B$302,MATCH($B852,직원목록!$A$3:$A$302,0)),"미등록사번"))</f>
        <v/>
      </c>
      <c r="D852" s="13" t="str">
        <f aca="false">IF($B852="","",IFERROR(INDEX(직원목록!$C$3:$C$302,MATCH($B852,직원목록!$A$3:$A$302,0)),""))</f>
        <v/>
      </c>
      <c r="E852" s="14"/>
      <c r="F852" s="14"/>
      <c r="G852" s="15"/>
      <c r="H852" s="16" t="str">
        <f aca="false">IF(OR($K852="",$L852=""),"",ROUND(MAX(0,($L852-$K852)-IF($G852="",0,$G852))/60,2))</f>
        <v/>
      </c>
      <c r="I852" s="8"/>
      <c r="J852" s="8"/>
      <c r="K852" s="17" t="str">
        <f aca="false">IF($E852="","",IF($E852&lt;1,ROUND($E852*1440,0),INT($E852/100)*60+MOD($E852,100)))</f>
        <v/>
      </c>
      <c r="L852" s="17" t="str">
        <f aca="false">IF($F852="","",IF($F852&lt;1,ROUND($F852*1440,0),INT($F852/100)*60+MOD($F852,100)))</f>
        <v/>
      </c>
    </row>
    <row r="853" customFormat="false" ht="15" hidden="false" customHeight="true" outlineLevel="0" collapsed="false">
      <c r="A853" s="10"/>
      <c r="B853" s="8"/>
      <c r="C853" s="13" t="str">
        <f aca="false">IF($B853="","",IFERROR(INDEX(직원목록!$B$3:$B$302,MATCH($B853,직원목록!$A$3:$A$302,0)),"미등록사번"))</f>
        <v/>
      </c>
      <c r="D853" s="13" t="str">
        <f aca="false">IF($B853="","",IFERROR(INDEX(직원목록!$C$3:$C$302,MATCH($B853,직원목록!$A$3:$A$302,0)),""))</f>
        <v/>
      </c>
      <c r="E853" s="14"/>
      <c r="F853" s="14"/>
      <c r="G853" s="15"/>
      <c r="H853" s="16" t="str">
        <f aca="false">IF(OR($K853="",$L853=""),"",ROUND(MAX(0,($L853-$K853)-IF($G853="",0,$G853))/60,2))</f>
        <v/>
      </c>
      <c r="I853" s="8"/>
      <c r="J853" s="8"/>
      <c r="K853" s="17" t="str">
        <f aca="false">IF($E853="","",IF($E853&lt;1,ROUND($E853*1440,0),INT($E853/100)*60+MOD($E853,100)))</f>
        <v/>
      </c>
      <c r="L853" s="17" t="str">
        <f aca="false">IF($F853="","",IF($F853&lt;1,ROUND($F853*1440,0),INT($F853/100)*60+MOD($F853,100)))</f>
        <v/>
      </c>
    </row>
    <row r="854" customFormat="false" ht="15" hidden="false" customHeight="true" outlineLevel="0" collapsed="false">
      <c r="A854" s="10"/>
      <c r="B854" s="8"/>
      <c r="C854" s="13" t="str">
        <f aca="false">IF($B854="","",IFERROR(INDEX(직원목록!$B$3:$B$302,MATCH($B854,직원목록!$A$3:$A$302,0)),"미등록사번"))</f>
        <v/>
      </c>
      <c r="D854" s="13" t="str">
        <f aca="false">IF($B854="","",IFERROR(INDEX(직원목록!$C$3:$C$302,MATCH($B854,직원목록!$A$3:$A$302,0)),""))</f>
        <v/>
      </c>
      <c r="E854" s="14"/>
      <c r="F854" s="14"/>
      <c r="G854" s="15"/>
      <c r="H854" s="16" t="str">
        <f aca="false">IF(OR($K854="",$L854=""),"",ROUND(MAX(0,($L854-$K854)-IF($G854="",0,$G854))/60,2))</f>
        <v/>
      </c>
      <c r="I854" s="8"/>
      <c r="J854" s="8"/>
      <c r="K854" s="17" t="str">
        <f aca="false">IF($E854="","",IF($E854&lt;1,ROUND($E854*1440,0),INT($E854/100)*60+MOD($E854,100)))</f>
        <v/>
      </c>
      <c r="L854" s="17" t="str">
        <f aca="false">IF($F854="","",IF($F854&lt;1,ROUND($F854*1440,0),INT($F854/100)*60+MOD($F854,100)))</f>
        <v/>
      </c>
    </row>
    <row r="855" customFormat="false" ht="15" hidden="false" customHeight="true" outlineLevel="0" collapsed="false">
      <c r="A855" s="10"/>
      <c r="B855" s="8"/>
      <c r="C855" s="13" t="str">
        <f aca="false">IF($B855="","",IFERROR(INDEX(직원목록!$B$3:$B$302,MATCH($B855,직원목록!$A$3:$A$302,0)),"미등록사번"))</f>
        <v/>
      </c>
      <c r="D855" s="13" t="str">
        <f aca="false">IF($B855="","",IFERROR(INDEX(직원목록!$C$3:$C$302,MATCH($B855,직원목록!$A$3:$A$302,0)),""))</f>
        <v/>
      </c>
      <c r="E855" s="14"/>
      <c r="F855" s="14"/>
      <c r="G855" s="15"/>
      <c r="H855" s="16" t="str">
        <f aca="false">IF(OR($K855="",$L855=""),"",ROUND(MAX(0,($L855-$K855)-IF($G855="",0,$G855))/60,2))</f>
        <v/>
      </c>
      <c r="I855" s="8"/>
      <c r="J855" s="8"/>
      <c r="K855" s="17" t="str">
        <f aca="false">IF($E855="","",IF($E855&lt;1,ROUND($E855*1440,0),INT($E855/100)*60+MOD($E855,100)))</f>
        <v/>
      </c>
      <c r="L855" s="17" t="str">
        <f aca="false">IF($F855="","",IF($F855&lt;1,ROUND($F855*1440,0),INT($F855/100)*60+MOD($F855,100)))</f>
        <v/>
      </c>
    </row>
    <row r="856" customFormat="false" ht="15" hidden="false" customHeight="true" outlineLevel="0" collapsed="false">
      <c r="A856" s="10"/>
      <c r="B856" s="8"/>
      <c r="C856" s="13" t="str">
        <f aca="false">IF($B856="","",IFERROR(INDEX(직원목록!$B$3:$B$302,MATCH($B856,직원목록!$A$3:$A$302,0)),"미등록사번"))</f>
        <v/>
      </c>
      <c r="D856" s="13" t="str">
        <f aca="false">IF($B856="","",IFERROR(INDEX(직원목록!$C$3:$C$302,MATCH($B856,직원목록!$A$3:$A$302,0)),""))</f>
        <v/>
      </c>
      <c r="E856" s="14"/>
      <c r="F856" s="14"/>
      <c r="G856" s="15"/>
      <c r="H856" s="16" t="str">
        <f aca="false">IF(OR($K856="",$L856=""),"",ROUND(MAX(0,($L856-$K856)-IF($G856="",0,$G856))/60,2))</f>
        <v/>
      </c>
      <c r="I856" s="8"/>
      <c r="J856" s="8"/>
      <c r="K856" s="17" t="str">
        <f aca="false">IF($E856="","",IF($E856&lt;1,ROUND($E856*1440,0),INT($E856/100)*60+MOD($E856,100)))</f>
        <v/>
      </c>
      <c r="L856" s="17" t="str">
        <f aca="false">IF($F856="","",IF($F856&lt;1,ROUND($F856*1440,0),INT($F856/100)*60+MOD($F856,100)))</f>
        <v/>
      </c>
    </row>
    <row r="857" customFormat="false" ht="15" hidden="false" customHeight="true" outlineLevel="0" collapsed="false">
      <c r="A857" s="10"/>
      <c r="B857" s="8"/>
      <c r="C857" s="13" t="str">
        <f aca="false">IF($B857="","",IFERROR(INDEX(직원목록!$B$3:$B$302,MATCH($B857,직원목록!$A$3:$A$302,0)),"미등록사번"))</f>
        <v/>
      </c>
      <c r="D857" s="13" t="str">
        <f aca="false">IF($B857="","",IFERROR(INDEX(직원목록!$C$3:$C$302,MATCH($B857,직원목록!$A$3:$A$302,0)),""))</f>
        <v/>
      </c>
      <c r="E857" s="14"/>
      <c r="F857" s="14"/>
      <c r="G857" s="15"/>
      <c r="H857" s="16" t="str">
        <f aca="false">IF(OR($K857="",$L857=""),"",ROUND(MAX(0,($L857-$K857)-IF($G857="",0,$G857))/60,2))</f>
        <v/>
      </c>
      <c r="I857" s="8"/>
      <c r="J857" s="8"/>
      <c r="K857" s="17" t="str">
        <f aca="false">IF($E857="","",IF($E857&lt;1,ROUND($E857*1440,0),INT($E857/100)*60+MOD($E857,100)))</f>
        <v/>
      </c>
      <c r="L857" s="17" t="str">
        <f aca="false">IF($F857="","",IF($F857&lt;1,ROUND($F857*1440,0),INT($F857/100)*60+MOD($F857,100)))</f>
        <v/>
      </c>
    </row>
    <row r="858" customFormat="false" ht="15" hidden="false" customHeight="true" outlineLevel="0" collapsed="false">
      <c r="A858" s="10"/>
      <c r="B858" s="8"/>
      <c r="C858" s="13" t="str">
        <f aca="false">IF($B858="","",IFERROR(INDEX(직원목록!$B$3:$B$302,MATCH($B858,직원목록!$A$3:$A$302,0)),"미등록사번"))</f>
        <v/>
      </c>
      <c r="D858" s="13" t="str">
        <f aca="false">IF($B858="","",IFERROR(INDEX(직원목록!$C$3:$C$302,MATCH($B858,직원목록!$A$3:$A$302,0)),""))</f>
        <v/>
      </c>
      <c r="E858" s="14"/>
      <c r="F858" s="14"/>
      <c r="G858" s="15"/>
      <c r="H858" s="16" t="str">
        <f aca="false">IF(OR($K858="",$L858=""),"",ROUND(MAX(0,($L858-$K858)-IF($G858="",0,$G858))/60,2))</f>
        <v/>
      </c>
      <c r="I858" s="8"/>
      <c r="J858" s="8"/>
      <c r="K858" s="17" t="str">
        <f aca="false">IF($E858="","",IF($E858&lt;1,ROUND($E858*1440,0),INT($E858/100)*60+MOD($E858,100)))</f>
        <v/>
      </c>
      <c r="L858" s="17" t="str">
        <f aca="false">IF($F858="","",IF($F858&lt;1,ROUND($F858*1440,0),INT($F858/100)*60+MOD($F858,100)))</f>
        <v/>
      </c>
    </row>
    <row r="859" customFormat="false" ht="15" hidden="false" customHeight="true" outlineLevel="0" collapsed="false">
      <c r="A859" s="10"/>
      <c r="B859" s="8"/>
      <c r="C859" s="13" t="str">
        <f aca="false">IF($B859="","",IFERROR(INDEX(직원목록!$B$3:$B$302,MATCH($B859,직원목록!$A$3:$A$302,0)),"미등록사번"))</f>
        <v/>
      </c>
      <c r="D859" s="13" t="str">
        <f aca="false">IF($B859="","",IFERROR(INDEX(직원목록!$C$3:$C$302,MATCH($B859,직원목록!$A$3:$A$302,0)),""))</f>
        <v/>
      </c>
      <c r="E859" s="14"/>
      <c r="F859" s="14"/>
      <c r="G859" s="15"/>
      <c r="H859" s="16" t="str">
        <f aca="false">IF(OR($K859="",$L859=""),"",ROUND(MAX(0,($L859-$K859)-IF($G859="",0,$G859))/60,2))</f>
        <v/>
      </c>
      <c r="I859" s="8"/>
      <c r="J859" s="8"/>
      <c r="K859" s="17" t="str">
        <f aca="false">IF($E859="","",IF($E859&lt;1,ROUND($E859*1440,0),INT($E859/100)*60+MOD($E859,100)))</f>
        <v/>
      </c>
      <c r="L859" s="17" t="str">
        <f aca="false">IF($F859="","",IF($F859&lt;1,ROUND($F859*1440,0),INT($F859/100)*60+MOD($F859,100)))</f>
        <v/>
      </c>
    </row>
    <row r="860" customFormat="false" ht="15" hidden="false" customHeight="true" outlineLevel="0" collapsed="false">
      <c r="A860" s="10"/>
      <c r="B860" s="8"/>
      <c r="C860" s="13" t="str">
        <f aca="false">IF($B860="","",IFERROR(INDEX(직원목록!$B$3:$B$302,MATCH($B860,직원목록!$A$3:$A$302,0)),"미등록사번"))</f>
        <v/>
      </c>
      <c r="D860" s="13" t="str">
        <f aca="false">IF($B860="","",IFERROR(INDEX(직원목록!$C$3:$C$302,MATCH($B860,직원목록!$A$3:$A$302,0)),""))</f>
        <v/>
      </c>
      <c r="E860" s="14"/>
      <c r="F860" s="14"/>
      <c r="G860" s="15"/>
      <c r="H860" s="16" t="str">
        <f aca="false">IF(OR($K860="",$L860=""),"",ROUND(MAX(0,($L860-$K860)-IF($G860="",0,$G860))/60,2))</f>
        <v/>
      </c>
      <c r="I860" s="8"/>
      <c r="J860" s="8"/>
      <c r="K860" s="17" t="str">
        <f aca="false">IF($E860="","",IF($E860&lt;1,ROUND($E860*1440,0),INT($E860/100)*60+MOD($E860,100)))</f>
        <v/>
      </c>
      <c r="L860" s="17" t="str">
        <f aca="false">IF($F860="","",IF($F860&lt;1,ROUND($F860*1440,0),INT($F860/100)*60+MOD($F860,100)))</f>
        <v/>
      </c>
    </row>
    <row r="861" customFormat="false" ht="15" hidden="false" customHeight="true" outlineLevel="0" collapsed="false">
      <c r="A861" s="10"/>
      <c r="B861" s="8"/>
      <c r="C861" s="13" t="str">
        <f aca="false">IF($B861="","",IFERROR(INDEX(직원목록!$B$3:$B$302,MATCH($B861,직원목록!$A$3:$A$302,0)),"미등록사번"))</f>
        <v/>
      </c>
      <c r="D861" s="13" t="str">
        <f aca="false">IF($B861="","",IFERROR(INDEX(직원목록!$C$3:$C$302,MATCH($B861,직원목록!$A$3:$A$302,0)),""))</f>
        <v/>
      </c>
      <c r="E861" s="14"/>
      <c r="F861" s="14"/>
      <c r="G861" s="15"/>
      <c r="H861" s="16" t="str">
        <f aca="false">IF(OR($K861="",$L861=""),"",ROUND(MAX(0,($L861-$K861)-IF($G861="",0,$G861))/60,2))</f>
        <v/>
      </c>
      <c r="I861" s="8"/>
      <c r="J861" s="8"/>
      <c r="K861" s="17" t="str">
        <f aca="false">IF($E861="","",IF($E861&lt;1,ROUND($E861*1440,0),INT($E861/100)*60+MOD($E861,100)))</f>
        <v/>
      </c>
      <c r="L861" s="17" t="str">
        <f aca="false">IF($F861="","",IF($F861&lt;1,ROUND($F861*1440,0),INT($F861/100)*60+MOD($F861,100)))</f>
        <v/>
      </c>
    </row>
    <row r="862" customFormat="false" ht="15" hidden="false" customHeight="true" outlineLevel="0" collapsed="false">
      <c r="A862" s="10"/>
      <c r="B862" s="8"/>
      <c r="C862" s="13" t="str">
        <f aca="false">IF($B862="","",IFERROR(INDEX(직원목록!$B$3:$B$302,MATCH($B862,직원목록!$A$3:$A$302,0)),"미등록사번"))</f>
        <v/>
      </c>
      <c r="D862" s="13" t="str">
        <f aca="false">IF($B862="","",IFERROR(INDEX(직원목록!$C$3:$C$302,MATCH($B862,직원목록!$A$3:$A$302,0)),""))</f>
        <v/>
      </c>
      <c r="E862" s="14"/>
      <c r="F862" s="14"/>
      <c r="G862" s="15"/>
      <c r="H862" s="16" t="str">
        <f aca="false">IF(OR($K862="",$L862=""),"",ROUND(MAX(0,($L862-$K862)-IF($G862="",0,$G862))/60,2))</f>
        <v/>
      </c>
      <c r="I862" s="8"/>
      <c r="J862" s="8"/>
      <c r="K862" s="17" t="str">
        <f aca="false">IF($E862="","",IF($E862&lt;1,ROUND($E862*1440,0),INT($E862/100)*60+MOD($E862,100)))</f>
        <v/>
      </c>
      <c r="L862" s="17" t="str">
        <f aca="false">IF($F862="","",IF($F862&lt;1,ROUND($F862*1440,0),INT($F862/100)*60+MOD($F862,100)))</f>
        <v/>
      </c>
    </row>
    <row r="863" customFormat="false" ht="15" hidden="false" customHeight="true" outlineLevel="0" collapsed="false">
      <c r="A863" s="10"/>
      <c r="B863" s="8"/>
      <c r="C863" s="13" t="str">
        <f aca="false">IF($B863="","",IFERROR(INDEX(직원목록!$B$3:$B$302,MATCH($B863,직원목록!$A$3:$A$302,0)),"미등록사번"))</f>
        <v/>
      </c>
      <c r="D863" s="13" t="str">
        <f aca="false">IF($B863="","",IFERROR(INDEX(직원목록!$C$3:$C$302,MATCH($B863,직원목록!$A$3:$A$302,0)),""))</f>
        <v/>
      </c>
      <c r="E863" s="14"/>
      <c r="F863" s="14"/>
      <c r="G863" s="15"/>
      <c r="H863" s="16" t="str">
        <f aca="false">IF(OR($K863="",$L863=""),"",ROUND(MAX(0,($L863-$K863)-IF($G863="",0,$G863))/60,2))</f>
        <v/>
      </c>
      <c r="I863" s="8"/>
      <c r="J863" s="8"/>
      <c r="K863" s="17" t="str">
        <f aca="false">IF($E863="","",IF($E863&lt;1,ROUND($E863*1440,0),INT($E863/100)*60+MOD($E863,100)))</f>
        <v/>
      </c>
      <c r="L863" s="17" t="str">
        <f aca="false">IF($F863="","",IF($F863&lt;1,ROUND($F863*1440,0),INT($F863/100)*60+MOD($F863,100)))</f>
        <v/>
      </c>
    </row>
    <row r="864" customFormat="false" ht="15" hidden="false" customHeight="true" outlineLevel="0" collapsed="false">
      <c r="A864" s="10"/>
      <c r="B864" s="8"/>
      <c r="C864" s="13" t="str">
        <f aca="false">IF($B864="","",IFERROR(INDEX(직원목록!$B$3:$B$302,MATCH($B864,직원목록!$A$3:$A$302,0)),"미등록사번"))</f>
        <v/>
      </c>
      <c r="D864" s="13" t="str">
        <f aca="false">IF($B864="","",IFERROR(INDEX(직원목록!$C$3:$C$302,MATCH($B864,직원목록!$A$3:$A$302,0)),""))</f>
        <v/>
      </c>
      <c r="E864" s="14"/>
      <c r="F864" s="14"/>
      <c r="G864" s="15"/>
      <c r="H864" s="16" t="str">
        <f aca="false">IF(OR($K864="",$L864=""),"",ROUND(MAX(0,($L864-$K864)-IF($G864="",0,$G864))/60,2))</f>
        <v/>
      </c>
      <c r="I864" s="8"/>
      <c r="J864" s="8"/>
      <c r="K864" s="17" t="str">
        <f aca="false">IF($E864="","",IF($E864&lt;1,ROUND($E864*1440,0),INT($E864/100)*60+MOD($E864,100)))</f>
        <v/>
      </c>
      <c r="L864" s="17" t="str">
        <f aca="false">IF($F864="","",IF($F864&lt;1,ROUND($F864*1440,0),INT($F864/100)*60+MOD($F864,100)))</f>
        <v/>
      </c>
    </row>
    <row r="865" customFormat="false" ht="15" hidden="false" customHeight="true" outlineLevel="0" collapsed="false">
      <c r="A865" s="10"/>
      <c r="B865" s="8"/>
      <c r="C865" s="13" t="str">
        <f aca="false">IF($B865="","",IFERROR(INDEX(직원목록!$B$3:$B$302,MATCH($B865,직원목록!$A$3:$A$302,0)),"미등록사번"))</f>
        <v/>
      </c>
      <c r="D865" s="13" t="str">
        <f aca="false">IF($B865="","",IFERROR(INDEX(직원목록!$C$3:$C$302,MATCH($B865,직원목록!$A$3:$A$302,0)),""))</f>
        <v/>
      </c>
      <c r="E865" s="14"/>
      <c r="F865" s="14"/>
      <c r="G865" s="15"/>
      <c r="H865" s="16" t="str">
        <f aca="false">IF(OR($K865="",$L865=""),"",ROUND(MAX(0,($L865-$K865)-IF($G865="",0,$G865))/60,2))</f>
        <v/>
      </c>
      <c r="I865" s="8"/>
      <c r="J865" s="8"/>
      <c r="K865" s="17" t="str">
        <f aca="false">IF($E865="","",IF($E865&lt;1,ROUND($E865*1440,0),INT($E865/100)*60+MOD($E865,100)))</f>
        <v/>
      </c>
      <c r="L865" s="17" t="str">
        <f aca="false">IF($F865="","",IF($F865&lt;1,ROUND($F865*1440,0),INT($F865/100)*60+MOD($F865,100)))</f>
        <v/>
      </c>
    </row>
    <row r="866" customFormat="false" ht="15" hidden="false" customHeight="true" outlineLevel="0" collapsed="false">
      <c r="A866" s="10"/>
      <c r="B866" s="8"/>
      <c r="C866" s="13" t="str">
        <f aca="false">IF($B866="","",IFERROR(INDEX(직원목록!$B$3:$B$302,MATCH($B866,직원목록!$A$3:$A$302,0)),"미등록사번"))</f>
        <v/>
      </c>
      <c r="D866" s="13" t="str">
        <f aca="false">IF($B866="","",IFERROR(INDEX(직원목록!$C$3:$C$302,MATCH($B866,직원목록!$A$3:$A$302,0)),""))</f>
        <v/>
      </c>
      <c r="E866" s="14"/>
      <c r="F866" s="14"/>
      <c r="G866" s="15"/>
      <c r="H866" s="16" t="str">
        <f aca="false">IF(OR($K866="",$L866=""),"",ROUND(MAX(0,($L866-$K866)-IF($G866="",0,$G866))/60,2))</f>
        <v/>
      </c>
      <c r="I866" s="8"/>
      <c r="J866" s="8"/>
      <c r="K866" s="17" t="str">
        <f aca="false">IF($E866="","",IF($E866&lt;1,ROUND($E866*1440,0),INT($E866/100)*60+MOD($E866,100)))</f>
        <v/>
      </c>
      <c r="L866" s="17" t="str">
        <f aca="false">IF($F866="","",IF($F866&lt;1,ROUND($F866*1440,0),INT($F866/100)*60+MOD($F866,100)))</f>
        <v/>
      </c>
    </row>
    <row r="867" customFormat="false" ht="15" hidden="false" customHeight="true" outlineLevel="0" collapsed="false">
      <c r="A867" s="10"/>
      <c r="B867" s="8"/>
      <c r="C867" s="13" t="str">
        <f aca="false">IF($B867="","",IFERROR(INDEX(직원목록!$B$3:$B$302,MATCH($B867,직원목록!$A$3:$A$302,0)),"미등록사번"))</f>
        <v/>
      </c>
      <c r="D867" s="13" t="str">
        <f aca="false">IF($B867="","",IFERROR(INDEX(직원목록!$C$3:$C$302,MATCH($B867,직원목록!$A$3:$A$302,0)),""))</f>
        <v/>
      </c>
      <c r="E867" s="14"/>
      <c r="F867" s="14"/>
      <c r="G867" s="15"/>
      <c r="H867" s="16" t="str">
        <f aca="false">IF(OR($K867="",$L867=""),"",ROUND(MAX(0,($L867-$K867)-IF($G867="",0,$G867))/60,2))</f>
        <v/>
      </c>
      <c r="I867" s="8"/>
      <c r="J867" s="8"/>
      <c r="K867" s="17" t="str">
        <f aca="false">IF($E867="","",IF($E867&lt;1,ROUND($E867*1440,0),INT($E867/100)*60+MOD($E867,100)))</f>
        <v/>
      </c>
      <c r="L867" s="17" t="str">
        <f aca="false">IF($F867="","",IF($F867&lt;1,ROUND($F867*1440,0),INT($F867/100)*60+MOD($F867,100)))</f>
        <v/>
      </c>
    </row>
    <row r="868" customFormat="false" ht="15" hidden="false" customHeight="true" outlineLevel="0" collapsed="false">
      <c r="A868" s="10"/>
      <c r="B868" s="8"/>
      <c r="C868" s="13" t="str">
        <f aca="false">IF($B868="","",IFERROR(INDEX(직원목록!$B$3:$B$302,MATCH($B868,직원목록!$A$3:$A$302,0)),"미등록사번"))</f>
        <v/>
      </c>
      <c r="D868" s="13" t="str">
        <f aca="false">IF($B868="","",IFERROR(INDEX(직원목록!$C$3:$C$302,MATCH($B868,직원목록!$A$3:$A$302,0)),""))</f>
        <v/>
      </c>
      <c r="E868" s="14"/>
      <c r="F868" s="14"/>
      <c r="G868" s="15"/>
      <c r="H868" s="16" t="str">
        <f aca="false">IF(OR($K868="",$L868=""),"",ROUND(MAX(0,($L868-$K868)-IF($G868="",0,$G868))/60,2))</f>
        <v/>
      </c>
      <c r="I868" s="8"/>
      <c r="J868" s="8"/>
      <c r="K868" s="17" t="str">
        <f aca="false">IF($E868="","",IF($E868&lt;1,ROUND($E868*1440,0),INT($E868/100)*60+MOD($E868,100)))</f>
        <v/>
      </c>
      <c r="L868" s="17" t="str">
        <f aca="false">IF($F868="","",IF($F868&lt;1,ROUND($F868*1440,0),INT($F868/100)*60+MOD($F868,100)))</f>
        <v/>
      </c>
    </row>
    <row r="869" customFormat="false" ht="15" hidden="false" customHeight="true" outlineLevel="0" collapsed="false">
      <c r="A869" s="10"/>
      <c r="B869" s="8"/>
      <c r="C869" s="13" t="str">
        <f aca="false">IF($B869="","",IFERROR(INDEX(직원목록!$B$3:$B$302,MATCH($B869,직원목록!$A$3:$A$302,0)),"미등록사번"))</f>
        <v/>
      </c>
      <c r="D869" s="13" t="str">
        <f aca="false">IF($B869="","",IFERROR(INDEX(직원목록!$C$3:$C$302,MATCH($B869,직원목록!$A$3:$A$302,0)),""))</f>
        <v/>
      </c>
      <c r="E869" s="14"/>
      <c r="F869" s="14"/>
      <c r="G869" s="15"/>
      <c r="H869" s="16" t="str">
        <f aca="false">IF(OR($K869="",$L869=""),"",ROUND(MAX(0,($L869-$K869)-IF($G869="",0,$G869))/60,2))</f>
        <v/>
      </c>
      <c r="I869" s="8"/>
      <c r="J869" s="8"/>
      <c r="K869" s="17" t="str">
        <f aca="false">IF($E869="","",IF($E869&lt;1,ROUND($E869*1440,0),INT($E869/100)*60+MOD($E869,100)))</f>
        <v/>
      </c>
      <c r="L869" s="17" t="str">
        <f aca="false">IF($F869="","",IF($F869&lt;1,ROUND($F869*1440,0),INT($F869/100)*60+MOD($F869,100)))</f>
        <v/>
      </c>
    </row>
    <row r="870" customFormat="false" ht="15" hidden="false" customHeight="true" outlineLevel="0" collapsed="false">
      <c r="A870" s="10"/>
      <c r="B870" s="8"/>
      <c r="C870" s="13" t="str">
        <f aca="false">IF($B870="","",IFERROR(INDEX(직원목록!$B$3:$B$302,MATCH($B870,직원목록!$A$3:$A$302,0)),"미등록사번"))</f>
        <v/>
      </c>
      <c r="D870" s="13" t="str">
        <f aca="false">IF($B870="","",IFERROR(INDEX(직원목록!$C$3:$C$302,MATCH($B870,직원목록!$A$3:$A$302,0)),""))</f>
        <v/>
      </c>
      <c r="E870" s="14"/>
      <c r="F870" s="14"/>
      <c r="G870" s="15"/>
      <c r="H870" s="16" t="str">
        <f aca="false">IF(OR($K870="",$L870=""),"",ROUND(MAX(0,($L870-$K870)-IF($G870="",0,$G870))/60,2))</f>
        <v/>
      </c>
      <c r="I870" s="8"/>
      <c r="J870" s="8"/>
      <c r="K870" s="17" t="str">
        <f aca="false">IF($E870="","",IF($E870&lt;1,ROUND($E870*1440,0),INT($E870/100)*60+MOD($E870,100)))</f>
        <v/>
      </c>
      <c r="L870" s="17" t="str">
        <f aca="false">IF($F870="","",IF($F870&lt;1,ROUND($F870*1440,0),INT($F870/100)*60+MOD($F870,100)))</f>
        <v/>
      </c>
    </row>
    <row r="871" customFormat="false" ht="15" hidden="false" customHeight="true" outlineLevel="0" collapsed="false">
      <c r="A871" s="10"/>
      <c r="B871" s="8"/>
      <c r="C871" s="13" t="str">
        <f aca="false">IF($B871="","",IFERROR(INDEX(직원목록!$B$3:$B$302,MATCH($B871,직원목록!$A$3:$A$302,0)),"미등록사번"))</f>
        <v/>
      </c>
      <c r="D871" s="13" t="str">
        <f aca="false">IF($B871="","",IFERROR(INDEX(직원목록!$C$3:$C$302,MATCH($B871,직원목록!$A$3:$A$302,0)),""))</f>
        <v/>
      </c>
      <c r="E871" s="14"/>
      <c r="F871" s="14"/>
      <c r="G871" s="15"/>
      <c r="H871" s="16" t="str">
        <f aca="false">IF(OR($K871="",$L871=""),"",ROUND(MAX(0,($L871-$K871)-IF($G871="",0,$G871))/60,2))</f>
        <v/>
      </c>
      <c r="I871" s="8"/>
      <c r="J871" s="8"/>
      <c r="K871" s="17" t="str">
        <f aca="false">IF($E871="","",IF($E871&lt;1,ROUND($E871*1440,0),INT($E871/100)*60+MOD($E871,100)))</f>
        <v/>
      </c>
      <c r="L871" s="17" t="str">
        <f aca="false">IF($F871="","",IF($F871&lt;1,ROUND($F871*1440,0),INT($F871/100)*60+MOD($F871,100)))</f>
        <v/>
      </c>
    </row>
    <row r="872" customFormat="false" ht="15" hidden="false" customHeight="true" outlineLevel="0" collapsed="false">
      <c r="A872" s="10"/>
      <c r="B872" s="8"/>
      <c r="C872" s="13" t="str">
        <f aca="false">IF($B872="","",IFERROR(INDEX(직원목록!$B$3:$B$302,MATCH($B872,직원목록!$A$3:$A$302,0)),"미등록사번"))</f>
        <v/>
      </c>
      <c r="D872" s="13" t="str">
        <f aca="false">IF($B872="","",IFERROR(INDEX(직원목록!$C$3:$C$302,MATCH($B872,직원목록!$A$3:$A$302,0)),""))</f>
        <v/>
      </c>
      <c r="E872" s="14"/>
      <c r="F872" s="14"/>
      <c r="G872" s="15"/>
      <c r="H872" s="16" t="str">
        <f aca="false">IF(OR($K872="",$L872=""),"",ROUND(MAX(0,($L872-$K872)-IF($G872="",0,$G872))/60,2))</f>
        <v/>
      </c>
      <c r="I872" s="8"/>
      <c r="J872" s="8"/>
      <c r="K872" s="17" t="str">
        <f aca="false">IF($E872="","",IF($E872&lt;1,ROUND($E872*1440,0),INT($E872/100)*60+MOD($E872,100)))</f>
        <v/>
      </c>
      <c r="L872" s="17" t="str">
        <f aca="false">IF($F872="","",IF($F872&lt;1,ROUND($F872*1440,0),INT($F872/100)*60+MOD($F872,100)))</f>
        <v/>
      </c>
    </row>
    <row r="873" customFormat="false" ht="15" hidden="false" customHeight="true" outlineLevel="0" collapsed="false">
      <c r="A873" s="10"/>
      <c r="B873" s="8"/>
      <c r="C873" s="13" t="str">
        <f aca="false">IF($B873="","",IFERROR(INDEX(직원목록!$B$3:$B$302,MATCH($B873,직원목록!$A$3:$A$302,0)),"미등록사번"))</f>
        <v/>
      </c>
      <c r="D873" s="13" t="str">
        <f aca="false">IF($B873="","",IFERROR(INDEX(직원목록!$C$3:$C$302,MATCH($B873,직원목록!$A$3:$A$302,0)),""))</f>
        <v/>
      </c>
      <c r="E873" s="14"/>
      <c r="F873" s="14"/>
      <c r="G873" s="15"/>
      <c r="H873" s="16" t="str">
        <f aca="false">IF(OR($K873="",$L873=""),"",ROUND(MAX(0,($L873-$K873)-IF($G873="",0,$G873))/60,2))</f>
        <v/>
      </c>
      <c r="I873" s="8"/>
      <c r="J873" s="8"/>
      <c r="K873" s="17" t="str">
        <f aca="false">IF($E873="","",IF($E873&lt;1,ROUND($E873*1440,0),INT($E873/100)*60+MOD($E873,100)))</f>
        <v/>
      </c>
      <c r="L873" s="17" t="str">
        <f aca="false">IF($F873="","",IF($F873&lt;1,ROUND($F873*1440,0),INT($F873/100)*60+MOD($F873,100)))</f>
        <v/>
      </c>
    </row>
    <row r="874" customFormat="false" ht="15" hidden="false" customHeight="true" outlineLevel="0" collapsed="false">
      <c r="A874" s="10"/>
      <c r="B874" s="8"/>
      <c r="C874" s="13" t="str">
        <f aca="false">IF($B874="","",IFERROR(INDEX(직원목록!$B$3:$B$302,MATCH($B874,직원목록!$A$3:$A$302,0)),"미등록사번"))</f>
        <v/>
      </c>
      <c r="D874" s="13" t="str">
        <f aca="false">IF($B874="","",IFERROR(INDEX(직원목록!$C$3:$C$302,MATCH($B874,직원목록!$A$3:$A$302,0)),""))</f>
        <v/>
      </c>
      <c r="E874" s="14"/>
      <c r="F874" s="14"/>
      <c r="G874" s="15"/>
      <c r="H874" s="16" t="str">
        <f aca="false">IF(OR($K874="",$L874=""),"",ROUND(MAX(0,($L874-$K874)-IF($G874="",0,$G874))/60,2))</f>
        <v/>
      </c>
      <c r="I874" s="8"/>
      <c r="J874" s="8"/>
      <c r="K874" s="17" t="str">
        <f aca="false">IF($E874="","",IF($E874&lt;1,ROUND($E874*1440,0),INT($E874/100)*60+MOD($E874,100)))</f>
        <v/>
      </c>
      <c r="L874" s="17" t="str">
        <f aca="false">IF($F874="","",IF($F874&lt;1,ROUND($F874*1440,0),INT($F874/100)*60+MOD($F874,100)))</f>
        <v/>
      </c>
    </row>
    <row r="875" customFormat="false" ht="15" hidden="false" customHeight="true" outlineLevel="0" collapsed="false">
      <c r="A875" s="10"/>
      <c r="B875" s="8"/>
      <c r="C875" s="13" t="str">
        <f aca="false">IF($B875="","",IFERROR(INDEX(직원목록!$B$3:$B$302,MATCH($B875,직원목록!$A$3:$A$302,0)),"미등록사번"))</f>
        <v/>
      </c>
      <c r="D875" s="13" t="str">
        <f aca="false">IF($B875="","",IFERROR(INDEX(직원목록!$C$3:$C$302,MATCH($B875,직원목록!$A$3:$A$302,0)),""))</f>
        <v/>
      </c>
      <c r="E875" s="14"/>
      <c r="F875" s="14"/>
      <c r="G875" s="15"/>
      <c r="H875" s="16" t="str">
        <f aca="false">IF(OR($K875="",$L875=""),"",ROUND(MAX(0,($L875-$K875)-IF($G875="",0,$G875))/60,2))</f>
        <v/>
      </c>
      <c r="I875" s="8"/>
      <c r="J875" s="8"/>
      <c r="K875" s="17" t="str">
        <f aca="false">IF($E875="","",IF($E875&lt;1,ROUND($E875*1440,0),INT($E875/100)*60+MOD($E875,100)))</f>
        <v/>
      </c>
      <c r="L875" s="17" t="str">
        <f aca="false">IF($F875="","",IF($F875&lt;1,ROUND($F875*1440,0),INT($F875/100)*60+MOD($F875,100)))</f>
        <v/>
      </c>
    </row>
    <row r="876" customFormat="false" ht="15" hidden="false" customHeight="true" outlineLevel="0" collapsed="false">
      <c r="A876" s="10"/>
      <c r="B876" s="8"/>
      <c r="C876" s="13" t="str">
        <f aca="false">IF($B876="","",IFERROR(INDEX(직원목록!$B$3:$B$302,MATCH($B876,직원목록!$A$3:$A$302,0)),"미등록사번"))</f>
        <v/>
      </c>
      <c r="D876" s="13" t="str">
        <f aca="false">IF($B876="","",IFERROR(INDEX(직원목록!$C$3:$C$302,MATCH($B876,직원목록!$A$3:$A$302,0)),""))</f>
        <v/>
      </c>
      <c r="E876" s="14"/>
      <c r="F876" s="14"/>
      <c r="G876" s="15"/>
      <c r="H876" s="16" t="str">
        <f aca="false">IF(OR($K876="",$L876=""),"",ROUND(MAX(0,($L876-$K876)-IF($G876="",0,$G876))/60,2))</f>
        <v/>
      </c>
      <c r="I876" s="8"/>
      <c r="J876" s="8"/>
      <c r="K876" s="17" t="str">
        <f aca="false">IF($E876="","",IF($E876&lt;1,ROUND($E876*1440,0),INT($E876/100)*60+MOD($E876,100)))</f>
        <v/>
      </c>
      <c r="L876" s="17" t="str">
        <f aca="false">IF($F876="","",IF($F876&lt;1,ROUND($F876*1440,0),INT($F876/100)*60+MOD($F876,100)))</f>
        <v/>
      </c>
    </row>
    <row r="877" customFormat="false" ht="15" hidden="false" customHeight="true" outlineLevel="0" collapsed="false">
      <c r="A877" s="10"/>
      <c r="B877" s="8"/>
      <c r="C877" s="13" t="str">
        <f aca="false">IF($B877="","",IFERROR(INDEX(직원목록!$B$3:$B$302,MATCH($B877,직원목록!$A$3:$A$302,0)),"미등록사번"))</f>
        <v/>
      </c>
      <c r="D877" s="13" t="str">
        <f aca="false">IF($B877="","",IFERROR(INDEX(직원목록!$C$3:$C$302,MATCH($B877,직원목록!$A$3:$A$302,0)),""))</f>
        <v/>
      </c>
      <c r="E877" s="14"/>
      <c r="F877" s="14"/>
      <c r="G877" s="15"/>
      <c r="H877" s="16" t="str">
        <f aca="false">IF(OR($K877="",$L877=""),"",ROUND(MAX(0,($L877-$K877)-IF($G877="",0,$G877))/60,2))</f>
        <v/>
      </c>
      <c r="I877" s="8"/>
      <c r="J877" s="8"/>
      <c r="K877" s="17" t="str">
        <f aca="false">IF($E877="","",IF($E877&lt;1,ROUND($E877*1440,0),INT($E877/100)*60+MOD($E877,100)))</f>
        <v/>
      </c>
      <c r="L877" s="17" t="str">
        <f aca="false">IF($F877="","",IF($F877&lt;1,ROUND($F877*1440,0),INT($F877/100)*60+MOD($F877,100)))</f>
        <v/>
      </c>
    </row>
    <row r="878" customFormat="false" ht="15" hidden="false" customHeight="true" outlineLevel="0" collapsed="false">
      <c r="A878" s="10"/>
      <c r="B878" s="8"/>
      <c r="C878" s="13" t="str">
        <f aca="false">IF($B878="","",IFERROR(INDEX(직원목록!$B$3:$B$302,MATCH($B878,직원목록!$A$3:$A$302,0)),"미등록사번"))</f>
        <v/>
      </c>
      <c r="D878" s="13" t="str">
        <f aca="false">IF($B878="","",IFERROR(INDEX(직원목록!$C$3:$C$302,MATCH($B878,직원목록!$A$3:$A$302,0)),""))</f>
        <v/>
      </c>
      <c r="E878" s="14"/>
      <c r="F878" s="14"/>
      <c r="G878" s="15"/>
      <c r="H878" s="16" t="str">
        <f aca="false">IF(OR($K878="",$L878=""),"",ROUND(MAX(0,($L878-$K878)-IF($G878="",0,$G878))/60,2))</f>
        <v/>
      </c>
      <c r="I878" s="8"/>
      <c r="J878" s="8"/>
      <c r="K878" s="17" t="str">
        <f aca="false">IF($E878="","",IF($E878&lt;1,ROUND($E878*1440,0),INT($E878/100)*60+MOD($E878,100)))</f>
        <v/>
      </c>
      <c r="L878" s="17" t="str">
        <f aca="false">IF($F878="","",IF($F878&lt;1,ROUND($F878*1440,0),INT($F878/100)*60+MOD($F878,100)))</f>
        <v/>
      </c>
    </row>
    <row r="879" customFormat="false" ht="15" hidden="false" customHeight="true" outlineLevel="0" collapsed="false">
      <c r="A879" s="10"/>
      <c r="B879" s="8"/>
      <c r="C879" s="13" t="str">
        <f aca="false">IF($B879="","",IFERROR(INDEX(직원목록!$B$3:$B$302,MATCH($B879,직원목록!$A$3:$A$302,0)),"미등록사번"))</f>
        <v/>
      </c>
      <c r="D879" s="13" t="str">
        <f aca="false">IF($B879="","",IFERROR(INDEX(직원목록!$C$3:$C$302,MATCH($B879,직원목록!$A$3:$A$302,0)),""))</f>
        <v/>
      </c>
      <c r="E879" s="14"/>
      <c r="F879" s="14"/>
      <c r="G879" s="15"/>
      <c r="H879" s="16" t="str">
        <f aca="false">IF(OR($K879="",$L879=""),"",ROUND(MAX(0,($L879-$K879)-IF($G879="",0,$G879))/60,2))</f>
        <v/>
      </c>
      <c r="I879" s="8"/>
      <c r="J879" s="8"/>
      <c r="K879" s="17" t="str">
        <f aca="false">IF($E879="","",IF($E879&lt;1,ROUND($E879*1440,0),INT($E879/100)*60+MOD($E879,100)))</f>
        <v/>
      </c>
      <c r="L879" s="17" t="str">
        <f aca="false">IF($F879="","",IF($F879&lt;1,ROUND($F879*1440,0),INT($F879/100)*60+MOD($F879,100)))</f>
        <v/>
      </c>
    </row>
    <row r="880" customFormat="false" ht="15" hidden="false" customHeight="true" outlineLevel="0" collapsed="false">
      <c r="A880" s="10"/>
      <c r="B880" s="8"/>
      <c r="C880" s="13" t="str">
        <f aca="false">IF($B880="","",IFERROR(INDEX(직원목록!$B$3:$B$302,MATCH($B880,직원목록!$A$3:$A$302,0)),"미등록사번"))</f>
        <v/>
      </c>
      <c r="D880" s="13" t="str">
        <f aca="false">IF($B880="","",IFERROR(INDEX(직원목록!$C$3:$C$302,MATCH($B880,직원목록!$A$3:$A$302,0)),""))</f>
        <v/>
      </c>
      <c r="E880" s="14"/>
      <c r="F880" s="14"/>
      <c r="G880" s="15"/>
      <c r="H880" s="16" t="str">
        <f aca="false">IF(OR($K880="",$L880=""),"",ROUND(MAX(0,($L880-$K880)-IF($G880="",0,$G880))/60,2))</f>
        <v/>
      </c>
      <c r="I880" s="8"/>
      <c r="J880" s="8"/>
      <c r="K880" s="17" t="str">
        <f aca="false">IF($E880="","",IF($E880&lt;1,ROUND($E880*1440,0),INT($E880/100)*60+MOD($E880,100)))</f>
        <v/>
      </c>
      <c r="L880" s="17" t="str">
        <f aca="false">IF($F880="","",IF($F880&lt;1,ROUND($F880*1440,0),INT($F880/100)*60+MOD($F880,100)))</f>
        <v/>
      </c>
    </row>
    <row r="881" customFormat="false" ht="15" hidden="false" customHeight="true" outlineLevel="0" collapsed="false">
      <c r="A881" s="10"/>
      <c r="B881" s="8"/>
      <c r="C881" s="13" t="str">
        <f aca="false">IF($B881="","",IFERROR(INDEX(직원목록!$B$3:$B$302,MATCH($B881,직원목록!$A$3:$A$302,0)),"미등록사번"))</f>
        <v/>
      </c>
      <c r="D881" s="13" t="str">
        <f aca="false">IF($B881="","",IFERROR(INDEX(직원목록!$C$3:$C$302,MATCH($B881,직원목록!$A$3:$A$302,0)),""))</f>
        <v/>
      </c>
      <c r="E881" s="14"/>
      <c r="F881" s="14"/>
      <c r="G881" s="15"/>
      <c r="H881" s="16" t="str">
        <f aca="false">IF(OR($K881="",$L881=""),"",ROUND(MAX(0,($L881-$K881)-IF($G881="",0,$G881))/60,2))</f>
        <v/>
      </c>
      <c r="I881" s="8"/>
      <c r="J881" s="8"/>
      <c r="K881" s="17" t="str">
        <f aca="false">IF($E881="","",IF($E881&lt;1,ROUND($E881*1440,0),INT($E881/100)*60+MOD($E881,100)))</f>
        <v/>
      </c>
      <c r="L881" s="17" t="str">
        <f aca="false">IF($F881="","",IF($F881&lt;1,ROUND($F881*1440,0),INT($F881/100)*60+MOD($F881,100)))</f>
        <v/>
      </c>
    </row>
    <row r="882" customFormat="false" ht="15" hidden="false" customHeight="true" outlineLevel="0" collapsed="false">
      <c r="A882" s="10"/>
      <c r="B882" s="8"/>
      <c r="C882" s="13" t="str">
        <f aca="false">IF($B882="","",IFERROR(INDEX(직원목록!$B$3:$B$302,MATCH($B882,직원목록!$A$3:$A$302,0)),"미등록사번"))</f>
        <v/>
      </c>
      <c r="D882" s="13" t="str">
        <f aca="false">IF($B882="","",IFERROR(INDEX(직원목록!$C$3:$C$302,MATCH($B882,직원목록!$A$3:$A$302,0)),""))</f>
        <v/>
      </c>
      <c r="E882" s="14"/>
      <c r="F882" s="14"/>
      <c r="G882" s="15"/>
      <c r="H882" s="16" t="str">
        <f aca="false">IF(OR($K882="",$L882=""),"",ROUND(MAX(0,($L882-$K882)-IF($G882="",0,$G882))/60,2))</f>
        <v/>
      </c>
      <c r="I882" s="8"/>
      <c r="J882" s="8"/>
      <c r="K882" s="17" t="str">
        <f aca="false">IF($E882="","",IF($E882&lt;1,ROUND($E882*1440,0),INT($E882/100)*60+MOD($E882,100)))</f>
        <v/>
      </c>
      <c r="L882" s="17" t="str">
        <f aca="false">IF($F882="","",IF($F882&lt;1,ROUND($F882*1440,0),INT($F882/100)*60+MOD($F882,100)))</f>
        <v/>
      </c>
    </row>
    <row r="883" customFormat="false" ht="15" hidden="false" customHeight="true" outlineLevel="0" collapsed="false">
      <c r="A883" s="10"/>
      <c r="B883" s="8"/>
      <c r="C883" s="13" t="str">
        <f aca="false">IF($B883="","",IFERROR(INDEX(직원목록!$B$3:$B$302,MATCH($B883,직원목록!$A$3:$A$302,0)),"미등록사번"))</f>
        <v/>
      </c>
      <c r="D883" s="13" t="str">
        <f aca="false">IF($B883="","",IFERROR(INDEX(직원목록!$C$3:$C$302,MATCH($B883,직원목록!$A$3:$A$302,0)),""))</f>
        <v/>
      </c>
      <c r="E883" s="14"/>
      <c r="F883" s="14"/>
      <c r="G883" s="15"/>
      <c r="H883" s="16" t="str">
        <f aca="false">IF(OR($K883="",$L883=""),"",ROUND(MAX(0,($L883-$K883)-IF($G883="",0,$G883))/60,2))</f>
        <v/>
      </c>
      <c r="I883" s="8"/>
      <c r="J883" s="8"/>
      <c r="K883" s="17" t="str">
        <f aca="false">IF($E883="","",IF($E883&lt;1,ROUND($E883*1440,0),INT($E883/100)*60+MOD($E883,100)))</f>
        <v/>
      </c>
      <c r="L883" s="17" t="str">
        <f aca="false">IF($F883="","",IF($F883&lt;1,ROUND($F883*1440,0),INT($F883/100)*60+MOD($F883,100)))</f>
        <v/>
      </c>
    </row>
    <row r="884" customFormat="false" ht="15" hidden="false" customHeight="true" outlineLevel="0" collapsed="false">
      <c r="A884" s="10"/>
      <c r="B884" s="8"/>
      <c r="C884" s="13" t="str">
        <f aca="false">IF($B884="","",IFERROR(INDEX(직원목록!$B$3:$B$302,MATCH($B884,직원목록!$A$3:$A$302,0)),"미등록사번"))</f>
        <v/>
      </c>
      <c r="D884" s="13" t="str">
        <f aca="false">IF($B884="","",IFERROR(INDEX(직원목록!$C$3:$C$302,MATCH($B884,직원목록!$A$3:$A$302,0)),""))</f>
        <v/>
      </c>
      <c r="E884" s="14"/>
      <c r="F884" s="14"/>
      <c r="G884" s="15"/>
      <c r="H884" s="16" t="str">
        <f aca="false">IF(OR($K884="",$L884=""),"",ROUND(MAX(0,($L884-$K884)-IF($G884="",0,$G884))/60,2))</f>
        <v/>
      </c>
      <c r="I884" s="8"/>
      <c r="J884" s="8"/>
      <c r="K884" s="17" t="str">
        <f aca="false">IF($E884="","",IF($E884&lt;1,ROUND($E884*1440,0),INT($E884/100)*60+MOD($E884,100)))</f>
        <v/>
      </c>
      <c r="L884" s="17" t="str">
        <f aca="false">IF($F884="","",IF($F884&lt;1,ROUND($F884*1440,0),INT($F884/100)*60+MOD($F884,100)))</f>
        <v/>
      </c>
    </row>
    <row r="885" customFormat="false" ht="15" hidden="false" customHeight="true" outlineLevel="0" collapsed="false">
      <c r="A885" s="10"/>
      <c r="B885" s="8"/>
      <c r="C885" s="13" t="str">
        <f aca="false">IF($B885="","",IFERROR(INDEX(직원목록!$B$3:$B$302,MATCH($B885,직원목록!$A$3:$A$302,0)),"미등록사번"))</f>
        <v/>
      </c>
      <c r="D885" s="13" t="str">
        <f aca="false">IF($B885="","",IFERROR(INDEX(직원목록!$C$3:$C$302,MATCH($B885,직원목록!$A$3:$A$302,0)),""))</f>
        <v/>
      </c>
      <c r="E885" s="14"/>
      <c r="F885" s="14"/>
      <c r="G885" s="15"/>
      <c r="H885" s="16" t="str">
        <f aca="false">IF(OR($K885="",$L885=""),"",ROUND(MAX(0,($L885-$K885)-IF($G885="",0,$G885))/60,2))</f>
        <v/>
      </c>
      <c r="I885" s="8"/>
      <c r="J885" s="8"/>
      <c r="K885" s="17" t="str">
        <f aca="false">IF($E885="","",IF($E885&lt;1,ROUND($E885*1440,0),INT($E885/100)*60+MOD($E885,100)))</f>
        <v/>
      </c>
      <c r="L885" s="17" t="str">
        <f aca="false">IF($F885="","",IF($F885&lt;1,ROUND($F885*1440,0),INT($F885/100)*60+MOD($F885,100)))</f>
        <v/>
      </c>
    </row>
    <row r="886" customFormat="false" ht="15" hidden="false" customHeight="true" outlineLevel="0" collapsed="false">
      <c r="A886" s="10"/>
      <c r="B886" s="8"/>
      <c r="C886" s="13" t="str">
        <f aca="false">IF($B886="","",IFERROR(INDEX(직원목록!$B$3:$B$302,MATCH($B886,직원목록!$A$3:$A$302,0)),"미등록사번"))</f>
        <v/>
      </c>
      <c r="D886" s="13" t="str">
        <f aca="false">IF($B886="","",IFERROR(INDEX(직원목록!$C$3:$C$302,MATCH($B886,직원목록!$A$3:$A$302,0)),""))</f>
        <v/>
      </c>
      <c r="E886" s="14"/>
      <c r="F886" s="14"/>
      <c r="G886" s="15"/>
      <c r="H886" s="16" t="str">
        <f aca="false">IF(OR($K886="",$L886=""),"",ROUND(MAX(0,($L886-$K886)-IF($G886="",0,$G886))/60,2))</f>
        <v/>
      </c>
      <c r="I886" s="8"/>
      <c r="J886" s="8"/>
      <c r="K886" s="17" t="str">
        <f aca="false">IF($E886="","",IF($E886&lt;1,ROUND($E886*1440,0),INT($E886/100)*60+MOD($E886,100)))</f>
        <v/>
      </c>
      <c r="L886" s="17" t="str">
        <f aca="false">IF($F886="","",IF($F886&lt;1,ROUND($F886*1440,0),INT($F886/100)*60+MOD($F886,100)))</f>
        <v/>
      </c>
    </row>
    <row r="887" customFormat="false" ht="15" hidden="false" customHeight="true" outlineLevel="0" collapsed="false">
      <c r="A887" s="10"/>
      <c r="B887" s="8"/>
      <c r="C887" s="13" t="str">
        <f aca="false">IF($B887="","",IFERROR(INDEX(직원목록!$B$3:$B$302,MATCH($B887,직원목록!$A$3:$A$302,0)),"미등록사번"))</f>
        <v/>
      </c>
      <c r="D887" s="13" t="str">
        <f aca="false">IF($B887="","",IFERROR(INDEX(직원목록!$C$3:$C$302,MATCH($B887,직원목록!$A$3:$A$302,0)),""))</f>
        <v/>
      </c>
      <c r="E887" s="14"/>
      <c r="F887" s="14"/>
      <c r="G887" s="15"/>
      <c r="H887" s="16" t="str">
        <f aca="false">IF(OR($K887="",$L887=""),"",ROUND(MAX(0,($L887-$K887)-IF($G887="",0,$G887))/60,2))</f>
        <v/>
      </c>
      <c r="I887" s="8"/>
      <c r="J887" s="8"/>
      <c r="K887" s="17" t="str">
        <f aca="false">IF($E887="","",IF($E887&lt;1,ROUND($E887*1440,0),INT($E887/100)*60+MOD($E887,100)))</f>
        <v/>
      </c>
      <c r="L887" s="17" t="str">
        <f aca="false">IF($F887="","",IF($F887&lt;1,ROUND($F887*1440,0),INT($F887/100)*60+MOD($F887,100)))</f>
        <v/>
      </c>
    </row>
    <row r="888" customFormat="false" ht="15" hidden="false" customHeight="true" outlineLevel="0" collapsed="false">
      <c r="A888" s="10"/>
      <c r="B888" s="8"/>
      <c r="C888" s="13" t="str">
        <f aca="false">IF($B888="","",IFERROR(INDEX(직원목록!$B$3:$B$302,MATCH($B888,직원목록!$A$3:$A$302,0)),"미등록사번"))</f>
        <v/>
      </c>
      <c r="D888" s="13" t="str">
        <f aca="false">IF($B888="","",IFERROR(INDEX(직원목록!$C$3:$C$302,MATCH($B888,직원목록!$A$3:$A$302,0)),""))</f>
        <v/>
      </c>
      <c r="E888" s="14"/>
      <c r="F888" s="14"/>
      <c r="G888" s="15"/>
      <c r="H888" s="16" t="str">
        <f aca="false">IF(OR($K888="",$L888=""),"",ROUND(MAX(0,($L888-$K888)-IF($G888="",0,$G888))/60,2))</f>
        <v/>
      </c>
      <c r="I888" s="8"/>
      <c r="J888" s="8"/>
      <c r="K888" s="17" t="str">
        <f aca="false">IF($E888="","",IF($E888&lt;1,ROUND($E888*1440,0),INT($E888/100)*60+MOD($E888,100)))</f>
        <v/>
      </c>
      <c r="L888" s="17" t="str">
        <f aca="false">IF($F888="","",IF($F888&lt;1,ROUND($F888*1440,0),INT($F888/100)*60+MOD($F888,100)))</f>
        <v/>
      </c>
    </row>
    <row r="889" customFormat="false" ht="15" hidden="false" customHeight="true" outlineLevel="0" collapsed="false">
      <c r="A889" s="10"/>
      <c r="B889" s="8"/>
      <c r="C889" s="13" t="str">
        <f aca="false">IF($B889="","",IFERROR(INDEX(직원목록!$B$3:$B$302,MATCH($B889,직원목록!$A$3:$A$302,0)),"미등록사번"))</f>
        <v/>
      </c>
      <c r="D889" s="13" t="str">
        <f aca="false">IF($B889="","",IFERROR(INDEX(직원목록!$C$3:$C$302,MATCH($B889,직원목록!$A$3:$A$302,0)),""))</f>
        <v/>
      </c>
      <c r="E889" s="14"/>
      <c r="F889" s="14"/>
      <c r="G889" s="15"/>
      <c r="H889" s="16" t="str">
        <f aca="false">IF(OR($K889="",$L889=""),"",ROUND(MAX(0,($L889-$K889)-IF($G889="",0,$G889))/60,2))</f>
        <v/>
      </c>
      <c r="I889" s="8"/>
      <c r="J889" s="8"/>
      <c r="K889" s="17" t="str">
        <f aca="false">IF($E889="","",IF($E889&lt;1,ROUND($E889*1440,0),INT($E889/100)*60+MOD($E889,100)))</f>
        <v/>
      </c>
      <c r="L889" s="17" t="str">
        <f aca="false">IF($F889="","",IF($F889&lt;1,ROUND($F889*1440,0),INT($F889/100)*60+MOD($F889,100)))</f>
        <v/>
      </c>
    </row>
    <row r="890" customFormat="false" ht="15" hidden="false" customHeight="true" outlineLevel="0" collapsed="false">
      <c r="A890" s="10"/>
      <c r="B890" s="8"/>
      <c r="C890" s="13" t="str">
        <f aca="false">IF($B890="","",IFERROR(INDEX(직원목록!$B$3:$B$302,MATCH($B890,직원목록!$A$3:$A$302,0)),"미등록사번"))</f>
        <v/>
      </c>
      <c r="D890" s="13" t="str">
        <f aca="false">IF($B890="","",IFERROR(INDEX(직원목록!$C$3:$C$302,MATCH($B890,직원목록!$A$3:$A$302,0)),""))</f>
        <v/>
      </c>
      <c r="E890" s="14"/>
      <c r="F890" s="14"/>
      <c r="G890" s="15"/>
      <c r="H890" s="16" t="str">
        <f aca="false">IF(OR($K890="",$L890=""),"",ROUND(MAX(0,($L890-$K890)-IF($G890="",0,$G890))/60,2))</f>
        <v/>
      </c>
      <c r="I890" s="8"/>
      <c r="J890" s="8"/>
      <c r="K890" s="17" t="str">
        <f aca="false">IF($E890="","",IF($E890&lt;1,ROUND($E890*1440,0),INT($E890/100)*60+MOD($E890,100)))</f>
        <v/>
      </c>
      <c r="L890" s="17" t="str">
        <f aca="false">IF($F890="","",IF($F890&lt;1,ROUND($F890*1440,0),INT($F890/100)*60+MOD($F890,100)))</f>
        <v/>
      </c>
    </row>
    <row r="891" customFormat="false" ht="15" hidden="false" customHeight="true" outlineLevel="0" collapsed="false">
      <c r="A891" s="10"/>
      <c r="B891" s="8"/>
      <c r="C891" s="13" t="str">
        <f aca="false">IF($B891="","",IFERROR(INDEX(직원목록!$B$3:$B$302,MATCH($B891,직원목록!$A$3:$A$302,0)),"미등록사번"))</f>
        <v/>
      </c>
      <c r="D891" s="13" t="str">
        <f aca="false">IF($B891="","",IFERROR(INDEX(직원목록!$C$3:$C$302,MATCH($B891,직원목록!$A$3:$A$302,0)),""))</f>
        <v/>
      </c>
      <c r="E891" s="14"/>
      <c r="F891" s="14"/>
      <c r="G891" s="15"/>
      <c r="H891" s="16" t="str">
        <f aca="false">IF(OR($K891="",$L891=""),"",ROUND(MAX(0,($L891-$K891)-IF($G891="",0,$G891))/60,2))</f>
        <v/>
      </c>
      <c r="I891" s="8"/>
      <c r="J891" s="8"/>
      <c r="K891" s="17" t="str">
        <f aca="false">IF($E891="","",IF($E891&lt;1,ROUND($E891*1440,0),INT($E891/100)*60+MOD($E891,100)))</f>
        <v/>
      </c>
      <c r="L891" s="17" t="str">
        <f aca="false">IF($F891="","",IF($F891&lt;1,ROUND($F891*1440,0),INT($F891/100)*60+MOD($F891,100)))</f>
        <v/>
      </c>
    </row>
    <row r="892" customFormat="false" ht="15" hidden="false" customHeight="true" outlineLevel="0" collapsed="false">
      <c r="A892" s="10"/>
      <c r="B892" s="8"/>
      <c r="C892" s="13" t="str">
        <f aca="false">IF($B892="","",IFERROR(INDEX(직원목록!$B$3:$B$302,MATCH($B892,직원목록!$A$3:$A$302,0)),"미등록사번"))</f>
        <v/>
      </c>
      <c r="D892" s="13" t="str">
        <f aca="false">IF($B892="","",IFERROR(INDEX(직원목록!$C$3:$C$302,MATCH($B892,직원목록!$A$3:$A$302,0)),""))</f>
        <v/>
      </c>
      <c r="E892" s="14"/>
      <c r="F892" s="14"/>
      <c r="G892" s="15"/>
      <c r="H892" s="16" t="str">
        <f aca="false">IF(OR($K892="",$L892=""),"",ROUND(MAX(0,($L892-$K892)-IF($G892="",0,$G892))/60,2))</f>
        <v/>
      </c>
      <c r="I892" s="8"/>
      <c r="J892" s="8"/>
      <c r="K892" s="17" t="str">
        <f aca="false">IF($E892="","",IF($E892&lt;1,ROUND($E892*1440,0),INT($E892/100)*60+MOD($E892,100)))</f>
        <v/>
      </c>
      <c r="L892" s="17" t="str">
        <f aca="false">IF($F892="","",IF($F892&lt;1,ROUND($F892*1440,0),INT($F892/100)*60+MOD($F892,100)))</f>
        <v/>
      </c>
    </row>
    <row r="893" customFormat="false" ht="15" hidden="false" customHeight="true" outlineLevel="0" collapsed="false">
      <c r="A893" s="10"/>
      <c r="B893" s="8"/>
      <c r="C893" s="13" t="str">
        <f aca="false">IF($B893="","",IFERROR(INDEX(직원목록!$B$3:$B$302,MATCH($B893,직원목록!$A$3:$A$302,0)),"미등록사번"))</f>
        <v/>
      </c>
      <c r="D893" s="13" t="str">
        <f aca="false">IF($B893="","",IFERROR(INDEX(직원목록!$C$3:$C$302,MATCH($B893,직원목록!$A$3:$A$302,0)),""))</f>
        <v/>
      </c>
      <c r="E893" s="14"/>
      <c r="F893" s="14"/>
      <c r="G893" s="15"/>
      <c r="H893" s="16" t="str">
        <f aca="false">IF(OR($K893="",$L893=""),"",ROUND(MAX(0,($L893-$K893)-IF($G893="",0,$G893))/60,2))</f>
        <v/>
      </c>
      <c r="I893" s="8"/>
      <c r="J893" s="8"/>
      <c r="K893" s="17" t="str">
        <f aca="false">IF($E893="","",IF($E893&lt;1,ROUND($E893*1440,0),INT($E893/100)*60+MOD($E893,100)))</f>
        <v/>
      </c>
      <c r="L893" s="17" t="str">
        <f aca="false">IF($F893="","",IF($F893&lt;1,ROUND($F893*1440,0),INT($F893/100)*60+MOD($F893,100)))</f>
        <v/>
      </c>
    </row>
    <row r="894" customFormat="false" ht="15" hidden="false" customHeight="true" outlineLevel="0" collapsed="false">
      <c r="A894" s="10"/>
      <c r="B894" s="8"/>
      <c r="C894" s="13" t="str">
        <f aca="false">IF($B894="","",IFERROR(INDEX(직원목록!$B$3:$B$302,MATCH($B894,직원목록!$A$3:$A$302,0)),"미등록사번"))</f>
        <v/>
      </c>
      <c r="D894" s="13" t="str">
        <f aca="false">IF($B894="","",IFERROR(INDEX(직원목록!$C$3:$C$302,MATCH($B894,직원목록!$A$3:$A$302,0)),""))</f>
        <v/>
      </c>
      <c r="E894" s="14"/>
      <c r="F894" s="14"/>
      <c r="G894" s="15"/>
      <c r="H894" s="16" t="str">
        <f aca="false">IF(OR($K894="",$L894=""),"",ROUND(MAX(0,($L894-$K894)-IF($G894="",0,$G894))/60,2))</f>
        <v/>
      </c>
      <c r="I894" s="8"/>
      <c r="J894" s="8"/>
      <c r="K894" s="17" t="str">
        <f aca="false">IF($E894="","",IF($E894&lt;1,ROUND($E894*1440,0),INT($E894/100)*60+MOD($E894,100)))</f>
        <v/>
      </c>
      <c r="L894" s="17" t="str">
        <f aca="false">IF($F894="","",IF($F894&lt;1,ROUND($F894*1440,0),INT($F894/100)*60+MOD($F894,100)))</f>
        <v/>
      </c>
    </row>
    <row r="895" customFormat="false" ht="15" hidden="false" customHeight="true" outlineLevel="0" collapsed="false">
      <c r="A895" s="10"/>
      <c r="B895" s="8"/>
      <c r="C895" s="13" t="str">
        <f aca="false">IF($B895="","",IFERROR(INDEX(직원목록!$B$3:$B$302,MATCH($B895,직원목록!$A$3:$A$302,0)),"미등록사번"))</f>
        <v/>
      </c>
      <c r="D895" s="13" t="str">
        <f aca="false">IF($B895="","",IFERROR(INDEX(직원목록!$C$3:$C$302,MATCH($B895,직원목록!$A$3:$A$302,0)),""))</f>
        <v/>
      </c>
      <c r="E895" s="14"/>
      <c r="F895" s="14"/>
      <c r="G895" s="15"/>
      <c r="H895" s="16" t="str">
        <f aca="false">IF(OR($K895="",$L895=""),"",ROUND(MAX(0,($L895-$K895)-IF($G895="",0,$G895))/60,2))</f>
        <v/>
      </c>
      <c r="I895" s="8"/>
      <c r="J895" s="8"/>
      <c r="K895" s="17" t="str">
        <f aca="false">IF($E895="","",IF($E895&lt;1,ROUND($E895*1440,0),INT($E895/100)*60+MOD($E895,100)))</f>
        <v/>
      </c>
      <c r="L895" s="17" t="str">
        <f aca="false">IF($F895="","",IF($F895&lt;1,ROUND($F895*1440,0),INT($F895/100)*60+MOD($F895,100)))</f>
        <v/>
      </c>
    </row>
    <row r="896" customFormat="false" ht="15" hidden="false" customHeight="true" outlineLevel="0" collapsed="false">
      <c r="A896" s="10"/>
      <c r="B896" s="8"/>
      <c r="C896" s="13" t="str">
        <f aca="false">IF($B896="","",IFERROR(INDEX(직원목록!$B$3:$B$302,MATCH($B896,직원목록!$A$3:$A$302,0)),"미등록사번"))</f>
        <v/>
      </c>
      <c r="D896" s="13" t="str">
        <f aca="false">IF($B896="","",IFERROR(INDEX(직원목록!$C$3:$C$302,MATCH($B896,직원목록!$A$3:$A$302,0)),""))</f>
        <v/>
      </c>
      <c r="E896" s="14"/>
      <c r="F896" s="14"/>
      <c r="G896" s="15"/>
      <c r="H896" s="16" t="str">
        <f aca="false">IF(OR($K896="",$L896=""),"",ROUND(MAX(0,($L896-$K896)-IF($G896="",0,$G896))/60,2))</f>
        <v/>
      </c>
      <c r="I896" s="8"/>
      <c r="J896" s="8"/>
      <c r="K896" s="17" t="str">
        <f aca="false">IF($E896="","",IF($E896&lt;1,ROUND($E896*1440,0),INT($E896/100)*60+MOD($E896,100)))</f>
        <v/>
      </c>
      <c r="L896" s="17" t="str">
        <f aca="false">IF($F896="","",IF($F896&lt;1,ROUND($F896*1440,0),INT($F896/100)*60+MOD($F896,100)))</f>
        <v/>
      </c>
    </row>
    <row r="897" customFormat="false" ht="15" hidden="false" customHeight="true" outlineLevel="0" collapsed="false">
      <c r="A897" s="10"/>
      <c r="B897" s="8"/>
      <c r="C897" s="13" t="str">
        <f aca="false">IF($B897="","",IFERROR(INDEX(직원목록!$B$3:$B$302,MATCH($B897,직원목록!$A$3:$A$302,0)),"미등록사번"))</f>
        <v/>
      </c>
      <c r="D897" s="13" t="str">
        <f aca="false">IF($B897="","",IFERROR(INDEX(직원목록!$C$3:$C$302,MATCH($B897,직원목록!$A$3:$A$302,0)),""))</f>
        <v/>
      </c>
      <c r="E897" s="14"/>
      <c r="F897" s="14"/>
      <c r="G897" s="15"/>
      <c r="H897" s="16" t="str">
        <f aca="false">IF(OR($K897="",$L897=""),"",ROUND(MAX(0,($L897-$K897)-IF($G897="",0,$G897))/60,2))</f>
        <v/>
      </c>
      <c r="I897" s="8"/>
      <c r="J897" s="8"/>
      <c r="K897" s="17" t="str">
        <f aca="false">IF($E897="","",IF($E897&lt;1,ROUND($E897*1440,0),INT($E897/100)*60+MOD($E897,100)))</f>
        <v/>
      </c>
      <c r="L897" s="17" t="str">
        <f aca="false">IF($F897="","",IF($F897&lt;1,ROUND($F897*1440,0),INT($F897/100)*60+MOD($F897,100)))</f>
        <v/>
      </c>
    </row>
    <row r="898" customFormat="false" ht="15" hidden="false" customHeight="true" outlineLevel="0" collapsed="false">
      <c r="A898" s="10"/>
      <c r="B898" s="8"/>
      <c r="C898" s="13" t="str">
        <f aca="false">IF($B898="","",IFERROR(INDEX(직원목록!$B$3:$B$302,MATCH($B898,직원목록!$A$3:$A$302,0)),"미등록사번"))</f>
        <v/>
      </c>
      <c r="D898" s="13" t="str">
        <f aca="false">IF($B898="","",IFERROR(INDEX(직원목록!$C$3:$C$302,MATCH($B898,직원목록!$A$3:$A$302,0)),""))</f>
        <v/>
      </c>
      <c r="E898" s="14"/>
      <c r="F898" s="14"/>
      <c r="G898" s="15"/>
      <c r="H898" s="16" t="str">
        <f aca="false">IF(OR($K898="",$L898=""),"",ROUND(MAX(0,($L898-$K898)-IF($G898="",0,$G898))/60,2))</f>
        <v/>
      </c>
      <c r="I898" s="8"/>
      <c r="J898" s="8"/>
      <c r="K898" s="17" t="str">
        <f aca="false">IF($E898="","",IF($E898&lt;1,ROUND($E898*1440,0),INT($E898/100)*60+MOD($E898,100)))</f>
        <v/>
      </c>
      <c r="L898" s="17" t="str">
        <f aca="false">IF($F898="","",IF($F898&lt;1,ROUND($F898*1440,0),INT($F898/100)*60+MOD($F898,100)))</f>
        <v/>
      </c>
    </row>
    <row r="899" customFormat="false" ht="15" hidden="false" customHeight="true" outlineLevel="0" collapsed="false">
      <c r="A899" s="10"/>
      <c r="B899" s="8"/>
      <c r="C899" s="13" t="str">
        <f aca="false">IF($B899="","",IFERROR(INDEX(직원목록!$B$3:$B$302,MATCH($B899,직원목록!$A$3:$A$302,0)),"미등록사번"))</f>
        <v/>
      </c>
      <c r="D899" s="13" t="str">
        <f aca="false">IF($B899="","",IFERROR(INDEX(직원목록!$C$3:$C$302,MATCH($B899,직원목록!$A$3:$A$302,0)),""))</f>
        <v/>
      </c>
      <c r="E899" s="14"/>
      <c r="F899" s="14"/>
      <c r="G899" s="15"/>
      <c r="H899" s="16" t="str">
        <f aca="false">IF(OR($K899="",$L899=""),"",ROUND(MAX(0,($L899-$K899)-IF($G899="",0,$G899))/60,2))</f>
        <v/>
      </c>
      <c r="I899" s="8"/>
      <c r="J899" s="8"/>
      <c r="K899" s="17" t="str">
        <f aca="false">IF($E899="","",IF($E899&lt;1,ROUND($E899*1440,0),INT($E899/100)*60+MOD($E899,100)))</f>
        <v/>
      </c>
      <c r="L899" s="17" t="str">
        <f aca="false">IF($F899="","",IF($F899&lt;1,ROUND($F899*1440,0),INT($F899/100)*60+MOD($F899,100)))</f>
        <v/>
      </c>
    </row>
    <row r="900" customFormat="false" ht="15" hidden="false" customHeight="true" outlineLevel="0" collapsed="false">
      <c r="A900" s="10"/>
      <c r="B900" s="8"/>
      <c r="C900" s="13" t="str">
        <f aca="false">IF($B900="","",IFERROR(INDEX(직원목록!$B$3:$B$302,MATCH($B900,직원목록!$A$3:$A$302,0)),"미등록사번"))</f>
        <v/>
      </c>
      <c r="D900" s="13" t="str">
        <f aca="false">IF($B900="","",IFERROR(INDEX(직원목록!$C$3:$C$302,MATCH($B900,직원목록!$A$3:$A$302,0)),""))</f>
        <v/>
      </c>
      <c r="E900" s="14"/>
      <c r="F900" s="14"/>
      <c r="G900" s="15"/>
      <c r="H900" s="16" t="str">
        <f aca="false">IF(OR($K900="",$L900=""),"",ROUND(MAX(0,($L900-$K900)-IF($G900="",0,$G900))/60,2))</f>
        <v/>
      </c>
      <c r="I900" s="8"/>
      <c r="J900" s="8"/>
      <c r="K900" s="17" t="str">
        <f aca="false">IF($E900="","",IF($E900&lt;1,ROUND($E900*1440,0),INT($E900/100)*60+MOD($E900,100)))</f>
        <v/>
      </c>
      <c r="L900" s="17" t="str">
        <f aca="false">IF($F900="","",IF($F900&lt;1,ROUND($F900*1440,0),INT($F900/100)*60+MOD($F900,100)))</f>
        <v/>
      </c>
    </row>
    <row r="901" customFormat="false" ht="15" hidden="false" customHeight="true" outlineLevel="0" collapsed="false">
      <c r="A901" s="10"/>
      <c r="B901" s="8"/>
      <c r="C901" s="13" t="str">
        <f aca="false">IF($B901="","",IFERROR(INDEX(직원목록!$B$3:$B$302,MATCH($B901,직원목록!$A$3:$A$302,0)),"미등록사번"))</f>
        <v/>
      </c>
      <c r="D901" s="13" t="str">
        <f aca="false">IF($B901="","",IFERROR(INDEX(직원목록!$C$3:$C$302,MATCH($B901,직원목록!$A$3:$A$302,0)),""))</f>
        <v/>
      </c>
      <c r="E901" s="14"/>
      <c r="F901" s="14"/>
      <c r="G901" s="15"/>
      <c r="H901" s="16" t="str">
        <f aca="false">IF(OR($K901="",$L901=""),"",ROUND(MAX(0,($L901-$K901)-IF($G901="",0,$G901))/60,2))</f>
        <v/>
      </c>
      <c r="I901" s="8"/>
      <c r="J901" s="8"/>
      <c r="K901" s="17" t="str">
        <f aca="false">IF($E901="","",IF($E901&lt;1,ROUND($E901*1440,0),INT($E901/100)*60+MOD($E901,100)))</f>
        <v/>
      </c>
      <c r="L901" s="17" t="str">
        <f aca="false">IF($F901="","",IF($F901&lt;1,ROUND($F901*1440,0),INT($F901/100)*60+MOD($F901,100)))</f>
        <v/>
      </c>
    </row>
    <row r="902" customFormat="false" ht="15" hidden="false" customHeight="true" outlineLevel="0" collapsed="false">
      <c r="A902" s="10"/>
      <c r="B902" s="8"/>
      <c r="C902" s="13" t="str">
        <f aca="false">IF($B902="","",IFERROR(INDEX(직원목록!$B$3:$B$302,MATCH($B902,직원목록!$A$3:$A$302,0)),"미등록사번"))</f>
        <v/>
      </c>
      <c r="D902" s="13" t="str">
        <f aca="false">IF($B902="","",IFERROR(INDEX(직원목록!$C$3:$C$302,MATCH($B902,직원목록!$A$3:$A$302,0)),""))</f>
        <v/>
      </c>
      <c r="E902" s="14"/>
      <c r="F902" s="14"/>
      <c r="G902" s="15"/>
      <c r="H902" s="16" t="str">
        <f aca="false">IF(OR($K902="",$L902=""),"",ROUND(MAX(0,($L902-$K902)-IF($G902="",0,$G902))/60,2))</f>
        <v/>
      </c>
      <c r="I902" s="8"/>
      <c r="J902" s="8"/>
      <c r="K902" s="17" t="str">
        <f aca="false">IF($E902="","",IF($E902&lt;1,ROUND($E902*1440,0),INT($E902/100)*60+MOD($E902,100)))</f>
        <v/>
      </c>
      <c r="L902" s="17" t="str">
        <f aca="false">IF($F902="","",IF($F902&lt;1,ROUND($F902*1440,0),INT($F902/100)*60+MOD($F902,100)))</f>
        <v/>
      </c>
    </row>
    <row r="903" customFormat="false" ht="15" hidden="false" customHeight="true" outlineLevel="0" collapsed="false">
      <c r="A903" s="10"/>
      <c r="B903" s="8"/>
      <c r="C903" s="13" t="str">
        <f aca="false">IF($B903="","",IFERROR(INDEX(직원목록!$B$3:$B$302,MATCH($B903,직원목록!$A$3:$A$302,0)),"미등록사번"))</f>
        <v/>
      </c>
      <c r="D903" s="13" t="str">
        <f aca="false">IF($B903="","",IFERROR(INDEX(직원목록!$C$3:$C$302,MATCH($B903,직원목록!$A$3:$A$302,0)),""))</f>
        <v/>
      </c>
      <c r="E903" s="14"/>
      <c r="F903" s="14"/>
      <c r="G903" s="15"/>
      <c r="H903" s="16" t="str">
        <f aca="false">IF(OR($K903="",$L903=""),"",ROUND(MAX(0,($L903-$K903)-IF($G903="",0,$G903))/60,2))</f>
        <v/>
      </c>
      <c r="I903" s="8"/>
      <c r="J903" s="8"/>
      <c r="K903" s="17" t="str">
        <f aca="false">IF($E903="","",IF($E903&lt;1,ROUND($E903*1440,0),INT($E903/100)*60+MOD($E903,100)))</f>
        <v/>
      </c>
      <c r="L903" s="17" t="str">
        <f aca="false">IF($F903="","",IF($F903&lt;1,ROUND($F903*1440,0),INT($F903/100)*60+MOD($F903,100)))</f>
        <v/>
      </c>
    </row>
    <row r="904" customFormat="false" ht="15" hidden="false" customHeight="true" outlineLevel="0" collapsed="false">
      <c r="A904" s="10"/>
      <c r="B904" s="8"/>
      <c r="C904" s="13" t="str">
        <f aca="false">IF($B904="","",IFERROR(INDEX(직원목록!$B$3:$B$302,MATCH($B904,직원목록!$A$3:$A$302,0)),"미등록사번"))</f>
        <v/>
      </c>
      <c r="D904" s="13" t="str">
        <f aca="false">IF($B904="","",IFERROR(INDEX(직원목록!$C$3:$C$302,MATCH($B904,직원목록!$A$3:$A$302,0)),""))</f>
        <v/>
      </c>
      <c r="E904" s="14"/>
      <c r="F904" s="14"/>
      <c r="G904" s="15"/>
      <c r="H904" s="16" t="str">
        <f aca="false">IF(OR($K904="",$L904=""),"",ROUND(MAX(0,($L904-$K904)-IF($G904="",0,$G904))/60,2))</f>
        <v/>
      </c>
      <c r="I904" s="8"/>
      <c r="J904" s="8"/>
      <c r="K904" s="17" t="str">
        <f aca="false">IF($E904="","",IF($E904&lt;1,ROUND($E904*1440,0),INT($E904/100)*60+MOD($E904,100)))</f>
        <v/>
      </c>
      <c r="L904" s="17" t="str">
        <f aca="false">IF($F904="","",IF($F904&lt;1,ROUND($F904*1440,0),INT($F904/100)*60+MOD($F904,100)))</f>
        <v/>
      </c>
    </row>
    <row r="905" customFormat="false" ht="15" hidden="false" customHeight="true" outlineLevel="0" collapsed="false">
      <c r="A905" s="10"/>
      <c r="B905" s="8"/>
      <c r="C905" s="13" t="str">
        <f aca="false">IF($B905="","",IFERROR(INDEX(직원목록!$B$3:$B$302,MATCH($B905,직원목록!$A$3:$A$302,0)),"미등록사번"))</f>
        <v/>
      </c>
      <c r="D905" s="13" t="str">
        <f aca="false">IF($B905="","",IFERROR(INDEX(직원목록!$C$3:$C$302,MATCH($B905,직원목록!$A$3:$A$302,0)),""))</f>
        <v/>
      </c>
      <c r="E905" s="14"/>
      <c r="F905" s="14"/>
      <c r="G905" s="15"/>
      <c r="H905" s="16" t="str">
        <f aca="false">IF(OR($K905="",$L905=""),"",ROUND(MAX(0,($L905-$K905)-IF($G905="",0,$G905))/60,2))</f>
        <v/>
      </c>
      <c r="I905" s="8"/>
      <c r="J905" s="8"/>
      <c r="K905" s="17" t="str">
        <f aca="false">IF($E905="","",IF($E905&lt;1,ROUND($E905*1440,0),INT($E905/100)*60+MOD($E905,100)))</f>
        <v/>
      </c>
      <c r="L905" s="17" t="str">
        <f aca="false">IF($F905="","",IF($F905&lt;1,ROUND($F905*1440,0),INT($F905/100)*60+MOD($F905,100)))</f>
        <v/>
      </c>
    </row>
    <row r="906" customFormat="false" ht="15" hidden="false" customHeight="true" outlineLevel="0" collapsed="false">
      <c r="A906" s="10"/>
      <c r="B906" s="8"/>
      <c r="C906" s="13" t="str">
        <f aca="false">IF($B906="","",IFERROR(INDEX(직원목록!$B$3:$B$302,MATCH($B906,직원목록!$A$3:$A$302,0)),"미등록사번"))</f>
        <v/>
      </c>
      <c r="D906" s="13" t="str">
        <f aca="false">IF($B906="","",IFERROR(INDEX(직원목록!$C$3:$C$302,MATCH($B906,직원목록!$A$3:$A$302,0)),""))</f>
        <v/>
      </c>
      <c r="E906" s="14"/>
      <c r="F906" s="14"/>
      <c r="G906" s="15"/>
      <c r="H906" s="16" t="str">
        <f aca="false">IF(OR($K906="",$L906=""),"",ROUND(MAX(0,($L906-$K906)-IF($G906="",0,$G906))/60,2))</f>
        <v/>
      </c>
      <c r="I906" s="8"/>
      <c r="J906" s="8"/>
      <c r="K906" s="17" t="str">
        <f aca="false">IF($E906="","",IF($E906&lt;1,ROUND($E906*1440,0),INT($E906/100)*60+MOD($E906,100)))</f>
        <v/>
      </c>
      <c r="L906" s="17" t="str">
        <f aca="false">IF($F906="","",IF($F906&lt;1,ROUND($F906*1440,0),INT($F906/100)*60+MOD($F906,100)))</f>
        <v/>
      </c>
    </row>
    <row r="907" customFormat="false" ht="15" hidden="false" customHeight="true" outlineLevel="0" collapsed="false">
      <c r="A907" s="10"/>
      <c r="B907" s="8"/>
      <c r="C907" s="13" t="str">
        <f aca="false">IF($B907="","",IFERROR(INDEX(직원목록!$B$3:$B$302,MATCH($B907,직원목록!$A$3:$A$302,0)),"미등록사번"))</f>
        <v/>
      </c>
      <c r="D907" s="13" t="str">
        <f aca="false">IF($B907="","",IFERROR(INDEX(직원목록!$C$3:$C$302,MATCH($B907,직원목록!$A$3:$A$302,0)),""))</f>
        <v/>
      </c>
      <c r="E907" s="14"/>
      <c r="F907" s="14"/>
      <c r="G907" s="15"/>
      <c r="H907" s="16" t="str">
        <f aca="false">IF(OR($K907="",$L907=""),"",ROUND(MAX(0,($L907-$K907)-IF($G907="",0,$G907))/60,2))</f>
        <v/>
      </c>
      <c r="I907" s="8"/>
      <c r="J907" s="8"/>
      <c r="K907" s="17" t="str">
        <f aca="false">IF($E907="","",IF($E907&lt;1,ROUND($E907*1440,0),INT($E907/100)*60+MOD($E907,100)))</f>
        <v/>
      </c>
      <c r="L907" s="17" t="str">
        <f aca="false">IF($F907="","",IF($F907&lt;1,ROUND($F907*1440,0),INT($F907/100)*60+MOD($F907,100)))</f>
        <v/>
      </c>
    </row>
    <row r="908" customFormat="false" ht="15" hidden="false" customHeight="true" outlineLevel="0" collapsed="false">
      <c r="A908" s="10"/>
      <c r="B908" s="8"/>
      <c r="C908" s="13" t="str">
        <f aca="false">IF($B908="","",IFERROR(INDEX(직원목록!$B$3:$B$302,MATCH($B908,직원목록!$A$3:$A$302,0)),"미등록사번"))</f>
        <v/>
      </c>
      <c r="D908" s="13" t="str">
        <f aca="false">IF($B908="","",IFERROR(INDEX(직원목록!$C$3:$C$302,MATCH($B908,직원목록!$A$3:$A$302,0)),""))</f>
        <v/>
      </c>
      <c r="E908" s="14"/>
      <c r="F908" s="14"/>
      <c r="G908" s="15"/>
      <c r="H908" s="16" t="str">
        <f aca="false">IF(OR($K908="",$L908=""),"",ROUND(MAX(0,($L908-$K908)-IF($G908="",0,$G908))/60,2))</f>
        <v/>
      </c>
      <c r="I908" s="8"/>
      <c r="J908" s="8"/>
      <c r="K908" s="17" t="str">
        <f aca="false">IF($E908="","",IF($E908&lt;1,ROUND($E908*1440,0),INT($E908/100)*60+MOD($E908,100)))</f>
        <v/>
      </c>
      <c r="L908" s="17" t="str">
        <f aca="false">IF($F908="","",IF($F908&lt;1,ROUND($F908*1440,0),INT($F908/100)*60+MOD($F908,100)))</f>
        <v/>
      </c>
    </row>
    <row r="909" customFormat="false" ht="15" hidden="false" customHeight="true" outlineLevel="0" collapsed="false">
      <c r="A909" s="10"/>
      <c r="B909" s="8"/>
      <c r="C909" s="13" t="str">
        <f aca="false">IF($B909="","",IFERROR(INDEX(직원목록!$B$3:$B$302,MATCH($B909,직원목록!$A$3:$A$302,0)),"미등록사번"))</f>
        <v/>
      </c>
      <c r="D909" s="13" t="str">
        <f aca="false">IF($B909="","",IFERROR(INDEX(직원목록!$C$3:$C$302,MATCH($B909,직원목록!$A$3:$A$302,0)),""))</f>
        <v/>
      </c>
      <c r="E909" s="14"/>
      <c r="F909" s="14"/>
      <c r="G909" s="15"/>
      <c r="H909" s="16" t="str">
        <f aca="false">IF(OR($K909="",$L909=""),"",ROUND(MAX(0,($L909-$K909)-IF($G909="",0,$G909))/60,2))</f>
        <v/>
      </c>
      <c r="I909" s="8"/>
      <c r="J909" s="8"/>
      <c r="K909" s="17" t="str">
        <f aca="false">IF($E909="","",IF($E909&lt;1,ROUND($E909*1440,0),INT($E909/100)*60+MOD($E909,100)))</f>
        <v/>
      </c>
      <c r="L909" s="17" t="str">
        <f aca="false">IF($F909="","",IF($F909&lt;1,ROUND($F909*1440,0),INT($F909/100)*60+MOD($F909,100)))</f>
        <v/>
      </c>
    </row>
    <row r="910" customFormat="false" ht="15" hidden="false" customHeight="true" outlineLevel="0" collapsed="false">
      <c r="A910" s="10"/>
      <c r="B910" s="8"/>
      <c r="C910" s="13" t="str">
        <f aca="false">IF($B910="","",IFERROR(INDEX(직원목록!$B$3:$B$302,MATCH($B910,직원목록!$A$3:$A$302,0)),"미등록사번"))</f>
        <v/>
      </c>
      <c r="D910" s="13" t="str">
        <f aca="false">IF($B910="","",IFERROR(INDEX(직원목록!$C$3:$C$302,MATCH($B910,직원목록!$A$3:$A$302,0)),""))</f>
        <v/>
      </c>
      <c r="E910" s="14"/>
      <c r="F910" s="14"/>
      <c r="G910" s="15"/>
      <c r="H910" s="16" t="str">
        <f aca="false">IF(OR($K910="",$L910=""),"",ROUND(MAX(0,($L910-$K910)-IF($G910="",0,$G910))/60,2))</f>
        <v/>
      </c>
      <c r="I910" s="8"/>
      <c r="J910" s="8"/>
      <c r="K910" s="17" t="str">
        <f aca="false">IF($E910="","",IF($E910&lt;1,ROUND($E910*1440,0),INT($E910/100)*60+MOD($E910,100)))</f>
        <v/>
      </c>
      <c r="L910" s="17" t="str">
        <f aca="false">IF($F910="","",IF($F910&lt;1,ROUND($F910*1440,0),INT($F910/100)*60+MOD($F910,100)))</f>
        <v/>
      </c>
    </row>
    <row r="911" customFormat="false" ht="15" hidden="false" customHeight="true" outlineLevel="0" collapsed="false">
      <c r="A911" s="10"/>
      <c r="B911" s="8"/>
      <c r="C911" s="13" t="str">
        <f aca="false">IF($B911="","",IFERROR(INDEX(직원목록!$B$3:$B$302,MATCH($B911,직원목록!$A$3:$A$302,0)),"미등록사번"))</f>
        <v/>
      </c>
      <c r="D911" s="13" t="str">
        <f aca="false">IF($B911="","",IFERROR(INDEX(직원목록!$C$3:$C$302,MATCH($B911,직원목록!$A$3:$A$302,0)),""))</f>
        <v/>
      </c>
      <c r="E911" s="14"/>
      <c r="F911" s="14"/>
      <c r="G911" s="15"/>
      <c r="H911" s="16" t="str">
        <f aca="false">IF(OR($K911="",$L911=""),"",ROUND(MAX(0,($L911-$K911)-IF($G911="",0,$G911))/60,2))</f>
        <v/>
      </c>
      <c r="I911" s="8"/>
      <c r="J911" s="8"/>
      <c r="K911" s="17" t="str">
        <f aca="false">IF($E911="","",IF($E911&lt;1,ROUND($E911*1440,0),INT($E911/100)*60+MOD($E911,100)))</f>
        <v/>
      </c>
      <c r="L911" s="17" t="str">
        <f aca="false">IF($F911="","",IF($F911&lt;1,ROUND($F911*1440,0),INT($F911/100)*60+MOD($F911,100)))</f>
        <v/>
      </c>
    </row>
    <row r="912" customFormat="false" ht="15" hidden="false" customHeight="true" outlineLevel="0" collapsed="false">
      <c r="A912" s="10"/>
      <c r="B912" s="8"/>
      <c r="C912" s="13" t="str">
        <f aca="false">IF($B912="","",IFERROR(INDEX(직원목록!$B$3:$B$302,MATCH($B912,직원목록!$A$3:$A$302,0)),"미등록사번"))</f>
        <v/>
      </c>
      <c r="D912" s="13" t="str">
        <f aca="false">IF($B912="","",IFERROR(INDEX(직원목록!$C$3:$C$302,MATCH($B912,직원목록!$A$3:$A$302,0)),""))</f>
        <v/>
      </c>
      <c r="E912" s="14"/>
      <c r="F912" s="14"/>
      <c r="G912" s="15"/>
      <c r="H912" s="16" t="str">
        <f aca="false">IF(OR($K912="",$L912=""),"",ROUND(MAX(0,($L912-$K912)-IF($G912="",0,$G912))/60,2))</f>
        <v/>
      </c>
      <c r="I912" s="8"/>
      <c r="J912" s="8"/>
      <c r="K912" s="17" t="str">
        <f aca="false">IF($E912="","",IF($E912&lt;1,ROUND($E912*1440,0),INT($E912/100)*60+MOD($E912,100)))</f>
        <v/>
      </c>
      <c r="L912" s="17" t="str">
        <f aca="false">IF($F912="","",IF($F912&lt;1,ROUND($F912*1440,0),INT($F912/100)*60+MOD($F912,100)))</f>
        <v/>
      </c>
    </row>
    <row r="913" customFormat="false" ht="15" hidden="false" customHeight="true" outlineLevel="0" collapsed="false">
      <c r="A913" s="10"/>
      <c r="B913" s="8"/>
      <c r="C913" s="13" t="str">
        <f aca="false">IF($B913="","",IFERROR(INDEX(직원목록!$B$3:$B$302,MATCH($B913,직원목록!$A$3:$A$302,0)),"미등록사번"))</f>
        <v/>
      </c>
      <c r="D913" s="13" t="str">
        <f aca="false">IF($B913="","",IFERROR(INDEX(직원목록!$C$3:$C$302,MATCH($B913,직원목록!$A$3:$A$302,0)),""))</f>
        <v/>
      </c>
      <c r="E913" s="14"/>
      <c r="F913" s="14"/>
      <c r="G913" s="15"/>
      <c r="H913" s="16" t="str">
        <f aca="false">IF(OR($K913="",$L913=""),"",ROUND(MAX(0,($L913-$K913)-IF($G913="",0,$G913))/60,2))</f>
        <v/>
      </c>
      <c r="I913" s="8"/>
      <c r="J913" s="8"/>
      <c r="K913" s="17" t="str">
        <f aca="false">IF($E913="","",IF($E913&lt;1,ROUND($E913*1440,0),INT($E913/100)*60+MOD($E913,100)))</f>
        <v/>
      </c>
      <c r="L913" s="17" t="str">
        <f aca="false">IF($F913="","",IF($F913&lt;1,ROUND($F913*1440,0),INT($F913/100)*60+MOD($F913,100)))</f>
        <v/>
      </c>
    </row>
    <row r="914" customFormat="false" ht="15" hidden="false" customHeight="true" outlineLevel="0" collapsed="false">
      <c r="A914" s="10"/>
      <c r="B914" s="8"/>
      <c r="C914" s="13" t="str">
        <f aca="false">IF($B914="","",IFERROR(INDEX(직원목록!$B$3:$B$302,MATCH($B914,직원목록!$A$3:$A$302,0)),"미등록사번"))</f>
        <v/>
      </c>
      <c r="D914" s="13" t="str">
        <f aca="false">IF($B914="","",IFERROR(INDEX(직원목록!$C$3:$C$302,MATCH($B914,직원목록!$A$3:$A$302,0)),""))</f>
        <v/>
      </c>
      <c r="E914" s="14"/>
      <c r="F914" s="14"/>
      <c r="G914" s="15"/>
      <c r="H914" s="16" t="str">
        <f aca="false">IF(OR($K914="",$L914=""),"",ROUND(MAX(0,($L914-$K914)-IF($G914="",0,$G914))/60,2))</f>
        <v/>
      </c>
      <c r="I914" s="8"/>
      <c r="J914" s="8"/>
      <c r="K914" s="17" t="str">
        <f aca="false">IF($E914="","",IF($E914&lt;1,ROUND($E914*1440,0),INT($E914/100)*60+MOD($E914,100)))</f>
        <v/>
      </c>
      <c r="L914" s="17" t="str">
        <f aca="false">IF($F914="","",IF($F914&lt;1,ROUND($F914*1440,0),INT($F914/100)*60+MOD($F914,100)))</f>
        <v/>
      </c>
    </row>
    <row r="915" customFormat="false" ht="15" hidden="false" customHeight="true" outlineLevel="0" collapsed="false">
      <c r="A915" s="10"/>
      <c r="B915" s="8"/>
      <c r="C915" s="13" t="str">
        <f aca="false">IF($B915="","",IFERROR(INDEX(직원목록!$B$3:$B$302,MATCH($B915,직원목록!$A$3:$A$302,0)),"미등록사번"))</f>
        <v/>
      </c>
      <c r="D915" s="13" t="str">
        <f aca="false">IF($B915="","",IFERROR(INDEX(직원목록!$C$3:$C$302,MATCH($B915,직원목록!$A$3:$A$302,0)),""))</f>
        <v/>
      </c>
      <c r="E915" s="14"/>
      <c r="F915" s="14"/>
      <c r="G915" s="15"/>
      <c r="H915" s="16" t="str">
        <f aca="false">IF(OR($K915="",$L915=""),"",ROUND(MAX(0,($L915-$K915)-IF($G915="",0,$G915))/60,2))</f>
        <v/>
      </c>
      <c r="I915" s="8"/>
      <c r="J915" s="8"/>
      <c r="K915" s="17" t="str">
        <f aca="false">IF($E915="","",IF($E915&lt;1,ROUND($E915*1440,0),INT($E915/100)*60+MOD($E915,100)))</f>
        <v/>
      </c>
      <c r="L915" s="17" t="str">
        <f aca="false">IF($F915="","",IF($F915&lt;1,ROUND($F915*1440,0),INT($F915/100)*60+MOD($F915,100)))</f>
        <v/>
      </c>
    </row>
    <row r="916" customFormat="false" ht="15" hidden="false" customHeight="true" outlineLevel="0" collapsed="false">
      <c r="A916" s="10"/>
      <c r="B916" s="8"/>
      <c r="C916" s="13" t="str">
        <f aca="false">IF($B916="","",IFERROR(INDEX(직원목록!$B$3:$B$302,MATCH($B916,직원목록!$A$3:$A$302,0)),"미등록사번"))</f>
        <v/>
      </c>
      <c r="D916" s="13" t="str">
        <f aca="false">IF($B916="","",IFERROR(INDEX(직원목록!$C$3:$C$302,MATCH($B916,직원목록!$A$3:$A$302,0)),""))</f>
        <v/>
      </c>
      <c r="E916" s="14"/>
      <c r="F916" s="14"/>
      <c r="G916" s="15"/>
      <c r="H916" s="16" t="str">
        <f aca="false">IF(OR($K916="",$L916=""),"",ROUND(MAX(0,($L916-$K916)-IF($G916="",0,$G916))/60,2))</f>
        <v/>
      </c>
      <c r="I916" s="8"/>
      <c r="J916" s="8"/>
      <c r="K916" s="17" t="str">
        <f aca="false">IF($E916="","",IF($E916&lt;1,ROUND($E916*1440,0),INT($E916/100)*60+MOD($E916,100)))</f>
        <v/>
      </c>
      <c r="L916" s="17" t="str">
        <f aca="false">IF($F916="","",IF($F916&lt;1,ROUND($F916*1440,0),INT($F916/100)*60+MOD($F916,100)))</f>
        <v/>
      </c>
    </row>
    <row r="917" customFormat="false" ht="15" hidden="false" customHeight="true" outlineLevel="0" collapsed="false">
      <c r="A917" s="10"/>
      <c r="B917" s="8"/>
      <c r="C917" s="13" t="str">
        <f aca="false">IF($B917="","",IFERROR(INDEX(직원목록!$B$3:$B$302,MATCH($B917,직원목록!$A$3:$A$302,0)),"미등록사번"))</f>
        <v/>
      </c>
      <c r="D917" s="13" t="str">
        <f aca="false">IF($B917="","",IFERROR(INDEX(직원목록!$C$3:$C$302,MATCH($B917,직원목록!$A$3:$A$302,0)),""))</f>
        <v/>
      </c>
      <c r="E917" s="14"/>
      <c r="F917" s="14"/>
      <c r="G917" s="15"/>
      <c r="H917" s="16" t="str">
        <f aca="false">IF(OR($K917="",$L917=""),"",ROUND(MAX(0,($L917-$K917)-IF($G917="",0,$G917))/60,2))</f>
        <v/>
      </c>
      <c r="I917" s="8"/>
      <c r="J917" s="8"/>
      <c r="K917" s="17" t="str">
        <f aca="false">IF($E917="","",IF($E917&lt;1,ROUND($E917*1440,0),INT($E917/100)*60+MOD($E917,100)))</f>
        <v/>
      </c>
      <c r="L917" s="17" t="str">
        <f aca="false">IF($F917="","",IF($F917&lt;1,ROUND($F917*1440,0),INT($F917/100)*60+MOD($F917,100)))</f>
        <v/>
      </c>
    </row>
    <row r="918" customFormat="false" ht="15" hidden="false" customHeight="true" outlineLevel="0" collapsed="false">
      <c r="A918" s="10"/>
      <c r="B918" s="8"/>
      <c r="C918" s="13" t="str">
        <f aca="false">IF($B918="","",IFERROR(INDEX(직원목록!$B$3:$B$302,MATCH($B918,직원목록!$A$3:$A$302,0)),"미등록사번"))</f>
        <v/>
      </c>
      <c r="D918" s="13" t="str">
        <f aca="false">IF($B918="","",IFERROR(INDEX(직원목록!$C$3:$C$302,MATCH($B918,직원목록!$A$3:$A$302,0)),""))</f>
        <v/>
      </c>
      <c r="E918" s="14"/>
      <c r="F918" s="14"/>
      <c r="G918" s="15"/>
      <c r="H918" s="16" t="str">
        <f aca="false">IF(OR($K918="",$L918=""),"",ROUND(MAX(0,($L918-$K918)-IF($G918="",0,$G918))/60,2))</f>
        <v/>
      </c>
      <c r="I918" s="8"/>
      <c r="J918" s="8"/>
      <c r="K918" s="17" t="str">
        <f aca="false">IF($E918="","",IF($E918&lt;1,ROUND($E918*1440,0),INT($E918/100)*60+MOD($E918,100)))</f>
        <v/>
      </c>
      <c r="L918" s="17" t="str">
        <f aca="false">IF($F918="","",IF($F918&lt;1,ROUND($F918*1440,0),INT($F918/100)*60+MOD($F918,100)))</f>
        <v/>
      </c>
    </row>
    <row r="919" customFormat="false" ht="15" hidden="false" customHeight="true" outlineLevel="0" collapsed="false">
      <c r="A919" s="10"/>
      <c r="B919" s="8"/>
      <c r="C919" s="13" t="str">
        <f aca="false">IF($B919="","",IFERROR(INDEX(직원목록!$B$3:$B$302,MATCH($B919,직원목록!$A$3:$A$302,0)),"미등록사번"))</f>
        <v/>
      </c>
      <c r="D919" s="13" t="str">
        <f aca="false">IF($B919="","",IFERROR(INDEX(직원목록!$C$3:$C$302,MATCH($B919,직원목록!$A$3:$A$302,0)),""))</f>
        <v/>
      </c>
      <c r="E919" s="14"/>
      <c r="F919" s="14"/>
      <c r="G919" s="15"/>
      <c r="H919" s="16" t="str">
        <f aca="false">IF(OR($K919="",$L919=""),"",ROUND(MAX(0,($L919-$K919)-IF($G919="",0,$G919))/60,2))</f>
        <v/>
      </c>
      <c r="I919" s="8"/>
      <c r="J919" s="8"/>
      <c r="K919" s="17" t="str">
        <f aca="false">IF($E919="","",IF($E919&lt;1,ROUND($E919*1440,0),INT($E919/100)*60+MOD($E919,100)))</f>
        <v/>
      </c>
      <c r="L919" s="17" t="str">
        <f aca="false">IF($F919="","",IF($F919&lt;1,ROUND($F919*1440,0),INT($F919/100)*60+MOD($F919,100)))</f>
        <v/>
      </c>
    </row>
    <row r="920" customFormat="false" ht="15" hidden="false" customHeight="true" outlineLevel="0" collapsed="false">
      <c r="A920" s="10"/>
      <c r="B920" s="8"/>
      <c r="C920" s="13" t="str">
        <f aca="false">IF($B920="","",IFERROR(INDEX(직원목록!$B$3:$B$302,MATCH($B920,직원목록!$A$3:$A$302,0)),"미등록사번"))</f>
        <v/>
      </c>
      <c r="D920" s="13" t="str">
        <f aca="false">IF($B920="","",IFERROR(INDEX(직원목록!$C$3:$C$302,MATCH($B920,직원목록!$A$3:$A$302,0)),""))</f>
        <v/>
      </c>
      <c r="E920" s="14"/>
      <c r="F920" s="14"/>
      <c r="G920" s="15"/>
      <c r="H920" s="16" t="str">
        <f aca="false">IF(OR($K920="",$L920=""),"",ROUND(MAX(0,($L920-$K920)-IF($G920="",0,$G920))/60,2))</f>
        <v/>
      </c>
      <c r="I920" s="8"/>
      <c r="J920" s="8"/>
      <c r="K920" s="17" t="str">
        <f aca="false">IF($E920="","",IF($E920&lt;1,ROUND($E920*1440,0),INT($E920/100)*60+MOD($E920,100)))</f>
        <v/>
      </c>
      <c r="L920" s="17" t="str">
        <f aca="false">IF($F920="","",IF($F920&lt;1,ROUND($F920*1440,0),INT($F920/100)*60+MOD($F920,100)))</f>
        <v/>
      </c>
    </row>
    <row r="921" customFormat="false" ht="15" hidden="false" customHeight="true" outlineLevel="0" collapsed="false">
      <c r="A921" s="10"/>
      <c r="B921" s="8"/>
      <c r="C921" s="13" t="str">
        <f aca="false">IF($B921="","",IFERROR(INDEX(직원목록!$B$3:$B$302,MATCH($B921,직원목록!$A$3:$A$302,0)),"미등록사번"))</f>
        <v/>
      </c>
      <c r="D921" s="13" t="str">
        <f aca="false">IF($B921="","",IFERROR(INDEX(직원목록!$C$3:$C$302,MATCH($B921,직원목록!$A$3:$A$302,0)),""))</f>
        <v/>
      </c>
      <c r="E921" s="14"/>
      <c r="F921" s="14"/>
      <c r="G921" s="15"/>
      <c r="H921" s="16" t="str">
        <f aca="false">IF(OR($K921="",$L921=""),"",ROUND(MAX(0,($L921-$K921)-IF($G921="",0,$G921))/60,2))</f>
        <v/>
      </c>
      <c r="I921" s="8"/>
      <c r="J921" s="8"/>
      <c r="K921" s="17" t="str">
        <f aca="false">IF($E921="","",IF($E921&lt;1,ROUND($E921*1440,0),INT($E921/100)*60+MOD($E921,100)))</f>
        <v/>
      </c>
      <c r="L921" s="17" t="str">
        <f aca="false">IF($F921="","",IF($F921&lt;1,ROUND($F921*1440,0),INT($F921/100)*60+MOD($F921,100)))</f>
        <v/>
      </c>
    </row>
    <row r="922" customFormat="false" ht="15" hidden="false" customHeight="true" outlineLevel="0" collapsed="false">
      <c r="A922" s="10"/>
      <c r="B922" s="8"/>
      <c r="C922" s="13" t="str">
        <f aca="false">IF($B922="","",IFERROR(INDEX(직원목록!$B$3:$B$302,MATCH($B922,직원목록!$A$3:$A$302,0)),"미등록사번"))</f>
        <v/>
      </c>
      <c r="D922" s="13" t="str">
        <f aca="false">IF($B922="","",IFERROR(INDEX(직원목록!$C$3:$C$302,MATCH($B922,직원목록!$A$3:$A$302,0)),""))</f>
        <v/>
      </c>
      <c r="E922" s="14"/>
      <c r="F922" s="14"/>
      <c r="G922" s="15"/>
      <c r="H922" s="16" t="str">
        <f aca="false">IF(OR($K922="",$L922=""),"",ROUND(MAX(0,($L922-$K922)-IF($G922="",0,$G922))/60,2))</f>
        <v/>
      </c>
      <c r="I922" s="8"/>
      <c r="J922" s="8"/>
      <c r="K922" s="17" t="str">
        <f aca="false">IF($E922="","",IF($E922&lt;1,ROUND($E922*1440,0),INT($E922/100)*60+MOD($E922,100)))</f>
        <v/>
      </c>
      <c r="L922" s="17" t="str">
        <f aca="false">IF($F922="","",IF($F922&lt;1,ROUND($F922*1440,0),INT($F922/100)*60+MOD($F922,100)))</f>
        <v/>
      </c>
    </row>
    <row r="923" customFormat="false" ht="15" hidden="false" customHeight="true" outlineLevel="0" collapsed="false">
      <c r="A923" s="10"/>
      <c r="B923" s="8"/>
      <c r="C923" s="13" t="str">
        <f aca="false">IF($B923="","",IFERROR(INDEX(직원목록!$B$3:$B$302,MATCH($B923,직원목록!$A$3:$A$302,0)),"미등록사번"))</f>
        <v/>
      </c>
      <c r="D923" s="13" t="str">
        <f aca="false">IF($B923="","",IFERROR(INDEX(직원목록!$C$3:$C$302,MATCH($B923,직원목록!$A$3:$A$302,0)),""))</f>
        <v/>
      </c>
      <c r="E923" s="14"/>
      <c r="F923" s="14"/>
      <c r="G923" s="15"/>
      <c r="H923" s="16" t="str">
        <f aca="false">IF(OR($K923="",$L923=""),"",ROUND(MAX(0,($L923-$K923)-IF($G923="",0,$G923))/60,2))</f>
        <v/>
      </c>
      <c r="I923" s="8"/>
      <c r="J923" s="8"/>
      <c r="K923" s="17" t="str">
        <f aca="false">IF($E923="","",IF($E923&lt;1,ROUND($E923*1440,0),INT($E923/100)*60+MOD($E923,100)))</f>
        <v/>
      </c>
      <c r="L923" s="17" t="str">
        <f aca="false">IF($F923="","",IF($F923&lt;1,ROUND($F923*1440,0),INT($F923/100)*60+MOD($F923,100)))</f>
        <v/>
      </c>
    </row>
    <row r="924" customFormat="false" ht="15" hidden="false" customHeight="true" outlineLevel="0" collapsed="false">
      <c r="A924" s="10"/>
      <c r="B924" s="8"/>
      <c r="C924" s="13" t="str">
        <f aca="false">IF($B924="","",IFERROR(INDEX(직원목록!$B$3:$B$302,MATCH($B924,직원목록!$A$3:$A$302,0)),"미등록사번"))</f>
        <v/>
      </c>
      <c r="D924" s="13" t="str">
        <f aca="false">IF($B924="","",IFERROR(INDEX(직원목록!$C$3:$C$302,MATCH($B924,직원목록!$A$3:$A$302,0)),""))</f>
        <v/>
      </c>
      <c r="E924" s="14"/>
      <c r="F924" s="14"/>
      <c r="G924" s="15"/>
      <c r="H924" s="16" t="str">
        <f aca="false">IF(OR($K924="",$L924=""),"",ROUND(MAX(0,($L924-$K924)-IF($G924="",0,$G924))/60,2))</f>
        <v/>
      </c>
      <c r="I924" s="8"/>
      <c r="J924" s="8"/>
      <c r="K924" s="17" t="str">
        <f aca="false">IF($E924="","",IF($E924&lt;1,ROUND($E924*1440,0),INT($E924/100)*60+MOD($E924,100)))</f>
        <v/>
      </c>
      <c r="L924" s="17" t="str">
        <f aca="false">IF($F924="","",IF($F924&lt;1,ROUND($F924*1440,0),INT($F924/100)*60+MOD($F924,100)))</f>
        <v/>
      </c>
    </row>
    <row r="925" customFormat="false" ht="15" hidden="false" customHeight="true" outlineLevel="0" collapsed="false">
      <c r="A925" s="10"/>
      <c r="B925" s="8"/>
      <c r="C925" s="13" t="str">
        <f aca="false">IF($B925="","",IFERROR(INDEX(직원목록!$B$3:$B$302,MATCH($B925,직원목록!$A$3:$A$302,0)),"미등록사번"))</f>
        <v/>
      </c>
      <c r="D925" s="13" t="str">
        <f aca="false">IF($B925="","",IFERROR(INDEX(직원목록!$C$3:$C$302,MATCH($B925,직원목록!$A$3:$A$302,0)),""))</f>
        <v/>
      </c>
      <c r="E925" s="14"/>
      <c r="F925" s="14"/>
      <c r="G925" s="15"/>
      <c r="H925" s="16" t="str">
        <f aca="false">IF(OR($K925="",$L925=""),"",ROUND(MAX(0,($L925-$K925)-IF($G925="",0,$G925))/60,2))</f>
        <v/>
      </c>
      <c r="I925" s="8"/>
      <c r="J925" s="8"/>
      <c r="K925" s="17" t="str">
        <f aca="false">IF($E925="","",IF($E925&lt;1,ROUND($E925*1440,0),INT($E925/100)*60+MOD($E925,100)))</f>
        <v/>
      </c>
      <c r="L925" s="17" t="str">
        <f aca="false">IF($F925="","",IF($F925&lt;1,ROUND($F925*1440,0),INT($F925/100)*60+MOD($F925,100)))</f>
        <v/>
      </c>
    </row>
    <row r="926" customFormat="false" ht="15" hidden="false" customHeight="true" outlineLevel="0" collapsed="false">
      <c r="A926" s="10"/>
      <c r="B926" s="8"/>
      <c r="C926" s="13" t="str">
        <f aca="false">IF($B926="","",IFERROR(INDEX(직원목록!$B$3:$B$302,MATCH($B926,직원목록!$A$3:$A$302,0)),"미등록사번"))</f>
        <v/>
      </c>
      <c r="D926" s="13" t="str">
        <f aca="false">IF($B926="","",IFERROR(INDEX(직원목록!$C$3:$C$302,MATCH($B926,직원목록!$A$3:$A$302,0)),""))</f>
        <v/>
      </c>
      <c r="E926" s="14"/>
      <c r="F926" s="14"/>
      <c r="G926" s="15"/>
      <c r="H926" s="16" t="str">
        <f aca="false">IF(OR($K926="",$L926=""),"",ROUND(MAX(0,($L926-$K926)-IF($G926="",0,$G926))/60,2))</f>
        <v/>
      </c>
      <c r="I926" s="8"/>
      <c r="J926" s="8"/>
      <c r="K926" s="17" t="str">
        <f aca="false">IF($E926="","",IF($E926&lt;1,ROUND($E926*1440,0),INT($E926/100)*60+MOD($E926,100)))</f>
        <v/>
      </c>
      <c r="L926" s="17" t="str">
        <f aca="false">IF($F926="","",IF($F926&lt;1,ROUND($F926*1440,0),INT($F926/100)*60+MOD($F926,100)))</f>
        <v/>
      </c>
    </row>
    <row r="927" customFormat="false" ht="15" hidden="false" customHeight="true" outlineLevel="0" collapsed="false">
      <c r="A927" s="10"/>
      <c r="B927" s="8"/>
      <c r="C927" s="13" t="str">
        <f aca="false">IF($B927="","",IFERROR(INDEX(직원목록!$B$3:$B$302,MATCH($B927,직원목록!$A$3:$A$302,0)),"미등록사번"))</f>
        <v/>
      </c>
      <c r="D927" s="13" t="str">
        <f aca="false">IF($B927="","",IFERROR(INDEX(직원목록!$C$3:$C$302,MATCH($B927,직원목록!$A$3:$A$302,0)),""))</f>
        <v/>
      </c>
      <c r="E927" s="14"/>
      <c r="F927" s="14"/>
      <c r="G927" s="15"/>
      <c r="H927" s="16" t="str">
        <f aca="false">IF(OR($K927="",$L927=""),"",ROUND(MAX(0,($L927-$K927)-IF($G927="",0,$G927))/60,2))</f>
        <v/>
      </c>
      <c r="I927" s="8"/>
      <c r="J927" s="8"/>
      <c r="K927" s="17" t="str">
        <f aca="false">IF($E927="","",IF($E927&lt;1,ROUND($E927*1440,0),INT($E927/100)*60+MOD($E927,100)))</f>
        <v/>
      </c>
      <c r="L927" s="17" t="str">
        <f aca="false">IF($F927="","",IF($F927&lt;1,ROUND($F927*1440,0),INT($F927/100)*60+MOD($F927,100)))</f>
        <v/>
      </c>
    </row>
    <row r="928" customFormat="false" ht="15" hidden="false" customHeight="true" outlineLevel="0" collapsed="false">
      <c r="A928" s="10"/>
      <c r="B928" s="8"/>
      <c r="C928" s="13" t="str">
        <f aca="false">IF($B928="","",IFERROR(INDEX(직원목록!$B$3:$B$302,MATCH($B928,직원목록!$A$3:$A$302,0)),"미등록사번"))</f>
        <v/>
      </c>
      <c r="D928" s="13" t="str">
        <f aca="false">IF($B928="","",IFERROR(INDEX(직원목록!$C$3:$C$302,MATCH($B928,직원목록!$A$3:$A$302,0)),""))</f>
        <v/>
      </c>
      <c r="E928" s="14"/>
      <c r="F928" s="14"/>
      <c r="G928" s="15"/>
      <c r="H928" s="16" t="str">
        <f aca="false">IF(OR($K928="",$L928=""),"",ROUND(MAX(0,($L928-$K928)-IF($G928="",0,$G928))/60,2))</f>
        <v/>
      </c>
      <c r="I928" s="8"/>
      <c r="J928" s="8"/>
      <c r="K928" s="17" t="str">
        <f aca="false">IF($E928="","",IF($E928&lt;1,ROUND($E928*1440,0),INT($E928/100)*60+MOD($E928,100)))</f>
        <v/>
      </c>
      <c r="L928" s="17" t="str">
        <f aca="false">IF($F928="","",IF($F928&lt;1,ROUND($F928*1440,0),INT($F928/100)*60+MOD($F928,100)))</f>
        <v/>
      </c>
    </row>
    <row r="929" customFormat="false" ht="15" hidden="false" customHeight="true" outlineLevel="0" collapsed="false">
      <c r="A929" s="10"/>
      <c r="B929" s="8"/>
      <c r="C929" s="13" t="str">
        <f aca="false">IF($B929="","",IFERROR(INDEX(직원목록!$B$3:$B$302,MATCH($B929,직원목록!$A$3:$A$302,0)),"미등록사번"))</f>
        <v/>
      </c>
      <c r="D929" s="13" t="str">
        <f aca="false">IF($B929="","",IFERROR(INDEX(직원목록!$C$3:$C$302,MATCH($B929,직원목록!$A$3:$A$302,0)),""))</f>
        <v/>
      </c>
      <c r="E929" s="14"/>
      <c r="F929" s="14"/>
      <c r="G929" s="15"/>
      <c r="H929" s="16" t="str">
        <f aca="false">IF(OR($K929="",$L929=""),"",ROUND(MAX(0,($L929-$K929)-IF($G929="",0,$G929))/60,2))</f>
        <v/>
      </c>
      <c r="I929" s="8"/>
      <c r="J929" s="8"/>
      <c r="K929" s="17" t="str">
        <f aca="false">IF($E929="","",IF($E929&lt;1,ROUND($E929*1440,0),INT($E929/100)*60+MOD($E929,100)))</f>
        <v/>
      </c>
      <c r="L929" s="17" t="str">
        <f aca="false">IF($F929="","",IF($F929&lt;1,ROUND($F929*1440,0),INT($F929/100)*60+MOD($F929,100)))</f>
        <v/>
      </c>
    </row>
    <row r="930" customFormat="false" ht="15" hidden="false" customHeight="true" outlineLevel="0" collapsed="false">
      <c r="A930" s="10"/>
      <c r="B930" s="8"/>
      <c r="C930" s="13" t="str">
        <f aca="false">IF($B930="","",IFERROR(INDEX(직원목록!$B$3:$B$302,MATCH($B930,직원목록!$A$3:$A$302,0)),"미등록사번"))</f>
        <v/>
      </c>
      <c r="D930" s="13" t="str">
        <f aca="false">IF($B930="","",IFERROR(INDEX(직원목록!$C$3:$C$302,MATCH($B930,직원목록!$A$3:$A$302,0)),""))</f>
        <v/>
      </c>
      <c r="E930" s="14"/>
      <c r="F930" s="14"/>
      <c r="G930" s="15"/>
      <c r="H930" s="16" t="str">
        <f aca="false">IF(OR($K930="",$L930=""),"",ROUND(MAX(0,($L930-$K930)-IF($G930="",0,$G930))/60,2))</f>
        <v/>
      </c>
      <c r="I930" s="8"/>
      <c r="J930" s="8"/>
      <c r="K930" s="17" t="str">
        <f aca="false">IF($E930="","",IF($E930&lt;1,ROUND($E930*1440,0),INT($E930/100)*60+MOD($E930,100)))</f>
        <v/>
      </c>
      <c r="L930" s="17" t="str">
        <f aca="false">IF($F930="","",IF($F930&lt;1,ROUND($F930*1440,0),INT($F930/100)*60+MOD($F930,100)))</f>
        <v/>
      </c>
    </row>
    <row r="931" customFormat="false" ht="15" hidden="false" customHeight="true" outlineLevel="0" collapsed="false">
      <c r="A931" s="10"/>
      <c r="B931" s="8"/>
      <c r="C931" s="13" t="str">
        <f aca="false">IF($B931="","",IFERROR(INDEX(직원목록!$B$3:$B$302,MATCH($B931,직원목록!$A$3:$A$302,0)),"미등록사번"))</f>
        <v/>
      </c>
      <c r="D931" s="13" t="str">
        <f aca="false">IF($B931="","",IFERROR(INDEX(직원목록!$C$3:$C$302,MATCH($B931,직원목록!$A$3:$A$302,0)),""))</f>
        <v/>
      </c>
      <c r="E931" s="14"/>
      <c r="F931" s="14"/>
      <c r="G931" s="15"/>
      <c r="H931" s="16" t="str">
        <f aca="false">IF(OR($K931="",$L931=""),"",ROUND(MAX(0,($L931-$K931)-IF($G931="",0,$G931))/60,2))</f>
        <v/>
      </c>
      <c r="I931" s="8"/>
      <c r="J931" s="8"/>
      <c r="K931" s="17" t="str">
        <f aca="false">IF($E931="","",IF($E931&lt;1,ROUND($E931*1440,0),INT($E931/100)*60+MOD($E931,100)))</f>
        <v/>
      </c>
      <c r="L931" s="17" t="str">
        <f aca="false">IF($F931="","",IF($F931&lt;1,ROUND($F931*1440,0),INT($F931/100)*60+MOD($F931,100)))</f>
        <v/>
      </c>
    </row>
    <row r="932" customFormat="false" ht="15" hidden="false" customHeight="true" outlineLevel="0" collapsed="false">
      <c r="A932" s="10"/>
      <c r="B932" s="8"/>
      <c r="C932" s="13" t="str">
        <f aca="false">IF($B932="","",IFERROR(INDEX(직원목록!$B$3:$B$302,MATCH($B932,직원목록!$A$3:$A$302,0)),"미등록사번"))</f>
        <v/>
      </c>
      <c r="D932" s="13" t="str">
        <f aca="false">IF($B932="","",IFERROR(INDEX(직원목록!$C$3:$C$302,MATCH($B932,직원목록!$A$3:$A$302,0)),""))</f>
        <v/>
      </c>
      <c r="E932" s="14"/>
      <c r="F932" s="14"/>
      <c r="G932" s="15"/>
      <c r="H932" s="16" t="str">
        <f aca="false">IF(OR($K932="",$L932=""),"",ROUND(MAX(0,($L932-$K932)-IF($G932="",0,$G932))/60,2))</f>
        <v/>
      </c>
      <c r="I932" s="8"/>
      <c r="J932" s="8"/>
      <c r="K932" s="17" t="str">
        <f aca="false">IF($E932="","",IF($E932&lt;1,ROUND($E932*1440,0),INT($E932/100)*60+MOD($E932,100)))</f>
        <v/>
      </c>
      <c r="L932" s="17" t="str">
        <f aca="false">IF($F932="","",IF($F932&lt;1,ROUND($F932*1440,0),INT($F932/100)*60+MOD($F932,100)))</f>
        <v/>
      </c>
    </row>
    <row r="933" customFormat="false" ht="15" hidden="false" customHeight="true" outlineLevel="0" collapsed="false">
      <c r="A933" s="10"/>
      <c r="B933" s="8"/>
      <c r="C933" s="13" t="str">
        <f aca="false">IF($B933="","",IFERROR(INDEX(직원목록!$B$3:$B$302,MATCH($B933,직원목록!$A$3:$A$302,0)),"미등록사번"))</f>
        <v/>
      </c>
      <c r="D933" s="13" t="str">
        <f aca="false">IF($B933="","",IFERROR(INDEX(직원목록!$C$3:$C$302,MATCH($B933,직원목록!$A$3:$A$302,0)),""))</f>
        <v/>
      </c>
      <c r="E933" s="14"/>
      <c r="F933" s="14"/>
      <c r="G933" s="15"/>
      <c r="H933" s="16" t="str">
        <f aca="false">IF(OR($K933="",$L933=""),"",ROUND(MAX(0,($L933-$K933)-IF($G933="",0,$G933))/60,2))</f>
        <v/>
      </c>
      <c r="I933" s="8"/>
      <c r="J933" s="8"/>
      <c r="K933" s="17" t="str">
        <f aca="false">IF($E933="","",IF($E933&lt;1,ROUND($E933*1440,0),INT($E933/100)*60+MOD($E933,100)))</f>
        <v/>
      </c>
      <c r="L933" s="17" t="str">
        <f aca="false">IF($F933="","",IF($F933&lt;1,ROUND($F933*1440,0),INT($F933/100)*60+MOD($F933,100)))</f>
        <v/>
      </c>
    </row>
    <row r="934" customFormat="false" ht="15" hidden="false" customHeight="true" outlineLevel="0" collapsed="false">
      <c r="A934" s="10"/>
      <c r="B934" s="8"/>
      <c r="C934" s="13" t="str">
        <f aca="false">IF($B934="","",IFERROR(INDEX(직원목록!$B$3:$B$302,MATCH($B934,직원목록!$A$3:$A$302,0)),"미등록사번"))</f>
        <v/>
      </c>
      <c r="D934" s="13" t="str">
        <f aca="false">IF($B934="","",IFERROR(INDEX(직원목록!$C$3:$C$302,MATCH($B934,직원목록!$A$3:$A$302,0)),""))</f>
        <v/>
      </c>
      <c r="E934" s="14"/>
      <c r="F934" s="14"/>
      <c r="G934" s="15"/>
      <c r="H934" s="16" t="str">
        <f aca="false">IF(OR($K934="",$L934=""),"",ROUND(MAX(0,($L934-$K934)-IF($G934="",0,$G934))/60,2))</f>
        <v/>
      </c>
      <c r="I934" s="8"/>
      <c r="J934" s="8"/>
      <c r="K934" s="17" t="str">
        <f aca="false">IF($E934="","",IF($E934&lt;1,ROUND($E934*1440,0),INT($E934/100)*60+MOD($E934,100)))</f>
        <v/>
      </c>
      <c r="L934" s="17" t="str">
        <f aca="false">IF($F934="","",IF($F934&lt;1,ROUND($F934*1440,0),INT($F934/100)*60+MOD($F934,100)))</f>
        <v/>
      </c>
    </row>
    <row r="935" customFormat="false" ht="15" hidden="false" customHeight="true" outlineLevel="0" collapsed="false">
      <c r="A935" s="10"/>
      <c r="B935" s="8"/>
      <c r="C935" s="13" t="str">
        <f aca="false">IF($B935="","",IFERROR(INDEX(직원목록!$B$3:$B$302,MATCH($B935,직원목록!$A$3:$A$302,0)),"미등록사번"))</f>
        <v/>
      </c>
      <c r="D935" s="13" t="str">
        <f aca="false">IF($B935="","",IFERROR(INDEX(직원목록!$C$3:$C$302,MATCH($B935,직원목록!$A$3:$A$302,0)),""))</f>
        <v/>
      </c>
      <c r="E935" s="14"/>
      <c r="F935" s="14"/>
      <c r="G935" s="15"/>
      <c r="H935" s="16" t="str">
        <f aca="false">IF(OR($K935="",$L935=""),"",ROUND(MAX(0,($L935-$K935)-IF($G935="",0,$G935))/60,2))</f>
        <v/>
      </c>
      <c r="I935" s="8"/>
      <c r="J935" s="8"/>
      <c r="K935" s="17" t="str">
        <f aca="false">IF($E935="","",IF($E935&lt;1,ROUND($E935*1440,0),INT($E935/100)*60+MOD($E935,100)))</f>
        <v/>
      </c>
      <c r="L935" s="17" t="str">
        <f aca="false">IF($F935="","",IF($F935&lt;1,ROUND($F935*1440,0),INT($F935/100)*60+MOD($F935,100)))</f>
        <v/>
      </c>
    </row>
    <row r="936" customFormat="false" ht="15" hidden="false" customHeight="true" outlineLevel="0" collapsed="false">
      <c r="A936" s="10"/>
      <c r="B936" s="8"/>
      <c r="C936" s="13" t="str">
        <f aca="false">IF($B936="","",IFERROR(INDEX(직원목록!$B$3:$B$302,MATCH($B936,직원목록!$A$3:$A$302,0)),"미등록사번"))</f>
        <v/>
      </c>
      <c r="D936" s="13" t="str">
        <f aca="false">IF($B936="","",IFERROR(INDEX(직원목록!$C$3:$C$302,MATCH($B936,직원목록!$A$3:$A$302,0)),""))</f>
        <v/>
      </c>
      <c r="E936" s="14"/>
      <c r="F936" s="14"/>
      <c r="G936" s="15"/>
      <c r="H936" s="16" t="str">
        <f aca="false">IF(OR($K936="",$L936=""),"",ROUND(MAX(0,($L936-$K936)-IF($G936="",0,$G936))/60,2))</f>
        <v/>
      </c>
      <c r="I936" s="8"/>
      <c r="J936" s="8"/>
      <c r="K936" s="17" t="str">
        <f aca="false">IF($E936="","",IF($E936&lt;1,ROUND($E936*1440,0),INT($E936/100)*60+MOD($E936,100)))</f>
        <v/>
      </c>
      <c r="L936" s="17" t="str">
        <f aca="false">IF($F936="","",IF($F936&lt;1,ROUND($F936*1440,0),INT($F936/100)*60+MOD($F936,100)))</f>
        <v/>
      </c>
    </row>
    <row r="937" customFormat="false" ht="15" hidden="false" customHeight="true" outlineLevel="0" collapsed="false">
      <c r="A937" s="10"/>
      <c r="B937" s="8"/>
      <c r="C937" s="13" t="str">
        <f aca="false">IF($B937="","",IFERROR(INDEX(직원목록!$B$3:$B$302,MATCH($B937,직원목록!$A$3:$A$302,0)),"미등록사번"))</f>
        <v/>
      </c>
      <c r="D937" s="13" t="str">
        <f aca="false">IF($B937="","",IFERROR(INDEX(직원목록!$C$3:$C$302,MATCH($B937,직원목록!$A$3:$A$302,0)),""))</f>
        <v/>
      </c>
      <c r="E937" s="14"/>
      <c r="F937" s="14"/>
      <c r="G937" s="15"/>
      <c r="H937" s="16" t="str">
        <f aca="false">IF(OR($K937="",$L937=""),"",ROUND(MAX(0,($L937-$K937)-IF($G937="",0,$G937))/60,2))</f>
        <v/>
      </c>
      <c r="I937" s="8"/>
      <c r="J937" s="8"/>
      <c r="K937" s="17" t="str">
        <f aca="false">IF($E937="","",IF($E937&lt;1,ROUND($E937*1440,0),INT($E937/100)*60+MOD($E937,100)))</f>
        <v/>
      </c>
      <c r="L937" s="17" t="str">
        <f aca="false">IF($F937="","",IF($F937&lt;1,ROUND($F937*1440,0),INT($F937/100)*60+MOD($F937,100)))</f>
        <v/>
      </c>
    </row>
    <row r="938" customFormat="false" ht="15" hidden="false" customHeight="true" outlineLevel="0" collapsed="false">
      <c r="A938" s="10"/>
      <c r="B938" s="8"/>
      <c r="C938" s="13" t="str">
        <f aca="false">IF($B938="","",IFERROR(INDEX(직원목록!$B$3:$B$302,MATCH($B938,직원목록!$A$3:$A$302,0)),"미등록사번"))</f>
        <v/>
      </c>
      <c r="D938" s="13" t="str">
        <f aca="false">IF($B938="","",IFERROR(INDEX(직원목록!$C$3:$C$302,MATCH($B938,직원목록!$A$3:$A$302,0)),""))</f>
        <v/>
      </c>
      <c r="E938" s="14"/>
      <c r="F938" s="14"/>
      <c r="G938" s="15"/>
      <c r="H938" s="16" t="str">
        <f aca="false">IF(OR($K938="",$L938=""),"",ROUND(MAX(0,($L938-$K938)-IF($G938="",0,$G938))/60,2))</f>
        <v/>
      </c>
      <c r="I938" s="8"/>
      <c r="J938" s="8"/>
      <c r="K938" s="17" t="str">
        <f aca="false">IF($E938="","",IF($E938&lt;1,ROUND($E938*1440,0),INT($E938/100)*60+MOD($E938,100)))</f>
        <v/>
      </c>
      <c r="L938" s="17" t="str">
        <f aca="false">IF($F938="","",IF($F938&lt;1,ROUND($F938*1440,0),INT($F938/100)*60+MOD($F938,100)))</f>
        <v/>
      </c>
    </row>
    <row r="939" customFormat="false" ht="15" hidden="false" customHeight="true" outlineLevel="0" collapsed="false">
      <c r="A939" s="10"/>
      <c r="B939" s="8"/>
      <c r="C939" s="13" t="str">
        <f aca="false">IF($B939="","",IFERROR(INDEX(직원목록!$B$3:$B$302,MATCH($B939,직원목록!$A$3:$A$302,0)),"미등록사번"))</f>
        <v/>
      </c>
      <c r="D939" s="13" t="str">
        <f aca="false">IF($B939="","",IFERROR(INDEX(직원목록!$C$3:$C$302,MATCH($B939,직원목록!$A$3:$A$302,0)),""))</f>
        <v/>
      </c>
      <c r="E939" s="14"/>
      <c r="F939" s="14"/>
      <c r="G939" s="15"/>
      <c r="H939" s="16" t="str">
        <f aca="false">IF(OR($K939="",$L939=""),"",ROUND(MAX(0,($L939-$K939)-IF($G939="",0,$G939))/60,2))</f>
        <v/>
      </c>
      <c r="I939" s="8"/>
      <c r="J939" s="8"/>
      <c r="K939" s="17" t="str">
        <f aca="false">IF($E939="","",IF($E939&lt;1,ROUND($E939*1440,0),INT($E939/100)*60+MOD($E939,100)))</f>
        <v/>
      </c>
      <c r="L939" s="17" t="str">
        <f aca="false">IF($F939="","",IF($F939&lt;1,ROUND($F939*1440,0),INT($F939/100)*60+MOD($F939,100)))</f>
        <v/>
      </c>
    </row>
    <row r="940" customFormat="false" ht="15" hidden="false" customHeight="true" outlineLevel="0" collapsed="false">
      <c r="A940" s="10"/>
      <c r="B940" s="8"/>
      <c r="C940" s="13" t="str">
        <f aca="false">IF($B940="","",IFERROR(INDEX(직원목록!$B$3:$B$302,MATCH($B940,직원목록!$A$3:$A$302,0)),"미등록사번"))</f>
        <v/>
      </c>
      <c r="D940" s="13" t="str">
        <f aca="false">IF($B940="","",IFERROR(INDEX(직원목록!$C$3:$C$302,MATCH($B940,직원목록!$A$3:$A$302,0)),""))</f>
        <v/>
      </c>
      <c r="E940" s="14"/>
      <c r="F940" s="14"/>
      <c r="G940" s="15"/>
      <c r="H940" s="16" t="str">
        <f aca="false">IF(OR($K940="",$L940=""),"",ROUND(MAX(0,($L940-$K940)-IF($G940="",0,$G940))/60,2))</f>
        <v/>
      </c>
      <c r="I940" s="8"/>
      <c r="J940" s="8"/>
      <c r="K940" s="17" t="str">
        <f aca="false">IF($E940="","",IF($E940&lt;1,ROUND($E940*1440,0),INT($E940/100)*60+MOD($E940,100)))</f>
        <v/>
      </c>
      <c r="L940" s="17" t="str">
        <f aca="false">IF($F940="","",IF($F940&lt;1,ROUND($F940*1440,0),INT($F940/100)*60+MOD($F940,100)))</f>
        <v/>
      </c>
    </row>
    <row r="941" customFormat="false" ht="15" hidden="false" customHeight="true" outlineLevel="0" collapsed="false">
      <c r="A941" s="10"/>
      <c r="B941" s="8"/>
      <c r="C941" s="13" t="str">
        <f aca="false">IF($B941="","",IFERROR(INDEX(직원목록!$B$3:$B$302,MATCH($B941,직원목록!$A$3:$A$302,0)),"미등록사번"))</f>
        <v/>
      </c>
      <c r="D941" s="13" t="str">
        <f aca="false">IF($B941="","",IFERROR(INDEX(직원목록!$C$3:$C$302,MATCH($B941,직원목록!$A$3:$A$302,0)),""))</f>
        <v/>
      </c>
      <c r="E941" s="14"/>
      <c r="F941" s="14"/>
      <c r="G941" s="15"/>
      <c r="H941" s="16" t="str">
        <f aca="false">IF(OR($K941="",$L941=""),"",ROUND(MAX(0,($L941-$K941)-IF($G941="",0,$G941))/60,2))</f>
        <v/>
      </c>
      <c r="I941" s="8"/>
      <c r="J941" s="8"/>
      <c r="K941" s="17" t="str">
        <f aca="false">IF($E941="","",IF($E941&lt;1,ROUND($E941*1440,0),INT($E941/100)*60+MOD($E941,100)))</f>
        <v/>
      </c>
      <c r="L941" s="17" t="str">
        <f aca="false">IF($F941="","",IF($F941&lt;1,ROUND($F941*1440,0),INT($F941/100)*60+MOD($F941,100)))</f>
        <v/>
      </c>
    </row>
    <row r="942" customFormat="false" ht="15" hidden="false" customHeight="true" outlineLevel="0" collapsed="false">
      <c r="A942" s="10"/>
      <c r="B942" s="8"/>
      <c r="C942" s="13" t="str">
        <f aca="false">IF($B942="","",IFERROR(INDEX(직원목록!$B$3:$B$302,MATCH($B942,직원목록!$A$3:$A$302,0)),"미등록사번"))</f>
        <v/>
      </c>
      <c r="D942" s="13" t="str">
        <f aca="false">IF($B942="","",IFERROR(INDEX(직원목록!$C$3:$C$302,MATCH($B942,직원목록!$A$3:$A$302,0)),""))</f>
        <v/>
      </c>
      <c r="E942" s="14"/>
      <c r="F942" s="14"/>
      <c r="G942" s="15"/>
      <c r="H942" s="16" t="str">
        <f aca="false">IF(OR($K942="",$L942=""),"",ROUND(MAX(0,($L942-$K942)-IF($G942="",0,$G942))/60,2))</f>
        <v/>
      </c>
      <c r="I942" s="8"/>
      <c r="J942" s="8"/>
      <c r="K942" s="17" t="str">
        <f aca="false">IF($E942="","",IF($E942&lt;1,ROUND($E942*1440,0),INT($E942/100)*60+MOD($E942,100)))</f>
        <v/>
      </c>
      <c r="L942" s="17" t="str">
        <f aca="false">IF($F942="","",IF($F942&lt;1,ROUND($F942*1440,0),INT($F942/100)*60+MOD($F942,100)))</f>
        <v/>
      </c>
    </row>
    <row r="943" customFormat="false" ht="15" hidden="false" customHeight="true" outlineLevel="0" collapsed="false">
      <c r="A943" s="10"/>
      <c r="B943" s="8"/>
      <c r="C943" s="13" t="str">
        <f aca="false">IF($B943="","",IFERROR(INDEX(직원목록!$B$3:$B$302,MATCH($B943,직원목록!$A$3:$A$302,0)),"미등록사번"))</f>
        <v/>
      </c>
      <c r="D943" s="13" t="str">
        <f aca="false">IF($B943="","",IFERROR(INDEX(직원목록!$C$3:$C$302,MATCH($B943,직원목록!$A$3:$A$302,0)),""))</f>
        <v/>
      </c>
      <c r="E943" s="14"/>
      <c r="F943" s="14"/>
      <c r="G943" s="15"/>
      <c r="H943" s="16" t="str">
        <f aca="false">IF(OR($K943="",$L943=""),"",ROUND(MAX(0,($L943-$K943)-IF($G943="",0,$G943))/60,2))</f>
        <v/>
      </c>
      <c r="I943" s="8"/>
      <c r="J943" s="8"/>
      <c r="K943" s="17" t="str">
        <f aca="false">IF($E943="","",IF($E943&lt;1,ROUND($E943*1440,0),INT($E943/100)*60+MOD($E943,100)))</f>
        <v/>
      </c>
      <c r="L943" s="17" t="str">
        <f aca="false">IF($F943="","",IF($F943&lt;1,ROUND($F943*1440,0),INT($F943/100)*60+MOD($F943,100)))</f>
        <v/>
      </c>
    </row>
    <row r="944" customFormat="false" ht="15" hidden="false" customHeight="true" outlineLevel="0" collapsed="false">
      <c r="A944" s="10"/>
      <c r="B944" s="8"/>
      <c r="C944" s="13" t="str">
        <f aca="false">IF($B944="","",IFERROR(INDEX(직원목록!$B$3:$B$302,MATCH($B944,직원목록!$A$3:$A$302,0)),"미등록사번"))</f>
        <v/>
      </c>
      <c r="D944" s="13" t="str">
        <f aca="false">IF($B944="","",IFERROR(INDEX(직원목록!$C$3:$C$302,MATCH($B944,직원목록!$A$3:$A$302,0)),""))</f>
        <v/>
      </c>
      <c r="E944" s="14"/>
      <c r="F944" s="14"/>
      <c r="G944" s="15"/>
      <c r="H944" s="16" t="str">
        <f aca="false">IF(OR($K944="",$L944=""),"",ROUND(MAX(0,($L944-$K944)-IF($G944="",0,$G944))/60,2))</f>
        <v/>
      </c>
      <c r="I944" s="8"/>
      <c r="J944" s="8"/>
      <c r="K944" s="17" t="str">
        <f aca="false">IF($E944="","",IF($E944&lt;1,ROUND($E944*1440,0),INT($E944/100)*60+MOD($E944,100)))</f>
        <v/>
      </c>
      <c r="L944" s="17" t="str">
        <f aca="false">IF($F944="","",IF($F944&lt;1,ROUND($F944*1440,0),INT($F944/100)*60+MOD($F944,100)))</f>
        <v/>
      </c>
    </row>
    <row r="945" customFormat="false" ht="15" hidden="false" customHeight="true" outlineLevel="0" collapsed="false">
      <c r="A945" s="10"/>
      <c r="B945" s="8"/>
      <c r="C945" s="13" t="str">
        <f aca="false">IF($B945="","",IFERROR(INDEX(직원목록!$B$3:$B$302,MATCH($B945,직원목록!$A$3:$A$302,0)),"미등록사번"))</f>
        <v/>
      </c>
      <c r="D945" s="13" t="str">
        <f aca="false">IF($B945="","",IFERROR(INDEX(직원목록!$C$3:$C$302,MATCH($B945,직원목록!$A$3:$A$302,0)),""))</f>
        <v/>
      </c>
      <c r="E945" s="14"/>
      <c r="F945" s="14"/>
      <c r="G945" s="15"/>
      <c r="H945" s="16" t="str">
        <f aca="false">IF(OR($K945="",$L945=""),"",ROUND(MAX(0,($L945-$K945)-IF($G945="",0,$G945))/60,2))</f>
        <v/>
      </c>
      <c r="I945" s="8"/>
      <c r="J945" s="8"/>
      <c r="K945" s="17" t="str">
        <f aca="false">IF($E945="","",IF($E945&lt;1,ROUND($E945*1440,0),INT($E945/100)*60+MOD($E945,100)))</f>
        <v/>
      </c>
      <c r="L945" s="17" t="str">
        <f aca="false">IF($F945="","",IF($F945&lt;1,ROUND($F945*1440,0),INT($F945/100)*60+MOD($F945,100)))</f>
        <v/>
      </c>
    </row>
    <row r="946" customFormat="false" ht="15" hidden="false" customHeight="true" outlineLevel="0" collapsed="false">
      <c r="A946" s="10"/>
      <c r="B946" s="8"/>
      <c r="C946" s="13" t="str">
        <f aca="false">IF($B946="","",IFERROR(INDEX(직원목록!$B$3:$B$302,MATCH($B946,직원목록!$A$3:$A$302,0)),"미등록사번"))</f>
        <v/>
      </c>
      <c r="D946" s="13" t="str">
        <f aca="false">IF($B946="","",IFERROR(INDEX(직원목록!$C$3:$C$302,MATCH($B946,직원목록!$A$3:$A$302,0)),""))</f>
        <v/>
      </c>
      <c r="E946" s="14"/>
      <c r="F946" s="14"/>
      <c r="G946" s="15"/>
      <c r="H946" s="16" t="str">
        <f aca="false">IF(OR($K946="",$L946=""),"",ROUND(MAX(0,($L946-$K946)-IF($G946="",0,$G946))/60,2))</f>
        <v/>
      </c>
      <c r="I946" s="8"/>
      <c r="J946" s="8"/>
      <c r="K946" s="17" t="str">
        <f aca="false">IF($E946="","",IF($E946&lt;1,ROUND($E946*1440,0),INT($E946/100)*60+MOD($E946,100)))</f>
        <v/>
      </c>
      <c r="L946" s="17" t="str">
        <f aca="false">IF($F946="","",IF($F946&lt;1,ROUND($F946*1440,0),INT($F946/100)*60+MOD($F946,100)))</f>
        <v/>
      </c>
    </row>
    <row r="947" customFormat="false" ht="15" hidden="false" customHeight="true" outlineLevel="0" collapsed="false">
      <c r="A947" s="10"/>
      <c r="B947" s="8"/>
      <c r="C947" s="13" t="str">
        <f aca="false">IF($B947="","",IFERROR(INDEX(직원목록!$B$3:$B$302,MATCH($B947,직원목록!$A$3:$A$302,0)),"미등록사번"))</f>
        <v/>
      </c>
      <c r="D947" s="13" t="str">
        <f aca="false">IF($B947="","",IFERROR(INDEX(직원목록!$C$3:$C$302,MATCH($B947,직원목록!$A$3:$A$302,0)),""))</f>
        <v/>
      </c>
      <c r="E947" s="14"/>
      <c r="F947" s="14"/>
      <c r="G947" s="15"/>
      <c r="H947" s="16" t="str">
        <f aca="false">IF(OR($K947="",$L947=""),"",ROUND(MAX(0,($L947-$K947)-IF($G947="",0,$G947))/60,2))</f>
        <v/>
      </c>
      <c r="I947" s="8"/>
      <c r="J947" s="8"/>
      <c r="K947" s="17" t="str">
        <f aca="false">IF($E947="","",IF($E947&lt;1,ROUND($E947*1440,0),INT($E947/100)*60+MOD($E947,100)))</f>
        <v/>
      </c>
      <c r="L947" s="17" t="str">
        <f aca="false">IF($F947="","",IF($F947&lt;1,ROUND($F947*1440,0),INT($F947/100)*60+MOD($F947,100)))</f>
        <v/>
      </c>
    </row>
    <row r="948" customFormat="false" ht="15" hidden="false" customHeight="true" outlineLevel="0" collapsed="false">
      <c r="A948" s="10"/>
      <c r="B948" s="8"/>
      <c r="C948" s="13" t="str">
        <f aca="false">IF($B948="","",IFERROR(INDEX(직원목록!$B$3:$B$302,MATCH($B948,직원목록!$A$3:$A$302,0)),"미등록사번"))</f>
        <v/>
      </c>
      <c r="D948" s="13" t="str">
        <f aca="false">IF($B948="","",IFERROR(INDEX(직원목록!$C$3:$C$302,MATCH($B948,직원목록!$A$3:$A$302,0)),""))</f>
        <v/>
      </c>
      <c r="E948" s="14"/>
      <c r="F948" s="14"/>
      <c r="G948" s="15"/>
      <c r="H948" s="16" t="str">
        <f aca="false">IF(OR($K948="",$L948=""),"",ROUND(MAX(0,($L948-$K948)-IF($G948="",0,$G948))/60,2))</f>
        <v/>
      </c>
      <c r="I948" s="8"/>
      <c r="J948" s="8"/>
      <c r="K948" s="17" t="str">
        <f aca="false">IF($E948="","",IF($E948&lt;1,ROUND($E948*1440,0),INT($E948/100)*60+MOD($E948,100)))</f>
        <v/>
      </c>
      <c r="L948" s="17" t="str">
        <f aca="false">IF($F948="","",IF($F948&lt;1,ROUND($F948*1440,0),INT($F948/100)*60+MOD($F948,100)))</f>
        <v/>
      </c>
    </row>
    <row r="949" customFormat="false" ht="15" hidden="false" customHeight="true" outlineLevel="0" collapsed="false">
      <c r="A949" s="10"/>
      <c r="B949" s="8"/>
      <c r="C949" s="13" t="str">
        <f aca="false">IF($B949="","",IFERROR(INDEX(직원목록!$B$3:$B$302,MATCH($B949,직원목록!$A$3:$A$302,0)),"미등록사번"))</f>
        <v/>
      </c>
      <c r="D949" s="13" t="str">
        <f aca="false">IF($B949="","",IFERROR(INDEX(직원목록!$C$3:$C$302,MATCH($B949,직원목록!$A$3:$A$302,0)),""))</f>
        <v/>
      </c>
      <c r="E949" s="14"/>
      <c r="F949" s="14"/>
      <c r="G949" s="15"/>
      <c r="H949" s="16" t="str">
        <f aca="false">IF(OR($K949="",$L949=""),"",ROUND(MAX(0,($L949-$K949)-IF($G949="",0,$G949))/60,2))</f>
        <v/>
      </c>
      <c r="I949" s="8"/>
      <c r="J949" s="8"/>
      <c r="K949" s="17" t="str">
        <f aca="false">IF($E949="","",IF($E949&lt;1,ROUND($E949*1440,0),INT($E949/100)*60+MOD($E949,100)))</f>
        <v/>
      </c>
      <c r="L949" s="17" t="str">
        <f aca="false">IF($F949="","",IF($F949&lt;1,ROUND($F949*1440,0),INT($F949/100)*60+MOD($F949,100)))</f>
        <v/>
      </c>
    </row>
    <row r="950" customFormat="false" ht="15" hidden="false" customHeight="true" outlineLevel="0" collapsed="false">
      <c r="A950" s="10"/>
      <c r="B950" s="8"/>
      <c r="C950" s="13" t="str">
        <f aca="false">IF($B950="","",IFERROR(INDEX(직원목록!$B$3:$B$302,MATCH($B950,직원목록!$A$3:$A$302,0)),"미등록사번"))</f>
        <v/>
      </c>
      <c r="D950" s="13" t="str">
        <f aca="false">IF($B950="","",IFERROR(INDEX(직원목록!$C$3:$C$302,MATCH($B950,직원목록!$A$3:$A$302,0)),""))</f>
        <v/>
      </c>
      <c r="E950" s="14"/>
      <c r="F950" s="14"/>
      <c r="G950" s="15"/>
      <c r="H950" s="16" t="str">
        <f aca="false">IF(OR($K950="",$L950=""),"",ROUND(MAX(0,($L950-$K950)-IF($G950="",0,$G950))/60,2))</f>
        <v/>
      </c>
      <c r="I950" s="8"/>
      <c r="J950" s="8"/>
      <c r="K950" s="17" t="str">
        <f aca="false">IF($E950="","",IF($E950&lt;1,ROUND($E950*1440,0),INT($E950/100)*60+MOD($E950,100)))</f>
        <v/>
      </c>
      <c r="L950" s="17" t="str">
        <f aca="false">IF($F950="","",IF($F950&lt;1,ROUND($F950*1440,0),INT($F950/100)*60+MOD($F950,100)))</f>
        <v/>
      </c>
    </row>
    <row r="951" customFormat="false" ht="15" hidden="false" customHeight="true" outlineLevel="0" collapsed="false">
      <c r="A951" s="10"/>
      <c r="B951" s="8"/>
      <c r="C951" s="13" t="str">
        <f aca="false">IF($B951="","",IFERROR(INDEX(직원목록!$B$3:$B$302,MATCH($B951,직원목록!$A$3:$A$302,0)),"미등록사번"))</f>
        <v/>
      </c>
      <c r="D951" s="13" t="str">
        <f aca="false">IF($B951="","",IFERROR(INDEX(직원목록!$C$3:$C$302,MATCH($B951,직원목록!$A$3:$A$302,0)),""))</f>
        <v/>
      </c>
      <c r="E951" s="14"/>
      <c r="F951" s="14"/>
      <c r="G951" s="15"/>
      <c r="H951" s="16" t="str">
        <f aca="false">IF(OR($K951="",$L951=""),"",ROUND(MAX(0,($L951-$K951)-IF($G951="",0,$G951))/60,2))</f>
        <v/>
      </c>
      <c r="I951" s="8"/>
      <c r="J951" s="8"/>
      <c r="K951" s="17" t="str">
        <f aca="false">IF($E951="","",IF($E951&lt;1,ROUND($E951*1440,0),INT($E951/100)*60+MOD($E951,100)))</f>
        <v/>
      </c>
      <c r="L951" s="17" t="str">
        <f aca="false">IF($F951="","",IF($F951&lt;1,ROUND($F951*1440,0),INT($F951/100)*60+MOD($F951,100)))</f>
        <v/>
      </c>
    </row>
    <row r="952" customFormat="false" ht="15" hidden="false" customHeight="true" outlineLevel="0" collapsed="false">
      <c r="A952" s="10"/>
      <c r="B952" s="8"/>
      <c r="C952" s="13" t="str">
        <f aca="false">IF($B952="","",IFERROR(INDEX(직원목록!$B$3:$B$302,MATCH($B952,직원목록!$A$3:$A$302,0)),"미등록사번"))</f>
        <v/>
      </c>
      <c r="D952" s="13" t="str">
        <f aca="false">IF($B952="","",IFERROR(INDEX(직원목록!$C$3:$C$302,MATCH($B952,직원목록!$A$3:$A$302,0)),""))</f>
        <v/>
      </c>
      <c r="E952" s="14"/>
      <c r="F952" s="14"/>
      <c r="G952" s="15"/>
      <c r="H952" s="16" t="str">
        <f aca="false">IF(OR($K952="",$L952=""),"",ROUND(MAX(0,($L952-$K952)-IF($G952="",0,$G952))/60,2))</f>
        <v/>
      </c>
      <c r="I952" s="8"/>
      <c r="J952" s="8"/>
      <c r="K952" s="17" t="str">
        <f aca="false">IF($E952="","",IF($E952&lt;1,ROUND($E952*1440,0),INT($E952/100)*60+MOD($E952,100)))</f>
        <v/>
      </c>
      <c r="L952" s="17" t="str">
        <f aca="false">IF($F952="","",IF($F952&lt;1,ROUND($F952*1440,0),INT($F952/100)*60+MOD($F952,100)))</f>
        <v/>
      </c>
    </row>
    <row r="953" customFormat="false" ht="15" hidden="false" customHeight="true" outlineLevel="0" collapsed="false">
      <c r="A953" s="10"/>
      <c r="B953" s="8"/>
      <c r="C953" s="13" t="str">
        <f aca="false">IF($B953="","",IFERROR(INDEX(직원목록!$B$3:$B$302,MATCH($B953,직원목록!$A$3:$A$302,0)),"미등록사번"))</f>
        <v/>
      </c>
      <c r="D953" s="13" t="str">
        <f aca="false">IF($B953="","",IFERROR(INDEX(직원목록!$C$3:$C$302,MATCH($B953,직원목록!$A$3:$A$302,0)),""))</f>
        <v/>
      </c>
      <c r="E953" s="14"/>
      <c r="F953" s="14"/>
      <c r="G953" s="15"/>
      <c r="H953" s="16" t="str">
        <f aca="false">IF(OR($K953="",$L953=""),"",ROUND(MAX(0,($L953-$K953)-IF($G953="",0,$G953))/60,2))</f>
        <v/>
      </c>
      <c r="I953" s="8"/>
      <c r="J953" s="8"/>
      <c r="K953" s="17" t="str">
        <f aca="false">IF($E953="","",IF($E953&lt;1,ROUND($E953*1440,0),INT($E953/100)*60+MOD($E953,100)))</f>
        <v/>
      </c>
      <c r="L953" s="17" t="str">
        <f aca="false">IF($F953="","",IF($F953&lt;1,ROUND($F953*1440,0),INT($F953/100)*60+MOD($F953,100)))</f>
        <v/>
      </c>
    </row>
    <row r="954" customFormat="false" ht="15" hidden="false" customHeight="true" outlineLevel="0" collapsed="false">
      <c r="A954" s="10"/>
      <c r="B954" s="8"/>
      <c r="C954" s="13" t="str">
        <f aca="false">IF($B954="","",IFERROR(INDEX(직원목록!$B$3:$B$302,MATCH($B954,직원목록!$A$3:$A$302,0)),"미등록사번"))</f>
        <v/>
      </c>
      <c r="D954" s="13" t="str">
        <f aca="false">IF($B954="","",IFERROR(INDEX(직원목록!$C$3:$C$302,MATCH($B954,직원목록!$A$3:$A$302,0)),""))</f>
        <v/>
      </c>
      <c r="E954" s="14"/>
      <c r="F954" s="14"/>
      <c r="G954" s="15"/>
      <c r="H954" s="16" t="str">
        <f aca="false">IF(OR($K954="",$L954=""),"",ROUND(MAX(0,($L954-$K954)-IF($G954="",0,$G954))/60,2))</f>
        <v/>
      </c>
      <c r="I954" s="8"/>
      <c r="J954" s="8"/>
      <c r="K954" s="17" t="str">
        <f aca="false">IF($E954="","",IF($E954&lt;1,ROUND($E954*1440,0),INT($E954/100)*60+MOD($E954,100)))</f>
        <v/>
      </c>
      <c r="L954" s="17" t="str">
        <f aca="false">IF($F954="","",IF($F954&lt;1,ROUND($F954*1440,0),INT($F954/100)*60+MOD($F954,100)))</f>
        <v/>
      </c>
    </row>
    <row r="955" customFormat="false" ht="15" hidden="false" customHeight="true" outlineLevel="0" collapsed="false">
      <c r="A955" s="10"/>
      <c r="B955" s="8"/>
      <c r="C955" s="13" t="str">
        <f aca="false">IF($B955="","",IFERROR(INDEX(직원목록!$B$3:$B$302,MATCH($B955,직원목록!$A$3:$A$302,0)),"미등록사번"))</f>
        <v/>
      </c>
      <c r="D955" s="13" t="str">
        <f aca="false">IF($B955="","",IFERROR(INDEX(직원목록!$C$3:$C$302,MATCH($B955,직원목록!$A$3:$A$302,0)),""))</f>
        <v/>
      </c>
      <c r="E955" s="14"/>
      <c r="F955" s="14"/>
      <c r="G955" s="15"/>
      <c r="H955" s="16" t="str">
        <f aca="false">IF(OR($K955="",$L955=""),"",ROUND(MAX(0,($L955-$K955)-IF($G955="",0,$G955))/60,2))</f>
        <v/>
      </c>
      <c r="I955" s="8"/>
      <c r="J955" s="8"/>
      <c r="K955" s="17" t="str">
        <f aca="false">IF($E955="","",IF($E955&lt;1,ROUND($E955*1440,0),INT($E955/100)*60+MOD($E955,100)))</f>
        <v/>
      </c>
      <c r="L955" s="17" t="str">
        <f aca="false">IF($F955="","",IF($F955&lt;1,ROUND($F955*1440,0),INT($F955/100)*60+MOD($F955,100)))</f>
        <v/>
      </c>
    </row>
    <row r="956" customFormat="false" ht="15" hidden="false" customHeight="true" outlineLevel="0" collapsed="false">
      <c r="A956" s="10"/>
      <c r="B956" s="8"/>
      <c r="C956" s="13" t="str">
        <f aca="false">IF($B956="","",IFERROR(INDEX(직원목록!$B$3:$B$302,MATCH($B956,직원목록!$A$3:$A$302,0)),"미등록사번"))</f>
        <v/>
      </c>
      <c r="D956" s="13" t="str">
        <f aca="false">IF($B956="","",IFERROR(INDEX(직원목록!$C$3:$C$302,MATCH($B956,직원목록!$A$3:$A$302,0)),""))</f>
        <v/>
      </c>
      <c r="E956" s="14"/>
      <c r="F956" s="14"/>
      <c r="G956" s="15"/>
      <c r="H956" s="16" t="str">
        <f aca="false">IF(OR($K956="",$L956=""),"",ROUND(MAX(0,($L956-$K956)-IF($G956="",0,$G956))/60,2))</f>
        <v/>
      </c>
      <c r="I956" s="8"/>
      <c r="J956" s="8"/>
      <c r="K956" s="17" t="str">
        <f aca="false">IF($E956="","",IF($E956&lt;1,ROUND($E956*1440,0),INT($E956/100)*60+MOD($E956,100)))</f>
        <v/>
      </c>
      <c r="L956" s="17" t="str">
        <f aca="false">IF($F956="","",IF($F956&lt;1,ROUND($F956*1440,0),INT($F956/100)*60+MOD($F956,100)))</f>
        <v/>
      </c>
    </row>
    <row r="957" customFormat="false" ht="15" hidden="false" customHeight="true" outlineLevel="0" collapsed="false">
      <c r="A957" s="10"/>
      <c r="B957" s="8"/>
      <c r="C957" s="13" t="str">
        <f aca="false">IF($B957="","",IFERROR(INDEX(직원목록!$B$3:$B$302,MATCH($B957,직원목록!$A$3:$A$302,0)),"미등록사번"))</f>
        <v/>
      </c>
      <c r="D957" s="13" t="str">
        <f aca="false">IF($B957="","",IFERROR(INDEX(직원목록!$C$3:$C$302,MATCH($B957,직원목록!$A$3:$A$302,0)),""))</f>
        <v/>
      </c>
      <c r="E957" s="14"/>
      <c r="F957" s="14"/>
      <c r="G957" s="15"/>
      <c r="H957" s="16" t="str">
        <f aca="false">IF(OR($K957="",$L957=""),"",ROUND(MAX(0,($L957-$K957)-IF($G957="",0,$G957))/60,2))</f>
        <v/>
      </c>
      <c r="I957" s="8"/>
      <c r="J957" s="8"/>
      <c r="K957" s="17" t="str">
        <f aca="false">IF($E957="","",IF($E957&lt;1,ROUND($E957*1440,0),INT($E957/100)*60+MOD($E957,100)))</f>
        <v/>
      </c>
      <c r="L957" s="17" t="str">
        <f aca="false">IF($F957="","",IF($F957&lt;1,ROUND($F957*1440,0),INT($F957/100)*60+MOD($F957,100)))</f>
        <v/>
      </c>
    </row>
    <row r="958" customFormat="false" ht="15" hidden="false" customHeight="true" outlineLevel="0" collapsed="false">
      <c r="A958" s="10"/>
      <c r="B958" s="8"/>
      <c r="C958" s="13" t="str">
        <f aca="false">IF($B958="","",IFERROR(INDEX(직원목록!$B$3:$B$302,MATCH($B958,직원목록!$A$3:$A$302,0)),"미등록사번"))</f>
        <v/>
      </c>
      <c r="D958" s="13" t="str">
        <f aca="false">IF($B958="","",IFERROR(INDEX(직원목록!$C$3:$C$302,MATCH($B958,직원목록!$A$3:$A$302,0)),""))</f>
        <v/>
      </c>
      <c r="E958" s="14"/>
      <c r="F958" s="14"/>
      <c r="G958" s="15"/>
      <c r="H958" s="16" t="str">
        <f aca="false">IF(OR($K958="",$L958=""),"",ROUND(MAX(0,($L958-$K958)-IF($G958="",0,$G958))/60,2))</f>
        <v/>
      </c>
      <c r="I958" s="8"/>
      <c r="J958" s="8"/>
      <c r="K958" s="17" t="str">
        <f aca="false">IF($E958="","",IF($E958&lt;1,ROUND($E958*1440,0),INT($E958/100)*60+MOD($E958,100)))</f>
        <v/>
      </c>
      <c r="L958" s="17" t="str">
        <f aca="false">IF($F958="","",IF($F958&lt;1,ROUND($F958*1440,0),INT($F958/100)*60+MOD($F958,100)))</f>
        <v/>
      </c>
    </row>
    <row r="959" customFormat="false" ht="15" hidden="false" customHeight="true" outlineLevel="0" collapsed="false">
      <c r="A959" s="10"/>
      <c r="B959" s="8"/>
      <c r="C959" s="13" t="str">
        <f aca="false">IF($B959="","",IFERROR(INDEX(직원목록!$B$3:$B$302,MATCH($B959,직원목록!$A$3:$A$302,0)),"미등록사번"))</f>
        <v/>
      </c>
      <c r="D959" s="13" t="str">
        <f aca="false">IF($B959="","",IFERROR(INDEX(직원목록!$C$3:$C$302,MATCH($B959,직원목록!$A$3:$A$302,0)),""))</f>
        <v/>
      </c>
      <c r="E959" s="14"/>
      <c r="F959" s="14"/>
      <c r="G959" s="15"/>
      <c r="H959" s="16" t="str">
        <f aca="false">IF(OR($K959="",$L959=""),"",ROUND(MAX(0,($L959-$K959)-IF($G959="",0,$G959))/60,2))</f>
        <v/>
      </c>
      <c r="I959" s="8"/>
      <c r="J959" s="8"/>
      <c r="K959" s="17" t="str">
        <f aca="false">IF($E959="","",IF($E959&lt;1,ROUND($E959*1440,0),INT($E959/100)*60+MOD($E959,100)))</f>
        <v/>
      </c>
      <c r="L959" s="17" t="str">
        <f aca="false">IF($F959="","",IF($F959&lt;1,ROUND($F959*1440,0),INT($F959/100)*60+MOD($F959,100)))</f>
        <v/>
      </c>
    </row>
    <row r="960" customFormat="false" ht="15" hidden="false" customHeight="true" outlineLevel="0" collapsed="false">
      <c r="A960" s="10"/>
      <c r="B960" s="8"/>
      <c r="C960" s="13" t="str">
        <f aca="false">IF($B960="","",IFERROR(INDEX(직원목록!$B$3:$B$302,MATCH($B960,직원목록!$A$3:$A$302,0)),"미등록사번"))</f>
        <v/>
      </c>
      <c r="D960" s="13" t="str">
        <f aca="false">IF($B960="","",IFERROR(INDEX(직원목록!$C$3:$C$302,MATCH($B960,직원목록!$A$3:$A$302,0)),""))</f>
        <v/>
      </c>
      <c r="E960" s="14"/>
      <c r="F960" s="14"/>
      <c r="G960" s="15"/>
      <c r="H960" s="16" t="str">
        <f aca="false">IF(OR($K960="",$L960=""),"",ROUND(MAX(0,($L960-$K960)-IF($G960="",0,$G960))/60,2))</f>
        <v/>
      </c>
      <c r="I960" s="8"/>
      <c r="J960" s="8"/>
      <c r="K960" s="17" t="str">
        <f aca="false">IF($E960="","",IF($E960&lt;1,ROUND($E960*1440,0),INT($E960/100)*60+MOD($E960,100)))</f>
        <v/>
      </c>
      <c r="L960" s="17" t="str">
        <f aca="false">IF($F960="","",IF($F960&lt;1,ROUND($F960*1440,0),INT($F960/100)*60+MOD($F960,100)))</f>
        <v/>
      </c>
    </row>
    <row r="961" customFormat="false" ht="15" hidden="false" customHeight="true" outlineLevel="0" collapsed="false">
      <c r="A961" s="10"/>
      <c r="B961" s="8"/>
      <c r="C961" s="13" t="str">
        <f aca="false">IF($B961="","",IFERROR(INDEX(직원목록!$B$3:$B$302,MATCH($B961,직원목록!$A$3:$A$302,0)),"미등록사번"))</f>
        <v/>
      </c>
      <c r="D961" s="13" t="str">
        <f aca="false">IF($B961="","",IFERROR(INDEX(직원목록!$C$3:$C$302,MATCH($B961,직원목록!$A$3:$A$302,0)),""))</f>
        <v/>
      </c>
      <c r="E961" s="14"/>
      <c r="F961" s="14"/>
      <c r="G961" s="15"/>
      <c r="H961" s="16" t="str">
        <f aca="false">IF(OR($K961="",$L961=""),"",ROUND(MAX(0,($L961-$K961)-IF($G961="",0,$G961))/60,2))</f>
        <v/>
      </c>
      <c r="I961" s="8"/>
      <c r="J961" s="8"/>
      <c r="K961" s="17" t="str">
        <f aca="false">IF($E961="","",IF($E961&lt;1,ROUND($E961*1440,0),INT($E961/100)*60+MOD($E961,100)))</f>
        <v/>
      </c>
      <c r="L961" s="17" t="str">
        <f aca="false">IF($F961="","",IF($F961&lt;1,ROUND($F961*1440,0),INT($F961/100)*60+MOD($F961,100)))</f>
        <v/>
      </c>
    </row>
    <row r="962" customFormat="false" ht="15" hidden="false" customHeight="true" outlineLevel="0" collapsed="false">
      <c r="A962" s="10"/>
      <c r="B962" s="8"/>
      <c r="C962" s="13" t="str">
        <f aca="false">IF($B962="","",IFERROR(INDEX(직원목록!$B$3:$B$302,MATCH($B962,직원목록!$A$3:$A$302,0)),"미등록사번"))</f>
        <v/>
      </c>
      <c r="D962" s="13" t="str">
        <f aca="false">IF($B962="","",IFERROR(INDEX(직원목록!$C$3:$C$302,MATCH($B962,직원목록!$A$3:$A$302,0)),""))</f>
        <v/>
      </c>
      <c r="E962" s="14"/>
      <c r="F962" s="14"/>
      <c r="G962" s="15"/>
      <c r="H962" s="16" t="str">
        <f aca="false">IF(OR($K962="",$L962=""),"",ROUND(MAX(0,($L962-$K962)-IF($G962="",0,$G962))/60,2))</f>
        <v/>
      </c>
      <c r="I962" s="8"/>
      <c r="J962" s="8"/>
      <c r="K962" s="17" t="str">
        <f aca="false">IF($E962="","",IF($E962&lt;1,ROUND($E962*1440,0),INT($E962/100)*60+MOD($E962,100)))</f>
        <v/>
      </c>
      <c r="L962" s="17" t="str">
        <f aca="false">IF($F962="","",IF($F962&lt;1,ROUND($F962*1440,0),INT($F962/100)*60+MOD($F962,100)))</f>
        <v/>
      </c>
    </row>
    <row r="963" customFormat="false" ht="15" hidden="false" customHeight="true" outlineLevel="0" collapsed="false">
      <c r="A963" s="10"/>
      <c r="B963" s="8"/>
      <c r="C963" s="13" t="str">
        <f aca="false">IF($B963="","",IFERROR(INDEX(직원목록!$B$3:$B$302,MATCH($B963,직원목록!$A$3:$A$302,0)),"미등록사번"))</f>
        <v/>
      </c>
      <c r="D963" s="13" t="str">
        <f aca="false">IF($B963="","",IFERROR(INDEX(직원목록!$C$3:$C$302,MATCH($B963,직원목록!$A$3:$A$302,0)),""))</f>
        <v/>
      </c>
      <c r="E963" s="14"/>
      <c r="F963" s="14"/>
      <c r="G963" s="15"/>
      <c r="H963" s="16" t="str">
        <f aca="false">IF(OR($K963="",$L963=""),"",ROUND(MAX(0,($L963-$K963)-IF($G963="",0,$G963))/60,2))</f>
        <v/>
      </c>
      <c r="I963" s="8"/>
      <c r="J963" s="8"/>
      <c r="K963" s="17" t="str">
        <f aca="false">IF($E963="","",IF($E963&lt;1,ROUND($E963*1440,0),INT($E963/100)*60+MOD($E963,100)))</f>
        <v/>
      </c>
      <c r="L963" s="17" t="str">
        <f aca="false">IF($F963="","",IF($F963&lt;1,ROUND($F963*1440,0),INT($F963/100)*60+MOD($F963,100)))</f>
        <v/>
      </c>
    </row>
    <row r="964" customFormat="false" ht="15" hidden="false" customHeight="true" outlineLevel="0" collapsed="false">
      <c r="A964" s="10"/>
      <c r="B964" s="8"/>
      <c r="C964" s="13" t="str">
        <f aca="false">IF($B964="","",IFERROR(INDEX(직원목록!$B$3:$B$302,MATCH($B964,직원목록!$A$3:$A$302,0)),"미등록사번"))</f>
        <v/>
      </c>
      <c r="D964" s="13" t="str">
        <f aca="false">IF($B964="","",IFERROR(INDEX(직원목록!$C$3:$C$302,MATCH($B964,직원목록!$A$3:$A$302,0)),""))</f>
        <v/>
      </c>
      <c r="E964" s="14"/>
      <c r="F964" s="14"/>
      <c r="G964" s="15"/>
      <c r="H964" s="16" t="str">
        <f aca="false">IF(OR($K964="",$L964=""),"",ROUND(MAX(0,($L964-$K964)-IF($G964="",0,$G964))/60,2))</f>
        <v/>
      </c>
      <c r="I964" s="8"/>
      <c r="J964" s="8"/>
      <c r="K964" s="17" t="str">
        <f aca="false">IF($E964="","",IF($E964&lt;1,ROUND($E964*1440,0),INT($E964/100)*60+MOD($E964,100)))</f>
        <v/>
      </c>
      <c r="L964" s="17" t="str">
        <f aca="false">IF($F964="","",IF($F964&lt;1,ROUND($F964*1440,0),INT($F964/100)*60+MOD($F964,100)))</f>
        <v/>
      </c>
    </row>
    <row r="965" customFormat="false" ht="15" hidden="false" customHeight="true" outlineLevel="0" collapsed="false">
      <c r="A965" s="10"/>
      <c r="B965" s="8"/>
      <c r="C965" s="13" t="str">
        <f aca="false">IF($B965="","",IFERROR(INDEX(직원목록!$B$3:$B$302,MATCH($B965,직원목록!$A$3:$A$302,0)),"미등록사번"))</f>
        <v/>
      </c>
      <c r="D965" s="13" t="str">
        <f aca="false">IF($B965="","",IFERROR(INDEX(직원목록!$C$3:$C$302,MATCH($B965,직원목록!$A$3:$A$302,0)),""))</f>
        <v/>
      </c>
      <c r="E965" s="14"/>
      <c r="F965" s="14"/>
      <c r="G965" s="15"/>
      <c r="H965" s="16" t="str">
        <f aca="false">IF(OR($K965="",$L965=""),"",ROUND(MAX(0,($L965-$K965)-IF($G965="",0,$G965))/60,2))</f>
        <v/>
      </c>
      <c r="I965" s="8"/>
      <c r="J965" s="8"/>
      <c r="K965" s="17" t="str">
        <f aca="false">IF($E965="","",IF($E965&lt;1,ROUND($E965*1440,0),INT($E965/100)*60+MOD($E965,100)))</f>
        <v/>
      </c>
      <c r="L965" s="17" t="str">
        <f aca="false">IF($F965="","",IF($F965&lt;1,ROUND($F965*1440,0),INT($F965/100)*60+MOD($F965,100)))</f>
        <v/>
      </c>
    </row>
    <row r="966" customFormat="false" ht="15" hidden="false" customHeight="true" outlineLevel="0" collapsed="false">
      <c r="A966" s="10"/>
      <c r="B966" s="8"/>
      <c r="C966" s="13" t="str">
        <f aca="false">IF($B966="","",IFERROR(INDEX(직원목록!$B$3:$B$302,MATCH($B966,직원목록!$A$3:$A$302,0)),"미등록사번"))</f>
        <v/>
      </c>
      <c r="D966" s="13" t="str">
        <f aca="false">IF($B966="","",IFERROR(INDEX(직원목록!$C$3:$C$302,MATCH($B966,직원목록!$A$3:$A$302,0)),""))</f>
        <v/>
      </c>
      <c r="E966" s="14"/>
      <c r="F966" s="14"/>
      <c r="G966" s="15"/>
      <c r="H966" s="16" t="str">
        <f aca="false">IF(OR($K966="",$L966=""),"",ROUND(MAX(0,($L966-$K966)-IF($G966="",0,$G966))/60,2))</f>
        <v/>
      </c>
      <c r="I966" s="8"/>
      <c r="J966" s="8"/>
      <c r="K966" s="17" t="str">
        <f aca="false">IF($E966="","",IF($E966&lt;1,ROUND($E966*1440,0),INT($E966/100)*60+MOD($E966,100)))</f>
        <v/>
      </c>
      <c r="L966" s="17" t="str">
        <f aca="false">IF($F966="","",IF($F966&lt;1,ROUND($F966*1440,0),INT($F966/100)*60+MOD($F966,100)))</f>
        <v/>
      </c>
    </row>
    <row r="967" customFormat="false" ht="15" hidden="false" customHeight="true" outlineLevel="0" collapsed="false">
      <c r="A967" s="10"/>
      <c r="B967" s="8"/>
      <c r="C967" s="13" t="str">
        <f aca="false">IF($B967="","",IFERROR(INDEX(직원목록!$B$3:$B$302,MATCH($B967,직원목록!$A$3:$A$302,0)),"미등록사번"))</f>
        <v/>
      </c>
      <c r="D967" s="13" t="str">
        <f aca="false">IF($B967="","",IFERROR(INDEX(직원목록!$C$3:$C$302,MATCH($B967,직원목록!$A$3:$A$302,0)),""))</f>
        <v/>
      </c>
      <c r="E967" s="14"/>
      <c r="F967" s="14"/>
      <c r="G967" s="15"/>
      <c r="H967" s="16" t="str">
        <f aca="false">IF(OR($K967="",$L967=""),"",ROUND(MAX(0,($L967-$K967)-IF($G967="",0,$G967))/60,2))</f>
        <v/>
      </c>
      <c r="I967" s="8"/>
      <c r="J967" s="8"/>
      <c r="K967" s="17" t="str">
        <f aca="false">IF($E967="","",IF($E967&lt;1,ROUND($E967*1440,0),INT($E967/100)*60+MOD($E967,100)))</f>
        <v/>
      </c>
      <c r="L967" s="17" t="str">
        <f aca="false">IF($F967="","",IF($F967&lt;1,ROUND($F967*1440,0),INT($F967/100)*60+MOD($F967,100)))</f>
        <v/>
      </c>
    </row>
    <row r="968" customFormat="false" ht="15" hidden="false" customHeight="true" outlineLevel="0" collapsed="false">
      <c r="A968" s="10"/>
      <c r="B968" s="8"/>
      <c r="C968" s="13" t="str">
        <f aca="false">IF($B968="","",IFERROR(INDEX(직원목록!$B$3:$B$302,MATCH($B968,직원목록!$A$3:$A$302,0)),"미등록사번"))</f>
        <v/>
      </c>
      <c r="D968" s="13" t="str">
        <f aca="false">IF($B968="","",IFERROR(INDEX(직원목록!$C$3:$C$302,MATCH($B968,직원목록!$A$3:$A$302,0)),""))</f>
        <v/>
      </c>
      <c r="E968" s="14"/>
      <c r="F968" s="14"/>
      <c r="G968" s="15"/>
      <c r="H968" s="16" t="str">
        <f aca="false">IF(OR($K968="",$L968=""),"",ROUND(MAX(0,($L968-$K968)-IF($G968="",0,$G968))/60,2))</f>
        <v/>
      </c>
      <c r="I968" s="8"/>
      <c r="J968" s="8"/>
      <c r="K968" s="17" t="str">
        <f aca="false">IF($E968="","",IF($E968&lt;1,ROUND($E968*1440,0),INT($E968/100)*60+MOD($E968,100)))</f>
        <v/>
      </c>
      <c r="L968" s="17" t="str">
        <f aca="false">IF($F968="","",IF($F968&lt;1,ROUND($F968*1440,0),INT($F968/100)*60+MOD($F968,100)))</f>
        <v/>
      </c>
    </row>
    <row r="969" customFormat="false" ht="15" hidden="false" customHeight="true" outlineLevel="0" collapsed="false">
      <c r="A969" s="10"/>
      <c r="B969" s="8"/>
      <c r="C969" s="13" t="str">
        <f aca="false">IF($B969="","",IFERROR(INDEX(직원목록!$B$3:$B$302,MATCH($B969,직원목록!$A$3:$A$302,0)),"미등록사번"))</f>
        <v/>
      </c>
      <c r="D969" s="13" t="str">
        <f aca="false">IF($B969="","",IFERROR(INDEX(직원목록!$C$3:$C$302,MATCH($B969,직원목록!$A$3:$A$302,0)),""))</f>
        <v/>
      </c>
      <c r="E969" s="14"/>
      <c r="F969" s="14"/>
      <c r="G969" s="15"/>
      <c r="H969" s="16" t="str">
        <f aca="false">IF(OR($K969="",$L969=""),"",ROUND(MAX(0,($L969-$K969)-IF($G969="",0,$G969))/60,2))</f>
        <v/>
      </c>
      <c r="I969" s="8"/>
      <c r="J969" s="8"/>
      <c r="K969" s="17" t="str">
        <f aca="false">IF($E969="","",IF($E969&lt;1,ROUND($E969*1440,0),INT($E969/100)*60+MOD($E969,100)))</f>
        <v/>
      </c>
      <c r="L969" s="17" t="str">
        <f aca="false">IF($F969="","",IF($F969&lt;1,ROUND($F969*1440,0),INT($F969/100)*60+MOD($F969,100)))</f>
        <v/>
      </c>
    </row>
    <row r="970" customFormat="false" ht="15" hidden="false" customHeight="true" outlineLevel="0" collapsed="false">
      <c r="A970" s="10"/>
      <c r="B970" s="8"/>
      <c r="C970" s="13" t="str">
        <f aca="false">IF($B970="","",IFERROR(INDEX(직원목록!$B$3:$B$302,MATCH($B970,직원목록!$A$3:$A$302,0)),"미등록사번"))</f>
        <v/>
      </c>
      <c r="D970" s="13" t="str">
        <f aca="false">IF($B970="","",IFERROR(INDEX(직원목록!$C$3:$C$302,MATCH($B970,직원목록!$A$3:$A$302,0)),""))</f>
        <v/>
      </c>
      <c r="E970" s="14"/>
      <c r="F970" s="14"/>
      <c r="G970" s="15"/>
      <c r="H970" s="16" t="str">
        <f aca="false">IF(OR($K970="",$L970=""),"",ROUND(MAX(0,($L970-$K970)-IF($G970="",0,$G970))/60,2))</f>
        <v/>
      </c>
      <c r="I970" s="8"/>
      <c r="J970" s="8"/>
      <c r="K970" s="17" t="str">
        <f aca="false">IF($E970="","",IF($E970&lt;1,ROUND($E970*1440,0),INT($E970/100)*60+MOD($E970,100)))</f>
        <v/>
      </c>
      <c r="L970" s="17" t="str">
        <f aca="false">IF($F970="","",IF($F970&lt;1,ROUND($F970*1440,0),INT($F970/100)*60+MOD($F970,100)))</f>
        <v/>
      </c>
    </row>
    <row r="971" customFormat="false" ht="15" hidden="false" customHeight="true" outlineLevel="0" collapsed="false">
      <c r="A971" s="10"/>
      <c r="B971" s="8"/>
      <c r="C971" s="13" t="str">
        <f aca="false">IF($B971="","",IFERROR(INDEX(직원목록!$B$3:$B$302,MATCH($B971,직원목록!$A$3:$A$302,0)),"미등록사번"))</f>
        <v/>
      </c>
      <c r="D971" s="13" t="str">
        <f aca="false">IF($B971="","",IFERROR(INDEX(직원목록!$C$3:$C$302,MATCH($B971,직원목록!$A$3:$A$302,0)),""))</f>
        <v/>
      </c>
      <c r="E971" s="14"/>
      <c r="F971" s="14"/>
      <c r="G971" s="15"/>
      <c r="H971" s="16" t="str">
        <f aca="false">IF(OR($K971="",$L971=""),"",ROUND(MAX(0,($L971-$K971)-IF($G971="",0,$G971))/60,2))</f>
        <v/>
      </c>
      <c r="I971" s="8"/>
      <c r="J971" s="8"/>
      <c r="K971" s="17" t="str">
        <f aca="false">IF($E971="","",IF($E971&lt;1,ROUND($E971*1440,0),INT($E971/100)*60+MOD($E971,100)))</f>
        <v/>
      </c>
      <c r="L971" s="17" t="str">
        <f aca="false">IF($F971="","",IF($F971&lt;1,ROUND($F971*1440,0),INT($F971/100)*60+MOD($F971,100)))</f>
        <v/>
      </c>
    </row>
    <row r="972" customFormat="false" ht="15" hidden="false" customHeight="true" outlineLevel="0" collapsed="false">
      <c r="A972" s="10"/>
      <c r="B972" s="8"/>
      <c r="C972" s="13" t="str">
        <f aca="false">IF($B972="","",IFERROR(INDEX(직원목록!$B$3:$B$302,MATCH($B972,직원목록!$A$3:$A$302,0)),"미등록사번"))</f>
        <v/>
      </c>
      <c r="D972" s="13" t="str">
        <f aca="false">IF($B972="","",IFERROR(INDEX(직원목록!$C$3:$C$302,MATCH($B972,직원목록!$A$3:$A$302,0)),""))</f>
        <v/>
      </c>
      <c r="E972" s="14"/>
      <c r="F972" s="14"/>
      <c r="G972" s="15"/>
      <c r="H972" s="16" t="str">
        <f aca="false">IF(OR($K972="",$L972=""),"",ROUND(MAX(0,($L972-$K972)-IF($G972="",0,$G972))/60,2))</f>
        <v/>
      </c>
      <c r="I972" s="8"/>
      <c r="J972" s="8"/>
      <c r="K972" s="17" t="str">
        <f aca="false">IF($E972="","",IF($E972&lt;1,ROUND($E972*1440,0),INT($E972/100)*60+MOD($E972,100)))</f>
        <v/>
      </c>
      <c r="L972" s="17" t="str">
        <f aca="false">IF($F972="","",IF($F972&lt;1,ROUND($F972*1440,0),INT($F972/100)*60+MOD($F972,100)))</f>
        <v/>
      </c>
    </row>
    <row r="973" customFormat="false" ht="15" hidden="false" customHeight="true" outlineLevel="0" collapsed="false">
      <c r="A973" s="10"/>
      <c r="B973" s="8"/>
      <c r="C973" s="13" t="str">
        <f aca="false">IF($B973="","",IFERROR(INDEX(직원목록!$B$3:$B$302,MATCH($B973,직원목록!$A$3:$A$302,0)),"미등록사번"))</f>
        <v/>
      </c>
      <c r="D973" s="13" t="str">
        <f aca="false">IF($B973="","",IFERROR(INDEX(직원목록!$C$3:$C$302,MATCH($B973,직원목록!$A$3:$A$302,0)),""))</f>
        <v/>
      </c>
      <c r="E973" s="14"/>
      <c r="F973" s="14"/>
      <c r="G973" s="15"/>
      <c r="H973" s="16" t="str">
        <f aca="false">IF(OR($K973="",$L973=""),"",ROUND(MAX(0,($L973-$K973)-IF($G973="",0,$G973))/60,2))</f>
        <v/>
      </c>
      <c r="I973" s="8"/>
      <c r="J973" s="8"/>
      <c r="K973" s="17" t="str">
        <f aca="false">IF($E973="","",IF($E973&lt;1,ROUND($E973*1440,0),INT($E973/100)*60+MOD($E973,100)))</f>
        <v/>
      </c>
      <c r="L973" s="17" t="str">
        <f aca="false">IF($F973="","",IF($F973&lt;1,ROUND($F973*1440,0),INT($F973/100)*60+MOD($F973,100)))</f>
        <v/>
      </c>
    </row>
    <row r="974" customFormat="false" ht="15" hidden="false" customHeight="true" outlineLevel="0" collapsed="false">
      <c r="A974" s="10"/>
      <c r="B974" s="8"/>
      <c r="C974" s="13" t="str">
        <f aca="false">IF($B974="","",IFERROR(INDEX(직원목록!$B$3:$B$302,MATCH($B974,직원목록!$A$3:$A$302,0)),"미등록사번"))</f>
        <v/>
      </c>
      <c r="D974" s="13" t="str">
        <f aca="false">IF($B974="","",IFERROR(INDEX(직원목록!$C$3:$C$302,MATCH($B974,직원목록!$A$3:$A$302,0)),""))</f>
        <v/>
      </c>
      <c r="E974" s="14"/>
      <c r="F974" s="14"/>
      <c r="G974" s="15"/>
      <c r="H974" s="16" t="str">
        <f aca="false">IF(OR($K974="",$L974=""),"",ROUND(MAX(0,($L974-$K974)-IF($G974="",0,$G974))/60,2))</f>
        <v/>
      </c>
      <c r="I974" s="8"/>
      <c r="J974" s="8"/>
      <c r="K974" s="17" t="str">
        <f aca="false">IF($E974="","",IF($E974&lt;1,ROUND($E974*1440,0),INT($E974/100)*60+MOD($E974,100)))</f>
        <v/>
      </c>
      <c r="L974" s="17" t="str">
        <f aca="false">IF($F974="","",IF($F974&lt;1,ROUND($F974*1440,0),INT($F974/100)*60+MOD($F974,100)))</f>
        <v/>
      </c>
    </row>
    <row r="975" customFormat="false" ht="15" hidden="false" customHeight="true" outlineLevel="0" collapsed="false">
      <c r="A975" s="10"/>
      <c r="B975" s="8"/>
      <c r="C975" s="13" t="str">
        <f aca="false">IF($B975="","",IFERROR(INDEX(직원목록!$B$3:$B$302,MATCH($B975,직원목록!$A$3:$A$302,0)),"미등록사번"))</f>
        <v/>
      </c>
      <c r="D975" s="13" t="str">
        <f aca="false">IF($B975="","",IFERROR(INDEX(직원목록!$C$3:$C$302,MATCH($B975,직원목록!$A$3:$A$302,0)),""))</f>
        <v/>
      </c>
      <c r="E975" s="14"/>
      <c r="F975" s="14"/>
      <c r="G975" s="15"/>
      <c r="H975" s="16" t="str">
        <f aca="false">IF(OR($K975="",$L975=""),"",ROUND(MAX(0,($L975-$K975)-IF($G975="",0,$G975))/60,2))</f>
        <v/>
      </c>
      <c r="I975" s="8"/>
      <c r="J975" s="8"/>
      <c r="K975" s="17" t="str">
        <f aca="false">IF($E975="","",IF($E975&lt;1,ROUND($E975*1440,0),INT($E975/100)*60+MOD($E975,100)))</f>
        <v/>
      </c>
      <c r="L975" s="17" t="str">
        <f aca="false">IF($F975="","",IF($F975&lt;1,ROUND($F975*1440,0),INT($F975/100)*60+MOD($F975,100)))</f>
        <v/>
      </c>
    </row>
    <row r="976" customFormat="false" ht="15" hidden="false" customHeight="true" outlineLevel="0" collapsed="false">
      <c r="A976" s="10"/>
      <c r="B976" s="8"/>
      <c r="C976" s="13" t="str">
        <f aca="false">IF($B976="","",IFERROR(INDEX(직원목록!$B$3:$B$302,MATCH($B976,직원목록!$A$3:$A$302,0)),"미등록사번"))</f>
        <v/>
      </c>
      <c r="D976" s="13" t="str">
        <f aca="false">IF($B976="","",IFERROR(INDEX(직원목록!$C$3:$C$302,MATCH($B976,직원목록!$A$3:$A$302,0)),""))</f>
        <v/>
      </c>
      <c r="E976" s="14"/>
      <c r="F976" s="14"/>
      <c r="G976" s="15"/>
      <c r="H976" s="16" t="str">
        <f aca="false">IF(OR($K976="",$L976=""),"",ROUND(MAX(0,($L976-$K976)-IF($G976="",0,$G976))/60,2))</f>
        <v/>
      </c>
      <c r="I976" s="8"/>
      <c r="J976" s="8"/>
      <c r="K976" s="17" t="str">
        <f aca="false">IF($E976="","",IF($E976&lt;1,ROUND($E976*1440,0),INT($E976/100)*60+MOD($E976,100)))</f>
        <v/>
      </c>
      <c r="L976" s="17" t="str">
        <f aca="false">IF($F976="","",IF($F976&lt;1,ROUND($F976*1440,0),INT($F976/100)*60+MOD($F976,100)))</f>
        <v/>
      </c>
    </row>
    <row r="977" customFormat="false" ht="15" hidden="false" customHeight="true" outlineLevel="0" collapsed="false">
      <c r="A977" s="10"/>
      <c r="B977" s="8"/>
      <c r="C977" s="13" t="str">
        <f aca="false">IF($B977="","",IFERROR(INDEX(직원목록!$B$3:$B$302,MATCH($B977,직원목록!$A$3:$A$302,0)),"미등록사번"))</f>
        <v/>
      </c>
      <c r="D977" s="13" t="str">
        <f aca="false">IF($B977="","",IFERROR(INDEX(직원목록!$C$3:$C$302,MATCH($B977,직원목록!$A$3:$A$302,0)),""))</f>
        <v/>
      </c>
      <c r="E977" s="14"/>
      <c r="F977" s="14"/>
      <c r="G977" s="15"/>
      <c r="H977" s="16" t="str">
        <f aca="false">IF(OR($K977="",$L977=""),"",ROUND(MAX(0,($L977-$K977)-IF($G977="",0,$G977))/60,2))</f>
        <v/>
      </c>
      <c r="I977" s="8"/>
      <c r="J977" s="8"/>
      <c r="K977" s="17" t="str">
        <f aca="false">IF($E977="","",IF($E977&lt;1,ROUND($E977*1440,0),INT($E977/100)*60+MOD($E977,100)))</f>
        <v/>
      </c>
      <c r="L977" s="17" t="str">
        <f aca="false">IF($F977="","",IF($F977&lt;1,ROUND($F977*1440,0),INT($F977/100)*60+MOD($F977,100)))</f>
        <v/>
      </c>
    </row>
    <row r="978" customFormat="false" ht="15" hidden="false" customHeight="true" outlineLevel="0" collapsed="false">
      <c r="A978" s="10"/>
      <c r="B978" s="8"/>
      <c r="C978" s="13" t="str">
        <f aca="false">IF($B978="","",IFERROR(INDEX(직원목록!$B$3:$B$302,MATCH($B978,직원목록!$A$3:$A$302,0)),"미등록사번"))</f>
        <v/>
      </c>
      <c r="D978" s="13" t="str">
        <f aca="false">IF($B978="","",IFERROR(INDEX(직원목록!$C$3:$C$302,MATCH($B978,직원목록!$A$3:$A$302,0)),""))</f>
        <v/>
      </c>
      <c r="E978" s="14"/>
      <c r="F978" s="14"/>
      <c r="G978" s="15"/>
      <c r="H978" s="16" t="str">
        <f aca="false">IF(OR($K978="",$L978=""),"",ROUND(MAX(0,($L978-$K978)-IF($G978="",0,$G978))/60,2))</f>
        <v/>
      </c>
      <c r="I978" s="8"/>
      <c r="J978" s="8"/>
      <c r="K978" s="17" t="str">
        <f aca="false">IF($E978="","",IF($E978&lt;1,ROUND($E978*1440,0),INT($E978/100)*60+MOD($E978,100)))</f>
        <v/>
      </c>
      <c r="L978" s="17" t="str">
        <f aca="false">IF($F978="","",IF($F978&lt;1,ROUND($F978*1440,0),INT($F978/100)*60+MOD($F978,100)))</f>
        <v/>
      </c>
    </row>
    <row r="979" customFormat="false" ht="15" hidden="false" customHeight="true" outlineLevel="0" collapsed="false">
      <c r="A979" s="10"/>
      <c r="B979" s="8"/>
      <c r="C979" s="13" t="str">
        <f aca="false">IF($B979="","",IFERROR(INDEX(직원목록!$B$3:$B$302,MATCH($B979,직원목록!$A$3:$A$302,0)),"미등록사번"))</f>
        <v/>
      </c>
      <c r="D979" s="13" t="str">
        <f aca="false">IF($B979="","",IFERROR(INDEX(직원목록!$C$3:$C$302,MATCH($B979,직원목록!$A$3:$A$302,0)),""))</f>
        <v/>
      </c>
      <c r="E979" s="14"/>
      <c r="F979" s="14"/>
      <c r="G979" s="15"/>
      <c r="H979" s="16" t="str">
        <f aca="false">IF(OR($K979="",$L979=""),"",ROUND(MAX(0,($L979-$K979)-IF($G979="",0,$G979))/60,2))</f>
        <v/>
      </c>
      <c r="I979" s="8"/>
      <c r="J979" s="8"/>
      <c r="K979" s="17" t="str">
        <f aca="false">IF($E979="","",IF($E979&lt;1,ROUND($E979*1440,0),INT($E979/100)*60+MOD($E979,100)))</f>
        <v/>
      </c>
      <c r="L979" s="17" t="str">
        <f aca="false">IF($F979="","",IF($F979&lt;1,ROUND($F979*1440,0),INT($F979/100)*60+MOD($F979,100)))</f>
        <v/>
      </c>
    </row>
    <row r="980" customFormat="false" ht="15" hidden="false" customHeight="true" outlineLevel="0" collapsed="false">
      <c r="A980" s="10"/>
      <c r="B980" s="8"/>
      <c r="C980" s="13" t="str">
        <f aca="false">IF($B980="","",IFERROR(INDEX(직원목록!$B$3:$B$302,MATCH($B980,직원목록!$A$3:$A$302,0)),"미등록사번"))</f>
        <v/>
      </c>
      <c r="D980" s="13" t="str">
        <f aca="false">IF($B980="","",IFERROR(INDEX(직원목록!$C$3:$C$302,MATCH($B980,직원목록!$A$3:$A$302,0)),""))</f>
        <v/>
      </c>
      <c r="E980" s="14"/>
      <c r="F980" s="14"/>
      <c r="G980" s="15"/>
      <c r="H980" s="16" t="str">
        <f aca="false">IF(OR($K980="",$L980=""),"",ROUND(MAX(0,($L980-$K980)-IF($G980="",0,$G980))/60,2))</f>
        <v/>
      </c>
      <c r="I980" s="8"/>
      <c r="J980" s="8"/>
      <c r="K980" s="17" t="str">
        <f aca="false">IF($E980="","",IF($E980&lt;1,ROUND($E980*1440,0),INT($E980/100)*60+MOD($E980,100)))</f>
        <v/>
      </c>
      <c r="L980" s="17" t="str">
        <f aca="false">IF($F980="","",IF($F980&lt;1,ROUND($F980*1440,0),INT($F980/100)*60+MOD($F980,100)))</f>
        <v/>
      </c>
    </row>
    <row r="981" customFormat="false" ht="15" hidden="false" customHeight="true" outlineLevel="0" collapsed="false">
      <c r="A981" s="10"/>
      <c r="B981" s="8"/>
      <c r="C981" s="13" t="str">
        <f aca="false">IF($B981="","",IFERROR(INDEX(직원목록!$B$3:$B$302,MATCH($B981,직원목록!$A$3:$A$302,0)),"미등록사번"))</f>
        <v/>
      </c>
      <c r="D981" s="13" t="str">
        <f aca="false">IF($B981="","",IFERROR(INDEX(직원목록!$C$3:$C$302,MATCH($B981,직원목록!$A$3:$A$302,0)),""))</f>
        <v/>
      </c>
      <c r="E981" s="14"/>
      <c r="F981" s="14"/>
      <c r="G981" s="15"/>
      <c r="H981" s="16" t="str">
        <f aca="false">IF(OR($K981="",$L981=""),"",ROUND(MAX(0,($L981-$K981)-IF($G981="",0,$G981))/60,2))</f>
        <v/>
      </c>
      <c r="I981" s="8"/>
      <c r="J981" s="8"/>
      <c r="K981" s="17" t="str">
        <f aca="false">IF($E981="","",IF($E981&lt;1,ROUND($E981*1440,0),INT($E981/100)*60+MOD($E981,100)))</f>
        <v/>
      </c>
      <c r="L981" s="17" t="str">
        <f aca="false">IF($F981="","",IF($F981&lt;1,ROUND($F981*1440,0),INT($F981/100)*60+MOD($F981,100)))</f>
        <v/>
      </c>
    </row>
    <row r="982" customFormat="false" ht="15" hidden="false" customHeight="true" outlineLevel="0" collapsed="false">
      <c r="A982" s="10"/>
      <c r="B982" s="8"/>
      <c r="C982" s="13" t="str">
        <f aca="false">IF($B982="","",IFERROR(INDEX(직원목록!$B$3:$B$302,MATCH($B982,직원목록!$A$3:$A$302,0)),"미등록사번"))</f>
        <v/>
      </c>
      <c r="D982" s="13" t="str">
        <f aca="false">IF($B982="","",IFERROR(INDEX(직원목록!$C$3:$C$302,MATCH($B982,직원목록!$A$3:$A$302,0)),""))</f>
        <v/>
      </c>
      <c r="E982" s="14"/>
      <c r="F982" s="14"/>
      <c r="G982" s="15"/>
      <c r="H982" s="16" t="str">
        <f aca="false">IF(OR($K982="",$L982=""),"",ROUND(MAX(0,($L982-$K982)-IF($G982="",0,$G982))/60,2))</f>
        <v/>
      </c>
      <c r="I982" s="8"/>
      <c r="J982" s="8"/>
      <c r="K982" s="17" t="str">
        <f aca="false">IF($E982="","",IF($E982&lt;1,ROUND($E982*1440,0),INT($E982/100)*60+MOD($E982,100)))</f>
        <v/>
      </c>
      <c r="L982" s="17" t="str">
        <f aca="false">IF($F982="","",IF($F982&lt;1,ROUND($F982*1440,0),INT($F982/100)*60+MOD($F982,100)))</f>
        <v/>
      </c>
    </row>
    <row r="983" customFormat="false" ht="15" hidden="false" customHeight="true" outlineLevel="0" collapsed="false">
      <c r="A983" s="10"/>
      <c r="B983" s="8"/>
      <c r="C983" s="13" t="str">
        <f aca="false">IF($B983="","",IFERROR(INDEX(직원목록!$B$3:$B$302,MATCH($B983,직원목록!$A$3:$A$302,0)),"미등록사번"))</f>
        <v/>
      </c>
      <c r="D983" s="13" t="str">
        <f aca="false">IF($B983="","",IFERROR(INDEX(직원목록!$C$3:$C$302,MATCH($B983,직원목록!$A$3:$A$302,0)),""))</f>
        <v/>
      </c>
      <c r="E983" s="14"/>
      <c r="F983" s="14"/>
      <c r="G983" s="15"/>
      <c r="H983" s="16" t="str">
        <f aca="false">IF(OR($K983="",$L983=""),"",ROUND(MAX(0,($L983-$K983)-IF($G983="",0,$G983))/60,2))</f>
        <v/>
      </c>
      <c r="I983" s="8"/>
      <c r="J983" s="8"/>
      <c r="K983" s="17" t="str">
        <f aca="false">IF($E983="","",IF($E983&lt;1,ROUND($E983*1440,0),INT($E983/100)*60+MOD($E983,100)))</f>
        <v/>
      </c>
      <c r="L983" s="17" t="str">
        <f aca="false">IF($F983="","",IF($F983&lt;1,ROUND($F983*1440,0),INT($F983/100)*60+MOD($F983,100)))</f>
        <v/>
      </c>
    </row>
    <row r="984" customFormat="false" ht="15" hidden="false" customHeight="true" outlineLevel="0" collapsed="false">
      <c r="A984" s="10"/>
      <c r="B984" s="8"/>
      <c r="C984" s="13" t="str">
        <f aca="false">IF($B984="","",IFERROR(INDEX(직원목록!$B$3:$B$302,MATCH($B984,직원목록!$A$3:$A$302,0)),"미등록사번"))</f>
        <v/>
      </c>
      <c r="D984" s="13" t="str">
        <f aca="false">IF($B984="","",IFERROR(INDEX(직원목록!$C$3:$C$302,MATCH($B984,직원목록!$A$3:$A$302,0)),""))</f>
        <v/>
      </c>
      <c r="E984" s="14"/>
      <c r="F984" s="14"/>
      <c r="G984" s="15"/>
      <c r="H984" s="16" t="str">
        <f aca="false">IF(OR($K984="",$L984=""),"",ROUND(MAX(0,($L984-$K984)-IF($G984="",0,$G984))/60,2))</f>
        <v/>
      </c>
      <c r="I984" s="8"/>
      <c r="J984" s="8"/>
      <c r="K984" s="17" t="str">
        <f aca="false">IF($E984="","",IF($E984&lt;1,ROUND($E984*1440,0),INT($E984/100)*60+MOD($E984,100)))</f>
        <v/>
      </c>
      <c r="L984" s="17" t="str">
        <f aca="false">IF($F984="","",IF($F984&lt;1,ROUND($F984*1440,0),INT($F984/100)*60+MOD($F984,100)))</f>
        <v/>
      </c>
    </row>
    <row r="985" customFormat="false" ht="15" hidden="false" customHeight="true" outlineLevel="0" collapsed="false">
      <c r="A985" s="10"/>
      <c r="B985" s="8"/>
      <c r="C985" s="13" t="str">
        <f aca="false">IF($B985="","",IFERROR(INDEX(직원목록!$B$3:$B$302,MATCH($B985,직원목록!$A$3:$A$302,0)),"미등록사번"))</f>
        <v/>
      </c>
      <c r="D985" s="13" t="str">
        <f aca="false">IF($B985="","",IFERROR(INDEX(직원목록!$C$3:$C$302,MATCH($B985,직원목록!$A$3:$A$302,0)),""))</f>
        <v/>
      </c>
      <c r="E985" s="14"/>
      <c r="F985" s="14"/>
      <c r="G985" s="15"/>
      <c r="H985" s="16" t="str">
        <f aca="false">IF(OR($K985="",$L985=""),"",ROUND(MAX(0,($L985-$K985)-IF($G985="",0,$G985))/60,2))</f>
        <v/>
      </c>
      <c r="I985" s="8"/>
      <c r="J985" s="8"/>
      <c r="K985" s="17" t="str">
        <f aca="false">IF($E985="","",IF($E985&lt;1,ROUND($E985*1440,0),INT($E985/100)*60+MOD($E985,100)))</f>
        <v/>
      </c>
      <c r="L985" s="17" t="str">
        <f aca="false">IF($F985="","",IF($F985&lt;1,ROUND($F985*1440,0),INT($F985/100)*60+MOD($F985,100)))</f>
        <v/>
      </c>
    </row>
    <row r="986" customFormat="false" ht="15" hidden="false" customHeight="true" outlineLevel="0" collapsed="false">
      <c r="A986" s="10"/>
      <c r="B986" s="8"/>
      <c r="C986" s="13" t="str">
        <f aca="false">IF($B986="","",IFERROR(INDEX(직원목록!$B$3:$B$302,MATCH($B986,직원목록!$A$3:$A$302,0)),"미등록사번"))</f>
        <v/>
      </c>
      <c r="D986" s="13" t="str">
        <f aca="false">IF($B986="","",IFERROR(INDEX(직원목록!$C$3:$C$302,MATCH($B986,직원목록!$A$3:$A$302,0)),""))</f>
        <v/>
      </c>
      <c r="E986" s="14"/>
      <c r="F986" s="14"/>
      <c r="G986" s="15"/>
      <c r="H986" s="16" t="str">
        <f aca="false">IF(OR($K986="",$L986=""),"",ROUND(MAX(0,($L986-$K986)-IF($G986="",0,$G986))/60,2))</f>
        <v/>
      </c>
      <c r="I986" s="8"/>
      <c r="J986" s="8"/>
      <c r="K986" s="17" t="str">
        <f aca="false">IF($E986="","",IF($E986&lt;1,ROUND($E986*1440,0),INT($E986/100)*60+MOD($E986,100)))</f>
        <v/>
      </c>
      <c r="L986" s="17" t="str">
        <f aca="false">IF($F986="","",IF($F986&lt;1,ROUND($F986*1440,0),INT($F986/100)*60+MOD($F986,100)))</f>
        <v/>
      </c>
    </row>
    <row r="987" customFormat="false" ht="15" hidden="false" customHeight="true" outlineLevel="0" collapsed="false">
      <c r="A987" s="10"/>
      <c r="B987" s="8"/>
      <c r="C987" s="13" t="str">
        <f aca="false">IF($B987="","",IFERROR(INDEX(직원목록!$B$3:$B$302,MATCH($B987,직원목록!$A$3:$A$302,0)),"미등록사번"))</f>
        <v/>
      </c>
      <c r="D987" s="13" t="str">
        <f aca="false">IF($B987="","",IFERROR(INDEX(직원목록!$C$3:$C$302,MATCH($B987,직원목록!$A$3:$A$302,0)),""))</f>
        <v/>
      </c>
      <c r="E987" s="14"/>
      <c r="F987" s="14"/>
      <c r="G987" s="15"/>
      <c r="H987" s="16" t="str">
        <f aca="false">IF(OR($K987="",$L987=""),"",ROUND(MAX(0,($L987-$K987)-IF($G987="",0,$G987))/60,2))</f>
        <v/>
      </c>
      <c r="I987" s="8"/>
      <c r="J987" s="8"/>
      <c r="K987" s="17" t="str">
        <f aca="false">IF($E987="","",IF($E987&lt;1,ROUND($E987*1440,0),INT($E987/100)*60+MOD($E987,100)))</f>
        <v/>
      </c>
      <c r="L987" s="17" t="str">
        <f aca="false">IF($F987="","",IF($F987&lt;1,ROUND($F987*1440,0),INT($F987/100)*60+MOD($F987,100)))</f>
        <v/>
      </c>
    </row>
    <row r="988" customFormat="false" ht="15" hidden="false" customHeight="true" outlineLevel="0" collapsed="false">
      <c r="A988" s="10"/>
      <c r="B988" s="8"/>
      <c r="C988" s="13" t="str">
        <f aca="false">IF($B988="","",IFERROR(INDEX(직원목록!$B$3:$B$302,MATCH($B988,직원목록!$A$3:$A$302,0)),"미등록사번"))</f>
        <v/>
      </c>
      <c r="D988" s="13" t="str">
        <f aca="false">IF($B988="","",IFERROR(INDEX(직원목록!$C$3:$C$302,MATCH($B988,직원목록!$A$3:$A$302,0)),""))</f>
        <v/>
      </c>
      <c r="E988" s="14"/>
      <c r="F988" s="14"/>
      <c r="G988" s="15"/>
      <c r="H988" s="16" t="str">
        <f aca="false">IF(OR($K988="",$L988=""),"",ROUND(MAX(0,($L988-$K988)-IF($G988="",0,$G988))/60,2))</f>
        <v/>
      </c>
      <c r="I988" s="8"/>
      <c r="J988" s="8"/>
      <c r="K988" s="17" t="str">
        <f aca="false">IF($E988="","",IF($E988&lt;1,ROUND($E988*1440,0),INT($E988/100)*60+MOD($E988,100)))</f>
        <v/>
      </c>
      <c r="L988" s="17" t="str">
        <f aca="false">IF($F988="","",IF($F988&lt;1,ROUND($F988*1440,0),INT($F988/100)*60+MOD($F988,100)))</f>
        <v/>
      </c>
    </row>
    <row r="989" customFormat="false" ht="15" hidden="false" customHeight="true" outlineLevel="0" collapsed="false">
      <c r="A989" s="10"/>
      <c r="B989" s="8"/>
      <c r="C989" s="13" t="str">
        <f aca="false">IF($B989="","",IFERROR(INDEX(직원목록!$B$3:$B$302,MATCH($B989,직원목록!$A$3:$A$302,0)),"미등록사번"))</f>
        <v/>
      </c>
      <c r="D989" s="13" t="str">
        <f aca="false">IF($B989="","",IFERROR(INDEX(직원목록!$C$3:$C$302,MATCH($B989,직원목록!$A$3:$A$302,0)),""))</f>
        <v/>
      </c>
      <c r="E989" s="14"/>
      <c r="F989" s="14"/>
      <c r="G989" s="15"/>
      <c r="H989" s="16" t="str">
        <f aca="false">IF(OR($K989="",$L989=""),"",ROUND(MAX(0,($L989-$K989)-IF($G989="",0,$G989))/60,2))</f>
        <v/>
      </c>
      <c r="I989" s="8"/>
      <c r="J989" s="8"/>
      <c r="K989" s="17" t="str">
        <f aca="false">IF($E989="","",IF($E989&lt;1,ROUND($E989*1440,0),INT($E989/100)*60+MOD($E989,100)))</f>
        <v/>
      </c>
      <c r="L989" s="17" t="str">
        <f aca="false">IF($F989="","",IF($F989&lt;1,ROUND($F989*1440,0),INT($F989/100)*60+MOD($F989,100)))</f>
        <v/>
      </c>
    </row>
    <row r="990" customFormat="false" ht="15" hidden="false" customHeight="true" outlineLevel="0" collapsed="false">
      <c r="A990" s="10"/>
      <c r="B990" s="8"/>
      <c r="C990" s="13" t="str">
        <f aca="false">IF($B990="","",IFERROR(INDEX(직원목록!$B$3:$B$302,MATCH($B990,직원목록!$A$3:$A$302,0)),"미등록사번"))</f>
        <v/>
      </c>
      <c r="D990" s="13" t="str">
        <f aca="false">IF($B990="","",IFERROR(INDEX(직원목록!$C$3:$C$302,MATCH($B990,직원목록!$A$3:$A$302,0)),""))</f>
        <v/>
      </c>
      <c r="E990" s="14"/>
      <c r="F990" s="14"/>
      <c r="G990" s="15"/>
      <c r="H990" s="16" t="str">
        <f aca="false">IF(OR($K990="",$L990=""),"",ROUND(MAX(0,($L990-$K990)-IF($G990="",0,$G990))/60,2))</f>
        <v/>
      </c>
      <c r="I990" s="8"/>
      <c r="J990" s="8"/>
      <c r="K990" s="17" t="str">
        <f aca="false">IF($E990="","",IF($E990&lt;1,ROUND($E990*1440,0),INT($E990/100)*60+MOD($E990,100)))</f>
        <v/>
      </c>
      <c r="L990" s="17" t="str">
        <f aca="false">IF($F990="","",IF($F990&lt;1,ROUND($F990*1440,0),INT($F990/100)*60+MOD($F990,100)))</f>
        <v/>
      </c>
    </row>
    <row r="991" customFormat="false" ht="15" hidden="false" customHeight="true" outlineLevel="0" collapsed="false">
      <c r="A991" s="10"/>
      <c r="B991" s="8"/>
      <c r="C991" s="13" t="str">
        <f aca="false">IF($B991="","",IFERROR(INDEX(직원목록!$B$3:$B$302,MATCH($B991,직원목록!$A$3:$A$302,0)),"미등록사번"))</f>
        <v/>
      </c>
      <c r="D991" s="13" t="str">
        <f aca="false">IF($B991="","",IFERROR(INDEX(직원목록!$C$3:$C$302,MATCH($B991,직원목록!$A$3:$A$302,0)),""))</f>
        <v/>
      </c>
      <c r="E991" s="14"/>
      <c r="F991" s="14"/>
      <c r="G991" s="15"/>
      <c r="H991" s="16" t="str">
        <f aca="false">IF(OR($K991="",$L991=""),"",ROUND(MAX(0,($L991-$K991)-IF($G991="",0,$G991))/60,2))</f>
        <v/>
      </c>
      <c r="I991" s="8"/>
      <c r="J991" s="8"/>
      <c r="K991" s="17" t="str">
        <f aca="false">IF($E991="","",IF($E991&lt;1,ROUND($E991*1440,0),INT($E991/100)*60+MOD($E991,100)))</f>
        <v/>
      </c>
      <c r="L991" s="17" t="str">
        <f aca="false">IF($F991="","",IF($F991&lt;1,ROUND($F991*1440,0),INT($F991/100)*60+MOD($F991,100)))</f>
        <v/>
      </c>
    </row>
    <row r="992" customFormat="false" ht="15" hidden="false" customHeight="true" outlineLevel="0" collapsed="false">
      <c r="A992" s="10"/>
      <c r="B992" s="8"/>
      <c r="C992" s="13" t="str">
        <f aca="false">IF($B992="","",IFERROR(INDEX(직원목록!$B$3:$B$302,MATCH($B992,직원목록!$A$3:$A$302,0)),"미등록사번"))</f>
        <v/>
      </c>
      <c r="D992" s="13" t="str">
        <f aca="false">IF($B992="","",IFERROR(INDEX(직원목록!$C$3:$C$302,MATCH($B992,직원목록!$A$3:$A$302,0)),""))</f>
        <v/>
      </c>
      <c r="E992" s="14"/>
      <c r="F992" s="14"/>
      <c r="G992" s="15"/>
      <c r="H992" s="16" t="str">
        <f aca="false">IF(OR($K992="",$L992=""),"",ROUND(MAX(0,($L992-$K992)-IF($G992="",0,$G992))/60,2))</f>
        <v/>
      </c>
      <c r="I992" s="8"/>
      <c r="J992" s="8"/>
      <c r="K992" s="17" t="str">
        <f aca="false">IF($E992="","",IF($E992&lt;1,ROUND($E992*1440,0),INT($E992/100)*60+MOD($E992,100)))</f>
        <v/>
      </c>
      <c r="L992" s="17" t="str">
        <f aca="false">IF($F992="","",IF($F992&lt;1,ROUND($F992*1440,0),INT($F992/100)*60+MOD($F992,100)))</f>
        <v/>
      </c>
    </row>
    <row r="993" customFormat="false" ht="15" hidden="false" customHeight="true" outlineLevel="0" collapsed="false">
      <c r="A993" s="10"/>
      <c r="B993" s="8"/>
      <c r="C993" s="13" t="str">
        <f aca="false">IF($B993="","",IFERROR(INDEX(직원목록!$B$3:$B$302,MATCH($B993,직원목록!$A$3:$A$302,0)),"미등록사번"))</f>
        <v/>
      </c>
      <c r="D993" s="13" t="str">
        <f aca="false">IF($B993="","",IFERROR(INDEX(직원목록!$C$3:$C$302,MATCH($B993,직원목록!$A$3:$A$302,0)),""))</f>
        <v/>
      </c>
      <c r="E993" s="14"/>
      <c r="F993" s="14"/>
      <c r="G993" s="15"/>
      <c r="H993" s="16" t="str">
        <f aca="false">IF(OR($K993="",$L993=""),"",ROUND(MAX(0,($L993-$K993)-IF($G993="",0,$G993))/60,2))</f>
        <v/>
      </c>
      <c r="I993" s="8"/>
      <c r="J993" s="8"/>
      <c r="K993" s="17" t="str">
        <f aca="false">IF($E993="","",IF($E993&lt;1,ROUND($E993*1440,0),INT($E993/100)*60+MOD($E993,100)))</f>
        <v/>
      </c>
      <c r="L993" s="17" t="str">
        <f aca="false">IF($F993="","",IF($F993&lt;1,ROUND($F993*1440,0),INT($F993/100)*60+MOD($F993,100)))</f>
        <v/>
      </c>
    </row>
    <row r="994" customFormat="false" ht="15" hidden="false" customHeight="true" outlineLevel="0" collapsed="false">
      <c r="A994" s="10"/>
      <c r="B994" s="8"/>
      <c r="C994" s="13" t="str">
        <f aca="false">IF($B994="","",IFERROR(INDEX(직원목록!$B$3:$B$302,MATCH($B994,직원목록!$A$3:$A$302,0)),"미등록사번"))</f>
        <v/>
      </c>
      <c r="D994" s="13" t="str">
        <f aca="false">IF($B994="","",IFERROR(INDEX(직원목록!$C$3:$C$302,MATCH($B994,직원목록!$A$3:$A$302,0)),""))</f>
        <v/>
      </c>
      <c r="E994" s="14"/>
      <c r="F994" s="14"/>
      <c r="G994" s="15"/>
      <c r="H994" s="16" t="str">
        <f aca="false">IF(OR($K994="",$L994=""),"",ROUND(MAX(0,($L994-$K994)-IF($G994="",0,$G994))/60,2))</f>
        <v/>
      </c>
      <c r="I994" s="8"/>
      <c r="J994" s="8"/>
      <c r="K994" s="17" t="str">
        <f aca="false">IF($E994="","",IF($E994&lt;1,ROUND($E994*1440,0),INT($E994/100)*60+MOD($E994,100)))</f>
        <v/>
      </c>
      <c r="L994" s="17" t="str">
        <f aca="false">IF($F994="","",IF($F994&lt;1,ROUND($F994*1440,0),INT($F994/100)*60+MOD($F994,100)))</f>
        <v/>
      </c>
    </row>
    <row r="995" customFormat="false" ht="15" hidden="false" customHeight="true" outlineLevel="0" collapsed="false">
      <c r="A995" s="10"/>
      <c r="B995" s="8"/>
      <c r="C995" s="13" t="str">
        <f aca="false">IF($B995="","",IFERROR(INDEX(직원목록!$B$3:$B$302,MATCH($B995,직원목록!$A$3:$A$302,0)),"미등록사번"))</f>
        <v/>
      </c>
      <c r="D995" s="13" t="str">
        <f aca="false">IF($B995="","",IFERROR(INDEX(직원목록!$C$3:$C$302,MATCH($B995,직원목록!$A$3:$A$302,0)),""))</f>
        <v/>
      </c>
      <c r="E995" s="14"/>
      <c r="F995" s="14"/>
      <c r="G995" s="15"/>
      <c r="H995" s="16" t="str">
        <f aca="false">IF(OR($K995="",$L995=""),"",ROUND(MAX(0,($L995-$K995)-IF($G995="",0,$G995))/60,2))</f>
        <v/>
      </c>
      <c r="I995" s="8"/>
      <c r="J995" s="8"/>
      <c r="K995" s="17" t="str">
        <f aca="false">IF($E995="","",IF($E995&lt;1,ROUND($E995*1440,0),INT($E995/100)*60+MOD($E995,100)))</f>
        <v/>
      </c>
      <c r="L995" s="17" t="str">
        <f aca="false">IF($F995="","",IF($F995&lt;1,ROUND($F995*1440,0),INT($F995/100)*60+MOD($F995,100)))</f>
        <v/>
      </c>
    </row>
    <row r="996" customFormat="false" ht="15" hidden="false" customHeight="true" outlineLevel="0" collapsed="false">
      <c r="A996" s="10"/>
      <c r="B996" s="8"/>
      <c r="C996" s="13" t="str">
        <f aca="false">IF($B996="","",IFERROR(INDEX(직원목록!$B$3:$B$302,MATCH($B996,직원목록!$A$3:$A$302,0)),"미등록사번"))</f>
        <v/>
      </c>
      <c r="D996" s="13" t="str">
        <f aca="false">IF($B996="","",IFERROR(INDEX(직원목록!$C$3:$C$302,MATCH($B996,직원목록!$A$3:$A$302,0)),""))</f>
        <v/>
      </c>
      <c r="E996" s="14"/>
      <c r="F996" s="14"/>
      <c r="G996" s="15"/>
      <c r="H996" s="16" t="str">
        <f aca="false">IF(OR($K996="",$L996=""),"",ROUND(MAX(0,($L996-$K996)-IF($G996="",0,$G996))/60,2))</f>
        <v/>
      </c>
      <c r="I996" s="8"/>
      <c r="J996" s="8"/>
      <c r="K996" s="17" t="str">
        <f aca="false">IF($E996="","",IF($E996&lt;1,ROUND($E996*1440,0),INT($E996/100)*60+MOD($E996,100)))</f>
        <v/>
      </c>
      <c r="L996" s="17" t="str">
        <f aca="false">IF($F996="","",IF($F996&lt;1,ROUND($F996*1440,0),INT($F996/100)*60+MOD($F996,100)))</f>
        <v/>
      </c>
    </row>
    <row r="997" customFormat="false" ht="15" hidden="false" customHeight="true" outlineLevel="0" collapsed="false">
      <c r="A997" s="10"/>
      <c r="B997" s="8"/>
      <c r="C997" s="13" t="str">
        <f aca="false">IF($B997="","",IFERROR(INDEX(직원목록!$B$3:$B$302,MATCH($B997,직원목록!$A$3:$A$302,0)),"미등록사번"))</f>
        <v/>
      </c>
      <c r="D997" s="13" t="str">
        <f aca="false">IF($B997="","",IFERROR(INDEX(직원목록!$C$3:$C$302,MATCH($B997,직원목록!$A$3:$A$302,0)),""))</f>
        <v/>
      </c>
      <c r="E997" s="14"/>
      <c r="F997" s="14"/>
      <c r="G997" s="15"/>
      <c r="H997" s="16" t="str">
        <f aca="false">IF(OR($K997="",$L997=""),"",ROUND(MAX(0,($L997-$K997)-IF($G997="",0,$G997))/60,2))</f>
        <v/>
      </c>
      <c r="I997" s="8"/>
      <c r="J997" s="8"/>
      <c r="K997" s="17" t="str">
        <f aca="false">IF($E997="","",IF($E997&lt;1,ROUND($E997*1440,0),INT($E997/100)*60+MOD($E997,100)))</f>
        <v/>
      </c>
      <c r="L997" s="17" t="str">
        <f aca="false">IF($F997="","",IF($F997&lt;1,ROUND($F997*1440,0),INT($F997/100)*60+MOD($F997,100)))</f>
        <v/>
      </c>
    </row>
    <row r="998" customFormat="false" ht="15" hidden="false" customHeight="true" outlineLevel="0" collapsed="false">
      <c r="A998" s="10"/>
      <c r="B998" s="8"/>
      <c r="C998" s="13" t="str">
        <f aca="false">IF($B998="","",IFERROR(INDEX(직원목록!$B$3:$B$302,MATCH($B998,직원목록!$A$3:$A$302,0)),"미등록사번"))</f>
        <v/>
      </c>
      <c r="D998" s="13" t="str">
        <f aca="false">IF($B998="","",IFERROR(INDEX(직원목록!$C$3:$C$302,MATCH($B998,직원목록!$A$3:$A$302,0)),""))</f>
        <v/>
      </c>
      <c r="E998" s="14"/>
      <c r="F998" s="14"/>
      <c r="G998" s="15"/>
      <c r="H998" s="16" t="str">
        <f aca="false">IF(OR($K998="",$L998=""),"",ROUND(MAX(0,($L998-$K998)-IF($G998="",0,$G998))/60,2))</f>
        <v/>
      </c>
      <c r="I998" s="8"/>
      <c r="J998" s="8"/>
      <c r="K998" s="17" t="str">
        <f aca="false">IF($E998="","",IF($E998&lt;1,ROUND($E998*1440,0),INT($E998/100)*60+MOD($E998,100)))</f>
        <v/>
      </c>
      <c r="L998" s="17" t="str">
        <f aca="false">IF($F998="","",IF($F998&lt;1,ROUND($F998*1440,0),INT($F998/100)*60+MOD($F998,100)))</f>
        <v/>
      </c>
    </row>
    <row r="999" customFormat="false" ht="15" hidden="false" customHeight="true" outlineLevel="0" collapsed="false">
      <c r="A999" s="10"/>
      <c r="B999" s="8"/>
      <c r="C999" s="13" t="str">
        <f aca="false">IF($B999="","",IFERROR(INDEX(직원목록!$B$3:$B$302,MATCH($B999,직원목록!$A$3:$A$302,0)),"미등록사번"))</f>
        <v/>
      </c>
      <c r="D999" s="13" t="str">
        <f aca="false">IF($B999="","",IFERROR(INDEX(직원목록!$C$3:$C$302,MATCH($B999,직원목록!$A$3:$A$302,0)),""))</f>
        <v/>
      </c>
      <c r="E999" s="14"/>
      <c r="F999" s="14"/>
      <c r="G999" s="15"/>
      <c r="H999" s="16" t="str">
        <f aca="false">IF(OR($K999="",$L999=""),"",ROUND(MAX(0,($L999-$K999)-IF($G999="",0,$G999))/60,2))</f>
        <v/>
      </c>
      <c r="I999" s="8"/>
      <c r="J999" s="8"/>
      <c r="K999" s="17" t="str">
        <f aca="false">IF($E999="","",IF($E999&lt;1,ROUND($E999*1440,0),INT($E999/100)*60+MOD($E999,100)))</f>
        <v/>
      </c>
      <c r="L999" s="17" t="str">
        <f aca="false">IF($F999="","",IF($F999&lt;1,ROUND($F999*1440,0),INT($F999/100)*60+MOD($F999,100)))</f>
        <v/>
      </c>
    </row>
    <row r="1000" customFormat="false" ht="15" hidden="false" customHeight="true" outlineLevel="0" collapsed="false">
      <c r="A1000" s="10"/>
      <c r="B1000" s="8"/>
      <c r="C1000" s="13" t="str">
        <f aca="false">IF($B1000="","",IFERROR(INDEX(직원목록!$B$3:$B$302,MATCH($B1000,직원목록!$A$3:$A$302,0)),"미등록사번"))</f>
        <v/>
      </c>
      <c r="D1000" s="13" t="str">
        <f aca="false">IF($B1000="","",IFERROR(INDEX(직원목록!$C$3:$C$302,MATCH($B1000,직원목록!$A$3:$A$302,0)),""))</f>
        <v/>
      </c>
      <c r="E1000" s="14"/>
      <c r="F1000" s="14"/>
      <c r="G1000" s="15"/>
      <c r="H1000" s="16" t="str">
        <f aca="false">IF(OR($K1000="",$L1000=""),"",ROUND(MAX(0,($L1000-$K1000)-IF($G1000="",0,$G1000))/60,2))</f>
        <v/>
      </c>
      <c r="I1000" s="8"/>
      <c r="J1000" s="8"/>
      <c r="K1000" s="17" t="str">
        <f aca="false">IF($E1000="","",IF($E1000&lt;1,ROUND($E1000*1440,0),INT($E1000/100)*60+MOD($E1000,100)))</f>
        <v/>
      </c>
      <c r="L1000" s="17" t="str">
        <f aca="false">IF($F1000="","",IF($F1000&lt;1,ROUND($F1000*1440,0),INT($F1000/100)*60+MOD($F1000,100)))</f>
        <v/>
      </c>
    </row>
    <row r="1001" customFormat="false" ht="15" hidden="false" customHeight="true" outlineLevel="0" collapsed="false">
      <c r="A1001" s="10"/>
      <c r="B1001" s="8"/>
      <c r="C1001" s="13" t="str">
        <f aca="false">IF($B1001="","",IFERROR(INDEX(직원목록!$B$3:$B$302,MATCH($B1001,직원목록!$A$3:$A$302,0)),"미등록사번"))</f>
        <v/>
      </c>
      <c r="D1001" s="13" t="str">
        <f aca="false">IF($B1001="","",IFERROR(INDEX(직원목록!$C$3:$C$302,MATCH($B1001,직원목록!$A$3:$A$302,0)),""))</f>
        <v/>
      </c>
      <c r="E1001" s="14"/>
      <c r="F1001" s="14"/>
      <c r="G1001" s="15"/>
      <c r="H1001" s="16" t="str">
        <f aca="false">IF(OR($K1001="",$L1001=""),"",ROUND(MAX(0,($L1001-$K1001)-IF($G1001="",0,$G1001))/60,2))</f>
        <v/>
      </c>
      <c r="I1001" s="8"/>
      <c r="J1001" s="8"/>
      <c r="K1001" s="17" t="str">
        <f aca="false">IF($E1001="","",IF($E1001&lt;1,ROUND($E1001*1440,0),INT($E1001/100)*60+MOD($E1001,100)))</f>
        <v/>
      </c>
      <c r="L1001" s="17" t="str">
        <f aca="false">IF($F1001="","",IF($F1001&lt;1,ROUND($F1001*1440,0),INT($F1001/100)*60+MOD($F1001,100)))</f>
        <v/>
      </c>
    </row>
    <row r="1002" customFormat="false" ht="15" hidden="false" customHeight="true" outlineLevel="0" collapsed="false">
      <c r="A1002" s="10"/>
      <c r="B1002" s="8"/>
      <c r="C1002" s="13" t="str">
        <f aca="false">IF($B1002="","",IFERROR(INDEX(직원목록!$B$3:$B$302,MATCH($B1002,직원목록!$A$3:$A$302,0)),"미등록사번"))</f>
        <v/>
      </c>
      <c r="D1002" s="13" t="str">
        <f aca="false">IF($B1002="","",IFERROR(INDEX(직원목록!$C$3:$C$302,MATCH($B1002,직원목록!$A$3:$A$302,0)),""))</f>
        <v/>
      </c>
      <c r="E1002" s="14"/>
      <c r="F1002" s="14"/>
      <c r="G1002" s="15"/>
      <c r="H1002" s="16" t="str">
        <f aca="false">IF(OR($K1002="",$L1002=""),"",ROUND(MAX(0,($L1002-$K1002)-IF($G1002="",0,$G1002))/60,2))</f>
        <v/>
      </c>
      <c r="I1002" s="8"/>
      <c r="J1002" s="8"/>
      <c r="K1002" s="17" t="str">
        <f aca="false">IF($E1002="","",IF($E1002&lt;1,ROUND($E1002*1440,0),INT($E1002/100)*60+MOD($E1002,100)))</f>
        <v/>
      </c>
      <c r="L1002" s="17" t="str">
        <f aca="false">IF($F1002="","",IF($F1002&lt;1,ROUND($F1002*1440,0),INT($F1002/100)*60+MOD($F1002,100)))</f>
        <v/>
      </c>
    </row>
    <row r="1003" customFormat="false" ht="15" hidden="false" customHeight="true" outlineLevel="0" collapsed="false">
      <c r="A1003" s="10"/>
      <c r="B1003" s="8"/>
      <c r="C1003" s="13" t="str">
        <f aca="false">IF($B1003="","",IFERROR(INDEX(직원목록!$B$3:$B$302,MATCH($B1003,직원목록!$A$3:$A$302,0)),"미등록사번"))</f>
        <v/>
      </c>
      <c r="D1003" s="13" t="str">
        <f aca="false">IF($B1003="","",IFERROR(INDEX(직원목록!$C$3:$C$302,MATCH($B1003,직원목록!$A$3:$A$302,0)),""))</f>
        <v/>
      </c>
      <c r="E1003" s="14"/>
      <c r="F1003" s="14"/>
      <c r="G1003" s="15"/>
      <c r="H1003" s="16" t="str">
        <f aca="false">IF(OR($K1003="",$L1003=""),"",ROUND(MAX(0,($L1003-$K1003)-IF($G1003="",0,$G1003))/60,2))</f>
        <v/>
      </c>
      <c r="I1003" s="8"/>
      <c r="J1003" s="8"/>
      <c r="K1003" s="17" t="str">
        <f aca="false">IF($E1003="","",IF($E1003&lt;1,ROUND($E1003*1440,0),INT($E1003/100)*60+MOD($E1003,100)))</f>
        <v/>
      </c>
      <c r="L1003" s="17" t="str">
        <f aca="false">IF($F1003="","",IF($F1003&lt;1,ROUND($F1003*1440,0),INT($F1003/100)*60+MOD($F1003,100)))</f>
        <v/>
      </c>
    </row>
    <row r="1004" customFormat="false" ht="15" hidden="false" customHeight="true" outlineLevel="0" collapsed="false">
      <c r="A1004" s="10"/>
      <c r="B1004" s="8"/>
      <c r="C1004" s="13" t="str">
        <f aca="false">IF($B1004="","",IFERROR(INDEX(직원목록!$B$3:$B$302,MATCH($B1004,직원목록!$A$3:$A$302,0)),"미등록사번"))</f>
        <v/>
      </c>
      <c r="D1004" s="13" t="str">
        <f aca="false">IF($B1004="","",IFERROR(INDEX(직원목록!$C$3:$C$302,MATCH($B1004,직원목록!$A$3:$A$302,0)),""))</f>
        <v/>
      </c>
      <c r="E1004" s="14"/>
      <c r="F1004" s="14"/>
      <c r="G1004" s="15"/>
      <c r="H1004" s="16" t="str">
        <f aca="false">IF(OR($K1004="",$L1004=""),"",ROUND(MAX(0,($L1004-$K1004)-IF($G1004="",0,$G1004))/60,2))</f>
        <v/>
      </c>
      <c r="I1004" s="8"/>
      <c r="J1004" s="8"/>
      <c r="K1004" s="17" t="str">
        <f aca="false">IF($E1004="","",IF($E1004&lt;1,ROUND($E1004*1440,0),INT($E1004/100)*60+MOD($E1004,100)))</f>
        <v/>
      </c>
      <c r="L1004" s="17" t="str">
        <f aca="false">IF($F1004="","",IF($F1004&lt;1,ROUND($F1004*1440,0),INT($F1004/100)*60+MOD($F1004,100)))</f>
        <v/>
      </c>
    </row>
    <row r="1005" customFormat="false" ht="15" hidden="false" customHeight="true" outlineLevel="0" collapsed="false">
      <c r="A1005" s="10"/>
      <c r="B1005" s="8"/>
      <c r="C1005" s="13" t="str">
        <f aca="false">IF($B1005="","",IFERROR(INDEX(직원목록!$B$3:$B$302,MATCH($B1005,직원목록!$A$3:$A$302,0)),"미등록사번"))</f>
        <v/>
      </c>
      <c r="D1005" s="13" t="str">
        <f aca="false">IF($B1005="","",IFERROR(INDEX(직원목록!$C$3:$C$302,MATCH($B1005,직원목록!$A$3:$A$302,0)),""))</f>
        <v/>
      </c>
      <c r="E1005" s="14"/>
      <c r="F1005" s="14"/>
      <c r="G1005" s="15"/>
      <c r="H1005" s="16" t="str">
        <f aca="false">IF(OR($K1005="",$L1005=""),"",ROUND(MAX(0,($L1005-$K1005)-IF($G1005="",0,$G1005))/60,2))</f>
        <v/>
      </c>
      <c r="I1005" s="8"/>
      <c r="J1005" s="8"/>
      <c r="K1005" s="17" t="str">
        <f aca="false">IF($E1005="","",IF($E1005&lt;1,ROUND($E1005*1440,0),INT($E1005/100)*60+MOD($E1005,100)))</f>
        <v/>
      </c>
      <c r="L1005" s="17" t="str">
        <f aca="false">IF($F1005="","",IF($F1005&lt;1,ROUND($F1005*1440,0),INT($F1005/100)*60+MOD($F1005,100)))</f>
        <v/>
      </c>
    </row>
    <row r="1006" customFormat="false" ht="15" hidden="false" customHeight="true" outlineLevel="0" collapsed="false">
      <c r="A1006" s="10"/>
      <c r="B1006" s="8"/>
      <c r="C1006" s="13" t="str">
        <f aca="false">IF($B1006="","",IFERROR(INDEX(직원목록!$B$3:$B$302,MATCH($B1006,직원목록!$A$3:$A$302,0)),"미등록사번"))</f>
        <v/>
      </c>
      <c r="D1006" s="13" t="str">
        <f aca="false">IF($B1006="","",IFERROR(INDEX(직원목록!$C$3:$C$302,MATCH($B1006,직원목록!$A$3:$A$302,0)),""))</f>
        <v/>
      </c>
      <c r="E1006" s="14"/>
      <c r="F1006" s="14"/>
      <c r="G1006" s="15"/>
      <c r="H1006" s="16" t="str">
        <f aca="false">IF(OR($K1006="",$L1006=""),"",ROUND(MAX(0,($L1006-$K1006)-IF($G1006="",0,$G1006))/60,2))</f>
        <v/>
      </c>
      <c r="I1006" s="8"/>
      <c r="J1006" s="8"/>
      <c r="K1006" s="17" t="str">
        <f aca="false">IF($E1006="","",IF($E1006&lt;1,ROUND($E1006*1440,0),INT($E1006/100)*60+MOD($E1006,100)))</f>
        <v/>
      </c>
      <c r="L1006" s="17" t="str">
        <f aca="false">IF($F1006="","",IF($F1006&lt;1,ROUND($F1006*1440,0),INT($F1006/100)*60+MOD($F1006,100)))</f>
        <v/>
      </c>
    </row>
    <row r="1007" customFormat="false" ht="15" hidden="false" customHeight="true" outlineLevel="0" collapsed="false">
      <c r="A1007" s="10"/>
      <c r="B1007" s="8"/>
      <c r="C1007" s="13" t="str">
        <f aca="false">IF($B1007="","",IFERROR(INDEX(직원목록!$B$3:$B$302,MATCH($B1007,직원목록!$A$3:$A$302,0)),"미등록사번"))</f>
        <v/>
      </c>
      <c r="D1007" s="13" t="str">
        <f aca="false">IF($B1007="","",IFERROR(INDEX(직원목록!$C$3:$C$302,MATCH($B1007,직원목록!$A$3:$A$302,0)),""))</f>
        <v/>
      </c>
      <c r="E1007" s="14"/>
      <c r="F1007" s="14"/>
      <c r="G1007" s="15"/>
      <c r="H1007" s="16" t="str">
        <f aca="false">IF(OR($K1007="",$L1007=""),"",ROUND(MAX(0,($L1007-$K1007)-IF($G1007="",0,$G1007))/60,2))</f>
        <v/>
      </c>
      <c r="I1007" s="8"/>
      <c r="J1007" s="8"/>
      <c r="K1007" s="17" t="str">
        <f aca="false">IF($E1007="","",IF($E1007&lt;1,ROUND($E1007*1440,0),INT($E1007/100)*60+MOD($E1007,100)))</f>
        <v/>
      </c>
      <c r="L1007" s="17" t="str">
        <f aca="false">IF($F1007="","",IF($F1007&lt;1,ROUND($F1007*1440,0),INT($F1007/100)*60+MOD($F1007,100)))</f>
        <v/>
      </c>
    </row>
    <row r="1008" customFormat="false" ht="15" hidden="false" customHeight="true" outlineLevel="0" collapsed="false">
      <c r="A1008" s="10"/>
      <c r="B1008" s="8"/>
      <c r="C1008" s="13" t="str">
        <f aca="false">IF($B1008="","",IFERROR(INDEX(직원목록!$B$3:$B$302,MATCH($B1008,직원목록!$A$3:$A$302,0)),"미등록사번"))</f>
        <v/>
      </c>
      <c r="D1008" s="13" t="str">
        <f aca="false">IF($B1008="","",IFERROR(INDEX(직원목록!$C$3:$C$302,MATCH($B1008,직원목록!$A$3:$A$302,0)),""))</f>
        <v/>
      </c>
      <c r="E1008" s="14"/>
      <c r="F1008" s="14"/>
      <c r="G1008" s="15"/>
      <c r="H1008" s="16" t="str">
        <f aca="false">IF(OR($K1008="",$L1008=""),"",ROUND(MAX(0,($L1008-$K1008)-IF($G1008="",0,$G1008))/60,2))</f>
        <v/>
      </c>
      <c r="I1008" s="8"/>
      <c r="J1008" s="8"/>
      <c r="K1008" s="17" t="str">
        <f aca="false">IF($E1008="","",IF($E1008&lt;1,ROUND($E1008*1440,0),INT($E1008/100)*60+MOD($E1008,100)))</f>
        <v/>
      </c>
      <c r="L1008" s="17" t="str">
        <f aca="false">IF($F1008="","",IF($F1008&lt;1,ROUND($F1008*1440,0),INT($F1008/100)*60+MOD($F1008,100)))</f>
        <v/>
      </c>
    </row>
    <row r="1009" customFormat="false" ht="15" hidden="false" customHeight="true" outlineLevel="0" collapsed="false">
      <c r="A1009" s="10"/>
      <c r="B1009" s="8"/>
      <c r="C1009" s="13" t="str">
        <f aca="false">IF($B1009="","",IFERROR(INDEX(직원목록!$B$3:$B$302,MATCH($B1009,직원목록!$A$3:$A$302,0)),"미등록사번"))</f>
        <v/>
      </c>
      <c r="D1009" s="13" t="str">
        <f aca="false">IF($B1009="","",IFERROR(INDEX(직원목록!$C$3:$C$302,MATCH($B1009,직원목록!$A$3:$A$302,0)),""))</f>
        <v/>
      </c>
      <c r="E1009" s="14"/>
      <c r="F1009" s="14"/>
      <c r="G1009" s="15"/>
      <c r="H1009" s="16" t="str">
        <f aca="false">IF(OR($K1009="",$L1009=""),"",ROUND(MAX(0,($L1009-$K1009)-IF($G1009="",0,$G1009))/60,2))</f>
        <v/>
      </c>
      <c r="I1009" s="8"/>
      <c r="J1009" s="8"/>
      <c r="K1009" s="17" t="str">
        <f aca="false">IF($E1009="","",IF($E1009&lt;1,ROUND($E1009*1440,0),INT($E1009/100)*60+MOD($E1009,100)))</f>
        <v/>
      </c>
      <c r="L1009" s="17" t="str">
        <f aca="false">IF($F1009="","",IF($F1009&lt;1,ROUND($F1009*1440,0),INT($F1009/100)*60+MOD($F1009,100)))</f>
        <v/>
      </c>
    </row>
    <row r="1010" customFormat="false" ht="15" hidden="false" customHeight="true" outlineLevel="0" collapsed="false">
      <c r="A1010" s="10"/>
      <c r="B1010" s="8"/>
      <c r="C1010" s="13" t="str">
        <f aca="false">IF($B1010="","",IFERROR(INDEX(직원목록!$B$3:$B$302,MATCH($B1010,직원목록!$A$3:$A$302,0)),"미등록사번"))</f>
        <v/>
      </c>
      <c r="D1010" s="13" t="str">
        <f aca="false">IF($B1010="","",IFERROR(INDEX(직원목록!$C$3:$C$302,MATCH($B1010,직원목록!$A$3:$A$302,0)),""))</f>
        <v/>
      </c>
      <c r="E1010" s="14"/>
      <c r="F1010" s="14"/>
      <c r="G1010" s="15"/>
      <c r="H1010" s="16" t="str">
        <f aca="false">IF(OR($K1010="",$L1010=""),"",ROUND(MAX(0,($L1010-$K1010)-IF($G1010="",0,$G1010))/60,2))</f>
        <v/>
      </c>
      <c r="I1010" s="8"/>
      <c r="J1010" s="8"/>
      <c r="K1010" s="17" t="str">
        <f aca="false">IF($E1010="","",IF($E1010&lt;1,ROUND($E1010*1440,0),INT($E1010/100)*60+MOD($E1010,100)))</f>
        <v/>
      </c>
      <c r="L1010" s="17" t="str">
        <f aca="false">IF($F1010="","",IF($F1010&lt;1,ROUND($F1010*1440,0),INT($F1010/100)*60+MOD($F1010,100)))</f>
        <v/>
      </c>
    </row>
    <row r="1011" customFormat="false" ht="15" hidden="false" customHeight="true" outlineLevel="0" collapsed="false">
      <c r="A1011" s="10"/>
      <c r="B1011" s="8"/>
      <c r="C1011" s="13" t="str">
        <f aca="false">IF($B1011="","",IFERROR(INDEX(직원목록!$B$3:$B$302,MATCH($B1011,직원목록!$A$3:$A$302,0)),"미등록사번"))</f>
        <v/>
      </c>
      <c r="D1011" s="13" t="str">
        <f aca="false">IF($B1011="","",IFERROR(INDEX(직원목록!$C$3:$C$302,MATCH($B1011,직원목록!$A$3:$A$302,0)),""))</f>
        <v/>
      </c>
      <c r="E1011" s="14"/>
      <c r="F1011" s="14"/>
      <c r="G1011" s="15"/>
      <c r="H1011" s="16" t="str">
        <f aca="false">IF(OR($K1011="",$L1011=""),"",ROUND(MAX(0,($L1011-$K1011)-IF($G1011="",0,$G1011))/60,2))</f>
        <v/>
      </c>
      <c r="I1011" s="8"/>
      <c r="J1011" s="8"/>
      <c r="K1011" s="17" t="str">
        <f aca="false">IF($E1011="","",IF($E1011&lt;1,ROUND($E1011*1440,0),INT($E1011/100)*60+MOD($E1011,100)))</f>
        <v/>
      </c>
      <c r="L1011" s="17" t="str">
        <f aca="false">IF($F1011="","",IF($F1011&lt;1,ROUND($F1011*1440,0),INT($F1011/100)*60+MOD($F1011,100)))</f>
        <v/>
      </c>
    </row>
    <row r="1012" customFormat="false" ht="15" hidden="false" customHeight="true" outlineLevel="0" collapsed="false">
      <c r="A1012" s="10"/>
      <c r="B1012" s="8"/>
      <c r="C1012" s="13" t="str">
        <f aca="false">IF($B1012="","",IFERROR(INDEX(직원목록!$B$3:$B$302,MATCH($B1012,직원목록!$A$3:$A$302,0)),"미등록사번"))</f>
        <v/>
      </c>
      <c r="D1012" s="13" t="str">
        <f aca="false">IF($B1012="","",IFERROR(INDEX(직원목록!$C$3:$C$302,MATCH($B1012,직원목록!$A$3:$A$302,0)),""))</f>
        <v/>
      </c>
      <c r="E1012" s="14"/>
      <c r="F1012" s="14"/>
      <c r="G1012" s="15"/>
      <c r="H1012" s="16" t="str">
        <f aca="false">IF(OR($K1012="",$L1012=""),"",ROUND(MAX(0,($L1012-$K1012)-IF($G1012="",0,$G1012))/60,2))</f>
        <v/>
      </c>
      <c r="I1012" s="8"/>
      <c r="J1012" s="8"/>
      <c r="K1012" s="17" t="str">
        <f aca="false">IF($E1012="","",IF($E1012&lt;1,ROUND($E1012*1440,0),INT($E1012/100)*60+MOD($E1012,100)))</f>
        <v/>
      </c>
      <c r="L1012" s="17" t="str">
        <f aca="false">IF($F1012="","",IF($F1012&lt;1,ROUND($F1012*1440,0),INT($F1012/100)*60+MOD($F1012,100)))</f>
        <v/>
      </c>
    </row>
    <row r="1013" customFormat="false" ht="15" hidden="false" customHeight="true" outlineLevel="0" collapsed="false">
      <c r="A1013" s="10"/>
      <c r="B1013" s="8"/>
      <c r="C1013" s="13" t="str">
        <f aca="false">IF($B1013="","",IFERROR(INDEX(직원목록!$B$3:$B$302,MATCH($B1013,직원목록!$A$3:$A$302,0)),"미등록사번"))</f>
        <v/>
      </c>
      <c r="D1013" s="13" t="str">
        <f aca="false">IF($B1013="","",IFERROR(INDEX(직원목록!$C$3:$C$302,MATCH($B1013,직원목록!$A$3:$A$302,0)),""))</f>
        <v/>
      </c>
      <c r="E1013" s="14"/>
      <c r="F1013" s="14"/>
      <c r="G1013" s="15"/>
      <c r="H1013" s="16" t="str">
        <f aca="false">IF(OR($K1013="",$L1013=""),"",ROUND(MAX(0,($L1013-$K1013)-IF($G1013="",0,$G1013))/60,2))</f>
        <v/>
      </c>
      <c r="I1013" s="8"/>
      <c r="J1013" s="8"/>
      <c r="K1013" s="17" t="str">
        <f aca="false">IF($E1013="","",IF($E1013&lt;1,ROUND($E1013*1440,0),INT($E1013/100)*60+MOD($E1013,100)))</f>
        <v/>
      </c>
      <c r="L1013" s="17" t="str">
        <f aca="false">IF($F1013="","",IF($F1013&lt;1,ROUND($F1013*1440,0),INT($F1013/100)*60+MOD($F1013,100)))</f>
        <v/>
      </c>
    </row>
    <row r="1014" customFormat="false" ht="15" hidden="false" customHeight="true" outlineLevel="0" collapsed="false">
      <c r="A1014" s="10"/>
      <c r="B1014" s="8"/>
      <c r="C1014" s="13" t="str">
        <f aca="false">IF($B1014="","",IFERROR(INDEX(직원목록!$B$3:$B$302,MATCH($B1014,직원목록!$A$3:$A$302,0)),"미등록사번"))</f>
        <v/>
      </c>
      <c r="D1014" s="13" t="str">
        <f aca="false">IF($B1014="","",IFERROR(INDEX(직원목록!$C$3:$C$302,MATCH($B1014,직원목록!$A$3:$A$302,0)),""))</f>
        <v/>
      </c>
      <c r="E1014" s="14"/>
      <c r="F1014" s="14"/>
      <c r="G1014" s="15"/>
      <c r="H1014" s="16" t="str">
        <f aca="false">IF(OR($K1014="",$L1014=""),"",ROUND(MAX(0,($L1014-$K1014)-IF($G1014="",0,$G1014))/60,2))</f>
        <v/>
      </c>
      <c r="I1014" s="8"/>
      <c r="J1014" s="8"/>
      <c r="K1014" s="17" t="str">
        <f aca="false">IF($E1014="","",IF($E1014&lt;1,ROUND($E1014*1440,0),INT($E1014/100)*60+MOD($E1014,100)))</f>
        <v/>
      </c>
      <c r="L1014" s="17" t="str">
        <f aca="false">IF($F1014="","",IF($F1014&lt;1,ROUND($F1014*1440,0),INT($F1014/100)*60+MOD($F1014,100)))</f>
        <v/>
      </c>
    </row>
    <row r="1015" customFormat="false" ht="15" hidden="false" customHeight="true" outlineLevel="0" collapsed="false">
      <c r="A1015" s="10"/>
      <c r="B1015" s="8"/>
      <c r="C1015" s="13" t="str">
        <f aca="false">IF($B1015="","",IFERROR(INDEX(직원목록!$B$3:$B$302,MATCH($B1015,직원목록!$A$3:$A$302,0)),"미등록사번"))</f>
        <v/>
      </c>
      <c r="D1015" s="13" t="str">
        <f aca="false">IF($B1015="","",IFERROR(INDEX(직원목록!$C$3:$C$302,MATCH($B1015,직원목록!$A$3:$A$302,0)),""))</f>
        <v/>
      </c>
      <c r="E1015" s="14"/>
      <c r="F1015" s="14"/>
      <c r="G1015" s="15"/>
      <c r="H1015" s="16" t="str">
        <f aca="false">IF(OR($K1015="",$L1015=""),"",ROUND(MAX(0,($L1015-$K1015)-IF($G1015="",0,$G1015))/60,2))</f>
        <v/>
      </c>
      <c r="I1015" s="8"/>
      <c r="J1015" s="8"/>
      <c r="K1015" s="17" t="str">
        <f aca="false">IF($E1015="","",IF($E1015&lt;1,ROUND($E1015*1440,0),INT($E1015/100)*60+MOD($E1015,100)))</f>
        <v/>
      </c>
      <c r="L1015" s="17" t="str">
        <f aca="false">IF($F1015="","",IF($F1015&lt;1,ROUND($F1015*1440,0),INT($F1015/100)*60+MOD($F1015,100)))</f>
        <v/>
      </c>
    </row>
    <row r="1016" customFormat="false" ht="15" hidden="false" customHeight="true" outlineLevel="0" collapsed="false">
      <c r="A1016" s="10"/>
      <c r="B1016" s="8"/>
      <c r="C1016" s="13" t="str">
        <f aca="false">IF($B1016="","",IFERROR(INDEX(직원목록!$B$3:$B$302,MATCH($B1016,직원목록!$A$3:$A$302,0)),"미등록사번"))</f>
        <v/>
      </c>
      <c r="D1016" s="13" t="str">
        <f aca="false">IF($B1016="","",IFERROR(INDEX(직원목록!$C$3:$C$302,MATCH($B1016,직원목록!$A$3:$A$302,0)),""))</f>
        <v/>
      </c>
      <c r="E1016" s="14"/>
      <c r="F1016" s="14"/>
      <c r="G1016" s="15"/>
      <c r="H1016" s="16" t="str">
        <f aca="false">IF(OR($K1016="",$L1016=""),"",ROUND(MAX(0,($L1016-$K1016)-IF($G1016="",0,$G1016))/60,2))</f>
        <v/>
      </c>
      <c r="I1016" s="8"/>
      <c r="J1016" s="8"/>
      <c r="K1016" s="17" t="str">
        <f aca="false">IF($E1016="","",IF($E1016&lt;1,ROUND($E1016*1440,0),INT($E1016/100)*60+MOD($E1016,100)))</f>
        <v/>
      </c>
      <c r="L1016" s="17" t="str">
        <f aca="false">IF($F1016="","",IF($F1016&lt;1,ROUND($F1016*1440,0),INT($F1016/100)*60+MOD($F1016,100)))</f>
        <v/>
      </c>
    </row>
    <row r="1017" customFormat="false" ht="15" hidden="false" customHeight="true" outlineLevel="0" collapsed="false">
      <c r="A1017" s="10"/>
      <c r="B1017" s="8"/>
      <c r="C1017" s="13" t="str">
        <f aca="false">IF($B1017="","",IFERROR(INDEX(직원목록!$B$3:$B$302,MATCH($B1017,직원목록!$A$3:$A$302,0)),"미등록사번"))</f>
        <v/>
      </c>
      <c r="D1017" s="13" t="str">
        <f aca="false">IF($B1017="","",IFERROR(INDEX(직원목록!$C$3:$C$302,MATCH($B1017,직원목록!$A$3:$A$302,0)),""))</f>
        <v/>
      </c>
      <c r="E1017" s="14"/>
      <c r="F1017" s="14"/>
      <c r="G1017" s="15"/>
      <c r="H1017" s="16" t="str">
        <f aca="false">IF(OR($K1017="",$L1017=""),"",ROUND(MAX(0,($L1017-$K1017)-IF($G1017="",0,$G1017))/60,2))</f>
        <v/>
      </c>
      <c r="I1017" s="8"/>
      <c r="J1017" s="8"/>
      <c r="K1017" s="17" t="str">
        <f aca="false">IF($E1017="","",IF($E1017&lt;1,ROUND($E1017*1440,0),INT($E1017/100)*60+MOD($E1017,100)))</f>
        <v/>
      </c>
      <c r="L1017" s="17" t="str">
        <f aca="false">IF($F1017="","",IF($F1017&lt;1,ROUND($F1017*1440,0),INT($F1017/100)*60+MOD($F1017,100)))</f>
        <v/>
      </c>
    </row>
    <row r="1018" customFormat="false" ht="15" hidden="false" customHeight="true" outlineLevel="0" collapsed="false">
      <c r="A1018" s="10"/>
      <c r="B1018" s="8"/>
      <c r="C1018" s="13" t="str">
        <f aca="false">IF($B1018="","",IFERROR(INDEX(직원목록!$B$3:$B$302,MATCH($B1018,직원목록!$A$3:$A$302,0)),"미등록사번"))</f>
        <v/>
      </c>
      <c r="D1018" s="13" t="str">
        <f aca="false">IF($B1018="","",IFERROR(INDEX(직원목록!$C$3:$C$302,MATCH($B1018,직원목록!$A$3:$A$302,0)),""))</f>
        <v/>
      </c>
      <c r="E1018" s="14"/>
      <c r="F1018" s="14"/>
      <c r="G1018" s="15"/>
      <c r="H1018" s="16" t="str">
        <f aca="false">IF(OR($K1018="",$L1018=""),"",ROUND(MAX(0,($L1018-$K1018)-IF($G1018="",0,$G1018))/60,2))</f>
        <v/>
      </c>
      <c r="I1018" s="8"/>
      <c r="J1018" s="8"/>
      <c r="K1018" s="17" t="str">
        <f aca="false">IF($E1018="","",IF($E1018&lt;1,ROUND($E1018*1440,0),INT($E1018/100)*60+MOD($E1018,100)))</f>
        <v/>
      </c>
      <c r="L1018" s="17" t="str">
        <f aca="false">IF($F1018="","",IF($F1018&lt;1,ROUND($F1018*1440,0),INT($F1018/100)*60+MOD($F1018,100)))</f>
        <v/>
      </c>
    </row>
    <row r="1019" customFormat="false" ht="15" hidden="false" customHeight="true" outlineLevel="0" collapsed="false">
      <c r="A1019" s="10"/>
      <c r="B1019" s="8"/>
      <c r="C1019" s="13" t="str">
        <f aca="false">IF($B1019="","",IFERROR(INDEX(직원목록!$B$3:$B$302,MATCH($B1019,직원목록!$A$3:$A$302,0)),"미등록사번"))</f>
        <v/>
      </c>
      <c r="D1019" s="13" t="str">
        <f aca="false">IF($B1019="","",IFERROR(INDEX(직원목록!$C$3:$C$302,MATCH($B1019,직원목록!$A$3:$A$302,0)),""))</f>
        <v/>
      </c>
      <c r="E1019" s="14"/>
      <c r="F1019" s="14"/>
      <c r="G1019" s="15"/>
      <c r="H1019" s="16" t="str">
        <f aca="false">IF(OR($K1019="",$L1019=""),"",ROUND(MAX(0,($L1019-$K1019)-IF($G1019="",0,$G1019))/60,2))</f>
        <v/>
      </c>
      <c r="I1019" s="8"/>
      <c r="J1019" s="8"/>
      <c r="K1019" s="17" t="str">
        <f aca="false">IF($E1019="","",IF($E1019&lt;1,ROUND($E1019*1440,0),INT($E1019/100)*60+MOD($E1019,100)))</f>
        <v/>
      </c>
      <c r="L1019" s="17" t="str">
        <f aca="false">IF($F1019="","",IF($F1019&lt;1,ROUND($F1019*1440,0),INT($F1019/100)*60+MOD($F1019,100)))</f>
        <v/>
      </c>
    </row>
    <row r="1020" customFormat="false" ht="15" hidden="false" customHeight="true" outlineLevel="0" collapsed="false">
      <c r="A1020" s="10"/>
      <c r="B1020" s="8"/>
      <c r="C1020" s="13" t="str">
        <f aca="false">IF($B1020="","",IFERROR(INDEX(직원목록!$B$3:$B$302,MATCH($B1020,직원목록!$A$3:$A$302,0)),"미등록사번"))</f>
        <v/>
      </c>
      <c r="D1020" s="13" t="str">
        <f aca="false">IF($B1020="","",IFERROR(INDEX(직원목록!$C$3:$C$302,MATCH($B1020,직원목록!$A$3:$A$302,0)),""))</f>
        <v/>
      </c>
      <c r="E1020" s="14"/>
      <c r="F1020" s="14"/>
      <c r="G1020" s="15"/>
      <c r="H1020" s="16" t="str">
        <f aca="false">IF(OR($K1020="",$L1020=""),"",ROUND(MAX(0,($L1020-$K1020)-IF($G1020="",0,$G1020))/60,2))</f>
        <v/>
      </c>
      <c r="I1020" s="8"/>
      <c r="J1020" s="8"/>
      <c r="K1020" s="17" t="str">
        <f aca="false">IF($E1020="","",IF($E1020&lt;1,ROUND($E1020*1440,0),INT($E1020/100)*60+MOD($E1020,100)))</f>
        <v/>
      </c>
      <c r="L1020" s="17" t="str">
        <f aca="false">IF($F1020="","",IF($F1020&lt;1,ROUND($F1020*1440,0),INT($F1020/100)*60+MOD($F1020,100)))</f>
        <v/>
      </c>
    </row>
    <row r="1021" customFormat="false" ht="15" hidden="false" customHeight="true" outlineLevel="0" collapsed="false">
      <c r="A1021" s="10"/>
      <c r="B1021" s="8"/>
      <c r="C1021" s="13" t="str">
        <f aca="false">IF($B1021="","",IFERROR(INDEX(직원목록!$B$3:$B$302,MATCH($B1021,직원목록!$A$3:$A$302,0)),"미등록사번"))</f>
        <v/>
      </c>
      <c r="D1021" s="13" t="str">
        <f aca="false">IF($B1021="","",IFERROR(INDEX(직원목록!$C$3:$C$302,MATCH($B1021,직원목록!$A$3:$A$302,0)),""))</f>
        <v/>
      </c>
      <c r="E1021" s="14"/>
      <c r="F1021" s="14"/>
      <c r="G1021" s="15"/>
      <c r="H1021" s="16" t="str">
        <f aca="false">IF(OR($K1021="",$L1021=""),"",ROUND(MAX(0,($L1021-$K1021)-IF($G1021="",0,$G1021))/60,2))</f>
        <v/>
      </c>
      <c r="I1021" s="8"/>
      <c r="J1021" s="8"/>
      <c r="K1021" s="17" t="str">
        <f aca="false">IF($E1021="","",IF($E1021&lt;1,ROUND($E1021*1440,0),INT($E1021/100)*60+MOD($E1021,100)))</f>
        <v/>
      </c>
      <c r="L1021" s="17" t="str">
        <f aca="false">IF($F1021="","",IF($F1021&lt;1,ROUND($F1021*1440,0),INT($F1021/100)*60+MOD($F1021,100)))</f>
        <v/>
      </c>
    </row>
    <row r="1022" customFormat="false" ht="15" hidden="false" customHeight="true" outlineLevel="0" collapsed="false">
      <c r="A1022" s="10"/>
      <c r="B1022" s="8"/>
      <c r="C1022" s="13" t="str">
        <f aca="false">IF($B1022="","",IFERROR(INDEX(직원목록!$B$3:$B$302,MATCH($B1022,직원목록!$A$3:$A$302,0)),"미등록사번"))</f>
        <v/>
      </c>
      <c r="D1022" s="13" t="str">
        <f aca="false">IF($B1022="","",IFERROR(INDEX(직원목록!$C$3:$C$302,MATCH($B1022,직원목록!$A$3:$A$302,0)),""))</f>
        <v/>
      </c>
      <c r="E1022" s="14"/>
      <c r="F1022" s="14"/>
      <c r="G1022" s="15"/>
      <c r="H1022" s="16" t="str">
        <f aca="false">IF(OR($K1022="",$L1022=""),"",ROUND(MAX(0,($L1022-$K1022)-IF($G1022="",0,$G1022))/60,2))</f>
        <v/>
      </c>
      <c r="I1022" s="8"/>
      <c r="J1022" s="8"/>
      <c r="K1022" s="17" t="str">
        <f aca="false">IF($E1022="","",IF($E1022&lt;1,ROUND($E1022*1440,0),INT($E1022/100)*60+MOD($E1022,100)))</f>
        <v/>
      </c>
      <c r="L1022" s="17" t="str">
        <f aca="false">IF($F1022="","",IF($F1022&lt;1,ROUND($F1022*1440,0),INT($F1022/100)*60+MOD($F1022,100)))</f>
        <v/>
      </c>
    </row>
    <row r="1023" customFormat="false" ht="15" hidden="false" customHeight="true" outlineLevel="0" collapsed="false">
      <c r="A1023" s="10"/>
      <c r="B1023" s="8"/>
      <c r="C1023" s="13" t="str">
        <f aca="false">IF($B1023="","",IFERROR(INDEX(직원목록!$B$3:$B$302,MATCH($B1023,직원목록!$A$3:$A$302,0)),"미등록사번"))</f>
        <v/>
      </c>
      <c r="D1023" s="13" t="str">
        <f aca="false">IF($B1023="","",IFERROR(INDEX(직원목록!$C$3:$C$302,MATCH($B1023,직원목록!$A$3:$A$302,0)),""))</f>
        <v/>
      </c>
      <c r="E1023" s="14"/>
      <c r="F1023" s="14"/>
      <c r="G1023" s="15"/>
      <c r="H1023" s="16" t="str">
        <f aca="false">IF(OR($K1023="",$L1023=""),"",ROUND(MAX(0,($L1023-$K1023)-IF($G1023="",0,$G1023))/60,2))</f>
        <v/>
      </c>
      <c r="I1023" s="8"/>
      <c r="J1023" s="8"/>
      <c r="K1023" s="17" t="str">
        <f aca="false">IF($E1023="","",IF($E1023&lt;1,ROUND($E1023*1440,0),INT($E1023/100)*60+MOD($E1023,100)))</f>
        <v/>
      </c>
      <c r="L1023" s="17" t="str">
        <f aca="false">IF($F1023="","",IF($F1023&lt;1,ROUND($F1023*1440,0),INT($F1023/100)*60+MOD($F1023,100)))</f>
        <v/>
      </c>
    </row>
    <row r="1024" customFormat="false" ht="15" hidden="false" customHeight="true" outlineLevel="0" collapsed="false">
      <c r="A1024" s="10"/>
      <c r="B1024" s="8"/>
      <c r="C1024" s="13" t="str">
        <f aca="false">IF($B1024="","",IFERROR(INDEX(직원목록!$B$3:$B$302,MATCH($B1024,직원목록!$A$3:$A$302,0)),"미등록사번"))</f>
        <v/>
      </c>
      <c r="D1024" s="13" t="str">
        <f aca="false">IF($B1024="","",IFERROR(INDEX(직원목록!$C$3:$C$302,MATCH($B1024,직원목록!$A$3:$A$302,0)),""))</f>
        <v/>
      </c>
      <c r="E1024" s="14"/>
      <c r="F1024" s="14"/>
      <c r="G1024" s="15"/>
      <c r="H1024" s="16" t="str">
        <f aca="false">IF(OR($K1024="",$L1024=""),"",ROUND(MAX(0,($L1024-$K1024)-IF($G1024="",0,$G1024))/60,2))</f>
        <v/>
      </c>
      <c r="I1024" s="8"/>
      <c r="J1024" s="8"/>
      <c r="K1024" s="17" t="str">
        <f aca="false">IF($E1024="","",IF($E1024&lt;1,ROUND($E1024*1440,0),INT($E1024/100)*60+MOD($E1024,100)))</f>
        <v/>
      </c>
      <c r="L1024" s="17" t="str">
        <f aca="false">IF($F1024="","",IF($F1024&lt;1,ROUND($F1024*1440,0),INT($F1024/100)*60+MOD($F1024,100)))</f>
        <v/>
      </c>
    </row>
    <row r="1025" customFormat="false" ht="15" hidden="false" customHeight="true" outlineLevel="0" collapsed="false">
      <c r="A1025" s="10"/>
      <c r="B1025" s="8"/>
      <c r="C1025" s="13" t="str">
        <f aca="false">IF($B1025="","",IFERROR(INDEX(직원목록!$B$3:$B$302,MATCH($B1025,직원목록!$A$3:$A$302,0)),"미등록사번"))</f>
        <v/>
      </c>
      <c r="D1025" s="13" t="str">
        <f aca="false">IF($B1025="","",IFERROR(INDEX(직원목록!$C$3:$C$302,MATCH($B1025,직원목록!$A$3:$A$302,0)),""))</f>
        <v/>
      </c>
      <c r="E1025" s="14"/>
      <c r="F1025" s="14"/>
      <c r="G1025" s="15"/>
      <c r="H1025" s="16" t="str">
        <f aca="false">IF(OR($K1025="",$L1025=""),"",ROUND(MAX(0,($L1025-$K1025)-IF($G1025="",0,$G1025))/60,2))</f>
        <v/>
      </c>
      <c r="I1025" s="8"/>
      <c r="J1025" s="8"/>
      <c r="K1025" s="17" t="str">
        <f aca="false">IF($E1025="","",IF($E1025&lt;1,ROUND($E1025*1440,0),INT($E1025/100)*60+MOD($E1025,100)))</f>
        <v/>
      </c>
      <c r="L1025" s="17" t="str">
        <f aca="false">IF($F1025="","",IF($F1025&lt;1,ROUND($F1025*1440,0),INT($F1025/100)*60+MOD($F1025,100)))</f>
        <v/>
      </c>
    </row>
    <row r="1026" customFormat="false" ht="15" hidden="false" customHeight="true" outlineLevel="0" collapsed="false">
      <c r="A1026" s="10"/>
      <c r="B1026" s="8"/>
      <c r="C1026" s="13" t="str">
        <f aca="false">IF($B1026="","",IFERROR(INDEX(직원목록!$B$3:$B$302,MATCH($B1026,직원목록!$A$3:$A$302,0)),"미등록사번"))</f>
        <v/>
      </c>
      <c r="D1026" s="13" t="str">
        <f aca="false">IF($B1026="","",IFERROR(INDEX(직원목록!$C$3:$C$302,MATCH($B1026,직원목록!$A$3:$A$302,0)),""))</f>
        <v/>
      </c>
      <c r="E1026" s="14"/>
      <c r="F1026" s="14"/>
      <c r="G1026" s="15"/>
      <c r="H1026" s="16" t="str">
        <f aca="false">IF(OR($K1026="",$L1026=""),"",ROUND(MAX(0,($L1026-$K1026)-IF($G1026="",0,$G1026))/60,2))</f>
        <v/>
      </c>
      <c r="I1026" s="8"/>
      <c r="J1026" s="8"/>
      <c r="K1026" s="17" t="str">
        <f aca="false">IF($E1026="","",IF($E1026&lt;1,ROUND($E1026*1440,0),INT($E1026/100)*60+MOD($E1026,100)))</f>
        <v/>
      </c>
      <c r="L1026" s="17" t="str">
        <f aca="false">IF($F1026="","",IF($F1026&lt;1,ROUND($F1026*1440,0),INT($F1026/100)*60+MOD($F1026,100)))</f>
        <v/>
      </c>
    </row>
    <row r="1027" customFormat="false" ht="15" hidden="false" customHeight="true" outlineLevel="0" collapsed="false">
      <c r="A1027" s="10"/>
      <c r="B1027" s="8"/>
      <c r="C1027" s="13" t="str">
        <f aca="false">IF($B1027="","",IFERROR(INDEX(직원목록!$B$3:$B$302,MATCH($B1027,직원목록!$A$3:$A$302,0)),"미등록사번"))</f>
        <v/>
      </c>
      <c r="D1027" s="13" t="str">
        <f aca="false">IF($B1027="","",IFERROR(INDEX(직원목록!$C$3:$C$302,MATCH($B1027,직원목록!$A$3:$A$302,0)),""))</f>
        <v/>
      </c>
      <c r="E1027" s="14"/>
      <c r="F1027" s="14"/>
      <c r="G1027" s="15"/>
      <c r="H1027" s="16" t="str">
        <f aca="false">IF(OR($K1027="",$L1027=""),"",ROUND(MAX(0,($L1027-$K1027)-IF($G1027="",0,$G1027))/60,2))</f>
        <v/>
      </c>
      <c r="I1027" s="8"/>
      <c r="J1027" s="8"/>
      <c r="K1027" s="17" t="str">
        <f aca="false">IF($E1027="","",IF($E1027&lt;1,ROUND($E1027*1440,0),INT($E1027/100)*60+MOD($E1027,100)))</f>
        <v/>
      </c>
      <c r="L1027" s="17" t="str">
        <f aca="false">IF($F1027="","",IF($F1027&lt;1,ROUND($F1027*1440,0),INT($F1027/100)*60+MOD($F1027,100)))</f>
        <v/>
      </c>
    </row>
    <row r="1028" customFormat="false" ht="15" hidden="false" customHeight="true" outlineLevel="0" collapsed="false">
      <c r="A1028" s="10"/>
      <c r="B1028" s="8"/>
      <c r="C1028" s="13" t="str">
        <f aca="false">IF($B1028="","",IFERROR(INDEX(직원목록!$B$3:$B$302,MATCH($B1028,직원목록!$A$3:$A$302,0)),"미등록사번"))</f>
        <v/>
      </c>
      <c r="D1028" s="13" t="str">
        <f aca="false">IF($B1028="","",IFERROR(INDEX(직원목록!$C$3:$C$302,MATCH($B1028,직원목록!$A$3:$A$302,0)),""))</f>
        <v/>
      </c>
      <c r="E1028" s="14"/>
      <c r="F1028" s="14"/>
      <c r="G1028" s="15"/>
      <c r="H1028" s="16" t="str">
        <f aca="false">IF(OR($K1028="",$L1028=""),"",ROUND(MAX(0,($L1028-$K1028)-IF($G1028="",0,$G1028))/60,2))</f>
        <v/>
      </c>
      <c r="I1028" s="8"/>
      <c r="J1028" s="8"/>
      <c r="K1028" s="17" t="str">
        <f aca="false">IF($E1028="","",IF($E1028&lt;1,ROUND($E1028*1440,0),INT($E1028/100)*60+MOD($E1028,100)))</f>
        <v/>
      </c>
      <c r="L1028" s="17" t="str">
        <f aca="false">IF($F1028="","",IF($F1028&lt;1,ROUND($F1028*1440,0),INT($F1028/100)*60+MOD($F1028,100)))</f>
        <v/>
      </c>
    </row>
    <row r="1029" customFormat="false" ht="15" hidden="false" customHeight="true" outlineLevel="0" collapsed="false">
      <c r="A1029" s="10"/>
      <c r="B1029" s="8"/>
      <c r="C1029" s="13" t="str">
        <f aca="false">IF($B1029="","",IFERROR(INDEX(직원목록!$B$3:$B$302,MATCH($B1029,직원목록!$A$3:$A$302,0)),"미등록사번"))</f>
        <v/>
      </c>
      <c r="D1029" s="13" t="str">
        <f aca="false">IF($B1029="","",IFERROR(INDEX(직원목록!$C$3:$C$302,MATCH($B1029,직원목록!$A$3:$A$302,0)),""))</f>
        <v/>
      </c>
      <c r="E1029" s="14"/>
      <c r="F1029" s="14"/>
      <c r="G1029" s="15"/>
      <c r="H1029" s="16" t="str">
        <f aca="false">IF(OR($K1029="",$L1029=""),"",ROUND(MAX(0,($L1029-$K1029)-IF($G1029="",0,$G1029))/60,2))</f>
        <v/>
      </c>
      <c r="I1029" s="8"/>
      <c r="J1029" s="8"/>
      <c r="K1029" s="17" t="str">
        <f aca="false">IF($E1029="","",IF($E1029&lt;1,ROUND($E1029*1440,0),INT($E1029/100)*60+MOD($E1029,100)))</f>
        <v/>
      </c>
      <c r="L1029" s="17" t="str">
        <f aca="false">IF($F1029="","",IF($F1029&lt;1,ROUND($F1029*1440,0),INT($F1029/100)*60+MOD($F1029,100)))</f>
        <v/>
      </c>
    </row>
    <row r="1030" customFormat="false" ht="15" hidden="false" customHeight="true" outlineLevel="0" collapsed="false">
      <c r="A1030" s="10"/>
      <c r="B1030" s="8"/>
      <c r="C1030" s="13" t="str">
        <f aca="false">IF($B1030="","",IFERROR(INDEX(직원목록!$B$3:$B$302,MATCH($B1030,직원목록!$A$3:$A$302,0)),"미등록사번"))</f>
        <v/>
      </c>
      <c r="D1030" s="13" t="str">
        <f aca="false">IF($B1030="","",IFERROR(INDEX(직원목록!$C$3:$C$302,MATCH($B1030,직원목록!$A$3:$A$302,0)),""))</f>
        <v/>
      </c>
      <c r="E1030" s="14"/>
      <c r="F1030" s="14"/>
      <c r="G1030" s="15"/>
      <c r="H1030" s="16" t="str">
        <f aca="false">IF(OR($K1030="",$L1030=""),"",ROUND(MAX(0,($L1030-$K1030)-IF($G1030="",0,$G1030))/60,2))</f>
        <v/>
      </c>
      <c r="I1030" s="8"/>
      <c r="J1030" s="8"/>
      <c r="K1030" s="17" t="str">
        <f aca="false">IF($E1030="","",IF($E1030&lt;1,ROUND($E1030*1440,0),INT($E1030/100)*60+MOD($E1030,100)))</f>
        <v/>
      </c>
      <c r="L1030" s="17" t="str">
        <f aca="false">IF($F1030="","",IF($F1030&lt;1,ROUND($F1030*1440,0),INT($F1030/100)*60+MOD($F1030,100)))</f>
        <v/>
      </c>
    </row>
    <row r="1031" customFormat="false" ht="15" hidden="false" customHeight="true" outlineLevel="0" collapsed="false">
      <c r="A1031" s="10"/>
      <c r="B1031" s="8"/>
      <c r="C1031" s="13" t="str">
        <f aca="false">IF($B1031="","",IFERROR(INDEX(직원목록!$B$3:$B$302,MATCH($B1031,직원목록!$A$3:$A$302,0)),"미등록사번"))</f>
        <v/>
      </c>
      <c r="D1031" s="13" t="str">
        <f aca="false">IF($B1031="","",IFERROR(INDEX(직원목록!$C$3:$C$302,MATCH($B1031,직원목록!$A$3:$A$302,0)),""))</f>
        <v/>
      </c>
      <c r="E1031" s="14"/>
      <c r="F1031" s="14"/>
      <c r="G1031" s="15"/>
      <c r="H1031" s="16" t="str">
        <f aca="false">IF(OR($K1031="",$L1031=""),"",ROUND(MAX(0,($L1031-$K1031)-IF($G1031="",0,$G1031))/60,2))</f>
        <v/>
      </c>
      <c r="I1031" s="8"/>
      <c r="J1031" s="8"/>
      <c r="K1031" s="17" t="str">
        <f aca="false">IF($E1031="","",IF($E1031&lt;1,ROUND($E1031*1440,0),INT($E1031/100)*60+MOD($E1031,100)))</f>
        <v/>
      </c>
      <c r="L1031" s="17" t="str">
        <f aca="false">IF($F1031="","",IF($F1031&lt;1,ROUND($F1031*1440,0),INT($F1031/100)*60+MOD($F1031,100)))</f>
        <v/>
      </c>
    </row>
    <row r="1032" customFormat="false" ht="15" hidden="false" customHeight="true" outlineLevel="0" collapsed="false">
      <c r="A1032" s="10"/>
      <c r="B1032" s="8"/>
      <c r="C1032" s="13" t="str">
        <f aca="false">IF($B1032="","",IFERROR(INDEX(직원목록!$B$3:$B$302,MATCH($B1032,직원목록!$A$3:$A$302,0)),"미등록사번"))</f>
        <v/>
      </c>
      <c r="D1032" s="13" t="str">
        <f aca="false">IF($B1032="","",IFERROR(INDEX(직원목록!$C$3:$C$302,MATCH($B1032,직원목록!$A$3:$A$302,0)),""))</f>
        <v/>
      </c>
      <c r="E1032" s="14"/>
      <c r="F1032" s="14"/>
      <c r="G1032" s="15"/>
      <c r="H1032" s="16" t="str">
        <f aca="false">IF(OR($K1032="",$L1032=""),"",ROUND(MAX(0,($L1032-$K1032)-IF($G1032="",0,$G1032))/60,2))</f>
        <v/>
      </c>
      <c r="I1032" s="8"/>
      <c r="J1032" s="8"/>
      <c r="K1032" s="17" t="str">
        <f aca="false">IF($E1032="","",IF($E1032&lt;1,ROUND($E1032*1440,0),INT($E1032/100)*60+MOD($E1032,100)))</f>
        <v/>
      </c>
      <c r="L1032" s="17" t="str">
        <f aca="false">IF($F1032="","",IF($F1032&lt;1,ROUND($F1032*1440,0),INT($F1032/100)*60+MOD($F1032,100)))</f>
        <v/>
      </c>
    </row>
    <row r="1033" customFormat="false" ht="15" hidden="false" customHeight="true" outlineLevel="0" collapsed="false">
      <c r="A1033" s="10"/>
      <c r="B1033" s="8"/>
      <c r="C1033" s="13" t="str">
        <f aca="false">IF($B1033="","",IFERROR(INDEX(직원목록!$B$3:$B$302,MATCH($B1033,직원목록!$A$3:$A$302,0)),"미등록사번"))</f>
        <v/>
      </c>
      <c r="D1033" s="13" t="str">
        <f aca="false">IF($B1033="","",IFERROR(INDEX(직원목록!$C$3:$C$302,MATCH($B1033,직원목록!$A$3:$A$302,0)),""))</f>
        <v/>
      </c>
      <c r="E1033" s="14"/>
      <c r="F1033" s="14"/>
      <c r="G1033" s="15"/>
      <c r="H1033" s="16" t="str">
        <f aca="false">IF(OR($K1033="",$L1033=""),"",ROUND(MAX(0,($L1033-$K1033)-IF($G1033="",0,$G1033))/60,2))</f>
        <v/>
      </c>
      <c r="I1033" s="8"/>
      <c r="J1033" s="8"/>
      <c r="K1033" s="17" t="str">
        <f aca="false">IF($E1033="","",IF($E1033&lt;1,ROUND($E1033*1440,0),INT($E1033/100)*60+MOD($E1033,100)))</f>
        <v/>
      </c>
      <c r="L1033" s="17" t="str">
        <f aca="false">IF($F1033="","",IF($F1033&lt;1,ROUND($F1033*1440,0),INT($F1033/100)*60+MOD($F1033,100)))</f>
        <v/>
      </c>
    </row>
    <row r="1034" customFormat="false" ht="15" hidden="false" customHeight="true" outlineLevel="0" collapsed="false">
      <c r="A1034" s="10"/>
      <c r="B1034" s="8"/>
      <c r="C1034" s="13" t="str">
        <f aca="false">IF($B1034="","",IFERROR(INDEX(직원목록!$B$3:$B$302,MATCH($B1034,직원목록!$A$3:$A$302,0)),"미등록사번"))</f>
        <v/>
      </c>
      <c r="D1034" s="13" t="str">
        <f aca="false">IF($B1034="","",IFERROR(INDEX(직원목록!$C$3:$C$302,MATCH($B1034,직원목록!$A$3:$A$302,0)),""))</f>
        <v/>
      </c>
      <c r="E1034" s="14"/>
      <c r="F1034" s="14"/>
      <c r="G1034" s="15"/>
      <c r="H1034" s="16" t="str">
        <f aca="false">IF(OR($K1034="",$L1034=""),"",ROUND(MAX(0,($L1034-$K1034)-IF($G1034="",0,$G1034))/60,2))</f>
        <v/>
      </c>
      <c r="I1034" s="8"/>
      <c r="J1034" s="8"/>
      <c r="K1034" s="17" t="str">
        <f aca="false">IF($E1034="","",IF($E1034&lt;1,ROUND($E1034*1440,0),INT($E1034/100)*60+MOD($E1034,100)))</f>
        <v/>
      </c>
      <c r="L1034" s="17" t="str">
        <f aca="false">IF($F1034="","",IF($F1034&lt;1,ROUND($F1034*1440,0),INT($F1034/100)*60+MOD($F1034,100)))</f>
        <v/>
      </c>
    </row>
    <row r="1035" customFormat="false" ht="15" hidden="false" customHeight="true" outlineLevel="0" collapsed="false">
      <c r="A1035" s="10"/>
      <c r="B1035" s="8"/>
      <c r="C1035" s="13" t="str">
        <f aca="false">IF($B1035="","",IFERROR(INDEX(직원목록!$B$3:$B$302,MATCH($B1035,직원목록!$A$3:$A$302,0)),"미등록사번"))</f>
        <v/>
      </c>
      <c r="D1035" s="13" t="str">
        <f aca="false">IF($B1035="","",IFERROR(INDEX(직원목록!$C$3:$C$302,MATCH($B1035,직원목록!$A$3:$A$302,0)),""))</f>
        <v/>
      </c>
      <c r="E1035" s="14"/>
      <c r="F1035" s="14"/>
      <c r="G1035" s="15"/>
      <c r="H1035" s="16" t="str">
        <f aca="false">IF(OR($K1035="",$L1035=""),"",ROUND(MAX(0,($L1035-$K1035)-IF($G1035="",0,$G1035))/60,2))</f>
        <v/>
      </c>
      <c r="I1035" s="8"/>
      <c r="J1035" s="8"/>
      <c r="K1035" s="17" t="str">
        <f aca="false">IF($E1035="","",IF($E1035&lt;1,ROUND($E1035*1440,0),INT($E1035/100)*60+MOD($E1035,100)))</f>
        <v/>
      </c>
      <c r="L1035" s="17" t="str">
        <f aca="false">IF($F1035="","",IF($F1035&lt;1,ROUND($F1035*1440,0),INT($F1035/100)*60+MOD($F1035,100)))</f>
        <v/>
      </c>
    </row>
    <row r="1036" customFormat="false" ht="15" hidden="false" customHeight="true" outlineLevel="0" collapsed="false">
      <c r="A1036" s="10"/>
      <c r="B1036" s="8"/>
      <c r="C1036" s="13" t="str">
        <f aca="false">IF($B1036="","",IFERROR(INDEX(직원목록!$B$3:$B$302,MATCH($B1036,직원목록!$A$3:$A$302,0)),"미등록사번"))</f>
        <v/>
      </c>
      <c r="D1036" s="13" t="str">
        <f aca="false">IF($B1036="","",IFERROR(INDEX(직원목록!$C$3:$C$302,MATCH($B1036,직원목록!$A$3:$A$302,0)),""))</f>
        <v/>
      </c>
      <c r="E1036" s="14"/>
      <c r="F1036" s="14"/>
      <c r="G1036" s="15"/>
      <c r="H1036" s="16" t="str">
        <f aca="false">IF(OR($K1036="",$L1036=""),"",ROUND(MAX(0,($L1036-$K1036)-IF($G1036="",0,$G1036))/60,2))</f>
        <v/>
      </c>
      <c r="I1036" s="8"/>
      <c r="J1036" s="8"/>
      <c r="K1036" s="17" t="str">
        <f aca="false">IF($E1036="","",IF($E1036&lt;1,ROUND($E1036*1440,0),INT($E1036/100)*60+MOD($E1036,100)))</f>
        <v/>
      </c>
      <c r="L1036" s="17" t="str">
        <f aca="false">IF($F1036="","",IF($F1036&lt;1,ROUND($F1036*1440,0),INT($F1036/100)*60+MOD($F1036,100)))</f>
        <v/>
      </c>
    </row>
    <row r="1037" customFormat="false" ht="15" hidden="false" customHeight="true" outlineLevel="0" collapsed="false">
      <c r="A1037" s="10"/>
      <c r="B1037" s="8"/>
      <c r="C1037" s="13" t="str">
        <f aca="false">IF($B1037="","",IFERROR(INDEX(직원목록!$B$3:$B$302,MATCH($B1037,직원목록!$A$3:$A$302,0)),"미등록사번"))</f>
        <v/>
      </c>
      <c r="D1037" s="13" t="str">
        <f aca="false">IF($B1037="","",IFERROR(INDEX(직원목록!$C$3:$C$302,MATCH($B1037,직원목록!$A$3:$A$302,0)),""))</f>
        <v/>
      </c>
      <c r="E1037" s="14"/>
      <c r="F1037" s="14"/>
      <c r="G1037" s="15"/>
      <c r="H1037" s="16" t="str">
        <f aca="false">IF(OR($K1037="",$L1037=""),"",ROUND(MAX(0,($L1037-$K1037)-IF($G1037="",0,$G1037))/60,2))</f>
        <v/>
      </c>
      <c r="I1037" s="8"/>
      <c r="J1037" s="8"/>
      <c r="K1037" s="17" t="str">
        <f aca="false">IF($E1037="","",IF($E1037&lt;1,ROUND($E1037*1440,0),INT($E1037/100)*60+MOD($E1037,100)))</f>
        <v/>
      </c>
      <c r="L1037" s="17" t="str">
        <f aca="false">IF($F1037="","",IF($F1037&lt;1,ROUND($F1037*1440,0),INT($F1037/100)*60+MOD($F1037,100)))</f>
        <v/>
      </c>
    </row>
    <row r="1038" customFormat="false" ht="15" hidden="false" customHeight="true" outlineLevel="0" collapsed="false">
      <c r="A1038" s="10"/>
      <c r="B1038" s="8"/>
      <c r="C1038" s="13" t="str">
        <f aca="false">IF($B1038="","",IFERROR(INDEX(직원목록!$B$3:$B$302,MATCH($B1038,직원목록!$A$3:$A$302,0)),"미등록사번"))</f>
        <v/>
      </c>
      <c r="D1038" s="13" t="str">
        <f aca="false">IF($B1038="","",IFERROR(INDEX(직원목록!$C$3:$C$302,MATCH($B1038,직원목록!$A$3:$A$302,0)),""))</f>
        <v/>
      </c>
      <c r="E1038" s="14"/>
      <c r="F1038" s="14"/>
      <c r="G1038" s="15"/>
      <c r="H1038" s="16" t="str">
        <f aca="false">IF(OR($K1038="",$L1038=""),"",ROUND(MAX(0,($L1038-$K1038)-IF($G1038="",0,$G1038))/60,2))</f>
        <v/>
      </c>
      <c r="I1038" s="8"/>
      <c r="J1038" s="8"/>
      <c r="K1038" s="17" t="str">
        <f aca="false">IF($E1038="","",IF($E1038&lt;1,ROUND($E1038*1440,0),INT($E1038/100)*60+MOD($E1038,100)))</f>
        <v/>
      </c>
      <c r="L1038" s="17" t="str">
        <f aca="false">IF($F1038="","",IF($F1038&lt;1,ROUND($F1038*1440,0),INT($F1038/100)*60+MOD($F1038,100)))</f>
        <v/>
      </c>
    </row>
    <row r="1039" customFormat="false" ht="15" hidden="false" customHeight="true" outlineLevel="0" collapsed="false">
      <c r="A1039" s="10"/>
      <c r="B1039" s="8"/>
      <c r="C1039" s="13" t="str">
        <f aca="false">IF($B1039="","",IFERROR(INDEX(직원목록!$B$3:$B$302,MATCH($B1039,직원목록!$A$3:$A$302,0)),"미등록사번"))</f>
        <v/>
      </c>
      <c r="D1039" s="13" t="str">
        <f aca="false">IF($B1039="","",IFERROR(INDEX(직원목록!$C$3:$C$302,MATCH($B1039,직원목록!$A$3:$A$302,0)),""))</f>
        <v/>
      </c>
      <c r="E1039" s="14"/>
      <c r="F1039" s="14"/>
      <c r="G1039" s="15"/>
      <c r="H1039" s="16" t="str">
        <f aca="false">IF(OR($K1039="",$L1039=""),"",ROUND(MAX(0,($L1039-$K1039)-IF($G1039="",0,$G1039))/60,2))</f>
        <v/>
      </c>
      <c r="I1039" s="8"/>
      <c r="J1039" s="8"/>
      <c r="K1039" s="17" t="str">
        <f aca="false">IF($E1039="","",IF($E1039&lt;1,ROUND($E1039*1440,0),INT($E1039/100)*60+MOD($E1039,100)))</f>
        <v/>
      </c>
      <c r="L1039" s="17" t="str">
        <f aca="false">IF($F1039="","",IF($F1039&lt;1,ROUND($F1039*1440,0),INT($F1039/100)*60+MOD($F1039,100)))</f>
        <v/>
      </c>
    </row>
    <row r="1040" customFormat="false" ht="15" hidden="false" customHeight="true" outlineLevel="0" collapsed="false">
      <c r="A1040" s="10"/>
      <c r="B1040" s="8"/>
      <c r="C1040" s="13" t="str">
        <f aca="false">IF($B1040="","",IFERROR(INDEX(직원목록!$B$3:$B$302,MATCH($B1040,직원목록!$A$3:$A$302,0)),"미등록사번"))</f>
        <v/>
      </c>
      <c r="D1040" s="13" t="str">
        <f aca="false">IF($B1040="","",IFERROR(INDEX(직원목록!$C$3:$C$302,MATCH($B1040,직원목록!$A$3:$A$302,0)),""))</f>
        <v/>
      </c>
      <c r="E1040" s="14"/>
      <c r="F1040" s="14"/>
      <c r="G1040" s="15"/>
      <c r="H1040" s="16" t="str">
        <f aca="false">IF(OR($K1040="",$L1040=""),"",ROUND(MAX(0,($L1040-$K1040)-IF($G1040="",0,$G1040))/60,2))</f>
        <v/>
      </c>
      <c r="I1040" s="8"/>
      <c r="J1040" s="8"/>
      <c r="K1040" s="17" t="str">
        <f aca="false">IF($E1040="","",IF($E1040&lt;1,ROUND($E1040*1440,0),INT($E1040/100)*60+MOD($E1040,100)))</f>
        <v/>
      </c>
      <c r="L1040" s="17" t="str">
        <f aca="false">IF($F1040="","",IF($F1040&lt;1,ROUND($F1040*1440,0),INT($F1040/100)*60+MOD($F1040,100)))</f>
        <v/>
      </c>
    </row>
    <row r="1041" customFormat="false" ht="15" hidden="false" customHeight="true" outlineLevel="0" collapsed="false">
      <c r="A1041" s="10"/>
      <c r="B1041" s="8"/>
      <c r="C1041" s="13" t="str">
        <f aca="false">IF($B1041="","",IFERROR(INDEX(직원목록!$B$3:$B$302,MATCH($B1041,직원목록!$A$3:$A$302,0)),"미등록사번"))</f>
        <v/>
      </c>
      <c r="D1041" s="13" t="str">
        <f aca="false">IF($B1041="","",IFERROR(INDEX(직원목록!$C$3:$C$302,MATCH($B1041,직원목록!$A$3:$A$302,0)),""))</f>
        <v/>
      </c>
      <c r="E1041" s="14"/>
      <c r="F1041" s="14"/>
      <c r="G1041" s="15"/>
      <c r="H1041" s="16" t="str">
        <f aca="false">IF(OR($K1041="",$L1041=""),"",ROUND(MAX(0,($L1041-$K1041)-IF($G1041="",0,$G1041))/60,2))</f>
        <v/>
      </c>
      <c r="I1041" s="8"/>
      <c r="J1041" s="8"/>
      <c r="K1041" s="17" t="str">
        <f aca="false">IF($E1041="","",IF($E1041&lt;1,ROUND($E1041*1440,0),INT($E1041/100)*60+MOD($E1041,100)))</f>
        <v/>
      </c>
      <c r="L1041" s="17" t="str">
        <f aca="false">IF($F1041="","",IF($F1041&lt;1,ROUND($F1041*1440,0),INT($F1041/100)*60+MOD($F1041,100)))</f>
        <v/>
      </c>
    </row>
    <row r="1042" customFormat="false" ht="15" hidden="false" customHeight="true" outlineLevel="0" collapsed="false">
      <c r="A1042" s="10"/>
      <c r="B1042" s="8"/>
      <c r="C1042" s="13" t="str">
        <f aca="false">IF($B1042="","",IFERROR(INDEX(직원목록!$B$3:$B$302,MATCH($B1042,직원목록!$A$3:$A$302,0)),"미등록사번"))</f>
        <v/>
      </c>
      <c r="D1042" s="13" t="str">
        <f aca="false">IF($B1042="","",IFERROR(INDEX(직원목록!$C$3:$C$302,MATCH($B1042,직원목록!$A$3:$A$302,0)),""))</f>
        <v/>
      </c>
      <c r="E1042" s="14"/>
      <c r="F1042" s="14"/>
      <c r="G1042" s="15"/>
      <c r="H1042" s="16" t="str">
        <f aca="false">IF(OR($K1042="",$L1042=""),"",ROUND(MAX(0,($L1042-$K1042)-IF($G1042="",0,$G1042))/60,2))</f>
        <v/>
      </c>
      <c r="I1042" s="8"/>
      <c r="J1042" s="8"/>
      <c r="K1042" s="17" t="str">
        <f aca="false">IF($E1042="","",IF($E1042&lt;1,ROUND($E1042*1440,0),INT($E1042/100)*60+MOD($E1042,100)))</f>
        <v/>
      </c>
      <c r="L1042" s="17" t="str">
        <f aca="false">IF($F1042="","",IF($F1042&lt;1,ROUND($F1042*1440,0),INT($F1042/100)*60+MOD($F1042,100)))</f>
        <v/>
      </c>
    </row>
    <row r="1043" customFormat="false" ht="15" hidden="false" customHeight="true" outlineLevel="0" collapsed="false">
      <c r="A1043" s="10"/>
      <c r="B1043" s="8"/>
      <c r="C1043" s="13" t="str">
        <f aca="false">IF($B1043="","",IFERROR(INDEX(직원목록!$B$3:$B$302,MATCH($B1043,직원목록!$A$3:$A$302,0)),"미등록사번"))</f>
        <v/>
      </c>
      <c r="D1043" s="13" t="str">
        <f aca="false">IF($B1043="","",IFERROR(INDEX(직원목록!$C$3:$C$302,MATCH($B1043,직원목록!$A$3:$A$302,0)),""))</f>
        <v/>
      </c>
      <c r="E1043" s="14"/>
      <c r="F1043" s="14"/>
      <c r="G1043" s="15"/>
      <c r="H1043" s="16" t="str">
        <f aca="false">IF(OR($K1043="",$L1043=""),"",ROUND(MAX(0,($L1043-$K1043)-IF($G1043="",0,$G1043))/60,2))</f>
        <v/>
      </c>
      <c r="I1043" s="8"/>
      <c r="J1043" s="8"/>
      <c r="K1043" s="17" t="str">
        <f aca="false">IF($E1043="","",IF($E1043&lt;1,ROUND($E1043*1440,0),INT($E1043/100)*60+MOD($E1043,100)))</f>
        <v/>
      </c>
      <c r="L1043" s="17" t="str">
        <f aca="false">IF($F1043="","",IF($F1043&lt;1,ROUND($F1043*1440,0),INT($F1043/100)*60+MOD($F1043,100)))</f>
        <v/>
      </c>
    </row>
    <row r="1044" customFormat="false" ht="15" hidden="false" customHeight="true" outlineLevel="0" collapsed="false">
      <c r="A1044" s="10"/>
      <c r="B1044" s="8"/>
      <c r="C1044" s="13" t="str">
        <f aca="false">IF($B1044="","",IFERROR(INDEX(직원목록!$B$3:$B$302,MATCH($B1044,직원목록!$A$3:$A$302,0)),"미등록사번"))</f>
        <v/>
      </c>
      <c r="D1044" s="13" t="str">
        <f aca="false">IF($B1044="","",IFERROR(INDEX(직원목록!$C$3:$C$302,MATCH($B1044,직원목록!$A$3:$A$302,0)),""))</f>
        <v/>
      </c>
      <c r="E1044" s="14"/>
      <c r="F1044" s="14"/>
      <c r="G1044" s="15"/>
      <c r="H1044" s="16" t="str">
        <f aca="false">IF(OR($K1044="",$L1044=""),"",ROUND(MAX(0,($L1044-$K1044)-IF($G1044="",0,$G1044))/60,2))</f>
        <v/>
      </c>
      <c r="I1044" s="8"/>
      <c r="J1044" s="8"/>
      <c r="K1044" s="17" t="str">
        <f aca="false">IF($E1044="","",IF($E1044&lt;1,ROUND($E1044*1440,0),INT($E1044/100)*60+MOD($E1044,100)))</f>
        <v/>
      </c>
      <c r="L1044" s="17" t="str">
        <f aca="false">IF($F1044="","",IF($F1044&lt;1,ROUND($F1044*1440,0),INT($F1044/100)*60+MOD($F1044,100)))</f>
        <v/>
      </c>
    </row>
    <row r="1045" customFormat="false" ht="15" hidden="false" customHeight="true" outlineLevel="0" collapsed="false">
      <c r="A1045" s="10"/>
      <c r="B1045" s="8"/>
      <c r="C1045" s="13" t="str">
        <f aca="false">IF($B1045="","",IFERROR(INDEX(직원목록!$B$3:$B$302,MATCH($B1045,직원목록!$A$3:$A$302,0)),"미등록사번"))</f>
        <v/>
      </c>
      <c r="D1045" s="13" t="str">
        <f aca="false">IF($B1045="","",IFERROR(INDEX(직원목록!$C$3:$C$302,MATCH($B1045,직원목록!$A$3:$A$302,0)),""))</f>
        <v/>
      </c>
      <c r="E1045" s="14"/>
      <c r="F1045" s="14"/>
      <c r="G1045" s="15"/>
      <c r="H1045" s="16" t="str">
        <f aca="false">IF(OR($K1045="",$L1045=""),"",ROUND(MAX(0,($L1045-$K1045)-IF($G1045="",0,$G1045))/60,2))</f>
        <v/>
      </c>
      <c r="I1045" s="8"/>
      <c r="J1045" s="8"/>
      <c r="K1045" s="17" t="str">
        <f aca="false">IF($E1045="","",IF($E1045&lt;1,ROUND($E1045*1440,0),INT($E1045/100)*60+MOD($E1045,100)))</f>
        <v/>
      </c>
      <c r="L1045" s="17" t="str">
        <f aca="false">IF($F1045="","",IF($F1045&lt;1,ROUND($F1045*1440,0),INT($F1045/100)*60+MOD($F1045,100)))</f>
        <v/>
      </c>
    </row>
    <row r="1046" customFormat="false" ht="15" hidden="false" customHeight="true" outlineLevel="0" collapsed="false">
      <c r="A1046" s="10"/>
      <c r="B1046" s="8"/>
      <c r="C1046" s="13" t="str">
        <f aca="false">IF($B1046="","",IFERROR(INDEX(직원목록!$B$3:$B$302,MATCH($B1046,직원목록!$A$3:$A$302,0)),"미등록사번"))</f>
        <v/>
      </c>
      <c r="D1046" s="13" t="str">
        <f aca="false">IF($B1046="","",IFERROR(INDEX(직원목록!$C$3:$C$302,MATCH($B1046,직원목록!$A$3:$A$302,0)),""))</f>
        <v/>
      </c>
      <c r="E1046" s="14"/>
      <c r="F1046" s="14"/>
      <c r="G1046" s="15"/>
      <c r="H1046" s="16" t="str">
        <f aca="false">IF(OR($K1046="",$L1046=""),"",ROUND(MAX(0,($L1046-$K1046)-IF($G1046="",0,$G1046))/60,2))</f>
        <v/>
      </c>
      <c r="I1046" s="8"/>
      <c r="J1046" s="8"/>
      <c r="K1046" s="17" t="str">
        <f aca="false">IF($E1046="","",IF($E1046&lt;1,ROUND($E1046*1440,0),INT($E1046/100)*60+MOD($E1046,100)))</f>
        <v/>
      </c>
      <c r="L1046" s="17" t="str">
        <f aca="false">IF($F1046="","",IF($F1046&lt;1,ROUND($F1046*1440,0),INT($F1046/100)*60+MOD($F1046,100)))</f>
        <v/>
      </c>
    </row>
    <row r="1047" customFormat="false" ht="15" hidden="false" customHeight="true" outlineLevel="0" collapsed="false">
      <c r="A1047" s="10"/>
      <c r="B1047" s="8"/>
      <c r="C1047" s="13" t="str">
        <f aca="false">IF($B1047="","",IFERROR(INDEX(직원목록!$B$3:$B$302,MATCH($B1047,직원목록!$A$3:$A$302,0)),"미등록사번"))</f>
        <v/>
      </c>
      <c r="D1047" s="13" t="str">
        <f aca="false">IF($B1047="","",IFERROR(INDEX(직원목록!$C$3:$C$302,MATCH($B1047,직원목록!$A$3:$A$302,0)),""))</f>
        <v/>
      </c>
      <c r="E1047" s="14"/>
      <c r="F1047" s="14"/>
      <c r="G1047" s="15"/>
      <c r="H1047" s="16" t="str">
        <f aca="false">IF(OR($K1047="",$L1047=""),"",ROUND(MAX(0,($L1047-$K1047)-IF($G1047="",0,$G1047))/60,2))</f>
        <v/>
      </c>
      <c r="I1047" s="8"/>
      <c r="J1047" s="8"/>
      <c r="K1047" s="17" t="str">
        <f aca="false">IF($E1047="","",IF($E1047&lt;1,ROUND($E1047*1440,0),INT($E1047/100)*60+MOD($E1047,100)))</f>
        <v/>
      </c>
      <c r="L1047" s="17" t="str">
        <f aca="false">IF($F1047="","",IF($F1047&lt;1,ROUND($F1047*1440,0),INT($F1047/100)*60+MOD($F1047,100)))</f>
        <v/>
      </c>
    </row>
    <row r="1048" customFormat="false" ht="15" hidden="false" customHeight="true" outlineLevel="0" collapsed="false">
      <c r="A1048" s="10"/>
      <c r="B1048" s="8"/>
      <c r="C1048" s="13" t="str">
        <f aca="false">IF($B1048="","",IFERROR(INDEX(직원목록!$B$3:$B$302,MATCH($B1048,직원목록!$A$3:$A$302,0)),"미등록사번"))</f>
        <v/>
      </c>
      <c r="D1048" s="13" t="str">
        <f aca="false">IF($B1048="","",IFERROR(INDEX(직원목록!$C$3:$C$302,MATCH($B1048,직원목록!$A$3:$A$302,0)),""))</f>
        <v/>
      </c>
      <c r="E1048" s="14"/>
      <c r="F1048" s="14"/>
      <c r="G1048" s="15"/>
      <c r="H1048" s="16" t="str">
        <f aca="false">IF(OR($K1048="",$L1048=""),"",ROUND(MAX(0,($L1048-$K1048)-IF($G1048="",0,$G1048))/60,2))</f>
        <v/>
      </c>
      <c r="I1048" s="8"/>
      <c r="J1048" s="8"/>
      <c r="K1048" s="17" t="str">
        <f aca="false">IF($E1048="","",IF($E1048&lt;1,ROUND($E1048*1440,0),INT($E1048/100)*60+MOD($E1048,100)))</f>
        <v/>
      </c>
      <c r="L1048" s="17" t="str">
        <f aca="false">IF($F1048="","",IF($F1048&lt;1,ROUND($F1048*1440,0),INT($F1048/100)*60+MOD($F1048,100)))</f>
        <v/>
      </c>
    </row>
    <row r="1049" customFormat="false" ht="15" hidden="false" customHeight="true" outlineLevel="0" collapsed="false">
      <c r="A1049" s="10"/>
      <c r="B1049" s="8"/>
      <c r="C1049" s="13" t="str">
        <f aca="false">IF($B1049="","",IFERROR(INDEX(직원목록!$B$3:$B$302,MATCH($B1049,직원목록!$A$3:$A$302,0)),"미등록사번"))</f>
        <v/>
      </c>
      <c r="D1049" s="13" t="str">
        <f aca="false">IF($B1049="","",IFERROR(INDEX(직원목록!$C$3:$C$302,MATCH($B1049,직원목록!$A$3:$A$302,0)),""))</f>
        <v/>
      </c>
      <c r="E1049" s="14"/>
      <c r="F1049" s="14"/>
      <c r="G1049" s="15"/>
      <c r="H1049" s="16" t="str">
        <f aca="false">IF(OR($K1049="",$L1049=""),"",ROUND(MAX(0,($L1049-$K1049)-IF($G1049="",0,$G1049))/60,2))</f>
        <v/>
      </c>
      <c r="I1049" s="8"/>
      <c r="J1049" s="8"/>
      <c r="K1049" s="17" t="str">
        <f aca="false">IF($E1049="","",IF($E1049&lt;1,ROUND($E1049*1440,0),INT($E1049/100)*60+MOD($E1049,100)))</f>
        <v/>
      </c>
      <c r="L1049" s="17" t="str">
        <f aca="false">IF($F1049="","",IF($F1049&lt;1,ROUND($F1049*1440,0),INT($F1049/100)*60+MOD($F1049,100)))</f>
        <v/>
      </c>
    </row>
    <row r="1050" customFormat="false" ht="15" hidden="false" customHeight="true" outlineLevel="0" collapsed="false">
      <c r="A1050" s="10"/>
      <c r="B1050" s="8"/>
      <c r="C1050" s="13" t="str">
        <f aca="false">IF($B1050="","",IFERROR(INDEX(직원목록!$B$3:$B$302,MATCH($B1050,직원목록!$A$3:$A$302,0)),"미등록사번"))</f>
        <v/>
      </c>
      <c r="D1050" s="13" t="str">
        <f aca="false">IF($B1050="","",IFERROR(INDEX(직원목록!$C$3:$C$302,MATCH($B1050,직원목록!$A$3:$A$302,0)),""))</f>
        <v/>
      </c>
      <c r="E1050" s="14"/>
      <c r="F1050" s="14"/>
      <c r="G1050" s="15"/>
      <c r="H1050" s="16" t="str">
        <f aca="false">IF(OR($K1050="",$L1050=""),"",ROUND(MAX(0,($L1050-$K1050)-IF($G1050="",0,$G1050))/60,2))</f>
        <v/>
      </c>
      <c r="I1050" s="8"/>
      <c r="J1050" s="8"/>
      <c r="K1050" s="17" t="str">
        <f aca="false">IF($E1050="","",IF($E1050&lt;1,ROUND($E1050*1440,0),INT($E1050/100)*60+MOD($E1050,100)))</f>
        <v/>
      </c>
      <c r="L1050" s="17" t="str">
        <f aca="false">IF($F1050="","",IF($F1050&lt;1,ROUND($F1050*1440,0),INT($F1050/100)*60+MOD($F1050,100)))</f>
        <v/>
      </c>
    </row>
    <row r="1051" customFormat="false" ht="15" hidden="false" customHeight="true" outlineLevel="0" collapsed="false">
      <c r="A1051" s="10"/>
      <c r="B1051" s="8"/>
      <c r="C1051" s="13" t="str">
        <f aca="false">IF($B1051="","",IFERROR(INDEX(직원목록!$B$3:$B$302,MATCH($B1051,직원목록!$A$3:$A$302,0)),"미등록사번"))</f>
        <v/>
      </c>
      <c r="D1051" s="13" t="str">
        <f aca="false">IF($B1051="","",IFERROR(INDEX(직원목록!$C$3:$C$302,MATCH($B1051,직원목록!$A$3:$A$302,0)),""))</f>
        <v/>
      </c>
      <c r="E1051" s="14"/>
      <c r="F1051" s="14"/>
      <c r="G1051" s="15"/>
      <c r="H1051" s="16" t="str">
        <f aca="false">IF(OR($K1051="",$L1051=""),"",ROUND(MAX(0,($L1051-$K1051)-IF($G1051="",0,$G1051))/60,2))</f>
        <v/>
      </c>
      <c r="I1051" s="8"/>
      <c r="J1051" s="8"/>
      <c r="K1051" s="17" t="str">
        <f aca="false">IF($E1051="","",IF($E1051&lt;1,ROUND($E1051*1440,0),INT($E1051/100)*60+MOD($E1051,100)))</f>
        <v/>
      </c>
      <c r="L1051" s="17" t="str">
        <f aca="false">IF($F1051="","",IF($F1051&lt;1,ROUND($F1051*1440,0),INT($F1051/100)*60+MOD($F1051,100)))</f>
        <v/>
      </c>
    </row>
    <row r="1052" customFormat="false" ht="15" hidden="false" customHeight="true" outlineLevel="0" collapsed="false">
      <c r="A1052" s="10"/>
      <c r="B1052" s="8"/>
      <c r="C1052" s="13" t="str">
        <f aca="false">IF($B1052="","",IFERROR(INDEX(직원목록!$B$3:$B$302,MATCH($B1052,직원목록!$A$3:$A$302,0)),"미등록사번"))</f>
        <v/>
      </c>
      <c r="D1052" s="13" t="str">
        <f aca="false">IF($B1052="","",IFERROR(INDEX(직원목록!$C$3:$C$302,MATCH($B1052,직원목록!$A$3:$A$302,0)),""))</f>
        <v/>
      </c>
      <c r="E1052" s="14"/>
      <c r="F1052" s="14"/>
      <c r="G1052" s="15"/>
      <c r="H1052" s="16" t="str">
        <f aca="false">IF(OR($K1052="",$L1052=""),"",ROUND(MAX(0,($L1052-$K1052)-IF($G1052="",0,$G1052))/60,2))</f>
        <v/>
      </c>
      <c r="I1052" s="8"/>
      <c r="J1052" s="8"/>
      <c r="K1052" s="17" t="str">
        <f aca="false">IF($E1052="","",IF($E1052&lt;1,ROUND($E1052*1440,0),INT($E1052/100)*60+MOD($E1052,100)))</f>
        <v/>
      </c>
      <c r="L1052" s="17" t="str">
        <f aca="false">IF($F1052="","",IF($F1052&lt;1,ROUND($F1052*1440,0),INT($F1052/100)*60+MOD($F1052,100)))</f>
        <v/>
      </c>
    </row>
    <row r="1053" customFormat="false" ht="15" hidden="false" customHeight="true" outlineLevel="0" collapsed="false">
      <c r="A1053" s="10"/>
      <c r="B1053" s="8"/>
      <c r="C1053" s="13" t="str">
        <f aca="false">IF($B1053="","",IFERROR(INDEX(직원목록!$B$3:$B$302,MATCH($B1053,직원목록!$A$3:$A$302,0)),"미등록사번"))</f>
        <v/>
      </c>
      <c r="D1053" s="13" t="str">
        <f aca="false">IF($B1053="","",IFERROR(INDEX(직원목록!$C$3:$C$302,MATCH($B1053,직원목록!$A$3:$A$302,0)),""))</f>
        <v/>
      </c>
      <c r="E1053" s="14"/>
      <c r="F1053" s="14"/>
      <c r="G1053" s="15"/>
      <c r="H1053" s="16" t="str">
        <f aca="false">IF(OR($K1053="",$L1053=""),"",ROUND(MAX(0,($L1053-$K1053)-IF($G1053="",0,$G1053))/60,2))</f>
        <v/>
      </c>
      <c r="I1053" s="8"/>
      <c r="J1053" s="8"/>
      <c r="K1053" s="17" t="str">
        <f aca="false">IF($E1053="","",IF($E1053&lt;1,ROUND($E1053*1440,0),INT($E1053/100)*60+MOD($E1053,100)))</f>
        <v/>
      </c>
      <c r="L1053" s="17" t="str">
        <f aca="false">IF($F1053="","",IF($F1053&lt;1,ROUND($F1053*1440,0),INT($F1053/100)*60+MOD($F1053,100)))</f>
        <v/>
      </c>
    </row>
    <row r="1054" customFormat="false" ht="15" hidden="false" customHeight="true" outlineLevel="0" collapsed="false">
      <c r="A1054" s="10"/>
      <c r="B1054" s="8"/>
      <c r="C1054" s="13" t="str">
        <f aca="false">IF($B1054="","",IFERROR(INDEX(직원목록!$B$3:$B$302,MATCH($B1054,직원목록!$A$3:$A$302,0)),"미등록사번"))</f>
        <v/>
      </c>
      <c r="D1054" s="13" t="str">
        <f aca="false">IF($B1054="","",IFERROR(INDEX(직원목록!$C$3:$C$302,MATCH($B1054,직원목록!$A$3:$A$302,0)),""))</f>
        <v/>
      </c>
      <c r="E1054" s="14"/>
      <c r="F1054" s="14"/>
      <c r="G1054" s="15"/>
      <c r="H1054" s="16" t="str">
        <f aca="false">IF(OR($K1054="",$L1054=""),"",ROUND(MAX(0,($L1054-$K1054)-IF($G1054="",0,$G1054))/60,2))</f>
        <v/>
      </c>
      <c r="I1054" s="8"/>
      <c r="J1054" s="8"/>
      <c r="K1054" s="17" t="str">
        <f aca="false">IF($E1054="","",IF($E1054&lt;1,ROUND($E1054*1440,0),INT($E1054/100)*60+MOD($E1054,100)))</f>
        <v/>
      </c>
      <c r="L1054" s="17" t="str">
        <f aca="false">IF($F1054="","",IF($F1054&lt;1,ROUND($F1054*1440,0),INT($F1054/100)*60+MOD($F1054,100)))</f>
        <v/>
      </c>
    </row>
    <row r="1055" customFormat="false" ht="15" hidden="false" customHeight="true" outlineLevel="0" collapsed="false">
      <c r="A1055" s="10"/>
      <c r="B1055" s="8"/>
      <c r="C1055" s="13" t="str">
        <f aca="false">IF($B1055="","",IFERROR(INDEX(직원목록!$B$3:$B$302,MATCH($B1055,직원목록!$A$3:$A$302,0)),"미등록사번"))</f>
        <v/>
      </c>
      <c r="D1055" s="13" t="str">
        <f aca="false">IF($B1055="","",IFERROR(INDEX(직원목록!$C$3:$C$302,MATCH($B1055,직원목록!$A$3:$A$302,0)),""))</f>
        <v/>
      </c>
      <c r="E1055" s="14"/>
      <c r="F1055" s="14"/>
      <c r="G1055" s="15"/>
      <c r="H1055" s="16" t="str">
        <f aca="false">IF(OR($K1055="",$L1055=""),"",ROUND(MAX(0,($L1055-$K1055)-IF($G1055="",0,$G1055))/60,2))</f>
        <v/>
      </c>
      <c r="I1055" s="8"/>
      <c r="J1055" s="8"/>
      <c r="K1055" s="17" t="str">
        <f aca="false">IF($E1055="","",IF($E1055&lt;1,ROUND($E1055*1440,0),INT($E1055/100)*60+MOD($E1055,100)))</f>
        <v/>
      </c>
      <c r="L1055" s="17" t="str">
        <f aca="false">IF($F1055="","",IF($F1055&lt;1,ROUND($F1055*1440,0),INT($F1055/100)*60+MOD($F1055,100)))</f>
        <v/>
      </c>
    </row>
    <row r="1056" customFormat="false" ht="15" hidden="false" customHeight="true" outlineLevel="0" collapsed="false">
      <c r="A1056" s="10"/>
      <c r="B1056" s="8"/>
      <c r="C1056" s="13" t="str">
        <f aca="false">IF($B1056="","",IFERROR(INDEX(직원목록!$B$3:$B$302,MATCH($B1056,직원목록!$A$3:$A$302,0)),"미등록사번"))</f>
        <v/>
      </c>
      <c r="D1056" s="13" t="str">
        <f aca="false">IF($B1056="","",IFERROR(INDEX(직원목록!$C$3:$C$302,MATCH($B1056,직원목록!$A$3:$A$302,0)),""))</f>
        <v/>
      </c>
      <c r="E1056" s="14"/>
      <c r="F1056" s="14"/>
      <c r="G1056" s="15"/>
      <c r="H1056" s="16" t="str">
        <f aca="false">IF(OR($K1056="",$L1056=""),"",ROUND(MAX(0,($L1056-$K1056)-IF($G1056="",0,$G1056))/60,2))</f>
        <v/>
      </c>
      <c r="I1056" s="8"/>
      <c r="J1056" s="8"/>
      <c r="K1056" s="17" t="str">
        <f aca="false">IF($E1056="","",IF($E1056&lt;1,ROUND($E1056*1440,0),INT($E1056/100)*60+MOD($E1056,100)))</f>
        <v/>
      </c>
      <c r="L1056" s="17" t="str">
        <f aca="false">IF($F1056="","",IF($F1056&lt;1,ROUND($F1056*1440,0),INT($F1056/100)*60+MOD($F1056,100)))</f>
        <v/>
      </c>
    </row>
    <row r="1057" customFormat="false" ht="15" hidden="false" customHeight="true" outlineLevel="0" collapsed="false">
      <c r="A1057" s="10"/>
      <c r="B1057" s="8"/>
      <c r="C1057" s="13" t="str">
        <f aca="false">IF($B1057="","",IFERROR(INDEX(직원목록!$B$3:$B$302,MATCH($B1057,직원목록!$A$3:$A$302,0)),"미등록사번"))</f>
        <v/>
      </c>
      <c r="D1057" s="13" t="str">
        <f aca="false">IF($B1057="","",IFERROR(INDEX(직원목록!$C$3:$C$302,MATCH($B1057,직원목록!$A$3:$A$302,0)),""))</f>
        <v/>
      </c>
      <c r="E1057" s="14"/>
      <c r="F1057" s="14"/>
      <c r="G1057" s="15"/>
      <c r="H1057" s="16" t="str">
        <f aca="false">IF(OR($K1057="",$L1057=""),"",ROUND(MAX(0,($L1057-$K1057)-IF($G1057="",0,$G1057))/60,2))</f>
        <v/>
      </c>
      <c r="I1057" s="8"/>
      <c r="J1057" s="8"/>
      <c r="K1057" s="17" t="str">
        <f aca="false">IF($E1057="","",IF($E1057&lt;1,ROUND($E1057*1440,0),INT($E1057/100)*60+MOD($E1057,100)))</f>
        <v/>
      </c>
      <c r="L1057" s="17" t="str">
        <f aca="false">IF($F1057="","",IF($F1057&lt;1,ROUND($F1057*1440,0),INT($F1057/100)*60+MOD($F1057,100)))</f>
        <v/>
      </c>
    </row>
    <row r="1058" customFormat="false" ht="15" hidden="false" customHeight="true" outlineLevel="0" collapsed="false">
      <c r="A1058" s="10"/>
      <c r="B1058" s="8"/>
      <c r="C1058" s="13" t="str">
        <f aca="false">IF($B1058="","",IFERROR(INDEX(직원목록!$B$3:$B$302,MATCH($B1058,직원목록!$A$3:$A$302,0)),"미등록사번"))</f>
        <v/>
      </c>
      <c r="D1058" s="13" t="str">
        <f aca="false">IF($B1058="","",IFERROR(INDEX(직원목록!$C$3:$C$302,MATCH($B1058,직원목록!$A$3:$A$302,0)),""))</f>
        <v/>
      </c>
      <c r="E1058" s="14"/>
      <c r="F1058" s="14"/>
      <c r="G1058" s="15"/>
      <c r="H1058" s="16" t="str">
        <f aca="false">IF(OR($K1058="",$L1058=""),"",ROUND(MAX(0,($L1058-$K1058)-IF($G1058="",0,$G1058))/60,2))</f>
        <v/>
      </c>
      <c r="I1058" s="8"/>
      <c r="J1058" s="8"/>
      <c r="K1058" s="17" t="str">
        <f aca="false">IF($E1058="","",IF($E1058&lt;1,ROUND($E1058*1440,0),INT($E1058/100)*60+MOD($E1058,100)))</f>
        <v/>
      </c>
      <c r="L1058" s="17" t="str">
        <f aca="false">IF($F1058="","",IF($F1058&lt;1,ROUND($F1058*1440,0),INT($F1058/100)*60+MOD($F1058,100)))</f>
        <v/>
      </c>
    </row>
    <row r="1059" customFormat="false" ht="15" hidden="false" customHeight="true" outlineLevel="0" collapsed="false">
      <c r="A1059" s="10"/>
      <c r="B1059" s="8"/>
      <c r="C1059" s="13" t="str">
        <f aca="false">IF($B1059="","",IFERROR(INDEX(직원목록!$B$3:$B$302,MATCH($B1059,직원목록!$A$3:$A$302,0)),"미등록사번"))</f>
        <v/>
      </c>
      <c r="D1059" s="13" t="str">
        <f aca="false">IF($B1059="","",IFERROR(INDEX(직원목록!$C$3:$C$302,MATCH($B1059,직원목록!$A$3:$A$302,0)),""))</f>
        <v/>
      </c>
      <c r="E1059" s="14"/>
      <c r="F1059" s="14"/>
      <c r="G1059" s="15"/>
      <c r="H1059" s="16" t="str">
        <f aca="false">IF(OR($K1059="",$L1059=""),"",ROUND(MAX(0,($L1059-$K1059)-IF($G1059="",0,$G1059))/60,2))</f>
        <v/>
      </c>
      <c r="I1059" s="8"/>
      <c r="J1059" s="8"/>
      <c r="K1059" s="17" t="str">
        <f aca="false">IF($E1059="","",IF($E1059&lt;1,ROUND($E1059*1440,0),INT($E1059/100)*60+MOD($E1059,100)))</f>
        <v/>
      </c>
      <c r="L1059" s="17" t="str">
        <f aca="false">IF($F1059="","",IF($F1059&lt;1,ROUND($F1059*1440,0),INT($F1059/100)*60+MOD($F1059,100)))</f>
        <v/>
      </c>
    </row>
    <row r="1060" customFormat="false" ht="15" hidden="false" customHeight="true" outlineLevel="0" collapsed="false">
      <c r="A1060" s="10"/>
      <c r="B1060" s="8"/>
      <c r="C1060" s="13" t="str">
        <f aca="false">IF($B1060="","",IFERROR(INDEX(직원목록!$B$3:$B$302,MATCH($B1060,직원목록!$A$3:$A$302,0)),"미등록사번"))</f>
        <v/>
      </c>
      <c r="D1060" s="13" t="str">
        <f aca="false">IF($B1060="","",IFERROR(INDEX(직원목록!$C$3:$C$302,MATCH($B1060,직원목록!$A$3:$A$302,0)),""))</f>
        <v/>
      </c>
      <c r="E1060" s="14"/>
      <c r="F1060" s="14"/>
      <c r="G1060" s="15"/>
      <c r="H1060" s="16" t="str">
        <f aca="false">IF(OR($K1060="",$L1060=""),"",ROUND(MAX(0,($L1060-$K1060)-IF($G1060="",0,$G1060))/60,2))</f>
        <v/>
      </c>
      <c r="I1060" s="8"/>
      <c r="J1060" s="8"/>
      <c r="K1060" s="17" t="str">
        <f aca="false">IF($E1060="","",IF($E1060&lt;1,ROUND($E1060*1440,0),INT($E1060/100)*60+MOD($E1060,100)))</f>
        <v/>
      </c>
      <c r="L1060" s="17" t="str">
        <f aca="false">IF($F1060="","",IF($F1060&lt;1,ROUND($F1060*1440,0),INT($F1060/100)*60+MOD($F1060,100)))</f>
        <v/>
      </c>
    </row>
    <row r="1061" customFormat="false" ht="15" hidden="false" customHeight="true" outlineLevel="0" collapsed="false">
      <c r="A1061" s="10"/>
      <c r="B1061" s="8"/>
      <c r="C1061" s="13" t="str">
        <f aca="false">IF($B1061="","",IFERROR(INDEX(직원목록!$B$3:$B$302,MATCH($B1061,직원목록!$A$3:$A$302,0)),"미등록사번"))</f>
        <v/>
      </c>
      <c r="D1061" s="13" t="str">
        <f aca="false">IF($B1061="","",IFERROR(INDEX(직원목록!$C$3:$C$302,MATCH($B1061,직원목록!$A$3:$A$302,0)),""))</f>
        <v/>
      </c>
      <c r="E1061" s="14"/>
      <c r="F1061" s="14"/>
      <c r="G1061" s="15"/>
      <c r="H1061" s="16" t="str">
        <f aca="false">IF(OR($K1061="",$L1061=""),"",ROUND(MAX(0,($L1061-$K1061)-IF($G1061="",0,$G1061))/60,2))</f>
        <v/>
      </c>
      <c r="I1061" s="8"/>
      <c r="J1061" s="8"/>
      <c r="K1061" s="17" t="str">
        <f aca="false">IF($E1061="","",IF($E1061&lt;1,ROUND($E1061*1440,0),INT($E1061/100)*60+MOD($E1061,100)))</f>
        <v/>
      </c>
      <c r="L1061" s="17" t="str">
        <f aca="false">IF($F1061="","",IF($F1061&lt;1,ROUND($F1061*1440,0),INT($F1061/100)*60+MOD($F1061,100)))</f>
        <v/>
      </c>
    </row>
    <row r="1062" customFormat="false" ht="15" hidden="false" customHeight="true" outlineLevel="0" collapsed="false">
      <c r="A1062" s="10"/>
      <c r="B1062" s="8"/>
      <c r="C1062" s="13" t="str">
        <f aca="false">IF($B1062="","",IFERROR(INDEX(직원목록!$B$3:$B$302,MATCH($B1062,직원목록!$A$3:$A$302,0)),"미등록사번"))</f>
        <v/>
      </c>
      <c r="D1062" s="13" t="str">
        <f aca="false">IF($B1062="","",IFERROR(INDEX(직원목록!$C$3:$C$302,MATCH($B1062,직원목록!$A$3:$A$302,0)),""))</f>
        <v/>
      </c>
      <c r="E1062" s="14"/>
      <c r="F1062" s="14"/>
      <c r="G1062" s="15"/>
      <c r="H1062" s="16" t="str">
        <f aca="false">IF(OR($K1062="",$L1062=""),"",ROUND(MAX(0,($L1062-$K1062)-IF($G1062="",0,$G1062))/60,2))</f>
        <v/>
      </c>
      <c r="I1062" s="8"/>
      <c r="J1062" s="8"/>
      <c r="K1062" s="17" t="str">
        <f aca="false">IF($E1062="","",IF($E1062&lt;1,ROUND($E1062*1440,0),INT($E1062/100)*60+MOD($E1062,100)))</f>
        <v/>
      </c>
      <c r="L1062" s="17" t="str">
        <f aca="false">IF($F1062="","",IF($F1062&lt;1,ROUND($F1062*1440,0),INT($F1062/100)*60+MOD($F1062,100)))</f>
        <v/>
      </c>
    </row>
    <row r="1063" customFormat="false" ht="15" hidden="false" customHeight="true" outlineLevel="0" collapsed="false">
      <c r="A1063" s="10"/>
      <c r="B1063" s="8"/>
      <c r="C1063" s="13" t="str">
        <f aca="false">IF($B1063="","",IFERROR(INDEX(직원목록!$B$3:$B$302,MATCH($B1063,직원목록!$A$3:$A$302,0)),"미등록사번"))</f>
        <v/>
      </c>
      <c r="D1063" s="13" t="str">
        <f aca="false">IF($B1063="","",IFERROR(INDEX(직원목록!$C$3:$C$302,MATCH($B1063,직원목록!$A$3:$A$302,0)),""))</f>
        <v/>
      </c>
      <c r="E1063" s="14"/>
      <c r="F1063" s="14"/>
      <c r="G1063" s="15"/>
      <c r="H1063" s="16" t="str">
        <f aca="false">IF(OR($K1063="",$L1063=""),"",ROUND(MAX(0,($L1063-$K1063)-IF($G1063="",0,$G1063))/60,2))</f>
        <v/>
      </c>
      <c r="I1063" s="8"/>
      <c r="J1063" s="8"/>
      <c r="K1063" s="17" t="str">
        <f aca="false">IF($E1063="","",IF($E1063&lt;1,ROUND($E1063*1440,0),INT($E1063/100)*60+MOD($E1063,100)))</f>
        <v/>
      </c>
      <c r="L1063" s="17" t="str">
        <f aca="false">IF($F1063="","",IF($F1063&lt;1,ROUND($F1063*1440,0),INT($F1063/100)*60+MOD($F1063,100)))</f>
        <v/>
      </c>
    </row>
    <row r="1064" customFormat="false" ht="15" hidden="false" customHeight="true" outlineLevel="0" collapsed="false">
      <c r="A1064" s="10"/>
      <c r="B1064" s="8"/>
      <c r="C1064" s="13" t="str">
        <f aca="false">IF($B1064="","",IFERROR(INDEX(직원목록!$B$3:$B$302,MATCH($B1064,직원목록!$A$3:$A$302,0)),"미등록사번"))</f>
        <v/>
      </c>
      <c r="D1064" s="13" t="str">
        <f aca="false">IF($B1064="","",IFERROR(INDEX(직원목록!$C$3:$C$302,MATCH($B1064,직원목록!$A$3:$A$302,0)),""))</f>
        <v/>
      </c>
      <c r="E1064" s="14"/>
      <c r="F1064" s="14"/>
      <c r="G1064" s="15"/>
      <c r="H1064" s="16" t="str">
        <f aca="false">IF(OR($K1064="",$L1064=""),"",ROUND(MAX(0,($L1064-$K1064)-IF($G1064="",0,$G1064))/60,2))</f>
        <v/>
      </c>
      <c r="I1064" s="8"/>
      <c r="J1064" s="8"/>
      <c r="K1064" s="17" t="str">
        <f aca="false">IF($E1064="","",IF($E1064&lt;1,ROUND($E1064*1440,0),INT($E1064/100)*60+MOD($E1064,100)))</f>
        <v/>
      </c>
      <c r="L1064" s="17" t="str">
        <f aca="false">IF($F1064="","",IF($F1064&lt;1,ROUND($F1064*1440,0),INT($F1064/100)*60+MOD($F1064,100)))</f>
        <v/>
      </c>
    </row>
    <row r="1065" customFormat="false" ht="15" hidden="false" customHeight="true" outlineLevel="0" collapsed="false">
      <c r="A1065" s="10"/>
      <c r="B1065" s="8"/>
      <c r="C1065" s="13" t="str">
        <f aca="false">IF($B1065="","",IFERROR(INDEX(직원목록!$B$3:$B$302,MATCH($B1065,직원목록!$A$3:$A$302,0)),"미등록사번"))</f>
        <v/>
      </c>
      <c r="D1065" s="13" t="str">
        <f aca="false">IF($B1065="","",IFERROR(INDEX(직원목록!$C$3:$C$302,MATCH($B1065,직원목록!$A$3:$A$302,0)),""))</f>
        <v/>
      </c>
      <c r="E1065" s="14"/>
      <c r="F1065" s="14"/>
      <c r="G1065" s="15"/>
      <c r="H1065" s="16" t="str">
        <f aca="false">IF(OR($K1065="",$L1065=""),"",ROUND(MAX(0,($L1065-$K1065)-IF($G1065="",0,$G1065))/60,2))</f>
        <v/>
      </c>
      <c r="I1065" s="8"/>
      <c r="J1065" s="8"/>
      <c r="K1065" s="17" t="str">
        <f aca="false">IF($E1065="","",IF($E1065&lt;1,ROUND($E1065*1440,0),INT($E1065/100)*60+MOD($E1065,100)))</f>
        <v/>
      </c>
      <c r="L1065" s="17" t="str">
        <f aca="false">IF($F1065="","",IF($F1065&lt;1,ROUND($F1065*1440,0),INT($F1065/100)*60+MOD($F1065,100)))</f>
        <v/>
      </c>
    </row>
    <row r="1066" customFormat="false" ht="15" hidden="false" customHeight="true" outlineLevel="0" collapsed="false">
      <c r="A1066" s="10"/>
      <c r="B1066" s="8"/>
      <c r="C1066" s="13" t="str">
        <f aca="false">IF($B1066="","",IFERROR(INDEX(직원목록!$B$3:$B$302,MATCH($B1066,직원목록!$A$3:$A$302,0)),"미등록사번"))</f>
        <v/>
      </c>
      <c r="D1066" s="13" t="str">
        <f aca="false">IF($B1066="","",IFERROR(INDEX(직원목록!$C$3:$C$302,MATCH($B1066,직원목록!$A$3:$A$302,0)),""))</f>
        <v/>
      </c>
      <c r="E1066" s="14"/>
      <c r="F1066" s="14"/>
      <c r="G1066" s="15"/>
      <c r="H1066" s="16" t="str">
        <f aca="false">IF(OR($K1066="",$L1066=""),"",ROUND(MAX(0,($L1066-$K1066)-IF($G1066="",0,$G1066))/60,2))</f>
        <v/>
      </c>
      <c r="I1066" s="8"/>
      <c r="J1066" s="8"/>
      <c r="K1066" s="17" t="str">
        <f aca="false">IF($E1066="","",IF($E1066&lt;1,ROUND($E1066*1440,0),INT($E1066/100)*60+MOD($E1066,100)))</f>
        <v/>
      </c>
      <c r="L1066" s="17" t="str">
        <f aca="false">IF($F1066="","",IF($F1066&lt;1,ROUND($F1066*1440,0),INT($F1066/100)*60+MOD($F1066,100)))</f>
        <v/>
      </c>
    </row>
    <row r="1067" customFormat="false" ht="15" hidden="false" customHeight="true" outlineLevel="0" collapsed="false">
      <c r="A1067" s="10"/>
      <c r="B1067" s="8"/>
      <c r="C1067" s="13" t="str">
        <f aca="false">IF($B1067="","",IFERROR(INDEX(직원목록!$B$3:$B$302,MATCH($B1067,직원목록!$A$3:$A$302,0)),"미등록사번"))</f>
        <v/>
      </c>
      <c r="D1067" s="13" t="str">
        <f aca="false">IF($B1067="","",IFERROR(INDEX(직원목록!$C$3:$C$302,MATCH($B1067,직원목록!$A$3:$A$302,0)),""))</f>
        <v/>
      </c>
      <c r="E1067" s="14"/>
      <c r="F1067" s="14"/>
      <c r="G1067" s="15"/>
      <c r="H1067" s="16" t="str">
        <f aca="false">IF(OR($K1067="",$L1067=""),"",ROUND(MAX(0,($L1067-$K1067)-IF($G1067="",0,$G1067))/60,2))</f>
        <v/>
      </c>
      <c r="I1067" s="8"/>
      <c r="J1067" s="8"/>
      <c r="K1067" s="17" t="str">
        <f aca="false">IF($E1067="","",IF($E1067&lt;1,ROUND($E1067*1440,0),INT($E1067/100)*60+MOD($E1067,100)))</f>
        <v/>
      </c>
      <c r="L1067" s="17" t="str">
        <f aca="false">IF($F1067="","",IF($F1067&lt;1,ROUND($F1067*1440,0),INT($F1067/100)*60+MOD($F1067,100)))</f>
        <v/>
      </c>
    </row>
    <row r="1068" customFormat="false" ht="15" hidden="false" customHeight="true" outlineLevel="0" collapsed="false">
      <c r="A1068" s="10"/>
      <c r="B1068" s="8"/>
      <c r="C1068" s="13" t="str">
        <f aca="false">IF($B1068="","",IFERROR(INDEX(직원목록!$B$3:$B$302,MATCH($B1068,직원목록!$A$3:$A$302,0)),"미등록사번"))</f>
        <v/>
      </c>
      <c r="D1068" s="13" t="str">
        <f aca="false">IF($B1068="","",IFERROR(INDEX(직원목록!$C$3:$C$302,MATCH($B1068,직원목록!$A$3:$A$302,0)),""))</f>
        <v/>
      </c>
      <c r="E1068" s="14"/>
      <c r="F1068" s="14"/>
      <c r="G1068" s="15"/>
      <c r="H1068" s="16" t="str">
        <f aca="false">IF(OR($K1068="",$L1068=""),"",ROUND(MAX(0,($L1068-$K1068)-IF($G1068="",0,$G1068))/60,2))</f>
        <v/>
      </c>
      <c r="I1068" s="8"/>
      <c r="J1068" s="8"/>
      <c r="K1068" s="17" t="str">
        <f aca="false">IF($E1068="","",IF($E1068&lt;1,ROUND($E1068*1440,0),INT($E1068/100)*60+MOD($E1068,100)))</f>
        <v/>
      </c>
      <c r="L1068" s="17" t="str">
        <f aca="false">IF($F1068="","",IF($F1068&lt;1,ROUND($F1068*1440,0),INT($F1068/100)*60+MOD($F1068,100)))</f>
        <v/>
      </c>
    </row>
    <row r="1069" customFormat="false" ht="15" hidden="false" customHeight="true" outlineLevel="0" collapsed="false">
      <c r="A1069" s="10"/>
      <c r="B1069" s="8"/>
      <c r="C1069" s="13" t="str">
        <f aca="false">IF($B1069="","",IFERROR(INDEX(직원목록!$B$3:$B$302,MATCH($B1069,직원목록!$A$3:$A$302,0)),"미등록사번"))</f>
        <v/>
      </c>
      <c r="D1069" s="13" t="str">
        <f aca="false">IF($B1069="","",IFERROR(INDEX(직원목록!$C$3:$C$302,MATCH($B1069,직원목록!$A$3:$A$302,0)),""))</f>
        <v/>
      </c>
      <c r="E1069" s="14"/>
      <c r="F1069" s="14"/>
      <c r="G1069" s="15"/>
      <c r="H1069" s="16" t="str">
        <f aca="false">IF(OR($K1069="",$L1069=""),"",ROUND(MAX(0,($L1069-$K1069)-IF($G1069="",0,$G1069))/60,2))</f>
        <v/>
      </c>
      <c r="I1069" s="8"/>
      <c r="J1069" s="8"/>
      <c r="K1069" s="17" t="str">
        <f aca="false">IF($E1069="","",IF($E1069&lt;1,ROUND($E1069*1440,0),INT($E1069/100)*60+MOD($E1069,100)))</f>
        <v/>
      </c>
      <c r="L1069" s="17" t="str">
        <f aca="false">IF($F1069="","",IF($F1069&lt;1,ROUND($F1069*1440,0),INT($F1069/100)*60+MOD($F1069,100)))</f>
        <v/>
      </c>
    </row>
    <row r="1070" customFormat="false" ht="15" hidden="false" customHeight="true" outlineLevel="0" collapsed="false">
      <c r="A1070" s="10"/>
      <c r="B1070" s="8"/>
      <c r="C1070" s="13" t="str">
        <f aca="false">IF($B1070="","",IFERROR(INDEX(직원목록!$B$3:$B$302,MATCH($B1070,직원목록!$A$3:$A$302,0)),"미등록사번"))</f>
        <v/>
      </c>
      <c r="D1070" s="13" t="str">
        <f aca="false">IF($B1070="","",IFERROR(INDEX(직원목록!$C$3:$C$302,MATCH($B1070,직원목록!$A$3:$A$302,0)),""))</f>
        <v/>
      </c>
      <c r="E1070" s="14"/>
      <c r="F1070" s="14"/>
      <c r="G1070" s="15"/>
      <c r="H1070" s="16" t="str">
        <f aca="false">IF(OR($K1070="",$L1070=""),"",ROUND(MAX(0,($L1070-$K1070)-IF($G1070="",0,$G1070))/60,2))</f>
        <v/>
      </c>
      <c r="I1070" s="8"/>
      <c r="J1070" s="8"/>
      <c r="K1070" s="17" t="str">
        <f aca="false">IF($E1070="","",IF($E1070&lt;1,ROUND($E1070*1440,0),INT($E1070/100)*60+MOD($E1070,100)))</f>
        <v/>
      </c>
      <c r="L1070" s="17" t="str">
        <f aca="false">IF($F1070="","",IF($F1070&lt;1,ROUND($F1070*1440,0),INT($F1070/100)*60+MOD($F1070,100)))</f>
        <v/>
      </c>
    </row>
    <row r="1071" customFormat="false" ht="15" hidden="false" customHeight="true" outlineLevel="0" collapsed="false">
      <c r="A1071" s="10"/>
      <c r="B1071" s="8"/>
      <c r="C1071" s="13" t="str">
        <f aca="false">IF($B1071="","",IFERROR(INDEX(직원목록!$B$3:$B$302,MATCH($B1071,직원목록!$A$3:$A$302,0)),"미등록사번"))</f>
        <v/>
      </c>
      <c r="D1071" s="13" t="str">
        <f aca="false">IF($B1071="","",IFERROR(INDEX(직원목록!$C$3:$C$302,MATCH($B1071,직원목록!$A$3:$A$302,0)),""))</f>
        <v/>
      </c>
      <c r="E1071" s="14"/>
      <c r="F1071" s="14"/>
      <c r="G1071" s="15"/>
      <c r="H1071" s="16" t="str">
        <f aca="false">IF(OR($K1071="",$L1071=""),"",ROUND(MAX(0,($L1071-$K1071)-IF($G1071="",0,$G1071))/60,2))</f>
        <v/>
      </c>
      <c r="I1071" s="8"/>
      <c r="J1071" s="8"/>
      <c r="K1071" s="17" t="str">
        <f aca="false">IF($E1071="","",IF($E1071&lt;1,ROUND($E1071*1440,0),INT($E1071/100)*60+MOD($E1071,100)))</f>
        <v/>
      </c>
      <c r="L1071" s="17" t="str">
        <f aca="false">IF($F1071="","",IF($F1071&lt;1,ROUND($F1071*1440,0),INT($F1071/100)*60+MOD($F1071,100)))</f>
        <v/>
      </c>
    </row>
    <row r="1072" customFormat="false" ht="15" hidden="false" customHeight="true" outlineLevel="0" collapsed="false">
      <c r="A1072" s="10"/>
      <c r="B1072" s="8"/>
      <c r="C1072" s="13" t="str">
        <f aca="false">IF($B1072="","",IFERROR(INDEX(직원목록!$B$3:$B$302,MATCH($B1072,직원목록!$A$3:$A$302,0)),"미등록사번"))</f>
        <v/>
      </c>
      <c r="D1072" s="13" t="str">
        <f aca="false">IF($B1072="","",IFERROR(INDEX(직원목록!$C$3:$C$302,MATCH($B1072,직원목록!$A$3:$A$302,0)),""))</f>
        <v/>
      </c>
      <c r="E1072" s="14"/>
      <c r="F1072" s="14"/>
      <c r="G1072" s="15"/>
      <c r="H1072" s="16" t="str">
        <f aca="false">IF(OR($K1072="",$L1072=""),"",ROUND(MAX(0,($L1072-$K1072)-IF($G1072="",0,$G1072))/60,2))</f>
        <v/>
      </c>
      <c r="I1072" s="8"/>
      <c r="J1072" s="8"/>
      <c r="K1072" s="17" t="str">
        <f aca="false">IF($E1072="","",IF($E1072&lt;1,ROUND($E1072*1440,0),INT($E1072/100)*60+MOD($E1072,100)))</f>
        <v/>
      </c>
      <c r="L1072" s="17" t="str">
        <f aca="false">IF($F1072="","",IF($F1072&lt;1,ROUND($F1072*1440,0),INT($F1072/100)*60+MOD($F1072,100)))</f>
        <v/>
      </c>
    </row>
    <row r="1073" customFormat="false" ht="15" hidden="false" customHeight="true" outlineLevel="0" collapsed="false">
      <c r="A1073" s="10"/>
      <c r="B1073" s="8"/>
      <c r="C1073" s="13" t="str">
        <f aca="false">IF($B1073="","",IFERROR(INDEX(직원목록!$B$3:$B$302,MATCH($B1073,직원목록!$A$3:$A$302,0)),"미등록사번"))</f>
        <v/>
      </c>
      <c r="D1073" s="13" t="str">
        <f aca="false">IF($B1073="","",IFERROR(INDEX(직원목록!$C$3:$C$302,MATCH($B1073,직원목록!$A$3:$A$302,0)),""))</f>
        <v/>
      </c>
      <c r="E1073" s="14"/>
      <c r="F1073" s="14"/>
      <c r="G1073" s="15"/>
      <c r="H1073" s="16" t="str">
        <f aca="false">IF(OR($K1073="",$L1073=""),"",ROUND(MAX(0,($L1073-$K1073)-IF($G1073="",0,$G1073))/60,2))</f>
        <v/>
      </c>
      <c r="I1073" s="8"/>
      <c r="J1073" s="8"/>
      <c r="K1073" s="17" t="str">
        <f aca="false">IF($E1073="","",IF($E1073&lt;1,ROUND($E1073*1440,0),INT($E1073/100)*60+MOD($E1073,100)))</f>
        <v/>
      </c>
      <c r="L1073" s="17" t="str">
        <f aca="false">IF($F1073="","",IF($F1073&lt;1,ROUND($F1073*1440,0),INT($F1073/100)*60+MOD($F1073,100)))</f>
        <v/>
      </c>
    </row>
    <row r="1074" customFormat="false" ht="15" hidden="false" customHeight="true" outlineLevel="0" collapsed="false">
      <c r="A1074" s="10"/>
      <c r="B1074" s="8"/>
      <c r="C1074" s="13" t="str">
        <f aca="false">IF($B1074="","",IFERROR(INDEX(직원목록!$B$3:$B$302,MATCH($B1074,직원목록!$A$3:$A$302,0)),"미등록사번"))</f>
        <v/>
      </c>
      <c r="D1074" s="13" t="str">
        <f aca="false">IF($B1074="","",IFERROR(INDEX(직원목록!$C$3:$C$302,MATCH($B1074,직원목록!$A$3:$A$302,0)),""))</f>
        <v/>
      </c>
      <c r="E1074" s="14"/>
      <c r="F1074" s="14"/>
      <c r="G1074" s="15"/>
      <c r="H1074" s="16" t="str">
        <f aca="false">IF(OR($K1074="",$L1074=""),"",ROUND(MAX(0,($L1074-$K1074)-IF($G1074="",0,$G1074))/60,2))</f>
        <v/>
      </c>
      <c r="I1074" s="8"/>
      <c r="J1074" s="8"/>
      <c r="K1074" s="17" t="str">
        <f aca="false">IF($E1074="","",IF($E1074&lt;1,ROUND($E1074*1440,0),INT($E1074/100)*60+MOD($E1074,100)))</f>
        <v/>
      </c>
      <c r="L1074" s="17" t="str">
        <f aca="false">IF($F1074="","",IF($F1074&lt;1,ROUND($F1074*1440,0),INT($F1074/100)*60+MOD($F1074,100)))</f>
        <v/>
      </c>
    </row>
    <row r="1075" customFormat="false" ht="15" hidden="false" customHeight="true" outlineLevel="0" collapsed="false">
      <c r="A1075" s="10"/>
      <c r="B1075" s="8"/>
      <c r="C1075" s="13" t="str">
        <f aca="false">IF($B1075="","",IFERROR(INDEX(직원목록!$B$3:$B$302,MATCH($B1075,직원목록!$A$3:$A$302,0)),"미등록사번"))</f>
        <v/>
      </c>
      <c r="D1075" s="13" t="str">
        <f aca="false">IF($B1075="","",IFERROR(INDEX(직원목록!$C$3:$C$302,MATCH($B1075,직원목록!$A$3:$A$302,0)),""))</f>
        <v/>
      </c>
      <c r="E1075" s="14"/>
      <c r="F1075" s="14"/>
      <c r="G1075" s="15"/>
      <c r="H1075" s="16" t="str">
        <f aca="false">IF(OR($K1075="",$L1075=""),"",ROUND(MAX(0,($L1075-$K1075)-IF($G1075="",0,$G1075))/60,2))</f>
        <v/>
      </c>
      <c r="I1075" s="8"/>
      <c r="J1075" s="8"/>
      <c r="K1075" s="17" t="str">
        <f aca="false">IF($E1075="","",IF($E1075&lt;1,ROUND($E1075*1440,0),INT($E1075/100)*60+MOD($E1075,100)))</f>
        <v/>
      </c>
      <c r="L1075" s="17" t="str">
        <f aca="false">IF($F1075="","",IF($F1075&lt;1,ROUND($F1075*1440,0),INT($F1075/100)*60+MOD($F1075,100)))</f>
        <v/>
      </c>
    </row>
    <row r="1076" customFormat="false" ht="15" hidden="false" customHeight="true" outlineLevel="0" collapsed="false">
      <c r="A1076" s="10"/>
      <c r="B1076" s="8"/>
      <c r="C1076" s="13" t="str">
        <f aca="false">IF($B1076="","",IFERROR(INDEX(직원목록!$B$3:$B$302,MATCH($B1076,직원목록!$A$3:$A$302,0)),"미등록사번"))</f>
        <v/>
      </c>
      <c r="D1076" s="13" t="str">
        <f aca="false">IF($B1076="","",IFERROR(INDEX(직원목록!$C$3:$C$302,MATCH($B1076,직원목록!$A$3:$A$302,0)),""))</f>
        <v/>
      </c>
      <c r="E1076" s="14"/>
      <c r="F1076" s="14"/>
      <c r="G1076" s="15"/>
      <c r="H1076" s="16" t="str">
        <f aca="false">IF(OR($K1076="",$L1076=""),"",ROUND(MAX(0,($L1076-$K1076)-IF($G1076="",0,$G1076))/60,2))</f>
        <v/>
      </c>
      <c r="I1076" s="8"/>
      <c r="J1076" s="8"/>
      <c r="K1076" s="17" t="str">
        <f aca="false">IF($E1076="","",IF($E1076&lt;1,ROUND($E1076*1440,0),INT($E1076/100)*60+MOD($E1076,100)))</f>
        <v/>
      </c>
      <c r="L1076" s="17" t="str">
        <f aca="false">IF($F1076="","",IF($F1076&lt;1,ROUND($F1076*1440,0),INT($F1076/100)*60+MOD($F1076,100)))</f>
        <v/>
      </c>
    </row>
    <row r="1077" customFormat="false" ht="15" hidden="false" customHeight="true" outlineLevel="0" collapsed="false">
      <c r="A1077" s="10"/>
      <c r="B1077" s="8"/>
      <c r="C1077" s="13" t="str">
        <f aca="false">IF($B1077="","",IFERROR(INDEX(직원목록!$B$3:$B$302,MATCH($B1077,직원목록!$A$3:$A$302,0)),"미등록사번"))</f>
        <v/>
      </c>
      <c r="D1077" s="13" t="str">
        <f aca="false">IF($B1077="","",IFERROR(INDEX(직원목록!$C$3:$C$302,MATCH($B1077,직원목록!$A$3:$A$302,0)),""))</f>
        <v/>
      </c>
      <c r="E1077" s="14"/>
      <c r="F1077" s="14"/>
      <c r="G1077" s="15"/>
      <c r="H1077" s="16" t="str">
        <f aca="false">IF(OR($K1077="",$L1077=""),"",ROUND(MAX(0,($L1077-$K1077)-IF($G1077="",0,$G1077))/60,2))</f>
        <v/>
      </c>
      <c r="I1077" s="8"/>
      <c r="J1077" s="8"/>
      <c r="K1077" s="17" t="str">
        <f aca="false">IF($E1077="","",IF($E1077&lt;1,ROUND($E1077*1440,0),INT($E1077/100)*60+MOD($E1077,100)))</f>
        <v/>
      </c>
      <c r="L1077" s="17" t="str">
        <f aca="false">IF($F1077="","",IF($F1077&lt;1,ROUND($F1077*1440,0),INT($F1077/100)*60+MOD($F1077,100)))</f>
        <v/>
      </c>
    </row>
    <row r="1078" customFormat="false" ht="15" hidden="false" customHeight="true" outlineLevel="0" collapsed="false">
      <c r="A1078" s="10"/>
      <c r="B1078" s="8"/>
      <c r="C1078" s="13" t="str">
        <f aca="false">IF($B1078="","",IFERROR(INDEX(직원목록!$B$3:$B$302,MATCH($B1078,직원목록!$A$3:$A$302,0)),"미등록사번"))</f>
        <v/>
      </c>
      <c r="D1078" s="13" t="str">
        <f aca="false">IF($B1078="","",IFERROR(INDEX(직원목록!$C$3:$C$302,MATCH($B1078,직원목록!$A$3:$A$302,0)),""))</f>
        <v/>
      </c>
      <c r="E1078" s="14"/>
      <c r="F1078" s="14"/>
      <c r="G1078" s="15"/>
      <c r="H1078" s="16" t="str">
        <f aca="false">IF(OR($K1078="",$L1078=""),"",ROUND(MAX(0,($L1078-$K1078)-IF($G1078="",0,$G1078))/60,2))</f>
        <v/>
      </c>
      <c r="I1078" s="8"/>
      <c r="J1078" s="8"/>
      <c r="K1078" s="17" t="str">
        <f aca="false">IF($E1078="","",IF($E1078&lt;1,ROUND($E1078*1440,0),INT($E1078/100)*60+MOD($E1078,100)))</f>
        <v/>
      </c>
      <c r="L1078" s="17" t="str">
        <f aca="false">IF($F1078="","",IF($F1078&lt;1,ROUND($F1078*1440,0),INT($F1078/100)*60+MOD($F1078,100)))</f>
        <v/>
      </c>
    </row>
    <row r="1079" customFormat="false" ht="15" hidden="false" customHeight="true" outlineLevel="0" collapsed="false">
      <c r="A1079" s="10"/>
      <c r="B1079" s="8"/>
      <c r="C1079" s="13" t="str">
        <f aca="false">IF($B1079="","",IFERROR(INDEX(직원목록!$B$3:$B$302,MATCH($B1079,직원목록!$A$3:$A$302,0)),"미등록사번"))</f>
        <v/>
      </c>
      <c r="D1079" s="13" t="str">
        <f aca="false">IF($B1079="","",IFERROR(INDEX(직원목록!$C$3:$C$302,MATCH($B1079,직원목록!$A$3:$A$302,0)),""))</f>
        <v/>
      </c>
      <c r="E1079" s="14"/>
      <c r="F1079" s="14"/>
      <c r="G1079" s="15"/>
      <c r="H1079" s="16" t="str">
        <f aca="false">IF(OR($K1079="",$L1079=""),"",ROUND(MAX(0,($L1079-$K1079)-IF($G1079="",0,$G1079))/60,2))</f>
        <v/>
      </c>
      <c r="I1079" s="8"/>
      <c r="J1079" s="8"/>
      <c r="K1079" s="17" t="str">
        <f aca="false">IF($E1079="","",IF($E1079&lt;1,ROUND($E1079*1440,0),INT($E1079/100)*60+MOD($E1079,100)))</f>
        <v/>
      </c>
      <c r="L1079" s="17" t="str">
        <f aca="false">IF($F1079="","",IF($F1079&lt;1,ROUND($F1079*1440,0),INT($F1079/100)*60+MOD($F1079,100)))</f>
        <v/>
      </c>
    </row>
    <row r="1080" customFormat="false" ht="15" hidden="false" customHeight="true" outlineLevel="0" collapsed="false">
      <c r="A1080" s="10"/>
      <c r="B1080" s="8"/>
      <c r="C1080" s="13" t="str">
        <f aca="false">IF($B1080="","",IFERROR(INDEX(직원목록!$B$3:$B$302,MATCH($B1080,직원목록!$A$3:$A$302,0)),"미등록사번"))</f>
        <v/>
      </c>
      <c r="D1080" s="13" t="str">
        <f aca="false">IF($B1080="","",IFERROR(INDEX(직원목록!$C$3:$C$302,MATCH($B1080,직원목록!$A$3:$A$302,0)),""))</f>
        <v/>
      </c>
      <c r="E1080" s="14"/>
      <c r="F1080" s="14"/>
      <c r="G1080" s="15"/>
      <c r="H1080" s="16" t="str">
        <f aca="false">IF(OR($K1080="",$L1080=""),"",ROUND(MAX(0,($L1080-$K1080)-IF($G1080="",0,$G1080))/60,2))</f>
        <v/>
      </c>
      <c r="I1080" s="8"/>
      <c r="J1080" s="8"/>
      <c r="K1080" s="17" t="str">
        <f aca="false">IF($E1080="","",IF($E1080&lt;1,ROUND($E1080*1440,0),INT($E1080/100)*60+MOD($E1080,100)))</f>
        <v/>
      </c>
      <c r="L1080" s="17" t="str">
        <f aca="false">IF($F1080="","",IF($F1080&lt;1,ROUND($F1080*1440,0),INT($F1080/100)*60+MOD($F1080,100)))</f>
        <v/>
      </c>
    </row>
    <row r="1081" customFormat="false" ht="15" hidden="false" customHeight="true" outlineLevel="0" collapsed="false">
      <c r="A1081" s="10"/>
      <c r="B1081" s="8"/>
      <c r="C1081" s="13" t="str">
        <f aca="false">IF($B1081="","",IFERROR(INDEX(직원목록!$B$3:$B$302,MATCH($B1081,직원목록!$A$3:$A$302,0)),"미등록사번"))</f>
        <v/>
      </c>
      <c r="D1081" s="13" t="str">
        <f aca="false">IF($B1081="","",IFERROR(INDEX(직원목록!$C$3:$C$302,MATCH($B1081,직원목록!$A$3:$A$302,0)),""))</f>
        <v/>
      </c>
      <c r="E1081" s="14"/>
      <c r="F1081" s="14"/>
      <c r="G1081" s="15"/>
      <c r="H1081" s="16" t="str">
        <f aca="false">IF(OR($K1081="",$L1081=""),"",ROUND(MAX(0,($L1081-$K1081)-IF($G1081="",0,$G1081))/60,2))</f>
        <v/>
      </c>
      <c r="I1081" s="8"/>
      <c r="J1081" s="8"/>
      <c r="K1081" s="17" t="str">
        <f aca="false">IF($E1081="","",IF($E1081&lt;1,ROUND($E1081*1440,0),INT($E1081/100)*60+MOD($E1081,100)))</f>
        <v/>
      </c>
      <c r="L1081" s="17" t="str">
        <f aca="false">IF($F1081="","",IF($F1081&lt;1,ROUND($F1081*1440,0),INT($F1081/100)*60+MOD($F1081,100)))</f>
        <v/>
      </c>
    </row>
    <row r="1082" customFormat="false" ht="15" hidden="false" customHeight="true" outlineLevel="0" collapsed="false">
      <c r="A1082" s="10"/>
      <c r="B1082" s="8"/>
      <c r="C1082" s="13" t="str">
        <f aca="false">IF($B1082="","",IFERROR(INDEX(직원목록!$B$3:$B$302,MATCH($B1082,직원목록!$A$3:$A$302,0)),"미등록사번"))</f>
        <v/>
      </c>
      <c r="D1082" s="13" t="str">
        <f aca="false">IF($B1082="","",IFERROR(INDEX(직원목록!$C$3:$C$302,MATCH($B1082,직원목록!$A$3:$A$302,0)),""))</f>
        <v/>
      </c>
      <c r="E1082" s="14"/>
      <c r="F1082" s="14"/>
      <c r="G1082" s="15"/>
      <c r="H1082" s="16" t="str">
        <f aca="false">IF(OR($K1082="",$L1082=""),"",ROUND(MAX(0,($L1082-$K1082)-IF($G1082="",0,$G1082))/60,2))</f>
        <v/>
      </c>
      <c r="I1082" s="8"/>
      <c r="J1082" s="8"/>
      <c r="K1082" s="17" t="str">
        <f aca="false">IF($E1082="","",IF($E1082&lt;1,ROUND($E1082*1440,0),INT($E1082/100)*60+MOD($E1082,100)))</f>
        <v/>
      </c>
      <c r="L1082" s="17" t="str">
        <f aca="false">IF($F1082="","",IF($F1082&lt;1,ROUND($F1082*1440,0),INT($F1082/100)*60+MOD($F1082,100)))</f>
        <v/>
      </c>
    </row>
    <row r="1083" customFormat="false" ht="15" hidden="false" customHeight="true" outlineLevel="0" collapsed="false">
      <c r="A1083" s="10"/>
      <c r="B1083" s="8"/>
      <c r="C1083" s="13" t="str">
        <f aca="false">IF($B1083="","",IFERROR(INDEX(직원목록!$B$3:$B$302,MATCH($B1083,직원목록!$A$3:$A$302,0)),"미등록사번"))</f>
        <v/>
      </c>
      <c r="D1083" s="13" t="str">
        <f aca="false">IF($B1083="","",IFERROR(INDEX(직원목록!$C$3:$C$302,MATCH($B1083,직원목록!$A$3:$A$302,0)),""))</f>
        <v/>
      </c>
      <c r="E1083" s="14"/>
      <c r="F1083" s="14"/>
      <c r="G1083" s="15"/>
      <c r="H1083" s="16" t="str">
        <f aca="false">IF(OR($K1083="",$L1083=""),"",ROUND(MAX(0,($L1083-$K1083)-IF($G1083="",0,$G1083))/60,2))</f>
        <v/>
      </c>
      <c r="I1083" s="8"/>
      <c r="J1083" s="8"/>
      <c r="K1083" s="17" t="str">
        <f aca="false">IF($E1083="","",IF($E1083&lt;1,ROUND($E1083*1440,0),INT($E1083/100)*60+MOD($E1083,100)))</f>
        <v/>
      </c>
      <c r="L1083" s="17" t="str">
        <f aca="false">IF($F1083="","",IF($F1083&lt;1,ROUND($F1083*1440,0),INT($F1083/100)*60+MOD($F1083,100)))</f>
        <v/>
      </c>
    </row>
    <row r="1084" customFormat="false" ht="15" hidden="false" customHeight="true" outlineLevel="0" collapsed="false">
      <c r="A1084" s="10"/>
      <c r="B1084" s="8"/>
      <c r="C1084" s="13" t="str">
        <f aca="false">IF($B1084="","",IFERROR(INDEX(직원목록!$B$3:$B$302,MATCH($B1084,직원목록!$A$3:$A$302,0)),"미등록사번"))</f>
        <v/>
      </c>
      <c r="D1084" s="13" t="str">
        <f aca="false">IF($B1084="","",IFERROR(INDEX(직원목록!$C$3:$C$302,MATCH($B1084,직원목록!$A$3:$A$302,0)),""))</f>
        <v/>
      </c>
      <c r="E1084" s="14"/>
      <c r="F1084" s="14"/>
      <c r="G1084" s="15"/>
      <c r="H1084" s="16" t="str">
        <f aca="false">IF(OR($K1084="",$L1084=""),"",ROUND(MAX(0,($L1084-$K1084)-IF($G1084="",0,$G1084))/60,2))</f>
        <v/>
      </c>
      <c r="I1084" s="8"/>
      <c r="J1084" s="8"/>
      <c r="K1084" s="17" t="str">
        <f aca="false">IF($E1084="","",IF($E1084&lt;1,ROUND($E1084*1440,0),INT($E1084/100)*60+MOD($E1084,100)))</f>
        <v/>
      </c>
      <c r="L1084" s="17" t="str">
        <f aca="false">IF($F1084="","",IF($F1084&lt;1,ROUND($F1084*1440,0),INT($F1084/100)*60+MOD($F1084,100)))</f>
        <v/>
      </c>
    </row>
    <row r="1085" customFormat="false" ht="15" hidden="false" customHeight="true" outlineLevel="0" collapsed="false">
      <c r="A1085" s="10"/>
      <c r="B1085" s="8"/>
      <c r="C1085" s="13" t="str">
        <f aca="false">IF($B1085="","",IFERROR(INDEX(직원목록!$B$3:$B$302,MATCH($B1085,직원목록!$A$3:$A$302,0)),"미등록사번"))</f>
        <v/>
      </c>
      <c r="D1085" s="13" t="str">
        <f aca="false">IF($B1085="","",IFERROR(INDEX(직원목록!$C$3:$C$302,MATCH($B1085,직원목록!$A$3:$A$302,0)),""))</f>
        <v/>
      </c>
      <c r="E1085" s="14"/>
      <c r="F1085" s="14"/>
      <c r="G1085" s="15"/>
      <c r="H1085" s="16" t="str">
        <f aca="false">IF(OR($K1085="",$L1085=""),"",ROUND(MAX(0,($L1085-$K1085)-IF($G1085="",0,$G1085))/60,2))</f>
        <v/>
      </c>
      <c r="I1085" s="8"/>
      <c r="J1085" s="8"/>
      <c r="K1085" s="17" t="str">
        <f aca="false">IF($E1085="","",IF($E1085&lt;1,ROUND($E1085*1440,0),INT($E1085/100)*60+MOD($E1085,100)))</f>
        <v/>
      </c>
      <c r="L1085" s="17" t="str">
        <f aca="false">IF($F1085="","",IF($F1085&lt;1,ROUND($F1085*1440,0),INT($F1085/100)*60+MOD($F1085,100)))</f>
        <v/>
      </c>
    </row>
    <row r="1086" customFormat="false" ht="15" hidden="false" customHeight="true" outlineLevel="0" collapsed="false">
      <c r="A1086" s="10"/>
      <c r="B1086" s="8"/>
      <c r="C1086" s="13" t="str">
        <f aca="false">IF($B1086="","",IFERROR(INDEX(직원목록!$B$3:$B$302,MATCH($B1086,직원목록!$A$3:$A$302,0)),"미등록사번"))</f>
        <v/>
      </c>
      <c r="D1086" s="13" t="str">
        <f aca="false">IF($B1086="","",IFERROR(INDEX(직원목록!$C$3:$C$302,MATCH($B1086,직원목록!$A$3:$A$302,0)),""))</f>
        <v/>
      </c>
      <c r="E1086" s="14"/>
      <c r="F1086" s="14"/>
      <c r="G1086" s="15"/>
      <c r="H1086" s="16" t="str">
        <f aca="false">IF(OR($K1086="",$L1086=""),"",ROUND(MAX(0,($L1086-$K1086)-IF($G1086="",0,$G1086))/60,2))</f>
        <v/>
      </c>
      <c r="I1086" s="8"/>
      <c r="J1086" s="8"/>
      <c r="K1086" s="17" t="str">
        <f aca="false">IF($E1086="","",IF($E1086&lt;1,ROUND($E1086*1440,0),INT($E1086/100)*60+MOD($E1086,100)))</f>
        <v/>
      </c>
      <c r="L1086" s="17" t="str">
        <f aca="false">IF($F1086="","",IF($F1086&lt;1,ROUND($F1086*1440,0),INT($F1086/100)*60+MOD($F1086,100)))</f>
        <v/>
      </c>
    </row>
    <row r="1087" customFormat="false" ht="15" hidden="false" customHeight="true" outlineLevel="0" collapsed="false">
      <c r="A1087" s="10"/>
      <c r="B1087" s="8"/>
      <c r="C1087" s="13" t="str">
        <f aca="false">IF($B1087="","",IFERROR(INDEX(직원목록!$B$3:$B$302,MATCH($B1087,직원목록!$A$3:$A$302,0)),"미등록사번"))</f>
        <v/>
      </c>
      <c r="D1087" s="13" t="str">
        <f aca="false">IF($B1087="","",IFERROR(INDEX(직원목록!$C$3:$C$302,MATCH($B1087,직원목록!$A$3:$A$302,0)),""))</f>
        <v/>
      </c>
      <c r="E1087" s="14"/>
      <c r="F1087" s="14"/>
      <c r="G1087" s="15"/>
      <c r="H1087" s="16" t="str">
        <f aca="false">IF(OR($K1087="",$L1087=""),"",ROUND(MAX(0,($L1087-$K1087)-IF($G1087="",0,$G1087))/60,2))</f>
        <v/>
      </c>
      <c r="I1087" s="8"/>
      <c r="J1087" s="8"/>
      <c r="K1087" s="17" t="str">
        <f aca="false">IF($E1087="","",IF($E1087&lt;1,ROUND($E1087*1440,0),INT($E1087/100)*60+MOD($E1087,100)))</f>
        <v/>
      </c>
      <c r="L1087" s="17" t="str">
        <f aca="false">IF($F1087="","",IF($F1087&lt;1,ROUND($F1087*1440,0),INT($F1087/100)*60+MOD($F1087,100)))</f>
        <v/>
      </c>
    </row>
    <row r="1088" customFormat="false" ht="15" hidden="false" customHeight="true" outlineLevel="0" collapsed="false">
      <c r="A1088" s="10"/>
      <c r="B1088" s="8"/>
      <c r="C1088" s="13" t="str">
        <f aca="false">IF($B1088="","",IFERROR(INDEX(직원목록!$B$3:$B$302,MATCH($B1088,직원목록!$A$3:$A$302,0)),"미등록사번"))</f>
        <v/>
      </c>
      <c r="D1088" s="13" t="str">
        <f aca="false">IF($B1088="","",IFERROR(INDEX(직원목록!$C$3:$C$302,MATCH($B1088,직원목록!$A$3:$A$302,0)),""))</f>
        <v/>
      </c>
      <c r="E1088" s="14"/>
      <c r="F1088" s="14"/>
      <c r="G1088" s="15"/>
      <c r="H1088" s="16" t="str">
        <f aca="false">IF(OR($K1088="",$L1088=""),"",ROUND(MAX(0,($L1088-$K1088)-IF($G1088="",0,$G1088))/60,2))</f>
        <v/>
      </c>
      <c r="I1088" s="8"/>
      <c r="J1088" s="8"/>
      <c r="K1088" s="17" t="str">
        <f aca="false">IF($E1088="","",IF($E1088&lt;1,ROUND($E1088*1440,0),INT($E1088/100)*60+MOD($E1088,100)))</f>
        <v/>
      </c>
      <c r="L1088" s="17" t="str">
        <f aca="false">IF($F1088="","",IF($F1088&lt;1,ROUND($F1088*1440,0),INT($F1088/100)*60+MOD($F1088,100)))</f>
        <v/>
      </c>
    </row>
    <row r="1089" customFormat="false" ht="15" hidden="false" customHeight="true" outlineLevel="0" collapsed="false">
      <c r="A1089" s="10"/>
      <c r="B1089" s="8"/>
      <c r="C1089" s="13" t="str">
        <f aca="false">IF($B1089="","",IFERROR(INDEX(직원목록!$B$3:$B$302,MATCH($B1089,직원목록!$A$3:$A$302,0)),"미등록사번"))</f>
        <v/>
      </c>
      <c r="D1089" s="13" t="str">
        <f aca="false">IF($B1089="","",IFERROR(INDEX(직원목록!$C$3:$C$302,MATCH($B1089,직원목록!$A$3:$A$302,0)),""))</f>
        <v/>
      </c>
      <c r="E1089" s="14"/>
      <c r="F1089" s="14"/>
      <c r="G1089" s="15"/>
      <c r="H1089" s="16" t="str">
        <f aca="false">IF(OR($K1089="",$L1089=""),"",ROUND(MAX(0,($L1089-$K1089)-IF($G1089="",0,$G1089))/60,2))</f>
        <v/>
      </c>
      <c r="I1089" s="8"/>
      <c r="J1089" s="8"/>
      <c r="K1089" s="17" t="str">
        <f aca="false">IF($E1089="","",IF($E1089&lt;1,ROUND($E1089*1440,0),INT($E1089/100)*60+MOD($E1089,100)))</f>
        <v/>
      </c>
      <c r="L1089" s="17" t="str">
        <f aca="false">IF($F1089="","",IF($F1089&lt;1,ROUND($F1089*1440,0),INT($F1089/100)*60+MOD($F1089,100)))</f>
        <v/>
      </c>
    </row>
    <row r="1090" customFormat="false" ht="15" hidden="false" customHeight="true" outlineLevel="0" collapsed="false">
      <c r="A1090" s="10"/>
      <c r="B1090" s="8"/>
      <c r="C1090" s="13" t="str">
        <f aca="false">IF($B1090="","",IFERROR(INDEX(직원목록!$B$3:$B$302,MATCH($B1090,직원목록!$A$3:$A$302,0)),"미등록사번"))</f>
        <v/>
      </c>
      <c r="D1090" s="13" t="str">
        <f aca="false">IF($B1090="","",IFERROR(INDEX(직원목록!$C$3:$C$302,MATCH($B1090,직원목록!$A$3:$A$302,0)),""))</f>
        <v/>
      </c>
      <c r="E1090" s="14"/>
      <c r="F1090" s="14"/>
      <c r="G1090" s="15"/>
      <c r="H1090" s="16" t="str">
        <f aca="false">IF(OR($K1090="",$L1090=""),"",ROUND(MAX(0,($L1090-$K1090)-IF($G1090="",0,$G1090))/60,2))</f>
        <v/>
      </c>
      <c r="I1090" s="8"/>
      <c r="J1090" s="8"/>
      <c r="K1090" s="17" t="str">
        <f aca="false">IF($E1090="","",IF($E1090&lt;1,ROUND($E1090*1440,0),INT($E1090/100)*60+MOD($E1090,100)))</f>
        <v/>
      </c>
      <c r="L1090" s="17" t="str">
        <f aca="false">IF($F1090="","",IF($F1090&lt;1,ROUND($F1090*1440,0),INT($F1090/100)*60+MOD($F1090,100)))</f>
        <v/>
      </c>
    </row>
    <row r="1091" customFormat="false" ht="15" hidden="false" customHeight="true" outlineLevel="0" collapsed="false">
      <c r="A1091" s="10"/>
      <c r="B1091" s="8"/>
      <c r="C1091" s="13" t="str">
        <f aca="false">IF($B1091="","",IFERROR(INDEX(직원목록!$B$3:$B$302,MATCH($B1091,직원목록!$A$3:$A$302,0)),"미등록사번"))</f>
        <v/>
      </c>
      <c r="D1091" s="13" t="str">
        <f aca="false">IF($B1091="","",IFERROR(INDEX(직원목록!$C$3:$C$302,MATCH($B1091,직원목록!$A$3:$A$302,0)),""))</f>
        <v/>
      </c>
      <c r="E1091" s="14"/>
      <c r="F1091" s="14"/>
      <c r="G1091" s="15"/>
      <c r="H1091" s="16" t="str">
        <f aca="false">IF(OR($K1091="",$L1091=""),"",ROUND(MAX(0,($L1091-$K1091)-IF($G1091="",0,$G1091))/60,2))</f>
        <v/>
      </c>
      <c r="I1091" s="8"/>
      <c r="J1091" s="8"/>
      <c r="K1091" s="17" t="str">
        <f aca="false">IF($E1091="","",IF($E1091&lt;1,ROUND($E1091*1440,0),INT($E1091/100)*60+MOD($E1091,100)))</f>
        <v/>
      </c>
      <c r="L1091" s="17" t="str">
        <f aca="false">IF($F1091="","",IF($F1091&lt;1,ROUND($F1091*1440,0),INT($F1091/100)*60+MOD($F1091,100)))</f>
        <v/>
      </c>
    </row>
    <row r="1092" customFormat="false" ht="15" hidden="false" customHeight="true" outlineLevel="0" collapsed="false">
      <c r="A1092" s="10"/>
      <c r="B1092" s="8"/>
      <c r="C1092" s="13" t="str">
        <f aca="false">IF($B1092="","",IFERROR(INDEX(직원목록!$B$3:$B$302,MATCH($B1092,직원목록!$A$3:$A$302,0)),"미등록사번"))</f>
        <v/>
      </c>
      <c r="D1092" s="13" t="str">
        <f aca="false">IF($B1092="","",IFERROR(INDEX(직원목록!$C$3:$C$302,MATCH($B1092,직원목록!$A$3:$A$302,0)),""))</f>
        <v/>
      </c>
      <c r="E1092" s="14"/>
      <c r="F1092" s="14"/>
      <c r="G1092" s="15"/>
      <c r="H1092" s="16" t="str">
        <f aca="false">IF(OR($K1092="",$L1092=""),"",ROUND(MAX(0,($L1092-$K1092)-IF($G1092="",0,$G1092))/60,2))</f>
        <v/>
      </c>
      <c r="I1092" s="8"/>
      <c r="J1092" s="8"/>
      <c r="K1092" s="17" t="str">
        <f aca="false">IF($E1092="","",IF($E1092&lt;1,ROUND($E1092*1440,0),INT($E1092/100)*60+MOD($E1092,100)))</f>
        <v/>
      </c>
      <c r="L1092" s="17" t="str">
        <f aca="false">IF($F1092="","",IF($F1092&lt;1,ROUND($F1092*1440,0),INT($F1092/100)*60+MOD($F1092,100)))</f>
        <v/>
      </c>
    </row>
    <row r="1093" customFormat="false" ht="15" hidden="false" customHeight="true" outlineLevel="0" collapsed="false">
      <c r="A1093" s="10"/>
      <c r="B1093" s="8"/>
      <c r="C1093" s="13" t="str">
        <f aca="false">IF($B1093="","",IFERROR(INDEX(직원목록!$B$3:$B$302,MATCH($B1093,직원목록!$A$3:$A$302,0)),"미등록사번"))</f>
        <v/>
      </c>
      <c r="D1093" s="13" t="str">
        <f aca="false">IF($B1093="","",IFERROR(INDEX(직원목록!$C$3:$C$302,MATCH($B1093,직원목록!$A$3:$A$302,0)),""))</f>
        <v/>
      </c>
      <c r="E1093" s="14"/>
      <c r="F1093" s="14"/>
      <c r="G1093" s="15"/>
      <c r="H1093" s="16" t="str">
        <f aca="false">IF(OR($K1093="",$L1093=""),"",ROUND(MAX(0,($L1093-$K1093)-IF($G1093="",0,$G1093))/60,2))</f>
        <v/>
      </c>
      <c r="I1093" s="8"/>
      <c r="J1093" s="8"/>
      <c r="K1093" s="17" t="str">
        <f aca="false">IF($E1093="","",IF($E1093&lt;1,ROUND($E1093*1440,0),INT($E1093/100)*60+MOD($E1093,100)))</f>
        <v/>
      </c>
      <c r="L1093" s="17" t="str">
        <f aca="false">IF($F1093="","",IF($F1093&lt;1,ROUND($F1093*1440,0),INT($F1093/100)*60+MOD($F1093,100)))</f>
        <v/>
      </c>
    </row>
    <row r="1094" customFormat="false" ht="15" hidden="false" customHeight="true" outlineLevel="0" collapsed="false">
      <c r="A1094" s="10"/>
      <c r="B1094" s="8"/>
      <c r="C1094" s="13" t="str">
        <f aca="false">IF($B1094="","",IFERROR(INDEX(직원목록!$B$3:$B$302,MATCH($B1094,직원목록!$A$3:$A$302,0)),"미등록사번"))</f>
        <v/>
      </c>
      <c r="D1094" s="13" t="str">
        <f aca="false">IF($B1094="","",IFERROR(INDEX(직원목록!$C$3:$C$302,MATCH($B1094,직원목록!$A$3:$A$302,0)),""))</f>
        <v/>
      </c>
      <c r="E1094" s="14"/>
      <c r="F1094" s="14"/>
      <c r="G1094" s="15"/>
      <c r="H1094" s="16" t="str">
        <f aca="false">IF(OR($K1094="",$L1094=""),"",ROUND(MAX(0,($L1094-$K1094)-IF($G1094="",0,$G1094))/60,2))</f>
        <v/>
      </c>
      <c r="I1094" s="8"/>
      <c r="J1094" s="8"/>
      <c r="K1094" s="17" t="str">
        <f aca="false">IF($E1094="","",IF($E1094&lt;1,ROUND($E1094*1440,0),INT($E1094/100)*60+MOD($E1094,100)))</f>
        <v/>
      </c>
      <c r="L1094" s="17" t="str">
        <f aca="false">IF($F1094="","",IF($F1094&lt;1,ROUND($F1094*1440,0),INT($F1094/100)*60+MOD($F1094,100)))</f>
        <v/>
      </c>
    </row>
    <row r="1095" customFormat="false" ht="15" hidden="false" customHeight="true" outlineLevel="0" collapsed="false">
      <c r="A1095" s="10"/>
      <c r="B1095" s="8"/>
      <c r="C1095" s="13" t="str">
        <f aca="false">IF($B1095="","",IFERROR(INDEX(직원목록!$B$3:$B$302,MATCH($B1095,직원목록!$A$3:$A$302,0)),"미등록사번"))</f>
        <v/>
      </c>
      <c r="D1095" s="13" t="str">
        <f aca="false">IF($B1095="","",IFERROR(INDEX(직원목록!$C$3:$C$302,MATCH($B1095,직원목록!$A$3:$A$302,0)),""))</f>
        <v/>
      </c>
      <c r="E1095" s="14"/>
      <c r="F1095" s="14"/>
      <c r="G1095" s="15"/>
      <c r="H1095" s="16" t="str">
        <f aca="false">IF(OR($K1095="",$L1095=""),"",ROUND(MAX(0,($L1095-$K1095)-IF($G1095="",0,$G1095))/60,2))</f>
        <v/>
      </c>
      <c r="I1095" s="8"/>
      <c r="J1095" s="8"/>
      <c r="K1095" s="17" t="str">
        <f aca="false">IF($E1095="","",IF($E1095&lt;1,ROUND($E1095*1440,0),INT($E1095/100)*60+MOD($E1095,100)))</f>
        <v/>
      </c>
      <c r="L1095" s="17" t="str">
        <f aca="false">IF($F1095="","",IF($F1095&lt;1,ROUND($F1095*1440,0),INT($F1095/100)*60+MOD($F1095,100)))</f>
        <v/>
      </c>
    </row>
    <row r="1096" customFormat="false" ht="15" hidden="false" customHeight="true" outlineLevel="0" collapsed="false">
      <c r="A1096" s="10"/>
      <c r="B1096" s="8"/>
      <c r="C1096" s="13" t="str">
        <f aca="false">IF($B1096="","",IFERROR(INDEX(직원목록!$B$3:$B$302,MATCH($B1096,직원목록!$A$3:$A$302,0)),"미등록사번"))</f>
        <v/>
      </c>
      <c r="D1096" s="13" t="str">
        <f aca="false">IF($B1096="","",IFERROR(INDEX(직원목록!$C$3:$C$302,MATCH($B1096,직원목록!$A$3:$A$302,0)),""))</f>
        <v/>
      </c>
      <c r="E1096" s="14"/>
      <c r="F1096" s="14"/>
      <c r="G1096" s="15"/>
      <c r="H1096" s="16" t="str">
        <f aca="false">IF(OR($K1096="",$L1096=""),"",ROUND(MAX(0,($L1096-$K1096)-IF($G1096="",0,$G1096))/60,2))</f>
        <v/>
      </c>
      <c r="I1096" s="8"/>
      <c r="J1096" s="8"/>
      <c r="K1096" s="17" t="str">
        <f aca="false">IF($E1096="","",IF($E1096&lt;1,ROUND($E1096*1440,0),INT($E1096/100)*60+MOD($E1096,100)))</f>
        <v/>
      </c>
      <c r="L1096" s="17" t="str">
        <f aca="false">IF($F1096="","",IF($F1096&lt;1,ROUND($F1096*1440,0),INT($F1096/100)*60+MOD($F1096,100)))</f>
        <v/>
      </c>
    </row>
    <row r="1097" customFormat="false" ht="15" hidden="false" customHeight="true" outlineLevel="0" collapsed="false">
      <c r="A1097" s="10"/>
      <c r="B1097" s="8"/>
      <c r="C1097" s="13" t="str">
        <f aca="false">IF($B1097="","",IFERROR(INDEX(직원목록!$B$3:$B$302,MATCH($B1097,직원목록!$A$3:$A$302,0)),"미등록사번"))</f>
        <v/>
      </c>
      <c r="D1097" s="13" t="str">
        <f aca="false">IF($B1097="","",IFERROR(INDEX(직원목록!$C$3:$C$302,MATCH($B1097,직원목록!$A$3:$A$302,0)),""))</f>
        <v/>
      </c>
      <c r="E1097" s="14"/>
      <c r="F1097" s="14"/>
      <c r="G1097" s="15"/>
      <c r="H1097" s="16" t="str">
        <f aca="false">IF(OR($K1097="",$L1097=""),"",ROUND(MAX(0,($L1097-$K1097)-IF($G1097="",0,$G1097))/60,2))</f>
        <v/>
      </c>
      <c r="I1097" s="8"/>
      <c r="J1097" s="8"/>
      <c r="K1097" s="17" t="str">
        <f aca="false">IF($E1097="","",IF($E1097&lt;1,ROUND($E1097*1440,0),INT($E1097/100)*60+MOD($E1097,100)))</f>
        <v/>
      </c>
      <c r="L1097" s="17" t="str">
        <f aca="false">IF($F1097="","",IF($F1097&lt;1,ROUND($F1097*1440,0),INT($F1097/100)*60+MOD($F1097,100)))</f>
        <v/>
      </c>
    </row>
    <row r="1098" customFormat="false" ht="15" hidden="false" customHeight="true" outlineLevel="0" collapsed="false">
      <c r="A1098" s="10"/>
      <c r="B1098" s="8"/>
      <c r="C1098" s="13" t="str">
        <f aca="false">IF($B1098="","",IFERROR(INDEX(직원목록!$B$3:$B$302,MATCH($B1098,직원목록!$A$3:$A$302,0)),"미등록사번"))</f>
        <v/>
      </c>
      <c r="D1098" s="13" t="str">
        <f aca="false">IF($B1098="","",IFERROR(INDEX(직원목록!$C$3:$C$302,MATCH($B1098,직원목록!$A$3:$A$302,0)),""))</f>
        <v/>
      </c>
      <c r="E1098" s="14"/>
      <c r="F1098" s="14"/>
      <c r="G1098" s="15"/>
      <c r="H1098" s="16" t="str">
        <f aca="false">IF(OR($K1098="",$L1098=""),"",ROUND(MAX(0,($L1098-$K1098)-IF($G1098="",0,$G1098))/60,2))</f>
        <v/>
      </c>
      <c r="I1098" s="8"/>
      <c r="J1098" s="8"/>
      <c r="K1098" s="17" t="str">
        <f aca="false">IF($E1098="","",IF($E1098&lt;1,ROUND($E1098*1440,0),INT($E1098/100)*60+MOD($E1098,100)))</f>
        <v/>
      </c>
      <c r="L1098" s="17" t="str">
        <f aca="false">IF($F1098="","",IF($F1098&lt;1,ROUND($F1098*1440,0),INT($F1098/100)*60+MOD($F1098,100)))</f>
        <v/>
      </c>
    </row>
    <row r="1099" customFormat="false" ht="15" hidden="false" customHeight="true" outlineLevel="0" collapsed="false">
      <c r="A1099" s="10"/>
      <c r="B1099" s="8"/>
      <c r="C1099" s="13" t="str">
        <f aca="false">IF($B1099="","",IFERROR(INDEX(직원목록!$B$3:$B$302,MATCH($B1099,직원목록!$A$3:$A$302,0)),"미등록사번"))</f>
        <v/>
      </c>
      <c r="D1099" s="13" t="str">
        <f aca="false">IF($B1099="","",IFERROR(INDEX(직원목록!$C$3:$C$302,MATCH($B1099,직원목록!$A$3:$A$302,0)),""))</f>
        <v/>
      </c>
      <c r="E1099" s="14"/>
      <c r="F1099" s="14"/>
      <c r="G1099" s="15"/>
      <c r="H1099" s="16" t="str">
        <f aca="false">IF(OR($K1099="",$L1099=""),"",ROUND(MAX(0,($L1099-$K1099)-IF($G1099="",0,$G1099))/60,2))</f>
        <v/>
      </c>
      <c r="I1099" s="8"/>
      <c r="J1099" s="8"/>
      <c r="K1099" s="17" t="str">
        <f aca="false">IF($E1099="","",IF($E1099&lt;1,ROUND($E1099*1440,0),INT($E1099/100)*60+MOD($E1099,100)))</f>
        <v/>
      </c>
      <c r="L1099" s="17" t="str">
        <f aca="false">IF($F1099="","",IF($F1099&lt;1,ROUND($F1099*1440,0),INT($F1099/100)*60+MOD($F1099,100)))</f>
        <v/>
      </c>
    </row>
    <row r="1100" customFormat="false" ht="15" hidden="false" customHeight="true" outlineLevel="0" collapsed="false">
      <c r="A1100" s="10"/>
      <c r="B1100" s="8"/>
      <c r="C1100" s="13" t="str">
        <f aca="false">IF($B1100="","",IFERROR(INDEX(직원목록!$B$3:$B$302,MATCH($B1100,직원목록!$A$3:$A$302,0)),"미등록사번"))</f>
        <v/>
      </c>
      <c r="D1100" s="13" t="str">
        <f aca="false">IF($B1100="","",IFERROR(INDEX(직원목록!$C$3:$C$302,MATCH($B1100,직원목록!$A$3:$A$302,0)),""))</f>
        <v/>
      </c>
      <c r="E1100" s="14"/>
      <c r="F1100" s="14"/>
      <c r="G1100" s="15"/>
      <c r="H1100" s="16" t="str">
        <f aca="false">IF(OR($K1100="",$L1100=""),"",ROUND(MAX(0,($L1100-$K1100)-IF($G1100="",0,$G1100))/60,2))</f>
        <v/>
      </c>
      <c r="I1100" s="8"/>
      <c r="J1100" s="8"/>
      <c r="K1100" s="17" t="str">
        <f aca="false">IF($E1100="","",IF($E1100&lt;1,ROUND($E1100*1440,0),INT($E1100/100)*60+MOD($E1100,100)))</f>
        <v/>
      </c>
      <c r="L1100" s="17" t="str">
        <f aca="false">IF($F1100="","",IF($F1100&lt;1,ROUND($F1100*1440,0),INT($F1100/100)*60+MOD($F1100,100)))</f>
        <v/>
      </c>
    </row>
    <row r="1101" customFormat="false" ht="15" hidden="false" customHeight="true" outlineLevel="0" collapsed="false">
      <c r="A1101" s="10"/>
      <c r="B1101" s="8"/>
      <c r="C1101" s="13" t="str">
        <f aca="false">IF($B1101="","",IFERROR(INDEX(직원목록!$B$3:$B$302,MATCH($B1101,직원목록!$A$3:$A$302,0)),"미등록사번"))</f>
        <v/>
      </c>
      <c r="D1101" s="13" t="str">
        <f aca="false">IF($B1101="","",IFERROR(INDEX(직원목록!$C$3:$C$302,MATCH($B1101,직원목록!$A$3:$A$302,0)),""))</f>
        <v/>
      </c>
      <c r="E1101" s="14"/>
      <c r="F1101" s="14"/>
      <c r="G1101" s="15"/>
      <c r="H1101" s="16" t="str">
        <f aca="false">IF(OR($K1101="",$L1101=""),"",ROUND(MAX(0,($L1101-$K1101)-IF($G1101="",0,$G1101))/60,2))</f>
        <v/>
      </c>
      <c r="I1101" s="8"/>
      <c r="J1101" s="8"/>
      <c r="K1101" s="17" t="str">
        <f aca="false">IF($E1101="","",IF($E1101&lt;1,ROUND($E1101*1440,0),INT($E1101/100)*60+MOD($E1101,100)))</f>
        <v/>
      </c>
      <c r="L1101" s="17" t="str">
        <f aca="false">IF($F1101="","",IF($F1101&lt;1,ROUND($F1101*1440,0),INT($F1101/100)*60+MOD($F1101,100)))</f>
        <v/>
      </c>
    </row>
    <row r="1102" customFormat="false" ht="15" hidden="false" customHeight="true" outlineLevel="0" collapsed="false">
      <c r="A1102" s="10"/>
      <c r="B1102" s="8"/>
      <c r="C1102" s="13" t="str">
        <f aca="false">IF($B1102="","",IFERROR(INDEX(직원목록!$B$3:$B$302,MATCH($B1102,직원목록!$A$3:$A$302,0)),"미등록사번"))</f>
        <v/>
      </c>
      <c r="D1102" s="13" t="str">
        <f aca="false">IF($B1102="","",IFERROR(INDEX(직원목록!$C$3:$C$302,MATCH($B1102,직원목록!$A$3:$A$302,0)),""))</f>
        <v/>
      </c>
      <c r="E1102" s="14"/>
      <c r="F1102" s="14"/>
      <c r="G1102" s="15"/>
      <c r="H1102" s="16" t="str">
        <f aca="false">IF(OR($K1102="",$L1102=""),"",ROUND(MAX(0,($L1102-$K1102)-IF($G1102="",0,$G1102))/60,2))</f>
        <v/>
      </c>
      <c r="I1102" s="8"/>
      <c r="J1102" s="8"/>
      <c r="K1102" s="17" t="str">
        <f aca="false">IF($E1102="","",IF($E1102&lt;1,ROUND($E1102*1440,0),INT($E1102/100)*60+MOD($E1102,100)))</f>
        <v/>
      </c>
      <c r="L1102" s="17" t="str">
        <f aca="false">IF($F1102="","",IF($F1102&lt;1,ROUND($F1102*1440,0),INT($F1102/100)*60+MOD($F1102,100)))</f>
        <v/>
      </c>
    </row>
    <row r="1103" customFormat="false" ht="15" hidden="false" customHeight="true" outlineLevel="0" collapsed="false">
      <c r="A1103" s="10"/>
      <c r="B1103" s="8"/>
      <c r="C1103" s="13" t="str">
        <f aca="false">IF($B1103="","",IFERROR(INDEX(직원목록!$B$3:$B$302,MATCH($B1103,직원목록!$A$3:$A$302,0)),"미등록사번"))</f>
        <v/>
      </c>
      <c r="D1103" s="13" t="str">
        <f aca="false">IF($B1103="","",IFERROR(INDEX(직원목록!$C$3:$C$302,MATCH($B1103,직원목록!$A$3:$A$302,0)),""))</f>
        <v/>
      </c>
      <c r="E1103" s="14"/>
      <c r="F1103" s="14"/>
      <c r="G1103" s="15"/>
      <c r="H1103" s="16" t="str">
        <f aca="false">IF(OR($K1103="",$L1103=""),"",ROUND(MAX(0,($L1103-$K1103)-IF($G1103="",0,$G1103))/60,2))</f>
        <v/>
      </c>
      <c r="I1103" s="8"/>
      <c r="J1103" s="8"/>
      <c r="K1103" s="17" t="str">
        <f aca="false">IF($E1103="","",IF($E1103&lt;1,ROUND($E1103*1440,0),INT($E1103/100)*60+MOD($E1103,100)))</f>
        <v/>
      </c>
      <c r="L1103" s="17" t="str">
        <f aca="false">IF($F1103="","",IF($F1103&lt;1,ROUND($F1103*1440,0),INT($F1103/100)*60+MOD($F1103,100)))</f>
        <v/>
      </c>
    </row>
    <row r="1104" customFormat="false" ht="15" hidden="false" customHeight="true" outlineLevel="0" collapsed="false">
      <c r="A1104" s="10"/>
      <c r="B1104" s="8"/>
      <c r="C1104" s="13" t="str">
        <f aca="false">IF($B1104="","",IFERROR(INDEX(직원목록!$B$3:$B$302,MATCH($B1104,직원목록!$A$3:$A$302,0)),"미등록사번"))</f>
        <v/>
      </c>
      <c r="D1104" s="13" t="str">
        <f aca="false">IF($B1104="","",IFERROR(INDEX(직원목록!$C$3:$C$302,MATCH($B1104,직원목록!$A$3:$A$302,0)),""))</f>
        <v/>
      </c>
      <c r="E1104" s="14"/>
      <c r="F1104" s="14"/>
      <c r="G1104" s="15"/>
      <c r="H1104" s="16" t="str">
        <f aca="false">IF(OR($K1104="",$L1104=""),"",ROUND(MAX(0,($L1104-$K1104)-IF($G1104="",0,$G1104))/60,2))</f>
        <v/>
      </c>
      <c r="I1104" s="8"/>
      <c r="J1104" s="8"/>
      <c r="K1104" s="17" t="str">
        <f aca="false">IF($E1104="","",IF($E1104&lt;1,ROUND($E1104*1440,0),INT($E1104/100)*60+MOD($E1104,100)))</f>
        <v/>
      </c>
      <c r="L1104" s="17" t="str">
        <f aca="false">IF($F1104="","",IF($F1104&lt;1,ROUND($F1104*1440,0),INT($F1104/100)*60+MOD($F1104,100)))</f>
        <v/>
      </c>
    </row>
    <row r="1105" customFormat="false" ht="15" hidden="false" customHeight="true" outlineLevel="0" collapsed="false">
      <c r="A1105" s="10"/>
      <c r="B1105" s="8"/>
      <c r="C1105" s="13" t="str">
        <f aca="false">IF($B1105="","",IFERROR(INDEX(직원목록!$B$3:$B$302,MATCH($B1105,직원목록!$A$3:$A$302,0)),"미등록사번"))</f>
        <v/>
      </c>
      <c r="D1105" s="13" t="str">
        <f aca="false">IF($B1105="","",IFERROR(INDEX(직원목록!$C$3:$C$302,MATCH($B1105,직원목록!$A$3:$A$302,0)),""))</f>
        <v/>
      </c>
      <c r="E1105" s="14"/>
      <c r="F1105" s="14"/>
      <c r="G1105" s="15"/>
      <c r="H1105" s="16" t="str">
        <f aca="false">IF(OR($K1105="",$L1105=""),"",ROUND(MAX(0,($L1105-$K1105)-IF($G1105="",0,$G1105))/60,2))</f>
        <v/>
      </c>
      <c r="I1105" s="8"/>
      <c r="J1105" s="8"/>
      <c r="K1105" s="17" t="str">
        <f aca="false">IF($E1105="","",IF($E1105&lt;1,ROUND($E1105*1440,0),INT($E1105/100)*60+MOD($E1105,100)))</f>
        <v/>
      </c>
      <c r="L1105" s="17" t="str">
        <f aca="false">IF($F1105="","",IF($F1105&lt;1,ROUND($F1105*1440,0),INT($F1105/100)*60+MOD($F1105,100)))</f>
        <v/>
      </c>
    </row>
    <row r="1106" customFormat="false" ht="15" hidden="false" customHeight="true" outlineLevel="0" collapsed="false">
      <c r="A1106" s="10"/>
      <c r="B1106" s="8"/>
      <c r="C1106" s="13" t="str">
        <f aca="false">IF($B1106="","",IFERROR(INDEX(직원목록!$B$3:$B$302,MATCH($B1106,직원목록!$A$3:$A$302,0)),"미등록사번"))</f>
        <v/>
      </c>
      <c r="D1106" s="13" t="str">
        <f aca="false">IF($B1106="","",IFERROR(INDEX(직원목록!$C$3:$C$302,MATCH($B1106,직원목록!$A$3:$A$302,0)),""))</f>
        <v/>
      </c>
      <c r="E1106" s="14"/>
      <c r="F1106" s="14"/>
      <c r="G1106" s="15"/>
      <c r="H1106" s="16" t="str">
        <f aca="false">IF(OR($K1106="",$L1106=""),"",ROUND(MAX(0,($L1106-$K1106)-IF($G1106="",0,$G1106))/60,2))</f>
        <v/>
      </c>
      <c r="I1106" s="8"/>
      <c r="J1106" s="8"/>
      <c r="K1106" s="17" t="str">
        <f aca="false">IF($E1106="","",IF($E1106&lt;1,ROUND($E1106*1440,0),INT($E1106/100)*60+MOD($E1106,100)))</f>
        <v/>
      </c>
      <c r="L1106" s="17" t="str">
        <f aca="false">IF($F1106="","",IF($F1106&lt;1,ROUND($F1106*1440,0),INT($F1106/100)*60+MOD($F1106,100)))</f>
        <v/>
      </c>
    </row>
    <row r="1107" customFormat="false" ht="15" hidden="false" customHeight="true" outlineLevel="0" collapsed="false">
      <c r="A1107" s="10"/>
      <c r="B1107" s="8"/>
      <c r="C1107" s="13" t="str">
        <f aca="false">IF($B1107="","",IFERROR(INDEX(직원목록!$B$3:$B$302,MATCH($B1107,직원목록!$A$3:$A$302,0)),"미등록사번"))</f>
        <v/>
      </c>
      <c r="D1107" s="13" t="str">
        <f aca="false">IF($B1107="","",IFERROR(INDEX(직원목록!$C$3:$C$302,MATCH($B1107,직원목록!$A$3:$A$302,0)),""))</f>
        <v/>
      </c>
      <c r="E1107" s="14"/>
      <c r="F1107" s="14"/>
      <c r="G1107" s="15"/>
      <c r="H1107" s="16" t="str">
        <f aca="false">IF(OR($K1107="",$L1107=""),"",ROUND(MAX(0,($L1107-$K1107)-IF($G1107="",0,$G1107))/60,2))</f>
        <v/>
      </c>
      <c r="I1107" s="8"/>
      <c r="J1107" s="8"/>
      <c r="K1107" s="17" t="str">
        <f aca="false">IF($E1107="","",IF($E1107&lt;1,ROUND($E1107*1440,0),INT($E1107/100)*60+MOD($E1107,100)))</f>
        <v/>
      </c>
      <c r="L1107" s="17" t="str">
        <f aca="false">IF($F1107="","",IF($F1107&lt;1,ROUND($F1107*1440,0),INT($F1107/100)*60+MOD($F1107,100)))</f>
        <v/>
      </c>
    </row>
    <row r="1108" customFormat="false" ht="15" hidden="false" customHeight="true" outlineLevel="0" collapsed="false">
      <c r="A1108" s="10"/>
      <c r="B1108" s="8"/>
      <c r="C1108" s="13" t="str">
        <f aca="false">IF($B1108="","",IFERROR(INDEX(직원목록!$B$3:$B$302,MATCH($B1108,직원목록!$A$3:$A$302,0)),"미등록사번"))</f>
        <v/>
      </c>
      <c r="D1108" s="13" t="str">
        <f aca="false">IF($B1108="","",IFERROR(INDEX(직원목록!$C$3:$C$302,MATCH($B1108,직원목록!$A$3:$A$302,0)),""))</f>
        <v/>
      </c>
      <c r="E1108" s="14"/>
      <c r="F1108" s="14"/>
      <c r="G1108" s="15"/>
      <c r="H1108" s="16" t="str">
        <f aca="false">IF(OR($K1108="",$L1108=""),"",ROUND(MAX(0,($L1108-$K1108)-IF($G1108="",0,$G1108))/60,2))</f>
        <v/>
      </c>
      <c r="I1108" s="8"/>
      <c r="J1108" s="8"/>
      <c r="K1108" s="17" t="str">
        <f aca="false">IF($E1108="","",IF($E1108&lt;1,ROUND($E1108*1440,0),INT($E1108/100)*60+MOD($E1108,100)))</f>
        <v/>
      </c>
      <c r="L1108" s="17" t="str">
        <f aca="false">IF($F1108="","",IF($F1108&lt;1,ROUND($F1108*1440,0),INT($F1108/100)*60+MOD($F1108,100)))</f>
        <v/>
      </c>
    </row>
    <row r="1109" customFormat="false" ht="15" hidden="false" customHeight="true" outlineLevel="0" collapsed="false">
      <c r="A1109" s="10"/>
      <c r="B1109" s="8"/>
      <c r="C1109" s="13" t="str">
        <f aca="false">IF($B1109="","",IFERROR(INDEX(직원목록!$B$3:$B$302,MATCH($B1109,직원목록!$A$3:$A$302,0)),"미등록사번"))</f>
        <v/>
      </c>
      <c r="D1109" s="13" t="str">
        <f aca="false">IF($B1109="","",IFERROR(INDEX(직원목록!$C$3:$C$302,MATCH($B1109,직원목록!$A$3:$A$302,0)),""))</f>
        <v/>
      </c>
      <c r="E1109" s="14"/>
      <c r="F1109" s="14"/>
      <c r="G1109" s="15"/>
      <c r="H1109" s="16" t="str">
        <f aca="false">IF(OR($K1109="",$L1109=""),"",ROUND(MAX(0,($L1109-$K1109)-IF($G1109="",0,$G1109))/60,2))</f>
        <v/>
      </c>
      <c r="I1109" s="8"/>
      <c r="J1109" s="8"/>
      <c r="K1109" s="17" t="str">
        <f aca="false">IF($E1109="","",IF($E1109&lt;1,ROUND($E1109*1440,0),INT($E1109/100)*60+MOD($E1109,100)))</f>
        <v/>
      </c>
      <c r="L1109" s="17" t="str">
        <f aca="false">IF($F1109="","",IF($F1109&lt;1,ROUND($F1109*1440,0),INT($F1109/100)*60+MOD($F1109,100)))</f>
        <v/>
      </c>
    </row>
    <row r="1110" customFormat="false" ht="15" hidden="false" customHeight="true" outlineLevel="0" collapsed="false">
      <c r="A1110" s="10"/>
      <c r="B1110" s="8"/>
      <c r="C1110" s="13" t="str">
        <f aca="false">IF($B1110="","",IFERROR(INDEX(직원목록!$B$3:$B$302,MATCH($B1110,직원목록!$A$3:$A$302,0)),"미등록사번"))</f>
        <v/>
      </c>
      <c r="D1110" s="13" t="str">
        <f aca="false">IF($B1110="","",IFERROR(INDEX(직원목록!$C$3:$C$302,MATCH($B1110,직원목록!$A$3:$A$302,0)),""))</f>
        <v/>
      </c>
      <c r="E1110" s="14"/>
      <c r="F1110" s="14"/>
      <c r="G1110" s="15"/>
      <c r="H1110" s="16" t="str">
        <f aca="false">IF(OR($K1110="",$L1110=""),"",ROUND(MAX(0,($L1110-$K1110)-IF($G1110="",0,$G1110))/60,2))</f>
        <v/>
      </c>
      <c r="I1110" s="8"/>
      <c r="J1110" s="8"/>
      <c r="K1110" s="17" t="str">
        <f aca="false">IF($E1110="","",IF($E1110&lt;1,ROUND($E1110*1440,0),INT($E1110/100)*60+MOD($E1110,100)))</f>
        <v/>
      </c>
      <c r="L1110" s="17" t="str">
        <f aca="false">IF($F1110="","",IF($F1110&lt;1,ROUND($F1110*1440,0),INT($F1110/100)*60+MOD($F1110,100)))</f>
        <v/>
      </c>
    </row>
    <row r="1111" customFormat="false" ht="15" hidden="false" customHeight="true" outlineLevel="0" collapsed="false">
      <c r="A1111" s="10"/>
      <c r="B1111" s="8"/>
      <c r="C1111" s="13" t="str">
        <f aca="false">IF($B1111="","",IFERROR(INDEX(직원목록!$B$3:$B$302,MATCH($B1111,직원목록!$A$3:$A$302,0)),"미등록사번"))</f>
        <v/>
      </c>
      <c r="D1111" s="13" t="str">
        <f aca="false">IF($B1111="","",IFERROR(INDEX(직원목록!$C$3:$C$302,MATCH($B1111,직원목록!$A$3:$A$302,0)),""))</f>
        <v/>
      </c>
      <c r="E1111" s="14"/>
      <c r="F1111" s="14"/>
      <c r="G1111" s="15"/>
      <c r="H1111" s="16" t="str">
        <f aca="false">IF(OR($K1111="",$L1111=""),"",ROUND(MAX(0,($L1111-$K1111)-IF($G1111="",0,$G1111))/60,2))</f>
        <v/>
      </c>
      <c r="I1111" s="8"/>
      <c r="J1111" s="8"/>
      <c r="K1111" s="17" t="str">
        <f aca="false">IF($E1111="","",IF($E1111&lt;1,ROUND($E1111*1440,0),INT($E1111/100)*60+MOD($E1111,100)))</f>
        <v/>
      </c>
      <c r="L1111" s="17" t="str">
        <f aca="false">IF($F1111="","",IF($F1111&lt;1,ROUND($F1111*1440,0),INT($F1111/100)*60+MOD($F1111,100)))</f>
        <v/>
      </c>
    </row>
    <row r="1112" customFormat="false" ht="15" hidden="false" customHeight="true" outlineLevel="0" collapsed="false">
      <c r="A1112" s="10"/>
      <c r="B1112" s="8"/>
      <c r="C1112" s="13" t="str">
        <f aca="false">IF($B1112="","",IFERROR(INDEX(직원목록!$B$3:$B$302,MATCH($B1112,직원목록!$A$3:$A$302,0)),"미등록사번"))</f>
        <v/>
      </c>
      <c r="D1112" s="13" t="str">
        <f aca="false">IF($B1112="","",IFERROR(INDEX(직원목록!$C$3:$C$302,MATCH($B1112,직원목록!$A$3:$A$302,0)),""))</f>
        <v/>
      </c>
      <c r="E1112" s="14"/>
      <c r="F1112" s="14"/>
      <c r="G1112" s="15"/>
      <c r="H1112" s="16" t="str">
        <f aca="false">IF(OR($K1112="",$L1112=""),"",ROUND(MAX(0,($L1112-$K1112)-IF($G1112="",0,$G1112))/60,2))</f>
        <v/>
      </c>
      <c r="I1112" s="8"/>
      <c r="J1112" s="8"/>
      <c r="K1112" s="17" t="str">
        <f aca="false">IF($E1112="","",IF($E1112&lt;1,ROUND($E1112*1440,0),INT($E1112/100)*60+MOD($E1112,100)))</f>
        <v/>
      </c>
      <c r="L1112" s="17" t="str">
        <f aca="false">IF($F1112="","",IF($F1112&lt;1,ROUND($F1112*1440,0),INT($F1112/100)*60+MOD($F1112,100)))</f>
        <v/>
      </c>
    </row>
    <row r="1113" customFormat="false" ht="15" hidden="false" customHeight="true" outlineLevel="0" collapsed="false">
      <c r="A1113" s="10"/>
      <c r="B1113" s="8"/>
      <c r="C1113" s="13" t="str">
        <f aca="false">IF($B1113="","",IFERROR(INDEX(직원목록!$B$3:$B$302,MATCH($B1113,직원목록!$A$3:$A$302,0)),"미등록사번"))</f>
        <v/>
      </c>
      <c r="D1113" s="13" t="str">
        <f aca="false">IF($B1113="","",IFERROR(INDEX(직원목록!$C$3:$C$302,MATCH($B1113,직원목록!$A$3:$A$302,0)),""))</f>
        <v/>
      </c>
      <c r="E1113" s="14"/>
      <c r="F1113" s="14"/>
      <c r="G1113" s="15"/>
      <c r="H1113" s="16" t="str">
        <f aca="false">IF(OR($K1113="",$L1113=""),"",ROUND(MAX(0,($L1113-$K1113)-IF($G1113="",0,$G1113))/60,2))</f>
        <v/>
      </c>
      <c r="I1113" s="8"/>
      <c r="J1113" s="8"/>
      <c r="K1113" s="17" t="str">
        <f aca="false">IF($E1113="","",IF($E1113&lt;1,ROUND($E1113*1440,0),INT($E1113/100)*60+MOD($E1113,100)))</f>
        <v/>
      </c>
      <c r="L1113" s="17" t="str">
        <f aca="false">IF($F1113="","",IF($F1113&lt;1,ROUND($F1113*1440,0),INT($F1113/100)*60+MOD($F1113,100)))</f>
        <v/>
      </c>
    </row>
    <row r="1114" customFormat="false" ht="15" hidden="false" customHeight="true" outlineLevel="0" collapsed="false">
      <c r="A1114" s="10"/>
      <c r="B1114" s="8"/>
      <c r="C1114" s="13" t="str">
        <f aca="false">IF($B1114="","",IFERROR(INDEX(직원목록!$B$3:$B$302,MATCH($B1114,직원목록!$A$3:$A$302,0)),"미등록사번"))</f>
        <v/>
      </c>
      <c r="D1114" s="13" t="str">
        <f aca="false">IF($B1114="","",IFERROR(INDEX(직원목록!$C$3:$C$302,MATCH($B1114,직원목록!$A$3:$A$302,0)),""))</f>
        <v/>
      </c>
      <c r="E1114" s="14"/>
      <c r="F1114" s="14"/>
      <c r="G1114" s="15"/>
      <c r="H1114" s="16" t="str">
        <f aca="false">IF(OR($K1114="",$L1114=""),"",ROUND(MAX(0,($L1114-$K1114)-IF($G1114="",0,$G1114))/60,2))</f>
        <v/>
      </c>
      <c r="I1114" s="8"/>
      <c r="J1114" s="8"/>
      <c r="K1114" s="17" t="str">
        <f aca="false">IF($E1114="","",IF($E1114&lt;1,ROUND($E1114*1440,0),INT($E1114/100)*60+MOD($E1114,100)))</f>
        <v/>
      </c>
      <c r="L1114" s="17" t="str">
        <f aca="false">IF($F1114="","",IF($F1114&lt;1,ROUND($F1114*1440,0),INT($F1114/100)*60+MOD($F1114,100)))</f>
        <v/>
      </c>
    </row>
    <row r="1115" customFormat="false" ht="15" hidden="false" customHeight="true" outlineLevel="0" collapsed="false">
      <c r="A1115" s="10"/>
      <c r="B1115" s="8"/>
      <c r="C1115" s="13" t="str">
        <f aca="false">IF($B1115="","",IFERROR(INDEX(직원목록!$B$3:$B$302,MATCH($B1115,직원목록!$A$3:$A$302,0)),"미등록사번"))</f>
        <v/>
      </c>
      <c r="D1115" s="13" t="str">
        <f aca="false">IF($B1115="","",IFERROR(INDEX(직원목록!$C$3:$C$302,MATCH($B1115,직원목록!$A$3:$A$302,0)),""))</f>
        <v/>
      </c>
      <c r="E1115" s="14"/>
      <c r="F1115" s="14"/>
      <c r="G1115" s="15"/>
      <c r="H1115" s="16" t="str">
        <f aca="false">IF(OR($K1115="",$L1115=""),"",ROUND(MAX(0,($L1115-$K1115)-IF($G1115="",0,$G1115))/60,2))</f>
        <v/>
      </c>
      <c r="I1115" s="8"/>
      <c r="J1115" s="8"/>
      <c r="K1115" s="17" t="str">
        <f aca="false">IF($E1115="","",IF($E1115&lt;1,ROUND($E1115*1440,0),INT($E1115/100)*60+MOD($E1115,100)))</f>
        <v/>
      </c>
      <c r="L1115" s="17" t="str">
        <f aca="false">IF($F1115="","",IF($F1115&lt;1,ROUND($F1115*1440,0),INT($F1115/100)*60+MOD($F1115,100)))</f>
        <v/>
      </c>
    </row>
    <row r="1116" customFormat="false" ht="15" hidden="false" customHeight="true" outlineLevel="0" collapsed="false">
      <c r="A1116" s="10"/>
      <c r="B1116" s="8"/>
      <c r="C1116" s="13" t="str">
        <f aca="false">IF($B1116="","",IFERROR(INDEX(직원목록!$B$3:$B$302,MATCH($B1116,직원목록!$A$3:$A$302,0)),"미등록사번"))</f>
        <v/>
      </c>
      <c r="D1116" s="13" t="str">
        <f aca="false">IF($B1116="","",IFERROR(INDEX(직원목록!$C$3:$C$302,MATCH($B1116,직원목록!$A$3:$A$302,0)),""))</f>
        <v/>
      </c>
      <c r="E1116" s="14"/>
      <c r="F1116" s="14"/>
      <c r="G1116" s="15"/>
      <c r="H1116" s="16" t="str">
        <f aca="false">IF(OR($K1116="",$L1116=""),"",ROUND(MAX(0,($L1116-$K1116)-IF($G1116="",0,$G1116))/60,2))</f>
        <v/>
      </c>
      <c r="I1116" s="8"/>
      <c r="J1116" s="8"/>
      <c r="K1116" s="17" t="str">
        <f aca="false">IF($E1116="","",IF($E1116&lt;1,ROUND($E1116*1440,0),INT($E1116/100)*60+MOD($E1116,100)))</f>
        <v/>
      </c>
      <c r="L1116" s="17" t="str">
        <f aca="false">IF($F1116="","",IF($F1116&lt;1,ROUND($F1116*1440,0),INT($F1116/100)*60+MOD($F1116,100)))</f>
        <v/>
      </c>
    </row>
    <row r="1117" customFormat="false" ht="15" hidden="false" customHeight="true" outlineLevel="0" collapsed="false">
      <c r="A1117" s="10"/>
      <c r="B1117" s="8"/>
      <c r="C1117" s="13" t="str">
        <f aca="false">IF($B1117="","",IFERROR(INDEX(직원목록!$B$3:$B$302,MATCH($B1117,직원목록!$A$3:$A$302,0)),"미등록사번"))</f>
        <v/>
      </c>
      <c r="D1117" s="13" t="str">
        <f aca="false">IF($B1117="","",IFERROR(INDEX(직원목록!$C$3:$C$302,MATCH($B1117,직원목록!$A$3:$A$302,0)),""))</f>
        <v/>
      </c>
      <c r="E1117" s="14"/>
      <c r="F1117" s="14"/>
      <c r="G1117" s="15"/>
      <c r="H1117" s="16" t="str">
        <f aca="false">IF(OR($K1117="",$L1117=""),"",ROUND(MAX(0,($L1117-$K1117)-IF($G1117="",0,$G1117))/60,2))</f>
        <v/>
      </c>
      <c r="I1117" s="8"/>
      <c r="J1117" s="8"/>
      <c r="K1117" s="17" t="str">
        <f aca="false">IF($E1117="","",IF($E1117&lt;1,ROUND($E1117*1440,0),INT($E1117/100)*60+MOD($E1117,100)))</f>
        <v/>
      </c>
      <c r="L1117" s="17" t="str">
        <f aca="false">IF($F1117="","",IF($F1117&lt;1,ROUND($F1117*1440,0),INT($F1117/100)*60+MOD($F1117,100)))</f>
        <v/>
      </c>
    </row>
    <row r="1118" customFormat="false" ht="15" hidden="false" customHeight="true" outlineLevel="0" collapsed="false">
      <c r="A1118" s="10"/>
      <c r="B1118" s="8"/>
      <c r="C1118" s="13" t="str">
        <f aca="false">IF($B1118="","",IFERROR(INDEX(직원목록!$B$3:$B$302,MATCH($B1118,직원목록!$A$3:$A$302,0)),"미등록사번"))</f>
        <v/>
      </c>
      <c r="D1118" s="13" t="str">
        <f aca="false">IF($B1118="","",IFERROR(INDEX(직원목록!$C$3:$C$302,MATCH($B1118,직원목록!$A$3:$A$302,0)),""))</f>
        <v/>
      </c>
      <c r="E1118" s="14"/>
      <c r="F1118" s="14"/>
      <c r="G1118" s="15"/>
      <c r="H1118" s="16" t="str">
        <f aca="false">IF(OR($K1118="",$L1118=""),"",ROUND(MAX(0,($L1118-$K1118)-IF($G1118="",0,$G1118))/60,2))</f>
        <v/>
      </c>
      <c r="I1118" s="8"/>
      <c r="J1118" s="8"/>
      <c r="K1118" s="17" t="str">
        <f aca="false">IF($E1118="","",IF($E1118&lt;1,ROUND($E1118*1440,0),INT($E1118/100)*60+MOD($E1118,100)))</f>
        <v/>
      </c>
      <c r="L1118" s="17" t="str">
        <f aca="false">IF($F1118="","",IF($F1118&lt;1,ROUND($F1118*1440,0),INT($F1118/100)*60+MOD($F1118,100)))</f>
        <v/>
      </c>
    </row>
    <row r="1119" customFormat="false" ht="15" hidden="false" customHeight="true" outlineLevel="0" collapsed="false">
      <c r="A1119" s="10"/>
      <c r="B1119" s="8"/>
      <c r="C1119" s="13" t="str">
        <f aca="false">IF($B1119="","",IFERROR(INDEX(직원목록!$B$3:$B$302,MATCH($B1119,직원목록!$A$3:$A$302,0)),"미등록사번"))</f>
        <v/>
      </c>
      <c r="D1119" s="13" t="str">
        <f aca="false">IF($B1119="","",IFERROR(INDEX(직원목록!$C$3:$C$302,MATCH($B1119,직원목록!$A$3:$A$302,0)),""))</f>
        <v/>
      </c>
      <c r="E1119" s="14"/>
      <c r="F1119" s="14"/>
      <c r="G1119" s="15"/>
      <c r="H1119" s="16" t="str">
        <f aca="false">IF(OR($K1119="",$L1119=""),"",ROUND(MAX(0,($L1119-$K1119)-IF($G1119="",0,$G1119))/60,2))</f>
        <v/>
      </c>
      <c r="I1119" s="8"/>
      <c r="J1119" s="8"/>
      <c r="K1119" s="17" t="str">
        <f aca="false">IF($E1119="","",IF($E1119&lt;1,ROUND($E1119*1440,0),INT($E1119/100)*60+MOD($E1119,100)))</f>
        <v/>
      </c>
      <c r="L1119" s="17" t="str">
        <f aca="false">IF($F1119="","",IF($F1119&lt;1,ROUND($F1119*1440,0),INT($F1119/100)*60+MOD($F1119,100)))</f>
        <v/>
      </c>
    </row>
    <row r="1120" customFormat="false" ht="15" hidden="false" customHeight="true" outlineLevel="0" collapsed="false">
      <c r="A1120" s="10"/>
      <c r="B1120" s="8"/>
      <c r="C1120" s="13" t="str">
        <f aca="false">IF($B1120="","",IFERROR(INDEX(직원목록!$B$3:$B$302,MATCH($B1120,직원목록!$A$3:$A$302,0)),"미등록사번"))</f>
        <v/>
      </c>
      <c r="D1120" s="13" t="str">
        <f aca="false">IF($B1120="","",IFERROR(INDEX(직원목록!$C$3:$C$302,MATCH($B1120,직원목록!$A$3:$A$302,0)),""))</f>
        <v/>
      </c>
      <c r="E1120" s="14"/>
      <c r="F1120" s="14"/>
      <c r="G1120" s="15"/>
      <c r="H1120" s="16" t="str">
        <f aca="false">IF(OR($K1120="",$L1120=""),"",ROUND(MAX(0,($L1120-$K1120)-IF($G1120="",0,$G1120))/60,2))</f>
        <v/>
      </c>
      <c r="I1120" s="8"/>
      <c r="J1120" s="8"/>
      <c r="K1120" s="17" t="str">
        <f aca="false">IF($E1120="","",IF($E1120&lt;1,ROUND($E1120*1440,0),INT($E1120/100)*60+MOD($E1120,100)))</f>
        <v/>
      </c>
      <c r="L1120" s="17" t="str">
        <f aca="false">IF($F1120="","",IF($F1120&lt;1,ROUND($F1120*1440,0),INT($F1120/100)*60+MOD($F1120,100)))</f>
        <v/>
      </c>
    </row>
    <row r="1121" customFormat="false" ht="15" hidden="false" customHeight="true" outlineLevel="0" collapsed="false">
      <c r="A1121" s="10"/>
      <c r="B1121" s="8"/>
      <c r="C1121" s="13" t="str">
        <f aca="false">IF($B1121="","",IFERROR(INDEX(직원목록!$B$3:$B$302,MATCH($B1121,직원목록!$A$3:$A$302,0)),"미등록사번"))</f>
        <v/>
      </c>
      <c r="D1121" s="13" t="str">
        <f aca="false">IF($B1121="","",IFERROR(INDEX(직원목록!$C$3:$C$302,MATCH($B1121,직원목록!$A$3:$A$302,0)),""))</f>
        <v/>
      </c>
      <c r="E1121" s="14"/>
      <c r="F1121" s="14"/>
      <c r="G1121" s="15"/>
      <c r="H1121" s="16" t="str">
        <f aca="false">IF(OR($K1121="",$L1121=""),"",ROUND(MAX(0,($L1121-$K1121)-IF($G1121="",0,$G1121))/60,2))</f>
        <v/>
      </c>
      <c r="I1121" s="8"/>
      <c r="J1121" s="8"/>
      <c r="K1121" s="17" t="str">
        <f aca="false">IF($E1121="","",IF($E1121&lt;1,ROUND($E1121*1440,0),INT($E1121/100)*60+MOD($E1121,100)))</f>
        <v/>
      </c>
      <c r="L1121" s="17" t="str">
        <f aca="false">IF($F1121="","",IF($F1121&lt;1,ROUND($F1121*1440,0),INT($F1121/100)*60+MOD($F1121,100)))</f>
        <v/>
      </c>
    </row>
    <row r="1122" customFormat="false" ht="15" hidden="false" customHeight="true" outlineLevel="0" collapsed="false">
      <c r="A1122" s="10"/>
      <c r="B1122" s="8"/>
      <c r="C1122" s="13" t="str">
        <f aca="false">IF($B1122="","",IFERROR(INDEX(직원목록!$B$3:$B$302,MATCH($B1122,직원목록!$A$3:$A$302,0)),"미등록사번"))</f>
        <v/>
      </c>
      <c r="D1122" s="13" t="str">
        <f aca="false">IF($B1122="","",IFERROR(INDEX(직원목록!$C$3:$C$302,MATCH($B1122,직원목록!$A$3:$A$302,0)),""))</f>
        <v/>
      </c>
      <c r="E1122" s="14"/>
      <c r="F1122" s="14"/>
      <c r="G1122" s="15"/>
      <c r="H1122" s="16" t="str">
        <f aca="false">IF(OR($K1122="",$L1122=""),"",ROUND(MAX(0,($L1122-$K1122)-IF($G1122="",0,$G1122))/60,2))</f>
        <v/>
      </c>
      <c r="I1122" s="8"/>
      <c r="J1122" s="8"/>
      <c r="K1122" s="17" t="str">
        <f aca="false">IF($E1122="","",IF($E1122&lt;1,ROUND($E1122*1440,0),INT($E1122/100)*60+MOD($E1122,100)))</f>
        <v/>
      </c>
      <c r="L1122" s="17" t="str">
        <f aca="false">IF($F1122="","",IF($F1122&lt;1,ROUND($F1122*1440,0),INT($F1122/100)*60+MOD($F1122,100)))</f>
        <v/>
      </c>
    </row>
    <row r="1123" customFormat="false" ht="15" hidden="false" customHeight="true" outlineLevel="0" collapsed="false">
      <c r="A1123" s="10"/>
      <c r="B1123" s="8"/>
      <c r="C1123" s="13" t="str">
        <f aca="false">IF($B1123="","",IFERROR(INDEX(직원목록!$B$3:$B$302,MATCH($B1123,직원목록!$A$3:$A$302,0)),"미등록사번"))</f>
        <v/>
      </c>
      <c r="D1123" s="13" t="str">
        <f aca="false">IF($B1123="","",IFERROR(INDEX(직원목록!$C$3:$C$302,MATCH($B1123,직원목록!$A$3:$A$302,0)),""))</f>
        <v/>
      </c>
      <c r="E1123" s="14"/>
      <c r="F1123" s="14"/>
      <c r="G1123" s="15"/>
      <c r="H1123" s="16" t="str">
        <f aca="false">IF(OR($K1123="",$L1123=""),"",ROUND(MAX(0,($L1123-$K1123)-IF($G1123="",0,$G1123))/60,2))</f>
        <v/>
      </c>
      <c r="I1123" s="8"/>
      <c r="J1123" s="8"/>
      <c r="K1123" s="17" t="str">
        <f aca="false">IF($E1123="","",IF($E1123&lt;1,ROUND($E1123*1440,0),INT($E1123/100)*60+MOD($E1123,100)))</f>
        <v/>
      </c>
      <c r="L1123" s="17" t="str">
        <f aca="false">IF($F1123="","",IF($F1123&lt;1,ROUND($F1123*1440,0),INT($F1123/100)*60+MOD($F1123,100)))</f>
        <v/>
      </c>
    </row>
    <row r="1124" customFormat="false" ht="15" hidden="false" customHeight="true" outlineLevel="0" collapsed="false">
      <c r="A1124" s="10"/>
      <c r="B1124" s="8"/>
      <c r="C1124" s="13" t="str">
        <f aca="false">IF($B1124="","",IFERROR(INDEX(직원목록!$B$3:$B$302,MATCH($B1124,직원목록!$A$3:$A$302,0)),"미등록사번"))</f>
        <v/>
      </c>
      <c r="D1124" s="13" t="str">
        <f aca="false">IF($B1124="","",IFERROR(INDEX(직원목록!$C$3:$C$302,MATCH($B1124,직원목록!$A$3:$A$302,0)),""))</f>
        <v/>
      </c>
      <c r="E1124" s="14"/>
      <c r="F1124" s="14"/>
      <c r="G1124" s="15"/>
      <c r="H1124" s="16" t="str">
        <f aca="false">IF(OR($K1124="",$L1124=""),"",ROUND(MAX(0,($L1124-$K1124)-IF($G1124="",0,$G1124))/60,2))</f>
        <v/>
      </c>
      <c r="I1124" s="8"/>
      <c r="J1124" s="8"/>
      <c r="K1124" s="17" t="str">
        <f aca="false">IF($E1124="","",IF($E1124&lt;1,ROUND($E1124*1440,0),INT($E1124/100)*60+MOD($E1124,100)))</f>
        <v/>
      </c>
      <c r="L1124" s="17" t="str">
        <f aca="false">IF($F1124="","",IF($F1124&lt;1,ROUND($F1124*1440,0),INT($F1124/100)*60+MOD($F1124,100)))</f>
        <v/>
      </c>
    </row>
    <row r="1125" customFormat="false" ht="15" hidden="false" customHeight="true" outlineLevel="0" collapsed="false">
      <c r="A1125" s="10"/>
      <c r="B1125" s="8"/>
      <c r="C1125" s="13" t="str">
        <f aca="false">IF($B1125="","",IFERROR(INDEX(직원목록!$B$3:$B$302,MATCH($B1125,직원목록!$A$3:$A$302,0)),"미등록사번"))</f>
        <v/>
      </c>
      <c r="D1125" s="13" t="str">
        <f aca="false">IF($B1125="","",IFERROR(INDEX(직원목록!$C$3:$C$302,MATCH($B1125,직원목록!$A$3:$A$302,0)),""))</f>
        <v/>
      </c>
      <c r="E1125" s="14"/>
      <c r="F1125" s="14"/>
      <c r="G1125" s="15"/>
      <c r="H1125" s="16" t="str">
        <f aca="false">IF(OR($K1125="",$L1125=""),"",ROUND(MAX(0,($L1125-$K1125)-IF($G1125="",0,$G1125))/60,2))</f>
        <v/>
      </c>
      <c r="I1125" s="8"/>
      <c r="J1125" s="8"/>
      <c r="K1125" s="17" t="str">
        <f aca="false">IF($E1125="","",IF($E1125&lt;1,ROUND($E1125*1440,0),INT($E1125/100)*60+MOD($E1125,100)))</f>
        <v/>
      </c>
      <c r="L1125" s="17" t="str">
        <f aca="false">IF($F1125="","",IF($F1125&lt;1,ROUND($F1125*1440,0),INT($F1125/100)*60+MOD($F1125,100)))</f>
        <v/>
      </c>
    </row>
    <row r="1126" customFormat="false" ht="15" hidden="false" customHeight="true" outlineLevel="0" collapsed="false">
      <c r="A1126" s="10"/>
      <c r="B1126" s="8"/>
      <c r="C1126" s="13" t="str">
        <f aca="false">IF($B1126="","",IFERROR(INDEX(직원목록!$B$3:$B$302,MATCH($B1126,직원목록!$A$3:$A$302,0)),"미등록사번"))</f>
        <v/>
      </c>
      <c r="D1126" s="13" t="str">
        <f aca="false">IF($B1126="","",IFERROR(INDEX(직원목록!$C$3:$C$302,MATCH($B1126,직원목록!$A$3:$A$302,0)),""))</f>
        <v/>
      </c>
      <c r="E1126" s="14"/>
      <c r="F1126" s="14"/>
      <c r="G1126" s="15"/>
      <c r="H1126" s="16" t="str">
        <f aca="false">IF(OR($K1126="",$L1126=""),"",ROUND(MAX(0,($L1126-$K1126)-IF($G1126="",0,$G1126))/60,2))</f>
        <v/>
      </c>
      <c r="I1126" s="8"/>
      <c r="J1126" s="8"/>
      <c r="K1126" s="17" t="str">
        <f aca="false">IF($E1126="","",IF($E1126&lt;1,ROUND($E1126*1440,0),INT($E1126/100)*60+MOD($E1126,100)))</f>
        <v/>
      </c>
      <c r="L1126" s="17" t="str">
        <f aca="false">IF($F1126="","",IF($F1126&lt;1,ROUND($F1126*1440,0),INT($F1126/100)*60+MOD($F1126,100)))</f>
        <v/>
      </c>
    </row>
    <row r="1127" customFormat="false" ht="15" hidden="false" customHeight="true" outlineLevel="0" collapsed="false">
      <c r="A1127" s="10"/>
      <c r="B1127" s="8"/>
      <c r="C1127" s="13" t="str">
        <f aca="false">IF($B1127="","",IFERROR(INDEX(직원목록!$B$3:$B$302,MATCH($B1127,직원목록!$A$3:$A$302,0)),"미등록사번"))</f>
        <v/>
      </c>
      <c r="D1127" s="13" t="str">
        <f aca="false">IF($B1127="","",IFERROR(INDEX(직원목록!$C$3:$C$302,MATCH($B1127,직원목록!$A$3:$A$302,0)),""))</f>
        <v/>
      </c>
      <c r="E1127" s="14"/>
      <c r="F1127" s="14"/>
      <c r="G1127" s="15"/>
      <c r="H1127" s="16" t="str">
        <f aca="false">IF(OR($K1127="",$L1127=""),"",ROUND(MAX(0,($L1127-$K1127)-IF($G1127="",0,$G1127))/60,2))</f>
        <v/>
      </c>
      <c r="I1127" s="8"/>
      <c r="J1127" s="8"/>
      <c r="K1127" s="17" t="str">
        <f aca="false">IF($E1127="","",IF($E1127&lt;1,ROUND($E1127*1440,0),INT($E1127/100)*60+MOD($E1127,100)))</f>
        <v/>
      </c>
      <c r="L1127" s="17" t="str">
        <f aca="false">IF($F1127="","",IF($F1127&lt;1,ROUND($F1127*1440,0),INT($F1127/100)*60+MOD($F1127,100)))</f>
        <v/>
      </c>
    </row>
    <row r="1128" customFormat="false" ht="15" hidden="false" customHeight="true" outlineLevel="0" collapsed="false">
      <c r="A1128" s="10"/>
      <c r="B1128" s="8"/>
      <c r="C1128" s="13" t="str">
        <f aca="false">IF($B1128="","",IFERROR(INDEX(직원목록!$B$3:$B$302,MATCH($B1128,직원목록!$A$3:$A$302,0)),"미등록사번"))</f>
        <v/>
      </c>
      <c r="D1128" s="13" t="str">
        <f aca="false">IF($B1128="","",IFERROR(INDEX(직원목록!$C$3:$C$302,MATCH($B1128,직원목록!$A$3:$A$302,0)),""))</f>
        <v/>
      </c>
      <c r="E1128" s="14"/>
      <c r="F1128" s="14"/>
      <c r="G1128" s="15"/>
      <c r="H1128" s="16" t="str">
        <f aca="false">IF(OR($K1128="",$L1128=""),"",ROUND(MAX(0,($L1128-$K1128)-IF($G1128="",0,$G1128))/60,2))</f>
        <v/>
      </c>
      <c r="I1128" s="8"/>
      <c r="J1128" s="8"/>
      <c r="K1128" s="17" t="str">
        <f aca="false">IF($E1128="","",IF($E1128&lt;1,ROUND($E1128*1440,0),INT($E1128/100)*60+MOD($E1128,100)))</f>
        <v/>
      </c>
      <c r="L1128" s="17" t="str">
        <f aca="false">IF($F1128="","",IF($F1128&lt;1,ROUND($F1128*1440,0),INT($F1128/100)*60+MOD($F1128,100)))</f>
        <v/>
      </c>
    </row>
    <row r="1129" customFormat="false" ht="15" hidden="false" customHeight="true" outlineLevel="0" collapsed="false">
      <c r="A1129" s="10"/>
      <c r="B1129" s="8"/>
      <c r="C1129" s="13" t="str">
        <f aca="false">IF($B1129="","",IFERROR(INDEX(직원목록!$B$3:$B$302,MATCH($B1129,직원목록!$A$3:$A$302,0)),"미등록사번"))</f>
        <v/>
      </c>
      <c r="D1129" s="13" t="str">
        <f aca="false">IF($B1129="","",IFERROR(INDEX(직원목록!$C$3:$C$302,MATCH($B1129,직원목록!$A$3:$A$302,0)),""))</f>
        <v/>
      </c>
      <c r="E1129" s="14"/>
      <c r="F1129" s="14"/>
      <c r="G1129" s="15"/>
      <c r="H1129" s="16" t="str">
        <f aca="false">IF(OR($K1129="",$L1129=""),"",ROUND(MAX(0,($L1129-$K1129)-IF($G1129="",0,$G1129))/60,2))</f>
        <v/>
      </c>
      <c r="I1129" s="8"/>
      <c r="J1129" s="8"/>
      <c r="K1129" s="17" t="str">
        <f aca="false">IF($E1129="","",IF($E1129&lt;1,ROUND($E1129*1440,0),INT($E1129/100)*60+MOD($E1129,100)))</f>
        <v/>
      </c>
      <c r="L1129" s="17" t="str">
        <f aca="false">IF($F1129="","",IF($F1129&lt;1,ROUND($F1129*1440,0),INT($F1129/100)*60+MOD($F1129,100)))</f>
        <v/>
      </c>
    </row>
    <row r="1130" customFormat="false" ht="15" hidden="false" customHeight="true" outlineLevel="0" collapsed="false">
      <c r="A1130" s="10"/>
      <c r="B1130" s="8"/>
      <c r="C1130" s="13" t="str">
        <f aca="false">IF($B1130="","",IFERROR(INDEX(직원목록!$B$3:$B$302,MATCH($B1130,직원목록!$A$3:$A$302,0)),"미등록사번"))</f>
        <v/>
      </c>
      <c r="D1130" s="13" t="str">
        <f aca="false">IF($B1130="","",IFERROR(INDEX(직원목록!$C$3:$C$302,MATCH($B1130,직원목록!$A$3:$A$302,0)),""))</f>
        <v/>
      </c>
      <c r="E1130" s="14"/>
      <c r="F1130" s="14"/>
      <c r="G1130" s="15"/>
      <c r="H1130" s="16" t="str">
        <f aca="false">IF(OR($K1130="",$L1130=""),"",ROUND(MAX(0,($L1130-$K1130)-IF($G1130="",0,$G1130))/60,2))</f>
        <v/>
      </c>
      <c r="I1130" s="8"/>
      <c r="J1130" s="8"/>
      <c r="K1130" s="17" t="str">
        <f aca="false">IF($E1130="","",IF($E1130&lt;1,ROUND($E1130*1440,0),INT($E1130/100)*60+MOD($E1130,100)))</f>
        <v/>
      </c>
      <c r="L1130" s="17" t="str">
        <f aca="false">IF($F1130="","",IF($F1130&lt;1,ROUND($F1130*1440,0),INT($F1130/100)*60+MOD($F1130,100)))</f>
        <v/>
      </c>
    </row>
    <row r="1131" customFormat="false" ht="15" hidden="false" customHeight="true" outlineLevel="0" collapsed="false">
      <c r="A1131" s="10"/>
      <c r="B1131" s="8"/>
      <c r="C1131" s="13" t="str">
        <f aca="false">IF($B1131="","",IFERROR(INDEX(직원목록!$B$3:$B$302,MATCH($B1131,직원목록!$A$3:$A$302,0)),"미등록사번"))</f>
        <v/>
      </c>
      <c r="D1131" s="13" t="str">
        <f aca="false">IF($B1131="","",IFERROR(INDEX(직원목록!$C$3:$C$302,MATCH($B1131,직원목록!$A$3:$A$302,0)),""))</f>
        <v/>
      </c>
      <c r="E1131" s="14"/>
      <c r="F1131" s="14"/>
      <c r="G1131" s="15"/>
      <c r="H1131" s="16" t="str">
        <f aca="false">IF(OR($K1131="",$L1131=""),"",ROUND(MAX(0,($L1131-$K1131)-IF($G1131="",0,$G1131))/60,2))</f>
        <v/>
      </c>
      <c r="I1131" s="8"/>
      <c r="J1131" s="8"/>
      <c r="K1131" s="17" t="str">
        <f aca="false">IF($E1131="","",IF($E1131&lt;1,ROUND($E1131*1440,0),INT($E1131/100)*60+MOD($E1131,100)))</f>
        <v/>
      </c>
      <c r="L1131" s="17" t="str">
        <f aca="false">IF($F1131="","",IF($F1131&lt;1,ROUND($F1131*1440,0),INT($F1131/100)*60+MOD($F1131,100)))</f>
        <v/>
      </c>
    </row>
    <row r="1132" customFormat="false" ht="15" hidden="false" customHeight="true" outlineLevel="0" collapsed="false">
      <c r="A1132" s="10"/>
      <c r="B1132" s="8"/>
      <c r="C1132" s="13" t="str">
        <f aca="false">IF($B1132="","",IFERROR(INDEX(직원목록!$B$3:$B$302,MATCH($B1132,직원목록!$A$3:$A$302,0)),"미등록사번"))</f>
        <v/>
      </c>
      <c r="D1132" s="13" t="str">
        <f aca="false">IF($B1132="","",IFERROR(INDEX(직원목록!$C$3:$C$302,MATCH($B1132,직원목록!$A$3:$A$302,0)),""))</f>
        <v/>
      </c>
      <c r="E1132" s="14"/>
      <c r="F1132" s="14"/>
      <c r="G1132" s="15"/>
      <c r="H1132" s="16" t="str">
        <f aca="false">IF(OR($K1132="",$L1132=""),"",ROUND(MAX(0,($L1132-$K1132)-IF($G1132="",0,$G1132))/60,2))</f>
        <v/>
      </c>
      <c r="I1132" s="8"/>
      <c r="J1132" s="8"/>
      <c r="K1132" s="17" t="str">
        <f aca="false">IF($E1132="","",IF($E1132&lt;1,ROUND($E1132*1440,0),INT($E1132/100)*60+MOD($E1132,100)))</f>
        <v/>
      </c>
      <c r="L1132" s="17" t="str">
        <f aca="false">IF($F1132="","",IF($F1132&lt;1,ROUND($F1132*1440,0),INT($F1132/100)*60+MOD($F1132,100)))</f>
        <v/>
      </c>
    </row>
    <row r="1133" customFormat="false" ht="15" hidden="false" customHeight="true" outlineLevel="0" collapsed="false">
      <c r="A1133" s="10"/>
      <c r="B1133" s="8"/>
      <c r="C1133" s="13" t="str">
        <f aca="false">IF($B1133="","",IFERROR(INDEX(직원목록!$B$3:$B$302,MATCH($B1133,직원목록!$A$3:$A$302,0)),"미등록사번"))</f>
        <v/>
      </c>
      <c r="D1133" s="13" t="str">
        <f aca="false">IF($B1133="","",IFERROR(INDEX(직원목록!$C$3:$C$302,MATCH($B1133,직원목록!$A$3:$A$302,0)),""))</f>
        <v/>
      </c>
      <c r="E1133" s="14"/>
      <c r="F1133" s="14"/>
      <c r="G1133" s="15"/>
      <c r="H1133" s="16" t="str">
        <f aca="false">IF(OR($K1133="",$L1133=""),"",ROUND(MAX(0,($L1133-$K1133)-IF($G1133="",0,$G1133))/60,2))</f>
        <v/>
      </c>
      <c r="I1133" s="8"/>
      <c r="J1133" s="8"/>
      <c r="K1133" s="17" t="str">
        <f aca="false">IF($E1133="","",IF($E1133&lt;1,ROUND($E1133*1440,0),INT($E1133/100)*60+MOD($E1133,100)))</f>
        <v/>
      </c>
      <c r="L1133" s="17" t="str">
        <f aca="false">IF($F1133="","",IF($F1133&lt;1,ROUND($F1133*1440,0),INT($F1133/100)*60+MOD($F1133,100)))</f>
        <v/>
      </c>
    </row>
    <row r="1134" customFormat="false" ht="15" hidden="false" customHeight="true" outlineLevel="0" collapsed="false">
      <c r="A1134" s="10"/>
      <c r="B1134" s="8"/>
      <c r="C1134" s="13" t="str">
        <f aca="false">IF($B1134="","",IFERROR(INDEX(직원목록!$B$3:$B$302,MATCH($B1134,직원목록!$A$3:$A$302,0)),"미등록사번"))</f>
        <v/>
      </c>
      <c r="D1134" s="13" t="str">
        <f aca="false">IF($B1134="","",IFERROR(INDEX(직원목록!$C$3:$C$302,MATCH($B1134,직원목록!$A$3:$A$302,0)),""))</f>
        <v/>
      </c>
      <c r="E1134" s="14"/>
      <c r="F1134" s="14"/>
      <c r="G1134" s="15"/>
      <c r="H1134" s="16" t="str">
        <f aca="false">IF(OR($K1134="",$L1134=""),"",ROUND(MAX(0,($L1134-$K1134)-IF($G1134="",0,$G1134))/60,2))</f>
        <v/>
      </c>
      <c r="I1134" s="8"/>
      <c r="J1134" s="8"/>
      <c r="K1134" s="17" t="str">
        <f aca="false">IF($E1134="","",IF($E1134&lt;1,ROUND($E1134*1440,0),INT($E1134/100)*60+MOD($E1134,100)))</f>
        <v/>
      </c>
      <c r="L1134" s="17" t="str">
        <f aca="false">IF($F1134="","",IF($F1134&lt;1,ROUND($F1134*1440,0),INT($F1134/100)*60+MOD($F1134,100)))</f>
        <v/>
      </c>
    </row>
    <row r="1135" customFormat="false" ht="15" hidden="false" customHeight="true" outlineLevel="0" collapsed="false">
      <c r="A1135" s="10"/>
      <c r="B1135" s="8"/>
      <c r="C1135" s="13" t="str">
        <f aca="false">IF($B1135="","",IFERROR(INDEX(직원목록!$B$3:$B$302,MATCH($B1135,직원목록!$A$3:$A$302,0)),"미등록사번"))</f>
        <v/>
      </c>
      <c r="D1135" s="13" t="str">
        <f aca="false">IF($B1135="","",IFERROR(INDEX(직원목록!$C$3:$C$302,MATCH($B1135,직원목록!$A$3:$A$302,0)),""))</f>
        <v/>
      </c>
      <c r="E1135" s="14"/>
      <c r="F1135" s="14"/>
      <c r="G1135" s="15"/>
      <c r="H1135" s="16" t="str">
        <f aca="false">IF(OR($K1135="",$L1135=""),"",ROUND(MAX(0,($L1135-$K1135)-IF($G1135="",0,$G1135))/60,2))</f>
        <v/>
      </c>
      <c r="I1135" s="8"/>
      <c r="J1135" s="8"/>
      <c r="K1135" s="17" t="str">
        <f aca="false">IF($E1135="","",IF($E1135&lt;1,ROUND($E1135*1440,0),INT($E1135/100)*60+MOD($E1135,100)))</f>
        <v/>
      </c>
      <c r="L1135" s="17" t="str">
        <f aca="false">IF($F1135="","",IF($F1135&lt;1,ROUND($F1135*1440,0),INT($F1135/100)*60+MOD($F1135,100)))</f>
        <v/>
      </c>
    </row>
    <row r="1136" customFormat="false" ht="15" hidden="false" customHeight="true" outlineLevel="0" collapsed="false">
      <c r="A1136" s="10"/>
      <c r="B1136" s="8"/>
      <c r="C1136" s="13" t="str">
        <f aca="false">IF($B1136="","",IFERROR(INDEX(직원목록!$B$3:$B$302,MATCH($B1136,직원목록!$A$3:$A$302,0)),"미등록사번"))</f>
        <v/>
      </c>
      <c r="D1136" s="13" t="str">
        <f aca="false">IF($B1136="","",IFERROR(INDEX(직원목록!$C$3:$C$302,MATCH($B1136,직원목록!$A$3:$A$302,0)),""))</f>
        <v/>
      </c>
      <c r="E1136" s="14"/>
      <c r="F1136" s="14"/>
      <c r="G1136" s="15"/>
      <c r="H1136" s="16" t="str">
        <f aca="false">IF(OR($K1136="",$L1136=""),"",ROUND(MAX(0,($L1136-$K1136)-IF($G1136="",0,$G1136))/60,2))</f>
        <v/>
      </c>
      <c r="I1136" s="8"/>
      <c r="J1136" s="8"/>
      <c r="K1136" s="17" t="str">
        <f aca="false">IF($E1136="","",IF($E1136&lt;1,ROUND($E1136*1440,0),INT($E1136/100)*60+MOD($E1136,100)))</f>
        <v/>
      </c>
      <c r="L1136" s="17" t="str">
        <f aca="false">IF($F1136="","",IF($F1136&lt;1,ROUND($F1136*1440,0),INT($F1136/100)*60+MOD($F1136,100)))</f>
        <v/>
      </c>
    </row>
    <row r="1137" customFormat="false" ht="15" hidden="false" customHeight="true" outlineLevel="0" collapsed="false">
      <c r="A1137" s="10"/>
      <c r="B1137" s="8"/>
      <c r="C1137" s="13" t="str">
        <f aca="false">IF($B1137="","",IFERROR(INDEX(직원목록!$B$3:$B$302,MATCH($B1137,직원목록!$A$3:$A$302,0)),"미등록사번"))</f>
        <v/>
      </c>
      <c r="D1137" s="13" t="str">
        <f aca="false">IF($B1137="","",IFERROR(INDEX(직원목록!$C$3:$C$302,MATCH($B1137,직원목록!$A$3:$A$302,0)),""))</f>
        <v/>
      </c>
      <c r="E1137" s="14"/>
      <c r="F1137" s="14"/>
      <c r="G1137" s="15"/>
      <c r="H1137" s="16" t="str">
        <f aca="false">IF(OR($K1137="",$L1137=""),"",ROUND(MAX(0,($L1137-$K1137)-IF($G1137="",0,$G1137))/60,2))</f>
        <v/>
      </c>
      <c r="I1137" s="8"/>
      <c r="J1137" s="8"/>
      <c r="K1137" s="17" t="str">
        <f aca="false">IF($E1137="","",IF($E1137&lt;1,ROUND($E1137*1440,0),INT($E1137/100)*60+MOD($E1137,100)))</f>
        <v/>
      </c>
      <c r="L1137" s="17" t="str">
        <f aca="false">IF($F1137="","",IF($F1137&lt;1,ROUND($F1137*1440,0),INT($F1137/100)*60+MOD($F1137,100)))</f>
        <v/>
      </c>
    </row>
    <row r="1138" customFormat="false" ht="15" hidden="false" customHeight="true" outlineLevel="0" collapsed="false">
      <c r="A1138" s="10"/>
      <c r="B1138" s="8"/>
      <c r="C1138" s="13" t="str">
        <f aca="false">IF($B1138="","",IFERROR(INDEX(직원목록!$B$3:$B$302,MATCH($B1138,직원목록!$A$3:$A$302,0)),"미등록사번"))</f>
        <v/>
      </c>
      <c r="D1138" s="13" t="str">
        <f aca="false">IF($B1138="","",IFERROR(INDEX(직원목록!$C$3:$C$302,MATCH($B1138,직원목록!$A$3:$A$302,0)),""))</f>
        <v/>
      </c>
      <c r="E1138" s="14"/>
      <c r="F1138" s="14"/>
      <c r="G1138" s="15"/>
      <c r="H1138" s="16" t="str">
        <f aca="false">IF(OR($K1138="",$L1138=""),"",ROUND(MAX(0,($L1138-$K1138)-IF($G1138="",0,$G1138))/60,2))</f>
        <v/>
      </c>
      <c r="I1138" s="8"/>
      <c r="J1138" s="8"/>
      <c r="K1138" s="17" t="str">
        <f aca="false">IF($E1138="","",IF($E1138&lt;1,ROUND($E1138*1440,0),INT($E1138/100)*60+MOD($E1138,100)))</f>
        <v/>
      </c>
      <c r="L1138" s="17" t="str">
        <f aca="false">IF($F1138="","",IF($F1138&lt;1,ROUND($F1138*1440,0),INT($F1138/100)*60+MOD($F1138,100)))</f>
        <v/>
      </c>
    </row>
    <row r="1139" customFormat="false" ht="15" hidden="false" customHeight="true" outlineLevel="0" collapsed="false">
      <c r="A1139" s="10"/>
      <c r="B1139" s="8"/>
      <c r="C1139" s="13" t="str">
        <f aca="false">IF($B1139="","",IFERROR(INDEX(직원목록!$B$3:$B$302,MATCH($B1139,직원목록!$A$3:$A$302,0)),"미등록사번"))</f>
        <v/>
      </c>
      <c r="D1139" s="13" t="str">
        <f aca="false">IF($B1139="","",IFERROR(INDEX(직원목록!$C$3:$C$302,MATCH($B1139,직원목록!$A$3:$A$302,0)),""))</f>
        <v/>
      </c>
      <c r="E1139" s="14"/>
      <c r="F1139" s="14"/>
      <c r="G1139" s="15"/>
      <c r="H1139" s="16" t="str">
        <f aca="false">IF(OR($K1139="",$L1139=""),"",ROUND(MAX(0,($L1139-$K1139)-IF($G1139="",0,$G1139))/60,2))</f>
        <v/>
      </c>
      <c r="I1139" s="8"/>
      <c r="J1139" s="8"/>
      <c r="K1139" s="17" t="str">
        <f aca="false">IF($E1139="","",IF($E1139&lt;1,ROUND($E1139*1440,0),INT($E1139/100)*60+MOD($E1139,100)))</f>
        <v/>
      </c>
      <c r="L1139" s="17" t="str">
        <f aca="false">IF($F1139="","",IF($F1139&lt;1,ROUND($F1139*1440,0),INT($F1139/100)*60+MOD($F1139,100)))</f>
        <v/>
      </c>
    </row>
    <row r="1140" customFormat="false" ht="15" hidden="false" customHeight="true" outlineLevel="0" collapsed="false">
      <c r="A1140" s="10"/>
      <c r="B1140" s="8"/>
      <c r="C1140" s="13" t="str">
        <f aca="false">IF($B1140="","",IFERROR(INDEX(직원목록!$B$3:$B$302,MATCH($B1140,직원목록!$A$3:$A$302,0)),"미등록사번"))</f>
        <v/>
      </c>
      <c r="D1140" s="13" t="str">
        <f aca="false">IF($B1140="","",IFERROR(INDEX(직원목록!$C$3:$C$302,MATCH($B1140,직원목록!$A$3:$A$302,0)),""))</f>
        <v/>
      </c>
      <c r="E1140" s="14"/>
      <c r="F1140" s="14"/>
      <c r="G1140" s="15"/>
      <c r="H1140" s="16" t="str">
        <f aca="false">IF(OR($K1140="",$L1140=""),"",ROUND(MAX(0,($L1140-$K1140)-IF($G1140="",0,$G1140))/60,2))</f>
        <v/>
      </c>
      <c r="I1140" s="8"/>
      <c r="J1140" s="8"/>
      <c r="K1140" s="17" t="str">
        <f aca="false">IF($E1140="","",IF($E1140&lt;1,ROUND($E1140*1440,0),INT($E1140/100)*60+MOD($E1140,100)))</f>
        <v/>
      </c>
      <c r="L1140" s="17" t="str">
        <f aca="false">IF($F1140="","",IF($F1140&lt;1,ROUND($F1140*1440,0),INT($F1140/100)*60+MOD($F1140,100)))</f>
        <v/>
      </c>
    </row>
    <row r="1141" customFormat="false" ht="15" hidden="false" customHeight="true" outlineLevel="0" collapsed="false">
      <c r="A1141" s="10"/>
      <c r="B1141" s="8"/>
      <c r="C1141" s="13" t="str">
        <f aca="false">IF($B1141="","",IFERROR(INDEX(직원목록!$B$3:$B$302,MATCH($B1141,직원목록!$A$3:$A$302,0)),"미등록사번"))</f>
        <v/>
      </c>
      <c r="D1141" s="13" t="str">
        <f aca="false">IF($B1141="","",IFERROR(INDEX(직원목록!$C$3:$C$302,MATCH($B1141,직원목록!$A$3:$A$302,0)),""))</f>
        <v/>
      </c>
      <c r="E1141" s="14"/>
      <c r="F1141" s="14"/>
      <c r="G1141" s="15"/>
      <c r="H1141" s="16" t="str">
        <f aca="false">IF(OR($K1141="",$L1141=""),"",ROUND(MAX(0,($L1141-$K1141)-IF($G1141="",0,$G1141))/60,2))</f>
        <v/>
      </c>
      <c r="I1141" s="8"/>
      <c r="J1141" s="8"/>
      <c r="K1141" s="17" t="str">
        <f aca="false">IF($E1141="","",IF($E1141&lt;1,ROUND($E1141*1440,0),INT($E1141/100)*60+MOD($E1141,100)))</f>
        <v/>
      </c>
      <c r="L1141" s="17" t="str">
        <f aca="false">IF($F1141="","",IF($F1141&lt;1,ROUND($F1141*1440,0),INT($F1141/100)*60+MOD($F1141,100)))</f>
        <v/>
      </c>
    </row>
    <row r="1142" customFormat="false" ht="15" hidden="false" customHeight="true" outlineLevel="0" collapsed="false">
      <c r="A1142" s="10"/>
      <c r="B1142" s="8"/>
      <c r="C1142" s="13" t="str">
        <f aca="false">IF($B1142="","",IFERROR(INDEX(직원목록!$B$3:$B$302,MATCH($B1142,직원목록!$A$3:$A$302,0)),"미등록사번"))</f>
        <v/>
      </c>
      <c r="D1142" s="13" t="str">
        <f aca="false">IF($B1142="","",IFERROR(INDEX(직원목록!$C$3:$C$302,MATCH($B1142,직원목록!$A$3:$A$302,0)),""))</f>
        <v/>
      </c>
      <c r="E1142" s="14"/>
      <c r="F1142" s="14"/>
      <c r="G1142" s="15"/>
      <c r="H1142" s="16" t="str">
        <f aca="false">IF(OR($K1142="",$L1142=""),"",ROUND(MAX(0,($L1142-$K1142)-IF($G1142="",0,$G1142))/60,2))</f>
        <v/>
      </c>
      <c r="I1142" s="8"/>
      <c r="J1142" s="8"/>
      <c r="K1142" s="17" t="str">
        <f aca="false">IF($E1142="","",IF($E1142&lt;1,ROUND($E1142*1440,0),INT($E1142/100)*60+MOD($E1142,100)))</f>
        <v/>
      </c>
      <c r="L1142" s="17" t="str">
        <f aca="false">IF($F1142="","",IF($F1142&lt;1,ROUND($F1142*1440,0),INT($F1142/100)*60+MOD($F1142,100)))</f>
        <v/>
      </c>
    </row>
    <row r="1143" customFormat="false" ht="15" hidden="false" customHeight="true" outlineLevel="0" collapsed="false">
      <c r="A1143" s="10"/>
      <c r="B1143" s="8"/>
      <c r="C1143" s="13" t="str">
        <f aca="false">IF($B1143="","",IFERROR(INDEX(직원목록!$B$3:$B$302,MATCH($B1143,직원목록!$A$3:$A$302,0)),"미등록사번"))</f>
        <v/>
      </c>
      <c r="D1143" s="13" t="str">
        <f aca="false">IF($B1143="","",IFERROR(INDEX(직원목록!$C$3:$C$302,MATCH($B1143,직원목록!$A$3:$A$302,0)),""))</f>
        <v/>
      </c>
      <c r="E1143" s="14"/>
      <c r="F1143" s="14"/>
      <c r="G1143" s="15"/>
      <c r="H1143" s="16" t="str">
        <f aca="false">IF(OR($K1143="",$L1143=""),"",ROUND(MAX(0,($L1143-$K1143)-IF($G1143="",0,$G1143))/60,2))</f>
        <v/>
      </c>
      <c r="I1143" s="8"/>
      <c r="J1143" s="8"/>
      <c r="K1143" s="17" t="str">
        <f aca="false">IF($E1143="","",IF($E1143&lt;1,ROUND($E1143*1440,0),INT($E1143/100)*60+MOD($E1143,100)))</f>
        <v/>
      </c>
      <c r="L1143" s="17" t="str">
        <f aca="false">IF($F1143="","",IF($F1143&lt;1,ROUND($F1143*1440,0),INT($F1143/100)*60+MOD($F1143,100)))</f>
        <v/>
      </c>
    </row>
    <row r="1144" customFormat="false" ht="15" hidden="false" customHeight="true" outlineLevel="0" collapsed="false">
      <c r="A1144" s="10"/>
      <c r="B1144" s="8"/>
      <c r="C1144" s="13" t="str">
        <f aca="false">IF($B1144="","",IFERROR(INDEX(직원목록!$B$3:$B$302,MATCH($B1144,직원목록!$A$3:$A$302,0)),"미등록사번"))</f>
        <v/>
      </c>
      <c r="D1144" s="13" t="str">
        <f aca="false">IF($B1144="","",IFERROR(INDEX(직원목록!$C$3:$C$302,MATCH($B1144,직원목록!$A$3:$A$302,0)),""))</f>
        <v/>
      </c>
      <c r="E1144" s="14"/>
      <c r="F1144" s="14"/>
      <c r="G1144" s="15"/>
      <c r="H1144" s="16" t="str">
        <f aca="false">IF(OR($K1144="",$L1144=""),"",ROUND(MAX(0,($L1144-$K1144)-IF($G1144="",0,$G1144))/60,2))</f>
        <v/>
      </c>
      <c r="I1144" s="8"/>
      <c r="J1144" s="8"/>
      <c r="K1144" s="17" t="str">
        <f aca="false">IF($E1144="","",IF($E1144&lt;1,ROUND($E1144*1440,0),INT($E1144/100)*60+MOD($E1144,100)))</f>
        <v/>
      </c>
      <c r="L1144" s="17" t="str">
        <f aca="false">IF($F1144="","",IF($F1144&lt;1,ROUND($F1144*1440,0),INT($F1144/100)*60+MOD($F1144,100)))</f>
        <v/>
      </c>
    </row>
    <row r="1145" customFormat="false" ht="15" hidden="false" customHeight="true" outlineLevel="0" collapsed="false">
      <c r="A1145" s="10"/>
      <c r="B1145" s="8"/>
      <c r="C1145" s="13" t="str">
        <f aca="false">IF($B1145="","",IFERROR(INDEX(직원목록!$B$3:$B$302,MATCH($B1145,직원목록!$A$3:$A$302,0)),"미등록사번"))</f>
        <v/>
      </c>
      <c r="D1145" s="13" t="str">
        <f aca="false">IF($B1145="","",IFERROR(INDEX(직원목록!$C$3:$C$302,MATCH($B1145,직원목록!$A$3:$A$302,0)),""))</f>
        <v/>
      </c>
      <c r="E1145" s="14"/>
      <c r="F1145" s="14"/>
      <c r="G1145" s="15"/>
      <c r="H1145" s="16" t="str">
        <f aca="false">IF(OR($K1145="",$L1145=""),"",ROUND(MAX(0,($L1145-$K1145)-IF($G1145="",0,$G1145))/60,2))</f>
        <v/>
      </c>
      <c r="I1145" s="8"/>
      <c r="J1145" s="8"/>
      <c r="K1145" s="17" t="str">
        <f aca="false">IF($E1145="","",IF($E1145&lt;1,ROUND($E1145*1440,0),INT($E1145/100)*60+MOD($E1145,100)))</f>
        <v/>
      </c>
      <c r="L1145" s="17" t="str">
        <f aca="false">IF($F1145="","",IF($F1145&lt;1,ROUND($F1145*1440,0),INT($F1145/100)*60+MOD($F1145,100)))</f>
        <v/>
      </c>
    </row>
    <row r="1146" customFormat="false" ht="15" hidden="false" customHeight="true" outlineLevel="0" collapsed="false">
      <c r="A1146" s="10"/>
      <c r="B1146" s="8"/>
      <c r="C1146" s="13" t="str">
        <f aca="false">IF($B1146="","",IFERROR(INDEX(직원목록!$B$3:$B$302,MATCH($B1146,직원목록!$A$3:$A$302,0)),"미등록사번"))</f>
        <v/>
      </c>
      <c r="D1146" s="13" t="str">
        <f aca="false">IF($B1146="","",IFERROR(INDEX(직원목록!$C$3:$C$302,MATCH($B1146,직원목록!$A$3:$A$302,0)),""))</f>
        <v/>
      </c>
      <c r="E1146" s="14"/>
      <c r="F1146" s="14"/>
      <c r="G1146" s="15"/>
      <c r="H1146" s="16" t="str">
        <f aca="false">IF(OR($K1146="",$L1146=""),"",ROUND(MAX(0,($L1146-$K1146)-IF($G1146="",0,$G1146))/60,2))</f>
        <v/>
      </c>
      <c r="I1146" s="8"/>
      <c r="J1146" s="8"/>
      <c r="K1146" s="17" t="str">
        <f aca="false">IF($E1146="","",IF($E1146&lt;1,ROUND($E1146*1440,0),INT($E1146/100)*60+MOD($E1146,100)))</f>
        <v/>
      </c>
      <c r="L1146" s="17" t="str">
        <f aca="false">IF($F1146="","",IF($F1146&lt;1,ROUND($F1146*1440,0),INT($F1146/100)*60+MOD($F1146,100)))</f>
        <v/>
      </c>
    </row>
    <row r="1147" customFormat="false" ht="15" hidden="false" customHeight="true" outlineLevel="0" collapsed="false">
      <c r="A1147" s="10"/>
      <c r="B1147" s="8"/>
      <c r="C1147" s="13" t="str">
        <f aca="false">IF($B1147="","",IFERROR(INDEX(직원목록!$B$3:$B$302,MATCH($B1147,직원목록!$A$3:$A$302,0)),"미등록사번"))</f>
        <v/>
      </c>
      <c r="D1147" s="13" t="str">
        <f aca="false">IF($B1147="","",IFERROR(INDEX(직원목록!$C$3:$C$302,MATCH($B1147,직원목록!$A$3:$A$302,0)),""))</f>
        <v/>
      </c>
      <c r="E1147" s="14"/>
      <c r="F1147" s="14"/>
      <c r="G1147" s="15"/>
      <c r="H1147" s="16" t="str">
        <f aca="false">IF(OR($K1147="",$L1147=""),"",ROUND(MAX(0,($L1147-$K1147)-IF($G1147="",0,$G1147))/60,2))</f>
        <v/>
      </c>
      <c r="I1147" s="8"/>
      <c r="J1147" s="8"/>
      <c r="K1147" s="17" t="str">
        <f aca="false">IF($E1147="","",IF($E1147&lt;1,ROUND($E1147*1440,0),INT($E1147/100)*60+MOD($E1147,100)))</f>
        <v/>
      </c>
      <c r="L1147" s="17" t="str">
        <f aca="false">IF($F1147="","",IF($F1147&lt;1,ROUND($F1147*1440,0),INT($F1147/100)*60+MOD($F1147,100)))</f>
        <v/>
      </c>
    </row>
    <row r="1148" customFormat="false" ht="15" hidden="false" customHeight="true" outlineLevel="0" collapsed="false">
      <c r="A1148" s="10"/>
      <c r="B1148" s="8"/>
      <c r="C1148" s="13" t="str">
        <f aca="false">IF($B1148="","",IFERROR(INDEX(직원목록!$B$3:$B$302,MATCH($B1148,직원목록!$A$3:$A$302,0)),"미등록사번"))</f>
        <v/>
      </c>
      <c r="D1148" s="13" t="str">
        <f aca="false">IF($B1148="","",IFERROR(INDEX(직원목록!$C$3:$C$302,MATCH($B1148,직원목록!$A$3:$A$302,0)),""))</f>
        <v/>
      </c>
      <c r="E1148" s="14"/>
      <c r="F1148" s="14"/>
      <c r="G1148" s="15"/>
      <c r="H1148" s="16" t="str">
        <f aca="false">IF(OR($K1148="",$L1148=""),"",ROUND(MAX(0,($L1148-$K1148)-IF($G1148="",0,$G1148))/60,2))</f>
        <v/>
      </c>
      <c r="I1148" s="8"/>
      <c r="J1148" s="8"/>
      <c r="K1148" s="17" t="str">
        <f aca="false">IF($E1148="","",IF($E1148&lt;1,ROUND($E1148*1440,0),INT($E1148/100)*60+MOD($E1148,100)))</f>
        <v/>
      </c>
      <c r="L1148" s="17" t="str">
        <f aca="false">IF($F1148="","",IF($F1148&lt;1,ROUND($F1148*1440,0),INT($F1148/100)*60+MOD($F1148,100)))</f>
        <v/>
      </c>
    </row>
    <row r="1149" customFormat="false" ht="15" hidden="false" customHeight="true" outlineLevel="0" collapsed="false">
      <c r="A1149" s="10"/>
      <c r="B1149" s="8"/>
      <c r="C1149" s="13" t="str">
        <f aca="false">IF($B1149="","",IFERROR(INDEX(직원목록!$B$3:$B$302,MATCH($B1149,직원목록!$A$3:$A$302,0)),"미등록사번"))</f>
        <v/>
      </c>
      <c r="D1149" s="13" t="str">
        <f aca="false">IF($B1149="","",IFERROR(INDEX(직원목록!$C$3:$C$302,MATCH($B1149,직원목록!$A$3:$A$302,0)),""))</f>
        <v/>
      </c>
      <c r="E1149" s="14"/>
      <c r="F1149" s="14"/>
      <c r="G1149" s="15"/>
      <c r="H1149" s="16" t="str">
        <f aca="false">IF(OR($K1149="",$L1149=""),"",ROUND(MAX(0,($L1149-$K1149)-IF($G1149="",0,$G1149))/60,2))</f>
        <v/>
      </c>
      <c r="I1149" s="8"/>
      <c r="J1149" s="8"/>
      <c r="K1149" s="17" t="str">
        <f aca="false">IF($E1149="","",IF($E1149&lt;1,ROUND($E1149*1440,0),INT($E1149/100)*60+MOD($E1149,100)))</f>
        <v/>
      </c>
      <c r="L1149" s="17" t="str">
        <f aca="false">IF($F1149="","",IF($F1149&lt;1,ROUND($F1149*1440,0),INT($F1149/100)*60+MOD($F1149,100)))</f>
        <v/>
      </c>
    </row>
    <row r="1150" customFormat="false" ht="15" hidden="false" customHeight="true" outlineLevel="0" collapsed="false">
      <c r="A1150" s="10"/>
      <c r="B1150" s="8"/>
      <c r="C1150" s="13" t="str">
        <f aca="false">IF($B1150="","",IFERROR(INDEX(직원목록!$B$3:$B$302,MATCH($B1150,직원목록!$A$3:$A$302,0)),"미등록사번"))</f>
        <v/>
      </c>
      <c r="D1150" s="13" t="str">
        <f aca="false">IF($B1150="","",IFERROR(INDEX(직원목록!$C$3:$C$302,MATCH($B1150,직원목록!$A$3:$A$302,0)),""))</f>
        <v/>
      </c>
      <c r="E1150" s="14"/>
      <c r="F1150" s="14"/>
      <c r="G1150" s="15"/>
      <c r="H1150" s="16" t="str">
        <f aca="false">IF(OR($K1150="",$L1150=""),"",ROUND(MAX(0,($L1150-$K1150)-IF($G1150="",0,$G1150))/60,2))</f>
        <v/>
      </c>
      <c r="I1150" s="8"/>
      <c r="J1150" s="8"/>
      <c r="K1150" s="17" t="str">
        <f aca="false">IF($E1150="","",IF($E1150&lt;1,ROUND($E1150*1440,0),INT($E1150/100)*60+MOD($E1150,100)))</f>
        <v/>
      </c>
      <c r="L1150" s="17" t="str">
        <f aca="false">IF($F1150="","",IF($F1150&lt;1,ROUND($F1150*1440,0),INT($F1150/100)*60+MOD($F1150,100)))</f>
        <v/>
      </c>
    </row>
    <row r="1151" customFormat="false" ht="15" hidden="false" customHeight="true" outlineLevel="0" collapsed="false">
      <c r="A1151" s="10"/>
      <c r="B1151" s="8"/>
      <c r="C1151" s="13" t="str">
        <f aca="false">IF($B1151="","",IFERROR(INDEX(직원목록!$B$3:$B$302,MATCH($B1151,직원목록!$A$3:$A$302,0)),"미등록사번"))</f>
        <v/>
      </c>
      <c r="D1151" s="13" t="str">
        <f aca="false">IF($B1151="","",IFERROR(INDEX(직원목록!$C$3:$C$302,MATCH($B1151,직원목록!$A$3:$A$302,0)),""))</f>
        <v/>
      </c>
      <c r="E1151" s="14"/>
      <c r="F1151" s="14"/>
      <c r="G1151" s="15"/>
      <c r="H1151" s="16" t="str">
        <f aca="false">IF(OR($K1151="",$L1151=""),"",ROUND(MAX(0,($L1151-$K1151)-IF($G1151="",0,$G1151))/60,2))</f>
        <v/>
      </c>
      <c r="I1151" s="8"/>
      <c r="J1151" s="8"/>
      <c r="K1151" s="17" t="str">
        <f aca="false">IF($E1151="","",IF($E1151&lt;1,ROUND($E1151*1440,0),INT($E1151/100)*60+MOD($E1151,100)))</f>
        <v/>
      </c>
      <c r="L1151" s="17" t="str">
        <f aca="false">IF($F1151="","",IF($F1151&lt;1,ROUND($F1151*1440,0),INT($F1151/100)*60+MOD($F1151,100)))</f>
        <v/>
      </c>
    </row>
    <row r="1152" customFormat="false" ht="15" hidden="false" customHeight="true" outlineLevel="0" collapsed="false">
      <c r="A1152" s="10"/>
      <c r="B1152" s="8"/>
      <c r="C1152" s="13" t="str">
        <f aca="false">IF($B1152="","",IFERROR(INDEX(직원목록!$B$3:$B$302,MATCH($B1152,직원목록!$A$3:$A$302,0)),"미등록사번"))</f>
        <v/>
      </c>
      <c r="D1152" s="13" t="str">
        <f aca="false">IF($B1152="","",IFERROR(INDEX(직원목록!$C$3:$C$302,MATCH($B1152,직원목록!$A$3:$A$302,0)),""))</f>
        <v/>
      </c>
      <c r="E1152" s="14"/>
      <c r="F1152" s="14"/>
      <c r="G1152" s="15"/>
      <c r="H1152" s="16" t="str">
        <f aca="false">IF(OR($K1152="",$L1152=""),"",ROUND(MAX(0,($L1152-$K1152)-IF($G1152="",0,$G1152))/60,2))</f>
        <v/>
      </c>
      <c r="I1152" s="8"/>
      <c r="J1152" s="8"/>
      <c r="K1152" s="17" t="str">
        <f aca="false">IF($E1152="","",IF($E1152&lt;1,ROUND($E1152*1440,0),INT($E1152/100)*60+MOD($E1152,100)))</f>
        <v/>
      </c>
      <c r="L1152" s="17" t="str">
        <f aca="false">IF($F1152="","",IF($F1152&lt;1,ROUND($F1152*1440,0),INT($F1152/100)*60+MOD($F1152,100)))</f>
        <v/>
      </c>
    </row>
    <row r="1153" customFormat="false" ht="15" hidden="false" customHeight="true" outlineLevel="0" collapsed="false">
      <c r="A1153" s="10"/>
      <c r="B1153" s="8"/>
      <c r="C1153" s="13" t="str">
        <f aca="false">IF($B1153="","",IFERROR(INDEX(직원목록!$B$3:$B$302,MATCH($B1153,직원목록!$A$3:$A$302,0)),"미등록사번"))</f>
        <v/>
      </c>
      <c r="D1153" s="13" t="str">
        <f aca="false">IF($B1153="","",IFERROR(INDEX(직원목록!$C$3:$C$302,MATCH($B1153,직원목록!$A$3:$A$302,0)),""))</f>
        <v/>
      </c>
      <c r="E1153" s="14"/>
      <c r="F1153" s="14"/>
      <c r="G1153" s="15"/>
      <c r="H1153" s="16" t="str">
        <f aca="false">IF(OR($K1153="",$L1153=""),"",ROUND(MAX(0,($L1153-$K1153)-IF($G1153="",0,$G1153))/60,2))</f>
        <v/>
      </c>
      <c r="I1153" s="8"/>
      <c r="J1153" s="8"/>
      <c r="K1153" s="17" t="str">
        <f aca="false">IF($E1153="","",IF($E1153&lt;1,ROUND($E1153*1440,0),INT($E1153/100)*60+MOD($E1153,100)))</f>
        <v/>
      </c>
      <c r="L1153" s="17" t="str">
        <f aca="false">IF($F1153="","",IF($F1153&lt;1,ROUND($F1153*1440,0),INT($F1153/100)*60+MOD($F1153,100)))</f>
        <v/>
      </c>
    </row>
    <row r="1154" customFormat="false" ht="15" hidden="false" customHeight="true" outlineLevel="0" collapsed="false">
      <c r="A1154" s="10"/>
      <c r="B1154" s="8"/>
      <c r="C1154" s="13" t="str">
        <f aca="false">IF($B1154="","",IFERROR(INDEX(직원목록!$B$3:$B$302,MATCH($B1154,직원목록!$A$3:$A$302,0)),"미등록사번"))</f>
        <v/>
      </c>
      <c r="D1154" s="13" t="str">
        <f aca="false">IF($B1154="","",IFERROR(INDEX(직원목록!$C$3:$C$302,MATCH($B1154,직원목록!$A$3:$A$302,0)),""))</f>
        <v/>
      </c>
      <c r="E1154" s="14"/>
      <c r="F1154" s="14"/>
      <c r="G1154" s="15"/>
      <c r="H1154" s="16" t="str">
        <f aca="false">IF(OR($K1154="",$L1154=""),"",ROUND(MAX(0,($L1154-$K1154)-IF($G1154="",0,$G1154))/60,2))</f>
        <v/>
      </c>
      <c r="I1154" s="8"/>
      <c r="J1154" s="8"/>
      <c r="K1154" s="17" t="str">
        <f aca="false">IF($E1154="","",IF($E1154&lt;1,ROUND($E1154*1440,0),INT($E1154/100)*60+MOD($E1154,100)))</f>
        <v/>
      </c>
      <c r="L1154" s="17" t="str">
        <f aca="false">IF($F1154="","",IF($F1154&lt;1,ROUND($F1154*1440,0),INT($F1154/100)*60+MOD($F1154,100)))</f>
        <v/>
      </c>
    </row>
    <row r="1155" customFormat="false" ht="15" hidden="false" customHeight="true" outlineLevel="0" collapsed="false">
      <c r="A1155" s="10"/>
      <c r="B1155" s="8"/>
      <c r="C1155" s="13" t="str">
        <f aca="false">IF($B1155="","",IFERROR(INDEX(직원목록!$B$3:$B$302,MATCH($B1155,직원목록!$A$3:$A$302,0)),"미등록사번"))</f>
        <v/>
      </c>
      <c r="D1155" s="13" t="str">
        <f aca="false">IF($B1155="","",IFERROR(INDEX(직원목록!$C$3:$C$302,MATCH($B1155,직원목록!$A$3:$A$302,0)),""))</f>
        <v/>
      </c>
      <c r="E1155" s="14"/>
      <c r="F1155" s="14"/>
      <c r="G1155" s="15"/>
      <c r="H1155" s="16" t="str">
        <f aca="false">IF(OR($K1155="",$L1155=""),"",ROUND(MAX(0,($L1155-$K1155)-IF($G1155="",0,$G1155))/60,2))</f>
        <v/>
      </c>
      <c r="I1155" s="8"/>
      <c r="J1155" s="8"/>
      <c r="K1155" s="17" t="str">
        <f aca="false">IF($E1155="","",IF($E1155&lt;1,ROUND($E1155*1440,0),INT($E1155/100)*60+MOD($E1155,100)))</f>
        <v/>
      </c>
      <c r="L1155" s="17" t="str">
        <f aca="false">IF($F1155="","",IF($F1155&lt;1,ROUND($F1155*1440,0),INT($F1155/100)*60+MOD($F1155,100)))</f>
        <v/>
      </c>
    </row>
    <row r="1156" customFormat="false" ht="15" hidden="false" customHeight="true" outlineLevel="0" collapsed="false">
      <c r="A1156" s="10"/>
      <c r="B1156" s="8"/>
      <c r="C1156" s="13" t="str">
        <f aca="false">IF($B1156="","",IFERROR(INDEX(직원목록!$B$3:$B$302,MATCH($B1156,직원목록!$A$3:$A$302,0)),"미등록사번"))</f>
        <v/>
      </c>
      <c r="D1156" s="13" t="str">
        <f aca="false">IF($B1156="","",IFERROR(INDEX(직원목록!$C$3:$C$302,MATCH($B1156,직원목록!$A$3:$A$302,0)),""))</f>
        <v/>
      </c>
      <c r="E1156" s="14"/>
      <c r="F1156" s="14"/>
      <c r="G1156" s="15"/>
      <c r="H1156" s="16" t="str">
        <f aca="false">IF(OR($K1156="",$L1156=""),"",ROUND(MAX(0,($L1156-$K1156)-IF($G1156="",0,$G1156))/60,2))</f>
        <v/>
      </c>
      <c r="I1156" s="8"/>
      <c r="J1156" s="8"/>
      <c r="K1156" s="17" t="str">
        <f aca="false">IF($E1156="","",IF($E1156&lt;1,ROUND($E1156*1440,0),INT($E1156/100)*60+MOD($E1156,100)))</f>
        <v/>
      </c>
      <c r="L1156" s="17" t="str">
        <f aca="false">IF($F1156="","",IF($F1156&lt;1,ROUND($F1156*1440,0),INT($F1156/100)*60+MOD($F1156,100)))</f>
        <v/>
      </c>
    </row>
    <row r="1157" customFormat="false" ht="15" hidden="false" customHeight="true" outlineLevel="0" collapsed="false">
      <c r="A1157" s="10"/>
      <c r="B1157" s="8"/>
      <c r="C1157" s="13" t="str">
        <f aca="false">IF($B1157="","",IFERROR(INDEX(직원목록!$B$3:$B$302,MATCH($B1157,직원목록!$A$3:$A$302,0)),"미등록사번"))</f>
        <v/>
      </c>
      <c r="D1157" s="13" t="str">
        <f aca="false">IF($B1157="","",IFERROR(INDEX(직원목록!$C$3:$C$302,MATCH($B1157,직원목록!$A$3:$A$302,0)),""))</f>
        <v/>
      </c>
      <c r="E1157" s="14"/>
      <c r="F1157" s="14"/>
      <c r="G1157" s="15"/>
      <c r="H1157" s="16" t="str">
        <f aca="false">IF(OR($K1157="",$L1157=""),"",ROUND(MAX(0,($L1157-$K1157)-IF($G1157="",0,$G1157))/60,2))</f>
        <v/>
      </c>
      <c r="I1157" s="8"/>
      <c r="J1157" s="8"/>
      <c r="K1157" s="17" t="str">
        <f aca="false">IF($E1157="","",IF($E1157&lt;1,ROUND($E1157*1440,0),INT($E1157/100)*60+MOD($E1157,100)))</f>
        <v/>
      </c>
      <c r="L1157" s="17" t="str">
        <f aca="false">IF($F1157="","",IF($F1157&lt;1,ROUND($F1157*1440,0),INT($F1157/100)*60+MOD($F1157,100)))</f>
        <v/>
      </c>
    </row>
    <row r="1158" customFormat="false" ht="15" hidden="false" customHeight="true" outlineLevel="0" collapsed="false">
      <c r="A1158" s="10"/>
      <c r="B1158" s="8"/>
      <c r="C1158" s="13" t="str">
        <f aca="false">IF($B1158="","",IFERROR(INDEX(직원목록!$B$3:$B$302,MATCH($B1158,직원목록!$A$3:$A$302,0)),"미등록사번"))</f>
        <v/>
      </c>
      <c r="D1158" s="13" t="str">
        <f aca="false">IF($B1158="","",IFERROR(INDEX(직원목록!$C$3:$C$302,MATCH($B1158,직원목록!$A$3:$A$302,0)),""))</f>
        <v/>
      </c>
      <c r="E1158" s="14"/>
      <c r="F1158" s="14"/>
      <c r="G1158" s="15"/>
      <c r="H1158" s="16" t="str">
        <f aca="false">IF(OR($K1158="",$L1158=""),"",ROUND(MAX(0,($L1158-$K1158)-IF($G1158="",0,$G1158))/60,2))</f>
        <v/>
      </c>
      <c r="I1158" s="8"/>
      <c r="J1158" s="8"/>
      <c r="K1158" s="17" t="str">
        <f aca="false">IF($E1158="","",IF($E1158&lt;1,ROUND($E1158*1440,0),INT($E1158/100)*60+MOD($E1158,100)))</f>
        <v/>
      </c>
      <c r="L1158" s="17" t="str">
        <f aca="false">IF($F1158="","",IF($F1158&lt;1,ROUND($F1158*1440,0),INT($F1158/100)*60+MOD($F1158,100)))</f>
        <v/>
      </c>
    </row>
    <row r="1159" customFormat="false" ht="15" hidden="false" customHeight="true" outlineLevel="0" collapsed="false">
      <c r="A1159" s="10"/>
      <c r="B1159" s="8"/>
      <c r="C1159" s="13" t="str">
        <f aca="false">IF($B1159="","",IFERROR(INDEX(직원목록!$B$3:$B$302,MATCH($B1159,직원목록!$A$3:$A$302,0)),"미등록사번"))</f>
        <v/>
      </c>
      <c r="D1159" s="13" t="str">
        <f aca="false">IF($B1159="","",IFERROR(INDEX(직원목록!$C$3:$C$302,MATCH($B1159,직원목록!$A$3:$A$302,0)),""))</f>
        <v/>
      </c>
      <c r="E1159" s="14"/>
      <c r="F1159" s="14"/>
      <c r="G1159" s="15"/>
      <c r="H1159" s="16" t="str">
        <f aca="false">IF(OR($K1159="",$L1159=""),"",ROUND(MAX(0,($L1159-$K1159)-IF($G1159="",0,$G1159))/60,2))</f>
        <v/>
      </c>
      <c r="I1159" s="8"/>
      <c r="J1159" s="8"/>
      <c r="K1159" s="17" t="str">
        <f aca="false">IF($E1159="","",IF($E1159&lt;1,ROUND($E1159*1440,0),INT($E1159/100)*60+MOD($E1159,100)))</f>
        <v/>
      </c>
      <c r="L1159" s="17" t="str">
        <f aca="false">IF($F1159="","",IF($F1159&lt;1,ROUND($F1159*1440,0),INT($F1159/100)*60+MOD($F1159,100)))</f>
        <v/>
      </c>
    </row>
    <row r="1160" customFormat="false" ht="15" hidden="false" customHeight="true" outlineLevel="0" collapsed="false">
      <c r="A1160" s="10"/>
      <c r="B1160" s="8"/>
      <c r="C1160" s="13" t="str">
        <f aca="false">IF($B1160="","",IFERROR(INDEX(직원목록!$B$3:$B$302,MATCH($B1160,직원목록!$A$3:$A$302,0)),"미등록사번"))</f>
        <v/>
      </c>
      <c r="D1160" s="13" t="str">
        <f aca="false">IF($B1160="","",IFERROR(INDEX(직원목록!$C$3:$C$302,MATCH($B1160,직원목록!$A$3:$A$302,0)),""))</f>
        <v/>
      </c>
      <c r="E1160" s="14"/>
      <c r="F1160" s="14"/>
      <c r="G1160" s="15"/>
      <c r="H1160" s="16" t="str">
        <f aca="false">IF(OR($K1160="",$L1160=""),"",ROUND(MAX(0,($L1160-$K1160)-IF($G1160="",0,$G1160))/60,2))</f>
        <v/>
      </c>
      <c r="I1160" s="8"/>
      <c r="J1160" s="8"/>
      <c r="K1160" s="17" t="str">
        <f aca="false">IF($E1160="","",IF($E1160&lt;1,ROUND($E1160*1440,0),INT($E1160/100)*60+MOD($E1160,100)))</f>
        <v/>
      </c>
      <c r="L1160" s="17" t="str">
        <f aca="false">IF($F1160="","",IF($F1160&lt;1,ROUND($F1160*1440,0),INT($F1160/100)*60+MOD($F1160,100)))</f>
        <v/>
      </c>
    </row>
    <row r="1161" customFormat="false" ht="15" hidden="false" customHeight="true" outlineLevel="0" collapsed="false">
      <c r="A1161" s="10"/>
      <c r="B1161" s="8"/>
      <c r="C1161" s="13" t="str">
        <f aca="false">IF($B1161="","",IFERROR(INDEX(직원목록!$B$3:$B$302,MATCH($B1161,직원목록!$A$3:$A$302,0)),"미등록사번"))</f>
        <v/>
      </c>
      <c r="D1161" s="13" t="str">
        <f aca="false">IF($B1161="","",IFERROR(INDEX(직원목록!$C$3:$C$302,MATCH($B1161,직원목록!$A$3:$A$302,0)),""))</f>
        <v/>
      </c>
      <c r="E1161" s="14"/>
      <c r="F1161" s="14"/>
      <c r="G1161" s="15"/>
      <c r="H1161" s="16" t="str">
        <f aca="false">IF(OR($K1161="",$L1161=""),"",ROUND(MAX(0,($L1161-$K1161)-IF($G1161="",0,$G1161))/60,2))</f>
        <v/>
      </c>
      <c r="I1161" s="8"/>
      <c r="J1161" s="8"/>
      <c r="K1161" s="17" t="str">
        <f aca="false">IF($E1161="","",IF($E1161&lt;1,ROUND($E1161*1440,0),INT($E1161/100)*60+MOD($E1161,100)))</f>
        <v/>
      </c>
      <c r="L1161" s="17" t="str">
        <f aca="false">IF($F1161="","",IF($F1161&lt;1,ROUND($F1161*1440,0),INT($F1161/100)*60+MOD($F1161,100)))</f>
        <v/>
      </c>
    </row>
    <row r="1162" customFormat="false" ht="15" hidden="false" customHeight="true" outlineLevel="0" collapsed="false">
      <c r="A1162" s="10"/>
      <c r="B1162" s="8"/>
      <c r="C1162" s="13" t="str">
        <f aca="false">IF($B1162="","",IFERROR(INDEX(직원목록!$B$3:$B$302,MATCH($B1162,직원목록!$A$3:$A$302,0)),"미등록사번"))</f>
        <v/>
      </c>
      <c r="D1162" s="13" t="str">
        <f aca="false">IF($B1162="","",IFERROR(INDEX(직원목록!$C$3:$C$302,MATCH($B1162,직원목록!$A$3:$A$302,0)),""))</f>
        <v/>
      </c>
      <c r="E1162" s="14"/>
      <c r="F1162" s="14"/>
      <c r="G1162" s="15"/>
      <c r="H1162" s="16" t="str">
        <f aca="false">IF(OR($K1162="",$L1162=""),"",ROUND(MAX(0,($L1162-$K1162)-IF($G1162="",0,$G1162))/60,2))</f>
        <v/>
      </c>
      <c r="I1162" s="8"/>
      <c r="J1162" s="8"/>
      <c r="K1162" s="17" t="str">
        <f aca="false">IF($E1162="","",IF($E1162&lt;1,ROUND($E1162*1440,0),INT($E1162/100)*60+MOD($E1162,100)))</f>
        <v/>
      </c>
      <c r="L1162" s="17" t="str">
        <f aca="false">IF($F1162="","",IF($F1162&lt;1,ROUND($F1162*1440,0),INT($F1162/100)*60+MOD($F1162,100)))</f>
        <v/>
      </c>
    </row>
    <row r="1163" customFormat="false" ht="15" hidden="false" customHeight="true" outlineLevel="0" collapsed="false">
      <c r="A1163" s="10"/>
      <c r="B1163" s="8"/>
      <c r="C1163" s="13" t="str">
        <f aca="false">IF($B1163="","",IFERROR(INDEX(직원목록!$B$3:$B$302,MATCH($B1163,직원목록!$A$3:$A$302,0)),"미등록사번"))</f>
        <v/>
      </c>
      <c r="D1163" s="13" t="str">
        <f aca="false">IF($B1163="","",IFERROR(INDEX(직원목록!$C$3:$C$302,MATCH($B1163,직원목록!$A$3:$A$302,0)),""))</f>
        <v/>
      </c>
      <c r="E1163" s="14"/>
      <c r="F1163" s="14"/>
      <c r="G1163" s="15"/>
      <c r="H1163" s="16" t="str">
        <f aca="false">IF(OR($K1163="",$L1163=""),"",ROUND(MAX(0,($L1163-$K1163)-IF($G1163="",0,$G1163))/60,2))</f>
        <v/>
      </c>
      <c r="I1163" s="8"/>
      <c r="J1163" s="8"/>
      <c r="K1163" s="17" t="str">
        <f aca="false">IF($E1163="","",IF($E1163&lt;1,ROUND($E1163*1440,0),INT($E1163/100)*60+MOD($E1163,100)))</f>
        <v/>
      </c>
      <c r="L1163" s="17" t="str">
        <f aca="false">IF($F1163="","",IF($F1163&lt;1,ROUND($F1163*1440,0),INT($F1163/100)*60+MOD($F1163,100)))</f>
        <v/>
      </c>
    </row>
    <row r="1164" customFormat="false" ht="15" hidden="false" customHeight="true" outlineLevel="0" collapsed="false">
      <c r="A1164" s="10"/>
      <c r="B1164" s="8"/>
      <c r="C1164" s="13" t="str">
        <f aca="false">IF($B1164="","",IFERROR(INDEX(직원목록!$B$3:$B$302,MATCH($B1164,직원목록!$A$3:$A$302,0)),"미등록사번"))</f>
        <v/>
      </c>
      <c r="D1164" s="13" t="str">
        <f aca="false">IF($B1164="","",IFERROR(INDEX(직원목록!$C$3:$C$302,MATCH($B1164,직원목록!$A$3:$A$302,0)),""))</f>
        <v/>
      </c>
      <c r="E1164" s="14"/>
      <c r="F1164" s="14"/>
      <c r="G1164" s="15"/>
      <c r="H1164" s="16" t="str">
        <f aca="false">IF(OR($K1164="",$L1164=""),"",ROUND(MAX(0,($L1164-$K1164)-IF($G1164="",0,$G1164))/60,2))</f>
        <v/>
      </c>
      <c r="I1164" s="8"/>
      <c r="J1164" s="8"/>
      <c r="K1164" s="17" t="str">
        <f aca="false">IF($E1164="","",IF($E1164&lt;1,ROUND($E1164*1440,0),INT($E1164/100)*60+MOD($E1164,100)))</f>
        <v/>
      </c>
      <c r="L1164" s="17" t="str">
        <f aca="false">IF($F1164="","",IF($F1164&lt;1,ROUND($F1164*1440,0),INT($F1164/100)*60+MOD($F1164,100)))</f>
        <v/>
      </c>
    </row>
    <row r="1165" customFormat="false" ht="15" hidden="false" customHeight="true" outlineLevel="0" collapsed="false">
      <c r="A1165" s="10"/>
      <c r="B1165" s="8"/>
      <c r="C1165" s="13" t="str">
        <f aca="false">IF($B1165="","",IFERROR(INDEX(직원목록!$B$3:$B$302,MATCH($B1165,직원목록!$A$3:$A$302,0)),"미등록사번"))</f>
        <v/>
      </c>
      <c r="D1165" s="13" t="str">
        <f aca="false">IF($B1165="","",IFERROR(INDEX(직원목록!$C$3:$C$302,MATCH($B1165,직원목록!$A$3:$A$302,0)),""))</f>
        <v/>
      </c>
      <c r="E1165" s="14"/>
      <c r="F1165" s="14"/>
      <c r="G1165" s="15"/>
      <c r="H1165" s="16" t="str">
        <f aca="false">IF(OR($K1165="",$L1165=""),"",ROUND(MAX(0,($L1165-$K1165)-IF($G1165="",0,$G1165))/60,2))</f>
        <v/>
      </c>
      <c r="I1165" s="8"/>
      <c r="J1165" s="8"/>
      <c r="K1165" s="17" t="str">
        <f aca="false">IF($E1165="","",IF($E1165&lt;1,ROUND($E1165*1440,0),INT($E1165/100)*60+MOD($E1165,100)))</f>
        <v/>
      </c>
      <c r="L1165" s="17" t="str">
        <f aca="false">IF($F1165="","",IF($F1165&lt;1,ROUND($F1165*1440,0),INT($F1165/100)*60+MOD($F1165,100)))</f>
        <v/>
      </c>
    </row>
    <row r="1166" customFormat="false" ht="15" hidden="false" customHeight="true" outlineLevel="0" collapsed="false">
      <c r="A1166" s="10"/>
      <c r="B1166" s="8"/>
      <c r="C1166" s="13" t="str">
        <f aca="false">IF($B1166="","",IFERROR(INDEX(직원목록!$B$3:$B$302,MATCH($B1166,직원목록!$A$3:$A$302,0)),"미등록사번"))</f>
        <v/>
      </c>
      <c r="D1166" s="13" t="str">
        <f aca="false">IF($B1166="","",IFERROR(INDEX(직원목록!$C$3:$C$302,MATCH($B1166,직원목록!$A$3:$A$302,0)),""))</f>
        <v/>
      </c>
      <c r="E1166" s="14"/>
      <c r="F1166" s="14"/>
      <c r="G1166" s="15"/>
      <c r="H1166" s="16" t="str">
        <f aca="false">IF(OR($K1166="",$L1166=""),"",ROUND(MAX(0,($L1166-$K1166)-IF($G1166="",0,$G1166))/60,2))</f>
        <v/>
      </c>
      <c r="I1166" s="8"/>
      <c r="J1166" s="8"/>
      <c r="K1166" s="17" t="str">
        <f aca="false">IF($E1166="","",IF($E1166&lt;1,ROUND($E1166*1440,0),INT($E1166/100)*60+MOD($E1166,100)))</f>
        <v/>
      </c>
      <c r="L1166" s="17" t="str">
        <f aca="false">IF($F1166="","",IF($F1166&lt;1,ROUND($F1166*1440,0),INT($F1166/100)*60+MOD($F1166,100)))</f>
        <v/>
      </c>
    </row>
    <row r="1167" customFormat="false" ht="15" hidden="false" customHeight="true" outlineLevel="0" collapsed="false">
      <c r="A1167" s="10"/>
      <c r="B1167" s="8"/>
      <c r="C1167" s="13" t="str">
        <f aca="false">IF($B1167="","",IFERROR(INDEX(직원목록!$B$3:$B$302,MATCH($B1167,직원목록!$A$3:$A$302,0)),"미등록사번"))</f>
        <v/>
      </c>
      <c r="D1167" s="13" t="str">
        <f aca="false">IF($B1167="","",IFERROR(INDEX(직원목록!$C$3:$C$302,MATCH($B1167,직원목록!$A$3:$A$302,0)),""))</f>
        <v/>
      </c>
      <c r="E1167" s="14"/>
      <c r="F1167" s="14"/>
      <c r="G1167" s="15"/>
      <c r="H1167" s="16" t="str">
        <f aca="false">IF(OR($K1167="",$L1167=""),"",ROUND(MAX(0,($L1167-$K1167)-IF($G1167="",0,$G1167))/60,2))</f>
        <v/>
      </c>
      <c r="I1167" s="8"/>
      <c r="J1167" s="8"/>
      <c r="K1167" s="17" t="str">
        <f aca="false">IF($E1167="","",IF($E1167&lt;1,ROUND($E1167*1440,0),INT($E1167/100)*60+MOD($E1167,100)))</f>
        <v/>
      </c>
      <c r="L1167" s="17" t="str">
        <f aca="false">IF($F1167="","",IF($F1167&lt;1,ROUND($F1167*1440,0),INT($F1167/100)*60+MOD($F1167,100)))</f>
        <v/>
      </c>
    </row>
    <row r="1168" customFormat="false" ht="15" hidden="false" customHeight="true" outlineLevel="0" collapsed="false">
      <c r="A1168" s="10"/>
      <c r="B1168" s="8"/>
      <c r="C1168" s="13" t="str">
        <f aca="false">IF($B1168="","",IFERROR(INDEX(직원목록!$B$3:$B$302,MATCH($B1168,직원목록!$A$3:$A$302,0)),"미등록사번"))</f>
        <v/>
      </c>
      <c r="D1168" s="13" t="str">
        <f aca="false">IF($B1168="","",IFERROR(INDEX(직원목록!$C$3:$C$302,MATCH($B1168,직원목록!$A$3:$A$302,0)),""))</f>
        <v/>
      </c>
      <c r="E1168" s="14"/>
      <c r="F1168" s="14"/>
      <c r="G1168" s="15"/>
      <c r="H1168" s="16" t="str">
        <f aca="false">IF(OR($K1168="",$L1168=""),"",ROUND(MAX(0,($L1168-$K1168)-IF($G1168="",0,$G1168))/60,2))</f>
        <v/>
      </c>
      <c r="I1168" s="8"/>
      <c r="J1168" s="8"/>
      <c r="K1168" s="17" t="str">
        <f aca="false">IF($E1168="","",IF($E1168&lt;1,ROUND($E1168*1440,0),INT($E1168/100)*60+MOD($E1168,100)))</f>
        <v/>
      </c>
      <c r="L1168" s="17" t="str">
        <f aca="false">IF($F1168="","",IF($F1168&lt;1,ROUND($F1168*1440,0),INT($F1168/100)*60+MOD($F1168,100)))</f>
        <v/>
      </c>
    </row>
    <row r="1169" customFormat="false" ht="15" hidden="false" customHeight="true" outlineLevel="0" collapsed="false">
      <c r="A1169" s="10"/>
      <c r="B1169" s="8"/>
      <c r="C1169" s="13" t="str">
        <f aca="false">IF($B1169="","",IFERROR(INDEX(직원목록!$B$3:$B$302,MATCH($B1169,직원목록!$A$3:$A$302,0)),"미등록사번"))</f>
        <v/>
      </c>
      <c r="D1169" s="13" t="str">
        <f aca="false">IF($B1169="","",IFERROR(INDEX(직원목록!$C$3:$C$302,MATCH($B1169,직원목록!$A$3:$A$302,0)),""))</f>
        <v/>
      </c>
      <c r="E1169" s="14"/>
      <c r="F1169" s="14"/>
      <c r="G1169" s="15"/>
      <c r="H1169" s="16" t="str">
        <f aca="false">IF(OR($K1169="",$L1169=""),"",ROUND(MAX(0,($L1169-$K1169)-IF($G1169="",0,$G1169))/60,2))</f>
        <v/>
      </c>
      <c r="I1169" s="8"/>
      <c r="J1169" s="8"/>
      <c r="K1169" s="17" t="str">
        <f aca="false">IF($E1169="","",IF($E1169&lt;1,ROUND($E1169*1440,0),INT($E1169/100)*60+MOD($E1169,100)))</f>
        <v/>
      </c>
      <c r="L1169" s="17" t="str">
        <f aca="false">IF($F1169="","",IF($F1169&lt;1,ROUND($F1169*1440,0),INT($F1169/100)*60+MOD($F1169,100)))</f>
        <v/>
      </c>
    </row>
    <row r="1170" customFormat="false" ht="15" hidden="false" customHeight="true" outlineLevel="0" collapsed="false">
      <c r="A1170" s="10"/>
      <c r="B1170" s="8"/>
      <c r="C1170" s="13" t="str">
        <f aca="false">IF($B1170="","",IFERROR(INDEX(직원목록!$B$3:$B$302,MATCH($B1170,직원목록!$A$3:$A$302,0)),"미등록사번"))</f>
        <v/>
      </c>
      <c r="D1170" s="13" t="str">
        <f aca="false">IF($B1170="","",IFERROR(INDEX(직원목록!$C$3:$C$302,MATCH($B1170,직원목록!$A$3:$A$302,0)),""))</f>
        <v/>
      </c>
      <c r="E1170" s="14"/>
      <c r="F1170" s="14"/>
      <c r="G1170" s="15"/>
      <c r="H1170" s="16" t="str">
        <f aca="false">IF(OR($K1170="",$L1170=""),"",ROUND(MAX(0,($L1170-$K1170)-IF($G1170="",0,$G1170))/60,2))</f>
        <v/>
      </c>
      <c r="I1170" s="8"/>
      <c r="J1170" s="8"/>
      <c r="K1170" s="17" t="str">
        <f aca="false">IF($E1170="","",IF($E1170&lt;1,ROUND($E1170*1440,0),INT($E1170/100)*60+MOD($E1170,100)))</f>
        <v/>
      </c>
      <c r="L1170" s="17" t="str">
        <f aca="false">IF($F1170="","",IF($F1170&lt;1,ROUND($F1170*1440,0),INT($F1170/100)*60+MOD($F1170,100)))</f>
        <v/>
      </c>
    </row>
    <row r="1171" customFormat="false" ht="15" hidden="false" customHeight="true" outlineLevel="0" collapsed="false">
      <c r="A1171" s="10"/>
      <c r="B1171" s="8"/>
      <c r="C1171" s="13" t="str">
        <f aca="false">IF($B1171="","",IFERROR(INDEX(직원목록!$B$3:$B$302,MATCH($B1171,직원목록!$A$3:$A$302,0)),"미등록사번"))</f>
        <v/>
      </c>
      <c r="D1171" s="13" t="str">
        <f aca="false">IF($B1171="","",IFERROR(INDEX(직원목록!$C$3:$C$302,MATCH($B1171,직원목록!$A$3:$A$302,0)),""))</f>
        <v/>
      </c>
      <c r="E1171" s="14"/>
      <c r="F1171" s="14"/>
      <c r="G1171" s="15"/>
      <c r="H1171" s="16" t="str">
        <f aca="false">IF(OR($K1171="",$L1171=""),"",ROUND(MAX(0,($L1171-$K1171)-IF($G1171="",0,$G1171))/60,2))</f>
        <v/>
      </c>
      <c r="I1171" s="8"/>
      <c r="J1171" s="8"/>
      <c r="K1171" s="17" t="str">
        <f aca="false">IF($E1171="","",IF($E1171&lt;1,ROUND($E1171*1440,0),INT($E1171/100)*60+MOD($E1171,100)))</f>
        <v/>
      </c>
      <c r="L1171" s="17" t="str">
        <f aca="false">IF($F1171="","",IF($F1171&lt;1,ROUND($F1171*1440,0),INT($F1171/100)*60+MOD($F1171,100)))</f>
        <v/>
      </c>
    </row>
    <row r="1172" customFormat="false" ht="15" hidden="false" customHeight="true" outlineLevel="0" collapsed="false">
      <c r="A1172" s="10"/>
      <c r="B1172" s="8"/>
      <c r="C1172" s="13" t="str">
        <f aca="false">IF($B1172="","",IFERROR(INDEX(직원목록!$B$3:$B$302,MATCH($B1172,직원목록!$A$3:$A$302,0)),"미등록사번"))</f>
        <v/>
      </c>
      <c r="D1172" s="13" t="str">
        <f aca="false">IF($B1172="","",IFERROR(INDEX(직원목록!$C$3:$C$302,MATCH($B1172,직원목록!$A$3:$A$302,0)),""))</f>
        <v/>
      </c>
      <c r="E1172" s="14"/>
      <c r="F1172" s="14"/>
      <c r="G1172" s="15"/>
      <c r="H1172" s="16" t="str">
        <f aca="false">IF(OR($K1172="",$L1172=""),"",ROUND(MAX(0,($L1172-$K1172)-IF($G1172="",0,$G1172))/60,2))</f>
        <v/>
      </c>
      <c r="I1172" s="8"/>
      <c r="J1172" s="8"/>
      <c r="K1172" s="17" t="str">
        <f aca="false">IF($E1172="","",IF($E1172&lt;1,ROUND($E1172*1440,0),INT($E1172/100)*60+MOD($E1172,100)))</f>
        <v/>
      </c>
      <c r="L1172" s="17" t="str">
        <f aca="false">IF($F1172="","",IF($F1172&lt;1,ROUND($F1172*1440,0),INT($F1172/100)*60+MOD($F1172,100)))</f>
        <v/>
      </c>
    </row>
    <row r="1173" customFormat="false" ht="15" hidden="false" customHeight="true" outlineLevel="0" collapsed="false">
      <c r="A1173" s="10"/>
      <c r="B1173" s="8"/>
      <c r="C1173" s="13" t="str">
        <f aca="false">IF($B1173="","",IFERROR(INDEX(직원목록!$B$3:$B$302,MATCH($B1173,직원목록!$A$3:$A$302,0)),"미등록사번"))</f>
        <v/>
      </c>
      <c r="D1173" s="13" t="str">
        <f aca="false">IF($B1173="","",IFERROR(INDEX(직원목록!$C$3:$C$302,MATCH($B1173,직원목록!$A$3:$A$302,0)),""))</f>
        <v/>
      </c>
      <c r="E1173" s="14"/>
      <c r="F1173" s="14"/>
      <c r="G1173" s="15"/>
      <c r="H1173" s="16" t="str">
        <f aca="false">IF(OR($K1173="",$L1173=""),"",ROUND(MAX(0,($L1173-$K1173)-IF($G1173="",0,$G1173))/60,2))</f>
        <v/>
      </c>
      <c r="I1173" s="8"/>
      <c r="J1173" s="8"/>
      <c r="K1173" s="17" t="str">
        <f aca="false">IF($E1173="","",IF($E1173&lt;1,ROUND($E1173*1440,0),INT($E1173/100)*60+MOD($E1173,100)))</f>
        <v/>
      </c>
      <c r="L1173" s="17" t="str">
        <f aca="false">IF($F1173="","",IF($F1173&lt;1,ROUND($F1173*1440,0),INT($F1173/100)*60+MOD($F1173,100)))</f>
        <v/>
      </c>
    </row>
    <row r="1174" customFormat="false" ht="15" hidden="false" customHeight="true" outlineLevel="0" collapsed="false">
      <c r="A1174" s="10"/>
      <c r="B1174" s="8"/>
      <c r="C1174" s="13" t="str">
        <f aca="false">IF($B1174="","",IFERROR(INDEX(직원목록!$B$3:$B$302,MATCH($B1174,직원목록!$A$3:$A$302,0)),"미등록사번"))</f>
        <v/>
      </c>
      <c r="D1174" s="13" t="str">
        <f aca="false">IF($B1174="","",IFERROR(INDEX(직원목록!$C$3:$C$302,MATCH($B1174,직원목록!$A$3:$A$302,0)),""))</f>
        <v/>
      </c>
      <c r="E1174" s="14"/>
      <c r="F1174" s="14"/>
      <c r="G1174" s="15"/>
      <c r="H1174" s="16" t="str">
        <f aca="false">IF(OR($K1174="",$L1174=""),"",ROUND(MAX(0,($L1174-$K1174)-IF($G1174="",0,$G1174))/60,2))</f>
        <v/>
      </c>
      <c r="I1174" s="8"/>
      <c r="J1174" s="8"/>
      <c r="K1174" s="17" t="str">
        <f aca="false">IF($E1174="","",IF($E1174&lt;1,ROUND($E1174*1440,0),INT($E1174/100)*60+MOD($E1174,100)))</f>
        <v/>
      </c>
      <c r="L1174" s="17" t="str">
        <f aca="false">IF($F1174="","",IF($F1174&lt;1,ROUND($F1174*1440,0),INT($F1174/100)*60+MOD($F1174,100)))</f>
        <v/>
      </c>
    </row>
    <row r="1175" customFormat="false" ht="15" hidden="false" customHeight="true" outlineLevel="0" collapsed="false">
      <c r="A1175" s="10"/>
      <c r="B1175" s="8"/>
      <c r="C1175" s="13" t="str">
        <f aca="false">IF($B1175="","",IFERROR(INDEX(직원목록!$B$3:$B$302,MATCH($B1175,직원목록!$A$3:$A$302,0)),"미등록사번"))</f>
        <v/>
      </c>
      <c r="D1175" s="13" t="str">
        <f aca="false">IF($B1175="","",IFERROR(INDEX(직원목록!$C$3:$C$302,MATCH($B1175,직원목록!$A$3:$A$302,0)),""))</f>
        <v/>
      </c>
      <c r="E1175" s="14"/>
      <c r="F1175" s="14"/>
      <c r="G1175" s="15"/>
      <c r="H1175" s="16" t="str">
        <f aca="false">IF(OR($K1175="",$L1175=""),"",ROUND(MAX(0,($L1175-$K1175)-IF($G1175="",0,$G1175))/60,2))</f>
        <v/>
      </c>
      <c r="I1175" s="8"/>
      <c r="J1175" s="8"/>
      <c r="K1175" s="17" t="str">
        <f aca="false">IF($E1175="","",IF($E1175&lt;1,ROUND($E1175*1440,0),INT($E1175/100)*60+MOD($E1175,100)))</f>
        <v/>
      </c>
      <c r="L1175" s="17" t="str">
        <f aca="false">IF($F1175="","",IF($F1175&lt;1,ROUND($F1175*1440,0),INT($F1175/100)*60+MOD($F1175,100)))</f>
        <v/>
      </c>
    </row>
    <row r="1176" customFormat="false" ht="15" hidden="false" customHeight="true" outlineLevel="0" collapsed="false">
      <c r="A1176" s="10"/>
      <c r="B1176" s="8"/>
      <c r="C1176" s="13" t="str">
        <f aca="false">IF($B1176="","",IFERROR(INDEX(직원목록!$B$3:$B$302,MATCH($B1176,직원목록!$A$3:$A$302,0)),"미등록사번"))</f>
        <v/>
      </c>
      <c r="D1176" s="13" t="str">
        <f aca="false">IF($B1176="","",IFERROR(INDEX(직원목록!$C$3:$C$302,MATCH($B1176,직원목록!$A$3:$A$302,0)),""))</f>
        <v/>
      </c>
      <c r="E1176" s="14"/>
      <c r="F1176" s="14"/>
      <c r="G1176" s="15"/>
      <c r="H1176" s="16" t="str">
        <f aca="false">IF(OR($K1176="",$L1176=""),"",ROUND(MAX(0,($L1176-$K1176)-IF($G1176="",0,$G1176))/60,2))</f>
        <v/>
      </c>
      <c r="I1176" s="8"/>
      <c r="J1176" s="8"/>
      <c r="K1176" s="17" t="str">
        <f aca="false">IF($E1176="","",IF($E1176&lt;1,ROUND($E1176*1440,0),INT($E1176/100)*60+MOD($E1176,100)))</f>
        <v/>
      </c>
      <c r="L1176" s="17" t="str">
        <f aca="false">IF($F1176="","",IF($F1176&lt;1,ROUND($F1176*1440,0),INT($F1176/100)*60+MOD($F1176,100)))</f>
        <v/>
      </c>
    </row>
    <row r="1177" customFormat="false" ht="15" hidden="false" customHeight="true" outlineLevel="0" collapsed="false">
      <c r="A1177" s="10"/>
      <c r="B1177" s="8"/>
      <c r="C1177" s="13" t="str">
        <f aca="false">IF($B1177="","",IFERROR(INDEX(직원목록!$B$3:$B$302,MATCH($B1177,직원목록!$A$3:$A$302,0)),"미등록사번"))</f>
        <v/>
      </c>
      <c r="D1177" s="13" t="str">
        <f aca="false">IF($B1177="","",IFERROR(INDEX(직원목록!$C$3:$C$302,MATCH($B1177,직원목록!$A$3:$A$302,0)),""))</f>
        <v/>
      </c>
      <c r="E1177" s="14"/>
      <c r="F1177" s="14"/>
      <c r="G1177" s="15"/>
      <c r="H1177" s="16" t="str">
        <f aca="false">IF(OR($K1177="",$L1177=""),"",ROUND(MAX(0,($L1177-$K1177)-IF($G1177="",0,$G1177))/60,2))</f>
        <v/>
      </c>
      <c r="I1177" s="8"/>
      <c r="J1177" s="8"/>
      <c r="K1177" s="17" t="str">
        <f aca="false">IF($E1177="","",IF($E1177&lt;1,ROUND($E1177*1440,0),INT($E1177/100)*60+MOD($E1177,100)))</f>
        <v/>
      </c>
      <c r="L1177" s="17" t="str">
        <f aca="false">IF($F1177="","",IF($F1177&lt;1,ROUND($F1177*1440,0),INT($F1177/100)*60+MOD($F1177,100)))</f>
        <v/>
      </c>
    </row>
    <row r="1178" customFormat="false" ht="15" hidden="false" customHeight="true" outlineLevel="0" collapsed="false">
      <c r="A1178" s="10"/>
      <c r="B1178" s="8"/>
      <c r="C1178" s="13" t="str">
        <f aca="false">IF($B1178="","",IFERROR(INDEX(직원목록!$B$3:$B$302,MATCH($B1178,직원목록!$A$3:$A$302,0)),"미등록사번"))</f>
        <v/>
      </c>
      <c r="D1178" s="13" t="str">
        <f aca="false">IF($B1178="","",IFERROR(INDEX(직원목록!$C$3:$C$302,MATCH($B1178,직원목록!$A$3:$A$302,0)),""))</f>
        <v/>
      </c>
      <c r="E1178" s="14"/>
      <c r="F1178" s="14"/>
      <c r="G1178" s="15"/>
      <c r="H1178" s="16" t="str">
        <f aca="false">IF(OR($K1178="",$L1178=""),"",ROUND(MAX(0,($L1178-$K1178)-IF($G1178="",0,$G1178))/60,2))</f>
        <v/>
      </c>
      <c r="I1178" s="8"/>
      <c r="J1178" s="8"/>
      <c r="K1178" s="17" t="str">
        <f aca="false">IF($E1178="","",IF($E1178&lt;1,ROUND($E1178*1440,0),INT($E1178/100)*60+MOD($E1178,100)))</f>
        <v/>
      </c>
      <c r="L1178" s="17" t="str">
        <f aca="false">IF($F1178="","",IF($F1178&lt;1,ROUND($F1178*1440,0),INT($F1178/100)*60+MOD($F1178,100)))</f>
        <v/>
      </c>
    </row>
    <row r="1179" customFormat="false" ht="15" hidden="false" customHeight="true" outlineLevel="0" collapsed="false">
      <c r="A1179" s="10"/>
      <c r="B1179" s="8"/>
      <c r="C1179" s="13" t="str">
        <f aca="false">IF($B1179="","",IFERROR(INDEX(직원목록!$B$3:$B$302,MATCH($B1179,직원목록!$A$3:$A$302,0)),"미등록사번"))</f>
        <v/>
      </c>
      <c r="D1179" s="13" t="str">
        <f aca="false">IF($B1179="","",IFERROR(INDEX(직원목록!$C$3:$C$302,MATCH($B1179,직원목록!$A$3:$A$302,0)),""))</f>
        <v/>
      </c>
      <c r="E1179" s="14"/>
      <c r="F1179" s="14"/>
      <c r="G1179" s="15"/>
      <c r="H1179" s="16" t="str">
        <f aca="false">IF(OR($K1179="",$L1179=""),"",ROUND(MAX(0,($L1179-$K1179)-IF($G1179="",0,$G1179))/60,2))</f>
        <v/>
      </c>
      <c r="I1179" s="8"/>
      <c r="J1179" s="8"/>
      <c r="K1179" s="17" t="str">
        <f aca="false">IF($E1179="","",IF($E1179&lt;1,ROUND($E1179*1440,0),INT($E1179/100)*60+MOD($E1179,100)))</f>
        <v/>
      </c>
      <c r="L1179" s="17" t="str">
        <f aca="false">IF($F1179="","",IF($F1179&lt;1,ROUND($F1179*1440,0),INT($F1179/100)*60+MOD($F1179,100)))</f>
        <v/>
      </c>
    </row>
    <row r="1180" customFormat="false" ht="15" hidden="false" customHeight="true" outlineLevel="0" collapsed="false">
      <c r="A1180" s="10"/>
      <c r="B1180" s="8"/>
      <c r="C1180" s="13" t="str">
        <f aca="false">IF($B1180="","",IFERROR(INDEX(직원목록!$B$3:$B$302,MATCH($B1180,직원목록!$A$3:$A$302,0)),"미등록사번"))</f>
        <v/>
      </c>
      <c r="D1180" s="13" t="str">
        <f aca="false">IF($B1180="","",IFERROR(INDEX(직원목록!$C$3:$C$302,MATCH($B1180,직원목록!$A$3:$A$302,0)),""))</f>
        <v/>
      </c>
      <c r="E1180" s="14"/>
      <c r="F1180" s="14"/>
      <c r="G1180" s="15"/>
      <c r="H1180" s="16" t="str">
        <f aca="false">IF(OR($K1180="",$L1180=""),"",ROUND(MAX(0,($L1180-$K1180)-IF($G1180="",0,$G1180))/60,2))</f>
        <v/>
      </c>
      <c r="I1180" s="8"/>
      <c r="J1180" s="8"/>
      <c r="K1180" s="17" t="str">
        <f aca="false">IF($E1180="","",IF($E1180&lt;1,ROUND($E1180*1440,0),INT($E1180/100)*60+MOD($E1180,100)))</f>
        <v/>
      </c>
      <c r="L1180" s="17" t="str">
        <f aca="false">IF($F1180="","",IF($F1180&lt;1,ROUND($F1180*1440,0),INT($F1180/100)*60+MOD($F1180,100)))</f>
        <v/>
      </c>
    </row>
    <row r="1181" customFormat="false" ht="15" hidden="false" customHeight="true" outlineLevel="0" collapsed="false">
      <c r="A1181" s="10"/>
      <c r="B1181" s="8"/>
      <c r="C1181" s="13" t="str">
        <f aca="false">IF($B1181="","",IFERROR(INDEX(직원목록!$B$3:$B$302,MATCH($B1181,직원목록!$A$3:$A$302,0)),"미등록사번"))</f>
        <v/>
      </c>
      <c r="D1181" s="13" t="str">
        <f aca="false">IF($B1181="","",IFERROR(INDEX(직원목록!$C$3:$C$302,MATCH($B1181,직원목록!$A$3:$A$302,0)),""))</f>
        <v/>
      </c>
      <c r="E1181" s="14"/>
      <c r="F1181" s="14"/>
      <c r="G1181" s="15"/>
      <c r="H1181" s="16" t="str">
        <f aca="false">IF(OR($K1181="",$L1181=""),"",ROUND(MAX(0,($L1181-$K1181)-IF($G1181="",0,$G1181))/60,2))</f>
        <v/>
      </c>
      <c r="I1181" s="8"/>
      <c r="J1181" s="8"/>
      <c r="K1181" s="17" t="str">
        <f aca="false">IF($E1181="","",IF($E1181&lt;1,ROUND($E1181*1440,0),INT($E1181/100)*60+MOD($E1181,100)))</f>
        <v/>
      </c>
      <c r="L1181" s="17" t="str">
        <f aca="false">IF($F1181="","",IF($F1181&lt;1,ROUND($F1181*1440,0),INT($F1181/100)*60+MOD($F1181,100)))</f>
        <v/>
      </c>
    </row>
    <row r="1182" customFormat="false" ht="15" hidden="false" customHeight="true" outlineLevel="0" collapsed="false">
      <c r="A1182" s="10"/>
      <c r="B1182" s="8"/>
      <c r="C1182" s="13" t="str">
        <f aca="false">IF($B1182="","",IFERROR(INDEX(직원목록!$B$3:$B$302,MATCH($B1182,직원목록!$A$3:$A$302,0)),"미등록사번"))</f>
        <v/>
      </c>
      <c r="D1182" s="13" t="str">
        <f aca="false">IF($B1182="","",IFERROR(INDEX(직원목록!$C$3:$C$302,MATCH($B1182,직원목록!$A$3:$A$302,0)),""))</f>
        <v/>
      </c>
      <c r="E1182" s="14"/>
      <c r="F1182" s="14"/>
      <c r="G1182" s="15"/>
      <c r="H1182" s="16" t="str">
        <f aca="false">IF(OR($K1182="",$L1182=""),"",ROUND(MAX(0,($L1182-$K1182)-IF($G1182="",0,$G1182))/60,2))</f>
        <v/>
      </c>
      <c r="I1182" s="8"/>
      <c r="J1182" s="8"/>
      <c r="K1182" s="17" t="str">
        <f aca="false">IF($E1182="","",IF($E1182&lt;1,ROUND($E1182*1440,0),INT($E1182/100)*60+MOD($E1182,100)))</f>
        <v/>
      </c>
      <c r="L1182" s="17" t="str">
        <f aca="false">IF($F1182="","",IF($F1182&lt;1,ROUND($F1182*1440,0),INT($F1182/100)*60+MOD($F1182,100)))</f>
        <v/>
      </c>
    </row>
    <row r="1183" customFormat="false" ht="15" hidden="false" customHeight="true" outlineLevel="0" collapsed="false">
      <c r="A1183" s="10"/>
      <c r="B1183" s="8"/>
      <c r="C1183" s="13" t="str">
        <f aca="false">IF($B1183="","",IFERROR(INDEX(직원목록!$B$3:$B$302,MATCH($B1183,직원목록!$A$3:$A$302,0)),"미등록사번"))</f>
        <v/>
      </c>
      <c r="D1183" s="13" t="str">
        <f aca="false">IF($B1183="","",IFERROR(INDEX(직원목록!$C$3:$C$302,MATCH($B1183,직원목록!$A$3:$A$302,0)),""))</f>
        <v/>
      </c>
      <c r="E1183" s="14"/>
      <c r="F1183" s="14"/>
      <c r="G1183" s="15"/>
      <c r="H1183" s="16" t="str">
        <f aca="false">IF(OR($K1183="",$L1183=""),"",ROUND(MAX(0,($L1183-$K1183)-IF($G1183="",0,$G1183))/60,2))</f>
        <v/>
      </c>
      <c r="I1183" s="8"/>
      <c r="J1183" s="8"/>
      <c r="K1183" s="17" t="str">
        <f aca="false">IF($E1183="","",IF($E1183&lt;1,ROUND($E1183*1440,0),INT($E1183/100)*60+MOD($E1183,100)))</f>
        <v/>
      </c>
      <c r="L1183" s="17" t="str">
        <f aca="false">IF($F1183="","",IF($F1183&lt;1,ROUND($F1183*1440,0),INT($F1183/100)*60+MOD($F1183,100)))</f>
        <v/>
      </c>
    </row>
    <row r="1184" customFormat="false" ht="15" hidden="false" customHeight="true" outlineLevel="0" collapsed="false">
      <c r="A1184" s="10"/>
      <c r="B1184" s="8"/>
      <c r="C1184" s="13" t="str">
        <f aca="false">IF($B1184="","",IFERROR(INDEX(직원목록!$B$3:$B$302,MATCH($B1184,직원목록!$A$3:$A$302,0)),"미등록사번"))</f>
        <v/>
      </c>
      <c r="D1184" s="13" t="str">
        <f aca="false">IF($B1184="","",IFERROR(INDEX(직원목록!$C$3:$C$302,MATCH($B1184,직원목록!$A$3:$A$302,0)),""))</f>
        <v/>
      </c>
      <c r="E1184" s="14"/>
      <c r="F1184" s="14"/>
      <c r="G1184" s="15"/>
      <c r="H1184" s="16" t="str">
        <f aca="false">IF(OR($K1184="",$L1184=""),"",ROUND(MAX(0,($L1184-$K1184)-IF($G1184="",0,$G1184))/60,2))</f>
        <v/>
      </c>
      <c r="I1184" s="8"/>
      <c r="J1184" s="8"/>
      <c r="K1184" s="17" t="str">
        <f aca="false">IF($E1184="","",IF($E1184&lt;1,ROUND($E1184*1440,0),INT($E1184/100)*60+MOD($E1184,100)))</f>
        <v/>
      </c>
      <c r="L1184" s="17" t="str">
        <f aca="false">IF($F1184="","",IF($F1184&lt;1,ROUND($F1184*1440,0),INT($F1184/100)*60+MOD($F1184,100)))</f>
        <v/>
      </c>
    </row>
    <row r="1185" customFormat="false" ht="15" hidden="false" customHeight="true" outlineLevel="0" collapsed="false">
      <c r="A1185" s="10"/>
      <c r="B1185" s="8"/>
      <c r="C1185" s="13" t="str">
        <f aca="false">IF($B1185="","",IFERROR(INDEX(직원목록!$B$3:$B$302,MATCH($B1185,직원목록!$A$3:$A$302,0)),"미등록사번"))</f>
        <v/>
      </c>
      <c r="D1185" s="13" t="str">
        <f aca="false">IF($B1185="","",IFERROR(INDEX(직원목록!$C$3:$C$302,MATCH($B1185,직원목록!$A$3:$A$302,0)),""))</f>
        <v/>
      </c>
      <c r="E1185" s="14"/>
      <c r="F1185" s="14"/>
      <c r="G1185" s="15"/>
      <c r="H1185" s="16" t="str">
        <f aca="false">IF(OR($K1185="",$L1185=""),"",ROUND(MAX(0,($L1185-$K1185)-IF($G1185="",0,$G1185))/60,2))</f>
        <v/>
      </c>
      <c r="I1185" s="8"/>
      <c r="J1185" s="8"/>
      <c r="K1185" s="17" t="str">
        <f aca="false">IF($E1185="","",IF($E1185&lt;1,ROUND($E1185*1440,0),INT($E1185/100)*60+MOD($E1185,100)))</f>
        <v/>
      </c>
      <c r="L1185" s="17" t="str">
        <f aca="false">IF($F1185="","",IF($F1185&lt;1,ROUND($F1185*1440,0),INT($F1185/100)*60+MOD($F1185,100)))</f>
        <v/>
      </c>
    </row>
    <row r="1186" customFormat="false" ht="15" hidden="false" customHeight="true" outlineLevel="0" collapsed="false">
      <c r="A1186" s="10"/>
      <c r="B1186" s="8"/>
      <c r="C1186" s="13" t="str">
        <f aca="false">IF($B1186="","",IFERROR(INDEX(직원목록!$B$3:$B$302,MATCH($B1186,직원목록!$A$3:$A$302,0)),"미등록사번"))</f>
        <v/>
      </c>
      <c r="D1186" s="13" t="str">
        <f aca="false">IF($B1186="","",IFERROR(INDEX(직원목록!$C$3:$C$302,MATCH($B1186,직원목록!$A$3:$A$302,0)),""))</f>
        <v/>
      </c>
      <c r="E1186" s="14"/>
      <c r="F1186" s="14"/>
      <c r="G1186" s="15"/>
      <c r="H1186" s="16" t="str">
        <f aca="false">IF(OR($K1186="",$L1186=""),"",ROUND(MAX(0,($L1186-$K1186)-IF($G1186="",0,$G1186))/60,2))</f>
        <v/>
      </c>
      <c r="I1186" s="8"/>
      <c r="J1186" s="8"/>
      <c r="K1186" s="17" t="str">
        <f aca="false">IF($E1186="","",IF($E1186&lt;1,ROUND($E1186*1440,0),INT($E1186/100)*60+MOD($E1186,100)))</f>
        <v/>
      </c>
      <c r="L1186" s="17" t="str">
        <f aca="false">IF($F1186="","",IF($F1186&lt;1,ROUND($F1186*1440,0),INT($F1186/100)*60+MOD($F1186,100)))</f>
        <v/>
      </c>
    </row>
    <row r="1187" customFormat="false" ht="15" hidden="false" customHeight="true" outlineLevel="0" collapsed="false">
      <c r="A1187" s="10"/>
      <c r="B1187" s="8"/>
      <c r="C1187" s="13" t="str">
        <f aca="false">IF($B1187="","",IFERROR(INDEX(직원목록!$B$3:$B$302,MATCH($B1187,직원목록!$A$3:$A$302,0)),"미등록사번"))</f>
        <v/>
      </c>
      <c r="D1187" s="13" t="str">
        <f aca="false">IF($B1187="","",IFERROR(INDEX(직원목록!$C$3:$C$302,MATCH($B1187,직원목록!$A$3:$A$302,0)),""))</f>
        <v/>
      </c>
      <c r="E1187" s="14"/>
      <c r="F1187" s="14"/>
      <c r="G1187" s="15"/>
      <c r="H1187" s="16" t="str">
        <f aca="false">IF(OR($K1187="",$L1187=""),"",ROUND(MAX(0,($L1187-$K1187)-IF($G1187="",0,$G1187))/60,2))</f>
        <v/>
      </c>
      <c r="I1187" s="8"/>
      <c r="J1187" s="8"/>
      <c r="K1187" s="17" t="str">
        <f aca="false">IF($E1187="","",IF($E1187&lt;1,ROUND($E1187*1440,0),INT($E1187/100)*60+MOD($E1187,100)))</f>
        <v/>
      </c>
      <c r="L1187" s="17" t="str">
        <f aca="false">IF($F1187="","",IF($F1187&lt;1,ROUND($F1187*1440,0),INT($F1187/100)*60+MOD($F1187,100)))</f>
        <v/>
      </c>
    </row>
    <row r="1188" customFormat="false" ht="15" hidden="false" customHeight="true" outlineLevel="0" collapsed="false">
      <c r="A1188" s="10"/>
      <c r="B1188" s="8"/>
      <c r="C1188" s="13" t="str">
        <f aca="false">IF($B1188="","",IFERROR(INDEX(직원목록!$B$3:$B$302,MATCH($B1188,직원목록!$A$3:$A$302,0)),"미등록사번"))</f>
        <v/>
      </c>
      <c r="D1188" s="13" t="str">
        <f aca="false">IF($B1188="","",IFERROR(INDEX(직원목록!$C$3:$C$302,MATCH($B1188,직원목록!$A$3:$A$302,0)),""))</f>
        <v/>
      </c>
      <c r="E1188" s="14"/>
      <c r="F1188" s="14"/>
      <c r="G1188" s="15"/>
      <c r="H1188" s="16" t="str">
        <f aca="false">IF(OR($K1188="",$L1188=""),"",ROUND(MAX(0,($L1188-$K1188)-IF($G1188="",0,$G1188))/60,2))</f>
        <v/>
      </c>
      <c r="I1188" s="8"/>
      <c r="J1188" s="8"/>
      <c r="K1188" s="17" t="str">
        <f aca="false">IF($E1188="","",IF($E1188&lt;1,ROUND($E1188*1440,0),INT($E1188/100)*60+MOD($E1188,100)))</f>
        <v/>
      </c>
      <c r="L1188" s="17" t="str">
        <f aca="false">IF($F1188="","",IF($F1188&lt;1,ROUND($F1188*1440,0),INT($F1188/100)*60+MOD($F1188,100)))</f>
        <v/>
      </c>
    </row>
    <row r="1189" customFormat="false" ht="15" hidden="false" customHeight="true" outlineLevel="0" collapsed="false">
      <c r="A1189" s="10"/>
      <c r="B1189" s="8"/>
      <c r="C1189" s="13" t="str">
        <f aca="false">IF($B1189="","",IFERROR(INDEX(직원목록!$B$3:$B$302,MATCH($B1189,직원목록!$A$3:$A$302,0)),"미등록사번"))</f>
        <v/>
      </c>
      <c r="D1189" s="13" t="str">
        <f aca="false">IF($B1189="","",IFERROR(INDEX(직원목록!$C$3:$C$302,MATCH($B1189,직원목록!$A$3:$A$302,0)),""))</f>
        <v/>
      </c>
      <c r="E1189" s="14"/>
      <c r="F1189" s="14"/>
      <c r="G1189" s="15"/>
      <c r="H1189" s="16" t="str">
        <f aca="false">IF(OR($K1189="",$L1189=""),"",ROUND(MAX(0,($L1189-$K1189)-IF($G1189="",0,$G1189))/60,2))</f>
        <v/>
      </c>
      <c r="I1189" s="8"/>
      <c r="J1189" s="8"/>
      <c r="K1189" s="17" t="str">
        <f aca="false">IF($E1189="","",IF($E1189&lt;1,ROUND($E1189*1440,0),INT($E1189/100)*60+MOD($E1189,100)))</f>
        <v/>
      </c>
      <c r="L1189" s="17" t="str">
        <f aca="false">IF($F1189="","",IF($F1189&lt;1,ROUND($F1189*1440,0),INT($F1189/100)*60+MOD($F1189,100)))</f>
        <v/>
      </c>
    </row>
    <row r="1190" customFormat="false" ht="15" hidden="false" customHeight="true" outlineLevel="0" collapsed="false">
      <c r="A1190" s="10"/>
      <c r="B1190" s="8"/>
      <c r="C1190" s="13" t="str">
        <f aca="false">IF($B1190="","",IFERROR(INDEX(직원목록!$B$3:$B$302,MATCH($B1190,직원목록!$A$3:$A$302,0)),"미등록사번"))</f>
        <v/>
      </c>
      <c r="D1190" s="13" t="str">
        <f aca="false">IF($B1190="","",IFERROR(INDEX(직원목록!$C$3:$C$302,MATCH($B1190,직원목록!$A$3:$A$302,0)),""))</f>
        <v/>
      </c>
      <c r="E1190" s="14"/>
      <c r="F1190" s="14"/>
      <c r="G1190" s="15"/>
      <c r="H1190" s="16" t="str">
        <f aca="false">IF(OR($K1190="",$L1190=""),"",ROUND(MAX(0,($L1190-$K1190)-IF($G1190="",0,$G1190))/60,2))</f>
        <v/>
      </c>
      <c r="I1190" s="8"/>
      <c r="J1190" s="8"/>
      <c r="K1190" s="17" t="str">
        <f aca="false">IF($E1190="","",IF($E1190&lt;1,ROUND($E1190*1440,0),INT($E1190/100)*60+MOD($E1190,100)))</f>
        <v/>
      </c>
      <c r="L1190" s="17" t="str">
        <f aca="false">IF($F1190="","",IF($F1190&lt;1,ROUND($F1190*1440,0),INT($F1190/100)*60+MOD($F1190,100)))</f>
        <v/>
      </c>
    </row>
    <row r="1191" customFormat="false" ht="15" hidden="false" customHeight="true" outlineLevel="0" collapsed="false">
      <c r="A1191" s="10"/>
      <c r="B1191" s="8"/>
      <c r="C1191" s="13" t="str">
        <f aca="false">IF($B1191="","",IFERROR(INDEX(직원목록!$B$3:$B$302,MATCH($B1191,직원목록!$A$3:$A$302,0)),"미등록사번"))</f>
        <v/>
      </c>
      <c r="D1191" s="13" t="str">
        <f aca="false">IF($B1191="","",IFERROR(INDEX(직원목록!$C$3:$C$302,MATCH($B1191,직원목록!$A$3:$A$302,0)),""))</f>
        <v/>
      </c>
      <c r="E1191" s="14"/>
      <c r="F1191" s="14"/>
      <c r="G1191" s="15"/>
      <c r="H1191" s="16" t="str">
        <f aca="false">IF(OR($K1191="",$L1191=""),"",ROUND(MAX(0,($L1191-$K1191)-IF($G1191="",0,$G1191))/60,2))</f>
        <v/>
      </c>
      <c r="I1191" s="8"/>
      <c r="J1191" s="8"/>
      <c r="K1191" s="17" t="str">
        <f aca="false">IF($E1191="","",IF($E1191&lt;1,ROUND($E1191*1440,0),INT($E1191/100)*60+MOD($E1191,100)))</f>
        <v/>
      </c>
      <c r="L1191" s="17" t="str">
        <f aca="false">IF($F1191="","",IF($F1191&lt;1,ROUND($F1191*1440,0),INT($F1191/100)*60+MOD($F1191,100)))</f>
        <v/>
      </c>
    </row>
    <row r="1192" customFormat="false" ht="15" hidden="false" customHeight="true" outlineLevel="0" collapsed="false">
      <c r="A1192" s="10"/>
      <c r="B1192" s="8"/>
      <c r="C1192" s="13" t="str">
        <f aca="false">IF($B1192="","",IFERROR(INDEX(직원목록!$B$3:$B$302,MATCH($B1192,직원목록!$A$3:$A$302,0)),"미등록사번"))</f>
        <v/>
      </c>
      <c r="D1192" s="13" t="str">
        <f aca="false">IF($B1192="","",IFERROR(INDEX(직원목록!$C$3:$C$302,MATCH($B1192,직원목록!$A$3:$A$302,0)),""))</f>
        <v/>
      </c>
      <c r="E1192" s="14"/>
      <c r="F1192" s="14"/>
      <c r="G1192" s="15"/>
      <c r="H1192" s="16" t="str">
        <f aca="false">IF(OR($K1192="",$L1192=""),"",ROUND(MAX(0,($L1192-$K1192)-IF($G1192="",0,$G1192))/60,2))</f>
        <v/>
      </c>
      <c r="I1192" s="8"/>
      <c r="J1192" s="8"/>
      <c r="K1192" s="17" t="str">
        <f aca="false">IF($E1192="","",IF($E1192&lt;1,ROUND($E1192*1440,0),INT($E1192/100)*60+MOD($E1192,100)))</f>
        <v/>
      </c>
      <c r="L1192" s="17" t="str">
        <f aca="false">IF($F1192="","",IF($F1192&lt;1,ROUND($F1192*1440,0),INT($F1192/100)*60+MOD($F1192,100)))</f>
        <v/>
      </c>
    </row>
    <row r="1193" customFormat="false" ht="15" hidden="false" customHeight="true" outlineLevel="0" collapsed="false">
      <c r="A1193" s="10"/>
      <c r="B1193" s="8"/>
      <c r="C1193" s="13" t="str">
        <f aca="false">IF($B1193="","",IFERROR(INDEX(직원목록!$B$3:$B$302,MATCH($B1193,직원목록!$A$3:$A$302,0)),"미등록사번"))</f>
        <v/>
      </c>
      <c r="D1193" s="13" t="str">
        <f aca="false">IF($B1193="","",IFERROR(INDEX(직원목록!$C$3:$C$302,MATCH($B1193,직원목록!$A$3:$A$302,0)),""))</f>
        <v/>
      </c>
      <c r="E1193" s="14"/>
      <c r="F1193" s="14"/>
      <c r="G1193" s="15"/>
      <c r="H1193" s="16" t="str">
        <f aca="false">IF(OR($K1193="",$L1193=""),"",ROUND(MAX(0,($L1193-$K1193)-IF($G1193="",0,$G1193))/60,2))</f>
        <v/>
      </c>
      <c r="I1193" s="8"/>
      <c r="J1193" s="8"/>
      <c r="K1193" s="17" t="str">
        <f aca="false">IF($E1193="","",IF($E1193&lt;1,ROUND($E1193*1440,0),INT($E1193/100)*60+MOD($E1193,100)))</f>
        <v/>
      </c>
      <c r="L1193" s="17" t="str">
        <f aca="false">IF($F1193="","",IF($F1193&lt;1,ROUND($F1193*1440,0),INT($F1193/100)*60+MOD($F1193,100)))</f>
        <v/>
      </c>
    </row>
    <row r="1194" customFormat="false" ht="15" hidden="false" customHeight="true" outlineLevel="0" collapsed="false">
      <c r="A1194" s="10"/>
      <c r="B1194" s="8"/>
      <c r="C1194" s="13" t="str">
        <f aca="false">IF($B1194="","",IFERROR(INDEX(직원목록!$B$3:$B$302,MATCH($B1194,직원목록!$A$3:$A$302,0)),"미등록사번"))</f>
        <v/>
      </c>
      <c r="D1194" s="13" t="str">
        <f aca="false">IF($B1194="","",IFERROR(INDEX(직원목록!$C$3:$C$302,MATCH($B1194,직원목록!$A$3:$A$302,0)),""))</f>
        <v/>
      </c>
      <c r="E1194" s="14"/>
      <c r="F1194" s="14"/>
      <c r="G1194" s="15"/>
      <c r="H1194" s="16" t="str">
        <f aca="false">IF(OR($K1194="",$L1194=""),"",ROUND(MAX(0,($L1194-$K1194)-IF($G1194="",0,$G1194))/60,2))</f>
        <v/>
      </c>
      <c r="I1194" s="8"/>
      <c r="J1194" s="8"/>
      <c r="K1194" s="17" t="str">
        <f aca="false">IF($E1194="","",IF($E1194&lt;1,ROUND($E1194*1440,0),INT($E1194/100)*60+MOD($E1194,100)))</f>
        <v/>
      </c>
      <c r="L1194" s="17" t="str">
        <f aca="false">IF($F1194="","",IF($F1194&lt;1,ROUND($F1194*1440,0),INT($F1194/100)*60+MOD($F1194,100)))</f>
        <v/>
      </c>
    </row>
    <row r="1195" customFormat="false" ht="15" hidden="false" customHeight="true" outlineLevel="0" collapsed="false">
      <c r="A1195" s="10"/>
      <c r="B1195" s="8"/>
      <c r="C1195" s="13" t="str">
        <f aca="false">IF($B1195="","",IFERROR(INDEX(직원목록!$B$3:$B$302,MATCH($B1195,직원목록!$A$3:$A$302,0)),"미등록사번"))</f>
        <v/>
      </c>
      <c r="D1195" s="13" t="str">
        <f aca="false">IF($B1195="","",IFERROR(INDEX(직원목록!$C$3:$C$302,MATCH($B1195,직원목록!$A$3:$A$302,0)),""))</f>
        <v/>
      </c>
      <c r="E1195" s="14"/>
      <c r="F1195" s="14"/>
      <c r="G1195" s="15"/>
      <c r="H1195" s="16" t="str">
        <f aca="false">IF(OR($K1195="",$L1195=""),"",ROUND(MAX(0,($L1195-$K1195)-IF($G1195="",0,$G1195))/60,2))</f>
        <v/>
      </c>
      <c r="I1195" s="8"/>
      <c r="J1195" s="8"/>
      <c r="K1195" s="17" t="str">
        <f aca="false">IF($E1195="","",IF($E1195&lt;1,ROUND($E1195*1440,0),INT($E1195/100)*60+MOD($E1195,100)))</f>
        <v/>
      </c>
      <c r="L1195" s="17" t="str">
        <f aca="false">IF($F1195="","",IF($F1195&lt;1,ROUND($F1195*1440,0),INT($F1195/100)*60+MOD($F1195,100)))</f>
        <v/>
      </c>
    </row>
    <row r="1196" customFormat="false" ht="15" hidden="false" customHeight="true" outlineLevel="0" collapsed="false">
      <c r="A1196" s="10"/>
      <c r="B1196" s="8"/>
      <c r="C1196" s="13" t="str">
        <f aca="false">IF($B1196="","",IFERROR(INDEX(직원목록!$B$3:$B$302,MATCH($B1196,직원목록!$A$3:$A$302,0)),"미등록사번"))</f>
        <v/>
      </c>
      <c r="D1196" s="13" t="str">
        <f aca="false">IF($B1196="","",IFERROR(INDEX(직원목록!$C$3:$C$302,MATCH($B1196,직원목록!$A$3:$A$302,0)),""))</f>
        <v/>
      </c>
      <c r="E1196" s="14"/>
      <c r="F1196" s="14"/>
      <c r="G1196" s="15"/>
      <c r="H1196" s="16" t="str">
        <f aca="false">IF(OR($K1196="",$L1196=""),"",ROUND(MAX(0,($L1196-$K1196)-IF($G1196="",0,$G1196))/60,2))</f>
        <v/>
      </c>
      <c r="I1196" s="8"/>
      <c r="J1196" s="8"/>
      <c r="K1196" s="17" t="str">
        <f aca="false">IF($E1196="","",IF($E1196&lt;1,ROUND($E1196*1440,0),INT($E1196/100)*60+MOD($E1196,100)))</f>
        <v/>
      </c>
      <c r="L1196" s="17" t="str">
        <f aca="false">IF($F1196="","",IF($F1196&lt;1,ROUND($F1196*1440,0),INT($F1196/100)*60+MOD($F1196,100)))</f>
        <v/>
      </c>
    </row>
    <row r="1197" customFormat="false" ht="15" hidden="false" customHeight="true" outlineLevel="0" collapsed="false">
      <c r="A1197" s="10"/>
      <c r="B1197" s="8"/>
      <c r="C1197" s="13" t="str">
        <f aca="false">IF($B1197="","",IFERROR(INDEX(직원목록!$B$3:$B$302,MATCH($B1197,직원목록!$A$3:$A$302,0)),"미등록사번"))</f>
        <v/>
      </c>
      <c r="D1197" s="13" t="str">
        <f aca="false">IF($B1197="","",IFERROR(INDEX(직원목록!$C$3:$C$302,MATCH($B1197,직원목록!$A$3:$A$302,0)),""))</f>
        <v/>
      </c>
      <c r="E1197" s="14"/>
      <c r="F1197" s="14"/>
      <c r="G1197" s="15"/>
      <c r="H1197" s="16" t="str">
        <f aca="false">IF(OR($K1197="",$L1197=""),"",ROUND(MAX(0,($L1197-$K1197)-IF($G1197="",0,$G1197))/60,2))</f>
        <v/>
      </c>
      <c r="I1197" s="8"/>
      <c r="J1197" s="8"/>
      <c r="K1197" s="17" t="str">
        <f aca="false">IF($E1197="","",IF($E1197&lt;1,ROUND($E1197*1440,0),INT($E1197/100)*60+MOD($E1197,100)))</f>
        <v/>
      </c>
      <c r="L1197" s="17" t="str">
        <f aca="false">IF($F1197="","",IF($F1197&lt;1,ROUND($F1197*1440,0),INT($F1197/100)*60+MOD($F1197,100)))</f>
        <v/>
      </c>
    </row>
    <row r="1198" customFormat="false" ht="15" hidden="false" customHeight="true" outlineLevel="0" collapsed="false">
      <c r="A1198" s="10"/>
      <c r="B1198" s="8"/>
      <c r="C1198" s="13" t="str">
        <f aca="false">IF($B1198="","",IFERROR(INDEX(직원목록!$B$3:$B$302,MATCH($B1198,직원목록!$A$3:$A$302,0)),"미등록사번"))</f>
        <v/>
      </c>
      <c r="D1198" s="13" t="str">
        <f aca="false">IF($B1198="","",IFERROR(INDEX(직원목록!$C$3:$C$302,MATCH($B1198,직원목록!$A$3:$A$302,0)),""))</f>
        <v/>
      </c>
      <c r="E1198" s="14"/>
      <c r="F1198" s="14"/>
      <c r="G1198" s="15"/>
      <c r="H1198" s="16" t="str">
        <f aca="false">IF(OR($K1198="",$L1198=""),"",ROUND(MAX(0,($L1198-$K1198)-IF($G1198="",0,$G1198))/60,2))</f>
        <v/>
      </c>
      <c r="I1198" s="8"/>
      <c r="J1198" s="8"/>
      <c r="K1198" s="17" t="str">
        <f aca="false">IF($E1198="","",IF($E1198&lt;1,ROUND($E1198*1440,0),INT($E1198/100)*60+MOD($E1198,100)))</f>
        <v/>
      </c>
      <c r="L1198" s="17" t="str">
        <f aca="false">IF($F1198="","",IF($F1198&lt;1,ROUND($F1198*1440,0),INT($F1198/100)*60+MOD($F1198,100)))</f>
        <v/>
      </c>
    </row>
    <row r="1199" customFormat="false" ht="15" hidden="false" customHeight="true" outlineLevel="0" collapsed="false">
      <c r="A1199" s="10"/>
      <c r="B1199" s="8"/>
      <c r="C1199" s="13" t="str">
        <f aca="false">IF($B1199="","",IFERROR(INDEX(직원목록!$B$3:$B$302,MATCH($B1199,직원목록!$A$3:$A$302,0)),"미등록사번"))</f>
        <v/>
      </c>
      <c r="D1199" s="13" t="str">
        <f aca="false">IF($B1199="","",IFERROR(INDEX(직원목록!$C$3:$C$302,MATCH($B1199,직원목록!$A$3:$A$302,0)),""))</f>
        <v/>
      </c>
      <c r="E1199" s="14"/>
      <c r="F1199" s="14"/>
      <c r="G1199" s="15"/>
      <c r="H1199" s="16" t="str">
        <f aca="false">IF(OR($K1199="",$L1199=""),"",ROUND(MAX(0,($L1199-$K1199)-IF($G1199="",0,$G1199))/60,2))</f>
        <v/>
      </c>
      <c r="I1199" s="8"/>
      <c r="J1199" s="8"/>
      <c r="K1199" s="17" t="str">
        <f aca="false">IF($E1199="","",IF($E1199&lt;1,ROUND($E1199*1440,0),INT($E1199/100)*60+MOD($E1199,100)))</f>
        <v/>
      </c>
      <c r="L1199" s="17" t="str">
        <f aca="false">IF($F1199="","",IF($F1199&lt;1,ROUND($F1199*1440,0),INT($F1199/100)*60+MOD($F1199,100)))</f>
        <v/>
      </c>
    </row>
    <row r="1200" customFormat="false" ht="15" hidden="false" customHeight="true" outlineLevel="0" collapsed="false">
      <c r="A1200" s="10"/>
      <c r="B1200" s="8"/>
      <c r="C1200" s="13" t="str">
        <f aca="false">IF($B1200="","",IFERROR(INDEX(직원목록!$B$3:$B$302,MATCH($B1200,직원목록!$A$3:$A$302,0)),"미등록사번"))</f>
        <v/>
      </c>
      <c r="D1200" s="13" t="str">
        <f aca="false">IF($B1200="","",IFERROR(INDEX(직원목록!$C$3:$C$302,MATCH($B1200,직원목록!$A$3:$A$302,0)),""))</f>
        <v/>
      </c>
      <c r="E1200" s="14"/>
      <c r="F1200" s="14"/>
      <c r="G1200" s="15"/>
      <c r="H1200" s="16" t="str">
        <f aca="false">IF(OR($K1200="",$L1200=""),"",ROUND(MAX(0,($L1200-$K1200)-IF($G1200="",0,$G1200))/60,2))</f>
        <v/>
      </c>
      <c r="I1200" s="8"/>
      <c r="J1200" s="8"/>
      <c r="K1200" s="17" t="str">
        <f aca="false">IF($E1200="","",IF($E1200&lt;1,ROUND($E1200*1440,0),INT($E1200/100)*60+MOD($E1200,100)))</f>
        <v/>
      </c>
      <c r="L1200" s="17" t="str">
        <f aca="false">IF($F1200="","",IF($F1200&lt;1,ROUND($F1200*1440,0),INT($F1200/100)*60+MOD($F1200,100)))</f>
        <v/>
      </c>
    </row>
    <row r="1201" customFormat="false" ht="15" hidden="false" customHeight="true" outlineLevel="0" collapsed="false">
      <c r="A1201" s="10"/>
      <c r="B1201" s="8"/>
      <c r="C1201" s="13" t="str">
        <f aca="false">IF($B1201="","",IFERROR(INDEX(직원목록!$B$3:$B$302,MATCH($B1201,직원목록!$A$3:$A$302,0)),"미등록사번"))</f>
        <v/>
      </c>
      <c r="D1201" s="13" t="str">
        <f aca="false">IF($B1201="","",IFERROR(INDEX(직원목록!$C$3:$C$302,MATCH($B1201,직원목록!$A$3:$A$302,0)),""))</f>
        <v/>
      </c>
      <c r="E1201" s="14"/>
      <c r="F1201" s="14"/>
      <c r="G1201" s="15"/>
      <c r="H1201" s="16" t="str">
        <f aca="false">IF(OR($K1201="",$L1201=""),"",ROUND(MAX(0,($L1201-$K1201)-IF($G1201="",0,$G1201))/60,2))</f>
        <v/>
      </c>
      <c r="I1201" s="8"/>
      <c r="J1201" s="8"/>
      <c r="K1201" s="17" t="str">
        <f aca="false">IF($E1201="","",IF($E1201&lt;1,ROUND($E1201*1440,0),INT($E1201/100)*60+MOD($E1201,100)))</f>
        <v/>
      </c>
      <c r="L1201" s="17" t="str">
        <f aca="false">IF($F1201="","",IF($F1201&lt;1,ROUND($F1201*1440,0),INT($F1201/100)*60+MOD($F1201,100)))</f>
        <v/>
      </c>
    </row>
    <row r="1202" customFormat="false" ht="15" hidden="false" customHeight="true" outlineLevel="0" collapsed="false">
      <c r="A1202" s="10"/>
      <c r="B1202" s="8"/>
      <c r="C1202" s="13" t="str">
        <f aca="false">IF($B1202="","",IFERROR(INDEX(직원목록!$B$3:$B$302,MATCH($B1202,직원목록!$A$3:$A$302,0)),"미등록사번"))</f>
        <v/>
      </c>
      <c r="D1202" s="13" t="str">
        <f aca="false">IF($B1202="","",IFERROR(INDEX(직원목록!$C$3:$C$302,MATCH($B1202,직원목록!$A$3:$A$302,0)),""))</f>
        <v/>
      </c>
      <c r="E1202" s="14"/>
      <c r="F1202" s="14"/>
      <c r="G1202" s="15"/>
      <c r="H1202" s="16" t="str">
        <f aca="false">IF(OR($K1202="",$L1202=""),"",ROUND(MAX(0,($L1202-$K1202)-IF($G1202="",0,$G1202))/60,2))</f>
        <v/>
      </c>
      <c r="I1202" s="8"/>
      <c r="J1202" s="8"/>
      <c r="K1202" s="17" t="str">
        <f aca="false">IF($E1202="","",IF($E1202&lt;1,ROUND($E1202*1440,0),INT($E1202/100)*60+MOD($E1202,100)))</f>
        <v/>
      </c>
      <c r="L1202" s="17" t="str">
        <f aca="false">IF($F1202="","",IF($F1202&lt;1,ROUND($F1202*1440,0),INT($F1202/100)*60+MOD($F1202,100)))</f>
        <v/>
      </c>
    </row>
    <row r="1203" customFormat="false" ht="15" hidden="false" customHeight="true" outlineLevel="0" collapsed="false">
      <c r="A1203" s="10"/>
      <c r="B1203" s="8"/>
      <c r="C1203" s="13" t="str">
        <f aca="false">IF($B1203="","",IFERROR(INDEX(직원목록!$B$3:$B$302,MATCH($B1203,직원목록!$A$3:$A$302,0)),"미등록사번"))</f>
        <v/>
      </c>
      <c r="D1203" s="13" t="str">
        <f aca="false">IF($B1203="","",IFERROR(INDEX(직원목록!$C$3:$C$302,MATCH($B1203,직원목록!$A$3:$A$302,0)),""))</f>
        <v/>
      </c>
      <c r="E1203" s="14"/>
      <c r="F1203" s="14"/>
      <c r="G1203" s="15"/>
      <c r="H1203" s="16" t="str">
        <f aca="false">IF(OR($K1203="",$L1203=""),"",ROUND(MAX(0,($L1203-$K1203)-IF($G1203="",0,$G1203))/60,2))</f>
        <v/>
      </c>
      <c r="I1203" s="8"/>
      <c r="J1203" s="8"/>
      <c r="K1203" s="17" t="str">
        <f aca="false">IF($E1203="","",IF($E1203&lt;1,ROUND($E1203*1440,0),INT($E1203/100)*60+MOD($E1203,100)))</f>
        <v/>
      </c>
      <c r="L1203" s="17" t="str">
        <f aca="false">IF($F1203="","",IF($F1203&lt;1,ROUND($F1203*1440,0),INT($F1203/100)*60+MOD($F1203,100)))</f>
        <v/>
      </c>
    </row>
    <row r="1204" customFormat="false" ht="15" hidden="false" customHeight="true" outlineLevel="0" collapsed="false">
      <c r="A1204" s="10"/>
      <c r="B1204" s="8"/>
      <c r="C1204" s="13" t="str">
        <f aca="false">IF($B1204="","",IFERROR(INDEX(직원목록!$B$3:$B$302,MATCH($B1204,직원목록!$A$3:$A$302,0)),"미등록사번"))</f>
        <v/>
      </c>
      <c r="D1204" s="13" t="str">
        <f aca="false">IF($B1204="","",IFERROR(INDEX(직원목록!$C$3:$C$302,MATCH($B1204,직원목록!$A$3:$A$302,0)),""))</f>
        <v/>
      </c>
      <c r="E1204" s="14"/>
      <c r="F1204" s="14"/>
      <c r="G1204" s="15"/>
      <c r="H1204" s="16" t="str">
        <f aca="false">IF(OR($K1204="",$L1204=""),"",ROUND(MAX(0,($L1204-$K1204)-IF($G1204="",0,$G1204))/60,2))</f>
        <v/>
      </c>
      <c r="I1204" s="8"/>
      <c r="J1204" s="8"/>
      <c r="K1204" s="17" t="str">
        <f aca="false">IF($E1204="","",IF($E1204&lt;1,ROUND($E1204*1440,0),INT($E1204/100)*60+MOD($E1204,100)))</f>
        <v/>
      </c>
      <c r="L1204" s="17" t="str">
        <f aca="false">IF($F1204="","",IF($F1204&lt;1,ROUND($F1204*1440,0),INT($F1204/100)*60+MOD($F1204,100)))</f>
        <v/>
      </c>
    </row>
    <row r="1205" customFormat="false" ht="15" hidden="false" customHeight="true" outlineLevel="0" collapsed="false">
      <c r="A1205" s="10"/>
      <c r="B1205" s="8"/>
      <c r="C1205" s="13" t="str">
        <f aca="false">IF($B1205="","",IFERROR(INDEX(직원목록!$B$3:$B$302,MATCH($B1205,직원목록!$A$3:$A$302,0)),"미등록사번"))</f>
        <v/>
      </c>
      <c r="D1205" s="13" t="str">
        <f aca="false">IF($B1205="","",IFERROR(INDEX(직원목록!$C$3:$C$302,MATCH($B1205,직원목록!$A$3:$A$302,0)),""))</f>
        <v/>
      </c>
      <c r="E1205" s="14"/>
      <c r="F1205" s="14"/>
      <c r="G1205" s="15"/>
      <c r="H1205" s="16" t="str">
        <f aca="false">IF(OR($K1205="",$L1205=""),"",ROUND(MAX(0,($L1205-$K1205)-IF($G1205="",0,$G1205))/60,2))</f>
        <v/>
      </c>
      <c r="I1205" s="8"/>
      <c r="J1205" s="8"/>
      <c r="K1205" s="17" t="str">
        <f aca="false">IF($E1205="","",IF($E1205&lt;1,ROUND($E1205*1440,0),INT($E1205/100)*60+MOD($E1205,100)))</f>
        <v/>
      </c>
      <c r="L1205" s="17" t="str">
        <f aca="false">IF($F1205="","",IF($F1205&lt;1,ROUND($F1205*1440,0),INT($F1205/100)*60+MOD($F1205,100)))</f>
        <v/>
      </c>
    </row>
    <row r="1206" customFormat="false" ht="15" hidden="false" customHeight="true" outlineLevel="0" collapsed="false">
      <c r="A1206" s="10"/>
      <c r="B1206" s="8"/>
      <c r="C1206" s="13" t="str">
        <f aca="false">IF($B1206="","",IFERROR(INDEX(직원목록!$B$3:$B$302,MATCH($B1206,직원목록!$A$3:$A$302,0)),"미등록사번"))</f>
        <v/>
      </c>
      <c r="D1206" s="13" t="str">
        <f aca="false">IF($B1206="","",IFERROR(INDEX(직원목록!$C$3:$C$302,MATCH($B1206,직원목록!$A$3:$A$302,0)),""))</f>
        <v/>
      </c>
      <c r="E1206" s="14"/>
      <c r="F1206" s="14"/>
      <c r="G1206" s="15"/>
      <c r="H1206" s="16" t="str">
        <f aca="false">IF(OR($K1206="",$L1206=""),"",ROUND(MAX(0,($L1206-$K1206)-IF($G1206="",0,$G1206))/60,2))</f>
        <v/>
      </c>
      <c r="I1206" s="8"/>
      <c r="J1206" s="8"/>
      <c r="K1206" s="17" t="str">
        <f aca="false">IF($E1206="","",IF($E1206&lt;1,ROUND($E1206*1440,0),INT($E1206/100)*60+MOD($E1206,100)))</f>
        <v/>
      </c>
      <c r="L1206" s="17" t="str">
        <f aca="false">IF($F1206="","",IF($F1206&lt;1,ROUND($F1206*1440,0),INT($F1206/100)*60+MOD($F1206,100)))</f>
        <v/>
      </c>
    </row>
    <row r="1207" customFormat="false" ht="15" hidden="false" customHeight="true" outlineLevel="0" collapsed="false">
      <c r="A1207" s="10"/>
      <c r="B1207" s="8"/>
      <c r="C1207" s="13" t="str">
        <f aca="false">IF($B1207="","",IFERROR(INDEX(직원목록!$B$3:$B$302,MATCH($B1207,직원목록!$A$3:$A$302,0)),"미등록사번"))</f>
        <v/>
      </c>
      <c r="D1207" s="13" t="str">
        <f aca="false">IF($B1207="","",IFERROR(INDEX(직원목록!$C$3:$C$302,MATCH($B1207,직원목록!$A$3:$A$302,0)),""))</f>
        <v/>
      </c>
      <c r="E1207" s="14"/>
      <c r="F1207" s="14"/>
      <c r="G1207" s="15"/>
      <c r="H1207" s="16" t="str">
        <f aca="false">IF(OR($K1207="",$L1207=""),"",ROUND(MAX(0,($L1207-$K1207)-IF($G1207="",0,$G1207))/60,2))</f>
        <v/>
      </c>
      <c r="I1207" s="8"/>
      <c r="J1207" s="8"/>
      <c r="K1207" s="17" t="str">
        <f aca="false">IF($E1207="","",IF($E1207&lt;1,ROUND($E1207*1440,0),INT($E1207/100)*60+MOD($E1207,100)))</f>
        <v/>
      </c>
      <c r="L1207" s="17" t="str">
        <f aca="false">IF($F1207="","",IF($F1207&lt;1,ROUND($F1207*1440,0),INT($F1207/100)*60+MOD($F1207,100)))</f>
        <v/>
      </c>
    </row>
    <row r="1208" customFormat="false" ht="15" hidden="false" customHeight="true" outlineLevel="0" collapsed="false">
      <c r="A1208" s="10"/>
      <c r="B1208" s="8"/>
      <c r="C1208" s="13" t="str">
        <f aca="false">IF($B1208="","",IFERROR(INDEX(직원목록!$B$3:$B$302,MATCH($B1208,직원목록!$A$3:$A$302,0)),"미등록사번"))</f>
        <v/>
      </c>
      <c r="D1208" s="13" t="str">
        <f aca="false">IF($B1208="","",IFERROR(INDEX(직원목록!$C$3:$C$302,MATCH($B1208,직원목록!$A$3:$A$302,0)),""))</f>
        <v/>
      </c>
      <c r="E1208" s="14"/>
      <c r="F1208" s="14"/>
      <c r="G1208" s="15"/>
      <c r="H1208" s="16" t="str">
        <f aca="false">IF(OR($K1208="",$L1208=""),"",ROUND(MAX(0,($L1208-$K1208)-IF($G1208="",0,$G1208))/60,2))</f>
        <v/>
      </c>
      <c r="I1208" s="8"/>
      <c r="J1208" s="8"/>
      <c r="K1208" s="17" t="str">
        <f aca="false">IF($E1208="","",IF($E1208&lt;1,ROUND($E1208*1440,0),INT($E1208/100)*60+MOD($E1208,100)))</f>
        <v/>
      </c>
      <c r="L1208" s="17" t="str">
        <f aca="false">IF($F1208="","",IF($F1208&lt;1,ROUND($F1208*1440,0),INT($F1208/100)*60+MOD($F1208,100)))</f>
        <v/>
      </c>
    </row>
    <row r="1209" customFormat="false" ht="15" hidden="false" customHeight="true" outlineLevel="0" collapsed="false">
      <c r="A1209" s="10"/>
      <c r="B1209" s="8"/>
      <c r="C1209" s="13" t="str">
        <f aca="false">IF($B1209="","",IFERROR(INDEX(직원목록!$B$3:$B$302,MATCH($B1209,직원목록!$A$3:$A$302,0)),"미등록사번"))</f>
        <v/>
      </c>
      <c r="D1209" s="13" t="str">
        <f aca="false">IF($B1209="","",IFERROR(INDEX(직원목록!$C$3:$C$302,MATCH($B1209,직원목록!$A$3:$A$302,0)),""))</f>
        <v/>
      </c>
      <c r="E1209" s="14"/>
      <c r="F1209" s="14"/>
      <c r="G1209" s="15"/>
      <c r="H1209" s="16" t="str">
        <f aca="false">IF(OR($K1209="",$L1209=""),"",ROUND(MAX(0,($L1209-$K1209)-IF($G1209="",0,$G1209))/60,2))</f>
        <v/>
      </c>
      <c r="I1209" s="8"/>
      <c r="J1209" s="8"/>
      <c r="K1209" s="17" t="str">
        <f aca="false">IF($E1209="","",IF($E1209&lt;1,ROUND($E1209*1440,0),INT($E1209/100)*60+MOD($E1209,100)))</f>
        <v/>
      </c>
      <c r="L1209" s="17" t="str">
        <f aca="false">IF($F1209="","",IF($F1209&lt;1,ROUND($F1209*1440,0),INT($F1209/100)*60+MOD($F1209,100)))</f>
        <v/>
      </c>
    </row>
    <row r="1210" customFormat="false" ht="15" hidden="false" customHeight="true" outlineLevel="0" collapsed="false">
      <c r="A1210" s="10"/>
      <c r="B1210" s="8"/>
      <c r="C1210" s="13" t="str">
        <f aca="false">IF($B1210="","",IFERROR(INDEX(직원목록!$B$3:$B$302,MATCH($B1210,직원목록!$A$3:$A$302,0)),"미등록사번"))</f>
        <v/>
      </c>
      <c r="D1210" s="13" t="str">
        <f aca="false">IF($B1210="","",IFERROR(INDEX(직원목록!$C$3:$C$302,MATCH($B1210,직원목록!$A$3:$A$302,0)),""))</f>
        <v/>
      </c>
      <c r="E1210" s="14"/>
      <c r="F1210" s="14"/>
      <c r="G1210" s="15"/>
      <c r="H1210" s="16" t="str">
        <f aca="false">IF(OR($K1210="",$L1210=""),"",ROUND(MAX(0,($L1210-$K1210)-IF($G1210="",0,$G1210))/60,2))</f>
        <v/>
      </c>
      <c r="I1210" s="8"/>
      <c r="J1210" s="8"/>
      <c r="K1210" s="17" t="str">
        <f aca="false">IF($E1210="","",IF($E1210&lt;1,ROUND($E1210*1440,0),INT($E1210/100)*60+MOD($E1210,100)))</f>
        <v/>
      </c>
      <c r="L1210" s="17" t="str">
        <f aca="false">IF($F1210="","",IF($F1210&lt;1,ROUND($F1210*1440,0),INT($F1210/100)*60+MOD($F1210,100)))</f>
        <v/>
      </c>
    </row>
    <row r="1211" customFormat="false" ht="15" hidden="false" customHeight="true" outlineLevel="0" collapsed="false">
      <c r="A1211" s="10"/>
      <c r="B1211" s="8"/>
      <c r="C1211" s="13" t="str">
        <f aca="false">IF($B1211="","",IFERROR(INDEX(직원목록!$B$3:$B$302,MATCH($B1211,직원목록!$A$3:$A$302,0)),"미등록사번"))</f>
        <v/>
      </c>
      <c r="D1211" s="13" t="str">
        <f aca="false">IF($B1211="","",IFERROR(INDEX(직원목록!$C$3:$C$302,MATCH($B1211,직원목록!$A$3:$A$302,0)),""))</f>
        <v/>
      </c>
      <c r="E1211" s="14"/>
      <c r="F1211" s="14"/>
      <c r="G1211" s="15"/>
      <c r="H1211" s="16" t="str">
        <f aca="false">IF(OR($K1211="",$L1211=""),"",ROUND(MAX(0,($L1211-$K1211)-IF($G1211="",0,$G1211))/60,2))</f>
        <v/>
      </c>
      <c r="I1211" s="8"/>
      <c r="J1211" s="8"/>
      <c r="K1211" s="17" t="str">
        <f aca="false">IF($E1211="","",IF($E1211&lt;1,ROUND($E1211*1440,0),INT($E1211/100)*60+MOD($E1211,100)))</f>
        <v/>
      </c>
      <c r="L1211" s="17" t="str">
        <f aca="false">IF($F1211="","",IF($F1211&lt;1,ROUND($F1211*1440,0),INT($F1211/100)*60+MOD($F1211,100)))</f>
        <v/>
      </c>
    </row>
    <row r="1212" customFormat="false" ht="15" hidden="false" customHeight="true" outlineLevel="0" collapsed="false">
      <c r="A1212" s="10"/>
      <c r="B1212" s="8"/>
      <c r="C1212" s="13" t="str">
        <f aca="false">IF($B1212="","",IFERROR(INDEX(직원목록!$B$3:$B$302,MATCH($B1212,직원목록!$A$3:$A$302,0)),"미등록사번"))</f>
        <v/>
      </c>
      <c r="D1212" s="13" t="str">
        <f aca="false">IF($B1212="","",IFERROR(INDEX(직원목록!$C$3:$C$302,MATCH($B1212,직원목록!$A$3:$A$302,0)),""))</f>
        <v/>
      </c>
      <c r="E1212" s="14"/>
      <c r="F1212" s="14"/>
      <c r="G1212" s="15"/>
      <c r="H1212" s="16" t="str">
        <f aca="false">IF(OR($K1212="",$L1212=""),"",ROUND(MAX(0,($L1212-$K1212)-IF($G1212="",0,$G1212))/60,2))</f>
        <v/>
      </c>
      <c r="I1212" s="8"/>
      <c r="J1212" s="8"/>
      <c r="K1212" s="17" t="str">
        <f aca="false">IF($E1212="","",IF($E1212&lt;1,ROUND($E1212*1440,0),INT($E1212/100)*60+MOD($E1212,100)))</f>
        <v/>
      </c>
      <c r="L1212" s="17" t="str">
        <f aca="false">IF($F1212="","",IF($F1212&lt;1,ROUND($F1212*1440,0),INT($F1212/100)*60+MOD($F1212,100)))</f>
        <v/>
      </c>
    </row>
    <row r="1213" customFormat="false" ht="15" hidden="false" customHeight="true" outlineLevel="0" collapsed="false">
      <c r="A1213" s="10"/>
      <c r="B1213" s="8"/>
      <c r="C1213" s="13" t="str">
        <f aca="false">IF($B1213="","",IFERROR(INDEX(직원목록!$B$3:$B$302,MATCH($B1213,직원목록!$A$3:$A$302,0)),"미등록사번"))</f>
        <v/>
      </c>
      <c r="D1213" s="13" t="str">
        <f aca="false">IF($B1213="","",IFERROR(INDEX(직원목록!$C$3:$C$302,MATCH($B1213,직원목록!$A$3:$A$302,0)),""))</f>
        <v/>
      </c>
      <c r="E1213" s="14"/>
      <c r="F1213" s="14"/>
      <c r="G1213" s="15"/>
      <c r="H1213" s="16" t="str">
        <f aca="false">IF(OR($K1213="",$L1213=""),"",ROUND(MAX(0,($L1213-$K1213)-IF($G1213="",0,$G1213))/60,2))</f>
        <v/>
      </c>
      <c r="I1213" s="8"/>
      <c r="J1213" s="8"/>
      <c r="K1213" s="17" t="str">
        <f aca="false">IF($E1213="","",IF($E1213&lt;1,ROUND($E1213*1440,0),INT($E1213/100)*60+MOD($E1213,100)))</f>
        <v/>
      </c>
      <c r="L1213" s="17" t="str">
        <f aca="false">IF($F1213="","",IF($F1213&lt;1,ROUND($F1213*1440,0),INT($F1213/100)*60+MOD($F1213,100)))</f>
        <v/>
      </c>
    </row>
    <row r="1214" customFormat="false" ht="15" hidden="false" customHeight="true" outlineLevel="0" collapsed="false">
      <c r="A1214" s="10"/>
      <c r="B1214" s="8"/>
      <c r="C1214" s="13" t="str">
        <f aca="false">IF($B1214="","",IFERROR(INDEX(직원목록!$B$3:$B$302,MATCH($B1214,직원목록!$A$3:$A$302,0)),"미등록사번"))</f>
        <v/>
      </c>
      <c r="D1214" s="13" t="str">
        <f aca="false">IF($B1214="","",IFERROR(INDEX(직원목록!$C$3:$C$302,MATCH($B1214,직원목록!$A$3:$A$302,0)),""))</f>
        <v/>
      </c>
      <c r="E1214" s="14"/>
      <c r="F1214" s="14"/>
      <c r="G1214" s="15"/>
      <c r="H1214" s="16" t="str">
        <f aca="false">IF(OR($K1214="",$L1214=""),"",ROUND(MAX(0,($L1214-$K1214)-IF($G1214="",0,$G1214))/60,2))</f>
        <v/>
      </c>
      <c r="I1214" s="8"/>
      <c r="J1214" s="8"/>
      <c r="K1214" s="17" t="str">
        <f aca="false">IF($E1214="","",IF($E1214&lt;1,ROUND($E1214*1440,0),INT($E1214/100)*60+MOD($E1214,100)))</f>
        <v/>
      </c>
      <c r="L1214" s="17" t="str">
        <f aca="false">IF($F1214="","",IF($F1214&lt;1,ROUND($F1214*1440,0),INT($F1214/100)*60+MOD($F1214,100)))</f>
        <v/>
      </c>
    </row>
    <row r="1215" customFormat="false" ht="15" hidden="false" customHeight="true" outlineLevel="0" collapsed="false">
      <c r="A1215" s="10"/>
      <c r="B1215" s="8"/>
      <c r="C1215" s="13" t="str">
        <f aca="false">IF($B1215="","",IFERROR(INDEX(직원목록!$B$3:$B$302,MATCH($B1215,직원목록!$A$3:$A$302,0)),"미등록사번"))</f>
        <v/>
      </c>
      <c r="D1215" s="13" t="str">
        <f aca="false">IF($B1215="","",IFERROR(INDEX(직원목록!$C$3:$C$302,MATCH($B1215,직원목록!$A$3:$A$302,0)),""))</f>
        <v/>
      </c>
      <c r="E1215" s="14"/>
      <c r="F1215" s="14"/>
      <c r="G1215" s="15"/>
      <c r="H1215" s="16" t="str">
        <f aca="false">IF(OR($K1215="",$L1215=""),"",ROUND(MAX(0,($L1215-$K1215)-IF($G1215="",0,$G1215))/60,2))</f>
        <v/>
      </c>
      <c r="I1215" s="8"/>
      <c r="J1215" s="8"/>
      <c r="K1215" s="17" t="str">
        <f aca="false">IF($E1215="","",IF($E1215&lt;1,ROUND($E1215*1440,0),INT($E1215/100)*60+MOD($E1215,100)))</f>
        <v/>
      </c>
      <c r="L1215" s="17" t="str">
        <f aca="false">IF($F1215="","",IF($F1215&lt;1,ROUND($F1215*1440,0),INT($F1215/100)*60+MOD($F1215,100)))</f>
        <v/>
      </c>
    </row>
    <row r="1216" customFormat="false" ht="15" hidden="false" customHeight="true" outlineLevel="0" collapsed="false">
      <c r="A1216" s="10"/>
      <c r="B1216" s="8"/>
      <c r="C1216" s="13" t="str">
        <f aca="false">IF($B1216="","",IFERROR(INDEX(직원목록!$B$3:$B$302,MATCH($B1216,직원목록!$A$3:$A$302,0)),"미등록사번"))</f>
        <v/>
      </c>
      <c r="D1216" s="13" t="str">
        <f aca="false">IF($B1216="","",IFERROR(INDEX(직원목록!$C$3:$C$302,MATCH($B1216,직원목록!$A$3:$A$302,0)),""))</f>
        <v/>
      </c>
      <c r="E1216" s="14"/>
      <c r="F1216" s="14"/>
      <c r="G1216" s="15"/>
      <c r="H1216" s="16" t="str">
        <f aca="false">IF(OR($K1216="",$L1216=""),"",ROUND(MAX(0,($L1216-$K1216)-IF($G1216="",0,$G1216))/60,2))</f>
        <v/>
      </c>
      <c r="I1216" s="8"/>
      <c r="J1216" s="8"/>
      <c r="K1216" s="17" t="str">
        <f aca="false">IF($E1216="","",IF($E1216&lt;1,ROUND($E1216*1440,0),INT($E1216/100)*60+MOD($E1216,100)))</f>
        <v/>
      </c>
      <c r="L1216" s="17" t="str">
        <f aca="false">IF($F1216="","",IF($F1216&lt;1,ROUND($F1216*1440,0),INT($F1216/100)*60+MOD($F1216,100)))</f>
        <v/>
      </c>
    </row>
    <row r="1217" customFormat="false" ht="15" hidden="false" customHeight="true" outlineLevel="0" collapsed="false">
      <c r="A1217" s="10"/>
      <c r="B1217" s="8"/>
      <c r="C1217" s="13" t="str">
        <f aca="false">IF($B1217="","",IFERROR(INDEX(직원목록!$B$3:$B$302,MATCH($B1217,직원목록!$A$3:$A$302,0)),"미등록사번"))</f>
        <v/>
      </c>
      <c r="D1217" s="13" t="str">
        <f aca="false">IF($B1217="","",IFERROR(INDEX(직원목록!$C$3:$C$302,MATCH($B1217,직원목록!$A$3:$A$302,0)),""))</f>
        <v/>
      </c>
      <c r="E1217" s="14"/>
      <c r="F1217" s="14"/>
      <c r="G1217" s="15"/>
      <c r="H1217" s="16" t="str">
        <f aca="false">IF(OR($K1217="",$L1217=""),"",ROUND(MAX(0,($L1217-$K1217)-IF($G1217="",0,$G1217))/60,2))</f>
        <v/>
      </c>
      <c r="I1217" s="8"/>
      <c r="J1217" s="8"/>
      <c r="K1217" s="17" t="str">
        <f aca="false">IF($E1217="","",IF($E1217&lt;1,ROUND($E1217*1440,0),INT($E1217/100)*60+MOD($E1217,100)))</f>
        <v/>
      </c>
      <c r="L1217" s="17" t="str">
        <f aca="false">IF($F1217="","",IF($F1217&lt;1,ROUND($F1217*1440,0),INT($F1217/100)*60+MOD($F1217,100)))</f>
        <v/>
      </c>
    </row>
    <row r="1218" customFormat="false" ht="15" hidden="false" customHeight="true" outlineLevel="0" collapsed="false">
      <c r="A1218" s="10"/>
      <c r="B1218" s="8"/>
      <c r="C1218" s="13" t="str">
        <f aca="false">IF($B1218="","",IFERROR(INDEX(직원목록!$B$3:$B$302,MATCH($B1218,직원목록!$A$3:$A$302,0)),"미등록사번"))</f>
        <v/>
      </c>
      <c r="D1218" s="13" t="str">
        <f aca="false">IF($B1218="","",IFERROR(INDEX(직원목록!$C$3:$C$302,MATCH($B1218,직원목록!$A$3:$A$302,0)),""))</f>
        <v/>
      </c>
      <c r="E1218" s="14"/>
      <c r="F1218" s="14"/>
      <c r="G1218" s="15"/>
      <c r="H1218" s="16" t="str">
        <f aca="false">IF(OR($K1218="",$L1218=""),"",ROUND(MAX(0,($L1218-$K1218)-IF($G1218="",0,$G1218))/60,2))</f>
        <v/>
      </c>
      <c r="I1218" s="8"/>
      <c r="J1218" s="8"/>
      <c r="K1218" s="17" t="str">
        <f aca="false">IF($E1218="","",IF($E1218&lt;1,ROUND($E1218*1440,0),INT($E1218/100)*60+MOD($E1218,100)))</f>
        <v/>
      </c>
      <c r="L1218" s="17" t="str">
        <f aca="false">IF($F1218="","",IF($F1218&lt;1,ROUND($F1218*1440,0),INT($F1218/100)*60+MOD($F1218,100)))</f>
        <v/>
      </c>
    </row>
    <row r="1219" customFormat="false" ht="15" hidden="false" customHeight="true" outlineLevel="0" collapsed="false">
      <c r="A1219" s="10"/>
      <c r="B1219" s="8"/>
      <c r="C1219" s="13" t="str">
        <f aca="false">IF($B1219="","",IFERROR(INDEX(직원목록!$B$3:$B$302,MATCH($B1219,직원목록!$A$3:$A$302,0)),"미등록사번"))</f>
        <v/>
      </c>
      <c r="D1219" s="13" t="str">
        <f aca="false">IF($B1219="","",IFERROR(INDEX(직원목록!$C$3:$C$302,MATCH($B1219,직원목록!$A$3:$A$302,0)),""))</f>
        <v/>
      </c>
      <c r="E1219" s="14"/>
      <c r="F1219" s="14"/>
      <c r="G1219" s="15"/>
      <c r="H1219" s="16" t="str">
        <f aca="false">IF(OR($K1219="",$L1219=""),"",ROUND(MAX(0,($L1219-$K1219)-IF($G1219="",0,$G1219))/60,2))</f>
        <v/>
      </c>
      <c r="I1219" s="8"/>
      <c r="J1219" s="8"/>
      <c r="K1219" s="17" t="str">
        <f aca="false">IF($E1219="","",IF($E1219&lt;1,ROUND($E1219*1440,0),INT($E1219/100)*60+MOD($E1219,100)))</f>
        <v/>
      </c>
      <c r="L1219" s="17" t="str">
        <f aca="false">IF($F1219="","",IF($F1219&lt;1,ROUND($F1219*1440,0),INT($F1219/100)*60+MOD($F1219,100)))</f>
        <v/>
      </c>
    </row>
    <row r="1220" customFormat="false" ht="15" hidden="false" customHeight="true" outlineLevel="0" collapsed="false">
      <c r="A1220" s="10"/>
      <c r="B1220" s="8"/>
      <c r="C1220" s="13" t="str">
        <f aca="false">IF($B1220="","",IFERROR(INDEX(직원목록!$B$3:$B$302,MATCH($B1220,직원목록!$A$3:$A$302,0)),"미등록사번"))</f>
        <v/>
      </c>
      <c r="D1220" s="13" t="str">
        <f aca="false">IF($B1220="","",IFERROR(INDEX(직원목록!$C$3:$C$302,MATCH($B1220,직원목록!$A$3:$A$302,0)),""))</f>
        <v/>
      </c>
      <c r="E1220" s="14"/>
      <c r="F1220" s="14"/>
      <c r="G1220" s="15"/>
      <c r="H1220" s="16" t="str">
        <f aca="false">IF(OR($K1220="",$L1220=""),"",ROUND(MAX(0,($L1220-$K1220)-IF($G1220="",0,$G1220))/60,2))</f>
        <v/>
      </c>
      <c r="I1220" s="8"/>
      <c r="J1220" s="8"/>
      <c r="K1220" s="17" t="str">
        <f aca="false">IF($E1220="","",IF($E1220&lt;1,ROUND($E1220*1440,0),INT($E1220/100)*60+MOD($E1220,100)))</f>
        <v/>
      </c>
      <c r="L1220" s="17" t="str">
        <f aca="false">IF($F1220="","",IF($F1220&lt;1,ROUND($F1220*1440,0),INT($F1220/100)*60+MOD($F1220,100)))</f>
        <v/>
      </c>
    </row>
    <row r="1221" customFormat="false" ht="15" hidden="false" customHeight="true" outlineLevel="0" collapsed="false">
      <c r="A1221" s="10"/>
      <c r="B1221" s="8"/>
      <c r="C1221" s="13" t="str">
        <f aca="false">IF($B1221="","",IFERROR(INDEX(직원목록!$B$3:$B$302,MATCH($B1221,직원목록!$A$3:$A$302,0)),"미등록사번"))</f>
        <v/>
      </c>
      <c r="D1221" s="13" t="str">
        <f aca="false">IF($B1221="","",IFERROR(INDEX(직원목록!$C$3:$C$302,MATCH($B1221,직원목록!$A$3:$A$302,0)),""))</f>
        <v/>
      </c>
      <c r="E1221" s="14"/>
      <c r="F1221" s="14"/>
      <c r="G1221" s="15"/>
      <c r="H1221" s="16" t="str">
        <f aca="false">IF(OR($K1221="",$L1221=""),"",ROUND(MAX(0,($L1221-$K1221)-IF($G1221="",0,$G1221))/60,2))</f>
        <v/>
      </c>
      <c r="I1221" s="8"/>
      <c r="J1221" s="8"/>
      <c r="K1221" s="17" t="str">
        <f aca="false">IF($E1221="","",IF($E1221&lt;1,ROUND($E1221*1440,0),INT($E1221/100)*60+MOD($E1221,100)))</f>
        <v/>
      </c>
      <c r="L1221" s="17" t="str">
        <f aca="false">IF($F1221="","",IF($F1221&lt;1,ROUND($F1221*1440,0),INT($F1221/100)*60+MOD($F1221,100)))</f>
        <v/>
      </c>
    </row>
    <row r="1222" customFormat="false" ht="15" hidden="false" customHeight="true" outlineLevel="0" collapsed="false">
      <c r="A1222" s="10"/>
      <c r="B1222" s="8"/>
      <c r="C1222" s="13" t="str">
        <f aca="false">IF($B1222="","",IFERROR(INDEX(직원목록!$B$3:$B$302,MATCH($B1222,직원목록!$A$3:$A$302,0)),"미등록사번"))</f>
        <v/>
      </c>
      <c r="D1222" s="13" t="str">
        <f aca="false">IF($B1222="","",IFERROR(INDEX(직원목록!$C$3:$C$302,MATCH($B1222,직원목록!$A$3:$A$302,0)),""))</f>
        <v/>
      </c>
      <c r="E1222" s="14"/>
      <c r="F1222" s="14"/>
      <c r="G1222" s="15"/>
      <c r="H1222" s="16" t="str">
        <f aca="false">IF(OR($K1222="",$L1222=""),"",ROUND(MAX(0,($L1222-$K1222)-IF($G1222="",0,$G1222))/60,2))</f>
        <v/>
      </c>
      <c r="I1222" s="8"/>
      <c r="J1222" s="8"/>
      <c r="K1222" s="17" t="str">
        <f aca="false">IF($E1222="","",IF($E1222&lt;1,ROUND($E1222*1440,0),INT($E1222/100)*60+MOD($E1222,100)))</f>
        <v/>
      </c>
      <c r="L1222" s="17" t="str">
        <f aca="false">IF($F1222="","",IF($F1222&lt;1,ROUND($F1222*1440,0),INT($F1222/100)*60+MOD($F1222,100)))</f>
        <v/>
      </c>
    </row>
    <row r="1223" customFormat="false" ht="15" hidden="false" customHeight="true" outlineLevel="0" collapsed="false">
      <c r="A1223" s="10"/>
      <c r="B1223" s="8"/>
      <c r="C1223" s="13" t="str">
        <f aca="false">IF($B1223="","",IFERROR(INDEX(직원목록!$B$3:$B$302,MATCH($B1223,직원목록!$A$3:$A$302,0)),"미등록사번"))</f>
        <v/>
      </c>
      <c r="D1223" s="13" t="str">
        <f aca="false">IF($B1223="","",IFERROR(INDEX(직원목록!$C$3:$C$302,MATCH($B1223,직원목록!$A$3:$A$302,0)),""))</f>
        <v/>
      </c>
      <c r="E1223" s="14"/>
      <c r="F1223" s="14"/>
      <c r="G1223" s="15"/>
      <c r="H1223" s="16" t="str">
        <f aca="false">IF(OR($K1223="",$L1223=""),"",ROUND(MAX(0,($L1223-$K1223)-IF($G1223="",0,$G1223))/60,2))</f>
        <v/>
      </c>
      <c r="I1223" s="8"/>
      <c r="J1223" s="8"/>
      <c r="K1223" s="17" t="str">
        <f aca="false">IF($E1223="","",IF($E1223&lt;1,ROUND($E1223*1440,0),INT($E1223/100)*60+MOD($E1223,100)))</f>
        <v/>
      </c>
      <c r="L1223" s="17" t="str">
        <f aca="false">IF($F1223="","",IF($F1223&lt;1,ROUND($F1223*1440,0),INT($F1223/100)*60+MOD($F1223,100)))</f>
        <v/>
      </c>
    </row>
    <row r="1224" customFormat="false" ht="15" hidden="false" customHeight="true" outlineLevel="0" collapsed="false">
      <c r="A1224" s="10"/>
      <c r="B1224" s="8"/>
      <c r="C1224" s="13" t="str">
        <f aca="false">IF($B1224="","",IFERROR(INDEX(직원목록!$B$3:$B$302,MATCH($B1224,직원목록!$A$3:$A$302,0)),"미등록사번"))</f>
        <v/>
      </c>
      <c r="D1224" s="13" t="str">
        <f aca="false">IF($B1224="","",IFERROR(INDEX(직원목록!$C$3:$C$302,MATCH($B1224,직원목록!$A$3:$A$302,0)),""))</f>
        <v/>
      </c>
      <c r="E1224" s="14"/>
      <c r="F1224" s="14"/>
      <c r="G1224" s="15"/>
      <c r="H1224" s="16" t="str">
        <f aca="false">IF(OR($K1224="",$L1224=""),"",ROUND(MAX(0,($L1224-$K1224)-IF($G1224="",0,$G1224))/60,2))</f>
        <v/>
      </c>
      <c r="I1224" s="8"/>
      <c r="J1224" s="8"/>
      <c r="K1224" s="17" t="str">
        <f aca="false">IF($E1224="","",IF($E1224&lt;1,ROUND($E1224*1440,0),INT($E1224/100)*60+MOD($E1224,100)))</f>
        <v/>
      </c>
      <c r="L1224" s="17" t="str">
        <f aca="false">IF($F1224="","",IF($F1224&lt;1,ROUND($F1224*1440,0),INT($F1224/100)*60+MOD($F1224,100)))</f>
        <v/>
      </c>
    </row>
    <row r="1225" customFormat="false" ht="15" hidden="false" customHeight="true" outlineLevel="0" collapsed="false">
      <c r="A1225" s="10"/>
      <c r="B1225" s="8"/>
      <c r="C1225" s="13" t="str">
        <f aca="false">IF($B1225="","",IFERROR(INDEX(직원목록!$B$3:$B$302,MATCH($B1225,직원목록!$A$3:$A$302,0)),"미등록사번"))</f>
        <v/>
      </c>
      <c r="D1225" s="13" t="str">
        <f aca="false">IF($B1225="","",IFERROR(INDEX(직원목록!$C$3:$C$302,MATCH($B1225,직원목록!$A$3:$A$302,0)),""))</f>
        <v/>
      </c>
      <c r="E1225" s="14"/>
      <c r="F1225" s="14"/>
      <c r="G1225" s="15"/>
      <c r="H1225" s="16" t="str">
        <f aca="false">IF(OR($K1225="",$L1225=""),"",ROUND(MAX(0,($L1225-$K1225)-IF($G1225="",0,$G1225))/60,2))</f>
        <v/>
      </c>
      <c r="I1225" s="8"/>
      <c r="J1225" s="8"/>
      <c r="K1225" s="17" t="str">
        <f aca="false">IF($E1225="","",IF($E1225&lt;1,ROUND($E1225*1440,0),INT($E1225/100)*60+MOD($E1225,100)))</f>
        <v/>
      </c>
      <c r="L1225" s="17" t="str">
        <f aca="false">IF($F1225="","",IF($F1225&lt;1,ROUND($F1225*1440,0),INT($F1225/100)*60+MOD($F1225,100)))</f>
        <v/>
      </c>
    </row>
    <row r="1226" customFormat="false" ht="15" hidden="false" customHeight="true" outlineLevel="0" collapsed="false">
      <c r="A1226" s="10"/>
      <c r="B1226" s="8"/>
      <c r="C1226" s="13" t="str">
        <f aca="false">IF($B1226="","",IFERROR(INDEX(직원목록!$B$3:$B$302,MATCH($B1226,직원목록!$A$3:$A$302,0)),"미등록사번"))</f>
        <v/>
      </c>
      <c r="D1226" s="13" t="str">
        <f aca="false">IF($B1226="","",IFERROR(INDEX(직원목록!$C$3:$C$302,MATCH($B1226,직원목록!$A$3:$A$302,0)),""))</f>
        <v/>
      </c>
      <c r="E1226" s="14"/>
      <c r="F1226" s="14"/>
      <c r="G1226" s="15"/>
      <c r="H1226" s="16" t="str">
        <f aca="false">IF(OR($K1226="",$L1226=""),"",ROUND(MAX(0,($L1226-$K1226)-IF($G1226="",0,$G1226))/60,2))</f>
        <v/>
      </c>
      <c r="I1226" s="8"/>
      <c r="J1226" s="8"/>
      <c r="K1226" s="17" t="str">
        <f aca="false">IF($E1226="","",IF($E1226&lt;1,ROUND($E1226*1440,0),INT($E1226/100)*60+MOD($E1226,100)))</f>
        <v/>
      </c>
      <c r="L1226" s="17" t="str">
        <f aca="false">IF($F1226="","",IF($F1226&lt;1,ROUND($F1226*1440,0),INT($F1226/100)*60+MOD($F1226,100)))</f>
        <v/>
      </c>
    </row>
    <row r="1227" customFormat="false" ht="15" hidden="false" customHeight="true" outlineLevel="0" collapsed="false">
      <c r="A1227" s="10"/>
      <c r="B1227" s="8"/>
      <c r="C1227" s="13" t="str">
        <f aca="false">IF($B1227="","",IFERROR(INDEX(직원목록!$B$3:$B$302,MATCH($B1227,직원목록!$A$3:$A$302,0)),"미등록사번"))</f>
        <v/>
      </c>
      <c r="D1227" s="13" t="str">
        <f aca="false">IF($B1227="","",IFERROR(INDEX(직원목록!$C$3:$C$302,MATCH($B1227,직원목록!$A$3:$A$302,0)),""))</f>
        <v/>
      </c>
      <c r="E1227" s="14"/>
      <c r="F1227" s="14"/>
      <c r="G1227" s="15"/>
      <c r="H1227" s="16" t="str">
        <f aca="false">IF(OR($K1227="",$L1227=""),"",ROUND(MAX(0,($L1227-$K1227)-IF($G1227="",0,$G1227))/60,2))</f>
        <v/>
      </c>
      <c r="I1227" s="8"/>
      <c r="J1227" s="8"/>
      <c r="K1227" s="17" t="str">
        <f aca="false">IF($E1227="","",IF($E1227&lt;1,ROUND($E1227*1440,0),INT($E1227/100)*60+MOD($E1227,100)))</f>
        <v/>
      </c>
      <c r="L1227" s="17" t="str">
        <f aca="false">IF($F1227="","",IF($F1227&lt;1,ROUND($F1227*1440,0),INT($F1227/100)*60+MOD($F1227,100)))</f>
        <v/>
      </c>
    </row>
    <row r="1228" customFormat="false" ht="15" hidden="false" customHeight="true" outlineLevel="0" collapsed="false">
      <c r="A1228" s="10"/>
      <c r="B1228" s="8"/>
      <c r="C1228" s="13" t="str">
        <f aca="false">IF($B1228="","",IFERROR(INDEX(직원목록!$B$3:$B$302,MATCH($B1228,직원목록!$A$3:$A$302,0)),"미등록사번"))</f>
        <v/>
      </c>
      <c r="D1228" s="13" t="str">
        <f aca="false">IF($B1228="","",IFERROR(INDEX(직원목록!$C$3:$C$302,MATCH($B1228,직원목록!$A$3:$A$302,0)),""))</f>
        <v/>
      </c>
      <c r="E1228" s="14"/>
      <c r="F1228" s="14"/>
      <c r="G1228" s="15"/>
      <c r="H1228" s="16" t="str">
        <f aca="false">IF(OR($K1228="",$L1228=""),"",ROUND(MAX(0,($L1228-$K1228)-IF($G1228="",0,$G1228))/60,2))</f>
        <v/>
      </c>
      <c r="I1228" s="8"/>
      <c r="J1228" s="8"/>
      <c r="K1228" s="17" t="str">
        <f aca="false">IF($E1228="","",IF($E1228&lt;1,ROUND($E1228*1440,0),INT($E1228/100)*60+MOD($E1228,100)))</f>
        <v/>
      </c>
      <c r="L1228" s="17" t="str">
        <f aca="false">IF($F1228="","",IF($F1228&lt;1,ROUND($F1228*1440,0),INT($F1228/100)*60+MOD($F1228,100)))</f>
        <v/>
      </c>
    </row>
    <row r="1229" customFormat="false" ht="15" hidden="false" customHeight="true" outlineLevel="0" collapsed="false">
      <c r="A1229" s="10"/>
      <c r="B1229" s="8"/>
      <c r="C1229" s="13" t="str">
        <f aca="false">IF($B1229="","",IFERROR(INDEX(직원목록!$B$3:$B$302,MATCH($B1229,직원목록!$A$3:$A$302,0)),"미등록사번"))</f>
        <v/>
      </c>
      <c r="D1229" s="13" t="str">
        <f aca="false">IF($B1229="","",IFERROR(INDEX(직원목록!$C$3:$C$302,MATCH($B1229,직원목록!$A$3:$A$302,0)),""))</f>
        <v/>
      </c>
      <c r="E1229" s="14"/>
      <c r="F1229" s="14"/>
      <c r="G1229" s="15"/>
      <c r="H1229" s="16" t="str">
        <f aca="false">IF(OR($K1229="",$L1229=""),"",ROUND(MAX(0,($L1229-$K1229)-IF($G1229="",0,$G1229))/60,2))</f>
        <v/>
      </c>
      <c r="I1229" s="8"/>
      <c r="J1229" s="8"/>
      <c r="K1229" s="17" t="str">
        <f aca="false">IF($E1229="","",IF($E1229&lt;1,ROUND($E1229*1440,0),INT($E1229/100)*60+MOD($E1229,100)))</f>
        <v/>
      </c>
      <c r="L1229" s="17" t="str">
        <f aca="false">IF($F1229="","",IF($F1229&lt;1,ROUND($F1229*1440,0),INT($F1229/100)*60+MOD($F1229,100)))</f>
        <v/>
      </c>
    </row>
    <row r="1230" customFormat="false" ht="15" hidden="false" customHeight="true" outlineLevel="0" collapsed="false">
      <c r="A1230" s="10"/>
      <c r="B1230" s="8"/>
      <c r="C1230" s="13" t="str">
        <f aca="false">IF($B1230="","",IFERROR(INDEX(직원목록!$B$3:$B$302,MATCH($B1230,직원목록!$A$3:$A$302,0)),"미등록사번"))</f>
        <v/>
      </c>
      <c r="D1230" s="13" t="str">
        <f aca="false">IF($B1230="","",IFERROR(INDEX(직원목록!$C$3:$C$302,MATCH($B1230,직원목록!$A$3:$A$302,0)),""))</f>
        <v/>
      </c>
      <c r="E1230" s="14"/>
      <c r="F1230" s="14"/>
      <c r="G1230" s="15"/>
      <c r="H1230" s="16" t="str">
        <f aca="false">IF(OR($K1230="",$L1230=""),"",ROUND(MAX(0,($L1230-$K1230)-IF($G1230="",0,$G1230))/60,2))</f>
        <v/>
      </c>
      <c r="I1230" s="8"/>
      <c r="J1230" s="8"/>
      <c r="K1230" s="17" t="str">
        <f aca="false">IF($E1230="","",IF($E1230&lt;1,ROUND($E1230*1440,0),INT($E1230/100)*60+MOD($E1230,100)))</f>
        <v/>
      </c>
      <c r="L1230" s="17" t="str">
        <f aca="false">IF($F1230="","",IF($F1230&lt;1,ROUND($F1230*1440,0),INT($F1230/100)*60+MOD($F1230,100)))</f>
        <v/>
      </c>
    </row>
    <row r="1231" customFormat="false" ht="15" hidden="false" customHeight="true" outlineLevel="0" collapsed="false">
      <c r="A1231" s="10"/>
      <c r="B1231" s="8"/>
      <c r="C1231" s="13" t="str">
        <f aca="false">IF($B1231="","",IFERROR(INDEX(직원목록!$B$3:$B$302,MATCH($B1231,직원목록!$A$3:$A$302,0)),"미등록사번"))</f>
        <v/>
      </c>
      <c r="D1231" s="13" t="str">
        <f aca="false">IF($B1231="","",IFERROR(INDEX(직원목록!$C$3:$C$302,MATCH($B1231,직원목록!$A$3:$A$302,0)),""))</f>
        <v/>
      </c>
      <c r="E1231" s="14"/>
      <c r="F1231" s="14"/>
      <c r="G1231" s="15"/>
      <c r="H1231" s="16" t="str">
        <f aca="false">IF(OR($K1231="",$L1231=""),"",ROUND(MAX(0,($L1231-$K1231)-IF($G1231="",0,$G1231))/60,2))</f>
        <v/>
      </c>
      <c r="I1231" s="8"/>
      <c r="J1231" s="8"/>
      <c r="K1231" s="17" t="str">
        <f aca="false">IF($E1231="","",IF($E1231&lt;1,ROUND($E1231*1440,0),INT($E1231/100)*60+MOD($E1231,100)))</f>
        <v/>
      </c>
      <c r="L1231" s="17" t="str">
        <f aca="false">IF($F1231="","",IF($F1231&lt;1,ROUND($F1231*1440,0),INT($F1231/100)*60+MOD($F1231,100)))</f>
        <v/>
      </c>
    </row>
    <row r="1232" customFormat="false" ht="15" hidden="false" customHeight="true" outlineLevel="0" collapsed="false">
      <c r="A1232" s="10"/>
      <c r="B1232" s="8"/>
      <c r="C1232" s="13" t="str">
        <f aca="false">IF($B1232="","",IFERROR(INDEX(직원목록!$B$3:$B$302,MATCH($B1232,직원목록!$A$3:$A$302,0)),"미등록사번"))</f>
        <v/>
      </c>
      <c r="D1232" s="13" t="str">
        <f aca="false">IF($B1232="","",IFERROR(INDEX(직원목록!$C$3:$C$302,MATCH($B1232,직원목록!$A$3:$A$302,0)),""))</f>
        <v/>
      </c>
      <c r="E1232" s="14"/>
      <c r="F1232" s="14"/>
      <c r="G1232" s="15"/>
      <c r="H1232" s="16" t="str">
        <f aca="false">IF(OR($K1232="",$L1232=""),"",ROUND(MAX(0,($L1232-$K1232)-IF($G1232="",0,$G1232))/60,2))</f>
        <v/>
      </c>
      <c r="I1232" s="8"/>
      <c r="J1232" s="8"/>
      <c r="K1232" s="17" t="str">
        <f aca="false">IF($E1232="","",IF($E1232&lt;1,ROUND($E1232*1440,0),INT($E1232/100)*60+MOD($E1232,100)))</f>
        <v/>
      </c>
      <c r="L1232" s="17" t="str">
        <f aca="false">IF($F1232="","",IF($F1232&lt;1,ROUND($F1232*1440,0),INT($F1232/100)*60+MOD($F1232,100)))</f>
        <v/>
      </c>
    </row>
    <row r="1233" customFormat="false" ht="15" hidden="false" customHeight="true" outlineLevel="0" collapsed="false">
      <c r="A1233" s="10"/>
      <c r="B1233" s="8"/>
      <c r="C1233" s="13" t="str">
        <f aca="false">IF($B1233="","",IFERROR(INDEX(직원목록!$B$3:$B$302,MATCH($B1233,직원목록!$A$3:$A$302,0)),"미등록사번"))</f>
        <v/>
      </c>
      <c r="D1233" s="13" t="str">
        <f aca="false">IF($B1233="","",IFERROR(INDEX(직원목록!$C$3:$C$302,MATCH($B1233,직원목록!$A$3:$A$302,0)),""))</f>
        <v/>
      </c>
      <c r="E1233" s="14"/>
      <c r="F1233" s="14"/>
      <c r="G1233" s="15"/>
      <c r="H1233" s="16" t="str">
        <f aca="false">IF(OR($K1233="",$L1233=""),"",ROUND(MAX(0,($L1233-$K1233)-IF($G1233="",0,$G1233))/60,2))</f>
        <v/>
      </c>
      <c r="I1233" s="8"/>
      <c r="J1233" s="8"/>
      <c r="K1233" s="17" t="str">
        <f aca="false">IF($E1233="","",IF($E1233&lt;1,ROUND($E1233*1440,0),INT($E1233/100)*60+MOD($E1233,100)))</f>
        <v/>
      </c>
      <c r="L1233" s="17" t="str">
        <f aca="false">IF($F1233="","",IF($F1233&lt;1,ROUND($F1233*1440,0),INT($F1233/100)*60+MOD($F1233,100)))</f>
        <v/>
      </c>
    </row>
    <row r="1234" customFormat="false" ht="15" hidden="false" customHeight="true" outlineLevel="0" collapsed="false">
      <c r="A1234" s="10"/>
      <c r="B1234" s="8"/>
      <c r="C1234" s="13" t="str">
        <f aca="false">IF($B1234="","",IFERROR(INDEX(직원목록!$B$3:$B$302,MATCH($B1234,직원목록!$A$3:$A$302,0)),"미등록사번"))</f>
        <v/>
      </c>
      <c r="D1234" s="13" t="str">
        <f aca="false">IF($B1234="","",IFERROR(INDEX(직원목록!$C$3:$C$302,MATCH($B1234,직원목록!$A$3:$A$302,0)),""))</f>
        <v/>
      </c>
      <c r="E1234" s="14"/>
      <c r="F1234" s="14"/>
      <c r="G1234" s="15"/>
      <c r="H1234" s="16" t="str">
        <f aca="false">IF(OR($K1234="",$L1234=""),"",ROUND(MAX(0,($L1234-$K1234)-IF($G1234="",0,$G1234))/60,2))</f>
        <v/>
      </c>
      <c r="I1234" s="8"/>
      <c r="J1234" s="8"/>
      <c r="K1234" s="17" t="str">
        <f aca="false">IF($E1234="","",IF($E1234&lt;1,ROUND($E1234*1440,0),INT($E1234/100)*60+MOD($E1234,100)))</f>
        <v/>
      </c>
      <c r="L1234" s="17" t="str">
        <f aca="false">IF($F1234="","",IF($F1234&lt;1,ROUND($F1234*1440,0),INT($F1234/100)*60+MOD($F1234,100)))</f>
        <v/>
      </c>
    </row>
    <row r="1235" customFormat="false" ht="15" hidden="false" customHeight="true" outlineLevel="0" collapsed="false">
      <c r="A1235" s="10"/>
      <c r="B1235" s="8"/>
      <c r="C1235" s="13" t="str">
        <f aca="false">IF($B1235="","",IFERROR(INDEX(직원목록!$B$3:$B$302,MATCH($B1235,직원목록!$A$3:$A$302,0)),"미등록사번"))</f>
        <v/>
      </c>
      <c r="D1235" s="13" t="str">
        <f aca="false">IF($B1235="","",IFERROR(INDEX(직원목록!$C$3:$C$302,MATCH($B1235,직원목록!$A$3:$A$302,0)),""))</f>
        <v/>
      </c>
      <c r="E1235" s="14"/>
      <c r="F1235" s="14"/>
      <c r="G1235" s="15"/>
      <c r="H1235" s="16" t="str">
        <f aca="false">IF(OR($K1235="",$L1235=""),"",ROUND(MAX(0,($L1235-$K1235)-IF($G1235="",0,$G1235))/60,2))</f>
        <v/>
      </c>
      <c r="I1235" s="8"/>
      <c r="J1235" s="8"/>
      <c r="K1235" s="17" t="str">
        <f aca="false">IF($E1235="","",IF($E1235&lt;1,ROUND($E1235*1440,0),INT($E1235/100)*60+MOD($E1235,100)))</f>
        <v/>
      </c>
      <c r="L1235" s="17" t="str">
        <f aca="false">IF($F1235="","",IF($F1235&lt;1,ROUND($F1235*1440,0),INT($F1235/100)*60+MOD($F1235,100)))</f>
        <v/>
      </c>
    </row>
    <row r="1236" customFormat="false" ht="15" hidden="false" customHeight="true" outlineLevel="0" collapsed="false">
      <c r="A1236" s="10"/>
      <c r="B1236" s="8"/>
      <c r="C1236" s="13" t="str">
        <f aca="false">IF($B1236="","",IFERROR(INDEX(직원목록!$B$3:$B$302,MATCH($B1236,직원목록!$A$3:$A$302,0)),"미등록사번"))</f>
        <v/>
      </c>
      <c r="D1236" s="13" t="str">
        <f aca="false">IF($B1236="","",IFERROR(INDEX(직원목록!$C$3:$C$302,MATCH($B1236,직원목록!$A$3:$A$302,0)),""))</f>
        <v/>
      </c>
      <c r="E1236" s="14"/>
      <c r="F1236" s="14"/>
      <c r="G1236" s="15"/>
      <c r="H1236" s="16" t="str">
        <f aca="false">IF(OR($K1236="",$L1236=""),"",ROUND(MAX(0,($L1236-$K1236)-IF($G1236="",0,$G1236))/60,2))</f>
        <v/>
      </c>
      <c r="I1236" s="8"/>
      <c r="J1236" s="8"/>
      <c r="K1236" s="17" t="str">
        <f aca="false">IF($E1236="","",IF($E1236&lt;1,ROUND($E1236*1440,0),INT($E1236/100)*60+MOD($E1236,100)))</f>
        <v/>
      </c>
      <c r="L1236" s="17" t="str">
        <f aca="false">IF($F1236="","",IF($F1236&lt;1,ROUND($F1236*1440,0),INT($F1236/100)*60+MOD($F1236,100)))</f>
        <v/>
      </c>
    </row>
    <row r="1237" customFormat="false" ht="15" hidden="false" customHeight="true" outlineLevel="0" collapsed="false">
      <c r="A1237" s="10"/>
      <c r="B1237" s="8"/>
      <c r="C1237" s="13" t="str">
        <f aca="false">IF($B1237="","",IFERROR(INDEX(직원목록!$B$3:$B$302,MATCH($B1237,직원목록!$A$3:$A$302,0)),"미등록사번"))</f>
        <v/>
      </c>
      <c r="D1237" s="13" t="str">
        <f aca="false">IF($B1237="","",IFERROR(INDEX(직원목록!$C$3:$C$302,MATCH($B1237,직원목록!$A$3:$A$302,0)),""))</f>
        <v/>
      </c>
      <c r="E1237" s="14"/>
      <c r="F1237" s="14"/>
      <c r="G1237" s="15"/>
      <c r="H1237" s="16" t="str">
        <f aca="false">IF(OR($K1237="",$L1237=""),"",ROUND(MAX(0,($L1237-$K1237)-IF($G1237="",0,$G1237))/60,2))</f>
        <v/>
      </c>
      <c r="I1237" s="8"/>
      <c r="J1237" s="8"/>
      <c r="K1237" s="17" t="str">
        <f aca="false">IF($E1237="","",IF($E1237&lt;1,ROUND($E1237*1440,0),INT($E1237/100)*60+MOD($E1237,100)))</f>
        <v/>
      </c>
      <c r="L1237" s="17" t="str">
        <f aca="false">IF($F1237="","",IF($F1237&lt;1,ROUND($F1237*1440,0),INT($F1237/100)*60+MOD($F1237,100)))</f>
        <v/>
      </c>
    </row>
    <row r="1238" customFormat="false" ht="15" hidden="false" customHeight="true" outlineLevel="0" collapsed="false">
      <c r="A1238" s="10"/>
      <c r="B1238" s="8"/>
      <c r="C1238" s="13" t="str">
        <f aca="false">IF($B1238="","",IFERROR(INDEX(직원목록!$B$3:$B$302,MATCH($B1238,직원목록!$A$3:$A$302,0)),"미등록사번"))</f>
        <v/>
      </c>
      <c r="D1238" s="13" t="str">
        <f aca="false">IF($B1238="","",IFERROR(INDEX(직원목록!$C$3:$C$302,MATCH($B1238,직원목록!$A$3:$A$302,0)),""))</f>
        <v/>
      </c>
      <c r="E1238" s="14"/>
      <c r="F1238" s="14"/>
      <c r="G1238" s="15"/>
      <c r="H1238" s="16" t="str">
        <f aca="false">IF(OR($K1238="",$L1238=""),"",ROUND(MAX(0,($L1238-$K1238)-IF($G1238="",0,$G1238))/60,2))</f>
        <v/>
      </c>
      <c r="I1238" s="8"/>
      <c r="J1238" s="8"/>
      <c r="K1238" s="17" t="str">
        <f aca="false">IF($E1238="","",IF($E1238&lt;1,ROUND($E1238*1440,0),INT($E1238/100)*60+MOD($E1238,100)))</f>
        <v/>
      </c>
      <c r="L1238" s="17" t="str">
        <f aca="false">IF($F1238="","",IF($F1238&lt;1,ROUND($F1238*1440,0),INT($F1238/100)*60+MOD($F1238,100)))</f>
        <v/>
      </c>
    </row>
    <row r="1239" customFormat="false" ht="15" hidden="false" customHeight="true" outlineLevel="0" collapsed="false">
      <c r="A1239" s="10"/>
      <c r="B1239" s="8"/>
      <c r="C1239" s="13" t="str">
        <f aca="false">IF($B1239="","",IFERROR(INDEX(직원목록!$B$3:$B$302,MATCH($B1239,직원목록!$A$3:$A$302,0)),"미등록사번"))</f>
        <v/>
      </c>
      <c r="D1239" s="13" t="str">
        <f aca="false">IF($B1239="","",IFERROR(INDEX(직원목록!$C$3:$C$302,MATCH($B1239,직원목록!$A$3:$A$302,0)),""))</f>
        <v/>
      </c>
      <c r="E1239" s="14"/>
      <c r="F1239" s="14"/>
      <c r="G1239" s="15"/>
      <c r="H1239" s="16" t="str">
        <f aca="false">IF(OR($K1239="",$L1239=""),"",ROUND(MAX(0,($L1239-$K1239)-IF($G1239="",0,$G1239))/60,2))</f>
        <v/>
      </c>
      <c r="I1239" s="8"/>
      <c r="J1239" s="8"/>
      <c r="K1239" s="17" t="str">
        <f aca="false">IF($E1239="","",IF($E1239&lt;1,ROUND($E1239*1440,0),INT($E1239/100)*60+MOD($E1239,100)))</f>
        <v/>
      </c>
      <c r="L1239" s="17" t="str">
        <f aca="false">IF($F1239="","",IF($F1239&lt;1,ROUND($F1239*1440,0),INT($F1239/100)*60+MOD($F1239,100)))</f>
        <v/>
      </c>
    </row>
    <row r="1240" customFormat="false" ht="15" hidden="false" customHeight="true" outlineLevel="0" collapsed="false">
      <c r="A1240" s="10"/>
      <c r="B1240" s="8"/>
      <c r="C1240" s="13" t="str">
        <f aca="false">IF($B1240="","",IFERROR(INDEX(직원목록!$B$3:$B$302,MATCH($B1240,직원목록!$A$3:$A$302,0)),"미등록사번"))</f>
        <v/>
      </c>
      <c r="D1240" s="13" t="str">
        <f aca="false">IF($B1240="","",IFERROR(INDEX(직원목록!$C$3:$C$302,MATCH($B1240,직원목록!$A$3:$A$302,0)),""))</f>
        <v/>
      </c>
      <c r="E1240" s="14"/>
      <c r="F1240" s="14"/>
      <c r="G1240" s="15"/>
      <c r="H1240" s="16" t="str">
        <f aca="false">IF(OR($K1240="",$L1240=""),"",ROUND(MAX(0,($L1240-$K1240)-IF($G1240="",0,$G1240))/60,2))</f>
        <v/>
      </c>
      <c r="I1240" s="8"/>
      <c r="J1240" s="8"/>
      <c r="K1240" s="17" t="str">
        <f aca="false">IF($E1240="","",IF($E1240&lt;1,ROUND($E1240*1440,0),INT($E1240/100)*60+MOD($E1240,100)))</f>
        <v/>
      </c>
      <c r="L1240" s="17" t="str">
        <f aca="false">IF($F1240="","",IF($F1240&lt;1,ROUND($F1240*1440,0),INT($F1240/100)*60+MOD($F1240,100)))</f>
        <v/>
      </c>
    </row>
    <row r="1241" customFormat="false" ht="15" hidden="false" customHeight="true" outlineLevel="0" collapsed="false">
      <c r="A1241" s="10"/>
      <c r="B1241" s="8"/>
      <c r="C1241" s="13" t="str">
        <f aca="false">IF($B1241="","",IFERROR(INDEX(직원목록!$B$3:$B$302,MATCH($B1241,직원목록!$A$3:$A$302,0)),"미등록사번"))</f>
        <v/>
      </c>
      <c r="D1241" s="13" t="str">
        <f aca="false">IF($B1241="","",IFERROR(INDEX(직원목록!$C$3:$C$302,MATCH($B1241,직원목록!$A$3:$A$302,0)),""))</f>
        <v/>
      </c>
      <c r="E1241" s="14"/>
      <c r="F1241" s="14"/>
      <c r="G1241" s="15"/>
      <c r="H1241" s="16" t="str">
        <f aca="false">IF(OR($K1241="",$L1241=""),"",ROUND(MAX(0,($L1241-$K1241)-IF($G1241="",0,$G1241))/60,2))</f>
        <v/>
      </c>
      <c r="I1241" s="8"/>
      <c r="J1241" s="8"/>
      <c r="K1241" s="17" t="str">
        <f aca="false">IF($E1241="","",IF($E1241&lt;1,ROUND($E1241*1440,0),INT($E1241/100)*60+MOD($E1241,100)))</f>
        <v/>
      </c>
      <c r="L1241" s="17" t="str">
        <f aca="false">IF($F1241="","",IF($F1241&lt;1,ROUND($F1241*1440,0),INT($F1241/100)*60+MOD($F1241,100)))</f>
        <v/>
      </c>
    </row>
    <row r="1242" customFormat="false" ht="15" hidden="false" customHeight="true" outlineLevel="0" collapsed="false">
      <c r="A1242" s="10"/>
      <c r="B1242" s="8"/>
      <c r="C1242" s="13" t="str">
        <f aca="false">IF($B1242="","",IFERROR(INDEX(직원목록!$B$3:$B$302,MATCH($B1242,직원목록!$A$3:$A$302,0)),"미등록사번"))</f>
        <v/>
      </c>
      <c r="D1242" s="13" t="str">
        <f aca="false">IF($B1242="","",IFERROR(INDEX(직원목록!$C$3:$C$302,MATCH($B1242,직원목록!$A$3:$A$302,0)),""))</f>
        <v/>
      </c>
      <c r="E1242" s="14"/>
      <c r="F1242" s="14"/>
      <c r="G1242" s="15"/>
      <c r="H1242" s="16" t="str">
        <f aca="false">IF(OR($K1242="",$L1242=""),"",ROUND(MAX(0,($L1242-$K1242)-IF($G1242="",0,$G1242))/60,2))</f>
        <v/>
      </c>
      <c r="I1242" s="8"/>
      <c r="J1242" s="8"/>
      <c r="K1242" s="17" t="str">
        <f aca="false">IF($E1242="","",IF($E1242&lt;1,ROUND($E1242*1440,0),INT($E1242/100)*60+MOD($E1242,100)))</f>
        <v/>
      </c>
      <c r="L1242" s="17" t="str">
        <f aca="false">IF($F1242="","",IF($F1242&lt;1,ROUND($F1242*1440,0),INT($F1242/100)*60+MOD($F1242,100)))</f>
        <v/>
      </c>
    </row>
    <row r="1243" customFormat="false" ht="15" hidden="false" customHeight="true" outlineLevel="0" collapsed="false">
      <c r="A1243" s="10"/>
      <c r="B1243" s="8"/>
      <c r="C1243" s="13" t="str">
        <f aca="false">IF($B1243="","",IFERROR(INDEX(직원목록!$B$3:$B$302,MATCH($B1243,직원목록!$A$3:$A$302,0)),"미등록사번"))</f>
        <v/>
      </c>
      <c r="D1243" s="13" t="str">
        <f aca="false">IF($B1243="","",IFERROR(INDEX(직원목록!$C$3:$C$302,MATCH($B1243,직원목록!$A$3:$A$302,0)),""))</f>
        <v/>
      </c>
      <c r="E1243" s="14"/>
      <c r="F1243" s="14"/>
      <c r="G1243" s="15"/>
      <c r="H1243" s="16" t="str">
        <f aca="false">IF(OR($K1243="",$L1243=""),"",ROUND(MAX(0,($L1243-$K1243)-IF($G1243="",0,$G1243))/60,2))</f>
        <v/>
      </c>
      <c r="I1243" s="8"/>
      <c r="J1243" s="8"/>
      <c r="K1243" s="17" t="str">
        <f aca="false">IF($E1243="","",IF($E1243&lt;1,ROUND($E1243*1440,0),INT($E1243/100)*60+MOD($E1243,100)))</f>
        <v/>
      </c>
      <c r="L1243" s="17" t="str">
        <f aca="false">IF($F1243="","",IF($F1243&lt;1,ROUND($F1243*1440,0),INT($F1243/100)*60+MOD($F1243,100)))</f>
        <v/>
      </c>
    </row>
    <row r="1244" customFormat="false" ht="15" hidden="false" customHeight="true" outlineLevel="0" collapsed="false">
      <c r="A1244" s="10"/>
      <c r="B1244" s="8"/>
      <c r="C1244" s="13" t="str">
        <f aca="false">IF($B1244="","",IFERROR(INDEX(직원목록!$B$3:$B$302,MATCH($B1244,직원목록!$A$3:$A$302,0)),"미등록사번"))</f>
        <v/>
      </c>
      <c r="D1244" s="13" t="str">
        <f aca="false">IF($B1244="","",IFERROR(INDEX(직원목록!$C$3:$C$302,MATCH($B1244,직원목록!$A$3:$A$302,0)),""))</f>
        <v/>
      </c>
      <c r="E1244" s="14"/>
      <c r="F1244" s="14"/>
      <c r="G1244" s="15"/>
      <c r="H1244" s="16" t="str">
        <f aca="false">IF(OR($K1244="",$L1244=""),"",ROUND(MAX(0,($L1244-$K1244)-IF($G1244="",0,$G1244))/60,2))</f>
        <v/>
      </c>
      <c r="I1244" s="8"/>
      <c r="J1244" s="8"/>
      <c r="K1244" s="17" t="str">
        <f aca="false">IF($E1244="","",IF($E1244&lt;1,ROUND($E1244*1440,0),INT($E1244/100)*60+MOD($E1244,100)))</f>
        <v/>
      </c>
      <c r="L1244" s="17" t="str">
        <f aca="false">IF($F1244="","",IF($F1244&lt;1,ROUND($F1244*1440,0),INT($F1244/100)*60+MOD($F1244,100)))</f>
        <v/>
      </c>
    </row>
    <row r="1245" customFormat="false" ht="15" hidden="false" customHeight="true" outlineLevel="0" collapsed="false">
      <c r="A1245" s="10"/>
      <c r="B1245" s="8"/>
      <c r="C1245" s="13" t="str">
        <f aca="false">IF($B1245="","",IFERROR(INDEX(직원목록!$B$3:$B$302,MATCH($B1245,직원목록!$A$3:$A$302,0)),"미등록사번"))</f>
        <v/>
      </c>
      <c r="D1245" s="13" t="str">
        <f aca="false">IF($B1245="","",IFERROR(INDEX(직원목록!$C$3:$C$302,MATCH($B1245,직원목록!$A$3:$A$302,0)),""))</f>
        <v/>
      </c>
      <c r="E1245" s="14"/>
      <c r="F1245" s="14"/>
      <c r="G1245" s="15"/>
      <c r="H1245" s="16" t="str">
        <f aca="false">IF(OR($K1245="",$L1245=""),"",ROUND(MAX(0,($L1245-$K1245)-IF($G1245="",0,$G1245))/60,2))</f>
        <v/>
      </c>
      <c r="I1245" s="8"/>
      <c r="J1245" s="8"/>
      <c r="K1245" s="17" t="str">
        <f aca="false">IF($E1245="","",IF($E1245&lt;1,ROUND($E1245*1440,0),INT($E1245/100)*60+MOD($E1245,100)))</f>
        <v/>
      </c>
      <c r="L1245" s="17" t="str">
        <f aca="false">IF($F1245="","",IF($F1245&lt;1,ROUND($F1245*1440,0),INT($F1245/100)*60+MOD($F1245,100)))</f>
        <v/>
      </c>
    </row>
    <row r="1246" customFormat="false" ht="15" hidden="false" customHeight="true" outlineLevel="0" collapsed="false">
      <c r="A1246" s="10"/>
      <c r="B1246" s="8"/>
      <c r="C1246" s="13" t="str">
        <f aca="false">IF($B1246="","",IFERROR(INDEX(직원목록!$B$3:$B$302,MATCH($B1246,직원목록!$A$3:$A$302,0)),"미등록사번"))</f>
        <v/>
      </c>
      <c r="D1246" s="13" t="str">
        <f aca="false">IF($B1246="","",IFERROR(INDEX(직원목록!$C$3:$C$302,MATCH($B1246,직원목록!$A$3:$A$302,0)),""))</f>
        <v/>
      </c>
      <c r="E1246" s="14"/>
      <c r="F1246" s="14"/>
      <c r="G1246" s="15"/>
      <c r="H1246" s="16" t="str">
        <f aca="false">IF(OR($K1246="",$L1246=""),"",ROUND(MAX(0,($L1246-$K1246)-IF($G1246="",0,$G1246))/60,2))</f>
        <v/>
      </c>
      <c r="I1246" s="8"/>
      <c r="J1246" s="8"/>
      <c r="K1246" s="17" t="str">
        <f aca="false">IF($E1246="","",IF($E1246&lt;1,ROUND($E1246*1440,0),INT($E1246/100)*60+MOD($E1246,100)))</f>
        <v/>
      </c>
      <c r="L1246" s="17" t="str">
        <f aca="false">IF($F1246="","",IF($F1246&lt;1,ROUND($F1246*1440,0),INT($F1246/100)*60+MOD($F1246,100)))</f>
        <v/>
      </c>
    </row>
    <row r="1247" customFormat="false" ht="15" hidden="false" customHeight="true" outlineLevel="0" collapsed="false">
      <c r="A1247" s="10"/>
      <c r="B1247" s="8"/>
      <c r="C1247" s="13" t="str">
        <f aca="false">IF($B1247="","",IFERROR(INDEX(직원목록!$B$3:$B$302,MATCH($B1247,직원목록!$A$3:$A$302,0)),"미등록사번"))</f>
        <v/>
      </c>
      <c r="D1247" s="13" t="str">
        <f aca="false">IF($B1247="","",IFERROR(INDEX(직원목록!$C$3:$C$302,MATCH($B1247,직원목록!$A$3:$A$302,0)),""))</f>
        <v/>
      </c>
      <c r="E1247" s="14"/>
      <c r="F1247" s="14"/>
      <c r="G1247" s="15"/>
      <c r="H1247" s="16" t="str">
        <f aca="false">IF(OR($K1247="",$L1247=""),"",ROUND(MAX(0,($L1247-$K1247)-IF($G1247="",0,$G1247))/60,2))</f>
        <v/>
      </c>
      <c r="I1247" s="8"/>
      <c r="J1247" s="8"/>
      <c r="K1247" s="17" t="str">
        <f aca="false">IF($E1247="","",IF($E1247&lt;1,ROUND($E1247*1440,0),INT($E1247/100)*60+MOD($E1247,100)))</f>
        <v/>
      </c>
      <c r="L1247" s="17" t="str">
        <f aca="false">IF($F1247="","",IF($F1247&lt;1,ROUND($F1247*1440,0),INT($F1247/100)*60+MOD($F1247,100)))</f>
        <v/>
      </c>
    </row>
    <row r="1248" customFormat="false" ht="15" hidden="false" customHeight="true" outlineLevel="0" collapsed="false">
      <c r="A1248" s="10"/>
      <c r="B1248" s="8"/>
      <c r="C1248" s="13" t="str">
        <f aca="false">IF($B1248="","",IFERROR(INDEX(직원목록!$B$3:$B$302,MATCH($B1248,직원목록!$A$3:$A$302,0)),"미등록사번"))</f>
        <v/>
      </c>
      <c r="D1248" s="13" t="str">
        <f aca="false">IF($B1248="","",IFERROR(INDEX(직원목록!$C$3:$C$302,MATCH($B1248,직원목록!$A$3:$A$302,0)),""))</f>
        <v/>
      </c>
      <c r="E1248" s="14"/>
      <c r="F1248" s="14"/>
      <c r="G1248" s="15"/>
      <c r="H1248" s="16" t="str">
        <f aca="false">IF(OR($K1248="",$L1248=""),"",ROUND(MAX(0,($L1248-$K1248)-IF($G1248="",0,$G1248))/60,2))</f>
        <v/>
      </c>
      <c r="I1248" s="8"/>
      <c r="J1248" s="8"/>
      <c r="K1248" s="17" t="str">
        <f aca="false">IF($E1248="","",IF($E1248&lt;1,ROUND($E1248*1440,0),INT($E1248/100)*60+MOD($E1248,100)))</f>
        <v/>
      </c>
      <c r="L1248" s="17" t="str">
        <f aca="false">IF($F1248="","",IF($F1248&lt;1,ROUND($F1248*1440,0),INT($F1248/100)*60+MOD($F1248,100)))</f>
        <v/>
      </c>
    </row>
    <row r="1249" customFormat="false" ht="15" hidden="false" customHeight="true" outlineLevel="0" collapsed="false">
      <c r="A1249" s="10"/>
      <c r="B1249" s="8"/>
      <c r="C1249" s="13" t="str">
        <f aca="false">IF($B1249="","",IFERROR(INDEX(직원목록!$B$3:$B$302,MATCH($B1249,직원목록!$A$3:$A$302,0)),"미등록사번"))</f>
        <v/>
      </c>
      <c r="D1249" s="13" t="str">
        <f aca="false">IF($B1249="","",IFERROR(INDEX(직원목록!$C$3:$C$302,MATCH($B1249,직원목록!$A$3:$A$302,0)),""))</f>
        <v/>
      </c>
      <c r="E1249" s="14"/>
      <c r="F1249" s="14"/>
      <c r="G1249" s="15"/>
      <c r="H1249" s="16" t="str">
        <f aca="false">IF(OR($K1249="",$L1249=""),"",ROUND(MAX(0,($L1249-$K1249)-IF($G1249="",0,$G1249))/60,2))</f>
        <v/>
      </c>
      <c r="I1249" s="8"/>
      <c r="J1249" s="8"/>
      <c r="K1249" s="17" t="str">
        <f aca="false">IF($E1249="","",IF($E1249&lt;1,ROUND($E1249*1440,0),INT($E1249/100)*60+MOD($E1249,100)))</f>
        <v/>
      </c>
      <c r="L1249" s="17" t="str">
        <f aca="false">IF($F1249="","",IF($F1249&lt;1,ROUND($F1249*1440,0),INT($F1249/100)*60+MOD($F1249,100)))</f>
        <v/>
      </c>
    </row>
    <row r="1250" customFormat="false" ht="15" hidden="false" customHeight="true" outlineLevel="0" collapsed="false">
      <c r="A1250" s="10"/>
      <c r="B1250" s="8"/>
      <c r="C1250" s="13" t="str">
        <f aca="false">IF($B1250="","",IFERROR(INDEX(직원목록!$B$3:$B$302,MATCH($B1250,직원목록!$A$3:$A$302,0)),"미등록사번"))</f>
        <v/>
      </c>
      <c r="D1250" s="13" t="str">
        <f aca="false">IF($B1250="","",IFERROR(INDEX(직원목록!$C$3:$C$302,MATCH($B1250,직원목록!$A$3:$A$302,0)),""))</f>
        <v/>
      </c>
      <c r="E1250" s="14"/>
      <c r="F1250" s="14"/>
      <c r="G1250" s="15"/>
      <c r="H1250" s="16" t="str">
        <f aca="false">IF(OR($K1250="",$L1250=""),"",ROUND(MAX(0,($L1250-$K1250)-IF($G1250="",0,$G1250))/60,2))</f>
        <v/>
      </c>
      <c r="I1250" s="8"/>
      <c r="J1250" s="8"/>
      <c r="K1250" s="17" t="str">
        <f aca="false">IF($E1250="","",IF($E1250&lt;1,ROUND($E1250*1440,0),INT($E1250/100)*60+MOD($E1250,100)))</f>
        <v/>
      </c>
      <c r="L1250" s="17" t="str">
        <f aca="false">IF($F1250="","",IF($F1250&lt;1,ROUND($F1250*1440,0),INT($F1250/100)*60+MOD($F1250,100)))</f>
        <v/>
      </c>
    </row>
    <row r="1251" customFormat="false" ht="15" hidden="false" customHeight="true" outlineLevel="0" collapsed="false">
      <c r="A1251" s="10"/>
      <c r="B1251" s="8"/>
      <c r="C1251" s="13" t="str">
        <f aca="false">IF($B1251="","",IFERROR(INDEX(직원목록!$B$3:$B$302,MATCH($B1251,직원목록!$A$3:$A$302,0)),"미등록사번"))</f>
        <v/>
      </c>
      <c r="D1251" s="13" t="str">
        <f aca="false">IF($B1251="","",IFERROR(INDEX(직원목록!$C$3:$C$302,MATCH($B1251,직원목록!$A$3:$A$302,0)),""))</f>
        <v/>
      </c>
      <c r="E1251" s="14"/>
      <c r="F1251" s="14"/>
      <c r="G1251" s="15"/>
      <c r="H1251" s="16" t="str">
        <f aca="false">IF(OR($K1251="",$L1251=""),"",ROUND(MAX(0,($L1251-$K1251)-IF($G1251="",0,$G1251))/60,2))</f>
        <v/>
      </c>
      <c r="I1251" s="8"/>
      <c r="J1251" s="8"/>
      <c r="K1251" s="17" t="str">
        <f aca="false">IF($E1251="","",IF($E1251&lt;1,ROUND($E1251*1440,0),INT($E1251/100)*60+MOD($E1251,100)))</f>
        <v/>
      </c>
      <c r="L1251" s="17" t="str">
        <f aca="false">IF($F1251="","",IF($F1251&lt;1,ROUND($F1251*1440,0),INT($F1251/100)*60+MOD($F1251,100)))</f>
        <v/>
      </c>
    </row>
    <row r="1252" customFormat="false" ht="15" hidden="false" customHeight="true" outlineLevel="0" collapsed="false">
      <c r="A1252" s="10"/>
      <c r="B1252" s="8"/>
      <c r="C1252" s="13" t="str">
        <f aca="false">IF($B1252="","",IFERROR(INDEX(직원목록!$B$3:$B$302,MATCH($B1252,직원목록!$A$3:$A$302,0)),"미등록사번"))</f>
        <v/>
      </c>
      <c r="D1252" s="13" t="str">
        <f aca="false">IF($B1252="","",IFERROR(INDEX(직원목록!$C$3:$C$302,MATCH($B1252,직원목록!$A$3:$A$302,0)),""))</f>
        <v/>
      </c>
      <c r="E1252" s="14"/>
      <c r="F1252" s="14"/>
      <c r="G1252" s="15"/>
      <c r="H1252" s="16" t="str">
        <f aca="false">IF(OR($K1252="",$L1252=""),"",ROUND(MAX(0,($L1252-$K1252)-IF($G1252="",0,$G1252))/60,2))</f>
        <v/>
      </c>
      <c r="I1252" s="8"/>
      <c r="J1252" s="8"/>
      <c r="K1252" s="17" t="str">
        <f aca="false">IF($E1252="","",IF($E1252&lt;1,ROUND($E1252*1440,0),INT($E1252/100)*60+MOD($E1252,100)))</f>
        <v/>
      </c>
      <c r="L1252" s="17" t="str">
        <f aca="false">IF($F1252="","",IF($F1252&lt;1,ROUND($F1252*1440,0),INT($F1252/100)*60+MOD($F1252,100)))</f>
        <v/>
      </c>
    </row>
    <row r="1253" customFormat="false" ht="15" hidden="false" customHeight="true" outlineLevel="0" collapsed="false">
      <c r="A1253" s="10"/>
      <c r="B1253" s="8"/>
      <c r="C1253" s="13" t="str">
        <f aca="false">IF($B1253="","",IFERROR(INDEX(직원목록!$B$3:$B$302,MATCH($B1253,직원목록!$A$3:$A$302,0)),"미등록사번"))</f>
        <v/>
      </c>
      <c r="D1253" s="13" t="str">
        <f aca="false">IF($B1253="","",IFERROR(INDEX(직원목록!$C$3:$C$302,MATCH($B1253,직원목록!$A$3:$A$302,0)),""))</f>
        <v/>
      </c>
      <c r="E1253" s="14"/>
      <c r="F1253" s="14"/>
      <c r="G1253" s="15"/>
      <c r="H1253" s="16" t="str">
        <f aca="false">IF(OR($K1253="",$L1253=""),"",ROUND(MAX(0,($L1253-$K1253)-IF($G1253="",0,$G1253))/60,2))</f>
        <v/>
      </c>
      <c r="I1253" s="8"/>
      <c r="J1253" s="8"/>
      <c r="K1253" s="17" t="str">
        <f aca="false">IF($E1253="","",IF($E1253&lt;1,ROUND($E1253*1440,0),INT($E1253/100)*60+MOD($E1253,100)))</f>
        <v/>
      </c>
      <c r="L1253" s="17" t="str">
        <f aca="false">IF($F1253="","",IF($F1253&lt;1,ROUND($F1253*1440,0),INT($F1253/100)*60+MOD($F1253,100)))</f>
        <v/>
      </c>
    </row>
    <row r="1254" customFormat="false" ht="15" hidden="false" customHeight="true" outlineLevel="0" collapsed="false">
      <c r="A1254" s="10"/>
      <c r="B1254" s="8"/>
      <c r="C1254" s="13" t="str">
        <f aca="false">IF($B1254="","",IFERROR(INDEX(직원목록!$B$3:$B$302,MATCH($B1254,직원목록!$A$3:$A$302,0)),"미등록사번"))</f>
        <v/>
      </c>
      <c r="D1254" s="13" t="str">
        <f aca="false">IF($B1254="","",IFERROR(INDEX(직원목록!$C$3:$C$302,MATCH($B1254,직원목록!$A$3:$A$302,0)),""))</f>
        <v/>
      </c>
      <c r="E1254" s="14"/>
      <c r="F1254" s="14"/>
      <c r="G1254" s="15"/>
      <c r="H1254" s="16" t="str">
        <f aca="false">IF(OR($K1254="",$L1254=""),"",ROUND(MAX(0,($L1254-$K1254)-IF($G1254="",0,$G1254))/60,2))</f>
        <v/>
      </c>
      <c r="I1254" s="8"/>
      <c r="J1254" s="8"/>
      <c r="K1254" s="17" t="str">
        <f aca="false">IF($E1254="","",IF($E1254&lt;1,ROUND($E1254*1440,0),INT($E1254/100)*60+MOD($E1254,100)))</f>
        <v/>
      </c>
      <c r="L1254" s="17" t="str">
        <f aca="false">IF($F1254="","",IF($F1254&lt;1,ROUND($F1254*1440,0),INT($F1254/100)*60+MOD($F1254,100)))</f>
        <v/>
      </c>
    </row>
    <row r="1255" customFormat="false" ht="15" hidden="false" customHeight="true" outlineLevel="0" collapsed="false">
      <c r="A1255" s="10"/>
      <c r="B1255" s="8"/>
      <c r="C1255" s="13" t="str">
        <f aca="false">IF($B1255="","",IFERROR(INDEX(직원목록!$B$3:$B$302,MATCH($B1255,직원목록!$A$3:$A$302,0)),"미등록사번"))</f>
        <v/>
      </c>
      <c r="D1255" s="13" t="str">
        <f aca="false">IF($B1255="","",IFERROR(INDEX(직원목록!$C$3:$C$302,MATCH($B1255,직원목록!$A$3:$A$302,0)),""))</f>
        <v/>
      </c>
      <c r="E1255" s="14"/>
      <c r="F1255" s="14"/>
      <c r="G1255" s="15"/>
      <c r="H1255" s="16" t="str">
        <f aca="false">IF(OR($K1255="",$L1255=""),"",ROUND(MAX(0,($L1255-$K1255)-IF($G1255="",0,$G1255))/60,2))</f>
        <v/>
      </c>
      <c r="I1255" s="8"/>
      <c r="J1255" s="8"/>
      <c r="K1255" s="17" t="str">
        <f aca="false">IF($E1255="","",IF($E1255&lt;1,ROUND($E1255*1440,0),INT($E1255/100)*60+MOD($E1255,100)))</f>
        <v/>
      </c>
      <c r="L1255" s="17" t="str">
        <f aca="false">IF($F1255="","",IF($F1255&lt;1,ROUND($F1255*1440,0),INT($F1255/100)*60+MOD($F1255,100)))</f>
        <v/>
      </c>
    </row>
    <row r="1256" customFormat="false" ht="15" hidden="false" customHeight="true" outlineLevel="0" collapsed="false">
      <c r="A1256" s="10"/>
      <c r="B1256" s="8"/>
      <c r="C1256" s="13" t="str">
        <f aca="false">IF($B1256="","",IFERROR(INDEX(직원목록!$B$3:$B$302,MATCH($B1256,직원목록!$A$3:$A$302,0)),"미등록사번"))</f>
        <v/>
      </c>
      <c r="D1256" s="13" t="str">
        <f aca="false">IF($B1256="","",IFERROR(INDEX(직원목록!$C$3:$C$302,MATCH($B1256,직원목록!$A$3:$A$302,0)),""))</f>
        <v/>
      </c>
      <c r="E1256" s="14"/>
      <c r="F1256" s="14"/>
      <c r="G1256" s="15"/>
      <c r="H1256" s="16" t="str">
        <f aca="false">IF(OR($K1256="",$L1256=""),"",ROUND(MAX(0,($L1256-$K1256)-IF($G1256="",0,$G1256))/60,2))</f>
        <v/>
      </c>
      <c r="I1256" s="8"/>
      <c r="J1256" s="8"/>
      <c r="K1256" s="17" t="str">
        <f aca="false">IF($E1256="","",IF($E1256&lt;1,ROUND($E1256*1440,0),INT($E1256/100)*60+MOD($E1256,100)))</f>
        <v/>
      </c>
      <c r="L1256" s="17" t="str">
        <f aca="false">IF($F1256="","",IF($F1256&lt;1,ROUND($F1256*1440,0),INT($F1256/100)*60+MOD($F1256,100)))</f>
        <v/>
      </c>
    </row>
    <row r="1257" customFormat="false" ht="15" hidden="false" customHeight="true" outlineLevel="0" collapsed="false">
      <c r="A1257" s="10"/>
      <c r="B1257" s="8"/>
      <c r="C1257" s="13" t="str">
        <f aca="false">IF($B1257="","",IFERROR(INDEX(직원목록!$B$3:$B$302,MATCH($B1257,직원목록!$A$3:$A$302,0)),"미등록사번"))</f>
        <v/>
      </c>
      <c r="D1257" s="13" t="str">
        <f aca="false">IF($B1257="","",IFERROR(INDEX(직원목록!$C$3:$C$302,MATCH($B1257,직원목록!$A$3:$A$302,0)),""))</f>
        <v/>
      </c>
      <c r="E1257" s="14"/>
      <c r="F1257" s="14"/>
      <c r="G1257" s="15"/>
      <c r="H1257" s="16" t="str">
        <f aca="false">IF(OR($K1257="",$L1257=""),"",ROUND(MAX(0,($L1257-$K1257)-IF($G1257="",0,$G1257))/60,2))</f>
        <v/>
      </c>
      <c r="I1257" s="8"/>
      <c r="J1257" s="8"/>
      <c r="K1257" s="17" t="str">
        <f aca="false">IF($E1257="","",IF($E1257&lt;1,ROUND($E1257*1440,0),INT($E1257/100)*60+MOD($E1257,100)))</f>
        <v/>
      </c>
      <c r="L1257" s="17" t="str">
        <f aca="false">IF($F1257="","",IF($F1257&lt;1,ROUND($F1257*1440,0),INT($F1257/100)*60+MOD($F1257,100)))</f>
        <v/>
      </c>
    </row>
    <row r="1258" customFormat="false" ht="15" hidden="false" customHeight="true" outlineLevel="0" collapsed="false">
      <c r="A1258" s="10"/>
      <c r="B1258" s="8"/>
      <c r="C1258" s="13" t="str">
        <f aca="false">IF($B1258="","",IFERROR(INDEX(직원목록!$B$3:$B$302,MATCH($B1258,직원목록!$A$3:$A$302,0)),"미등록사번"))</f>
        <v/>
      </c>
      <c r="D1258" s="13" t="str">
        <f aca="false">IF($B1258="","",IFERROR(INDEX(직원목록!$C$3:$C$302,MATCH($B1258,직원목록!$A$3:$A$302,0)),""))</f>
        <v/>
      </c>
      <c r="E1258" s="14"/>
      <c r="F1258" s="14"/>
      <c r="G1258" s="15"/>
      <c r="H1258" s="16" t="str">
        <f aca="false">IF(OR($K1258="",$L1258=""),"",ROUND(MAX(0,($L1258-$K1258)-IF($G1258="",0,$G1258))/60,2))</f>
        <v/>
      </c>
      <c r="I1258" s="8"/>
      <c r="J1258" s="8"/>
      <c r="K1258" s="17" t="str">
        <f aca="false">IF($E1258="","",IF($E1258&lt;1,ROUND($E1258*1440,0),INT($E1258/100)*60+MOD($E1258,100)))</f>
        <v/>
      </c>
      <c r="L1258" s="17" t="str">
        <f aca="false">IF($F1258="","",IF($F1258&lt;1,ROUND($F1258*1440,0),INT($F1258/100)*60+MOD($F1258,100)))</f>
        <v/>
      </c>
    </row>
    <row r="1259" customFormat="false" ht="15" hidden="false" customHeight="true" outlineLevel="0" collapsed="false">
      <c r="A1259" s="10"/>
      <c r="B1259" s="8"/>
      <c r="C1259" s="13" t="str">
        <f aca="false">IF($B1259="","",IFERROR(INDEX(직원목록!$B$3:$B$302,MATCH($B1259,직원목록!$A$3:$A$302,0)),"미등록사번"))</f>
        <v/>
      </c>
      <c r="D1259" s="13" t="str">
        <f aca="false">IF($B1259="","",IFERROR(INDEX(직원목록!$C$3:$C$302,MATCH($B1259,직원목록!$A$3:$A$302,0)),""))</f>
        <v/>
      </c>
      <c r="E1259" s="14"/>
      <c r="F1259" s="14"/>
      <c r="G1259" s="15"/>
      <c r="H1259" s="16" t="str">
        <f aca="false">IF(OR($K1259="",$L1259=""),"",ROUND(MAX(0,($L1259-$K1259)-IF($G1259="",0,$G1259))/60,2))</f>
        <v/>
      </c>
      <c r="I1259" s="8"/>
      <c r="J1259" s="8"/>
      <c r="K1259" s="17" t="str">
        <f aca="false">IF($E1259="","",IF($E1259&lt;1,ROUND($E1259*1440,0),INT($E1259/100)*60+MOD($E1259,100)))</f>
        <v/>
      </c>
      <c r="L1259" s="17" t="str">
        <f aca="false">IF($F1259="","",IF($F1259&lt;1,ROUND($F1259*1440,0),INT($F1259/100)*60+MOD($F1259,100)))</f>
        <v/>
      </c>
    </row>
    <row r="1260" customFormat="false" ht="15" hidden="false" customHeight="true" outlineLevel="0" collapsed="false">
      <c r="A1260" s="10"/>
      <c r="B1260" s="8"/>
      <c r="C1260" s="13" t="str">
        <f aca="false">IF($B1260="","",IFERROR(INDEX(직원목록!$B$3:$B$302,MATCH($B1260,직원목록!$A$3:$A$302,0)),"미등록사번"))</f>
        <v/>
      </c>
      <c r="D1260" s="13" t="str">
        <f aca="false">IF($B1260="","",IFERROR(INDEX(직원목록!$C$3:$C$302,MATCH($B1260,직원목록!$A$3:$A$302,0)),""))</f>
        <v/>
      </c>
      <c r="E1260" s="14"/>
      <c r="F1260" s="14"/>
      <c r="G1260" s="15"/>
      <c r="H1260" s="16" t="str">
        <f aca="false">IF(OR($K1260="",$L1260=""),"",ROUND(MAX(0,($L1260-$K1260)-IF($G1260="",0,$G1260))/60,2))</f>
        <v/>
      </c>
      <c r="I1260" s="8"/>
      <c r="J1260" s="8"/>
      <c r="K1260" s="17" t="str">
        <f aca="false">IF($E1260="","",IF($E1260&lt;1,ROUND($E1260*1440,0),INT($E1260/100)*60+MOD($E1260,100)))</f>
        <v/>
      </c>
      <c r="L1260" s="17" t="str">
        <f aca="false">IF($F1260="","",IF($F1260&lt;1,ROUND($F1260*1440,0),INT($F1260/100)*60+MOD($F1260,100)))</f>
        <v/>
      </c>
    </row>
    <row r="1261" customFormat="false" ht="15" hidden="false" customHeight="true" outlineLevel="0" collapsed="false">
      <c r="A1261" s="10"/>
      <c r="B1261" s="8"/>
      <c r="C1261" s="13" t="str">
        <f aca="false">IF($B1261="","",IFERROR(INDEX(직원목록!$B$3:$B$302,MATCH($B1261,직원목록!$A$3:$A$302,0)),"미등록사번"))</f>
        <v/>
      </c>
      <c r="D1261" s="13" t="str">
        <f aca="false">IF($B1261="","",IFERROR(INDEX(직원목록!$C$3:$C$302,MATCH($B1261,직원목록!$A$3:$A$302,0)),""))</f>
        <v/>
      </c>
      <c r="E1261" s="14"/>
      <c r="F1261" s="14"/>
      <c r="G1261" s="15"/>
      <c r="H1261" s="16" t="str">
        <f aca="false">IF(OR($K1261="",$L1261=""),"",ROUND(MAX(0,($L1261-$K1261)-IF($G1261="",0,$G1261))/60,2))</f>
        <v/>
      </c>
      <c r="I1261" s="8"/>
      <c r="J1261" s="8"/>
      <c r="K1261" s="17" t="str">
        <f aca="false">IF($E1261="","",IF($E1261&lt;1,ROUND($E1261*1440,0),INT($E1261/100)*60+MOD($E1261,100)))</f>
        <v/>
      </c>
      <c r="L1261" s="17" t="str">
        <f aca="false">IF($F1261="","",IF($F1261&lt;1,ROUND($F1261*1440,0),INT($F1261/100)*60+MOD($F1261,100)))</f>
        <v/>
      </c>
    </row>
    <row r="1262" customFormat="false" ht="15" hidden="false" customHeight="true" outlineLevel="0" collapsed="false">
      <c r="A1262" s="10"/>
      <c r="B1262" s="8"/>
      <c r="C1262" s="13" t="str">
        <f aca="false">IF($B1262="","",IFERROR(INDEX(직원목록!$B$3:$B$302,MATCH($B1262,직원목록!$A$3:$A$302,0)),"미등록사번"))</f>
        <v/>
      </c>
      <c r="D1262" s="13" t="str">
        <f aca="false">IF($B1262="","",IFERROR(INDEX(직원목록!$C$3:$C$302,MATCH($B1262,직원목록!$A$3:$A$302,0)),""))</f>
        <v/>
      </c>
      <c r="E1262" s="14"/>
      <c r="F1262" s="14"/>
      <c r="G1262" s="15"/>
      <c r="H1262" s="16" t="str">
        <f aca="false">IF(OR($K1262="",$L1262=""),"",ROUND(MAX(0,($L1262-$K1262)-IF($G1262="",0,$G1262))/60,2))</f>
        <v/>
      </c>
      <c r="I1262" s="8"/>
      <c r="J1262" s="8"/>
      <c r="K1262" s="17" t="str">
        <f aca="false">IF($E1262="","",IF($E1262&lt;1,ROUND($E1262*1440,0),INT($E1262/100)*60+MOD($E1262,100)))</f>
        <v/>
      </c>
      <c r="L1262" s="17" t="str">
        <f aca="false">IF($F1262="","",IF($F1262&lt;1,ROUND($F1262*1440,0),INT($F1262/100)*60+MOD($F1262,100)))</f>
        <v/>
      </c>
    </row>
    <row r="1263" customFormat="false" ht="15" hidden="false" customHeight="true" outlineLevel="0" collapsed="false">
      <c r="A1263" s="10"/>
      <c r="B1263" s="8"/>
      <c r="C1263" s="13" t="str">
        <f aca="false">IF($B1263="","",IFERROR(INDEX(직원목록!$B$3:$B$302,MATCH($B1263,직원목록!$A$3:$A$302,0)),"미등록사번"))</f>
        <v/>
      </c>
      <c r="D1263" s="13" t="str">
        <f aca="false">IF($B1263="","",IFERROR(INDEX(직원목록!$C$3:$C$302,MATCH($B1263,직원목록!$A$3:$A$302,0)),""))</f>
        <v/>
      </c>
      <c r="E1263" s="14"/>
      <c r="F1263" s="14"/>
      <c r="G1263" s="15"/>
      <c r="H1263" s="16" t="str">
        <f aca="false">IF(OR($K1263="",$L1263=""),"",ROUND(MAX(0,($L1263-$K1263)-IF($G1263="",0,$G1263))/60,2))</f>
        <v/>
      </c>
      <c r="I1263" s="8"/>
      <c r="J1263" s="8"/>
      <c r="K1263" s="17" t="str">
        <f aca="false">IF($E1263="","",IF($E1263&lt;1,ROUND($E1263*1440,0),INT($E1263/100)*60+MOD($E1263,100)))</f>
        <v/>
      </c>
      <c r="L1263" s="17" t="str">
        <f aca="false">IF($F1263="","",IF($F1263&lt;1,ROUND($F1263*1440,0),INT($F1263/100)*60+MOD($F1263,100)))</f>
        <v/>
      </c>
    </row>
    <row r="1264" customFormat="false" ht="15" hidden="false" customHeight="true" outlineLevel="0" collapsed="false">
      <c r="A1264" s="10"/>
      <c r="B1264" s="8"/>
      <c r="C1264" s="13" t="str">
        <f aca="false">IF($B1264="","",IFERROR(INDEX(직원목록!$B$3:$B$302,MATCH($B1264,직원목록!$A$3:$A$302,0)),"미등록사번"))</f>
        <v/>
      </c>
      <c r="D1264" s="13" t="str">
        <f aca="false">IF($B1264="","",IFERROR(INDEX(직원목록!$C$3:$C$302,MATCH($B1264,직원목록!$A$3:$A$302,0)),""))</f>
        <v/>
      </c>
      <c r="E1264" s="14"/>
      <c r="F1264" s="14"/>
      <c r="G1264" s="15"/>
      <c r="H1264" s="16" t="str">
        <f aca="false">IF(OR($K1264="",$L1264=""),"",ROUND(MAX(0,($L1264-$K1264)-IF($G1264="",0,$G1264))/60,2))</f>
        <v/>
      </c>
      <c r="I1264" s="8"/>
      <c r="J1264" s="8"/>
      <c r="K1264" s="17" t="str">
        <f aca="false">IF($E1264="","",IF($E1264&lt;1,ROUND($E1264*1440,0),INT($E1264/100)*60+MOD($E1264,100)))</f>
        <v/>
      </c>
      <c r="L1264" s="17" t="str">
        <f aca="false">IF($F1264="","",IF($F1264&lt;1,ROUND($F1264*1440,0),INT($F1264/100)*60+MOD($F1264,100)))</f>
        <v/>
      </c>
    </row>
    <row r="1265" customFormat="false" ht="15" hidden="false" customHeight="true" outlineLevel="0" collapsed="false">
      <c r="A1265" s="10"/>
      <c r="B1265" s="8"/>
      <c r="C1265" s="13" t="str">
        <f aca="false">IF($B1265="","",IFERROR(INDEX(직원목록!$B$3:$B$302,MATCH($B1265,직원목록!$A$3:$A$302,0)),"미등록사번"))</f>
        <v/>
      </c>
      <c r="D1265" s="13" t="str">
        <f aca="false">IF($B1265="","",IFERROR(INDEX(직원목록!$C$3:$C$302,MATCH($B1265,직원목록!$A$3:$A$302,0)),""))</f>
        <v/>
      </c>
      <c r="E1265" s="14"/>
      <c r="F1265" s="14"/>
      <c r="G1265" s="15"/>
      <c r="H1265" s="16" t="str">
        <f aca="false">IF(OR($K1265="",$L1265=""),"",ROUND(MAX(0,($L1265-$K1265)-IF($G1265="",0,$G1265))/60,2))</f>
        <v/>
      </c>
      <c r="I1265" s="8"/>
      <c r="J1265" s="8"/>
      <c r="K1265" s="17" t="str">
        <f aca="false">IF($E1265="","",IF($E1265&lt;1,ROUND($E1265*1440,0),INT($E1265/100)*60+MOD($E1265,100)))</f>
        <v/>
      </c>
      <c r="L1265" s="17" t="str">
        <f aca="false">IF($F1265="","",IF($F1265&lt;1,ROUND($F1265*1440,0),INT($F1265/100)*60+MOD($F1265,100)))</f>
        <v/>
      </c>
    </row>
    <row r="1266" customFormat="false" ht="15" hidden="false" customHeight="true" outlineLevel="0" collapsed="false">
      <c r="A1266" s="10"/>
      <c r="B1266" s="8"/>
      <c r="C1266" s="13" t="str">
        <f aca="false">IF($B1266="","",IFERROR(INDEX(직원목록!$B$3:$B$302,MATCH($B1266,직원목록!$A$3:$A$302,0)),"미등록사번"))</f>
        <v/>
      </c>
      <c r="D1266" s="13" t="str">
        <f aca="false">IF($B1266="","",IFERROR(INDEX(직원목록!$C$3:$C$302,MATCH($B1266,직원목록!$A$3:$A$302,0)),""))</f>
        <v/>
      </c>
      <c r="E1266" s="14"/>
      <c r="F1266" s="14"/>
      <c r="G1266" s="15"/>
      <c r="H1266" s="16" t="str">
        <f aca="false">IF(OR($K1266="",$L1266=""),"",ROUND(MAX(0,($L1266-$K1266)-IF($G1266="",0,$G1266))/60,2))</f>
        <v/>
      </c>
      <c r="I1266" s="8"/>
      <c r="J1266" s="8"/>
      <c r="K1266" s="17" t="str">
        <f aca="false">IF($E1266="","",IF($E1266&lt;1,ROUND($E1266*1440,0),INT($E1266/100)*60+MOD($E1266,100)))</f>
        <v/>
      </c>
      <c r="L1266" s="17" t="str">
        <f aca="false">IF($F1266="","",IF($F1266&lt;1,ROUND($F1266*1440,0),INT($F1266/100)*60+MOD($F1266,100)))</f>
        <v/>
      </c>
    </row>
    <row r="1267" customFormat="false" ht="15" hidden="false" customHeight="true" outlineLevel="0" collapsed="false">
      <c r="A1267" s="10"/>
      <c r="B1267" s="8"/>
      <c r="C1267" s="13" t="str">
        <f aca="false">IF($B1267="","",IFERROR(INDEX(직원목록!$B$3:$B$302,MATCH($B1267,직원목록!$A$3:$A$302,0)),"미등록사번"))</f>
        <v/>
      </c>
      <c r="D1267" s="13" t="str">
        <f aca="false">IF($B1267="","",IFERROR(INDEX(직원목록!$C$3:$C$302,MATCH($B1267,직원목록!$A$3:$A$302,0)),""))</f>
        <v/>
      </c>
      <c r="E1267" s="14"/>
      <c r="F1267" s="14"/>
      <c r="G1267" s="15"/>
      <c r="H1267" s="16" t="str">
        <f aca="false">IF(OR($K1267="",$L1267=""),"",ROUND(MAX(0,($L1267-$K1267)-IF($G1267="",0,$G1267))/60,2))</f>
        <v/>
      </c>
      <c r="I1267" s="8"/>
      <c r="J1267" s="8"/>
      <c r="K1267" s="17" t="str">
        <f aca="false">IF($E1267="","",IF($E1267&lt;1,ROUND($E1267*1440,0),INT($E1267/100)*60+MOD($E1267,100)))</f>
        <v/>
      </c>
      <c r="L1267" s="17" t="str">
        <f aca="false">IF($F1267="","",IF($F1267&lt;1,ROUND($F1267*1440,0),INT($F1267/100)*60+MOD($F1267,100)))</f>
        <v/>
      </c>
    </row>
    <row r="1268" customFormat="false" ht="15" hidden="false" customHeight="true" outlineLevel="0" collapsed="false">
      <c r="A1268" s="10"/>
      <c r="B1268" s="8"/>
      <c r="C1268" s="13" t="str">
        <f aca="false">IF($B1268="","",IFERROR(INDEX(직원목록!$B$3:$B$302,MATCH($B1268,직원목록!$A$3:$A$302,0)),"미등록사번"))</f>
        <v/>
      </c>
      <c r="D1268" s="13" t="str">
        <f aca="false">IF($B1268="","",IFERROR(INDEX(직원목록!$C$3:$C$302,MATCH($B1268,직원목록!$A$3:$A$302,0)),""))</f>
        <v/>
      </c>
      <c r="E1268" s="14"/>
      <c r="F1268" s="14"/>
      <c r="G1268" s="15"/>
      <c r="H1268" s="16" t="str">
        <f aca="false">IF(OR($K1268="",$L1268=""),"",ROUND(MAX(0,($L1268-$K1268)-IF($G1268="",0,$G1268))/60,2))</f>
        <v/>
      </c>
      <c r="I1268" s="8"/>
      <c r="J1268" s="8"/>
      <c r="K1268" s="17" t="str">
        <f aca="false">IF($E1268="","",IF($E1268&lt;1,ROUND($E1268*1440,0),INT($E1268/100)*60+MOD($E1268,100)))</f>
        <v/>
      </c>
      <c r="L1268" s="17" t="str">
        <f aca="false">IF($F1268="","",IF($F1268&lt;1,ROUND($F1268*1440,0),INT($F1268/100)*60+MOD($F1268,100)))</f>
        <v/>
      </c>
    </row>
    <row r="1269" customFormat="false" ht="15" hidden="false" customHeight="true" outlineLevel="0" collapsed="false">
      <c r="A1269" s="10"/>
      <c r="B1269" s="8"/>
      <c r="C1269" s="13" t="str">
        <f aca="false">IF($B1269="","",IFERROR(INDEX(직원목록!$B$3:$B$302,MATCH($B1269,직원목록!$A$3:$A$302,0)),"미등록사번"))</f>
        <v/>
      </c>
      <c r="D1269" s="13" t="str">
        <f aca="false">IF($B1269="","",IFERROR(INDEX(직원목록!$C$3:$C$302,MATCH($B1269,직원목록!$A$3:$A$302,0)),""))</f>
        <v/>
      </c>
      <c r="E1269" s="14"/>
      <c r="F1269" s="14"/>
      <c r="G1269" s="15"/>
      <c r="H1269" s="16" t="str">
        <f aca="false">IF(OR($K1269="",$L1269=""),"",ROUND(MAX(0,($L1269-$K1269)-IF($G1269="",0,$G1269))/60,2))</f>
        <v/>
      </c>
      <c r="I1269" s="8"/>
      <c r="J1269" s="8"/>
      <c r="K1269" s="17" t="str">
        <f aca="false">IF($E1269="","",IF($E1269&lt;1,ROUND($E1269*1440,0),INT($E1269/100)*60+MOD($E1269,100)))</f>
        <v/>
      </c>
      <c r="L1269" s="17" t="str">
        <f aca="false">IF($F1269="","",IF($F1269&lt;1,ROUND($F1269*1440,0),INT($F1269/100)*60+MOD($F1269,100)))</f>
        <v/>
      </c>
    </row>
    <row r="1270" customFormat="false" ht="15" hidden="false" customHeight="true" outlineLevel="0" collapsed="false">
      <c r="A1270" s="10"/>
      <c r="B1270" s="8"/>
      <c r="C1270" s="13" t="str">
        <f aca="false">IF($B1270="","",IFERROR(INDEX(직원목록!$B$3:$B$302,MATCH($B1270,직원목록!$A$3:$A$302,0)),"미등록사번"))</f>
        <v/>
      </c>
      <c r="D1270" s="13" t="str">
        <f aca="false">IF($B1270="","",IFERROR(INDEX(직원목록!$C$3:$C$302,MATCH($B1270,직원목록!$A$3:$A$302,0)),""))</f>
        <v/>
      </c>
      <c r="E1270" s="14"/>
      <c r="F1270" s="14"/>
      <c r="G1270" s="15"/>
      <c r="H1270" s="16" t="str">
        <f aca="false">IF(OR($K1270="",$L1270=""),"",ROUND(MAX(0,($L1270-$K1270)-IF($G1270="",0,$G1270))/60,2))</f>
        <v/>
      </c>
      <c r="I1270" s="8"/>
      <c r="J1270" s="8"/>
      <c r="K1270" s="17" t="str">
        <f aca="false">IF($E1270="","",IF($E1270&lt;1,ROUND($E1270*1440,0),INT($E1270/100)*60+MOD($E1270,100)))</f>
        <v/>
      </c>
      <c r="L1270" s="17" t="str">
        <f aca="false">IF($F1270="","",IF($F1270&lt;1,ROUND($F1270*1440,0),INT($F1270/100)*60+MOD($F1270,100)))</f>
        <v/>
      </c>
    </row>
    <row r="1271" customFormat="false" ht="15" hidden="false" customHeight="true" outlineLevel="0" collapsed="false">
      <c r="A1271" s="10"/>
      <c r="B1271" s="8"/>
      <c r="C1271" s="13" t="str">
        <f aca="false">IF($B1271="","",IFERROR(INDEX(직원목록!$B$3:$B$302,MATCH($B1271,직원목록!$A$3:$A$302,0)),"미등록사번"))</f>
        <v/>
      </c>
      <c r="D1271" s="13" t="str">
        <f aca="false">IF($B1271="","",IFERROR(INDEX(직원목록!$C$3:$C$302,MATCH($B1271,직원목록!$A$3:$A$302,0)),""))</f>
        <v/>
      </c>
      <c r="E1271" s="14"/>
      <c r="F1271" s="14"/>
      <c r="G1271" s="15"/>
      <c r="H1271" s="16" t="str">
        <f aca="false">IF(OR($K1271="",$L1271=""),"",ROUND(MAX(0,($L1271-$K1271)-IF($G1271="",0,$G1271))/60,2))</f>
        <v/>
      </c>
      <c r="I1271" s="8"/>
      <c r="J1271" s="8"/>
      <c r="K1271" s="17" t="str">
        <f aca="false">IF($E1271="","",IF($E1271&lt;1,ROUND($E1271*1440,0),INT($E1271/100)*60+MOD($E1271,100)))</f>
        <v/>
      </c>
      <c r="L1271" s="17" t="str">
        <f aca="false">IF($F1271="","",IF($F1271&lt;1,ROUND($F1271*1440,0),INT($F1271/100)*60+MOD($F1271,100)))</f>
        <v/>
      </c>
    </row>
    <row r="1272" customFormat="false" ht="15" hidden="false" customHeight="true" outlineLevel="0" collapsed="false">
      <c r="A1272" s="10"/>
      <c r="B1272" s="8"/>
      <c r="C1272" s="13" t="str">
        <f aca="false">IF($B1272="","",IFERROR(INDEX(직원목록!$B$3:$B$302,MATCH($B1272,직원목록!$A$3:$A$302,0)),"미등록사번"))</f>
        <v/>
      </c>
      <c r="D1272" s="13" t="str">
        <f aca="false">IF($B1272="","",IFERROR(INDEX(직원목록!$C$3:$C$302,MATCH($B1272,직원목록!$A$3:$A$302,0)),""))</f>
        <v/>
      </c>
      <c r="E1272" s="14"/>
      <c r="F1272" s="14"/>
      <c r="G1272" s="15"/>
      <c r="H1272" s="16" t="str">
        <f aca="false">IF(OR($K1272="",$L1272=""),"",ROUND(MAX(0,($L1272-$K1272)-IF($G1272="",0,$G1272))/60,2))</f>
        <v/>
      </c>
      <c r="I1272" s="8"/>
      <c r="J1272" s="8"/>
      <c r="K1272" s="17" t="str">
        <f aca="false">IF($E1272="","",IF($E1272&lt;1,ROUND($E1272*1440,0),INT($E1272/100)*60+MOD($E1272,100)))</f>
        <v/>
      </c>
      <c r="L1272" s="17" t="str">
        <f aca="false">IF($F1272="","",IF($F1272&lt;1,ROUND($F1272*1440,0),INT($F1272/100)*60+MOD($F1272,100)))</f>
        <v/>
      </c>
    </row>
    <row r="1273" customFormat="false" ht="15" hidden="false" customHeight="true" outlineLevel="0" collapsed="false">
      <c r="A1273" s="10"/>
      <c r="B1273" s="8"/>
      <c r="C1273" s="13" t="str">
        <f aca="false">IF($B1273="","",IFERROR(INDEX(직원목록!$B$3:$B$302,MATCH($B1273,직원목록!$A$3:$A$302,0)),"미등록사번"))</f>
        <v/>
      </c>
      <c r="D1273" s="13" t="str">
        <f aca="false">IF($B1273="","",IFERROR(INDEX(직원목록!$C$3:$C$302,MATCH($B1273,직원목록!$A$3:$A$302,0)),""))</f>
        <v/>
      </c>
      <c r="E1273" s="14"/>
      <c r="F1273" s="14"/>
      <c r="G1273" s="15"/>
      <c r="H1273" s="16" t="str">
        <f aca="false">IF(OR($K1273="",$L1273=""),"",ROUND(MAX(0,($L1273-$K1273)-IF($G1273="",0,$G1273))/60,2))</f>
        <v/>
      </c>
      <c r="I1273" s="8"/>
      <c r="J1273" s="8"/>
      <c r="K1273" s="17" t="str">
        <f aca="false">IF($E1273="","",IF($E1273&lt;1,ROUND($E1273*1440,0),INT($E1273/100)*60+MOD($E1273,100)))</f>
        <v/>
      </c>
      <c r="L1273" s="17" t="str">
        <f aca="false">IF($F1273="","",IF($F1273&lt;1,ROUND($F1273*1440,0),INT($F1273/100)*60+MOD($F1273,100)))</f>
        <v/>
      </c>
    </row>
    <row r="1274" customFormat="false" ht="15" hidden="false" customHeight="true" outlineLevel="0" collapsed="false">
      <c r="A1274" s="10"/>
      <c r="B1274" s="8"/>
      <c r="C1274" s="13" t="str">
        <f aca="false">IF($B1274="","",IFERROR(INDEX(직원목록!$B$3:$B$302,MATCH($B1274,직원목록!$A$3:$A$302,0)),"미등록사번"))</f>
        <v/>
      </c>
      <c r="D1274" s="13" t="str">
        <f aca="false">IF($B1274="","",IFERROR(INDEX(직원목록!$C$3:$C$302,MATCH($B1274,직원목록!$A$3:$A$302,0)),""))</f>
        <v/>
      </c>
      <c r="E1274" s="14"/>
      <c r="F1274" s="14"/>
      <c r="G1274" s="15"/>
      <c r="H1274" s="16" t="str">
        <f aca="false">IF(OR($K1274="",$L1274=""),"",ROUND(MAX(0,($L1274-$K1274)-IF($G1274="",0,$G1274))/60,2))</f>
        <v/>
      </c>
      <c r="I1274" s="8"/>
      <c r="J1274" s="8"/>
      <c r="K1274" s="17" t="str">
        <f aca="false">IF($E1274="","",IF($E1274&lt;1,ROUND($E1274*1440,0),INT($E1274/100)*60+MOD($E1274,100)))</f>
        <v/>
      </c>
      <c r="L1274" s="17" t="str">
        <f aca="false">IF($F1274="","",IF($F1274&lt;1,ROUND($F1274*1440,0),INT($F1274/100)*60+MOD($F1274,100)))</f>
        <v/>
      </c>
    </row>
    <row r="1275" customFormat="false" ht="15" hidden="false" customHeight="true" outlineLevel="0" collapsed="false">
      <c r="A1275" s="10"/>
      <c r="B1275" s="8"/>
      <c r="C1275" s="13" t="str">
        <f aca="false">IF($B1275="","",IFERROR(INDEX(직원목록!$B$3:$B$302,MATCH($B1275,직원목록!$A$3:$A$302,0)),"미등록사번"))</f>
        <v/>
      </c>
      <c r="D1275" s="13" t="str">
        <f aca="false">IF($B1275="","",IFERROR(INDEX(직원목록!$C$3:$C$302,MATCH($B1275,직원목록!$A$3:$A$302,0)),""))</f>
        <v/>
      </c>
      <c r="E1275" s="14"/>
      <c r="F1275" s="14"/>
      <c r="G1275" s="15"/>
      <c r="H1275" s="16" t="str">
        <f aca="false">IF(OR($K1275="",$L1275=""),"",ROUND(MAX(0,($L1275-$K1275)-IF($G1275="",0,$G1275))/60,2))</f>
        <v/>
      </c>
      <c r="I1275" s="8"/>
      <c r="J1275" s="8"/>
      <c r="K1275" s="17" t="str">
        <f aca="false">IF($E1275="","",IF($E1275&lt;1,ROUND($E1275*1440,0),INT($E1275/100)*60+MOD($E1275,100)))</f>
        <v/>
      </c>
      <c r="L1275" s="17" t="str">
        <f aca="false">IF($F1275="","",IF($F1275&lt;1,ROUND($F1275*1440,0),INT($F1275/100)*60+MOD($F1275,100)))</f>
        <v/>
      </c>
    </row>
    <row r="1276" customFormat="false" ht="15" hidden="false" customHeight="true" outlineLevel="0" collapsed="false">
      <c r="A1276" s="10"/>
      <c r="B1276" s="8"/>
      <c r="C1276" s="13" t="str">
        <f aca="false">IF($B1276="","",IFERROR(INDEX(직원목록!$B$3:$B$302,MATCH($B1276,직원목록!$A$3:$A$302,0)),"미등록사번"))</f>
        <v/>
      </c>
      <c r="D1276" s="13" t="str">
        <f aca="false">IF($B1276="","",IFERROR(INDEX(직원목록!$C$3:$C$302,MATCH($B1276,직원목록!$A$3:$A$302,0)),""))</f>
        <v/>
      </c>
      <c r="E1276" s="14"/>
      <c r="F1276" s="14"/>
      <c r="G1276" s="15"/>
      <c r="H1276" s="16" t="str">
        <f aca="false">IF(OR($K1276="",$L1276=""),"",ROUND(MAX(0,($L1276-$K1276)-IF($G1276="",0,$G1276))/60,2))</f>
        <v/>
      </c>
      <c r="I1276" s="8"/>
      <c r="J1276" s="8"/>
      <c r="K1276" s="17" t="str">
        <f aca="false">IF($E1276="","",IF($E1276&lt;1,ROUND($E1276*1440,0),INT($E1276/100)*60+MOD($E1276,100)))</f>
        <v/>
      </c>
      <c r="L1276" s="17" t="str">
        <f aca="false">IF($F1276="","",IF($F1276&lt;1,ROUND($F1276*1440,0),INT($F1276/100)*60+MOD($F1276,100)))</f>
        <v/>
      </c>
    </row>
    <row r="1277" customFormat="false" ht="15" hidden="false" customHeight="true" outlineLevel="0" collapsed="false">
      <c r="A1277" s="10"/>
      <c r="B1277" s="8"/>
      <c r="C1277" s="13" t="str">
        <f aca="false">IF($B1277="","",IFERROR(INDEX(직원목록!$B$3:$B$302,MATCH($B1277,직원목록!$A$3:$A$302,0)),"미등록사번"))</f>
        <v/>
      </c>
      <c r="D1277" s="13" t="str">
        <f aca="false">IF($B1277="","",IFERROR(INDEX(직원목록!$C$3:$C$302,MATCH($B1277,직원목록!$A$3:$A$302,0)),""))</f>
        <v/>
      </c>
      <c r="E1277" s="14"/>
      <c r="F1277" s="14"/>
      <c r="G1277" s="15"/>
      <c r="H1277" s="16" t="str">
        <f aca="false">IF(OR($K1277="",$L1277=""),"",ROUND(MAX(0,($L1277-$K1277)-IF($G1277="",0,$G1277))/60,2))</f>
        <v/>
      </c>
      <c r="I1277" s="8"/>
      <c r="J1277" s="8"/>
      <c r="K1277" s="17" t="str">
        <f aca="false">IF($E1277="","",IF($E1277&lt;1,ROUND($E1277*1440,0),INT($E1277/100)*60+MOD($E1277,100)))</f>
        <v/>
      </c>
      <c r="L1277" s="17" t="str">
        <f aca="false">IF($F1277="","",IF($F1277&lt;1,ROUND($F1277*1440,0),INT($F1277/100)*60+MOD($F1277,100)))</f>
        <v/>
      </c>
    </row>
    <row r="1278" customFormat="false" ht="15" hidden="false" customHeight="true" outlineLevel="0" collapsed="false">
      <c r="A1278" s="10"/>
      <c r="B1278" s="8"/>
      <c r="C1278" s="13" t="str">
        <f aca="false">IF($B1278="","",IFERROR(INDEX(직원목록!$B$3:$B$302,MATCH($B1278,직원목록!$A$3:$A$302,0)),"미등록사번"))</f>
        <v/>
      </c>
      <c r="D1278" s="13" t="str">
        <f aca="false">IF($B1278="","",IFERROR(INDEX(직원목록!$C$3:$C$302,MATCH($B1278,직원목록!$A$3:$A$302,0)),""))</f>
        <v/>
      </c>
      <c r="E1278" s="14"/>
      <c r="F1278" s="14"/>
      <c r="G1278" s="15"/>
      <c r="H1278" s="16" t="str">
        <f aca="false">IF(OR($K1278="",$L1278=""),"",ROUND(MAX(0,($L1278-$K1278)-IF($G1278="",0,$G1278))/60,2))</f>
        <v/>
      </c>
      <c r="I1278" s="8"/>
      <c r="J1278" s="8"/>
      <c r="K1278" s="17" t="str">
        <f aca="false">IF($E1278="","",IF($E1278&lt;1,ROUND($E1278*1440,0),INT($E1278/100)*60+MOD($E1278,100)))</f>
        <v/>
      </c>
      <c r="L1278" s="17" t="str">
        <f aca="false">IF($F1278="","",IF($F1278&lt;1,ROUND($F1278*1440,0),INT($F1278/100)*60+MOD($F1278,100)))</f>
        <v/>
      </c>
    </row>
    <row r="1279" customFormat="false" ht="15" hidden="false" customHeight="true" outlineLevel="0" collapsed="false">
      <c r="A1279" s="10"/>
      <c r="B1279" s="8"/>
      <c r="C1279" s="13" t="str">
        <f aca="false">IF($B1279="","",IFERROR(INDEX(직원목록!$B$3:$B$302,MATCH($B1279,직원목록!$A$3:$A$302,0)),"미등록사번"))</f>
        <v/>
      </c>
      <c r="D1279" s="13" t="str">
        <f aca="false">IF($B1279="","",IFERROR(INDEX(직원목록!$C$3:$C$302,MATCH($B1279,직원목록!$A$3:$A$302,0)),""))</f>
        <v/>
      </c>
      <c r="E1279" s="14"/>
      <c r="F1279" s="14"/>
      <c r="G1279" s="15"/>
      <c r="H1279" s="16" t="str">
        <f aca="false">IF(OR($K1279="",$L1279=""),"",ROUND(MAX(0,($L1279-$K1279)-IF($G1279="",0,$G1279))/60,2))</f>
        <v/>
      </c>
      <c r="I1279" s="8"/>
      <c r="J1279" s="8"/>
      <c r="K1279" s="17" t="str">
        <f aca="false">IF($E1279="","",IF($E1279&lt;1,ROUND($E1279*1440,0),INT($E1279/100)*60+MOD($E1279,100)))</f>
        <v/>
      </c>
      <c r="L1279" s="17" t="str">
        <f aca="false">IF($F1279="","",IF($F1279&lt;1,ROUND($F1279*1440,0),INT($F1279/100)*60+MOD($F1279,100)))</f>
        <v/>
      </c>
    </row>
    <row r="1280" customFormat="false" ht="15" hidden="false" customHeight="true" outlineLevel="0" collapsed="false">
      <c r="A1280" s="10"/>
      <c r="B1280" s="8"/>
      <c r="C1280" s="13" t="str">
        <f aca="false">IF($B1280="","",IFERROR(INDEX(직원목록!$B$3:$B$302,MATCH($B1280,직원목록!$A$3:$A$302,0)),"미등록사번"))</f>
        <v/>
      </c>
      <c r="D1280" s="13" t="str">
        <f aca="false">IF($B1280="","",IFERROR(INDEX(직원목록!$C$3:$C$302,MATCH($B1280,직원목록!$A$3:$A$302,0)),""))</f>
        <v/>
      </c>
      <c r="E1280" s="14"/>
      <c r="F1280" s="14"/>
      <c r="G1280" s="15"/>
      <c r="H1280" s="16" t="str">
        <f aca="false">IF(OR($K1280="",$L1280=""),"",ROUND(MAX(0,($L1280-$K1280)-IF($G1280="",0,$G1280))/60,2))</f>
        <v/>
      </c>
      <c r="I1280" s="8"/>
      <c r="J1280" s="8"/>
      <c r="K1280" s="17" t="str">
        <f aca="false">IF($E1280="","",IF($E1280&lt;1,ROUND($E1280*1440,0),INT($E1280/100)*60+MOD($E1280,100)))</f>
        <v/>
      </c>
      <c r="L1280" s="17" t="str">
        <f aca="false">IF($F1280="","",IF($F1280&lt;1,ROUND($F1280*1440,0),INT($F1280/100)*60+MOD($F1280,100)))</f>
        <v/>
      </c>
    </row>
    <row r="1281" customFormat="false" ht="15" hidden="false" customHeight="true" outlineLevel="0" collapsed="false">
      <c r="A1281" s="10"/>
      <c r="B1281" s="8"/>
      <c r="C1281" s="13" t="str">
        <f aca="false">IF($B1281="","",IFERROR(INDEX(직원목록!$B$3:$B$302,MATCH($B1281,직원목록!$A$3:$A$302,0)),"미등록사번"))</f>
        <v/>
      </c>
      <c r="D1281" s="13" t="str">
        <f aca="false">IF($B1281="","",IFERROR(INDEX(직원목록!$C$3:$C$302,MATCH($B1281,직원목록!$A$3:$A$302,0)),""))</f>
        <v/>
      </c>
      <c r="E1281" s="14"/>
      <c r="F1281" s="14"/>
      <c r="G1281" s="15"/>
      <c r="H1281" s="16" t="str">
        <f aca="false">IF(OR($K1281="",$L1281=""),"",ROUND(MAX(0,($L1281-$K1281)-IF($G1281="",0,$G1281))/60,2))</f>
        <v/>
      </c>
      <c r="I1281" s="8"/>
      <c r="J1281" s="8"/>
      <c r="K1281" s="17" t="str">
        <f aca="false">IF($E1281="","",IF($E1281&lt;1,ROUND($E1281*1440,0),INT($E1281/100)*60+MOD($E1281,100)))</f>
        <v/>
      </c>
      <c r="L1281" s="17" t="str">
        <f aca="false">IF($F1281="","",IF($F1281&lt;1,ROUND($F1281*1440,0),INT($F1281/100)*60+MOD($F1281,100)))</f>
        <v/>
      </c>
    </row>
    <row r="1282" customFormat="false" ht="15" hidden="false" customHeight="true" outlineLevel="0" collapsed="false">
      <c r="A1282" s="10"/>
      <c r="B1282" s="8"/>
      <c r="C1282" s="13" t="str">
        <f aca="false">IF($B1282="","",IFERROR(INDEX(직원목록!$B$3:$B$302,MATCH($B1282,직원목록!$A$3:$A$302,0)),"미등록사번"))</f>
        <v/>
      </c>
      <c r="D1282" s="13" t="str">
        <f aca="false">IF($B1282="","",IFERROR(INDEX(직원목록!$C$3:$C$302,MATCH($B1282,직원목록!$A$3:$A$302,0)),""))</f>
        <v/>
      </c>
      <c r="E1282" s="14"/>
      <c r="F1282" s="14"/>
      <c r="G1282" s="15"/>
      <c r="H1282" s="16" t="str">
        <f aca="false">IF(OR($K1282="",$L1282=""),"",ROUND(MAX(0,($L1282-$K1282)-IF($G1282="",0,$G1282))/60,2))</f>
        <v/>
      </c>
      <c r="I1282" s="8"/>
      <c r="J1282" s="8"/>
      <c r="K1282" s="17" t="str">
        <f aca="false">IF($E1282="","",IF($E1282&lt;1,ROUND($E1282*1440,0),INT($E1282/100)*60+MOD($E1282,100)))</f>
        <v/>
      </c>
      <c r="L1282" s="17" t="str">
        <f aca="false">IF($F1282="","",IF($F1282&lt;1,ROUND($F1282*1440,0),INT($F1282/100)*60+MOD($F1282,100)))</f>
        <v/>
      </c>
    </row>
    <row r="1283" customFormat="false" ht="15" hidden="false" customHeight="true" outlineLevel="0" collapsed="false">
      <c r="A1283" s="10"/>
      <c r="B1283" s="8"/>
      <c r="C1283" s="13" t="str">
        <f aca="false">IF($B1283="","",IFERROR(INDEX(직원목록!$B$3:$B$302,MATCH($B1283,직원목록!$A$3:$A$302,0)),"미등록사번"))</f>
        <v/>
      </c>
      <c r="D1283" s="13" t="str">
        <f aca="false">IF($B1283="","",IFERROR(INDEX(직원목록!$C$3:$C$302,MATCH($B1283,직원목록!$A$3:$A$302,0)),""))</f>
        <v/>
      </c>
      <c r="E1283" s="14"/>
      <c r="F1283" s="14"/>
      <c r="G1283" s="15"/>
      <c r="H1283" s="16" t="str">
        <f aca="false">IF(OR($K1283="",$L1283=""),"",ROUND(MAX(0,($L1283-$K1283)-IF($G1283="",0,$G1283))/60,2))</f>
        <v/>
      </c>
      <c r="I1283" s="8"/>
      <c r="J1283" s="8"/>
      <c r="K1283" s="17" t="str">
        <f aca="false">IF($E1283="","",IF($E1283&lt;1,ROUND($E1283*1440,0),INT($E1283/100)*60+MOD($E1283,100)))</f>
        <v/>
      </c>
      <c r="L1283" s="17" t="str">
        <f aca="false">IF($F1283="","",IF($F1283&lt;1,ROUND($F1283*1440,0),INT($F1283/100)*60+MOD($F1283,100)))</f>
        <v/>
      </c>
    </row>
    <row r="1284" customFormat="false" ht="15" hidden="false" customHeight="true" outlineLevel="0" collapsed="false">
      <c r="A1284" s="10"/>
      <c r="B1284" s="8"/>
      <c r="C1284" s="13" t="str">
        <f aca="false">IF($B1284="","",IFERROR(INDEX(직원목록!$B$3:$B$302,MATCH($B1284,직원목록!$A$3:$A$302,0)),"미등록사번"))</f>
        <v/>
      </c>
      <c r="D1284" s="13" t="str">
        <f aca="false">IF($B1284="","",IFERROR(INDEX(직원목록!$C$3:$C$302,MATCH($B1284,직원목록!$A$3:$A$302,0)),""))</f>
        <v/>
      </c>
      <c r="E1284" s="14"/>
      <c r="F1284" s="14"/>
      <c r="G1284" s="15"/>
      <c r="H1284" s="16" t="str">
        <f aca="false">IF(OR($K1284="",$L1284=""),"",ROUND(MAX(0,($L1284-$K1284)-IF($G1284="",0,$G1284))/60,2))</f>
        <v/>
      </c>
      <c r="I1284" s="8"/>
      <c r="J1284" s="8"/>
      <c r="K1284" s="17" t="str">
        <f aca="false">IF($E1284="","",IF($E1284&lt;1,ROUND($E1284*1440,0),INT($E1284/100)*60+MOD($E1284,100)))</f>
        <v/>
      </c>
      <c r="L1284" s="17" t="str">
        <f aca="false">IF($F1284="","",IF($F1284&lt;1,ROUND($F1284*1440,0),INT($F1284/100)*60+MOD($F1284,100)))</f>
        <v/>
      </c>
    </row>
    <row r="1285" customFormat="false" ht="15" hidden="false" customHeight="true" outlineLevel="0" collapsed="false">
      <c r="A1285" s="10"/>
      <c r="B1285" s="8"/>
      <c r="C1285" s="13" t="str">
        <f aca="false">IF($B1285="","",IFERROR(INDEX(직원목록!$B$3:$B$302,MATCH($B1285,직원목록!$A$3:$A$302,0)),"미등록사번"))</f>
        <v/>
      </c>
      <c r="D1285" s="13" t="str">
        <f aca="false">IF($B1285="","",IFERROR(INDEX(직원목록!$C$3:$C$302,MATCH($B1285,직원목록!$A$3:$A$302,0)),""))</f>
        <v/>
      </c>
      <c r="E1285" s="14"/>
      <c r="F1285" s="14"/>
      <c r="G1285" s="15"/>
      <c r="H1285" s="16" t="str">
        <f aca="false">IF(OR($K1285="",$L1285=""),"",ROUND(MAX(0,($L1285-$K1285)-IF($G1285="",0,$G1285))/60,2))</f>
        <v/>
      </c>
      <c r="I1285" s="8"/>
      <c r="J1285" s="8"/>
      <c r="K1285" s="17" t="str">
        <f aca="false">IF($E1285="","",IF($E1285&lt;1,ROUND($E1285*1440,0),INT($E1285/100)*60+MOD($E1285,100)))</f>
        <v/>
      </c>
      <c r="L1285" s="17" t="str">
        <f aca="false">IF($F1285="","",IF($F1285&lt;1,ROUND($F1285*1440,0),INT($F1285/100)*60+MOD($F1285,100)))</f>
        <v/>
      </c>
    </row>
    <row r="1286" customFormat="false" ht="15" hidden="false" customHeight="true" outlineLevel="0" collapsed="false">
      <c r="A1286" s="10"/>
      <c r="B1286" s="8"/>
      <c r="C1286" s="13" t="str">
        <f aca="false">IF($B1286="","",IFERROR(INDEX(직원목록!$B$3:$B$302,MATCH($B1286,직원목록!$A$3:$A$302,0)),"미등록사번"))</f>
        <v/>
      </c>
      <c r="D1286" s="13" t="str">
        <f aca="false">IF($B1286="","",IFERROR(INDEX(직원목록!$C$3:$C$302,MATCH($B1286,직원목록!$A$3:$A$302,0)),""))</f>
        <v/>
      </c>
      <c r="E1286" s="14"/>
      <c r="F1286" s="14"/>
      <c r="G1286" s="15"/>
      <c r="H1286" s="16" t="str">
        <f aca="false">IF(OR($K1286="",$L1286=""),"",ROUND(MAX(0,($L1286-$K1286)-IF($G1286="",0,$G1286))/60,2))</f>
        <v/>
      </c>
      <c r="I1286" s="8"/>
      <c r="J1286" s="8"/>
      <c r="K1286" s="17" t="str">
        <f aca="false">IF($E1286="","",IF($E1286&lt;1,ROUND($E1286*1440,0),INT($E1286/100)*60+MOD($E1286,100)))</f>
        <v/>
      </c>
      <c r="L1286" s="17" t="str">
        <f aca="false">IF($F1286="","",IF($F1286&lt;1,ROUND($F1286*1440,0),INT($F1286/100)*60+MOD($F1286,100)))</f>
        <v/>
      </c>
    </row>
    <row r="1287" customFormat="false" ht="15" hidden="false" customHeight="true" outlineLevel="0" collapsed="false">
      <c r="A1287" s="10"/>
      <c r="B1287" s="8"/>
      <c r="C1287" s="13" t="str">
        <f aca="false">IF($B1287="","",IFERROR(INDEX(직원목록!$B$3:$B$302,MATCH($B1287,직원목록!$A$3:$A$302,0)),"미등록사번"))</f>
        <v/>
      </c>
      <c r="D1287" s="13" t="str">
        <f aca="false">IF($B1287="","",IFERROR(INDEX(직원목록!$C$3:$C$302,MATCH($B1287,직원목록!$A$3:$A$302,0)),""))</f>
        <v/>
      </c>
      <c r="E1287" s="14"/>
      <c r="F1287" s="14"/>
      <c r="G1287" s="15"/>
      <c r="H1287" s="16" t="str">
        <f aca="false">IF(OR($K1287="",$L1287=""),"",ROUND(MAX(0,($L1287-$K1287)-IF($G1287="",0,$G1287))/60,2))</f>
        <v/>
      </c>
      <c r="I1287" s="8"/>
      <c r="J1287" s="8"/>
      <c r="K1287" s="17" t="str">
        <f aca="false">IF($E1287="","",IF($E1287&lt;1,ROUND($E1287*1440,0),INT($E1287/100)*60+MOD($E1287,100)))</f>
        <v/>
      </c>
      <c r="L1287" s="17" t="str">
        <f aca="false">IF($F1287="","",IF($F1287&lt;1,ROUND($F1287*1440,0),INT($F1287/100)*60+MOD($F1287,100)))</f>
        <v/>
      </c>
    </row>
    <row r="1288" customFormat="false" ht="15" hidden="false" customHeight="true" outlineLevel="0" collapsed="false">
      <c r="A1288" s="10"/>
      <c r="B1288" s="8"/>
      <c r="C1288" s="13" t="str">
        <f aca="false">IF($B1288="","",IFERROR(INDEX(직원목록!$B$3:$B$302,MATCH($B1288,직원목록!$A$3:$A$302,0)),"미등록사번"))</f>
        <v/>
      </c>
      <c r="D1288" s="13" t="str">
        <f aca="false">IF($B1288="","",IFERROR(INDEX(직원목록!$C$3:$C$302,MATCH($B1288,직원목록!$A$3:$A$302,0)),""))</f>
        <v/>
      </c>
      <c r="E1288" s="14"/>
      <c r="F1288" s="14"/>
      <c r="G1288" s="15"/>
      <c r="H1288" s="16" t="str">
        <f aca="false">IF(OR($K1288="",$L1288=""),"",ROUND(MAX(0,($L1288-$K1288)-IF($G1288="",0,$G1288))/60,2))</f>
        <v/>
      </c>
      <c r="I1288" s="8"/>
      <c r="J1288" s="8"/>
      <c r="K1288" s="17" t="str">
        <f aca="false">IF($E1288="","",IF($E1288&lt;1,ROUND($E1288*1440,0),INT($E1288/100)*60+MOD($E1288,100)))</f>
        <v/>
      </c>
      <c r="L1288" s="17" t="str">
        <f aca="false">IF($F1288="","",IF($F1288&lt;1,ROUND($F1288*1440,0),INT($F1288/100)*60+MOD($F1288,100)))</f>
        <v/>
      </c>
    </row>
    <row r="1289" customFormat="false" ht="15" hidden="false" customHeight="true" outlineLevel="0" collapsed="false">
      <c r="A1289" s="10"/>
      <c r="B1289" s="8"/>
      <c r="C1289" s="13" t="str">
        <f aca="false">IF($B1289="","",IFERROR(INDEX(직원목록!$B$3:$B$302,MATCH($B1289,직원목록!$A$3:$A$302,0)),"미등록사번"))</f>
        <v/>
      </c>
      <c r="D1289" s="13" t="str">
        <f aca="false">IF($B1289="","",IFERROR(INDEX(직원목록!$C$3:$C$302,MATCH($B1289,직원목록!$A$3:$A$302,0)),""))</f>
        <v/>
      </c>
      <c r="E1289" s="14"/>
      <c r="F1289" s="14"/>
      <c r="G1289" s="15"/>
      <c r="H1289" s="16" t="str">
        <f aca="false">IF(OR($K1289="",$L1289=""),"",ROUND(MAX(0,($L1289-$K1289)-IF($G1289="",0,$G1289))/60,2))</f>
        <v/>
      </c>
      <c r="I1289" s="8"/>
      <c r="J1289" s="8"/>
      <c r="K1289" s="17" t="str">
        <f aca="false">IF($E1289="","",IF($E1289&lt;1,ROUND($E1289*1440,0),INT($E1289/100)*60+MOD($E1289,100)))</f>
        <v/>
      </c>
      <c r="L1289" s="17" t="str">
        <f aca="false">IF($F1289="","",IF($F1289&lt;1,ROUND($F1289*1440,0),INT($F1289/100)*60+MOD($F1289,100)))</f>
        <v/>
      </c>
    </row>
    <row r="1290" customFormat="false" ht="15" hidden="false" customHeight="true" outlineLevel="0" collapsed="false">
      <c r="A1290" s="10"/>
      <c r="B1290" s="8"/>
      <c r="C1290" s="13" t="str">
        <f aca="false">IF($B1290="","",IFERROR(INDEX(직원목록!$B$3:$B$302,MATCH($B1290,직원목록!$A$3:$A$302,0)),"미등록사번"))</f>
        <v/>
      </c>
      <c r="D1290" s="13" t="str">
        <f aca="false">IF($B1290="","",IFERROR(INDEX(직원목록!$C$3:$C$302,MATCH($B1290,직원목록!$A$3:$A$302,0)),""))</f>
        <v/>
      </c>
      <c r="E1290" s="14"/>
      <c r="F1290" s="14"/>
      <c r="G1290" s="15"/>
      <c r="H1290" s="16" t="str">
        <f aca="false">IF(OR($K1290="",$L1290=""),"",ROUND(MAX(0,($L1290-$K1290)-IF($G1290="",0,$G1290))/60,2))</f>
        <v/>
      </c>
      <c r="I1290" s="8"/>
      <c r="J1290" s="8"/>
      <c r="K1290" s="17" t="str">
        <f aca="false">IF($E1290="","",IF($E1290&lt;1,ROUND($E1290*1440,0),INT($E1290/100)*60+MOD($E1290,100)))</f>
        <v/>
      </c>
      <c r="L1290" s="17" t="str">
        <f aca="false">IF($F1290="","",IF($F1290&lt;1,ROUND($F1290*1440,0),INT($F1290/100)*60+MOD($F1290,100)))</f>
        <v/>
      </c>
    </row>
    <row r="1291" customFormat="false" ht="15" hidden="false" customHeight="true" outlineLevel="0" collapsed="false">
      <c r="A1291" s="10"/>
      <c r="B1291" s="8"/>
      <c r="C1291" s="13" t="str">
        <f aca="false">IF($B1291="","",IFERROR(INDEX(직원목록!$B$3:$B$302,MATCH($B1291,직원목록!$A$3:$A$302,0)),"미등록사번"))</f>
        <v/>
      </c>
      <c r="D1291" s="13" t="str">
        <f aca="false">IF($B1291="","",IFERROR(INDEX(직원목록!$C$3:$C$302,MATCH($B1291,직원목록!$A$3:$A$302,0)),""))</f>
        <v/>
      </c>
      <c r="E1291" s="14"/>
      <c r="F1291" s="14"/>
      <c r="G1291" s="15"/>
      <c r="H1291" s="16" t="str">
        <f aca="false">IF(OR($K1291="",$L1291=""),"",ROUND(MAX(0,($L1291-$K1291)-IF($G1291="",0,$G1291))/60,2))</f>
        <v/>
      </c>
      <c r="I1291" s="8"/>
      <c r="J1291" s="8"/>
      <c r="K1291" s="17" t="str">
        <f aca="false">IF($E1291="","",IF($E1291&lt;1,ROUND($E1291*1440,0),INT($E1291/100)*60+MOD($E1291,100)))</f>
        <v/>
      </c>
      <c r="L1291" s="17" t="str">
        <f aca="false">IF($F1291="","",IF($F1291&lt;1,ROUND($F1291*1440,0),INT($F1291/100)*60+MOD($F1291,100)))</f>
        <v/>
      </c>
    </row>
    <row r="1292" customFormat="false" ht="15" hidden="false" customHeight="true" outlineLevel="0" collapsed="false">
      <c r="A1292" s="10"/>
      <c r="B1292" s="8"/>
      <c r="C1292" s="13" t="str">
        <f aca="false">IF($B1292="","",IFERROR(INDEX(직원목록!$B$3:$B$302,MATCH($B1292,직원목록!$A$3:$A$302,0)),"미등록사번"))</f>
        <v/>
      </c>
      <c r="D1292" s="13" t="str">
        <f aca="false">IF($B1292="","",IFERROR(INDEX(직원목록!$C$3:$C$302,MATCH($B1292,직원목록!$A$3:$A$302,0)),""))</f>
        <v/>
      </c>
      <c r="E1292" s="14"/>
      <c r="F1292" s="14"/>
      <c r="G1292" s="15"/>
      <c r="H1292" s="16" t="str">
        <f aca="false">IF(OR($K1292="",$L1292=""),"",ROUND(MAX(0,($L1292-$K1292)-IF($G1292="",0,$G1292))/60,2))</f>
        <v/>
      </c>
      <c r="I1292" s="8"/>
      <c r="J1292" s="8"/>
      <c r="K1292" s="17" t="str">
        <f aca="false">IF($E1292="","",IF($E1292&lt;1,ROUND($E1292*1440,0),INT($E1292/100)*60+MOD($E1292,100)))</f>
        <v/>
      </c>
      <c r="L1292" s="17" t="str">
        <f aca="false">IF($F1292="","",IF($F1292&lt;1,ROUND($F1292*1440,0),INT($F1292/100)*60+MOD($F1292,100)))</f>
        <v/>
      </c>
    </row>
    <row r="1293" customFormat="false" ht="15" hidden="false" customHeight="true" outlineLevel="0" collapsed="false">
      <c r="A1293" s="10"/>
      <c r="B1293" s="8"/>
      <c r="C1293" s="13" t="str">
        <f aca="false">IF($B1293="","",IFERROR(INDEX(직원목록!$B$3:$B$302,MATCH($B1293,직원목록!$A$3:$A$302,0)),"미등록사번"))</f>
        <v/>
      </c>
      <c r="D1293" s="13" t="str">
        <f aca="false">IF($B1293="","",IFERROR(INDEX(직원목록!$C$3:$C$302,MATCH($B1293,직원목록!$A$3:$A$302,0)),""))</f>
        <v/>
      </c>
      <c r="E1293" s="14"/>
      <c r="F1293" s="14"/>
      <c r="G1293" s="15"/>
      <c r="H1293" s="16" t="str">
        <f aca="false">IF(OR($K1293="",$L1293=""),"",ROUND(MAX(0,($L1293-$K1293)-IF($G1293="",0,$G1293))/60,2))</f>
        <v/>
      </c>
      <c r="I1293" s="8"/>
      <c r="J1293" s="8"/>
      <c r="K1293" s="17" t="str">
        <f aca="false">IF($E1293="","",IF($E1293&lt;1,ROUND($E1293*1440,0),INT($E1293/100)*60+MOD($E1293,100)))</f>
        <v/>
      </c>
      <c r="L1293" s="17" t="str">
        <f aca="false">IF($F1293="","",IF($F1293&lt;1,ROUND($F1293*1440,0),INT($F1293/100)*60+MOD($F1293,100)))</f>
        <v/>
      </c>
    </row>
    <row r="1294" customFormat="false" ht="15" hidden="false" customHeight="true" outlineLevel="0" collapsed="false">
      <c r="A1294" s="10"/>
      <c r="B1294" s="8"/>
      <c r="C1294" s="13" t="str">
        <f aca="false">IF($B1294="","",IFERROR(INDEX(직원목록!$B$3:$B$302,MATCH($B1294,직원목록!$A$3:$A$302,0)),"미등록사번"))</f>
        <v/>
      </c>
      <c r="D1294" s="13" t="str">
        <f aca="false">IF($B1294="","",IFERROR(INDEX(직원목록!$C$3:$C$302,MATCH($B1294,직원목록!$A$3:$A$302,0)),""))</f>
        <v/>
      </c>
      <c r="E1294" s="14"/>
      <c r="F1294" s="14"/>
      <c r="G1294" s="15"/>
      <c r="H1294" s="16" t="str">
        <f aca="false">IF(OR($K1294="",$L1294=""),"",ROUND(MAX(0,($L1294-$K1294)-IF($G1294="",0,$G1294))/60,2))</f>
        <v/>
      </c>
      <c r="I1294" s="8"/>
      <c r="J1294" s="8"/>
      <c r="K1294" s="17" t="str">
        <f aca="false">IF($E1294="","",IF($E1294&lt;1,ROUND($E1294*1440,0),INT($E1294/100)*60+MOD($E1294,100)))</f>
        <v/>
      </c>
      <c r="L1294" s="17" t="str">
        <f aca="false">IF($F1294="","",IF($F1294&lt;1,ROUND($F1294*1440,0),INT($F1294/100)*60+MOD($F1294,100)))</f>
        <v/>
      </c>
    </row>
    <row r="1295" customFormat="false" ht="15" hidden="false" customHeight="true" outlineLevel="0" collapsed="false">
      <c r="A1295" s="10"/>
      <c r="B1295" s="8"/>
      <c r="C1295" s="13" t="str">
        <f aca="false">IF($B1295="","",IFERROR(INDEX(직원목록!$B$3:$B$302,MATCH($B1295,직원목록!$A$3:$A$302,0)),"미등록사번"))</f>
        <v/>
      </c>
      <c r="D1295" s="13" t="str">
        <f aca="false">IF($B1295="","",IFERROR(INDEX(직원목록!$C$3:$C$302,MATCH($B1295,직원목록!$A$3:$A$302,0)),""))</f>
        <v/>
      </c>
      <c r="E1295" s="14"/>
      <c r="F1295" s="14"/>
      <c r="G1295" s="15"/>
      <c r="H1295" s="16" t="str">
        <f aca="false">IF(OR($K1295="",$L1295=""),"",ROUND(MAX(0,($L1295-$K1295)-IF($G1295="",0,$G1295))/60,2))</f>
        <v/>
      </c>
      <c r="I1295" s="8"/>
      <c r="J1295" s="8"/>
      <c r="K1295" s="17" t="str">
        <f aca="false">IF($E1295="","",IF($E1295&lt;1,ROUND($E1295*1440,0),INT($E1295/100)*60+MOD($E1295,100)))</f>
        <v/>
      </c>
      <c r="L1295" s="17" t="str">
        <f aca="false">IF($F1295="","",IF($F1295&lt;1,ROUND($F1295*1440,0),INT($F1295/100)*60+MOD($F1295,100)))</f>
        <v/>
      </c>
    </row>
    <row r="1296" customFormat="false" ht="15" hidden="false" customHeight="true" outlineLevel="0" collapsed="false">
      <c r="A1296" s="10"/>
      <c r="B1296" s="8"/>
      <c r="C1296" s="13" t="str">
        <f aca="false">IF($B1296="","",IFERROR(INDEX(직원목록!$B$3:$B$302,MATCH($B1296,직원목록!$A$3:$A$302,0)),"미등록사번"))</f>
        <v/>
      </c>
      <c r="D1296" s="13" t="str">
        <f aca="false">IF($B1296="","",IFERROR(INDEX(직원목록!$C$3:$C$302,MATCH($B1296,직원목록!$A$3:$A$302,0)),""))</f>
        <v/>
      </c>
      <c r="E1296" s="14"/>
      <c r="F1296" s="14"/>
      <c r="G1296" s="15"/>
      <c r="H1296" s="16" t="str">
        <f aca="false">IF(OR($K1296="",$L1296=""),"",ROUND(MAX(0,($L1296-$K1296)-IF($G1296="",0,$G1296))/60,2))</f>
        <v/>
      </c>
      <c r="I1296" s="8"/>
      <c r="J1296" s="8"/>
      <c r="K1296" s="17" t="str">
        <f aca="false">IF($E1296="","",IF($E1296&lt;1,ROUND($E1296*1440,0),INT($E1296/100)*60+MOD($E1296,100)))</f>
        <v/>
      </c>
      <c r="L1296" s="17" t="str">
        <f aca="false">IF($F1296="","",IF($F1296&lt;1,ROUND($F1296*1440,0),INT($F1296/100)*60+MOD($F1296,100)))</f>
        <v/>
      </c>
    </row>
    <row r="1297" customFormat="false" ht="15" hidden="false" customHeight="true" outlineLevel="0" collapsed="false">
      <c r="A1297" s="10"/>
      <c r="B1297" s="8"/>
      <c r="C1297" s="13" t="str">
        <f aca="false">IF($B1297="","",IFERROR(INDEX(직원목록!$B$3:$B$302,MATCH($B1297,직원목록!$A$3:$A$302,0)),"미등록사번"))</f>
        <v/>
      </c>
      <c r="D1297" s="13" t="str">
        <f aca="false">IF($B1297="","",IFERROR(INDEX(직원목록!$C$3:$C$302,MATCH($B1297,직원목록!$A$3:$A$302,0)),""))</f>
        <v/>
      </c>
      <c r="E1297" s="14"/>
      <c r="F1297" s="14"/>
      <c r="G1297" s="15"/>
      <c r="H1297" s="16" t="str">
        <f aca="false">IF(OR($K1297="",$L1297=""),"",ROUND(MAX(0,($L1297-$K1297)-IF($G1297="",0,$G1297))/60,2))</f>
        <v/>
      </c>
      <c r="I1297" s="8"/>
      <c r="J1297" s="8"/>
      <c r="K1297" s="17" t="str">
        <f aca="false">IF($E1297="","",IF($E1297&lt;1,ROUND($E1297*1440,0),INT($E1297/100)*60+MOD($E1297,100)))</f>
        <v/>
      </c>
      <c r="L1297" s="17" t="str">
        <f aca="false">IF($F1297="","",IF($F1297&lt;1,ROUND($F1297*1440,0),INT($F1297/100)*60+MOD($F1297,100)))</f>
        <v/>
      </c>
    </row>
    <row r="1298" customFormat="false" ht="15" hidden="false" customHeight="true" outlineLevel="0" collapsed="false">
      <c r="A1298" s="10"/>
      <c r="B1298" s="8"/>
      <c r="C1298" s="13" t="str">
        <f aca="false">IF($B1298="","",IFERROR(INDEX(직원목록!$B$3:$B$302,MATCH($B1298,직원목록!$A$3:$A$302,0)),"미등록사번"))</f>
        <v/>
      </c>
      <c r="D1298" s="13" t="str">
        <f aca="false">IF($B1298="","",IFERROR(INDEX(직원목록!$C$3:$C$302,MATCH($B1298,직원목록!$A$3:$A$302,0)),""))</f>
        <v/>
      </c>
      <c r="E1298" s="14"/>
      <c r="F1298" s="14"/>
      <c r="G1298" s="15"/>
      <c r="H1298" s="16" t="str">
        <f aca="false">IF(OR($K1298="",$L1298=""),"",ROUND(MAX(0,($L1298-$K1298)-IF($G1298="",0,$G1298))/60,2))</f>
        <v/>
      </c>
      <c r="I1298" s="8"/>
      <c r="J1298" s="8"/>
      <c r="K1298" s="17" t="str">
        <f aca="false">IF($E1298="","",IF($E1298&lt;1,ROUND($E1298*1440,0),INT($E1298/100)*60+MOD($E1298,100)))</f>
        <v/>
      </c>
      <c r="L1298" s="17" t="str">
        <f aca="false">IF($F1298="","",IF($F1298&lt;1,ROUND($F1298*1440,0),INT($F1298/100)*60+MOD($F1298,100)))</f>
        <v/>
      </c>
    </row>
    <row r="1299" customFormat="false" ht="15" hidden="false" customHeight="true" outlineLevel="0" collapsed="false">
      <c r="A1299" s="10"/>
      <c r="B1299" s="8"/>
      <c r="C1299" s="13" t="str">
        <f aca="false">IF($B1299="","",IFERROR(INDEX(직원목록!$B$3:$B$302,MATCH($B1299,직원목록!$A$3:$A$302,0)),"미등록사번"))</f>
        <v/>
      </c>
      <c r="D1299" s="13" t="str">
        <f aca="false">IF($B1299="","",IFERROR(INDEX(직원목록!$C$3:$C$302,MATCH($B1299,직원목록!$A$3:$A$302,0)),""))</f>
        <v/>
      </c>
      <c r="E1299" s="14"/>
      <c r="F1299" s="14"/>
      <c r="G1299" s="15"/>
      <c r="H1299" s="16" t="str">
        <f aca="false">IF(OR($K1299="",$L1299=""),"",ROUND(MAX(0,($L1299-$K1299)-IF($G1299="",0,$G1299))/60,2))</f>
        <v/>
      </c>
      <c r="I1299" s="8"/>
      <c r="J1299" s="8"/>
      <c r="K1299" s="17" t="str">
        <f aca="false">IF($E1299="","",IF($E1299&lt;1,ROUND($E1299*1440,0),INT($E1299/100)*60+MOD($E1299,100)))</f>
        <v/>
      </c>
      <c r="L1299" s="17" t="str">
        <f aca="false">IF($F1299="","",IF($F1299&lt;1,ROUND($F1299*1440,0),INT($F1299/100)*60+MOD($F1299,100)))</f>
        <v/>
      </c>
    </row>
    <row r="1300" customFormat="false" ht="15" hidden="false" customHeight="true" outlineLevel="0" collapsed="false">
      <c r="A1300" s="10"/>
      <c r="B1300" s="8"/>
      <c r="C1300" s="13" t="str">
        <f aca="false">IF($B1300="","",IFERROR(INDEX(직원목록!$B$3:$B$302,MATCH($B1300,직원목록!$A$3:$A$302,0)),"미등록사번"))</f>
        <v/>
      </c>
      <c r="D1300" s="13" t="str">
        <f aca="false">IF($B1300="","",IFERROR(INDEX(직원목록!$C$3:$C$302,MATCH($B1300,직원목록!$A$3:$A$302,0)),""))</f>
        <v/>
      </c>
      <c r="E1300" s="14"/>
      <c r="F1300" s="14"/>
      <c r="G1300" s="15"/>
      <c r="H1300" s="16" t="str">
        <f aca="false">IF(OR($K1300="",$L1300=""),"",ROUND(MAX(0,($L1300-$K1300)-IF($G1300="",0,$G1300))/60,2))</f>
        <v/>
      </c>
      <c r="I1300" s="8"/>
      <c r="J1300" s="8"/>
      <c r="K1300" s="17" t="str">
        <f aca="false">IF($E1300="","",IF($E1300&lt;1,ROUND($E1300*1440,0),INT($E1300/100)*60+MOD($E1300,100)))</f>
        <v/>
      </c>
      <c r="L1300" s="17" t="str">
        <f aca="false">IF($F1300="","",IF($F1300&lt;1,ROUND($F1300*1440,0),INT($F1300/100)*60+MOD($F1300,100)))</f>
        <v/>
      </c>
    </row>
    <row r="1301" customFormat="false" ht="15" hidden="false" customHeight="true" outlineLevel="0" collapsed="false">
      <c r="A1301" s="10"/>
      <c r="B1301" s="8"/>
      <c r="C1301" s="13" t="str">
        <f aca="false">IF($B1301="","",IFERROR(INDEX(직원목록!$B$3:$B$302,MATCH($B1301,직원목록!$A$3:$A$302,0)),"미등록사번"))</f>
        <v/>
      </c>
      <c r="D1301" s="13" t="str">
        <f aca="false">IF($B1301="","",IFERROR(INDEX(직원목록!$C$3:$C$302,MATCH($B1301,직원목록!$A$3:$A$302,0)),""))</f>
        <v/>
      </c>
      <c r="E1301" s="14"/>
      <c r="F1301" s="14"/>
      <c r="G1301" s="15"/>
      <c r="H1301" s="16" t="str">
        <f aca="false">IF(OR($K1301="",$L1301=""),"",ROUND(MAX(0,($L1301-$K1301)-IF($G1301="",0,$G1301))/60,2))</f>
        <v/>
      </c>
      <c r="I1301" s="8"/>
      <c r="J1301" s="8"/>
      <c r="K1301" s="17" t="str">
        <f aca="false">IF($E1301="","",IF($E1301&lt;1,ROUND($E1301*1440,0),INT($E1301/100)*60+MOD($E1301,100)))</f>
        <v/>
      </c>
      <c r="L1301" s="17" t="str">
        <f aca="false">IF($F1301="","",IF($F1301&lt;1,ROUND($F1301*1440,0),INT($F1301/100)*60+MOD($F1301,100)))</f>
        <v/>
      </c>
    </row>
    <row r="1302" customFormat="false" ht="15" hidden="false" customHeight="true" outlineLevel="0" collapsed="false">
      <c r="A1302" s="10"/>
      <c r="B1302" s="8"/>
      <c r="C1302" s="13" t="str">
        <f aca="false">IF($B1302="","",IFERROR(INDEX(직원목록!$B$3:$B$302,MATCH($B1302,직원목록!$A$3:$A$302,0)),"미등록사번"))</f>
        <v/>
      </c>
      <c r="D1302" s="13" t="str">
        <f aca="false">IF($B1302="","",IFERROR(INDEX(직원목록!$C$3:$C$302,MATCH($B1302,직원목록!$A$3:$A$302,0)),""))</f>
        <v/>
      </c>
      <c r="E1302" s="14"/>
      <c r="F1302" s="14"/>
      <c r="G1302" s="15"/>
      <c r="H1302" s="16" t="str">
        <f aca="false">IF(OR($K1302="",$L1302=""),"",ROUND(MAX(0,($L1302-$K1302)-IF($G1302="",0,$G1302))/60,2))</f>
        <v/>
      </c>
      <c r="I1302" s="8"/>
      <c r="J1302" s="8"/>
      <c r="K1302" s="17" t="str">
        <f aca="false">IF($E1302="","",IF($E1302&lt;1,ROUND($E1302*1440,0),INT($E1302/100)*60+MOD($E1302,100)))</f>
        <v/>
      </c>
      <c r="L1302" s="17" t="str">
        <f aca="false">IF($F1302="","",IF($F1302&lt;1,ROUND($F1302*1440,0),INT($F1302/100)*60+MOD($F1302,100)))</f>
        <v/>
      </c>
    </row>
    <row r="1303" customFormat="false" ht="15" hidden="false" customHeight="true" outlineLevel="0" collapsed="false">
      <c r="A1303" s="10"/>
      <c r="B1303" s="8"/>
      <c r="C1303" s="13" t="str">
        <f aca="false">IF($B1303="","",IFERROR(INDEX(직원목록!$B$3:$B$302,MATCH($B1303,직원목록!$A$3:$A$302,0)),"미등록사번"))</f>
        <v/>
      </c>
      <c r="D1303" s="13" t="str">
        <f aca="false">IF($B1303="","",IFERROR(INDEX(직원목록!$C$3:$C$302,MATCH($B1303,직원목록!$A$3:$A$302,0)),""))</f>
        <v/>
      </c>
      <c r="E1303" s="14"/>
      <c r="F1303" s="14"/>
      <c r="G1303" s="15"/>
      <c r="H1303" s="16" t="str">
        <f aca="false">IF(OR($K1303="",$L1303=""),"",ROUND(MAX(0,($L1303-$K1303)-IF($G1303="",0,$G1303))/60,2))</f>
        <v/>
      </c>
      <c r="I1303" s="8"/>
      <c r="J1303" s="8"/>
      <c r="K1303" s="17" t="str">
        <f aca="false">IF($E1303="","",IF($E1303&lt;1,ROUND($E1303*1440,0),INT($E1303/100)*60+MOD($E1303,100)))</f>
        <v/>
      </c>
      <c r="L1303" s="17" t="str">
        <f aca="false">IF($F1303="","",IF($F1303&lt;1,ROUND($F1303*1440,0),INT($F1303/100)*60+MOD($F1303,100)))</f>
        <v/>
      </c>
    </row>
    <row r="1304" customFormat="false" ht="15" hidden="false" customHeight="true" outlineLevel="0" collapsed="false">
      <c r="A1304" s="10"/>
      <c r="B1304" s="8"/>
      <c r="C1304" s="13" t="str">
        <f aca="false">IF($B1304="","",IFERROR(INDEX(직원목록!$B$3:$B$302,MATCH($B1304,직원목록!$A$3:$A$302,0)),"미등록사번"))</f>
        <v/>
      </c>
      <c r="D1304" s="13" t="str">
        <f aca="false">IF($B1304="","",IFERROR(INDEX(직원목록!$C$3:$C$302,MATCH($B1304,직원목록!$A$3:$A$302,0)),""))</f>
        <v/>
      </c>
      <c r="E1304" s="14"/>
      <c r="F1304" s="14"/>
      <c r="G1304" s="15"/>
      <c r="H1304" s="16" t="str">
        <f aca="false">IF(OR($K1304="",$L1304=""),"",ROUND(MAX(0,($L1304-$K1304)-IF($G1304="",0,$G1304))/60,2))</f>
        <v/>
      </c>
      <c r="I1304" s="8"/>
      <c r="J1304" s="8"/>
      <c r="K1304" s="17" t="str">
        <f aca="false">IF($E1304="","",IF($E1304&lt;1,ROUND($E1304*1440,0),INT($E1304/100)*60+MOD($E1304,100)))</f>
        <v/>
      </c>
      <c r="L1304" s="17" t="str">
        <f aca="false">IF($F1304="","",IF($F1304&lt;1,ROUND($F1304*1440,0),INT($F1304/100)*60+MOD($F1304,100)))</f>
        <v/>
      </c>
    </row>
    <row r="1305" customFormat="false" ht="15" hidden="false" customHeight="true" outlineLevel="0" collapsed="false">
      <c r="A1305" s="10"/>
      <c r="B1305" s="8"/>
      <c r="C1305" s="13" t="str">
        <f aca="false">IF($B1305="","",IFERROR(INDEX(직원목록!$B$3:$B$302,MATCH($B1305,직원목록!$A$3:$A$302,0)),"미등록사번"))</f>
        <v/>
      </c>
      <c r="D1305" s="13" t="str">
        <f aca="false">IF($B1305="","",IFERROR(INDEX(직원목록!$C$3:$C$302,MATCH($B1305,직원목록!$A$3:$A$302,0)),""))</f>
        <v/>
      </c>
      <c r="E1305" s="14"/>
      <c r="F1305" s="14"/>
      <c r="G1305" s="15"/>
      <c r="H1305" s="16" t="str">
        <f aca="false">IF(OR($K1305="",$L1305=""),"",ROUND(MAX(0,($L1305-$K1305)-IF($G1305="",0,$G1305))/60,2))</f>
        <v/>
      </c>
      <c r="I1305" s="8"/>
      <c r="J1305" s="8"/>
      <c r="K1305" s="17" t="str">
        <f aca="false">IF($E1305="","",IF($E1305&lt;1,ROUND($E1305*1440,0),INT($E1305/100)*60+MOD($E1305,100)))</f>
        <v/>
      </c>
      <c r="L1305" s="17" t="str">
        <f aca="false">IF($F1305="","",IF($F1305&lt;1,ROUND($F1305*1440,0),INT($F1305/100)*60+MOD($F1305,100)))</f>
        <v/>
      </c>
    </row>
    <row r="1306" customFormat="false" ht="15" hidden="false" customHeight="true" outlineLevel="0" collapsed="false">
      <c r="A1306" s="10"/>
      <c r="B1306" s="8"/>
      <c r="C1306" s="13" t="str">
        <f aca="false">IF($B1306="","",IFERROR(INDEX(직원목록!$B$3:$B$302,MATCH($B1306,직원목록!$A$3:$A$302,0)),"미등록사번"))</f>
        <v/>
      </c>
      <c r="D1306" s="13" t="str">
        <f aca="false">IF($B1306="","",IFERROR(INDEX(직원목록!$C$3:$C$302,MATCH($B1306,직원목록!$A$3:$A$302,0)),""))</f>
        <v/>
      </c>
      <c r="E1306" s="14"/>
      <c r="F1306" s="14"/>
      <c r="G1306" s="15"/>
      <c r="H1306" s="16" t="str">
        <f aca="false">IF(OR($K1306="",$L1306=""),"",ROUND(MAX(0,($L1306-$K1306)-IF($G1306="",0,$G1306))/60,2))</f>
        <v/>
      </c>
      <c r="I1306" s="8"/>
      <c r="J1306" s="8"/>
      <c r="K1306" s="17" t="str">
        <f aca="false">IF($E1306="","",IF($E1306&lt;1,ROUND($E1306*1440,0),INT($E1306/100)*60+MOD($E1306,100)))</f>
        <v/>
      </c>
      <c r="L1306" s="17" t="str">
        <f aca="false">IF($F1306="","",IF($F1306&lt;1,ROUND($F1306*1440,0),INT($F1306/100)*60+MOD($F1306,100)))</f>
        <v/>
      </c>
    </row>
    <row r="1307" customFormat="false" ht="15" hidden="false" customHeight="true" outlineLevel="0" collapsed="false">
      <c r="A1307" s="10"/>
      <c r="B1307" s="8"/>
      <c r="C1307" s="13" t="str">
        <f aca="false">IF($B1307="","",IFERROR(INDEX(직원목록!$B$3:$B$302,MATCH($B1307,직원목록!$A$3:$A$302,0)),"미등록사번"))</f>
        <v/>
      </c>
      <c r="D1307" s="13" t="str">
        <f aca="false">IF($B1307="","",IFERROR(INDEX(직원목록!$C$3:$C$302,MATCH($B1307,직원목록!$A$3:$A$302,0)),""))</f>
        <v/>
      </c>
      <c r="E1307" s="14"/>
      <c r="F1307" s="14"/>
      <c r="G1307" s="15"/>
      <c r="H1307" s="16" t="str">
        <f aca="false">IF(OR($K1307="",$L1307=""),"",ROUND(MAX(0,($L1307-$K1307)-IF($G1307="",0,$G1307))/60,2))</f>
        <v/>
      </c>
      <c r="I1307" s="8"/>
      <c r="J1307" s="8"/>
      <c r="K1307" s="17" t="str">
        <f aca="false">IF($E1307="","",IF($E1307&lt;1,ROUND($E1307*1440,0),INT($E1307/100)*60+MOD($E1307,100)))</f>
        <v/>
      </c>
      <c r="L1307" s="17" t="str">
        <f aca="false">IF($F1307="","",IF($F1307&lt;1,ROUND($F1307*1440,0),INT($F1307/100)*60+MOD($F1307,100)))</f>
        <v/>
      </c>
    </row>
    <row r="1308" customFormat="false" ht="15" hidden="false" customHeight="true" outlineLevel="0" collapsed="false">
      <c r="A1308" s="10"/>
      <c r="B1308" s="8"/>
      <c r="C1308" s="13" t="str">
        <f aca="false">IF($B1308="","",IFERROR(INDEX(직원목록!$B$3:$B$302,MATCH($B1308,직원목록!$A$3:$A$302,0)),"미등록사번"))</f>
        <v/>
      </c>
      <c r="D1308" s="13" t="str">
        <f aca="false">IF($B1308="","",IFERROR(INDEX(직원목록!$C$3:$C$302,MATCH($B1308,직원목록!$A$3:$A$302,0)),""))</f>
        <v/>
      </c>
      <c r="E1308" s="14"/>
      <c r="F1308" s="14"/>
      <c r="G1308" s="15"/>
      <c r="H1308" s="16" t="str">
        <f aca="false">IF(OR($K1308="",$L1308=""),"",ROUND(MAX(0,($L1308-$K1308)-IF($G1308="",0,$G1308))/60,2))</f>
        <v/>
      </c>
      <c r="I1308" s="8"/>
      <c r="J1308" s="8"/>
      <c r="K1308" s="17" t="str">
        <f aca="false">IF($E1308="","",IF($E1308&lt;1,ROUND($E1308*1440,0),INT($E1308/100)*60+MOD($E1308,100)))</f>
        <v/>
      </c>
      <c r="L1308" s="17" t="str">
        <f aca="false">IF($F1308="","",IF($F1308&lt;1,ROUND($F1308*1440,0),INT($F1308/100)*60+MOD($F1308,100)))</f>
        <v/>
      </c>
    </row>
    <row r="1309" customFormat="false" ht="15" hidden="false" customHeight="true" outlineLevel="0" collapsed="false">
      <c r="A1309" s="10"/>
      <c r="B1309" s="8"/>
      <c r="C1309" s="13" t="str">
        <f aca="false">IF($B1309="","",IFERROR(INDEX(직원목록!$B$3:$B$302,MATCH($B1309,직원목록!$A$3:$A$302,0)),"미등록사번"))</f>
        <v/>
      </c>
      <c r="D1309" s="13" t="str">
        <f aca="false">IF($B1309="","",IFERROR(INDEX(직원목록!$C$3:$C$302,MATCH($B1309,직원목록!$A$3:$A$302,0)),""))</f>
        <v/>
      </c>
      <c r="E1309" s="14"/>
      <c r="F1309" s="14"/>
      <c r="G1309" s="15"/>
      <c r="H1309" s="16" t="str">
        <f aca="false">IF(OR($K1309="",$L1309=""),"",ROUND(MAX(0,($L1309-$K1309)-IF($G1309="",0,$G1309))/60,2))</f>
        <v/>
      </c>
      <c r="I1309" s="8"/>
      <c r="J1309" s="8"/>
      <c r="K1309" s="17" t="str">
        <f aca="false">IF($E1309="","",IF($E1309&lt;1,ROUND($E1309*1440,0),INT($E1309/100)*60+MOD($E1309,100)))</f>
        <v/>
      </c>
      <c r="L1309" s="17" t="str">
        <f aca="false">IF($F1309="","",IF($F1309&lt;1,ROUND($F1309*1440,0),INT($F1309/100)*60+MOD($F1309,100)))</f>
        <v/>
      </c>
    </row>
    <row r="1310" customFormat="false" ht="15" hidden="false" customHeight="true" outlineLevel="0" collapsed="false">
      <c r="A1310" s="10"/>
      <c r="B1310" s="8"/>
      <c r="C1310" s="13" t="str">
        <f aca="false">IF($B1310="","",IFERROR(INDEX(직원목록!$B$3:$B$302,MATCH($B1310,직원목록!$A$3:$A$302,0)),"미등록사번"))</f>
        <v/>
      </c>
      <c r="D1310" s="13" t="str">
        <f aca="false">IF($B1310="","",IFERROR(INDEX(직원목록!$C$3:$C$302,MATCH($B1310,직원목록!$A$3:$A$302,0)),""))</f>
        <v/>
      </c>
      <c r="E1310" s="14"/>
      <c r="F1310" s="14"/>
      <c r="G1310" s="15"/>
      <c r="H1310" s="16" t="str">
        <f aca="false">IF(OR($K1310="",$L1310=""),"",ROUND(MAX(0,($L1310-$K1310)-IF($G1310="",0,$G1310))/60,2))</f>
        <v/>
      </c>
      <c r="I1310" s="8"/>
      <c r="J1310" s="8"/>
      <c r="K1310" s="17" t="str">
        <f aca="false">IF($E1310="","",IF($E1310&lt;1,ROUND($E1310*1440,0),INT($E1310/100)*60+MOD($E1310,100)))</f>
        <v/>
      </c>
      <c r="L1310" s="17" t="str">
        <f aca="false">IF($F1310="","",IF($F1310&lt;1,ROUND($F1310*1440,0),INT($F1310/100)*60+MOD($F1310,100)))</f>
        <v/>
      </c>
    </row>
    <row r="1311" customFormat="false" ht="15" hidden="false" customHeight="true" outlineLevel="0" collapsed="false">
      <c r="A1311" s="10"/>
      <c r="B1311" s="8"/>
      <c r="C1311" s="13" t="str">
        <f aca="false">IF($B1311="","",IFERROR(INDEX(직원목록!$B$3:$B$302,MATCH($B1311,직원목록!$A$3:$A$302,0)),"미등록사번"))</f>
        <v/>
      </c>
      <c r="D1311" s="13" t="str">
        <f aca="false">IF($B1311="","",IFERROR(INDEX(직원목록!$C$3:$C$302,MATCH($B1311,직원목록!$A$3:$A$302,0)),""))</f>
        <v/>
      </c>
      <c r="E1311" s="14"/>
      <c r="F1311" s="14"/>
      <c r="G1311" s="15"/>
      <c r="H1311" s="16" t="str">
        <f aca="false">IF(OR($K1311="",$L1311=""),"",ROUND(MAX(0,($L1311-$K1311)-IF($G1311="",0,$G1311))/60,2))</f>
        <v/>
      </c>
      <c r="I1311" s="8"/>
      <c r="J1311" s="8"/>
      <c r="K1311" s="17" t="str">
        <f aca="false">IF($E1311="","",IF($E1311&lt;1,ROUND($E1311*1440,0),INT($E1311/100)*60+MOD($E1311,100)))</f>
        <v/>
      </c>
      <c r="L1311" s="17" t="str">
        <f aca="false">IF($F1311="","",IF($F1311&lt;1,ROUND($F1311*1440,0),INT($F1311/100)*60+MOD($F1311,100)))</f>
        <v/>
      </c>
    </row>
    <row r="1312" customFormat="false" ht="15" hidden="false" customHeight="true" outlineLevel="0" collapsed="false">
      <c r="A1312" s="10"/>
      <c r="B1312" s="8"/>
      <c r="C1312" s="13" t="str">
        <f aca="false">IF($B1312="","",IFERROR(INDEX(직원목록!$B$3:$B$302,MATCH($B1312,직원목록!$A$3:$A$302,0)),"미등록사번"))</f>
        <v/>
      </c>
      <c r="D1312" s="13" t="str">
        <f aca="false">IF($B1312="","",IFERROR(INDEX(직원목록!$C$3:$C$302,MATCH($B1312,직원목록!$A$3:$A$302,0)),""))</f>
        <v/>
      </c>
      <c r="E1312" s="14"/>
      <c r="F1312" s="14"/>
      <c r="G1312" s="15"/>
      <c r="H1312" s="16" t="str">
        <f aca="false">IF(OR($K1312="",$L1312=""),"",ROUND(MAX(0,($L1312-$K1312)-IF($G1312="",0,$G1312))/60,2))</f>
        <v/>
      </c>
      <c r="I1312" s="8"/>
      <c r="J1312" s="8"/>
      <c r="K1312" s="17" t="str">
        <f aca="false">IF($E1312="","",IF($E1312&lt;1,ROUND($E1312*1440,0),INT($E1312/100)*60+MOD($E1312,100)))</f>
        <v/>
      </c>
      <c r="L1312" s="17" t="str">
        <f aca="false">IF($F1312="","",IF($F1312&lt;1,ROUND($F1312*1440,0),INT($F1312/100)*60+MOD($F1312,100)))</f>
        <v/>
      </c>
    </row>
    <row r="1313" customFormat="false" ht="15" hidden="false" customHeight="true" outlineLevel="0" collapsed="false">
      <c r="A1313" s="10"/>
      <c r="B1313" s="8"/>
      <c r="C1313" s="13" t="str">
        <f aca="false">IF($B1313="","",IFERROR(INDEX(직원목록!$B$3:$B$302,MATCH($B1313,직원목록!$A$3:$A$302,0)),"미등록사번"))</f>
        <v/>
      </c>
      <c r="D1313" s="13" t="str">
        <f aca="false">IF($B1313="","",IFERROR(INDEX(직원목록!$C$3:$C$302,MATCH($B1313,직원목록!$A$3:$A$302,0)),""))</f>
        <v/>
      </c>
      <c r="E1313" s="14"/>
      <c r="F1313" s="14"/>
      <c r="G1313" s="15"/>
      <c r="H1313" s="16" t="str">
        <f aca="false">IF(OR($K1313="",$L1313=""),"",ROUND(MAX(0,($L1313-$K1313)-IF($G1313="",0,$G1313))/60,2))</f>
        <v/>
      </c>
      <c r="I1313" s="8"/>
      <c r="J1313" s="8"/>
      <c r="K1313" s="17" t="str">
        <f aca="false">IF($E1313="","",IF($E1313&lt;1,ROUND($E1313*1440,0),INT($E1313/100)*60+MOD($E1313,100)))</f>
        <v/>
      </c>
      <c r="L1313" s="17" t="str">
        <f aca="false">IF($F1313="","",IF($F1313&lt;1,ROUND($F1313*1440,0),INT($F1313/100)*60+MOD($F1313,100)))</f>
        <v/>
      </c>
    </row>
    <row r="1314" customFormat="false" ht="15" hidden="false" customHeight="true" outlineLevel="0" collapsed="false">
      <c r="A1314" s="10"/>
      <c r="B1314" s="8"/>
      <c r="C1314" s="13" t="str">
        <f aca="false">IF($B1314="","",IFERROR(INDEX(직원목록!$B$3:$B$302,MATCH($B1314,직원목록!$A$3:$A$302,0)),"미등록사번"))</f>
        <v/>
      </c>
      <c r="D1314" s="13" t="str">
        <f aca="false">IF($B1314="","",IFERROR(INDEX(직원목록!$C$3:$C$302,MATCH($B1314,직원목록!$A$3:$A$302,0)),""))</f>
        <v/>
      </c>
      <c r="E1314" s="14"/>
      <c r="F1314" s="14"/>
      <c r="G1314" s="15"/>
      <c r="H1314" s="16" t="str">
        <f aca="false">IF(OR($K1314="",$L1314=""),"",ROUND(MAX(0,($L1314-$K1314)-IF($G1314="",0,$G1314))/60,2))</f>
        <v/>
      </c>
      <c r="I1314" s="8"/>
      <c r="J1314" s="8"/>
      <c r="K1314" s="17" t="str">
        <f aca="false">IF($E1314="","",IF($E1314&lt;1,ROUND($E1314*1440,0),INT($E1314/100)*60+MOD($E1314,100)))</f>
        <v/>
      </c>
      <c r="L1314" s="17" t="str">
        <f aca="false">IF($F1314="","",IF($F1314&lt;1,ROUND($F1314*1440,0),INT($F1314/100)*60+MOD($F1314,100)))</f>
        <v/>
      </c>
    </row>
    <row r="1315" customFormat="false" ht="15" hidden="false" customHeight="true" outlineLevel="0" collapsed="false">
      <c r="A1315" s="10"/>
      <c r="B1315" s="8"/>
      <c r="C1315" s="13" t="str">
        <f aca="false">IF($B1315="","",IFERROR(INDEX(직원목록!$B$3:$B$302,MATCH($B1315,직원목록!$A$3:$A$302,0)),"미등록사번"))</f>
        <v/>
      </c>
      <c r="D1315" s="13" t="str">
        <f aca="false">IF($B1315="","",IFERROR(INDEX(직원목록!$C$3:$C$302,MATCH($B1315,직원목록!$A$3:$A$302,0)),""))</f>
        <v/>
      </c>
      <c r="E1315" s="14"/>
      <c r="F1315" s="14"/>
      <c r="G1315" s="15"/>
      <c r="H1315" s="16" t="str">
        <f aca="false">IF(OR($K1315="",$L1315=""),"",ROUND(MAX(0,($L1315-$K1315)-IF($G1315="",0,$G1315))/60,2))</f>
        <v/>
      </c>
      <c r="I1315" s="8"/>
      <c r="J1315" s="8"/>
      <c r="K1315" s="17" t="str">
        <f aca="false">IF($E1315="","",IF($E1315&lt;1,ROUND($E1315*1440,0),INT($E1315/100)*60+MOD($E1315,100)))</f>
        <v/>
      </c>
      <c r="L1315" s="17" t="str">
        <f aca="false">IF($F1315="","",IF($F1315&lt;1,ROUND($F1315*1440,0),INT($F1315/100)*60+MOD($F1315,100)))</f>
        <v/>
      </c>
    </row>
    <row r="1316" customFormat="false" ht="15" hidden="false" customHeight="true" outlineLevel="0" collapsed="false">
      <c r="A1316" s="10"/>
      <c r="B1316" s="8"/>
      <c r="C1316" s="13" t="str">
        <f aca="false">IF($B1316="","",IFERROR(INDEX(직원목록!$B$3:$B$302,MATCH($B1316,직원목록!$A$3:$A$302,0)),"미등록사번"))</f>
        <v/>
      </c>
      <c r="D1316" s="13" t="str">
        <f aca="false">IF($B1316="","",IFERROR(INDEX(직원목록!$C$3:$C$302,MATCH($B1316,직원목록!$A$3:$A$302,0)),""))</f>
        <v/>
      </c>
      <c r="E1316" s="14"/>
      <c r="F1316" s="14"/>
      <c r="G1316" s="15"/>
      <c r="H1316" s="16" t="str">
        <f aca="false">IF(OR($K1316="",$L1316=""),"",ROUND(MAX(0,($L1316-$K1316)-IF($G1316="",0,$G1316))/60,2))</f>
        <v/>
      </c>
      <c r="I1316" s="8"/>
      <c r="J1316" s="8"/>
      <c r="K1316" s="17" t="str">
        <f aca="false">IF($E1316="","",IF($E1316&lt;1,ROUND($E1316*1440,0),INT($E1316/100)*60+MOD($E1316,100)))</f>
        <v/>
      </c>
      <c r="L1316" s="17" t="str">
        <f aca="false">IF($F1316="","",IF($F1316&lt;1,ROUND($F1316*1440,0),INT($F1316/100)*60+MOD($F1316,100)))</f>
        <v/>
      </c>
    </row>
    <row r="1317" customFormat="false" ht="15" hidden="false" customHeight="true" outlineLevel="0" collapsed="false">
      <c r="A1317" s="10"/>
      <c r="B1317" s="8"/>
      <c r="C1317" s="13" t="str">
        <f aca="false">IF($B1317="","",IFERROR(INDEX(직원목록!$B$3:$B$302,MATCH($B1317,직원목록!$A$3:$A$302,0)),"미등록사번"))</f>
        <v/>
      </c>
      <c r="D1317" s="13" t="str">
        <f aca="false">IF($B1317="","",IFERROR(INDEX(직원목록!$C$3:$C$302,MATCH($B1317,직원목록!$A$3:$A$302,0)),""))</f>
        <v/>
      </c>
      <c r="E1317" s="14"/>
      <c r="F1317" s="14"/>
      <c r="G1317" s="15"/>
      <c r="H1317" s="16" t="str">
        <f aca="false">IF(OR($K1317="",$L1317=""),"",ROUND(MAX(0,($L1317-$K1317)-IF($G1317="",0,$G1317))/60,2))</f>
        <v/>
      </c>
      <c r="I1317" s="8"/>
      <c r="J1317" s="8"/>
      <c r="K1317" s="17" t="str">
        <f aca="false">IF($E1317="","",IF($E1317&lt;1,ROUND($E1317*1440,0),INT($E1317/100)*60+MOD($E1317,100)))</f>
        <v/>
      </c>
      <c r="L1317" s="17" t="str">
        <f aca="false">IF($F1317="","",IF($F1317&lt;1,ROUND($F1317*1440,0),INT($F1317/100)*60+MOD($F1317,100)))</f>
        <v/>
      </c>
    </row>
    <row r="1318" customFormat="false" ht="15" hidden="false" customHeight="true" outlineLevel="0" collapsed="false">
      <c r="A1318" s="10"/>
      <c r="B1318" s="8"/>
      <c r="C1318" s="13" t="str">
        <f aca="false">IF($B1318="","",IFERROR(INDEX(직원목록!$B$3:$B$302,MATCH($B1318,직원목록!$A$3:$A$302,0)),"미등록사번"))</f>
        <v/>
      </c>
      <c r="D1318" s="13" t="str">
        <f aca="false">IF($B1318="","",IFERROR(INDEX(직원목록!$C$3:$C$302,MATCH($B1318,직원목록!$A$3:$A$302,0)),""))</f>
        <v/>
      </c>
      <c r="E1318" s="14"/>
      <c r="F1318" s="14"/>
      <c r="G1318" s="15"/>
      <c r="H1318" s="16" t="str">
        <f aca="false">IF(OR($K1318="",$L1318=""),"",ROUND(MAX(0,($L1318-$K1318)-IF($G1318="",0,$G1318))/60,2))</f>
        <v/>
      </c>
      <c r="I1318" s="8"/>
      <c r="J1318" s="8"/>
      <c r="K1318" s="17" t="str">
        <f aca="false">IF($E1318="","",IF($E1318&lt;1,ROUND($E1318*1440,0),INT($E1318/100)*60+MOD($E1318,100)))</f>
        <v/>
      </c>
      <c r="L1318" s="17" t="str">
        <f aca="false">IF($F1318="","",IF($F1318&lt;1,ROUND($F1318*1440,0),INT($F1318/100)*60+MOD($F1318,100)))</f>
        <v/>
      </c>
    </row>
    <row r="1319" customFormat="false" ht="15" hidden="false" customHeight="true" outlineLevel="0" collapsed="false">
      <c r="A1319" s="10"/>
      <c r="B1319" s="8"/>
      <c r="C1319" s="13" t="str">
        <f aca="false">IF($B1319="","",IFERROR(INDEX(직원목록!$B$3:$B$302,MATCH($B1319,직원목록!$A$3:$A$302,0)),"미등록사번"))</f>
        <v/>
      </c>
      <c r="D1319" s="13" t="str">
        <f aca="false">IF($B1319="","",IFERROR(INDEX(직원목록!$C$3:$C$302,MATCH($B1319,직원목록!$A$3:$A$302,0)),""))</f>
        <v/>
      </c>
      <c r="E1319" s="14"/>
      <c r="F1319" s="14"/>
      <c r="G1319" s="15"/>
      <c r="H1319" s="16" t="str">
        <f aca="false">IF(OR($K1319="",$L1319=""),"",ROUND(MAX(0,($L1319-$K1319)-IF($G1319="",0,$G1319))/60,2))</f>
        <v/>
      </c>
      <c r="I1319" s="8"/>
      <c r="J1319" s="8"/>
      <c r="K1319" s="17" t="str">
        <f aca="false">IF($E1319="","",IF($E1319&lt;1,ROUND($E1319*1440,0),INT($E1319/100)*60+MOD($E1319,100)))</f>
        <v/>
      </c>
      <c r="L1319" s="17" t="str">
        <f aca="false">IF($F1319="","",IF($F1319&lt;1,ROUND($F1319*1440,0),INT($F1319/100)*60+MOD($F1319,100)))</f>
        <v/>
      </c>
    </row>
    <row r="1320" customFormat="false" ht="15" hidden="false" customHeight="true" outlineLevel="0" collapsed="false">
      <c r="A1320" s="10"/>
      <c r="B1320" s="8"/>
      <c r="C1320" s="13" t="str">
        <f aca="false">IF($B1320="","",IFERROR(INDEX(직원목록!$B$3:$B$302,MATCH($B1320,직원목록!$A$3:$A$302,0)),"미등록사번"))</f>
        <v/>
      </c>
      <c r="D1320" s="13" t="str">
        <f aca="false">IF($B1320="","",IFERROR(INDEX(직원목록!$C$3:$C$302,MATCH($B1320,직원목록!$A$3:$A$302,0)),""))</f>
        <v/>
      </c>
      <c r="E1320" s="14"/>
      <c r="F1320" s="14"/>
      <c r="G1320" s="15"/>
      <c r="H1320" s="16" t="str">
        <f aca="false">IF(OR($K1320="",$L1320=""),"",ROUND(MAX(0,($L1320-$K1320)-IF($G1320="",0,$G1320))/60,2))</f>
        <v/>
      </c>
      <c r="I1320" s="8"/>
      <c r="J1320" s="8"/>
      <c r="K1320" s="17" t="str">
        <f aca="false">IF($E1320="","",IF($E1320&lt;1,ROUND($E1320*1440,0),INT($E1320/100)*60+MOD($E1320,100)))</f>
        <v/>
      </c>
      <c r="L1320" s="17" t="str">
        <f aca="false">IF($F1320="","",IF($F1320&lt;1,ROUND($F1320*1440,0),INT($F1320/100)*60+MOD($F1320,100)))</f>
        <v/>
      </c>
    </row>
    <row r="1321" customFormat="false" ht="15" hidden="false" customHeight="true" outlineLevel="0" collapsed="false">
      <c r="A1321" s="10"/>
      <c r="B1321" s="8"/>
      <c r="C1321" s="13" t="str">
        <f aca="false">IF($B1321="","",IFERROR(INDEX(직원목록!$B$3:$B$302,MATCH($B1321,직원목록!$A$3:$A$302,0)),"미등록사번"))</f>
        <v/>
      </c>
      <c r="D1321" s="13" t="str">
        <f aca="false">IF($B1321="","",IFERROR(INDEX(직원목록!$C$3:$C$302,MATCH($B1321,직원목록!$A$3:$A$302,0)),""))</f>
        <v/>
      </c>
      <c r="E1321" s="14"/>
      <c r="F1321" s="14"/>
      <c r="G1321" s="15"/>
      <c r="H1321" s="16" t="str">
        <f aca="false">IF(OR($K1321="",$L1321=""),"",ROUND(MAX(0,($L1321-$K1321)-IF($G1321="",0,$G1321))/60,2))</f>
        <v/>
      </c>
      <c r="I1321" s="8"/>
      <c r="J1321" s="8"/>
      <c r="K1321" s="17" t="str">
        <f aca="false">IF($E1321="","",IF($E1321&lt;1,ROUND($E1321*1440,0),INT($E1321/100)*60+MOD($E1321,100)))</f>
        <v/>
      </c>
      <c r="L1321" s="17" t="str">
        <f aca="false">IF($F1321="","",IF($F1321&lt;1,ROUND($F1321*1440,0),INT($F1321/100)*60+MOD($F1321,100)))</f>
        <v/>
      </c>
    </row>
    <row r="1322" customFormat="false" ht="15" hidden="false" customHeight="true" outlineLevel="0" collapsed="false">
      <c r="A1322" s="10"/>
      <c r="B1322" s="8"/>
      <c r="C1322" s="13" t="str">
        <f aca="false">IF($B1322="","",IFERROR(INDEX(직원목록!$B$3:$B$302,MATCH($B1322,직원목록!$A$3:$A$302,0)),"미등록사번"))</f>
        <v/>
      </c>
      <c r="D1322" s="13" t="str">
        <f aca="false">IF($B1322="","",IFERROR(INDEX(직원목록!$C$3:$C$302,MATCH($B1322,직원목록!$A$3:$A$302,0)),""))</f>
        <v/>
      </c>
      <c r="E1322" s="14"/>
      <c r="F1322" s="14"/>
      <c r="G1322" s="15"/>
      <c r="H1322" s="16" t="str">
        <f aca="false">IF(OR($K1322="",$L1322=""),"",ROUND(MAX(0,($L1322-$K1322)-IF($G1322="",0,$G1322))/60,2))</f>
        <v/>
      </c>
      <c r="I1322" s="8"/>
      <c r="J1322" s="8"/>
      <c r="K1322" s="17" t="str">
        <f aca="false">IF($E1322="","",IF($E1322&lt;1,ROUND($E1322*1440,0),INT($E1322/100)*60+MOD($E1322,100)))</f>
        <v/>
      </c>
      <c r="L1322" s="17" t="str">
        <f aca="false">IF($F1322="","",IF($F1322&lt;1,ROUND($F1322*1440,0),INT($F1322/100)*60+MOD($F1322,100)))</f>
        <v/>
      </c>
    </row>
    <row r="1323" customFormat="false" ht="15" hidden="false" customHeight="true" outlineLevel="0" collapsed="false">
      <c r="A1323" s="10"/>
      <c r="B1323" s="8"/>
      <c r="C1323" s="13" t="str">
        <f aca="false">IF($B1323="","",IFERROR(INDEX(직원목록!$B$3:$B$302,MATCH($B1323,직원목록!$A$3:$A$302,0)),"미등록사번"))</f>
        <v/>
      </c>
      <c r="D1323" s="13" t="str">
        <f aca="false">IF($B1323="","",IFERROR(INDEX(직원목록!$C$3:$C$302,MATCH($B1323,직원목록!$A$3:$A$302,0)),""))</f>
        <v/>
      </c>
      <c r="E1323" s="14"/>
      <c r="F1323" s="14"/>
      <c r="G1323" s="15"/>
      <c r="H1323" s="16" t="str">
        <f aca="false">IF(OR($K1323="",$L1323=""),"",ROUND(MAX(0,($L1323-$K1323)-IF($G1323="",0,$G1323))/60,2))</f>
        <v/>
      </c>
      <c r="I1323" s="8"/>
      <c r="J1323" s="8"/>
      <c r="K1323" s="17" t="str">
        <f aca="false">IF($E1323="","",IF($E1323&lt;1,ROUND($E1323*1440,0),INT($E1323/100)*60+MOD($E1323,100)))</f>
        <v/>
      </c>
      <c r="L1323" s="17" t="str">
        <f aca="false">IF($F1323="","",IF($F1323&lt;1,ROUND($F1323*1440,0),INT($F1323/100)*60+MOD($F1323,100)))</f>
        <v/>
      </c>
    </row>
    <row r="1324" customFormat="false" ht="15" hidden="false" customHeight="true" outlineLevel="0" collapsed="false">
      <c r="A1324" s="10"/>
      <c r="B1324" s="8"/>
      <c r="C1324" s="13" t="str">
        <f aca="false">IF($B1324="","",IFERROR(INDEX(직원목록!$B$3:$B$302,MATCH($B1324,직원목록!$A$3:$A$302,0)),"미등록사번"))</f>
        <v/>
      </c>
      <c r="D1324" s="13" t="str">
        <f aca="false">IF($B1324="","",IFERROR(INDEX(직원목록!$C$3:$C$302,MATCH($B1324,직원목록!$A$3:$A$302,0)),""))</f>
        <v/>
      </c>
      <c r="E1324" s="14"/>
      <c r="F1324" s="14"/>
      <c r="G1324" s="15"/>
      <c r="H1324" s="16" t="str">
        <f aca="false">IF(OR($K1324="",$L1324=""),"",ROUND(MAX(0,($L1324-$K1324)-IF($G1324="",0,$G1324))/60,2))</f>
        <v/>
      </c>
      <c r="I1324" s="8"/>
      <c r="J1324" s="8"/>
      <c r="K1324" s="17" t="str">
        <f aca="false">IF($E1324="","",IF($E1324&lt;1,ROUND($E1324*1440,0),INT($E1324/100)*60+MOD($E1324,100)))</f>
        <v/>
      </c>
      <c r="L1324" s="17" t="str">
        <f aca="false">IF($F1324="","",IF($F1324&lt;1,ROUND($F1324*1440,0),INT($F1324/100)*60+MOD($F1324,100)))</f>
        <v/>
      </c>
    </row>
    <row r="1325" customFormat="false" ht="15" hidden="false" customHeight="true" outlineLevel="0" collapsed="false">
      <c r="A1325" s="10"/>
      <c r="B1325" s="8"/>
      <c r="C1325" s="13" t="str">
        <f aca="false">IF($B1325="","",IFERROR(INDEX(직원목록!$B$3:$B$302,MATCH($B1325,직원목록!$A$3:$A$302,0)),"미등록사번"))</f>
        <v/>
      </c>
      <c r="D1325" s="13" t="str">
        <f aca="false">IF($B1325="","",IFERROR(INDEX(직원목록!$C$3:$C$302,MATCH($B1325,직원목록!$A$3:$A$302,0)),""))</f>
        <v/>
      </c>
      <c r="E1325" s="14"/>
      <c r="F1325" s="14"/>
      <c r="G1325" s="15"/>
      <c r="H1325" s="16" t="str">
        <f aca="false">IF(OR($K1325="",$L1325=""),"",ROUND(MAX(0,($L1325-$K1325)-IF($G1325="",0,$G1325))/60,2))</f>
        <v/>
      </c>
      <c r="I1325" s="8"/>
      <c r="J1325" s="8"/>
      <c r="K1325" s="17" t="str">
        <f aca="false">IF($E1325="","",IF($E1325&lt;1,ROUND($E1325*1440,0),INT($E1325/100)*60+MOD($E1325,100)))</f>
        <v/>
      </c>
      <c r="L1325" s="17" t="str">
        <f aca="false">IF($F1325="","",IF($F1325&lt;1,ROUND($F1325*1440,0),INT($F1325/100)*60+MOD($F1325,100)))</f>
        <v/>
      </c>
    </row>
    <row r="1326" customFormat="false" ht="15" hidden="false" customHeight="true" outlineLevel="0" collapsed="false">
      <c r="A1326" s="10"/>
      <c r="B1326" s="8"/>
      <c r="C1326" s="13" t="str">
        <f aca="false">IF($B1326="","",IFERROR(INDEX(직원목록!$B$3:$B$302,MATCH($B1326,직원목록!$A$3:$A$302,0)),"미등록사번"))</f>
        <v/>
      </c>
      <c r="D1326" s="13" t="str">
        <f aca="false">IF($B1326="","",IFERROR(INDEX(직원목록!$C$3:$C$302,MATCH($B1326,직원목록!$A$3:$A$302,0)),""))</f>
        <v/>
      </c>
      <c r="E1326" s="14"/>
      <c r="F1326" s="14"/>
      <c r="G1326" s="15"/>
      <c r="H1326" s="16" t="str">
        <f aca="false">IF(OR($K1326="",$L1326=""),"",ROUND(MAX(0,($L1326-$K1326)-IF($G1326="",0,$G1326))/60,2))</f>
        <v/>
      </c>
      <c r="I1326" s="8"/>
      <c r="J1326" s="8"/>
      <c r="K1326" s="17" t="str">
        <f aca="false">IF($E1326="","",IF($E1326&lt;1,ROUND($E1326*1440,0),INT($E1326/100)*60+MOD($E1326,100)))</f>
        <v/>
      </c>
      <c r="L1326" s="17" t="str">
        <f aca="false">IF($F1326="","",IF($F1326&lt;1,ROUND($F1326*1440,0),INT($F1326/100)*60+MOD($F1326,100)))</f>
        <v/>
      </c>
    </row>
    <row r="1327" customFormat="false" ht="15" hidden="false" customHeight="true" outlineLevel="0" collapsed="false">
      <c r="A1327" s="10"/>
      <c r="B1327" s="8"/>
      <c r="C1327" s="13" t="str">
        <f aca="false">IF($B1327="","",IFERROR(INDEX(직원목록!$B$3:$B$302,MATCH($B1327,직원목록!$A$3:$A$302,0)),"미등록사번"))</f>
        <v/>
      </c>
      <c r="D1327" s="13" t="str">
        <f aca="false">IF($B1327="","",IFERROR(INDEX(직원목록!$C$3:$C$302,MATCH($B1327,직원목록!$A$3:$A$302,0)),""))</f>
        <v/>
      </c>
      <c r="E1327" s="14"/>
      <c r="F1327" s="14"/>
      <c r="G1327" s="15"/>
      <c r="H1327" s="16" t="str">
        <f aca="false">IF(OR($K1327="",$L1327=""),"",ROUND(MAX(0,($L1327-$K1327)-IF($G1327="",0,$G1327))/60,2))</f>
        <v/>
      </c>
      <c r="I1327" s="8"/>
      <c r="J1327" s="8"/>
      <c r="K1327" s="17" t="str">
        <f aca="false">IF($E1327="","",IF($E1327&lt;1,ROUND($E1327*1440,0),INT($E1327/100)*60+MOD($E1327,100)))</f>
        <v/>
      </c>
      <c r="L1327" s="17" t="str">
        <f aca="false">IF($F1327="","",IF($F1327&lt;1,ROUND($F1327*1440,0),INT($F1327/100)*60+MOD($F1327,100)))</f>
        <v/>
      </c>
    </row>
    <row r="1328" customFormat="false" ht="15" hidden="false" customHeight="true" outlineLevel="0" collapsed="false">
      <c r="A1328" s="10"/>
      <c r="B1328" s="8"/>
      <c r="C1328" s="13" t="str">
        <f aca="false">IF($B1328="","",IFERROR(INDEX(직원목록!$B$3:$B$302,MATCH($B1328,직원목록!$A$3:$A$302,0)),"미등록사번"))</f>
        <v/>
      </c>
      <c r="D1328" s="13" t="str">
        <f aca="false">IF($B1328="","",IFERROR(INDEX(직원목록!$C$3:$C$302,MATCH($B1328,직원목록!$A$3:$A$302,0)),""))</f>
        <v/>
      </c>
      <c r="E1328" s="14"/>
      <c r="F1328" s="14"/>
      <c r="G1328" s="15"/>
      <c r="H1328" s="16" t="str">
        <f aca="false">IF(OR($K1328="",$L1328=""),"",ROUND(MAX(0,($L1328-$K1328)-IF($G1328="",0,$G1328))/60,2))</f>
        <v/>
      </c>
      <c r="I1328" s="8"/>
      <c r="J1328" s="8"/>
      <c r="K1328" s="17" t="str">
        <f aca="false">IF($E1328="","",IF($E1328&lt;1,ROUND($E1328*1440,0),INT($E1328/100)*60+MOD($E1328,100)))</f>
        <v/>
      </c>
      <c r="L1328" s="17" t="str">
        <f aca="false">IF($F1328="","",IF($F1328&lt;1,ROUND($F1328*1440,0),INT($F1328/100)*60+MOD($F1328,100)))</f>
        <v/>
      </c>
    </row>
    <row r="1329" customFormat="false" ht="15" hidden="false" customHeight="true" outlineLevel="0" collapsed="false">
      <c r="A1329" s="10"/>
      <c r="B1329" s="8"/>
      <c r="C1329" s="13" t="str">
        <f aca="false">IF($B1329="","",IFERROR(INDEX(직원목록!$B$3:$B$302,MATCH($B1329,직원목록!$A$3:$A$302,0)),"미등록사번"))</f>
        <v/>
      </c>
      <c r="D1329" s="13" t="str">
        <f aca="false">IF($B1329="","",IFERROR(INDEX(직원목록!$C$3:$C$302,MATCH($B1329,직원목록!$A$3:$A$302,0)),""))</f>
        <v/>
      </c>
      <c r="E1329" s="14"/>
      <c r="F1329" s="14"/>
      <c r="G1329" s="15"/>
      <c r="H1329" s="16" t="str">
        <f aca="false">IF(OR($K1329="",$L1329=""),"",ROUND(MAX(0,($L1329-$K1329)-IF($G1329="",0,$G1329))/60,2))</f>
        <v/>
      </c>
      <c r="I1329" s="8"/>
      <c r="J1329" s="8"/>
      <c r="K1329" s="17" t="str">
        <f aca="false">IF($E1329="","",IF($E1329&lt;1,ROUND($E1329*1440,0),INT($E1329/100)*60+MOD($E1329,100)))</f>
        <v/>
      </c>
      <c r="L1329" s="17" t="str">
        <f aca="false">IF($F1329="","",IF($F1329&lt;1,ROUND($F1329*1440,0),INT($F1329/100)*60+MOD($F1329,100)))</f>
        <v/>
      </c>
    </row>
    <row r="1330" customFormat="false" ht="15" hidden="false" customHeight="true" outlineLevel="0" collapsed="false">
      <c r="A1330" s="10"/>
      <c r="B1330" s="8"/>
      <c r="C1330" s="13" t="str">
        <f aca="false">IF($B1330="","",IFERROR(INDEX(직원목록!$B$3:$B$302,MATCH($B1330,직원목록!$A$3:$A$302,0)),"미등록사번"))</f>
        <v/>
      </c>
      <c r="D1330" s="13" t="str">
        <f aca="false">IF($B1330="","",IFERROR(INDEX(직원목록!$C$3:$C$302,MATCH($B1330,직원목록!$A$3:$A$302,0)),""))</f>
        <v/>
      </c>
      <c r="E1330" s="14"/>
      <c r="F1330" s="14"/>
      <c r="G1330" s="15"/>
      <c r="H1330" s="16" t="str">
        <f aca="false">IF(OR($K1330="",$L1330=""),"",ROUND(MAX(0,($L1330-$K1330)-IF($G1330="",0,$G1330))/60,2))</f>
        <v/>
      </c>
      <c r="I1330" s="8"/>
      <c r="J1330" s="8"/>
      <c r="K1330" s="17" t="str">
        <f aca="false">IF($E1330="","",IF($E1330&lt;1,ROUND($E1330*1440,0),INT($E1330/100)*60+MOD($E1330,100)))</f>
        <v/>
      </c>
      <c r="L1330" s="17" t="str">
        <f aca="false">IF($F1330="","",IF($F1330&lt;1,ROUND($F1330*1440,0),INT($F1330/100)*60+MOD($F1330,100)))</f>
        <v/>
      </c>
    </row>
    <row r="1331" customFormat="false" ht="15" hidden="false" customHeight="true" outlineLevel="0" collapsed="false">
      <c r="A1331" s="10"/>
      <c r="B1331" s="8"/>
      <c r="C1331" s="13" t="str">
        <f aca="false">IF($B1331="","",IFERROR(INDEX(직원목록!$B$3:$B$302,MATCH($B1331,직원목록!$A$3:$A$302,0)),"미등록사번"))</f>
        <v/>
      </c>
      <c r="D1331" s="13" t="str">
        <f aca="false">IF($B1331="","",IFERROR(INDEX(직원목록!$C$3:$C$302,MATCH($B1331,직원목록!$A$3:$A$302,0)),""))</f>
        <v/>
      </c>
      <c r="E1331" s="14"/>
      <c r="F1331" s="14"/>
      <c r="G1331" s="15"/>
      <c r="H1331" s="16" t="str">
        <f aca="false">IF(OR($K1331="",$L1331=""),"",ROUND(MAX(0,($L1331-$K1331)-IF($G1331="",0,$G1331))/60,2))</f>
        <v/>
      </c>
      <c r="I1331" s="8"/>
      <c r="J1331" s="8"/>
      <c r="K1331" s="17" t="str">
        <f aca="false">IF($E1331="","",IF($E1331&lt;1,ROUND($E1331*1440,0),INT($E1331/100)*60+MOD($E1331,100)))</f>
        <v/>
      </c>
      <c r="L1331" s="17" t="str">
        <f aca="false">IF($F1331="","",IF($F1331&lt;1,ROUND($F1331*1440,0),INT($F1331/100)*60+MOD($F1331,100)))</f>
        <v/>
      </c>
    </row>
    <row r="1332" customFormat="false" ht="15" hidden="false" customHeight="true" outlineLevel="0" collapsed="false">
      <c r="A1332" s="10"/>
      <c r="B1332" s="8"/>
      <c r="C1332" s="13" t="str">
        <f aca="false">IF($B1332="","",IFERROR(INDEX(직원목록!$B$3:$B$302,MATCH($B1332,직원목록!$A$3:$A$302,0)),"미등록사번"))</f>
        <v/>
      </c>
      <c r="D1332" s="13" t="str">
        <f aca="false">IF($B1332="","",IFERROR(INDEX(직원목록!$C$3:$C$302,MATCH($B1332,직원목록!$A$3:$A$302,0)),""))</f>
        <v/>
      </c>
      <c r="E1332" s="14"/>
      <c r="F1332" s="14"/>
      <c r="G1332" s="15"/>
      <c r="H1332" s="16" t="str">
        <f aca="false">IF(OR($K1332="",$L1332=""),"",ROUND(MAX(0,($L1332-$K1332)-IF($G1332="",0,$G1332))/60,2))</f>
        <v/>
      </c>
      <c r="I1332" s="8"/>
      <c r="J1332" s="8"/>
      <c r="K1332" s="17" t="str">
        <f aca="false">IF($E1332="","",IF($E1332&lt;1,ROUND($E1332*1440,0),INT($E1332/100)*60+MOD($E1332,100)))</f>
        <v/>
      </c>
      <c r="L1332" s="17" t="str">
        <f aca="false">IF($F1332="","",IF($F1332&lt;1,ROUND($F1332*1440,0),INT($F1332/100)*60+MOD($F1332,100)))</f>
        <v/>
      </c>
    </row>
    <row r="1333" customFormat="false" ht="15" hidden="false" customHeight="true" outlineLevel="0" collapsed="false">
      <c r="A1333" s="10"/>
      <c r="B1333" s="8"/>
      <c r="C1333" s="13" t="str">
        <f aca="false">IF($B1333="","",IFERROR(INDEX(직원목록!$B$3:$B$302,MATCH($B1333,직원목록!$A$3:$A$302,0)),"미등록사번"))</f>
        <v/>
      </c>
      <c r="D1333" s="13" t="str">
        <f aca="false">IF($B1333="","",IFERROR(INDEX(직원목록!$C$3:$C$302,MATCH($B1333,직원목록!$A$3:$A$302,0)),""))</f>
        <v/>
      </c>
      <c r="E1333" s="14"/>
      <c r="F1333" s="14"/>
      <c r="G1333" s="15"/>
      <c r="H1333" s="16" t="str">
        <f aca="false">IF(OR($K1333="",$L1333=""),"",ROUND(MAX(0,($L1333-$K1333)-IF($G1333="",0,$G1333))/60,2))</f>
        <v/>
      </c>
      <c r="I1333" s="8"/>
      <c r="J1333" s="8"/>
      <c r="K1333" s="17" t="str">
        <f aca="false">IF($E1333="","",IF($E1333&lt;1,ROUND($E1333*1440,0),INT($E1333/100)*60+MOD($E1333,100)))</f>
        <v/>
      </c>
      <c r="L1333" s="17" t="str">
        <f aca="false">IF($F1333="","",IF($F1333&lt;1,ROUND($F1333*1440,0),INT($F1333/100)*60+MOD($F1333,100)))</f>
        <v/>
      </c>
    </row>
    <row r="1334" customFormat="false" ht="15" hidden="false" customHeight="true" outlineLevel="0" collapsed="false">
      <c r="A1334" s="10"/>
      <c r="B1334" s="8"/>
      <c r="C1334" s="13" t="str">
        <f aca="false">IF($B1334="","",IFERROR(INDEX(직원목록!$B$3:$B$302,MATCH($B1334,직원목록!$A$3:$A$302,0)),"미등록사번"))</f>
        <v/>
      </c>
      <c r="D1334" s="13" t="str">
        <f aca="false">IF($B1334="","",IFERROR(INDEX(직원목록!$C$3:$C$302,MATCH($B1334,직원목록!$A$3:$A$302,0)),""))</f>
        <v/>
      </c>
      <c r="E1334" s="14"/>
      <c r="F1334" s="14"/>
      <c r="G1334" s="15"/>
      <c r="H1334" s="16" t="str">
        <f aca="false">IF(OR($K1334="",$L1334=""),"",ROUND(MAX(0,($L1334-$K1334)-IF($G1334="",0,$G1334))/60,2))</f>
        <v/>
      </c>
      <c r="I1334" s="8"/>
      <c r="J1334" s="8"/>
      <c r="K1334" s="17" t="str">
        <f aca="false">IF($E1334="","",IF($E1334&lt;1,ROUND($E1334*1440,0),INT($E1334/100)*60+MOD($E1334,100)))</f>
        <v/>
      </c>
      <c r="L1334" s="17" t="str">
        <f aca="false">IF($F1334="","",IF($F1334&lt;1,ROUND($F1334*1440,0),INT($F1334/100)*60+MOD($F1334,100)))</f>
        <v/>
      </c>
    </row>
    <row r="1335" customFormat="false" ht="15" hidden="false" customHeight="true" outlineLevel="0" collapsed="false">
      <c r="A1335" s="10"/>
      <c r="B1335" s="8"/>
      <c r="C1335" s="13" t="str">
        <f aca="false">IF($B1335="","",IFERROR(INDEX(직원목록!$B$3:$B$302,MATCH($B1335,직원목록!$A$3:$A$302,0)),"미등록사번"))</f>
        <v/>
      </c>
      <c r="D1335" s="13" t="str">
        <f aca="false">IF($B1335="","",IFERROR(INDEX(직원목록!$C$3:$C$302,MATCH($B1335,직원목록!$A$3:$A$302,0)),""))</f>
        <v/>
      </c>
      <c r="E1335" s="14"/>
      <c r="F1335" s="14"/>
      <c r="G1335" s="15"/>
      <c r="H1335" s="16" t="str">
        <f aca="false">IF(OR($K1335="",$L1335=""),"",ROUND(MAX(0,($L1335-$K1335)-IF($G1335="",0,$G1335))/60,2))</f>
        <v/>
      </c>
      <c r="I1335" s="8"/>
      <c r="J1335" s="8"/>
      <c r="K1335" s="17" t="str">
        <f aca="false">IF($E1335="","",IF($E1335&lt;1,ROUND($E1335*1440,0),INT($E1335/100)*60+MOD($E1335,100)))</f>
        <v/>
      </c>
      <c r="L1335" s="17" t="str">
        <f aca="false">IF($F1335="","",IF($F1335&lt;1,ROUND($F1335*1440,0),INT($F1335/100)*60+MOD($F1335,100)))</f>
        <v/>
      </c>
    </row>
    <row r="1336" customFormat="false" ht="15" hidden="false" customHeight="true" outlineLevel="0" collapsed="false">
      <c r="A1336" s="10"/>
      <c r="B1336" s="8"/>
      <c r="C1336" s="13" t="str">
        <f aca="false">IF($B1336="","",IFERROR(INDEX(직원목록!$B$3:$B$302,MATCH($B1336,직원목록!$A$3:$A$302,0)),"미등록사번"))</f>
        <v/>
      </c>
      <c r="D1336" s="13" t="str">
        <f aca="false">IF($B1336="","",IFERROR(INDEX(직원목록!$C$3:$C$302,MATCH($B1336,직원목록!$A$3:$A$302,0)),""))</f>
        <v/>
      </c>
      <c r="E1336" s="14"/>
      <c r="F1336" s="14"/>
      <c r="G1336" s="15"/>
      <c r="H1336" s="16" t="str">
        <f aca="false">IF(OR($K1336="",$L1336=""),"",ROUND(MAX(0,($L1336-$K1336)-IF($G1336="",0,$G1336))/60,2))</f>
        <v/>
      </c>
      <c r="I1336" s="8"/>
      <c r="J1336" s="8"/>
      <c r="K1336" s="17" t="str">
        <f aca="false">IF($E1336="","",IF($E1336&lt;1,ROUND($E1336*1440,0),INT($E1336/100)*60+MOD($E1336,100)))</f>
        <v/>
      </c>
      <c r="L1336" s="17" t="str">
        <f aca="false">IF($F1336="","",IF($F1336&lt;1,ROUND($F1336*1440,0),INT($F1336/100)*60+MOD($F1336,100)))</f>
        <v/>
      </c>
    </row>
    <row r="1337" customFormat="false" ht="15" hidden="false" customHeight="true" outlineLevel="0" collapsed="false">
      <c r="A1337" s="10"/>
      <c r="B1337" s="8"/>
      <c r="C1337" s="13" t="str">
        <f aca="false">IF($B1337="","",IFERROR(INDEX(직원목록!$B$3:$B$302,MATCH($B1337,직원목록!$A$3:$A$302,0)),"미등록사번"))</f>
        <v/>
      </c>
      <c r="D1337" s="13" t="str">
        <f aca="false">IF($B1337="","",IFERROR(INDEX(직원목록!$C$3:$C$302,MATCH($B1337,직원목록!$A$3:$A$302,0)),""))</f>
        <v/>
      </c>
      <c r="E1337" s="14"/>
      <c r="F1337" s="14"/>
      <c r="G1337" s="15"/>
      <c r="H1337" s="16" t="str">
        <f aca="false">IF(OR($K1337="",$L1337=""),"",ROUND(MAX(0,($L1337-$K1337)-IF($G1337="",0,$G1337))/60,2))</f>
        <v/>
      </c>
      <c r="I1337" s="8"/>
      <c r="J1337" s="8"/>
      <c r="K1337" s="17" t="str">
        <f aca="false">IF($E1337="","",IF($E1337&lt;1,ROUND($E1337*1440,0),INT($E1337/100)*60+MOD($E1337,100)))</f>
        <v/>
      </c>
      <c r="L1337" s="17" t="str">
        <f aca="false">IF($F1337="","",IF($F1337&lt;1,ROUND($F1337*1440,0),INT($F1337/100)*60+MOD($F1337,100)))</f>
        <v/>
      </c>
    </row>
    <row r="1338" customFormat="false" ht="15" hidden="false" customHeight="true" outlineLevel="0" collapsed="false">
      <c r="A1338" s="10"/>
      <c r="B1338" s="8"/>
      <c r="C1338" s="13" t="str">
        <f aca="false">IF($B1338="","",IFERROR(INDEX(직원목록!$B$3:$B$302,MATCH($B1338,직원목록!$A$3:$A$302,0)),"미등록사번"))</f>
        <v/>
      </c>
      <c r="D1338" s="13" t="str">
        <f aca="false">IF($B1338="","",IFERROR(INDEX(직원목록!$C$3:$C$302,MATCH($B1338,직원목록!$A$3:$A$302,0)),""))</f>
        <v/>
      </c>
      <c r="E1338" s="14"/>
      <c r="F1338" s="14"/>
      <c r="G1338" s="15"/>
      <c r="H1338" s="16" t="str">
        <f aca="false">IF(OR($K1338="",$L1338=""),"",ROUND(MAX(0,($L1338-$K1338)-IF($G1338="",0,$G1338))/60,2))</f>
        <v/>
      </c>
      <c r="I1338" s="8"/>
      <c r="J1338" s="8"/>
      <c r="K1338" s="17" t="str">
        <f aca="false">IF($E1338="","",IF($E1338&lt;1,ROUND($E1338*1440,0),INT($E1338/100)*60+MOD($E1338,100)))</f>
        <v/>
      </c>
      <c r="L1338" s="17" t="str">
        <f aca="false">IF($F1338="","",IF($F1338&lt;1,ROUND($F1338*1440,0),INT($F1338/100)*60+MOD($F1338,100)))</f>
        <v/>
      </c>
    </row>
    <row r="1339" customFormat="false" ht="15" hidden="false" customHeight="true" outlineLevel="0" collapsed="false">
      <c r="A1339" s="10"/>
      <c r="B1339" s="8"/>
      <c r="C1339" s="13" t="str">
        <f aca="false">IF($B1339="","",IFERROR(INDEX(직원목록!$B$3:$B$302,MATCH($B1339,직원목록!$A$3:$A$302,0)),"미등록사번"))</f>
        <v/>
      </c>
      <c r="D1339" s="13" t="str">
        <f aca="false">IF($B1339="","",IFERROR(INDEX(직원목록!$C$3:$C$302,MATCH($B1339,직원목록!$A$3:$A$302,0)),""))</f>
        <v/>
      </c>
      <c r="E1339" s="14"/>
      <c r="F1339" s="14"/>
      <c r="G1339" s="15"/>
      <c r="H1339" s="16" t="str">
        <f aca="false">IF(OR($K1339="",$L1339=""),"",ROUND(MAX(0,($L1339-$K1339)-IF($G1339="",0,$G1339))/60,2))</f>
        <v/>
      </c>
      <c r="I1339" s="8"/>
      <c r="J1339" s="8"/>
      <c r="K1339" s="17" t="str">
        <f aca="false">IF($E1339="","",IF($E1339&lt;1,ROUND($E1339*1440,0),INT($E1339/100)*60+MOD($E1339,100)))</f>
        <v/>
      </c>
      <c r="L1339" s="17" t="str">
        <f aca="false">IF($F1339="","",IF($F1339&lt;1,ROUND($F1339*1440,0),INT($F1339/100)*60+MOD($F1339,100)))</f>
        <v/>
      </c>
    </row>
    <row r="1340" customFormat="false" ht="15" hidden="false" customHeight="true" outlineLevel="0" collapsed="false">
      <c r="A1340" s="10"/>
      <c r="B1340" s="8"/>
      <c r="C1340" s="13" t="str">
        <f aca="false">IF($B1340="","",IFERROR(INDEX(직원목록!$B$3:$B$302,MATCH($B1340,직원목록!$A$3:$A$302,0)),"미등록사번"))</f>
        <v/>
      </c>
      <c r="D1340" s="13" t="str">
        <f aca="false">IF($B1340="","",IFERROR(INDEX(직원목록!$C$3:$C$302,MATCH($B1340,직원목록!$A$3:$A$302,0)),""))</f>
        <v/>
      </c>
      <c r="E1340" s="14"/>
      <c r="F1340" s="14"/>
      <c r="G1340" s="15"/>
      <c r="H1340" s="16" t="str">
        <f aca="false">IF(OR($K1340="",$L1340=""),"",ROUND(MAX(0,($L1340-$K1340)-IF($G1340="",0,$G1340))/60,2))</f>
        <v/>
      </c>
      <c r="I1340" s="8"/>
      <c r="J1340" s="8"/>
      <c r="K1340" s="17" t="str">
        <f aca="false">IF($E1340="","",IF($E1340&lt;1,ROUND($E1340*1440,0),INT($E1340/100)*60+MOD($E1340,100)))</f>
        <v/>
      </c>
      <c r="L1340" s="17" t="str">
        <f aca="false">IF($F1340="","",IF($F1340&lt;1,ROUND($F1340*1440,0),INT($F1340/100)*60+MOD($F1340,100)))</f>
        <v/>
      </c>
    </row>
    <row r="1341" customFormat="false" ht="15" hidden="false" customHeight="true" outlineLevel="0" collapsed="false">
      <c r="A1341" s="10"/>
      <c r="B1341" s="8"/>
      <c r="C1341" s="13" t="str">
        <f aca="false">IF($B1341="","",IFERROR(INDEX(직원목록!$B$3:$B$302,MATCH($B1341,직원목록!$A$3:$A$302,0)),"미등록사번"))</f>
        <v/>
      </c>
      <c r="D1341" s="13" t="str">
        <f aca="false">IF($B1341="","",IFERROR(INDEX(직원목록!$C$3:$C$302,MATCH($B1341,직원목록!$A$3:$A$302,0)),""))</f>
        <v/>
      </c>
      <c r="E1341" s="14"/>
      <c r="F1341" s="14"/>
      <c r="G1341" s="15"/>
      <c r="H1341" s="16" t="str">
        <f aca="false">IF(OR($K1341="",$L1341=""),"",ROUND(MAX(0,($L1341-$K1341)-IF($G1341="",0,$G1341))/60,2))</f>
        <v/>
      </c>
      <c r="I1341" s="8"/>
      <c r="J1341" s="8"/>
      <c r="K1341" s="17" t="str">
        <f aca="false">IF($E1341="","",IF($E1341&lt;1,ROUND($E1341*1440,0),INT($E1341/100)*60+MOD($E1341,100)))</f>
        <v/>
      </c>
      <c r="L1341" s="17" t="str">
        <f aca="false">IF($F1341="","",IF($F1341&lt;1,ROUND($F1341*1440,0),INT($F1341/100)*60+MOD($F1341,100)))</f>
        <v/>
      </c>
    </row>
    <row r="1342" customFormat="false" ht="15" hidden="false" customHeight="true" outlineLevel="0" collapsed="false">
      <c r="A1342" s="10"/>
      <c r="B1342" s="8"/>
      <c r="C1342" s="13" t="str">
        <f aca="false">IF($B1342="","",IFERROR(INDEX(직원목록!$B$3:$B$302,MATCH($B1342,직원목록!$A$3:$A$302,0)),"미등록사번"))</f>
        <v/>
      </c>
      <c r="D1342" s="13" t="str">
        <f aca="false">IF($B1342="","",IFERROR(INDEX(직원목록!$C$3:$C$302,MATCH($B1342,직원목록!$A$3:$A$302,0)),""))</f>
        <v/>
      </c>
      <c r="E1342" s="14"/>
      <c r="F1342" s="14"/>
      <c r="G1342" s="15"/>
      <c r="H1342" s="16" t="str">
        <f aca="false">IF(OR($K1342="",$L1342=""),"",ROUND(MAX(0,($L1342-$K1342)-IF($G1342="",0,$G1342))/60,2))</f>
        <v/>
      </c>
      <c r="I1342" s="8"/>
      <c r="J1342" s="8"/>
      <c r="K1342" s="17" t="str">
        <f aca="false">IF($E1342="","",IF($E1342&lt;1,ROUND($E1342*1440,0),INT($E1342/100)*60+MOD($E1342,100)))</f>
        <v/>
      </c>
      <c r="L1342" s="17" t="str">
        <f aca="false">IF($F1342="","",IF($F1342&lt;1,ROUND($F1342*1440,0),INT($F1342/100)*60+MOD($F1342,100)))</f>
        <v/>
      </c>
    </row>
    <row r="1343" customFormat="false" ht="15" hidden="false" customHeight="true" outlineLevel="0" collapsed="false">
      <c r="A1343" s="10"/>
      <c r="B1343" s="8"/>
      <c r="C1343" s="13" t="str">
        <f aca="false">IF($B1343="","",IFERROR(INDEX(직원목록!$B$3:$B$302,MATCH($B1343,직원목록!$A$3:$A$302,0)),"미등록사번"))</f>
        <v/>
      </c>
      <c r="D1343" s="13" t="str">
        <f aca="false">IF($B1343="","",IFERROR(INDEX(직원목록!$C$3:$C$302,MATCH($B1343,직원목록!$A$3:$A$302,0)),""))</f>
        <v/>
      </c>
      <c r="E1343" s="14"/>
      <c r="F1343" s="14"/>
      <c r="G1343" s="15"/>
      <c r="H1343" s="16" t="str">
        <f aca="false">IF(OR($K1343="",$L1343=""),"",ROUND(MAX(0,($L1343-$K1343)-IF($G1343="",0,$G1343))/60,2))</f>
        <v/>
      </c>
      <c r="I1343" s="8"/>
      <c r="J1343" s="8"/>
      <c r="K1343" s="17" t="str">
        <f aca="false">IF($E1343="","",IF($E1343&lt;1,ROUND($E1343*1440,0),INT($E1343/100)*60+MOD($E1343,100)))</f>
        <v/>
      </c>
      <c r="L1343" s="17" t="str">
        <f aca="false">IF($F1343="","",IF($F1343&lt;1,ROUND($F1343*1440,0),INT($F1343/100)*60+MOD($F1343,100)))</f>
        <v/>
      </c>
    </row>
    <row r="1344" customFormat="false" ht="15" hidden="false" customHeight="true" outlineLevel="0" collapsed="false">
      <c r="A1344" s="10"/>
      <c r="B1344" s="8"/>
      <c r="C1344" s="13" t="str">
        <f aca="false">IF($B1344="","",IFERROR(INDEX(직원목록!$B$3:$B$302,MATCH($B1344,직원목록!$A$3:$A$302,0)),"미등록사번"))</f>
        <v/>
      </c>
      <c r="D1344" s="13" t="str">
        <f aca="false">IF($B1344="","",IFERROR(INDEX(직원목록!$C$3:$C$302,MATCH($B1344,직원목록!$A$3:$A$302,0)),""))</f>
        <v/>
      </c>
      <c r="E1344" s="14"/>
      <c r="F1344" s="14"/>
      <c r="G1344" s="15"/>
      <c r="H1344" s="16" t="str">
        <f aca="false">IF(OR($K1344="",$L1344=""),"",ROUND(MAX(0,($L1344-$K1344)-IF($G1344="",0,$G1344))/60,2))</f>
        <v/>
      </c>
      <c r="I1344" s="8"/>
      <c r="J1344" s="8"/>
      <c r="K1344" s="17" t="str">
        <f aca="false">IF($E1344="","",IF($E1344&lt;1,ROUND($E1344*1440,0),INT($E1344/100)*60+MOD($E1344,100)))</f>
        <v/>
      </c>
      <c r="L1344" s="17" t="str">
        <f aca="false">IF($F1344="","",IF($F1344&lt;1,ROUND($F1344*1440,0),INT($F1344/100)*60+MOD($F1344,100)))</f>
        <v/>
      </c>
    </row>
    <row r="1345" customFormat="false" ht="15" hidden="false" customHeight="true" outlineLevel="0" collapsed="false">
      <c r="A1345" s="10"/>
      <c r="B1345" s="8"/>
      <c r="C1345" s="13" t="str">
        <f aca="false">IF($B1345="","",IFERROR(INDEX(직원목록!$B$3:$B$302,MATCH($B1345,직원목록!$A$3:$A$302,0)),"미등록사번"))</f>
        <v/>
      </c>
      <c r="D1345" s="13" t="str">
        <f aca="false">IF($B1345="","",IFERROR(INDEX(직원목록!$C$3:$C$302,MATCH($B1345,직원목록!$A$3:$A$302,0)),""))</f>
        <v/>
      </c>
      <c r="E1345" s="14"/>
      <c r="F1345" s="14"/>
      <c r="G1345" s="15"/>
      <c r="H1345" s="16" t="str">
        <f aca="false">IF(OR($K1345="",$L1345=""),"",ROUND(MAX(0,($L1345-$K1345)-IF($G1345="",0,$G1345))/60,2))</f>
        <v/>
      </c>
      <c r="I1345" s="8"/>
      <c r="J1345" s="8"/>
      <c r="K1345" s="17" t="str">
        <f aca="false">IF($E1345="","",IF($E1345&lt;1,ROUND($E1345*1440,0),INT($E1345/100)*60+MOD($E1345,100)))</f>
        <v/>
      </c>
      <c r="L1345" s="17" t="str">
        <f aca="false">IF($F1345="","",IF($F1345&lt;1,ROUND($F1345*1440,0),INT($F1345/100)*60+MOD($F1345,100)))</f>
        <v/>
      </c>
    </row>
    <row r="1346" customFormat="false" ht="15" hidden="false" customHeight="true" outlineLevel="0" collapsed="false">
      <c r="A1346" s="10"/>
      <c r="B1346" s="8"/>
      <c r="C1346" s="13" t="str">
        <f aca="false">IF($B1346="","",IFERROR(INDEX(직원목록!$B$3:$B$302,MATCH($B1346,직원목록!$A$3:$A$302,0)),"미등록사번"))</f>
        <v/>
      </c>
      <c r="D1346" s="13" t="str">
        <f aca="false">IF($B1346="","",IFERROR(INDEX(직원목록!$C$3:$C$302,MATCH($B1346,직원목록!$A$3:$A$302,0)),""))</f>
        <v/>
      </c>
      <c r="E1346" s="14"/>
      <c r="F1346" s="14"/>
      <c r="G1346" s="15"/>
      <c r="H1346" s="16" t="str">
        <f aca="false">IF(OR($K1346="",$L1346=""),"",ROUND(MAX(0,($L1346-$K1346)-IF($G1346="",0,$G1346))/60,2))</f>
        <v/>
      </c>
      <c r="I1346" s="8"/>
      <c r="J1346" s="8"/>
      <c r="K1346" s="17" t="str">
        <f aca="false">IF($E1346="","",IF($E1346&lt;1,ROUND($E1346*1440,0),INT($E1346/100)*60+MOD($E1346,100)))</f>
        <v/>
      </c>
      <c r="L1346" s="17" t="str">
        <f aca="false">IF($F1346="","",IF($F1346&lt;1,ROUND($F1346*1440,0),INT($F1346/100)*60+MOD($F1346,100)))</f>
        <v/>
      </c>
    </row>
    <row r="1347" customFormat="false" ht="15" hidden="false" customHeight="true" outlineLevel="0" collapsed="false">
      <c r="A1347" s="10"/>
      <c r="B1347" s="8"/>
      <c r="C1347" s="13" t="str">
        <f aca="false">IF($B1347="","",IFERROR(INDEX(직원목록!$B$3:$B$302,MATCH($B1347,직원목록!$A$3:$A$302,0)),"미등록사번"))</f>
        <v/>
      </c>
      <c r="D1347" s="13" t="str">
        <f aca="false">IF($B1347="","",IFERROR(INDEX(직원목록!$C$3:$C$302,MATCH($B1347,직원목록!$A$3:$A$302,0)),""))</f>
        <v/>
      </c>
      <c r="E1347" s="14"/>
      <c r="F1347" s="14"/>
      <c r="G1347" s="15"/>
      <c r="H1347" s="16" t="str">
        <f aca="false">IF(OR($K1347="",$L1347=""),"",ROUND(MAX(0,($L1347-$K1347)-IF($G1347="",0,$G1347))/60,2))</f>
        <v/>
      </c>
      <c r="I1347" s="8"/>
      <c r="J1347" s="8"/>
      <c r="K1347" s="17" t="str">
        <f aca="false">IF($E1347="","",IF($E1347&lt;1,ROUND($E1347*1440,0),INT($E1347/100)*60+MOD($E1347,100)))</f>
        <v/>
      </c>
      <c r="L1347" s="17" t="str">
        <f aca="false">IF($F1347="","",IF($F1347&lt;1,ROUND($F1347*1440,0),INT($F1347/100)*60+MOD($F1347,100)))</f>
        <v/>
      </c>
    </row>
    <row r="1348" customFormat="false" ht="15" hidden="false" customHeight="true" outlineLevel="0" collapsed="false">
      <c r="A1348" s="10"/>
      <c r="B1348" s="8"/>
      <c r="C1348" s="13" t="str">
        <f aca="false">IF($B1348="","",IFERROR(INDEX(직원목록!$B$3:$B$302,MATCH($B1348,직원목록!$A$3:$A$302,0)),"미등록사번"))</f>
        <v/>
      </c>
      <c r="D1348" s="13" t="str">
        <f aca="false">IF($B1348="","",IFERROR(INDEX(직원목록!$C$3:$C$302,MATCH($B1348,직원목록!$A$3:$A$302,0)),""))</f>
        <v/>
      </c>
      <c r="E1348" s="14"/>
      <c r="F1348" s="14"/>
      <c r="G1348" s="15"/>
      <c r="H1348" s="16" t="str">
        <f aca="false">IF(OR($K1348="",$L1348=""),"",ROUND(MAX(0,($L1348-$K1348)-IF($G1348="",0,$G1348))/60,2))</f>
        <v/>
      </c>
      <c r="I1348" s="8"/>
      <c r="J1348" s="8"/>
      <c r="K1348" s="17" t="str">
        <f aca="false">IF($E1348="","",IF($E1348&lt;1,ROUND($E1348*1440,0),INT($E1348/100)*60+MOD($E1348,100)))</f>
        <v/>
      </c>
      <c r="L1348" s="17" t="str">
        <f aca="false">IF($F1348="","",IF($F1348&lt;1,ROUND($F1348*1440,0),INT($F1348/100)*60+MOD($F1348,100)))</f>
        <v/>
      </c>
    </row>
    <row r="1349" customFormat="false" ht="15" hidden="false" customHeight="true" outlineLevel="0" collapsed="false">
      <c r="A1349" s="10"/>
      <c r="B1349" s="8"/>
      <c r="C1349" s="13" t="str">
        <f aca="false">IF($B1349="","",IFERROR(INDEX(직원목록!$B$3:$B$302,MATCH($B1349,직원목록!$A$3:$A$302,0)),"미등록사번"))</f>
        <v/>
      </c>
      <c r="D1349" s="13" t="str">
        <f aca="false">IF($B1349="","",IFERROR(INDEX(직원목록!$C$3:$C$302,MATCH($B1349,직원목록!$A$3:$A$302,0)),""))</f>
        <v/>
      </c>
      <c r="E1349" s="14"/>
      <c r="F1349" s="14"/>
      <c r="G1349" s="15"/>
      <c r="H1349" s="16" t="str">
        <f aca="false">IF(OR($K1349="",$L1349=""),"",ROUND(MAX(0,($L1349-$K1349)-IF($G1349="",0,$G1349))/60,2))</f>
        <v/>
      </c>
      <c r="I1349" s="8"/>
      <c r="J1349" s="8"/>
      <c r="K1349" s="17" t="str">
        <f aca="false">IF($E1349="","",IF($E1349&lt;1,ROUND($E1349*1440,0),INT($E1349/100)*60+MOD($E1349,100)))</f>
        <v/>
      </c>
      <c r="L1349" s="17" t="str">
        <f aca="false">IF($F1349="","",IF($F1349&lt;1,ROUND($F1349*1440,0),INT($F1349/100)*60+MOD($F1349,100)))</f>
        <v/>
      </c>
    </row>
    <row r="1350" customFormat="false" ht="15" hidden="false" customHeight="true" outlineLevel="0" collapsed="false">
      <c r="A1350" s="10"/>
      <c r="B1350" s="8"/>
      <c r="C1350" s="13" t="str">
        <f aca="false">IF($B1350="","",IFERROR(INDEX(직원목록!$B$3:$B$302,MATCH($B1350,직원목록!$A$3:$A$302,0)),"미등록사번"))</f>
        <v/>
      </c>
      <c r="D1350" s="13" t="str">
        <f aca="false">IF($B1350="","",IFERROR(INDEX(직원목록!$C$3:$C$302,MATCH($B1350,직원목록!$A$3:$A$302,0)),""))</f>
        <v/>
      </c>
      <c r="E1350" s="14"/>
      <c r="F1350" s="14"/>
      <c r="G1350" s="15"/>
      <c r="H1350" s="16" t="str">
        <f aca="false">IF(OR($K1350="",$L1350=""),"",ROUND(MAX(0,($L1350-$K1350)-IF($G1350="",0,$G1350))/60,2))</f>
        <v/>
      </c>
      <c r="I1350" s="8"/>
      <c r="J1350" s="8"/>
      <c r="K1350" s="17" t="str">
        <f aca="false">IF($E1350="","",IF($E1350&lt;1,ROUND($E1350*1440,0),INT($E1350/100)*60+MOD($E1350,100)))</f>
        <v/>
      </c>
      <c r="L1350" s="17" t="str">
        <f aca="false">IF($F1350="","",IF($F1350&lt;1,ROUND($F1350*1440,0),INT($F1350/100)*60+MOD($F1350,100)))</f>
        <v/>
      </c>
    </row>
    <row r="1351" customFormat="false" ht="15" hidden="false" customHeight="true" outlineLevel="0" collapsed="false">
      <c r="A1351" s="10"/>
      <c r="B1351" s="8"/>
      <c r="C1351" s="13" t="str">
        <f aca="false">IF($B1351="","",IFERROR(INDEX(직원목록!$B$3:$B$302,MATCH($B1351,직원목록!$A$3:$A$302,0)),"미등록사번"))</f>
        <v/>
      </c>
      <c r="D1351" s="13" t="str">
        <f aca="false">IF($B1351="","",IFERROR(INDEX(직원목록!$C$3:$C$302,MATCH($B1351,직원목록!$A$3:$A$302,0)),""))</f>
        <v/>
      </c>
      <c r="E1351" s="14"/>
      <c r="F1351" s="14"/>
      <c r="G1351" s="15"/>
      <c r="H1351" s="16" t="str">
        <f aca="false">IF(OR($K1351="",$L1351=""),"",ROUND(MAX(0,($L1351-$K1351)-IF($G1351="",0,$G1351))/60,2))</f>
        <v/>
      </c>
      <c r="I1351" s="8"/>
      <c r="J1351" s="8"/>
      <c r="K1351" s="17" t="str">
        <f aca="false">IF($E1351="","",IF($E1351&lt;1,ROUND($E1351*1440,0),INT($E1351/100)*60+MOD($E1351,100)))</f>
        <v/>
      </c>
      <c r="L1351" s="17" t="str">
        <f aca="false">IF($F1351="","",IF($F1351&lt;1,ROUND($F1351*1440,0),INT($F1351/100)*60+MOD($F1351,100)))</f>
        <v/>
      </c>
    </row>
    <row r="1352" customFormat="false" ht="15" hidden="false" customHeight="true" outlineLevel="0" collapsed="false">
      <c r="A1352" s="10"/>
      <c r="B1352" s="8"/>
      <c r="C1352" s="13" t="str">
        <f aca="false">IF($B1352="","",IFERROR(INDEX(직원목록!$B$3:$B$302,MATCH($B1352,직원목록!$A$3:$A$302,0)),"미등록사번"))</f>
        <v/>
      </c>
      <c r="D1352" s="13" t="str">
        <f aca="false">IF($B1352="","",IFERROR(INDEX(직원목록!$C$3:$C$302,MATCH($B1352,직원목록!$A$3:$A$302,0)),""))</f>
        <v/>
      </c>
      <c r="E1352" s="14"/>
      <c r="F1352" s="14"/>
      <c r="G1352" s="15"/>
      <c r="H1352" s="16" t="str">
        <f aca="false">IF(OR($K1352="",$L1352=""),"",ROUND(MAX(0,($L1352-$K1352)-IF($G1352="",0,$G1352))/60,2))</f>
        <v/>
      </c>
      <c r="I1352" s="8"/>
      <c r="J1352" s="8"/>
      <c r="K1352" s="17" t="str">
        <f aca="false">IF($E1352="","",IF($E1352&lt;1,ROUND($E1352*1440,0),INT($E1352/100)*60+MOD($E1352,100)))</f>
        <v/>
      </c>
      <c r="L1352" s="17" t="str">
        <f aca="false">IF($F1352="","",IF($F1352&lt;1,ROUND($F1352*1440,0),INT($F1352/100)*60+MOD($F1352,100)))</f>
        <v/>
      </c>
    </row>
    <row r="1353" customFormat="false" ht="15" hidden="false" customHeight="true" outlineLevel="0" collapsed="false">
      <c r="A1353" s="10"/>
      <c r="B1353" s="8"/>
      <c r="C1353" s="13" t="str">
        <f aca="false">IF($B1353="","",IFERROR(INDEX(직원목록!$B$3:$B$302,MATCH($B1353,직원목록!$A$3:$A$302,0)),"미등록사번"))</f>
        <v/>
      </c>
      <c r="D1353" s="13" t="str">
        <f aca="false">IF($B1353="","",IFERROR(INDEX(직원목록!$C$3:$C$302,MATCH($B1353,직원목록!$A$3:$A$302,0)),""))</f>
        <v/>
      </c>
      <c r="E1353" s="14"/>
      <c r="F1353" s="14"/>
      <c r="G1353" s="15"/>
      <c r="H1353" s="16" t="str">
        <f aca="false">IF(OR($K1353="",$L1353=""),"",ROUND(MAX(0,($L1353-$K1353)-IF($G1353="",0,$G1353))/60,2))</f>
        <v/>
      </c>
      <c r="I1353" s="8"/>
      <c r="J1353" s="8"/>
      <c r="K1353" s="17" t="str">
        <f aca="false">IF($E1353="","",IF($E1353&lt;1,ROUND($E1353*1440,0),INT($E1353/100)*60+MOD($E1353,100)))</f>
        <v/>
      </c>
      <c r="L1353" s="17" t="str">
        <f aca="false">IF($F1353="","",IF($F1353&lt;1,ROUND($F1353*1440,0),INT($F1353/100)*60+MOD($F1353,100)))</f>
        <v/>
      </c>
    </row>
    <row r="1354" customFormat="false" ht="15" hidden="false" customHeight="true" outlineLevel="0" collapsed="false">
      <c r="A1354" s="10"/>
      <c r="B1354" s="8"/>
      <c r="C1354" s="13" t="str">
        <f aca="false">IF($B1354="","",IFERROR(INDEX(직원목록!$B$3:$B$302,MATCH($B1354,직원목록!$A$3:$A$302,0)),"미등록사번"))</f>
        <v/>
      </c>
      <c r="D1354" s="13" t="str">
        <f aca="false">IF($B1354="","",IFERROR(INDEX(직원목록!$C$3:$C$302,MATCH($B1354,직원목록!$A$3:$A$302,0)),""))</f>
        <v/>
      </c>
      <c r="E1354" s="14"/>
      <c r="F1354" s="14"/>
      <c r="G1354" s="15"/>
      <c r="H1354" s="16" t="str">
        <f aca="false">IF(OR($K1354="",$L1354=""),"",ROUND(MAX(0,($L1354-$K1354)-IF($G1354="",0,$G1354))/60,2))</f>
        <v/>
      </c>
      <c r="I1354" s="8"/>
      <c r="J1354" s="8"/>
      <c r="K1354" s="17" t="str">
        <f aca="false">IF($E1354="","",IF($E1354&lt;1,ROUND($E1354*1440,0),INT($E1354/100)*60+MOD($E1354,100)))</f>
        <v/>
      </c>
      <c r="L1354" s="17" t="str">
        <f aca="false">IF($F1354="","",IF($F1354&lt;1,ROUND($F1354*1440,0),INT($F1354/100)*60+MOD($F1354,100)))</f>
        <v/>
      </c>
    </row>
    <row r="1355" customFormat="false" ht="15" hidden="false" customHeight="true" outlineLevel="0" collapsed="false">
      <c r="A1355" s="10"/>
      <c r="B1355" s="8"/>
      <c r="C1355" s="13" t="str">
        <f aca="false">IF($B1355="","",IFERROR(INDEX(직원목록!$B$3:$B$302,MATCH($B1355,직원목록!$A$3:$A$302,0)),"미등록사번"))</f>
        <v/>
      </c>
      <c r="D1355" s="13" t="str">
        <f aca="false">IF($B1355="","",IFERROR(INDEX(직원목록!$C$3:$C$302,MATCH($B1355,직원목록!$A$3:$A$302,0)),""))</f>
        <v/>
      </c>
      <c r="E1355" s="14"/>
      <c r="F1355" s="14"/>
      <c r="G1355" s="15"/>
      <c r="H1355" s="16" t="str">
        <f aca="false">IF(OR($K1355="",$L1355=""),"",ROUND(MAX(0,($L1355-$K1355)-IF($G1355="",0,$G1355))/60,2))</f>
        <v/>
      </c>
      <c r="I1355" s="8"/>
      <c r="J1355" s="8"/>
      <c r="K1355" s="17" t="str">
        <f aca="false">IF($E1355="","",IF($E1355&lt;1,ROUND($E1355*1440,0),INT($E1355/100)*60+MOD($E1355,100)))</f>
        <v/>
      </c>
      <c r="L1355" s="17" t="str">
        <f aca="false">IF($F1355="","",IF($F1355&lt;1,ROUND($F1355*1440,0),INT($F1355/100)*60+MOD($F1355,100)))</f>
        <v/>
      </c>
    </row>
    <row r="1356" customFormat="false" ht="15" hidden="false" customHeight="true" outlineLevel="0" collapsed="false">
      <c r="A1356" s="10"/>
      <c r="B1356" s="8"/>
      <c r="C1356" s="13" t="str">
        <f aca="false">IF($B1356="","",IFERROR(INDEX(직원목록!$B$3:$B$302,MATCH($B1356,직원목록!$A$3:$A$302,0)),"미등록사번"))</f>
        <v/>
      </c>
      <c r="D1356" s="13" t="str">
        <f aca="false">IF($B1356="","",IFERROR(INDEX(직원목록!$C$3:$C$302,MATCH($B1356,직원목록!$A$3:$A$302,0)),""))</f>
        <v/>
      </c>
      <c r="E1356" s="14"/>
      <c r="F1356" s="14"/>
      <c r="G1356" s="15"/>
      <c r="H1356" s="16" t="str">
        <f aca="false">IF(OR($K1356="",$L1356=""),"",ROUND(MAX(0,($L1356-$K1356)-IF($G1356="",0,$G1356))/60,2))</f>
        <v/>
      </c>
      <c r="I1356" s="8"/>
      <c r="J1356" s="8"/>
      <c r="K1356" s="17" t="str">
        <f aca="false">IF($E1356="","",IF($E1356&lt;1,ROUND($E1356*1440,0),INT($E1356/100)*60+MOD($E1356,100)))</f>
        <v/>
      </c>
      <c r="L1356" s="17" t="str">
        <f aca="false">IF($F1356="","",IF($F1356&lt;1,ROUND($F1356*1440,0),INT($F1356/100)*60+MOD($F1356,100)))</f>
        <v/>
      </c>
    </row>
    <row r="1357" customFormat="false" ht="15" hidden="false" customHeight="true" outlineLevel="0" collapsed="false">
      <c r="A1357" s="10"/>
      <c r="B1357" s="8"/>
      <c r="C1357" s="13" t="str">
        <f aca="false">IF($B1357="","",IFERROR(INDEX(직원목록!$B$3:$B$302,MATCH($B1357,직원목록!$A$3:$A$302,0)),"미등록사번"))</f>
        <v/>
      </c>
      <c r="D1357" s="13" t="str">
        <f aca="false">IF($B1357="","",IFERROR(INDEX(직원목록!$C$3:$C$302,MATCH($B1357,직원목록!$A$3:$A$302,0)),""))</f>
        <v/>
      </c>
      <c r="E1357" s="14"/>
      <c r="F1357" s="14"/>
      <c r="G1357" s="15"/>
      <c r="H1357" s="16" t="str">
        <f aca="false">IF(OR($K1357="",$L1357=""),"",ROUND(MAX(0,($L1357-$K1357)-IF($G1357="",0,$G1357))/60,2))</f>
        <v/>
      </c>
      <c r="I1357" s="8"/>
      <c r="J1357" s="8"/>
      <c r="K1357" s="17" t="str">
        <f aca="false">IF($E1357="","",IF($E1357&lt;1,ROUND($E1357*1440,0),INT($E1357/100)*60+MOD($E1357,100)))</f>
        <v/>
      </c>
      <c r="L1357" s="17" t="str">
        <f aca="false">IF($F1357="","",IF($F1357&lt;1,ROUND($F1357*1440,0),INT($F1357/100)*60+MOD($F1357,100)))</f>
        <v/>
      </c>
    </row>
    <row r="1358" customFormat="false" ht="15" hidden="false" customHeight="true" outlineLevel="0" collapsed="false">
      <c r="A1358" s="10"/>
      <c r="B1358" s="8"/>
      <c r="C1358" s="13" t="str">
        <f aca="false">IF($B1358="","",IFERROR(INDEX(직원목록!$B$3:$B$302,MATCH($B1358,직원목록!$A$3:$A$302,0)),"미등록사번"))</f>
        <v/>
      </c>
      <c r="D1358" s="13" t="str">
        <f aca="false">IF($B1358="","",IFERROR(INDEX(직원목록!$C$3:$C$302,MATCH($B1358,직원목록!$A$3:$A$302,0)),""))</f>
        <v/>
      </c>
      <c r="E1358" s="14"/>
      <c r="F1358" s="14"/>
      <c r="G1358" s="15"/>
      <c r="H1358" s="16" t="str">
        <f aca="false">IF(OR($K1358="",$L1358=""),"",ROUND(MAX(0,($L1358-$K1358)-IF($G1358="",0,$G1358))/60,2))</f>
        <v/>
      </c>
      <c r="I1358" s="8"/>
      <c r="J1358" s="8"/>
      <c r="K1358" s="17" t="str">
        <f aca="false">IF($E1358="","",IF($E1358&lt;1,ROUND($E1358*1440,0),INT($E1358/100)*60+MOD($E1358,100)))</f>
        <v/>
      </c>
      <c r="L1358" s="17" t="str">
        <f aca="false">IF($F1358="","",IF($F1358&lt;1,ROUND($F1358*1440,0),INT($F1358/100)*60+MOD($F1358,100)))</f>
        <v/>
      </c>
    </row>
    <row r="1359" customFormat="false" ht="15" hidden="false" customHeight="true" outlineLevel="0" collapsed="false">
      <c r="A1359" s="10"/>
      <c r="B1359" s="8"/>
      <c r="C1359" s="13" t="str">
        <f aca="false">IF($B1359="","",IFERROR(INDEX(직원목록!$B$3:$B$302,MATCH($B1359,직원목록!$A$3:$A$302,0)),"미등록사번"))</f>
        <v/>
      </c>
      <c r="D1359" s="13" t="str">
        <f aca="false">IF($B1359="","",IFERROR(INDEX(직원목록!$C$3:$C$302,MATCH($B1359,직원목록!$A$3:$A$302,0)),""))</f>
        <v/>
      </c>
      <c r="E1359" s="14"/>
      <c r="F1359" s="14"/>
      <c r="G1359" s="15"/>
      <c r="H1359" s="16" t="str">
        <f aca="false">IF(OR($K1359="",$L1359=""),"",ROUND(MAX(0,($L1359-$K1359)-IF($G1359="",0,$G1359))/60,2))</f>
        <v/>
      </c>
      <c r="I1359" s="8"/>
      <c r="J1359" s="8"/>
      <c r="K1359" s="17" t="str">
        <f aca="false">IF($E1359="","",IF($E1359&lt;1,ROUND($E1359*1440,0),INT($E1359/100)*60+MOD($E1359,100)))</f>
        <v/>
      </c>
      <c r="L1359" s="17" t="str">
        <f aca="false">IF($F1359="","",IF($F1359&lt;1,ROUND($F1359*1440,0),INT($F1359/100)*60+MOD($F1359,100)))</f>
        <v/>
      </c>
    </row>
    <row r="1360" customFormat="false" ht="15" hidden="false" customHeight="true" outlineLevel="0" collapsed="false">
      <c r="A1360" s="10"/>
      <c r="B1360" s="8"/>
      <c r="C1360" s="13" t="str">
        <f aca="false">IF($B1360="","",IFERROR(INDEX(직원목록!$B$3:$B$302,MATCH($B1360,직원목록!$A$3:$A$302,0)),"미등록사번"))</f>
        <v/>
      </c>
      <c r="D1360" s="13" t="str">
        <f aca="false">IF($B1360="","",IFERROR(INDEX(직원목록!$C$3:$C$302,MATCH($B1360,직원목록!$A$3:$A$302,0)),""))</f>
        <v/>
      </c>
      <c r="E1360" s="14"/>
      <c r="F1360" s="14"/>
      <c r="G1360" s="15"/>
      <c r="H1360" s="16" t="str">
        <f aca="false">IF(OR($K1360="",$L1360=""),"",ROUND(MAX(0,($L1360-$K1360)-IF($G1360="",0,$G1360))/60,2))</f>
        <v/>
      </c>
      <c r="I1360" s="8"/>
      <c r="J1360" s="8"/>
      <c r="K1360" s="17" t="str">
        <f aca="false">IF($E1360="","",IF($E1360&lt;1,ROUND($E1360*1440,0),INT($E1360/100)*60+MOD($E1360,100)))</f>
        <v/>
      </c>
      <c r="L1360" s="17" t="str">
        <f aca="false">IF($F1360="","",IF($F1360&lt;1,ROUND($F1360*1440,0),INT($F1360/100)*60+MOD($F1360,100)))</f>
        <v/>
      </c>
    </row>
    <row r="1361" customFormat="false" ht="15" hidden="false" customHeight="true" outlineLevel="0" collapsed="false">
      <c r="A1361" s="10"/>
      <c r="B1361" s="8"/>
      <c r="C1361" s="13" t="str">
        <f aca="false">IF($B1361="","",IFERROR(INDEX(직원목록!$B$3:$B$302,MATCH($B1361,직원목록!$A$3:$A$302,0)),"미등록사번"))</f>
        <v/>
      </c>
      <c r="D1361" s="13" t="str">
        <f aca="false">IF($B1361="","",IFERROR(INDEX(직원목록!$C$3:$C$302,MATCH($B1361,직원목록!$A$3:$A$302,0)),""))</f>
        <v/>
      </c>
      <c r="E1361" s="14"/>
      <c r="F1361" s="14"/>
      <c r="G1361" s="15"/>
      <c r="H1361" s="16" t="str">
        <f aca="false">IF(OR($K1361="",$L1361=""),"",ROUND(MAX(0,($L1361-$K1361)-IF($G1361="",0,$G1361))/60,2))</f>
        <v/>
      </c>
      <c r="I1361" s="8"/>
      <c r="J1361" s="8"/>
      <c r="K1361" s="17" t="str">
        <f aca="false">IF($E1361="","",IF($E1361&lt;1,ROUND($E1361*1440,0),INT($E1361/100)*60+MOD($E1361,100)))</f>
        <v/>
      </c>
      <c r="L1361" s="17" t="str">
        <f aca="false">IF($F1361="","",IF($F1361&lt;1,ROUND($F1361*1440,0),INT($F1361/100)*60+MOD($F1361,100)))</f>
        <v/>
      </c>
    </row>
    <row r="1362" customFormat="false" ht="15" hidden="false" customHeight="true" outlineLevel="0" collapsed="false">
      <c r="A1362" s="10"/>
      <c r="B1362" s="8"/>
      <c r="C1362" s="13" t="str">
        <f aca="false">IF($B1362="","",IFERROR(INDEX(직원목록!$B$3:$B$302,MATCH($B1362,직원목록!$A$3:$A$302,0)),"미등록사번"))</f>
        <v/>
      </c>
      <c r="D1362" s="13" t="str">
        <f aca="false">IF($B1362="","",IFERROR(INDEX(직원목록!$C$3:$C$302,MATCH($B1362,직원목록!$A$3:$A$302,0)),""))</f>
        <v/>
      </c>
      <c r="E1362" s="14"/>
      <c r="F1362" s="14"/>
      <c r="G1362" s="15"/>
      <c r="H1362" s="16" t="str">
        <f aca="false">IF(OR($K1362="",$L1362=""),"",ROUND(MAX(0,($L1362-$K1362)-IF($G1362="",0,$G1362))/60,2))</f>
        <v/>
      </c>
      <c r="I1362" s="8"/>
      <c r="J1362" s="8"/>
      <c r="K1362" s="17" t="str">
        <f aca="false">IF($E1362="","",IF($E1362&lt;1,ROUND($E1362*1440,0),INT($E1362/100)*60+MOD($E1362,100)))</f>
        <v/>
      </c>
      <c r="L1362" s="17" t="str">
        <f aca="false">IF($F1362="","",IF($F1362&lt;1,ROUND($F1362*1440,0),INT($F1362/100)*60+MOD($F1362,100)))</f>
        <v/>
      </c>
    </row>
    <row r="1363" customFormat="false" ht="15" hidden="false" customHeight="true" outlineLevel="0" collapsed="false">
      <c r="A1363" s="10"/>
      <c r="B1363" s="8"/>
      <c r="C1363" s="13" t="str">
        <f aca="false">IF($B1363="","",IFERROR(INDEX(직원목록!$B$3:$B$302,MATCH($B1363,직원목록!$A$3:$A$302,0)),"미등록사번"))</f>
        <v/>
      </c>
      <c r="D1363" s="13" t="str">
        <f aca="false">IF($B1363="","",IFERROR(INDEX(직원목록!$C$3:$C$302,MATCH($B1363,직원목록!$A$3:$A$302,0)),""))</f>
        <v/>
      </c>
      <c r="E1363" s="14"/>
      <c r="F1363" s="14"/>
      <c r="G1363" s="15"/>
      <c r="H1363" s="16" t="str">
        <f aca="false">IF(OR($K1363="",$L1363=""),"",ROUND(MAX(0,($L1363-$K1363)-IF($G1363="",0,$G1363))/60,2))</f>
        <v/>
      </c>
      <c r="I1363" s="8"/>
      <c r="J1363" s="8"/>
      <c r="K1363" s="17" t="str">
        <f aca="false">IF($E1363="","",IF($E1363&lt;1,ROUND($E1363*1440,0),INT($E1363/100)*60+MOD($E1363,100)))</f>
        <v/>
      </c>
      <c r="L1363" s="17" t="str">
        <f aca="false">IF($F1363="","",IF($F1363&lt;1,ROUND($F1363*1440,0),INT($F1363/100)*60+MOD($F1363,100)))</f>
        <v/>
      </c>
    </row>
    <row r="1364" customFormat="false" ht="15" hidden="false" customHeight="true" outlineLevel="0" collapsed="false">
      <c r="A1364" s="10"/>
      <c r="B1364" s="8"/>
      <c r="C1364" s="13" t="str">
        <f aca="false">IF($B1364="","",IFERROR(INDEX(직원목록!$B$3:$B$302,MATCH($B1364,직원목록!$A$3:$A$302,0)),"미등록사번"))</f>
        <v/>
      </c>
      <c r="D1364" s="13" t="str">
        <f aca="false">IF($B1364="","",IFERROR(INDEX(직원목록!$C$3:$C$302,MATCH($B1364,직원목록!$A$3:$A$302,0)),""))</f>
        <v/>
      </c>
      <c r="E1364" s="14"/>
      <c r="F1364" s="14"/>
      <c r="G1364" s="15"/>
      <c r="H1364" s="16" t="str">
        <f aca="false">IF(OR($K1364="",$L1364=""),"",ROUND(MAX(0,($L1364-$K1364)-IF($G1364="",0,$G1364))/60,2))</f>
        <v/>
      </c>
      <c r="I1364" s="8"/>
      <c r="J1364" s="8"/>
      <c r="K1364" s="17" t="str">
        <f aca="false">IF($E1364="","",IF($E1364&lt;1,ROUND($E1364*1440,0),INT($E1364/100)*60+MOD($E1364,100)))</f>
        <v/>
      </c>
      <c r="L1364" s="17" t="str">
        <f aca="false">IF($F1364="","",IF($F1364&lt;1,ROUND($F1364*1440,0),INT($F1364/100)*60+MOD($F1364,100)))</f>
        <v/>
      </c>
    </row>
    <row r="1365" customFormat="false" ht="15" hidden="false" customHeight="true" outlineLevel="0" collapsed="false">
      <c r="A1365" s="10"/>
      <c r="B1365" s="8"/>
      <c r="C1365" s="13" t="str">
        <f aca="false">IF($B1365="","",IFERROR(INDEX(직원목록!$B$3:$B$302,MATCH($B1365,직원목록!$A$3:$A$302,0)),"미등록사번"))</f>
        <v/>
      </c>
      <c r="D1365" s="13" t="str">
        <f aca="false">IF($B1365="","",IFERROR(INDEX(직원목록!$C$3:$C$302,MATCH($B1365,직원목록!$A$3:$A$302,0)),""))</f>
        <v/>
      </c>
      <c r="E1365" s="14"/>
      <c r="F1365" s="14"/>
      <c r="G1365" s="15"/>
      <c r="H1365" s="16" t="str">
        <f aca="false">IF(OR($K1365="",$L1365=""),"",ROUND(MAX(0,($L1365-$K1365)-IF($G1365="",0,$G1365))/60,2))</f>
        <v/>
      </c>
      <c r="I1365" s="8"/>
      <c r="J1365" s="8"/>
      <c r="K1365" s="17" t="str">
        <f aca="false">IF($E1365="","",IF($E1365&lt;1,ROUND($E1365*1440,0),INT($E1365/100)*60+MOD($E1365,100)))</f>
        <v/>
      </c>
      <c r="L1365" s="17" t="str">
        <f aca="false">IF($F1365="","",IF($F1365&lt;1,ROUND($F1365*1440,0),INT($F1365/100)*60+MOD($F1365,100)))</f>
        <v/>
      </c>
    </row>
    <row r="1366" customFormat="false" ht="15" hidden="false" customHeight="true" outlineLevel="0" collapsed="false">
      <c r="A1366" s="10"/>
      <c r="B1366" s="8"/>
      <c r="C1366" s="13" t="str">
        <f aca="false">IF($B1366="","",IFERROR(INDEX(직원목록!$B$3:$B$302,MATCH($B1366,직원목록!$A$3:$A$302,0)),"미등록사번"))</f>
        <v/>
      </c>
      <c r="D1366" s="13" t="str">
        <f aca="false">IF($B1366="","",IFERROR(INDEX(직원목록!$C$3:$C$302,MATCH($B1366,직원목록!$A$3:$A$302,0)),""))</f>
        <v/>
      </c>
      <c r="E1366" s="14"/>
      <c r="F1366" s="14"/>
      <c r="G1366" s="15"/>
      <c r="H1366" s="16" t="str">
        <f aca="false">IF(OR($K1366="",$L1366=""),"",ROUND(MAX(0,($L1366-$K1366)-IF($G1366="",0,$G1366))/60,2))</f>
        <v/>
      </c>
      <c r="I1366" s="8"/>
      <c r="J1366" s="8"/>
      <c r="K1366" s="17" t="str">
        <f aca="false">IF($E1366="","",IF($E1366&lt;1,ROUND($E1366*1440,0),INT($E1366/100)*60+MOD($E1366,100)))</f>
        <v/>
      </c>
      <c r="L1366" s="17" t="str">
        <f aca="false">IF($F1366="","",IF($F1366&lt;1,ROUND($F1366*1440,0),INT($F1366/100)*60+MOD($F1366,100)))</f>
        <v/>
      </c>
    </row>
    <row r="1367" customFormat="false" ht="15" hidden="false" customHeight="true" outlineLevel="0" collapsed="false">
      <c r="A1367" s="10"/>
      <c r="B1367" s="8"/>
      <c r="C1367" s="13" t="str">
        <f aca="false">IF($B1367="","",IFERROR(INDEX(직원목록!$B$3:$B$302,MATCH($B1367,직원목록!$A$3:$A$302,0)),"미등록사번"))</f>
        <v/>
      </c>
      <c r="D1367" s="13" t="str">
        <f aca="false">IF($B1367="","",IFERROR(INDEX(직원목록!$C$3:$C$302,MATCH($B1367,직원목록!$A$3:$A$302,0)),""))</f>
        <v/>
      </c>
      <c r="E1367" s="14"/>
      <c r="F1367" s="14"/>
      <c r="G1367" s="15"/>
      <c r="H1367" s="16" t="str">
        <f aca="false">IF(OR($K1367="",$L1367=""),"",ROUND(MAX(0,($L1367-$K1367)-IF($G1367="",0,$G1367))/60,2))</f>
        <v/>
      </c>
      <c r="I1367" s="8"/>
      <c r="J1367" s="8"/>
      <c r="K1367" s="17" t="str">
        <f aca="false">IF($E1367="","",IF($E1367&lt;1,ROUND($E1367*1440,0),INT($E1367/100)*60+MOD($E1367,100)))</f>
        <v/>
      </c>
      <c r="L1367" s="17" t="str">
        <f aca="false">IF($F1367="","",IF($F1367&lt;1,ROUND($F1367*1440,0),INT($F1367/100)*60+MOD($F1367,100)))</f>
        <v/>
      </c>
    </row>
    <row r="1368" customFormat="false" ht="15" hidden="false" customHeight="true" outlineLevel="0" collapsed="false">
      <c r="A1368" s="10"/>
      <c r="B1368" s="8"/>
      <c r="C1368" s="13" t="str">
        <f aca="false">IF($B1368="","",IFERROR(INDEX(직원목록!$B$3:$B$302,MATCH($B1368,직원목록!$A$3:$A$302,0)),"미등록사번"))</f>
        <v/>
      </c>
      <c r="D1368" s="13" t="str">
        <f aca="false">IF($B1368="","",IFERROR(INDEX(직원목록!$C$3:$C$302,MATCH($B1368,직원목록!$A$3:$A$302,0)),""))</f>
        <v/>
      </c>
      <c r="E1368" s="14"/>
      <c r="F1368" s="14"/>
      <c r="G1368" s="15"/>
      <c r="H1368" s="16" t="str">
        <f aca="false">IF(OR($K1368="",$L1368=""),"",ROUND(MAX(0,($L1368-$K1368)-IF($G1368="",0,$G1368))/60,2))</f>
        <v/>
      </c>
      <c r="I1368" s="8"/>
      <c r="J1368" s="8"/>
      <c r="K1368" s="17" t="str">
        <f aca="false">IF($E1368="","",IF($E1368&lt;1,ROUND($E1368*1440,0),INT($E1368/100)*60+MOD($E1368,100)))</f>
        <v/>
      </c>
      <c r="L1368" s="17" t="str">
        <f aca="false">IF($F1368="","",IF($F1368&lt;1,ROUND($F1368*1440,0),INT($F1368/100)*60+MOD($F1368,100)))</f>
        <v/>
      </c>
    </row>
    <row r="1369" customFormat="false" ht="15" hidden="false" customHeight="true" outlineLevel="0" collapsed="false">
      <c r="A1369" s="10"/>
      <c r="B1369" s="8"/>
      <c r="C1369" s="13" t="str">
        <f aca="false">IF($B1369="","",IFERROR(INDEX(직원목록!$B$3:$B$302,MATCH($B1369,직원목록!$A$3:$A$302,0)),"미등록사번"))</f>
        <v/>
      </c>
      <c r="D1369" s="13" t="str">
        <f aca="false">IF($B1369="","",IFERROR(INDEX(직원목록!$C$3:$C$302,MATCH($B1369,직원목록!$A$3:$A$302,0)),""))</f>
        <v/>
      </c>
      <c r="E1369" s="14"/>
      <c r="F1369" s="14"/>
      <c r="G1369" s="15"/>
      <c r="H1369" s="16" t="str">
        <f aca="false">IF(OR($K1369="",$L1369=""),"",ROUND(MAX(0,($L1369-$K1369)-IF($G1369="",0,$G1369))/60,2))</f>
        <v/>
      </c>
      <c r="I1369" s="8"/>
      <c r="J1369" s="8"/>
      <c r="K1369" s="17" t="str">
        <f aca="false">IF($E1369="","",IF($E1369&lt;1,ROUND($E1369*1440,0),INT($E1369/100)*60+MOD($E1369,100)))</f>
        <v/>
      </c>
      <c r="L1369" s="17" t="str">
        <f aca="false">IF($F1369="","",IF($F1369&lt;1,ROUND($F1369*1440,0),INT($F1369/100)*60+MOD($F1369,100)))</f>
        <v/>
      </c>
    </row>
    <row r="1370" customFormat="false" ht="15" hidden="false" customHeight="true" outlineLevel="0" collapsed="false">
      <c r="A1370" s="10"/>
      <c r="B1370" s="8"/>
      <c r="C1370" s="13" t="str">
        <f aca="false">IF($B1370="","",IFERROR(INDEX(직원목록!$B$3:$B$302,MATCH($B1370,직원목록!$A$3:$A$302,0)),"미등록사번"))</f>
        <v/>
      </c>
      <c r="D1370" s="13" t="str">
        <f aca="false">IF($B1370="","",IFERROR(INDEX(직원목록!$C$3:$C$302,MATCH($B1370,직원목록!$A$3:$A$302,0)),""))</f>
        <v/>
      </c>
      <c r="E1370" s="14"/>
      <c r="F1370" s="14"/>
      <c r="G1370" s="15"/>
      <c r="H1370" s="16" t="str">
        <f aca="false">IF(OR($K1370="",$L1370=""),"",ROUND(MAX(0,($L1370-$K1370)-IF($G1370="",0,$G1370))/60,2))</f>
        <v/>
      </c>
      <c r="I1370" s="8"/>
      <c r="J1370" s="8"/>
      <c r="K1370" s="17" t="str">
        <f aca="false">IF($E1370="","",IF($E1370&lt;1,ROUND($E1370*1440,0),INT($E1370/100)*60+MOD($E1370,100)))</f>
        <v/>
      </c>
      <c r="L1370" s="17" t="str">
        <f aca="false">IF($F1370="","",IF($F1370&lt;1,ROUND($F1370*1440,0),INT($F1370/100)*60+MOD($F1370,100)))</f>
        <v/>
      </c>
    </row>
    <row r="1371" customFormat="false" ht="15" hidden="false" customHeight="true" outlineLevel="0" collapsed="false">
      <c r="A1371" s="10"/>
      <c r="B1371" s="8"/>
      <c r="C1371" s="13" t="str">
        <f aca="false">IF($B1371="","",IFERROR(INDEX(직원목록!$B$3:$B$302,MATCH($B1371,직원목록!$A$3:$A$302,0)),"미등록사번"))</f>
        <v/>
      </c>
      <c r="D1371" s="13" t="str">
        <f aca="false">IF($B1371="","",IFERROR(INDEX(직원목록!$C$3:$C$302,MATCH($B1371,직원목록!$A$3:$A$302,0)),""))</f>
        <v/>
      </c>
      <c r="E1371" s="14"/>
      <c r="F1371" s="14"/>
      <c r="G1371" s="15"/>
      <c r="H1371" s="16" t="str">
        <f aca="false">IF(OR($K1371="",$L1371=""),"",ROUND(MAX(0,($L1371-$K1371)-IF($G1371="",0,$G1371))/60,2))</f>
        <v/>
      </c>
      <c r="I1371" s="8"/>
      <c r="J1371" s="8"/>
      <c r="K1371" s="17" t="str">
        <f aca="false">IF($E1371="","",IF($E1371&lt;1,ROUND($E1371*1440,0),INT($E1371/100)*60+MOD($E1371,100)))</f>
        <v/>
      </c>
      <c r="L1371" s="17" t="str">
        <f aca="false">IF($F1371="","",IF($F1371&lt;1,ROUND($F1371*1440,0),INT($F1371/100)*60+MOD($F1371,100)))</f>
        <v/>
      </c>
    </row>
    <row r="1372" customFormat="false" ht="15" hidden="false" customHeight="true" outlineLevel="0" collapsed="false">
      <c r="A1372" s="10"/>
      <c r="B1372" s="8"/>
      <c r="C1372" s="13" t="str">
        <f aca="false">IF($B1372="","",IFERROR(INDEX(직원목록!$B$3:$B$302,MATCH($B1372,직원목록!$A$3:$A$302,0)),"미등록사번"))</f>
        <v/>
      </c>
      <c r="D1372" s="13" t="str">
        <f aca="false">IF($B1372="","",IFERROR(INDEX(직원목록!$C$3:$C$302,MATCH($B1372,직원목록!$A$3:$A$302,0)),""))</f>
        <v/>
      </c>
      <c r="E1372" s="14"/>
      <c r="F1372" s="14"/>
      <c r="G1372" s="15"/>
      <c r="H1372" s="16" t="str">
        <f aca="false">IF(OR($K1372="",$L1372=""),"",ROUND(MAX(0,($L1372-$K1372)-IF($G1372="",0,$G1372))/60,2))</f>
        <v/>
      </c>
      <c r="I1372" s="8"/>
      <c r="J1372" s="8"/>
      <c r="K1372" s="17" t="str">
        <f aca="false">IF($E1372="","",IF($E1372&lt;1,ROUND($E1372*1440,0),INT($E1372/100)*60+MOD($E1372,100)))</f>
        <v/>
      </c>
      <c r="L1372" s="17" t="str">
        <f aca="false">IF($F1372="","",IF($F1372&lt;1,ROUND($F1372*1440,0),INT($F1372/100)*60+MOD($F1372,100)))</f>
        <v/>
      </c>
    </row>
    <row r="1373" customFormat="false" ht="15" hidden="false" customHeight="true" outlineLevel="0" collapsed="false">
      <c r="A1373" s="10"/>
      <c r="B1373" s="8"/>
      <c r="C1373" s="13" t="str">
        <f aca="false">IF($B1373="","",IFERROR(INDEX(직원목록!$B$3:$B$302,MATCH($B1373,직원목록!$A$3:$A$302,0)),"미등록사번"))</f>
        <v/>
      </c>
      <c r="D1373" s="13" t="str">
        <f aca="false">IF($B1373="","",IFERROR(INDEX(직원목록!$C$3:$C$302,MATCH($B1373,직원목록!$A$3:$A$302,0)),""))</f>
        <v/>
      </c>
      <c r="E1373" s="14"/>
      <c r="F1373" s="14"/>
      <c r="G1373" s="15"/>
      <c r="H1373" s="16" t="str">
        <f aca="false">IF(OR($K1373="",$L1373=""),"",ROUND(MAX(0,($L1373-$K1373)-IF($G1373="",0,$G1373))/60,2))</f>
        <v/>
      </c>
      <c r="I1373" s="8"/>
      <c r="J1373" s="8"/>
      <c r="K1373" s="17" t="str">
        <f aca="false">IF($E1373="","",IF($E1373&lt;1,ROUND($E1373*1440,0),INT($E1373/100)*60+MOD($E1373,100)))</f>
        <v/>
      </c>
      <c r="L1373" s="17" t="str">
        <f aca="false">IF($F1373="","",IF($F1373&lt;1,ROUND($F1373*1440,0),INT($F1373/100)*60+MOD($F1373,100)))</f>
        <v/>
      </c>
    </row>
    <row r="1374" customFormat="false" ht="15" hidden="false" customHeight="true" outlineLevel="0" collapsed="false">
      <c r="A1374" s="10"/>
      <c r="B1374" s="8"/>
      <c r="C1374" s="13" t="str">
        <f aca="false">IF($B1374="","",IFERROR(INDEX(직원목록!$B$3:$B$302,MATCH($B1374,직원목록!$A$3:$A$302,0)),"미등록사번"))</f>
        <v/>
      </c>
      <c r="D1374" s="13" t="str">
        <f aca="false">IF($B1374="","",IFERROR(INDEX(직원목록!$C$3:$C$302,MATCH($B1374,직원목록!$A$3:$A$302,0)),""))</f>
        <v/>
      </c>
      <c r="E1374" s="14"/>
      <c r="F1374" s="14"/>
      <c r="G1374" s="15"/>
      <c r="H1374" s="16" t="str">
        <f aca="false">IF(OR($K1374="",$L1374=""),"",ROUND(MAX(0,($L1374-$K1374)-IF($G1374="",0,$G1374))/60,2))</f>
        <v/>
      </c>
      <c r="I1374" s="8"/>
      <c r="J1374" s="8"/>
      <c r="K1374" s="17" t="str">
        <f aca="false">IF($E1374="","",IF($E1374&lt;1,ROUND($E1374*1440,0),INT($E1374/100)*60+MOD($E1374,100)))</f>
        <v/>
      </c>
      <c r="L1374" s="17" t="str">
        <f aca="false">IF($F1374="","",IF($F1374&lt;1,ROUND($F1374*1440,0),INT($F1374/100)*60+MOD($F1374,100)))</f>
        <v/>
      </c>
    </row>
    <row r="1375" customFormat="false" ht="15" hidden="false" customHeight="true" outlineLevel="0" collapsed="false">
      <c r="A1375" s="10"/>
      <c r="B1375" s="8"/>
      <c r="C1375" s="13" t="str">
        <f aca="false">IF($B1375="","",IFERROR(INDEX(직원목록!$B$3:$B$302,MATCH($B1375,직원목록!$A$3:$A$302,0)),"미등록사번"))</f>
        <v/>
      </c>
      <c r="D1375" s="13" t="str">
        <f aca="false">IF($B1375="","",IFERROR(INDEX(직원목록!$C$3:$C$302,MATCH($B1375,직원목록!$A$3:$A$302,0)),""))</f>
        <v/>
      </c>
      <c r="E1375" s="14"/>
      <c r="F1375" s="14"/>
      <c r="G1375" s="15"/>
      <c r="H1375" s="16" t="str">
        <f aca="false">IF(OR($K1375="",$L1375=""),"",ROUND(MAX(0,($L1375-$K1375)-IF($G1375="",0,$G1375))/60,2))</f>
        <v/>
      </c>
      <c r="I1375" s="8"/>
      <c r="J1375" s="8"/>
      <c r="K1375" s="17" t="str">
        <f aca="false">IF($E1375="","",IF($E1375&lt;1,ROUND($E1375*1440,0),INT($E1375/100)*60+MOD($E1375,100)))</f>
        <v/>
      </c>
      <c r="L1375" s="17" t="str">
        <f aca="false">IF($F1375="","",IF($F1375&lt;1,ROUND($F1375*1440,0),INT($F1375/100)*60+MOD($F1375,100)))</f>
        <v/>
      </c>
    </row>
    <row r="1376" customFormat="false" ht="15" hidden="false" customHeight="true" outlineLevel="0" collapsed="false">
      <c r="A1376" s="10"/>
      <c r="B1376" s="8"/>
      <c r="C1376" s="13" t="str">
        <f aca="false">IF($B1376="","",IFERROR(INDEX(직원목록!$B$3:$B$302,MATCH($B1376,직원목록!$A$3:$A$302,0)),"미등록사번"))</f>
        <v/>
      </c>
      <c r="D1376" s="13" t="str">
        <f aca="false">IF($B1376="","",IFERROR(INDEX(직원목록!$C$3:$C$302,MATCH($B1376,직원목록!$A$3:$A$302,0)),""))</f>
        <v/>
      </c>
      <c r="E1376" s="14"/>
      <c r="F1376" s="14"/>
      <c r="G1376" s="15"/>
      <c r="H1376" s="16" t="str">
        <f aca="false">IF(OR($K1376="",$L1376=""),"",ROUND(MAX(0,($L1376-$K1376)-IF($G1376="",0,$G1376))/60,2))</f>
        <v/>
      </c>
      <c r="I1376" s="8"/>
      <c r="J1376" s="8"/>
      <c r="K1376" s="17" t="str">
        <f aca="false">IF($E1376="","",IF($E1376&lt;1,ROUND($E1376*1440,0),INT($E1376/100)*60+MOD($E1376,100)))</f>
        <v/>
      </c>
      <c r="L1376" s="17" t="str">
        <f aca="false">IF($F1376="","",IF($F1376&lt;1,ROUND($F1376*1440,0),INT($F1376/100)*60+MOD($F1376,100)))</f>
        <v/>
      </c>
    </row>
    <row r="1377" customFormat="false" ht="15" hidden="false" customHeight="true" outlineLevel="0" collapsed="false">
      <c r="A1377" s="10"/>
      <c r="B1377" s="8"/>
      <c r="C1377" s="13" t="str">
        <f aca="false">IF($B1377="","",IFERROR(INDEX(직원목록!$B$3:$B$302,MATCH($B1377,직원목록!$A$3:$A$302,0)),"미등록사번"))</f>
        <v/>
      </c>
      <c r="D1377" s="13" t="str">
        <f aca="false">IF($B1377="","",IFERROR(INDEX(직원목록!$C$3:$C$302,MATCH($B1377,직원목록!$A$3:$A$302,0)),""))</f>
        <v/>
      </c>
      <c r="E1377" s="14"/>
      <c r="F1377" s="14"/>
      <c r="G1377" s="15"/>
      <c r="H1377" s="16" t="str">
        <f aca="false">IF(OR($K1377="",$L1377=""),"",ROUND(MAX(0,($L1377-$K1377)-IF($G1377="",0,$G1377))/60,2))</f>
        <v/>
      </c>
      <c r="I1377" s="8"/>
      <c r="J1377" s="8"/>
      <c r="K1377" s="17" t="str">
        <f aca="false">IF($E1377="","",IF($E1377&lt;1,ROUND($E1377*1440,0),INT($E1377/100)*60+MOD($E1377,100)))</f>
        <v/>
      </c>
      <c r="L1377" s="17" t="str">
        <f aca="false">IF($F1377="","",IF($F1377&lt;1,ROUND($F1377*1440,0),INT($F1377/100)*60+MOD($F1377,100)))</f>
        <v/>
      </c>
    </row>
    <row r="1378" customFormat="false" ht="15" hidden="false" customHeight="true" outlineLevel="0" collapsed="false">
      <c r="A1378" s="10"/>
      <c r="B1378" s="8"/>
      <c r="C1378" s="13" t="str">
        <f aca="false">IF($B1378="","",IFERROR(INDEX(직원목록!$B$3:$B$302,MATCH($B1378,직원목록!$A$3:$A$302,0)),"미등록사번"))</f>
        <v/>
      </c>
      <c r="D1378" s="13" t="str">
        <f aca="false">IF($B1378="","",IFERROR(INDEX(직원목록!$C$3:$C$302,MATCH($B1378,직원목록!$A$3:$A$302,0)),""))</f>
        <v/>
      </c>
      <c r="E1378" s="14"/>
      <c r="F1378" s="14"/>
      <c r="G1378" s="15"/>
      <c r="H1378" s="16" t="str">
        <f aca="false">IF(OR($K1378="",$L1378=""),"",ROUND(MAX(0,($L1378-$K1378)-IF($G1378="",0,$G1378))/60,2))</f>
        <v/>
      </c>
      <c r="I1378" s="8"/>
      <c r="J1378" s="8"/>
      <c r="K1378" s="17" t="str">
        <f aca="false">IF($E1378="","",IF($E1378&lt;1,ROUND($E1378*1440,0),INT($E1378/100)*60+MOD($E1378,100)))</f>
        <v/>
      </c>
      <c r="L1378" s="17" t="str">
        <f aca="false">IF($F1378="","",IF($F1378&lt;1,ROUND($F1378*1440,0),INT($F1378/100)*60+MOD($F1378,100)))</f>
        <v/>
      </c>
    </row>
    <row r="1379" customFormat="false" ht="15" hidden="false" customHeight="true" outlineLevel="0" collapsed="false">
      <c r="A1379" s="10"/>
      <c r="B1379" s="8"/>
      <c r="C1379" s="13" t="str">
        <f aca="false">IF($B1379="","",IFERROR(INDEX(직원목록!$B$3:$B$302,MATCH($B1379,직원목록!$A$3:$A$302,0)),"미등록사번"))</f>
        <v/>
      </c>
      <c r="D1379" s="13" t="str">
        <f aca="false">IF($B1379="","",IFERROR(INDEX(직원목록!$C$3:$C$302,MATCH($B1379,직원목록!$A$3:$A$302,0)),""))</f>
        <v/>
      </c>
      <c r="E1379" s="14"/>
      <c r="F1379" s="14"/>
      <c r="G1379" s="15"/>
      <c r="H1379" s="16" t="str">
        <f aca="false">IF(OR($K1379="",$L1379=""),"",ROUND(MAX(0,($L1379-$K1379)-IF($G1379="",0,$G1379))/60,2))</f>
        <v/>
      </c>
      <c r="I1379" s="8"/>
      <c r="J1379" s="8"/>
      <c r="K1379" s="17" t="str">
        <f aca="false">IF($E1379="","",IF($E1379&lt;1,ROUND($E1379*1440,0),INT($E1379/100)*60+MOD($E1379,100)))</f>
        <v/>
      </c>
      <c r="L1379" s="17" t="str">
        <f aca="false">IF($F1379="","",IF($F1379&lt;1,ROUND($F1379*1440,0),INT($F1379/100)*60+MOD($F1379,100)))</f>
        <v/>
      </c>
    </row>
    <row r="1380" customFormat="false" ht="15" hidden="false" customHeight="true" outlineLevel="0" collapsed="false">
      <c r="A1380" s="10"/>
      <c r="B1380" s="8"/>
      <c r="C1380" s="13" t="str">
        <f aca="false">IF($B1380="","",IFERROR(INDEX(직원목록!$B$3:$B$302,MATCH($B1380,직원목록!$A$3:$A$302,0)),"미등록사번"))</f>
        <v/>
      </c>
      <c r="D1380" s="13" t="str">
        <f aca="false">IF($B1380="","",IFERROR(INDEX(직원목록!$C$3:$C$302,MATCH($B1380,직원목록!$A$3:$A$302,0)),""))</f>
        <v/>
      </c>
      <c r="E1380" s="14"/>
      <c r="F1380" s="14"/>
      <c r="G1380" s="15"/>
      <c r="H1380" s="16" t="str">
        <f aca="false">IF(OR($K1380="",$L1380=""),"",ROUND(MAX(0,($L1380-$K1380)-IF($G1380="",0,$G1380))/60,2))</f>
        <v/>
      </c>
      <c r="I1380" s="8"/>
      <c r="J1380" s="8"/>
      <c r="K1380" s="17" t="str">
        <f aca="false">IF($E1380="","",IF($E1380&lt;1,ROUND($E1380*1440,0),INT($E1380/100)*60+MOD($E1380,100)))</f>
        <v/>
      </c>
      <c r="L1380" s="17" t="str">
        <f aca="false">IF($F1380="","",IF($F1380&lt;1,ROUND($F1380*1440,0),INT($F1380/100)*60+MOD($F1380,100)))</f>
        <v/>
      </c>
    </row>
    <row r="1381" customFormat="false" ht="15" hidden="false" customHeight="true" outlineLevel="0" collapsed="false">
      <c r="A1381" s="10"/>
      <c r="B1381" s="8"/>
      <c r="C1381" s="13" t="str">
        <f aca="false">IF($B1381="","",IFERROR(INDEX(직원목록!$B$3:$B$302,MATCH($B1381,직원목록!$A$3:$A$302,0)),"미등록사번"))</f>
        <v/>
      </c>
      <c r="D1381" s="13" t="str">
        <f aca="false">IF($B1381="","",IFERROR(INDEX(직원목록!$C$3:$C$302,MATCH($B1381,직원목록!$A$3:$A$302,0)),""))</f>
        <v/>
      </c>
      <c r="E1381" s="14"/>
      <c r="F1381" s="14"/>
      <c r="G1381" s="15"/>
      <c r="H1381" s="16" t="str">
        <f aca="false">IF(OR($K1381="",$L1381=""),"",ROUND(MAX(0,($L1381-$K1381)-IF($G1381="",0,$G1381))/60,2))</f>
        <v/>
      </c>
      <c r="I1381" s="8"/>
      <c r="J1381" s="8"/>
      <c r="K1381" s="17" t="str">
        <f aca="false">IF($E1381="","",IF($E1381&lt;1,ROUND($E1381*1440,0),INT($E1381/100)*60+MOD($E1381,100)))</f>
        <v/>
      </c>
      <c r="L1381" s="17" t="str">
        <f aca="false">IF($F1381="","",IF($F1381&lt;1,ROUND($F1381*1440,0),INT($F1381/100)*60+MOD($F1381,100)))</f>
        <v/>
      </c>
    </row>
    <row r="1382" customFormat="false" ht="15" hidden="false" customHeight="true" outlineLevel="0" collapsed="false">
      <c r="A1382" s="10"/>
      <c r="B1382" s="8"/>
      <c r="C1382" s="13" t="str">
        <f aca="false">IF($B1382="","",IFERROR(INDEX(직원목록!$B$3:$B$302,MATCH($B1382,직원목록!$A$3:$A$302,0)),"미등록사번"))</f>
        <v/>
      </c>
      <c r="D1382" s="13" t="str">
        <f aca="false">IF($B1382="","",IFERROR(INDEX(직원목록!$C$3:$C$302,MATCH($B1382,직원목록!$A$3:$A$302,0)),""))</f>
        <v/>
      </c>
      <c r="E1382" s="14"/>
      <c r="F1382" s="14"/>
      <c r="G1382" s="15"/>
      <c r="H1382" s="16" t="str">
        <f aca="false">IF(OR($K1382="",$L1382=""),"",ROUND(MAX(0,($L1382-$K1382)-IF($G1382="",0,$G1382))/60,2))</f>
        <v/>
      </c>
      <c r="I1382" s="8"/>
      <c r="J1382" s="8"/>
      <c r="K1382" s="17" t="str">
        <f aca="false">IF($E1382="","",IF($E1382&lt;1,ROUND($E1382*1440,0),INT($E1382/100)*60+MOD($E1382,100)))</f>
        <v/>
      </c>
      <c r="L1382" s="17" t="str">
        <f aca="false">IF($F1382="","",IF($F1382&lt;1,ROUND($F1382*1440,0),INT($F1382/100)*60+MOD($F1382,100)))</f>
        <v/>
      </c>
    </row>
    <row r="1383" customFormat="false" ht="15" hidden="false" customHeight="true" outlineLevel="0" collapsed="false">
      <c r="A1383" s="10"/>
      <c r="B1383" s="8"/>
      <c r="C1383" s="13" t="str">
        <f aca="false">IF($B1383="","",IFERROR(INDEX(직원목록!$B$3:$B$302,MATCH($B1383,직원목록!$A$3:$A$302,0)),"미등록사번"))</f>
        <v/>
      </c>
      <c r="D1383" s="13" t="str">
        <f aca="false">IF($B1383="","",IFERROR(INDEX(직원목록!$C$3:$C$302,MATCH($B1383,직원목록!$A$3:$A$302,0)),""))</f>
        <v/>
      </c>
      <c r="E1383" s="14"/>
      <c r="F1383" s="14"/>
      <c r="G1383" s="15"/>
      <c r="H1383" s="16" t="str">
        <f aca="false">IF(OR($K1383="",$L1383=""),"",ROUND(MAX(0,($L1383-$K1383)-IF($G1383="",0,$G1383))/60,2))</f>
        <v/>
      </c>
      <c r="I1383" s="8"/>
      <c r="J1383" s="8"/>
      <c r="K1383" s="17" t="str">
        <f aca="false">IF($E1383="","",IF($E1383&lt;1,ROUND($E1383*1440,0),INT($E1383/100)*60+MOD($E1383,100)))</f>
        <v/>
      </c>
      <c r="L1383" s="17" t="str">
        <f aca="false">IF($F1383="","",IF($F1383&lt;1,ROUND($F1383*1440,0),INT($F1383/100)*60+MOD($F1383,100)))</f>
        <v/>
      </c>
    </row>
    <row r="1384" customFormat="false" ht="15" hidden="false" customHeight="true" outlineLevel="0" collapsed="false">
      <c r="A1384" s="10"/>
      <c r="B1384" s="8"/>
      <c r="C1384" s="13" t="str">
        <f aca="false">IF($B1384="","",IFERROR(INDEX(직원목록!$B$3:$B$302,MATCH($B1384,직원목록!$A$3:$A$302,0)),"미등록사번"))</f>
        <v/>
      </c>
      <c r="D1384" s="13" t="str">
        <f aca="false">IF($B1384="","",IFERROR(INDEX(직원목록!$C$3:$C$302,MATCH($B1384,직원목록!$A$3:$A$302,0)),""))</f>
        <v/>
      </c>
      <c r="E1384" s="14"/>
      <c r="F1384" s="14"/>
      <c r="G1384" s="15"/>
      <c r="H1384" s="16" t="str">
        <f aca="false">IF(OR($K1384="",$L1384=""),"",ROUND(MAX(0,($L1384-$K1384)-IF($G1384="",0,$G1384))/60,2))</f>
        <v/>
      </c>
      <c r="I1384" s="8"/>
      <c r="J1384" s="8"/>
      <c r="K1384" s="17" t="str">
        <f aca="false">IF($E1384="","",IF($E1384&lt;1,ROUND($E1384*1440,0),INT($E1384/100)*60+MOD($E1384,100)))</f>
        <v/>
      </c>
      <c r="L1384" s="17" t="str">
        <f aca="false">IF($F1384="","",IF($F1384&lt;1,ROUND($F1384*1440,0),INT($F1384/100)*60+MOD($F1384,100)))</f>
        <v/>
      </c>
    </row>
    <row r="1385" customFormat="false" ht="15" hidden="false" customHeight="true" outlineLevel="0" collapsed="false">
      <c r="A1385" s="10"/>
      <c r="B1385" s="8"/>
      <c r="C1385" s="13" t="str">
        <f aca="false">IF($B1385="","",IFERROR(INDEX(직원목록!$B$3:$B$302,MATCH($B1385,직원목록!$A$3:$A$302,0)),"미등록사번"))</f>
        <v/>
      </c>
      <c r="D1385" s="13" t="str">
        <f aca="false">IF($B1385="","",IFERROR(INDEX(직원목록!$C$3:$C$302,MATCH($B1385,직원목록!$A$3:$A$302,0)),""))</f>
        <v/>
      </c>
      <c r="E1385" s="14"/>
      <c r="F1385" s="14"/>
      <c r="G1385" s="15"/>
      <c r="H1385" s="16" t="str">
        <f aca="false">IF(OR($K1385="",$L1385=""),"",ROUND(MAX(0,($L1385-$K1385)-IF($G1385="",0,$G1385))/60,2))</f>
        <v/>
      </c>
      <c r="I1385" s="8"/>
      <c r="J1385" s="8"/>
      <c r="K1385" s="17" t="str">
        <f aca="false">IF($E1385="","",IF($E1385&lt;1,ROUND($E1385*1440,0),INT($E1385/100)*60+MOD($E1385,100)))</f>
        <v/>
      </c>
      <c r="L1385" s="17" t="str">
        <f aca="false">IF($F1385="","",IF($F1385&lt;1,ROUND($F1385*1440,0),INT($F1385/100)*60+MOD($F1385,100)))</f>
        <v/>
      </c>
    </row>
    <row r="1386" customFormat="false" ht="15" hidden="false" customHeight="true" outlineLevel="0" collapsed="false">
      <c r="A1386" s="10"/>
      <c r="B1386" s="8"/>
      <c r="C1386" s="13" t="str">
        <f aca="false">IF($B1386="","",IFERROR(INDEX(직원목록!$B$3:$B$302,MATCH($B1386,직원목록!$A$3:$A$302,0)),"미등록사번"))</f>
        <v/>
      </c>
      <c r="D1386" s="13" t="str">
        <f aca="false">IF($B1386="","",IFERROR(INDEX(직원목록!$C$3:$C$302,MATCH($B1386,직원목록!$A$3:$A$302,0)),""))</f>
        <v/>
      </c>
      <c r="E1386" s="14"/>
      <c r="F1386" s="14"/>
      <c r="G1386" s="15"/>
      <c r="H1386" s="16" t="str">
        <f aca="false">IF(OR($K1386="",$L1386=""),"",ROUND(MAX(0,($L1386-$K1386)-IF($G1386="",0,$G1386))/60,2))</f>
        <v/>
      </c>
      <c r="I1386" s="8"/>
      <c r="J1386" s="8"/>
      <c r="K1386" s="17" t="str">
        <f aca="false">IF($E1386="","",IF($E1386&lt;1,ROUND($E1386*1440,0),INT($E1386/100)*60+MOD($E1386,100)))</f>
        <v/>
      </c>
      <c r="L1386" s="17" t="str">
        <f aca="false">IF($F1386="","",IF($F1386&lt;1,ROUND($F1386*1440,0),INT($F1386/100)*60+MOD($F1386,100)))</f>
        <v/>
      </c>
    </row>
    <row r="1387" customFormat="false" ht="15" hidden="false" customHeight="true" outlineLevel="0" collapsed="false">
      <c r="A1387" s="10"/>
      <c r="B1387" s="8"/>
      <c r="C1387" s="13" t="str">
        <f aca="false">IF($B1387="","",IFERROR(INDEX(직원목록!$B$3:$B$302,MATCH($B1387,직원목록!$A$3:$A$302,0)),"미등록사번"))</f>
        <v/>
      </c>
      <c r="D1387" s="13" t="str">
        <f aca="false">IF($B1387="","",IFERROR(INDEX(직원목록!$C$3:$C$302,MATCH($B1387,직원목록!$A$3:$A$302,0)),""))</f>
        <v/>
      </c>
      <c r="E1387" s="14"/>
      <c r="F1387" s="14"/>
      <c r="G1387" s="15"/>
      <c r="H1387" s="16" t="str">
        <f aca="false">IF(OR($K1387="",$L1387=""),"",ROUND(MAX(0,($L1387-$K1387)-IF($G1387="",0,$G1387))/60,2))</f>
        <v/>
      </c>
      <c r="I1387" s="8"/>
      <c r="J1387" s="8"/>
      <c r="K1387" s="17" t="str">
        <f aca="false">IF($E1387="","",IF($E1387&lt;1,ROUND($E1387*1440,0),INT($E1387/100)*60+MOD($E1387,100)))</f>
        <v/>
      </c>
      <c r="L1387" s="17" t="str">
        <f aca="false">IF($F1387="","",IF($F1387&lt;1,ROUND($F1387*1440,0),INT($F1387/100)*60+MOD($F1387,100)))</f>
        <v/>
      </c>
    </row>
    <row r="1388" customFormat="false" ht="15" hidden="false" customHeight="true" outlineLevel="0" collapsed="false">
      <c r="A1388" s="10"/>
      <c r="B1388" s="8"/>
      <c r="C1388" s="13" t="str">
        <f aca="false">IF($B1388="","",IFERROR(INDEX(직원목록!$B$3:$B$302,MATCH($B1388,직원목록!$A$3:$A$302,0)),"미등록사번"))</f>
        <v/>
      </c>
      <c r="D1388" s="13" t="str">
        <f aca="false">IF($B1388="","",IFERROR(INDEX(직원목록!$C$3:$C$302,MATCH($B1388,직원목록!$A$3:$A$302,0)),""))</f>
        <v/>
      </c>
      <c r="E1388" s="14"/>
      <c r="F1388" s="14"/>
      <c r="G1388" s="15"/>
      <c r="H1388" s="16" t="str">
        <f aca="false">IF(OR($K1388="",$L1388=""),"",ROUND(MAX(0,($L1388-$K1388)-IF($G1388="",0,$G1388))/60,2))</f>
        <v/>
      </c>
      <c r="I1388" s="8"/>
      <c r="J1388" s="8"/>
      <c r="K1388" s="17" t="str">
        <f aca="false">IF($E1388="","",IF($E1388&lt;1,ROUND($E1388*1440,0),INT($E1388/100)*60+MOD($E1388,100)))</f>
        <v/>
      </c>
      <c r="L1388" s="17" t="str">
        <f aca="false">IF($F1388="","",IF($F1388&lt;1,ROUND($F1388*1440,0),INT($F1388/100)*60+MOD($F1388,100)))</f>
        <v/>
      </c>
    </row>
    <row r="1389" customFormat="false" ht="15" hidden="false" customHeight="true" outlineLevel="0" collapsed="false">
      <c r="A1389" s="10"/>
      <c r="B1389" s="8"/>
      <c r="C1389" s="13" t="str">
        <f aca="false">IF($B1389="","",IFERROR(INDEX(직원목록!$B$3:$B$302,MATCH($B1389,직원목록!$A$3:$A$302,0)),"미등록사번"))</f>
        <v/>
      </c>
      <c r="D1389" s="13" t="str">
        <f aca="false">IF($B1389="","",IFERROR(INDEX(직원목록!$C$3:$C$302,MATCH($B1389,직원목록!$A$3:$A$302,0)),""))</f>
        <v/>
      </c>
      <c r="E1389" s="14"/>
      <c r="F1389" s="14"/>
      <c r="G1389" s="15"/>
      <c r="H1389" s="16" t="str">
        <f aca="false">IF(OR($K1389="",$L1389=""),"",ROUND(MAX(0,($L1389-$K1389)-IF($G1389="",0,$G1389))/60,2))</f>
        <v/>
      </c>
      <c r="I1389" s="8"/>
      <c r="J1389" s="8"/>
      <c r="K1389" s="17" t="str">
        <f aca="false">IF($E1389="","",IF($E1389&lt;1,ROUND($E1389*1440,0),INT($E1389/100)*60+MOD($E1389,100)))</f>
        <v/>
      </c>
      <c r="L1389" s="17" t="str">
        <f aca="false">IF($F1389="","",IF($F1389&lt;1,ROUND($F1389*1440,0),INT($F1389/100)*60+MOD($F1389,100)))</f>
        <v/>
      </c>
    </row>
    <row r="1390" customFormat="false" ht="15" hidden="false" customHeight="true" outlineLevel="0" collapsed="false">
      <c r="A1390" s="10"/>
      <c r="B1390" s="8"/>
      <c r="C1390" s="13" t="str">
        <f aca="false">IF($B1390="","",IFERROR(INDEX(직원목록!$B$3:$B$302,MATCH($B1390,직원목록!$A$3:$A$302,0)),"미등록사번"))</f>
        <v/>
      </c>
      <c r="D1390" s="13" t="str">
        <f aca="false">IF($B1390="","",IFERROR(INDEX(직원목록!$C$3:$C$302,MATCH($B1390,직원목록!$A$3:$A$302,0)),""))</f>
        <v/>
      </c>
      <c r="E1390" s="14"/>
      <c r="F1390" s="14"/>
      <c r="G1390" s="15"/>
      <c r="H1390" s="16" t="str">
        <f aca="false">IF(OR($K1390="",$L1390=""),"",ROUND(MAX(0,($L1390-$K1390)-IF($G1390="",0,$G1390))/60,2))</f>
        <v/>
      </c>
      <c r="I1390" s="8"/>
      <c r="J1390" s="8"/>
      <c r="K1390" s="17" t="str">
        <f aca="false">IF($E1390="","",IF($E1390&lt;1,ROUND($E1390*1440,0),INT($E1390/100)*60+MOD($E1390,100)))</f>
        <v/>
      </c>
      <c r="L1390" s="17" t="str">
        <f aca="false">IF($F1390="","",IF($F1390&lt;1,ROUND($F1390*1440,0),INT($F1390/100)*60+MOD($F1390,100)))</f>
        <v/>
      </c>
    </row>
    <row r="1391" customFormat="false" ht="15" hidden="false" customHeight="true" outlineLevel="0" collapsed="false">
      <c r="A1391" s="10"/>
      <c r="B1391" s="8"/>
      <c r="C1391" s="13" t="str">
        <f aca="false">IF($B1391="","",IFERROR(INDEX(직원목록!$B$3:$B$302,MATCH($B1391,직원목록!$A$3:$A$302,0)),"미등록사번"))</f>
        <v/>
      </c>
      <c r="D1391" s="13" t="str">
        <f aca="false">IF($B1391="","",IFERROR(INDEX(직원목록!$C$3:$C$302,MATCH($B1391,직원목록!$A$3:$A$302,0)),""))</f>
        <v/>
      </c>
      <c r="E1391" s="14"/>
      <c r="F1391" s="14"/>
      <c r="G1391" s="15"/>
      <c r="H1391" s="16" t="str">
        <f aca="false">IF(OR($K1391="",$L1391=""),"",ROUND(MAX(0,($L1391-$K1391)-IF($G1391="",0,$G1391))/60,2))</f>
        <v/>
      </c>
      <c r="I1391" s="8"/>
      <c r="J1391" s="8"/>
      <c r="K1391" s="17" t="str">
        <f aca="false">IF($E1391="","",IF($E1391&lt;1,ROUND($E1391*1440,0),INT($E1391/100)*60+MOD($E1391,100)))</f>
        <v/>
      </c>
      <c r="L1391" s="17" t="str">
        <f aca="false">IF($F1391="","",IF($F1391&lt;1,ROUND($F1391*1440,0),INT($F1391/100)*60+MOD($F1391,100)))</f>
        <v/>
      </c>
    </row>
    <row r="1392" customFormat="false" ht="15" hidden="false" customHeight="true" outlineLevel="0" collapsed="false">
      <c r="A1392" s="10"/>
      <c r="B1392" s="8"/>
      <c r="C1392" s="13" t="str">
        <f aca="false">IF($B1392="","",IFERROR(INDEX(직원목록!$B$3:$B$302,MATCH($B1392,직원목록!$A$3:$A$302,0)),"미등록사번"))</f>
        <v/>
      </c>
      <c r="D1392" s="13" t="str">
        <f aca="false">IF($B1392="","",IFERROR(INDEX(직원목록!$C$3:$C$302,MATCH($B1392,직원목록!$A$3:$A$302,0)),""))</f>
        <v/>
      </c>
      <c r="E1392" s="14"/>
      <c r="F1392" s="14"/>
      <c r="G1392" s="15"/>
      <c r="H1392" s="16" t="str">
        <f aca="false">IF(OR($K1392="",$L1392=""),"",ROUND(MAX(0,($L1392-$K1392)-IF($G1392="",0,$G1392))/60,2))</f>
        <v/>
      </c>
      <c r="I1392" s="8"/>
      <c r="J1392" s="8"/>
      <c r="K1392" s="17" t="str">
        <f aca="false">IF($E1392="","",IF($E1392&lt;1,ROUND($E1392*1440,0),INT($E1392/100)*60+MOD($E1392,100)))</f>
        <v/>
      </c>
      <c r="L1392" s="17" t="str">
        <f aca="false">IF($F1392="","",IF($F1392&lt;1,ROUND($F1392*1440,0),INT($F1392/100)*60+MOD($F1392,100)))</f>
        <v/>
      </c>
    </row>
    <row r="1393" customFormat="false" ht="15" hidden="false" customHeight="true" outlineLevel="0" collapsed="false">
      <c r="A1393" s="10"/>
      <c r="B1393" s="8"/>
      <c r="C1393" s="13" t="str">
        <f aca="false">IF($B1393="","",IFERROR(INDEX(직원목록!$B$3:$B$302,MATCH($B1393,직원목록!$A$3:$A$302,0)),"미등록사번"))</f>
        <v/>
      </c>
      <c r="D1393" s="13" t="str">
        <f aca="false">IF($B1393="","",IFERROR(INDEX(직원목록!$C$3:$C$302,MATCH($B1393,직원목록!$A$3:$A$302,0)),""))</f>
        <v/>
      </c>
      <c r="E1393" s="14"/>
      <c r="F1393" s="14"/>
      <c r="G1393" s="15"/>
      <c r="H1393" s="16" t="str">
        <f aca="false">IF(OR($K1393="",$L1393=""),"",ROUND(MAX(0,($L1393-$K1393)-IF($G1393="",0,$G1393))/60,2))</f>
        <v/>
      </c>
      <c r="I1393" s="8"/>
      <c r="J1393" s="8"/>
      <c r="K1393" s="17" t="str">
        <f aca="false">IF($E1393="","",IF($E1393&lt;1,ROUND($E1393*1440,0),INT($E1393/100)*60+MOD($E1393,100)))</f>
        <v/>
      </c>
      <c r="L1393" s="17" t="str">
        <f aca="false">IF($F1393="","",IF($F1393&lt;1,ROUND($F1393*1440,0),INT($F1393/100)*60+MOD($F1393,100)))</f>
        <v/>
      </c>
    </row>
    <row r="1394" customFormat="false" ht="15" hidden="false" customHeight="true" outlineLevel="0" collapsed="false">
      <c r="A1394" s="10"/>
      <c r="B1394" s="8"/>
      <c r="C1394" s="13" t="str">
        <f aca="false">IF($B1394="","",IFERROR(INDEX(직원목록!$B$3:$B$302,MATCH($B1394,직원목록!$A$3:$A$302,0)),"미등록사번"))</f>
        <v/>
      </c>
      <c r="D1394" s="13" t="str">
        <f aca="false">IF($B1394="","",IFERROR(INDEX(직원목록!$C$3:$C$302,MATCH($B1394,직원목록!$A$3:$A$302,0)),""))</f>
        <v/>
      </c>
      <c r="E1394" s="14"/>
      <c r="F1394" s="14"/>
      <c r="G1394" s="15"/>
      <c r="H1394" s="16" t="str">
        <f aca="false">IF(OR($K1394="",$L1394=""),"",ROUND(MAX(0,($L1394-$K1394)-IF($G1394="",0,$G1394))/60,2))</f>
        <v/>
      </c>
      <c r="I1394" s="8"/>
      <c r="J1394" s="8"/>
      <c r="K1394" s="17" t="str">
        <f aca="false">IF($E1394="","",IF($E1394&lt;1,ROUND($E1394*1440,0),INT($E1394/100)*60+MOD($E1394,100)))</f>
        <v/>
      </c>
      <c r="L1394" s="17" t="str">
        <f aca="false">IF($F1394="","",IF($F1394&lt;1,ROUND($F1394*1440,0),INT($F1394/100)*60+MOD($F1394,100)))</f>
        <v/>
      </c>
    </row>
    <row r="1395" customFormat="false" ht="15" hidden="false" customHeight="true" outlineLevel="0" collapsed="false">
      <c r="A1395" s="10"/>
      <c r="B1395" s="8"/>
      <c r="C1395" s="13" t="str">
        <f aca="false">IF($B1395="","",IFERROR(INDEX(직원목록!$B$3:$B$302,MATCH($B1395,직원목록!$A$3:$A$302,0)),"미등록사번"))</f>
        <v/>
      </c>
      <c r="D1395" s="13" t="str">
        <f aca="false">IF($B1395="","",IFERROR(INDEX(직원목록!$C$3:$C$302,MATCH($B1395,직원목록!$A$3:$A$302,0)),""))</f>
        <v/>
      </c>
      <c r="E1395" s="14"/>
      <c r="F1395" s="14"/>
      <c r="G1395" s="15"/>
      <c r="H1395" s="16" t="str">
        <f aca="false">IF(OR($K1395="",$L1395=""),"",ROUND(MAX(0,($L1395-$K1395)-IF($G1395="",0,$G1395))/60,2))</f>
        <v/>
      </c>
      <c r="I1395" s="8"/>
      <c r="J1395" s="8"/>
      <c r="K1395" s="17" t="str">
        <f aca="false">IF($E1395="","",IF($E1395&lt;1,ROUND($E1395*1440,0),INT($E1395/100)*60+MOD($E1395,100)))</f>
        <v/>
      </c>
      <c r="L1395" s="17" t="str">
        <f aca="false">IF($F1395="","",IF($F1395&lt;1,ROUND($F1395*1440,0),INT($F1395/100)*60+MOD($F1395,100)))</f>
        <v/>
      </c>
    </row>
    <row r="1396" customFormat="false" ht="15" hidden="false" customHeight="true" outlineLevel="0" collapsed="false">
      <c r="A1396" s="10"/>
      <c r="B1396" s="8"/>
      <c r="C1396" s="13" t="str">
        <f aca="false">IF($B1396="","",IFERROR(INDEX(직원목록!$B$3:$B$302,MATCH($B1396,직원목록!$A$3:$A$302,0)),"미등록사번"))</f>
        <v/>
      </c>
      <c r="D1396" s="13" t="str">
        <f aca="false">IF($B1396="","",IFERROR(INDEX(직원목록!$C$3:$C$302,MATCH($B1396,직원목록!$A$3:$A$302,0)),""))</f>
        <v/>
      </c>
      <c r="E1396" s="14"/>
      <c r="F1396" s="14"/>
      <c r="G1396" s="15"/>
      <c r="H1396" s="16" t="str">
        <f aca="false">IF(OR($K1396="",$L1396=""),"",ROUND(MAX(0,($L1396-$K1396)-IF($G1396="",0,$G1396))/60,2))</f>
        <v/>
      </c>
      <c r="I1396" s="8"/>
      <c r="J1396" s="8"/>
      <c r="K1396" s="17" t="str">
        <f aca="false">IF($E1396="","",IF($E1396&lt;1,ROUND($E1396*1440,0),INT($E1396/100)*60+MOD($E1396,100)))</f>
        <v/>
      </c>
      <c r="L1396" s="17" t="str">
        <f aca="false">IF($F1396="","",IF($F1396&lt;1,ROUND($F1396*1440,0),INT($F1396/100)*60+MOD($F1396,100)))</f>
        <v/>
      </c>
    </row>
    <row r="1397" customFormat="false" ht="15" hidden="false" customHeight="true" outlineLevel="0" collapsed="false">
      <c r="A1397" s="10"/>
      <c r="B1397" s="8"/>
      <c r="C1397" s="13" t="str">
        <f aca="false">IF($B1397="","",IFERROR(INDEX(직원목록!$B$3:$B$302,MATCH($B1397,직원목록!$A$3:$A$302,0)),"미등록사번"))</f>
        <v/>
      </c>
      <c r="D1397" s="13" t="str">
        <f aca="false">IF($B1397="","",IFERROR(INDEX(직원목록!$C$3:$C$302,MATCH($B1397,직원목록!$A$3:$A$302,0)),""))</f>
        <v/>
      </c>
      <c r="E1397" s="14"/>
      <c r="F1397" s="14"/>
      <c r="G1397" s="15"/>
      <c r="H1397" s="16" t="str">
        <f aca="false">IF(OR($K1397="",$L1397=""),"",ROUND(MAX(0,($L1397-$K1397)-IF($G1397="",0,$G1397))/60,2))</f>
        <v/>
      </c>
      <c r="I1397" s="8"/>
      <c r="J1397" s="8"/>
      <c r="K1397" s="17" t="str">
        <f aca="false">IF($E1397="","",IF($E1397&lt;1,ROUND($E1397*1440,0),INT($E1397/100)*60+MOD($E1397,100)))</f>
        <v/>
      </c>
      <c r="L1397" s="17" t="str">
        <f aca="false">IF($F1397="","",IF($F1397&lt;1,ROUND($F1397*1440,0),INT($F1397/100)*60+MOD($F1397,100)))</f>
        <v/>
      </c>
    </row>
    <row r="1398" customFormat="false" ht="15" hidden="false" customHeight="true" outlineLevel="0" collapsed="false">
      <c r="A1398" s="10"/>
      <c r="B1398" s="8"/>
      <c r="C1398" s="13" t="str">
        <f aca="false">IF($B1398="","",IFERROR(INDEX(직원목록!$B$3:$B$302,MATCH($B1398,직원목록!$A$3:$A$302,0)),"미등록사번"))</f>
        <v/>
      </c>
      <c r="D1398" s="13" t="str">
        <f aca="false">IF($B1398="","",IFERROR(INDEX(직원목록!$C$3:$C$302,MATCH($B1398,직원목록!$A$3:$A$302,0)),""))</f>
        <v/>
      </c>
      <c r="E1398" s="14"/>
      <c r="F1398" s="14"/>
      <c r="G1398" s="15"/>
      <c r="H1398" s="16" t="str">
        <f aca="false">IF(OR($K1398="",$L1398=""),"",ROUND(MAX(0,($L1398-$K1398)-IF($G1398="",0,$G1398))/60,2))</f>
        <v/>
      </c>
      <c r="I1398" s="8"/>
      <c r="J1398" s="8"/>
      <c r="K1398" s="17" t="str">
        <f aca="false">IF($E1398="","",IF($E1398&lt;1,ROUND($E1398*1440,0),INT($E1398/100)*60+MOD($E1398,100)))</f>
        <v/>
      </c>
      <c r="L1398" s="17" t="str">
        <f aca="false">IF($F1398="","",IF($F1398&lt;1,ROUND($F1398*1440,0),INT($F1398/100)*60+MOD($F1398,100)))</f>
        <v/>
      </c>
    </row>
    <row r="1399" customFormat="false" ht="15" hidden="false" customHeight="true" outlineLevel="0" collapsed="false">
      <c r="A1399" s="10"/>
      <c r="B1399" s="8"/>
      <c r="C1399" s="13" t="str">
        <f aca="false">IF($B1399="","",IFERROR(INDEX(직원목록!$B$3:$B$302,MATCH($B1399,직원목록!$A$3:$A$302,0)),"미등록사번"))</f>
        <v/>
      </c>
      <c r="D1399" s="13" t="str">
        <f aca="false">IF($B1399="","",IFERROR(INDEX(직원목록!$C$3:$C$302,MATCH($B1399,직원목록!$A$3:$A$302,0)),""))</f>
        <v/>
      </c>
      <c r="E1399" s="14"/>
      <c r="F1399" s="14"/>
      <c r="G1399" s="15"/>
      <c r="H1399" s="16" t="str">
        <f aca="false">IF(OR($K1399="",$L1399=""),"",ROUND(MAX(0,($L1399-$K1399)-IF($G1399="",0,$G1399))/60,2))</f>
        <v/>
      </c>
      <c r="I1399" s="8"/>
      <c r="J1399" s="8"/>
      <c r="K1399" s="17" t="str">
        <f aca="false">IF($E1399="","",IF($E1399&lt;1,ROUND($E1399*1440,0),INT($E1399/100)*60+MOD($E1399,100)))</f>
        <v/>
      </c>
      <c r="L1399" s="17" t="str">
        <f aca="false">IF($F1399="","",IF($F1399&lt;1,ROUND($F1399*1440,0),INT($F1399/100)*60+MOD($F1399,100)))</f>
        <v/>
      </c>
    </row>
    <row r="1400" customFormat="false" ht="15" hidden="false" customHeight="true" outlineLevel="0" collapsed="false">
      <c r="A1400" s="10"/>
      <c r="B1400" s="8"/>
      <c r="C1400" s="13" t="str">
        <f aca="false">IF($B1400="","",IFERROR(INDEX(직원목록!$B$3:$B$302,MATCH($B1400,직원목록!$A$3:$A$302,0)),"미등록사번"))</f>
        <v/>
      </c>
      <c r="D1400" s="13" t="str">
        <f aca="false">IF($B1400="","",IFERROR(INDEX(직원목록!$C$3:$C$302,MATCH($B1400,직원목록!$A$3:$A$302,0)),""))</f>
        <v/>
      </c>
      <c r="E1400" s="14"/>
      <c r="F1400" s="14"/>
      <c r="G1400" s="15"/>
      <c r="H1400" s="16" t="str">
        <f aca="false">IF(OR($K1400="",$L1400=""),"",ROUND(MAX(0,($L1400-$K1400)-IF($G1400="",0,$G1400))/60,2))</f>
        <v/>
      </c>
      <c r="I1400" s="8"/>
      <c r="J1400" s="8"/>
      <c r="K1400" s="17" t="str">
        <f aca="false">IF($E1400="","",IF($E1400&lt;1,ROUND($E1400*1440,0),INT($E1400/100)*60+MOD($E1400,100)))</f>
        <v/>
      </c>
      <c r="L1400" s="17" t="str">
        <f aca="false">IF($F1400="","",IF($F1400&lt;1,ROUND($F1400*1440,0),INT($F1400/100)*60+MOD($F1400,100)))</f>
        <v/>
      </c>
    </row>
    <row r="1401" customFormat="false" ht="15" hidden="false" customHeight="true" outlineLevel="0" collapsed="false">
      <c r="A1401" s="10"/>
      <c r="B1401" s="8"/>
      <c r="C1401" s="13" t="str">
        <f aca="false">IF($B1401="","",IFERROR(INDEX(직원목록!$B$3:$B$302,MATCH($B1401,직원목록!$A$3:$A$302,0)),"미등록사번"))</f>
        <v/>
      </c>
      <c r="D1401" s="13" t="str">
        <f aca="false">IF($B1401="","",IFERROR(INDEX(직원목록!$C$3:$C$302,MATCH($B1401,직원목록!$A$3:$A$302,0)),""))</f>
        <v/>
      </c>
      <c r="E1401" s="14"/>
      <c r="F1401" s="14"/>
      <c r="G1401" s="15"/>
      <c r="H1401" s="16" t="str">
        <f aca="false">IF(OR($K1401="",$L1401=""),"",ROUND(MAX(0,($L1401-$K1401)-IF($G1401="",0,$G1401))/60,2))</f>
        <v/>
      </c>
      <c r="I1401" s="8"/>
      <c r="J1401" s="8"/>
      <c r="K1401" s="17" t="str">
        <f aca="false">IF($E1401="","",IF($E1401&lt;1,ROUND($E1401*1440,0),INT($E1401/100)*60+MOD($E1401,100)))</f>
        <v/>
      </c>
      <c r="L1401" s="17" t="str">
        <f aca="false">IF($F1401="","",IF($F1401&lt;1,ROUND($F1401*1440,0),INT($F1401/100)*60+MOD($F1401,100)))</f>
        <v/>
      </c>
    </row>
    <row r="1402" customFormat="false" ht="15" hidden="false" customHeight="true" outlineLevel="0" collapsed="false">
      <c r="A1402" s="10"/>
      <c r="B1402" s="8"/>
      <c r="C1402" s="13" t="str">
        <f aca="false">IF($B1402="","",IFERROR(INDEX(직원목록!$B$3:$B$302,MATCH($B1402,직원목록!$A$3:$A$302,0)),"미등록사번"))</f>
        <v/>
      </c>
      <c r="D1402" s="13" t="str">
        <f aca="false">IF($B1402="","",IFERROR(INDEX(직원목록!$C$3:$C$302,MATCH($B1402,직원목록!$A$3:$A$302,0)),""))</f>
        <v/>
      </c>
      <c r="E1402" s="14"/>
      <c r="F1402" s="14"/>
      <c r="G1402" s="15"/>
      <c r="H1402" s="16" t="str">
        <f aca="false">IF(OR($K1402="",$L1402=""),"",ROUND(MAX(0,($L1402-$K1402)-IF($G1402="",0,$G1402))/60,2))</f>
        <v/>
      </c>
      <c r="I1402" s="8"/>
      <c r="J1402" s="8"/>
      <c r="K1402" s="17" t="str">
        <f aca="false">IF($E1402="","",IF($E1402&lt;1,ROUND($E1402*1440,0),INT($E1402/100)*60+MOD($E1402,100)))</f>
        <v/>
      </c>
      <c r="L1402" s="17" t="str">
        <f aca="false">IF($F1402="","",IF($F1402&lt;1,ROUND($F1402*1440,0),INT($F1402/100)*60+MOD($F1402,100)))</f>
        <v/>
      </c>
    </row>
    <row r="1403" customFormat="false" ht="15" hidden="false" customHeight="true" outlineLevel="0" collapsed="false">
      <c r="A1403" s="10"/>
      <c r="B1403" s="8"/>
      <c r="C1403" s="13" t="str">
        <f aca="false">IF($B1403="","",IFERROR(INDEX(직원목록!$B$3:$B$302,MATCH($B1403,직원목록!$A$3:$A$302,0)),"미등록사번"))</f>
        <v/>
      </c>
      <c r="D1403" s="13" t="str">
        <f aca="false">IF($B1403="","",IFERROR(INDEX(직원목록!$C$3:$C$302,MATCH($B1403,직원목록!$A$3:$A$302,0)),""))</f>
        <v/>
      </c>
      <c r="E1403" s="14"/>
      <c r="F1403" s="14"/>
      <c r="G1403" s="15"/>
      <c r="H1403" s="16" t="str">
        <f aca="false">IF(OR($K1403="",$L1403=""),"",ROUND(MAX(0,($L1403-$K1403)-IF($G1403="",0,$G1403))/60,2))</f>
        <v/>
      </c>
      <c r="I1403" s="8"/>
      <c r="J1403" s="8"/>
      <c r="K1403" s="17" t="str">
        <f aca="false">IF($E1403="","",IF($E1403&lt;1,ROUND($E1403*1440,0),INT($E1403/100)*60+MOD($E1403,100)))</f>
        <v/>
      </c>
      <c r="L1403" s="17" t="str">
        <f aca="false">IF($F1403="","",IF($F1403&lt;1,ROUND($F1403*1440,0),INT($F1403/100)*60+MOD($F1403,100)))</f>
        <v/>
      </c>
    </row>
    <row r="1404" customFormat="false" ht="15" hidden="false" customHeight="true" outlineLevel="0" collapsed="false">
      <c r="A1404" s="10"/>
      <c r="B1404" s="8"/>
      <c r="C1404" s="13" t="str">
        <f aca="false">IF($B1404="","",IFERROR(INDEX(직원목록!$B$3:$B$302,MATCH($B1404,직원목록!$A$3:$A$302,0)),"미등록사번"))</f>
        <v/>
      </c>
      <c r="D1404" s="13" t="str">
        <f aca="false">IF($B1404="","",IFERROR(INDEX(직원목록!$C$3:$C$302,MATCH($B1404,직원목록!$A$3:$A$302,0)),""))</f>
        <v/>
      </c>
      <c r="E1404" s="14"/>
      <c r="F1404" s="14"/>
      <c r="G1404" s="15"/>
      <c r="H1404" s="16" t="str">
        <f aca="false">IF(OR($K1404="",$L1404=""),"",ROUND(MAX(0,($L1404-$K1404)-IF($G1404="",0,$G1404))/60,2))</f>
        <v/>
      </c>
      <c r="I1404" s="8"/>
      <c r="J1404" s="8"/>
      <c r="K1404" s="17" t="str">
        <f aca="false">IF($E1404="","",IF($E1404&lt;1,ROUND($E1404*1440,0),INT($E1404/100)*60+MOD($E1404,100)))</f>
        <v/>
      </c>
      <c r="L1404" s="17" t="str">
        <f aca="false">IF($F1404="","",IF($F1404&lt;1,ROUND($F1404*1440,0),INT($F1404/100)*60+MOD($F1404,100)))</f>
        <v/>
      </c>
    </row>
    <row r="1405" customFormat="false" ht="15" hidden="false" customHeight="true" outlineLevel="0" collapsed="false">
      <c r="A1405" s="10"/>
      <c r="B1405" s="8"/>
      <c r="C1405" s="13" t="str">
        <f aca="false">IF($B1405="","",IFERROR(INDEX(직원목록!$B$3:$B$302,MATCH($B1405,직원목록!$A$3:$A$302,0)),"미등록사번"))</f>
        <v/>
      </c>
      <c r="D1405" s="13" t="str">
        <f aca="false">IF($B1405="","",IFERROR(INDEX(직원목록!$C$3:$C$302,MATCH($B1405,직원목록!$A$3:$A$302,0)),""))</f>
        <v/>
      </c>
      <c r="E1405" s="14"/>
      <c r="F1405" s="14"/>
      <c r="G1405" s="15"/>
      <c r="H1405" s="16" t="str">
        <f aca="false">IF(OR($K1405="",$L1405=""),"",ROUND(MAX(0,($L1405-$K1405)-IF($G1405="",0,$G1405))/60,2))</f>
        <v/>
      </c>
      <c r="I1405" s="8"/>
      <c r="J1405" s="8"/>
      <c r="K1405" s="17" t="str">
        <f aca="false">IF($E1405="","",IF($E1405&lt;1,ROUND($E1405*1440,0),INT($E1405/100)*60+MOD($E1405,100)))</f>
        <v/>
      </c>
      <c r="L1405" s="17" t="str">
        <f aca="false">IF($F1405="","",IF($F1405&lt;1,ROUND($F1405*1440,0),INT($F1405/100)*60+MOD($F1405,100)))</f>
        <v/>
      </c>
    </row>
    <row r="1406" customFormat="false" ht="15" hidden="false" customHeight="true" outlineLevel="0" collapsed="false">
      <c r="A1406" s="10"/>
      <c r="B1406" s="8"/>
      <c r="C1406" s="13" t="str">
        <f aca="false">IF($B1406="","",IFERROR(INDEX(직원목록!$B$3:$B$302,MATCH($B1406,직원목록!$A$3:$A$302,0)),"미등록사번"))</f>
        <v/>
      </c>
      <c r="D1406" s="13" t="str">
        <f aca="false">IF($B1406="","",IFERROR(INDEX(직원목록!$C$3:$C$302,MATCH($B1406,직원목록!$A$3:$A$302,0)),""))</f>
        <v/>
      </c>
      <c r="E1406" s="14"/>
      <c r="F1406" s="14"/>
      <c r="G1406" s="15"/>
      <c r="H1406" s="16" t="str">
        <f aca="false">IF(OR($K1406="",$L1406=""),"",ROUND(MAX(0,($L1406-$K1406)-IF($G1406="",0,$G1406))/60,2))</f>
        <v/>
      </c>
      <c r="I1406" s="8"/>
      <c r="J1406" s="8"/>
      <c r="K1406" s="17" t="str">
        <f aca="false">IF($E1406="","",IF($E1406&lt;1,ROUND($E1406*1440,0),INT($E1406/100)*60+MOD($E1406,100)))</f>
        <v/>
      </c>
      <c r="L1406" s="17" t="str">
        <f aca="false">IF($F1406="","",IF($F1406&lt;1,ROUND($F1406*1440,0),INT($F1406/100)*60+MOD($F1406,100)))</f>
        <v/>
      </c>
    </row>
    <row r="1407" customFormat="false" ht="15" hidden="false" customHeight="true" outlineLevel="0" collapsed="false">
      <c r="A1407" s="10"/>
      <c r="B1407" s="8"/>
      <c r="C1407" s="13" t="str">
        <f aca="false">IF($B1407="","",IFERROR(INDEX(직원목록!$B$3:$B$302,MATCH($B1407,직원목록!$A$3:$A$302,0)),"미등록사번"))</f>
        <v/>
      </c>
      <c r="D1407" s="13" t="str">
        <f aca="false">IF($B1407="","",IFERROR(INDEX(직원목록!$C$3:$C$302,MATCH($B1407,직원목록!$A$3:$A$302,0)),""))</f>
        <v/>
      </c>
      <c r="E1407" s="14"/>
      <c r="F1407" s="14"/>
      <c r="G1407" s="15"/>
      <c r="H1407" s="16" t="str">
        <f aca="false">IF(OR($K1407="",$L1407=""),"",ROUND(MAX(0,($L1407-$K1407)-IF($G1407="",0,$G1407))/60,2))</f>
        <v/>
      </c>
      <c r="I1407" s="8"/>
      <c r="J1407" s="8"/>
      <c r="K1407" s="17" t="str">
        <f aca="false">IF($E1407="","",IF($E1407&lt;1,ROUND($E1407*1440,0),INT($E1407/100)*60+MOD($E1407,100)))</f>
        <v/>
      </c>
      <c r="L1407" s="17" t="str">
        <f aca="false">IF($F1407="","",IF($F1407&lt;1,ROUND($F1407*1440,0),INT($F1407/100)*60+MOD($F1407,100)))</f>
        <v/>
      </c>
    </row>
    <row r="1408" customFormat="false" ht="15" hidden="false" customHeight="true" outlineLevel="0" collapsed="false">
      <c r="A1408" s="10"/>
      <c r="B1408" s="8"/>
      <c r="C1408" s="13" t="str">
        <f aca="false">IF($B1408="","",IFERROR(INDEX(직원목록!$B$3:$B$302,MATCH($B1408,직원목록!$A$3:$A$302,0)),"미등록사번"))</f>
        <v/>
      </c>
      <c r="D1408" s="13" t="str">
        <f aca="false">IF($B1408="","",IFERROR(INDEX(직원목록!$C$3:$C$302,MATCH($B1408,직원목록!$A$3:$A$302,0)),""))</f>
        <v/>
      </c>
      <c r="E1408" s="14"/>
      <c r="F1408" s="14"/>
      <c r="G1408" s="15"/>
      <c r="H1408" s="16" t="str">
        <f aca="false">IF(OR($K1408="",$L1408=""),"",ROUND(MAX(0,($L1408-$K1408)-IF($G1408="",0,$G1408))/60,2))</f>
        <v/>
      </c>
      <c r="I1408" s="8"/>
      <c r="J1408" s="8"/>
      <c r="K1408" s="17" t="str">
        <f aca="false">IF($E1408="","",IF($E1408&lt;1,ROUND($E1408*1440,0),INT($E1408/100)*60+MOD($E1408,100)))</f>
        <v/>
      </c>
      <c r="L1408" s="17" t="str">
        <f aca="false">IF($F1408="","",IF($F1408&lt;1,ROUND($F1408*1440,0),INT($F1408/100)*60+MOD($F1408,100)))</f>
        <v/>
      </c>
    </row>
    <row r="1409" customFormat="false" ht="15" hidden="false" customHeight="true" outlineLevel="0" collapsed="false">
      <c r="A1409" s="10"/>
      <c r="B1409" s="8"/>
      <c r="C1409" s="13" t="str">
        <f aca="false">IF($B1409="","",IFERROR(INDEX(직원목록!$B$3:$B$302,MATCH($B1409,직원목록!$A$3:$A$302,0)),"미등록사번"))</f>
        <v/>
      </c>
      <c r="D1409" s="13" t="str">
        <f aca="false">IF($B1409="","",IFERROR(INDEX(직원목록!$C$3:$C$302,MATCH($B1409,직원목록!$A$3:$A$302,0)),""))</f>
        <v/>
      </c>
      <c r="E1409" s="14"/>
      <c r="F1409" s="14"/>
      <c r="G1409" s="15"/>
      <c r="H1409" s="16" t="str">
        <f aca="false">IF(OR($K1409="",$L1409=""),"",ROUND(MAX(0,($L1409-$K1409)-IF($G1409="",0,$G1409))/60,2))</f>
        <v/>
      </c>
      <c r="I1409" s="8"/>
      <c r="J1409" s="8"/>
      <c r="K1409" s="17" t="str">
        <f aca="false">IF($E1409="","",IF($E1409&lt;1,ROUND($E1409*1440,0),INT($E1409/100)*60+MOD($E1409,100)))</f>
        <v/>
      </c>
      <c r="L1409" s="17" t="str">
        <f aca="false">IF($F1409="","",IF($F1409&lt;1,ROUND($F1409*1440,0),INT($F1409/100)*60+MOD($F1409,100)))</f>
        <v/>
      </c>
    </row>
    <row r="1410" customFormat="false" ht="15" hidden="false" customHeight="true" outlineLevel="0" collapsed="false">
      <c r="A1410" s="10"/>
      <c r="B1410" s="8"/>
      <c r="C1410" s="13" t="str">
        <f aca="false">IF($B1410="","",IFERROR(INDEX(직원목록!$B$3:$B$302,MATCH($B1410,직원목록!$A$3:$A$302,0)),"미등록사번"))</f>
        <v/>
      </c>
      <c r="D1410" s="13" t="str">
        <f aca="false">IF($B1410="","",IFERROR(INDEX(직원목록!$C$3:$C$302,MATCH($B1410,직원목록!$A$3:$A$302,0)),""))</f>
        <v/>
      </c>
      <c r="E1410" s="14"/>
      <c r="F1410" s="14"/>
      <c r="G1410" s="15"/>
      <c r="H1410" s="16" t="str">
        <f aca="false">IF(OR($K1410="",$L1410=""),"",ROUND(MAX(0,($L1410-$K1410)-IF($G1410="",0,$G1410))/60,2))</f>
        <v/>
      </c>
      <c r="I1410" s="8"/>
      <c r="J1410" s="8"/>
      <c r="K1410" s="17" t="str">
        <f aca="false">IF($E1410="","",IF($E1410&lt;1,ROUND($E1410*1440,0),INT($E1410/100)*60+MOD($E1410,100)))</f>
        <v/>
      </c>
      <c r="L1410" s="17" t="str">
        <f aca="false">IF($F1410="","",IF($F1410&lt;1,ROUND($F1410*1440,0),INT($F1410/100)*60+MOD($F1410,100)))</f>
        <v/>
      </c>
    </row>
    <row r="1411" customFormat="false" ht="15" hidden="false" customHeight="true" outlineLevel="0" collapsed="false">
      <c r="A1411" s="10"/>
      <c r="B1411" s="8"/>
      <c r="C1411" s="13" t="str">
        <f aca="false">IF($B1411="","",IFERROR(INDEX(직원목록!$B$3:$B$302,MATCH($B1411,직원목록!$A$3:$A$302,0)),"미등록사번"))</f>
        <v/>
      </c>
      <c r="D1411" s="13" t="str">
        <f aca="false">IF($B1411="","",IFERROR(INDEX(직원목록!$C$3:$C$302,MATCH($B1411,직원목록!$A$3:$A$302,0)),""))</f>
        <v/>
      </c>
      <c r="E1411" s="14"/>
      <c r="F1411" s="14"/>
      <c r="G1411" s="15"/>
      <c r="H1411" s="16" t="str">
        <f aca="false">IF(OR($K1411="",$L1411=""),"",ROUND(MAX(0,($L1411-$K1411)-IF($G1411="",0,$G1411))/60,2))</f>
        <v/>
      </c>
      <c r="I1411" s="8"/>
      <c r="J1411" s="8"/>
      <c r="K1411" s="17" t="str">
        <f aca="false">IF($E1411="","",IF($E1411&lt;1,ROUND($E1411*1440,0),INT($E1411/100)*60+MOD($E1411,100)))</f>
        <v/>
      </c>
      <c r="L1411" s="17" t="str">
        <f aca="false">IF($F1411="","",IF($F1411&lt;1,ROUND($F1411*1440,0),INT($F1411/100)*60+MOD($F1411,100)))</f>
        <v/>
      </c>
    </row>
    <row r="1412" customFormat="false" ht="15" hidden="false" customHeight="true" outlineLevel="0" collapsed="false">
      <c r="A1412" s="10"/>
      <c r="B1412" s="8"/>
      <c r="C1412" s="13" t="str">
        <f aca="false">IF($B1412="","",IFERROR(INDEX(직원목록!$B$3:$B$302,MATCH($B1412,직원목록!$A$3:$A$302,0)),"미등록사번"))</f>
        <v/>
      </c>
      <c r="D1412" s="13" t="str">
        <f aca="false">IF($B1412="","",IFERROR(INDEX(직원목록!$C$3:$C$302,MATCH($B1412,직원목록!$A$3:$A$302,0)),""))</f>
        <v/>
      </c>
      <c r="E1412" s="14"/>
      <c r="F1412" s="14"/>
      <c r="G1412" s="15"/>
      <c r="H1412" s="16" t="str">
        <f aca="false">IF(OR($K1412="",$L1412=""),"",ROUND(MAX(0,($L1412-$K1412)-IF($G1412="",0,$G1412))/60,2))</f>
        <v/>
      </c>
      <c r="I1412" s="8"/>
      <c r="J1412" s="8"/>
      <c r="K1412" s="17" t="str">
        <f aca="false">IF($E1412="","",IF($E1412&lt;1,ROUND($E1412*1440,0),INT($E1412/100)*60+MOD($E1412,100)))</f>
        <v/>
      </c>
      <c r="L1412" s="17" t="str">
        <f aca="false">IF($F1412="","",IF($F1412&lt;1,ROUND($F1412*1440,0),INT($F1412/100)*60+MOD($F1412,100)))</f>
        <v/>
      </c>
    </row>
    <row r="1413" customFormat="false" ht="15" hidden="false" customHeight="true" outlineLevel="0" collapsed="false">
      <c r="A1413" s="10"/>
      <c r="B1413" s="8"/>
      <c r="C1413" s="13" t="str">
        <f aca="false">IF($B1413="","",IFERROR(INDEX(직원목록!$B$3:$B$302,MATCH($B1413,직원목록!$A$3:$A$302,0)),"미등록사번"))</f>
        <v/>
      </c>
      <c r="D1413" s="13" t="str">
        <f aca="false">IF($B1413="","",IFERROR(INDEX(직원목록!$C$3:$C$302,MATCH($B1413,직원목록!$A$3:$A$302,0)),""))</f>
        <v/>
      </c>
      <c r="E1413" s="14"/>
      <c r="F1413" s="14"/>
      <c r="G1413" s="15"/>
      <c r="H1413" s="16" t="str">
        <f aca="false">IF(OR($K1413="",$L1413=""),"",ROUND(MAX(0,($L1413-$K1413)-IF($G1413="",0,$G1413))/60,2))</f>
        <v/>
      </c>
      <c r="I1413" s="8"/>
      <c r="J1413" s="8"/>
      <c r="K1413" s="17" t="str">
        <f aca="false">IF($E1413="","",IF($E1413&lt;1,ROUND($E1413*1440,0),INT($E1413/100)*60+MOD($E1413,100)))</f>
        <v/>
      </c>
      <c r="L1413" s="17" t="str">
        <f aca="false">IF($F1413="","",IF($F1413&lt;1,ROUND($F1413*1440,0),INT($F1413/100)*60+MOD($F1413,100)))</f>
        <v/>
      </c>
    </row>
    <row r="1414" customFormat="false" ht="15" hidden="false" customHeight="true" outlineLevel="0" collapsed="false">
      <c r="A1414" s="10"/>
      <c r="B1414" s="8"/>
      <c r="C1414" s="13" t="str">
        <f aca="false">IF($B1414="","",IFERROR(INDEX(직원목록!$B$3:$B$302,MATCH($B1414,직원목록!$A$3:$A$302,0)),"미등록사번"))</f>
        <v/>
      </c>
      <c r="D1414" s="13" t="str">
        <f aca="false">IF($B1414="","",IFERROR(INDEX(직원목록!$C$3:$C$302,MATCH($B1414,직원목록!$A$3:$A$302,0)),""))</f>
        <v/>
      </c>
      <c r="E1414" s="14"/>
      <c r="F1414" s="14"/>
      <c r="G1414" s="15"/>
      <c r="H1414" s="16" t="str">
        <f aca="false">IF(OR($K1414="",$L1414=""),"",ROUND(MAX(0,($L1414-$K1414)-IF($G1414="",0,$G1414))/60,2))</f>
        <v/>
      </c>
      <c r="I1414" s="8"/>
      <c r="J1414" s="8"/>
      <c r="K1414" s="17" t="str">
        <f aca="false">IF($E1414="","",IF($E1414&lt;1,ROUND($E1414*1440,0),INT($E1414/100)*60+MOD($E1414,100)))</f>
        <v/>
      </c>
      <c r="L1414" s="17" t="str">
        <f aca="false">IF($F1414="","",IF($F1414&lt;1,ROUND($F1414*1440,0),INT($F1414/100)*60+MOD($F1414,100)))</f>
        <v/>
      </c>
    </row>
    <row r="1415" customFormat="false" ht="15" hidden="false" customHeight="true" outlineLevel="0" collapsed="false">
      <c r="A1415" s="10"/>
      <c r="B1415" s="8"/>
      <c r="C1415" s="13" t="str">
        <f aca="false">IF($B1415="","",IFERROR(INDEX(직원목록!$B$3:$B$302,MATCH($B1415,직원목록!$A$3:$A$302,0)),"미등록사번"))</f>
        <v/>
      </c>
      <c r="D1415" s="13" t="str">
        <f aca="false">IF($B1415="","",IFERROR(INDEX(직원목록!$C$3:$C$302,MATCH($B1415,직원목록!$A$3:$A$302,0)),""))</f>
        <v/>
      </c>
      <c r="E1415" s="14"/>
      <c r="F1415" s="14"/>
      <c r="G1415" s="15"/>
      <c r="H1415" s="16" t="str">
        <f aca="false">IF(OR($K1415="",$L1415=""),"",ROUND(MAX(0,($L1415-$K1415)-IF($G1415="",0,$G1415))/60,2))</f>
        <v/>
      </c>
      <c r="I1415" s="8"/>
      <c r="J1415" s="8"/>
      <c r="K1415" s="17" t="str">
        <f aca="false">IF($E1415="","",IF($E1415&lt;1,ROUND($E1415*1440,0),INT($E1415/100)*60+MOD($E1415,100)))</f>
        <v/>
      </c>
      <c r="L1415" s="17" t="str">
        <f aca="false">IF($F1415="","",IF($F1415&lt;1,ROUND($F1415*1440,0),INT($F1415/100)*60+MOD($F1415,100)))</f>
        <v/>
      </c>
    </row>
    <row r="1416" customFormat="false" ht="15" hidden="false" customHeight="true" outlineLevel="0" collapsed="false">
      <c r="A1416" s="10"/>
      <c r="B1416" s="8"/>
      <c r="C1416" s="13" t="str">
        <f aca="false">IF($B1416="","",IFERROR(INDEX(직원목록!$B$3:$B$302,MATCH($B1416,직원목록!$A$3:$A$302,0)),"미등록사번"))</f>
        <v/>
      </c>
      <c r="D1416" s="13" t="str">
        <f aca="false">IF($B1416="","",IFERROR(INDEX(직원목록!$C$3:$C$302,MATCH($B1416,직원목록!$A$3:$A$302,0)),""))</f>
        <v/>
      </c>
      <c r="E1416" s="14"/>
      <c r="F1416" s="14"/>
      <c r="G1416" s="15"/>
      <c r="H1416" s="16" t="str">
        <f aca="false">IF(OR($K1416="",$L1416=""),"",ROUND(MAX(0,($L1416-$K1416)-IF($G1416="",0,$G1416))/60,2))</f>
        <v/>
      </c>
      <c r="I1416" s="8"/>
      <c r="J1416" s="8"/>
      <c r="K1416" s="17" t="str">
        <f aca="false">IF($E1416="","",IF($E1416&lt;1,ROUND($E1416*1440,0),INT($E1416/100)*60+MOD($E1416,100)))</f>
        <v/>
      </c>
      <c r="L1416" s="17" t="str">
        <f aca="false">IF($F1416="","",IF($F1416&lt;1,ROUND($F1416*1440,0),INT($F1416/100)*60+MOD($F1416,100)))</f>
        <v/>
      </c>
    </row>
    <row r="1417" customFormat="false" ht="15" hidden="false" customHeight="true" outlineLevel="0" collapsed="false">
      <c r="A1417" s="10"/>
      <c r="B1417" s="8"/>
      <c r="C1417" s="13" t="str">
        <f aca="false">IF($B1417="","",IFERROR(INDEX(직원목록!$B$3:$B$302,MATCH($B1417,직원목록!$A$3:$A$302,0)),"미등록사번"))</f>
        <v/>
      </c>
      <c r="D1417" s="13" t="str">
        <f aca="false">IF($B1417="","",IFERROR(INDEX(직원목록!$C$3:$C$302,MATCH($B1417,직원목록!$A$3:$A$302,0)),""))</f>
        <v/>
      </c>
      <c r="E1417" s="14"/>
      <c r="F1417" s="14"/>
      <c r="G1417" s="15"/>
      <c r="H1417" s="16" t="str">
        <f aca="false">IF(OR($K1417="",$L1417=""),"",ROUND(MAX(0,($L1417-$K1417)-IF($G1417="",0,$G1417))/60,2))</f>
        <v/>
      </c>
      <c r="I1417" s="8"/>
      <c r="J1417" s="8"/>
      <c r="K1417" s="17" t="str">
        <f aca="false">IF($E1417="","",IF($E1417&lt;1,ROUND($E1417*1440,0),INT($E1417/100)*60+MOD($E1417,100)))</f>
        <v/>
      </c>
      <c r="L1417" s="17" t="str">
        <f aca="false">IF($F1417="","",IF($F1417&lt;1,ROUND($F1417*1440,0),INT($F1417/100)*60+MOD($F1417,100)))</f>
        <v/>
      </c>
    </row>
    <row r="1418" customFormat="false" ht="15" hidden="false" customHeight="true" outlineLevel="0" collapsed="false">
      <c r="A1418" s="10"/>
      <c r="B1418" s="8"/>
      <c r="C1418" s="13" t="str">
        <f aca="false">IF($B1418="","",IFERROR(INDEX(직원목록!$B$3:$B$302,MATCH($B1418,직원목록!$A$3:$A$302,0)),"미등록사번"))</f>
        <v/>
      </c>
      <c r="D1418" s="13" t="str">
        <f aca="false">IF($B1418="","",IFERROR(INDEX(직원목록!$C$3:$C$302,MATCH($B1418,직원목록!$A$3:$A$302,0)),""))</f>
        <v/>
      </c>
      <c r="E1418" s="14"/>
      <c r="F1418" s="14"/>
      <c r="G1418" s="15"/>
      <c r="H1418" s="16" t="str">
        <f aca="false">IF(OR($K1418="",$L1418=""),"",ROUND(MAX(0,($L1418-$K1418)-IF($G1418="",0,$G1418))/60,2))</f>
        <v/>
      </c>
      <c r="I1418" s="8"/>
      <c r="J1418" s="8"/>
      <c r="K1418" s="17" t="str">
        <f aca="false">IF($E1418="","",IF($E1418&lt;1,ROUND($E1418*1440,0),INT($E1418/100)*60+MOD($E1418,100)))</f>
        <v/>
      </c>
      <c r="L1418" s="17" t="str">
        <f aca="false">IF($F1418="","",IF($F1418&lt;1,ROUND($F1418*1440,0),INT($F1418/100)*60+MOD($F1418,100)))</f>
        <v/>
      </c>
    </row>
    <row r="1419" customFormat="false" ht="15" hidden="false" customHeight="true" outlineLevel="0" collapsed="false">
      <c r="A1419" s="10"/>
      <c r="B1419" s="8"/>
      <c r="C1419" s="13" t="str">
        <f aca="false">IF($B1419="","",IFERROR(INDEX(직원목록!$B$3:$B$302,MATCH($B1419,직원목록!$A$3:$A$302,0)),"미등록사번"))</f>
        <v/>
      </c>
      <c r="D1419" s="13" t="str">
        <f aca="false">IF($B1419="","",IFERROR(INDEX(직원목록!$C$3:$C$302,MATCH($B1419,직원목록!$A$3:$A$302,0)),""))</f>
        <v/>
      </c>
      <c r="E1419" s="14"/>
      <c r="F1419" s="14"/>
      <c r="G1419" s="15"/>
      <c r="H1419" s="16" t="str">
        <f aca="false">IF(OR($K1419="",$L1419=""),"",ROUND(MAX(0,($L1419-$K1419)-IF($G1419="",0,$G1419))/60,2))</f>
        <v/>
      </c>
      <c r="I1419" s="8"/>
      <c r="J1419" s="8"/>
      <c r="K1419" s="17" t="str">
        <f aca="false">IF($E1419="","",IF($E1419&lt;1,ROUND($E1419*1440,0),INT($E1419/100)*60+MOD($E1419,100)))</f>
        <v/>
      </c>
      <c r="L1419" s="17" t="str">
        <f aca="false">IF($F1419="","",IF($F1419&lt;1,ROUND($F1419*1440,0),INT($F1419/100)*60+MOD($F1419,100)))</f>
        <v/>
      </c>
    </row>
    <row r="1420" customFormat="false" ht="15" hidden="false" customHeight="true" outlineLevel="0" collapsed="false">
      <c r="A1420" s="10"/>
      <c r="B1420" s="8"/>
      <c r="C1420" s="13" t="str">
        <f aca="false">IF($B1420="","",IFERROR(INDEX(직원목록!$B$3:$B$302,MATCH($B1420,직원목록!$A$3:$A$302,0)),"미등록사번"))</f>
        <v/>
      </c>
      <c r="D1420" s="13" t="str">
        <f aca="false">IF($B1420="","",IFERROR(INDEX(직원목록!$C$3:$C$302,MATCH($B1420,직원목록!$A$3:$A$302,0)),""))</f>
        <v/>
      </c>
      <c r="E1420" s="14"/>
      <c r="F1420" s="14"/>
      <c r="G1420" s="15"/>
      <c r="H1420" s="16" t="str">
        <f aca="false">IF(OR($K1420="",$L1420=""),"",ROUND(MAX(0,($L1420-$K1420)-IF($G1420="",0,$G1420))/60,2))</f>
        <v/>
      </c>
      <c r="I1420" s="8"/>
      <c r="J1420" s="8"/>
      <c r="K1420" s="17" t="str">
        <f aca="false">IF($E1420="","",IF($E1420&lt;1,ROUND($E1420*1440,0),INT($E1420/100)*60+MOD($E1420,100)))</f>
        <v/>
      </c>
      <c r="L1420" s="17" t="str">
        <f aca="false">IF($F1420="","",IF($F1420&lt;1,ROUND($F1420*1440,0),INT($F1420/100)*60+MOD($F1420,100)))</f>
        <v/>
      </c>
    </row>
    <row r="1421" customFormat="false" ht="15" hidden="false" customHeight="true" outlineLevel="0" collapsed="false">
      <c r="A1421" s="10"/>
      <c r="B1421" s="8"/>
      <c r="C1421" s="13" t="str">
        <f aca="false">IF($B1421="","",IFERROR(INDEX(직원목록!$B$3:$B$302,MATCH($B1421,직원목록!$A$3:$A$302,0)),"미등록사번"))</f>
        <v/>
      </c>
      <c r="D1421" s="13" t="str">
        <f aca="false">IF($B1421="","",IFERROR(INDEX(직원목록!$C$3:$C$302,MATCH($B1421,직원목록!$A$3:$A$302,0)),""))</f>
        <v/>
      </c>
      <c r="E1421" s="14"/>
      <c r="F1421" s="14"/>
      <c r="G1421" s="15"/>
      <c r="H1421" s="16" t="str">
        <f aca="false">IF(OR($K1421="",$L1421=""),"",ROUND(MAX(0,($L1421-$K1421)-IF($G1421="",0,$G1421))/60,2))</f>
        <v/>
      </c>
      <c r="I1421" s="8"/>
      <c r="J1421" s="8"/>
      <c r="K1421" s="17" t="str">
        <f aca="false">IF($E1421="","",IF($E1421&lt;1,ROUND($E1421*1440,0),INT($E1421/100)*60+MOD($E1421,100)))</f>
        <v/>
      </c>
      <c r="L1421" s="17" t="str">
        <f aca="false">IF($F1421="","",IF($F1421&lt;1,ROUND($F1421*1440,0),INT($F1421/100)*60+MOD($F1421,100)))</f>
        <v/>
      </c>
    </row>
    <row r="1422" customFormat="false" ht="15" hidden="false" customHeight="true" outlineLevel="0" collapsed="false">
      <c r="A1422" s="10"/>
      <c r="B1422" s="8"/>
      <c r="C1422" s="13" t="str">
        <f aca="false">IF($B1422="","",IFERROR(INDEX(직원목록!$B$3:$B$302,MATCH($B1422,직원목록!$A$3:$A$302,0)),"미등록사번"))</f>
        <v/>
      </c>
      <c r="D1422" s="13" t="str">
        <f aca="false">IF($B1422="","",IFERROR(INDEX(직원목록!$C$3:$C$302,MATCH($B1422,직원목록!$A$3:$A$302,0)),""))</f>
        <v/>
      </c>
      <c r="E1422" s="14"/>
      <c r="F1422" s="14"/>
      <c r="G1422" s="15"/>
      <c r="H1422" s="16" t="str">
        <f aca="false">IF(OR($K1422="",$L1422=""),"",ROUND(MAX(0,($L1422-$K1422)-IF($G1422="",0,$G1422))/60,2))</f>
        <v/>
      </c>
      <c r="I1422" s="8"/>
      <c r="J1422" s="8"/>
      <c r="K1422" s="17" t="str">
        <f aca="false">IF($E1422="","",IF($E1422&lt;1,ROUND($E1422*1440,0),INT($E1422/100)*60+MOD($E1422,100)))</f>
        <v/>
      </c>
      <c r="L1422" s="17" t="str">
        <f aca="false">IF($F1422="","",IF($F1422&lt;1,ROUND($F1422*1440,0),INT($F1422/100)*60+MOD($F1422,100)))</f>
        <v/>
      </c>
    </row>
    <row r="1423" customFormat="false" ht="15" hidden="false" customHeight="true" outlineLevel="0" collapsed="false">
      <c r="A1423" s="10"/>
      <c r="B1423" s="8"/>
      <c r="C1423" s="13" t="str">
        <f aca="false">IF($B1423="","",IFERROR(INDEX(직원목록!$B$3:$B$302,MATCH($B1423,직원목록!$A$3:$A$302,0)),"미등록사번"))</f>
        <v/>
      </c>
      <c r="D1423" s="13" t="str">
        <f aca="false">IF($B1423="","",IFERROR(INDEX(직원목록!$C$3:$C$302,MATCH($B1423,직원목록!$A$3:$A$302,0)),""))</f>
        <v/>
      </c>
      <c r="E1423" s="14"/>
      <c r="F1423" s="14"/>
      <c r="G1423" s="15"/>
      <c r="H1423" s="16" t="str">
        <f aca="false">IF(OR($K1423="",$L1423=""),"",ROUND(MAX(0,($L1423-$K1423)-IF($G1423="",0,$G1423))/60,2))</f>
        <v/>
      </c>
      <c r="I1423" s="8"/>
      <c r="J1423" s="8"/>
      <c r="K1423" s="17" t="str">
        <f aca="false">IF($E1423="","",IF($E1423&lt;1,ROUND($E1423*1440,0),INT($E1423/100)*60+MOD($E1423,100)))</f>
        <v/>
      </c>
      <c r="L1423" s="17" t="str">
        <f aca="false">IF($F1423="","",IF($F1423&lt;1,ROUND($F1423*1440,0),INT($F1423/100)*60+MOD($F1423,100)))</f>
        <v/>
      </c>
    </row>
    <row r="1424" customFormat="false" ht="15" hidden="false" customHeight="true" outlineLevel="0" collapsed="false">
      <c r="A1424" s="10"/>
      <c r="B1424" s="8"/>
      <c r="C1424" s="13" t="str">
        <f aca="false">IF($B1424="","",IFERROR(INDEX(직원목록!$B$3:$B$302,MATCH($B1424,직원목록!$A$3:$A$302,0)),"미등록사번"))</f>
        <v/>
      </c>
      <c r="D1424" s="13" t="str">
        <f aca="false">IF($B1424="","",IFERROR(INDEX(직원목록!$C$3:$C$302,MATCH($B1424,직원목록!$A$3:$A$302,0)),""))</f>
        <v/>
      </c>
      <c r="E1424" s="14"/>
      <c r="F1424" s="14"/>
      <c r="G1424" s="15"/>
      <c r="H1424" s="16" t="str">
        <f aca="false">IF(OR($K1424="",$L1424=""),"",ROUND(MAX(0,($L1424-$K1424)-IF($G1424="",0,$G1424))/60,2))</f>
        <v/>
      </c>
      <c r="I1424" s="8"/>
      <c r="J1424" s="8"/>
      <c r="K1424" s="17" t="str">
        <f aca="false">IF($E1424="","",IF($E1424&lt;1,ROUND($E1424*1440,0),INT($E1424/100)*60+MOD($E1424,100)))</f>
        <v/>
      </c>
      <c r="L1424" s="17" t="str">
        <f aca="false">IF($F1424="","",IF($F1424&lt;1,ROUND($F1424*1440,0),INT($F1424/100)*60+MOD($F1424,100)))</f>
        <v/>
      </c>
    </row>
    <row r="1425" customFormat="false" ht="15" hidden="false" customHeight="true" outlineLevel="0" collapsed="false">
      <c r="A1425" s="10"/>
      <c r="B1425" s="8"/>
      <c r="C1425" s="13" t="str">
        <f aca="false">IF($B1425="","",IFERROR(INDEX(직원목록!$B$3:$B$302,MATCH($B1425,직원목록!$A$3:$A$302,0)),"미등록사번"))</f>
        <v/>
      </c>
      <c r="D1425" s="13" t="str">
        <f aca="false">IF($B1425="","",IFERROR(INDEX(직원목록!$C$3:$C$302,MATCH($B1425,직원목록!$A$3:$A$302,0)),""))</f>
        <v/>
      </c>
      <c r="E1425" s="14"/>
      <c r="F1425" s="14"/>
      <c r="G1425" s="15"/>
      <c r="H1425" s="16" t="str">
        <f aca="false">IF(OR($K1425="",$L1425=""),"",ROUND(MAX(0,($L1425-$K1425)-IF($G1425="",0,$G1425))/60,2))</f>
        <v/>
      </c>
      <c r="I1425" s="8"/>
      <c r="J1425" s="8"/>
      <c r="K1425" s="17" t="str">
        <f aca="false">IF($E1425="","",IF($E1425&lt;1,ROUND($E1425*1440,0),INT($E1425/100)*60+MOD($E1425,100)))</f>
        <v/>
      </c>
      <c r="L1425" s="17" t="str">
        <f aca="false">IF($F1425="","",IF($F1425&lt;1,ROUND($F1425*1440,0),INT($F1425/100)*60+MOD($F1425,100)))</f>
        <v/>
      </c>
    </row>
    <row r="1426" customFormat="false" ht="15" hidden="false" customHeight="true" outlineLevel="0" collapsed="false">
      <c r="A1426" s="10"/>
      <c r="B1426" s="8"/>
      <c r="C1426" s="13" t="str">
        <f aca="false">IF($B1426="","",IFERROR(INDEX(직원목록!$B$3:$B$302,MATCH($B1426,직원목록!$A$3:$A$302,0)),"미등록사번"))</f>
        <v/>
      </c>
      <c r="D1426" s="13" t="str">
        <f aca="false">IF($B1426="","",IFERROR(INDEX(직원목록!$C$3:$C$302,MATCH($B1426,직원목록!$A$3:$A$302,0)),""))</f>
        <v/>
      </c>
      <c r="E1426" s="14"/>
      <c r="F1426" s="14"/>
      <c r="G1426" s="15"/>
      <c r="H1426" s="16" t="str">
        <f aca="false">IF(OR($K1426="",$L1426=""),"",ROUND(MAX(0,($L1426-$K1426)-IF($G1426="",0,$G1426))/60,2))</f>
        <v/>
      </c>
      <c r="I1426" s="8"/>
      <c r="J1426" s="8"/>
      <c r="K1426" s="17" t="str">
        <f aca="false">IF($E1426="","",IF($E1426&lt;1,ROUND($E1426*1440,0),INT($E1426/100)*60+MOD($E1426,100)))</f>
        <v/>
      </c>
      <c r="L1426" s="17" t="str">
        <f aca="false">IF($F1426="","",IF($F1426&lt;1,ROUND($F1426*1440,0),INT($F1426/100)*60+MOD($F1426,100)))</f>
        <v/>
      </c>
    </row>
    <row r="1427" customFormat="false" ht="15" hidden="false" customHeight="true" outlineLevel="0" collapsed="false">
      <c r="A1427" s="10"/>
      <c r="B1427" s="8"/>
      <c r="C1427" s="13" t="str">
        <f aca="false">IF($B1427="","",IFERROR(INDEX(직원목록!$B$3:$B$302,MATCH($B1427,직원목록!$A$3:$A$302,0)),"미등록사번"))</f>
        <v/>
      </c>
      <c r="D1427" s="13" t="str">
        <f aca="false">IF($B1427="","",IFERROR(INDEX(직원목록!$C$3:$C$302,MATCH($B1427,직원목록!$A$3:$A$302,0)),""))</f>
        <v/>
      </c>
      <c r="E1427" s="14"/>
      <c r="F1427" s="14"/>
      <c r="G1427" s="15"/>
      <c r="H1427" s="16" t="str">
        <f aca="false">IF(OR($K1427="",$L1427=""),"",ROUND(MAX(0,($L1427-$K1427)-IF($G1427="",0,$G1427))/60,2))</f>
        <v/>
      </c>
      <c r="I1427" s="8"/>
      <c r="J1427" s="8"/>
      <c r="K1427" s="17" t="str">
        <f aca="false">IF($E1427="","",IF($E1427&lt;1,ROUND($E1427*1440,0),INT($E1427/100)*60+MOD($E1427,100)))</f>
        <v/>
      </c>
      <c r="L1427" s="17" t="str">
        <f aca="false">IF($F1427="","",IF($F1427&lt;1,ROUND($F1427*1440,0),INT($F1427/100)*60+MOD($F1427,100)))</f>
        <v/>
      </c>
    </row>
    <row r="1428" customFormat="false" ht="15" hidden="false" customHeight="true" outlineLevel="0" collapsed="false">
      <c r="A1428" s="10"/>
      <c r="B1428" s="8"/>
      <c r="C1428" s="13" t="str">
        <f aca="false">IF($B1428="","",IFERROR(INDEX(직원목록!$B$3:$B$302,MATCH($B1428,직원목록!$A$3:$A$302,0)),"미등록사번"))</f>
        <v/>
      </c>
      <c r="D1428" s="13" t="str">
        <f aca="false">IF($B1428="","",IFERROR(INDEX(직원목록!$C$3:$C$302,MATCH($B1428,직원목록!$A$3:$A$302,0)),""))</f>
        <v/>
      </c>
      <c r="E1428" s="14"/>
      <c r="F1428" s="14"/>
      <c r="G1428" s="15"/>
      <c r="H1428" s="16" t="str">
        <f aca="false">IF(OR($K1428="",$L1428=""),"",ROUND(MAX(0,($L1428-$K1428)-IF($G1428="",0,$G1428))/60,2))</f>
        <v/>
      </c>
      <c r="I1428" s="8"/>
      <c r="J1428" s="8"/>
      <c r="K1428" s="17" t="str">
        <f aca="false">IF($E1428="","",IF($E1428&lt;1,ROUND($E1428*1440,0),INT($E1428/100)*60+MOD($E1428,100)))</f>
        <v/>
      </c>
      <c r="L1428" s="17" t="str">
        <f aca="false">IF($F1428="","",IF($F1428&lt;1,ROUND($F1428*1440,0),INT($F1428/100)*60+MOD($F1428,100)))</f>
        <v/>
      </c>
    </row>
    <row r="1429" customFormat="false" ht="15" hidden="false" customHeight="true" outlineLevel="0" collapsed="false">
      <c r="A1429" s="10"/>
      <c r="B1429" s="8"/>
      <c r="C1429" s="13" t="str">
        <f aca="false">IF($B1429="","",IFERROR(INDEX(직원목록!$B$3:$B$302,MATCH($B1429,직원목록!$A$3:$A$302,0)),"미등록사번"))</f>
        <v/>
      </c>
      <c r="D1429" s="13" t="str">
        <f aca="false">IF($B1429="","",IFERROR(INDEX(직원목록!$C$3:$C$302,MATCH($B1429,직원목록!$A$3:$A$302,0)),""))</f>
        <v/>
      </c>
      <c r="E1429" s="14"/>
      <c r="F1429" s="14"/>
      <c r="G1429" s="15"/>
      <c r="H1429" s="16" t="str">
        <f aca="false">IF(OR($K1429="",$L1429=""),"",ROUND(MAX(0,($L1429-$K1429)-IF($G1429="",0,$G1429))/60,2))</f>
        <v/>
      </c>
      <c r="I1429" s="8"/>
      <c r="J1429" s="8"/>
      <c r="K1429" s="17" t="str">
        <f aca="false">IF($E1429="","",IF($E1429&lt;1,ROUND($E1429*1440,0),INT($E1429/100)*60+MOD($E1429,100)))</f>
        <v/>
      </c>
      <c r="L1429" s="17" t="str">
        <f aca="false">IF($F1429="","",IF($F1429&lt;1,ROUND($F1429*1440,0),INT($F1429/100)*60+MOD($F1429,100)))</f>
        <v/>
      </c>
    </row>
    <row r="1430" customFormat="false" ht="15" hidden="false" customHeight="true" outlineLevel="0" collapsed="false">
      <c r="A1430" s="10"/>
      <c r="B1430" s="8"/>
      <c r="C1430" s="13" t="str">
        <f aca="false">IF($B1430="","",IFERROR(INDEX(직원목록!$B$3:$B$302,MATCH($B1430,직원목록!$A$3:$A$302,0)),"미등록사번"))</f>
        <v/>
      </c>
      <c r="D1430" s="13" t="str">
        <f aca="false">IF($B1430="","",IFERROR(INDEX(직원목록!$C$3:$C$302,MATCH($B1430,직원목록!$A$3:$A$302,0)),""))</f>
        <v/>
      </c>
      <c r="E1430" s="14"/>
      <c r="F1430" s="14"/>
      <c r="G1430" s="15"/>
      <c r="H1430" s="16" t="str">
        <f aca="false">IF(OR($K1430="",$L1430=""),"",ROUND(MAX(0,($L1430-$K1430)-IF($G1430="",0,$G1430))/60,2))</f>
        <v/>
      </c>
      <c r="I1430" s="8"/>
      <c r="J1430" s="8"/>
      <c r="K1430" s="17" t="str">
        <f aca="false">IF($E1430="","",IF($E1430&lt;1,ROUND($E1430*1440,0),INT($E1430/100)*60+MOD($E1430,100)))</f>
        <v/>
      </c>
      <c r="L1430" s="17" t="str">
        <f aca="false">IF($F1430="","",IF($F1430&lt;1,ROUND($F1430*1440,0),INT($F1430/100)*60+MOD($F1430,100)))</f>
        <v/>
      </c>
    </row>
    <row r="1431" customFormat="false" ht="15" hidden="false" customHeight="true" outlineLevel="0" collapsed="false">
      <c r="A1431" s="10"/>
      <c r="B1431" s="8"/>
      <c r="C1431" s="13" t="str">
        <f aca="false">IF($B1431="","",IFERROR(INDEX(직원목록!$B$3:$B$302,MATCH($B1431,직원목록!$A$3:$A$302,0)),"미등록사번"))</f>
        <v/>
      </c>
      <c r="D1431" s="13" t="str">
        <f aca="false">IF($B1431="","",IFERROR(INDEX(직원목록!$C$3:$C$302,MATCH($B1431,직원목록!$A$3:$A$302,0)),""))</f>
        <v/>
      </c>
      <c r="E1431" s="14"/>
      <c r="F1431" s="14"/>
      <c r="G1431" s="15"/>
      <c r="H1431" s="16" t="str">
        <f aca="false">IF(OR($K1431="",$L1431=""),"",ROUND(MAX(0,($L1431-$K1431)-IF($G1431="",0,$G1431))/60,2))</f>
        <v/>
      </c>
      <c r="I1431" s="8"/>
      <c r="J1431" s="8"/>
      <c r="K1431" s="17" t="str">
        <f aca="false">IF($E1431="","",IF($E1431&lt;1,ROUND($E1431*1440,0),INT($E1431/100)*60+MOD($E1431,100)))</f>
        <v/>
      </c>
      <c r="L1431" s="17" t="str">
        <f aca="false">IF($F1431="","",IF($F1431&lt;1,ROUND($F1431*1440,0),INT($F1431/100)*60+MOD($F1431,100)))</f>
        <v/>
      </c>
    </row>
    <row r="1432" customFormat="false" ht="15" hidden="false" customHeight="true" outlineLevel="0" collapsed="false">
      <c r="A1432" s="10"/>
      <c r="B1432" s="8"/>
      <c r="C1432" s="13" t="str">
        <f aca="false">IF($B1432="","",IFERROR(INDEX(직원목록!$B$3:$B$302,MATCH($B1432,직원목록!$A$3:$A$302,0)),"미등록사번"))</f>
        <v/>
      </c>
      <c r="D1432" s="13" t="str">
        <f aca="false">IF($B1432="","",IFERROR(INDEX(직원목록!$C$3:$C$302,MATCH($B1432,직원목록!$A$3:$A$302,0)),""))</f>
        <v/>
      </c>
      <c r="E1432" s="14"/>
      <c r="F1432" s="14"/>
      <c r="G1432" s="15"/>
      <c r="H1432" s="16" t="str">
        <f aca="false">IF(OR($K1432="",$L1432=""),"",ROUND(MAX(0,($L1432-$K1432)-IF($G1432="",0,$G1432))/60,2))</f>
        <v/>
      </c>
      <c r="I1432" s="8"/>
      <c r="J1432" s="8"/>
      <c r="K1432" s="17" t="str">
        <f aca="false">IF($E1432="","",IF($E1432&lt;1,ROUND($E1432*1440,0),INT($E1432/100)*60+MOD($E1432,100)))</f>
        <v/>
      </c>
      <c r="L1432" s="17" t="str">
        <f aca="false">IF($F1432="","",IF($F1432&lt;1,ROUND($F1432*1440,0),INT($F1432/100)*60+MOD($F1432,100)))</f>
        <v/>
      </c>
    </row>
    <row r="1433" customFormat="false" ht="15" hidden="false" customHeight="true" outlineLevel="0" collapsed="false">
      <c r="A1433" s="10"/>
      <c r="B1433" s="8"/>
      <c r="C1433" s="13" t="str">
        <f aca="false">IF($B1433="","",IFERROR(INDEX(직원목록!$B$3:$B$302,MATCH($B1433,직원목록!$A$3:$A$302,0)),"미등록사번"))</f>
        <v/>
      </c>
      <c r="D1433" s="13" t="str">
        <f aca="false">IF($B1433="","",IFERROR(INDEX(직원목록!$C$3:$C$302,MATCH($B1433,직원목록!$A$3:$A$302,0)),""))</f>
        <v/>
      </c>
      <c r="E1433" s="14"/>
      <c r="F1433" s="14"/>
      <c r="G1433" s="15"/>
      <c r="H1433" s="16" t="str">
        <f aca="false">IF(OR($K1433="",$L1433=""),"",ROUND(MAX(0,($L1433-$K1433)-IF($G1433="",0,$G1433))/60,2))</f>
        <v/>
      </c>
      <c r="I1433" s="8"/>
      <c r="J1433" s="8"/>
      <c r="K1433" s="17" t="str">
        <f aca="false">IF($E1433="","",IF($E1433&lt;1,ROUND($E1433*1440,0),INT($E1433/100)*60+MOD($E1433,100)))</f>
        <v/>
      </c>
      <c r="L1433" s="17" t="str">
        <f aca="false">IF($F1433="","",IF($F1433&lt;1,ROUND($F1433*1440,0),INT($F1433/100)*60+MOD($F1433,100)))</f>
        <v/>
      </c>
    </row>
    <row r="1434" customFormat="false" ht="15" hidden="false" customHeight="true" outlineLevel="0" collapsed="false">
      <c r="A1434" s="10"/>
      <c r="B1434" s="8"/>
      <c r="C1434" s="13" t="str">
        <f aca="false">IF($B1434="","",IFERROR(INDEX(직원목록!$B$3:$B$302,MATCH($B1434,직원목록!$A$3:$A$302,0)),"미등록사번"))</f>
        <v/>
      </c>
      <c r="D1434" s="13" t="str">
        <f aca="false">IF($B1434="","",IFERROR(INDEX(직원목록!$C$3:$C$302,MATCH($B1434,직원목록!$A$3:$A$302,0)),""))</f>
        <v/>
      </c>
      <c r="E1434" s="14"/>
      <c r="F1434" s="14"/>
      <c r="G1434" s="15"/>
      <c r="H1434" s="16" t="str">
        <f aca="false">IF(OR($K1434="",$L1434=""),"",ROUND(MAX(0,($L1434-$K1434)-IF($G1434="",0,$G1434))/60,2))</f>
        <v/>
      </c>
      <c r="I1434" s="8"/>
      <c r="J1434" s="8"/>
      <c r="K1434" s="17" t="str">
        <f aca="false">IF($E1434="","",IF($E1434&lt;1,ROUND($E1434*1440,0),INT($E1434/100)*60+MOD($E1434,100)))</f>
        <v/>
      </c>
      <c r="L1434" s="17" t="str">
        <f aca="false">IF($F1434="","",IF($F1434&lt;1,ROUND($F1434*1440,0),INT($F1434/100)*60+MOD($F1434,100)))</f>
        <v/>
      </c>
    </row>
    <row r="1435" customFormat="false" ht="15" hidden="false" customHeight="true" outlineLevel="0" collapsed="false">
      <c r="A1435" s="10"/>
      <c r="B1435" s="8"/>
      <c r="C1435" s="13" t="str">
        <f aca="false">IF($B1435="","",IFERROR(INDEX(직원목록!$B$3:$B$302,MATCH($B1435,직원목록!$A$3:$A$302,0)),"미등록사번"))</f>
        <v/>
      </c>
      <c r="D1435" s="13" t="str">
        <f aca="false">IF($B1435="","",IFERROR(INDEX(직원목록!$C$3:$C$302,MATCH($B1435,직원목록!$A$3:$A$302,0)),""))</f>
        <v/>
      </c>
      <c r="E1435" s="14"/>
      <c r="F1435" s="14"/>
      <c r="G1435" s="15"/>
      <c r="H1435" s="16" t="str">
        <f aca="false">IF(OR($K1435="",$L1435=""),"",ROUND(MAX(0,($L1435-$K1435)-IF($G1435="",0,$G1435))/60,2))</f>
        <v/>
      </c>
      <c r="I1435" s="8"/>
      <c r="J1435" s="8"/>
      <c r="K1435" s="17" t="str">
        <f aca="false">IF($E1435="","",IF($E1435&lt;1,ROUND($E1435*1440,0),INT($E1435/100)*60+MOD($E1435,100)))</f>
        <v/>
      </c>
      <c r="L1435" s="17" t="str">
        <f aca="false">IF($F1435="","",IF($F1435&lt;1,ROUND($F1435*1440,0),INT($F1435/100)*60+MOD($F1435,100)))</f>
        <v/>
      </c>
    </row>
    <row r="1436" customFormat="false" ht="15" hidden="false" customHeight="true" outlineLevel="0" collapsed="false">
      <c r="A1436" s="10"/>
      <c r="B1436" s="8"/>
      <c r="C1436" s="13" t="str">
        <f aca="false">IF($B1436="","",IFERROR(INDEX(직원목록!$B$3:$B$302,MATCH($B1436,직원목록!$A$3:$A$302,0)),"미등록사번"))</f>
        <v/>
      </c>
      <c r="D1436" s="13" t="str">
        <f aca="false">IF($B1436="","",IFERROR(INDEX(직원목록!$C$3:$C$302,MATCH($B1436,직원목록!$A$3:$A$302,0)),""))</f>
        <v/>
      </c>
      <c r="E1436" s="14"/>
      <c r="F1436" s="14"/>
      <c r="G1436" s="15"/>
      <c r="H1436" s="16" t="str">
        <f aca="false">IF(OR($K1436="",$L1436=""),"",ROUND(MAX(0,($L1436-$K1436)-IF($G1436="",0,$G1436))/60,2))</f>
        <v/>
      </c>
      <c r="I1436" s="8"/>
      <c r="J1436" s="8"/>
      <c r="K1436" s="17" t="str">
        <f aca="false">IF($E1436="","",IF($E1436&lt;1,ROUND($E1436*1440,0),INT($E1436/100)*60+MOD($E1436,100)))</f>
        <v/>
      </c>
      <c r="L1436" s="17" t="str">
        <f aca="false">IF($F1436="","",IF($F1436&lt;1,ROUND($F1436*1440,0),INT($F1436/100)*60+MOD($F1436,100)))</f>
        <v/>
      </c>
    </row>
    <row r="1437" customFormat="false" ht="15" hidden="false" customHeight="true" outlineLevel="0" collapsed="false">
      <c r="A1437" s="10"/>
      <c r="B1437" s="8"/>
      <c r="C1437" s="13" t="str">
        <f aca="false">IF($B1437="","",IFERROR(INDEX(직원목록!$B$3:$B$302,MATCH($B1437,직원목록!$A$3:$A$302,0)),"미등록사번"))</f>
        <v/>
      </c>
      <c r="D1437" s="13" t="str">
        <f aca="false">IF($B1437="","",IFERROR(INDEX(직원목록!$C$3:$C$302,MATCH($B1437,직원목록!$A$3:$A$302,0)),""))</f>
        <v/>
      </c>
      <c r="E1437" s="14"/>
      <c r="F1437" s="14"/>
      <c r="G1437" s="15"/>
      <c r="H1437" s="16" t="str">
        <f aca="false">IF(OR($K1437="",$L1437=""),"",ROUND(MAX(0,($L1437-$K1437)-IF($G1437="",0,$G1437))/60,2))</f>
        <v/>
      </c>
      <c r="I1437" s="8"/>
      <c r="J1437" s="8"/>
      <c r="K1437" s="17" t="str">
        <f aca="false">IF($E1437="","",IF($E1437&lt;1,ROUND($E1437*1440,0),INT($E1437/100)*60+MOD($E1437,100)))</f>
        <v/>
      </c>
      <c r="L1437" s="17" t="str">
        <f aca="false">IF($F1437="","",IF($F1437&lt;1,ROUND($F1437*1440,0),INT($F1437/100)*60+MOD($F1437,100)))</f>
        <v/>
      </c>
    </row>
    <row r="1438" customFormat="false" ht="15" hidden="false" customHeight="true" outlineLevel="0" collapsed="false">
      <c r="A1438" s="10"/>
      <c r="B1438" s="8"/>
      <c r="C1438" s="13" t="str">
        <f aca="false">IF($B1438="","",IFERROR(INDEX(직원목록!$B$3:$B$302,MATCH($B1438,직원목록!$A$3:$A$302,0)),"미등록사번"))</f>
        <v/>
      </c>
      <c r="D1438" s="13" t="str">
        <f aca="false">IF($B1438="","",IFERROR(INDEX(직원목록!$C$3:$C$302,MATCH($B1438,직원목록!$A$3:$A$302,0)),""))</f>
        <v/>
      </c>
      <c r="E1438" s="14"/>
      <c r="F1438" s="14"/>
      <c r="G1438" s="15"/>
      <c r="H1438" s="16" t="str">
        <f aca="false">IF(OR($K1438="",$L1438=""),"",ROUND(MAX(0,($L1438-$K1438)-IF($G1438="",0,$G1438))/60,2))</f>
        <v/>
      </c>
      <c r="I1438" s="8"/>
      <c r="J1438" s="8"/>
      <c r="K1438" s="17" t="str">
        <f aca="false">IF($E1438="","",IF($E1438&lt;1,ROUND($E1438*1440,0),INT($E1438/100)*60+MOD($E1438,100)))</f>
        <v/>
      </c>
      <c r="L1438" s="17" t="str">
        <f aca="false">IF($F1438="","",IF($F1438&lt;1,ROUND($F1438*1440,0),INT($F1438/100)*60+MOD($F1438,100)))</f>
        <v/>
      </c>
    </row>
    <row r="1439" customFormat="false" ht="15" hidden="false" customHeight="true" outlineLevel="0" collapsed="false">
      <c r="A1439" s="10"/>
      <c r="B1439" s="8"/>
      <c r="C1439" s="13" t="str">
        <f aca="false">IF($B1439="","",IFERROR(INDEX(직원목록!$B$3:$B$302,MATCH($B1439,직원목록!$A$3:$A$302,0)),"미등록사번"))</f>
        <v/>
      </c>
      <c r="D1439" s="13" t="str">
        <f aca="false">IF($B1439="","",IFERROR(INDEX(직원목록!$C$3:$C$302,MATCH($B1439,직원목록!$A$3:$A$302,0)),""))</f>
        <v/>
      </c>
      <c r="E1439" s="14"/>
      <c r="F1439" s="14"/>
      <c r="G1439" s="15"/>
      <c r="H1439" s="16" t="str">
        <f aca="false">IF(OR($K1439="",$L1439=""),"",ROUND(MAX(0,($L1439-$K1439)-IF($G1439="",0,$G1439))/60,2))</f>
        <v/>
      </c>
      <c r="I1439" s="8"/>
      <c r="J1439" s="8"/>
      <c r="K1439" s="17" t="str">
        <f aca="false">IF($E1439="","",IF($E1439&lt;1,ROUND($E1439*1440,0),INT($E1439/100)*60+MOD($E1439,100)))</f>
        <v/>
      </c>
      <c r="L1439" s="17" t="str">
        <f aca="false">IF($F1439="","",IF($F1439&lt;1,ROUND($F1439*1440,0),INT($F1439/100)*60+MOD($F1439,100)))</f>
        <v/>
      </c>
    </row>
    <row r="1440" customFormat="false" ht="15" hidden="false" customHeight="true" outlineLevel="0" collapsed="false">
      <c r="A1440" s="10"/>
      <c r="B1440" s="8"/>
      <c r="C1440" s="13" t="str">
        <f aca="false">IF($B1440="","",IFERROR(INDEX(직원목록!$B$3:$B$302,MATCH($B1440,직원목록!$A$3:$A$302,0)),"미등록사번"))</f>
        <v/>
      </c>
      <c r="D1440" s="13" t="str">
        <f aca="false">IF($B1440="","",IFERROR(INDEX(직원목록!$C$3:$C$302,MATCH($B1440,직원목록!$A$3:$A$302,0)),""))</f>
        <v/>
      </c>
      <c r="E1440" s="14"/>
      <c r="F1440" s="14"/>
      <c r="G1440" s="15"/>
      <c r="H1440" s="16" t="str">
        <f aca="false">IF(OR($K1440="",$L1440=""),"",ROUND(MAX(0,($L1440-$K1440)-IF($G1440="",0,$G1440))/60,2))</f>
        <v/>
      </c>
      <c r="I1440" s="8"/>
      <c r="J1440" s="8"/>
      <c r="K1440" s="17" t="str">
        <f aca="false">IF($E1440="","",IF($E1440&lt;1,ROUND($E1440*1440,0),INT($E1440/100)*60+MOD($E1440,100)))</f>
        <v/>
      </c>
      <c r="L1440" s="17" t="str">
        <f aca="false">IF($F1440="","",IF($F1440&lt;1,ROUND($F1440*1440,0),INT($F1440/100)*60+MOD($F1440,100)))</f>
        <v/>
      </c>
    </row>
    <row r="1441" customFormat="false" ht="15" hidden="false" customHeight="true" outlineLevel="0" collapsed="false">
      <c r="A1441" s="10"/>
      <c r="B1441" s="8"/>
      <c r="C1441" s="13" t="str">
        <f aca="false">IF($B1441="","",IFERROR(INDEX(직원목록!$B$3:$B$302,MATCH($B1441,직원목록!$A$3:$A$302,0)),"미등록사번"))</f>
        <v/>
      </c>
      <c r="D1441" s="13" t="str">
        <f aca="false">IF($B1441="","",IFERROR(INDEX(직원목록!$C$3:$C$302,MATCH($B1441,직원목록!$A$3:$A$302,0)),""))</f>
        <v/>
      </c>
      <c r="E1441" s="14"/>
      <c r="F1441" s="14"/>
      <c r="G1441" s="15"/>
      <c r="H1441" s="16" t="str">
        <f aca="false">IF(OR($K1441="",$L1441=""),"",ROUND(MAX(0,($L1441-$K1441)-IF($G1441="",0,$G1441))/60,2))</f>
        <v/>
      </c>
      <c r="I1441" s="8"/>
      <c r="J1441" s="8"/>
      <c r="K1441" s="17" t="str">
        <f aca="false">IF($E1441="","",IF($E1441&lt;1,ROUND($E1441*1440,0),INT($E1441/100)*60+MOD($E1441,100)))</f>
        <v/>
      </c>
      <c r="L1441" s="17" t="str">
        <f aca="false">IF($F1441="","",IF($F1441&lt;1,ROUND($F1441*1440,0),INT($F1441/100)*60+MOD($F1441,100)))</f>
        <v/>
      </c>
    </row>
    <row r="1442" customFormat="false" ht="15" hidden="false" customHeight="true" outlineLevel="0" collapsed="false">
      <c r="A1442" s="10"/>
      <c r="B1442" s="8"/>
      <c r="C1442" s="13" t="str">
        <f aca="false">IF($B1442="","",IFERROR(INDEX(직원목록!$B$3:$B$302,MATCH($B1442,직원목록!$A$3:$A$302,0)),"미등록사번"))</f>
        <v/>
      </c>
      <c r="D1442" s="13" t="str">
        <f aca="false">IF($B1442="","",IFERROR(INDEX(직원목록!$C$3:$C$302,MATCH($B1442,직원목록!$A$3:$A$302,0)),""))</f>
        <v/>
      </c>
      <c r="E1442" s="14"/>
      <c r="F1442" s="14"/>
      <c r="G1442" s="15"/>
      <c r="H1442" s="16" t="str">
        <f aca="false">IF(OR($K1442="",$L1442=""),"",ROUND(MAX(0,($L1442-$K1442)-IF($G1442="",0,$G1442))/60,2))</f>
        <v/>
      </c>
      <c r="I1442" s="8"/>
      <c r="J1442" s="8"/>
      <c r="K1442" s="17" t="str">
        <f aca="false">IF($E1442="","",IF($E1442&lt;1,ROUND($E1442*1440,0),INT($E1442/100)*60+MOD($E1442,100)))</f>
        <v/>
      </c>
      <c r="L1442" s="17" t="str">
        <f aca="false">IF($F1442="","",IF($F1442&lt;1,ROUND($F1442*1440,0),INT($F1442/100)*60+MOD($F1442,100)))</f>
        <v/>
      </c>
    </row>
    <row r="1443" customFormat="false" ht="15" hidden="false" customHeight="true" outlineLevel="0" collapsed="false">
      <c r="A1443" s="10"/>
      <c r="B1443" s="8"/>
      <c r="C1443" s="13" t="str">
        <f aca="false">IF($B1443="","",IFERROR(INDEX(직원목록!$B$3:$B$302,MATCH($B1443,직원목록!$A$3:$A$302,0)),"미등록사번"))</f>
        <v/>
      </c>
      <c r="D1443" s="13" t="str">
        <f aca="false">IF($B1443="","",IFERROR(INDEX(직원목록!$C$3:$C$302,MATCH($B1443,직원목록!$A$3:$A$302,0)),""))</f>
        <v/>
      </c>
      <c r="E1443" s="14"/>
      <c r="F1443" s="14"/>
      <c r="G1443" s="15"/>
      <c r="H1443" s="16" t="str">
        <f aca="false">IF(OR($K1443="",$L1443=""),"",ROUND(MAX(0,($L1443-$K1443)-IF($G1443="",0,$G1443))/60,2))</f>
        <v/>
      </c>
      <c r="I1443" s="8"/>
      <c r="J1443" s="8"/>
      <c r="K1443" s="17" t="str">
        <f aca="false">IF($E1443="","",IF($E1443&lt;1,ROUND($E1443*1440,0),INT($E1443/100)*60+MOD($E1443,100)))</f>
        <v/>
      </c>
      <c r="L1443" s="17" t="str">
        <f aca="false">IF($F1443="","",IF($F1443&lt;1,ROUND($F1443*1440,0),INT($F1443/100)*60+MOD($F1443,100)))</f>
        <v/>
      </c>
    </row>
    <row r="1444" customFormat="false" ht="15" hidden="false" customHeight="true" outlineLevel="0" collapsed="false">
      <c r="A1444" s="10"/>
      <c r="B1444" s="8"/>
      <c r="C1444" s="13" t="str">
        <f aca="false">IF($B1444="","",IFERROR(INDEX(직원목록!$B$3:$B$302,MATCH($B1444,직원목록!$A$3:$A$302,0)),"미등록사번"))</f>
        <v/>
      </c>
      <c r="D1444" s="13" t="str">
        <f aca="false">IF($B1444="","",IFERROR(INDEX(직원목록!$C$3:$C$302,MATCH($B1444,직원목록!$A$3:$A$302,0)),""))</f>
        <v/>
      </c>
      <c r="E1444" s="14"/>
      <c r="F1444" s="14"/>
      <c r="G1444" s="15"/>
      <c r="H1444" s="16" t="str">
        <f aca="false">IF(OR($K1444="",$L1444=""),"",ROUND(MAX(0,($L1444-$K1444)-IF($G1444="",0,$G1444))/60,2))</f>
        <v/>
      </c>
      <c r="I1444" s="8"/>
      <c r="J1444" s="8"/>
      <c r="K1444" s="17" t="str">
        <f aca="false">IF($E1444="","",IF($E1444&lt;1,ROUND($E1444*1440,0),INT($E1444/100)*60+MOD($E1444,100)))</f>
        <v/>
      </c>
      <c r="L1444" s="17" t="str">
        <f aca="false">IF($F1444="","",IF($F1444&lt;1,ROUND($F1444*1440,0),INT($F1444/100)*60+MOD($F1444,100)))</f>
        <v/>
      </c>
    </row>
    <row r="1445" customFormat="false" ht="15" hidden="false" customHeight="true" outlineLevel="0" collapsed="false">
      <c r="A1445" s="10"/>
      <c r="B1445" s="8"/>
      <c r="C1445" s="13" t="str">
        <f aca="false">IF($B1445="","",IFERROR(INDEX(직원목록!$B$3:$B$302,MATCH($B1445,직원목록!$A$3:$A$302,0)),"미등록사번"))</f>
        <v/>
      </c>
      <c r="D1445" s="13" t="str">
        <f aca="false">IF($B1445="","",IFERROR(INDEX(직원목록!$C$3:$C$302,MATCH($B1445,직원목록!$A$3:$A$302,0)),""))</f>
        <v/>
      </c>
      <c r="E1445" s="14"/>
      <c r="F1445" s="14"/>
      <c r="G1445" s="15"/>
      <c r="H1445" s="16" t="str">
        <f aca="false">IF(OR($K1445="",$L1445=""),"",ROUND(MAX(0,($L1445-$K1445)-IF($G1445="",0,$G1445))/60,2))</f>
        <v/>
      </c>
      <c r="I1445" s="8"/>
      <c r="J1445" s="8"/>
      <c r="K1445" s="17" t="str">
        <f aca="false">IF($E1445="","",IF($E1445&lt;1,ROUND($E1445*1440,0),INT($E1445/100)*60+MOD($E1445,100)))</f>
        <v/>
      </c>
      <c r="L1445" s="17" t="str">
        <f aca="false">IF($F1445="","",IF($F1445&lt;1,ROUND($F1445*1440,0),INT($F1445/100)*60+MOD($F1445,100)))</f>
        <v/>
      </c>
    </row>
    <row r="1446" customFormat="false" ht="15" hidden="false" customHeight="true" outlineLevel="0" collapsed="false">
      <c r="A1446" s="10"/>
      <c r="B1446" s="8"/>
      <c r="C1446" s="13" t="str">
        <f aca="false">IF($B1446="","",IFERROR(INDEX(직원목록!$B$3:$B$302,MATCH($B1446,직원목록!$A$3:$A$302,0)),"미등록사번"))</f>
        <v/>
      </c>
      <c r="D1446" s="13" t="str">
        <f aca="false">IF($B1446="","",IFERROR(INDEX(직원목록!$C$3:$C$302,MATCH($B1446,직원목록!$A$3:$A$302,0)),""))</f>
        <v/>
      </c>
      <c r="E1446" s="14"/>
      <c r="F1446" s="14"/>
      <c r="G1446" s="15"/>
      <c r="H1446" s="16" t="str">
        <f aca="false">IF(OR($K1446="",$L1446=""),"",ROUND(MAX(0,($L1446-$K1446)-IF($G1446="",0,$G1446))/60,2))</f>
        <v/>
      </c>
      <c r="I1446" s="8"/>
      <c r="J1446" s="8"/>
      <c r="K1446" s="17" t="str">
        <f aca="false">IF($E1446="","",IF($E1446&lt;1,ROUND($E1446*1440,0),INT($E1446/100)*60+MOD($E1446,100)))</f>
        <v/>
      </c>
      <c r="L1446" s="17" t="str">
        <f aca="false">IF($F1446="","",IF($F1446&lt;1,ROUND($F1446*1440,0),INT($F1446/100)*60+MOD($F1446,100)))</f>
        <v/>
      </c>
    </row>
    <row r="1447" customFormat="false" ht="15" hidden="false" customHeight="true" outlineLevel="0" collapsed="false">
      <c r="A1447" s="10"/>
      <c r="B1447" s="8"/>
      <c r="C1447" s="13" t="str">
        <f aca="false">IF($B1447="","",IFERROR(INDEX(직원목록!$B$3:$B$302,MATCH($B1447,직원목록!$A$3:$A$302,0)),"미등록사번"))</f>
        <v/>
      </c>
      <c r="D1447" s="13" t="str">
        <f aca="false">IF($B1447="","",IFERROR(INDEX(직원목록!$C$3:$C$302,MATCH($B1447,직원목록!$A$3:$A$302,0)),""))</f>
        <v/>
      </c>
      <c r="E1447" s="14"/>
      <c r="F1447" s="14"/>
      <c r="G1447" s="15"/>
      <c r="H1447" s="16" t="str">
        <f aca="false">IF(OR($K1447="",$L1447=""),"",ROUND(MAX(0,($L1447-$K1447)-IF($G1447="",0,$G1447))/60,2))</f>
        <v/>
      </c>
      <c r="I1447" s="8"/>
      <c r="J1447" s="8"/>
      <c r="K1447" s="17" t="str">
        <f aca="false">IF($E1447="","",IF($E1447&lt;1,ROUND($E1447*1440,0),INT($E1447/100)*60+MOD($E1447,100)))</f>
        <v/>
      </c>
      <c r="L1447" s="17" t="str">
        <f aca="false">IF($F1447="","",IF($F1447&lt;1,ROUND($F1447*1440,0),INT($F1447/100)*60+MOD($F1447,100)))</f>
        <v/>
      </c>
    </row>
    <row r="1448" customFormat="false" ht="15" hidden="false" customHeight="true" outlineLevel="0" collapsed="false">
      <c r="A1448" s="10"/>
      <c r="B1448" s="8"/>
      <c r="C1448" s="13" t="str">
        <f aca="false">IF($B1448="","",IFERROR(INDEX(직원목록!$B$3:$B$302,MATCH($B1448,직원목록!$A$3:$A$302,0)),"미등록사번"))</f>
        <v/>
      </c>
      <c r="D1448" s="13" t="str">
        <f aca="false">IF($B1448="","",IFERROR(INDEX(직원목록!$C$3:$C$302,MATCH($B1448,직원목록!$A$3:$A$302,0)),""))</f>
        <v/>
      </c>
      <c r="E1448" s="14"/>
      <c r="F1448" s="14"/>
      <c r="G1448" s="15"/>
      <c r="H1448" s="16" t="str">
        <f aca="false">IF(OR($K1448="",$L1448=""),"",ROUND(MAX(0,($L1448-$K1448)-IF($G1448="",0,$G1448))/60,2))</f>
        <v/>
      </c>
      <c r="I1448" s="8"/>
      <c r="J1448" s="8"/>
      <c r="K1448" s="17" t="str">
        <f aca="false">IF($E1448="","",IF($E1448&lt;1,ROUND($E1448*1440,0),INT($E1448/100)*60+MOD($E1448,100)))</f>
        <v/>
      </c>
      <c r="L1448" s="17" t="str">
        <f aca="false">IF($F1448="","",IF($F1448&lt;1,ROUND($F1448*1440,0),INT($F1448/100)*60+MOD($F1448,100)))</f>
        <v/>
      </c>
    </row>
    <row r="1449" customFormat="false" ht="15" hidden="false" customHeight="true" outlineLevel="0" collapsed="false">
      <c r="A1449" s="10"/>
      <c r="B1449" s="8"/>
      <c r="C1449" s="13" t="str">
        <f aca="false">IF($B1449="","",IFERROR(INDEX(직원목록!$B$3:$B$302,MATCH($B1449,직원목록!$A$3:$A$302,0)),"미등록사번"))</f>
        <v/>
      </c>
      <c r="D1449" s="13" t="str">
        <f aca="false">IF($B1449="","",IFERROR(INDEX(직원목록!$C$3:$C$302,MATCH($B1449,직원목록!$A$3:$A$302,0)),""))</f>
        <v/>
      </c>
      <c r="E1449" s="14"/>
      <c r="F1449" s="14"/>
      <c r="G1449" s="15"/>
      <c r="H1449" s="16" t="str">
        <f aca="false">IF(OR($K1449="",$L1449=""),"",ROUND(MAX(0,($L1449-$K1449)-IF($G1449="",0,$G1449))/60,2))</f>
        <v/>
      </c>
      <c r="I1449" s="8"/>
      <c r="J1449" s="8"/>
      <c r="K1449" s="17" t="str">
        <f aca="false">IF($E1449="","",IF($E1449&lt;1,ROUND($E1449*1440,0),INT($E1449/100)*60+MOD($E1449,100)))</f>
        <v/>
      </c>
      <c r="L1449" s="17" t="str">
        <f aca="false">IF($F1449="","",IF($F1449&lt;1,ROUND($F1449*1440,0),INT($F1449/100)*60+MOD($F1449,100)))</f>
        <v/>
      </c>
    </row>
    <row r="1450" customFormat="false" ht="15" hidden="false" customHeight="true" outlineLevel="0" collapsed="false">
      <c r="A1450" s="10"/>
      <c r="B1450" s="8"/>
      <c r="C1450" s="13" t="str">
        <f aca="false">IF($B1450="","",IFERROR(INDEX(직원목록!$B$3:$B$302,MATCH($B1450,직원목록!$A$3:$A$302,0)),"미등록사번"))</f>
        <v/>
      </c>
      <c r="D1450" s="13" t="str">
        <f aca="false">IF($B1450="","",IFERROR(INDEX(직원목록!$C$3:$C$302,MATCH($B1450,직원목록!$A$3:$A$302,0)),""))</f>
        <v/>
      </c>
      <c r="E1450" s="14"/>
      <c r="F1450" s="14"/>
      <c r="G1450" s="15"/>
      <c r="H1450" s="16" t="str">
        <f aca="false">IF(OR($K1450="",$L1450=""),"",ROUND(MAX(0,($L1450-$K1450)-IF($G1450="",0,$G1450))/60,2))</f>
        <v/>
      </c>
      <c r="I1450" s="8"/>
      <c r="J1450" s="8"/>
      <c r="K1450" s="17" t="str">
        <f aca="false">IF($E1450="","",IF($E1450&lt;1,ROUND($E1450*1440,0),INT($E1450/100)*60+MOD($E1450,100)))</f>
        <v/>
      </c>
      <c r="L1450" s="17" t="str">
        <f aca="false">IF($F1450="","",IF($F1450&lt;1,ROUND($F1450*1440,0),INT($F1450/100)*60+MOD($F1450,100)))</f>
        <v/>
      </c>
    </row>
    <row r="1451" customFormat="false" ht="15" hidden="false" customHeight="true" outlineLevel="0" collapsed="false">
      <c r="A1451" s="10"/>
      <c r="B1451" s="8"/>
      <c r="C1451" s="13" t="str">
        <f aca="false">IF($B1451="","",IFERROR(INDEX(직원목록!$B$3:$B$302,MATCH($B1451,직원목록!$A$3:$A$302,0)),"미등록사번"))</f>
        <v/>
      </c>
      <c r="D1451" s="13" t="str">
        <f aca="false">IF($B1451="","",IFERROR(INDEX(직원목록!$C$3:$C$302,MATCH($B1451,직원목록!$A$3:$A$302,0)),""))</f>
        <v/>
      </c>
      <c r="E1451" s="14"/>
      <c r="F1451" s="14"/>
      <c r="G1451" s="15"/>
      <c r="H1451" s="16" t="str">
        <f aca="false">IF(OR($K1451="",$L1451=""),"",ROUND(MAX(0,($L1451-$K1451)-IF($G1451="",0,$G1451))/60,2))</f>
        <v/>
      </c>
      <c r="I1451" s="8"/>
      <c r="J1451" s="8"/>
      <c r="K1451" s="17" t="str">
        <f aca="false">IF($E1451="","",IF($E1451&lt;1,ROUND($E1451*1440,0),INT($E1451/100)*60+MOD($E1451,100)))</f>
        <v/>
      </c>
      <c r="L1451" s="17" t="str">
        <f aca="false">IF($F1451="","",IF($F1451&lt;1,ROUND($F1451*1440,0),INT($F1451/100)*60+MOD($F1451,100)))</f>
        <v/>
      </c>
    </row>
    <row r="1452" customFormat="false" ht="15" hidden="false" customHeight="true" outlineLevel="0" collapsed="false">
      <c r="A1452" s="10"/>
      <c r="B1452" s="8"/>
      <c r="C1452" s="13" t="str">
        <f aca="false">IF($B1452="","",IFERROR(INDEX(직원목록!$B$3:$B$302,MATCH($B1452,직원목록!$A$3:$A$302,0)),"미등록사번"))</f>
        <v/>
      </c>
      <c r="D1452" s="13" t="str">
        <f aca="false">IF($B1452="","",IFERROR(INDEX(직원목록!$C$3:$C$302,MATCH($B1452,직원목록!$A$3:$A$302,0)),""))</f>
        <v/>
      </c>
      <c r="E1452" s="14"/>
      <c r="F1452" s="14"/>
      <c r="G1452" s="15"/>
      <c r="H1452" s="16" t="str">
        <f aca="false">IF(OR($K1452="",$L1452=""),"",ROUND(MAX(0,($L1452-$K1452)-IF($G1452="",0,$G1452))/60,2))</f>
        <v/>
      </c>
      <c r="I1452" s="8"/>
      <c r="J1452" s="8"/>
      <c r="K1452" s="17" t="str">
        <f aca="false">IF($E1452="","",IF($E1452&lt;1,ROUND($E1452*1440,0),INT($E1452/100)*60+MOD($E1452,100)))</f>
        <v/>
      </c>
      <c r="L1452" s="17" t="str">
        <f aca="false">IF($F1452="","",IF($F1452&lt;1,ROUND($F1452*1440,0),INT($F1452/100)*60+MOD($F1452,100)))</f>
        <v/>
      </c>
    </row>
    <row r="1453" customFormat="false" ht="15" hidden="false" customHeight="true" outlineLevel="0" collapsed="false">
      <c r="A1453" s="10"/>
      <c r="B1453" s="8"/>
      <c r="C1453" s="13" t="str">
        <f aca="false">IF($B1453="","",IFERROR(INDEX(직원목록!$B$3:$B$302,MATCH($B1453,직원목록!$A$3:$A$302,0)),"미등록사번"))</f>
        <v/>
      </c>
      <c r="D1453" s="13" t="str">
        <f aca="false">IF($B1453="","",IFERROR(INDEX(직원목록!$C$3:$C$302,MATCH($B1453,직원목록!$A$3:$A$302,0)),""))</f>
        <v/>
      </c>
      <c r="E1453" s="14"/>
      <c r="F1453" s="14"/>
      <c r="G1453" s="15"/>
      <c r="H1453" s="16" t="str">
        <f aca="false">IF(OR($K1453="",$L1453=""),"",ROUND(MAX(0,($L1453-$K1453)-IF($G1453="",0,$G1453))/60,2))</f>
        <v/>
      </c>
      <c r="I1453" s="8"/>
      <c r="J1453" s="8"/>
      <c r="K1453" s="17" t="str">
        <f aca="false">IF($E1453="","",IF($E1453&lt;1,ROUND($E1453*1440,0),INT($E1453/100)*60+MOD($E1453,100)))</f>
        <v/>
      </c>
      <c r="L1453" s="17" t="str">
        <f aca="false">IF($F1453="","",IF($F1453&lt;1,ROUND($F1453*1440,0),INT($F1453/100)*60+MOD($F1453,100)))</f>
        <v/>
      </c>
    </row>
    <row r="1454" customFormat="false" ht="15" hidden="false" customHeight="true" outlineLevel="0" collapsed="false">
      <c r="A1454" s="10"/>
      <c r="B1454" s="8"/>
      <c r="C1454" s="13" t="str">
        <f aca="false">IF($B1454="","",IFERROR(INDEX(직원목록!$B$3:$B$302,MATCH($B1454,직원목록!$A$3:$A$302,0)),"미등록사번"))</f>
        <v/>
      </c>
      <c r="D1454" s="13" t="str">
        <f aca="false">IF($B1454="","",IFERROR(INDEX(직원목록!$C$3:$C$302,MATCH($B1454,직원목록!$A$3:$A$302,0)),""))</f>
        <v/>
      </c>
      <c r="E1454" s="14"/>
      <c r="F1454" s="14"/>
      <c r="G1454" s="15"/>
      <c r="H1454" s="16" t="str">
        <f aca="false">IF(OR($K1454="",$L1454=""),"",ROUND(MAX(0,($L1454-$K1454)-IF($G1454="",0,$G1454))/60,2))</f>
        <v/>
      </c>
      <c r="I1454" s="8"/>
      <c r="J1454" s="8"/>
      <c r="K1454" s="17" t="str">
        <f aca="false">IF($E1454="","",IF($E1454&lt;1,ROUND($E1454*1440,0),INT($E1454/100)*60+MOD($E1454,100)))</f>
        <v/>
      </c>
      <c r="L1454" s="17" t="str">
        <f aca="false">IF($F1454="","",IF($F1454&lt;1,ROUND($F1454*1440,0),INT($F1454/100)*60+MOD($F1454,100)))</f>
        <v/>
      </c>
    </row>
    <row r="1455" customFormat="false" ht="15" hidden="false" customHeight="true" outlineLevel="0" collapsed="false">
      <c r="A1455" s="10"/>
      <c r="B1455" s="8"/>
      <c r="C1455" s="13" t="str">
        <f aca="false">IF($B1455="","",IFERROR(INDEX(직원목록!$B$3:$B$302,MATCH($B1455,직원목록!$A$3:$A$302,0)),"미등록사번"))</f>
        <v/>
      </c>
      <c r="D1455" s="13" t="str">
        <f aca="false">IF($B1455="","",IFERROR(INDEX(직원목록!$C$3:$C$302,MATCH($B1455,직원목록!$A$3:$A$302,0)),""))</f>
        <v/>
      </c>
      <c r="E1455" s="14"/>
      <c r="F1455" s="14"/>
      <c r="G1455" s="15"/>
      <c r="H1455" s="16" t="str">
        <f aca="false">IF(OR($K1455="",$L1455=""),"",ROUND(MAX(0,($L1455-$K1455)-IF($G1455="",0,$G1455))/60,2))</f>
        <v/>
      </c>
      <c r="I1455" s="8"/>
      <c r="J1455" s="8"/>
      <c r="K1455" s="17" t="str">
        <f aca="false">IF($E1455="","",IF($E1455&lt;1,ROUND($E1455*1440,0),INT($E1455/100)*60+MOD($E1455,100)))</f>
        <v/>
      </c>
      <c r="L1455" s="17" t="str">
        <f aca="false">IF($F1455="","",IF($F1455&lt;1,ROUND($F1455*1440,0),INT($F1455/100)*60+MOD($F1455,100)))</f>
        <v/>
      </c>
    </row>
    <row r="1456" customFormat="false" ht="15" hidden="false" customHeight="true" outlineLevel="0" collapsed="false">
      <c r="A1456" s="10"/>
      <c r="B1456" s="8"/>
      <c r="C1456" s="13" t="str">
        <f aca="false">IF($B1456="","",IFERROR(INDEX(직원목록!$B$3:$B$302,MATCH($B1456,직원목록!$A$3:$A$302,0)),"미등록사번"))</f>
        <v/>
      </c>
      <c r="D1456" s="13" t="str">
        <f aca="false">IF($B1456="","",IFERROR(INDEX(직원목록!$C$3:$C$302,MATCH($B1456,직원목록!$A$3:$A$302,0)),""))</f>
        <v/>
      </c>
      <c r="E1456" s="14"/>
      <c r="F1456" s="14"/>
      <c r="G1456" s="15"/>
      <c r="H1456" s="16" t="str">
        <f aca="false">IF(OR($K1456="",$L1456=""),"",ROUND(MAX(0,($L1456-$K1456)-IF($G1456="",0,$G1456))/60,2))</f>
        <v/>
      </c>
      <c r="I1456" s="8"/>
      <c r="J1456" s="8"/>
      <c r="K1456" s="17" t="str">
        <f aca="false">IF($E1456="","",IF($E1456&lt;1,ROUND($E1456*1440,0),INT($E1456/100)*60+MOD($E1456,100)))</f>
        <v/>
      </c>
      <c r="L1456" s="17" t="str">
        <f aca="false">IF($F1456="","",IF($F1456&lt;1,ROUND($F1456*1440,0),INT($F1456/100)*60+MOD($F1456,100)))</f>
        <v/>
      </c>
    </row>
    <row r="1457" customFormat="false" ht="15" hidden="false" customHeight="true" outlineLevel="0" collapsed="false">
      <c r="A1457" s="10"/>
      <c r="B1457" s="8"/>
      <c r="C1457" s="13" t="str">
        <f aca="false">IF($B1457="","",IFERROR(INDEX(직원목록!$B$3:$B$302,MATCH($B1457,직원목록!$A$3:$A$302,0)),"미등록사번"))</f>
        <v/>
      </c>
      <c r="D1457" s="13" t="str">
        <f aca="false">IF($B1457="","",IFERROR(INDEX(직원목록!$C$3:$C$302,MATCH($B1457,직원목록!$A$3:$A$302,0)),""))</f>
        <v/>
      </c>
      <c r="E1457" s="14"/>
      <c r="F1457" s="14"/>
      <c r="G1457" s="15"/>
      <c r="H1457" s="16" t="str">
        <f aca="false">IF(OR($K1457="",$L1457=""),"",ROUND(MAX(0,($L1457-$K1457)-IF($G1457="",0,$G1457))/60,2))</f>
        <v/>
      </c>
      <c r="I1457" s="8"/>
      <c r="J1457" s="8"/>
      <c r="K1457" s="17" t="str">
        <f aca="false">IF($E1457="","",IF($E1457&lt;1,ROUND($E1457*1440,0),INT($E1457/100)*60+MOD($E1457,100)))</f>
        <v/>
      </c>
      <c r="L1457" s="17" t="str">
        <f aca="false">IF($F1457="","",IF($F1457&lt;1,ROUND($F1457*1440,0),INT($F1457/100)*60+MOD($F1457,100)))</f>
        <v/>
      </c>
    </row>
    <row r="1458" customFormat="false" ht="15" hidden="false" customHeight="true" outlineLevel="0" collapsed="false">
      <c r="A1458" s="10"/>
      <c r="B1458" s="8"/>
      <c r="C1458" s="13" t="str">
        <f aca="false">IF($B1458="","",IFERROR(INDEX(직원목록!$B$3:$B$302,MATCH($B1458,직원목록!$A$3:$A$302,0)),"미등록사번"))</f>
        <v/>
      </c>
      <c r="D1458" s="13" t="str">
        <f aca="false">IF($B1458="","",IFERROR(INDEX(직원목록!$C$3:$C$302,MATCH($B1458,직원목록!$A$3:$A$302,0)),""))</f>
        <v/>
      </c>
      <c r="E1458" s="14"/>
      <c r="F1458" s="14"/>
      <c r="G1458" s="15"/>
      <c r="H1458" s="16" t="str">
        <f aca="false">IF(OR($K1458="",$L1458=""),"",ROUND(MAX(0,($L1458-$K1458)-IF($G1458="",0,$G1458))/60,2))</f>
        <v/>
      </c>
      <c r="I1458" s="8"/>
      <c r="J1458" s="8"/>
      <c r="K1458" s="17" t="str">
        <f aca="false">IF($E1458="","",IF($E1458&lt;1,ROUND($E1458*1440,0),INT($E1458/100)*60+MOD($E1458,100)))</f>
        <v/>
      </c>
      <c r="L1458" s="17" t="str">
        <f aca="false">IF($F1458="","",IF($F1458&lt;1,ROUND($F1458*1440,0),INT($F1458/100)*60+MOD($F1458,100)))</f>
        <v/>
      </c>
    </row>
    <row r="1459" customFormat="false" ht="15" hidden="false" customHeight="true" outlineLevel="0" collapsed="false">
      <c r="A1459" s="10"/>
      <c r="B1459" s="8"/>
      <c r="C1459" s="13" t="str">
        <f aca="false">IF($B1459="","",IFERROR(INDEX(직원목록!$B$3:$B$302,MATCH($B1459,직원목록!$A$3:$A$302,0)),"미등록사번"))</f>
        <v/>
      </c>
      <c r="D1459" s="13" t="str">
        <f aca="false">IF($B1459="","",IFERROR(INDEX(직원목록!$C$3:$C$302,MATCH($B1459,직원목록!$A$3:$A$302,0)),""))</f>
        <v/>
      </c>
      <c r="E1459" s="14"/>
      <c r="F1459" s="14"/>
      <c r="G1459" s="15"/>
      <c r="H1459" s="16" t="str">
        <f aca="false">IF(OR($K1459="",$L1459=""),"",ROUND(MAX(0,($L1459-$K1459)-IF($G1459="",0,$G1459))/60,2))</f>
        <v/>
      </c>
      <c r="I1459" s="8"/>
      <c r="J1459" s="8"/>
      <c r="K1459" s="17" t="str">
        <f aca="false">IF($E1459="","",IF($E1459&lt;1,ROUND($E1459*1440,0),INT($E1459/100)*60+MOD($E1459,100)))</f>
        <v/>
      </c>
      <c r="L1459" s="17" t="str">
        <f aca="false">IF($F1459="","",IF($F1459&lt;1,ROUND($F1459*1440,0),INT($F1459/100)*60+MOD($F1459,100)))</f>
        <v/>
      </c>
    </row>
    <row r="1460" customFormat="false" ht="15" hidden="false" customHeight="true" outlineLevel="0" collapsed="false">
      <c r="A1460" s="10"/>
      <c r="B1460" s="8"/>
      <c r="C1460" s="13" t="str">
        <f aca="false">IF($B1460="","",IFERROR(INDEX(직원목록!$B$3:$B$302,MATCH($B1460,직원목록!$A$3:$A$302,0)),"미등록사번"))</f>
        <v/>
      </c>
      <c r="D1460" s="13" t="str">
        <f aca="false">IF($B1460="","",IFERROR(INDEX(직원목록!$C$3:$C$302,MATCH($B1460,직원목록!$A$3:$A$302,0)),""))</f>
        <v/>
      </c>
      <c r="E1460" s="14"/>
      <c r="F1460" s="14"/>
      <c r="G1460" s="15"/>
      <c r="H1460" s="16" t="str">
        <f aca="false">IF(OR($K1460="",$L1460=""),"",ROUND(MAX(0,($L1460-$K1460)-IF($G1460="",0,$G1460))/60,2))</f>
        <v/>
      </c>
      <c r="I1460" s="8"/>
      <c r="J1460" s="8"/>
      <c r="K1460" s="17" t="str">
        <f aca="false">IF($E1460="","",IF($E1460&lt;1,ROUND($E1460*1440,0),INT($E1460/100)*60+MOD($E1460,100)))</f>
        <v/>
      </c>
      <c r="L1460" s="17" t="str">
        <f aca="false">IF($F1460="","",IF($F1460&lt;1,ROUND($F1460*1440,0),INT($F1460/100)*60+MOD($F1460,100)))</f>
        <v/>
      </c>
    </row>
    <row r="1461" customFormat="false" ht="15" hidden="false" customHeight="true" outlineLevel="0" collapsed="false">
      <c r="A1461" s="10"/>
      <c r="B1461" s="8"/>
      <c r="C1461" s="13" t="str">
        <f aca="false">IF($B1461="","",IFERROR(INDEX(직원목록!$B$3:$B$302,MATCH($B1461,직원목록!$A$3:$A$302,0)),"미등록사번"))</f>
        <v/>
      </c>
      <c r="D1461" s="13" t="str">
        <f aca="false">IF($B1461="","",IFERROR(INDEX(직원목록!$C$3:$C$302,MATCH($B1461,직원목록!$A$3:$A$302,0)),""))</f>
        <v/>
      </c>
      <c r="E1461" s="14"/>
      <c r="F1461" s="14"/>
      <c r="G1461" s="15"/>
      <c r="H1461" s="16" t="str">
        <f aca="false">IF(OR($K1461="",$L1461=""),"",ROUND(MAX(0,($L1461-$K1461)-IF($G1461="",0,$G1461))/60,2))</f>
        <v/>
      </c>
      <c r="I1461" s="8"/>
      <c r="J1461" s="8"/>
      <c r="K1461" s="17" t="str">
        <f aca="false">IF($E1461="","",IF($E1461&lt;1,ROUND($E1461*1440,0),INT($E1461/100)*60+MOD($E1461,100)))</f>
        <v/>
      </c>
      <c r="L1461" s="17" t="str">
        <f aca="false">IF($F1461="","",IF($F1461&lt;1,ROUND($F1461*1440,0),INT($F1461/100)*60+MOD($F1461,100)))</f>
        <v/>
      </c>
    </row>
    <row r="1462" customFormat="false" ht="15" hidden="false" customHeight="true" outlineLevel="0" collapsed="false">
      <c r="A1462" s="10"/>
      <c r="B1462" s="8"/>
      <c r="C1462" s="13" t="str">
        <f aca="false">IF($B1462="","",IFERROR(INDEX(직원목록!$B$3:$B$302,MATCH($B1462,직원목록!$A$3:$A$302,0)),"미등록사번"))</f>
        <v/>
      </c>
      <c r="D1462" s="13" t="str">
        <f aca="false">IF($B1462="","",IFERROR(INDEX(직원목록!$C$3:$C$302,MATCH($B1462,직원목록!$A$3:$A$302,0)),""))</f>
        <v/>
      </c>
      <c r="E1462" s="14"/>
      <c r="F1462" s="14"/>
      <c r="G1462" s="15"/>
      <c r="H1462" s="16" t="str">
        <f aca="false">IF(OR($K1462="",$L1462=""),"",ROUND(MAX(0,($L1462-$K1462)-IF($G1462="",0,$G1462))/60,2))</f>
        <v/>
      </c>
      <c r="I1462" s="8"/>
      <c r="J1462" s="8"/>
      <c r="K1462" s="17" t="str">
        <f aca="false">IF($E1462="","",IF($E1462&lt;1,ROUND($E1462*1440,0),INT($E1462/100)*60+MOD($E1462,100)))</f>
        <v/>
      </c>
      <c r="L1462" s="17" t="str">
        <f aca="false">IF($F1462="","",IF($F1462&lt;1,ROUND($F1462*1440,0),INT($F1462/100)*60+MOD($F1462,100)))</f>
        <v/>
      </c>
    </row>
    <row r="1463" customFormat="false" ht="15" hidden="false" customHeight="true" outlineLevel="0" collapsed="false">
      <c r="A1463" s="10"/>
      <c r="B1463" s="8"/>
      <c r="C1463" s="13" t="str">
        <f aca="false">IF($B1463="","",IFERROR(INDEX(직원목록!$B$3:$B$302,MATCH($B1463,직원목록!$A$3:$A$302,0)),"미등록사번"))</f>
        <v/>
      </c>
      <c r="D1463" s="13" t="str">
        <f aca="false">IF($B1463="","",IFERROR(INDEX(직원목록!$C$3:$C$302,MATCH($B1463,직원목록!$A$3:$A$302,0)),""))</f>
        <v/>
      </c>
      <c r="E1463" s="14"/>
      <c r="F1463" s="14"/>
      <c r="G1463" s="15"/>
      <c r="H1463" s="16" t="str">
        <f aca="false">IF(OR($K1463="",$L1463=""),"",ROUND(MAX(0,($L1463-$K1463)-IF($G1463="",0,$G1463))/60,2))</f>
        <v/>
      </c>
      <c r="I1463" s="8"/>
      <c r="J1463" s="8"/>
      <c r="K1463" s="17" t="str">
        <f aca="false">IF($E1463="","",IF($E1463&lt;1,ROUND($E1463*1440,0),INT($E1463/100)*60+MOD($E1463,100)))</f>
        <v/>
      </c>
      <c r="L1463" s="17" t="str">
        <f aca="false">IF($F1463="","",IF($F1463&lt;1,ROUND($F1463*1440,0),INT($F1463/100)*60+MOD($F1463,100)))</f>
        <v/>
      </c>
    </row>
    <row r="1464" customFormat="false" ht="15" hidden="false" customHeight="true" outlineLevel="0" collapsed="false">
      <c r="A1464" s="10"/>
      <c r="B1464" s="8"/>
      <c r="C1464" s="13" t="str">
        <f aca="false">IF($B1464="","",IFERROR(INDEX(직원목록!$B$3:$B$302,MATCH($B1464,직원목록!$A$3:$A$302,0)),"미등록사번"))</f>
        <v/>
      </c>
      <c r="D1464" s="13" t="str">
        <f aca="false">IF($B1464="","",IFERROR(INDEX(직원목록!$C$3:$C$302,MATCH($B1464,직원목록!$A$3:$A$302,0)),""))</f>
        <v/>
      </c>
      <c r="E1464" s="14"/>
      <c r="F1464" s="14"/>
      <c r="G1464" s="15"/>
      <c r="H1464" s="16" t="str">
        <f aca="false">IF(OR($K1464="",$L1464=""),"",ROUND(MAX(0,($L1464-$K1464)-IF($G1464="",0,$G1464))/60,2))</f>
        <v/>
      </c>
      <c r="I1464" s="8"/>
      <c r="J1464" s="8"/>
      <c r="K1464" s="17" t="str">
        <f aca="false">IF($E1464="","",IF($E1464&lt;1,ROUND($E1464*1440,0),INT($E1464/100)*60+MOD($E1464,100)))</f>
        <v/>
      </c>
      <c r="L1464" s="17" t="str">
        <f aca="false">IF($F1464="","",IF($F1464&lt;1,ROUND($F1464*1440,0),INT($F1464/100)*60+MOD($F1464,100)))</f>
        <v/>
      </c>
    </row>
    <row r="1465" customFormat="false" ht="15" hidden="false" customHeight="true" outlineLevel="0" collapsed="false">
      <c r="A1465" s="10"/>
      <c r="B1465" s="8"/>
      <c r="C1465" s="13" t="str">
        <f aca="false">IF($B1465="","",IFERROR(INDEX(직원목록!$B$3:$B$302,MATCH($B1465,직원목록!$A$3:$A$302,0)),"미등록사번"))</f>
        <v/>
      </c>
      <c r="D1465" s="13" t="str">
        <f aca="false">IF($B1465="","",IFERROR(INDEX(직원목록!$C$3:$C$302,MATCH($B1465,직원목록!$A$3:$A$302,0)),""))</f>
        <v/>
      </c>
      <c r="E1465" s="14"/>
      <c r="F1465" s="14"/>
      <c r="G1465" s="15"/>
      <c r="H1465" s="16" t="str">
        <f aca="false">IF(OR($K1465="",$L1465=""),"",ROUND(MAX(0,($L1465-$K1465)-IF($G1465="",0,$G1465))/60,2))</f>
        <v/>
      </c>
      <c r="I1465" s="8"/>
      <c r="J1465" s="8"/>
      <c r="K1465" s="17" t="str">
        <f aca="false">IF($E1465="","",IF($E1465&lt;1,ROUND($E1465*1440,0),INT($E1465/100)*60+MOD($E1465,100)))</f>
        <v/>
      </c>
      <c r="L1465" s="17" t="str">
        <f aca="false">IF($F1465="","",IF($F1465&lt;1,ROUND($F1465*1440,0),INT($F1465/100)*60+MOD($F1465,100)))</f>
        <v/>
      </c>
    </row>
    <row r="1466" customFormat="false" ht="15" hidden="false" customHeight="true" outlineLevel="0" collapsed="false">
      <c r="A1466" s="10"/>
      <c r="B1466" s="8"/>
      <c r="C1466" s="13" t="str">
        <f aca="false">IF($B1466="","",IFERROR(INDEX(직원목록!$B$3:$B$302,MATCH($B1466,직원목록!$A$3:$A$302,0)),"미등록사번"))</f>
        <v/>
      </c>
      <c r="D1466" s="13" t="str">
        <f aca="false">IF($B1466="","",IFERROR(INDEX(직원목록!$C$3:$C$302,MATCH($B1466,직원목록!$A$3:$A$302,0)),""))</f>
        <v/>
      </c>
      <c r="E1466" s="14"/>
      <c r="F1466" s="14"/>
      <c r="G1466" s="15"/>
      <c r="H1466" s="16" t="str">
        <f aca="false">IF(OR($K1466="",$L1466=""),"",ROUND(MAX(0,($L1466-$K1466)-IF($G1466="",0,$G1466))/60,2))</f>
        <v/>
      </c>
      <c r="I1466" s="8"/>
      <c r="J1466" s="8"/>
      <c r="K1466" s="17" t="str">
        <f aca="false">IF($E1466="","",IF($E1466&lt;1,ROUND($E1466*1440,0),INT($E1466/100)*60+MOD($E1466,100)))</f>
        <v/>
      </c>
      <c r="L1466" s="17" t="str">
        <f aca="false">IF($F1466="","",IF($F1466&lt;1,ROUND($F1466*1440,0),INT($F1466/100)*60+MOD($F1466,100)))</f>
        <v/>
      </c>
    </row>
    <row r="1467" customFormat="false" ht="15" hidden="false" customHeight="true" outlineLevel="0" collapsed="false">
      <c r="A1467" s="10"/>
      <c r="B1467" s="8"/>
      <c r="C1467" s="13" t="str">
        <f aca="false">IF($B1467="","",IFERROR(INDEX(직원목록!$B$3:$B$302,MATCH($B1467,직원목록!$A$3:$A$302,0)),"미등록사번"))</f>
        <v/>
      </c>
      <c r="D1467" s="13" t="str">
        <f aca="false">IF($B1467="","",IFERROR(INDEX(직원목록!$C$3:$C$302,MATCH($B1467,직원목록!$A$3:$A$302,0)),""))</f>
        <v/>
      </c>
      <c r="E1467" s="14"/>
      <c r="F1467" s="14"/>
      <c r="G1467" s="15"/>
      <c r="H1467" s="16" t="str">
        <f aca="false">IF(OR($K1467="",$L1467=""),"",ROUND(MAX(0,($L1467-$K1467)-IF($G1467="",0,$G1467))/60,2))</f>
        <v/>
      </c>
      <c r="I1467" s="8"/>
      <c r="J1467" s="8"/>
      <c r="K1467" s="17" t="str">
        <f aca="false">IF($E1467="","",IF($E1467&lt;1,ROUND($E1467*1440,0),INT($E1467/100)*60+MOD($E1467,100)))</f>
        <v/>
      </c>
      <c r="L1467" s="17" t="str">
        <f aca="false">IF($F1467="","",IF($F1467&lt;1,ROUND($F1467*1440,0),INT($F1467/100)*60+MOD($F1467,100)))</f>
        <v/>
      </c>
    </row>
    <row r="1468" customFormat="false" ht="15" hidden="false" customHeight="true" outlineLevel="0" collapsed="false">
      <c r="A1468" s="10"/>
      <c r="B1468" s="8"/>
      <c r="C1468" s="13" t="str">
        <f aca="false">IF($B1468="","",IFERROR(INDEX(직원목록!$B$3:$B$302,MATCH($B1468,직원목록!$A$3:$A$302,0)),"미등록사번"))</f>
        <v/>
      </c>
      <c r="D1468" s="13" t="str">
        <f aca="false">IF($B1468="","",IFERROR(INDEX(직원목록!$C$3:$C$302,MATCH($B1468,직원목록!$A$3:$A$302,0)),""))</f>
        <v/>
      </c>
      <c r="E1468" s="14"/>
      <c r="F1468" s="14"/>
      <c r="G1468" s="15"/>
      <c r="H1468" s="16" t="str">
        <f aca="false">IF(OR($K1468="",$L1468=""),"",ROUND(MAX(0,($L1468-$K1468)-IF($G1468="",0,$G1468))/60,2))</f>
        <v/>
      </c>
      <c r="I1468" s="8"/>
      <c r="J1468" s="8"/>
      <c r="K1468" s="17" t="str">
        <f aca="false">IF($E1468="","",IF($E1468&lt;1,ROUND($E1468*1440,0),INT($E1468/100)*60+MOD($E1468,100)))</f>
        <v/>
      </c>
      <c r="L1468" s="17" t="str">
        <f aca="false">IF($F1468="","",IF($F1468&lt;1,ROUND($F1468*1440,0),INT($F1468/100)*60+MOD($F1468,100)))</f>
        <v/>
      </c>
    </row>
    <row r="1469" customFormat="false" ht="15" hidden="false" customHeight="true" outlineLevel="0" collapsed="false">
      <c r="A1469" s="10"/>
      <c r="B1469" s="8"/>
      <c r="C1469" s="13" t="str">
        <f aca="false">IF($B1469="","",IFERROR(INDEX(직원목록!$B$3:$B$302,MATCH($B1469,직원목록!$A$3:$A$302,0)),"미등록사번"))</f>
        <v/>
      </c>
      <c r="D1469" s="13" t="str">
        <f aca="false">IF($B1469="","",IFERROR(INDEX(직원목록!$C$3:$C$302,MATCH($B1469,직원목록!$A$3:$A$302,0)),""))</f>
        <v/>
      </c>
      <c r="E1469" s="14"/>
      <c r="F1469" s="14"/>
      <c r="G1469" s="15"/>
      <c r="H1469" s="16" t="str">
        <f aca="false">IF(OR($K1469="",$L1469=""),"",ROUND(MAX(0,($L1469-$K1469)-IF($G1469="",0,$G1469))/60,2))</f>
        <v/>
      </c>
      <c r="I1469" s="8"/>
      <c r="J1469" s="8"/>
      <c r="K1469" s="17" t="str">
        <f aca="false">IF($E1469="","",IF($E1469&lt;1,ROUND($E1469*1440,0),INT($E1469/100)*60+MOD($E1469,100)))</f>
        <v/>
      </c>
      <c r="L1469" s="17" t="str">
        <f aca="false">IF($F1469="","",IF($F1469&lt;1,ROUND($F1469*1440,0),INT($F1469/100)*60+MOD($F1469,100)))</f>
        <v/>
      </c>
    </row>
    <row r="1470" customFormat="false" ht="15" hidden="false" customHeight="true" outlineLevel="0" collapsed="false">
      <c r="A1470" s="10"/>
      <c r="B1470" s="8"/>
      <c r="C1470" s="13" t="str">
        <f aca="false">IF($B1470="","",IFERROR(INDEX(직원목록!$B$3:$B$302,MATCH($B1470,직원목록!$A$3:$A$302,0)),"미등록사번"))</f>
        <v/>
      </c>
      <c r="D1470" s="13" t="str">
        <f aca="false">IF($B1470="","",IFERROR(INDEX(직원목록!$C$3:$C$302,MATCH($B1470,직원목록!$A$3:$A$302,0)),""))</f>
        <v/>
      </c>
      <c r="E1470" s="14"/>
      <c r="F1470" s="14"/>
      <c r="G1470" s="15"/>
      <c r="H1470" s="16" t="str">
        <f aca="false">IF(OR($K1470="",$L1470=""),"",ROUND(MAX(0,($L1470-$K1470)-IF($G1470="",0,$G1470))/60,2))</f>
        <v/>
      </c>
      <c r="I1470" s="8"/>
      <c r="J1470" s="8"/>
      <c r="K1470" s="17" t="str">
        <f aca="false">IF($E1470="","",IF($E1470&lt;1,ROUND($E1470*1440,0),INT($E1470/100)*60+MOD($E1470,100)))</f>
        <v/>
      </c>
      <c r="L1470" s="17" t="str">
        <f aca="false">IF($F1470="","",IF($F1470&lt;1,ROUND($F1470*1440,0),INT($F1470/100)*60+MOD($F1470,100)))</f>
        <v/>
      </c>
    </row>
    <row r="1471" customFormat="false" ht="15" hidden="false" customHeight="true" outlineLevel="0" collapsed="false">
      <c r="A1471" s="10"/>
      <c r="B1471" s="8"/>
      <c r="C1471" s="13" t="str">
        <f aca="false">IF($B1471="","",IFERROR(INDEX(직원목록!$B$3:$B$302,MATCH($B1471,직원목록!$A$3:$A$302,0)),"미등록사번"))</f>
        <v/>
      </c>
      <c r="D1471" s="13" t="str">
        <f aca="false">IF($B1471="","",IFERROR(INDEX(직원목록!$C$3:$C$302,MATCH($B1471,직원목록!$A$3:$A$302,0)),""))</f>
        <v/>
      </c>
      <c r="E1471" s="14"/>
      <c r="F1471" s="14"/>
      <c r="G1471" s="15"/>
      <c r="H1471" s="16" t="str">
        <f aca="false">IF(OR($K1471="",$L1471=""),"",ROUND(MAX(0,($L1471-$K1471)-IF($G1471="",0,$G1471))/60,2))</f>
        <v/>
      </c>
      <c r="I1471" s="8"/>
      <c r="J1471" s="8"/>
      <c r="K1471" s="17" t="str">
        <f aca="false">IF($E1471="","",IF($E1471&lt;1,ROUND($E1471*1440,0),INT($E1471/100)*60+MOD($E1471,100)))</f>
        <v/>
      </c>
      <c r="L1471" s="17" t="str">
        <f aca="false">IF($F1471="","",IF($F1471&lt;1,ROUND($F1471*1440,0),INT($F1471/100)*60+MOD($F1471,100)))</f>
        <v/>
      </c>
    </row>
    <row r="1472" customFormat="false" ht="15" hidden="false" customHeight="true" outlineLevel="0" collapsed="false">
      <c r="A1472" s="10"/>
      <c r="B1472" s="8"/>
      <c r="C1472" s="13" t="str">
        <f aca="false">IF($B1472="","",IFERROR(INDEX(직원목록!$B$3:$B$302,MATCH($B1472,직원목록!$A$3:$A$302,0)),"미등록사번"))</f>
        <v/>
      </c>
      <c r="D1472" s="13" t="str">
        <f aca="false">IF($B1472="","",IFERROR(INDEX(직원목록!$C$3:$C$302,MATCH($B1472,직원목록!$A$3:$A$302,0)),""))</f>
        <v/>
      </c>
      <c r="E1472" s="14"/>
      <c r="F1472" s="14"/>
      <c r="G1472" s="15"/>
      <c r="H1472" s="16" t="str">
        <f aca="false">IF(OR($K1472="",$L1472=""),"",ROUND(MAX(0,($L1472-$K1472)-IF($G1472="",0,$G1472))/60,2))</f>
        <v/>
      </c>
      <c r="I1472" s="8"/>
      <c r="J1472" s="8"/>
      <c r="K1472" s="17" t="str">
        <f aca="false">IF($E1472="","",IF($E1472&lt;1,ROUND($E1472*1440,0),INT($E1472/100)*60+MOD($E1472,100)))</f>
        <v/>
      </c>
      <c r="L1472" s="17" t="str">
        <f aca="false">IF($F1472="","",IF($F1472&lt;1,ROUND($F1472*1440,0),INT($F1472/100)*60+MOD($F1472,100)))</f>
        <v/>
      </c>
    </row>
    <row r="1473" customFormat="false" ht="15" hidden="false" customHeight="true" outlineLevel="0" collapsed="false">
      <c r="A1473" s="10"/>
      <c r="B1473" s="8"/>
      <c r="C1473" s="13" t="str">
        <f aca="false">IF($B1473="","",IFERROR(INDEX(직원목록!$B$3:$B$302,MATCH($B1473,직원목록!$A$3:$A$302,0)),"미등록사번"))</f>
        <v/>
      </c>
      <c r="D1473" s="13" t="str">
        <f aca="false">IF($B1473="","",IFERROR(INDEX(직원목록!$C$3:$C$302,MATCH($B1473,직원목록!$A$3:$A$302,0)),""))</f>
        <v/>
      </c>
      <c r="E1473" s="14"/>
      <c r="F1473" s="14"/>
      <c r="G1473" s="15"/>
      <c r="H1473" s="16" t="str">
        <f aca="false">IF(OR($K1473="",$L1473=""),"",ROUND(MAX(0,($L1473-$K1473)-IF($G1473="",0,$G1473))/60,2))</f>
        <v/>
      </c>
      <c r="I1473" s="8"/>
      <c r="J1473" s="8"/>
      <c r="K1473" s="17" t="str">
        <f aca="false">IF($E1473="","",IF($E1473&lt;1,ROUND($E1473*1440,0),INT($E1473/100)*60+MOD($E1473,100)))</f>
        <v/>
      </c>
      <c r="L1473" s="17" t="str">
        <f aca="false">IF($F1473="","",IF($F1473&lt;1,ROUND($F1473*1440,0),INT($F1473/100)*60+MOD($F1473,100)))</f>
        <v/>
      </c>
    </row>
    <row r="1474" customFormat="false" ht="15" hidden="false" customHeight="true" outlineLevel="0" collapsed="false">
      <c r="A1474" s="10"/>
      <c r="B1474" s="8"/>
      <c r="C1474" s="13" t="str">
        <f aca="false">IF($B1474="","",IFERROR(INDEX(직원목록!$B$3:$B$302,MATCH($B1474,직원목록!$A$3:$A$302,0)),"미등록사번"))</f>
        <v/>
      </c>
      <c r="D1474" s="13" t="str">
        <f aca="false">IF($B1474="","",IFERROR(INDEX(직원목록!$C$3:$C$302,MATCH($B1474,직원목록!$A$3:$A$302,0)),""))</f>
        <v/>
      </c>
      <c r="E1474" s="14"/>
      <c r="F1474" s="14"/>
      <c r="G1474" s="15"/>
      <c r="H1474" s="16" t="str">
        <f aca="false">IF(OR($K1474="",$L1474=""),"",ROUND(MAX(0,($L1474-$K1474)-IF($G1474="",0,$G1474))/60,2))</f>
        <v/>
      </c>
      <c r="I1474" s="8"/>
      <c r="J1474" s="8"/>
      <c r="K1474" s="17" t="str">
        <f aca="false">IF($E1474="","",IF($E1474&lt;1,ROUND($E1474*1440,0),INT($E1474/100)*60+MOD($E1474,100)))</f>
        <v/>
      </c>
      <c r="L1474" s="17" t="str">
        <f aca="false">IF($F1474="","",IF($F1474&lt;1,ROUND($F1474*1440,0),INT($F1474/100)*60+MOD($F1474,100)))</f>
        <v/>
      </c>
    </row>
    <row r="1475" customFormat="false" ht="15" hidden="false" customHeight="true" outlineLevel="0" collapsed="false">
      <c r="A1475" s="10"/>
      <c r="B1475" s="8"/>
      <c r="C1475" s="13" t="str">
        <f aca="false">IF($B1475="","",IFERROR(INDEX(직원목록!$B$3:$B$302,MATCH($B1475,직원목록!$A$3:$A$302,0)),"미등록사번"))</f>
        <v/>
      </c>
      <c r="D1475" s="13" t="str">
        <f aca="false">IF($B1475="","",IFERROR(INDEX(직원목록!$C$3:$C$302,MATCH($B1475,직원목록!$A$3:$A$302,0)),""))</f>
        <v/>
      </c>
      <c r="E1475" s="14"/>
      <c r="F1475" s="14"/>
      <c r="G1475" s="15"/>
      <c r="H1475" s="16" t="str">
        <f aca="false">IF(OR($K1475="",$L1475=""),"",ROUND(MAX(0,($L1475-$K1475)-IF($G1475="",0,$G1475))/60,2))</f>
        <v/>
      </c>
      <c r="I1475" s="8"/>
      <c r="J1475" s="8"/>
      <c r="K1475" s="17" t="str">
        <f aca="false">IF($E1475="","",IF($E1475&lt;1,ROUND($E1475*1440,0),INT($E1475/100)*60+MOD($E1475,100)))</f>
        <v/>
      </c>
      <c r="L1475" s="17" t="str">
        <f aca="false">IF($F1475="","",IF($F1475&lt;1,ROUND($F1475*1440,0),INT($F1475/100)*60+MOD($F1475,100)))</f>
        <v/>
      </c>
    </row>
    <row r="1476" customFormat="false" ht="15" hidden="false" customHeight="true" outlineLevel="0" collapsed="false">
      <c r="A1476" s="10"/>
      <c r="B1476" s="8"/>
      <c r="C1476" s="13" t="str">
        <f aca="false">IF($B1476="","",IFERROR(INDEX(직원목록!$B$3:$B$302,MATCH($B1476,직원목록!$A$3:$A$302,0)),"미등록사번"))</f>
        <v/>
      </c>
      <c r="D1476" s="13" t="str">
        <f aca="false">IF($B1476="","",IFERROR(INDEX(직원목록!$C$3:$C$302,MATCH($B1476,직원목록!$A$3:$A$302,0)),""))</f>
        <v/>
      </c>
      <c r="E1476" s="14"/>
      <c r="F1476" s="14"/>
      <c r="G1476" s="15"/>
      <c r="H1476" s="16" t="str">
        <f aca="false">IF(OR($K1476="",$L1476=""),"",ROUND(MAX(0,($L1476-$K1476)-IF($G1476="",0,$G1476))/60,2))</f>
        <v/>
      </c>
      <c r="I1476" s="8"/>
      <c r="J1476" s="8"/>
      <c r="K1476" s="17" t="str">
        <f aca="false">IF($E1476="","",IF($E1476&lt;1,ROUND($E1476*1440,0),INT($E1476/100)*60+MOD($E1476,100)))</f>
        <v/>
      </c>
      <c r="L1476" s="17" t="str">
        <f aca="false">IF($F1476="","",IF($F1476&lt;1,ROUND($F1476*1440,0),INT($F1476/100)*60+MOD($F1476,100)))</f>
        <v/>
      </c>
    </row>
    <row r="1477" customFormat="false" ht="15" hidden="false" customHeight="true" outlineLevel="0" collapsed="false">
      <c r="A1477" s="10"/>
      <c r="B1477" s="8"/>
      <c r="C1477" s="13" t="str">
        <f aca="false">IF($B1477="","",IFERROR(INDEX(직원목록!$B$3:$B$302,MATCH($B1477,직원목록!$A$3:$A$302,0)),"미등록사번"))</f>
        <v/>
      </c>
      <c r="D1477" s="13" t="str">
        <f aca="false">IF($B1477="","",IFERROR(INDEX(직원목록!$C$3:$C$302,MATCH($B1477,직원목록!$A$3:$A$302,0)),""))</f>
        <v/>
      </c>
      <c r="E1477" s="14"/>
      <c r="F1477" s="14"/>
      <c r="G1477" s="15"/>
      <c r="H1477" s="16" t="str">
        <f aca="false">IF(OR($K1477="",$L1477=""),"",ROUND(MAX(0,($L1477-$K1477)-IF($G1477="",0,$G1477))/60,2))</f>
        <v/>
      </c>
      <c r="I1477" s="8"/>
      <c r="J1477" s="8"/>
      <c r="K1477" s="17" t="str">
        <f aca="false">IF($E1477="","",IF($E1477&lt;1,ROUND($E1477*1440,0),INT($E1477/100)*60+MOD($E1477,100)))</f>
        <v/>
      </c>
      <c r="L1477" s="17" t="str">
        <f aca="false">IF($F1477="","",IF($F1477&lt;1,ROUND($F1477*1440,0),INT($F1477/100)*60+MOD($F1477,100)))</f>
        <v/>
      </c>
    </row>
    <row r="1478" customFormat="false" ht="15" hidden="false" customHeight="true" outlineLevel="0" collapsed="false">
      <c r="A1478" s="10"/>
      <c r="B1478" s="8"/>
      <c r="C1478" s="13" t="str">
        <f aca="false">IF($B1478="","",IFERROR(INDEX(직원목록!$B$3:$B$302,MATCH($B1478,직원목록!$A$3:$A$302,0)),"미등록사번"))</f>
        <v/>
      </c>
      <c r="D1478" s="13" t="str">
        <f aca="false">IF($B1478="","",IFERROR(INDEX(직원목록!$C$3:$C$302,MATCH($B1478,직원목록!$A$3:$A$302,0)),""))</f>
        <v/>
      </c>
      <c r="E1478" s="14"/>
      <c r="F1478" s="14"/>
      <c r="G1478" s="15"/>
      <c r="H1478" s="16" t="str">
        <f aca="false">IF(OR($K1478="",$L1478=""),"",ROUND(MAX(0,($L1478-$K1478)-IF($G1478="",0,$G1478))/60,2))</f>
        <v/>
      </c>
      <c r="I1478" s="8"/>
      <c r="J1478" s="8"/>
      <c r="K1478" s="17" t="str">
        <f aca="false">IF($E1478="","",IF($E1478&lt;1,ROUND($E1478*1440,0),INT($E1478/100)*60+MOD($E1478,100)))</f>
        <v/>
      </c>
      <c r="L1478" s="17" t="str">
        <f aca="false">IF($F1478="","",IF($F1478&lt;1,ROUND($F1478*1440,0),INT($F1478/100)*60+MOD($F1478,100)))</f>
        <v/>
      </c>
    </row>
    <row r="1479" customFormat="false" ht="15" hidden="false" customHeight="true" outlineLevel="0" collapsed="false">
      <c r="A1479" s="10"/>
      <c r="B1479" s="8"/>
      <c r="C1479" s="13" t="str">
        <f aca="false">IF($B1479="","",IFERROR(INDEX(직원목록!$B$3:$B$302,MATCH($B1479,직원목록!$A$3:$A$302,0)),"미등록사번"))</f>
        <v/>
      </c>
      <c r="D1479" s="13" t="str">
        <f aca="false">IF($B1479="","",IFERROR(INDEX(직원목록!$C$3:$C$302,MATCH($B1479,직원목록!$A$3:$A$302,0)),""))</f>
        <v/>
      </c>
      <c r="E1479" s="14"/>
      <c r="F1479" s="14"/>
      <c r="G1479" s="15"/>
      <c r="H1479" s="16" t="str">
        <f aca="false">IF(OR($K1479="",$L1479=""),"",ROUND(MAX(0,($L1479-$K1479)-IF($G1479="",0,$G1479))/60,2))</f>
        <v/>
      </c>
      <c r="I1479" s="8"/>
      <c r="J1479" s="8"/>
      <c r="K1479" s="17" t="str">
        <f aca="false">IF($E1479="","",IF($E1479&lt;1,ROUND($E1479*1440,0),INT($E1479/100)*60+MOD($E1479,100)))</f>
        <v/>
      </c>
      <c r="L1479" s="17" t="str">
        <f aca="false">IF($F1479="","",IF($F1479&lt;1,ROUND($F1479*1440,0),INT($F1479/100)*60+MOD($F1479,100)))</f>
        <v/>
      </c>
    </row>
    <row r="1480" customFormat="false" ht="15" hidden="false" customHeight="true" outlineLevel="0" collapsed="false">
      <c r="A1480" s="10"/>
      <c r="B1480" s="8"/>
      <c r="C1480" s="13" t="str">
        <f aca="false">IF($B1480="","",IFERROR(INDEX(직원목록!$B$3:$B$302,MATCH($B1480,직원목록!$A$3:$A$302,0)),"미등록사번"))</f>
        <v/>
      </c>
      <c r="D1480" s="13" t="str">
        <f aca="false">IF($B1480="","",IFERROR(INDEX(직원목록!$C$3:$C$302,MATCH($B1480,직원목록!$A$3:$A$302,0)),""))</f>
        <v/>
      </c>
      <c r="E1480" s="14"/>
      <c r="F1480" s="14"/>
      <c r="G1480" s="15"/>
      <c r="H1480" s="16" t="str">
        <f aca="false">IF(OR($K1480="",$L1480=""),"",ROUND(MAX(0,($L1480-$K1480)-IF($G1480="",0,$G1480))/60,2))</f>
        <v/>
      </c>
      <c r="I1480" s="8"/>
      <c r="J1480" s="8"/>
      <c r="K1480" s="17" t="str">
        <f aca="false">IF($E1480="","",IF($E1480&lt;1,ROUND($E1480*1440,0),INT($E1480/100)*60+MOD($E1480,100)))</f>
        <v/>
      </c>
      <c r="L1480" s="17" t="str">
        <f aca="false">IF($F1480="","",IF($F1480&lt;1,ROUND($F1480*1440,0),INT($F1480/100)*60+MOD($F1480,100)))</f>
        <v/>
      </c>
    </row>
    <row r="1481" customFormat="false" ht="15" hidden="false" customHeight="true" outlineLevel="0" collapsed="false">
      <c r="A1481" s="10"/>
      <c r="B1481" s="8"/>
      <c r="C1481" s="13" t="str">
        <f aca="false">IF($B1481="","",IFERROR(INDEX(직원목록!$B$3:$B$302,MATCH($B1481,직원목록!$A$3:$A$302,0)),"미등록사번"))</f>
        <v/>
      </c>
      <c r="D1481" s="13" t="str">
        <f aca="false">IF($B1481="","",IFERROR(INDEX(직원목록!$C$3:$C$302,MATCH($B1481,직원목록!$A$3:$A$302,0)),""))</f>
        <v/>
      </c>
      <c r="E1481" s="14"/>
      <c r="F1481" s="14"/>
      <c r="G1481" s="15"/>
      <c r="H1481" s="16" t="str">
        <f aca="false">IF(OR($K1481="",$L1481=""),"",ROUND(MAX(0,($L1481-$K1481)-IF($G1481="",0,$G1481))/60,2))</f>
        <v/>
      </c>
      <c r="I1481" s="8"/>
      <c r="J1481" s="8"/>
      <c r="K1481" s="17" t="str">
        <f aca="false">IF($E1481="","",IF($E1481&lt;1,ROUND($E1481*1440,0),INT($E1481/100)*60+MOD($E1481,100)))</f>
        <v/>
      </c>
      <c r="L1481" s="17" t="str">
        <f aca="false">IF($F1481="","",IF($F1481&lt;1,ROUND($F1481*1440,0),INT($F1481/100)*60+MOD($F1481,100)))</f>
        <v/>
      </c>
    </row>
    <row r="1482" customFormat="false" ht="15" hidden="false" customHeight="true" outlineLevel="0" collapsed="false">
      <c r="A1482" s="10"/>
      <c r="B1482" s="8"/>
      <c r="C1482" s="13" t="str">
        <f aca="false">IF($B1482="","",IFERROR(INDEX(직원목록!$B$3:$B$302,MATCH($B1482,직원목록!$A$3:$A$302,0)),"미등록사번"))</f>
        <v/>
      </c>
      <c r="D1482" s="13" t="str">
        <f aca="false">IF($B1482="","",IFERROR(INDEX(직원목록!$C$3:$C$302,MATCH($B1482,직원목록!$A$3:$A$302,0)),""))</f>
        <v/>
      </c>
      <c r="E1482" s="14"/>
      <c r="F1482" s="14"/>
      <c r="G1482" s="15"/>
      <c r="H1482" s="16" t="str">
        <f aca="false">IF(OR($K1482="",$L1482=""),"",ROUND(MAX(0,($L1482-$K1482)-IF($G1482="",0,$G1482))/60,2))</f>
        <v/>
      </c>
      <c r="I1482" s="8"/>
      <c r="J1482" s="8"/>
      <c r="K1482" s="17" t="str">
        <f aca="false">IF($E1482="","",IF($E1482&lt;1,ROUND($E1482*1440,0),INT($E1482/100)*60+MOD($E1482,100)))</f>
        <v/>
      </c>
      <c r="L1482" s="17" t="str">
        <f aca="false">IF($F1482="","",IF($F1482&lt;1,ROUND($F1482*1440,0),INT($F1482/100)*60+MOD($F1482,100)))</f>
        <v/>
      </c>
    </row>
    <row r="1483" customFormat="false" ht="15" hidden="false" customHeight="true" outlineLevel="0" collapsed="false">
      <c r="A1483" s="10"/>
      <c r="B1483" s="8"/>
      <c r="C1483" s="13" t="str">
        <f aca="false">IF($B1483="","",IFERROR(INDEX(직원목록!$B$3:$B$302,MATCH($B1483,직원목록!$A$3:$A$302,0)),"미등록사번"))</f>
        <v/>
      </c>
      <c r="D1483" s="13" t="str">
        <f aca="false">IF($B1483="","",IFERROR(INDEX(직원목록!$C$3:$C$302,MATCH($B1483,직원목록!$A$3:$A$302,0)),""))</f>
        <v/>
      </c>
      <c r="E1483" s="14"/>
      <c r="F1483" s="14"/>
      <c r="G1483" s="15"/>
      <c r="H1483" s="16" t="str">
        <f aca="false">IF(OR($K1483="",$L1483=""),"",ROUND(MAX(0,($L1483-$K1483)-IF($G1483="",0,$G1483))/60,2))</f>
        <v/>
      </c>
      <c r="I1483" s="8"/>
      <c r="J1483" s="8"/>
      <c r="K1483" s="17" t="str">
        <f aca="false">IF($E1483="","",IF($E1483&lt;1,ROUND($E1483*1440,0),INT($E1483/100)*60+MOD($E1483,100)))</f>
        <v/>
      </c>
      <c r="L1483" s="17" t="str">
        <f aca="false">IF($F1483="","",IF($F1483&lt;1,ROUND($F1483*1440,0),INT($F1483/100)*60+MOD($F1483,100)))</f>
        <v/>
      </c>
    </row>
    <row r="1484" customFormat="false" ht="15" hidden="false" customHeight="true" outlineLevel="0" collapsed="false">
      <c r="A1484" s="10"/>
      <c r="B1484" s="8"/>
      <c r="C1484" s="13" t="str">
        <f aca="false">IF($B1484="","",IFERROR(INDEX(직원목록!$B$3:$B$302,MATCH($B1484,직원목록!$A$3:$A$302,0)),"미등록사번"))</f>
        <v/>
      </c>
      <c r="D1484" s="13" t="str">
        <f aca="false">IF($B1484="","",IFERROR(INDEX(직원목록!$C$3:$C$302,MATCH($B1484,직원목록!$A$3:$A$302,0)),""))</f>
        <v/>
      </c>
      <c r="E1484" s="14"/>
      <c r="F1484" s="14"/>
      <c r="G1484" s="15"/>
      <c r="H1484" s="16" t="str">
        <f aca="false">IF(OR($K1484="",$L1484=""),"",ROUND(MAX(0,($L1484-$K1484)-IF($G1484="",0,$G1484))/60,2))</f>
        <v/>
      </c>
      <c r="I1484" s="8"/>
      <c r="J1484" s="8"/>
      <c r="K1484" s="17" t="str">
        <f aca="false">IF($E1484="","",IF($E1484&lt;1,ROUND($E1484*1440,0),INT($E1484/100)*60+MOD($E1484,100)))</f>
        <v/>
      </c>
      <c r="L1484" s="17" t="str">
        <f aca="false">IF($F1484="","",IF($F1484&lt;1,ROUND($F1484*1440,0),INT($F1484/100)*60+MOD($F1484,100)))</f>
        <v/>
      </c>
    </row>
    <row r="1485" customFormat="false" ht="15" hidden="false" customHeight="true" outlineLevel="0" collapsed="false">
      <c r="A1485" s="10"/>
      <c r="B1485" s="8"/>
      <c r="C1485" s="13" t="str">
        <f aca="false">IF($B1485="","",IFERROR(INDEX(직원목록!$B$3:$B$302,MATCH($B1485,직원목록!$A$3:$A$302,0)),"미등록사번"))</f>
        <v/>
      </c>
      <c r="D1485" s="13" t="str">
        <f aca="false">IF($B1485="","",IFERROR(INDEX(직원목록!$C$3:$C$302,MATCH($B1485,직원목록!$A$3:$A$302,0)),""))</f>
        <v/>
      </c>
      <c r="E1485" s="14"/>
      <c r="F1485" s="14"/>
      <c r="G1485" s="15"/>
      <c r="H1485" s="16" t="str">
        <f aca="false">IF(OR($K1485="",$L1485=""),"",ROUND(MAX(0,($L1485-$K1485)-IF($G1485="",0,$G1485))/60,2))</f>
        <v/>
      </c>
      <c r="I1485" s="8"/>
      <c r="J1485" s="8"/>
      <c r="K1485" s="17" t="str">
        <f aca="false">IF($E1485="","",IF($E1485&lt;1,ROUND($E1485*1440,0),INT($E1485/100)*60+MOD($E1485,100)))</f>
        <v/>
      </c>
      <c r="L1485" s="17" t="str">
        <f aca="false">IF($F1485="","",IF($F1485&lt;1,ROUND($F1485*1440,0),INT($F1485/100)*60+MOD($F1485,100)))</f>
        <v/>
      </c>
    </row>
    <row r="1486" customFormat="false" ht="15" hidden="false" customHeight="true" outlineLevel="0" collapsed="false">
      <c r="A1486" s="10"/>
      <c r="B1486" s="8"/>
      <c r="C1486" s="13" t="str">
        <f aca="false">IF($B1486="","",IFERROR(INDEX(직원목록!$B$3:$B$302,MATCH($B1486,직원목록!$A$3:$A$302,0)),"미등록사번"))</f>
        <v/>
      </c>
      <c r="D1486" s="13" t="str">
        <f aca="false">IF($B1486="","",IFERROR(INDEX(직원목록!$C$3:$C$302,MATCH($B1486,직원목록!$A$3:$A$302,0)),""))</f>
        <v/>
      </c>
      <c r="E1486" s="14"/>
      <c r="F1486" s="14"/>
      <c r="G1486" s="15"/>
      <c r="H1486" s="16" t="str">
        <f aca="false">IF(OR($K1486="",$L1486=""),"",ROUND(MAX(0,($L1486-$K1486)-IF($G1486="",0,$G1486))/60,2))</f>
        <v/>
      </c>
      <c r="I1486" s="8"/>
      <c r="J1486" s="8"/>
      <c r="K1486" s="17" t="str">
        <f aca="false">IF($E1486="","",IF($E1486&lt;1,ROUND($E1486*1440,0),INT($E1486/100)*60+MOD($E1486,100)))</f>
        <v/>
      </c>
      <c r="L1486" s="17" t="str">
        <f aca="false">IF($F1486="","",IF($F1486&lt;1,ROUND($F1486*1440,0),INT($F1486/100)*60+MOD($F1486,100)))</f>
        <v/>
      </c>
    </row>
    <row r="1487" customFormat="false" ht="15" hidden="false" customHeight="true" outlineLevel="0" collapsed="false">
      <c r="A1487" s="10"/>
      <c r="B1487" s="8"/>
      <c r="C1487" s="13" t="str">
        <f aca="false">IF($B1487="","",IFERROR(INDEX(직원목록!$B$3:$B$302,MATCH($B1487,직원목록!$A$3:$A$302,0)),"미등록사번"))</f>
        <v/>
      </c>
      <c r="D1487" s="13" t="str">
        <f aca="false">IF($B1487="","",IFERROR(INDEX(직원목록!$C$3:$C$302,MATCH($B1487,직원목록!$A$3:$A$302,0)),""))</f>
        <v/>
      </c>
      <c r="E1487" s="14"/>
      <c r="F1487" s="14"/>
      <c r="G1487" s="15"/>
      <c r="H1487" s="16" t="str">
        <f aca="false">IF(OR($K1487="",$L1487=""),"",ROUND(MAX(0,($L1487-$K1487)-IF($G1487="",0,$G1487))/60,2))</f>
        <v/>
      </c>
      <c r="I1487" s="8"/>
      <c r="J1487" s="8"/>
      <c r="K1487" s="17" t="str">
        <f aca="false">IF($E1487="","",IF($E1487&lt;1,ROUND($E1487*1440,0),INT($E1487/100)*60+MOD($E1487,100)))</f>
        <v/>
      </c>
      <c r="L1487" s="17" t="str">
        <f aca="false">IF($F1487="","",IF($F1487&lt;1,ROUND($F1487*1440,0),INT($F1487/100)*60+MOD($F1487,100)))</f>
        <v/>
      </c>
    </row>
    <row r="1488" customFormat="false" ht="15" hidden="false" customHeight="true" outlineLevel="0" collapsed="false">
      <c r="A1488" s="10"/>
      <c r="B1488" s="8"/>
      <c r="C1488" s="13" t="str">
        <f aca="false">IF($B1488="","",IFERROR(INDEX(직원목록!$B$3:$B$302,MATCH($B1488,직원목록!$A$3:$A$302,0)),"미등록사번"))</f>
        <v/>
      </c>
      <c r="D1488" s="13" t="str">
        <f aca="false">IF($B1488="","",IFERROR(INDEX(직원목록!$C$3:$C$302,MATCH($B1488,직원목록!$A$3:$A$302,0)),""))</f>
        <v/>
      </c>
      <c r="E1488" s="14"/>
      <c r="F1488" s="14"/>
      <c r="G1488" s="15"/>
      <c r="H1488" s="16" t="str">
        <f aca="false">IF(OR($K1488="",$L1488=""),"",ROUND(MAX(0,($L1488-$K1488)-IF($G1488="",0,$G1488))/60,2))</f>
        <v/>
      </c>
      <c r="I1488" s="8"/>
      <c r="J1488" s="8"/>
      <c r="K1488" s="17" t="str">
        <f aca="false">IF($E1488="","",IF($E1488&lt;1,ROUND($E1488*1440,0),INT($E1488/100)*60+MOD($E1488,100)))</f>
        <v/>
      </c>
      <c r="L1488" s="17" t="str">
        <f aca="false">IF($F1488="","",IF($F1488&lt;1,ROUND($F1488*1440,0),INT($F1488/100)*60+MOD($F1488,100)))</f>
        <v/>
      </c>
    </row>
    <row r="1489" customFormat="false" ht="15" hidden="false" customHeight="true" outlineLevel="0" collapsed="false">
      <c r="A1489" s="10"/>
      <c r="B1489" s="8"/>
      <c r="C1489" s="13" t="str">
        <f aca="false">IF($B1489="","",IFERROR(INDEX(직원목록!$B$3:$B$302,MATCH($B1489,직원목록!$A$3:$A$302,0)),"미등록사번"))</f>
        <v/>
      </c>
      <c r="D1489" s="13" t="str">
        <f aca="false">IF($B1489="","",IFERROR(INDEX(직원목록!$C$3:$C$302,MATCH($B1489,직원목록!$A$3:$A$302,0)),""))</f>
        <v/>
      </c>
      <c r="E1489" s="14"/>
      <c r="F1489" s="14"/>
      <c r="G1489" s="15"/>
      <c r="H1489" s="16" t="str">
        <f aca="false">IF(OR($K1489="",$L1489=""),"",ROUND(MAX(0,($L1489-$K1489)-IF($G1489="",0,$G1489))/60,2))</f>
        <v/>
      </c>
      <c r="I1489" s="8"/>
      <c r="J1489" s="8"/>
      <c r="K1489" s="17" t="str">
        <f aca="false">IF($E1489="","",IF($E1489&lt;1,ROUND($E1489*1440,0),INT($E1489/100)*60+MOD($E1489,100)))</f>
        <v/>
      </c>
      <c r="L1489" s="17" t="str">
        <f aca="false">IF($F1489="","",IF($F1489&lt;1,ROUND($F1489*1440,0),INT($F1489/100)*60+MOD($F1489,100)))</f>
        <v/>
      </c>
    </row>
    <row r="1490" customFormat="false" ht="15" hidden="false" customHeight="true" outlineLevel="0" collapsed="false">
      <c r="A1490" s="10"/>
      <c r="B1490" s="8"/>
      <c r="C1490" s="13" t="str">
        <f aca="false">IF($B1490="","",IFERROR(INDEX(직원목록!$B$3:$B$302,MATCH($B1490,직원목록!$A$3:$A$302,0)),"미등록사번"))</f>
        <v/>
      </c>
      <c r="D1490" s="13" t="str">
        <f aca="false">IF($B1490="","",IFERROR(INDEX(직원목록!$C$3:$C$302,MATCH($B1490,직원목록!$A$3:$A$302,0)),""))</f>
        <v/>
      </c>
      <c r="E1490" s="14"/>
      <c r="F1490" s="14"/>
      <c r="G1490" s="15"/>
      <c r="H1490" s="16" t="str">
        <f aca="false">IF(OR($K1490="",$L1490=""),"",ROUND(MAX(0,($L1490-$K1490)-IF($G1490="",0,$G1490))/60,2))</f>
        <v/>
      </c>
      <c r="I1490" s="8"/>
      <c r="J1490" s="8"/>
      <c r="K1490" s="17" t="str">
        <f aca="false">IF($E1490="","",IF($E1490&lt;1,ROUND($E1490*1440,0),INT($E1490/100)*60+MOD($E1490,100)))</f>
        <v/>
      </c>
      <c r="L1490" s="17" t="str">
        <f aca="false">IF($F1490="","",IF($F1490&lt;1,ROUND($F1490*1440,0),INT($F1490/100)*60+MOD($F1490,100)))</f>
        <v/>
      </c>
    </row>
    <row r="1491" customFormat="false" ht="15" hidden="false" customHeight="true" outlineLevel="0" collapsed="false">
      <c r="A1491" s="10"/>
      <c r="B1491" s="8"/>
      <c r="C1491" s="13" t="str">
        <f aca="false">IF($B1491="","",IFERROR(INDEX(직원목록!$B$3:$B$302,MATCH($B1491,직원목록!$A$3:$A$302,0)),"미등록사번"))</f>
        <v/>
      </c>
      <c r="D1491" s="13" t="str">
        <f aca="false">IF($B1491="","",IFERROR(INDEX(직원목록!$C$3:$C$302,MATCH($B1491,직원목록!$A$3:$A$302,0)),""))</f>
        <v/>
      </c>
      <c r="E1491" s="14"/>
      <c r="F1491" s="14"/>
      <c r="G1491" s="15"/>
      <c r="H1491" s="16" t="str">
        <f aca="false">IF(OR($K1491="",$L1491=""),"",ROUND(MAX(0,($L1491-$K1491)-IF($G1491="",0,$G1491))/60,2))</f>
        <v/>
      </c>
      <c r="I1491" s="8"/>
      <c r="J1491" s="8"/>
      <c r="K1491" s="17" t="str">
        <f aca="false">IF($E1491="","",IF($E1491&lt;1,ROUND($E1491*1440,0),INT($E1491/100)*60+MOD($E1491,100)))</f>
        <v/>
      </c>
      <c r="L1491" s="17" t="str">
        <f aca="false">IF($F1491="","",IF($F1491&lt;1,ROUND($F1491*1440,0),INT($F1491/100)*60+MOD($F1491,100)))</f>
        <v/>
      </c>
    </row>
    <row r="1492" customFormat="false" ht="15" hidden="false" customHeight="true" outlineLevel="0" collapsed="false">
      <c r="A1492" s="10"/>
      <c r="B1492" s="8"/>
      <c r="C1492" s="13" t="str">
        <f aca="false">IF($B1492="","",IFERROR(INDEX(직원목록!$B$3:$B$302,MATCH($B1492,직원목록!$A$3:$A$302,0)),"미등록사번"))</f>
        <v/>
      </c>
      <c r="D1492" s="13" t="str">
        <f aca="false">IF($B1492="","",IFERROR(INDEX(직원목록!$C$3:$C$302,MATCH($B1492,직원목록!$A$3:$A$302,0)),""))</f>
        <v/>
      </c>
      <c r="E1492" s="14"/>
      <c r="F1492" s="14"/>
      <c r="G1492" s="15"/>
      <c r="H1492" s="16" t="str">
        <f aca="false">IF(OR($K1492="",$L1492=""),"",ROUND(MAX(0,($L1492-$K1492)-IF($G1492="",0,$G1492))/60,2))</f>
        <v/>
      </c>
      <c r="I1492" s="8"/>
      <c r="J1492" s="8"/>
      <c r="K1492" s="17" t="str">
        <f aca="false">IF($E1492="","",IF($E1492&lt;1,ROUND($E1492*1440,0),INT($E1492/100)*60+MOD($E1492,100)))</f>
        <v/>
      </c>
      <c r="L1492" s="17" t="str">
        <f aca="false">IF($F1492="","",IF($F1492&lt;1,ROUND($F1492*1440,0),INT($F1492/100)*60+MOD($F1492,100)))</f>
        <v/>
      </c>
    </row>
    <row r="1493" customFormat="false" ht="15" hidden="false" customHeight="true" outlineLevel="0" collapsed="false">
      <c r="A1493" s="10"/>
      <c r="B1493" s="8"/>
      <c r="C1493" s="13" t="str">
        <f aca="false">IF($B1493="","",IFERROR(INDEX(직원목록!$B$3:$B$302,MATCH($B1493,직원목록!$A$3:$A$302,0)),"미등록사번"))</f>
        <v/>
      </c>
      <c r="D1493" s="13" t="str">
        <f aca="false">IF($B1493="","",IFERROR(INDEX(직원목록!$C$3:$C$302,MATCH($B1493,직원목록!$A$3:$A$302,0)),""))</f>
        <v/>
      </c>
      <c r="E1493" s="14"/>
      <c r="F1493" s="14"/>
      <c r="G1493" s="15"/>
      <c r="H1493" s="16" t="str">
        <f aca="false">IF(OR($K1493="",$L1493=""),"",ROUND(MAX(0,($L1493-$K1493)-IF($G1493="",0,$G1493))/60,2))</f>
        <v/>
      </c>
      <c r="I1493" s="8"/>
      <c r="J1493" s="8"/>
      <c r="K1493" s="17" t="str">
        <f aca="false">IF($E1493="","",IF($E1493&lt;1,ROUND($E1493*1440,0),INT($E1493/100)*60+MOD($E1493,100)))</f>
        <v/>
      </c>
      <c r="L1493" s="17" t="str">
        <f aca="false">IF($F1493="","",IF($F1493&lt;1,ROUND($F1493*1440,0),INT($F1493/100)*60+MOD($F1493,100)))</f>
        <v/>
      </c>
    </row>
    <row r="1494" customFormat="false" ht="15" hidden="false" customHeight="true" outlineLevel="0" collapsed="false">
      <c r="A1494" s="10"/>
      <c r="B1494" s="8"/>
      <c r="C1494" s="13" t="str">
        <f aca="false">IF($B1494="","",IFERROR(INDEX(직원목록!$B$3:$B$302,MATCH($B1494,직원목록!$A$3:$A$302,0)),"미등록사번"))</f>
        <v/>
      </c>
      <c r="D1494" s="13" t="str">
        <f aca="false">IF($B1494="","",IFERROR(INDEX(직원목록!$C$3:$C$302,MATCH($B1494,직원목록!$A$3:$A$302,0)),""))</f>
        <v/>
      </c>
      <c r="E1494" s="14"/>
      <c r="F1494" s="14"/>
      <c r="G1494" s="15"/>
      <c r="H1494" s="16" t="str">
        <f aca="false">IF(OR($K1494="",$L1494=""),"",ROUND(MAX(0,($L1494-$K1494)-IF($G1494="",0,$G1494))/60,2))</f>
        <v/>
      </c>
      <c r="I1494" s="8"/>
      <c r="J1494" s="8"/>
      <c r="K1494" s="17" t="str">
        <f aca="false">IF($E1494="","",IF($E1494&lt;1,ROUND($E1494*1440,0),INT($E1494/100)*60+MOD($E1494,100)))</f>
        <v/>
      </c>
      <c r="L1494" s="17" t="str">
        <f aca="false">IF($F1494="","",IF($F1494&lt;1,ROUND($F1494*1440,0),INT($F1494/100)*60+MOD($F1494,100)))</f>
        <v/>
      </c>
    </row>
    <row r="1495" customFormat="false" ht="15" hidden="false" customHeight="true" outlineLevel="0" collapsed="false">
      <c r="A1495" s="10"/>
      <c r="B1495" s="8"/>
      <c r="C1495" s="13" t="str">
        <f aca="false">IF($B1495="","",IFERROR(INDEX(직원목록!$B$3:$B$302,MATCH($B1495,직원목록!$A$3:$A$302,0)),"미등록사번"))</f>
        <v/>
      </c>
      <c r="D1495" s="13" t="str">
        <f aca="false">IF($B1495="","",IFERROR(INDEX(직원목록!$C$3:$C$302,MATCH($B1495,직원목록!$A$3:$A$302,0)),""))</f>
        <v/>
      </c>
      <c r="E1495" s="14"/>
      <c r="F1495" s="14"/>
      <c r="G1495" s="15"/>
      <c r="H1495" s="16" t="str">
        <f aca="false">IF(OR($K1495="",$L1495=""),"",ROUND(MAX(0,($L1495-$K1495)-IF($G1495="",0,$G1495))/60,2))</f>
        <v/>
      </c>
      <c r="I1495" s="8"/>
      <c r="J1495" s="8"/>
      <c r="K1495" s="17" t="str">
        <f aca="false">IF($E1495="","",IF($E1495&lt;1,ROUND($E1495*1440,0),INT($E1495/100)*60+MOD($E1495,100)))</f>
        <v/>
      </c>
      <c r="L1495" s="17" t="str">
        <f aca="false">IF($F1495="","",IF($F1495&lt;1,ROUND($F1495*1440,0),INT($F1495/100)*60+MOD($F1495,100)))</f>
        <v/>
      </c>
    </row>
    <row r="1496" customFormat="false" ht="15" hidden="false" customHeight="true" outlineLevel="0" collapsed="false">
      <c r="A1496" s="10"/>
      <c r="B1496" s="8"/>
      <c r="C1496" s="13" t="str">
        <f aca="false">IF($B1496="","",IFERROR(INDEX(직원목록!$B$3:$B$302,MATCH($B1496,직원목록!$A$3:$A$302,0)),"미등록사번"))</f>
        <v/>
      </c>
      <c r="D1496" s="13" t="str">
        <f aca="false">IF($B1496="","",IFERROR(INDEX(직원목록!$C$3:$C$302,MATCH($B1496,직원목록!$A$3:$A$302,0)),""))</f>
        <v/>
      </c>
      <c r="E1496" s="14"/>
      <c r="F1496" s="14"/>
      <c r="G1496" s="15"/>
      <c r="H1496" s="16" t="str">
        <f aca="false">IF(OR($K1496="",$L1496=""),"",ROUND(MAX(0,($L1496-$K1496)-IF($G1496="",0,$G1496))/60,2))</f>
        <v/>
      </c>
      <c r="I1496" s="8"/>
      <c r="J1496" s="8"/>
      <c r="K1496" s="17" t="str">
        <f aca="false">IF($E1496="","",IF($E1496&lt;1,ROUND($E1496*1440,0),INT($E1496/100)*60+MOD($E1496,100)))</f>
        <v/>
      </c>
      <c r="L1496" s="17" t="str">
        <f aca="false">IF($F1496="","",IF($F1496&lt;1,ROUND($F1496*1440,0),INT($F1496/100)*60+MOD($F1496,100)))</f>
        <v/>
      </c>
    </row>
    <row r="1497" customFormat="false" ht="15" hidden="false" customHeight="true" outlineLevel="0" collapsed="false">
      <c r="A1497" s="10"/>
      <c r="B1497" s="8"/>
      <c r="C1497" s="13" t="str">
        <f aca="false">IF($B1497="","",IFERROR(INDEX(직원목록!$B$3:$B$302,MATCH($B1497,직원목록!$A$3:$A$302,0)),"미등록사번"))</f>
        <v/>
      </c>
      <c r="D1497" s="13" t="str">
        <f aca="false">IF($B1497="","",IFERROR(INDEX(직원목록!$C$3:$C$302,MATCH($B1497,직원목록!$A$3:$A$302,0)),""))</f>
        <v/>
      </c>
      <c r="E1497" s="14"/>
      <c r="F1497" s="14"/>
      <c r="G1497" s="15"/>
      <c r="H1497" s="16" t="str">
        <f aca="false">IF(OR($K1497="",$L1497=""),"",ROUND(MAX(0,($L1497-$K1497)-IF($G1497="",0,$G1497))/60,2))</f>
        <v/>
      </c>
      <c r="I1497" s="8"/>
      <c r="J1497" s="8"/>
      <c r="K1497" s="17" t="str">
        <f aca="false">IF($E1497="","",IF($E1497&lt;1,ROUND($E1497*1440,0),INT($E1497/100)*60+MOD($E1497,100)))</f>
        <v/>
      </c>
      <c r="L1497" s="17" t="str">
        <f aca="false">IF($F1497="","",IF($F1497&lt;1,ROUND($F1497*1440,0),INT($F1497/100)*60+MOD($F1497,100)))</f>
        <v/>
      </c>
    </row>
    <row r="1498" customFormat="false" ht="15" hidden="false" customHeight="true" outlineLevel="0" collapsed="false">
      <c r="A1498" s="10"/>
      <c r="B1498" s="8"/>
      <c r="C1498" s="13" t="str">
        <f aca="false">IF($B1498="","",IFERROR(INDEX(직원목록!$B$3:$B$302,MATCH($B1498,직원목록!$A$3:$A$302,0)),"미등록사번"))</f>
        <v/>
      </c>
      <c r="D1498" s="13" t="str">
        <f aca="false">IF($B1498="","",IFERROR(INDEX(직원목록!$C$3:$C$302,MATCH($B1498,직원목록!$A$3:$A$302,0)),""))</f>
        <v/>
      </c>
      <c r="E1498" s="14"/>
      <c r="F1498" s="14"/>
      <c r="G1498" s="15"/>
      <c r="H1498" s="16" t="str">
        <f aca="false">IF(OR($K1498="",$L1498=""),"",ROUND(MAX(0,($L1498-$K1498)-IF($G1498="",0,$G1498))/60,2))</f>
        <v/>
      </c>
      <c r="I1498" s="8"/>
      <c r="J1498" s="8"/>
      <c r="K1498" s="17" t="str">
        <f aca="false">IF($E1498="","",IF($E1498&lt;1,ROUND($E1498*1440,0),INT($E1498/100)*60+MOD($E1498,100)))</f>
        <v/>
      </c>
      <c r="L1498" s="17" t="str">
        <f aca="false">IF($F1498="","",IF($F1498&lt;1,ROUND($F1498*1440,0),INT($F1498/100)*60+MOD($F1498,100)))</f>
        <v/>
      </c>
    </row>
    <row r="1499" customFormat="false" ht="15" hidden="false" customHeight="true" outlineLevel="0" collapsed="false">
      <c r="A1499" s="10"/>
      <c r="B1499" s="8"/>
      <c r="C1499" s="13" t="str">
        <f aca="false">IF($B1499="","",IFERROR(INDEX(직원목록!$B$3:$B$302,MATCH($B1499,직원목록!$A$3:$A$302,0)),"미등록사번"))</f>
        <v/>
      </c>
      <c r="D1499" s="13" t="str">
        <f aca="false">IF($B1499="","",IFERROR(INDEX(직원목록!$C$3:$C$302,MATCH($B1499,직원목록!$A$3:$A$302,0)),""))</f>
        <v/>
      </c>
      <c r="E1499" s="14"/>
      <c r="F1499" s="14"/>
      <c r="G1499" s="15"/>
      <c r="H1499" s="16" t="str">
        <f aca="false">IF(OR($K1499="",$L1499=""),"",ROUND(MAX(0,($L1499-$K1499)-IF($G1499="",0,$G1499))/60,2))</f>
        <v/>
      </c>
      <c r="I1499" s="8"/>
      <c r="J1499" s="8"/>
      <c r="K1499" s="17" t="str">
        <f aca="false">IF($E1499="","",IF($E1499&lt;1,ROUND($E1499*1440,0),INT($E1499/100)*60+MOD($E1499,100)))</f>
        <v/>
      </c>
      <c r="L1499" s="17" t="str">
        <f aca="false">IF($F1499="","",IF($F1499&lt;1,ROUND($F1499*1440,0),INT($F1499/100)*60+MOD($F1499,100)))</f>
        <v/>
      </c>
    </row>
    <row r="1500" customFormat="false" ht="15" hidden="false" customHeight="true" outlineLevel="0" collapsed="false">
      <c r="A1500" s="10"/>
      <c r="B1500" s="8"/>
      <c r="C1500" s="13" t="str">
        <f aca="false">IF($B1500="","",IFERROR(INDEX(직원목록!$B$3:$B$302,MATCH($B1500,직원목록!$A$3:$A$302,0)),"미등록사번"))</f>
        <v/>
      </c>
      <c r="D1500" s="13" t="str">
        <f aca="false">IF($B1500="","",IFERROR(INDEX(직원목록!$C$3:$C$302,MATCH($B1500,직원목록!$A$3:$A$302,0)),""))</f>
        <v/>
      </c>
      <c r="E1500" s="14"/>
      <c r="F1500" s="14"/>
      <c r="G1500" s="15"/>
      <c r="H1500" s="16" t="str">
        <f aca="false">IF(OR($K1500="",$L1500=""),"",ROUND(MAX(0,($L1500-$K1500)-IF($G1500="",0,$G1500))/60,2))</f>
        <v/>
      </c>
      <c r="I1500" s="8"/>
      <c r="J1500" s="8"/>
      <c r="K1500" s="17" t="str">
        <f aca="false">IF($E1500="","",IF($E1500&lt;1,ROUND($E1500*1440,0),INT($E1500/100)*60+MOD($E1500,100)))</f>
        <v/>
      </c>
      <c r="L1500" s="17" t="str">
        <f aca="false">IF($F1500="","",IF($F1500&lt;1,ROUND($F1500*1440,0),INT($F1500/100)*60+MOD($F1500,100)))</f>
        <v/>
      </c>
    </row>
    <row r="1501" customFormat="false" ht="15" hidden="false" customHeight="true" outlineLevel="0" collapsed="false">
      <c r="A1501" s="10"/>
      <c r="B1501" s="8"/>
      <c r="C1501" s="13" t="str">
        <f aca="false">IF($B1501="","",IFERROR(INDEX(직원목록!$B$3:$B$302,MATCH($B1501,직원목록!$A$3:$A$302,0)),"미등록사번"))</f>
        <v/>
      </c>
      <c r="D1501" s="13" t="str">
        <f aca="false">IF($B1501="","",IFERROR(INDEX(직원목록!$C$3:$C$302,MATCH($B1501,직원목록!$A$3:$A$302,0)),""))</f>
        <v/>
      </c>
      <c r="E1501" s="14"/>
      <c r="F1501" s="14"/>
      <c r="G1501" s="15"/>
      <c r="H1501" s="16" t="str">
        <f aca="false">IF(OR($K1501="",$L1501=""),"",ROUND(MAX(0,($L1501-$K1501)-IF($G1501="",0,$G1501))/60,2))</f>
        <v/>
      </c>
      <c r="I1501" s="8"/>
      <c r="J1501" s="8"/>
      <c r="K1501" s="17" t="str">
        <f aca="false">IF($E1501="","",IF($E1501&lt;1,ROUND($E1501*1440,0),INT($E1501/100)*60+MOD($E1501,100)))</f>
        <v/>
      </c>
      <c r="L1501" s="17" t="str">
        <f aca="false">IF($F1501="","",IF($F1501&lt;1,ROUND($F1501*1440,0),INT($F1501/100)*60+MOD($F1501,100)))</f>
        <v/>
      </c>
    </row>
    <row r="1502" customFormat="false" ht="15" hidden="false" customHeight="true" outlineLevel="0" collapsed="false">
      <c r="A1502" s="10"/>
      <c r="B1502" s="8"/>
      <c r="C1502" s="13" t="str">
        <f aca="false">IF($B1502="","",IFERROR(INDEX(직원목록!$B$3:$B$302,MATCH($B1502,직원목록!$A$3:$A$302,0)),"미등록사번"))</f>
        <v/>
      </c>
      <c r="D1502" s="13" t="str">
        <f aca="false">IF($B1502="","",IFERROR(INDEX(직원목록!$C$3:$C$302,MATCH($B1502,직원목록!$A$3:$A$302,0)),""))</f>
        <v/>
      </c>
      <c r="E1502" s="14"/>
      <c r="F1502" s="14"/>
      <c r="G1502" s="15"/>
      <c r="H1502" s="16" t="str">
        <f aca="false">IF(OR($K1502="",$L1502=""),"",ROUND(MAX(0,($L1502-$K1502)-IF($G1502="",0,$G1502))/60,2))</f>
        <v/>
      </c>
      <c r="I1502" s="8"/>
      <c r="J1502" s="8"/>
      <c r="K1502" s="17" t="str">
        <f aca="false">IF($E1502="","",IF($E1502&lt;1,ROUND($E1502*1440,0),INT($E1502/100)*60+MOD($E1502,100)))</f>
        <v/>
      </c>
      <c r="L1502" s="17" t="str">
        <f aca="false">IF($F1502="","",IF($F1502&lt;1,ROUND($F1502*1440,0),INT($F1502/100)*60+MOD($F1502,100)))</f>
        <v/>
      </c>
    </row>
    <row r="1503" customFormat="false" ht="15" hidden="false" customHeight="true" outlineLevel="0" collapsed="false">
      <c r="A1503" s="10"/>
      <c r="B1503" s="8"/>
      <c r="C1503" s="13" t="str">
        <f aca="false">IF($B1503="","",IFERROR(INDEX(직원목록!$B$3:$B$302,MATCH($B1503,직원목록!$A$3:$A$302,0)),"미등록사번"))</f>
        <v/>
      </c>
      <c r="D1503" s="13" t="str">
        <f aca="false">IF($B1503="","",IFERROR(INDEX(직원목록!$C$3:$C$302,MATCH($B1503,직원목록!$A$3:$A$302,0)),""))</f>
        <v/>
      </c>
      <c r="E1503" s="14"/>
      <c r="F1503" s="14"/>
      <c r="G1503" s="15"/>
      <c r="H1503" s="16" t="str">
        <f aca="false">IF(OR($K1503="",$L1503=""),"",ROUND(MAX(0,($L1503-$K1503)-IF($G1503="",0,$G1503))/60,2))</f>
        <v/>
      </c>
      <c r="I1503" s="8"/>
      <c r="J1503" s="8"/>
      <c r="K1503" s="17" t="str">
        <f aca="false">IF($E1503="","",IF($E1503&lt;1,ROUND($E1503*1440,0),INT($E1503/100)*60+MOD($E1503,100)))</f>
        <v/>
      </c>
      <c r="L1503" s="17" t="str">
        <f aca="false">IF($F1503="","",IF($F1503&lt;1,ROUND($F1503*1440,0),INT($F1503/100)*60+MOD($F1503,100)))</f>
        <v/>
      </c>
    </row>
    <row r="1504" customFormat="false" ht="15" hidden="false" customHeight="true" outlineLevel="0" collapsed="false">
      <c r="A1504" s="10"/>
      <c r="B1504" s="8"/>
      <c r="C1504" s="13" t="str">
        <f aca="false">IF($B1504="","",IFERROR(INDEX(직원목록!$B$3:$B$302,MATCH($B1504,직원목록!$A$3:$A$302,0)),"미등록사번"))</f>
        <v/>
      </c>
      <c r="D1504" s="13" t="str">
        <f aca="false">IF($B1504="","",IFERROR(INDEX(직원목록!$C$3:$C$302,MATCH($B1504,직원목록!$A$3:$A$302,0)),""))</f>
        <v/>
      </c>
      <c r="E1504" s="14"/>
      <c r="F1504" s="14"/>
      <c r="G1504" s="15"/>
      <c r="H1504" s="16" t="str">
        <f aca="false">IF(OR($K1504="",$L1504=""),"",ROUND(MAX(0,($L1504-$K1504)-IF($G1504="",0,$G1504))/60,2))</f>
        <v/>
      </c>
      <c r="I1504" s="8"/>
      <c r="J1504" s="8"/>
      <c r="K1504" s="17" t="str">
        <f aca="false">IF($E1504="","",IF($E1504&lt;1,ROUND($E1504*1440,0),INT($E1504/100)*60+MOD($E1504,100)))</f>
        <v/>
      </c>
      <c r="L1504" s="17" t="str">
        <f aca="false">IF($F1504="","",IF($F1504&lt;1,ROUND($F1504*1440,0),INT($F1504/100)*60+MOD($F1504,100)))</f>
        <v/>
      </c>
    </row>
    <row r="1505" customFormat="false" ht="15" hidden="false" customHeight="true" outlineLevel="0" collapsed="false">
      <c r="A1505" s="10"/>
      <c r="B1505" s="8"/>
      <c r="C1505" s="13" t="str">
        <f aca="false">IF($B1505="","",IFERROR(INDEX(직원목록!$B$3:$B$302,MATCH($B1505,직원목록!$A$3:$A$302,0)),"미등록사번"))</f>
        <v/>
      </c>
      <c r="D1505" s="13" t="str">
        <f aca="false">IF($B1505="","",IFERROR(INDEX(직원목록!$C$3:$C$302,MATCH($B1505,직원목록!$A$3:$A$302,0)),""))</f>
        <v/>
      </c>
      <c r="E1505" s="14"/>
      <c r="F1505" s="14"/>
      <c r="G1505" s="15"/>
      <c r="H1505" s="16" t="str">
        <f aca="false">IF(OR($K1505="",$L1505=""),"",ROUND(MAX(0,($L1505-$K1505)-IF($G1505="",0,$G1505))/60,2))</f>
        <v/>
      </c>
      <c r="I1505" s="8"/>
      <c r="J1505" s="8"/>
      <c r="K1505" s="17" t="str">
        <f aca="false">IF($E1505="","",IF($E1505&lt;1,ROUND($E1505*1440,0),INT($E1505/100)*60+MOD($E1505,100)))</f>
        <v/>
      </c>
      <c r="L1505" s="17" t="str">
        <f aca="false">IF($F1505="","",IF($F1505&lt;1,ROUND($F1505*1440,0),INT($F1505/100)*60+MOD($F1505,100)))</f>
        <v/>
      </c>
    </row>
    <row r="1506" customFormat="false" ht="15" hidden="false" customHeight="true" outlineLevel="0" collapsed="false">
      <c r="A1506" s="10"/>
      <c r="B1506" s="8"/>
      <c r="C1506" s="13" t="str">
        <f aca="false">IF($B1506="","",IFERROR(INDEX(직원목록!$B$3:$B$302,MATCH($B1506,직원목록!$A$3:$A$302,0)),"미등록사번"))</f>
        <v/>
      </c>
      <c r="D1506" s="13" t="str">
        <f aca="false">IF($B1506="","",IFERROR(INDEX(직원목록!$C$3:$C$302,MATCH($B1506,직원목록!$A$3:$A$302,0)),""))</f>
        <v/>
      </c>
      <c r="E1506" s="14"/>
      <c r="F1506" s="14"/>
      <c r="G1506" s="15"/>
      <c r="H1506" s="16" t="str">
        <f aca="false">IF(OR($K1506="",$L1506=""),"",ROUND(MAX(0,($L1506-$K1506)-IF($G1506="",0,$G1506))/60,2))</f>
        <v/>
      </c>
      <c r="I1506" s="8"/>
      <c r="J1506" s="8"/>
      <c r="K1506" s="17" t="str">
        <f aca="false">IF($E1506="","",IF($E1506&lt;1,ROUND($E1506*1440,0),INT($E1506/100)*60+MOD($E1506,100)))</f>
        <v/>
      </c>
      <c r="L1506" s="17" t="str">
        <f aca="false">IF($F1506="","",IF($F1506&lt;1,ROUND($F1506*1440,0),INT($F1506/100)*60+MOD($F1506,100)))</f>
        <v/>
      </c>
    </row>
    <row r="1507" customFormat="false" ht="15" hidden="false" customHeight="true" outlineLevel="0" collapsed="false">
      <c r="A1507" s="10"/>
      <c r="B1507" s="8"/>
      <c r="C1507" s="13" t="str">
        <f aca="false">IF($B1507="","",IFERROR(INDEX(직원목록!$B$3:$B$302,MATCH($B1507,직원목록!$A$3:$A$302,0)),"미등록사번"))</f>
        <v/>
      </c>
      <c r="D1507" s="13" t="str">
        <f aca="false">IF($B1507="","",IFERROR(INDEX(직원목록!$C$3:$C$302,MATCH($B1507,직원목록!$A$3:$A$302,0)),""))</f>
        <v/>
      </c>
      <c r="E1507" s="14"/>
      <c r="F1507" s="14"/>
      <c r="G1507" s="15"/>
      <c r="H1507" s="16" t="str">
        <f aca="false">IF(OR($K1507="",$L1507=""),"",ROUND(MAX(0,($L1507-$K1507)-IF($G1507="",0,$G1507))/60,2))</f>
        <v/>
      </c>
      <c r="I1507" s="8"/>
      <c r="J1507" s="8"/>
      <c r="K1507" s="17" t="str">
        <f aca="false">IF($E1507="","",IF($E1507&lt;1,ROUND($E1507*1440,0),INT($E1507/100)*60+MOD($E1507,100)))</f>
        <v/>
      </c>
      <c r="L1507" s="17" t="str">
        <f aca="false">IF($F1507="","",IF($F1507&lt;1,ROUND($F1507*1440,0),INT($F1507/100)*60+MOD($F1507,100)))</f>
        <v/>
      </c>
    </row>
    <row r="1508" customFormat="false" ht="15" hidden="false" customHeight="true" outlineLevel="0" collapsed="false">
      <c r="A1508" s="10"/>
      <c r="B1508" s="8"/>
      <c r="C1508" s="13" t="str">
        <f aca="false">IF($B1508="","",IFERROR(INDEX(직원목록!$B$3:$B$302,MATCH($B1508,직원목록!$A$3:$A$302,0)),"미등록사번"))</f>
        <v/>
      </c>
      <c r="D1508" s="13" t="str">
        <f aca="false">IF($B1508="","",IFERROR(INDEX(직원목록!$C$3:$C$302,MATCH($B1508,직원목록!$A$3:$A$302,0)),""))</f>
        <v/>
      </c>
      <c r="E1508" s="14"/>
      <c r="F1508" s="14"/>
      <c r="G1508" s="15"/>
      <c r="H1508" s="16" t="str">
        <f aca="false">IF(OR($K1508="",$L1508=""),"",ROUND(MAX(0,($L1508-$K1508)-IF($G1508="",0,$G1508))/60,2))</f>
        <v/>
      </c>
      <c r="I1508" s="8"/>
      <c r="J1508" s="8"/>
      <c r="K1508" s="17" t="str">
        <f aca="false">IF($E1508="","",IF($E1508&lt;1,ROUND($E1508*1440,0),INT($E1508/100)*60+MOD($E1508,100)))</f>
        <v/>
      </c>
      <c r="L1508" s="17" t="str">
        <f aca="false">IF($F1508="","",IF($F1508&lt;1,ROUND($F1508*1440,0),INT($F1508/100)*60+MOD($F1508,100)))</f>
        <v/>
      </c>
    </row>
    <row r="1509" customFormat="false" ht="15" hidden="false" customHeight="true" outlineLevel="0" collapsed="false">
      <c r="A1509" s="10"/>
      <c r="B1509" s="8"/>
      <c r="C1509" s="13" t="str">
        <f aca="false">IF($B1509="","",IFERROR(INDEX(직원목록!$B$3:$B$302,MATCH($B1509,직원목록!$A$3:$A$302,0)),"미등록사번"))</f>
        <v/>
      </c>
      <c r="D1509" s="13" t="str">
        <f aca="false">IF($B1509="","",IFERROR(INDEX(직원목록!$C$3:$C$302,MATCH($B1509,직원목록!$A$3:$A$302,0)),""))</f>
        <v/>
      </c>
      <c r="E1509" s="14"/>
      <c r="F1509" s="14"/>
      <c r="G1509" s="15"/>
      <c r="H1509" s="16" t="str">
        <f aca="false">IF(OR($K1509="",$L1509=""),"",ROUND(MAX(0,($L1509-$K1509)-IF($G1509="",0,$G1509))/60,2))</f>
        <v/>
      </c>
      <c r="I1509" s="8"/>
      <c r="J1509" s="8"/>
      <c r="K1509" s="17" t="str">
        <f aca="false">IF($E1509="","",IF($E1509&lt;1,ROUND($E1509*1440,0),INT($E1509/100)*60+MOD($E1509,100)))</f>
        <v/>
      </c>
      <c r="L1509" s="17" t="str">
        <f aca="false">IF($F1509="","",IF($F1509&lt;1,ROUND($F1509*1440,0),INT($F1509/100)*60+MOD($F1509,100)))</f>
        <v/>
      </c>
    </row>
    <row r="1510" customFormat="false" ht="15" hidden="false" customHeight="true" outlineLevel="0" collapsed="false">
      <c r="A1510" s="10"/>
      <c r="B1510" s="8"/>
      <c r="C1510" s="13" t="str">
        <f aca="false">IF($B1510="","",IFERROR(INDEX(직원목록!$B$3:$B$302,MATCH($B1510,직원목록!$A$3:$A$302,0)),"미등록사번"))</f>
        <v/>
      </c>
      <c r="D1510" s="13" t="str">
        <f aca="false">IF($B1510="","",IFERROR(INDEX(직원목록!$C$3:$C$302,MATCH($B1510,직원목록!$A$3:$A$302,0)),""))</f>
        <v/>
      </c>
      <c r="E1510" s="14"/>
      <c r="F1510" s="14"/>
      <c r="G1510" s="15"/>
      <c r="H1510" s="16" t="str">
        <f aca="false">IF(OR($K1510="",$L1510=""),"",ROUND(MAX(0,($L1510-$K1510)-IF($G1510="",0,$G1510))/60,2))</f>
        <v/>
      </c>
      <c r="I1510" s="8"/>
      <c r="J1510" s="8"/>
      <c r="K1510" s="17" t="str">
        <f aca="false">IF($E1510="","",IF($E1510&lt;1,ROUND($E1510*1440,0),INT($E1510/100)*60+MOD($E1510,100)))</f>
        <v/>
      </c>
      <c r="L1510" s="17" t="str">
        <f aca="false">IF($F1510="","",IF($F1510&lt;1,ROUND($F1510*1440,0),INT($F1510/100)*60+MOD($F1510,100)))</f>
        <v/>
      </c>
    </row>
    <row r="1511" customFormat="false" ht="15" hidden="false" customHeight="true" outlineLevel="0" collapsed="false">
      <c r="A1511" s="10"/>
      <c r="B1511" s="8"/>
      <c r="C1511" s="13" t="str">
        <f aca="false">IF($B1511="","",IFERROR(INDEX(직원목록!$B$3:$B$302,MATCH($B1511,직원목록!$A$3:$A$302,0)),"미등록사번"))</f>
        <v/>
      </c>
      <c r="D1511" s="13" t="str">
        <f aca="false">IF($B1511="","",IFERROR(INDEX(직원목록!$C$3:$C$302,MATCH($B1511,직원목록!$A$3:$A$302,0)),""))</f>
        <v/>
      </c>
      <c r="E1511" s="14"/>
      <c r="F1511" s="14"/>
      <c r="G1511" s="15"/>
      <c r="H1511" s="16" t="str">
        <f aca="false">IF(OR($K1511="",$L1511=""),"",ROUND(MAX(0,($L1511-$K1511)-IF($G1511="",0,$G1511))/60,2))</f>
        <v/>
      </c>
      <c r="I1511" s="8"/>
      <c r="J1511" s="8"/>
      <c r="K1511" s="17" t="str">
        <f aca="false">IF($E1511="","",IF($E1511&lt;1,ROUND($E1511*1440,0),INT($E1511/100)*60+MOD($E1511,100)))</f>
        <v/>
      </c>
      <c r="L1511" s="17" t="str">
        <f aca="false">IF($F1511="","",IF($F1511&lt;1,ROUND($F1511*1440,0),INT($F1511/100)*60+MOD($F1511,100)))</f>
        <v/>
      </c>
    </row>
    <row r="1512" customFormat="false" ht="15" hidden="false" customHeight="true" outlineLevel="0" collapsed="false">
      <c r="A1512" s="10"/>
      <c r="B1512" s="8"/>
      <c r="C1512" s="13" t="str">
        <f aca="false">IF($B1512="","",IFERROR(INDEX(직원목록!$B$3:$B$302,MATCH($B1512,직원목록!$A$3:$A$302,0)),"미등록사번"))</f>
        <v/>
      </c>
      <c r="D1512" s="13" t="str">
        <f aca="false">IF($B1512="","",IFERROR(INDEX(직원목록!$C$3:$C$302,MATCH($B1512,직원목록!$A$3:$A$302,0)),""))</f>
        <v/>
      </c>
      <c r="E1512" s="14"/>
      <c r="F1512" s="14"/>
      <c r="G1512" s="15"/>
      <c r="H1512" s="16" t="str">
        <f aca="false">IF(OR($K1512="",$L1512=""),"",ROUND(MAX(0,($L1512-$K1512)-IF($G1512="",0,$G1512))/60,2))</f>
        <v/>
      </c>
      <c r="I1512" s="8"/>
      <c r="J1512" s="8"/>
      <c r="K1512" s="17" t="str">
        <f aca="false">IF($E1512="","",IF($E1512&lt;1,ROUND($E1512*1440,0),INT($E1512/100)*60+MOD($E1512,100)))</f>
        <v/>
      </c>
      <c r="L1512" s="17" t="str">
        <f aca="false">IF($F1512="","",IF($F1512&lt;1,ROUND($F1512*1440,0),INT($F1512/100)*60+MOD($F1512,100)))</f>
        <v/>
      </c>
    </row>
    <row r="1513" customFormat="false" ht="15" hidden="false" customHeight="true" outlineLevel="0" collapsed="false">
      <c r="A1513" s="10"/>
      <c r="B1513" s="8"/>
      <c r="C1513" s="13" t="str">
        <f aca="false">IF($B1513="","",IFERROR(INDEX(직원목록!$B$3:$B$302,MATCH($B1513,직원목록!$A$3:$A$302,0)),"미등록사번"))</f>
        <v/>
      </c>
      <c r="D1513" s="13" t="str">
        <f aca="false">IF($B1513="","",IFERROR(INDEX(직원목록!$C$3:$C$302,MATCH($B1513,직원목록!$A$3:$A$302,0)),""))</f>
        <v/>
      </c>
      <c r="E1513" s="14"/>
      <c r="F1513" s="14"/>
      <c r="G1513" s="15"/>
      <c r="H1513" s="16" t="str">
        <f aca="false">IF(OR($K1513="",$L1513=""),"",ROUND(MAX(0,($L1513-$K1513)-IF($G1513="",0,$G1513))/60,2))</f>
        <v/>
      </c>
      <c r="I1513" s="8"/>
      <c r="J1513" s="8"/>
      <c r="K1513" s="17" t="str">
        <f aca="false">IF($E1513="","",IF($E1513&lt;1,ROUND($E1513*1440,0),INT($E1513/100)*60+MOD($E1513,100)))</f>
        <v/>
      </c>
      <c r="L1513" s="17" t="str">
        <f aca="false">IF($F1513="","",IF($F1513&lt;1,ROUND($F1513*1440,0),INT($F1513/100)*60+MOD($F1513,100)))</f>
        <v/>
      </c>
    </row>
    <row r="1514" customFormat="false" ht="15" hidden="false" customHeight="true" outlineLevel="0" collapsed="false">
      <c r="A1514" s="10"/>
      <c r="B1514" s="8"/>
      <c r="C1514" s="13" t="str">
        <f aca="false">IF($B1514="","",IFERROR(INDEX(직원목록!$B$3:$B$302,MATCH($B1514,직원목록!$A$3:$A$302,0)),"미등록사번"))</f>
        <v/>
      </c>
      <c r="D1514" s="13" t="str">
        <f aca="false">IF($B1514="","",IFERROR(INDEX(직원목록!$C$3:$C$302,MATCH($B1514,직원목록!$A$3:$A$302,0)),""))</f>
        <v/>
      </c>
      <c r="E1514" s="14"/>
      <c r="F1514" s="14"/>
      <c r="G1514" s="15"/>
      <c r="H1514" s="16" t="str">
        <f aca="false">IF(OR($K1514="",$L1514=""),"",ROUND(MAX(0,($L1514-$K1514)-IF($G1514="",0,$G1514))/60,2))</f>
        <v/>
      </c>
      <c r="I1514" s="8"/>
      <c r="J1514" s="8"/>
      <c r="K1514" s="17" t="str">
        <f aca="false">IF($E1514="","",IF($E1514&lt;1,ROUND($E1514*1440,0),INT($E1514/100)*60+MOD($E1514,100)))</f>
        <v/>
      </c>
      <c r="L1514" s="17" t="str">
        <f aca="false">IF($F1514="","",IF($F1514&lt;1,ROUND($F1514*1440,0),INT($F1514/100)*60+MOD($F1514,100)))</f>
        <v/>
      </c>
    </row>
    <row r="1515" customFormat="false" ht="15" hidden="false" customHeight="true" outlineLevel="0" collapsed="false">
      <c r="A1515" s="10"/>
      <c r="B1515" s="8"/>
      <c r="C1515" s="13" t="str">
        <f aca="false">IF($B1515="","",IFERROR(INDEX(직원목록!$B$3:$B$302,MATCH($B1515,직원목록!$A$3:$A$302,0)),"미등록사번"))</f>
        <v/>
      </c>
      <c r="D1515" s="13" t="str">
        <f aca="false">IF($B1515="","",IFERROR(INDEX(직원목록!$C$3:$C$302,MATCH($B1515,직원목록!$A$3:$A$302,0)),""))</f>
        <v/>
      </c>
      <c r="E1515" s="14"/>
      <c r="F1515" s="14"/>
      <c r="G1515" s="15"/>
      <c r="H1515" s="16" t="str">
        <f aca="false">IF(OR($K1515="",$L1515=""),"",ROUND(MAX(0,($L1515-$K1515)-IF($G1515="",0,$G1515))/60,2))</f>
        <v/>
      </c>
      <c r="I1515" s="8"/>
      <c r="J1515" s="8"/>
      <c r="K1515" s="17" t="str">
        <f aca="false">IF($E1515="","",IF($E1515&lt;1,ROUND($E1515*1440,0),INT($E1515/100)*60+MOD($E1515,100)))</f>
        <v/>
      </c>
      <c r="L1515" s="17" t="str">
        <f aca="false">IF($F1515="","",IF($F1515&lt;1,ROUND($F1515*1440,0),INT($F1515/100)*60+MOD($F1515,100)))</f>
        <v/>
      </c>
    </row>
    <row r="1516" customFormat="false" ht="15" hidden="false" customHeight="true" outlineLevel="0" collapsed="false">
      <c r="A1516" s="10"/>
      <c r="B1516" s="8"/>
      <c r="C1516" s="13" t="str">
        <f aca="false">IF($B1516="","",IFERROR(INDEX(직원목록!$B$3:$B$302,MATCH($B1516,직원목록!$A$3:$A$302,0)),"미등록사번"))</f>
        <v/>
      </c>
      <c r="D1516" s="13" t="str">
        <f aca="false">IF($B1516="","",IFERROR(INDEX(직원목록!$C$3:$C$302,MATCH($B1516,직원목록!$A$3:$A$302,0)),""))</f>
        <v/>
      </c>
      <c r="E1516" s="14"/>
      <c r="F1516" s="14"/>
      <c r="G1516" s="15"/>
      <c r="H1516" s="16" t="str">
        <f aca="false">IF(OR($K1516="",$L1516=""),"",ROUND(MAX(0,($L1516-$K1516)-IF($G1516="",0,$G1516))/60,2))</f>
        <v/>
      </c>
      <c r="I1516" s="8"/>
      <c r="J1516" s="8"/>
      <c r="K1516" s="17" t="str">
        <f aca="false">IF($E1516="","",IF($E1516&lt;1,ROUND($E1516*1440,0),INT($E1516/100)*60+MOD($E1516,100)))</f>
        <v/>
      </c>
      <c r="L1516" s="17" t="str">
        <f aca="false">IF($F1516="","",IF($F1516&lt;1,ROUND($F1516*1440,0),INT($F1516/100)*60+MOD($F1516,100)))</f>
        <v/>
      </c>
    </row>
    <row r="1517" customFormat="false" ht="15" hidden="false" customHeight="true" outlineLevel="0" collapsed="false">
      <c r="A1517" s="10"/>
      <c r="B1517" s="8"/>
      <c r="C1517" s="13" t="str">
        <f aca="false">IF($B1517="","",IFERROR(INDEX(직원목록!$B$3:$B$302,MATCH($B1517,직원목록!$A$3:$A$302,0)),"미등록사번"))</f>
        <v/>
      </c>
      <c r="D1517" s="13" t="str">
        <f aca="false">IF($B1517="","",IFERROR(INDEX(직원목록!$C$3:$C$302,MATCH($B1517,직원목록!$A$3:$A$302,0)),""))</f>
        <v/>
      </c>
      <c r="E1517" s="14"/>
      <c r="F1517" s="14"/>
      <c r="G1517" s="15"/>
      <c r="H1517" s="16" t="str">
        <f aca="false">IF(OR($K1517="",$L1517=""),"",ROUND(MAX(0,($L1517-$K1517)-IF($G1517="",0,$G1517))/60,2))</f>
        <v/>
      </c>
      <c r="I1517" s="8"/>
      <c r="J1517" s="8"/>
      <c r="K1517" s="17" t="str">
        <f aca="false">IF($E1517="","",IF($E1517&lt;1,ROUND($E1517*1440,0),INT($E1517/100)*60+MOD($E1517,100)))</f>
        <v/>
      </c>
      <c r="L1517" s="17" t="str">
        <f aca="false">IF($F1517="","",IF($F1517&lt;1,ROUND($F1517*1440,0),INT($F1517/100)*60+MOD($F1517,100)))</f>
        <v/>
      </c>
    </row>
    <row r="1518" customFormat="false" ht="15" hidden="false" customHeight="true" outlineLevel="0" collapsed="false">
      <c r="A1518" s="10"/>
      <c r="B1518" s="8"/>
      <c r="C1518" s="13" t="str">
        <f aca="false">IF($B1518="","",IFERROR(INDEX(직원목록!$B$3:$B$302,MATCH($B1518,직원목록!$A$3:$A$302,0)),"미등록사번"))</f>
        <v/>
      </c>
      <c r="D1518" s="13" t="str">
        <f aca="false">IF($B1518="","",IFERROR(INDEX(직원목록!$C$3:$C$302,MATCH($B1518,직원목록!$A$3:$A$302,0)),""))</f>
        <v/>
      </c>
      <c r="E1518" s="14"/>
      <c r="F1518" s="14"/>
      <c r="G1518" s="15"/>
      <c r="H1518" s="16" t="str">
        <f aca="false">IF(OR($K1518="",$L1518=""),"",ROUND(MAX(0,($L1518-$K1518)-IF($G1518="",0,$G1518))/60,2))</f>
        <v/>
      </c>
      <c r="I1518" s="8"/>
      <c r="J1518" s="8"/>
      <c r="K1518" s="17" t="str">
        <f aca="false">IF($E1518="","",IF($E1518&lt;1,ROUND($E1518*1440,0),INT($E1518/100)*60+MOD($E1518,100)))</f>
        <v/>
      </c>
      <c r="L1518" s="17" t="str">
        <f aca="false">IF($F1518="","",IF($F1518&lt;1,ROUND($F1518*1440,0),INT($F1518/100)*60+MOD($F1518,100)))</f>
        <v/>
      </c>
    </row>
    <row r="1519" customFormat="false" ht="15" hidden="false" customHeight="true" outlineLevel="0" collapsed="false">
      <c r="A1519" s="10"/>
      <c r="B1519" s="8"/>
      <c r="C1519" s="13" t="str">
        <f aca="false">IF($B1519="","",IFERROR(INDEX(직원목록!$B$3:$B$302,MATCH($B1519,직원목록!$A$3:$A$302,0)),"미등록사번"))</f>
        <v/>
      </c>
      <c r="D1519" s="13" t="str">
        <f aca="false">IF($B1519="","",IFERROR(INDEX(직원목록!$C$3:$C$302,MATCH($B1519,직원목록!$A$3:$A$302,0)),""))</f>
        <v/>
      </c>
      <c r="E1519" s="14"/>
      <c r="F1519" s="14"/>
      <c r="G1519" s="15"/>
      <c r="H1519" s="16" t="str">
        <f aca="false">IF(OR($K1519="",$L1519=""),"",ROUND(MAX(0,($L1519-$K1519)-IF($G1519="",0,$G1519))/60,2))</f>
        <v/>
      </c>
      <c r="I1519" s="8"/>
      <c r="J1519" s="8"/>
      <c r="K1519" s="17" t="str">
        <f aca="false">IF($E1519="","",IF($E1519&lt;1,ROUND($E1519*1440,0),INT($E1519/100)*60+MOD($E1519,100)))</f>
        <v/>
      </c>
      <c r="L1519" s="17" t="str">
        <f aca="false">IF($F1519="","",IF($F1519&lt;1,ROUND($F1519*1440,0),INT($F1519/100)*60+MOD($F1519,100)))</f>
        <v/>
      </c>
    </row>
    <row r="1520" customFormat="false" ht="15" hidden="false" customHeight="true" outlineLevel="0" collapsed="false">
      <c r="A1520" s="10"/>
      <c r="B1520" s="8"/>
      <c r="C1520" s="13" t="str">
        <f aca="false">IF($B1520="","",IFERROR(INDEX(직원목록!$B$3:$B$302,MATCH($B1520,직원목록!$A$3:$A$302,0)),"미등록사번"))</f>
        <v/>
      </c>
      <c r="D1520" s="13" t="str">
        <f aca="false">IF($B1520="","",IFERROR(INDEX(직원목록!$C$3:$C$302,MATCH($B1520,직원목록!$A$3:$A$302,0)),""))</f>
        <v/>
      </c>
      <c r="E1520" s="14"/>
      <c r="F1520" s="14"/>
      <c r="G1520" s="15"/>
      <c r="H1520" s="16" t="str">
        <f aca="false">IF(OR($K1520="",$L1520=""),"",ROUND(MAX(0,($L1520-$K1520)-IF($G1520="",0,$G1520))/60,2))</f>
        <v/>
      </c>
      <c r="I1520" s="8"/>
      <c r="J1520" s="8"/>
      <c r="K1520" s="17" t="str">
        <f aca="false">IF($E1520="","",IF($E1520&lt;1,ROUND($E1520*1440,0),INT($E1520/100)*60+MOD($E1520,100)))</f>
        <v/>
      </c>
      <c r="L1520" s="17" t="str">
        <f aca="false">IF($F1520="","",IF($F1520&lt;1,ROUND($F1520*1440,0),INT($F1520/100)*60+MOD($F1520,100)))</f>
        <v/>
      </c>
    </row>
    <row r="1521" customFormat="false" ht="15" hidden="false" customHeight="true" outlineLevel="0" collapsed="false">
      <c r="A1521" s="10"/>
      <c r="B1521" s="8"/>
      <c r="C1521" s="13" t="str">
        <f aca="false">IF($B1521="","",IFERROR(INDEX(직원목록!$B$3:$B$302,MATCH($B1521,직원목록!$A$3:$A$302,0)),"미등록사번"))</f>
        <v/>
      </c>
      <c r="D1521" s="13" t="str">
        <f aca="false">IF($B1521="","",IFERROR(INDEX(직원목록!$C$3:$C$302,MATCH($B1521,직원목록!$A$3:$A$302,0)),""))</f>
        <v/>
      </c>
      <c r="E1521" s="14"/>
      <c r="F1521" s="14"/>
      <c r="G1521" s="15"/>
      <c r="H1521" s="16" t="str">
        <f aca="false">IF(OR($K1521="",$L1521=""),"",ROUND(MAX(0,($L1521-$K1521)-IF($G1521="",0,$G1521))/60,2))</f>
        <v/>
      </c>
      <c r="I1521" s="8"/>
      <c r="J1521" s="8"/>
      <c r="K1521" s="17" t="str">
        <f aca="false">IF($E1521="","",IF($E1521&lt;1,ROUND($E1521*1440,0),INT($E1521/100)*60+MOD($E1521,100)))</f>
        <v/>
      </c>
      <c r="L1521" s="17" t="str">
        <f aca="false">IF($F1521="","",IF($F1521&lt;1,ROUND($F1521*1440,0),INT($F1521/100)*60+MOD($F1521,100)))</f>
        <v/>
      </c>
    </row>
    <row r="1522" customFormat="false" ht="15" hidden="false" customHeight="true" outlineLevel="0" collapsed="false">
      <c r="A1522" s="10"/>
      <c r="B1522" s="8"/>
      <c r="C1522" s="13" t="str">
        <f aca="false">IF($B1522="","",IFERROR(INDEX(직원목록!$B$3:$B$302,MATCH($B1522,직원목록!$A$3:$A$302,0)),"미등록사번"))</f>
        <v/>
      </c>
      <c r="D1522" s="13" t="str">
        <f aca="false">IF($B1522="","",IFERROR(INDEX(직원목록!$C$3:$C$302,MATCH($B1522,직원목록!$A$3:$A$302,0)),""))</f>
        <v/>
      </c>
      <c r="E1522" s="14"/>
      <c r="F1522" s="14"/>
      <c r="G1522" s="15"/>
      <c r="H1522" s="16" t="str">
        <f aca="false">IF(OR($K1522="",$L1522=""),"",ROUND(MAX(0,($L1522-$K1522)-IF($G1522="",0,$G1522))/60,2))</f>
        <v/>
      </c>
      <c r="I1522" s="8"/>
      <c r="J1522" s="8"/>
      <c r="K1522" s="17" t="str">
        <f aca="false">IF($E1522="","",IF($E1522&lt;1,ROUND($E1522*1440,0),INT($E1522/100)*60+MOD($E1522,100)))</f>
        <v/>
      </c>
      <c r="L1522" s="17" t="str">
        <f aca="false">IF($F1522="","",IF($F1522&lt;1,ROUND($F1522*1440,0),INT($F1522/100)*60+MOD($F1522,100)))</f>
        <v/>
      </c>
    </row>
    <row r="1523" customFormat="false" ht="15" hidden="false" customHeight="true" outlineLevel="0" collapsed="false">
      <c r="A1523" s="10"/>
      <c r="B1523" s="8"/>
      <c r="C1523" s="13" t="str">
        <f aca="false">IF($B1523="","",IFERROR(INDEX(직원목록!$B$3:$B$302,MATCH($B1523,직원목록!$A$3:$A$302,0)),"미등록사번"))</f>
        <v/>
      </c>
      <c r="D1523" s="13" t="str">
        <f aca="false">IF($B1523="","",IFERROR(INDEX(직원목록!$C$3:$C$302,MATCH($B1523,직원목록!$A$3:$A$302,0)),""))</f>
        <v/>
      </c>
      <c r="E1523" s="14"/>
      <c r="F1523" s="14"/>
      <c r="G1523" s="15"/>
      <c r="H1523" s="16" t="str">
        <f aca="false">IF(OR($K1523="",$L1523=""),"",ROUND(MAX(0,($L1523-$K1523)-IF($G1523="",0,$G1523))/60,2))</f>
        <v/>
      </c>
      <c r="I1523" s="8"/>
      <c r="J1523" s="8"/>
      <c r="K1523" s="17" t="str">
        <f aca="false">IF($E1523="","",IF($E1523&lt;1,ROUND($E1523*1440,0),INT($E1523/100)*60+MOD($E1523,100)))</f>
        <v/>
      </c>
      <c r="L1523" s="17" t="str">
        <f aca="false">IF($F1523="","",IF($F1523&lt;1,ROUND($F1523*1440,0),INT($F1523/100)*60+MOD($F1523,100)))</f>
        <v/>
      </c>
    </row>
    <row r="1524" customFormat="false" ht="15" hidden="false" customHeight="true" outlineLevel="0" collapsed="false">
      <c r="A1524" s="10"/>
      <c r="B1524" s="8"/>
      <c r="C1524" s="13" t="str">
        <f aca="false">IF($B1524="","",IFERROR(INDEX(직원목록!$B$3:$B$302,MATCH($B1524,직원목록!$A$3:$A$302,0)),"미등록사번"))</f>
        <v/>
      </c>
      <c r="D1524" s="13" t="str">
        <f aca="false">IF($B1524="","",IFERROR(INDEX(직원목록!$C$3:$C$302,MATCH($B1524,직원목록!$A$3:$A$302,0)),""))</f>
        <v/>
      </c>
      <c r="E1524" s="14"/>
      <c r="F1524" s="14"/>
      <c r="G1524" s="15"/>
      <c r="H1524" s="16" t="str">
        <f aca="false">IF(OR($K1524="",$L1524=""),"",ROUND(MAX(0,($L1524-$K1524)-IF($G1524="",0,$G1524))/60,2))</f>
        <v/>
      </c>
      <c r="I1524" s="8"/>
      <c r="J1524" s="8"/>
      <c r="K1524" s="17" t="str">
        <f aca="false">IF($E1524="","",IF($E1524&lt;1,ROUND($E1524*1440,0),INT($E1524/100)*60+MOD($E1524,100)))</f>
        <v/>
      </c>
      <c r="L1524" s="17" t="str">
        <f aca="false">IF($F1524="","",IF($F1524&lt;1,ROUND($F1524*1440,0),INT($F1524/100)*60+MOD($F1524,100)))</f>
        <v/>
      </c>
    </row>
    <row r="1525" customFormat="false" ht="15" hidden="false" customHeight="true" outlineLevel="0" collapsed="false">
      <c r="A1525" s="10"/>
      <c r="B1525" s="8"/>
      <c r="C1525" s="13" t="str">
        <f aca="false">IF($B1525="","",IFERROR(INDEX(직원목록!$B$3:$B$302,MATCH($B1525,직원목록!$A$3:$A$302,0)),"미등록사번"))</f>
        <v/>
      </c>
      <c r="D1525" s="13" t="str">
        <f aca="false">IF($B1525="","",IFERROR(INDEX(직원목록!$C$3:$C$302,MATCH($B1525,직원목록!$A$3:$A$302,0)),""))</f>
        <v/>
      </c>
      <c r="E1525" s="14"/>
      <c r="F1525" s="14"/>
      <c r="G1525" s="15"/>
      <c r="H1525" s="16" t="str">
        <f aca="false">IF(OR($K1525="",$L1525=""),"",ROUND(MAX(0,($L1525-$K1525)-IF($G1525="",0,$G1525))/60,2))</f>
        <v/>
      </c>
      <c r="I1525" s="8"/>
      <c r="J1525" s="8"/>
      <c r="K1525" s="17" t="str">
        <f aca="false">IF($E1525="","",IF($E1525&lt;1,ROUND($E1525*1440,0),INT($E1525/100)*60+MOD($E1525,100)))</f>
        <v/>
      </c>
      <c r="L1525" s="17" t="str">
        <f aca="false">IF($F1525="","",IF($F1525&lt;1,ROUND($F1525*1440,0),INT($F1525/100)*60+MOD($F1525,100)))</f>
        <v/>
      </c>
    </row>
    <row r="1526" customFormat="false" ht="15" hidden="false" customHeight="true" outlineLevel="0" collapsed="false">
      <c r="A1526" s="10"/>
      <c r="B1526" s="8"/>
      <c r="C1526" s="13" t="str">
        <f aca="false">IF($B1526="","",IFERROR(INDEX(직원목록!$B$3:$B$302,MATCH($B1526,직원목록!$A$3:$A$302,0)),"미등록사번"))</f>
        <v/>
      </c>
      <c r="D1526" s="13" t="str">
        <f aca="false">IF($B1526="","",IFERROR(INDEX(직원목록!$C$3:$C$302,MATCH($B1526,직원목록!$A$3:$A$302,0)),""))</f>
        <v/>
      </c>
      <c r="E1526" s="14"/>
      <c r="F1526" s="14"/>
      <c r="G1526" s="15"/>
      <c r="H1526" s="16" t="str">
        <f aca="false">IF(OR($K1526="",$L1526=""),"",ROUND(MAX(0,($L1526-$K1526)-IF($G1526="",0,$G1526))/60,2))</f>
        <v/>
      </c>
      <c r="I1526" s="8"/>
      <c r="J1526" s="8"/>
      <c r="K1526" s="17" t="str">
        <f aca="false">IF($E1526="","",IF($E1526&lt;1,ROUND($E1526*1440,0),INT($E1526/100)*60+MOD($E1526,100)))</f>
        <v/>
      </c>
      <c r="L1526" s="17" t="str">
        <f aca="false">IF($F1526="","",IF($F1526&lt;1,ROUND($F1526*1440,0),INT($F1526/100)*60+MOD($F1526,100)))</f>
        <v/>
      </c>
    </row>
    <row r="1527" customFormat="false" ht="15" hidden="false" customHeight="true" outlineLevel="0" collapsed="false">
      <c r="A1527" s="10"/>
      <c r="B1527" s="8"/>
      <c r="C1527" s="13" t="str">
        <f aca="false">IF($B1527="","",IFERROR(INDEX(직원목록!$B$3:$B$302,MATCH($B1527,직원목록!$A$3:$A$302,0)),"미등록사번"))</f>
        <v/>
      </c>
      <c r="D1527" s="13" t="str">
        <f aca="false">IF($B1527="","",IFERROR(INDEX(직원목록!$C$3:$C$302,MATCH($B1527,직원목록!$A$3:$A$302,0)),""))</f>
        <v/>
      </c>
      <c r="E1527" s="14"/>
      <c r="F1527" s="14"/>
      <c r="G1527" s="15"/>
      <c r="H1527" s="16" t="str">
        <f aca="false">IF(OR($K1527="",$L1527=""),"",ROUND(MAX(0,($L1527-$K1527)-IF($G1527="",0,$G1527))/60,2))</f>
        <v/>
      </c>
      <c r="I1527" s="8"/>
      <c r="J1527" s="8"/>
      <c r="K1527" s="17" t="str">
        <f aca="false">IF($E1527="","",IF($E1527&lt;1,ROUND($E1527*1440,0),INT($E1527/100)*60+MOD($E1527,100)))</f>
        <v/>
      </c>
      <c r="L1527" s="17" t="str">
        <f aca="false">IF($F1527="","",IF($F1527&lt;1,ROUND($F1527*1440,0),INT($F1527/100)*60+MOD($F1527,100)))</f>
        <v/>
      </c>
    </row>
    <row r="1528" customFormat="false" ht="15" hidden="false" customHeight="true" outlineLevel="0" collapsed="false">
      <c r="A1528" s="10"/>
      <c r="B1528" s="8"/>
      <c r="C1528" s="13" t="str">
        <f aca="false">IF($B1528="","",IFERROR(INDEX(직원목록!$B$3:$B$302,MATCH($B1528,직원목록!$A$3:$A$302,0)),"미등록사번"))</f>
        <v/>
      </c>
      <c r="D1528" s="13" t="str">
        <f aca="false">IF($B1528="","",IFERROR(INDEX(직원목록!$C$3:$C$302,MATCH($B1528,직원목록!$A$3:$A$302,0)),""))</f>
        <v/>
      </c>
      <c r="E1528" s="14"/>
      <c r="F1528" s="14"/>
      <c r="G1528" s="15"/>
      <c r="H1528" s="16" t="str">
        <f aca="false">IF(OR($K1528="",$L1528=""),"",ROUND(MAX(0,($L1528-$K1528)-IF($G1528="",0,$G1528))/60,2))</f>
        <v/>
      </c>
      <c r="I1528" s="8"/>
      <c r="J1528" s="8"/>
      <c r="K1528" s="17" t="str">
        <f aca="false">IF($E1528="","",IF($E1528&lt;1,ROUND($E1528*1440,0),INT($E1528/100)*60+MOD($E1528,100)))</f>
        <v/>
      </c>
      <c r="L1528" s="17" t="str">
        <f aca="false">IF($F1528="","",IF($F1528&lt;1,ROUND($F1528*1440,0),INT($F1528/100)*60+MOD($F1528,100)))</f>
        <v/>
      </c>
    </row>
    <row r="1529" customFormat="false" ht="15" hidden="false" customHeight="true" outlineLevel="0" collapsed="false">
      <c r="A1529" s="10"/>
      <c r="B1529" s="8"/>
      <c r="C1529" s="13" t="str">
        <f aca="false">IF($B1529="","",IFERROR(INDEX(직원목록!$B$3:$B$302,MATCH($B1529,직원목록!$A$3:$A$302,0)),"미등록사번"))</f>
        <v/>
      </c>
      <c r="D1529" s="13" t="str">
        <f aca="false">IF($B1529="","",IFERROR(INDEX(직원목록!$C$3:$C$302,MATCH($B1529,직원목록!$A$3:$A$302,0)),""))</f>
        <v/>
      </c>
      <c r="E1529" s="14"/>
      <c r="F1529" s="14"/>
      <c r="G1529" s="15"/>
      <c r="H1529" s="16" t="str">
        <f aca="false">IF(OR($K1529="",$L1529=""),"",ROUND(MAX(0,($L1529-$K1529)-IF($G1529="",0,$G1529))/60,2))</f>
        <v/>
      </c>
      <c r="I1529" s="8"/>
      <c r="J1529" s="8"/>
      <c r="K1529" s="17" t="str">
        <f aca="false">IF($E1529="","",IF($E1529&lt;1,ROUND($E1529*1440,0),INT($E1529/100)*60+MOD($E1529,100)))</f>
        <v/>
      </c>
      <c r="L1529" s="17" t="str">
        <f aca="false">IF($F1529="","",IF($F1529&lt;1,ROUND($F1529*1440,0),INT($F1529/100)*60+MOD($F1529,100)))</f>
        <v/>
      </c>
    </row>
    <row r="1530" customFormat="false" ht="15" hidden="false" customHeight="true" outlineLevel="0" collapsed="false">
      <c r="A1530" s="10"/>
      <c r="B1530" s="8"/>
      <c r="C1530" s="13" t="str">
        <f aca="false">IF($B1530="","",IFERROR(INDEX(직원목록!$B$3:$B$302,MATCH($B1530,직원목록!$A$3:$A$302,0)),"미등록사번"))</f>
        <v/>
      </c>
      <c r="D1530" s="13" t="str">
        <f aca="false">IF($B1530="","",IFERROR(INDEX(직원목록!$C$3:$C$302,MATCH($B1530,직원목록!$A$3:$A$302,0)),""))</f>
        <v/>
      </c>
      <c r="E1530" s="14"/>
      <c r="F1530" s="14"/>
      <c r="G1530" s="15"/>
      <c r="H1530" s="16" t="str">
        <f aca="false">IF(OR($K1530="",$L1530=""),"",ROUND(MAX(0,($L1530-$K1530)-IF($G1530="",0,$G1530))/60,2))</f>
        <v/>
      </c>
      <c r="I1530" s="8"/>
      <c r="J1530" s="8"/>
      <c r="K1530" s="17" t="str">
        <f aca="false">IF($E1530="","",IF($E1530&lt;1,ROUND($E1530*1440,0),INT($E1530/100)*60+MOD($E1530,100)))</f>
        <v/>
      </c>
      <c r="L1530" s="17" t="str">
        <f aca="false">IF($F1530="","",IF($F1530&lt;1,ROUND($F1530*1440,0),INT($F1530/100)*60+MOD($F1530,100)))</f>
        <v/>
      </c>
    </row>
    <row r="1531" customFormat="false" ht="15" hidden="false" customHeight="true" outlineLevel="0" collapsed="false">
      <c r="A1531" s="10"/>
      <c r="B1531" s="8"/>
      <c r="C1531" s="13" t="str">
        <f aca="false">IF($B1531="","",IFERROR(INDEX(직원목록!$B$3:$B$302,MATCH($B1531,직원목록!$A$3:$A$302,0)),"미등록사번"))</f>
        <v/>
      </c>
      <c r="D1531" s="13" t="str">
        <f aca="false">IF($B1531="","",IFERROR(INDEX(직원목록!$C$3:$C$302,MATCH($B1531,직원목록!$A$3:$A$302,0)),""))</f>
        <v/>
      </c>
      <c r="E1531" s="14"/>
      <c r="F1531" s="14"/>
      <c r="G1531" s="15"/>
      <c r="H1531" s="16" t="str">
        <f aca="false">IF(OR($K1531="",$L1531=""),"",ROUND(MAX(0,($L1531-$K1531)-IF($G1531="",0,$G1531))/60,2))</f>
        <v/>
      </c>
      <c r="I1531" s="8"/>
      <c r="J1531" s="8"/>
      <c r="K1531" s="17" t="str">
        <f aca="false">IF($E1531="","",IF($E1531&lt;1,ROUND($E1531*1440,0),INT($E1531/100)*60+MOD($E1531,100)))</f>
        <v/>
      </c>
      <c r="L1531" s="17" t="str">
        <f aca="false">IF($F1531="","",IF($F1531&lt;1,ROUND($F1531*1440,0),INT($F1531/100)*60+MOD($F1531,100)))</f>
        <v/>
      </c>
    </row>
    <row r="1532" customFormat="false" ht="15" hidden="false" customHeight="true" outlineLevel="0" collapsed="false">
      <c r="A1532" s="10"/>
      <c r="B1532" s="8"/>
      <c r="C1532" s="13" t="str">
        <f aca="false">IF($B1532="","",IFERROR(INDEX(직원목록!$B$3:$B$302,MATCH($B1532,직원목록!$A$3:$A$302,0)),"미등록사번"))</f>
        <v/>
      </c>
      <c r="D1532" s="13" t="str">
        <f aca="false">IF($B1532="","",IFERROR(INDEX(직원목록!$C$3:$C$302,MATCH($B1532,직원목록!$A$3:$A$302,0)),""))</f>
        <v/>
      </c>
      <c r="E1532" s="14"/>
      <c r="F1532" s="14"/>
      <c r="G1532" s="15"/>
      <c r="H1532" s="16" t="str">
        <f aca="false">IF(OR($K1532="",$L1532=""),"",ROUND(MAX(0,($L1532-$K1532)-IF($G1532="",0,$G1532))/60,2))</f>
        <v/>
      </c>
      <c r="I1532" s="8"/>
      <c r="J1532" s="8"/>
      <c r="K1532" s="17" t="str">
        <f aca="false">IF($E1532="","",IF($E1532&lt;1,ROUND($E1532*1440,0),INT($E1532/100)*60+MOD($E1532,100)))</f>
        <v/>
      </c>
      <c r="L1532" s="17" t="str">
        <f aca="false">IF($F1532="","",IF($F1532&lt;1,ROUND($F1532*1440,0),INT($F1532/100)*60+MOD($F1532,100)))</f>
        <v/>
      </c>
    </row>
    <row r="1533" customFormat="false" ht="15" hidden="false" customHeight="true" outlineLevel="0" collapsed="false">
      <c r="A1533" s="10"/>
      <c r="B1533" s="8"/>
      <c r="C1533" s="13" t="str">
        <f aca="false">IF($B1533="","",IFERROR(INDEX(직원목록!$B$3:$B$302,MATCH($B1533,직원목록!$A$3:$A$302,0)),"미등록사번"))</f>
        <v/>
      </c>
      <c r="D1533" s="13" t="str">
        <f aca="false">IF($B1533="","",IFERROR(INDEX(직원목록!$C$3:$C$302,MATCH($B1533,직원목록!$A$3:$A$302,0)),""))</f>
        <v/>
      </c>
      <c r="E1533" s="14"/>
      <c r="F1533" s="14"/>
      <c r="G1533" s="15"/>
      <c r="H1533" s="16" t="str">
        <f aca="false">IF(OR($K1533="",$L1533=""),"",ROUND(MAX(0,($L1533-$K1533)-IF($G1533="",0,$G1533))/60,2))</f>
        <v/>
      </c>
      <c r="I1533" s="8"/>
      <c r="J1533" s="8"/>
      <c r="K1533" s="17" t="str">
        <f aca="false">IF($E1533="","",IF($E1533&lt;1,ROUND($E1533*1440,0),INT($E1533/100)*60+MOD($E1533,100)))</f>
        <v/>
      </c>
      <c r="L1533" s="17" t="str">
        <f aca="false">IF($F1533="","",IF($F1533&lt;1,ROUND($F1533*1440,0),INT($F1533/100)*60+MOD($F1533,100)))</f>
        <v/>
      </c>
    </row>
    <row r="1534" customFormat="false" ht="15" hidden="false" customHeight="true" outlineLevel="0" collapsed="false">
      <c r="A1534" s="10"/>
      <c r="B1534" s="8"/>
      <c r="C1534" s="13" t="str">
        <f aca="false">IF($B1534="","",IFERROR(INDEX(직원목록!$B$3:$B$302,MATCH($B1534,직원목록!$A$3:$A$302,0)),"미등록사번"))</f>
        <v/>
      </c>
      <c r="D1534" s="13" t="str">
        <f aca="false">IF($B1534="","",IFERROR(INDEX(직원목록!$C$3:$C$302,MATCH($B1534,직원목록!$A$3:$A$302,0)),""))</f>
        <v/>
      </c>
      <c r="E1534" s="14"/>
      <c r="F1534" s="14"/>
      <c r="G1534" s="15"/>
      <c r="H1534" s="16" t="str">
        <f aca="false">IF(OR($K1534="",$L1534=""),"",ROUND(MAX(0,($L1534-$K1534)-IF($G1534="",0,$G1534))/60,2))</f>
        <v/>
      </c>
      <c r="I1534" s="8"/>
      <c r="J1534" s="8"/>
      <c r="K1534" s="17" t="str">
        <f aca="false">IF($E1534="","",IF($E1534&lt;1,ROUND($E1534*1440,0),INT($E1534/100)*60+MOD($E1534,100)))</f>
        <v/>
      </c>
      <c r="L1534" s="17" t="str">
        <f aca="false">IF($F1534="","",IF($F1534&lt;1,ROUND($F1534*1440,0),INT($F1534/100)*60+MOD($F1534,100)))</f>
        <v/>
      </c>
    </row>
    <row r="1535" customFormat="false" ht="15" hidden="false" customHeight="true" outlineLevel="0" collapsed="false">
      <c r="A1535" s="10"/>
      <c r="B1535" s="8"/>
      <c r="C1535" s="13" t="str">
        <f aca="false">IF($B1535="","",IFERROR(INDEX(직원목록!$B$3:$B$302,MATCH($B1535,직원목록!$A$3:$A$302,0)),"미등록사번"))</f>
        <v/>
      </c>
      <c r="D1535" s="13" t="str">
        <f aca="false">IF($B1535="","",IFERROR(INDEX(직원목록!$C$3:$C$302,MATCH($B1535,직원목록!$A$3:$A$302,0)),""))</f>
        <v/>
      </c>
      <c r="E1535" s="14"/>
      <c r="F1535" s="14"/>
      <c r="G1535" s="15"/>
      <c r="H1535" s="16" t="str">
        <f aca="false">IF(OR($K1535="",$L1535=""),"",ROUND(MAX(0,($L1535-$K1535)-IF($G1535="",0,$G1535))/60,2))</f>
        <v/>
      </c>
      <c r="I1535" s="8"/>
      <c r="J1535" s="8"/>
      <c r="K1535" s="17" t="str">
        <f aca="false">IF($E1535="","",IF($E1535&lt;1,ROUND($E1535*1440,0),INT($E1535/100)*60+MOD($E1535,100)))</f>
        <v/>
      </c>
      <c r="L1535" s="17" t="str">
        <f aca="false">IF($F1535="","",IF($F1535&lt;1,ROUND($F1535*1440,0),INT($F1535/100)*60+MOD($F1535,100)))</f>
        <v/>
      </c>
    </row>
    <row r="1536" customFormat="false" ht="15" hidden="false" customHeight="true" outlineLevel="0" collapsed="false">
      <c r="A1536" s="10"/>
      <c r="B1536" s="8"/>
      <c r="C1536" s="13" t="str">
        <f aca="false">IF($B1536="","",IFERROR(INDEX(직원목록!$B$3:$B$302,MATCH($B1536,직원목록!$A$3:$A$302,0)),"미등록사번"))</f>
        <v/>
      </c>
      <c r="D1536" s="13" t="str">
        <f aca="false">IF($B1536="","",IFERROR(INDEX(직원목록!$C$3:$C$302,MATCH($B1536,직원목록!$A$3:$A$302,0)),""))</f>
        <v/>
      </c>
      <c r="E1536" s="14"/>
      <c r="F1536" s="14"/>
      <c r="G1536" s="15"/>
      <c r="H1536" s="16" t="str">
        <f aca="false">IF(OR($K1536="",$L1536=""),"",ROUND(MAX(0,($L1536-$K1536)-IF($G1536="",0,$G1536))/60,2))</f>
        <v/>
      </c>
      <c r="I1536" s="8"/>
      <c r="J1536" s="8"/>
      <c r="K1536" s="17" t="str">
        <f aca="false">IF($E1536="","",IF($E1536&lt;1,ROUND($E1536*1440,0),INT($E1536/100)*60+MOD($E1536,100)))</f>
        <v/>
      </c>
      <c r="L1536" s="17" t="str">
        <f aca="false">IF($F1536="","",IF($F1536&lt;1,ROUND($F1536*1440,0),INT($F1536/100)*60+MOD($F1536,100)))</f>
        <v/>
      </c>
    </row>
    <row r="1537" customFormat="false" ht="15" hidden="false" customHeight="true" outlineLevel="0" collapsed="false">
      <c r="A1537" s="10"/>
      <c r="B1537" s="8"/>
      <c r="C1537" s="13" t="str">
        <f aca="false">IF($B1537="","",IFERROR(INDEX(직원목록!$B$3:$B$302,MATCH($B1537,직원목록!$A$3:$A$302,0)),"미등록사번"))</f>
        <v/>
      </c>
      <c r="D1537" s="13" t="str">
        <f aca="false">IF($B1537="","",IFERROR(INDEX(직원목록!$C$3:$C$302,MATCH($B1537,직원목록!$A$3:$A$302,0)),""))</f>
        <v/>
      </c>
      <c r="E1537" s="14"/>
      <c r="F1537" s="14"/>
      <c r="G1537" s="15"/>
      <c r="H1537" s="16" t="str">
        <f aca="false">IF(OR($K1537="",$L1537=""),"",ROUND(MAX(0,($L1537-$K1537)-IF($G1537="",0,$G1537))/60,2))</f>
        <v/>
      </c>
      <c r="I1537" s="8"/>
      <c r="J1537" s="8"/>
      <c r="K1537" s="17" t="str">
        <f aca="false">IF($E1537="","",IF($E1537&lt;1,ROUND($E1537*1440,0),INT($E1537/100)*60+MOD($E1537,100)))</f>
        <v/>
      </c>
      <c r="L1537" s="17" t="str">
        <f aca="false">IF($F1537="","",IF($F1537&lt;1,ROUND($F1537*1440,0),INT($F1537/100)*60+MOD($F1537,100)))</f>
        <v/>
      </c>
    </row>
    <row r="1538" customFormat="false" ht="15" hidden="false" customHeight="true" outlineLevel="0" collapsed="false">
      <c r="A1538" s="10"/>
      <c r="B1538" s="8"/>
      <c r="C1538" s="13" t="str">
        <f aca="false">IF($B1538="","",IFERROR(INDEX(직원목록!$B$3:$B$302,MATCH($B1538,직원목록!$A$3:$A$302,0)),"미등록사번"))</f>
        <v/>
      </c>
      <c r="D1538" s="13" t="str">
        <f aca="false">IF($B1538="","",IFERROR(INDEX(직원목록!$C$3:$C$302,MATCH($B1538,직원목록!$A$3:$A$302,0)),""))</f>
        <v/>
      </c>
      <c r="E1538" s="14"/>
      <c r="F1538" s="14"/>
      <c r="G1538" s="15"/>
      <c r="H1538" s="16" t="str">
        <f aca="false">IF(OR($K1538="",$L1538=""),"",ROUND(MAX(0,($L1538-$K1538)-IF($G1538="",0,$G1538))/60,2))</f>
        <v/>
      </c>
      <c r="I1538" s="8"/>
      <c r="J1538" s="8"/>
      <c r="K1538" s="17" t="str">
        <f aca="false">IF($E1538="","",IF($E1538&lt;1,ROUND($E1538*1440,0),INT($E1538/100)*60+MOD($E1538,100)))</f>
        <v/>
      </c>
      <c r="L1538" s="17" t="str">
        <f aca="false">IF($F1538="","",IF($F1538&lt;1,ROUND($F1538*1440,0),INT($F1538/100)*60+MOD($F1538,100)))</f>
        <v/>
      </c>
    </row>
    <row r="1539" customFormat="false" ht="15" hidden="false" customHeight="true" outlineLevel="0" collapsed="false">
      <c r="A1539" s="10"/>
      <c r="B1539" s="8"/>
      <c r="C1539" s="13" t="str">
        <f aca="false">IF($B1539="","",IFERROR(INDEX(직원목록!$B$3:$B$302,MATCH($B1539,직원목록!$A$3:$A$302,0)),"미등록사번"))</f>
        <v/>
      </c>
      <c r="D1539" s="13" t="str">
        <f aca="false">IF($B1539="","",IFERROR(INDEX(직원목록!$C$3:$C$302,MATCH($B1539,직원목록!$A$3:$A$302,0)),""))</f>
        <v/>
      </c>
      <c r="E1539" s="14"/>
      <c r="F1539" s="14"/>
      <c r="G1539" s="15"/>
      <c r="H1539" s="16" t="str">
        <f aca="false">IF(OR($K1539="",$L1539=""),"",ROUND(MAX(0,($L1539-$K1539)-IF($G1539="",0,$G1539))/60,2))</f>
        <v/>
      </c>
      <c r="I1539" s="8"/>
      <c r="J1539" s="8"/>
      <c r="K1539" s="17" t="str">
        <f aca="false">IF($E1539="","",IF($E1539&lt;1,ROUND($E1539*1440,0),INT($E1539/100)*60+MOD($E1539,100)))</f>
        <v/>
      </c>
      <c r="L1539" s="17" t="str">
        <f aca="false">IF($F1539="","",IF($F1539&lt;1,ROUND($F1539*1440,0),INT($F1539/100)*60+MOD($F1539,100)))</f>
        <v/>
      </c>
    </row>
    <row r="1540" customFormat="false" ht="15" hidden="false" customHeight="true" outlineLevel="0" collapsed="false">
      <c r="A1540" s="10"/>
      <c r="B1540" s="8"/>
      <c r="C1540" s="13" t="str">
        <f aca="false">IF($B1540="","",IFERROR(INDEX(직원목록!$B$3:$B$302,MATCH($B1540,직원목록!$A$3:$A$302,0)),"미등록사번"))</f>
        <v/>
      </c>
      <c r="D1540" s="13" t="str">
        <f aca="false">IF($B1540="","",IFERROR(INDEX(직원목록!$C$3:$C$302,MATCH($B1540,직원목록!$A$3:$A$302,0)),""))</f>
        <v/>
      </c>
      <c r="E1540" s="14"/>
      <c r="F1540" s="14"/>
      <c r="G1540" s="15"/>
      <c r="H1540" s="16" t="str">
        <f aca="false">IF(OR($K1540="",$L1540=""),"",ROUND(MAX(0,($L1540-$K1540)-IF($G1540="",0,$G1540))/60,2))</f>
        <v/>
      </c>
      <c r="I1540" s="8"/>
      <c r="J1540" s="8"/>
      <c r="K1540" s="17" t="str">
        <f aca="false">IF($E1540="","",IF($E1540&lt;1,ROUND($E1540*1440,0),INT($E1540/100)*60+MOD($E1540,100)))</f>
        <v/>
      </c>
      <c r="L1540" s="17" t="str">
        <f aca="false">IF($F1540="","",IF($F1540&lt;1,ROUND($F1540*1440,0),INT($F1540/100)*60+MOD($F1540,100)))</f>
        <v/>
      </c>
    </row>
    <row r="1541" customFormat="false" ht="15" hidden="false" customHeight="true" outlineLevel="0" collapsed="false">
      <c r="A1541" s="10"/>
      <c r="B1541" s="8"/>
      <c r="C1541" s="13" t="str">
        <f aca="false">IF($B1541="","",IFERROR(INDEX(직원목록!$B$3:$B$302,MATCH($B1541,직원목록!$A$3:$A$302,0)),"미등록사번"))</f>
        <v/>
      </c>
      <c r="D1541" s="13" t="str">
        <f aca="false">IF($B1541="","",IFERROR(INDEX(직원목록!$C$3:$C$302,MATCH($B1541,직원목록!$A$3:$A$302,0)),""))</f>
        <v/>
      </c>
      <c r="E1541" s="14"/>
      <c r="F1541" s="14"/>
      <c r="G1541" s="15"/>
      <c r="H1541" s="16" t="str">
        <f aca="false">IF(OR($K1541="",$L1541=""),"",ROUND(MAX(0,($L1541-$K1541)-IF($G1541="",0,$G1541))/60,2))</f>
        <v/>
      </c>
      <c r="I1541" s="8"/>
      <c r="J1541" s="8"/>
      <c r="K1541" s="17" t="str">
        <f aca="false">IF($E1541="","",IF($E1541&lt;1,ROUND($E1541*1440,0),INT($E1541/100)*60+MOD($E1541,100)))</f>
        <v/>
      </c>
      <c r="L1541" s="17" t="str">
        <f aca="false">IF($F1541="","",IF($F1541&lt;1,ROUND($F1541*1440,0),INT($F1541/100)*60+MOD($F1541,100)))</f>
        <v/>
      </c>
    </row>
    <row r="1542" customFormat="false" ht="15" hidden="false" customHeight="true" outlineLevel="0" collapsed="false">
      <c r="A1542" s="10"/>
      <c r="B1542" s="8"/>
      <c r="C1542" s="13" t="str">
        <f aca="false">IF($B1542="","",IFERROR(INDEX(직원목록!$B$3:$B$302,MATCH($B1542,직원목록!$A$3:$A$302,0)),"미등록사번"))</f>
        <v/>
      </c>
      <c r="D1542" s="13" t="str">
        <f aca="false">IF($B1542="","",IFERROR(INDEX(직원목록!$C$3:$C$302,MATCH($B1542,직원목록!$A$3:$A$302,0)),""))</f>
        <v/>
      </c>
      <c r="E1542" s="14"/>
      <c r="F1542" s="14"/>
      <c r="G1542" s="15"/>
      <c r="H1542" s="16" t="str">
        <f aca="false">IF(OR($K1542="",$L1542=""),"",ROUND(MAX(0,($L1542-$K1542)-IF($G1542="",0,$G1542))/60,2))</f>
        <v/>
      </c>
      <c r="I1542" s="8"/>
      <c r="J1542" s="8"/>
      <c r="K1542" s="17" t="str">
        <f aca="false">IF($E1542="","",IF($E1542&lt;1,ROUND($E1542*1440,0),INT($E1542/100)*60+MOD($E1542,100)))</f>
        <v/>
      </c>
      <c r="L1542" s="17" t="str">
        <f aca="false">IF($F1542="","",IF($F1542&lt;1,ROUND($F1542*1440,0),INT($F1542/100)*60+MOD($F1542,100)))</f>
        <v/>
      </c>
    </row>
    <row r="1543" customFormat="false" ht="15" hidden="false" customHeight="true" outlineLevel="0" collapsed="false">
      <c r="A1543" s="10"/>
      <c r="B1543" s="8"/>
      <c r="C1543" s="13" t="str">
        <f aca="false">IF($B1543="","",IFERROR(INDEX(직원목록!$B$3:$B$302,MATCH($B1543,직원목록!$A$3:$A$302,0)),"미등록사번"))</f>
        <v/>
      </c>
      <c r="D1543" s="13" t="str">
        <f aca="false">IF($B1543="","",IFERROR(INDEX(직원목록!$C$3:$C$302,MATCH($B1543,직원목록!$A$3:$A$302,0)),""))</f>
        <v/>
      </c>
      <c r="E1543" s="14"/>
      <c r="F1543" s="14"/>
      <c r="G1543" s="15"/>
      <c r="H1543" s="16" t="str">
        <f aca="false">IF(OR($K1543="",$L1543=""),"",ROUND(MAX(0,($L1543-$K1543)-IF($G1543="",0,$G1543))/60,2))</f>
        <v/>
      </c>
      <c r="I1543" s="8"/>
      <c r="J1543" s="8"/>
      <c r="K1543" s="17" t="str">
        <f aca="false">IF($E1543="","",IF($E1543&lt;1,ROUND($E1543*1440,0),INT($E1543/100)*60+MOD($E1543,100)))</f>
        <v/>
      </c>
      <c r="L1543" s="17" t="str">
        <f aca="false">IF($F1543="","",IF($F1543&lt;1,ROUND($F1543*1440,0),INT($F1543/100)*60+MOD($F1543,100)))</f>
        <v/>
      </c>
    </row>
    <row r="1544" customFormat="false" ht="15" hidden="false" customHeight="true" outlineLevel="0" collapsed="false">
      <c r="A1544" s="10"/>
      <c r="B1544" s="8"/>
      <c r="C1544" s="13" t="str">
        <f aca="false">IF($B1544="","",IFERROR(INDEX(직원목록!$B$3:$B$302,MATCH($B1544,직원목록!$A$3:$A$302,0)),"미등록사번"))</f>
        <v/>
      </c>
      <c r="D1544" s="13" t="str">
        <f aca="false">IF($B1544="","",IFERROR(INDEX(직원목록!$C$3:$C$302,MATCH($B1544,직원목록!$A$3:$A$302,0)),""))</f>
        <v/>
      </c>
      <c r="E1544" s="14"/>
      <c r="F1544" s="14"/>
      <c r="G1544" s="15"/>
      <c r="H1544" s="16" t="str">
        <f aca="false">IF(OR($K1544="",$L1544=""),"",ROUND(MAX(0,($L1544-$K1544)-IF($G1544="",0,$G1544))/60,2))</f>
        <v/>
      </c>
      <c r="I1544" s="8"/>
      <c r="J1544" s="8"/>
      <c r="K1544" s="17" t="str">
        <f aca="false">IF($E1544="","",IF($E1544&lt;1,ROUND($E1544*1440,0),INT($E1544/100)*60+MOD($E1544,100)))</f>
        <v/>
      </c>
      <c r="L1544" s="17" t="str">
        <f aca="false">IF($F1544="","",IF($F1544&lt;1,ROUND($F1544*1440,0),INT($F1544/100)*60+MOD($F1544,100)))</f>
        <v/>
      </c>
    </row>
    <row r="1545" customFormat="false" ht="15" hidden="false" customHeight="true" outlineLevel="0" collapsed="false">
      <c r="A1545" s="10"/>
      <c r="B1545" s="8"/>
      <c r="C1545" s="13" t="str">
        <f aca="false">IF($B1545="","",IFERROR(INDEX(직원목록!$B$3:$B$302,MATCH($B1545,직원목록!$A$3:$A$302,0)),"미등록사번"))</f>
        <v/>
      </c>
      <c r="D1545" s="13" t="str">
        <f aca="false">IF($B1545="","",IFERROR(INDEX(직원목록!$C$3:$C$302,MATCH($B1545,직원목록!$A$3:$A$302,0)),""))</f>
        <v/>
      </c>
      <c r="E1545" s="14"/>
      <c r="F1545" s="14"/>
      <c r="G1545" s="15"/>
      <c r="H1545" s="16" t="str">
        <f aca="false">IF(OR($K1545="",$L1545=""),"",ROUND(MAX(0,($L1545-$K1545)-IF($G1545="",0,$G1545))/60,2))</f>
        <v/>
      </c>
      <c r="I1545" s="8"/>
      <c r="J1545" s="8"/>
      <c r="K1545" s="17" t="str">
        <f aca="false">IF($E1545="","",IF($E1545&lt;1,ROUND($E1545*1440,0),INT($E1545/100)*60+MOD($E1545,100)))</f>
        <v/>
      </c>
      <c r="L1545" s="17" t="str">
        <f aca="false">IF($F1545="","",IF($F1545&lt;1,ROUND($F1545*1440,0),INT($F1545/100)*60+MOD($F1545,100)))</f>
        <v/>
      </c>
    </row>
    <row r="1546" customFormat="false" ht="15" hidden="false" customHeight="true" outlineLevel="0" collapsed="false">
      <c r="A1546" s="10"/>
      <c r="B1546" s="8"/>
      <c r="C1546" s="13" t="str">
        <f aca="false">IF($B1546="","",IFERROR(INDEX(직원목록!$B$3:$B$302,MATCH($B1546,직원목록!$A$3:$A$302,0)),"미등록사번"))</f>
        <v/>
      </c>
      <c r="D1546" s="13" t="str">
        <f aca="false">IF($B1546="","",IFERROR(INDEX(직원목록!$C$3:$C$302,MATCH($B1546,직원목록!$A$3:$A$302,0)),""))</f>
        <v/>
      </c>
      <c r="E1546" s="14"/>
      <c r="F1546" s="14"/>
      <c r="G1546" s="15"/>
      <c r="H1546" s="16" t="str">
        <f aca="false">IF(OR($K1546="",$L1546=""),"",ROUND(MAX(0,($L1546-$K1546)-IF($G1546="",0,$G1546))/60,2))</f>
        <v/>
      </c>
      <c r="I1546" s="8"/>
      <c r="J1546" s="8"/>
      <c r="K1546" s="17" t="str">
        <f aca="false">IF($E1546="","",IF($E1546&lt;1,ROUND($E1546*1440,0),INT($E1546/100)*60+MOD($E1546,100)))</f>
        <v/>
      </c>
      <c r="L1546" s="17" t="str">
        <f aca="false">IF($F1546="","",IF($F1546&lt;1,ROUND($F1546*1440,0),INT($F1546/100)*60+MOD($F1546,100)))</f>
        <v/>
      </c>
    </row>
    <row r="1547" customFormat="false" ht="15" hidden="false" customHeight="true" outlineLevel="0" collapsed="false">
      <c r="A1547" s="10"/>
      <c r="B1547" s="8"/>
      <c r="C1547" s="13" t="str">
        <f aca="false">IF($B1547="","",IFERROR(INDEX(직원목록!$B$3:$B$302,MATCH($B1547,직원목록!$A$3:$A$302,0)),"미등록사번"))</f>
        <v/>
      </c>
      <c r="D1547" s="13" t="str">
        <f aca="false">IF($B1547="","",IFERROR(INDEX(직원목록!$C$3:$C$302,MATCH($B1547,직원목록!$A$3:$A$302,0)),""))</f>
        <v/>
      </c>
      <c r="E1547" s="14"/>
      <c r="F1547" s="14"/>
      <c r="G1547" s="15"/>
      <c r="H1547" s="16" t="str">
        <f aca="false">IF(OR($K1547="",$L1547=""),"",ROUND(MAX(0,($L1547-$K1547)-IF($G1547="",0,$G1547))/60,2))</f>
        <v/>
      </c>
      <c r="I1547" s="8"/>
      <c r="J1547" s="8"/>
      <c r="K1547" s="17" t="str">
        <f aca="false">IF($E1547="","",IF($E1547&lt;1,ROUND($E1547*1440,0),INT($E1547/100)*60+MOD($E1547,100)))</f>
        <v/>
      </c>
      <c r="L1547" s="17" t="str">
        <f aca="false">IF($F1547="","",IF($F1547&lt;1,ROUND($F1547*1440,0),INT($F1547/100)*60+MOD($F1547,100)))</f>
        <v/>
      </c>
    </row>
    <row r="1548" customFormat="false" ht="15" hidden="false" customHeight="true" outlineLevel="0" collapsed="false">
      <c r="A1548" s="10"/>
      <c r="B1548" s="8"/>
      <c r="C1548" s="13" t="str">
        <f aca="false">IF($B1548="","",IFERROR(INDEX(직원목록!$B$3:$B$302,MATCH($B1548,직원목록!$A$3:$A$302,0)),"미등록사번"))</f>
        <v/>
      </c>
      <c r="D1548" s="13" t="str">
        <f aca="false">IF($B1548="","",IFERROR(INDEX(직원목록!$C$3:$C$302,MATCH($B1548,직원목록!$A$3:$A$302,0)),""))</f>
        <v/>
      </c>
      <c r="E1548" s="14"/>
      <c r="F1548" s="14"/>
      <c r="G1548" s="15"/>
      <c r="H1548" s="16" t="str">
        <f aca="false">IF(OR($K1548="",$L1548=""),"",ROUND(MAX(0,($L1548-$K1548)-IF($G1548="",0,$G1548))/60,2))</f>
        <v/>
      </c>
      <c r="I1548" s="8"/>
      <c r="J1548" s="8"/>
      <c r="K1548" s="17" t="str">
        <f aca="false">IF($E1548="","",IF($E1548&lt;1,ROUND($E1548*1440,0),INT($E1548/100)*60+MOD($E1548,100)))</f>
        <v/>
      </c>
      <c r="L1548" s="17" t="str">
        <f aca="false">IF($F1548="","",IF($F1548&lt;1,ROUND($F1548*1440,0),INT($F1548/100)*60+MOD($F1548,100)))</f>
        <v/>
      </c>
    </row>
    <row r="1549" customFormat="false" ht="15" hidden="false" customHeight="true" outlineLevel="0" collapsed="false">
      <c r="A1549" s="10"/>
      <c r="B1549" s="8"/>
      <c r="C1549" s="13" t="str">
        <f aca="false">IF($B1549="","",IFERROR(INDEX(직원목록!$B$3:$B$302,MATCH($B1549,직원목록!$A$3:$A$302,0)),"미등록사번"))</f>
        <v/>
      </c>
      <c r="D1549" s="13" t="str">
        <f aca="false">IF($B1549="","",IFERROR(INDEX(직원목록!$C$3:$C$302,MATCH($B1549,직원목록!$A$3:$A$302,0)),""))</f>
        <v/>
      </c>
      <c r="E1549" s="14"/>
      <c r="F1549" s="14"/>
      <c r="G1549" s="15"/>
      <c r="H1549" s="16" t="str">
        <f aca="false">IF(OR($K1549="",$L1549=""),"",ROUND(MAX(0,($L1549-$K1549)-IF($G1549="",0,$G1549))/60,2))</f>
        <v/>
      </c>
      <c r="I1549" s="8"/>
      <c r="J1549" s="8"/>
      <c r="K1549" s="17" t="str">
        <f aca="false">IF($E1549="","",IF($E1549&lt;1,ROUND($E1549*1440,0),INT($E1549/100)*60+MOD($E1549,100)))</f>
        <v/>
      </c>
      <c r="L1549" s="17" t="str">
        <f aca="false">IF($F1549="","",IF($F1549&lt;1,ROUND($F1549*1440,0),INT($F1549/100)*60+MOD($F1549,100)))</f>
        <v/>
      </c>
    </row>
    <row r="1550" customFormat="false" ht="15" hidden="false" customHeight="true" outlineLevel="0" collapsed="false">
      <c r="A1550" s="10"/>
      <c r="B1550" s="8"/>
      <c r="C1550" s="13" t="str">
        <f aca="false">IF($B1550="","",IFERROR(INDEX(직원목록!$B$3:$B$302,MATCH($B1550,직원목록!$A$3:$A$302,0)),"미등록사번"))</f>
        <v/>
      </c>
      <c r="D1550" s="13" t="str">
        <f aca="false">IF($B1550="","",IFERROR(INDEX(직원목록!$C$3:$C$302,MATCH($B1550,직원목록!$A$3:$A$302,0)),""))</f>
        <v/>
      </c>
      <c r="E1550" s="14"/>
      <c r="F1550" s="14"/>
      <c r="G1550" s="15"/>
      <c r="H1550" s="16" t="str">
        <f aca="false">IF(OR($K1550="",$L1550=""),"",ROUND(MAX(0,($L1550-$K1550)-IF($G1550="",0,$G1550))/60,2))</f>
        <v/>
      </c>
      <c r="I1550" s="8"/>
      <c r="J1550" s="8"/>
      <c r="K1550" s="17" t="str">
        <f aca="false">IF($E1550="","",IF($E1550&lt;1,ROUND($E1550*1440,0),INT($E1550/100)*60+MOD($E1550,100)))</f>
        <v/>
      </c>
      <c r="L1550" s="17" t="str">
        <f aca="false">IF($F1550="","",IF($F1550&lt;1,ROUND($F1550*1440,0),INT($F1550/100)*60+MOD($F1550,100)))</f>
        <v/>
      </c>
    </row>
    <row r="1551" customFormat="false" ht="15" hidden="false" customHeight="true" outlineLevel="0" collapsed="false">
      <c r="A1551" s="10"/>
      <c r="B1551" s="8"/>
      <c r="C1551" s="13" t="str">
        <f aca="false">IF($B1551="","",IFERROR(INDEX(직원목록!$B$3:$B$302,MATCH($B1551,직원목록!$A$3:$A$302,0)),"미등록사번"))</f>
        <v/>
      </c>
      <c r="D1551" s="13" t="str">
        <f aca="false">IF($B1551="","",IFERROR(INDEX(직원목록!$C$3:$C$302,MATCH($B1551,직원목록!$A$3:$A$302,0)),""))</f>
        <v/>
      </c>
      <c r="E1551" s="14"/>
      <c r="F1551" s="14"/>
      <c r="G1551" s="15"/>
      <c r="H1551" s="16" t="str">
        <f aca="false">IF(OR($K1551="",$L1551=""),"",ROUND(MAX(0,($L1551-$K1551)-IF($G1551="",0,$G1551))/60,2))</f>
        <v/>
      </c>
      <c r="I1551" s="8"/>
      <c r="J1551" s="8"/>
      <c r="K1551" s="17" t="str">
        <f aca="false">IF($E1551="","",IF($E1551&lt;1,ROUND($E1551*1440,0),INT($E1551/100)*60+MOD($E1551,100)))</f>
        <v/>
      </c>
      <c r="L1551" s="17" t="str">
        <f aca="false">IF($F1551="","",IF($F1551&lt;1,ROUND($F1551*1440,0),INT($F1551/100)*60+MOD($F1551,100)))</f>
        <v/>
      </c>
    </row>
    <row r="1552" customFormat="false" ht="15" hidden="false" customHeight="true" outlineLevel="0" collapsed="false">
      <c r="A1552" s="10"/>
      <c r="B1552" s="8"/>
      <c r="C1552" s="13" t="str">
        <f aca="false">IF($B1552="","",IFERROR(INDEX(직원목록!$B$3:$B$302,MATCH($B1552,직원목록!$A$3:$A$302,0)),"미등록사번"))</f>
        <v/>
      </c>
      <c r="D1552" s="13" t="str">
        <f aca="false">IF($B1552="","",IFERROR(INDEX(직원목록!$C$3:$C$302,MATCH($B1552,직원목록!$A$3:$A$302,0)),""))</f>
        <v/>
      </c>
      <c r="E1552" s="14"/>
      <c r="F1552" s="14"/>
      <c r="G1552" s="15"/>
      <c r="H1552" s="16" t="str">
        <f aca="false">IF(OR($K1552="",$L1552=""),"",ROUND(MAX(0,($L1552-$K1552)-IF($G1552="",0,$G1552))/60,2))</f>
        <v/>
      </c>
      <c r="I1552" s="8"/>
      <c r="J1552" s="8"/>
      <c r="K1552" s="17" t="str">
        <f aca="false">IF($E1552="","",IF($E1552&lt;1,ROUND($E1552*1440,0),INT($E1552/100)*60+MOD($E1552,100)))</f>
        <v/>
      </c>
      <c r="L1552" s="17" t="str">
        <f aca="false">IF($F1552="","",IF($F1552&lt;1,ROUND($F1552*1440,0),INT($F1552/100)*60+MOD($F1552,100)))</f>
        <v/>
      </c>
    </row>
    <row r="1553" customFormat="false" ht="15" hidden="false" customHeight="true" outlineLevel="0" collapsed="false">
      <c r="A1553" s="10"/>
      <c r="B1553" s="8"/>
      <c r="C1553" s="13" t="str">
        <f aca="false">IF($B1553="","",IFERROR(INDEX(직원목록!$B$3:$B$302,MATCH($B1553,직원목록!$A$3:$A$302,0)),"미등록사번"))</f>
        <v/>
      </c>
      <c r="D1553" s="13" t="str">
        <f aca="false">IF($B1553="","",IFERROR(INDEX(직원목록!$C$3:$C$302,MATCH($B1553,직원목록!$A$3:$A$302,0)),""))</f>
        <v/>
      </c>
      <c r="E1553" s="14"/>
      <c r="F1553" s="14"/>
      <c r="G1553" s="15"/>
      <c r="H1553" s="16" t="str">
        <f aca="false">IF(OR($K1553="",$L1553=""),"",ROUND(MAX(0,($L1553-$K1553)-IF($G1553="",0,$G1553))/60,2))</f>
        <v/>
      </c>
      <c r="I1553" s="8"/>
      <c r="J1553" s="8"/>
      <c r="K1553" s="17" t="str">
        <f aca="false">IF($E1553="","",IF($E1553&lt;1,ROUND($E1553*1440,0),INT($E1553/100)*60+MOD($E1553,100)))</f>
        <v/>
      </c>
      <c r="L1553" s="17" t="str">
        <f aca="false">IF($F1553="","",IF($F1553&lt;1,ROUND($F1553*1440,0),INT($F1553/100)*60+MOD($F1553,100)))</f>
        <v/>
      </c>
    </row>
    <row r="1554" customFormat="false" ht="15" hidden="false" customHeight="true" outlineLevel="0" collapsed="false">
      <c r="A1554" s="10"/>
      <c r="B1554" s="8"/>
      <c r="C1554" s="13" t="str">
        <f aca="false">IF($B1554="","",IFERROR(INDEX(직원목록!$B$3:$B$302,MATCH($B1554,직원목록!$A$3:$A$302,0)),"미등록사번"))</f>
        <v/>
      </c>
      <c r="D1554" s="13" t="str">
        <f aca="false">IF($B1554="","",IFERROR(INDEX(직원목록!$C$3:$C$302,MATCH($B1554,직원목록!$A$3:$A$302,0)),""))</f>
        <v/>
      </c>
      <c r="E1554" s="14"/>
      <c r="F1554" s="14"/>
      <c r="G1554" s="15"/>
      <c r="H1554" s="16" t="str">
        <f aca="false">IF(OR($K1554="",$L1554=""),"",ROUND(MAX(0,($L1554-$K1554)-IF($G1554="",0,$G1554))/60,2))</f>
        <v/>
      </c>
      <c r="I1554" s="8"/>
      <c r="J1554" s="8"/>
      <c r="K1554" s="17" t="str">
        <f aca="false">IF($E1554="","",IF($E1554&lt;1,ROUND($E1554*1440,0),INT($E1554/100)*60+MOD($E1554,100)))</f>
        <v/>
      </c>
      <c r="L1554" s="17" t="str">
        <f aca="false">IF($F1554="","",IF($F1554&lt;1,ROUND($F1554*1440,0),INT($F1554/100)*60+MOD($F1554,100)))</f>
        <v/>
      </c>
    </row>
    <row r="1555" customFormat="false" ht="15" hidden="false" customHeight="true" outlineLevel="0" collapsed="false">
      <c r="A1555" s="10"/>
      <c r="B1555" s="8"/>
      <c r="C1555" s="13" t="str">
        <f aca="false">IF($B1555="","",IFERROR(INDEX(직원목록!$B$3:$B$302,MATCH($B1555,직원목록!$A$3:$A$302,0)),"미등록사번"))</f>
        <v/>
      </c>
      <c r="D1555" s="13" t="str">
        <f aca="false">IF($B1555="","",IFERROR(INDEX(직원목록!$C$3:$C$302,MATCH($B1555,직원목록!$A$3:$A$302,0)),""))</f>
        <v/>
      </c>
      <c r="E1555" s="14"/>
      <c r="F1555" s="14"/>
      <c r="G1555" s="15"/>
      <c r="H1555" s="16" t="str">
        <f aca="false">IF(OR($K1555="",$L1555=""),"",ROUND(MAX(0,($L1555-$K1555)-IF($G1555="",0,$G1555))/60,2))</f>
        <v/>
      </c>
      <c r="I1555" s="8"/>
      <c r="J1555" s="8"/>
      <c r="K1555" s="17" t="str">
        <f aca="false">IF($E1555="","",IF($E1555&lt;1,ROUND($E1555*1440,0),INT($E1555/100)*60+MOD($E1555,100)))</f>
        <v/>
      </c>
      <c r="L1555" s="17" t="str">
        <f aca="false">IF($F1555="","",IF($F1555&lt;1,ROUND($F1555*1440,0),INT($F1555/100)*60+MOD($F1555,100)))</f>
        <v/>
      </c>
    </row>
    <row r="1556" customFormat="false" ht="15" hidden="false" customHeight="true" outlineLevel="0" collapsed="false">
      <c r="A1556" s="10"/>
      <c r="B1556" s="8"/>
      <c r="C1556" s="13" t="str">
        <f aca="false">IF($B1556="","",IFERROR(INDEX(직원목록!$B$3:$B$302,MATCH($B1556,직원목록!$A$3:$A$302,0)),"미등록사번"))</f>
        <v/>
      </c>
      <c r="D1556" s="13" t="str">
        <f aca="false">IF($B1556="","",IFERROR(INDEX(직원목록!$C$3:$C$302,MATCH($B1556,직원목록!$A$3:$A$302,0)),""))</f>
        <v/>
      </c>
      <c r="E1556" s="14"/>
      <c r="F1556" s="14"/>
      <c r="G1556" s="15"/>
      <c r="H1556" s="16" t="str">
        <f aca="false">IF(OR($K1556="",$L1556=""),"",ROUND(MAX(0,($L1556-$K1556)-IF($G1556="",0,$G1556))/60,2))</f>
        <v/>
      </c>
      <c r="I1556" s="8"/>
      <c r="J1556" s="8"/>
      <c r="K1556" s="17" t="str">
        <f aca="false">IF($E1556="","",IF($E1556&lt;1,ROUND($E1556*1440,0),INT($E1556/100)*60+MOD($E1556,100)))</f>
        <v/>
      </c>
      <c r="L1556" s="17" t="str">
        <f aca="false">IF($F1556="","",IF($F1556&lt;1,ROUND($F1556*1440,0),INT($F1556/100)*60+MOD($F1556,100)))</f>
        <v/>
      </c>
    </row>
    <row r="1557" customFormat="false" ht="15" hidden="false" customHeight="true" outlineLevel="0" collapsed="false">
      <c r="A1557" s="10"/>
      <c r="B1557" s="8"/>
      <c r="C1557" s="13" t="str">
        <f aca="false">IF($B1557="","",IFERROR(INDEX(직원목록!$B$3:$B$302,MATCH($B1557,직원목록!$A$3:$A$302,0)),"미등록사번"))</f>
        <v/>
      </c>
      <c r="D1557" s="13" t="str">
        <f aca="false">IF($B1557="","",IFERROR(INDEX(직원목록!$C$3:$C$302,MATCH($B1557,직원목록!$A$3:$A$302,0)),""))</f>
        <v/>
      </c>
      <c r="E1557" s="14"/>
      <c r="F1557" s="14"/>
      <c r="G1557" s="15"/>
      <c r="H1557" s="16" t="str">
        <f aca="false">IF(OR($K1557="",$L1557=""),"",ROUND(MAX(0,($L1557-$K1557)-IF($G1557="",0,$G1557))/60,2))</f>
        <v/>
      </c>
      <c r="I1557" s="8"/>
      <c r="J1557" s="8"/>
      <c r="K1557" s="17" t="str">
        <f aca="false">IF($E1557="","",IF($E1557&lt;1,ROUND($E1557*1440,0),INT($E1557/100)*60+MOD($E1557,100)))</f>
        <v/>
      </c>
      <c r="L1557" s="17" t="str">
        <f aca="false">IF($F1557="","",IF($F1557&lt;1,ROUND($F1557*1440,0),INT($F1557/100)*60+MOD($F1557,100)))</f>
        <v/>
      </c>
    </row>
    <row r="1558" customFormat="false" ht="15" hidden="false" customHeight="true" outlineLevel="0" collapsed="false">
      <c r="A1558" s="10"/>
      <c r="B1558" s="8"/>
      <c r="C1558" s="13" t="str">
        <f aca="false">IF($B1558="","",IFERROR(INDEX(직원목록!$B$3:$B$302,MATCH($B1558,직원목록!$A$3:$A$302,0)),"미등록사번"))</f>
        <v/>
      </c>
      <c r="D1558" s="13" t="str">
        <f aca="false">IF($B1558="","",IFERROR(INDEX(직원목록!$C$3:$C$302,MATCH($B1558,직원목록!$A$3:$A$302,0)),""))</f>
        <v/>
      </c>
      <c r="E1558" s="14"/>
      <c r="F1558" s="14"/>
      <c r="G1558" s="15"/>
      <c r="H1558" s="16" t="str">
        <f aca="false">IF(OR($K1558="",$L1558=""),"",ROUND(MAX(0,($L1558-$K1558)-IF($G1558="",0,$G1558))/60,2))</f>
        <v/>
      </c>
      <c r="I1558" s="8"/>
      <c r="J1558" s="8"/>
      <c r="K1558" s="17" t="str">
        <f aca="false">IF($E1558="","",IF($E1558&lt;1,ROUND($E1558*1440,0),INT($E1558/100)*60+MOD($E1558,100)))</f>
        <v/>
      </c>
      <c r="L1558" s="17" t="str">
        <f aca="false">IF($F1558="","",IF($F1558&lt;1,ROUND($F1558*1440,0),INT($F1558/100)*60+MOD($F1558,100)))</f>
        <v/>
      </c>
    </row>
    <row r="1559" customFormat="false" ht="15" hidden="false" customHeight="true" outlineLevel="0" collapsed="false">
      <c r="A1559" s="10"/>
      <c r="B1559" s="8"/>
      <c r="C1559" s="13" t="str">
        <f aca="false">IF($B1559="","",IFERROR(INDEX(직원목록!$B$3:$B$302,MATCH($B1559,직원목록!$A$3:$A$302,0)),"미등록사번"))</f>
        <v/>
      </c>
      <c r="D1559" s="13" t="str">
        <f aca="false">IF($B1559="","",IFERROR(INDEX(직원목록!$C$3:$C$302,MATCH($B1559,직원목록!$A$3:$A$302,0)),""))</f>
        <v/>
      </c>
      <c r="E1559" s="14"/>
      <c r="F1559" s="14"/>
      <c r="G1559" s="15"/>
      <c r="H1559" s="16" t="str">
        <f aca="false">IF(OR($K1559="",$L1559=""),"",ROUND(MAX(0,($L1559-$K1559)-IF($G1559="",0,$G1559))/60,2))</f>
        <v/>
      </c>
      <c r="I1559" s="8"/>
      <c r="J1559" s="8"/>
      <c r="K1559" s="17" t="str">
        <f aca="false">IF($E1559="","",IF($E1559&lt;1,ROUND($E1559*1440,0),INT($E1559/100)*60+MOD($E1559,100)))</f>
        <v/>
      </c>
      <c r="L1559" s="17" t="str">
        <f aca="false">IF($F1559="","",IF($F1559&lt;1,ROUND($F1559*1440,0),INT($F1559/100)*60+MOD($F1559,100)))</f>
        <v/>
      </c>
    </row>
    <row r="1560" customFormat="false" ht="15" hidden="false" customHeight="true" outlineLevel="0" collapsed="false">
      <c r="A1560" s="10"/>
      <c r="B1560" s="8"/>
      <c r="C1560" s="13" t="str">
        <f aca="false">IF($B1560="","",IFERROR(INDEX(직원목록!$B$3:$B$302,MATCH($B1560,직원목록!$A$3:$A$302,0)),"미등록사번"))</f>
        <v/>
      </c>
      <c r="D1560" s="13" t="str">
        <f aca="false">IF($B1560="","",IFERROR(INDEX(직원목록!$C$3:$C$302,MATCH($B1560,직원목록!$A$3:$A$302,0)),""))</f>
        <v/>
      </c>
      <c r="E1560" s="14"/>
      <c r="F1560" s="14"/>
      <c r="G1560" s="15"/>
      <c r="H1560" s="16" t="str">
        <f aca="false">IF(OR($K1560="",$L1560=""),"",ROUND(MAX(0,($L1560-$K1560)-IF($G1560="",0,$G1560))/60,2))</f>
        <v/>
      </c>
      <c r="I1560" s="8"/>
      <c r="J1560" s="8"/>
      <c r="K1560" s="17" t="str">
        <f aca="false">IF($E1560="","",IF($E1560&lt;1,ROUND($E1560*1440,0),INT($E1560/100)*60+MOD($E1560,100)))</f>
        <v/>
      </c>
      <c r="L1560" s="17" t="str">
        <f aca="false">IF($F1560="","",IF($F1560&lt;1,ROUND($F1560*1440,0),INT($F1560/100)*60+MOD($F1560,100)))</f>
        <v/>
      </c>
    </row>
    <row r="1561" customFormat="false" ht="15" hidden="false" customHeight="true" outlineLevel="0" collapsed="false">
      <c r="A1561" s="10"/>
      <c r="B1561" s="8"/>
      <c r="C1561" s="13" t="str">
        <f aca="false">IF($B1561="","",IFERROR(INDEX(직원목록!$B$3:$B$302,MATCH($B1561,직원목록!$A$3:$A$302,0)),"미등록사번"))</f>
        <v/>
      </c>
      <c r="D1561" s="13" t="str">
        <f aca="false">IF($B1561="","",IFERROR(INDEX(직원목록!$C$3:$C$302,MATCH($B1561,직원목록!$A$3:$A$302,0)),""))</f>
        <v/>
      </c>
      <c r="E1561" s="14"/>
      <c r="F1561" s="14"/>
      <c r="G1561" s="15"/>
      <c r="H1561" s="16" t="str">
        <f aca="false">IF(OR($K1561="",$L1561=""),"",ROUND(MAX(0,($L1561-$K1561)-IF($G1561="",0,$G1561))/60,2))</f>
        <v/>
      </c>
      <c r="I1561" s="8"/>
      <c r="J1561" s="8"/>
      <c r="K1561" s="17" t="str">
        <f aca="false">IF($E1561="","",IF($E1561&lt;1,ROUND($E1561*1440,0),INT($E1561/100)*60+MOD($E1561,100)))</f>
        <v/>
      </c>
      <c r="L1561" s="17" t="str">
        <f aca="false">IF($F1561="","",IF($F1561&lt;1,ROUND($F1561*1440,0),INT($F1561/100)*60+MOD($F1561,100)))</f>
        <v/>
      </c>
    </row>
    <row r="1562" customFormat="false" ht="15" hidden="false" customHeight="true" outlineLevel="0" collapsed="false">
      <c r="A1562" s="10"/>
      <c r="B1562" s="8"/>
      <c r="C1562" s="13" t="str">
        <f aca="false">IF($B1562="","",IFERROR(INDEX(직원목록!$B$3:$B$302,MATCH($B1562,직원목록!$A$3:$A$302,0)),"미등록사번"))</f>
        <v/>
      </c>
      <c r="D1562" s="13" t="str">
        <f aca="false">IF($B1562="","",IFERROR(INDEX(직원목록!$C$3:$C$302,MATCH($B1562,직원목록!$A$3:$A$302,0)),""))</f>
        <v/>
      </c>
      <c r="E1562" s="14"/>
      <c r="F1562" s="14"/>
      <c r="G1562" s="15"/>
      <c r="H1562" s="16" t="str">
        <f aca="false">IF(OR($K1562="",$L1562=""),"",ROUND(MAX(0,($L1562-$K1562)-IF($G1562="",0,$G1562))/60,2))</f>
        <v/>
      </c>
      <c r="I1562" s="8"/>
      <c r="J1562" s="8"/>
      <c r="K1562" s="17" t="str">
        <f aca="false">IF($E1562="","",IF($E1562&lt;1,ROUND($E1562*1440,0),INT($E1562/100)*60+MOD($E1562,100)))</f>
        <v/>
      </c>
      <c r="L1562" s="17" t="str">
        <f aca="false">IF($F1562="","",IF($F1562&lt;1,ROUND($F1562*1440,0),INT($F1562/100)*60+MOD($F1562,100)))</f>
        <v/>
      </c>
    </row>
    <row r="1563" customFormat="false" ht="15" hidden="false" customHeight="true" outlineLevel="0" collapsed="false">
      <c r="A1563" s="10"/>
      <c r="B1563" s="8"/>
      <c r="C1563" s="13" t="str">
        <f aca="false">IF($B1563="","",IFERROR(INDEX(직원목록!$B$3:$B$302,MATCH($B1563,직원목록!$A$3:$A$302,0)),"미등록사번"))</f>
        <v/>
      </c>
      <c r="D1563" s="13" t="str">
        <f aca="false">IF($B1563="","",IFERROR(INDEX(직원목록!$C$3:$C$302,MATCH($B1563,직원목록!$A$3:$A$302,0)),""))</f>
        <v/>
      </c>
      <c r="E1563" s="14"/>
      <c r="F1563" s="14"/>
      <c r="G1563" s="15"/>
      <c r="H1563" s="16" t="str">
        <f aca="false">IF(OR($K1563="",$L1563=""),"",ROUND(MAX(0,($L1563-$K1563)-IF($G1563="",0,$G1563))/60,2))</f>
        <v/>
      </c>
      <c r="I1563" s="8"/>
      <c r="J1563" s="8"/>
      <c r="K1563" s="17" t="str">
        <f aca="false">IF($E1563="","",IF($E1563&lt;1,ROUND($E1563*1440,0),INT($E1563/100)*60+MOD($E1563,100)))</f>
        <v/>
      </c>
      <c r="L1563" s="17" t="str">
        <f aca="false">IF($F1563="","",IF($F1563&lt;1,ROUND($F1563*1440,0),INT($F1563/100)*60+MOD($F1563,100)))</f>
        <v/>
      </c>
    </row>
    <row r="1564" customFormat="false" ht="15" hidden="false" customHeight="true" outlineLevel="0" collapsed="false">
      <c r="A1564" s="10"/>
      <c r="B1564" s="8"/>
      <c r="C1564" s="13" t="str">
        <f aca="false">IF($B1564="","",IFERROR(INDEX(직원목록!$B$3:$B$302,MATCH($B1564,직원목록!$A$3:$A$302,0)),"미등록사번"))</f>
        <v/>
      </c>
      <c r="D1564" s="13" t="str">
        <f aca="false">IF($B1564="","",IFERROR(INDEX(직원목록!$C$3:$C$302,MATCH($B1564,직원목록!$A$3:$A$302,0)),""))</f>
        <v/>
      </c>
      <c r="E1564" s="14"/>
      <c r="F1564" s="14"/>
      <c r="G1564" s="15"/>
      <c r="H1564" s="16" t="str">
        <f aca="false">IF(OR($K1564="",$L1564=""),"",ROUND(MAX(0,($L1564-$K1564)-IF($G1564="",0,$G1564))/60,2))</f>
        <v/>
      </c>
      <c r="I1564" s="8"/>
      <c r="J1564" s="8"/>
      <c r="K1564" s="17" t="str">
        <f aca="false">IF($E1564="","",IF($E1564&lt;1,ROUND($E1564*1440,0),INT($E1564/100)*60+MOD($E1564,100)))</f>
        <v/>
      </c>
      <c r="L1564" s="17" t="str">
        <f aca="false">IF($F1564="","",IF($F1564&lt;1,ROUND($F1564*1440,0),INT($F1564/100)*60+MOD($F1564,100)))</f>
        <v/>
      </c>
    </row>
    <row r="1565" customFormat="false" ht="15" hidden="false" customHeight="true" outlineLevel="0" collapsed="false">
      <c r="A1565" s="10"/>
      <c r="B1565" s="8"/>
      <c r="C1565" s="13" t="str">
        <f aca="false">IF($B1565="","",IFERROR(INDEX(직원목록!$B$3:$B$302,MATCH($B1565,직원목록!$A$3:$A$302,0)),"미등록사번"))</f>
        <v/>
      </c>
      <c r="D1565" s="13" t="str">
        <f aca="false">IF($B1565="","",IFERROR(INDEX(직원목록!$C$3:$C$302,MATCH($B1565,직원목록!$A$3:$A$302,0)),""))</f>
        <v/>
      </c>
      <c r="E1565" s="14"/>
      <c r="F1565" s="14"/>
      <c r="G1565" s="15"/>
      <c r="H1565" s="16" t="str">
        <f aca="false">IF(OR($K1565="",$L1565=""),"",ROUND(MAX(0,($L1565-$K1565)-IF($G1565="",0,$G1565))/60,2))</f>
        <v/>
      </c>
      <c r="I1565" s="8"/>
      <c r="J1565" s="8"/>
      <c r="K1565" s="17" t="str">
        <f aca="false">IF($E1565="","",IF($E1565&lt;1,ROUND($E1565*1440,0),INT($E1565/100)*60+MOD($E1565,100)))</f>
        <v/>
      </c>
      <c r="L1565" s="17" t="str">
        <f aca="false">IF($F1565="","",IF($F1565&lt;1,ROUND($F1565*1440,0),INT($F1565/100)*60+MOD($F1565,100)))</f>
        <v/>
      </c>
    </row>
    <row r="1566" customFormat="false" ht="15" hidden="false" customHeight="true" outlineLevel="0" collapsed="false">
      <c r="A1566" s="10"/>
      <c r="B1566" s="8"/>
      <c r="C1566" s="13" t="str">
        <f aca="false">IF($B1566="","",IFERROR(INDEX(직원목록!$B$3:$B$302,MATCH($B1566,직원목록!$A$3:$A$302,0)),"미등록사번"))</f>
        <v/>
      </c>
      <c r="D1566" s="13" t="str">
        <f aca="false">IF($B1566="","",IFERROR(INDEX(직원목록!$C$3:$C$302,MATCH($B1566,직원목록!$A$3:$A$302,0)),""))</f>
        <v/>
      </c>
      <c r="E1566" s="14"/>
      <c r="F1566" s="14"/>
      <c r="G1566" s="15"/>
      <c r="H1566" s="16" t="str">
        <f aca="false">IF(OR($K1566="",$L1566=""),"",ROUND(MAX(0,($L1566-$K1566)-IF($G1566="",0,$G1566))/60,2))</f>
        <v/>
      </c>
      <c r="I1566" s="8"/>
      <c r="J1566" s="8"/>
      <c r="K1566" s="17" t="str">
        <f aca="false">IF($E1566="","",IF($E1566&lt;1,ROUND($E1566*1440,0),INT($E1566/100)*60+MOD($E1566,100)))</f>
        <v/>
      </c>
      <c r="L1566" s="17" t="str">
        <f aca="false">IF($F1566="","",IF($F1566&lt;1,ROUND($F1566*1440,0),INT($F1566/100)*60+MOD($F1566,100)))</f>
        <v/>
      </c>
    </row>
    <row r="1567" customFormat="false" ht="15" hidden="false" customHeight="true" outlineLevel="0" collapsed="false">
      <c r="A1567" s="10"/>
      <c r="B1567" s="8"/>
      <c r="C1567" s="13" t="str">
        <f aca="false">IF($B1567="","",IFERROR(INDEX(직원목록!$B$3:$B$302,MATCH($B1567,직원목록!$A$3:$A$302,0)),"미등록사번"))</f>
        <v/>
      </c>
      <c r="D1567" s="13" t="str">
        <f aca="false">IF($B1567="","",IFERROR(INDEX(직원목록!$C$3:$C$302,MATCH($B1567,직원목록!$A$3:$A$302,0)),""))</f>
        <v/>
      </c>
      <c r="E1567" s="14"/>
      <c r="F1567" s="14"/>
      <c r="G1567" s="15"/>
      <c r="H1567" s="16" t="str">
        <f aca="false">IF(OR($K1567="",$L1567=""),"",ROUND(MAX(0,($L1567-$K1567)-IF($G1567="",0,$G1567))/60,2))</f>
        <v/>
      </c>
      <c r="I1567" s="8"/>
      <c r="J1567" s="8"/>
      <c r="K1567" s="17" t="str">
        <f aca="false">IF($E1567="","",IF($E1567&lt;1,ROUND($E1567*1440,0),INT($E1567/100)*60+MOD($E1567,100)))</f>
        <v/>
      </c>
      <c r="L1567" s="17" t="str">
        <f aca="false">IF($F1567="","",IF($F1567&lt;1,ROUND($F1567*1440,0),INT($F1567/100)*60+MOD($F1567,100)))</f>
        <v/>
      </c>
    </row>
    <row r="1568" customFormat="false" ht="15" hidden="false" customHeight="true" outlineLevel="0" collapsed="false">
      <c r="A1568" s="10"/>
      <c r="B1568" s="8"/>
      <c r="C1568" s="13" t="str">
        <f aca="false">IF($B1568="","",IFERROR(INDEX(직원목록!$B$3:$B$302,MATCH($B1568,직원목록!$A$3:$A$302,0)),"미등록사번"))</f>
        <v/>
      </c>
      <c r="D1568" s="13" t="str">
        <f aca="false">IF($B1568="","",IFERROR(INDEX(직원목록!$C$3:$C$302,MATCH($B1568,직원목록!$A$3:$A$302,0)),""))</f>
        <v/>
      </c>
      <c r="E1568" s="14"/>
      <c r="F1568" s="14"/>
      <c r="G1568" s="15"/>
      <c r="H1568" s="16" t="str">
        <f aca="false">IF(OR($K1568="",$L1568=""),"",ROUND(MAX(0,($L1568-$K1568)-IF($G1568="",0,$G1568))/60,2))</f>
        <v/>
      </c>
      <c r="I1568" s="8"/>
      <c r="J1568" s="8"/>
      <c r="K1568" s="17" t="str">
        <f aca="false">IF($E1568="","",IF($E1568&lt;1,ROUND($E1568*1440,0),INT($E1568/100)*60+MOD($E1568,100)))</f>
        <v/>
      </c>
      <c r="L1568" s="17" t="str">
        <f aca="false">IF($F1568="","",IF($F1568&lt;1,ROUND($F1568*1440,0),INT($F1568/100)*60+MOD($F1568,100)))</f>
        <v/>
      </c>
    </row>
    <row r="1569" customFormat="false" ht="15" hidden="false" customHeight="true" outlineLevel="0" collapsed="false">
      <c r="A1569" s="10"/>
      <c r="B1569" s="8"/>
      <c r="C1569" s="13" t="str">
        <f aca="false">IF($B1569="","",IFERROR(INDEX(직원목록!$B$3:$B$302,MATCH($B1569,직원목록!$A$3:$A$302,0)),"미등록사번"))</f>
        <v/>
      </c>
      <c r="D1569" s="13" t="str">
        <f aca="false">IF($B1569="","",IFERROR(INDEX(직원목록!$C$3:$C$302,MATCH($B1569,직원목록!$A$3:$A$302,0)),""))</f>
        <v/>
      </c>
      <c r="E1569" s="14"/>
      <c r="F1569" s="14"/>
      <c r="G1569" s="15"/>
      <c r="H1569" s="16" t="str">
        <f aca="false">IF(OR($K1569="",$L1569=""),"",ROUND(MAX(0,($L1569-$K1569)-IF($G1569="",0,$G1569))/60,2))</f>
        <v/>
      </c>
      <c r="I1569" s="8"/>
      <c r="J1569" s="8"/>
      <c r="K1569" s="17" t="str">
        <f aca="false">IF($E1569="","",IF($E1569&lt;1,ROUND($E1569*1440,0),INT($E1569/100)*60+MOD($E1569,100)))</f>
        <v/>
      </c>
      <c r="L1569" s="17" t="str">
        <f aca="false">IF($F1569="","",IF($F1569&lt;1,ROUND($F1569*1440,0),INT($F1569/100)*60+MOD($F1569,100)))</f>
        <v/>
      </c>
    </row>
    <row r="1570" customFormat="false" ht="15" hidden="false" customHeight="true" outlineLevel="0" collapsed="false">
      <c r="A1570" s="10"/>
      <c r="B1570" s="8"/>
      <c r="C1570" s="13" t="str">
        <f aca="false">IF($B1570="","",IFERROR(INDEX(직원목록!$B$3:$B$302,MATCH($B1570,직원목록!$A$3:$A$302,0)),"미등록사번"))</f>
        <v/>
      </c>
      <c r="D1570" s="13" t="str">
        <f aca="false">IF($B1570="","",IFERROR(INDEX(직원목록!$C$3:$C$302,MATCH($B1570,직원목록!$A$3:$A$302,0)),""))</f>
        <v/>
      </c>
      <c r="E1570" s="14"/>
      <c r="F1570" s="14"/>
      <c r="G1570" s="15"/>
      <c r="H1570" s="16" t="str">
        <f aca="false">IF(OR($K1570="",$L1570=""),"",ROUND(MAX(0,($L1570-$K1570)-IF($G1570="",0,$G1570))/60,2))</f>
        <v/>
      </c>
      <c r="I1570" s="8"/>
      <c r="J1570" s="8"/>
      <c r="K1570" s="17" t="str">
        <f aca="false">IF($E1570="","",IF($E1570&lt;1,ROUND($E1570*1440,0),INT($E1570/100)*60+MOD($E1570,100)))</f>
        <v/>
      </c>
      <c r="L1570" s="17" t="str">
        <f aca="false">IF($F1570="","",IF($F1570&lt;1,ROUND($F1570*1440,0),INT($F1570/100)*60+MOD($F1570,100)))</f>
        <v/>
      </c>
    </row>
    <row r="1571" customFormat="false" ht="15" hidden="false" customHeight="true" outlineLevel="0" collapsed="false">
      <c r="A1571" s="10"/>
      <c r="B1571" s="8"/>
      <c r="C1571" s="13" t="str">
        <f aca="false">IF($B1571="","",IFERROR(INDEX(직원목록!$B$3:$B$302,MATCH($B1571,직원목록!$A$3:$A$302,0)),"미등록사번"))</f>
        <v/>
      </c>
      <c r="D1571" s="13" t="str">
        <f aca="false">IF($B1571="","",IFERROR(INDEX(직원목록!$C$3:$C$302,MATCH($B1571,직원목록!$A$3:$A$302,0)),""))</f>
        <v/>
      </c>
      <c r="E1571" s="14"/>
      <c r="F1571" s="14"/>
      <c r="G1571" s="15"/>
      <c r="H1571" s="16" t="str">
        <f aca="false">IF(OR($K1571="",$L1571=""),"",ROUND(MAX(0,($L1571-$K1571)-IF($G1571="",0,$G1571))/60,2))</f>
        <v/>
      </c>
      <c r="I1571" s="8"/>
      <c r="J1571" s="8"/>
      <c r="K1571" s="17" t="str">
        <f aca="false">IF($E1571="","",IF($E1571&lt;1,ROUND($E1571*1440,0),INT($E1571/100)*60+MOD($E1571,100)))</f>
        <v/>
      </c>
      <c r="L1571" s="17" t="str">
        <f aca="false">IF($F1571="","",IF($F1571&lt;1,ROUND($F1571*1440,0),INT($F1571/100)*60+MOD($F1571,100)))</f>
        <v/>
      </c>
    </row>
    <row r="1572" customFormat="false" ht="15" hidden="false" customHeight="true" outlineLevel="0" collapsed="false">
      <c r="A1572" s="10"/>
      <c r="B1572" s="8"/>
      <c r="C1572" s="13" t="str">
        <f aca="false">IF($B1572="","",IFERROR(INDEX(직원목록!$B$3:$B$302,MATCH($B1572,직원목록!$A$3:$A$302,0)),"미등록사번"))</f>
        <v/>
      </c>
      <c r="D1572" s="13" t="str">
        <f aca="false">IF($B1572="","",IFERROR(INDEX(직원목록!$C$3:$C$302,MATCH($B1572,직원목록!$A$3:$A$302,0)),""))</f>
        <v/>
      </c>
      <c r="E1572" s="14"/>
      <c r="F1572" s="14"/>
      <c r="G1572" s="15"/>
      <c r="H1572" s="16" t="str">
        <f aca="false">IF(OR($K1572="",$L1572=""),"",ROUND(MAX(0,($L1572-$K1572)-IF($G1572="",0,$G1572))/60,2))</f>
        <v/>
      </c>
      <c r="I1572" s="8"/>
      <c r="J1572" s="8"/>
      <c r="K1572" s="17" t="str">
        <f aca="false">IF($E1572="","",IF($E1572&lt;1,ROUND($E1572*1440,0),INT($E1572/100)*60+MOD($E1572,100)))</f>
        <v/>
      </c>
      <c r="L1572" s="17" t="str">
        <f aca="false">IF($F1572="","",IF($F1572&lt;1,ROUND($F1572*1440,0),INT($F1572/100)*60+MOD($F1572,100)))</f>
        <v/>
      </c>
    </row>
    <row r="1573" customFormat="false" ht="15" hidden="false" customHeight="true" outlineLevel="0" collapsed="false">
      <c r="A1573" s="10"/>
      <c r="B1573" s="8"/>
      <c r="C1573" s="13" t="str">
        <f aca="false">IF($B1573="","",IFERROR(INDEX(직원목록!$B$3:$B$302,MATCH($B1573,직원목록!$A$3:$A$302,0)),"미등록사번"))</f>
        <v/>
      </c>
      <c r="D1573" s="13" t="str">
        <f aca="false">IF($B1573="","",IFERROR(INDEX(직원목록!$C$3:$C$302,MATCH($B1573,직원목록!$A$3:$A$302,0)),""))</f>
        <v/>
      </c>
      <c r="E1573" s="14"/>
      <c r="F1573" s="14"/>
      <c r="G1573" s="15"/>
      <c r="H1573" s="16" t="str">
        <f aca="false">IF(OR($K1573="",$L1573=""),"",ROUND(MAX(0,($L1573-$K1573)-IF($G1573="",0,$G1573))/60,2))</f>
        <v/>
      </c>
      <c r="I1573" s="8"/>
      <c r="J1573" s="8"/>
      <c r="K1573" s="17" t="str">
        <f aca="false">IF($E1573="","",IF($E1573&lt;1,ROUND($E1573*1440,0),INT($E1573/100)*60+MOD($E1573,100)))</f>
        <v/>
      </c>
      <c r="L1573" s="17" t="str">
        <f aca="false">IF($F1573="","",IF($F1573&lt;1,ROUND($F1573*1440,0),INT($F1573/100)*60+MOD($F1573,100)))</f>
        <v/>
      </c>
    </row>
    <row r="1574" customFormat="false" ht="15" hidden="false" customHeight="true" outlineLevel="0" collapsed="false">
      <c r="A1574" s="10"/>
      <c r="B1574" s="8"/>
      <c r="C1574" s="13" t="str">
        <f aca="false">IF($B1574="","",IFERROR(INDEX(직원목록!$B$3:$B$302,MATCH($B1574,직원목록!$A$3:$A$302,0)),"미등록사번"))</f>
        <v/>
      </c>
      <c r="D1574" s="13" t="str">
        <f aca="false">IF($B1574="","",IFERROR(INDEX(직원목록!$C$3:$C$302,MATCH($B1574,직원목록!$A$3:$A$302,0)),""))</f>
        <v/>
      </c>
      <c r="E1574" s="14"/>
      <c r="F1574" s="14"/>
      <c r="G1574" s="15"/>
      <c r="H1574" s="16" t="str">
        <f aca="false">IF(OR($K1574="",$L1574=""),"",ROUND(MAX(0,($L1574-$K1574)-IF($G1574="",0,$G1574))/60,2))</f>
        <v/>
      </c>
      <c r="I1574" s="8"/>
      <c r="J1574" s="8"/>
      <c r="K1574" s="17" t="str">
        <f aca="false">IF($E1574="","",IF($E1574&lt;1,ROUND($E1574*1440,0),INT($E1574/100)*60+MOD($E1574,100)))</f>
        <v/>
      </c>
      <c r="L1574" s="17" t="str">
        <f aca="false">IF($F1574="","",IF($F1574&lt;1,ROUND($F1574*1440,0),INT($F1574/100)*60+MOD($F1574,100)))</f>
        <v/>
      </c>
    </row>
    <row r="1575" customFormat="false" ht="15" hidden="false" customHeight="true" outlineLevel="0" collapsed="false">
      <c r="A1575" s="10"/>
      <c r="B1575" s="8"/>
      <c r="C1575" s="13" t="str">
        <f aca="false">IF($B1575="","",IFERROR(INDEX(직원목록!$B$3:$B$302,MATCH($B1575,직원목록!$A$3:$A$302,0)),"미등록사번"))</f>
        <v/>
      </c>
      <c r="D1575" s="13" t="str">
        <f aca="false">IF($B1575="","",IFERROR(INDEX(직원목록!$C$3:$C$302,MATCH($B1575,직원목록!$A$3:$A$302,0)),""))</f>
        <v/>
      </c>
      <c r="E1575" s="14"/>
      <c r="F1575" s="14"/>
      <c r="G1575" s="15"/>
      <c r="H1575" s="16" t="str">
        <f aca="false">IF(OR($K1575="",$L1575=""),"",ROUND(MAX(0,($L1575-$K1575)-IF($G1575="",0,$G1575))/60,2))</f>
        <v/>
      </c>
      <c r="I1575" s="8"/>
      <c r="J1575" s="8"/>
      <c r="K1575" s="17" t="str">
        <f aca="false">IF($E1575="","",IF($E1575&lt;1,ROUND($E1575*1440,0),INT($E1575/100)*60+MOD($E1575,100)))</f>
        <v/>
      </c>
      <c r="L1575" s="17" t="str">
        <f aca="false">IF($F1575="","",IF($F1575&lt;1,ROUND($F1575*1440,0),INT($F1575/100)*60+MOD($F1575,100)))</f>
        <v/>
      </c>
    </row>
    <row r="1576" customFormat="false" ht="15" hidden="false" customHeight="true" outlineLevel="0" collapsed="false">
      <c r="A1576" s="10"/>
      <c r="B1576" s="8"/>
      <c r="C1576" s="13" t="str">
        <f aca="false">IF($B1576="","",IFERROR(INDEX(직원목록!$B$3:$B$302,MATCH($B1576,직원목록!$A$3:$A$302,0)),"미등록사번"))</f>
        <v/>
      </c>
      <c r="D1576" s="13" t="str">
        <f aca="false">IF($B1576="","",IFERROR(INDEX(직원목록!$C$3:$C$302,MATCH($B1576,직원목록!$A$3:$A$302,0)),""))</f>
        <v/>
      </c>
      <c r="E1576" s="14"/>
      <c r="F1576" s="14"/>
      <c r="G1576" s="15"/>
      <c r="H1576" s="16" t="str">
        <f aca="false">IF(OR($K1576="",$L1576=""),"",ROUND(MAX(0,($L1576-$K1576)-IF($G1576="",0,$G1576))/60,2))</f>
        <v/>
      </c>
      <c r="I1576" s="8"/>
      <c r="J1576" s="8"/>
      <c r="K1576" s="17" t="str">
        <f aca="false">IF($E1576="","",IF($E1576&lt;1,ROUND($E1576*1440,0),INT($E1576/100)*60+MOD($E1576,100)))</f>
        <v/>
      </c>
      <c r="L1576" s="17" t="str">
        <f aca="false">IF($F1576="","",IF($F1576&lt;1,ROUND($F1576*1440,0),INT($F1576/100)*60+MOD($F1576,100)))</f>
        <v/>
      </c>
    </row>
    <row r="1577" customFormat="false" ht="15" hidden="false" customHeight="true" outlineLevel="0" collapsed="false">
      <c r="A1577" s="10"/>
      <c r="B1577" s="8"/>
      <c r="C1577" s="13" t="str">
        <f aca="false">IF($B1577="","",IFERROR(INDEX(직원목록!$B$3:$B$302,MATCH($B1577,직원목록!$A$3:$A$302,0)),"미등록사번"))</f>
        <v/>
      </c>
      <c r="D1577" s="13" t="str">
        <f aca="false">IF($B1577="","",IFERROR(INDEX(직원목록!$C$3:$C$302,MATCH($B1577,직원목록!$A$3:$A$302,0)),""))</f>
        <v/>
      </c>
      <c r="E1577" s="14"/>
      <c r="F1577" s="14"/>
      <c r="G1577" s="15"/>
      <c r="H1577" s="16" t="str">
        <f aca="false">IF(OR($K1577="",$L1577=""),"",ROUND(MAX(0,($L1577-$K1577)-IF($G1577="",0,$G1577))/60,2))</f>
        <v/>
      </c>
      <c r="I1577" s="8"/>
      <c r="J1577" s="8"/>
      <c r="K1577" s="17" t="str">
        <f aca="false">IF($E1577="","",IF($E1577&lt;1,ROUND($E1577*1440,0),INT($E1577/100)*60+MOD($E1577,100)))</f>
        <v/>
      </c>
      <c r="L1577" s="17" t="str">
        <f aca="false">IF($F1577="","",IF($F1577&lt;1,ROUND($F1577*1440,0),INT($F1577/100)*60+MOD($F1577,100)))</f>
        <v/>
      </c>
    </row>
    <row r="1578" customFormat="false" ht="15" hidden="false" customHeight="true" outlineLevel="0" collapsed="false">
      <c r="A1578" s="10"/>
      <c r="B1578" s="8"/>
      <c r="C1578" s="13" t="str">
        <f aca="false">IF($B1578="","",IFERROR(INDEX(직원목록!$B$3:$B$302,MATCH($B1578,직원목록!$A$3:$A$302,0)),"미등록사번"))</f>
        <v/>
      </c>
      <c r="D1578" s="13" t="str">
        <f aca="false">IF($B1578="","",IFERROR(INDEX(직원목록!$C$3:$C$302,MATCH($B1578,직원목록!$A$3:$A$302,0)),""))</f>
        <v/>
      </c>
      <c r="E1578" s="14"/>
      <c r="F1578" s="14"/>
      <c r="G1578" s="15"/>
      <c r="H1578" s="16" t="str">
        <f aca="false">IF(OR($K1578="",$L1578=""),"",ROUND(MAX(0,($L1578-$K1578)-IF($G1578="",0,$G1578))/60,2))</f>
        <v/>
      </c>
      <c r="I1578" s="8"/>
      <c r="J1578" s="8"/>
      <c r="K1578" s="17" t="str">
        <f aca="false">IF($E1578="","",IF($E1578&lt;1,ROUND($E1578*1440,0),INT($E1578/100)*60+MOD($E1578,100)))</f>
        <v/>
      </c>
      <c r="L1578" s="17" t="str">
        <f aca="false">IF($F1578="","",IF($F1578&lt;1,ROUND($F1578*1440,0),INT($F1578/100)*60+MOD($F1578,100)))</f>
        <v/>
      </c>
    </row>
    <row r="1579" customFormat="false" ht="15" hidden="false" customHeight="true" outlineLevel="0" collapsed="false">
      <c r="A1579" s="10"/>
      <c r="B1579" s="8"/>
      <c r="C1579" s="13" t="str">
        <f aca="false">IF($B1579="","",IFERROR(INDEX(직원목록!$B$3:$B$302,MATCH($B1579,직원목록!$A$3:$A$302,0)),"미등록사번"))</f>
        <v/>
      </c>
      <c r="D1579" s="13" t="str">
        <f aca="false">IF($B1579="","",IFERROR(INDEX(직원목록!$C$3:$C$302,MATCH($B1579,직원목록!$A$3:$A$302,0)),""))</f>
        <v/>
      </c>
      <c r="E1579" s="14"/>
      <c r="F1579" s="14"/>
      <c r="G1579" s="15"/>
      <c r="H1579" s="16" t="str">
        <f aca="false">IF(OR($K1579="",$L1579=""),"",ROUND(MAX(0,($L1579-$K1579)-IF($G1579="",0,$G1579))/60,2))</f>
        <v/>
      </c>
      <c r="I1579" s="8"/>
      <c r="J1579" s="8"/>
      <c r="K1579" s="17" t="str">
        <f aca="false">IF($E1579="","",IF($E1579&lt;1,ROUND($E1579*1440,0),INT($E1579/100)*60+MOD($E1579,100)))</f>
        <v/>
      </c>
      <c r="L1579" s="17" t="str">
        <f aca="false">IF($F1579="","",IF($F1579&lt;1,ROUND($F1579*1440,0),INT($F1579/100)*60+MOD($F1579,100)))</f>
        <v/>
      </c>
    </row>
    <row r="1580" customFormat="false" ht="15" hidden="false" customHeight="true" outlineLevel="0" collapsed="false">
      <c r="A1580" s="10"/>
      <c r="B1580" s="8"/>
      <c r="C1580" s="13" t="str">
        <f aca="false">IF($B1580="","",IFERROR(INDEX(직원목록!$B$3:$B$302,MATCH($B1580,직원목록!$A$3:$A$302,0)),"미등록사번"))</f>
        <v/>
      </c>
      <c r="D1580" s="13" t="str">
        <f aca="false">IF($B1580="","",IFERROR(INDEX(직원목록!$C$3:$C$302,MATCH($B1580,직원목록!$A$3:$A$302,0)),""))</f>
        <v/>
      </c>
      <c r="E1580" s="14"/>
      <c r="F1580" s="14"/>
      <c r="G1580" s="15"/>
      <c r="H1580" s="16" t="str">
        <f aca="false">IF(OR($K1580="",$L1580=""),"",ROUND(MAX(0,($L1580-$K1580)-IF($G1580="",0,$G1580))/60,2))</f>
        <v/>
      </c>
      <c r="I1580" s="8"/>
      <c r="J1580" s="8"/>
      <c r="K1580" s="17" t="str">
        <f aca="false">IF($E1580="","",IF($E1580&lt;1,ROUND($E1580*1440,0),INT($E1580/100)*60+MOD($E1580,100)))</f>
        <v/>
      </c>
      <c r="L1580" s="17" t="str">
        <f aca="false">IF($F1580="","",IF($F1580&lt;1,ROUND($F1580*1440,0),INT($F1580/100)*60+MOD($F1580,100)))</f>
        <v/>
      </c>
    </row>
    <row r="1581" customFormat="false" ht="15" hidden="false" customHeight="true" outlineLevel="0" collapsed="false">
      <c r="A1581" s="10"/>
      <c r="B1581" s="8"/>
      <c r="C1581" s="13" t="str">
        <f aca="false">IF($B1581="","",IFERROR(INDEX(직원목록!$B$3:$B$302,MATCH($B1581,직원목록!$A$3:$A$302,0)),"미등록사번"))</f>
        <v/>
      </c>
      <c r="D1581" s="13" t="str">
        <f aca="false">IF($B1581="","",IFERROR(INDEX(직원목록!$C$3:$C$302,MATCH($B1581,직원목록!$A$3:$A$302,0)),""))</f>
        <v/>
      </c>
      <c r="E1581" s="14"/>
      <c r="F1581" s="14"/>
      <c r="G1581" s="15"/>
      <c r="H1581" s="16" t="str">
        <f aca="false">IF(OR($K1581="",$L1581=""),"",ROUND(MAX(0,($L1581-$K1581)-IF($G1581="",0,$G1581))/60,2))</f>
        <v/>
      </c>
      <c r="I1581" s="8"/>
      <c r="J1581" s="8"/>
      <c r="K1581" s="17" t="str">
        <f aca="false">IF($E1581="","",IF($E1581&lt;1,ROUND($E1581*1440,0),INT($E1581/100)*60+MOD($E1581,100)))</f>
        <v/>
      </c>
      <c r="L1581" s="17" t="str">
        <f aca="false">IF($F1581="","",IF($F1581&lt;1,ROUND($F1581*1440,0),INT($F1581/100)*60+MOD($F1581,100)))</f>
        <v/>
      </c>
    </row>
    <row r="1582" customFormat="false" ht="15" hidden="false" customHeight="true" outlineLevel="0" collapsed="false">
      <c r="A1582" s="10"/>
      <c r="B1582" s="8"/>
      <c r="C1582" s="13" t="str">
        <f aca="false">IF($B1582="","",IFERROR(INDEX(직원목록!$B$3:$B$302,MATCH($B1582,직원목록!$A$3:$A$302,0)),"미등록사번"))</f>
        <v/>
      </c>
      <c r="D1582" s="13" t="str">
        <f aca="false">IF($B1582="","",IFERROR(INDEX(직원목록!$C$3:$C$302,MATCH($B1582,직원목록!$A$3:$A$302,0)),""))</f>
        <v/>
      </c>
      <c r="E1582" s="14"/>
      <c r="F1582" s="14"/>
      <c r="G1582" s="15"/>
      <c r="H1582" s="16" t="str">
        <f aca="false">IF(OR($K1582="",$L1582=""),"",ROUND(MAX(0,($L1582-$K1582)-IF($G1582="",0,$G1582))/60,2))</f>
        <v/>
      </c>
      <c r="I1582" s="8"/>
      <c r="J1582" s="8"/>
      <c r="K1582" s="17" t="str">
        <f aca="false">IF($E1582="","",IF($E1582&lt;1,ROUND($E1582*1440,0),INT($E1582/100)*60+MOD($E1582,100)))</f>
        <v/>
      </c>
      <c r="L1582" s="17" t="str">
        <f aca="false">IF($F1582="","",IF($F1582&lt;1,ROUND($F1582*1440,0),INT($F1582/100)*60+MOD($F1582,100)))</f>
        <v/>
      </c>
    </row>
    <row r="1583" customFormat="false" ht="15" hidden="false" customHeight="true" outlineLevel="0" collapsed="false">
      <c r="A1583" s="10"/>
      <c r="B1583" s="8"/>
      <c r="C1583" s="13" t="str">
        <f aca="false">IF($B1583="","",IFERROR(INDEX(직원목록!$B$3:$B$302,MATCH($B1583,직원목록!$A$3:$A$302,0)),"미등록사번"))</f>
        <v/>
      </c>
      <c r="D1583" s="13" t="str">
        <f aca="false">IF($B1583="","",IFERROR(INDEX(직원목록!$C$3:$C$302,MATCH($B1583,직원목록!$A$3:$A$302,0)),""))</f>
        <v/>
      </c>
      <c r="E1583" s="14"/>
      <c r="F1583" s="14"/>
      <c r="G1583" s="15"/>
      <c r="H1583" s="16" t="str">
        <f aca="false">IF(OR($K1583="",$L1583=""),"",ROUND(MAX(0,($L1583-$K1583)-IF($G1583="",0,$G1583))/60,2))</f>
        <v/>
      </c>
      <c r="I1583" s="8"/>
      <c r="J1583" s="8"/>
      <c r="K1583" s="17" t="str">
        <f aca="false">IF($E1583="","",IF($E1583&lt;1,ROUND($E1583*1440,0),INT($E1583/100)*60+MOD($E1583,100)))</f>
        <v/>
      </c>
      <c r="L1583" s="17" t="str">
        <f aca="false">IF($F1583="","",IF($F1583&lt;1,ROUND($F1583*1440,0),INT($F1583/100)*60+MOD($F1583,100)))</f>
        <v/>
      </c>
    </row>
    <row r="1584" customFormat="false" ht="15" hidden="false" customHeight="true" outlineLevel="0" collapsed="false">
      <c r="A1584" s="10"/>
      <c r="B1584" s="8"/>
      <c r="C1584" s="13" t="str">
        <f aca="false">IF($B1584="","",IFERROR(INDEX(직원목록!$B$3:$B$302,MATCH($B1584,직원목록!$A$3:$A$302,0)),"미등록사번"))</f>
        <v/>
      </c>
      <c r="D1584" s="13" t="str">
        <f aca="false">IF($B1584="","",IFERROR(INDEX(직원목록!$C$3:$C$302,MATCH($B1584,직원목록!$A$3:$A$302,0)),""))</f>
        <v/>
      </c>
      <c r="E1584" s="14"/>
      <c r="F1584" s="14"/>
      <c r="G1584" s="15"/>
      <c r="H1584" s="16" t="str">
        <f aca="false">IF(OR($K1584="",$L1584=""),"",ROUND(MAX(0,($L1584-$K1584)-IF($G1584="",0,$G1584))/60,2))</f>
        <v/>
      </c>
      <c r="I1584" s="8"/>
      <c r="J1584" s="8"/>
      <c r="K1584" s="17" t="str">
        <f aca="false">IF($E1584="","",IF($E1584&lt;1,ROUND($E1584*1440,0),INT($E1584/100)*60+MOD($E1584,100)))</f>
        <v/>
      </c>
      <c r="L1584" s="17" t="str">
        <f aca="false">IF($F1584="","",IF($F1584&lt;1,ROUND($F1584*1440,0),INT($F1584/100)*60+MOD($F1584,100)))</f>
        <v/>
      </c>
    </row>
    <row r="1585" customFormat="false" ht="15" hidden="false" customHeight="true" outlineLevel="0" collapsed="false">
      <c r="A1585" s="10"/>
      <c r="B1585" s="8"/>
      <c r="C1585" s="13" t="str">
        <f aca="false">IF($B1585="","",IFERROR(INDEX(직원목록!$B$3:$B$302,MATCH($B1585,직원목록!$A$3:$A$302,0)),"미등록사번"))</f>
        <v/>
      </c>
      <c r="D1585" s="13" t="str">
        <f aca="false">IF($B1585="","",IFERROR(INDEX(직원목록!$C$3:$C$302,MATCH($B1585,직원목록!$A$3:$A$302,0)),""))</f>
        <v/>
      </c>
      <c r="E1585" s="14"/>
      <c r="F1585" s="14"/>
      <c r="G1585" s="15"/>
      <c r="H1585" s="16" t="str">
        <f aca="false">IF(OR($K1585="",$L1585=""),"",ROUND(MAX(0,($L1585-$K1585)-IF($G1585="",0,$G1585))/60,2))</f>
        <v/>
      </c>
      <c r="I1585" s="8"/>
      <c r="J1585" s="8"/>
      <c r="K1585" s="17" t="str">
        <f aca="false">IF($E1585="","",IF($E1585&lt;1,ROUND($E1585*1440,0),INT($E1585/100)*60+MOD($E1585,100)))</f>
        <v/>
      </c>
      <c r="L1585" s="17" t="str">
        <f aca="false">IF($F1585="","",IF($F1585&lt;1,ROUND($F1585*1440,0),INT($F1585/100)*60+MOD($F1585,100)))</f>
        <v/>
      </c>
    </row>
    <row r="1586" customFormat="false" ht="15" hidden="false" customHeight="true" outlineLevel="0" collapsed="false">
      <c r="A1586" s="10"/>
      <c r="B1586" s="8"/>
      <c r="C1586" s="13" t="str">
        <f aca="false">IF($B1586="","",IFERROR(INDEX(직원목록!$B$3:$B$302,MATCH($B1586,직원목록!$A$3:$A$302,0)),"미등록사번"))</f>
        <v/>
      </c>
      <c r="D1586" s="13" t="str">
        <f aca="false">IF($B1586="","",IFERROR(INDEX(직원목록!$C$3:$C$302,MATCH($B1586,직원목록!$A$3:$A$302,0)),""))</f>
        <v/>
      </c>
      <c r="E1586" s="14"/>
      <c r="F1586" s="14"/>
      <c r="G1586" s="15"/>
      <c r="H1586" s="16" t="str">
        <f aca="false">IF(OR($K1586="",$L1586=""),"",ROUND(MAX(0,($L1586-$K1586)-IF($G1586="",0,$G1586))/60,2))</f>
        <v/>
      </c>
      <c r="I1586" s="8"/>
      <c r="J1586" s="8"/>
      <c r="K1586" s="17" t="str">
        <f aca="false">IF($E1586="","",IF($E1586&lt;1,ROUND($E1586*1440,0),INT($E1586/100)*60+MOD($E1586,100)))</f>
        <v/>
      </c>
      <c r="L1586" s="17" t="str">
        <f aca="false">IF($F1586="","",IF($F1586&lt;1,ROUND($F1586*1440,0),INT($F1586/100)*60+MOD($F1586,100)))</f>
        <v/>
      </c>
    </row>
    <row r="1587" customFormat="false" ht="15" hidden="false" customHeight="true" outlineLevel="0" collapsed="false">
      <c r="A1587" s="10"/>
      <c r="B1587" s="8"/>
      <c r="C1587" s="13" t="str">
        <f aca="false">IF($B1587="","",IFERROR(INDEX(직원목록!$B$3:$B$302,MATCH($B1587,직원목록!$A$3:$A$302,0)),"미등록사번"))</f>
        <v/>
      </c>
      <c r="D1587" s="13" t="str">
        <f aca="false">IF($B1587="","",IFERROR(INDEX(직원목록!$C$3:$C$302,MATCH($B1587,직원목록!$A$3:$A$302,0)),""))</f>
        <v/>
      </c>
      <c r="E1587" s="14"/>
      <c r="F1587" s="14"/>
      <c r="G1587" s="15"/>
      <c r="H1587" s="16" t="str">
        <f aca="false">IF(OR($K1587="",$L1587=""),"",ROUND(MAX(0,($L1587-$K1587)-IF($G1587="",0,$G1587))/60,2))</f>
        <v/>
      </c>
      <c r="I1587" s="8"/>
      <c r="J1587" s="8"/>
      <c r="K1587" s="17" t="str">
        <f aca="false">IF($E1587="","",IF($E1587&lt;1,ROUND($E1587*1440,0),INT($E1587/100)*60+MOD($E1587,100)))</f>
        <v/>
      </c>
      <c r="L1587" s="17" t="str">
        <f aca="false">IF($F1587="","",IF($F1587&lt;1,ROUND($F1587*1440,0),INT($F1587/100)*60+MOD($F1587,100)))</f>
        <v/>
      </c>
    </row>
    <row r="1588" customFormat="false" ht="15" hidden="false" customHeight="true" outlineLevel="0" collapsed="false">
      <c r="A1588" s="10"/>
      <c r="B1588" s="8"/>
      <c r="C1588" s="13" t="str">
        <f aca="false">IF($B1588="","",IFERROR(INDEX(직원목록!$B$3:$B$302,MATCH($B1588,직원목록!$A$3:$A$302,0)),"미등록사번"))</f>
        <v/>
      </c>
      <c r="D1588" s="13" t="str">
        <f aca="false">IF($B1588="","",IFERROR(INDEX(직원목록!$C$3:$C$302,MATCH($B1588,직원목록!$A$3:$A$302,0)),""))</f>
        <v/>
      </c>
      <c r="E1588" s="14"/>
      <c r="F1588" s="14"/>
      <c r="G1588" s="15"/>
      <c r="H1588" s="16" t="str">
        <f aca="false">IF(OR($K1588="",$L1588=""),"",ROUND(MAX(0,($L1588-$K1588)-IF($G1588="",0,$G1588))/60,2))</f>
        <v/>
      </c>
      <c r="I1588" s="8"/>
      <c r="J1588" s="8"/>
      <c r="K1588" s="17" t="str">
        <f aca="false">IF($E1588="","",IF($E1588&lt;1,ROUND($E1588*1440,0),INT($E1588/100)*60+MOD($E1588,100)))</f>
        <v/>
      </c>
      <c r="L1588" s="17" t="str">
        <f aca="false">IF($F1588="","",IF($F1588&lt;1,ROUND($F1588*1440,0),INT($F1588/100)*60+MOD($F1588,100)))</f>
        <v/>
      </c>
    </row>
    <row r="1589" customFormat="false" ht="15" hidden="false" customHeight="true" outlineLevel="0" collapsed="false">
      <c r="A1589" s="10"/>
      <c r="B1589" s="8"/>
      <c r="C1589" s="13" t="str">
        <f aca="false">IF($B1589="","",IFERROR(INDEX(직원목록!$B$3:$B$302,MATCH($B1589,직원목록!$A$3:$A$302,0)),"미등록사번"))</f>
        <v/>
      </c>
      <c r="D1589" s="13" t="str">
        <f aca="false">IF($B1589="","",IFERROR(INDEX(직원목록!$C$3:$C$302,MATCH($B1589,직원목록!$A$3:$A$302,0)),""))</f>
        <v/>
      </c>
      <c r="E1589" s="14"/>
      <c r="F1589" s="14"/>
      <c r="G1589" s="15"/>
      <c r="H1589" s="16" t="str">
        <f aca="false">IF(OR($K1589="",$L1589=""),"",ROUND(MAX(0,($L1589-$K1589)-IF($G1589="",0,$G1589))/60,2))</f>
        <v/>
      </c>
      <c r="I1589" s="8"/>
      <c r="J1589" s="8"/>
      <c r="K1589" s="17" t="str">
        <f aca="false">IF($E1589="","",IF($E1589&lt;1,ROUND($E1589*1440,0),INT($E1589/100)*60+MOD($E1589,100)))</f>
        <v/>
      </c>
      <c r="L1589" s="17" t="str">
        <f aca="false">IF($F1589="","",IF($F1589&lt;1,ROUND($F1589*1440,0),INT($F1589/100)*60+MOD($F1589,100)))</f>
        <v/>
      </c>
    </row>
    <row r="1590" customFormat="false" ht="15" hidden="false" customHeight="true" outlineLevel="0" collapsed="false">
      <c r="A1590" s="10"/>
      <c r="B1590" s="8"/>
      <c r="C1590" s="13" t="str">
        <f aca="false">IF($B1590="","",IFERROR(INDEX(직원목록!$B$3:$B$302,MATCH($B1590,직원목록!$A$3:$A$302,0)),"미등록사번"))</f>
        <v/>
      </c>
      <c r="D1590" s="13" t="str">
        <f aca="false">IF($B1590="","",IFERROR(INDEX(직원목록!$C$3:$C$302,MATCH($B1590,직원목록!$A$3:$A$302,0)),""))</f>
        <v/>
      </c>
      <c r="E1590" s="14"/>
      <c r="F1590" s="14"/>
      <c r="G1590" s="15"/>
      <c r="H1590" s="16" t="str">
        <f aca="false">IF(OR($K1590="",$L1590=""),"",ROUND(MAX(0,($L1590-$K1590)-IF($G1590="",0,$G1590))/60,2))</f>
        <v/>
      </c>
      <c r="I1590" s="8"/>
      <c r="J1590" s="8"/>
      <c r="K1590" s="17" t="str">
        <f aca="false">IF($E1590="","",IF($E1590&lt;1,ROUND($E1590*1440,0),INT($E1590/100)*60+MOD($E1590,100)))</f>
        <v/>
      </c>
      <c r="L1590" s="17" t="str">
        <f aca="false">IF($F1590="","",IF($F1590&lt;1,ROUND($F1590*1440,0),INT($F1590/100)*60+MOD($F1590,100)))</f>
        <v/>
      </c>
    </row>
    <row r="1591" customFormat="false" ht="15" hidden="false" customHeight="true" outlineLevel="0" collapsed="false">
      <c r="A1591" s="10"/>
      <c r="B1591" s="8"/>
      <c r="C1591" s="13" t="str">
        <f aca="false">IF($B1591="","",IFERROR(INDEX(직원목록!$B$3:$B$302,MATCH($B1591,직원목록!$A$3:$A$302,0)),"미등록사번"))</f>
        <v/>
      </c>
      <c r="D1591" s="13" t="str">
        <f aca="false">IF($B1591="","",IFERROR(INDEX(직원목록!$C$3:$C$302,MATCH($B1591,직원목록!$A$3:$A$302,0)),""))</f>
        <v/>
      </c>
      <c r="E1591" s="14"/>
      <c r="F1591" s="14"/>
      <c r="G1591" s="15"/>
      <c r="H1591" s="16" t="str">
        <f aca="false">IF(OR($K1591="",$L1591=""),"",ROUND(MAX(0,($L1591-$K1591)-IF($G1591="",0,$G1591))/60,2))</f>
        <v/>
      </c>
      <c r="I1591" s="8"/>
      <c r="J1591" s="8"/>
      <c r="K1591" s="17" t="str">
        <f aca="false">IF($E1591="","",IF($E1591&lt;1,ROUND($E1591*1440,0),INT($E1591/100)*60+MOD($E1591,100)))</f>
        <v/>
      </c>
      <c r="L1591" s="17" t="str">
        <f aca="false">IF($F1591="","",IF($F1591&lt;1,ROUND($F1591*1440,0),INT($F1591/100)*60+MOD($F1591,100)))</f>
        <v/>
      </c>
    </row>
    <row r="1592" customFormat="false" ht="15" hidden="false" customHeight="true" outlineLevel="0" collapsed="false">
      <c r="A1592" s="10"/>
      <c r="B1592" s="8"/>
      <c r="C1592" s="13" t="str">
        <f aca="false">IF($B1592="","",IFERROR(INDEX(직원목록!$B$3:$B$302,MATCH($B1592,직원목록!$A$3:$A$302,0)),"미등록사번"))</f>
        <v/>
      </c>
      <c r="D1592" s="13" t="str">
        <f aca="false">IF($B1592="","",IFERROR(INDEX(직원목록!$C$3:$C$302,MATCH($B1592,직원목록!$A$3:$A$302,0)),""))</f>
        <v/>
      </c>
      <c r="E1592" s="14"/>
      <c r="F1592" s="14"/>
      <c r="G1592" s="15"/>
      <c r="H1592" s="16" t="str">
        <f aca="false">IF(OR($K1592="",$L1592=""),"",ROUND(MAX(0,($L1592-$K1592)-IF($G1592="",0,$G1592))/60,2))</f>
        <v/>
      </c>
      <c r="I1592" s="8"/>
      <c r="J1592" s="8"/>
      <c r="K1592" s="17" t="str">
        <f aca="false">IF($E1592="","",IF($E1592&lt;1,ROUND($E1592*1440,0),INT($E1592/100)*60+MOD($E1592,100)))</f>
        <v/>
      </c>
      <c r="L1592" s="17" t="str">
        <f aca="false">IF($F1592="","",IF($F1592&lt;1,ROUND($F1592*1440,0),INT($F1592/100)*60+MOD($F1592,100)))</f>
        <v/>
      </c>
    </row>
    <row r="1593" customFormat="false" ht="15" hidden="false" customHeight="true" outlineLevel="0" collapsed="false">
      <c r="A1593" s="10"/>
      <c r="B1593" s="8"/>
      <c r="C1593" s="13" t="str">
        <f aca="false">IF($B1593="","",IFERROR(INDEX(직원목록!$B$3:$B$302,MATCH($B1593,직원목록!$A$3:$A$302,0)),"미등록사번"))</f>
        <v/>
      </c>
      <c r="D1593" s="13" t="str">
        <f aca="false">IF($B1593="","",IFERROR(INDEX(직원목록!$C$3:$C$302,MATCH($B1593,직원목록!$A$3:$A$302,0)),""))</f>
        <v/>
      </c>
      <c r="E1593" s="14"/>
      <c r="F1593" s="14"/>
      <c r="G1593" s="15"/>
      <c r="H1593" s="16" t="str">
        <f aca="false">IF(OR($K1593="",$L1593=""),"",ROUND(MAX(0,($L1593-$K1593)-IF($G1593="",0,$G1593))/60,2))</f>
        <v/>
      </c>
      <c r="I1593" s="8"/>
      <c r="J1593" s="8"/>
      <c r="K1593" s="17" t="str">
        <f aca="false">IF($E1593="","",IF($E1593&lt;1,ROUND($E1593*1440,0),INT($E1593/100)*60+MOD($E1593,100)))</f>
        <v/>
      </c>
      <c r="L1593" s="17" t="str">
        <f aca="false">IF($F1593="","",IF($F1593&lt;1,ROUND($F1593*1440,0),INT($F1593/100)*60+MOD($F1593,100)))</f>
        <v/>
      </c>
    </row>
    <row r="1594" customFormat="false" ht="15" hidden="false" customHeight="true" outlineLevel="0" collapsed="false">
      <c r="A1594" s="10"/>
      <c r="B1594" s="8"/>
      <c r="C1594" s="13" t="str">
        <f aca="false">IF($B1594="","",IFERROR(INDEX(직원목록!$B$3:$B$302,MATCH($B1594,직원목록!$A$3:$A$302,0)),"미등록사번"))</f>
        <v/>
      </c>
      <c r="D1594" s="13" t="str">
        <f aca="false">IF($B1594="","",IFERROR(INDEX(직원목록!$C$3:$C$302,MATCH($B1594,직원목록!$A$3:$A$302,0)),""))</f>
        <v/>
      </c>
      <c r="E1594" s="14"/>
      <c r="F1594" s="14"/>
      <c r="G1594" s="15"/>
      <c r="H1594" s="16" t="str">
        <f aca="false">IF(OR($K1594="",$L1594=""),"",ROUND(MAX(0,($L1594-$K1594)-IF($G1594="",0,$G1594))/60,2))</f>
        <v/>
      </c>
      <c r="I1594" s="8"/>
      <c r="J1594" s="8"/>
      <c r="K1594" s="17" t="str">
        <f aca="false">IF($E1594="","",IF($E1594&lt;1,ROUND($E1594*1440,0),INT($E1594/100)*60+MOD($E1594,100)))</f>
        <v/>
      </c>
      <c r="L1594" s="17" t="str">
        <f aca="false">IF($F1594="","",IF($F1594&lt;1,ROUND($F1594*1440,0),INT($F1594/100)*60+MOD($F1594,100)))</f>
        <v/>
      </c>
    </row>
    <row r="1595" customFormat="false" ht="15" hidden="false" customHeight="true" outlineLevel="0" collapsed="false">
      <c r="A1595" s="10"/>
      <c r="B1595" s="8"/>
      <c r="C1595" s="13" t="str">
        <f aca="false">IF($B1595="","",IFERROR(INDEX(직원목록!$B$3:$B$302,MATCH($B1595,직원목록!$A$3:$A$302,0)),"미등록사번"))</f>
        <v/>
      </c>
      <c r="D1595" s="13" t="str">
        <f aca="false">IF($B1595="","",IFERROR(INDEX(직원목록!$C$3:$C$302,MATCH($B1595,직원목록!$A$3:$A$302,0)),""))</f>
        <v/>
      </c>
      <c r="E1595" s="14"/>
      <c r="F1595" s="14"/>
      <c r="G1595" s="15"/>
      <c r="H1595" s="16" t="str">
        <f aca="false">IF(OR($K1595="",$L1595=""),"",ROUND(MAX(0,($L1595-$K1595)-IF($G1595="",0,$G1595))/60,2))</f>
        <v/>
      </c>
      <c r="I1595" s="8"/>
      <c r="J1595" s="8"/>
      <c r="K1595" s="17" t="str">
        <f aca="false">IF($E1595="","",IF($E1595&lt;1,ROUND($E1595*1440,0),INT($E1595/100)*60+MOD($E1595,100)))</f>
        <v/>
      </c>
      <c r="L1595" s="17" t="str">
        <f aca="false">IF($F1595="","",IF($F1595&lt;1,ROUND($F1595*1440,0),INT($F1595/100)*60+MOD($F1595,100)))</f>
        <v/>
      </c>
    </row>
    <row r="1596" customFormat="false" ht="15" hidden="false" customHeight="true" outlineLevel="0" collapsed="false">
      <c r="A1596" s="10"/>
      <c r="B1596" s="8"/>
      <c r="C1596" s="13" t="str">
        <f aca="false">IF($B1596="","",IFERROR(INDEX(직원목록!$B$3:$B$302,MATCH($B1596,직원목록!$A$3:$A$302,0)),"미등록사번"))</f>
        <v/>
      </c>
      <c r="D1596" s="13" t="str">
        <f aca="false">IF($B1596="","",IFERROR(INDEX(직원목록!$C$3:$C$302,MATCH($B1596,직원목록!$A$3:$A$302,0)),""))</f>
        <v/>
      </c>
      <c r="E1596" s="14"/>
      <c r="F1596" s="14"/>
      <c r="G1596" s="15"/>
      <c r="H1596" s="16" t="str">
        <f aca="false">IF(OR($K1596="",$L1596=""),"",ROUND(MAX(0,($L1596-$K1596)-IF($G1596="",0,$G1596))/60,2))</f>
        <v/>
      </c>
      <c r="I1596" s="8"/>
      <c r="J1596" s="8"/>
      <c r="K1596" s="17" t="str">
        <f aca="false">IF($E1596="","",IF($E1596&lt;1,ROUND($E1596*1440,0),INT($E1596/100)*60+MOD($E1596,100)))</f>
        <v/>
      </c>
      <c r="L1596" s="17" t="str">
        <f aca="false">IF($F1596="","",IF($F1596&lt;1,ROUND($F1596*1440,0),INT($F1596/100)*60+MOD($F1596,100)))</f>
        <v/>
      </c>
    </row>
    <row r="1597" customFormat="false" ht="15" hidden="false" customHeight="true" outlineLevel="0" collapsed="false">
      <c r="A1597" s="10"/>
      <c r="B1597" s="8"/>
      <c r="C1597" s="13" t="str">
        <f aca="false">IF($B1597="","",IFERROR(INDEX(직원목록!$B$3:$B$302,MATCH($B1597,직원목록!$A$3:$A$302,0)),"미등록사번"))</f>
        <v/>
      </c>
      <c r="D1597" s="13" t="str">
        <f aca="false">IF($B1597="","",IFERROR(INDEX(직원목록!$C$3:$C$302,MATCH($B1597,직원목록!$A$3:$A$302,0)),""))</f>
        <v/>
      </c>
      <c r="E1597" s="14"/>
      <c r="F1597" s="14"/>
      <c r="G1597" s="15"/>
      <c r="H1597" s="16" t="str">
        <f aca="false">IF(OR($K1597="",$L1597=""),"",ROUND(MAX(0,($L1597-$K1597)-IF($G1597="",0,$G1597))/60,2))</f>
        <v/>
      </c>
      <c r="I1597" s="8"/>
      <c r="J1597" s="8"/>
      <c r="K1597" s="17" t="str">
        <f aca="false">IF($E1597="","",IF($E1597&lt;1,ROUND($E1597*1440,0),INT($E1597/100)*60+MOD($E1597,100)))</f>
        <v/>
      </c>
      <c r="L1597" s="17" t="str">
        <f aca="false">IF($F1597="","",IF($F1597&lt;1,ROUND($F1597*1440,0),INT($F1597/100)*60+MOD($F1597,100)))</f>
        <v/>
      </c>
    </row>
    <row r="1598" customFormat="false" ht="15" hidden="false" customHeight="true" outlineLevel="0" collapsed="false">
      <c r="A1598" s="10"/>
      <c r="B1598" s="8"/>
      <c r="C1598" s="13" t="str">
        <f aca="false">IF($B1598="","",IFERROR(INDEX(직원목록!$B$3:$B$302,MATCH($B1598,직원목록!$A$3:$A$302,0)),"미등록사번"))</f>
        <v/>
      </c>
      <c r="D1598" s="13" t="str">
        <f aca="false">IF($B1598="","",IFERROR(INDEX(직원목록!$C$3:$C$302,MATCH($B1598,직원목록!$A$3:$A$302,0)),""))</f>
        <v/>
      </c>
      <c r="E1598" s="14"/>
      <c r="F1598" s="14"/>
      <c r="G1598" s="15"/>
      <c r="H1598" s="16" t="str">
        <f aca="false">IF(OR($K1598="",$L1598=""),"",ROUND(MAX(0,($L1598-$K1598)-IF($G1598="",0,$G1598))/60,2))</f>
        <v/>
      </c>
      <c r="I1598" s="8"/>
      <c r="J1598" s="8"/>
      <c r="K1598" s="17" t="str">
        <f aca="false">IF($E1598="","",IF($E1598&lt;1,ROUND($E1598*1440,0),INT($E1598/100)*60+MOD($E1598,100)))</f>
        <v/>
      </c>
      <c r="L1598" s="17" t="str">
        <f aca="false">IF($F1598="","",IF($F1598&lt;1,ROUND($F1598*1440,0),INT($F1598/100)*60+MOD($F1598,100)))</f>
        <v/>
      </c>
    </row>
    <row r="1599" customFormat="false" ht="15" hidden="false" customHeight="true" outlineLevel="0" collapsed="false">
      <c r="A1599" s="10"/>
      <c r="B1599" s="8"/>
      <c r="C1599" s="13" t="str">
        <f aca="false">IF($B1599="","",IFERROR(INDEX(직원목록!$B$3:$B$302,MATCH($B1599,직원목록!$A$3:$A$302,0)),"미등록사번"))</f>
        <v/>
      </c>
      <c r="D1599" s="13" t="str">
        <f aca="false">IF($B1599="","",IFERROR(INDEX(직원목록!$C$3:$C$302,MATCH($B1599,직원목록!$A$3:$A$302,0)),""))</f>
        <v/>
      </c>
      <c r="E1599" s="14"/>
      <c r="F1599" s="14"/>
      <c r="G1599" s="15"/>
      <c r="H1599" s="16" t="str">
        <f aca="false">IF(OR($K1599="",$L1599=""),"",ROUND(MAX(0,($L1599-$K1599)-IF($G1599="",0,$G1599))/60,2))</f>
        <v/>
      </c>
      <c r="I1599" s="8"/>
      <c r="J1599" s="8"/>
      <c r="K1599" s="17" t="str">
        <f aca="false">IF($E1599="","",IF($E1599&lt;1,ROUND($E1599*1440,0),INT($E1599/100)*60+MOD($E1599,100)))</f>
        <v/>
      </c>
      <c r="L1599" s="17" t="str">
        <f aca="false">IF($F1599="","",IF($F1599&lt;1,ROUND($F1599*1440,0),INT($F1599/100)*60+MOD($F1599,100)))</f>
        <v/>
      </c>
    </row>
    <row r="1600" customFormat="false" ht="15" hidden="false" customHeight="true" outlineLevel="0" collapsed="false">
      <c r="A1600" s="10"/>
      <c r="B1600" s="8"/>
      <c r="C1600" s="13" t="str">
        <f aca="false">IF($B1600="","",IFERROR(INDEX(직원목록!$B$3:$B$302,MATCH($B1600,직원목록!$A$3:$A$302,0)),"미등록사번"))</f>
        <v/>
      </c>
      <c r="D1600" s="13" t="str">
        <f aca="false">IF($B1600="","",IFERROR(INDEX(직원목록!$C$3:$C$302,MATCH($B1600,직원목록!$A$3:$A$302,0)),""))</f>
        <v/>
      </c>
      <c r="E1600" s="14"/>
      <c r="F1600" s="14"/>
      <c r="G1600" s="15"/>
      <c r="H1600" s="16" t="str">
        <f aca="false">IF(OR($K1600="",$L1600=""),"",ROUND(MAX(0,($L1600-$K1600)-IF($G1600="",0,$G1600))/60,2))</f>
        <v/>
      </c>
      <c r="I1600" s="8"/>
      <c r="J1600" s="8"/>
      <c r="K1600" s="17" t="str">
        <f aca="false">IF($E1600="","",IF($E1600&lt;1,ROUND($E1600*1440,0),INT($E1600/100)*60+MOD($E1600,100)))</f>
        <v/>
      </c>
      <c r="L1600" s="17" t="str">
        <f aca="false">IF($F1600="","",IF($F1600&lt;1,ROUND($F1600*1440,0),INT($F1600/100)*60+MOD($F1600,100)))</f>
        <v/>
      </c>
    </row>
    <row r="1601" customFormat="false" ht="15" hidden="false" customHeight="true" outlineLevel="0" collapsed="false">
      <c r="A1601" s="10"/>
      <c r="B1601" s="8"/>
      <c r="C1601" s="13" t="str">
        <f aca="false">IF($B1601="","",IFERROR(INDEX(직원목록!$B$3:$B$302,MATCH($B1601,직원목록!$A$3:$A$302,0)),"미등록사번"))</f>
        <v/>
      </c>
      <c r="D1601" s="13" t="str">
        <f aca="false">IF($B1601="","",IFERROR(INDEX(직원목록!$C$3:$C$302,MATCH($B1601,직원목록!$A$3:$A$302,0)),""))</f>
        <v/>
      </c>
      <c r="E1601" s="14"/>
      <c r="F1601" s="14"/>
      <c r="G1601" s="15"/>
      <c r="H1601" s="16" t="str">
        <f aca="false">IF(OR($K1601="",$L1601=""),"",ROUND(MAX(0,($L1601-$K1601)-IF($G1601="",0,$G1601))/60,2))</f>
        <v/>
      </c>
      <c r="I1601" s="8"/>
      <c r="J1601" s="8"/>
      <c r="K1601" s="17" t="str">
        <f aca="false">IF($E1601="","",IF($E1601&lt;1,ROUND($E1601*1440,0),INT($E1601/100)*60+MOD($E1601,100)))</f>
        <v/>
      </c>
      <c r="L1601" s="17" t="str">
        <f aca="false">IF($F1601="","",IF($F1601&lt;1,ROUND($F1601*1440,0),INT($F1601/100)*60+MOD($F1601,100)))</f>
        <v/>
      </c>
    </row>
    <row r="1602" customFormat="false" ht="15" hidden="false" customHeight="true" outlineLevel="0" collapsed="false">
      <c r="A1602" s="10"/>
      <c r="B1602" s="8"/>
      <c r="C1602" s="13" t="str">
        <f aca="false">IF($B1602="","",IFERROR(INDEX(직원목록!$B$3:$B$302,MATCH($B1602,직원목록!$A$3:$A$302,0)),"미등록사번"))</f>
        <v/>
      </c>
      <c r="D1602" s="13" t="str">
        <f aca="false">IF($B1602="","",IFERROR(INDEX(직원목록!$C$3:$C$302,MATCH($B1602,직원목록!$A$3:$A$302,0)),""))</f>
        <v/>
      </c>
      <c r="E1602" s="14"/>
      <c r="F1602" s="14"/>
      <c r="G1602" s="15"/>
      <c r="H1602" s="16" t="str">
        <f aca="false">IF(OR($K1602="",$L1602=""),"",ROUND(MAX(0,($L1602-$K1602)-IF($G1602="",0,$G1602))/60,2))</f>
        <v/>
      </c>
      <c r="I1602" s="8"/>
      <c r="J1602" s="8"/>
      <c r="K1602" s="17" t="str">
        <f aca="false">IF($E1602="","",IF($E1602&lt;1,ROUND($E1602*1440,0),INT($E1602/100)*60+MOD($E1602,100)))</f>
        <v/>
      </c>
      <c r="L1602" s="17" t="str">
        <f aca="false">IF($F1602="","",IF($F1602&lt;1,ROUND($F1602*1440,0),INT($F1602/100)*60+MOD($F1602,100)))</f>
        <v/>
      </c>
    </row>
    <row r="1603" customFormat="false" ht="15" hidden="false" customHeight="true" outlineLevel="0" collapsed="false">
      <c r="A1603" s="10"/>
      <c r="B1603" s="8"/>
      <c r="C1603" s="13" t="str">
        <f aca="false">IF($B1603="","",IFERROR(INDEX(직원목록!$B$3:$B$302,MATCH($B1603,직원목록!$A$3:$A$302,0)),"미등록사번"))</f>
        <v/>
      </c>
      <c r="D1603" s="13" t="str">
        <f aca="false">IF($B1603="","",IFERROR(INDEX(직원목록!$C$3:$C$302,MATCH($B1603,직원목록!$A$3:$A$302,0)),""))</f>
        <v/>
      </c>
      <c r="E1603" s="14"/>
      <c r="F1603" s="14"/>
      <c r="G1603" s="15"/>
      <c r="H1603" s="16" t="str">
        <f aca="false">IF(OR($K1603="",$L1603=""),"",ROUND(MAX(0,($L1603-$K1603)-IF($G1603="",0,$G1603))/60,2))</f>
        <v/>
      </c>
      <c r="I1603" s="8"/>
      <c r="J1603" s="8"/>
      <c r="K1603" s="17" t="str">
        <f aca="false">IF($E1603="","",IF($E1603&lt;1,ROUND($E1603*1440,0),INT($E1603/100)*60+MOD($E1603,100)))</f>
        <v/>
      </c>
      <c r="L1603" s="17" t="str">
        <f aca="false">IF($F1603="","",IF($F1603&lt;1,ROUND($F1603*1440,0),INT($F1603/100)*60+MOD($F1603,100)))</f>
        <v/>
      </c>
    </row>
    <row r="1604" customFormat="false" ht="15" hidden="false" customHeight="true" outlineLevel="0" collapsed="false">
      <c r="A1604" s="10"/>
      <c r="B1604" s="8"/>
      <c r="C1604" s="13" t="str">
        <f aca="false">IF($B1604="","",IFERROR(INDEX(직원목록!$B$3:$B$302,MATCH($B1604,직원목록!$A$3:$A$302,0)),"미등록사번"))</f>
        <v/>
      </c>
      <c r="D1604" s="13" t="str">
        <f aca="false">IF($B1604="","",IFERROR(INDEX(직원목록!$C$3:$C$302,MATCH($B1604,직원목록!$A$3:$A$302,0)),""))</f>
        <v/>
      </c>
      <c r="E1604" s="14"/>
      <c r="F1604" s="14"/>
      <c r="G1604" s="15"/>
      <c r="H1604" s="16" t="str">
        <f aca="false">IF(OR($K1604="",$L1604=""),"",ROUND(MAX(0,($L1604-$K1604)-IF($G1604="",0,$G1604))/60,2))</f>
        <v/>
      </c>
      <c r="I1604" s="8"/>
      <c r="J1604" s="8"/>
      <c r="K1604" s="17" t="str">
        <f aca="false">IF($E1604="","",IF($E1604&lt;1,ROUND($E1604*1440,0),INT($E1604/100)*60+MOD($E1604,100)))</f>
        <v/>
      </c>
      <c r="L1604" s="17" t="str">
        <f aca="false">IF($F1604="","",IF($F1604&lt;1,ROUND($F1604*1440,0),INT($F1604/100)*60+MOD($F1604,100)))</f>
        <v/>
      </c>
    </row>
    <row r="1605" customFormat="false" ht="15" hidden="false" customHeight="true" outlineLevel="0" collapsed="false">
      <c r="A1605" s="10"/>
      <c r="B1605" s="8"/>
      <c r="C1605" s="13" t="str">
        <f aca="false">IF($B1605="","",IFERROR(INDEX(직원목록!$B$3:$B$302,MATCH($B1605,직원목록!$A$3:$A$302,0)),"미등록사번"))</f>
        <v/>
      </c>
      <c r="D1605" s="13" t="str">
        <f aca="false">IF($B1605="","",IFERROR(INDEX(직원목록!$C$3:$C$302,MATCH($B1605,직원목록!$A$3:$A$302,0)),""))</f>
        <v/>
      </c>
      <c r="E1605" s="14"/>
      <c r="F1605" s="14"/>
      <c r="G1605" s="15"/>
      <c r="H1605" s="16" t="str">
        <f aca="false">IF(OR($K1605="",$L1605=""),"",ROUND(MAX(0,($L1605-$K1605)-IF($G1605="",0,$G1605))/60,2))</f>
        <v/>
      </c>
      <c r="I1605" s="8"/>
      <c r="J1605" s="8"/>
      <c r="K1605" s="17" t="str">
        <f aca="false">IF($E1605="","",IF($E1605&lt;1,ROUND($E1605*1440,0),INT($E1605/100)*60+MOD($E1605,100)))</f>
        <v/>
      </c>
      <c r="L1605" s="17" t="str">
        <f aca="false">IF($F1605="","",IF($F1605&lt;1,ROUND($F1605*1440,0),INT($F1605/100)*60+MOD($F1605,100)))</f>
        <v/>
      </c>
    </row>
    <row r="1606" customFormat="false" ht="15" hidden="false" customHeight="true" outlineLevel="0" collapsed="false">
      <c r="A1606" s="10"/>
      <c r="B1606" s="8"/>
      <c r="C1606" s="13" t="str">
        <f aca="false">IF($B1606="","",IFERROR(INDEX(직원목록!$B$3:$B$302,MATCH($B1606,직원목록!$A$3:$A$302,0)),"미등록사번"))</f>
        <v/>
      </c>
      <c r="D1606" s="13" t="str">
        <f aca="false">IF($B1606="","",IFERROR(INDEX(직원목록!$C$3:$C$302,MATCH($B1606,직원목록!$A$3:$A$302,0)),""))</f>
        <v/>
      </c>
      <c r="E1606" s="14"/>
      <c r="F1606" s="14"/>
      <c r="G1606" s="15"/>
      <c r="H1606" s="16" t="str">
        <f aca="false">IF(OR($K1606="",$L1606=""),"",ROUND(MAX(0,($L1606-$K1606)-IF($G1606="",0,$G1606))/60,2))</f>
        <v/>
      </c>
      <c r="I1606" s="8"/>
      <c r="J1606" s="8"/>
      <c r="K1606" s="17" t="str">
        <f aca="false">IF($E1606="","",IF($E1606&lt;1,ROUND($E1606*1440,0),INT($E1606/100)*60+MOD($E1606,100)))</f>
        <v/>
      </c>
      <c r="L1606" s="17" t="str">
        <f aca="false">IF($F1606="","",IF($F1606&lt;1,ROUND($F1606*1440,0),INT($F1606/100)*60+MOD($F1606,100)))</f>
        <v/>
      </c>
    </row>
    <row r="1607" customFormat="false" ht="15" hidden="false" customHeight="true" outlineLevel="0" collapsed="false">
      <c r="A1607" s="10"/>
      <c r="B1607" s="8"/>
      <c r="C1607" s="13" t="str">
        <f aca="false">IF($B1607="","",IFERROR(INDEX(직원목록!$B$3:$B$302,MATCH($B1607,직원목록!$A$3:$A$302,0)),"미등록사번"))</f>
        <v/>
      </c>
      <c r="D1607" s="13" t="str">
        <f aca="false">IF($B1607="","",IFERROR(INDEX(직원목록!$C$3:$C$302,MATCH($B1607,직원목록!$A$3:$A$302,0)),""))</f>
        <v/>
      </c>
      <c r="E1607" s="14"/>
      <c r="F1607" s="14"/>
      <c r="G1607" s="15"/>
      <c r="H1607" s="16" t="str">
        <f aca="false">IF(OR($K1607="",$L1607=""),"",ROUND(MAX(0,($L1607-$K1607)-IF($G1607="",0,$G1607))/60,2))</f>
        <v/>
      </c>
      <c r="I1607" s="8"/>
      <c r="J1607" s="8"/>
      <c r="K1607" s="17" t="str">
        <f aca="false">IF($E1607="","",IF($E1607&lt;1,ROUND($E1607*1440,0),INT($E1607/100)*60+MOD($E1607,100)))</f>
        <v/>
      </c>
      <c r="L1607" s="17" t="str">
        <f aca="false">IF($F1607="","",IF($F1607&lt;1,ROUND($F1607*1440,0),INT($F1607/100)*60+MOD($F1607,100)))</f>
        <v/>
      </c>
    </row>
    <row r="1608" customFormat="false" ht="15" hidden="false" customHeight="true" outlineLevel="0" collapsed="false">
      <c r="A1608" s="10"/>
      <c r="B1608" s="8"/>
      <c r="C1608" s="13" t="str">
        <f aca="false">IF($B1608="","",IFERROR(INDEX(직원목록!$B$3:$B$302,MATCH($B1608,직원목록!$A$3:$A$302,0)),"미등록사번"))</f>
        <v/>
      </c>
      <c r="D1608" s="13" t="str">
        <f aca="false">IF($B1608="","",IFERROR(INDEX(직원목록!$C$3:$C$302,MATCH($B1608,직원목록!$A$3:$A$302,0)),""))</f>
        <v/>
      </c>
      <c r="E1608" s="14"/>
      <c r="F1608" s="14"/>
      <c r="G1608" s="15"/>
      <c r="H1608" s="16" t="str">
        <f aca="false">IF(OR($K1608="",$L1608=""),"",ROUND(MAX(0,($L1608-$K1608)-IF($G1608="",0,$G1608))/60,2))</f>
        <v/>
      </c>
      <c r="I1608" s="8"/>
      <c r="J1608" s="8"/>
      <c r="K1608" s="17" t="str">
        <f aca="false">IF($E1608="","",IF($E1608&lt;1,ROUND($E1608*1440,0),INT($E1608/100)*60+MOD($E1608,100)))</f>
        <v/>
      </c>
      <c r="L1608" s="17" t="str">
        <f aca="false">IF($F1608="","",IF($F1608&lt;1,ROUND($F1608*1440,0),INT($F1608/100)*60+MOD($F1608,100)))</f>
        <v/>
      </c>
    </row>
    <row r="1609" customFormat="false" ht="15" hidden="false" customHeight="true" outlineLevel="0" collapsed="false">
      <c r="A1609" s="10"/>
      <c r="B1609" s="8"/>
      <c r="C1609" s="13" t="str">
        <f aca="false">IF($B1609="","",IFERROR(INDEX(직원목록!$B$3:$B$302,MATCH($B1609,직원목록!$A$3:$A$302,0)),"미등록사번"))</f>
        <v/>
      </c>
      <c r="D1609" s="13" t="str">
        <f aca="false">IF($B1609="","",IFERROR(INDEX(직원목록!$C$3:$C$302,MATCH($B1609,직원목록!$A$3:$A$302,0)),""))</f>
        <v/>
      </c>
      <c r="E1609" s="14"/>
      <c r="F1609" s="14"/>
      <c r="G1609" s="15"/>
      <c r="H1609" s="16" t="str">
        <f aca="false">IF(OR($K1609="",$L1609=""),"",ROUND(MAX(0,($L1609-$K1609)-IF($G1609="",0,$G1609))/60,2))</f>
        <v/>
      </c>
      <c r="I1609" s="8"/>
      <c r="J1609" s="8"/>
      <c r="K1609" s="17" t="str">
        <f aca="false">IF($E1609="","",IF($E1609&lt;1,ROUND($E1609*1440,0),INT($E1609/100)*60+MOD($E1609,100)))</f>
        <v/>
      </c>
      <c r="L1609" s="17" t="str">
        <f aca="false">IF($F1609="","",IF($F1609&lt;1,ROUND($F1609*1440,0),INT($F1609/100)*60+MOD($F1609,100)))</f>
        <v/>
      </c>
    </row>
    <row r="1610" customFormat="false" ht="15" hidden="false" customHeight="true" outlineLevel="0" collapsed="false">
      <c r="A1610" s="10"/>
      <c r="B1610" s="8"/>
      <c r="C1610" s="13" t="str">
        <f aca="false">IF($B1610="","",IFERROR(INDEX(직원목록!$B$3:$B$302,MATCH($B1610,직원목록!$A$3:$A$302,0)),"미등록사번"))</f>
        <v/>
      </c>
      <c r="D1610" s="13" t="str">
        <f aca="false">IF($B1610="","",IFERROR(INDEX(직원목록!$C$3:$C$302,MATCH($B1610,직원목록!$A$3:$A$302,0)),""))</f>
        <v/>
      </c>
      <c r="E1610" s="14"/>
      <c r="F1610" s="14"/>
      <c r="G1610" s="15"/>
      <c r="H1610" s="16" t="str">
        <f aca="false">IF(OR($K1610="",$L1610=""),"",ROUND(MAX(0,($L1610-$K1610)-IF($G1610="",0,$G1610))/60,2))</f>
        <v/>
      </c>
      <c r="I1610" s="8"/>
      <c r="J1610" s="8"/>
      <c r="K1610" s="17" t="str">
        <f aca="false">IF($E1610="","",IF($E1610&lt;1,ROUND($E1610*1440,0),INT($E1610/100)*60+MOD($E1610,100)))</f>
        <v/>
      </c>
      <c r="L1610" s="17" t="str">
        <f aca="false">IF($F1610="","",IF($F1610&lt;1,ROUND($F1610*1440,0),INT($F1610/100)*60+MOD($F1610,100)))</f>
        <v/>
      </c>
    </row>
    <row r="1611" customFormat="false" ht="15" hidden="false" customHeight="true" outlineLevel="0" collapsed="false">
      <c r="A1611" s="10"/>
      <c r="B1611" s="8"/>
      <c r="C1611" s="13" t="str">
        <f aca="false">IF($B1611="","",IFERROR(INDEX(직원목록!$B$3:$B$302,MATCH($B1611,직원목록!$A$3:$A$302,0)),"미등록사번"))</f>
        <v/>
      </c>
      <c r="D1611" s="13" t="str">
        <f aca="false">IF($B1611="","",IFERROR(INDEX(직원목록!$C$3:$C$302,MATCH($B1611,직원목록!$A$3:$A$302,0)),""))</f>
        <v/>
      </c>
      <c r="E1611" s="14"/>
      <c r="F1611" s="14"/>
      <c r="G1611" s="15"/>
      <c r="H1611" s="16" t="str">
        <f aca="false">IF(OR($K1611="",$L1611=""),"",ROUND(MAX(0,($L1611-$K1611)-IF($G1611="",0,$G1611))/60,2))</f>
        <v/>
      </c>
      <c r="I1611" s="8"/>
      <c r="J1611" s="8"/>
      <c r="K1611" s="17" t="str">
        <f aca="false">IF($E1611="","",IF($E1611&lt;1,ROUND($E1611*1440,0),INT($E1611/100)*60+MOD($E1611,100)))</f>
        <v/>
      </c>
      <c r="L1611" s="17" t="str">
        <f aca="false">IF($F1611="","",IF($F1611&lt;1,ROUND($F1611*1440,0),INT($F1611/100)*60+MOD($F1611,100)))</f>
        <v/>
      </c>
    </row>
    <row r="1612" customFormat="false" ht="15" hidden="false" customHeight="true" outlineLevel="0" collapsed="false">
      <c r="A1612" s="10"/>
      <c r="B1612" s="8"/>
      <c r="C1612" s="13" t="str">
        <f aca="false">IF($B1612="","",IFERROR(INDEX(직원목록!$B$3:$B$302,MATCH($B1612,직원목록!$A$3:$A$302,0)),"미등록사번"))</f>
        <v/>
      </c>
      <c r="D1612" s="13" t="str">
        <f aca="false">IF($B1612="","",IFERROR(INDEX(직원목록!$C$3:$C$302,MATCH($B1612,직원목록!$A$3:$A$302,0)),""))</f>
        <v/>
      </c>
      <c r="E1612" s="14"/>
      <c r="F1612" s="14"/>
      <c r="G1612" s="15"/>
      <c r="H1612" s="16" t="str">
        <f aca="false">IF(OR($K1612="",$L1612=""),"",ROUND(MAX(0,($L1612-$K1612)-IF($G1612="",0,$G1612))/60,2))</f>
        <v/>
      </c>
      <c r="I1612" s="8"/>
      <c r="J1612" s="8"/>
      <c r="K1612" s="17" t="str">
        <f aca="false">IF($E1612="","",IF($E1612&lt;1,ROUND($E1612*1440,0),INT($E1612/100)*60+MOD($E1612,100)))</f>
        <v/>
      </c>
      <c r="L1612" s="17" t="str">
        <f aca="false">IF($F1612="","",IF($F1612&lt;1,ROUND($F1612*1440,0),INT($F1612/100)*60+MOD($F1612,100)))</f>
        <v/>
      </c>
    </row>
    <row r="1613" customFormat="false" ht="15" hidden="false" customHeight="true" outlineLevel="0" collapsed="false">
      <c r="A1613" s="10"/>
      <c r="B1613" s="8"/>
      <c r="C1613" s="13" t="str">
        <f aca="false">IF($B1613="","",IFERROR(INDEX(직원목록!$B$3:$B$302,MATCH($B1613,직원목록!$A$3:$A$302,0)),"미등록사번"))</f>
        <v/>
      </c>
      <c r="D1613" s="13" t="str">
        <f aca="false">IF($B1613="","",IFERROR(INDEX(직원목록!$C$3:$C$302,MATCH($B1613,직원목록!$A$3:$A$302,0)),""))</f>
        <v/>
      </c>
      <c r="E1613" s="14"/>
      <c r="F1613" s="14"/>
      <c r="G1613" s="15"/>
      <c r="H1613" s="16" t="str">
        <f aca="false">IF(OR($K1613="",$L1613=""),"",ROUND(MAX(0,($L1613-$K1613)-IF($G1613="",0,$G1613))/60,2))</f>
        <v/>
      </c>
      <c r="I1613" s="8"/>
      <c r="J1613" s="8"/>
      <c r="K1613" s="17" t="str">
        <f aca="false">IF($E1613="","",IF($E1613&lt;1,ROUND($E1613*1440,0),INT($E1613/100)*60+MOD($E1613,100)))</f>
        <v/>
      </c>
      <c r="L1613" s="17" t="str">
        <f aca="false">IF($F1613="","",IF($F1613&lt;1,ROUND($F1613*1440,0),INT($F1613/100)*60+MOD($F1613,100)))</f>
        <v/>
      </c>
    </row>
    <row r="1614" customFormat="false" ht="15" hidden="false" customHeight="true" outlineLevel="0" collapsed="false">
      <c r="A1614" s="10"/>
      <c r="B1614" s="8"/>
      <c r="C1614" s="13" t="str">
        <f aca="false">IF($B1614="","",IFERROR(INDEX(직원목록!$B$3:$B$302,MATCH($B1614,직원목록!$A$3:$A$302,0)),"미등록사번"))</f>
        <v/>
      </c>
      <c r="D1614" s="13" t="str">
        <f aca="false">IF($B1614="","",IFERROR(INDEX(직원목록!$C$3:$C$302,MATCH($B1614,직원목록!$A$3:$A$302,0)),""))</f>
        <v/>
      </c>
      <c r="E1614" s="14"/>
      <c r="F1614" s="14"/>
      <c r="G1614" s="15"/>
      <c r="H1614" s="16" t="str">
        <f aca="false">IF(OR($K1614="",$L1614=""),"",ROUND(MAX(0,($L1614-$K1614)-IF($G1614="",0,$G1614))/60,2))</f>
        <v/>
      </c>
      <c r="I1614" s="8"/>
      <c r="J1614" s="8"/>
      <c r="K1614" s="17" t="str">
        <f aca="false">IF($E1614="","",IF($E1614&lt;1,ROUND($E1614*1440,0),INT($E1614/100)*60+MOD($E1614,100)))</f>
        <v/>
      </c>
      <c r="L1614" s="17" t="str">
        <f aca="false">IF($F1614="","",IF($F1614&lt;1,ROUND($F1614*1440,0),INT($F1614/100)*60+MOD($F1614,100)))</f>
        <v/>
      </c>
    </row>
    <row r="1615" customFormat="false" ht="15" hidden="false" customHeight="true" outlineLevel="0" collapsed="false">
      <c r="A1615" s="10"/>
      <c r="B1615" s="8"/>
      <c r="C1615" s="13" t="str">
        <f aca="false">IF($B1615="","",IFERROR(INDEX(직원목록!$B$3:$B$302,MATCH($B1615,직원목록!$A$3:$A$302,0)),"미등록사번"))</f>
        <v/>
      </c>
      <c r="D1615" s="13" t="str">
        <f aca="false">IF($B1615="","",IFERROR(INDEX(직원목록!$C$3:$C$302,MATCH($B1615,직원목록!$A$3:$A$302,0)),""))</f>
        <v/>
      </c>
      <c r="E1615" s="14"/>
      <c r="F1615" s="14"/>
      <c r="G1615" s="15"/>
      <c r="H1615" s="16" t="str">
        <f aca="false">IF(OR($K1615="",$L1615=""),"",ROUND(MAX(0,($L1615-$K1615)-IF($G1615="",0,$G1615))/60,2))</f>
        <v/>
      </c>
      <c r="I1615" s="8"/>
      <c r="J1615" s="8"/>
      <c r="K1615" s="17" t="str">
        <f aca="false">IF($E1615="","",IF($E1615&lt;1,ROUND($E1615*1440,0),INT($E1615/100)*60+MOD($E1615,100)))</f>
        <v/>
      </c>
      <c r="L1615" s="17" t="str">
        <f aca="false">IF($F1615="","",IF($F1615&lt;1,ROUND($F1615*1440,0),INT($F1615/100)*60+MOD($F1615,100)))</f>
        <v/>
      </c>
    </row>
    <row r="1616" customFormat="false" ht="15" hidden="false" customHeight="true" outlineLevel="0" collapsed="false">
      <c r="A1616" s="10"/>
      <c r="B1616" s="8"/>
      <c r="C1616" s="13" t="str">
        <f aca="false">IF($B1616="","",IFERROR(INDEX(직원목록!$B$3:$B$302,MATCH($B1616,직원목록!$A$3:$A$302,0)),"미등록사번"))</f>
        <v/>
      </c>
      <c r="D1616" s="13" t="str">
        <f aca="false">IF($B1616="","",IFERROR(INDEX(직원목록!$C$3:$C$302,MATCH($B1616,직원목록!$A$3:$A$302,0)),""))</f>
        <v/>
      </c>
      <c r="E1616" s="14"/>
      <c r="F1616" s="14"/>
      <c r="G1616" s="15"/>
      <c r="H1616" s="16" t="str">
        <f aca="false">IF(OR($K1616="",$L1616=""),"",ROUND(MAX(0,($L1616-$K1616)-IF($G1616="",0,$G1616))/60,2))</f>
        <v/>
      </c>
      <c r="I1616" s="8"/>
      <c r="J1616" s="8"/>
      <c r="K1616" s="17" t="str">
        <f aca="false">IF($E1616="","",IF($E1616&lt;1,ROUND($E1616*1440,0),INT($E1616/100)*60+MOD($E1616,100)))</f>
        <v/>
      </c>
      <c r="L1616" s="17" t="str">
        <f aca="false">IF($F1616="","",IF($F1616&lt;1,ROUND($F1616*1440,0),INT($F1616/100)*60+MOD($F1616,100)))</f>
        <v/>
      </c>
    </row>
    <row r="1617" customFormat="false" ht="15" hidden="false" customHeight="true" outlineLevel="0" collapsed="false">
      <c r="A1617" s="10"/>
      <c r="B1617" s="8"/>
      <c r="C1617" s="13" t="str">
        <f aca="false">IF($B1617="","",IFERROR(INDEX(직원목록!$B$3:$B$302,MATCH($B1617,직원목록!$A$3:$A$302,0)),"미등록사번"))</f>
        <v/>
      </c>
      <c r="D1617" s="13" t="str">
        <f aca="false">IF($B1617="","",IFERROR(INDEX(직원목록!$C$3:$C$302,MATCH($B1617,직원목록!$A$3:$A$302,0)),""))</f>
        <v/>
      </c>
      <c r="E1617" s="14"/>
      <c r="F1617" s="14"/>
      <c r="G1617" s="15"/>
      <c r="H1617" s="16" t="str">
        <f aca="false">IF(OR($K1617="",$L1617=""),"",ROUND(MAX(0,($L1617-$K1617)-IF($G1617="",0,$G1617))/60,2))</f>
        <v/>
      </c>
      <c r="I1617" s="8"/>
      <c r="J1617" s="8"/>
      <c r="K1617" s="17" t="str">
        <f aca="false">IF($E1617="","",IF($E1617&lt;1,ROUND($E1617*1440,0),INT($E1617/100)*60+MOD($E1617,100)))</f>
        <v/>
      </c>
      <c r="L1617" s="17" t="str">
        <f aca="false">IF($F1617="","",IF($F1617&lt;1,ROUND($F1617*1440,0),INT($F1617/100)*60+MOD($F1617,100)))</f>
        <v/>
      </c>
    </row>
    <row r="1618" customFormat="false" ht="15" hidden="false" customHeight="true" outlineLevel="0" collapsed="false">
      <c r="A1618" s="10"/>
      <c r="B1618" s="8"/>
      <c r="C1618" s="13" t="str">
        <f aca="false">IF($B1618="","",IFERROR(INDEX(직원목록!$B$3:$B$302,MATCH($B1618,직원목록!$A$3:$A$302,0)),"미등록사번"))</f>
        <v/>
      </c>
      <c r="D1618" s="13" t="str">
        <f aca="false">IF($B1618="","",IFERROR(INDEX(직원목록!$C$3:$C$302,MATCH($B1618,직원목록!$A$3:$A$302,0)),""))</f>
        <v/>
      </c>
      <c r="E1618" s="14"/>
      <c r="F1618" s="14"/>
      <c r="G1618" s="15"/>
      <c r="H1618" s="16" t="str">
        <f aca="false">IF(OR($K1618="",$L1618=""),"",ROUND(MAX(0,($L1618-$K1618)-IF($G1618="",0,$G1618))/60,2))</f>
        <v/>
      </c>
      <c r="I1618" s="8"/>
      <c r="J1618" s="8"/>
      <c r="K1618" s="17" t="str">
        <f aca="false">IF($E1618="","",IF($E1618&lt;1,ROUND($E1618*1440,0),INT($E1618/100)*60+MOD($E1618,100)))</f>
        <v/>
      </c>
      <c r="L1618" s="17" t="str">
        <f aca="false">IF($F1618="","",IF($F1618&lt;1,ROUND($F1618*1440,0),INT($F1618/100)*60+MOD($F1618,100)))</f>
        <v/>
      </c>
    </row>
    <row r="1619" customFormat="false" ht="15" hidden="false" customHeight="true" outlineLevel="0" collapsed="false">
      <c r="A1619" s="10"/>
      <c r="B1619" s="8"/>
      <c r="C1619" s="13" t="str">
        <f aca="false">IF($B1619="","",IFERROR(INDEX(직원목록!$B$3:$B$302,MATCH($B1619,직원목록!$A$3:$A$302,0)),"미등록사번"))</f>
        <v/>
      </c>
      <c r="D1619" s="13" t="str">
        <f aca="false">IF($B1619="","",IFERROR(INDEX(직원목록!$C$3:$C$302,MATCH($B1619,직원목록!$A$3:$A$302,0)),""))</f>
        <v/>
      </c>
      <c r="E1619" s="14"/>
      <c r="F1619" s="14"/>
      <c r="G1619" s="15"/>
      <c r="H1619" s="16" t="str">
        <f aca="false">IF(OR($K1619="",$L1619=""),"",ROUND(MAX(0,($L1619-$K1619)-IF($G1619="",0,$G1619))/60,2))</f>
        <v/>
      </c>
      <c r="I1619" s="8"/>
      <c r="J1619" s="8"/>
      <c r="K1619" s="17" t="str">
        <f aca="false">IF($E1619="","",IF($E1619&lt;1,ROUND($E1619*1440,0),INT($E1619/100)*60+MOD($E1619,100)))</f>
        <v/>
      </c>
      <c r="L1619" s="17" t="str">
        <f aca="false">IF($F1619="","",IF($F1619&lt;1,ROUND($F1619*1440,0),INT($F1619/100)*60+MOD($F1619,100)))</f>
        <v/>
      </c>
    </row>
    <row r="1620" customFormat="false" ht="15" hidden="false" customHeight="true" outlineLevel="0" collapsed="false">
      <c r="A1620" s="10"/>
      <c r="B1620" s="8"/>
      <c r="C1620" s="13" t="str">
        <f aca="false">IF($B1620="","",IFERROR(INDEX(직원목록!$B$3:$B$302,MATCH($B1620,직원목록!$A$3:$A$302,0)),"미등록사번"))</f>
        <v/>
      </c>
      <c r="D1620" s="13" t="str">
        <f aca="false">IF($B1620="","",IFERROR(INDEX(직원목록!$C$3:$C$302,MATCH($B1620,직원목록!$A$3:$A$302,0)),""))</f>
        <v/>
      </c>
      <c r="E1620" s="14"/>
      <c r="F1620" s="14"/>
      <c r="G1620" s="15"/>
      <c r="H1620" s="16" t="str">
        <f aca="false">IF(OR($K1620="",$L1620=""),"",ROUND(MAX(0,($L1620-$K1620)-IF($G1620="",0,$G1620))/60,2))</f>
        <v/>
      </c>
      <c r="I1620" s="8"/>
      <c r="J1620" s="8"/>
      <c r="K1620" s="17" t="str">
        <f aca="false">IF($E1620="","",IF($E1620&lt;1,ROUND($E1620*1440,0),INT($E1620/100)*60+MOD($E1620,100)))</f>
        <v/>
      </c>
      <c r="L1620" s="17" t="str">
        <f aca="false">IF($F1620="","",IF($F1620&lt;1,ROUND($F1620*1440,0),INT($F1620/100)*60+MOD($F1620,100)))</f>
        <v/>
      </c>
    </row>
    <row r="1621" customFormat="false" ht="15" hidden="false" customHeight="true" outlineLevel="0" collapsed="false">
      <c r="A1621" s="10"/>
      <c r="B1621" s="8"/>
      <c r="C1621" s="13" t="str">
        <f aca="false">IF($B1621="","",IFERROR(INDEX(직원목록!$B$3:$B$302,MATCH($B1621,직원목록!$A$3:$A$302,0)),"미등록사번"))</f>
        <v/>
      </c>
      <c r="D1621" s="13" t="str">
        <f aca="false">IF($B1621="","",IFERROR(INDEX(직원목록!$C$3:$C$302,MATCH($B1621,직원목록!$A$3:$A$302,0)),""))</f>
        <v/>
      </c>
      <c r="E1621" s="14"/>
      <c r="F1621" s="14"/>
      <c r="G1621" s="15"/>
      <c r="H1621" s="16" t="str">
        <f aca="false">IF(OR($K1621="",$L1621=""),"",ROUND(MAX(0,($L1621-$K1621)-IF($G1621="",0,$G1621))/60,2))</f>
        <v/>
      </c>
      <c r="I1621" s="8"/>
      <c r="J1621" s="8"/>
      <c r="K1621" s="17" t="str">
        <f aca="false">IF($E1621="","",IF($E1621&lt;1,ROUND($E1621*1440,0),INT($E1621/100)*60+MOD($E1621,100)))</f>
        <v/>
      </c>
      <c r="L1621" s="17" t="str">
        <f aca="false">IF($F1621="","",IF($F1621&lt;1,ROUND($F1621*1440,0),INT($F1621/100)*60+MOD($F1621,100)))</f>
        <v/>
      </c>
    </row>
    <row r="1622" customFormat="false" ht="15" hidden="false" customHeight="true" outlineLevel="0" collapsed="false">
      <c r="A1622" s="10"/>
      <c r="B1622" s="8"/>
      <c r="C1622" s="13" t="str">
        <f aca="false">IF($B1622="","",IFERROR(INDEX(직원목록!$B$3:$B$302,MATCH($B1622,직원목록!$A$3:$A$302,0)),"미등록사번"))</f>
        <v/>
      </c>
      <c r="D1622" s="13" t="str">
        <f aca="false">IF($B1622="","",IFERROR(INDEX(직원목록!$C$3:$C$302,MATCH($B1622,직원목록!$A$3:$A$302,0)),""))</f>
        <v/>
      </c>
      <c r="E1622" s="14"/>
      <c r="F1622" s="14"/>
      <c r="G1622" s="15"/>
      <c r="H1622" s="16" t="str">
        <f aca="false">IF(OR($K1622="",$L1622=""),"",ROUND(MAX(0,($L1622-$K1622)-IF($G1622="",0,$G1622))/60,2))</f>
        <v/>
      </c>
      <c r="I1622" s="8"/>
      <c r="J1622" s="8"/>
      <c r="K1622" s="17" t="str">
        <f aca="false">IF($E1622="","",IF($E1622&lt;1,ROUND($E1622*1440,0),INT($E1622/100)*60+MOD($E1622,100)))</f>
        <v/>
      </c>
      <c r="L1622" s="17" t="str">
        <f aca="false">IF($F1622="","",IF($F1622&lt;1,ROUND($F1622*1440,0),INT($F1622/100)*60+MOD($F1622,100)))</f>
        <v/>
      </c>
    </row>
    <row r="1623" customFormat="false" ht="15" hidden="false" customHeight="true" outlineLevel="0" collapsed="false">
      <c r="A1623" s="10"/>
      <c r="B1623" s="8"/>
      <c r="C1623" s="13" t="str">
        <f aca="false">IF($B1623="","",IFERROR(INDEX(직원목록!$B$3:$B$302,MATCH($B1623,직원목록!$A$3:$A$302,0)),"미등록사번"))</f>
        <v/>
      </c>
      <c r="D1623" s="13" t="str">
        <f aca="false">IF($B1623="","",IFERROR(INDEX(직원목록!$C$3:$C$302,MATCH($B1623,직원목록!$A$3:$A$302,0)),""))</f>
        <v/>
      </c>
      <c r="E1623" s="14"/>
      <c r="F1623" s="14"/>
      <c r="G1623" s="15"/>
      <c r="H1623" s="16" t="str">
        <f aca="false">IF(OR($K1623="",$L1623=""),"",ROUND(MAX(0,($L1623-$K1623)-IF($G1623="",0,$G1623))/60,2))</f>
        <v/>
      </c>
      <c r="I1623" s="8"/>
      <c r="J1623" s="8"/>
      <c r="K1623" s="17" t="str">
        <f aca="false">IF($E1623="","",IF($E1623&lt;1,ROUND($E1623*1440,0),INT($E1623/100)*60+MOD($E1623,100)))</f>
        <v/>
      </c>
      <c r="L1623" s="17" t="str">
        <f aca="false">IF($F1623="","",IF($F1623&lt;1,ROUND($F1623*1440,0),INT($F1623/100)*60+MOD($F1623,100)))</f>
        <v/>
      </c>
    </row>
    <row r="1624" customFormat="false" ht="15" hidden="false" customHeight="true" outlineLevel="0" collapsed="false">
      <c r="A1624" s="10"/>
      <c r="B1624" s="8"/>
      <c r="C1624" s="13" t="str">
        <f aca="false">IF($B1624="","",IFERROR(INDEX(직원목록!$B$3:$B$302,MATCH($B1624,직원목록!$A$3:$A$302,0)),"미등록사번"))</f>
        <v/>
      </c>
      <c r="D1624" s="13" t="str">
        <f aca="false">IF($B1624="","",IFERROR(INDEX(직원목록!$C$3:$C$302,MATCH($B1624,직원목록!$A$3:$A$302,0)),""))</f>
        <v/>
      </c>
      <c r="E1624" s="14"/>
      <c r="F1624" s="14"/>
      <c r="G1624" s="15"/>
      <c r="H1624" s="16" t="str">
        <f aca="false">IF(OR($K1624="",$L1624=""),"",ROUND(MAX(0,($L1624-$K1624)-IF($G1624="",0,$G1624))/60,2))</f>
        <v/>
      </c>
      <c r="I1624" s="8"/>
      <c r="J1624" s="8"/>
      <c r="K1624" s="17" t="str">
        <f aca="false">IF($E1624="","",IF($E1624&lt;1,ROUND($E1624*1440,0),INT($E1624/100)*60+MOD($E1624,100)))</f>
        <v/>
      </c>
      <c r="L1624" s="17" t="str">
        <f aca="false">IF($F1624="","",IF($F1624&lt;1,ROUND($F1624*1440,0),INT($F1624/100)*60+MOD($F1624,100)))</f>
        <v/>
      </c>
    </row>
    <row r="1625" customFormat="false" ht="15" hidden="false" customHeight="true" outlineLevel="0" collapsed="false">
      <c r="A1625" s="10"/>
      <c r="B1625" s="8"/>
      <c r="C1625" s="13" t="str">
        <f aca="false">IF($B1625="","",IFERROR(INDEX(직원목록!$B$3:$B$302,MATCH($B1625,직원목록!$A$3:$A$302,0)),"미등록사번"))</f>
        <v/>
      </c>
      <c r="D1625" s="13" t="str">
        <f aca="false">IF($B1625="","",IFERROR(INDEX(직원목록!$C$3:$C$302,MATCH($B1625,직원목록!$A$3:$A$302,0)),""))</f>
        <v/>
      </c>
      <c r="E1625" s="14"/>
      <c r="F1625" s="14"/>
      <c r="G1625" s="15"/>
      <c r="H1625" s="16" t="str">
        <f aca="false">IF(OR($K1625="",$L1625=""),"",ROUND(MAX(0,($L1625-$K1625)-IF($G1625="",0,$G1625))/60,2))</f>
        <v/>
      </c>
      <c r="I1625" s="8"/>
      <c r="J1625" s="8"/>
      <c r="K1625" s="17" t="str">
        <f aca="false">IF($E1625="","",IF($E1625&lt;1,ROUND($E1625*1440,0),INT($E1625/100)*60+MOD($E1625,100)))</f>
        <v/>
      </c>
      <c r="L1625" s="17" t="str">
        <f aca="false">IF($F1625="","",IF($F1625&lt;1,ROUND($F1625*1440,0),INT($F1625/100)*60+MOD($F1625,100)))</f>
        <v/>
      </c>
    </row>
    <row r="1626" customFormat="false" ht="15" hidden="false" customHeight="true" outlineLevel="0" collapsed="false">
      <c r="A1626" s="10"/>
      <c r="B1626" s="8"/>
      <c r="C1626" s="13" t="str">
        <f aca="false">IF($B1626="","",IFERROR(INDEX(직원목록!$B$3:$B$302,MATCH($B1626,직원목록!$A$3:$A$302,0)),"미등록사번"))</f>
        <v/>
      </c>
      <c r="D1626" s="13" t="str">
        <f aca="false">IF($B1626="","",IFERROR(INDEX(직원목록!$C$3:$C$302,MATCH($B1626,직원목록!$A$3:$A$302,0)),""))</f>
        <v/>
      </c>
      <c r="E1626" s="14"/>
      <c r="F1626" s="14"/>
      <c r="G1626" s="15"/>
      <c r="H1626" s="16" t="str">
        <f aca="false">IF(OR($K1626="",$L1626=""),"",ROUND(MAX(0,($L1626-$K1626)-IF($G1626="",0,$G1626))/60,2))</f>
        <v/>
      </c>
      <c r="I1626" s="8"/>
      <c r="J1626" s="8"/>
      <c r="K1626" s="17" t="str">
        <f aca="false">IF($E1626="","",IF($E1626&lt;1,ROUND($E1626*1440,0),INT($E1626/100)*60+MOD($E1626,100)))</f>
        <v/>
      </c>
      <c r="L1626" s="17" t="str">
        <f aca="false">IF($F1626="","",IF($F1626&lt;1,ROUND($F1626*1440,0),INT($F1626/100)*60+MOD($F1626,100)))</f>
        <v/>
      </c>
    </row>
    <row r="1627" customFormat="false" ht="15" hidden="false" customHeight="true" outlineLevel="0" collapsed="false">
      <c r="A1627" s="10"/>
      <c r="B1627" s="8"/>
      <c r="C1627" s="13" t="str">
        <f aca="false">IF($B1627="","",IFERROR(INDEX(직원목록!$B$3:$B$302,MATCH($B1627,직원목록!$A$3:$A$302,0)),"미등록사번"))</f>
        <v/>
      </c>
      <c r="D1627" s="13" t="str">
        <f aca="false">IF($B1627="","",IFERROR(INDEX(직원목록!$C$3:$C$302,MATCH($B1627,직원목록!$A$3:$A$302,0)),""))</f>
        <v/>
      </c>
      <c r="E1627" s="14"/>
      <c r="F1627" s="14"/>
      <c r="G1627" s="15"/>
      <c r="H1627" s="16" t="str">
        <f aca="false">IF(OR($K1627="",$L1627=""),"",ROUND(MAX(0,($L1627-$K1627)-IF($G1627="",0,$G1627))/60,2))</f>
        <v/>
      </c>
      <c r="I1627" s="8"/>
      <c r="J1627" s="8"/>
      <c r="K1627" s="17" t="str">
        <f aca="false">IF($E1627="","",IF($E1627&lt;1,ROUND($E1627*1440,0),INT($E1627/100)*60+MOD($E1627,100)))</f>
        <v/>
      </c>
      <c r="L1627" s="17" t="str">
        <f aca="false">IF($F1627="","",IF($F1627&lt;1,ROUND($F1627*1440,0),INT($F1627/100)*60+MOD($F1627,100)))</f>
        <v/>
      </c>
    </row>
    <row r="1628" customFormat="false" ht="15" hidden="false" customHeight="true" outlineLevel="0" collapsed="false">
      <c r="A1628" s="10"/>
      <c r="B1628" s="8"/>
      <c r="C1628" s="13" t="str">
        <f aca="false">IF($B1628="","",IFERROR(INDEX(직원목록!$B$3:$B$302,MATCH($B1628,직원목록!$A$3:$A$302,0)),"미등록사번"))</f>
        <v/>
      </c>
      <c r="D1628" s="13" t="str">
        <f aca="false">IF($B1628="","",IFERROR(INDEX(직원목록!$C$3:$C$302,MATCH($B1628,직원목록!$A$3:$A$302,0)),""))</f>
        <v/>
      </c>
      <c r="E1628" s="14"/>
      <c r="F1628" s="14"/>
      <c r="G1628" s="15"/>
      <c r="H1628" s="16" t="str">
        <f aca="false">IF(OR($K1628="",$L1628=""),"",ROUND(MAX(0,($L1628-$K1628)-IF($G1628="",0,$G1628))/60,2))</f>
        <v/>
      </c>
      <c r="I1628" s="8"/>
      <c r="J1628" s="8"/>
      <c r="K1628" s="17" t="str">
        <f aca="false">IF($E1628="","",IF($E1628&lt;1,ROUND($E1628*1440,0),INT($E1628/100)*60+MOD($E1628,100)))</f>
        <v/>
      </c>
      <c r="L1628" s="17" t="str">
        <f aca="false">IF($F1628="","",IF($F1628&lt;1,ROUND($F1628*1440,0),INT($F1628/100)*60+MOD($F1628,100)))</f>
        <v/>
      </c>
    </row>
    <row r="1629" customFormat="false" ht="15" hidden="false" customHeight="true" outlineLevel="0" collapsed="false">
      <c r="A1629" s="10"/>
      <c r="B1629" s="8"/>
      <c r="C1629" s="13" t="str">
        <f aca="false">IF($B1629="","",IFERROR(INDEX(직원목록!$B$3:$B$302,MATCH($B1629,직원목록!$A$3:$A$302,0)),"미등록사번"))</f>
        <v/>
      </c>
      <c r="D1629" s="13" t="str">
        <f aca="false">IF($B1629="","",IFERROR(INDEX(직원목록!$C$3:$C$302,MATCH($B1629,직원목록!$A$3:$A$302,0)),""))</f>
        <v/>
      </c>
      <c r="E1629" s="14"/>
      <c r="F1629" s="14"/>
      <c r="G1629" s="15"/>
      <c r="H1629" s="16" t="str">
        <f aca="false">IF(OR($K1629="",$L1629=""),"",ROUND(MAX(0,($L1629-$K1629)-IF($G1629="",0,$G1629))/60,2))</f>
        <v/>
      </c>
      <c r="I1629" s="8"/>
      <c r="J1629" s="8"/>
      <c r="K1629" s="17" t="str">
        <f aca="false">IF($E1629="","",IF($E1629&lt;1,ROUND($E1629*1440,0),INT($E1629/100)*60+MOD($E1629,100)))</f>
        <v/>
      </c>
      <c r="L1629" s="17" t="str">
        <f aca="false">IF($F1629="","",IF($F1629&lt;1,ROUND($F1629*1440,0),INT($F1629/100)*60+MOD($F1629,100)))</f>
        <v/>
      </c>
    </row>
    <row r="1630" customFormat="false" ht="15" hidden="false" customHeight="true" outlineLevel="0" collapsed="false">
      <c r="A1630" s="10"/>
      <c r="B1630" s="8"/>
      <c r="C1630" s="13" t="str">
        <f aca="false">IF($B1630="","",IFERROR(INDEX(직원목록!$B$3:$B$302,MATCH($B1630,직원목록!$A$3:$A$302,0)),"미등록사번"))</f>
        <v/>
      </c>
      <c r="D1630" s="13" t="str">
        <f aca="false">IF($B1630="","",IFERROR(INDEX(직원목록!$C$3:$C$302,MATCH($B1630,직원목록!$A$3:$A$302,0)),""))</f>
        <v/>
      </c>
      <c r="E1630" s="14"/>
      <c r="F1630" s="14"/>
      <c r="G1630" s="15"/>
      <c r="H1630" s="16" t="str">
        <f aca="false">IF(OR($K1630="",$L1630=""),"",ROUND(MAX(0,($L1630-$K1630)-IF($G1630="",0,$G1630))/60,2))</f>
        <v/>
      </c>
      <c r="I1630" s="8"/>
      <c r="J1630" s="8"/>
      <c r="K1630" s="17" t="str">
        <f aca="false">IF($E1630="","",IF($E1630&lt;1,ROUND($E1630*1440,0),INT($E1630/100)*60+MOD($E1630,100)))</f>
        <v/>
      </c>
      <c r="L1630" s="17" t="str">
        <f aca="false">IF($F1630="","",IF($F1630&lt;1,ROUND($F1630*1440,0),INT($F1630/100)*60+MOD($F1630,100)))</f>
        <v/>
      </c>
    </row>
    <row r="1631" customFormat="false" ht="15" hidden="false" customHeight="true" outlineLevel="0" collapsed="false">
      <c r="A1631" s="10"/>
      <c r="B1631" s="8"/>
      <c r="C1631" s="13" t="str">
        <f aca="false">IF($B1631="","",IFERROR(INDEX(직원목록!$B$3:$B$302,MATCH($B1631,직원목록!$A$3:$A$302,0)),"미등록사번"))</f>
        <v/>
      </c>
      <c r="D1631" s="13" t="str">
        <f aca="false">IF($B1631="","",IFERROR(INDEX(직원목록!$C$3:$C$302,MATCH($B1631,직원목록!$A$3:$A$302,0)),""))</f>
        <v/>
      </c>
      <c r="E1631" s="14"/>
      <c r="F1631" s="14"/>
      <c r="G1631" s="15"/>
      <c r="H1631" s="16" t="str">
        <f aca="false">IF(OR($K1631="",$L1631=""),"",ROUND(MAX(0,($L1631-$K1631)-IF($G1631="",0,$G1631))/60,2))</f>
        <v/>
      </c>
      <c r="I1631" s="8"/>
      <c r="J1631" s="8"/>
      <c r="K1631" s="17" t="str">
        <f aca="false">IF($E1631="","",IF($E1631&lt;1,ROUND($E1631*1440,0),INT($E1631/100)*60+MOD($E1631,100)))</f>
        <v/>
      </c>
      <c r="L1631" s="17" t="str">
        <f aca="false">IF($F1631="","",IF($F1631&lt;1,ROUND($F1631*1440,0),INT($F1631/100)*60+MOD($F1631,100)))</f>
        <v/>
      </c>
    </row>
    <row r="1632" customFormat="false" ht="15" hidden="false" customHeight="true" outlineLevel="0" collapsed="false">
      <c r="A1632" s="10"/>
      <c r="B1632" s="8"/>
      <c r="C1632" s="13" t="str">
        <f aca="false">IF($B1632="","",IFERROR(INDEX(직원목록!$B$3:$B$302,MATCH($B1632,직원목록!$A$3:$A$302,0)),"미등록사번"))</f>
        <v/>
      </c>
      <c r="D1632" s="13" t="str">
        <f aca="false">IF($B1632="","",IFERROR(INDEX(직원목록!$C$3:$C$302,MATCH($B1632,직원목록!$A$3:$A$302,0)),""))</f>
        <v/>
      </c>
      <c r="E1632" s="14"/>
      <c r="F1632" s="14"/>
      <c r="G1632" s="15"/>
      <c r="H1632" s="16" t="str">
        <f aca="false">IF(OR($K1632="",$L1632=""),"",ROUND(MAX(0,($L1632-$K1632)-IF($G1632="",0,$G1632))/60,2))</f>
        <v/>
      </c>
      <c r="I1632" s="8"/>
      <c r="J1632" s="8"/>
      <c r="K1632" s="17" t="str">
        <f aca="false">IF($E1632="","",IF($E1632&lt;1,ROUND($E1632*1440,0),INT($E1632/100)*60+MOD($E1632,100)))</f>
        <v/>
      </c>
      <c r="L1632" s="17" t="str">
        <f aca="false">IF($F1632="","",IF($F1632&lt;1,ROUND($F1632*1440,0),INT($F1632/100)*60+MOD($F1632,100)))</f>
        <v/>
      </c>
    </row>
    <row r="1633" customFormat="false" ht="15" hidden="false" customHeight="true" outlineLevel="0" collapsed="false">
      <c r="A1633" s="10"/>
      <c r="B1633" s="8"/>
      <c r="C1633" s="13" t="str">
        <f aca="false">IF($B1633="","",IFERROR(INDEX(직원목록!$B$3:$B$302,MATCH($B1633,직원목록!$A$3:$A$302,0)),"미등록사번"))</f>
        <v/>
      </c>
      <c r="D1633" s="13" t="str">
        <f aca="false">IF($B1633="","",IFERROR(INDEX(직원목록!$C$3:$C$302,MATCH($B1633,직원목록!$A$3:$A$302,0)),""))</f>
        <v/>
      </c>
      <c r="E1633" s="14"/>
      <c r="F1633" s="14"/>
      <c r="G1633" s="15"/>
      <c r="H1633" s="16" t="str">
        <f aca="false">IF(OR($K1633="",$L1633=""),"",ROUND(MAX(0,($L1633-$K1633)-IF($G1633="",0,$G1633))/60,2))</f>
        <v/>
      </c>
      <c r="I1633" s="8"/>
      <c r="J1633" s="8"/>
      <c r="K1633" s="17" t="str">
        <f aca="false">IF($E1633="","",IF($E1633&lt;1,ROUND($E1633*1440,0),INT($E1633/100)*60+MOD($E1633,100)))</f>
        <v/>
      </c>
      <c r="L1633" s="17" t="str">
        <f aca="false">IF($F1633="","",IF($F1633&lt;1,ROUND($F1633*1440,0),INT($F1633/100)*60+MOD($F1633,100)))</f>
        <v/>
      </c>
    </row>
    <row r="1634" customFormat="false" ht="15" hidden="false" customHeight="true" outlineLevel="0" collapsed="false">
      <c r="A1634" s="10"/>
      <c r="B1634" s="8"/>
      <c r="C1634" s="13" t="str">
        <f aca="false">IF($B1634="","",IFERROR(INDEX(직원목록!$B$3:$B$302,MATCH($B1634,직원목록!$A$3:$A$302,0)),"미등록사번"))</f>
        <v/>
      </c>
      <c r="D1634" s="13" t="str">
        <f aca="false">IF($B1634="","",IFERROR(INDEX(직원목록!$C$3:$C$302,MATCH($B1634,직원목록!$A$3:$A$302,0)),""))</f>
        <v/>
      </c>
      <c r="E1634" s="14"/>
      <c r="F1634" s="14"/>
      <c r="G1634" s="15"/>
      <c r="H1634" s="16" t="str">
        <f aca="false">IF(OR($K1634="",$L1634=""),"",ROUND(MAX(0,($L1634-$K1634)-IF($G1634="",0,$G1634))/60,2))</f>
        <v/>
      </c>
      <c r="I1634" s="8"/>
      <c r="J1634" s="8"/>
      <c r="K1634" s="17" t="str">
        <f aca="false">IF($E1634="","",IF($E1634&lt;1,ROUND($E1634*1440,0),INT($E1634/100)*60+MOD($E1634,100)))</f>
        <v/>
      </c>
      <c r="L1634" s="17" t="str">
        <f aca="false">IF($F1634="","",IF($F1634&lt;1,ROUND($F1634*1440,0),INT($F1634/100)*60+MOD($F1634,100)))</f>
        <v/>
      </c>
    </row>
    <row r="1635" customFormat="false" ht="15" hidden="false" customHeight="true" outlineLevel="0" collapsed="false">
      <c r="A1635" s="10"/>
      <c r="B1635" s="8"/>
      <c r="C1635" s="13" t="str">
        <f aca="false">IF($B1635="","",IFERROR(INDEX(직원목록!$B$3:$B$302,MATCH($B1635,직원목록!$A$3:$A$302,0)),"미등록사번"))</f>
        <v/>
      </c>
      <c r="D1635" s="13" t="str">
        <f aca="false">IF($B1635="","",IFERROR(INDEX(직원목록!$C$3:$C$302,MATCH($B1635,직원목록!$A$3:$A$302,0)),""))</f>
        <v/>
      </c>
      <c r="E1635" s="14"/>
      <c r="F1635" s="14"/>
      <c r="G1635" s="15"/>
      <c r="H1635" s="16" t="str">
        <f aca="false">IF(OR($K1635="",$L1635=""),"",ROUND(MAX(0,($L1635-$K1635)-IF($G1635="",0,$G1635))/60,2))</f>
        <v/>
      </c>
      <c r="I1635" s="8"/>
      <c r="J1635" s="8"/>
      <c r="K1635" s="17" t="str">
        <f aca="false">IF($E1635="","",IF($E1635&lt;1,ROUND($E1635*1440,0),INT($E1635/100)*60+MOD($E1635,100)))</f>
        <v/>
      </c>
      <c r="L1635" s="17" t="str">
        <f aca="false">IF($F1635="","",IF($F1635&lt;1,ROUND($F1635*1440,0),INT($F1635/100)*60+MOD($F1635,100)))</f>
        <v/>
      </c>
    </row>
    <row r="1636" customFormat="false" ht="15" hidden="false" customHeight="true" outlineLevel="0" collapsed="false">
      <c r="A1636" s="10"/>
      <c r="B1636" s="8"/>
      <c r="C1636" s="13" t="str">
        <f aca="false">IF($B1636="","",IFERROR(INDEX(직원목록!$B$3:$B$302,MATCH($B1636,직원목록!$A$3:$A$302,0)),"미등록사번"))</f>
        <v/>
      </c>
      <c r="D1636" s="13" t="str">
        <f aca="false">IF($B1636="","",IFERROR(INDEX(직원목록!$C$3:$C$302,MATCH($B1636,직원목록!$A$3:$A$302,0)),""))</f>
        <v/>
      </c>
      <c r="E1636" s="14"/>
      <c r="F1636" s="14"/>
      <c r="G1636" s="15"/>
      <c r="H1636" s="16" t="str">
        <f aca="false">IF(OR($K1636="",$L1636=""),"",ROUND(MAX(0,($L1636-$K1636)-IF($G1636="",0,$G1636))/60,2))</f>
        <v/>
      </c>
      <c r="I1636" s="8"/>
      <c r="J1636" s="8"/>
      <c r="K1636" s="17" t="str">
        <f aca="false">IF($E1636="","",IF($E1636&lt;1,ROUND($E1636*1440,0),INT($E1636/100)*60+MOD($E1636,100)))</f>
        <v/>
      </c>
      <c r="L1636" s="17" t="str">
        <f aca="false">IF($F1636="","",IF($F1636&lt;1,ROUND($F1636*1440,0),INT($F1636/100)*60+MOD($F1636,100)))</f>
        <v/>
      </c>
    </row>
    <row r="1637" customFormat="false" ht="15" hidden="false" customHeight="true" outlineLevel="0" collapsed="false">
      <c r="A1637" s="10"/>
      <c r="B1637" s="8"/>
      <c r="C1637" s="13" t="str">
        <f aca="false">IF($B1637="","",IFERROR(INDEX(직원목록!$B$3:$B$302,MATCH($B1637,직원목록!$A$3:$A$302,0)),"미등록사번"))</f>
        <v/>
      </c>
      <c r="D1637" s="13" t="str">
        <f aca="false">IF($B1637="","",IFERROR(INDEX(직원목록!$C$3:$C$302,MATCH($B1637,직원목록!$A$3:$A$302,0)),""))</f>
        <v/>
      </c>
      <c r="E1637" s="14"/>
      <c r="F1637" s="14"/>
      <c r="G1637" s="15"/>
      <c r="H1637" s="16" t="str">
        <f aca="false">IF(OR($K1637="",$L1637=""),"",ROUND(MAX(0,($L1637-$K1637)-IF($G1637="",0,$G1637))/60,2))</f>
        <v/>
      </c>
      <c r="I1637" s="8"/>
      <c r="J1637" s="8"/>
      <c r="K1637" s="17" t="str">
        <f aca="false">IF($E1637="","",IF($E1637&lt;1,ROUND($E1637*1440,0),INT($E1637/100)*60+MOD($E1637,100)))</f>
        <v/>
      </c>
      <c r="L1637" s="17" t="str">
        <f aca="false">IF($F1637="","",IF($F1637&lt;1,ROUND($F1637*1440,0),INT($F1637/100)*60+MOD($F1637,100)))</f>
        <v/>
      </c>
    </row>
    <row r="1638" customFormat="false" ht="15" hidden="false" customHeight="true" outlineLevel="0" collapsed="false">
      <c r="A1638" s="10"/>
      <c r="B1638" s="8"/>
      <c r="C1638" s="13" t="str">
        <f aca="false">IF($B1638="","",IFERROR(INDEX(직원목록!$B$3:$B$302,MATCH($B1638,직원목록!$A$3:$A$302,0)),"미등록사번"))</f>
        <v/>
      </c>
      <c r="D1638" s="13" t="str">
        <f aca="false">IF($B1638="","",IFERROR(INDEX(직원목록!$C$3:$C$302,MATCH($B1638,직원목록!$A$3:$A$302,0)),""))</f>
        <v/>
      </c>
      <c r="E1638" s="14"/>
      <c r="F1638" s="14"/>
      <c r="G1638" s="15"/>
      <c r="H1638" s="16" t="str">
        <f aca="false">IF(OR($K1638="",$L1638=""),"",ROUND(MAX(0,($L1638-$K1638)-IF($G1638="",0,$G1638))/60,2))</f>
        <v/>
      </c>
      <c r="I1638" s="8"/>
      <c r="J1638" s="8"/>
      <c r="K1638" s="17" t="str">
        <f aca="false">IF($E1638="","",IF($E1638&lt;1,ROUND($E1638*1440,0),INT($E1638/100)*60+MOD($E1638,100)))</f>
        <v/>
      </c>
      <c r="L1638" s="17" t="str">
        <f aca="false">IF($F1638="","",IF($F1638&lt;1,ROUND($F1638*1440,0),INT($F1638/100)*60+MOD($F1638,100)))</f>
        <v/>
      </c>
    </row>
    <row r="1639" customFormat="false" ht="15" hidden="false" customHeight="true" outlineLevel="0" collapsed="false">
      <c r="A1639" s="10"/>
      <c r="B1639" s="8"/>
      <c r="C1639" s="13" t="str">
        <f aca="false">IF($B1639="","",IFERROR(INDEX(직원목록!$B$3:$B$302,MATCH($B1639,직원목록!$A$3:$A$302,0)),"미등록사번"))</f>
        <v/>
      </c>
      <c r="D1639" s="13" t="str">
        <f aca="false">IF($B1639="","",IFERROR(INDEX(직원목록!$C$3:$C$302,MATCH($B1639,직원목록!$A$3:$A$302,0)),""))</f>
        <v/>
      </c>
      <c r="E1639" s="14"/>
      <c r="F1639" s="14"/>
      <c r="G1639" s="15"/>
      <c r="H1639" s="16" t="str">
        <f aca="false">IF(OR($K1639="",$L1639=""),"",ROUND(MAX(0,($L1639-$K1639)-IF($G1639="",0,$G1639))/60,2))</f>
        <v/>
      </c>
      <c r="I1639" s="8"/>
      <c r="J1639" s="8"/>
      <c r="K1639" s="17" t="str">
        <f aca="false">IF($E1639="","",IF($E1639&lt;1,ROUND($E1639*1440,0),INT($E1639/100)*60+MOD($E1639,100)))</f>
        <v/>
      </c>
      <c r="L1639" s="17" t="str">
        <f aca="false">IF($F1639="","",IF($F1639&lt;1,ROUND($F1639*1440,0),INT($F1639/100)*60+MOD($F1639,100)))</f>
        <v/>
      </c>
    </row>
    <row r="1640" customFormat="false" ht="15" hidden="false" customHeight="true" outlineLevel="0" collapsed="false">
      <c r="A1640" s="10"/>
      <c r="B1640" s="8"/>
      <c r="C1640" s="13" t="str">
        <f aca="false">IF($B1640="","",IFERROR(INDEX(직원목록!$B$3:$B$302,MATCH($B1640,직원목록!$A$3:$A$302,0)),"미등록사번"))</f>
        <v/>
      </c>
      <c r="D1640" s="13" t="str">
        <f aca="false">IF($B1640="","",IFERROR(INDEX(직원목록!$C$3:$C$302,MATCH($B1640,직원목록!$A$3:$A$302,0)),""))</f>
        <v/>
      </c>
      <c r="E1640" s="14"/>
      <c r="F1640" s="14"/>
      <c r="G1640" s="15"/>
      <c r="H1640" s="16" t="str">
        <f aca="false">IF(OR($K1640="",$L1640=""),"",ROUND(MAX(0,($L1640-$K1640)-IF($G1640="",0,$G1640))/60,2))</f>
        <v/>
      </c>
      <c r="I1640" s="8"/>
      <c r="J1640" s="8"/>
      <c r="K1640" s="17" t="str">
        <f aca="false">IF($E1640="","",IF($E1640&lt;1,ROUND($E1640*1440,0),INT($E1640/100)*60+MOD($E1640,100)))</f>
        <v/>
      </c>
      <c r="L1640" s="17" t="str">
        <f aca="false">IF($F1640="","",IF($F1640&lt;1,ROUND($F1640*1440,0),INT($F1640/100)*60+MOD($F1640,100)))</f>
        <v/>
      </c>
    </row>
    <row r="1641" customFormat="false" ht="15" hidden="false" customHeight="true" outlineLevel="0" collapsed="false">
      <c r="A1641" s="10"/>
      <c r="B1641" s="8"/>
      <c r="C1641" s="13" t="str">
        <f aca="false">IF($B1641="","",IFERROR(INDEX(직원목록!$B$3:$B$302,MATCH($B1641,직원목록!$A$3:$A$302,0)),"미등록사번"))</f>
        <v/>
      </c>
      <c r="D1641" s="13" t="str">
        <f aca="false">IF($B1641="","",IFERROR(INDEX(직원목록!$C$3:$C$302,MATCH($B1641,직원목록!$A$3:$A$302,0)),""))</f>
        <v/>
      </c>
      <c r="E1641" s="14"/>
      <c r="F1641" s="14"/>
      <c r="G1641" s="15"/>
      <c r="H1641" s="16" t="str">
        <f aca="false">IF(OR($K1641="",$L1641=""),"",ROUND(MAX(0,($L1641-$K1641)-IF($G1641="",0,$G1641))/60,2))</f>
        <v/>
      </c>
      <c r="I1641" s="8"/>
      <c r="J1641" s="8"/>
      <c r="K1641" s="17" t="str">
        <f aca="false">IF($E1641="","",IF($E1641&lt;1,ROUND($E1641*1440,0),INT($E1641/100)*60+MOD($E1641,100)))</f>
        <v/>
      </c>
      <c r="L1641" s="17" t="str">
        <f aca="false">IF($F1641="","",IF($F1641&lt;1,ROUND($F1641*1440,0),INT($F1641/100)*60+MOD($F1641,100)))</f>
        <v/>
      </c>
    </row>
    <row r="1642" customFormat="false" ht="15" hidden="false" customHeight="true" outlineLevel="0" collapsed="false">
      <c r="A1642" s="10"/>
      <c r="B1642" s="8"/>
      <c r="C1642" s="13" t="str">
        <f aca="false">IF($B1642="","",IFERROR(INDEX(직원목록!$B$3:$B$302,MATCH($B1642,직원목록!$A$3:$A$302,0)),"미등록사번"))</f>
        <v/>
      </c>
      <c r="D1642" s="13" t="str">
        <f aca="false">IF($B1642="","",IFERROR(INDEX(직원목록!$C$3:$C$302,MATCH($B1642,직원목록!$A$3:$A$302,0)),""))</f>
        <v/>
      </c>
      <c r="E1642" s="14"/>
      <c r="F1642" s="14"/>
      <c r="G1642" s="15"/>
      <c r="H1642" s="16" t="str">
        <f aca="false">IF(OR($K1642="",$L1642=""),"",ROUND(MAX(0,($L1642-$K1642)-IF($G1642="",0,$G1642))/60,2))</f>
        <v/>
      </c>
      <c r="I1642" s="8"/>
      <c r="J1642" s="8"/>
      <c r="K1642" s="17" t="str">
        <f aca="false">IF($E1642="","",IF($E1642&lt;1,ROUND($E1642*1440,0),INT($E1642/100)*60+MOD($E1642,100)))</f>
        <v/>
      </c>
      <c r="L1642" s="17" t="str">
        <f aca="false">IF($F1642="","",IF($F1642&lt;1,ROUND($F1642*1440,0),INT($F1642/100)*60+MOD($F1642,100)))</f>
        <v/>
      </c>
    </row>
    <row r="1643" customFormat="false" ht="15" hidden="false" customHeight="true" outlineLevel="0" collapsed="false">
      <c r="A1643" s="10"/>
      <c r="B1643" s="8"/>
      <c r="C1643" s="13" t="str">
        <f aca="false">IF($B1643="","",IFERROR(INDEX(직원목록!$B$3:$B$302,MATCH($B1643,직원목록!$A$3:$A$302,0)),"미등록사번"))</f>
        <v/>
      </c>
      <c r="D1643" s="13" t="str">
        <f aca="false">IF($B1643="","",IFERROR(INDEX(직원목록!$C$3:$C$302,MATCH($B1643,직원목록!$A$3:$A$302,0)),""))</f>
        <v/>
      </c>
      <c r="E1643" s="14"/>
      <c r="F1643" s="14"/>
      <c r="G1643" s="15"/>
      <c r="H1643" s="16" t="str">
        <f aca="false">IF(OR($K1643="",$L1643=""),"",ROUND(MAX(0,($L1643-$K1643)-IF($G1643="",0,$G1643))/60,2))</f>
        <v/>
      </c>
      <c r="I1643" s="8"/>
      <c r="J1643" s="8"/>
      <c r="K1643" s="17" t="str">
        <f aca="false">IF($E1643="","",IF($E1643&lt;1,ROUND($E1643*1440,0),INT($E1643/100)*60+MOD($E1643,100)))</f>
        <v/>
      </c>
      <c r="L1643" s="17" t="str">
        <f aca="false">IF($F1643="","",IF($F1643&lt;1,ROUND($F1643*1440,0),INT($F1643/100)*60+MOD($F1643,100)))</f>
        <v/>
      </c>
    </row>
    <row r="1644" customFormat="false" ht="15" hidden="false" customHeight="true" outlineLevel="0" collapsed="false">
      <c r="A1644" s="10"/>
      <c r="B1644" s="8"/>
      <c r="C1644" s="13" t="str">
        <f aca="false">IF($B1644="","",IFERROR(INDEX(직원목록!$B$3:$B$302,MATCH($B1644,직원목록!$A$3:$A$302,0)),"미등록사번"))</f>
        <v/>
      </c>
      <c r="D1644" s="13" t="str">
        <f aca="false">IF($B1644="","",IFERROR(INDEX(직원목록!$C$3:$C$302,MATCH($B1644,직원목록!$A$3:$A$302,0)),""))</f>
        <v/>
      </c>
      <c r="E1644" s="14"/>
      <c r="F1644" s="14"/>
      <c r="G1644" s="15"/>
      <c r="H1644" s="16" t="str">
        <f aca="false">IF(OR($K1644="",$L1644=""),"",ROUND(MAX(0,($L1644-$K1644)-IF($G1644="",0,$G1644))/60,2))</f>
        <v/>
      </c>
      <c r="I1644" s="8"/>
      <c r="J1644" s="8"/>
      <c r="K1644" s="17" t="str">
        <f aca="false">IF($E1644="","",IF($E1644&lt;1,ROUND($E1644*1440,0),INT($E1644/100)*60+MOD($E1644,100)))</f>
        <v/>
      </c>
      <c r="L1644" s="17" t="str">
        <f aca="false">IF($F1644="","",IF($F1644&lt;1,ROUND($F1644*1440,0),INT($F1644/100)*60+MOD($F1644,100)))</f>
        <v/>
      </c>
    </row>
    <row r="1645" customFormat="false" ht="15" hidden="false" customHeight="true" outlineLevel="0" collapsed="false">
      <c r="A1645" s="10"/>
      <c r="B1645" s="8"/>
      <c r="C1645" s="13" t="str">
        <f aca="false">IF($B1645="","",IFERROR(INDEX(직원목록!$B$3:$B$302,MATCH($B1645,직원목록!$A$3:$A$302,0)),"미등록사번"))</f>
        <v/>
      </c>
      <c r="D1645" s="13" t="str">
        <f aca="false">IF($B1645="","",IFERROR(INDEX(직원목록!$C$3:$C$302,MATCH($B1645,직원목록!$A$3:$A$302,0)),""))</f>
        <v/>
      </c>
      <c r="E1645" s="14"/>
      <c r="F1645" s="14"/>
      <c r="G1645" s="15"/>
      <c r="H1645" s="16" t="str">
        <f aca="false">IF(OR($K1645="",$L1645=""),"",ROUND(MAX(0,($L1645-$K1645)-IF($G1645="",0,$G1645))/60,2))</f>
        <v/>
      </c>
      <c r="I1645" s="8"/>
      <c r="J1645" s="8"/>
      <c r="K1645" s="17" t="str">
        <f aca="false">IF($E1645="","",IF($E1645&lt;1,ROUND($E1645*1440,0),INT($E1645/100)*60+MOD($E1645,100)))</f>
        <v/>
      </c>
      <c r="L1645" s="17" t="str">
        <f aca="false">IF($F1645="","",IF($F1645&lt;1,ROUND($F1645*1440,0),INT($F1645/100)*60+MOD($F1645,100)))</f>
        <v/>
      </c>
    </row>
    <row r="1646" customFormat="false" ht="15" hidden="false" customHeight="true" outlineLevel="0" collapsed="false">
      <c r="A1646" s="10"/>
      <c r="B1646" s="8"/>
      <c r="C1646" s="13" t="str">
        <f aca="false">IF($B1646="","",IFERROR(INDEX(직원목록!$B$3:$B$302,MATCH($B1646,직원목록!$A$3:$A$302,0)),"미등록사번"))</f>
        <v/>
      </c>
      <c r="D1646" s="13" t="str">
        <f aca="false">IF($B1646="","",IFERROR(INDEX(직원목록!$C$3:$C$302,MATCH($B1646,직원목록!$A$3:$A$302,0)),""))</f>
        <v/>
      </c>
      <c r="E1646" s="14"/>
      <c r="F1646" s="14"/>
      <c r="G1646" s="15"/>
      <c r="H1646" s="16" t="str">
        <f aca="false">IF(OR($K1646="",$L1646=""),"",ROUND(MAX(0,($L1646-$K1646)-IF($G1646="",0,$G1646))/60,2))</f>
        <v/>
      </c>
      <c r="I1646" s="8"/>
      <c r="J1646" s="8"/>
      <c r="K1646" s="17" t="str">
        <f aca="false">IF($E1646="","",IF($E1646&lt;1,ROUND($E1646*1440,0),INT($E1646/100)*60+MOD($E1646,100)))</f>
        <v/>
      </c>
      <c r="L1646" s="17" t="str">
        <f aca="false">IF($F1646="","",IF($F1646&lt;1,ROUND($F1646*1440,0),INT($F1646/100)*60+MOD($F1646,100)))</f>
        <v/>
      </c>
    </row>
    <row r="1647" customFormat="false" ht="15" hidden="false" customHeight="true" outlineLevel="0" collapsed="false">
      <c r="A1647" s="10"/>
      <c r="B1647" s="8"/>
      <c r="C1647" s="13" t="str">
        <f aca="false">IF($B1647="","",IFERROR(INDEX(직원목록!$B$3:$B$302,MATCH($B1647,직원목록!$A$3:$A$302,0)),"미등록사번"))</f>
        <v/>
      </c>
      <c r="D1647" s="13" t="str">
        <f aca="false">IF($B1647="","",IFERROR(INDEX(직원목록!$C$3:$C$302,MATCH($B1647,직원목록!$A$3:$A$302,0)),""))</f>
        <v/>
      </c>
      <c r="E1647" s="14"/>
      <c r="F1647" s="14"/>
      <c r="G1647" s="15"/>
      <c r="H1647" s="16" t="str">
        <f aca="false">IF(OR($K1647="",$L1647=""),"",ROUND(MAX(0,($L1647-$K1647)-IF($G1647="",0,$G1647))/60,2))</f>
        <v/>
      </c>
      <c r="I1647" s="8"/>
      <c r="J1647" s="8"/>
      <c r="K1647" s="17" t="str">
        <f aca="false">IF($E1647="","",IF($E1647&lt;1,ROUND($E1647*1440,0),INT($E1647/100)*60+MOD($E1647,100)))</f>
        <v/>
      </c>
      <c r="L1647" s="17" t="str">
        <f aca="false">IF($F1647="","",IF($F1647&lt;1,ROUND($F1647*1440,0),INT($F1647/100)*60+MOD($F1647,100)))</f>
        <v/>
      </c>
    </row>
    <row r="1648" customFormat="false" ht="15" hidden="false" customHeight="true" outlineLevel="0" collapsed="false">
      <c r="A1648" s="10"/>
      <c r="B1648" s="8"/>
      <c r="C1648" s="13" t="str">
        <f aca="false">IF($B1648="","",IFERROR(INDEX(직원목록!$B$3:$B$302,MATCH($B1648,직원목록!$A$3:$A$302,0)),"미등록사번"))</f>
        <v/>
      </c>
      <c r="D1648" s="13" t="str">
        <f aca="false">IF($B1648="","",IFERROR(INDEX(직원목록!$C$3:$C$302,MATCH($B1648,직원목록!$A$3:$A$302,0)),""))</f>
        <v/>
      </c>
      <c r="E1648" s="14"/>
      <c r="F1648" s="14"/>
      <c r="G1648" s="15"/>
      <c r="H1648" s="16" t="str">
        <f aca="false">IF(OR($K1648="",$L1648=""),"",ROUND(MAX(0,($L1648-$K1648)-IF($G1648="",0,$G1648))/60,2))</f>
        <v/>
      </c>
      <c r="I1648" s="8"/>
      <c r="J1648" s="8"/>
      <c r="K1648" s="17" t="str">
        <f aca="false">IF($E1648="","",IF($E1648&lt;1,ROUND($E1648*1440,0),INT($E1648/100)*60+MOD($E1648,100)))</f>
        <v/>
      </c>
      <c r="L1648" s="17" t="str">
        <f aca="false">IF($F1648="","",IF($F1648&lt;1,ROUND($F1648*1440,0),INT($F1648/100)*60+MOD($F1648,100)))</f>
        <v/>
      </c>
    </row>
    <row r="1649" customFormat="false" ht="15" hidden="false" customHeight="true" outlineLevel="0" collapsed="false">
      <c r="A1649" s="10"/>
      <c r="B1649" s="8"/>
      <c r="C1649" s="13" t="str">
        <f aca="false">IF($B1649="","",IFERROR(INDEX(직원목록!$B$3:$B$302,MATCH($B1649,직원목록!$A$3:$A$302,0)),"미등록사번"))</f>
        <v/>
      </c>
      <c r="D1649" s="13" t="str">
        <f aca="false">IF($B1649="","",IFERROR(INDEX(직원목록!$C$3:$C$302,MATCH($B1649,직원목록!$A$3:$A$302,0)),""))</f>
        <v/>
      </c>
      <c r="E1649" s="14"/>
      <c r="F1649" s="14"/>
      <c r="G1649" s="15"/>
      <c r="H1649" s="16" t="str">
        <f aca="false">IF(OR($K1649="",$L1649=""),"",ROUND(MAX(0,($L1649-$K1649)-IF($G1649="",0,$G1649))/60,2))</f>
        <v/>
      </c>
      <c r="I1649" s="8"/>
      <c r="J1649" s="8"/>
      <c r="K1649" s="17" t="str">
        <f aca="false">IF($E1649="","",IF($E1649&lt;1,ROUND($E1649*1440,0),INT($E1649/100)*60+MOD($E1649,100)))</f>
        <v/>
      </c>
      <c r="L1649" s="17" t="str">
        <f aca="false">IF($F1649="","",IF($F1649&lt;1,ROUND($F1649*1440,0),INT($F1649/100)*60+MOD($F1649,100)))</f>
        <v/>
      </c>
    </row>
    <row r="1650" customFormat="false" ht="15" hidden="false" customHeight="true" outlineLevel="0" collapsed="false">
      <c r="A1650" s="10"/>
      <c r="B1650" s="8"/>
      <c r="C1650" s="13" t="str">
        <f aca="false">IF($B1650="","",IFERROR(INDEX(직원목록!$B$3:$B$302,MATCH($B1650,직원목록!$A$3:$A$302,0)),"미등록사번"))</f>
        <v/>
      </c>
      <c r="D1650" s="13" t="str">
        <f aca="false">IF($B1650="","",IFERROR(INDEX(직원목록!$C$3:$C$302,MATCH($B1650,직원목록!$A$3:$A$302,0)),""))</f>
        <v/>
      </c>
      <c r="E1650" s="14"/>
      <c r="F1650" s="14"/>
      <c r="G1650" s="15"/>
      <c r="H1650" s="16" t="str">
        <f aca="false">IF(OR($K1650="",$L1650=""),"",ROUND(MAX(0,($L1650-$K1650)-IF($G1650="",0,$G1650))/60,2))</f>
        <v/>
      </c>
      <c r="I1650" s="8"/>
      <c r="J1650" s="8"/>
      <c r="K1650" s="17" t="str">
        <f aca="false">IF($E1650="","",IF($E1650&lt;1,ROUND($E1650*1440,0),INT($E1650/100)*60+MOD($E1650,100)))</f>
        <v/>
      </c>
      <c r="L1650" s="17" t="str">
        <f aca="false">IF($F1650="","",IF($F1650&lt;1,ROUND($F1650*1440,0),INT($F1650/100)*60+MOD($F1650,100)))</f>
        <v/>
      </c>
    </row>
    <row r="1651" customFormat="false" ht="15" hidden="false" customHeight="true" outlineLevel="0" collapsed="false">
      <c r="A1651" s="10"/>
      <c r="B1651" s="8"/>
      <c r="C1651" s="13" t="str">
        <f aca="false">IF($B1651="","",IFERROR(INDEX(직원목록!$B$3:$B$302,MATCH($B1651,직원목록!$A$3:$A$302,0)),"미등록사번"))</f>
        <v/>
      </c>
      <c r="D1651" s="13" t="str">
        <f aca="false">IF($B1651="","",IFERROR(INDEX(직원목록!$C$3:$C$302,MATCH($B1651,직원목록!$A$3:$A$302,0)),""))</f>
        <v/>
      </c>
      <c r="E1651" s="14"/>
      <c r="F1651" s="14"/>
      <c r="G1651" s="15"/>
      <c r="H1651" s="16" t="str">
        <f aca="false">IF(OR($K1651="",$L1651=""),"",ROUND(MAX(0,($L1651-$K1651)-IF($G1651="",0,$G1651))/60,2))</f>
        <v/>
      </c>
      <c r="I1651" s="8"/>
      <c r="J1651" s="8"/>
      <c r="K1651" s="17" t="str">
        <f aca="false">IF($E1651="","",IF($E1651&lt;1,ROUND($E1651*1440,0),INT($E1651/100)*60+MOD($E1651,100)))</f>
        <v/>
      </c>
      <c r="L1651" s="17" t="str">
        <f aca="false">IF($F1651="","",IF($F1651&lt;1,ROUND($F1651*1440,0),INT($F1651/100)*60+MOD($F1651,100)))</f>
        <v/>
      </c>
    </row>
    <row r="1652" customFormat="false" ht="15" hidden="false" customHeight="true" outlineLevel="0" collapsed="false">
      <c r="A1652" s="10"/>
      <c r="B1652" s="8"/>
      <c r="C1652" s="13" t="str">
        <f aca="false">IF($B1652="","",IFERROR(INDEX(직원목록!$B$3:$B$302,MATCH($B1652,직원목록!$A$3:$A$302,0)),"미등록사번"))</f>
        <v/>
      </c>
      <c r="D1652" s="13" t="str">
        <f aca="false">IF($B1652="","",IFERROR(INDEX(직원목록!$C$3:$C$302,MATCH($B1652,직원목록!$A$3:$A$302,0)),""))</f>
        <v/>
      </c>
      <c r="E1652" s="14"/>
      <c r="F1652" s="14"/>
      <c r="G1652" s="15"/>
      <c r="H1652" s="16" t="str">
        <f aca="false">IF(OR($K1652="",$L1652=""),"",ROUND(MAX(0,($L1652-$K1652)-IF($G1652="",0,$G1652))/60,2))</f>
        <v/>
      </c>
      <c r="I1652" s="8"/>
      <c r="J1652" s="8"/>
      <c r="K1652" s="17" t="str">
        <f aca="false">IF($E1652="","",IF($E1652&lt;1,ROUND($E1652*1440,0),INT($E1652/100)*60+MOD($E1652,100)))</f>
        <v/>
      </c>
      <c r="L1652" s="17" t="str">
        <f aca="false">IF($F1652="","",IF($F1652&lt;1,ROUND($F1652*1440,0),INT($F1652/100)*60+MOD($F1652,100)))</f>
        <v/>
      </c>
    </row>
    <row r="1653" customFormat="false" ht="15" hidden="false" customHeight="true" outlineLevel="0" collapsed="false">
      <c r="A1653" s="10"/>
      <c r="B1653" s="8"/>
      <c r="C1653" s="13" t="str">
        <f aca="false">IF($B1653="","",IFERROR(INDEX(직원목록!$B$3:$B$302,MATCH($B1653,직원목록!$A$3:$A$302,0)),"미등록사번"))</f>
        <v/>
      </c>
      <c r="D1653" s="13" t="str">
        <f aca="false">IF($B1653="","",IFERROR(INDEX(직원목록!$C$3:$C$302,MATCH($B1653,직원목록!$A$3:$A$302,0)),""))</f>
        <v/>
      </c>
      <c r="E1653" s="14"/>
      <c r="F1653" s="14"/>
      <c r="G1653" s="15"/>
      <c r="H1653" s="16" t="str">
        <f aca="false">IF(OR($K1653="",$L1653=""),"",ROUND(MAX(0,($L1653-$K1653)-IF($G1653="",0,$G1653))/60,2))</f>
        <v/>
      </c>
      <c r="I1653" s="8"/>
      <c r="J1653" s="8"/>
      <c r="K1653" s="17" t="str">
        <f aca="false">IF($E1653="","",IF($E1653&lt;1,ROUND($E1653*1440,0),INT($E1653/100)*60+MOD($E1653,100)))</f>
        <v/>
      </c>
      <c r="L1653" s="17" t="str">
        <f aca="false">IF($F1653="","",IF($F1653&lt;1,ROUND($F1653*1440,0),INT($F1653/100)*60+MOD($F1653,100)))</f>
        <v/>
      </c>
    </row>
    <row r="1654" customFormat="false" ht="15" hidden="false" customHeight="true" outlineLevel="0" collapsed="false">
      <c r="A1654" s="10"/>
      <c r="B1654" s="8"/>
      <c r="C1654" s="13" t="str">
        <f aca="false">IF($B1654="","",IFERROR(INDEX(직원목록!$B$3:$B$302,MATCH($B1654,직원목록!$A$3:$A$302,0)),"미등록사번"))</f>
        <v/>
      </c>
      <c r="D1654" s="13" t="str">
        <f aca="false">IF($B1654="","",IFERROR(INDEX(직원목록!$C$3:$C$302,MATCH($B1654,직원목록!$A$3:$A$302,0)),""))</f>
        <v/>
      </c>
      <c r="E1654" s="14"/>
      <c r="F1654" s="14"/>
      <c r="G1654" s="15"/>
      <c r="H1654" s="16" t="str">
        <f aca="false">IF(OR($K1654="",$L1654=""),"",ROUND(MAX(0,($L1654-$K1654)-IF($G1654="",0,$G1654))/60,2))</f>
        <v/>
      </c>
      <c r="I1654" s="8"/>
      <c r="J1654" s="8"/>
      <c r="K1654" s="17" t="str">
        <f aca="false">IF($E1654="","",IF($E1654&lt;1,ROUND($E1654*1440,0),INT($E1654/100)*60+MOD($E1654,100)))</f>
        <v/>
      </c>
      <c r="L1654" s="17" t="str">
        <f aca="false">IF($F1654="","",IF($F1654&lt;1,ROUND($F1654*1440,0),INT($F1654/100)*60+MOD($F1654,100)))</f>
        <v/>
      </c>
    </row>
    <row r="1655" customFormat="false" ht="15" hidden="false" customHeight="true" outlineLevel="0" collapsed="false">
      <c r="A1655" s="10"/>
      <c r="B1655" s="8"/>
      <c r="C1655" s="13" t="str">
        <f aca="false">IF($B1655="","",IFERROR(INDEX(직원목록!$B$3:$B$302,MATCH($B1655,직원목록!$A$3:$A$302,0)),"미등록사번"))</f>
        <v/>
      </c>
      <c r="D1655" s="13" t="str">
        <f aca="false">IF($B1655="","",IFERROR(INDEX(직원목록!$C$3:$C$302,MATCH($B1655,직원목록!$A$3:$A$302,0)),""))</f>
        <v/>
      </c>
      <c r="E1655" s="14"/>
      <c r="F1655" s="14"/>
      <c r="G1655" s="15"/>
      <c r="H1655" s="16" t="str">
        <f aca="false">IF(OR($K1655="",$L1655=""),"",ROUND(MAX(0,($L1655-$K1655)-IF($G1655="",0,$G1655))/60,2))</f>
        <v/>
      </c>
      <c r="I1655" s="8"/>
      <c r="J1655" s="8"/>
      <c r="K1655" s="17" t="str">
        <f aca="false">IF($E1655="","",IF($E1655&lt;1,ROUND($E1655*1440,0),INT($E1655/100)*60+MOD($E1655,100)))</f>
        <v/>
      </c>
      <c r="L1655" s="17" t="str">
        <f aca="false">IF($F1655="","",IF($F1655&lt;1,ROUND($F1655*1440,0),INT($F1655/100)*60+MOD($F1655,100)))</f>
        <v/>
      </c>
    </row>
    <row r="1656" customFormat="false" ht="15" hidden="false" customHeight="true" outlineLevel="0" collapsed="false">
      <c r="A1656" s="10"/>
      <c r="B1656" s="8"/>
      <c r="C1656" s="13" t="str">
        <f aca="false">IF($B1656="","",IFERROR(INDEX(직원목록!$B$3:$B$302,MATCH($B1656,직원목록!$A$3:$A$302,0)),"미등록사번"))</f>
        <v/>
      </c>
      <c r="D1656" s="13" t="str">
        <f aca="false">IF($B1656="","",IFERROR(INDEX(직원목록!$C$3:$C$302,MATCH($B1656,직원목록!$A$3:$A$302,0)),""))</f>
        <v/>
      </c>
      <c r="E1656" s="14"/>
      <c r="F1656" s="14"/>
      <c r="G1656" s="15"/>
      <c r="H1656" s="16" t="str">
        <f aca="false">IF(OR($K1656="",$L1656=""),"",ROUND(MAX(0,($L1656-$K1656)-IF($G1656="",0,$G1656))/60,2))</f>
        <v/>
      </c>
      <c r="I1656" s="8"/>
      <c r="J1656" s="8"/>
      <c r="K1656" s="17" t="str">
        <f aca="false">IF($E1656="","",IF($E1656&lt;1,ROUND($E1656*1440,0),INT($E1656/100)*60+MOD($E1656,100)))</f>
        <v/>
      </c>
      <c r="L1656" s="17" t="str">
        <f aca="false">IF($F1656="","",IF($F1656&lt;1,ROUND($F1656*1440,0),INT($F1656/100)*60+MOD($F1656,100)))</f>
        <v/>
      </c>
    </row>
    <row r="1657" customFormat="false" ht="15" hidden="false" customHeight="true" outlineLevel="0" collapsed="false">
      <c r="A1657" s="10"/>
      <c r="B1657" s="8"/>
      <c r="C1657" s="13" t="str">
        <f aca="false">IF($B1657="","",IFERROR(INDEX(직원목록!$B$3:$B$302,MATCH($B1657,직원목록!$A$3:$A$302,0)),"미등록사번"))</f>
        <v/>
      </c>
      <c r="D1657" s="13" t="str">
        <f aca="false">IF($B1657="","",IFERROR(INDEX(직원목록!$C$3:$C$302,MATCH($B1657,직원목록!$A$3:$A$302,0)),""))</f>
        <v/>
      </c>
      <c r="E1657" s="14"/>
      <c r="F1657" s="14"/>
      <c r="G1657" s="15"/>
      <c r="H1657" s="16" t="str">
        <f aca="false">IF(OR($K1657="",$L1657=""),"",ROUND(MAX(0,($L1657-$K1657)-IF($G1657="",0,$G1657))/60,2))</f>
        <v/>
      </c>
      <c r="I1657" s="8"/>
      <c r="J1657" s="8"/>
      <c r="K1657" s="17" t="str">
        <f aca="false">IF($E1657="","",IF($E1657&lt;1,ROUND($E1657*1440,0),INT($E1657/100)*60+MOD($E1657,100)))</f>
        <v/>
      </c>
      <c r="L1657" s="17" t="str">
        <f aca="false">IF($F1657="","",IF($F1657&lt;1,ROUND($F1657*1440,0),INT($F1657/100)*60+MOD($F1657,100)))</f>
        <v/>
      </c>
    </row>
    <row r="1658" customFormat="false" ht="15" hidden="false" customHeight="true" outlineLevel="0" collapsed="false">
      <c r="A1658" s="10"/>
      <c r="B1658" s="8"/>
      <c r="C1658" s="13" t="str">
        <f aca="false">IF($B1658="","",IFERROR(INDEX(직원목록!$B$3:$B$302,MATCH($B1658,직원목록!$A$3:$A$302,0)),"미등록사번"))</f>
        <v/>
      </c>
      <c r="D1658" s="13" t="str">
        <f aca="false">IF($B1658="","",IFERROR(INDEX(직원목록!$C$3:$C$302,MATCH($B1658,직원목록!$A$3:$A$302,0)),""))</f>
        <v/>
      </c>
      <c r="E1658" s="14"/>
      <c r="F1658" s="14"/>
      <c r="G1658" s="15"/>
      <c r="H1658" s="16" t="str">
        <f aca="false">IF(OR($K1658="",$L1658=""),"",ROUND(MAX(0,($L1658-$K1658)-IF($G1658="",0,$G1658))/60,2))</f>
        <v/>
      </c>
      <c r="I1658" s="8"/>
      <c r="J1658" s="8"/>
      <c r="K1658" s="17" t="str">
        <f aca="false">IF($E1658="","",IF($E1658&lt;1,ROUND($E1658*1440,0),INT($E1658/100)*60+MOD($E1658,100)))</f>
        <v/>
      </c>
      <c r="L1658" s="17" t="str">
        <f aca="false">IF($F1658="","",IF($F1658&lt;1,ROUND($F1658*1440,0),INT($F1658/100)*60+MOD($F1658,100)))</f>
        <v/>
      </c>
    </row>
    <row r="1659" customFormat="false" ht="15" hidden="false" customHeight="true" outlineLevel="0" collapsed="false">
      <c r="A1659" s="10"/>
      <c r="B1659" s="8"/>
      <c r="C1659" s="13" t="str">
        <f aca="false">IF($B1659="","",IFERROR(INDEX(직원목록!$B$3:$B$302,MATCH($B1659,직원목록!$A$3:$A$302,0)),"미등록사번"))</f>
        <v/>
      </c>
      <c r="D1659" s="13" t="str">
        <f aca="false">IF($B1659="","",IFERROR(INDEX(직원목록!$C$3:$C$302,MATCH($B1659,직원목록!$A$3:$A$302,0)),""))</f>
        <v/>
      </c>
      <c r="E1659" s="14"/>
      <c r="F1659" s="14"/>
      <c r="G1659" s="15"/>
      <c r="H1659" s="16" t="str">
        <f aca="false">IF(OR($K1659="",$L1659=""),"",ROUND(MAX(0,($L1659-$K1659)-IF($G1659="",0,$G1659))/60,2))</f>
        <v/>
      </c>
      <c r="I1659" s="8"/>
      <c r="J1659" s="8"/>
      <c r="K1659" s="17" t="str">
        <f aca="false">IF($E1659="","",IF($E1659&lt;1,ROUND($E1659*1440,0),INT($E1659/100)*60+MOD($E1659,100)))</f>
        <v/>
      </c>
      <c r="L1659" s="17" t="str">
        <f aca="false">IF($F1659="","",IF($F1659&lt;1,ROUND($F1659*1440,0),INT($F1659/100)*60+MOD($F1659,100)))</f>
        <v/>
      </c>
    </row>
    <row r="1660" customFormat="false" ht="15" hidden="false" customHeight="true" outlineLevel="0" collapsed="false">
      <c r="A1660" s="10"/>
      <c r="B1660" s="8"/>
      <c r="C1660" s="13" t="str">
        <f aca="false">IF($B1660="","",IFERROR(INDEX(직원목록!$B$3:$B$302,MATCH($B1660,직원목록!$A$3:$A$302,0)),"미등록사번"))</f>
        <v/>
      </c>
      <c r="D1660" s="13" t="str">
        <f aca="false">IF($B1660="","",IFERROR(INDEX(직원목록!$C$3:$C$302,MATCH($B1660,직원목록!$A$3:$A$302,0)),""))</f>
        <v/>
      </c>
      <c r="E1660" s="14"/>
      <c r="F1660" s="14"/>
      <c r="G1660" s="15"/>
      <c r="H1660" s="16" t="str">
        <f aca="false">IF(OR($K1660="",$L1660=""),"",ROUND(MAX(0,($L1660-$K1660)-IF($G1660="",0,$G1660))/60,2))</f>
        <v/>
      </c>
      <c r="I1660" s="8"/>
      <c r="J1660" s="8"/>
      <c r="K1660" s="17" t="str">
        <f aca="false">IF($E1660="","",IF($E1660&lt;1,ROUND($E1660*1440,0),INT($E1660/100)*60+MOD($E1660,100)))</f>
        <v/>
      </c>
      <c r="L1660" s="17" t="str">
        <f aca="false">IF($F1660="","",IF($F1660&lt;1,ROUND($F1660*1440,0),INT($F1660/100)*60+MOD($F1660,100)))</f>
        <v/>
      </c>
    </row>
    <row r="1661" customFormat="false" ht="15" hidden="false" customHeight="true" outlineLevel="0" collapsed="false">
      <c r="A1661" s="10"/>
      <c r="B1661" s="8"/>
      <c r="C1661" s="13" t="str">
        <f aca="false">IF($B1661="","",IFERROR(INDEX(직원목록!$B$3:$B$302,MATCH($B1661,직원목록!$A$3:$A$302,0)),"미등록사번"))</f>
        <v/>
      </c>
      <c r="D1661" s="13" t="str">
        <f aca="false">IF($B1661="","",IFERROR(INDEX(직원목록!$C$3:$C$302,MATCH($B1661,직원목록!$A$3:$A$302,0)),""))</f>
        <v/>
      </c>
      <c r="E1661" s="14"/>
      <c r="F1661" s="14"/>
      <c r="G1661" s="15"/>
      <c r="H1661" s="16" t="str">
        <f aca="false">IF(OR($K1661="",$L1661=""),"",ROUND(MAX(0,($L1661-$K1661)-IF($G1661="",0,$G1661))/60,2))</f>
        <v/>
      </c>
      <c r="I1661" s="8"/>
      <c r="J1661" s="8"/>
      <c r="K1661" s="17" t="str">
        <f aca="false">IF($E1661="","",IF($E1661&lt;1,ROUND($E1661*1440,0),INT($E1661/100)*60+MOD($E1661,100)))</f>
        <v/>
      </c>
      <c r="L1661" s="17" t="str">
        <f aca="false">IF($F1661="","",IF($F1661&lt;1,ROUND($F1661*1440,0),INT($F1661/100)*60+MOD($F1661,100)))</f>
        <v/>
      </c>
    </row>
    <row r="1662" customFormat="false" ht="15" hidden="false" customHeight="true" outlineLevel="0" collapsed="false">
      <c r="A1662" s="10"/>
      <c r="B1662" s="8"/>
      <c r="C1662" s="13" t="str">
        <f aca="false">IF($B1662="","",IFERROR(INDEX(직원목록!$B$3:$B$302,MATCH($B1662,직원목록!$A$3:$A$302,0)),"미등록사번"))</f>
        <v/>
      </c>
      <c r="D1662" s="13" t="str">
        <f aca="false">IF($B1662="","",IFERROR(INDEX(직원목록!$C$3:$C$302,MATCH($B1662,직원목록!$A$3:$A$302,0)),""))</f>
        <v/>
      </c>
      <c r="E1662" s="14"/>
      <c r="F1662" s="14"/>
      <c r="G1662" s="15"/>
      <c r="H1662" s="16" t="str">
        <f aca="false">IF(OR($K1662="",$L1662=""),"",ROUND(MAX(0,($L1662-$K1662)-IF($G1662="",0,$G1662))/60,2))</f>
        <v/>
      </c>
      <c r="I1662" s="8"/>
      <c r="J1662" s="8"/>
      <c r="K1662" s="17" t="str">
        <f aca="false">IF($E1662="","",IF($E1662&lt;1,ROUND($E1662*1440,0),INT($E1662/100)*60+MOD($E1662,100)))</f>
        <v/>
      </c>
      <c r="L1662" s="17" t="str">
        <f aca="false">IF($F1662="","",IF($F1662&lt;1,ROUND($F1662*1440,0),INT($F1662/100)*60+MOD($F1662,100)))</f>
        <v/>
      </c>
    </row>
    <row r="1663" customFormat="false" ht="15" hidden="false" customHeight="true" outlineLevel="0" collapsed="false">
      <c r="A1663" s="10"/>
      <c r="B1663" s="8"/>
      <c r="C1663" s="13" t="str">
        <f aca="false">IF($B1663="","",IFERROR(INDEX(직원목록!$B$3:$B$302,MATCH($B1663,직원목록!$A$3:$A$302,0)),"미등록사번"))</f>
        <v/>
      </c>
      <c r="D1663" s="13" t="str">
        <f aca="false">IF($B1663="","",IFERROR(INDEX(직원목록!$C$3:$C$302,MATCH($B1663,직원목록!$A$3:$A$302,0)),""))</f>
        <v/>
      </c>
      <c r="E1663" s="14"/>
      <c r="F1663" s="14"/>
      <c r="G1663" s="15"/>
      <c r="H1663" s="16" t="str">
        <f aca="false">IF(OR($K1663="",$L1663=""),"",ROUND(MAX(0,($L1663-$K1663)-IF($G1663="",0,$G1663))/60,2))</f>
        <v/>
      </c>
      <c r="I1663" s="8"/>
      <c r="J1663" s="8"/>
      <c r="K1663" s="17" t="str">
        <f aca="false">IF($E1663="","",IF($E1663&lt;1,ROUND($E1663*1440,0),INT($E1663/100)*60+MOD($E1663,100)))</f>
        <v/>
      </c>
      <c r="L1663" s="17" t="str">
        <f aca="false">IF($F1663="","",IF($F1663&lt;1,ROUND($F1663*1440,0),INT($F1663/100)*60+MOD($F1663,100)))</f>
        <v/>
      </c>
    </row>
    <row r="1664" customFormat="false" ht="15" hidden="false" customHeight="true" outlineLevel="0" collapsed="false">
      <c r="A1664" s="10"/>
      <c r="B1664" s="8"/>
      <c r="C1664" s="13" t="str">
        <f aca="false">IF($B1664="","",IFERROR(INDEX(직원목록!$B$3:$B$302,MATCH($B1664,직원목록!$A$3:$A$302,0)),"미등록사번"))</f>
        <v/>
      </c>
      <c r="D1664" s="13" t="str">
        <f aca="false">IF($B1664="","",IFERROR(INDEX(직원목록!$C$3:$C$302,MATCH($B1664,직원목록!$A$3:$A$302,0)),""))</f>
        <v/>
      </c>
      <c r="E1664" s="14"/>
      <c r="F1664" s="14"/>
      <c r="G1664" s="15"/>
      <c r="H1664" s="16" t="str">
        <f aca="false">IF(OR($K1664="",$L1664=""),"",ROUND(MAX(0,($L1664-$K1664)-IF($G1664="",0,$G1664))/60,2))</f>
        <v/>
      </c>
      <c r="I1664" s="8"/>
      <c r="J1664" s="8"/>
      <c r="K1664" s="17" t="str">
        <f aca="false">IF($E1664="","",IF($E1664&lt;1,ROUND($E1664*1440,0),INT($E1664/100)*60+MOD($E1664,100)))</f>
        <v/>
      </c>
      <c r="L1664" s="17" t="str">
        <f aca="false">IF($F1664="","",IF($F1664&lt;1,ROUND($F1664*1440,0),INT($F1664/100)*60+MOD($F1664,100)))</f>
        <v/>
      </c>
    </row>
    <row r="1665" customFormat="false" ht="15" hidden="false" customHeight="true" outlineLevel="0" collapsed="false">
      <c r="A1665" s="10"/>
      <c r="B1665" s="8"/>
      <c r="C1665" s="13" t="str">
        <f aca="false">IF($B1665="","",IFERROR(INDEX(직원목록!$B$3:$B$302,MATCH($B1665,직원목록!$A$3:$A$302,0)),"미등록사번"))</f>
        <v/>
      </c>
      <c r="D1665" s="13" t="str">
        <f aca="false">IF($B1665="","",IFERROR(INDEX(직원목록!$C$3:$C$302,MATCH($B1665,직원목록!$A$3:$A$302,0)),""))</f>
        <v/>
      </c>
      <c r="E1665" s="14"/>
      <c r="F1665" s="14"/>
      <c r="G1665" s="15"/>
      <c r="H1665" s="16" t="str">
        <f aca="false">IF(OR($K1665="",$L1665=""),"",ROUND(MAX(0,($L1665-$K1665)-IF($G1665="",0,$G1665))/60,2))</f>
        <v/>
      </c>
      <c r="I1665" s="8"/>
      <c r="J1665" s="8"/>
      <c r="K1665" s="17" t="str">
        <f aca="false">IF($E1665="","",IF($E1665&lt;1,ROUND($E1665*1440,0),INT($E1665/100)*60+MOD($E1665,100)))</f>
        <v/>
      </c>
      <c r="L1665" s="17" t="str">
        <f aca="false">IF($F1665="","",IF($F1665&lt;1,ROUND($F1665*1440,0),INT($F1665/100)*60+MOD($F1665,100)))</f>
        <v/>
      </c>
    </row>
    <row r="1666" customFormat="false" ht="15" hidden="false" customHeight="true" outlineLevel="0" collapsed="false">
      <c r="A1666" s="10"/>
      <c r="B1666" s="8"/>
      <c r="C1666" s="13" t="str">
        <f aca="false">IF($B1666="","",IFERROR(INDEX(직원목록!$B$3:$B$302,MATCH($B1666,직원목록!$A$3:$A$302,0)),"미등록사번"))</f>
        <v/>
      </c>
      <c r="D1666" s="13" t="str">
        <f aca="false">IF($B1666="","",IFERROR(INDEX(직원목록!$C$3:$C$302,MATCH($B1666,직원목록!$A$3:$A$302,0)),""))</f>
        <v/>
      </c>
      <c r="E1666" s="14"/>
      <c r="F1666" s="14"/>
      <c r="G1666" s="15"/>
      <c r="H1666" s="16" t="str">
        <f aca="false">IF(OR($K1666="",$L1666=""),"",ROUND(MAX(0,($L1666-$K1666)-IF($G1666="",0,$G1666))/60,2))</f>
        <v/>
      </c>
      <c r="I1666" s="8"/>
      <c r="J1666" s="8"/>
      <c r="K1666" s="17" t="str">
        <f aca="false">IF($E1666="","",IF($E1666&lt;1,ROUND($E1666*1440,0),INT($E1666/100)*60+MOD($E1666,100)))</f>
        <v/>
      </c>
      <c r="L1666" s="17" t="str">
        <f aca="false">IF($F1666="","",IF($F1666&lt;1,ROUND($F1666*1440,0),INT($F1666/100)*60+MOD($F1666,100)))</f>
        <v/>
      </c>
    </row>
    <row r="1667" customFormat="false" ht="15" hidden="false" customHeight="true" outlineLevel="0" collapsed="false">
      <c r="A1667" s="10"/>
      <c r="B1667" s="8"/>
      <c r="C1667" s="13" t="str">
        <f aca="false">IF($B1667="","",IFERROR(INDEX(직원목록!$B$3:$B$302,MATCH($B1667,직원목록!$A$3:$A$302,0)),"미등록사번"))</f>
        <v/>
      </c>
      <c r="D1667" s="13" t="str">
        <f aca="false">IF($B1667="","",IFERROR(INDEX(직원목록!$C$3:$C$302,MATCH($B1667,직원목록!$A$3:$A$302,0)),""))</f>
        <v/>
      </c>
      <c r="E1667" s="14"/>
      <c r="F1667" s="14"/>
      <c r="G1667" s="15"/>
      <c r="H1667" s="16" t="str">
        <f aca="false">IF(OR($K1667="",$L1667=""),"",ROUND(MAX(0,($L1667-$K1667)-IF($G1667="",0,$G1667))/60,2))</f>
        <v/>
      </c>
      <c r="I1667" s="8"/>
      <c r="J1667" s="8"/>
      <c r="K1667" s="17" t="str">
        <f aca="false">IF($E1667="","",IF($E1667&lt;1,ROUND($E1667*1440,0),INT($E1667/100)*60+MOD($E1667,100)))</f>
        <v/>
      </c>
      <c r="L1667" s="17" t="str">
        <f aca="false">IF($F1667="","",IF($F1667&lt;1,ROUND($F1667*1440,0),INT($F1667/100)*60+MOD($F1667,100)))</f>
        <v/>
      </c>
    </row>
    <row r="1668" customFormat="false" ht="15" hidden="false" customHeight="true" outlineLevel="0" collapsed="false">
      <c r="A1668" s="10"/>
      <c r="B1668" s="8"/>
      <c r="C1668" s="13" t="str">
        <f aca="false">IF($B1668="","",IFERROR(INDEX(직원목록!$B$3:$B$302,MATCH($B1668,직원목록!$A$3:$A$302,0)),"미등록사번"))</f>
        <v/>
      </c>
      <c r="D1668" s="13" t="str">
        <f aca="false">IF($B1668="","",IFERROR(INDEX(직원목록!$C$3:$C$302,MATCH($B1668,직원목록!$A$3:$A$302,0)),""))</f>
        <v/>
      </c>
      <c r="E1668" s="14"/>
      <c r="F1668" s="14"/>
      <c r="G1668" s="15"/>
      <c r="H1668" s="16" t="str">
        <f aca="false">IF(OR($K1668="",$L1668=""),"",ROUND(MAX(0,($L1668-$K1668)-IF($G1668="",0,$G1668))/60,2))</f>
        <v/>
      </c>
      <c r="I1668" s="8"/>
      <c r="J1668" s="8"/>
      <c r="K1668" s="17" t="str">
        <f aca="false">IF($E1668="","",IF($E1668&lt;1,ROUND($E1668*1440,0),INT($E1668/100)*60+MOD($E1668,100)))</f>
        <v/>
      </c>
      <c r="L1668" s="17" t="str">
        <f aca="false">IF($F1668="","",IF($F1668&lt;1,ROUND($F1668*1440,0),INT($F1668/100)*60+MOD($F1668,100)))</f>
        <v/>
      </c>
    </row>
    <row r="1669" customFormat="false" ht="15" hidden="false" customHeight="true" outlineLevel="0" collapsed="false">
      <c r="A1669" s="10"/>
      <c r="B1669" s="8"/>
      <c r="C1669" s="13" t="str">
        <f aca="false">IF($B1669="","",IFERROR(INDEX(직원목록!$B$3:$B$302,MATCH($B1669,직원목록!$A$3:$A$302,0)),"미등록사번"))</f>
        <v/>
      </c>
      <c r="D1669" s="13" t="str">
        <f aca="false">IF($B1669="","",IFERROR(INDEX(직원목록!$C$3:$C$302,MATCH($B1669,직원목록!$A$3:$A$302,0)),""))</f>
        <v/>
      </c>
      <c r="E1669" s="14"/>
      <c r="F1669" s="14"/>
      <c r="G1669" s="15"/>
      <c r="H1669" s="16" t="str">
        <f aca="false">IF(OR($K1669="",$L1669=""),"",ROUND(MAX(0,($L1669-$K1669)-IF($G1669="",0,$G1669))/60,2))</f>
        <v/>
      </c>
      <c r="I1669" s="8"/>
      <c r="J1669" s="8"/>
      <c r="K1669" s="17" t="str">
        <f aca="false">IF($E1669="","",IF($E1669&lt;1,ROUND($E1669*1440,0),INT($E1669/100)*60+MOD($E1669,100)))</f>
        <v/>
      </c>
      <c r="L1669" s="17" t="str">
        <f aca="false">IF($F1669="","",IF($F1669&lt;1,ROUND($F1669*1440,0),INT($F1669/100)*60+MOD($F1669,100)))</f>
        <v/>
      </c>
    </row>
    <row r="1670" customFormat="false" ht="15" hidden="false" customHeight="true" outlineLevel="0" collapsed="false">
      <c r="A1670" s="10"/>
      <c r="B1670" s="8"/>
      <c r="C1670" s="13" t="str">
        <f aca="false">IF($B1670="","",IFERROR(INDEX(직원목록!$B$3:$B$302,MATCH($B1670,직원목록!$A$3:$A$302,0)),"미등록사번"))</f>
        <v/>
      </c>
      <c r="D1670" s="13" t="str">
        <f aca="false">IF($B1670="","",IFERROR(INDEX(직원목록!$C$3:$C$302,MATCH($B1670,직원목록!$A$3:$A$302,0)),""))</f>
        <v/>
      </c>
      <c r="E1670" s="14"/>
      <c r="F1670" s="14"/>
      <c r="G1670" s="15"/>
      <c r="H1670" s="16" t="str">
        <f aca="false">IF(OR($K1670="",$L1670=""),"",ROUND(MAX(0,($L1670-$K1670)-IF($G1670="",0,$G1670))/60,2))</f>
        <v/>
      </c>
      <c r="I1670" s="8"/>
      <c r="J1670" s="8"/>
      <c r="K1670" s="17" t="str">
        <f aca="false">IF($E1670="","",IF($E1670&lt;1,ROUND($E1670*1440,0),INT($E1670/100)*60+MOD($E1670,100)))</f>
        <v/>
      </c>
      <c r="L1670" s="17" t="str">
        <f aca="false">IF($F1670="","",IF($F1670&lt;1,ROUND($F1670*1440,0),INT($F1670/100)*60+MOD($F1670,100)))</f>
        <v/>
      </c>
    </row>
    <row r="1671" customFormat="false" ht="15" hidden="false" customHeight="true" outlineLevel="0" collapsed="false">
      <c r="A1671" s="10"/>
      <c r="B1671" s="8"/>
      <c r="C1671" s="13" t="str">
        <f aca="false">IF($B1671="","",IFERROR(INDEX(직원목록!$B$3:$B$302,MATCH($B1671,직원목록!$A$3:$A$302,0)),"미등록사번"))</f>
        <v/>
      </c>
      <c r="D1671" s="13" t="str">
        <f aca="false">IF($B1671="","",IFERROR(INDEX(직원목록!$C$3:$C$302,MATCH($B1671,직원목록!$A$3:$A$302,0)),""))</f>
        <v/>
      </c>
      <c r="E1671" s="14"/>
      <c r="F1671" s="14"/>
      <c r="G1671" s="15"/>
      <c r="H1671" s="16" t="str">
        <f aca="false">IF(OR($K1671="",$L1671=""),"",ROUND(MAX(0,($L1671-$K1671)-IF($G1671="",0,$G1671))/60,2))</f>
        <v/>
      </c>
      <c r="I1671" s="8"/>
      <c r="J1671" s="8"/>
      <c r="K1671" s="17" t="str">
        <f aca="false">IF($E1671="","",IF($E1671&lt;1,ROUND($E1671*1440,0),INT($E1671/100)*60+MOD($E1671,100)))</f>
        <v/>
      </c>
      <c r="L1671" s="17" t="str">
        <f aca="false">IF($F1671="","",IF($F1671&lt;1,ROUND($F1671*1440,0),INT($F1671/100)*60+MOD($F1671,100)))</f>
        <v/>
      </c>
    </row>
    <row r="1672" customFormat="false" ht="15" hidden="false" customHeight="true" outlineLevel="0" collapsed="false">
      <c r="A1672" s="10"/>
      <c r="B1672" s="8"/>
      <c r="C1672" s="13" t="str">
        <f aca="false">IF($B1672="","",IFERROR(INDEX(직원목록!$B$3:$B$302,MATCH($B1672,직원목록!$A$3:$A$302,0)),"미등록사번"))</f>
        <v/>
      </c>
      <c r="D1672" s="13" t="str">
        <f aca="false">IF($B1672="","",IFERROR(INDEX(직원목록!$C$3:$C$302,MATCH($B1672,직원목록!$A$3:$A$302,0)),""))</f>
        <v/>
      </c>
      <c r="E1672" s="14"/>
      <c r="F1672" s="14"/>
      <c r="G1672" s="15"/>
      <c r="H1672" s="16" t="str">
        <f aca="false">IF(OR($K1672="",$L1672=""),"",ROUND(MAX(0,($L1672-$K1672)-IF($G1672="",0,$G1672))/60,2))</f>
        <v/>
      </c>
      <c r="I1672" s="8"/>
      <c r="J1672" s="8"/>
      <c r="K1672" s="17" t="str">
        <f aca="false">IF($E1672="","",IF($E1672&lt;1,ROUND($E1672*1440,0),INT($E1672/100)*60+MOD($E1672,100)))</f>
        <v/>
      </c>
      <c r="L1672" s="17" t="str">
        <f aca="false">IF($F1672="","",IF($F1672&lt;1,ROUND($F1672*1440,0),INT($F1672/100)*60+MOD($F1672,100)))</f>
        <v/>
      </c>
    </row>
    <row r="1673" customFormat="false" ht="15" hidden="false" customHeight="true" outlineLevel="0" collapsed="false">
      <c r="A1673" s="10"/>
      <c r="B1673" s="8"/>
      <c r="C1673" s="13" t="str">
        <f aca="false">IF($B1673="","",IFERROR(INDEX(직원목록!$B$3:$B$302,MATCH($B1673,직원목록!$A$3:$A$302,0)),"미등록사번"))</f>
        <v/>
      </c>
      <c r="D1673" s="13" t="str">
        <f aca="false">IF($B1673="","",IFERROR(INDEX(직원목록!$C$3:$C$302,MATCH($B1673,직원목록!$A$3:$A$302,0)),""))</f>
        <v/>
      </c>
      <c r="E1673" s="14"/>
      <c r="F1673" s="14"/>
      <c r="G1673" s="15"/>
      <c r="H1673" s="16" t="str">
        <f aca="false">IF(OR($K1673="",$L1673=""),"",ROUND(MAX(0,($L1673-$K1673)-IF($G1673="",0,$G1673))/60,2))</f>
        <v/>
      </c>
      <c r="I1673" s="8"/>
      <c r="J1673" s="8"/>
      <c r="K1673" s="17" t="str">
        <f aca="false">IF($E1673="","",IF($E1673&lt;1,ROUND($E1673*1440,0),INT($E1673/100)*60+MOD($E1673,100)))</f>
        <v/>
      </c>
      <c r="L1673" s="17" t="str">
        <f aca="false">IF($F1673="","",IF($F1673&lt;1,ROUND($F1673*1440,0),INT($F1673/100)*60+MOD($F1673,100)))</f>
        <v/>
      </c>
    </row>
    <row r="1674" customFormat="false" ht="15" hidden="false" customHeight="true" outlineLevel="0" collapsed="false">
      <c r="A1674" s="10"/>
      <c r="B1674" s="8"/>
      <c r="C1674" s="13" t="str">
        <f aca="false">IF($B1674="","",IFERROR(INDEX(직원목록!$B$3:$B$302,MATCH($B1674,직원목록!$A$3:$A$302,0)),"미등록사번"))</f>
        <v/>
      </c>
      <c r="D1674" s="13" t="str">
        <f aca="false">IF($B1674="","",IFERROR(INDEX(직원목록!$C$3:$C$302,MATCH($B1674,직원목록!$A$3:$A$302,0)),""))</f>
        <v/>
      </c>
      <c r="E1674" s="14"/>
      <c r="F1674" s="14"/>
      <c r="G1674" s="15"/>
      <c r="H1674" s="16" t="str">
        <f aca="false">IF(OR($K1674="",$L1674=""),"",ROUND(MAX(0,($L1674-$K1674)-IF($G1674="",0,$G1674))/60,2))</f>
        <v/>
      </c>
      <c r="I1674" s="8"/>
      <c r="J1674" s="8"/>
      <c r="K1674" s="17" t="str">
        <f aca="false">IF($E1674="","",IF($E1674&lt;1,ROUND($E1674*1440,0),INT($E1674/100)*60+MOD($E1674,100)))</f>
        <v/>
      </c>
      <c r="L1674" s="17" t="str">
        <f aca="false">IF($F1674="","",IF($F1674&lt;1,ROUND($F1674*1440,0),INT($F1674/100)*60+MOD($F1674,100)))</f>
        <v/>
      </c>
    </row>
    <row r="1675" customFormat="false" ht="15" hidden="false" customHeight="true" outlineLevel="0" collapsed="false">
      <c r="A1675" s="10"/>
      <c r="B1675" s="8"/>
      <c r="C1675" s="13" t="str">
        <f aca="false">IF($B1675="","",IFERROR(INDEX(직원목록!$B$3:$B$302,MATCH($B1675,직원목록!$A$3:$A$302,0)),"미등록사번"))</f>
        <v/>
      </c>
      <c r="D1675" s="13" t="str">
        <f aca="false">IF($B1675="","",IFERROR(INDEX(직원목록!$C$3:$C$302,MATCH($B1675,직원목록!$A$3:$A$302,0)),""))</f>
        <v/>
      </c>
      <c r="E1675" s="14"/>
      <c r="F1675" s="14"/>
      <c r="G1675" s="15"/>
      <c r="H1675" s="16" t="str">
        <f aca="false">IF(OR($K1675="",$L1675=""),"",ROUND(MAX(0,($L1675-$K1675)-IF($G1675="",0,$G1675))/60,2))</f>
        <v/>
      </c>
      <c r="I1675" s="8"/>
      <c r="J1675" s="8"/>
      <c r="K1675" s="17" t="str">
        <f aca="false">IF($E1675="","",IF($E1675&lt;1,ROUND($E1675*1440,0),INT($E1675/100)*60+MOD($E1675,100)))</f>
        <v/>
      </c>
      <c r="L1675" s="17" t="str">
        <f aca="false">IF($F1675="","",IF($F1675&lt;1,ROUND($F1675*1440,0),INT($F1675/100)*60+MOD($F1675,100)))</f>
        <v/>
      </c>
    </row>
    <row r="1676" customFormat="false" ht="15" hidden="false" customHeight="true" outlineLevel="0" collapsed="false">
      <c r="A1676" s="10"/>
      <c r="B1676" s="8"/>
      <c r="C1676" s="13" t="str">
        <f aca="false">IF($B1676="","",IFERROR(INDEX(직원목록!$B$3:$B$302,MATCH($B1676,직원목록!$A$3:$A$302,0)),"미등록사번"))</f>
        <v/>
      </c>
      <c r="D1676" s="13" t="str">
        <f aca="false">IF($B1676="","",IFERROR(INDEX(직원목록!$C$3:$C$302,MATCH($B1676,직원목록!$A$3:$A$302,0)),""))</f>
        <v/>
      </c>
      <c r="E1676" s="14"/>
      <c r="F1676" s="14"/>
      <c r="G1676" s="15"/>
      <c r="H1676" s="16" t="str">
        <f aca="false">IF(OR($K1676="",$L1676=""),"",ROUND(MAX(0,($L1676-$K1676)-IF($G1676="",0,$G1676))/60,2))</f>
        <v/>
      </c>
      <c r="I1676" s="8"/>
      <c r="J1676" s="8"/>
      <c r="K1676" s="17" t="str">
        <f aca="false">IF($E1676="","",IF($E1676&lt;1,ROUND($E1676*1440,0),INT($E1676/100)*60+MOD($E1676,100)))</f>
        <v/>
      </c>
      <c r="L1676" s="17" t="str">
        <f aca="false">IF($F1676="","",IF($F1676&lt;1,ROUND($F1676*1440,0),INT($F1676/100)*60+MOD($F1676,100)))</f>
        <v/>
      </c>
    </row>
    <row r="1677" customFormat="false" ht="15" hidden="false" customHeight="true" outlineLevel="0" collapsed="false">
      <c r="A1677" s="10"/>
      <c r="B1677" s="8"/>
      <c r="C1677" s="13" t="str">
        <f aca="false">IF($B1677="","",IFERROR(INDEX(직원목록!$B$3:$B$302,MATCH($B1677,직원목록!$A$3:$A$302,0)),"미등록사번"))</f>
        <v/>
      </c>
      <c r="D1677" s="13" t="str">
        <f aca="false">IF($B1677="","",IFERROR(INDEX(직원목록!$C$3:$C$302,MATCH($B1677,직원목록!$A$3:$A$302,0)),""))</f>
        <v/>
      </c>
      <c r="E1677" s="14"/>
      <c r="F1677" s="14"/>
      <c r="G1677" s="15"/>
      <c r="H1677" s="16" t="str">
        <f aca="false">IF(OR($K1677="",$L1677=""),"",ROUND(MAX(0,($L1677-$K1677)-IF($G1677="",0,$G1677))/60,2))</f>
        <v/>
      </c>
      <c r="I1677" s="8"/>
      <c r="J1677" s="8"/>
      <c r="K1677" s="17" t="str">
        <f aca="false">IF($E1677="","",IF($E1677&lt;1,ROUND($E1677*1440,0),INT($E1677/100)*60+MOD($E1677,100)))</f>
        <v/>
      </c>
      <c r="L1677" s="17" t="str">
        <f aca="false">IF($F1677="","",IF($F1677&lt;1,ROUND($F1677*1440,0),INT($F1677/100)*60+MOD($F1677,100)))</f>
        <v/>
      </c>
    </row>
    <row r="1678" customFormat="false" ht="15" hidden="false" customHeight="true" outlineLevel="0" collapsed="false">
      <c r="A1678" s="10"/>
      <c r="B1678" s="8"/>
      <c r="C1678" s="13" t="str">
        <f aca="false">IF($B1678="","",IFERROR(INDEX(직원목록!$B$3:$B$302,MATCH($B1678,직원목록!$A$3:$A$302,0)),"미등록사번"))</f>
        <v/>
      </c>
      <c r="D1678" s="13" t="str">
        <f aca="false">IF($B1678="","",IFERROR(INDEX(직원목록!$C$3:$C$302,MATCH($B1678,직원목록!$A$3:$A$302,0)),""))</f>
        <v/>
      </c>
      <c r="E1678" s="14"/>
      <c r="F1678" s="14"/>
      <c r="G1678" s="15"/>
      <c r="H1678" s="16" t="str">
        <f aca="false">IF(OR($K1678="",$L1678=""),"",ROUND(MAX(0,($L1678-$K1678)-IF($G1678="",0,$G1678))/60,2))</f>
        <v/>
      </c>
      <c r="I1678" s="8"/>
      <c r="J1678" s="8"/>
      <c r="K1678" s="17" t="str">
        <f aca="false">IF($E1678="","",IF($E1678&lt;1,ROUND($E1678*1440,0),INT($E1678/100)*60+MOD($E1678,100)))</f>
        <v/>
      </c>
      <c r="L1678" s="17" t="str">
        <f aca="false">IF($F1678="","",IF($F1678&lt;1,ROUND($F1678*1440,0),INT($F1678/100)*60+MOD($F1678,100)))</f>
        <v/>
      </c>
    </row>
    <row r="1679" customFormat="false" ht="15" hidden="false" customHeight="true" outlineLevel="0" collapsed="false">
      <c r="A1679" s="10"/>
      <c r="B1679" s="8"/>
      <c r="C1679" s="13" t="str">
        <f aca="false">IF($B1679="","",IFERROR(INDEX(직원목록!$B$3:$B$302,MATCH($B1679,직원목록!$A$3:$A$302,0)),"미등록사번"))</f>
        <v/>
      </c>
      <c r="D1679" s="13" t="str">
        <f aca="false">IF($B1679="","",IFERROR(INDEX(직원목록!$C$3:$C$302,MATCH($B1679,직원목록!$A$3:$A$302,0)),""))</f>
        <v/>
      </c>
      <c r="E1679" s="14"/>
      <c r="F1679" s="14"/>
      <c r="G1679" s="15"/>
      <c r="H1679" s="16" t="str">
        <f aca="false">IF(OR($K1679="",$L1679=""),"",ROUND(MAX(0,($L1679-$K1679)-IF($G1679="",0,$G1679))/60,2))</f>
        <v/>
      </c>
      <c r="I1679" s="8"/>
      <c r="J1679" s="8"/>
      <c r="K1679" s="17" t="str">
        <f aca="false">IF($E1679="","",IF($E1679&lt;1,ROUND($E1679*1440,0),INT($E1679/100)*60+MOD($E1679,100)))</f>
        <v/>
      </c>
      <c r="L1679" s="17" t="str">
        <f aca="false">IF($F1679="","",IF($F1679&lt;1,ROUND($F1679*1440,0),INT($F1679/100)*60+MOD($F1679,100)))</f>
        <v/>
      </c>
    </row>
    <row r="1680" customFormat="false" ht="15" hidden="false" customHeight="true" outlineLevel="0" collapsed="false">
      <c r="A1680" s="10"/>
      <c r="B1680" s="8"/>
      <c r="C1680" s="13" t="str">
        <f aca="false">IF($B1680="","",IFERROR(INDEX(직원목록!$B$3:$B$302,MATCH($B1680,직원목록!$A$3:$A$302,0)),"미등록사번"))</f>
        <v/>
      </c>
      <c r="D1680" s="13" t="str">
        <f aca="false">IF($B1680="","",IFERROR(INDEX(직원목록!$C$3:$C$302,MATCH($B1680,직원목록!$A$3:$A$302,0)),""))</f>
        <v/>
      </c>
      <c r="E1680" s="14"/>
      <c r="F1680" s="14"/>
      <c r="G1680" s="15"/>
      <c r="H1680" s="16" t="str">
        <f aca="false">IF(OR($K1680="",$L1680=""),"",ROUND(MAX(0,($L1680-$K1680)-IF($G1680="",0,$G1680))/60,2))</f>
        <v/>
      </c>
      <c r="I1680" s="8"/>
      <c r="J1680" s="8"/>
      <c r="K1680" s="17" t="str">
        <f aca="false">IF($E1680="","",IF($E1680&lt;1,ROUND($E1680*1440,0),INT($E1680/100)*60+MOD($E1680,100)))</f>
        <v/>
      </c>
      <c r="L1680" s="17" t="str">
        <f aca="false">IF($F1680="","",IF($F1680&lt;1,ROUND($F1680*1440,0),INT($F1680/100)*60+MOD($F1680,100)))</f>
        <v/>
      </c>
    </row>
    <row r="1681" customFormat="false" ht="15" hidden="false" customHeight="true" outlineLevel="0" collapsed="false">
      <c r="A1681" s="10"/>
      <c r="B1681" s="8"/>
      <c r="C1681" s="13" t="str">
        <f aca="false">IF($B1681="","",IFERROR(INDEX(직원목록!$B$3:$B$302,MATCH($B1681,직원목록!$A$3:$A$302,0)),"미등록사번"))</f>
        <v/>
      </c>
      <c r="D1681" s="13" t="str">
        <f aca="false">IF($B1681="","",IFERROR(INDEX(직원목록!$C$3:$C$302,MATCH($B1681,직원목록!$A$3:$A$302,0)),""))</f>
        <v/>
      </c>
      <c r="E1681" s="14"/>
      <c r="F1681" s="14"/>
      <c r="G1681" s="15"/>
      <c r="H1681" s="16" t="str">
        <f aca="false">IF(OR($K1681="",$L1681=""),"",ROUND(MAX(0,($L1681-$K1681)-IF($G1681="",0,$G1681))/60,2))</f>
        <v/>
      </c>
      <c r="I1681" s="8"/>
      <c r="J1681" s="8"/>
      <c r="K1681" s="17" t="str">
        <f aca="false">IF($E1681="","",IF($E1681&lt;1,ROUND($E1681*1440,0),INT($E1681/100)*60+MOD($E1681,100)))</f>
        <v/>
      </c>
      <c r="L1681" s="17" t="str">
        <f aca="false">IF($F1681="","",IF($F1681&lt;1,ROUND($F1681*1440,0),INT($F1681/100)*60+MOD($F1681,100)))</f>
        <v/>
      </c>
    </row>
    <row r="1682" customFormat="false" ht="15" hidden="false" customHeight="true" outlineLevel="0" collapsed="false">
      <c r="A1682" s="10"/>
      <c r="B1682" s="8"/>
      <c r="C1682" s="13" t="str">
        <f aca="false">IF($B1682="","",IFERROR(INDEX(직원목록!$B$3:$B$302,MATCH($B1682,직원목록!$A$3:$A$302,0)),"미등록사번"))</f>
        <v/>
      </c>
      <c r="D1682" s="13" t="str">
        <f aca="false">IF($B1682="","",IFERROR(INDEX(직원목록!$C$3:$C$302,MATCH($B1682,직원목록!$A$3:$A$302,0)),""))</f>
        <v/>
      </c>
      <c r="E1682" s="14"/>
      <c r="F1682" s="14"/>
      <c r="G1682" s="15"/>
      <c r="H1682" s="16" t="str">
        <f aca="false">IF(OR($K1682="",$L1682=""),"",ROUND(MAX(0,($L1682-$K1682)-IF($G1682="",0,$G1682))/60,2))</f>
        <v/>
      </c>
      <c r="I1682" s="8"/>
      <c r="J1682" s="8"/>
      <c r="K1682" s="17" t="str">
        <f aca="false">IF($E1682="","",IF($E1682&lt;1,ROUND($E1682*1440,0),INT($E1682/100)*60+MOD($E1682,100)))</f>
        <v/>
      </c>
      <c r="L1682" s="17" t="str">
        <f aca="false">IF($F1682="","",IF($F1682&lt;1,ROUND($F1682*1440,0),INT($F1682/100)*60+MOD($F1682,100)))</f>
        <v/>
      </c>
    </row>
    <row r="1683" customFormat="false" ht="15" hidden="false" customHeight="true" outlineLevel="0" collapsed="false">
      <c r="A1683" s="10"/>
      <c r="B1683" s="8"/>
      <c r="C1683" s="13" t="str">
        <f aca="false">IF($B1683="","",IFERROR(INDEX(직원목록!$B$3:$B$302,MATCH($B1683,직원목록!$A$3:$A$302,0)),"미등록사번"))</f>
        <v/>
      </c>
      <c r="D1683" s="13" t="str">
        <f aca="false">IF($B1683="","",IFERROR(INDEX(직원목록!$C$3:$C$302,MATCH($B1683,직원목록!$A$3:$A$302,0)),""))</f>
        <v/>
      </c>
      <c r="E1683" s="14"/>
      <c r="F1683" s="14"/>
      <c r="G1683" s="15"/>
      <c r="H1683" s="16" t="str">
        <f aca="false">IF(OR($K1683="",$L1683=""),"",ROUND(MAX(0,($L1683-$K1683)-IF($G1683="",0,$G1683))/60,2))</f>
        <v/>
      </c>
      <c r="I1683" s="8"/>
      <c r="J1683" s="8"/>
      <c r="K1683" s="17" t="str">
        <f aca="false">IF($E1683="","",IF($E1683&lt;1,ROUND($E1683*1440,0),INT($E1683/100)*60+MOD($E1683,100)))</f>
        <v/>
      </c>
      <c r="L1683" s="17" t="str">
        <f aca="false">IF($F1683="","",IF($F1683&lt;1,ROUND($F1683*1440,0),INT($F1683/100)*60+MOD($F1683,100)))</f>
        <v/>
      </c>
    </row>
    <row r="1684" customFormat="false" ht="15" hidden="false" customHeight="true" outlineLevel="0" collapsed="false">
      <c r="A1684" s="10"/>
      <c r="B1684" s="8"/>
      <c r="C1684" s="13" t="str">
        <f aca="false">IF($B1684="","",IFERROR(INDEX(직원목록!$B$3:$B$302,MATCH($B1684,직원목록!$A$3:$A$302,0)),"미등록사번"))</f>
        <v/>
      </c>
      <c r="D1684" s="13" t="str">
        <f aca="false">IF($B1684="","",IFERROR(INDEX(직원목록!$C$3:$C$302,MATCH($B1684,직원목록!$A$3:$A$302,0)),""))</f>
        <v/>
      </c>
      <c r="E1684" s="14"/>
      <c r="F1684" s="14"/>
      <c r="G1684" s="15"/>
      <c r="H1684" s="16" t="str">
        <f aca="false">IF(OR($K1684="",$L1684=""),"",ROUND(MAX(0,($L1684-$K1684)-IF($G1684="",0,$G1684))/60,2))</f>
        <v/>
      </c>
      <c r="I1684" s="8"/>
      <c r="J1684" s="8"/>
      <c r="K1684" s="17" t="str">
        <f aca="false">IF($E1684="","",IF($E1684&lt;1,ROUND($E1684*1440,0),INT($E1684/100)*60+MOD($E1684,100)))</f>
        <v/>
      </c>
      <c r="L1684" s="17" t="str">
        <f aca="false">IF($F1684="","",IF($F1684&lt;1,ROUND($F1684*1440,0),INT($F1684/100)*60+MOD($F1684,100)))</f>
        <v/>
      </c>
    </row>
    <row r="1685" customFormat="false" ht="15" hidden="false" customHeight="true" outlineLevel="0" collapsed="false">
      <c r="A1685" s="10"/>
      <c r="B1685" s="8"/>
      <c r="C1685" s="13" t="str">
        <f aca="false">IF($B1685="","",IFERROR(INDEX(직원목록!$B$3:$B$302,MATCH($B1685,직원목록!$A$3:$A$302,0)),"미등록사번"))</f>
        <v/>
      </c>
      <c r="D1685" s="13" t="str">
        <f aca="false">IF($B1685="","",IFERROR(INDEX(직원목록!$C$3:$C$302,MATCH($B1685,직원목록!$A$3:$A$302,0)),""))</f>
        <v/>
      </c>
      <c r="E1685" s="14"/>
      <c r="F1685" s="14"/>
      <c r="G1685" s="15"/>
      <c r="H1685" s="16" t="str">
        <f aca="false">IF(OR($K1685="",$L1685=""),"",ROUND(MAX(0,($L1685-$K1685)-IF($G1685="",0,$G1685))/60,2))</f>
        <v/>
      </c>
      <c r="I1685" s="8"/>
      <c r="J1685" s="8"/>
      <c r="K1685" s="17" t="str">
        <f aca="false">IF($E1685="","",IF($E1685&lt;1,ROUND($E1685*1440,0),INT($E1685/100)*60+MOD($E1685,100)))</f>
        <v/>
      </c>
      <c r="L1685" s="17" t="str">
        <f aca="false">IF($F1685="","",IF($F1685&lt;1,ROUND($F1685*1440,0),INT($F1685/100)*60+MOD($F1685,100)))</f>
        <v/>
      </c>
    </row>
    <row r="1686" customFormat="false" ht="15" hidden="false" customHeight="true" outlineLevel="0" collapsed="false">
      <c r="A1686" s="10"/>
      <c r="B1686" s="8"/>
      <c r="C1686" s="13" t="str">
        <f aca="false">IF($B1686="","",IFERROR(INDEX(직원목록!$B$3:$B$302,MATCH($B1686,직원목록!$A$3:$A$302,0)),"미등록사번"))</f>
        <v/>
      </c>
      <c r="D1686" s="13" t="str">
        <f aca="false">IF($B1686="","",IFERROR(INDEX(직원목록!$C$3:$C$302,MATCH($B1686,직원목록!$A$3:$A$302,0)),""))</f>
        <v/>
      </c>
      <c r="E1686" s="14"/>
      <c r="F1686" s="14"/>
      <c r="G1686" s="15"/>
      <c r="H1686" s="16" t="str">
        <f aca="false">IF(OR($K1686="",$L1686=""),"",ROUND(MAX(0,($L1686-$K1686)-IF($G1686="",0,$G1686))/60,2))</f>
        <v/>
      </c>
      <c r="I1686" s="8"/>
      <c r="J1686" s="8"/>
      <c r="K1686" s="17" t="str">
        <f aca="false">IF($E1686="","",IF($E1686&lt;1,ROUND($E1686*1440,0),INT($E1686/100)*60+MOD($E1686,100)))</f>
        <v/>
      </c>
      <c r="L1686" s="17" t="str">
        <f aca="false">IF($F1686="","",IF($F1686&lt;1,ROUND($F1686*1440,0),INT($F1686/100)*60+MOD($F1686,100)))</f>
        <v/>
      </c>
    </row>
    <row r="1687" customFormat="false" ht="15" hidden="false" customHeight="true" outlineLevel="0" collapsed="false">
      <c r="A1687" s="10"/>
      <c r="B1687" s="8"/>
      <c r="C1687" s="13" t="str">
        <f aca="false">IF($B1687="","",IFERROR(INDEX(직원목록!$B$3:$B$302,MATCH($B1687,직원목록!$A$3:$A$302,0)),"미등록사번"))</f>
        <v/>
      </c>
      <c r="D1687" s="13" t="str">
        <f aca="false">IF($B1687="","",IFERROR(INDEX(직원목록!$C$3:$C$302,MATCH($B1687,직원목록!$A$3:$A$302,0)),""))</f>
        <v/>
      </c>
      <c r="E1687" s="14"/>
      <c r="F1687" s="14"/>
      <c r="G1687" s="15"/>
      <c r="H1687" s="16" t="str">
        <f aca="false">IF(OR($K1687="",$L1687=""),"",ROUND(MAX(0,($L1687-$K1687)-IF($G1687="",0,$G1687))/60,2))</f>
        <v/>
      </c>
      <c r="I1687" s="8"/>
      <c r="J1687" s="8"/>
      <c r="K1687" s="17" t="str">
        <f aca="false">IF($E1687="","",IF($E1687&lt;1,ROUND($E1687*1440,0),INT($E1687/100)*60+MOD($E1687,100)))</f>
        <v/>
      </c>
      <c r="L1687" s="17" t="str">
        <f aca="false">IF($F1687="","",IF($F1687&lt;1,ROUND($F1687*1440,0),INT($F1687/100)*60+MOD($F1687,100)))</f>
        <v/>
      </c>
    </row>
    <row r="1688" customFormat="false" ht="15" hidden="false" customHeight="true" outlineLevel="0" collapsed="false">
      <c r="A1688" s="10"/>
      <c r="B1688" s="8"/>
      <c r="C1688" s="13" t="str">
        <f aca="false">IF($B1688="","",IFERROR(INDEX(직원목록!$B$3:$B$302,MATCH($B1688,직원목록!$A$3:$A$302,0)),"미등록사번"))</f>
        <v/>
      </c>
      <c r="D1688" s="13" t="str">
        <f aca="false">IF($B1688="","",IFERROR(INDEX(직원목록!$C$3:$C$302,MATCH($B1688,직원목록!$A$3:$A$302,0)),""))</f>
        <v/>
      </c>
      <c r="E1688" s="14"/>
      <c r="F1688" s="14"/>
      <c r="G1688" s="15"/>
      <c r="H1688" s="16" t="str">
        <f aca="false">IF(OR($K1688="",$L1688=""),"",ROUND(MAX(0,($L1688-$K1688)-IF($G1688="",0,$G1688))/60,2))</f>
        <v/>
      </c>
      <c r="I1688" s="8"/>
      <c r="J1688" s="8"/>
      <c r="K1688" s="17" t="str">
        <f aca="false">IF($E1688="","",IF($E1688&lt;1,ROUND($E1688*1440,0),INT($E1688/100)*60+MOD($E1688,100)))</f>
        <v/>
      </c>
      <c r="L1688" s="17" t="str">
        <f aca="false">IF($F1688="","",IF($F1688&lt;1,ROUND($F1688*1440,0),INT($F1688/100)*60+MOD($F1688,100)))</f>
        <v/>
      </c>
    </row>
    <row r="1689" customFormat="false" ht="15" hidden="false" customHeight="true" outlineLevel="0" collapsed="false">
      <c r="A1689" s="10"/>
      <c r="B1689" s="8"/>
      <c r="C1689" s="13" t="str">
        <f aca="false">IF($B1689="","",IFERROR(INDEX(직원목록!$B$3:$B$302,MATCH($B1689,직원목록!$A$3:$A$302,0)),"미등록사번"))</f>
        <v/>
      </c>
      <c r="D1689" s="13" t="str">
        <f aca="false">IF($B1689="","",IFERROR(INDEX(직원목록!$C$3:$C$302,MATCH($B1689,직원목록!$A$3:$A$302,0)),""))</f>
        <v/>
      </c>
      <c r="E1689" s="14"/>
      <c r="F1689" s="14"/>
      <c r="G1689" s="15"/>
      <c r="H1689" s="16" t="str">
        <f aca="false">IF(OR($K1689="",$L1689=""),"",ROUND(MAX(0,($L1689-$K1689)-IF($G1689="",0,$G1689))/60,2))</f>
        <v/>
      </c>
      <c r="I1689" s="8"/>
      <c r="J1689" s="8"/>
      <c r="K1689" s="17" t="str">
        <f aca="false">IF($E1689="","",IF($E1689&lt;1,ROUND($E1689*1440,0),INT($E1689/100)*60+MOD($E1689,100)))</f>
        <v/>
      </c>
      <c r="L1689" s="17" t="str">
        <f aca="false">IF($F1689="","",IF($F1689&lt;1,ROUND($F1689*1440,0),INT($F1689/100)*60+MOD($F1689,100)))</f>
        <v/>
      </c>
    </row>
    <row r="1690" customFormat="false" ht="15" hidden="false" customHeight="true" outlineLevel="0" collapsed="false">
      <c r="A1690" s="10"/>
      <c r="B1690" s="8"/>
      <c r="C1690" s="13" t="str">
        <f aca="false">IF($B1690="","",IFERROR(INDEX(직원목록!$B$3:$B$302,MATCH($B1690,직원목록!$A$3:$A$302,0)),"미등록사번"))</f>
        <v/>
      </c>
      <c r="D1690" s="13" t="str">
        <f aca="false">IF($B1690="","",IFERROR(INDEX(직원목록!$C$3:$C$302,MATCH($B1690,직원목록!$A$3:$A$302,0)),""))</f>
        <v/>
      </c>
      <c r="E1690" s="14"/>
      <c r="F1690" s="14"/>
      <c r="G1690" s="15"/>
      <c r="H1690" s="16" t="str">
        <f aca="false">IF(OR($K1690="",$L1690=""),"",ROUND(MAX(0,($L1690-$K1690)-IF($G1690="",0,$G1690))/60,2))</f>
        <v/>
      </c>
      <c r="I1690" s="8"/>
      <c r="J1690" s="8"/>
      <c r="K1690" s="17" t="str">
        <f aca="false">IF($E1690="","",IF($E1690&lt;1,ROUND($E1690*1440,0),INT($E1690/100)*60+MOD($E1690,100)))</f>
        <v/>
      </c>
      <c r="L1690" s="17" t="str">
        <f aca="false">IF($F1690="","",IF($F1690&lt;1,ROUND($F1690*1440,0),INT($F1690/100)*60+MOD($F1690,100)))</f>
        <v/>
      </c>
    </row>
    <row r="1691" customFormat="false" ht="15" hidden="false" customHeight="true" outlineLevel="0" collapsed="false">
      <c r="A1691" s="10"/>
      <c r="B1691" s="8"/>
      <c r="C1691" s="13" t="str">
        <f aca="false">IF($B1691="","",IFERROR(INDEX(직원목록!$B$3:$B$302,MATCH($B1691,직원목록!$A$3:$A$302,0)),"미등록사번"))</f>
        <v/>
      </c>
      <c r="D1691" s="13" t="str">
        <f aca="false">IF($B1691="","",IFERROR(INDEX(직원목록!$C$3:$C$302,MATCH($B1691,직원목록!$A$3:$A$302,0)),""))</f>
        <v/>
      </c>
      <c r="E1691" s="14"/>
      <c r="F1691" s="14"/>
      <c r="G1691" s="15"/>
      <c r="H1691" s="16" t="str">
        <f aca="false">IF(OR($K1691="",$L1691=""),"",ROUND(MAX(0,($L1691-$K1691)-IF($G1691="",0,$G1691))/60,2))</f>
        <v/>
      </c>
      <c r="I1691" s="8"/>
      <c r="J1691" s="8"/>
      <c r="K1691" s="17" t="str">
        <f aca="false">IF($E1691="","",IF($E1691&lt;1,ROUND($E1691*1440,0),INT($E1691/100)*60+MOD($E1691,100)))</f>
        <v/>
      </c>
      <c r="L1691" s="17" t="str">
        <f aca="false">IF($F1691="","",IF($F1691&lt;1,ROUND($F1691*1440,0),INT($F1691/100)*60+MOD($F1691,100)))</f>
        <v/>
      </c>
    </row>
    <row r="1692" customFormat="false" ht="15" hidden="false" customHeight="true" outlineLevel="0" collapsed="false">
      <c r="A1692" s="10"/>
      <c r="B1692" s="8"/>
      <c r="C1692" s="13" t="str">
        <f aca="false">IF($B1692="","",IFERROR(INDEX(직원목록!$B$3:$B$302,MATCH($B1692,직원목록!$A$3:$A$302,0)),"미등록사번"))</f>
        <v/>
      </c>
      <c r="D1692" s="13" t="str">
        <f aca="false">IF($B1692="","",IFERROR(INDEX(직원목록!$C$3:$C$302,MATCH($B1692,직원목록!$A$3:$A$302,0)),""))</f>
        <v/>
      </c>
      <c r="E1692" s="14"/>
      <c r="F1692" s="14"/>
      <c r="G1692" s="15"/>
      <c r="H1692" s="16" t="str">
        <f aca="false">IF(OR($K1692="",$L1692=""),"",ROUND(MAX(0,($L1692-$K1692)-IF($G1692="",0,$G1692))/60,2))</f>
        <v/>
      </c>
      <c r="I1692" s="8"/>
      <c r="J1692" s="8"/>
      <c r="K1692" s="17" t="str">
        <f aca="false">IF($E1692="","",IF($E1692&lt;1,ROUND($E1692*1440,0),INT($E1692/100)*60+MOD($E1692,100)))</f>
        <v/>
      </c>
      <c r="L1692" s="17" t="str">
        <f aca="false">IF($F1692="","",IF($F1692&lt;1,ROUND($F1692*1440,0),INT($F1692/100)*60+MOD($F1692,100)))</f>
        <v/>
      </c>
    </row>
    <row r="1693" customFormat="false" ht="15" hidden="false" customHeight="true" outlineLevel="0" collapsed="false">
      <c r="A1693" s="10"/>
      <c r="B1693" s="8"/>
      <c r="C1693" s="13" t="str">
        <f aca="false">IF($B1693="","",IFERROR(INDEX(직원목록!$B$3:$B$302,MATCH($B1693,직원목록!$A$3:$A$302,0)),"미등록사번"))</f>
        <v/>
      </c>
      <c r="D1693" s="13" t="str">
        <f aca="false">IF($B1693="","",IFERROR(INDEX(직원목록!$C$3:$C$302,MATCH($B1693,직원목록!$A$3:$A$302,0)),""))</f>
        <v/>
      </c>
      <c r="E1693" s="14"/>
      <c r="F1693" s="14"/>
      <c r="G1693" s="15"/>
      <c r="H1693" s="16" t="str">
        <f aca="false">IF(OR($K1693="",$L1693=""),"",ROUND(MAX(0,($L1693-$K1693)-IF($G1693="",0,$G1693))/60,2))</f>
        <v/>
      </c>
      <c r="I1693" s="8"/>
      <c r="J1693" s="8"/>
      <c r="K1693" s="17" t="str">
        <f aca="false">IF($E1693="","",IF($E1693&lt;1,ROUND($E1693*1440,0),INT($E1693/100)*60+MOD($E1693,100)))</f>
        <v/>
      </c>
      <c r="L1693" s="17" t="str">
        <f aca="false">IF($F1693="","",IF($F1693&lt;1,ROUND($F1693*1440,0),INT($F1693/100)*60+MOD($F1693,100)))</f>
        <v/>
      </c>
    </row>
    <row r="1694" customFormat="false" ht="15" hidden="false" customHeight="true" outlineLevel="0" collapsed="false">
      <c r="A1694" s="10"/>
      <c r="B1694" s="8"/>
      <c r="C1694" s="13" t="str">
        <f aca="false">IF($B1694="","",IFERROR(INDEX(직원목록!$B$3:$B$302,MATCH($B1694,직원목록!$A$3:$A$302,0)),"미등록사번"))</f>
        <v/>
      </c>
      <c r="D1694" s="13" t="str">
        <f aca="false">IF($B1694="","",IFERROR(INDEX(직원목록!$C$3:$C$302,MATCH($B1694,직원목록!$A$3:$A$302,0)),""))</f>
        <v/>
      </c>
      <c r="E1694" s="14"/>
      <c r="F1694" s="14"/>
      <c r="G1694" s="15"/>
      <c r="H1694" s="16" t="str">
        <f aca="false">IF(OR($K1694="",$L1694=""),"",ROUND(MAX(0,($L1694-$K1694)-IF($G1694="",0,$G1694))/60,2))</f>
        <v/>
      </c>
      <c r="I1694" s="8"/>
      <c r="J1694" s="8"/>
      <c r="K1694" s="17" t="str">
        <f aca="false">IF($E1694="","",IF($E1694&lt;1,ROUND($E1694*1440,0),INT($E1694/100)*60+MOD($E1694,100)))</f>
        <v/>
      </c>
      <c r="L1694" s="17" t="str">
        <f aca="false">IF($F1694="","",IF($F1694&lt;1,ROUND($F1694*1440,0),INT($F1694/100)*60+MOD($F1694,100)))</f>
        <v/>
      </c>
    </row>
    <row r="1695" customFormat="false" ht="15" hidden="false" customHeight="true" outlineLevel="0" collapsed="false">
      <c r="A1695" s="10"/>
      <c r="B1695" s="8"/>
      <c r="C1695" s="13" t="str">
        <f aca="false">IF($B1695="","",IFERROR(INDEX(직원목록!$B$3:$B$302,MATCH($B1695,직원목록!$A$3:$A$302,0)),"미등록사번"))</f>
        <v/>
      </c>
      <c r="D1695" s="13" t="str">
        <f aca="false">IF($B1695="","",IFERROR(INDEX(직원목록!$C$3:$C$302,MATCH($B1695,직원목록!$A$3:$A$302,0)),""))</f>
        <v/>
      </c>
      <c r="E1695" s="14"/>
      <c r="F1695" s="14"/>
      <c r="G1695" s="15"/>
      <c r="H1695" s="16" t="str">
        <f aca="false">IF(OR($K1695="",$L1695=""),"",ROUND(MAX(0,($L1695-$K1695)-IF($G1695="",0,$G1695))/60,2))</f>
        <v/>
      </c>
      <c r="I1695" s="8"/>
      <c r="J1695" s="8"/>
      <c r="K1695" s="17" t="str">
        <f aca="false">IF($E1695="","",IF($E1695&lt;1,ROUND($E1695*1440,0),INT($E1695/100)*60+MOD($E1695,100)))</f>
        <v/>
      </c>
      <c r="L1695" s="17" t="str">
        <f aca="false">IF($F1695="","",IF($F1695&lt;1,ROUND($F1695*1440,0),INT($F1695/100)*60+MOD($F1695,100)))</f>
        <v/>
      </c>
    </row>
    <row r="1696" customFormat="false" ht="15" hidden="false" customHeight="true" outlineLevel="0" collapsed="false">
      <c r="A1696" s="10"/>
      <c r="B1696" s="8"/>
      <c r="C1696" s="13" t="str">
        <f aca="false">IF($B1696="","",IFERROR(INDEX(직원목록!$B$3:$B$302,MATCH($B1696,직원목록!$A$3:$A$302,0)),"미등록사번"))</f>
        <v/>
      </c>
      <c r="D1696" s="13" t="str">
        <f aca="false">IF($B1696="","",IFERROR(INDEX(직원목록!$C$3:$C$302,MATCH($B1696,직원목록!$A$3:$A$302,0)),""))</f>
        <v/>
      </c>
      <c r="E1696" s="14"/>
      <c r="F1696" s="14"/>
      <c r="G1696" s="15"/>
      <c r="H1696" s="16" t="str">
        <f aca="false">IF(OR($K1696="",$L1696=""),"",ROUND(MAX(0,($L1696-$K1696)-IF($G1696="",0,$G1696))/60,2))</f>
        <v/>
      </c>
      <c r="I1696" s="8"/>
      <c r="J1696" s="8"/>
      <c r="K1696" s="17" t="str">
        <f aca="false">IF($E1696="","",IF($E1696&lt;1,ROUND($E1696*1440,0),INT($E1696/100)*60+MOD($E1696,100)))</f>
        <v/>
      </c>
      <c r="L1696" s="17" t="str">
        <f aca="false">IF($F1696="","",IF($F1696&lt;1,ROUND($F1696*1440,0),INT($F1696/100)*60+MOD($F1696,100)))</f>
        <v/>
      </c>
    </row>
    <row r="1697" customFormat="false" ht="15" hidden="false" customHeight="true" outlineLevel="0" collapsed="false">
      <c r="A1697" s="10"/>
      <c r="B1697" s="8"/>
      <c r="C1697" s="13" t="str">
        <f aca="false">IF($B1697="","",IFERROR(INDEX(직원목록!$B$3:$B$302,MATCH($B1697,직원목록!$A$3:$A$302,0)),"미등록사번"))</f>
        <v/>
      </c>
      <c r="D1697" s="13" t="str">
        <f aca="false">IF($B1697="","",IFERROR(INDEX(직원목록!$C$3:$C$302,MATCH($B1697,직원목록!$A$3:$A$302,0)),""))</f>
        <v/>
      </c>
      <c r="E1697" s="14"/>
      <c r="F1697" s="14"/>
      <c r="G1697" s="15"/>
      <c r="H1697" s="16" t="str">
        <f aca="false">IF(OR($K1697="",$L1697=""),"",ROUND(MAX(0,($L1697-$K1697)-IF($G1697="",0,$G1697))/60,2))</f>
        <v/>
      </c>
      <c r="I1697" s="8"/>
      <c r="J1697" s="8"/>
      <c r="K1697" s="17" t="str">
        <f aca="false">IF($E1697="","",IF($E1697&lt;1,ROUND($E1697*1440,0),INT($E1697/100)*60+MOD($E1697,100)))</f>
        <v/>
      </c>
      <c r="L1697" s="17" t="str">
        <f aca="false">IF($F1697="","",IF($F1697&lt;1,ROUND($F1697*1440,0),INT($F1697/100)*60+MOD($F1697,100)))</f>
        <v/>
      </c>
    </row>
    <row r="1698" customFormat="false" ht="15" hidden="false" customHeight="true" outlineLevel="0" collapsed="false">
      <c r="A1698" s="10"/>
      <c r="B1698" s="8"/>
      <c r="C1698" s="13" t="str">
        <f aca="false">IF($B1698="","",IFERROR(INDEX(직원목록!$B$3:$B$302,MATCH($B1698,직원목록!$A$3:$A$302,0)),"미등록사번"))</f>
        <v/>
      </c>
      <c r="D1698" s="13" t="str">
        <f aca="false">IF($B1698="","",IFERROR(INDEX(직원목록!$C$3:$C$302,MATCH($B1698,직원목록!$A$3:$A$302,0)),""))</f>
        <v/>
      </c>
      <c r="E1698" s="14"/>
      <c r="F1698" s="14"/>
      <c r="G1698" s="15"/>
      <c r="H1698" s="16" t="str">
        <f aca="false">IF(OR($K1698="",$L1698=""),"",ROUND(MAX(0,($L1698-$K1698)-IF($G1698="",0,$G1698))/60,2))</f>
        <v/>
      </c>
      <c r="I1698" s="8"/>
      <c r="J1698" s="8"/>
      <c r="K1698" s="17" t="str">
        <f aca="false">IF($E1698="","",IF($E1698&lt;1,ROUND($E1698*1440,0),INT($E1698/100)*60+MOD($E1698,100)))</f>
        <v/>
      </c>
      <c r="L1698" s="17" t="str">
        <f aca="false">IF($F1698="","",IF($F1698&lt;1,ROUND($F1698*1440,0),INT($F1698/100)*60+MOD($F1698,100)))</f>
        <v/>
      </c>
    </row>
    <row r="1699" customFormat="false" ht="15" hidden="false" customHeight="true" outlineLevel="0" collapsed="false">
      <c r="A1699" s="10"/>
      <c r="B1699" s="8"/>
      <c r="C1699" s="13" t="str">
        <f aca="false">IF($B1699="","",IFERROR(INDEX(직원목록!$B$3:$B$302,MATCH($B1699,직원목록!$A$3:$A$302,0)),"미등록사번"))</f>
        <v/>
      </c>
      <c r="D1699" s="13" t="str">
        <f aca="false">IF($B1699="","",IFERROR(INDEX(직원목록!$C$3:$C$302,MATCH($B1699,직원목록!$A$3:$A$302,0)),""))</f>
        <v/>
      </c>
      <c r="E1699" s="14"/>
      <c r="F1699" s="14"/>
      <c r="G1699" s="15"/>
      <c r="H1699" s="16" t="str">
        <f aca="false">IF(OR($K1699="",$L1699=""),"",ROUND(MAX(0,($L1699-$K1699)-IF($G1699="",0,$G1699))/60,2))</f>
        <v/>
      </c>
      <c r="I1699" s="8"/>
      <c r="J1699" s="8"/>
      <c r="K1699" s="17" t="str">
        <f aca="false">IF($E1699="","",IF($E1699&lt;1,ROUND($E1699*1440,0),INT($E1699/100)*60+MOD($E1699,100)))</f>
        <v/>
      </c>
      <c r="L1699" s="17" t="str">
        <f aca="false">IF($F1699="","",IF($F1699&lt;1,ROUND($F1699*1440,0),INT($F1699/100)*60+MOD($F1699,100)))</f>
        <v/>
      </c>
    </row>
    <row r="1700" customFormat="false" ht="15" hidden="false" customHeight="true" outlineLevel="0" collapsed="false">
      <c r="A1700" s="10"/>
      <c r="B1700" s="8"/>
      <c r="C1700" s="13" t="str">
        <f aca="false">IF($B1700="","",IFERROR(INDEX(직원목록!$B$3:$B$302,MATCH($B1700,직원목록!$A$3:$A$302,0)),"미등록사번"))</f>
        <v/>
      </c>
      <c r="D1700" s="13" t="str">
        <f aca="false">IF($B1700="","",IFERROR(INDEX(직원목록!$C$3:$C$302,MATCH($B1700,직원목록!$A$3:$A$302,0)),""))</f>
        <v/>
      </c>
      <c r="E1700" s="14"/>
      <c r="F1700" s="14"/>
      <c r="G1700" s="15"/>
      <c r="H1700" s="16" t="str">
        <f aca="false">IF(OR($K1700="",$L1700=""),"",ROUND(MAX(0,($L1700-$K1700)-IF($G1700="",0,$G1700))/60,2))</f>
        <v/>
      </c>
      <c r="I1700" s="8"/>
      <c r="J1700" s="8"/>
      <c r="K1700" s="17" t="str">
        <f aca="false">IF($E1700="","",IF($E1700&lt;1,ROUND($E1700*1440,0),INT($E1700/100)*60+MOD($E1700,100)))</f>
        <v/>
      </c>
      <c r="L1700" s="17" t="str">
        <f aca="false">IF($F1700="","",IF($F1700&lt;1,ROUND($F1700*1440,0),INT($F1700/100)*60+MOD($F1700,100)))</f>
        <v/>
      </c>
    </row>
    <row r="1701" customFormat="false" ht="15" hidden="false" customHeight="true" outlineLevel="0" collapsed="false">
      <c r="A1701" s="10"/>
      <c r="B1701" s="8"/>
      <c r="C1701" s="13" t="str">
        <f aca="false">IF($B1701="","",IFERROR(INDEX(직원목록!$B$3:$B$302,MATCH($B1701,직원목록!$A$3:$A$302,0)),"미등록사번"))</f>
        <v/>
      </c>
      <c r="D1701" s="13" t="str">
        <f aca="false">IF($B1701="","",IFERROR(INDEX(직원목록!$C$3:$C$302,MATCH($B1701,직원목록!$A$3:$A$302,0)),""))</f>
        <v/>
      </c>
      <c r="E1701" s="14"/>
      <c r="F1701" s="14"/>
      <c r="G1701" s="15"/>
      <c r="H1701" s="16" t="str">
        <f aca="false">IF(OR($K1701="",$L1701=""),"",ROUND(MAX(0,($L1701-$K1701)-IF($G1701="",0,$G1701))/60,2))</f>
        <v/>
      </c>
      <c r="I1701" s="8"/>
      <c r="J1701" s="8"/>
      <c r="K1701" s="17" t="str">
        <f aca="false">IF($E1701="","",IF($E1701&lt;1,ROUND($E1701*1440,0),INT($E1701/100)*60+MOD($E1701,100)))</f>
        <v/>
      </c>
      <c r="L1701" s="17" t="str">
        <f aca="false">IF($F1701="","",IF($F1701&lt;1,ROUND($F1701*1440,0),INT($F1701/100)*60+MOD($F1701,100)))</f>
        <v/>
      </c>
    </row>
    <row r="1702" customFormat="false" ht="15" hidden="false" customHeight="true" outlineLevel="0" collapsed="false">
      <c r="A1702" s="10"/>
      <c r="B1702" s="8"/>
      <c r="C1702" s="13" t="str">
        <f aca="false">IF($B1702="","",IFERROR(INDEX(직원목록!$B$3:$B$302,MATCH($B1702,직원목록!$A$3:$A$302,0)),"미등록사번"))</f>
        <v/>
      </c>
      <c r="D1702" s="13" t="str">
        <f aca="false">IF($B1702="","",IFERROR(INDEX(직원목록!$C$3:$C$302,MATCH($B1702,직원목록!$A$3:$A$302,0)),""))</f>
        <v/>
      </c>
      <c r="E1702" s="14"/>
      <c r="F1702" s="14"/>
      <c r="G1702" s="15"/>
      <c r="H1702" s="16" t="str">
        <f aca="false">IF(OR($K1702="",$L1702=""),"",ROUND(MAX(0,($L1702-$K1702)-IF($G1702="",0,$G1702))/60,2))</f>
        <v/>
      </c>
      <c r="I1702" s="8"/>
      <c r="J1702" s="8"/>
      <c r="K1702" s="17" t="str">
        <f aca="false">IF($E1702="","",IF($E1702&lt;1,ROUND($E1702*1440,0),INT($E1702/100)*60+MOD($E1702,100)))</f>
        <v/>
      </c>
      <c r="L1702" s="17" t="str">
        <f aca="false">IF($F1702="","",IF($F1702&lt;1,ROUND($F1702*1440,0),INT($F1702/100)*60+MOD($F1702,100)))</f>
        <v/>
      </c>
    </row>
    <row r="1703" customFormat="false" ht="15" hidden="false" customHeight="true" outlineLevel="0" collapsed="false">
      <c r="A1703" s="10"/>
      <c r="B1703" s="8"/>
      <c r="C1703" s="13" t="str">
        <f aca="false">IF($B1703="","",IFERROR(INDEX(직원목록!$B$3:$B$302,MATCH($B1703,직원목록!$A$3:$A$302,0)),"미등록사번"))</f>
        <v/>
      </c>
      <c r="D1703" s="13" t="str">
        <f aca="false">IF($B1703="","",IFERROR(INDEX(직원목록!$C$3:$C$302,MATCH($B1703,직원목록!$A$3:$A$302,0)),""))</f>
        <v/>
      </c>
      <c r="E1703" s="14"/>
      <c r="F1703" s="14"/>
      <c r="G1703" s="15"/>
      <c r="H1703" s="16" t="str">
        <f aca="false">IF(OR($K1703="",$L1703=""),"",ROUND(MAX(0,($L1703-$K1703)-IF($G1703="",0,$G1703))/60,2))</f>
        <v/>
      </c>
      <c r="I1703" s="8"/>
      <c r="J1703" s="8"/>
      <c r="K1703" s="17" t="str">
        <f aca="false">IF($E1703="","",IF($E1703&lt;1,ROUND($E1703*1440,0),INT($E1703/100)*60+MOD($E1703,100)))</f>
        <v/>
      </c>
      <c r="L1703" s="17" t="str">
        <f aca="false">IF($F1703="","",IF($F1703&lt;1,ROUND($F1703*1440,0),INT($F1703/100)*60+MOD($F1703,100)))</f>
        <v/>
      </c>
    </row>
    <row r="1704" customFormat="false" ht="15" hidden="false" customHeight="true" outlineLevel="0" collapsed="false">
      <c r="A1704" s="10"/>
      <c r="B1704" s="8"/>
      <c r="C1704" s="13" t="str">
        <f aca="false">IF($B1704="","",IFERROR(INDEX(직원목록!$B$3:$B$302,MATCH($B1704,직원목록!$A$3:$A$302,0)),"미등록사번"))</f>
        <v/>
      </c>
      <c r="D1704" s="13" t="str">
        <f aca="false">IF($B1704="","",IFERROR(INDEX(직원목록!$C$3:$C$302,MATCH($B1704,직원목록!$A$3:$A$302,0)),""))</f>
        <v/>
      </c>
      <c r="E1704" s="14"/>
      <c r="F1704" s="14"/>
      <c r="G1704" s="15"/>
      <c r="H1704" s="16" t="str">
        <f aca="false">IF(OR($K1704="",$L1704=""),"",ROUND(MAX(0,($L1704-$K1704)-IF($G1704="",0,$G1704))/60,2))</f>
        <v/>
      </c>
      <c r="I1704" s="8"/>
      <c r="J1704" s="8"/>
      <c r="K1704" s="17" t="str">
        <f aca="false">IF($E1704="","",IF($E1704&lt;1,ROUND($E1704*1440,0),INT($E1704/100)*60+MOD($E1704,100)))</f>
        <v/>
      </c>
      <c r="L1704" s="17" t="str">
        <f aca="false">IF($F1704="","",IF($F1704&lt;1,ROUND($F1704*1440,0),INT($F1704/100)*60+MOD($F1704,100)))</f>
        <v/>
      </c>
    </row>
    <row r="1705" customFormat="false" ht="15" hidden="false" customHeight="true" outlineLevel="0" collapsed="false">
      <c r="A1705" s="10"/>
      <c r="B1705" s="8"/>
      <c r="C1705" s="13" t="str">
        <f aca="false">IF($B1705="","",IFERROR(INDEX(직원목록!$B$3:$B$302,MATCH($B1705,직원목록!$A$3:$A$302,0)),"미등록사번"))</f>
        <v/>
      </c>
      <c r="D1705" s="13" t="str">
        <f aca="false">IF($B1705="","",IFERROR(INDEX(직원목록!$C$3:$C$302,MATCH($B1705,직원목록!$A$3:$A$302,0)),""))</f>
        <v/>
      </c>
      <c r="E1705" s="14"/>
      <c r="F1705" s="14"/>
      <c r="G1705" s="15"/>
      <c r="H1705" s="16" t="str">
        <f aca="false">IF(OR($K1705="",$L1705=""),"",ROUND(MAX(0,($L1705-$K1705)-IF($G1705="",0,$G1705))/60,2))</f>
        <v/>
      </c>
      <c r="I1705" s="8"/>
      <c r="J1705" s="8"/>
      <c r="K1705" s="17" t="str">
        <f aca="false">IF($E1705="","",IF($E1705&lt;1,ROUND($E1705*1440,0),INT($E1705/100)*60+MOD($E1705,100)))</f>
        <v/>
      </c>
      <c r="L1705" s="17" t="str">
        <f aca="false">IF($F1705="","",IF($F1705&lt;1,ROUND($F1705*1440,0),INT($F1705/100)*60+MOD($F1705,100)))</f>
        <v/>
      </c>
    </row>
    <row r="1706" customFormat="false" ht="15" hidden="false" customHeight="true" outlineLevel="0" collapsed="false">
      <c r="A1706" s="10"/>
      <c r="B1706" s="8"/>
      <c r="C1706" s="13" t="str">
        <f aca="false">IF($B1706="","",IFERROR(INDEX(직원목록!$B$3:$B$302,MATCH($B1706,직원목록!$A$3:$A$302,0)),"미등록사번"))</f>
        <v/>
      </c>
      <c r="D1706" s="13" t="str">
        <f aca="false">IF($B1706="","",IFERROR(INDEX(직원목록!$C$3:$C$302,MATCH($B1706,직원목록!$A$3:$A$302,0)),""))</f>
        <v/>
      </c>
      <c r="E1706" s="14"/>
      <c r="F1706" s="14"/>
      <c r="G1706" s="15"/>
      <c r="H1706" s="16" t="str">
        <f aca="false">IF(OR($K1706="",$L1706=""),"",ROUND(MAX(0,($L1706-$K1706)-IF($G1706="",0,$G1706))/60,2))</f>
        <v/>
      </c>
      <c r="I1706" s="8"/>
      <c r="J1706" s="8"/>
      <c r="K1706" s="17" t="str">
        <f aca="false">IF($E1706="","",IF($E1706&lt;1,ROUND($E1706*1440,0),INT($E1706/100)*60+MOD($E1706,100)))</f>
        <v/>
      </c>
      <c r="L1706" s="17" t="str">
        <f aca="false">IF($F1706="","",IF($F1706&lt;1,ROUND($F1706*1440,0),INT($F1706/100)*60+MOD($F1706,100)))</f>
        <v/>
      </c>
    </row>
    <row r="1707" customFormat="false" ht="15" hidden="false" customHeight="true" outlineLevel="0" collapsed="false">
      <c r="A1707" s="10"/>
      <c r="B1707" s="8"/>
      <c r="C1707" s="13" t="str">
        <f aca="false">IF($B1707="","",IFERROR(INDEX(직원목록!$B$3:$B$302,MATCH($B1707,직원목록!$A$3:$A$302,0)),"미등록사번"))</f>
        <v/>
      </c>
      <c r="D1707" s="13" t="str">
        <f aca="false">IF($B1707="","",IFERROR(INDEX(직원목록!$C$3:$C$302,MATCH($B1707,직원목록!$A$3:$A$302,0)),""))</f>
        <v/>
      </c>
      <c r="E1707" s="14"/>
      <c r="F1707" s="14"/>
      <c r="G1707" s="15"/>
      <c r="H1707" s="16" t="str">
        <f aca="false">IF(OR($K1707="",$L1707=""),"",ROUND(MAX(0,($L1707-$K1707)-IF($G1707="",0,$G1707))/60,2))</f>
        <v/>
      </c>
      <c r="I1707" s="8"/>
      <c r="J1707" s="8"/>
      <c r="K1707" s="17" t="str">
        <f aca="false">IF($E1707="","",IF($E1707&lt;1,ROUND($E1707*1440,0),INT($E1707/100)*60+MOD($E1707,100)))</f>
        <v/>
      </c>
      <c r="L1707" s="17" t="str">
        <f aca="false">IF($F1707="","",IF($F1707&lt;1,ROUND($F1707*1440,0),INT($F1707/100)*60+MOD($F1707,100)))</f>
        <v/>
      </c>
    </row>
    <row r="1708" customFormat="false" ht="15" hidden="false" customHeight="true" outlineLevel="0" collapsed="false">
      <c r="A1708" s="10"/>
      <c r="B1708" s="8"/>
      <c r="C1708" s="13" t="str">
        <f aca="false">IF($B1708="","",IFERROR(INDEX(직원목록!$B$3:$B$302,MATCH($B1708,직원목록!$A$3:$A$302,0)),"미등록사번"))</f>
        <v/>
      </c>
      <c r="D1708" s="13" t="str">
        <f aca="false">IF($B1708="","",IFERROR(INDEX(직원목록!$C$3:$C$302,MATCH($B1708,직원목록!$A$3:$A$302,0)),""))</f>
        <v/>
      </c>
      <c r="E1708" s="14"/>
      <c r="F1708" s="14"/>
      <c r="G1708" s="15"/>
      <c r="H1708" s="16" t="str">
        <f aca="false">IF(OR($K1708="",$L1708=""),"",ROUND(MAX(0,($L1708-$K1708)-IF($G1708="",0,$G1708))/60,2))</f>
        <v/>
      </c>
      <c r="I1708" s="8"/>
      <c r="J1708" s="8"/>
      <c r="K1708" s="17" t="str">
        <f aca="false">IF($E1708="","",IF($E1708&lt;1,ROUND($E1708*1440,0),INT($E1708/100)*60+MOD($E1708,100)))</f>
        <v/>
      </c>
      <c r="L1708" s="17" t="str">
        <f aca="false">IF($F1708="","",IF($F1708&lt;1,ROUND($F1708*1440,0),INT($F1708/100)*60+MOD($F1708,100)))</f>
        <v/>
      </c>
    </row>
    <row r="1709" customFormat="false" ht="15" hidden="false" customHeight="true" outlineLevel="0" collapsed="false">
      <c r="A1709" s="10"/>
      <c r="B1709" s="8"/>
      <c r="C1709" s="13" t="str">
        <f aca="false">IF($B1709="","",IFERROR(INDEX(직원목록!$B$3:$B$302,MATCH($B1709,직원목록!$A$3:$A$302,0)),"미등록사번"))</f>
        <v/>
      </c>
      <c r="D1709" s="13" t="str">
        <f aca="false">IF($B1709="","",IFERROR(INDEX(직원목록!$C$3:$C$302,MATCH($B1709,직원목록!$A$3:$A$302,0)),""))</f>
        <v/>
      </c>
      <c r="E1709" s="14"/>
      <c r="F1709" s="14"/>
      <c r="G1709" s="15"/>
      <c r="H1709" s="16" t="str">
        <f aca="false">IF(OR($K1709="",$L1709=""),"",ROUND(MAX(0,($L1709-$K1709)-IF($G1709="",0,$G1709))/60,2))</f>
        <v/>
      </c>
      <c r="I1709" s="8"/>
      <c r="J1709" s="8"/>
      <c r="K1709" s="17" t="str">
        <f aca="false">IF($E1709="","",IF($E1709&lt;1,ROUND($E1709*1440,0),INT($E1709/100)*60+MOD($E1709,100)))</f>
        <v/>
      </c>
      <c r="L1709" s="17" t="str">
        <f aca="false">IF($F1709="","",IF($F1709&lt;1,ROUND($F1709*1440,0),INT($F1709/100)*60+MOD($F1709,100)))</f>
        <v/>
      </c>
    </row>
    <row r="1710" customFormat="false" ht="15" hidden="false" customHeight="true" outlineLevel="0" collapsed="false">
      <c r="A1710" s="10"/>
      <c r="B1710" s="8"/>
      <c r="C1710" s="13" t="str">
        <f aca="false">IF($B1710="","",IFERROR(INDEX(직원목록!$B$3:$B$302,MATCH($B1710,직원목록!$A$3:$A$302,0)),"미등록사번"))</f>
        <v/>
      </c>
      <c r="D1710" s="13" t="str">
        <f aca="false">IF($B1710="","",IFERROR(INDEX(직원목록!$C$3:$C$302,MATCH($B1710,직원목록!$A$3:$A$302,0)),""))</f>
        <v/>
      </c>
      <c r="E1710" s="14"/>
      <c r="F1710" s="14"/>
      <c r="G1710" s="15"/>
      <c r="H1710" s="16" t="str">
        <f aca="false">IF(OR($K1710="",$L1710=""),"",ROUND(MAX(0,($L1710-$K1710)-IF($G1710="",0,$G1710))/60,2))</f>
        <v/>
      </c>
      <c r="I1710" s="8"/>
      <c r="J1710" s="8"/>
      <c r="K1710" s="17" t="str">
        <f aca="false">IF($E1710="","",IF($E1710&lt;1,ROUND($E1710*1440,0),INT($E1710/100)*60+MOD($E1710,100)))</f>
        <v/>
      </c>
      <c r="L1710" s="17" t="str">
        <f aca="false">IF($F1710="","",IF($F1710&lt;1,ROUND($F1710*1440,0),INT($F1710/100)*60+MOD($F1710,100)))</f>
        <v/>
      </c>
    </row>
    <row r="1711" customFormat="false" ht="15" hidden="false" customHeight="true" outlineLevel="0" collapsed="false">
      <c r="A1711" s="10"/>
      <c r="B1711" s="8"/>
      <c r="C1711" s="13" t="str">
        <f aca="false">IF($B1711="","",IFERROR(INDEX(직원목록!$B$3:$B$302,MATCH($B1711,직원목록!$A$3:$A$302,0)),"미등록사번"))</f>
        <v/>
      </c>
      <c r="D1711" s="13" t="str">
        <f aca="false">IF($B1711="","",IFERROR(INDEX(직원목록!$C$3:$C$302,MATCH($B1711,직원목록!$A$3:$A$302,0)),""))</f>
        <v/>
      </c>
      <c r="E1711" s="14"/>
      <c r="F1711" s="14"/>
      <c r="G1711" s="15"/>
      <c r="H1711" s="16" t="str">
        <f aca="false">IF(OR($K1711="",$L1711=""),"",ROUND(MAX(0,($L1711-$K1711)-IF($G1711="",0,$G1711))/60,2))</f>
        <v/>
      </c>
      <c r="I1711" s="8"/>
      <c r="J1711" s="8"/>
      <c r="K1711" s="17" t="str">
        <f aca="false">IF($E1711="","",IF($E1711&lt;1,ROUND($E1711*1440,0),INT($E1711/100)*60+MOD($E1711,100)))</f>
        <v/>
      </c>
      <c r="L1711" s="17" t="str">
        <f aca="false">IF($F1711="","",IF($F1711&lt;1,ROUND($F1711*1440,0),INT($F1711/100)*60+MOD($F1711,100)))</f>
        <v/>
      </c>
    </row>
    <row r="1712" customFormat="false" ht="15" hidden="false" customHeight="true" outlineLevel="0" collapsed="false">
      <c r="A1712" s="10"/>
      <c r="B1712" s="8"/>
      <c r="C1712" s="13" t="str">
        <f aca="false">IF($B1712="","",IFERROR(INDEX(직원목록!$B$3:$B$302,MATCH($B1712,직원목록!$A$3:$A$302,0)),"미등록사번"))</f>
        <v/>
      </c>
      <c r="D1712" s="13" t="str">
        <f aca="false">IF($B1712="","",IFERROR(INDEX(직원목록!$C$3:$C$302,MATCH($B1712,직원목록!$A$3:$A$302,0)),""))</f>
        <v/>
      </c>
      <c r="E1712" s="14"/>
      <c r="F1712" s="14"/>
      <c r="G1712" s="15"/>
      <c r="H1712" s="16" t="str">
        <f aca="false">IF(OR($K1712="",$L1712=""),"",ROUND(MAX(0,($L1712-$K1712)-IF($G1712="",0,$G1712))/60,2))</f>
        <v/>
      </c>
      <c r="I1712" s="8"/>
      <c r="J1712" s="8"/>
      <c r="K1712" s="17" t="str">
        <f aca="false">IF($E1712="","",IF($E1712&lt;1,ROUND($E1712*1440,0),INT($E1712/100)*60+MOD($E1712,100)))</f>
        <v/>
      </c>
      <c r="L1712" s="17" t="str">
        <f aca="false">IF($F1712="","",IF($F1712&lt;1,ROUND($F1712*1440,0),INT($F1712/100)*60+MOD($F1712,100)))</f>
        <v/>
      </c>
    </row>
    <row r="1713" customFormat="false" ht="15" hidden="false" customHeight="true" outlineLevel="0" collapsed="false">
      <c r="A1713" s="10"/>
      <c r="B1713" s="8"/>
      <c r="C1713" s="13" t="str">
        <f aca="false">IF($B1713="","",IFERROR(INDEX(직원목록!$B$3:$B$302,MATCH($B1713,직원목록!$A$3:$A$302,0)),"미등록사번"))</f>
        <v/>
      </c>
      <c r="D1713" s="13" t="str">
        <f aca="false">IF($B1713="","",IFERROR(INDEX(직원목록!$C$3:$C$302,MATCH($B1713,직원목록!$A$3:$A$302,0)),""))</f>
        <v/>
      </c>
      <c r="E1713" s="14"/>
      <c r="F1713" s="14"/>
      <c r="G1713" s="15"/>
      <c r="H1713" s="16" t="str">
        <f aca="false">IF(OR($K1713="",$L1713=""),"",ROUND(MAX(0,($L1713-$K1713)-IF($G1713="",0,$G1713))/60,2))</f>
        <v/>
      </c>
      <c r="I1713" s="8"/>
      <c r="J1713" s="8"/>
      <c r="K1713" s="17" t="str">
        <f aca="false">IF($E1713="","",IF($E1713&lt;1,ROUND($E1713*1440,0),INT($E1713/100)*60+MOD($E1713,100)))</f>
        <v/>
      </c>
      <c r="L1713" s="17" t="str">
        <f aca="false">IF($F1713="","",IF($F1713&lt;1,ROUND($F1713*1440,0),INT($F1713/100)*60+MOD($F1713,100)))</f>
        <v/>
      </c>
    </row>
    <row r="1714" customFormat="false" ht="15" hidden="false" customHeight="true" outlineLevel="0" collapsed="false">
      <c r="A1714" s="10"/>
      <c r="B1714" s="8"/>
      <c r="C1714" s="13" t="str">
        <f aca="false">IF($B1714="","",IFERROR(INDEX(직원목록!$B$3:$B$302,MATCH($B1714,직원목록!$A$3:$A$302,0)),"미등록사번"))</f>
        <v/>
      </c>
      <c r="D1714" s="13" t="str">
        <f aca="false">IF($B1714="","",IFERROR(INDEX(직원목록!$C$3:$C$302,MATCH($B1714,직원목록!$A$3:$A$302,0)),""))</f>
        <v/>
      </c>
      <c r="E1714" s="14"/>
      <c r="F1714" s="14"/>
      <c r="G1714" s="15"/>
      <c r="H1714" s="16" t="str">
        <f aca="false">IF(OR($K1714="",$L1714=""),"",ROUND(MAX(0,($L1714-$K1714)-IF($G1714="",0,$G1714))/60,2))</f>
        <v/>
      </c>
      <c r="I1714" s="8"/>
      <c r="J1714" s="8"/>
      <c r="K1714" s="17" t="str">
        <f aca="false">IF($E1714="","",IF($E1714&lt;1,ROUND($E1714*1440,0),INT($E1714/100)*60+MOD($E1714,100)))</f>
        <v/>
      </c>
      <c r="L1714" s="17" t="str">
        <f aca="false">IF($F1714="","",IF($F1714&lt;1,ROUND($F1714*1440,0),INT($F1714/100)*60+MOD($F1714,100)))</f>
        <v/>
      </c>
    </row>
    <row r="1715" customFormat="false" ht="15" hidden="false" customHeight="true" outlineLevel="0" collapsed="false">
      <c r="A1715" s="10"/>
      <c r="B1715" s="8"/>
      <c r="C1715" s="13" t="str">
        <f aca="false">IF($B1715="","",IFERROR(INDEX(직원목록!$B$3:$B$302,MATCH($B1715,직원목록!$A$3:$A$302,0)),"미등록사번"))</f>
        <v/>
      </c>
      <c r="D1715" s="13" t="str">
        <f aca="false">IF($B1715="","",IFERROR(INDEX(직원목록!$C$3:$C$302,MATCH($B1715,직원목록!$A$3:$A$302,0)),""))</f>
        <v/>
      </c>
      <c r="E1715" s="14"/>
      <c r="F1715" s="14"/>
      <c r="G1715" s="15"/>
      <c r="H1715" s="16" t="str">
        <f aca="false">IF(OR($K1715="",$L1715=""),"",ROUND(MAX(0,($L1715-$K1715)-IF($G1715="",0,$G1715))/60,2))</f>
        <v/>
      </c>
      <c r="I1715" s="8"/>
      <c r="J1715" s="8"/>
      <c r="K1715" s="17" t="str">
        <f aca="false">IF($E1715="","",IF($E1715&lt;1,ROUND($E1715*1440,0),INT($E1715/100)*60+MOD($E1715,100)))</f>
        <v/>
      </c>
      <c r="L1715" s="17" t="str">
        <f aca="false">IF($F1715="","",IF($F1715&lt;1,ROUND($F1715*1440,0),INT($F1715/100)*60+MOD($F1715,100)))</f>
        <v/>
      </c>
    </row>
    <row r="1716" customFormat="false" ht="15" hidden="false" customHeight="true" outlineLevel="0" collapsed="false">
      <c r="A1716" s="10"/>
      <c r="B1716" s="8"/>
      <c r="C1716" s="13" t="str">
        <f aca="false">IF($B1716="","",IFERROR(INDEX(직원목록!$B$3:$B$302,MATCH($B1716,직원목록!$A$3:$A$302,0)),"미등록사번"))</f>
        <v/>
      </c>
      <c r="D1716" s="13" t="str">
        <f aca="false">IF($B1716="","",IFERROR(INDEX(직원목록!$C$3:$C$302,MATCH($B1716,직원목록!$A$3:$A$302,0)),""))</f>
        <v/>
      </c>
      <c r="E1716" s="14"/>
      <c r="F1716" s="14"/>
      <c r="G1716" s="15"/>
      <c r="H1716" s="16" t="str">
        <f aca="false">IF(OR($K1716="",$L1716=""),"",ROUND(MAX(0,($L1716-$K1716)-IF($G1716="",0,$G1716))/60,2))</f>
        <v/>
      </c>
      <c r="I1716" s="8"/>
      <c r="J1716" s="8"/>
      <c r="K1716" s="17" t="str">
        <f aca="false">IF($E1716="","",IF($E1716&lt;1,ROUND($E1716*1440,0),INT($E1716/100)*60+MOD($E1716,100)))</f>
        <v/>
      </c>
      <c r="L1716" s="17" t="str">
        <f aca="false">IF($F1716="","",IF($F1716&lt;1,ROUND($F1716*1440,0),INT($F1716/100)*60+MOD($F1716,100)))</f>
        <v/>
      </c>
    </row>
    <row r="1717" customFormat="false" ht="15" hidden="false" customHeight="true" outlineLevel="0" collapsed="false">
      <c r="A1717" s="10"/>
      <c r="B1717" s="8"/>
      <c r="C1717" s="13" t="str">
        <f aca="false">IF($B1717="","",IFERROR(INDEX(직원목록!$B$3:$B$302,MATCH($B1717,직원목록!$A$3:$A$302,0)),"미등록사번"))</f>
        <v/>
      </c>
      <c r="D1717" s="13" t="str">
        <f aca="false">IF($B1717="","",IFERROR(INDEX(직원목록!$C$3:$C$302,MATCH($B1717,직원목록!$A$3:$A$302,0)),""))</f>
        <v/>
      </c>
      <c r="E1717" s="14"/>
      <c r="F1717" s="14"/>
      <c r="G1717" s="15"/>
      <c r="H1717" s="16" t="str">
        <f aca="false">IF(OR($K1717="",$L1717=""),"",ROUND(MAX(0,($L1717-$K1717)-IF($G1717="",0,$G1717))/60,2))</f>
        <v/>
      </c>
      <c r="I1717" s="8"/>
      <c r="J1717" s="8"/>
      <c r="K1717" s="17" t="str">
        <f aca="false">IF($E1717="","",IF($E1717&lt;1,ROUND($E1717*1440,0),INT($E1717/100)*60+MOD($E1717,100)))</f>
        <v/>
      </c>
      <c r="L1717" s="17" t="str">
        <f aca="false">IF($F1717="","",IF($F1717&lt;1,ROUND($F1717*1440,0),INT($F1717/100)*60+MOD($F1717,100)))</f>
        <v/>
      </c>
    </row>
    <row r="1718" customFormat="false" ht="15" hidden="false" customHeight="true" outlineLevel="0" collapsed="false">
      <c r="A1718" s="10"/>
      <c r="B1718" s="8"/>
      <c r="C1718" s="13" t="str">
        <f aca="false">IF($B1718="","",IFERROR(INDEX(직원목록!$B$3:$B$302,MATCH($B1718,직원목록!$A$3:$A$302,0)),"미등록사번"))</f>
        <v/>
      </c>
      <c r="D1718" s="13" t="str">
        <f aca="false">IF($B1718="","",IFERROR(INDEX(직원목록!$C$3:$C$302,MATCH($B1718,직원목록!$A$3:$A$302,0)),""))</f>
        <v/>
      </c>
      <c r="E1718" s="14"/>
      <c r="F1718" s="14"/>
      <c r="G1718" s="15"/>
      <c r="H1718" s="16" t="str">
        <f aca="false">IF(OR($K1718="",$L1718=""),"",ROUND(MAX(0,($L1718-$K1718)-IF($G1718="",0,$G1718))/60,2))</f>
        <v/>
      </c>
      <c r="I1718" s="8"/>
      <c r="J1718" s="8"/>
      <c r="K1718" s="17" t="str">
        <f aca="false">IF($E1718="","",IF($E1718&lt;1,ROUND($E1718*1440,0),INT($E1718/100)*60+MOD($E1718,100)))</f>
        <v/>
      </c>
      <c r="L1718" s="17" t="str">
        <f aca="false">IF($F1718="","",IF($F1718&lt;1,ROUND($F1718*1440,0),INT($F1718/100)*60+MOD($F1718,100)))</f>
        <v/>
      </c>
    </row>
    <row r="1719" customFormat="false" ht="15" hidden="false" customHeight="true" outlineLevel="0" collapsed="false">
      <c r="A1719" s="10"/>
      <c r="B1719" s="8"/>
      <c r="C1719" s="13" t="str">
        <f aca="false">IF($B1719="","",IFERROR(INDEX(직원목록!$B$3:$B$302,MATCH($B1719,직원목록!$A$3:$A$302,0)),"미등록사번"))</f>
        <v/>
      </c>
      <c r="D1719" s="13" t="str">
        <f aca="false">IF($B1719="","",IFERROR(INDEX(직원목록!$C$3:$C$302,MATCH($B1719,직원목록!$A$3:$A$302,0)),""))</f>
        <v/>
      </c>
      <c r="E1719" s="14"/>
      <c r="F1719" s="14"/>
      <c r="G1719" s="15"/>
      <c r="H1719" s="16" t="str">
        <f aca="false">IF(OR($K1719="",$L1719=""),"",ROUND(MAX(0,($L1719-$K1719)-IF($G1719="",0,$G1719))/60,2))</f>
        <v/>
      </c>
      <c r="I1719" s="8"/>
      <c r="J1719" s="8"/>
      <c r="K1719" s="17" t="str">
        <f aca="false">IF($E1719="","",IF($E1719&lt;1,ROUND($E1719*1440,0),INT($E1719/100)*60+MOD($E1719,100)))</f>
        <v/>
      </c>
      <c r="L1719" s="17" t="str">
        <f aca="false">IF($F1719="","",IF($F1719&lt;1,ROUND($F1719*1440,0),INT($F1719/100)*60+MOD($F1719,100)))</f>
        <v/>
      </c>
    </row>
    <row r="1720" customFormat="false" ht="15" hidden="false" customHeight="true" outlineLevel="0" collapsed="false">
      <c r="A1720" s="10"/>
      <c r="B1720" s="8"/>
      <c r="C1720" s="13" t="str">
        <f aca="false">IF($B1720="","",IFERROR(INDEX(직원목록!$B$3:$B$302,MATCH($B1720,직원목록!$A$3:$A$302,0)),"미등록사번"))</f>
        <v/>
      </c>
      <c r="D1720" s="13" t="str">
        <f aca="false">IF($B1720="","",IFERROR(INDEX(직원목록!$C$3:$C$302,MATCH($B1720,직원목록!$A$3:$A$302,0)),""))</f>
        <v/>
      </c>
      <c r="E1720" s="14"/>
      <c r="F1720" s="14"/>
      <c r="G1720" s="15"/>
      <c r="H1720" s="16" t="str">
        <f aca="false">IF(OR($K1720="",$L1720=""),"",ROUND(MAX(0,($L1720-$K1720)-IF($G1720="",0,$G1720))/60,2))</f>
        <v/>
      </c>
      <c r="I1720" s="8"/>
      <c r="J1720" s="8"/>
      <c r="K1720" s="17" t="str">
        <f aca="false">IF($E1720="","",IF($E1720&lt;1,ROUND($E1720*1440,0),INT($E1720/100)*60+MOD($E1720,100)))</f>
        <v/>
      </c>
      <c r="L1720" s="17" t="str">
        <f aca="false">IF($F1720="","",IF($F1720&lt;1,ROUND($F1720*1440,0),INT($F1720/100)*60+MOD($F1720,100)))</f>
        <v/>
      </c>
    </row>
    <row r="1721" customFormat="false" ht="15" hidden="false" customHeight="true" outlineLevel="0" collapsed="false">
      <c r="A1721" s="10"/>
      <c r="B1721" s="8"/>
      <c r="C1721" s="13" t="str">
        <f aca="false">IF($B1721="","",IFERROR(INDEX(직원목록!$B$3:$B$302,MATCH($B1721,직원목록!$A$3:$A$302,0)),"미등록사번"))</f>
        <v/>
      </c>
      <c r="D1721" s="13" t="str">
        <f aca="false">IF($B1721="","",IFERROR(INDEX(직원목록!$C$3:$C$302,MATCH($B1721,직원목록!$A$3:$A$302,0)),""))</f>
        <v/>
      </c>
      <c r="E1721" s="14"/>
      <c r="F1721" s="14"/>
      <c r="G1721" s="15"/>
      <c r="H1721" s="16" t="str">
        <f aca="false">IF(OR($K1721="",$L1721=""),"",ROUND(MAX(0,($L1721-$K1721)-IF($G1721="",0,$G1721))/60,2))</f>
        <v/>
      </c>
      <c r="I1721" s="8"/>
      <c r="J1721" s="8"/>
      <c r="K1721" s="17" t="str">
        <f aca="false">IF($E1721="","",IF($E1721&lt;1,ROUND($E1721*1440,0),INT($E1721/100)*60+MOD($E1721,100)))</f>
        <v/>
      </c>
      <c r="L1721" s="17" t="str">
        <f aca="false">IF($F1721="","",IF($F1721&lt;1,ROUND($F1721*1440,0),INT($F1721/100)*60+MOD($F1721,100)))</f>
        <v/>
      </c>
    </row>
    <row r="1722" customFormat="false" ht="15" hidden="false" customHeight="true" outlineLevel="0" collapsed="false">
      <c r="A1722" s="10"/>
      <c r="B1722" s="8"/>
      <c r="C1722" s="13" t="str">
        <f aca="false">IF($B1722="","",IFERROR(INDEX(직원목록!$B$3:$B$302,MATCH($B1722,직원목록!$A$3:$A$302,0)),"미등록사번"))</f>
        <v/>
      </c>
      <c r="D1722" s="13" t="str">
        <f aca="false">IF($B1722="","",IFERROR(INDEX(직원목록!$C$3:$C$302,MATCH($B1722,직원목록!$A$3:$A$302,0)),""))</f>
        <v/>
      </c>
      <c r="E1722" s="14"/>
      <c r="F1722" s="14"/>
      <c r="G1722" s="15"/>
      <c r="H1722" s="16" t="str">
        <f aca="false">IF(OR($K1722="",$L1722=""),"",ROUND(MAX(0,($L1722-$K1722)-IF($G1722="",0,$G1722))/60,2))</f>
        <v/>
      </c>
      <c r="I1722" s="8"/>
      <c r="J1722" s="8"/>
      <c r="K1722" s="17" t="str">
        <f aca="false">IF($E1722="","",IF($E1722&lt;1,ROUND($E1722*1440,0),INT($E1722/100)*60+MOD($E1722,100)))</f>
        <v/>
      </c>
      <c r="L1722" s="17" t="str">
        <f aca="false">IF($F1722="","",IF($F1722&lt;1,ROUND($F1722*1440,0),INT($F1722/100)*60+MOD($F1722,100)))</f>
        <v/>
      </c>
    </row>
    <row r="1723" customFormat="false" ht="15" hidden="false" customHeight="true" outlineLevel="0" collapsed="false">
      <c r="A1723" s="10"/>
      <c r="B1723" s="8"/>
      <c r="C1723" s="13" t="str">
        <f aca="false">IF($B1723="","",IFERROR(INDEX(직원목록!$B$3:$B$302,MATCH($B1723,직원목록!$A$3:$A$302,0)),"미등록사번"))</f>
        <v/>
      </c>
      <c r="D1723" s="13" t="str">
        <f aca="false">IF($B1723="","",IFERROR(INDEX(직원목록!$C$3:$C$302,MATCH($B1723,직원목록!$A$3:$A$302,0)),""))</f>
        <v/>
      </c>
      <c r="E1723" s="14"/>
      <c r="F1723" s="14"/>
      <c r="G1723" s="15"/>
      <c r="H1723" s="16" t="str">
        <f aca="false">IF(OR($K1723="",$L1723=""),"",ROUND(MAX(0,($L1723-$K1723)-IF($G1723="",0,$G1723))/60,2))</f>
        <v/>
      </c>
      <c r="I1723" s="8"/>
      <c r="J1723" s="8"/>
      <c r="K1723" s="17" t="str">
        <f aca="false">IF($E1723="","",IF($E1723&lt;1,ROUND($E1723*1440,0),INT($E1723/100)*60+MOD($E1723,100)))</f>
        <v/>
      </c>
      <c r="L1723" s="17" t="str">
        <f aca="false">IF($F1723="","",IF($F1723&lt;1,ROUND($F1723*1440,0),INT($F1723/100)*60+MOD($F1723,100)))</f>
        <v/>
      </c>
    </row>
    <row r="1724" customFormat="false" ht="15" hidden="false" customHeight="true" outlineLevel="0" collapsed="false">
      <c r="A1724" s="10"/>
      <c r="B1724" s="8"/>
      <c r="C1724" s="13" t="str">
        <f aca="false">IF($B1724="","",IFERROR(INDEX(직원목록!$B$3:$B$302,MATCH($B1724,직원목록!$A$3:$A$302,0)),"미등록사번"))</f>
        <v/>
      </c>
      <c r="D1724" s="13" t="str">
        <f aca="false">IF($B1724="","",IFERROR(INDEX(직원목록!$C$3:$C$302,MATCH($B1724,직원목록!$A$3:$A$302,0)),""))</f>
        <v/>
      </c>
      <c r="E1724" s="14"/>
      <c r="F1724" s="14"/>
      <c r="G1724" s="15"/>
      <c r="H1724" s="16" t="str">
        <f aca="false">IF(OR($K1724="",$L1724=""),"",ROUND(MAX(0,($L1724-$K1724)-IF($G1724="",0,$G1724))/60,2))</f>
        <v/>
      </c>
      <c r="I1724" s="8"/>
      <c r="J1724" s="8"/>
      <c r="K1724" s="17" t="str">
        <f aca="false">IF($E1724="","",IF($E1724&lt;1,ROUND($E1724*1440,0),INT($E1724/100)*60+MOD($E1724,100)))</f>
        <v/>
      </c>
      <c r="L1724" s="17" t="str">
        <f aca="false">IF($F1724="","",IF($F1724&lt;1,ROUND($F1724*1440,0),INT($F1724/100)*60+MOD($F1724,100)))</f>
        <v/>
      </c>
    </row>
    <row r="1725" customFormat="false" ht="15" hidden="false" customHeight="true" outlineLevel="0" collapsed="false">
      <c r="A1725" s="10"/>
      <c r="B1725" s="8"/>
      <c r="C1725" s="13" t="str">
        <f aca="false">IF($B1725="","",IFERROR(INDEX(직원목록!$B$3:$B$302,MATCH($B1725,직원목록!$A$3:$A$302,0)),"미등록사번"))</f>
        <v/>
      </c>
      <c r="D1725" s="13" t="str">
        <f aca="false">IF($B1725="","",IFERROR(INDEX(직원목록!$C$3:$C$302,MATCH($B1725,직원목록!$A$3:$A$302,0)),""))</f>
        <v/>
      </c>
      <c r="E1725" s="14"/>
      <c r="F1725" s="14"/>
      <c r="G1725" s="15"/>
      <c r="H1725" s="16" t="str">
        <f aca="false">IF(OR($K1725="",$L1725=""),"",ROUND(MAX(0,($L1725-$K1725)-IF($G1725="",0,$G1725))/60,2))</f>
        <v/>
      </c>
      <c r="I1725" s="8"/>
      <c r="J1725" s="8"/>
      <c r="K1725" s="17" t="str">
        <f aca="false">IF($E1725="","",IF($E1725&lt;1,ROUND($E1725*1440,0),INT($E1725/100)*60+MOD($E1725,100)))</f>
        <v/>
      </c>
      <c r="L1725" s="17" t="str">
        <f aca="false">IF($F1725="","",IF($F1725&lt;1,ROUND($F1725*1440,0),INT($F1725/100)*60+MOD($F1725,100)))</f>
        <v/>
      </c>
    </row>
    <row r="1726" customFormat="false" ht="15" hidden="false" customHeight="true" outlineLevel="0" collapsed="false">
      <c r="A1726" s="10"/>
      <c r="B1726" s="8"/>
      <c r="C1726" s="13" t="str">
        <f aca="false">IF($B1726="","",IFERROR(INDEX(직원목록!$B$3:$B$302,MATCH($B1726,직원목록!$A$3:$A$302,0)),"미등록사번"))</f>
        <v/>
      </c>
      <c r="D1726" s="13" t="str">
        <f aca="false">IF($B1726="","",IFERROR(INDEX(직원목록!$C$3:$C$302,MATCH($B1726,직원목록!$A$3:$A$302,0)),""))</f>
        <v/>
      </c>
      <c r="E1726" s="14"/>
      <c r="F1726" s="14"/>
      <c r="G1726" s="15"/>
      <c r="H1726" s="16" t="str">
        <f aca="false">IF(OR($K1726="",$L1726=""),"",ROUND(MAX(0,($L1726-$K1726)-IF($G1726="",0,$G1726))/60,2))</f>
        <v/>
      </c>
      <c r="I1726" s="8"/>
      <c r="J1726" s="8"/>
      <c r="K1726" s="17" t="str">
        <f aca="false">IF($E1726="","",IF($E1726&lt;1,ROUND($E1726*1440,0),INT($E1726/100)*60+MOD($E1726,100)))</f>
        <v/>
      </c>
      <c r="L1726" s="17" t="str">
        <f aca="false">IF($F1726="","",IF($F1726&lt;1,ROUND($F1726*1440,0),INT($F1726/100)*60+MOD($F1726,100)))</f>
        <v/>
      </c>
    </row>
    <row r="1727" customFormat="false" ht="15" hidden="false" customHeight="true" outlineLevel="0" collapsed="false">
      <c r="A1727" s="10"/>
      <c r="B1727" s="8"/>
      <c r="C1727" s="13" t="str">
        <f aca="false">IF($B1727="","",IFERROR(INDEX(직원목록!$B$3:$B$302,MATCH($B1727,직원목록!$A$3:$A$302,0)),"미등록사번"))</f>
        <v/>
      </c>
      <c r="D1727" s="13" t="str">
        <f aca="false">IF($B1727="","",IFERROR(INDEX(직원목록!$C$3:$C$302,MATCH($B1727,직원목록!$A$3:$A$302,0)),""))</f>
        <v/>
      </c>
      <c r="E1727" s="14"/>
      <c r="F1727" s="14"/>
      <c r="G1727" s="15"/>
      <c r="H1727" s="16" t="str">
        <f aca="false">IF(OR($K1727="",$L1727=""),"",ROUND(MAX(0,($L1727-$K1727)-IF($G1727="",0,$G1727))/60,2))</f>
        <v/>
      </c>
      <c r="I1727" s="8"/>
      <c r="J1727" s="8"/>
      <c r="K1727" s="17" t="str">
        <f aca="false">IF($E1727="","",IF($E1727&lt;1,ROUND($E1727*1440,0),INT($E1727/100)*60+MOD($E1727,100)))</f>
        <v/>
      </c>
      <c r="L1727" s="17" t="str">
        <f aca="false">IF($F1727="","",IF($F1727&lt;1,ROUND($F1727*1440,0),INT($F1727/100)*60+MOD($F1727,100)))</f>
        <v/>
      </c>
    </row>
    <row r="1728" customFormat="false" ht="15" hidden="false" customHeight="true" outlineLevel="0" collapsed="false">
      <c r="A1728" s="10"/>
      <c r="B1728" s="8"/>
      <c r="C1728" s="13" t="str">
        <f aca="false">IF($B1728="","",IFERROR(INDEX(직원목록!$B$3:$B$302,MATCH($B1728,직원목록!$A$3:$A$302,0)),"미등록사번"))</f>
        <v/>
      </c>
      <c r="D1728" s="13" t="str">
        <f aca="false">IF($B1728="","",IFERROR(INDEX(직원목록!$C$3:$C$302,MATCH($B1728,직원목록!$A$3:$A$302,0)),""))</f>
        <v/>
      </c>
      <c r="E1728" s="14"/>
      <c r="F1728" s="14"/>
      <c r="G1728" s="15"/>
      <c r="H1728" s="16" t="str">
        <f aca="false">IF(OR($K1728="",$L1728=""),"",ROUND(MAX(0,($L1728-$K1728)-IF($G1728="",0,$G1728))/60,2))</f>
        <v/>
      </c>
      <c r="I1728" s="8"/>
      <c r="J1728" s="8"/>
      <c r="K1728" s="17" t="str">
        <f aca="false">IF($E1728="","",IF($E1728&lt;1,ROUND($E1728*1440,0),INT($E1728/100)*60+MOD($E1728,100)))</f>
        <v/>
      </c>
      <c r="L1728" s="17" t="str">
        <f aca="false">IF($F1728="","",IF($F1728&lt;1,ROUND($F1728*1440,0),INT($F1728/100)*60+MOD($F1728,100)))</f>
        <v/>
      </c>
    </row>
    <row r="1729" customFormat="false" ht="15" hidden="false" customHeight="true" outlineLevel="0" collapsed="false">
      <c r="A1729" s="10"/>
      <c r="B1729" s="8"/>
      <c r="C1729" s="13" t="str">
        <f aca="false">IF($B1729="","",IFERROR(INDEX(직원목록!$B$3:$B$302,MATCH($B1729,직원목록!$A$3:$A$302,0)),"미등록사번"))</f>
        <v/>
      </c>
      <c r="D1729" s="13" t="str">
        <f aca="false">IF($B1729="","",IFERROR(INDEX(직원목록!$C$3:$C$302,MATCH($B1729,직원목록!$A$3:$A$302,0)),""))</f>
        <v/>
      </c>
      <c r="E1729" s="14"/>
      <c r="F1729" s="14"/>
      <c r="G1729" s="15"/>
      <c r="H1729" s="16" t="str">
        <f aca="false">IF(OR($K1729="",$L1729=""),"",ROUND(MAX(0,($L1729-$K1729)-IF($G1729="",0,$G1729))/60,2))</f>
        <v/>
      </c>
      <c r="I1729" s="8"/>
      <c r="J1729" s="8"/>
      <c r="K1729" s="17" t="str">
        <f aca="false">IF($E1729="","",IF($E1729&lt;1,ROUND($E1729*1440,0),INT($E1729/100)*60+MOD($E1729,100)))</f>
        <v/>
      </c>
      <c r="L1729" s="17" t="str">
        <f aca="false">IF($F1729="","",IF($F1729&lt;1,ROUND($F1729*1440,0),INT($F1729/100)*60+MOD($F1729,100)))</f>
        <v/>
      </c>
    </row>
    <row r="1730" customFormat="false" ht="15" hidden="false" customHeight="true" outlineLevel="0" collapsed="false">
      <c r="A1730" s="10"/>
      <c r="B1730" s="8"/>
      <c r="C1730" s="13" t="str">
        <f aca="false">IF($B1730="","",IFERROR(INDEX(직원목록!$B$3:$B$302,MATCH($B1730,직원목록!$A$3:$A$302,0)),"미등록사번"))</f>
        <v/>
      </c>
      <c r="D1730" s="13" t="str">
        <f aca="false">IF($B1730="","",IFERROR(INDEX(직원목록!$C$3:$C$302,MATCH($B1730,직원목록!$A$3:$A$302,0)),""))</f>
        <v/>
      </c>
      <c r="E1730" s="14"/>
      <c r="F1730" s="14"/>
      <c r="G1730" s="15"/>
      <c r="H1730" s="16" t="str">
        <f aca="false">IF(OR($K1730="",$L1730=""),"",ROUND(MAX(0,($L1730-$K1730)-IF($G1730="",0,$G1730))/60,2))</f>
        <v/>
      </c>
      <c r="I1730" s="8"/>
      <c r="J1730" s="8"/>
      <c r="K1730" s="17" t="str">
        <f aca="false">IF($E1730="","",IF($E1730&lt;1,ROUND($E1730*1440,0),INT($E1730/100)*60+MOD($E1730,100)))</f>
        <v/>
      </c>
      <c r="L1730" s="17" t="str">
        <f aca="false">IF($F1730="","",IF($F1730&lt;1,ROUND($F1730*1440,0),INT($F1730/100)*60+MOD($F1730,100)))</f>
        <v/>
      </c>
    </row>
    <row r="1731" customFormat="false" ht="15" hidden="false" customHeight="true" outlineLevel="0" collapsed="false">
      <c r="A1731" s="10"/>
      <c r="B1731" s="8"/>
      <c r="C1731" s="13" t="str">
        <f aca="false">IF($B1731="","",IFERROR(INDEX(직원목록!$B$3:$B$302,MATCH($B1731,직원목록!$A$3:$A$302,0)),"미등록사번"))</f>
        <v/>
      </c>
      <c r="D1731" s="13" t="str">
        <f aca="false">IF($B1731="","",IFERROR(INDEX(직원목록!$C$3:$C$302,MATCH($B1731,직원목록!$A$3:$A$302,0)),""))</f>
        <v/>
      </c>
      <c r="E1731" s="14"/>
      <c r="F1731" s="14"/>
      <c r="G1731" s="15"/>
      <c r="H1731" s="16" t="str">
        <f aca="false">IF(OR($K1731="",$L1731=""),"",ROUND(MAX(0,($L1731-$K1731)-IF($G1731="",0,$G1731))/60,2))</f>
        <v/>
      </c>
      <c r="I1731" s="8"/>
      <c r="J1731" s="8"/>
      <c r="K1731" s="17" t="str">
        <f aca="false">IF($E1731="","",IF($E1731&lt;1,ROUND($E1731*1440,0),INT($E1731/100)*60+MOD($E1731,100)))</f>
        <v/>
      </c>
      <c r="L1731" s="17" t="str">
        <f aca="false">IF($F1731="","",IF($F1731&lt;1,ROUND($F1731*1440,0),INT($F1731/100)*60+MOD($F1731,100)))</f>
        <v/>
      </c>
    </row>
    <row r="1732" customFormat="false" ht="15" hidden="false" customHeight="true" outlineLevel="0" collapsed="false">
      <c r="A1732" s="10"/>
      <c r="B1732" s="8"/>
      <c r="C1732" s="13" t="str">
        <f aca="false">IF($B1732="","",IFERROR(INDEX(직원목록!$B$3:$B$302,MATCH($B1732,직원목록!$A$3:$A$302,0)),"미등록사번"))</f>
        <v/>
      </c>
      <c r="D1732" s="13" t="str">
        <f aca="false">IF($B1732="","",IFERROR(INDEX(직원목록!$C$3:$C$302,MATCH($B1732,직원목록!$A$3:$A$302,0)),""))</f>
        <v/>
      </c>
      <c r="E1732" s="14"/>
      <c r="F1732" s="14"/>
      <c r="G1732" s="15"/>
      <c r="H1732" s="16" t="str">
        <f aca="false">IF(OR($K1732="",$L1732=""),"",ROUND(MAX(0,($L1732-$K1732)-IF($G1732="",0,$G1732))/60,2))</f>
        <v/>
      </c>
      <c r="I1732" s="8"/>
      <c r="J1732" s="8"/>
      <c r="K1732" s="17" t="str">
        <f aca="false">IF($E1732="","",IF($E1732&lt;1,ROUND($E1732*1440,0),INT($E1732/100)*60+MOD($E1732,100)))</f>
        <v/>
      </c>
      <c r="L1732" s="17" t="str">
        <f aca="false">IF($F1732="","",IF($F1732&lt;1,ROUND($F1732*1440,0),INT($F1732/100)*60+MOD($F1732,100)))</f>
        <v/>
      </c>
    </row>
    <row r="1733" customFormat="false" ht="15" hidden="false" customHeight="true" outlineLevel="0" collapsed="false">
      <c r="A1733" s="10"/>
      <c r="B1733" s="8"/>
      <c r="C1733" s="13" t="str">
        <f aca="false">IF($B1733="","",IFERROR(INDEX(직원목록!$B$3:$B$302,MATCH($B1733,직원목록!$A$3:$A$302,0)),"미등록사번"))</f>
        <v/>
      </c>
      <c r="D1733" s="13" t="str">
        <f aca="false">IF($B1733="","",IFERROR(INDEX(직원목록!$C$3:$C$302,MATCH($B1733,직원목록!$A$3:$A$302,0)),""))</f>
        <v/>
      </c>
      <c r="E1733" s="14"/>
      <c r="F1733" s="14"/>
      <c r="G1733" s="15"/>
      <c r="H1733" s="16" t="str">
        <f aca="false">IF(OR($K1733="",$L1733=""),"",ROUND(MAX(0,($L1733-$K1733)-IF($G1733="",0,$G1733))/60,2))</f>
        <v/>
      </c>
      <c r="I1733" s="8"/>
      <c r="J1733" s="8"/>
      <c r="K1733" s="17" t="str">
        <f aca="false">IF($E1733="","",IF($E1733&lt;1,ROUND($E1733*1440,0),INT($E1733/100)*60+MOD($E1733,100)))</f>
        <v/>
      </c>
      <c r="L1733" s="17" t="str">
        <f aca="false">IF($F1733="","",IF($F1733&lt;1,ROUND($F1733*1440,0),INT($F1733/100)*60+MOD($F1733,100)))</f>
        <v/>
      </c>
    </row>
    <row r="1734" customFormat="false" ht="15" hidden="false" customHeight="true" outlineLevel="0" collapsed="false">
      <c r="A1734" s="10"/>
      <c r="B1734" s="8"/>
      <c r="C1734" s="13" t="str">
        <f aca="false">IF($B1734="","",IFERROR(INDEX(직원목록!$B$3:$B$302,MATCH($B1734,직원목록!$A$3:$A$302,0)),"미등록사번"))</f>
        <v/>
      </c>
      <c r="D1734" s="13" t="str">
        <f aca="false">IF($B1734="","",IFERROR(INDEX(직원목록!$C$3:$C$302,MATCH($B1734,직원목록!$A$3:$A$302,0)),""))</f>
        <v/>
      </c>
      <c r="E1734" s="14"/>
      <c r="F1734" s="14"/>
      <c r="G1734" s="15"/>
      <c r="H1734" s="16" t="str">
        <f aca="false">IF(OR($K1734="",$L1734=""),"",ROUND(MAX(0,($L1734-$K1734)-IF($G1734="",0,$G1734))/60,2))</f>
        <v/>
      </c>
      <c r="I1734" s="8"/>
      <c r="J1734" s="8"/>
      <c r="K1734" s="17" t="str">
        <f aca="false">IF($E1734="","",IF($E1734&lt;1,ROUND($E1734*1440,0),INT($E1734/100)*60+MOD($E1734,100)))</f>
        <v/>
      </c>
      <c r="L1734" s="17" t="str">
        <f aca="false">IF($F1734="","",IF($F1734&lt;1,ROUND($F1734*1440,0),INT($F1734/100)*60+MOD($F1734,100)))</f>
        <v/>
      </c>
    </row>
    <row r="1735" customFormat="false" ht="15" hidden="false" customHeight="true" outlineLevel="0" collapsed="false">
      <c r="A1735" s="10"/>
      <c r="B1735" s="8"/>
      <c r="C1735" s="13" t="str">
        <f aca="false">IF($B1735="","",IFERROR(INDEX(직원목록!$B$3:$B$302,MATCH($B1735,직원목록!$A$3:$A$302,0)),"미등록사번"))</f>
        <v/>
      </c>
      <c r="D1735" s="13" t="str">
        <f aca="false">IF($B1735="","",IFERROR(INDEX(직원목록!$C$3:$C$302,MATCH($B1735,직원목록!$A$3:$A$302,0)),""))</f>
        <v/>
      </c>
      <c r="E1735" s="14"/>
      <c r="F1735" s="14"/>
      <c r="G1735" s="15"/>
      <c r="H1735" s="16" t="str">
        <f aca="false">IF(OR($K1735="",$L1735=""),"",ROUND(MAX(0,($L1735-$K1735)-IF($G1735="",0,$G1735))/60,2))</f>
        <v/>
      </c>
      <c r="I1735" s="8"/>
      <c r="J1735" s="8"/>
      <c r="K1735" s="17" t="str">
        <f aca="false">IF($E1735="","",IF($E1735&lt;1,ROUND($E1735*1440,0),INT($E1735/100)*60+MOD($E1735,100)))</f>
        <v/>
      </c>
      <c r="L1735" s="17" t="str">
        <f aca="false">IF($F1735="","",IF($F1735&lt;1,ROUND($F1735*1440,0),INT($F1735/100)*60+MOD($F1735,100)))</f>
        <v/>
      </c>
    </row>
    <row r="1736" customFormat="false" ht="15" hidden="false" customHeight="true" outlineLevel="0" collapsed="false">
      <c r="A1736" s="10"/>
      <c r="B1736" s="8"/>
      <c r="C1736" s="13" t="str">
        <f aca="false">IF($B1736="","",IFERROR(INDEX(직원목록!$B$3:$B$302,MATCH($B1736,직원목록!$A$3:$A$302,0)),"미등록사번"))</f>
        <v/>
      </c>
      <c r="D1736" s="13" t="str">
        <f aca="false">IF($B1736="","",IFERROR(INDEX(직원목록!$C$3:$C$302,MATCH($B1736,직원목록!$A$3:$A$302,0)),""))</f>
        <v/>
      </c>
      <c r="E1736" s="14"/>
      <c r="F1736" s="14"/>
      <c r="G1736" s="15"/>
      <c r="H1736" s="16" t="str">
        <f aca="false">IF(OR($K1736="",$L1736=""),"",ROUND(MAX(0,($L1736-$K1736)-IF($G1736="",0,$G1736))/60,2))</f>
        <v/>
      </c>
      <c r="I1736" s="8"/>
      <c r="J1736" s="8"/>
      <c r="K1736" s="17" t="str">
        <f aca="false">IF($E1736="","",IF($E1736&lt;1,ROUND($E1736*1440,0),INT($E1736/100)*60+MOD($E1736,100)))</f>
        <v/>
      </c>
      <c r="L1736" s="17" t="str">
        <f aca="false">IF($F1736="","",IF($F1736&lt;1,ROUND($F1736*1440,0),INT($F1736/100)*60+MOD($F1736,100)))</f>
        <v/>
      </c>
    </row>
    <row r="1737" customFormat="false" ht="15" hidden="false" customHeight="true" outlineLevel="0" collapsed="false">
      <c r="A1737" s="10"/>
      <c r="B1737" s="8"/>
      <c r="C1737" s="13" t="str">
        <f aca="false">IF($B1737="","",IFERROR(INDEX(직원목록!$B$3:$B$302,MATCH($B1737,직원목록!$A$3:$A$302,0)),"미등록사번"))</f>
        <v/>
      </c>
      <c r="D1737" s="13" t="str">
        <f aca="false">IF($B1737="","",IFERROR(INDEX(직원목록!$C$3:$C$302,MATCH($B1737,직원목록!$A$3:$A$302,0)),""))</f>
        <v/>
      </c>
      <c r="E1737" s="14"/>
      <c r="F1737" s="14"/>
      <c r="G1737" s="15"/>
      <c r="H1737" s="16" t="str">
        <f aca="false">IF(OR($K1737="",$L1737=""),"",ROUND(MAX(0,($L1737-$K1737)-IF($G1737="",0,$G1737))/60,2))</f>
        <v/>
      </c>
      <c r="I1737" s="8"/>
      <c r="J1737" s="8"/>
      <c r="K1737" s="17" t="str">
        <f aca="false">IF($E1737="","",IF($E1737&lt;1,ROUND($E1737*1440,0),INT($E1737/100)*60+MOD($E1737,100)))</f>
        <v/>
      </c>
      <c r="L1737" s="17" t="str">
        <f aca="false">IF($F1737="","",IF($F1737&lt;1,ROUND($F1737*1440,0),INT($F1737/100)*60+MOD($F1737,100)))</f>
        <v/>
      </c>
    </row>
    <row r="1738" customFormat="false" ht="15" hidden="false" customHeight="true" outlineLevel="0" collapsed="false">
      <c r="A1738" s="10"/>
      <c r="B1738" s="8"/>
      <c r="C1738" s="13" t="str">
        <f aca="false">IF($B1738="","",IFERROR(INDEX(직원목록!$B$3:$B$302,MATCH($B1738,직원목록!$A$3:$A$302,0)),"미등록사번"))</f>
        <v/>
      </c>
      <c r="D1738" s="13" t="str">
        <f aca="false">IF($B1738="","",IFERROR(INDEX(직원목록!$C$3:$C$302,MATCH($B1738,직원목록!$A$3:$A$302,0)),""))</f>
        <v/>
      </c>
      <c r="E1738" s="14"/>
      <c r="F1738" s="14"/>
      <c r="G1738" s="15"/>
      <c r="H1738" s="16" t="str">
        <f aca="false">IF(OR($K1738="",$L1738=""),"",ROUND(MAX(0,($L1738-$K1738)-IF($G1738="",0,$G1738))/60,2))</f>
        <v/>
      </c>
      <c r="I1738" s="8"/>
      <c r="J1738" s="8"/>
      <c r="K1738" s="17" t="str">
        <f aca="false">IF($E1738="","",IF($E1738&lt;1,ROUND($E1738*1440,0),INT($E1738/100)*60+MOD($E1738,100)))</f>
        <v/>
      </c>
      <c r="L1738" s="17" t="str">
        <f aca="false">IF($F1738="","",IF($F1738&lt;1,ROUND($F1738*1440,0),INT($F1738/100)*60+MOD($F1738,100)))</f>
        <v/>
      </c>
    </row>
    <row r="1739" customFormat="false" ht="15" hidden="false" customHeight="true" outlineLevel="0" collapsed="false">
      <c r="A1739" s="10"/>
      <c r="B1739" s="8"/>
      <c r="C1739" s="13" t="str">
        <f aca="false">IF($B1739="","",IFERROR(INDEX(직원목록!$B$3:$B$302,MATCH($B1739,직원목록!$A$3:$A$302,0)),"미등록사번"))</f>
        <v/>
      </c>
      <c r="D1739" s="13" t="str">
        <f aca="false">IF($B1739="","",IFERROR(INDEX(직원목록!$C$3:$C$302,MATCH($B1739,직원목록!$A$3:$A$302,0)),""))</f>
        <v/>
      </c>
      <c r="E1739" s="14"/>
      <c r="F1739" s="14"/>
      <c r="G1739" s="15"/>
      <c r="H1739" s="16" t="str">
        <f aca="false">IF(OR($K1739="",$L1739=""),"",ROUND(MAX(0,($L1739-$K1739)-IF($G1739="",0,$G1739))/60,2))</f>
        <v/>
      </c>
      <c r="I1739" s="8"/>
      <c r="J1739" s="8"/>
      <c r="K1739" s="17" t="str">
        <f aca="false">IF($E1739="","",IF($E1739&lt;1,ROUND($E1739*1440,0),INT($E1739/100)*60+MOD($E1739,100)))</f>
        <v/>
      </c>
      <c r="L1739" s="17" t="str">
        <f aca="false">IF($F1739="","",IF($F1739&lt;1,ROUND($F1739*1440,0),INT($F1739/100)*60+MOD($F1739,100)))</f>
        <v/>
      </c>
    </row>
    <row r="1740" customFormat="false" ht="15" hidden="false" customHeight="true" outlineLevel="0" collapsed="false">
      <c r="A1740" s="10"/>
      <c r="B1740" s="8"/>
      <c r="C1740" s="13" t="str">
        <f aca="false">IF($B1740="","",IFERROR(INDEX(직원목록!$B$3:$B$302,MATCH($B1740,직원목록!$A$3:$A$302,0)),"미등록사번"))</f>
        <v/>
      </c>
      <c r="D1740" s="13" t="str">
        <f aca="false">IF($B1740="","",IFERROR(INDEX(직원목록!$C$3:$C$302,MATCH($B1740,직원목록!$A$3:$A$302,0)),""))</f>
        <v/>
      </c>
      <c r="E1740" s="14"/>
      <c r="F1740" s="14"/>
      <c r="G1740" s="15"/>
      <c r="H1740" s="16" t="str">
        <f aca="false">IF(OR($K1740="",$L1740=""),"",ROUND(MAX(0,($L1740-$K1740)-IF($G1740="",0,$G1740))/60,2))</f>
        <v/>
      </c>
      <c r="I1740" s="8"/>
      <c r="J1740" s="8"/>
      <c r="K1740" s="17" t="str">
        <f aca="false">IF($E1740="","",IF($E1740&lt;1,ROUND($E1740*1440,0),INT($E1740/100)*60+MOD($E1740,100)))</f>
        <v/>
      </c>
      <c r="L1740" s="17" t="str">
        <f aca="false">IF($F1740="","",IF($F1740&lt;1,ROUND($F1740*1440,0),INT($F1740/100)*60+MOD($F1740,100)))</f>
        <v/>
      </c>
    </row>
    <row r="1741" customFormat="false" ht="15" hidden="false" customHeight="true" outlineLevel="0" collapsed="false">
      <c r="A1741" s="10"/>
      <c r="B1741" s="8"/>
      <c r="C1741" s="13" t="str">
        <f aca="false">IF($B1741="","",IFERROR(INDEX(직원목록!$B$3:$B$302,MATCH($B1741,직원목록!$A$3:$A$302,0)),"미등록사번"))</f>
        <v/>
      </c>
      <c r="D1741" s="13" t="str">
        <f aca="false">IF($B1741="","",IFERROR(INDEX(직원목록!$C$3:$C$302,MATCH($B1741,직원목록!$A$3:$A$302,0)),""))</f>
        <v/>
      </c>
      <c r="E1741" s="14"/>
      <c r="F1741" s="14"/>
      <c r="G1741" s="15"/>
      <c r="H1741" s="16" t="str">
        <f aca="false">IF(OR($K1741="",$L1741=""),"",ROUND(MAX(0,($L1741-$K1741)-IF($G1741="",0,$G1741))/60,2))</f>
        <v/>
      </c>
      <c r="I1741" s="8"/>
      <c r="J1741" s="8"/>
      <c r="K1741" s="17" t="str">
        <f aca="false">IF($E1741="","",IF($E1741&lt;1,ROUND($E1741*1440,0),INT($E1741/100)*60+MOD($E1741,100)))</f>
        <v/>
      </c>
      <c r="L1741" s="17" t="str">
        <f aca="false">IF($F1741="","",IF($F1741&lt;1,ROUND($F1741*1440,0),INT($F1741/100)*60+MOD($F1741,100)))</f>
        <v/>
      </c>
    </row>
    <row r="1742" customFormat="false" ht="15" hidden="false" customHeight="true" outlineLevel="0" collapsed="false">
      <c r="A1742" s="10"/>
      <c r="B1742" s="8"/>
      <c r="C1742" s="13" t="str">
        <f aca="false">IF($B1742="","",IFERROR(INDEX(직원목록!$B$3:$B$302,MATCH($B1742,직원목록!$A$3:$A$302,0)),"미등록사번"))</f>
        <v/>
      </c>
      <c r="D1742" s="13" t="str">
        <f aca="false">IF($B1742="","",IFERROR(INDEX(직원목록!$C$3:$C$302,MATCH($B1742,직원목록!$A$3:$A$302,0)),""))</f>
        <v/>
      </c>
      <c r="E1742" s="14"/>
      <c r="F1742" s="14"/>
      <c r="G1742" s="15"/>
      <c r="H1742" s="16" t="str">
        <f aca="false">IF(OR($K1742="",$L1742=""),"",ROUND(MAX(0,($L1742-$K1742)-IF($G1742="",0,$G1742))/60,2))</f>
        <v/>
      </c>
      <c r="I1742" s="8"/>
      <c r="J1742" s="8"/>
      <c r="K1742" s="17" t="str">
        <f aca="false">IF($E1742="","",IF($E1742&lt;1,ROUND($E1742*1440,0),INT($E1742/100)*60+MOD($E1742,100)))</f>
        <v/>
      </c>
      <c r="L1742" s="17" t="str">
        <f aca="false">IF($F1742="","",IF($F1742&lt;1,ROUND($F1742*1440,0),INT($F1742/100)*60+MOD($F1742,100)))</f>
        <v/>
      </c>
    </row>
    <row r="1743" customFormat="false" ht="15" hidden="false" customHeight="true" outlineLevel="0" collapsed="false">
      <c r="A1743" s="10"/>
      <c r="B1743" s="8"/>
      <c r="C1743" s="13" t="str">
        <f aca="false">IF($B1743="","",IFERROR(INDEX(직원목록!$B$3:$B$302,MATCH($B1743,직원목록!$A$3:$A$302,0)),"미등록사번"))</f>
        <v/>
      </c>
      <c r="D1743" s="13" t="str">
        <f aca="false">IF($B1743="","",IFERROR(INDEX(직원목록!$C$3:$C$302,MATCH($B1743,직원목록!$A$3:$A$302,0)),""))</f>
        <v/>
      </c>
      <c r="E1743" s="14"/>
      <c r="F1743" s="14"/>
      <c r="G1743" s="15"/>
      <c r="H1743" s="16" t="str">
        <f aca="false">IF(OR($K1743="",$L1743=""),"",ROUND(MAX(0,($L1743-$K1743)-IF($G1743="",0,$G1743))/60,2))</f>
        <v/>
      </c>
      <c r="I1743" s="8"/>
      <c r="J1743" s="8"/>
      <c r="K1743" s="17" t="str">
        <f aca="false">IF($E1743="","",IF($E1743&lt;1,ROUND($E1743*1440,0),INT($E1743/100)*60+MOD($E1743,100)))</f>
        <v/>
      </c>
      <c r="L1743" s="17" t="str">
        <f aca="false">IF($F1743="","",IF($F1743&lt;1,ROUND($F1743*1440,0),INT($F1743/100)*60+MOD($F1743,100)))</f>
        <v/>
      </c>
    </row>
    <row r="1744" customFormat="false" ht="15" hidden="false" customHeight="true" outlineLevel="0" collapsed="false">
      <c r="A1744" s="10"/>
      <c r="B1744" s="8"/>
      <c r="C1744" s="13" t="str">
        <f aca="false">IF($B1744="","",IFERROR(INDEX(직원목록!$B$3:$B$302,MATCH($B1744,직원목록!$A$3:$A$302,0)),"미등록사번"))</f>
        <v/>
      </c>
      <c r="D1744" s="13" t="str">
        <f aca="false">IF($B1744="","",IFERROR(INDEX(직원목록!$C$3:$C$302,MATCH($B1744,직원목록!$A$3:$A$302,0)),""))</f>
        <v/>
      </c>
      <c r="E1744" s="14"/>
      <c r="F1744" s="14"/>
      <c r="G1744" s="15"/>
      <c r="H1744" s="16" t="str">
        <f aca="false">IF(OR($K1744="",$L1744=""),"",ROUND(MAX(0,($L1744-$K1744)-IF($G1744="",0,$G1744))/60,2))</f>
        <v/>
      </c>
      <c r="I1744" s="8"/>
      <c r="J1744" s="8"/>
      <c r="K1744" s="17" t="str">
        <f aca="false">IF($E1744="","",IF($E1744&lt;1,ROUND($E1744*1440,0),INT($E1744/100)*60+MOD($E1744,100)))</f>
        <v/>
      </c>
      <c r="L1744" s="17" t="str">
        <f aca="false">IF($F1744="","",IF($F1744&lt;1,ROUND($F1744*1440,0),INT($F1744/100)*60+MOD($F1744,100)))</f>
        <v/>
      </c>
    </row>
    <row r="1745" customFormat="false" ht="15" hidden="false" customHeight="true" outlineLevel="0" collapsed="false">
      <c r="A1745" s="10"/>
      <c r="B1745" s="8"/>
      <c r="C1745" s="13" t="str">
        <f aca="false">IF($B1745="","",IFERROR(INDEX(직원목록!$B$3:$B$302,MATCH($B1745,직원목록!$A$3:$A$302,0)),"미등록사번"))</f>
        <v/>
      </c>
      <c r="D1745" s="13" t="str">
        <f aca="false">IF($B1745="","",IFERROR(INDEX(직원목록!$C$3:$C$302,MATCH($B1745,직원목록!$A$3:$A$302,0)),""))</f>
        <v/>
      </c>
      <c r="E1745" s="14"/>
      <c r="F1745" s="14"/>
      <c r="G1745" s="15"/>
      <c r="H1745" s="16" t="str">
        <f aca="false">IF(OR($K1745="",$L1745=""),"",ROUND(MAX(0,($L1745-$K1745)-IF($G1745="",0,$G1745))/60,2))</f>
        <v/>
      </c>
      <c r="I1745" s="8"/>
      <c r="J1745" s="8"/>
      <c r="K1745" s="17" t="str">
        <f aca="false">IF($E1745="","",IF($E1745&lt;1,ROUND($E1745*1440,0),INT($E1745/100)*60+MOD($E1745,100)))</f>
        <v/>
      </c>
      <c r="L1745" s="17" t="str">
        <f aca="false">IF($F1745="","",IF($F1745&lt;1,ROUND($F1745*1440,0),INT($F1745/100)*60+MOD($F1745,100)))</f>
        <v/>
      </c>
    </row>
    <row r="1746" customFormat="false" ht="15" hidden="false" customHeight="true" outlineLevel="0" collapsed="false">
      <c r="A1746" s="10"/>
      <c r="B1746" s="8"/>
      <c r="C1746" s="13" t="str">
        <f aca="false">IF($B1746="","",IFERROR(INDEX(직원목록!$B$3:$B$302,MATCH($B1746,직원목록!$A$3:$A$302,0)),"미등록사번"))</f>
        <v/>
      </c>
      <c r="D1746" s="13" t="str">
        <f aca="false">IF($B1746="","",IFERROR(INDEX(직원목록!$C$3:$C$302,MATCH($B1746,직원목록!$A$3:$A$302,0)),""))</f>
        <v/>
      </c>
      <c r="E1746" s="14"/>
      <c r="F1746" s="14"/>
      <c r="G1746" s="15"/>
      <c r="H1746" s="16" t="str">
        <f aca="false">IF(OR($K1746="",$L1746=""),"",ROUND(MAX(0,($L1746-$K1746)-IF($G1746="",0,$G1746))/60,2))</f>
        <v/>
      </c>
      <c r="I1746" s="8"/>
      <c r="J1746" s="8"/>
      <c r="K1746" s="17" t="str">
        <f aca="false">IF($E1746="","",IF($E1746&lt;1,ROUND($E1746*1440,0),INT($E1746/100)*60+MOD($E1746,100)))</f>
        <v/>
      </c>
      <c r="L1746" s="17" t="str">
        <f aca="false">IF($F1746="","",IF($F1746&lt;1,ROUND($F1746*1440,0),INT($F1746/100)*60+MOD($F1746,100)))</f>
        <v/>
      </c>
    </row>
    <row r="1747" customFormat="false" ht="15" hidden="false" customHeight="true" outlineLevel="0" collapsed="false">
      <c r="A1747" s="10"/>
      <c r="B1747" s="8"/>
      <c r="C1747" s="13" t="str">
        <f aca="false">IF($B1747="","",IFERROR(INDEX(직원목록!$B$3:$B$302,MATCH($B1747,직원목록!$A$3:$A$302,0)),"미등록사번"))</f>
        <v/>
      </c>
      <c r="D1747" s="13" t="str">
        <f aca="false">IF($B1747="","",IFERROR(INDEX(직원목록!$C$3:$C$302,MATCH($B1747,직원목록!$A$3:$A$302,0)),""))</f>
        <v/>
      </c>
      <c r="E1747" s="14"/>
      <c r="F1747" s="14"/>
      <c r="G1747" s="15"/>
      <c r="H1747" s="16" t="str">
        <f aca="false">IF(OR($K1747="",$L1747=""),"",ROUND(MAX(0,($L1747-$K1747)-IF($G1747="",0,$G1747))/60,2))</f>
        <v/>
      </c>
      <c r="I1747" s="8"/>
      <c r="J1747" s="8"/>
      <c r="K1747" s="17" t="str">
        <f aca="false">IF($E1747="","",IF($E1747&lt;1,ROUND($E1747*1440,0),INT($E1747/100)*60+MOD($E1747,100)))</f>
        <v/>
      </c>
      <c r="L1747" s="17" t="str">
        <f aca="false">IF($F1747="","",IF($F1747&lt;1,ROUND($F1747*1440,0),INT($F1747/100)*60+MOD($F1747,100)))</f>
        <v/>
      </c>
    </row>
    <row r="1748" customFormat="false" ht="15" hidden="false" customHeight="true" outlineLevel="0" collapsed="false">
      <c r="A1748" s="10"/>
      <c r="B1748" s="8"/>
      <c r="C1748" s="13" t="str">
        <f aca="false">IF($B1748="","",IFERROR(INDEX(직원목록!$B$3:$B$302,MATCH($B1748,직원목록!$A$3:$A$302,0)),"미등록사번"))</f>
        <v/>
      </c>
      <c r="D1748" s="13" t="str">
        <f aca="false">IF($B1748="","",IFERROR(INDEX(직원목록!$C$3:$C$302,MATCH($B1748,직원목록!$A$3:$A$302,0)),""))</f>
        <v/>
      </c>
      <c r="E1748" s="14"/>
      <c r="F1748" s="14"/>
      <c r="G1748" s="15"/>
      <c r="H1748" s="16" t="str">
        <f aca="false">IF(OR($K1748="",$L1748=""),"",ROUND(MAX(0,($L1748-$K1748)-IF($G1748="",0,$G1748))/60,2))</f>
        <v/>
      </c>
      <c r="I1748" s="8"/>
      <c r="J1748" s="8"/>
      <c r="K1748" s="17" t="str">
        <f aca="false">IF($E1748="","",IF($E1748&lt;1,ROUND($E1748*1440,0),INT($E1748/100)*60+MOD($E1748,100)))</f>
        <v/>
      </c>
      <c r="L1748" s="17" t="str">
        <f aca="false">IF($F1748="","",IF($F1748&lt;1,ROUND($F1748*1440,0),INT($F1748/100)*60+MOD($F1748,100)))</f>
        <v/>
      </c>
    </row>
    <row r="1749" customFormat="false" ht="15" hidden="false" customHeight="true" outlineLevel="0" collapsed="false">
      <c r="A1749" s="10"/>
      <c r="B1749" s="8"/>
      <c r="C1749" s="13" t="str">
        <f aca="false">IF($B1749="","",IFERROR(INDEX(직원목록!$B$3:$B$302,MATCH($B1749,직원목록!$A$3:$A$302,0)),"미등록사번"))</f>
        <v/>
      </c>
      <c r="D1749" s="13" t="str">
        <f aca="false">IF($B1749="","",IFERROR(INDEX(직원목록!$C$3:$C$302,MATCH($B1749,직원목록!$A$3:$A$302,0)),""))</f>
        <v/>
      </c>
      <c r="E1749" s="14"/>
      <c r="F1749" s="14"/>
      <c r="G1749" s="15"/>
      <c r="H1749" s="16" t="str">
        <f aca="false">IF(OR($K1749="",$L1749=""),"",ROUND(MAX(0,($L1749-$K1749)-IF($G1749="",0,$G1749))/60,2))</f>
        <v/>
      </c>
      <c r="I1749" s="8"/>
      <c r="J1749" s="8"/>
      <c r="K1749" s="17" t="str">
        <f aca="false">IF($E1749="","",IF($E1749&lt;1,ROUND($E1749*1440,0),INT($E1749/100)*60+MOD($E1749,100)))</f>
        <v/>
      </c>
      <c r="L1749" s="17" t="str">
        <f aca="false">IF($F1749="","",IF($F1749&lt;1,ROUND($F1749*1440,0),INT($F1749/100)*60+MOD($F1749,100)))</f>
        <v/>
      </c>
    </row>
    <row r="1750" customFormat="false" ht="15" hidden="false" customHeight="true" outlineLevel="0" collapsed="false">
      <c r="A1750" s="10"/>
      <c r="B1750" s="8"/>
      <c r="C1750" s="13" t="str">
        <f aca="false">IF($B1750="","",IFERROR(INDEX(직원목록!$B$3:$B$302,MATCH($B1750,직원목록!$A$3:$A$302,0)),"미등록사번"))</f>
        <v/>
      </c>
      <c r="D1750" s="13" t="str">
        <f aca="false">IF($B1750="","",IFERROR(INDEX(직원목록!$C$3:$C$302,MATCH($B1750,직원목록!$A$3:$A$302,0)),""))</f>
        <v/>
      </c>
      <c r="E1750" s="14"/>
      <c r="F1750" s="14"/>
      <c r="G1750" s="15"/>
      <c r="H1750" s="16" t="str">
        <f aca="false">IF(OR($K1750="",$L1750=""),"",ROUND(MAX(0,($L1750-$K1750)-IF($G1750="",0,$G1750))/60,2))</f>
        <v/>
      </c>
      <c r="I1750" s="8"/>
      <c r="J1750" s="8"/>
      <c r="K1750" s="17" t="str">
        <f aca="false">IF($E1750="","",IF($E1750&lt;1,ROUND($E1750*1440,0),INT($E1750/100)*60+MOD($E1750,100)))</f>
        <v/>
      </c>
      <c r="L1750" s="17" t="str">
        <f aca="false">IF($F1750="","",IF($F1750&lt;1,ROUND($F1750*1440,0),INT($F1750/100)*60+MOD($F1750,100)))</f>
        <v/>
      </c>
    </row>
    <row r="1751" customFormat="false" ht="15" hidden="false" customHeight="true" outlineLevel="0" collapsed="false">
      <c r="A1751" s="10"/>
      <c r="B1751" s="8"/>
      <c r="C1751" s="13" t="str">
        <f aca="false">IF($B1751="","",IFERROR(INDEX(직원목록!$B$3:$B$302,MATCH($B1751,직원목록!$A$3:$A$302,0)),"미등록사번"))</f>
        <v/>
      </c>
      <c r="D1751" s="13" t="str">
        <f aca="false">IF($B1751="","",IFERROR(INDEX(직원목록!$C$3:$C$302,MATCH($B1751,직원목록!$A$3:$A$302,0)),""))</f>
        <v/>
      </c>
      <c r="E1751" s="14"/>
      <c r="F1751" s="14"/>
      <c r="G1751" s="15"/>
      <c r="H1751" s="16" t="str">
        <f aca="false">IF(OR($K1751="",$L1751=""),"",ROUND(MAX(0,($L1751-$K1751)-IF($G1751="",0,$G1751))/60,2))</f>
        <v/>
      </c>
      <c r="I1751" s="8"/>
      <c r="J1751" s="8"/>
      <c r="K1751" s="17" t="str">
        <f aca="false">IF($E1751="","",IF($E1751&lt;1,ROUND($E1751*1440,0),INT($E1751/100)*60+MOD($E1751,100)))</f>
        <v/>
      </c>
      <c r="L1751" s="17" t="str">
        <f aca="false">IF($F1751="","",IF($F1751&lt;1,ROUND($F1751*1440,0),INT($F1751/100)*60+MOD($F1751,100)))</f>
        <v/>
      </c>
    </row>
    <row r="1752" customFormat="false" ht="15" hidden="false" customHeight="true" outlineLevel="0" collapsed="false">
      <c r="A1752" s="10"/>
      <c r="B1752" s="8"/>
      <c r="C1752" s="13" t="str">
        <f aca="false">IF($B1752="","",IFERROR(INDEX(직원목록!$B$3:$B$302,MATCH($B1752,직원목록!$A$3:$A$302,0)),"미등록사번"))</f>
        <v/>
      </c>
      <c r="D1752" s="13" t="str">
        <f aca="false">IF($B1752="","",IFERROR(INDEX(직원목록!$C$3:$C$302,MATCH($B1752,직원목록!$A$3:$A$302,0)),""))</f>
        <v/>
      </c>
      <c r="E1752" s="14"/>
      <c r="F1752" s="14"/>
      <c r="G1752" s="15"/>
      <c r="H1752" s="16" t="str">
        <f aca="false">IF(OR($K1752="",$L1752=""),"",ROUND(MAX(0,($L1752-$K1752)-IF($G1752="",0,$G1752))/60,2))</f>
        <v/>
      </c>
      <c r="I1752" s="8"/>
      <c r="J1752" s="8"/>
      <c r="K1752" s="17" t="str">
        <f aca="false">IF($E1752="","",IF($E1752&lt;1,ROUND($E1752*1440,0),INT($E1752/100)*60+MOD($E1752,100)))</f>
        <v/>
      </c>
      <c r="L1752" s="17" t="str">
        <f aca="false">IF($F1752="","",IF($F1752&lt;1,ROUND($F1752*1440,0),INT($F1752/100)*60+MOD($F1752,100)))</f>
        <v/>
      </c>
    </row>
    <row r="1753" customFormat="false" ht="15" hidden="false" customHeight="true" outlineLevel="0" collapsed="false">
      <c r="A1753" s="10"/>
      <c r="B1753" s="8"/>
      <c r="C1753" s="13" t="str">
        <f aca="false">IF($B1753="","",IFERROR(INDEX(직원목록!$B$3:$B$302,MATCH($B1753,직원목록!$A$3:$A$302,0)),"미등록사번"))</f>
        <v/>
      </c>
      <c r="D1753" s="13" t="str">
        <f aca="false">IF($B1753="","",IFERROR(INDEX(직원목록!$C$3:$C$302,MATCH($B1753,직원목록!$A$3:$A$302,0)),""))</f>
        <v/>
      </c>
      <c r="E1753" s="14"/>
      <c r="F1753" s="14"/>
      <c r="G1753" s="15"/>
      <c r="H1753" s="16" t="str">
        <f aca="false">IF(OR($K1753="",$L1753=""),"",ROUND(MAX(0,($L1753-$K1753)-IF($G1753="",0,$G1753))/60,2))</f>
        <v/>
      </c>
      <c r="I1753" s="8"/>
      <c r="J1753" s="8"/>
      <c r="K1753" s="17" t="str">
        <f aca="false">IF($E1753="","",IF($E1753&lt;1,ROUND($E1753*1440,0),INT($E1753/100)*60+MOD($E1753,100)))</f>
        <v/>
      </c>
      <c r="L1753" s="17" t="str">
        <f aca="false">IF($F1753="","",IF($F1753&lt;1,ROUND($F1753*1440,0),INT($F1753/100)*60+MOD($F1753,100)))</f>
        <v/>
      </c>
    </row>
    <row r="1754" customFormat="false" ht="15" hidden="false" customHeight="true" outlineLevel="0" collapsed="false">
      <c r="A1754" s="10"/>
      <c r="B1754" s="8"/>
      <c r="C1754" s="13" t="str">
        <f aca="false">IF($B1754="","",IFERROR(INDEX(직원목록!$B$3:$B$302,MATCH($B1754,직원목록!$A$3:$A$302,0)),"미등록사번"))</f>
        <v/>
      </c>
      <c r="D1754" s="13" t="str">
        <f aca="false">IF($B1754="","",IFERROR(INDEX(직원목록!$C$3:$C$302,MATCH($B1754,직원목록!$A$3:$A$302,0)),""))</f>
        <v/>
      </c>
      <c r="E1754" s="14"/>
      <c r="F1754" s="14"/>
      <c r="G1754" s="15"/>
      <c r="H1754" s="16" t="str">
        <f aca="false">IF(OR($K1754="",$L1754=""),"",ROUND(MAX(0,($L1754-$K1754)-IF($G1754="",0,$G1754))/60,2))</f>
        <v/>
      </c>
      <c r="I1754" s="8"/>
      <c r="J1754" s="8"/>
      <c r="K1754" s="17" t="str">
        <f aca="false">IF($E1754="","",IF($E1754&lt;1,ROUND($E1754*1440,0),INT($E1754/100)*60+MOD($E1754,100)))</f>
        <v/>
      </c>
      <c r="L1754" s="17" t="str">
        <f aca="false">IF($F1754="","",IF($F1754&lt;1,ROUND($F1754*1440,0),INT($F1754/100)*60+MOD($F1754,100)))</f>
        <v/>
      </c>
    </row>
    <row r="1755" customFormat="false" ht="15" hidden="false" customHeight="true" outlineLevel="0" collapsed="false">
      <c r="A1755" s="10"/>
      <c r="B1755" s="8"/>
      <c r="C1755" s="13" t="str">
        <f aca="false">IF($B1755="","",IFERROR(INDEX(직원목록!$B$3:$B$302,MATCH($B1755,직원목록!$A$3:$A$302,0)),"미등록사번"))</f>
        <v/>
      </c>
      <c r="D1755" s="13" t="str">
        <f aca="false">IF($B1755="","",IFERROR(INDEX(직원목록!$C$3:$C$302,MATCH($B1755,직원목록!$A$3:$A$302,0)),""))</f>
        <v/>
      </c>
      <c r="E1755" s="14"/>
      <c r="F1755" s="14"/>
      <c r="G1755" s="15"/>
      <c r="H1755" s="16" t="str">
        <f aca="false">IF(OR($K1755="",$L1755=""),"",ROUND(MAX(0,($L1755-$K1755)-IF($G1755="",0,$G1755))/60,2))</f>
        <v/>
      </c>
      <c r="I1755" s="8"/>
      <c r="J1755" s="8"/>
      <c r="K1755" s="17" t="str">
        <f aca="false">IF($E1755="","",IF($E1755&lt;1,ROUND($E1755*1440,0),INT($E1755/100)*60+MOD($E1755,100)))</f>
        <v/>
      </c>
      <c r="L1755" s="17" t="str">
        <f aca="false">IF($F1755="","",IF($F1755&lt;1,ROUND($F1755*1440,0),INT($F1755/100)*60+MOD($F1755,100)))</f>
        <v/>
      </c>
    </row>
    <row r="1756" customFormat="false" ht="15" hidden="false" customHeight="true" outlineLevel="0" collapsed="false">
      <c r="A1756" s="10"/>
      <c r="B1756" s="8"/>
      <c r="C1756" s="13" t="str">
        <f aca="false">IF($B1756="","",IFERROR(INDEX(직원목록!$B$3:$B$302,MATCH($B1756,직원목록!$A$3:$A$302,0)),"미등록사번"))</f>
        <v/>
      </c>
      <c r="D1756" s="13" t="str">
        <f aca="false">IF($B1756="","",IFERROR(INDEX(직원목록!$C$3:$C$302,MATCH($B1756,직원목록!$A$3:$A$302,0)),""))</f>
        <v/>
      </c>
      <c r="E1756" s="14"/>
      <c r="F1756" s="14"/>
      <c r="G1756" s="15"/>
      <c r="H1756" s="16" t="str">
        <f aca="false">IF(OR($K1756="",$L1756=""),"",ROUND(MAX(0,($L1756-$K1756)-IF($G1756="",0,$G1756))/60,2))</f>
        <v/>
      </c>
      <c r="I1756" s="8"/>
      <c r="J1756" s="8"/>
      <c r="K1756" s="17" t="str">
        <f aca="false">IF($E1756="","",IF($E1756&lt;1,ROUND($E1756*1440,0),INT($E1756/100)*60+MOD($E1756,100)))</f>
        <v/>
      </c>
      <c r="L1756" s="17" t="str">
        <f aca="false">IF($F1756="","",IF($F1756&lt;1,ROUND($F1756*1440,0),INT($F1756/100)*60+MOD($F1756,100)))</f>
        <v/>
      </c>
    </row>
    <row r="1757" customFormat="false" ht="15" hidden="false" customHeight="true" outlineLevel="0" collapsed="false">
      <c r="A1757" s="10"/>
      <c r="B1757" s="8"/>
      <c r="C1757" s="13" t="str">
        <f aca="false">IF($B1757="","",IFERROR(INDEX(직원목록!$B$3:$B$302,MATCH($B1757,직원목록!$A$3:$A$302,0)),"미등록사번"))</f>
        <v/>
      </c>
      <c r="D1757" s="13" t="str">
        <f aca="false">IF($B1757="","",IFERROR(INDEX(직원목록!$C$3:$C$302,MATCH($B1757,직원목록!$A$3:$A$302,0)),""))</f>
        <v/>
      </c>
      <c r="E1757" s="14"/>
      <c r="F1757" s="14"/>
      <c r="G1757" s="15"/>
      <c r="H1757" s="16" t="str">
        <f aca="false">IF(OR($K1757="",$L1757=""),"",ROUND(MAX(0,($L1757-$K1757)-IF($G1757="",0,$G1757))/60,2))</f>
        <v/>
      </c>
      <c r="I1757" s="8"/>
      <c r="J1757" s="8"/>
      <c r="K1757" s="17" t="str">
        <f aca="false">IF($E1757="","",IF($E1757&lt;1,ROUND($E1757*1440,0),INT($E1757/100)*60+MOD($E1757,100)))</f>
        <v/>
      </c>
      <c r="L1757" s="17" t="str">
        <f aca="false">IF($F1757="","",IF($F1757&lt;1,ROUND($F1757*1440,0),INT($F1757/100)*60+MOD($F1757,100)))</f>
        <v/>
      </c>
    </row>
    <row r="1758" customFormat="false" ht="15" hidden="false" customHeight="true" outlineLevel="0" collapsed="false">
      <c r="A1758" s="10"/>
      <c r="B1758" s="8"/>
      <c r="C1758" s="13" t="str">
        <f aca="false">IF($B1758="","",IFERROR(INDEX(직원목록!$B$3:$B$302,MATCH($B1758,직원목록!$A$3:$A$302,0)),"미등록사번"))</f>
        <v/>
      </c>
      <c r="D1758" s="13" t="str">
        <f aca="false">IF($B1758="","",IFERROR(INDEX(직원목록!$C$3:$C$302,MATCH($B1758,직원목록!$A$3:$A$302,0)),""))</f>
        <v/>
      </c>
      <c r="E1758" s="14"/>
      <c r="F1758" s="14"/>
      <c r="G1758" s="15"/>
      <c r="H1758" s="16" t="str">
        <f aca="false">IF(OR($K1758="",$L1758=""),"",ROUND(MAX(0,($L1758-$K1758)-IF($G1758="",0,$G1758))/60,2))</f>
        <v/>
      </c>
      <c r="I1758" s="8"/>
      <c r="J1758" s="8"/>
      <c r="K1758" s="17" t="str">
        <f aca="false">IF($E1758="","",IF($E1758&lt;1,ROUND($E1758*1440,0),INT($E1758/100)*60+MOD($E1758,100)))</f>
        <v/>
      </c>
      <c r="L1758" s="17" t="str">
        <f aca="false">IF($F1758="","",IF($F1758&lt;1,ROUND($F1758*1440,0),INT($F1758/100)*60+MOD($F1758,100)))</f>
        <v/>
      </c>
    </row>
    <row r="1759" customFormat="false" ht="15" hidden="false" customHeight="true" outlineLevel="0" collapsed="false">
      <c r="A1759" s="10"/>
      <c r="B1759" s="8"/>
      <c r="C1759" s="13" t="str">
        <f aca="false">IF($B1759="","",IFERROR(INDEX(직원목록!$B$3:$B$302,MATCH($B1759,직원목록!$A$3:$A$302,0)),"미등록사번"))</f>
        <v/>
      </c>
      <c r="D1759" s="13" t="str">
        <f aca="false">IF($B1759="","",IFERROR(INDEX(직원목록!$C$3:$C$302,MATCH($B1759,직원목록!$A$3:$A$302,0)),""))</f>
        <v/>
      </c>
      <c r="E1759" s="14"/>
      <c r="F1759" s="14"/>
      <c r="G1759" s="15"/>
      <c r="H1759" s="16" t="str">
        <f aca="false">IF(OR($K1759="",$L1759=""),"",ROUND(MAX(0,($L1759-$K1759)-IF($G1759="",0,$G1759))/60,2))</f>
        <v/>
      </c>
      <c r="I1759" s="8"/>
      <c r="J1759" s="8"/>
      <c r="K1759" s="17" t="str">
        <f aca="false">IF($E1759="","",IF($E1759&lt;1,ROUND($E1759*1440,0),INT($E1759/100)*60+MOD($E1759,100)))</f>
        <v/>
      </c>
      <c r="L1759" s="17" t="str">
        <f aca="false">IF($F1759="","",IF($F1759&lt;1,ROUND($F1759*1440,0),INT($F1759/100)*60+MOD($F1759,100)))</f>
        <v/>
      </c>
    </row>
    <row r="1760" customFormat="false" ht="15" hidden="false" customHeight="true" outlineLevel="0" collapsed="false">
      <c r="A1760" s="10"/>
      <c r="B1760" s="8"/>
      <c r="C1760" s="13" t="str">
        <f aca="false">IF($B1760="","",IFERROR(INDEX(직원목록!$B$3:$B$302,MATCH($B1760,직원목록!$A$3:$A$302,0)),"미등록사번"))</f>
        <v/>
      </c>
      <c r="D1760" s="13" t="str">
        <f aca="false">IF($B1760="","",IFERROR(INDEX(직원목록!$C$3:$C$302,MATCH($B1760,직원목록!$A$3:$A$302,0)),""))</f>
        <v/>
      </c>
      <c r="E1760" s="14"/>
      <c r="F1760" s="14"/>
      <c r="G1760" s="15"/>
      <c r="H1760" s="16" t="str">
        <f aca="false">IF(OR($K1760="",$L1760=""),"",ROUND(MAX(0,($L1760-$K1760)-IF($G1760="",0,$G1760))/60,2))</f>
        <v/>
      </c>
      <c r="I1760" s="8"/>
      <c r="J1760" s="8"/>
      <c r="K1760" s="17" t="str">
        <f aca="false">IF($E1760="","",IF($E1760&lt;1,ROUND($E1760*1440,0),INT($E1760/100)*60+MOD($E1760,100)))</f>
        <v/>
      </c>
      <c r="L1760" s="17" t="str">
        <f aca="false">IF($F1760="","",IF($F1760&lt;1,ROUND($F1760*1440,0),INT($F1760/100)*60+MOD($F1760,100)))</f>
        <v/>
      </c>
    </row>
    <row r="1761" customFormat="false" ht="15" hidden="false" customHeight="true" outlineLevel="0" collapsed="false">
      <c r="A1761" s="10"/>
      <c r="B1761" s="8"/>
      <c r="C1761" s="13" t="str">
        <f aca="false">IF($B1761="","",IFERROR(INDEX(직원목록!$B$3:$B$302,MATCH($B1761,직원목록!$A$3:$A$302,0)),"미등록사번"))</f>
        <v/>
      </c>
      <c r="D1761" s="13" t="str">
        <f aca="false">IF($B1761="","",IFERROR(INDEX(직원목록!$C$3:$C$302,MATCH($B1761,직원목록!$A$3:$A$302,0)),""))</f>
        <v/>
      </c>
      <c r="E1761" s="14"/>
      <c r="F1761" s="14"/>
      <c r="G1761" s="15"/>
      <c r="H1761" s="16" t="str">
        <f aca="false">IF(OR($K1761="",$L1761=""),"",ROUND(MAX(0,($L1761-$K1761)-IF($G1761="",0,$G1761))/60,2))</f>
        <v/>
      </c>
      <c r="I1761" s="8"/>
      <c r="J1761" s="8"/>
      <c r="K1761" s="17" t="str">
        <f aca="false">IF($E1761="","",IF($E1761&lt;1,ROUND($E1761*1440,0),INT($E1761/100)*60+MOD($E1761,100)))</f>
        <v/>
      </c>
      <c r="L1761" s="17" t="str">
        <f aca="false">IF($F1761="","",IF($F1761&lt;1,ROUND($F1761*1440,0),INT($F1761/100)*60+MOD($F1761,100)))</f>
        <v/>
      </c>
    </row>
    <row r="1762" customFormat="false" ht="15" hidden="false" customHeight="true" outlineLevel="0" collapsed="false">
      <c r="A1762" s="10"/>
      <c r="B1762" s="8"/>
      <c r="C1762" s="13" t="str">
        <f aca="false">IF($B1762="","",IFERROR(INDEX(직원목록!$B$3:$B$302,MATCH($B1762,직원목록!$A$3:$A$302,0)),"미등록사번"))</f>
        <v/>
      </c>
      <c r="D1762" s="13" t="str">
        <f aca="false">IF($B1762="","",IFERROR(INDEX(직원목록!$C$3:$C$302,MATCH($B1762,직원목록!$A$3:$A$302,0)),""))</f>
        <v/>
      </c>
      <c r="E1762" s="14"/>
      <c r="F1762" s="14"/>
      <c r="G1762" s="15"/>
      <c r="H1762" s="16" t="str">
        <f aca="false">IF(OR($K1762="",$L1762=""),"",ROUND(MAX(0,($L1762-$K1762)-IF($G1762="",0,$G1762))/60,2))</f>
        <v/>
      </c>
      <c r="I1762" s="8"/>
      <c r="J1762" s="8"/>
      <c r="K1762" s="17" t="str">
        <f aca="false">IF($E1762="","",IF($E1762&lt;1,ROUND($E1762*1440,0),INT($E1762/100)*60+MOD($E1762,100)))</f>
        <v/>
      </c>
      <c r="L1762" s="17" t="str">
        <f aca="false">IF($F1762="","",IF($F1762&lt;1,ROUND($F1762*1440,0),INT($F1762/100)*60+MOD($F1762,100)))</f>
        <v/>
      </c>
    </row>
    <row r="1763" customFormat="false" ht="15" hidden="false" customHeight="true" outlineLevel="0" collapsed="false">
      <c r="A1763" s="10"/>
      <c r="B1763" s="8"/>
      <c r="C1763" s="13" t="str">
        <f aca="false">IF($B1763="","",IFERROR(INDEX(직원목록!$B$3:$B$302,MATCH($B1763,직원목록!$A$3:$A$302,0)),"미등록사번"))</f>
        <v/>
      </c>
      <c r="D1763" s="13" t="str">
        <f aca="false">IF($B1763="","",IFERROR(INDEX(직원목록!$C$3:$C$302,MATCH($B1763,직원목록!$A$3:$A$302,0)),""))</f>
        <v/>
      </c>
      <c r="E1763" s="14"/>
      <c r="F1763" s="14"/>
      <c r="G1763" s="15"/>
      <c r="H1763" s="16" t="str">
        <f aca="false">IF(OR($K1763="",$L1763=""),"",ROUND(MAX(0,($L1763-$K1763)-IF($G1763="",0,$G1763))/60,2))</f>
        <v/>
      </c>
      <c r="I1763" s="8"/>
      <c r="J1763" s="8"/>
      <c r="K1763" s="17" t="str">
        <f aca="false">IF($E1763="","",IF($E1763&lt;1,ROUND($E1763*1440,0),INT($E1763/100)*60+MOD($E1763,100)))</f>
        <v/>
      </c>
      <c r="L1763" s="17" t="str">
        <f aca="false">IF($F1763="","",IF($F1763&lt;1,ROUND($F1763*1440,0),INT($F1763/100)*60+MOD($F1763,100)))</f>
        <v/>
      </c>
    </row>
    <row r="1764" customFormat="false" ht="15" hidden="false" customHeight="true" outlineLevel="0" collapsed="false">
      <c r="A1764" s="10"/>
      <c r="B1764" s="8"/>
      <c r="C1764" s="13" t="str">
        <f aca="false">IF($B1764="","",IFERROR(INDEX(직원목록!$B$3:$B$302,MATCH($B1764,직원목록!$A$3:$A$302,0)),"미등록사번"))</f>
        <v/>
      </c>
      <c r="D1764" s="13" t="str">
        <f aca="false">IF($B1764="","",IFERROR(INDEX(직원목록!$C$3:$C$302,MATCH($B1764,직원목록!$A$3:$A$302,0)),""))</f>
        <v/>
      </c>
      <c r="E1764" s="14"/>
      <c r="F1764" s="14"/>
      <c r="G1764" s="15"/>
      <c r="H1764" s="16" t="str">
        <f aca="false">IF(OR($K1764="",$L1764=""),"",ROUND(MAX(0,($L1764-$K1764)-IF($G1764="",0,$G1764))/60,2))</f>
        <v/>
      </c>
      <c r="I1764" s="8"/>
      <c r="J1764" s="8"/>
      <c r="K1764" s="17" t="str">
        <f aca="false">IF($E1764="","",IF($E1764&lt;1,ROUND($E1764*1440,0),INT($E1764/100)*60+MOD($E1764,100)))</f>
        <v/>
      </c>
      <c r="L1764" s="17" t="str">
        <f aca="false">IF($F1764="","",IF($F1764&lt;1,ROUND($F1764*1440,0),INT($F1764/100)*60+MOD($F1764,100)))</f>
        <v/>
      </c>
    </row>
    <row r="1765" customFormat="false" ht="15" hidden="false" customHeight="true" outlineLevel="0" collapsed="false">
      <c r="A1765" s="10"/>
      <c r="B1765" s="8"/>
      <c r="C1765" s="13" t="str">
        <f aca="false">IF($B1765="","",IFERROR(INDEX(직원목록!$B$3:$B$302,MATCH($B1765,직원목록!$A$3:$A$302,0)),"미등록사번"))</f>
        <v/>
      </c>
      <c r="D1765" s="13" t="str">
        <f aca="false">IF($B1765="","",IFERROR(INDEX(직원목록!$C$3:$C$302,MATCH($B1765,직원목록!$A$3:$A$302,0)),""))</f>
        <v/>
      </c>
      <c r="E1765" s="14"/>
      <c r="F1765" s="14"/>
      <c r="G1765" s="15"/>
      <c r="H1765" s="16" t="str">
        <f aca="false">IF(OR($K1765="",$L1765=""),"",ROUND(MAX(0,($L1765-$K1765)-IF($G1765="",0,$G1765))/60,2))</f>
        <v/>
      </c>
      <c r="I1765" s="8"/>
      <c r="J1765" s="8"/>
      <c r="K1765" s="17" t="str">
        <f aca="false">IF($E1765="","",IF($E1765&lt;1,ROUND($E1765*1440,0),INT($E1765/100)*60+MOD($E1765,100)))</f>
        <v/>
      </c>
      <c r="L1765" s="17" t="str">
        <f aca="false">IF($F1765="","",IF($F1765&lt;1,ROUND($F1765*1440,0),INT($F1765/100)*60+MOD($F1765,100)))</f>
        <v/>
      </c>
    </row>
    <row r="1766" customFormat="false" ht="15" hidden="false" customHeight="true" outlineLevel="0" collapsed="false">
      <c r="A1766" s="10"/>
      <c r="B1766" s="8"/>
      <c r="C1766" s="13" t="str">
        <f aca="false">IF($B1766="","",IFERROR(INDEX(직원목록!$B$3:$B$302,MATCH($B1766,직원목록!$A$3:$A$302,0)),"미등록사번"))</f>
        <v/>
      </c>
      <c r="D1766" s="13" t="str">
        <f aca="false">IF($B1766="","",IFERROR(INDEX(직원목록!$C$3:$C$302,MATCH($B1766,직원목록!$A$3:$A$302,0)),""))</f>
        <v/>
      </c>
      <c r="E1766" s="14"/>
      <c r="F1766" s="14"/>
      <c r="G1766" s="15"/>
      <c r="H1766" s="16" t="str">
        <f aca="false">IF(OR($K1766="",$L1766=""),"",ROUND(MAX(0,($L1766-$K1766)-IF($G1766="",0,$G1766))/60,2))</f>
        <v/>
      </c>
      <c r="I1766" s="8"/>
      <c r="J1766" s="8"/>
      <c r="K1766" s="17" t="str">
        <f aca="false">IF($E1766="","",IF($E1766&lt;1,ROUND($E1766*1440,0),INT($E1766/100)*60+MOD($E1766,100)))</f>
        <v/>
      </c>
      <c r="L1766" s="17" t="str">
        <f aca="false">IF($F1766="","",IF($F1766&lt;1,ROUND($F1766*1440,0),INT($F1766/100)*60+MOD($F1766,100)))</f>
        <v/>
      </c>
    </row>
    <row r="1767" customFormat="false" ht="15" hidden="false" customHeight="true" outlineLevel="0" collapsed="false">
      <c r="A1767" s="10"/>
      <c r="B1767" s="8"/>
      <c r="C1767" s="13" t="str">
        <f aca="false">IF($B1767="","",IFERROR(INDEX(직원목록!$B$3:$B$302,MATCH($B1767,직원목록!$A$3:$A$302,0)),"미등록사번"))</f>
        <v/>
      </c>
      <c r="D1767" s="13" t="str">
        <f aca="false">IF($B1767="","",IFERROR(INDEX(직원목록!$C$3:$C$302,MATCH($B1767,직원목록!$A$3:$A$302,0)),""))</f>
        <v/>
      </c>
      <c r="E1767" s="14"/>
      <c r="F1767" s="14"/>
      <c r="G1767" s="15"/>
      <c r="H1767" s="16" t="str">
        <f aca="false">IF(OR($K1767="",$L1767=""),"",ROUND(MAX(0,($L1767-$K1767)-IF($G1767="",0,$G1767))/60,2))</f>
        <v/>
      </c>
      <c r="I1767" s="8"/>
      <c r="J1767" s="8"/>
      <c r="K1767" s="17" t="str">
        <f aca="false">IF($E1767="","",IF($E1767&lt;1,ROUND($E1767*1440,0),INT($E1767/100)*60+MOD($E1767,100)))</f>
        <v/>
      </c>
      <c r="L1767" s="17" t="str">
        <f aca="false">IF($F1767="","",IF($F1767&lt;1,ROUND($F1767*1440,0),INT($F1767/100)*60+MOD($F1767,100)))</f>
        <v/>
      </c>
    </row>
    <row r="1768" customFormat="false" ht="15" hidden="false" customHeight="true" outlineLevel="0" collapsed="false">
      <c r="A1768" s="10"/>
      <c r="B1768" s="8"/>
      <c r="C1768" s="13" t="str">
        <f aca="false">IF($B1768="","",IFERROR(INDEX(직원목록!$B$3:$B$302,MATCH($B1768,직원목록!$A$3:$A$302,0)),"미등록사번"))</f>
        <v/>
      </c>
      <c r="D1768" s="13" t="str">
        <f aca="false">IF($B1768="","",IFERROR(INDEX(직원목록!$C$3:$C$302,MATCH($B1768,직원목록!$A$3:$A$302,0)),""))</f>
        <v/>
      </c>
      <c r="E1768" s="14"/>
      <c r="F1768" s="14"/>
      <c r="G1768" s="15"/>
      <c r="H1768" s="16" t="str">
        <f aca="false">IF(OR($K1768="",$L1768=""),"",ROUND(MAX(0,($L1768-$K1768)-IF($G1768="",0,$G1768))/60,2))</f>
        <v/>
      </c>
      <c r="I1768" s="8"/>
      <c r="J1768" s="8"/>
      <c r="K1768" s="17" t="str">
        <f aca="false">IF($E1768="","",IF($E1768&lt;1,ROUND($E1768*1440,0),INT($E1768/100)*60+MOD($E1768,100)))</f>
        <v/>
      </c>
      <c r="L1768" s="17" t="str">
        <f aca="false">IF($F1768="","",IF($F1768&lt;1,ROUND($F1768*1440,0),INT($F1768/100)*60+MOD($F1768,100)))</f>
        <v/>
      </c>
    </row>
    <row r="1769" customFormat="false" ht="15" hidden="false" customHeight="true" outlineLevel="0" collapsed="false">
      <c r="A1769" s="10"/>
      <c r="B1769" s="8"/>
      <c r="C1769" s="13" t="str">
        <f aca="false">IF($B1769="","",IFERROR(INDEX(직원목록!$B$3:$B$302,MATCH($B1769,직원목록!$A$3:$A$302,0)),"미등록사번"))</f>
        <v/>
      </c>
      <c r="D1769" s="13" t="str">
        <f aca="false">IF($B1769="","",IFERROR(INDEX(직원목록!$C$3:$C$302,MATCH($B1769,직원목록!$A$3:$A$302,0)),""))</f>
        <v/>
      </c>
      <c r="E1769" s="14"/>
      <c r="F1769" s="14"/>
      <c r="G1769" s="15"/>
      <c r="H1769" s="16" t="str">
        <f aca="false">IF(OR($K1769="",$L1769=""),"",ROUND(MAX(0,($L1769-$K1769)-IF($G1769="",0,$G1769))/60,2))</f>
        <v/>
      </c>
      <c r="I1769" s="8"/>
      <c r="J1769" s="8"/>
      <c r="K1769" s="17" t="str">
        <f aca="false">IF($E1769="","",IF($E1769&lt;1,ROUND($E1769*1440,0),INT($E1769/100)*60+MOD($E1769,100)))</f>
        <v/>
      </c>
      <c r="L1769" s="17" t="str">
        <f aca="false">IF($F1769="","",IF($F1769&lt;1,ROUND($F1769*1440,0),INT($F1769/100)*60+MOD($F1769,100)))</f>
        <v/>
      </c>
    </row>
    <row r="1770" customFormat="false" ht="15" hidden="false" customHeight="true" outlineLevel="0" collapsed="false">
      <c r="A1770" s="10"/>
      <c r="B1770" s="8"/>
      <c r="C1770" s="13" t="str">
        <f aca="false">IF($B1770="","",IFERROR(INDEX(직원목록!$B$3:$B$302,MATCH($B1770,직원목록!$A$3:$A$302,0)),"미등록사번"))</f>
        <v/>
      </c>
      <c r="D1770" s="13" t="str">
        <f aca="false">IF($B1770="","",IFERROR(INDEX(직원목록!$C$3:$C$302,MATCH($B1770,직원목록!$A$3:$A$302,0)),""))</f>
        <v/>
      </c>
      <c r="E1770" s="14"/>
      <c r="F1770" s="14"/>
      <c r="G1770" s="15"/>
      <c r="H1770" s="16" t="str">
        <f aca="false">IF(OR($K1770="",$L1770=""),"",ROUND(MAX(0,($L1770-$K1770)-IF($G1770="",0,$G1770))/60,2))</f>
        <v/>
      </c>
      <c r="I1770" s="8"/>
      <c r="J1770" s="8"/>
      <c r="K1770" s="17" t="str">
        <f aca="false">IF($E1770="","",IF($E1770&lt;1,ROUND($E1770*1440,0),INT($E1770/100)*60+MOD($E1770,100)))</f>
        <v/>
      </c>
      <c r="L1770" s="17" t="str">
        <f aca="false">IF($F1770="","",IF($F1770&lt;1,ROUND($F1770*1440,0),INT($F1770/100)*60+MOD($F1770,100)))</f>
        <v/>
      </c>
    </row>
    <row r="1771" customFormat="false" ht="15" hidden="false" customHeight="true" outlineLevel="0" collapsed="false">
      <c r="A1771" s="10"/>
      <c r="B1771" s="8"/>
      <c r="C1771" s="13" t="str">
        <f aca="false">IF($B1771="","",IFERROR(INDEX(직원목록!$B$3:$B$302,MATCH($B1771,직원목록!$A$3:$A$302,0)),"미등록사번"))</f>
        <v/>
      </c>
      <c r="D1771" s="13" t="str">
        <f aca="false">IF($B1771="","",IFERROR(INDEX(직원목록!$C$3:$C$302,MATCH($B1771,직원목록!$A$3:$A$302,0)),""))</f>
        <v/>
      </c>
      <c r="E1771" s="14"/>
      <c r="F1771" s="14"/>
      <c r="G1771" s="15"/>
      <c r="H1771" s="16" t="str">
        <f aca="false">IF(OR($K1771="",$L1771=""),"",ROUND(MAX(0,($L1771-$K1771)-IF($G1771="",0,$G1771))/60,2))</f>
        <v/>
      </c>
      <c r="I1771" s="8"/>
      <c r="J1771" s="8"/>
      <c r="K1771" s="17" t="str">
        <f aca="false">IF($E1771="","",IF($E1771&lt;1,ROUND($E1771*1440,0),INT($E1771/100)*60+MOD($E1771,100)))</f>
        <v/>
      </c>
      <c r="L1771" s="17" t="str">
        <f aca="false">IF($F1771="","",IF($F1771&lt;1,ROUND($F1771*1440,0),INT($F1771/100)*60+MOD($F1771,100)))</f>
        <v/>
      </c>
    </row>
    <row r="1772" customFormat="false" ht="15" hidden="false" customHeight="true" outlineLevel="0" collapsed="false">
      <c r="A1772" s="10"/>
      <c r="B1772" s="8"/>
      <c r="C1772" s="13" t="str">
        <f aca="false">IF($B1772="","",IFERROR(INDEX(직원목록!$B$3:$B$302,MATCH($B1772,직원목록!$A$3:$A$302,0)),"미등록사번"))</f>
        <v/>
      </c>
      <c r="D1772" s="13" t="str">
        <f aca="false">IF($B1772="","",IFERROR(INDEX(직원목록!$C$3:$C$302,MATCH($B1772,직원목록!$A$3:$A$302,0)),""))</f>
        <v/>
      </c>
      <c r="E1772" s="14"/>
      <c r="F1772" s="14"/>
      <c r="G1772" s="15"/>
      <c r="H1772" s="16" t="str">
        <f aca="false">IF(OR($K1772="",$L1772=""),"",ROUND(MAX(0,($L1772-$K1772)-IF($G1772="",0,$G1772))/60,2))</f>
        <v/>
      </c>
      <c r="I1772" s="8"/>
      <c r="J1772" s="8"/>
      <c r="K1772" s="17" t="str">
        <f aca="false">IF($E1772="","",IF($E1772&lt;1,ROUND($E1772*1440,0),INT($E1772/100)*60+MOD($E1772,100)))</f>
        <v/>
      </c>
      <c r="L1772" s="17" t="str">
        <f aca="false">IF($F1772="","",IF($F1772&lt;1,ROUND($F1772*1440,0),INT($F1772/100)*60+MOD($F1772,100)))</f>
        <v/>
      </c>
    </row>
    <row r="1773" customFormat="false" ht="15" hidden="false" customHeight="true" outlineLevel="0" collapsed="false">
      <c r="A1773" s="10"/>
      <c r="B1773" s="8"/>
      <c r="C1773" s="13" t="str">
        <f aca="false">IF($B1773="","",IFERROR(INDEX(직원목록!$B$3:$B$302,MATCH($B1773,직원목록!$A$3:$A$302,0)),"미등록사번"))</f>
        <v/>
      </c>
      <c r="D1773" s="13" t="str">
        <f aca="false">IF($B1773="","",IFERROR(INDEX(직원목록!$C$3:$C$302,MATCH($B1773,직원목록!$A$3:$A$302,0)),""))</f>
        <v/>
      </c>
      <c r="E1773" s="14"/>
      <c r="F1773" s="14"/>
      <c r="G1773" s="15"/>
      <c r="H1773" s="16" t="str">
        <f aca="false">IF(OR($K1773="",$L1773=""),"",ROUND(MAX(0,($L1773-$K1773)-IF($G1773="",0,$G1773))/60,2))</f>
        <v/>
      </c>
      <c r="I1773" s="8"/>
      <c r="J1773" s="8"/>
      <c r="K1773" s="17" t="str">
        <f aca="false">IF($E1773="","",IF($E1773&lt;1,ROUND($E1773*1440,0),INT($E1773/100)*60+MOD($E1773,100)))</f>
        <v/>
      </c>
      <c r="L1773" s="17" t="str">
        <f aca="false">IF($F1773="","",IF($F1773&lt;1,ROUND($F1773*1440,0),INT($F1773/100)*60+MOD($F1773,100)))</f>
        <v/>
      </c>
    </row>
    <row r="1774" customFormat="false" ht="15" hidden="false" customHeight="true" outlineLevel="0" collapsed="false">
      <c r="A1774" s="10"/>
      <c r="B1774" s="8"/>
      <c r="C1774" s="13" t="str">
        <f aca="false">IF($B1774="","",IFERROR(INDEX(직원목록!$B$3:$B$302,MATCH($B1774,직원목록!$A$3:$A$302,0)),"미등록사번"))</f>
        <v/>
      </c>
      <c r="D1774" s="13" t="str">
        <f aca="false">IF($B1774="","",IFERROR(INDEX(직원목록!$C$3:$C$302,MATCH($B1774,직원목록!$A$3:$A$302,0)),""))</f>
        <v/>
      </c>
      <c r="E1774" s="14"/>
      <c r="F1774" s="14"/>
      <c r="G1774" s="15"/>
      <c r="H1774" s="16" t="str">
        <f aca="false">IF(OR($K1774="",$L1774=""),"",ROUND(MAX(0,($L1774-$K1774)-IF($G1774="",0,$G1774))/60,2))</f>
        <v/>
      </c>
      <c r="I1774" s="8"/>
      <c r="J1774" s="8"/>
      <c r="K1774" s="17" t="str">
        <f aca="false">IF($E1774="","",IF($E1774&lt;1,ROUND($E1774*1440,0),INT($E1774/100)*60+MOD($E1774,100)))</f>
        <v/>
      </c>
      <c r="L1774" s="17" t="str">
        <f aca="false">IF($F1774="","",IF($F1774&lt;1,ROUND($F1774*1440,0),INT($F1774/100)*60+MOD($F1774,100)))</f>
        <v/>
      </c>
    </row>
    <row r="1775" customFormat="false" ht="15" hidden="false" customHeight="true" outlineLevel="0" collapsed="false">
      <c r="A1775" s="10"/>
      <c r="B1775" s="8"/>
      <c r="C1775" s="13" t="str">
        <f aca="false">IF($B1775="","",IFERROR(INDEX(직원목록!$B$3:$B$302,MATCH($B1775,직원목록!$A$3:$A$302,0)),"미등록사번"))</f>
        <v/>
      </c>
      <c r="D1775" s="13" t="str">
        <f aca="false">IF($B1775="","",IFERROR(INDEX(직원목록!$C$3:$C$302,MATCH($B1775,직원목록!$A$3:$A$302,0)),""))</f>
        <v/>
      </c>
      <c r="E1775" s="14"/>
      <c r="F1775" s="14"/>
      <c r="G1775" s="15"/>
      <c r="H1775" s="16" t="str">
        <f aca="false">IF(OR($K1775="",$L1775=""),"",ROUND(MAX(0,($L1775-$K1775)-IF($G1775="",0,$G1775))/60,2))</f>
        <v/>
      </c>
      <c r="I1775" s="8"/>
      <c r="J1775" s="8"/>
      <c r="K1775" s="17" t="str">
        <f aca="false">IF($E1775="","",IF($E1775&lt;1,ROUND($E1775*1440,0),INT($E1775/100)*60+MOD($E1775,100)))</f>
        <v/>
      </c>
      <c r="L1775" s="17" t="str">
        <f aca="false">IF($F1775="","",IF($F1775&lt;1,ROUND($F1775*1440,0),INT($F1775/100)*60+MOD($F1775,100)))</f>
        <v/>
      </c>
    </row>
    <row r="1776" customFormat="false" ht="15" hidden="false" customHeight="true" outlineLevel="0" collapsed="false">
      <c r="A1776" s="10"/>
      <c r="B1776" s="8"/>
      <c r="C1776" s="13" t="str">
        <f aca="false">IF($B1776="","",IFERROR(INDEX(직원목록!$B$3:$B$302,MATCH($B1776,직원목록!$A$3:$A$302,0)),"미등록사번"))</f>
        <v/>
      </c>
      <c r="D1776" s="13" t="str">
        <f aca="false">IF($B1776="","",IFERROR(INDEX(직원목록!$C$3:$C$302,MATCH($B1776,직원목록!$A$3:$A$302,0)),""))</f>
        <v/>
      </c>
      <c r="E1776" s="14"/>
      <c r="F1776" s="14"/>
      <c r="G1776" s="15"/>
      <c r="H1776" s="16" t="str">
        <f aca="false">IF(OR($K1776="",$L1776=""),"",ROUND(MAX(0,($L1776-$K1776)-IF($G1776="",0,$G1776))/60,2))</f>
        <v/>
      </c>
      <c r="I1776" s="8"/>
      <c r="J1776" s="8"/>
      <c r="K1776" s="17" t="str">
        <f aca="false">IF($E1776="","",IF($E1776&lt;1,ROUND($E1776*1440,0),INT($E1776/100)*60+MOD($E1776,100)))</f>
        <v/>
      </c>
      <c r="L1776" s="17" t="str">
        <f aca="false">IF($F1776="","",IF($F1776&lt;1,ROUND($F1776*1440,0),INT($F1776/100)*60+MOD($F1776,100)))</f>
        <v/>
      </c>
    </row>
    <row r="1777" customFormat="false" ht="15" hidden="false" customHeight="true" outlineLevel="0" collapsed="false">
      <c r="A1777" s="10"/>
      <c r="B1777" s="8"/>
      <c r="C1777" s="13" t="str">
        <f aca="false">IF($B1777="","",IFERROR(INDEX(직원목록!$B$3:$B$302,MATCH($B1777,직원목록!$A$3:$A$302,0)),"미등록사번"))</f>
        <v/>
      </c>
      <c r="D1777" s="13" t="str">
        <f aca="false">IF($B1777="","",IFERROR(INDEX(직원목록!$C$3:$C$302,MATCH($B1777,직원목록!$A$3:$A$302,0)),""))</f>
        <v/>
      </c>
      <c r="E1777" s="14"/>
      <c r="F1777" s="14"/>
      <c r="G1777" s="15"/>
      <c r="H1777" s="16" t="str">
        <f aca="false">IF(OR($K1777="",$L1777=""),"",ROUND(MAX(0,($L1777-$K1777)-IF($G1777="",0,$G1777))/60,2))</f>
        <v/>
      </c>
      <c r="I1777" s="8"/>
      <c r="J1777" s="8"/>
      <c r="K1777" s="17" t="str">
        <f aca="false">IF($E1777="","",IF($E1777&lt;1,ROUND($E1777*1440,0),INT($E1777/100)*60+MOD($E1777,100)))</f>
        <v/>
      </c>
      <c r="L1777" s="17" t="str">
        <f aca="false">IF($F1777="","",IF($F1777&lt;1,ROUND($F1777*1440,0),INT($F1777/100)*60+MOD($F1777,100)))</f>
        <v/>
      </c>
    </row>
    <row r="1778" customFormat="false" ht="15" hidden="false" customHeight="true" outlineLevel="0" collapsed="false">
      <c r="A1778" s="10"/>
      <c r="B1778" s="8"/>
      <c r="C1778" s="13" t="str">
        <f aca="false">IF($B1778="","",IFERROR(INDEX(직원목록!$B$3:$B$302,MATCH($B1778,직원목록!$A$3:$A$302,0)),"미등록사번"))</f>
        <v/>
      </c>
      <c r="D1778" s="13" t="str">
        <f aca="false">IF($B1778="","",IFERROR(INDEX(직원목록!$C$3:$C$302,MATCH($B1778,직원목록!$A$3:$A$302,0)),""))</f>
        <v/>
      </c>
      <c r="E1778" s="14"/>
      <c r="F1778" s="14"/>
      <c r="G1778" s="15"/>
      <c r="H1778" s="16" t="str">
        <f aca="false">IF(OR($K1778="",$L1778=""),"",ROUND(MAX(0,($L1778-$K1778)-IF($G1778="",0,$G1778))/60,2))</f>
        <v/>
      </c>
      <c r="I1778" s="8"/>
      <c r="J1778" s="8"/>
      <c r="K1778" s="17" t="str">
        <f aca="false">IF($E1778="","",IF($E1778&lt;1,ROUND($E1778*1440,0),INT($E1778/100)*60+MOD($E1778,100)))</f>
        <v/>
      </c>
      <c r="L1778" s="17" t="str">
        <f aca="false">IF($F1778="","",IF($F1778&lt;1,ROUND($F1778*1440,0),INT($F1778/100)*60+MOD($F1778,100)))</f>
        <v/>
      </c>
    </row>
    <row r="1779" customFormat="false" ht="15" hidden="false" customHeight="true" outlineLevel="0" collapsed="false">
      <c r="A1779" s="10"/>
      <c r="B1779" s="8"/>
      <c r="C1779" s="13" t="str">
        <f aca="false">IF($B1779="","",IFERROR(INDEX(직원목록!$B$3:$B$302,MATCH($B1779,직원목록!$A$3:$A$302,0)),"미등록사번"))</f>
        <v/>
      </c>
      <c r="D1779" s="13" t="str">
        <f aca="false">IF($B1779="","",IFERROR(INDEX(직원목록!$C$3:$C$302,MATCH($B1779,직원목록!$A$3:$A$302,0)),""))</f>
        <v/>
      </c>
      <c r="E1779" s="14"/>
      <c r="F1779" s="14"/>
      <c r="G1779" s="15"/>
      <c r="H1779" s="16" t="str">
        <f aca="false">IF(OR($K1779="",$L1779=""),"",ROUND(MAX(0,($L1779-$K1779)-IF($G1779="",0,$G1779))/60,2))</f>
        <v/>
      </c>
      <c r="I1779" s="8"/>
      <c r="J1779" s="8"/>
      <c r="K1779" s="17" t="str">
        <f aca="false">IF($E1779="","",IF($E1779&lt;1,ROUND($E1779*1440,0),INT($E1779/100)*60+MOD($E1779,100)))</f>
        <v/>
      </c>
      <c r="L1779" s="17" t="str">
        <f aca="false">IF($F1779="","",IF($F1779&lt;1,ROUND($F1779*1440,0),INT($F1779/100)*60+MOD($F1779,100)))</f>
        <v/>
      </c>
    </row>
    <row r="1780" customFormat="false" ht="15" hidden="false" customHeight="true" outlineLevel="0" collapsed="false">
      <c r="A1780" s="10"/>
      <c r="B1780" s="8"/>
      <c r="C1780" s="13" t="str">
        <f aca="false">IF($B1780="","",IFERROR(INDEX(직원목록!$B$3:$B$302,MATCH($B1780,직원목록!$A$3:$A$302,0)),"미등록사번"))</f>
        <v/>
      </c>
      <c r="D1780" s="13" t="str">
        <f aca="false">IF($B1780="","",IFERROR(INDEX(직원목록!$C$3:$C$302,MATCH($B1780,직원목록!$A$3:$A$302,0)),""))</f>
        <v/>
      </c>
      <c r="E1780" s="14"/>
      <c r="F1780" s="14"/>
      <c r="G1780" s="15"/>
      <c r="H1780" s="16" t="str">
        <f aca="false">IF(OR($K1780="",$L1780=""),"",ROUND(MAX(0,($L1780-$K1780)-IF($G1780="",0,$G1780))/60,2))</f>
        <v/>
      </c>
      <c r="I1780" s="8"/>
      <c r="J1780" s="8"/>
      <c r="K1780" s="17" t="str">
        <f aca="false">IF($E1780="","",IF($E1780&lt;1,ROUND($E1780*1440,0),INT($E1780/100)*60+MOD($E1780,100)))</f>
        <v/>
      </c>
      <c r="L1780" s="17" t="str">
        <f aca="false">IF($F1780="","",IF($F1780&lt;1,ROUND($F1780*1440,0),INT($F1780/100)*60+MOD($F1780,100)))</f>
        <v/>
      </c>
    </row>
    <row r="1781" customFormat="false" ht="15" hidden="false" customHeight="true" outlineLevel="0" collapsed="false">
      <c r="A1781" s="10"/>
      <c r="B1781" s="8"/>
      <c r="C1781" s="13" t="str">
        <f aca="false">IF($B1781="","",IFERROR(INDEX(직원목록!$B$3:$B$302,MATCH($B1781,직원목록!$A$3:$A$302,0)),"미등록사번"))</f>
        <v/>
      </c>
      <c r="D1781" s="13" t="str">
        <f aca="false">IF($B1781="","",IFERROR(INDEX(직원목록!$C$3:$C$302,MATCH($B1781,직원목록!$A$3:$A$302,0)),""))</f>
        <v/>
      </c>
      <c r="E1781" s="14"/>
      <c r="F1781" s="14"/>
      <c r="G1781" s="15"/>
      <c r="H1781" s="16" t="str">
        <f aca="false">IF(OR($K1781="",$L1781=""),"",ROUND(MAX(0,($L1781-$K1781)-IF($G1781="",0,$G1781))/60,2))</f>
        <v/>
      </c>
      <c r="I1781" s="8"/>
      <c r="J1781" s="8"/>
      <c r="K1781" s="17" t="str">
        <f aca="false">IF($E1781="","",IF($E1781&lt;1,ROUND($E1781*1440,0),INT($E1781/100)*60+MOD($E1781,100)))</f>
        <v/>
      </c>
      <c r="L1781" s="17" t="str">
        <f aca="false">IF($F1781="","",IF($F1781&lt;1,ROUND($F1781*1440,0),INT($F1781/100)*60+MOD($F1781,100)))</f>
        <v/>
      </c>
    </row>
    <row r="1782" customFormat="false" ht="15" hidden="false" customHeight="true" outlineLevel="0" collapsed="false">
      <c r="A1782" s="10"/>
      <c r="B1782" s="8"/>
      <c r="C1782" s="13" t="str">
        <f aca="false">IF($B1782="","",IFERROR(INDEX(직원목록!$B$3:$B$302,MATCH($B1782,직원목록!$A$3:$A$302,0)),"미등록사번"))</f>
        <v/>
      </c>
      <c r="D1782" s="13" t="str">
        <f aca="false">IF($B1782="","",IFERROR(INDEX(직원목록!$C$3:$C$302,MATCH($B1782,직원목록!$A$3:$A$302,0)),""))</f>
        <v/>
      </c>
      <c r="E1782" s="14"/>
      <c r="F1782" s="14"/>
      <c r="G1782" s="15"/>
      <c r="H1782" s="16" t="str">
        <f aca="false">IF(OR($K1782="",$L1782=""),"",ROUND(MAX(0,($L1782-$K1782)-IF($G1782="",0,$G1782))/60,2))</f>
        <v/>
      </c>
      <c r="I1782" s="8"/>
      <c r="J1782" s="8"/>
      <c r="K1782" s="17" t="str">
        <f aca="false">IF($E1782="","",IF($E1782&lt;1,ROUND($E1782*1440,0),INT($E1782/100)*60+MOD($E1782,100)))</f>
        <v/>
      </c>
      <c r="L1782" s="17" t="str">
        <f aca="false">IF($F1782="","",IF($F1782&lt;1,ROUND($F1782*1440,0),INT($F1782/100)*60+MOD($F1782,100)))</f>
        <v/>
      </c>
    </row>
    <row r="1783" customFormat="false" ht="15" hidden="false" customHeight="true" outlineLevel="0" collapsed="false">
      <c r="A1783" s="10"/>
      <c r="B1783" s="8"/>
      <c r="C1783" s="13" t="str">
        <f aca="false">IF($B1783="","",IFERROR(INDEX(직원목록!$B$3:$B$302,MATCH($B1783,직원목록!$A$3:$A$302,0)),"미등록사번"))</f>
        <v/>
      </c>
      <c r="D1783" s="13" t="str">
        <f aca="false">IF($B1783="","",IFERROR(INDEX(직원목록!$C$3:$C$302,MATCH($B1783,직원목록!$A$3:$A$302,0)),""))</f>
        <v/>
      </c>
      <c r="E1783" s="14"/>
      <c r="F1783" s="14"/>
      <c r="G1783" s="15"/>
      <c r="H1783" s="16" t="str">
        <f aca="false">IF(OR($K1783="",$L1783=""),"",ROUND(MAX(0,($L1783-$K1783)-IF($G1783="",0,$G1783))/60,2))</f>
        <v/>
      </c>
      <c r="I1783" s="8"/>
      <c r="J1783" s="8"/>
      <c r="K1783" s="17" t="str">
        <f aca="false">IF($E1783="","",IF($E1783&lt;1,ROUND($E1783*1440,0),INT($E1783/100)*60+MOD($E1783,100)))</f>
        <v/>
      </c>
      <c r="L1783" s="17" t="str">
        <f aca="false">IF($F1783="","",IF($F1783&lt;1,ROUND($F1783*1440,0),INT($F1783/100)*60+MOD($F1783,100)))</f>
        <v/>
      </c>
    </row>
    <row r="1784" customFormat="false" ht="15" hidden="false" customHeight="true" outlineLevel="0" collapsed="false">
      <c r="A1784" s="10"/>
      <c r="B1784" s="8"/>
      <c r="C1784" s="13" t="str">
        <f aca="false">IF($B1784="","",IFERROR(INDEX(직원목록!$B$3:$B$302,MATCH($B1784,직원목록!$A$3:$A$302,0)),"미등록사번"))</f>
        <v/>
      </c>
      <c r="D1784" s="13" t="str">
        <f aca="false">IF($B1784="","",IFERROR(INDEX(직원목록!$C$3:$C$302,MATCH($B1784,직원목록!$A$3:$A$302,0)),""))</f>
        <v/>
      </c>
      <c r="E1784" s="14"/>
      <c r="F1784" s="14"/>
      <c r="G1784" s="15"/>
      <c r="H1784" s="16" t="str">
        <f aca="false">IF(OR($K1784="",$L1784=""),"",ROUND(MAX(0,($L1784-$K1784)-IF($G1784="",0,$G1784))/60,2))</f>
        <v/>
      </c>
      <c r="I1784" s="8"/>
      <c r="J1784" s="8"/>
      <c r="K1784" s="17" t="str">
        <f aca="false">IF($E1784="","",IF($E1784&lt;1,ROUND($E1784*1440,0),INT($E1784/100)*60+MOD($E1784,100)))</f>
        <v/>
      </c>
      <c r="L1784" s="17" t="str">
        <f aca="false">IF($F1784="","",IF($F1784&lt;1,ROUND($F1784*1440,0),INT($F1784/100)*60+MOD($F1784,100)))</f>
        <v/>
      </c>
    </row>
    <row r="1785" customFormat="false" ht="15" hidden="false" customHeight="true" outlineLevel="0" collapsed="false">
      <c r="A1785" s="10"/>
      <c r="B1785" s="8"/>
      <c r="C1785" s="13" t="str">
        <f aca="false">IF($B1785="","",IFERROR(INDEX(직원목록!$B$3:$B$302,MATCH($B1785,직원목록!$A$3:$A$302,0)),"미등록사번"))</f>
        <v/>
      </c>
      <c r="D1785" s="13" t="str">
        <f aca="false">IF($B1785="","",IFERROR(INDEX(직원목록!$C$3:$C$302,MATCH($B1785,직원목록!$A$3:$A$302,0)),""))</f>
        <v/>
      </c>
      <c r="E1785" s="14"/>
      <c r="F1785" s="14"/>
      <c r="G1785" s="15"/>
      <c r="H1785" s="16" t="str">
        <f aca="false">IF(OR($K1785="",$L1785=""),"",ROUND(MAX(0,($L1785-$K1785)-IF($G1785="",0,$G1785))/60,2))</f>
        <v/>
      </c>
      <c r="I1785" s="8"/>
      <c r="J1785" s="8"/>
      <c r="K1785" s="17" t="str">
        <f aca="false">IF($E1785="","",IF($E1785&lt;1,ROUND($E1785*1440,0),INT($E1785/100)*60+MOD($E1785,100)))</f>
        <v/>
      </c>
      <c r="L1785" s="17" t="str">
        <f aca="false">IF($F1785="","",IF($F1785&lt;1,ROUND($F1785*1440,0),INT($F1785/100)*60+MOD($F1785,100)))</f>
        <v/>
      </c>
    </row>
    <row r="1786" customFormat="false" ht="15" hidden="false" customHeight="true" outlineLevel="0" collapsed="false">
      <c r="A1786" s="10"/>
      <c r="B1786" s="8"/>
      <c r="C1786" s="13" t="str">
        <f aca="false">IF($B1786="","",IFERROR(INDEX(직원목록!$B$3:$B$302,MATCH($B1786,직원목록!$A$3:$A$302,0)),"미등록사번"))</f>
        <v/>
      </c>
      <c r="D1786" s="13" t="str">
        <f aca="false">IF($B1786="","",IFERROR(INDEX(직원목록!$C$3:$C$302,MATCH($B1786,직원목록!$A$3:$A$302,0)),""))</f>
        <v/>
      </c>
      <c r="E1786" s="14"/>
      <c r="F1786" s="14"/>
      <c r="G1786" s="15"/>
      <c r="H1786" s="16" t="str">
        <f aca="false">IF(OR($K1786="",$L1786=""),"",ROUND(MAX(0,($L1786-$K1786)-IF($G1786="",0,$G1786))/60,2))</f>
        <v/>
      </c>
      <c r="I1786" s="8"/>
      <c r="J1786" s="8"/>
      <c r="K1786" s="17" t="str">
        <f aca="false">IF($E1786="","",IF($E1786&lt;1,ROUND($E1786*1440,0),INT($E1786/100)*60+MOD($E1786,100)))</f>
        <v/>
      </c>
      <c r="L1786" s="17" t="str">
        <f aca="false">IF($F1786="","",IF($F1786&lt;1,ROUND($F1786*1440,0),INT($F1786/100)*60+MOD($F1786,100)))</f>
        <v/>
      </c>
    </row>
    <row r="1787" customFormat="false" ht="15" hidden="false" customHeight="true" outlineLevel="0" collapsed="false">
      <c r="A1787" s="10"/>
      <c r="B1787" s="8"/>
      <c r="C1787" s="13" t="str">
        <f aca="false">IF($B1787="","",IFERROR(INDEX(직원목록!$B$3:$B$302,MATCH($B1787,직원목록!$A$3:$A$302,0)),"미등록사번"))</f>
        <v/>
      </c>
      <c r="D1787" s="13" t="str">
        <f aca="false">IF($B1787="","",IFERROR(INDEX(직원목록!$C$3:$C$302,MATCH($B1787,직원목록!$A$3:$A$302,0)),""))</f>
        <v/>
      </c>
      <c r="E1787" s="14"/>
      <c r="F1787" s="14"/>
      <c r="G1787" s="15"/>
      <c r="H1787" s="16" t="str">
        <f aca="false">IF(OR($K1787="",$L1787=""),"",ROUND(MAX(0,($L1787-$K1787)-IF($G1787="",0,$G1787))/60,2))</f>
        <v/>
      </c>
      <c r="I1787" s="8"/>
      <c r="J1787" s="8"/>
      <c r="K1787" s="17" t="str">
        <f aca="false">IF($E1787="","",IF($E1787&lt;1,ROUND($E1787*1440,0),INT($E1787/100)*60+MOD($E1787,100)))</f>
        <v/>
      </c>
      <c r="L1787" s="17" t="str">
        <f aca="false">IF($F1787="","",IF($F1787&lt;1,ROUND($F1787*1440,0),INT($F1787/100)*60+MOD($F1787,100)))</f>
        <v/>
      </c>
    </row>
    <row r="1788" customFormat="false" ht="15" hidden="false" customHeight="true" outlineLevel="0" collapsed="false">
      <c r="A1788" s="10"/>
      <c r="B1788" s="8"/>
      <c r="C1788" s="13" t="str">
        <f aca="false">IF($B1788="","",IFERROR(INDEX(직원목록!$B$3:$B$302,MATCH($B1788,직원목록!$A$3:$A$302,0)),"미등록사번"))</f>
        <v/>
      </c>
      <c r="D1788" s="13" t="str">
        <f aca="false">IF($B1788="","",IFERROR(INDEX(직원목록!$C$3:$C$302,MATCH($B1788,직원목록!$A$3:$A$302,0)),""))</f>
        <v/>
      </c>
      <c r="E1788" s="14"/>
      <c r="F1788" s="14"/>
      <c r="G1788" s="15"/>
      <c r="H1788" s="16" t="str">
        <f aca="false">IF(OR($K1788="",$L1788=""),"",ROUND(MAX(0,($L1788-$K1788)-IF($G1788="",0,$G1788))/60,2))</f>
        <v/>
      </c>
      <c r="I1788" s="8"/>
      <c r="J1788" s="8"/>
      <c r="K1788" s="17" t="str">
        <f aca="false">IF($E1788="","",IF($E1788&lt;1,ROUND($E1788*1440,0),INT($E1788/100)*60+MOD($E1788,100)))</f>
        <v/>
      </c>
      <c r="L1788" s="17" t="str">
        <f aca="false">IF($F1788="","",IF($F1788&lt;1,ROUND($F1788*1440,0),INT($F1788/100)*60+MOD($F1788,100)))</f>
        <v/>
      </c>
    </row>
    <row r="1789" customFormat="false" ht="15" hidden="false" customHeight="true" outlineLevel="0" collapsed="false">
      <c r="A1789" s="10"/>
      <c r="B1789" s="8"/>
      <c r="C1789" s="13" t="str">
        <f aca="false">IF($B1789="","",IFERROR(INDEX(직원목록!$B$3:$B$302,MATCH($B1789,직원목록!$A$3:$A$302,0)),"미등록사번"))</f>
        <v/>
      </c>
      <c r="D1789" s="13" t="str">
        <f aca="false">IF($B1789="","",IFERROR(INDEX(직원목록!$C$3:$C$302,MATCH($B1789,직원목록!$A$3:$A$302,0)),""))</f>
        <v/>
      </c>
      <c r="E1789" s="14"/>
      <c r="F1789" s="14"/>
      <c r="G1789" s="15"/>
      <c r="H1789" s="16" t="str">
        <f aca="false">IF(OR($K1789="",$L1789=""),"",ROUND(MAX(0,($L1789-$K1789)-IF($G1789="",0,$G1789))/60,2))</f>
        <v/>
      </c>
      <c r="I1789" s="8"/>
      <c r="J1789" s="8"/>
      <c r="K1789" s="17" t="str">
        <f aca="false">IF($E1789="","",IF($E1789&lt;1,ROUND($E1789*1440,0),INT($E1789/100)*60+MOD($E1789,100)))</f>
        <v/>
      </c>
      <c r="L1789" s="17" t="str">
        <f aca="false">IF($F1789="","",IF($F1789&lt;1,ROUND($F1789*1440,0),INT($F1789/100)*60+MOD($F1789,100)))</f>
        <v/>
      </c>
    </row>
    <row r="1790" customFormat="false" ht="15" hidden="false" customHeight="true" outlineLevel="0" collapsed="false">
      <c r="A1790" s="10"/>
      <c r="B1790" s="8"/>
      <c r="C1790" s="13" t="str">
        <f aca="false">IF($B1790="","",IFERROR(INDEX(직원목록!$B$3:$B$302,MATCH($B1790,직원목록!$A$3:$A$302,0)),"미등록사번"))</f>
        <v/>
      </c>
      <c r="D1790" s="13" t="str">
        <f aca="false">IF($B1790="","",IFERROR(INDEX(직원목록!$C$3:$C$302,MATCH($B1790,직원목록!$A$3:$A$302,0)),""))</f>
        <v/>
      </c>
      <c r="E1790" s="14"/>
      <c r="F1790" s="14"/>
      <c r="G1790" s="15"/>
      <c r="H1790" s="16" t="str">
        <f aca="false">IF(OR($K1790="",$L1790=""),"",ROUND(MAX(0,($L1790-$K1790)-IF($G1790="",0,$G1790))/60,2))</f>
        <v/>
      </c>
      <c r="I1790" s="8"/>
      <c r="J1790" s="8"/>
      <c r="K1790" s="17" t="str">
        <f aca="false">IF($E1790="","",IF($E1790&lt;1,ROUND($E1790*1440,0),INT($E1790/100)*60+MOD($E1790,100)))</f>
        <v/>
      </c>
      <c r="L1790" s="17" t="str">
        <f aca="false">IF($F1790="","",IF($F1790&lt;1,ROUND($F1790*1440,0),INT($F1790/100)*60+MOD($F1790,100)))</f>
        <v/>
      </c>
    </row>
    <row r="1791" customFormat="false" ht="15" hidden="false" customHeight="true" outlineLevel="0" collapsed="false">
      <c r="A1791" s="10"/>
      <c r="B1791" s="8"/>
      <c r="C1791" s="13" t="str">
        <f aca="false">IF($B1791="","",IFERROR(INDEX(직원목록!$B$3:$B$302,MATCH($B1791,직원목록!$A$3:$A$302,0)),"미등록사번"))</f>
        <v/>
      </c>
      <c r="D1791" s="13" t="str">
        <f aca="false">IF($B1791="","",IFERROR(INDEX(직원목록!$C$3:$C$302,MATCH($B1791,직원목록!$A$3:$A$302,0)),""))</f>
        <v/>
      </c>
      <c r="E1791" s="14"/>
      <c r="F1791" s="14"/>
      <c r="G1791" s="15"/>
      <c r="H1791" s="16" t="str">
        <f aca="false">IF(OR($K1791="",$L1791=""),"",ROUND(MAX(0,($L1791-$K1791)-IF($G1791="",0,$G1791))/60,2))</f>
        <v/>
      </c>
      <c r="I1791" s="8"/>
      <c r="J1791" s="8"/>
      <c r="K1791" s="17" t="str">
        <f aca="false">IF($E1791="","",IF($E1791&lt;1,ROUND($E1791*1440,0),INT($E1791/100)*60+MOD($E1791,100)))</f>
        <v/>
      </c>
      <c r="L1791" s="17" t="str">
        <f aca="false">IF($F1791="","",IF($F1791&lt;1,ROUND($F1791*1440,0),INT($F1791/100)*60+MOD($F1791,100)))</f>
        <v/>
      </c>
    </row>
    <row r="1792" customFormat="false" ht="15" hidden="false" customHeight="true" outlineLevel="0" collapsed="false">
      <c r="A1792" s="10"/>
      <c r="B1792" s="8"/>
      <c r="C1792" s="13" t="str">
        <f aca="false">IF($B1792="","",IFERROR(INDEX(직원목록!$B$3:$B$302,MATCH($B1792,직원목록!$A$3:$A$302,0)),"미등록사번"))</f>
        <v/>
      </c>
      <c r="D1792" s="13" t="str">
        <f aca="false">IF($B1792="","",IFERROR(INDEX(직원목록!$C$3:$C$302,MATCH($B1792,직원목록!$A$3:$A$302,0)),""))</f>
        <v/>
      </c>
      <c r="E1792" s="14"/>
      <c r="F1792" s="14"/>
      <c r="G1792" s="15"/>
      <c r="H1792" s="16" t="str">
        <f aca="false">IF(OR($K1792="",$L1792=""),"",ROUND(MAX(0,($L1792-$K1792)-IF($G1792="",0,$G1792))/60,2))</f>
        <v/>
      </c>
      <c r="I1792" s="8"/>
      <c r="J1792" s="8"/>
      <c r="K1792" s="17" t="str">
        <f aca="false">IF($E1792="","",IF($E1792&lt;1,ROUND($E1792*1440,0),INT($E1792/100)*60+MOD($E1792,100)))</f>
        <v/>
      </c>
      <c r="L1792" s="17" t="str">
        <f aca="false">IF($F1792="","",IF($F1792&lt;1,ROUND($F1792*1440,0),INT($F1792/100)*60+MOD($F1792,100)))</f>
        <v/>
      </c>
    </row>
    <row r="1793" customFormat="false" ht="15" hidden="false" customHeight="true" outlineLevel="0" collapsed="false">
      <c r="A1793" s="10"/>
      <c r="B1793" s="8"/>
      <c r="C1793" s="13" t="str">
        <f aca="false">IF($B1793="","",IFERROR(INDEX(직원목록!$B$3:$B$302,MATCH($B1793,직원목록!$A$3:$A$302,0)),"미등록사번"))</f>
        <v/>
      </c>
      <c r="D1793" s="13" t="str">
        <f aca="false">IF($B1793="","",IFERROR(INDEX(직원목록!$C$3:$C$302,MATCH($B1793,직원목록!$A$3:$A$302,0)),""))</f>
        <v/>
      </c>
      <c r="E1793" s="14"/>
      <c r="F1793" s="14"/>
      <c r="G1793" s="15"/>
      <c r="H1793" s="16" t="str">
        <f aca="false">IF(OR($K1793="",$L1793=""),"",ROUND(MAX(0,($L1793-$K1793)-IF($G1793="",0,$G1793))/60,2))</f>
        <v/>
      </c>
      <c r="I1793" s="8"/>
      <c r="J1793" s="8"/>
      <c r="K1793" s="17" t="str">
        <f aca="false">IF($E1793="","",IF($E1793&lt;1,ROUND($E1793*1440,0),INT($E1793/100)*60+MOD($E1793,100)))</f>
        <v/>
      </c>
      <c r="L1793" s="17" t="str">
        <f aca="false">IF($F1793="","",IF($F1793&lt;1,ROUND($F1793*1440,0),INT($F1793/100)*60+MOD($F1793,100)))</f>
        <v/>
      </c>
    </row>
    <row r="1794" customFormat="false" ht="15" hidden="false" customHeight="true" outlineLevel="0" collapsed="false">
      <c r="A1794" s="10"/>
      <c r="B1794" s="8"/>
      <c r="C1794" s="13" t="str">
        <f aca="false">IF($B1794="","",IFERROR(INDEX(직원목록!$B$3:$B$302,MATCH($B1794,직원목록!$A$3:$A$302,0)),"미등록사번"))</f>
        <v/>
      </c>
      <c r="D1794" s="13" t="str">
        <f aca="false">IF($B1794="","",IFERROR(INDEX(직원목록!$C$3:$C$302,MATCH($B1794,직원목록!$A$3:$A$302,0)),""))</f>
        <v/>
      </c>
      <c r="E1794" s="14"/>
      <c r="F1794" s="14"/>
      <c r="G1794" s="15"/>
      <c r="H1794" s="16" t="str">
        <f aca="false">IF(OR($K1794="",$L1794=""),"",ROUND(MAX(0,($L1794-$K1794)-IF($G1794="",0,$G1794))/60,2))</f>
        <v/>
      </c>
      <c r="I1794" s="8"/>
      <c r="J1794" s="8"/>
      <c r="K1794" s="17" t="str">
        <f aca="false">IF($E1794="","",IF($E1794&lt;1,ROUND($E1794*1440,0),INT($E1794/100)*60+MOD($E1794,100)))</f>
        <v/>
      </c>
      <c r="L1794" s="17" t="str">
        <f aca="false">IF($F1794="","",IF($F1794&lt;1,ROUND($F1794*1440,0),INT($F1794/100)*60+MOD($F1794,100)))</f>
        <v/>
      </c>
    </row>
    <row r="1795" customFormat="false" ht="15" hidden="false" customHeight="true" outlineLevel="0" collapsed="false">
      <c r="A1795" s="10"/>
      <c r="B1795" s="8"/>
      <c r="C1795" s="13" t="str">
        <f aca="false">IF($B1795="","",IFERROR(INDEX(직원목록!$B$3:$B$302,MATCH($B1795,직원목록!$A$3:$A$302,0)),"미등록사번"))</f>
        <v/>
      </c>
      <c r="D1795" s="13" t="str">
        <f aca="false">IF($B1795="","",IFERROR(INDEX(직원목록!$C$3:$C$302,MATCH($B1795,직원목록!$A$3:$A$302,0)),""))</f>
        <v/>
      </c>
      <c r="E1795" s="14"/>
      <c r="F1795" s="14"/>
      <c r="G1795" s="15"/>
      <c r="H1795" s="16" t="str">
        <f aca="false">IF(OR($K1795="",$L1795=""),"",ROUND(MAX(0,($L1795-$K1795)-IF($G1795="",0,$G1795))/60,2))</f>
        <v/>
      </c>
      <c r="I1795" s="8"/>
      <c r="J1795" s="8"/>
      <c r="K1795" s="17" t="str">
        <f aca="false">IF($E1795="","",IF($E1795&lt;1,ROUND($E1795*1440,0),INT($E1795/100)*60+MOD($E1795,100)))</f>
        <v/>
      </c>
      <c r="L1795" s="17" t="str">
        <f aca="false">IF($F1795="","",IF($F1795&lt;1,ROUND($F1795*1440,0),INT($F1795/100)*60+MOD($F1795,100)))</f>
        <v/>
      </c>
    </row>
    <row r="1796" customFormat="false" ht="15" hidden="false" customHeight="true" outlineLevel="0" collapsed="false">
      <c r="A1796" s="10"/>
      <c r="B1796" s="8"/>
      <c r="C1796" s="13" t="str">
        <f aca="false">IF($B1796="","",IFERROR(INDEX(직원목록!$B$3:$B$302,MATCH($B1796,직원목록!$A$3:$A$302,0)),"미등록사번"))</f>
        <v/>
      </c>
      <c r="D1796" s="13" t="str">
        <f aca="false">IF($B1796="","",IFERROR(INDEX(직원목록!$C$3:$C$302,MATCH($B1796,직원목록!$A$3:$A$302,0)),""))</f>
        <v/>
      </c>
      <c r="E1796" s="14"/>
      <c r="F1796" s="14"/>
      <c r="G1796" s="15"/>
      <c r="H1796" s="16" t="str">
        <f aca="false">IF(OR($K1796="",$L1796=""),"",ROUND(MAX(0,($L1796-$K1796)-IF($G1796="",0,$G1796))/60,2))</f>
        <v/>
      </c>
      <c r="I1796" s="8"/>
      <c r="J1796" s="8"/>
      <c r="K1796" s="17" t="str">
        <f aca="false">IF($E1796="","",IF($E1796&lt;1,ROUND($E1796*1440,0),INT($E1796/100)*60+MOD($E1796,100)))</f>
        <v/>
      </c>
      <c r="L1796" s="17" t="str">
        <f aca="false">IF($F1796="","",IF($F1796&lt;1,ROUND($F1796*1440,0),INT($F1796/100)*60+MOD($F1796,100)))</f>
        <v/>
      </c>
    </row>
    <row r="1797" customFormat="false" ht="15" hidden="false" customHeight="true" outlineLevel="0" collapsed="false">
      <c r="A1797" s="10"/>
      <c r="B1797" s="8"/>
      <c r="C1797" s="13" t="str">
        <f aca="false">IF($B1797="","",IFERROR(INDEX(직원목록!$B$3:$B$302,MATCH($B1797,직원목록!$A$3:$A$302,0)),"미등록사번"))</f>
        <v/>
      </c>
      <c r="D1797" s="13" t="str">
        <f aca="false">IF($B1797="","",IFERROR(INDEX(직원목록!$C$3:$C$302,MATCH($B1797,직원목록!$A$3:$A$302,0)),""))</f>
        <v/>
      </c>
      <c r="E1797" s="14"/>
      <c r="F1797" s="14"/>
      <c r="G1797" s="15"/>
      <c r="H1797" s="16" t="str">
        <f aca="false">IF(OR($K1797="",$L1797=""),"",ROUND(MAX(0,($L1797-$K1797)-IF($G1797="",0,$G1797))/60,2))</f>
        <v/>
      </c>
      <c r="I1797" s="8"/>
      <c r="J1797" s="8"/>
      <c r="K1797" s="17" t="str">
        <f aca="false">IF($E1797="","",IF($E1797&lt;1,ROUND($E1797*1440,0),INT($E1797/100)*60+MOD($E1797,100)))</f>
        <v/>
      </c>
      <c r="L1797" s="17" t="str">
        <f aca="false">IF($F1797="","",IF($F1797&lt;1,ROUND($F1797*1440,0),INT($F1797/100)*60+MOD($F1797,100)))</f>
        <v/>
      </c>
    </row>
    <row r="1798" customFormat="false" ht="15" hidden="false" customHeight="true" outlineLevel="0" collapsed="false">
      <c r="A1798" s="10"/>
      <c r="B1798" s="8"/>
      <c r="C1798" s="13" t="str">
        <f aca="false">IF($B1798="","",IFERROR(INDEX(직원목록!$B$3:$B$302,MATCH($B1798,직원목록!$A$3:$A$302,0)),"미등록사번"))</f>
        <v/>
      </c>
      <c r="D1798" s="13" t="str">
        <f aca="false">IF($B1798="","",IFERROR(INDEX(직원목록!$C$3:$C$302,MATCH($B1798,직원목록!$A$3:$A$302,0)),""))</f>
        <v/>
      </c>
      <c r="E1798" s="14"/>
      <c r="F1798" s="14"/>
      <c r="G1798" s="15"/>
      <c r="H1798" s="16" t="str">
        <f aca="false">IF(OR($K1798="",$L1798=""),"",ROUND(MAX(0,($L1798-$K1798)-IF($G1798="",0,$G1798))/60,2))</f>
        <v/>
      </c>
      <c r="I1798" s="8"/>
      <c r="J1798" s="8"/>
      <c r="K1798" s="17" t="str">
        <f aca="false">IF($E1798="","",IF($E1798&lt;1,ROUND($E1798*1440,0),INT($E1798/100)*60+MOD($E1798,100)))</f>
        <v/>
      </c>
      <c r="L1798" s="17" t="str">
        <f aca="false">IF($F1798="","",IF($F1798&lt;1,ROUND($F1798*1440,0),INT($F1798/100)*60+MOD($F1798,100)))</f>
        <v/>
      </c>
    </row>
    <row r="1799" customFormat="false" ht="15" hidden="false" customHeight="true" outlineLevel="0" collapsed="false">
      <c r="A1799" s="10"/>
      <c r="B1799" s="8"/>
      <c r="C1799" s="13" t="str">
        <f aca="false">IF($B1799="","",IFERROR(INDEX(직원목록!$B$3:$B$302,MATCH($B1799,직원목록!$A$3:$A$302,0)),"미등록사번"))</f>
        <v/>
      </c>
      <c r="D1799" s="13" t="str">
        <f aca="false">IF($B1799="","",IFERROR(INDEX(직원목록!$C$3:$C$302,MATCH($B1799,직원목록!$A$3:$A$302,0)),""))</f>
        <v/>
      </c>
      <c r="E1799" s="14"/>
      <c r="F1799" s="14"/>
      <c r="G1799" s="15"/>
      <c r="H1799" s="16" t="str">
        <f aca="false">IF(OR($K1799="",$L1799=""),"",ROUND(MAX(0,($L1799-$K1799)-IF($G1799="",0,$G1799))/60,2))</f>
        <v/>
      </c>
      <c r="I1799" s="8"/>
      <c r="J1799" s="8"/>
      <c r="K1799" s="17" t="str">
        <f aca="false">IF($E1799="","",IF($E1799&lt;1,ROUND($E1799*1440,0),INT($E1799/100)*60+MOD($E1799,100)))</f>
        <v/>
      </c>
      <c r="L1799" s="17" t="str">
        <f aca="false">IF($F1799="","",IF($F1799&lt;1,ROUND($F1799*1440,0),INT($F1799/100)*60+MOD($F1799,100)))</f>
        <v/>
      </c>
    </row>
    <row r="1800" customFormat="false" ht="15" hidden="false" customHeight="true" outlineLevel="0" collapsed="false">
      <c r="A1800" s="10"/>
      <c r="B1800" s="8"/>
      <c r="C1800" s="13" t="str">
        <f aca="false">IF($B1800="","",IFERROR(INDEX(직원목록!$B$3:$B$302,MATCH($B1800,직원목록!$A$3:$A$302,0)),"미등록사번"))</f>
        <v/>
      </c>
      <c r="D1800" s="13" t="str">
        <f aca="false">IF($B1800="","",IFERROR(INDEX(직원목록!$C$3:$C$302,MATCH($B1800,직원목록!$A$3:$A$302,0)),""))</f>
        <v/>
      </c>
      <c r="E1800" s="14"/>
      <c r="F1800" s="14"/>
      <c r="G1800" s="15"/>
      <c r="H1800" s="16" t="str">
        <f aca="false">IF(OR($K1800="",$L1800=""),"",ROUND(MAX(0,($L1800-$K1800)-IF($G1800="",0,$G1800))/60,2))</f>
        <v/>
      </c>
      <c r="I1800" s="8"/>
      <c r="J1800" s="8"/>
      <c r="K1800" s="17" t="str">
        <f aca="false">IF($E1800="","",IF($E1800&lt;1,ROUND($E1800*1440,0),INT($E1800/100)*60+MOD($E1800,100)))</f>
        <v/>
      </c>
      <c r="L1800" s="17" t="str">
        <f aca="false">IF($F1800="","",IF($F1800&lt;1,ROUND($F1800*1440,0),INT($F1800/100)*60+MOD($F1800,100)))</f>
        <v/>
      </c>
    </row>
    <row r="1801" customFormat="false" ht="15" hidden="false" customHeight="true" outlineLevel="0" collapsed="false">
      <c r="A1801" s="10"/>
      <c r="B1801" s="8"/>
      <c r="C1801" s="13" t="str">
        <f aca="false">IF($B1801="","",IFERROR(INDEX(직원목록!$B$3:$B$302,MATCH($B1801,직원목록!$A$3:$A$302,0)),"미등록사번"))</f>
        <v/>
      </c>
      <c r="D1801" s="13" t="str">
        <f aca="false">IF($B1801="","",IFERROR(INDEX(직원목록!$C$3:$C$302,MATCH($B1801,직원목록!$A$3:$A$302,0)),""))</f>
        <v/>
      </c>
      <c r="E1801" s="14"/>
      <c r="F1801" s="14"/>
      <c r="G1801" s="15"/>
      <c r="H1801" s="16" t="str">
        <f aca="false">IF(OR($K1801="",$L1801=""),"",ROUND(MAX(0,($L1801-$K1801)-IF($G1801="",0,$G1801))/60,2))</f>
        <v/>
      </c>
      <c r="I1801" s="8"/>
      <c r="J1801" s="8"/>
      <c r="K1801" s="17" t="str">
        <f aca="false">IF($E1801="","",IF($E1801&lt;1,ROUND($E1801*1440,0),INT($E1801/100)*60+MOD($E1801,100)))</f>
        <v/>
      </c>
      <c r="L1801" s="17" t="str">
        <f aca="false">IF($F1801="","",IF($F1801&lt;1,ROUND($F1801*1440,0),INT($F1801/100)*60+MOD($F1801,100)))</f>
        <v/>
      </c>
    </row>
    <row r="1802" customFormat="false" ht="15" hidden="false" customHeight="true" outlineLevel="0" collapsed="false">
      <c r="A1802" s="10"/>
      <c r="B1802" s="8"/>
      <c r="C1802" s="13" t="str">
        <f aca="false">IF($B1802="","",IFERROR(INDEX(직원목록!$B$3:$B$302,MATCH($B1802,직원목록!$A$3:$A$302,0)),"미등록사번"))</f>
        <v/>
      </c>
      <c r="D1802" s="13" t="str">
        <f aca="false">IF($B1802="","",IFERROR(INDEX(직원목록!$C$3:$C$302,MATCH($B1802,직원목록!$A$3:$A$302,0)),""))</f>
        <v/>
      </c>
      <c r="E1802" s="14"/>
      <c r="F1802" s="14"/>
      <c r="G1802" s="15"/>
      <c r="H1802" s="16" t="str">
        <f aca="false">IF(OR($K1802="",$L1802=""),"",ROUND(MAX(0,($L1802-$K1802)-IF($G1802="",0,$G1802))/60,2))</f>
        <v/>
      </c>
      <c r="I1802" s="8"/>
      <c r="J1802" s="8"/>
      <c r="K1802" s="17" t="str">
        <f aca="false">IF($E1802="","",IF($E1802&lt;1,ROUND($E1802*1440,0),INT($E1802/100)*60+MOD($E1802,100)))</f>
        <v/>
      </c>
      <c r="L1802" s="17" t="str">
        <f aca="false">IF($F1802="","",IF($F1802&lt;1,ROUND($F1802*1440,0),INT($F1802/100)*60+MOD($F1802,100)))</f>
        <v/>
      </c>
    </row>
    <row r="1803" customFormat="false" ht="15" hidden="false" customHeight="true" outlineLevel="0" collapsed="false">
      <c r="A1803" s="10"/>
      <c r="B1803" s="8"/>
      <c r="C1803" s="13" t="str">
        <f aca="false">IF($B1803="","",IFERROR(INDEX(직원목록!$B$3:$B$302,MATCH($B1803,직원목록!$A$3:$A$302,0)),"미등록사번"))</f>
        <v/>
      </c>
      <c r="D1803" s="13" t="str">
        <f aca="false">IF($B1803="","",IFERROR(INDEX(직원목록!$C$3:$C$302,MATCH($B1803,직원목록!$A$3:$A$302,0)),""))</f>
        <v/>
      </c>
      <c r="E1803" s="14"/>
      <c r="F1803" s="14"/>
      <c r="G1803" s="15"/>
      <c r="H1803" s="16" t="str">
        <f aca="false">IF(OR($K1803="",$L1803=""),"",ROUND(MAX(0,($L1803-$K1803)-IF($G1803="",0,$G1803))/60,2))</f>
        <v/>
      </c>
      <c r="I1803" s="8"/>
      <c r="J1803" s="8"/>
      <c r="K1803" s="17" t="str">
        <f aca="false">IF($E1803="","",IF($E1803&lt;1,ROUND($E1803*1440,0),INT($E1803/100)*60+MOD($E1803,100)))</f>
        <v/>
      </c>
      <c r="L1803" s="17" t="str">
        <f aca="false">IF($F1803="","",IF($F1803&lt;1,ROUND($F1803*1440,0),INT($F1803/100)*60+MOD($F1803,100)))</f>
        <v/>
      </c>
    </row>
    <row r="1804" customFormat="false" ht="15" hidden="false" customHeight="true" outlineLevel="0" collapsed="false">
      <c r="A1804" s="10"/>
      <c r="B1804" s="8"/>
      <c r="C1804" s="13" t="str">
        <f aca="false">IF($B1804="","",IFERROR(INDEX(직원목록!$B$3:$B$302,MATCH($B1804,직원목록!$A$3:$A$302,0)),"미등록사번"))</f>
        <v/>
      </c>
      <c r="D1804" s="13" t="str">
        <f aca="false">IF($B1804="","",IFERROR(INDEX(직원목록!$C$3:$C$302,MATCH($B1804,직원목록!$A$3:$A$302,0)),""))</f>
        <v/>
      </c>
      <c r="E1804" s="14"/>
      <c r="F1804" s="14"/>
      <c r="G1804" s="15"/>
      <c r="H1804" s="16" t="str">
        <f aca="false">IF(OR($K1804="",$L1804=""),"",ROUND(MAX(0,($L1804-$K1804)-IF($G1804="",0,$G1804))/60,2))</f>
        <v/>
      </c>
      <c r="I1804" s="8"/>
      <c r="J1804" s="8"/>
      <c r="K1804" s="17" t="str">
        <f aca="false">IF($E1804="","",IF($E1804&lt;1,ROUND($E1804*1440,0),INT($E1804/100)*60+MOD($E1804,100)))</f>
        <v/>
      </c>
      <c r="L1804" s="17" t="str">
        <f aca="false">IF($F1804="","",IF($F1804&lt;1,ROUND($F1804*1440,0),INT($F1804/100)*60+MOD($F1804,100)))</f>
        <v/>
      </c>
    </row>
    <row r="1805" customFormat="false" ht="15" hidden="false" customHeight="true" outlineLevel="0" collapsed="false">
      <c r="A1805" s="10"/>
      <c r="B1805" s="8"/>
      <c r="C1805" s="13" t="str">
        <f aca="false">IF($B1805="","",IFERROR(INDEX(직원목록!$B$3:$B$302,MATCH($B1805,직원목록!$A$3:$A$302,0)),"미등록사번"))</f>
        <v/>
      </c>
      <c r="D1805" s="13" t="str">
        <f aca="false">IF($B1805="","",IFERROR(INDEX(직원목록!$C$3:$C$302,MATCH($B1805,직원목록!$A$3:$A$302,0)),""))</f>
        <v/>
      </c>
      <c r="E1805" s="14"/>
      <c r="F1805" s="14"/>
      <c r="G1805" s="15"/>
      <c r="H1805" s="16" t="str">
        <f aca="false">IF(OR($K1805="",$L1805=""),"",ROUND(MAX(0,($L1805-$K1805)-IF($G1805="",0,$G1805))/60,2))</f>
        <v/>
      </c>
      <c r="I1805" s="8"/>
      <c r="J1805" s="8"/>
      <c r="K1805" s="17" t="str">
        <f aca="false">IF($E1805="","",IF($E1805&lt;1,ROUND($E1805*1440,0),INT($E1805/100)*60+MOD($E1805,100)))</f>
        <v/>
      </c>
      <c r="L1805" s="17" t="str">
        <f aca="false">IF($F1805="","",IF($F1805&lt;1,ROUND($F1805*1440,0),INT($F1805/100)*60+MOD($F1805,100)))</f>
        <v/>
      </c>
    </row>
    <row r="1806" customFormat="false" ht="15" hidden="false" customHeight="true" outlineLevel="0" collapsed="false">
      <c r="A1806" s="10"/>
      <c r="B1806" s="8"/>
      <c r="C1806" s="13" t="str">
        <f aca="false">IF($B1806="","",IFERROR(INDEX(직원목록!$B$3:$B$302,MATCH($B1806,직원목록!$A$3:$A$302,0)),"미등록사번"))</f>
        <v/>
      </c>
      <c r="D1806" s="13" t="str">
        <f aca="false">IF($B1806="","",IFERROR(INDEX(직원목록!$C$3:$C$302,MATCH($B1806,직원목록!$A$3:$A$302,0)),""))</f>
        <v/>
      </c>
      <c r="E1806" s="14"/>
      <c r="F1806" s="14"/>
      <c r="G1806" s="15"/>
      <c r="H1806" s="16" t="str">
        <f aca="false">IF(OR($K1806="",$L1806=""),"",ROUND(MAX(0,($L1806-$K1806)-IF($G1806="",0,$G1806))/60,2))</f>
        <v/>
      </c>
      <c r="I1806" s="8"/>
      <c r="J1806" s="8"/>
      <c r="K1806" s="17" t="str">
        <f aca="false">IF($E1806="","",IF($E1806&lt;1,ROUND($E1806*1440,0),INT($E1806/100)*60+MOD($E1806,100)))</f>
        <v/>
      </c>
      <c r="L1806" s="17" t="str">
        <f aca="false">IF($F1806="","",IF($F1806&lt;1,ROUND($F1806*1440,0),INT($F1806/100)*60+MOD($F1806,100)))</f>
        <v/>
      </c>
    </row>
    <row r="1807" customFormat="false" ht="15" hidden="false" customHeight="true" outlineLevel="0" collapsed="false">
      <c r="A1807" s="10"/>
      <c r="B1807" s="8"/>
      <c r="C1807" s="13" t="str">
        <f aca="false">IF($B1807="","",IFERROR(INDEX(직원목록!$B$3:$B$302,MATCH($B1807,직원목록!$A$3:$A$302,0)),"미등록사번"))</f>
        <v/>
      </c>
      <c r="D1807" s="13" t="str">
        <f aca="false">IF($B1807="","",IFERROR(INDEX(직원목록!$C$3:$C$302,MATCH($B1807,직원목록!$A$3:$A$302,0)),""))</f>
        <v/>
      </c>
      <c r="E1807" s="14"/>
      <c r="F1807" s="14"/>
      <c r="G1807" s="15"/>
      <c r="H1807" s="16" t="str">
        <f aca="false">IF(OR($K1807="",$L1807=""),"",ROUND(MAX(0,($L1807-$K1807)-IF($G1807="",0,$G1807))/60,2))</f>
        <v/>
      </c>
      <c r="I1807" s="8"/>
      <c r="J1807" s="8"/>
      <c r="K1807" s="17" t="str">
        <f aca="false">IF($E1807="","",IF($E1807&lt;1,ROUND($E1807*1440,0),INT($E1807/100)*60+MOD($E1807,100)))</f>
        <v/>
      </c>
      <c r="L1807" s="17" t="str">
        <f aca="false">IF($F1807="","",IF($F1807&lt;1,ROUND($F1807*1440,0),INT($F1807/100)*60+MOD($F1807,100)))</f>
        <v/>
      </c>
    </row>
    <row r="1808" customFormat="false" ht="15" hidden="false" customHeight="true" outlineLevel="0" collapsed="false">
      <c r="A1808" s="10"/>
      <c r="B1808" s="8"/>
      <c r="C1808" s="13" t="str">
        <f aca="false">IF($B1808="","",IFERROR(INDEX(직원목록!$B$3:$B$302,MATCH($B1808,직원목록!$A$3:$A$302,0)),"미등록사번"))</f>
        <v/>
      </c>
      <c r="D1808" s="13" t="str">
        <f aca="false">IF($B1808="","",IFERROR(INDEX(직원목록!$C$3:$C$302,MATCH($B1808,직원목록!$A$3:$A$302,0)),""))</f>
        <v/>
      </c>
      <c r="E1808" s="14"/>
      <c r="F1808" s="14"/>
      <c r="G1808" s="15"/>
      <c r="H1808" s="16" t="str">
        <f aca="false">IF(OR($K1808="",$L1808=""),"",ROUND(MAX(0,($L1808-$K1808)-IF($G1808="",0,$G1808))/60,2))</f>
        <v/>
      </c>
      <c r="I1808" s="8"/>
      <c r="J1808" s="8"/>
      <c r="K1808" s="17" t="str">
        <f aca="false">IF($E1808="","",IF($E1808&lt;1,ROUND($E1808*1440,0),INT($E1808/100)*60+MOD($E1808,100)))</f>
        <v/>
      </c>
      <c r="L1808" s="17" t="str">
        <f aca="false">IF($F1808="","",IF($F1808&lt;1,ROUND($F1808*1440,0),INT($F1808/100)*60+MOD($F1808,100)))</f>
        <v/>
      </c>
    </row>
    <row r="1809" customFormat="false" ht="15" hidden="false" customHeight="true" outlineLevel="0" collapsed="false">
      <c r="A1809" s="10"/>
      <c r="B1809" s="8"/>
      <c r="C1809" s="13" t="str">
        <f aca="false">IF($B1809="","",IFERROR(INDEX(직원목록!$B$3:$B$302,MATCH($B1809,직원목록!$A$3:$A$302,0)),"미등록사번"))</f>
        <v/>
      </c>
      <c r="D1809" s="13" t="str">
        <f aca="false">IF($B1809="","",IFERROR(INDEX(직원목록!$C$3:$C$302,MATCH($B1809,직원목록!$A$3:$A$302,0)),""))</f>
        <v/>
      </c>
      <c r="E1809" s="14"/>
      <c r="F1809" s="14"/>
      <c r="G1809" s="15"/>
      <c r="H1809" s="16" t="str">
        <f aca="false">IF(OR($K1809="",$L1809=""),"",ROUND(MAX(0,($L1809-$K1809)-IF($G1809="",0,$G1809))/60,2))</f>
        <v/>
      </c>
      <c r="I1809" s="8"/>
      <c r="J1809" s="8"/>
      <c r="K1809" s="17" t="str">
        <f aca="false">IF($E1809="","",IF($E1809&lt;1,ROUND($E1809*1440,0),INT($E1809/100)*60+MOD($E1809,100)))</f>
        <v/>
      </c>
      <c r="L1809" s="17" t="str">
        <f aca="false">IF($F1809="","",IF($F1809&lt;1,ROUND($F1809*1440,0),INT($F1809/100)*60+MOD($F1809,100)))</f>
        <v/>
      </c>
    </row>
    <row r="1810" customFormat="false" ht="15" hidden="false" customHeight="true" outlineLevel="0" collapsed="false">
      <c r="A1810" s="10"/>
      <c r="B1810" s="8"/>
      <c r="C1810" s="13" t="str">
        <f aca="false">IF($B1810="","",IFERROR(INDEX(직원목록!$B$3:$B$302,MATCH($B1810,직원목록!$A$3:$A$302,0)),"미등록사번"))</f>
        <v/>
      </c>
      <c r="D1810" s="13" t="str">
        <f aca="false">IF($B1810="","",IFERROR(INDEX(직원목록!$C$3:$C$302,MATCH($B1810,직원목록!$A$3:$A$302,0)),""))</f>
        <v/>
      </c>
      <c r="E1810" s="14"/>
      <c r="F1810" s="14"/>
      <c r="G1810" s="15"/>
      <c r="H1810" s="16" t="str">
        <f aca="false">IF(OR($K1810="",$L1810=""),"",ROUND(MAX(0,($L1810-$K1810)-IF($G1810="",0,$G1810))/60,2))</f>
        <v/>
      </c>
      <c r="I1810" s="8"/>
      <c r="J1810" s="8"/>
      <c r="K1810" s="17" t="str">
        <f aca="false">IF($E1810="","",IF($E1810&lt;1,ROUND($E1810*1440,0),INT($E1810/100)*60+MOD($E1810,100)))</f>
        <v/>
      </c>
      <c r="L1810" s="17" t="str">
        <f aca="false">IF($F1810="","",IF($F1810&lt;1,ROUND($F1810*1440,0),INT($F1810/100)*60+MOD($F1810,100)))</f>
        <v/>
      </c>
    </row>
    <row r="1811" customFormat="false" ht="15" hidden="false" customHeight="true" outlineLevel="0" collapsed="false">
      <c r="A1811" s="10"/>
      <c r="B1811" s="8"/>
      <c r="C1811" s="13" t="str">
        <f aca="false">IF($B1811="","",IFERROR(INDEX(직원목록!$B$3:$B$302,MATCH($B1811,직원목록!$A$3:$A$302,0)),"미등록사번"))</f>
        <v/>
      </c>
      <c r="D1811" s="13" t="str">
        <f aca="false">IF($B1811="","",IFERROR(INDEX(직원목록!$C$3:$C$302,MATCH($B1811,직원목록!$A$3:$A$302,0)),""))</f>
        <v/>
      </c>
      <c r="E1811" s="14"/>
      <c r="F1811" s="14"/>
      <c r="G1811" s="15"/>
      <c r="H1811" s="16" t="str">
        <f aca="false">IF(OR($K1811="",$L1811=""),"",ROUND(MAX(0,($L1811-$K1811)-IF($G1811="",0,$G1811))/60,2))</f>
        <v/>
      </c>
      <c r="I1811" s="8"/>
      <c r="J1811" s="8"/>
      <c r="K1811" s="17" t="str">
        <f aca="false">IF($E1811="","",IF($E1811&lt;1,ROUND($E1811*1440,0),INT($E1811/100)*60+MOD($E1811,100)))</f>
        <v/>
      </c>
      <c r="L1811" s="17" t="str">
        <f aca="false">IF($F1811="","",IF($F1811&lt;1,ROUND($F1811*1440,0),INT($F1811/100)*60+MOD($F1811,100)))</f>
        <v/>
      </c>
    </row>
    <row r="1812" customFormat="false" ht="15" hidden="false" customHeight="true" outlineLevel="0" collapsed="false">
      <c r="A1812" s="10"/>
      <c r="B1812" s="8"/>
      <c r="C1812" s="13" t="str">
        <f aca="false">IF($B1812="","",IFERROR(INDEX(직원목록!$B$3:$B$302,MATCH($B1812,직원목록!$A$3:$A$302,0)),"미등록사번"))</f>
        <v/>
      </c>
      <c r="D1812" s="13" t="str">
        <f aca="false">IF($B1812="","",IFERROR(INDEX(직원목록!$C$3:$C$302,MATCH($B1812,직원목록!$A$3:$A$302,0)),""))</f>
        <v/>
      </c>
      <c r="E1812" s="14"/>
      <c r="F1812" s="14"/>
      <c r="G1812" s="15"/>
      <c r="H1812" s="16" t="str">
        <f aca="false">IF(OR($K1812="",$L1812=""),"",ROUND(MAX(0,($L1812-$K1812)-IF($G1812="",0,$G1812))/60,2))</f>
        <v/>
      </c>
      <c r="I1812" s="8"/>
      <c r="J1812" s="8"/>
      <c r="K1812" s="17" t="str">
        <f aca="false">IF($E1812="","",IF($E1812&lt;1,ROUND($E1812*1440,0),INT($E1812/100)*60+MOD($E1812,100)))</f>
        <v/>
      </c>
      <c r="L1812" s="17" t="str">
        <f aca="false">IF($F1812="","",IF($F1812&lt;1,ROUND($F1812*1440,0),INT($F1812/100)*60+MOD($F1812,100)))</f>
        <v/>
      </c>
    </row>
    <row r="1813" customFormat="false" ht="15" hidden="false" customHeight="true" outlineLevel="0" collapsed="false">
      <c r="A1813" s="10"/>
      <c r="B1813" s="8"/>
      <c r="C1813" s="13" t="str">
        <f aca="false">IF($B1813="","",IFERROR(INDEX(직원목록!$B$3:$B$302,MATCH($B1813,직원목록!$A$3:$A$302,0)),"미등록사번"))</f>
        <v/>
      </c>
      <c r="D1813" s="13" t="str">
        <f aca="false">IF($B1813="","",IFERROR(INDEX(직원목록!$C$3:$C$302,MATCH($B1813,직원목록!$A$3:$A$302,0)),""))</f>
        <v/>
      </c>
      <c r="E1813" s="14"/>
      <c r="F1813" s="14"/>
      <c r="G1813" s="15"/>
      <c r="H1813" s="16" t="str">
        <f aca="false">IF(OR($K1813="",$L1813=""),"",ROUND(MAX(0,($L1813-$K1813)-IF($G1813="",0,$G1813))/60,2))</f>
        <v/>
      </c>
      <c r="I1813" s="8"/>
      <c r="J1813" s="8"/>
      <c r="K1813" s="17" t="str">
        <f aca="false">IF($E1813="","",IF($E1813&lt;1,ROUND($E1813*1440,0),INT($E1813/100)*60+MOD($E1813,100)))</f>
        <v/>
      </c>
      <c r="L1813" s="17" t="str">
        <f aca="false">IF($F1813="","",IF($F1813&lt;1,ROUND($F1813*1440,0),INT($F1813/100)*60+MOD($F1813,100)))</f>
        <v/>
      </c>
    </row>
    <row r="1814" customFormat="false" ht="15" hidden="false" customHeight="true" outlineLevel="0" collapsed="false">
      <c r="A1814" s="10"/>
      <c r="B1814" s="8"/>
      <c r="C1814" s="13" t="str">
        <f aca="false">IF($B1814="","",IFERROR(INDEX(직원목록!$B$3:$B$302,MATCH($B1814,직원목록!$A$3:$A$302,0)),"미등록사번"))</f>
        <v/>
      </c>
      <c r="D1814" s="13" t="str">
        <f aca="false">IF($B1814="","",IFERROR(INDEX(직원목록!$C$3:$C$302,MATCH($B1814,직원목록!$A$3:$A$302,0)),""))</f>
        <v/>
      </c>
      <c r="E1814" s="14"/>
      <c r="F1814" s="14"/>
      <c r="G1814" s="15"/>
      <c r="H1814" s="16" t="str">
        <f aca="false">IF(OR($K1814="",$L1814=""),"",ROUND(MAX(0,($L1814-$K1814)-IF($G1814="",0,$G1814))/60,2))</f>
        <v/>
      </c>
      <c r="I1814" s="8"/>
      <c r="J1814" s="8"/>
      <c r="K1814" s="17" t="str">
        <f aca="false">IF($E1814="","",IF($E1814&lt;1,ROUND($E1814*1440,0),INT($E1814/100)*60+MOD($E1814,100)))</f>
        <v/>
      </c>
      <c r="L1814" s="17" t="str">
        <f aca="false">IF($F1814="","",IF($F1814&lt;1,ROUND($F1814*1440,0),INT($F1814/100)*60+MOD($F1814,100)))</f>
        <v/>
      </c>
    </row>
    <row r="1815" customFormat="false" ht="15" hidden="false" customHeight="true" outlineLevel="0" collapsed="false">
      <c r="A1815" s="10"/>
      <c r="B1815" s="8"/>
      <c r="C1815" s="13" t="str">
        <f aca="false">IF($B1815="","",IFERROR(INDEX(직원목록!$B$3:$B$302,MATCH($B1815,직원목록!$A$3:$A$302,0)),"미등록사번"))</f>
        <v/>
      </c>
      <c r="D1815" s="13" t="str">
        <f aca="false">IF($B1815="","",IFERROR(INDEX(직원목록!$C$3:$C$302,MATCH($B1815,직원목록!$A$3:$A$302,0)),""))</f>
        <v/>
      </c>
      <c r="E1815" s="14"/>
      <c r="F1815" s="14"/>
      <c r="G1815" s="15"/>
      <c r="H1815" s="16" t="str">
        <f aca="false">IF(OR($K1815="",$L1815=""),"",ROUND(MAX(0,($L1815-$K1815)-IF($G1815="",0,$G1815))/60,2))</f>
        <v/>
      </c>
      <c r="I1815" s="8"/>
      <c r="J1815" s="8"/>
      <c r="K1815" s="17" t="str">
        <f aca="false">IF($E1815="","",IF($E1815&lt;1,ROUND($E1815*1440,0),INT($E1815/100)*60+MOD($E1815,100)))</f>
        <v/>
      </c>
      <c r="L1815" s="17" t="str">
        <f aca="false">IF($F1815="","",IF($F1815&lt;1,ROUND($F1815*1440,0),INT($F1815/100)*60+MOD($F1815,100)))</f>
        <v/>
      </c>
    </row>
    <row r="1816" customFormat="false" ht="15" hidden="false" customHeight="true" outlineLevel="0" collapsed="false">
      <c r="A1816" s="10"/>
      <c r="B1816" s="8"/>
      <c r="C1816" s="13" t="str">
        <f aca="false">IF($B1816="","",IFERROR(INDEX(직원목록!$B$3:$B$302,MATCH($B1816,직원목록!$A$3:$A$302,0)),"미등록사번"))</f>
        <v/>
      </c>
      <c r="D1816" s="13" t="str">
        <f aca="false">IF($B1816="","",IFERROR(INDEX(직원목록!$C$3:$C$302,MATCH($B1816,직원목록!$A$3:$A$302,0)),""))</f>
        <v/>
      </c>
      <c r="E1816" s="14"/>
      <c r="F1816" s="14"/>
      <c r="G1816" s="15"/>
      <c r="H1816" s="16" t="str">
        <f aca="false">IF(OR($K1816="",$L1816=""),"",ROUND(MAX(0,($L1816-$K1816)-IF($G1816="",0,$G1816))/60,2))</f>
        <v/>
      </c>
      <c r="I1816" s="8"/>
      <c r="J1816" s="8"/>
      <c r="K1816" s="17" t="str">
        <f aca="false">IF($E1816="","",IF($E1816&lt;1,ROUND($E1816*1440,0),INT($E1816/100)*60+MOD($E1816,100)))</f>
        <v/>
      </c>
      <c r="L1816" s="17" t="str">
        <f aca="false">IF($F1816="","",IF($F1816&lt;1,ROUND($F1816*1440,0),INT($F1816/100)*60+MOD($F1816,100)))</f>
        <v/>
      </c>
    </row>
    <row r="1817" customFormat="false" ht="15" hidden="false" customHeight="true" outlineLevel="0" collapsed="false">
      <c r="A1817" s="10"/>
      <c r="B1817" s="8"/>
      <c r="C1817" s="13" t="str">
        <f aca="false">IF($B1817="","",IFERROR(INDEX(직원목록!$B$3:$B$302,MATCH($B1817,직원목록!$A$3:$A$302,0)),"미등록사번"))</f>
        <v/>
      </c>
      <c r="D1817" s="13" t="str">
        <f aca="false">IF($B1817="","",IFERROR(INDEX(직원목록!$C$3:$C$302,MATCH($B1817,직원목록!$A$3:$A$302,0)),""))</f>
        <v/>
      </c>
      <c r="E1817" s="14"/>
      <c r="F1817" s="14"/>
      <c r="G1817" s="15"/>
      <c r="H1817" s="16" t="str">
        <f aca="false">IF(OR($K1817="",$L1817=""),"",ROUND(MAX(0,($L1817-$K1817)-IF($G1817="",0,$G1817))/60,2))</f>
        <v/>
      </c>
      <c r="I1817" s="8"/>
      <c r="J1817" s="8"/>
      <c r="K1817" s="17" t="str">
        <f aca="false">IF($E1817="","",IF($E1817&lt;1,ROUND($E1817*1440,0),INT($E1817/100)*60+MOD($E1817,100)))</f>
        <v/>
      </c>
      <c r="L1817" s="17" t="str">
        <f aca="false">IF($F1817="","",IF($F1817&lt;1,ROUND($F1817*1440,0),INT($F1817/100)*60+MOD($F1817,100)))</f>
        <v/>
      </c>
    </row>
    <row r="1818" customFormat="false" ht="15" hidden="false" customHeight="true" outlineLevel="0" collapsed="false">
      <c r="A1818" s="10"/>
      <c r="B1818" s="8"/>
      <c r="C1818" s="13" t="str">
        <f aca="false">IF($B1818="","",IFERROR(INDEX(직원목록!$B$3:$B$302,MATCH($B1818,직원목록!$A$3:$A$302,0)),"미등록사번"))</f>
        <v/>
      </c>
      <c r="D1818" s="13" t="str">
        <f aca="false">IF($B1818="","",IFERROR(INDEX(직원목록!$C$3:$C$302,MATCH($B1818,직원목록!$A$3:$A$302,0)),""))</f>
        <v/>
      </c>
      <c r="E1818" s="14"/>
      <c r="F1818" s="14"/>
      <c r="G1818" s="15"/>
      <c r="H1818" s="16" t="str">
        <f aca="false">IF(OR($K1818="",$L1818=""),"",ROUND(MAX(0,($L1818-$K1818)-IF($G1818="",0,$G1818))/60,2))</f>
        <v/>
      </c>
      <c r="I1818" s="8"/>
      <c r="J1818" s="8"/>
      <c r="K1818" s="17" t="str">
        <f aca="false">IF($E1818="","",IF($E1818&lt;1,ROUND($E1818*1440,0),INT($E1818/100)*60+MOD($E1818,100)))</f>
        <v/>
      </c>
      <c r="L1818" s="17" t="str">
        <f aca="false">IF($F1818="","",IF($F1818&lt;1,ROUND($F1818*1440,0),INT($F1818/100)*60+MOD($F1818,100)))</f>
        <v/>
      </c>
    </row>
    <row r="1819" customFormat="false" ht="15" hidden="false" customHeight="true" outlineLevel="0" collapsed="false">
      <c r="A1819" s="10"/>
      <c r="B1819" s="8"/>
      <c r="C1819" s="13" t="str">
        <f aca="false">IF($B1819="","",IFERROR(INDEX(직원목록!$B$3:$B$302,MATCH($B1819,직원목록!$A$3:$A$302,0)),"미등록사번"))</f>
        <v/>
      </c>
      <c r="D1819" s="13" t="str">
        <f aca="false">IF($B1819="","",IFERROR(INDEX(직원목록!$C$3:$C$302,MATCH($B1819,직원목록!$A$3:$A$302,0)),""))</f>
        <v/>
      </c>
      <c r="E1819" s="14"/>
      <c r="F1819" s="14"/>
      <c r="G1819" s="15"/>
      <c r="H1819" s="16" t="str">
        <f aca="false">IF(OR($K1819="",$L1819=""),"",ROUND(MAX(0,($L1819-$K1819)-IF($G1819="",0,$G1819))/60,2))</f>
        <v/>
      </c>
      <c r="I1819" s="8"/>
      <c r="J1819" s="8"/>
      <c r="K1819" s="17" t="str">
        <f aca="false">IF($E1819="","",IF($E1819&lt;1,ROUND($E1819*1440,0),INT($E1819/100)*60+MOD($E1819,100)))</f>
        <v/>
      </c>
      <c r="L1819" s="17" t="str">
        <f aca="false">IF($F1819="","",IF($F1819&lt;1,ROUND($F1819*1440,0),INT($F1819/100)*60+MOD($F1819,100)))</f>
        <v/>
      </c>
    </row>
    <row r="1820" customFormat="false" ht="15" hidden="false" customHeight="true" outlineLevel="0" collapsed="false">
      <c r="A1820" s="10"/>
      <c r="B1820" s="8"/>
      <c r="C1820" s="13" t="str">
        <f aca="false">IF($B1820="","",IFERROR(INDEX(직원목록!$B$3:$B$302,MATCH($B1820,직원목록!$A$3:$A$302,0)),"미등록사번"))</f>
        <v/>
      </c>
      <c r="D1820" s="13" t="str">
        <f aca="false">IF($B1820="","",IFERROR(INDEX(직원목록!$C$3:$C$302,MATCH($B1820,직원목록!$A$3:$A$302,0)),""))</f>
        <v/>
      </c>
      <c r="E1820" s="14"/>
      <c r="F1820" s="14"/>
      <c r="G1820" s="15"/>
      <c r="H1820" s="16" t="str">
        <f aca="false">IF(OR($K1820="",$L1820=""),"",ROUND(MAX(0,($L1820-$K1820)-IF($G1820="",0,$G1820))/60,2))</f>
        <v/>
      </c>
      <c r="I1820" s="8"/>
      <c r="J1820" s="8"/>
      <c r="K1820" s="17" t="str">
        <f aca="false">IF($E1820="","",IF($E1820&lt;1,ROUND($E1820*1440,0),INT($E1820/100)*60+MOD($E1820,100)))</f>
        <v/>
      </c>
      <c r="L1820" s="17" t="str">
        <f aca="false">IF($F1820="","",IF($F1820&lt;1,ROUND($F1820*1440,0),INT($F1820/100)*60+MOD($F1820,100)))</f>
        <v/>
      </c>
    </row>
    <row r="1821" customFormat="false" ht="15" hidden="false" customHeight="true" outlineLevel="0" collapsed="false">
      <c r="A1821" s="10"/>
      <c r="B1821" s="8"/>
      <c r="C1821" s="13" t="str">
        <f aca="false">IF($B1821="","",IFERROR(INDEX(직원목록!$B$3:$B$302,MATCH($B1821,직원목록!$A$3:$A$302,0)),"미등록사번"))</f>
        <v/>
      </c>
      <c r="D1821" s="13" t="str">
        <f aca="false">IF($B1821="","",IFERROR(INDEX(직원목록!$C$3:$C$302,MATCH($B1821,직원목록!$A$3:$A$302,0)),""))</f>
        <v/>
      </c>
      <c r="E1821" s="14"/>
      <c r="F1821" s="14"/>
      <c r="G1821" s="15"/>
      <c r="H1821" s="16" t="str">
        <f aca="false">IF(OR($K1821="",$L1821=""),"",ROUND(MAX(0,($L1821-$K1821)-IF($G1821="",0,$G1821))/60,2))</f>
        <v/>
      </c>
      <c r="I1821" s="8"/>
      <c r="J1821" s="8"/>
      <c r="K1821" s="17" t="str">
        <f aca="false">IF($E1821="","",IF($E1821&lt;1,ROUND($E1821*1440,0),INT($E1821/100)*60+MOD($E1821,100)))</f>
        <v/>
      </c>
      <c r="L1821" s="17" t="str">
        <f aca="false">IF($F1821="","",IF($F1821&lt;1,ROUND($F1821*1440,0),INT($F1821/100)*60+MOD($F1821,100)))</f>
        <v/>
      </c>
    </row>
    <row r="1822" customFormat="false" ht="15" hidden="false" customHeight="true" outlineLevel="0" collapsed="false">
      <c r="A1822" s="10"/>
      <c r="B1822" s="8"/>
      <c r="C1822" s="13" t="str">
        <f aca="false">IF($B1822="","",IFERROR(INDEX(직원목록!$B$3:$B$302,MATCH($B1822,직원목록!$A$3:$A$302,0)),"미등록사번"))</f>
        <v/>
      </c>
      <c r="D1822" s="13" t="str">
        <f aca="false">IF($B1822="","",IFERROR(INDEX(직원목록!$C$3:$C$302,MATCH($B1822,직원목록!$A$3:$A$302,0)),""))</f>
        <v/>
      </c>
      <c r="E1822" s="14"/>
      <c r="F1822" s="14"/>
      <c r="G1822" s="15"/>
      <c r="H1822" s="16" t="str">
        <f aca="false">IF(OR($K1822="",$L1822=""),"",ROUND(MAX(0,($L1822-$K1822)-IF($G1822="",0,$G1822))/60,2))</f>
        <v/>
      </c>
      <c r="I1822" s="8"/>
      <c r="J1822" s="8"/>
      <c r="K1822" s="17" t="str">
        <f aca="false">IF($E1822="","",IF($E1822&lt;1,ROUND($E1822*1440,0),INT($E1822/100)*60+MOD($E1822,100)))</f>
        <v/>
      </c>
      <c r="L1822" s="17" t="str">
        <f aca="false">IF($F1822="","",IF($F1822&lt;1,ROUND($F1822*1440,0),INT($F1822/100)*60+MOD($F1822,100)))</f>
        <v/>
      </c>
    </row>
    <row r="1823" customFormat="false" ht="15" hidden="false" customHeight="true" outlineLevel="0" collapsed="false">
      <c r="A1823" s="10"/>
      <c r="B1823" s="8"/>
      <c r="C1823" s="13" t="str">
        <f aca="false">IF($B1823="","",IFERROR(INDEX(직원목록!$B$3:$B$302,MATCH($B1823,직원목록!$A$3:$A$302,0)),"미등록사번"))</f>
        <v/>
      </c>
      <c r="D1823" s="13" t="str">
        <f aca="false">IF($B1823="","",IFERROR(INDEX(직원목록!$C$3:$C$302,MATCH($B1823,직원목록!$A$3:$A$302,0)),""))</f>
        <v/>
      </c>
      <c r="E1823" s="14"/>
      <c r="F1823" s="14"/>
      <c r="G1823" s="15"/>
      <c r="H1823" s="16" t="str">
        <f aca="false">IF(OR($K1823="",$L1823=""),"",ROUND(MAX(0,($L1823-$K1823)-IF($G1823="",0,$G1823))/60,2))</f>
        <v/>
      </c>
      <c r="I1823" s="8"/>
      <c r="J1823" s="8"/>
      <c r="K1823" s="17" t="str">
        <f aca="false">IF($E1823="","",IF($E1823&lt;1,ROUND($E1823*1440,0),INT($E1823/100)*60+MOD($E1823,100)))</f>
        <v/>
      </c>
      <c r="L1823" s="17" t="str">
        <f aca="false">IF($F1823="","",IF($F1823&lt;1,ROUND($F1823*1440,0),INT($F1823/100)*60+MOD($F1823,100)))</f>
        <v/>
      </c>
    </row>
    <row r="1824" customFormat="false" ht="15" hidden="false" customHeight="true" outlineLevel="0" collapsed="false">
      <c r="A1824" s="10"/>
      <c r="B1824" s="8"/>
      <c r="C1824" s="13" t="str">
        <f aca="false">IF($B1824="","",IFERROR(INDEX(직원목록!$B$3:$B$302,MATCH($B1824,직원목록!$A$3:$A$302,0)),"미등록사번"))</f>
        <v/>
      </c>
      <c r="D1824" s="13" t="str">
        <f aca="false">IF($B1824="","",IFERROR(INDEX(직원목록!$C$3:$C$302,MATCH($B1824,직원목록!$A$3:$A$302,0)),""))</f>
        <v/>
      </c>
      <c r="E1824" s="14"/>
      <c r="F1824" s="14"/>
      <c r="G1824" s="15"/>
      <c r="H1824" s="16" t="str">
        <f aca="false">IF(OR($K1824="",$L1824=""),"",ROUND(MAX(0,($L1824-$K1824)-IF($G1824="",0,$G1824))/60,2))</f>
        <v/>
      </c>
      <c r="I1824" s="8"/>
      <c r="J1824" s="8"/>
      <c r="K1824" s="17" t="str">
        <f aca="false">IF($E1824="","",IF($E1824&lt;1,ROUND($E1824*1440,0),INT($E1824/100)*60+MOD($E1824,100)))</f>
        <v/>
      </c>
      <c r="L1824" s="17" t="str">
        <f aca="false">IF($F1824="","",IF($F1824&lt;1,ROUND($F1824*1440,0),INT($F1824/100)*60+MOD($F1824,100)))</f>
        <v/>
      </c>
    </row>
    <row r="1825" customFormat="false" ht="15" hidden="false" customHeight="true" outlineLevel="0" collapsed="false">
      <c r="A1825" s="10"/>
      <c r="B1825" s="8"/>
      <c r="C1825" s="13" t="str">
        <f aca="false">IF($B1825="","",IFERROR(INDEX(직원목록!$B$3:$B$302,MATCH($B1825,직원목록!$A$3:$A$302,0)),"미등록사번"))</f>
        <v/>
      </c>
      <c r="D1825" s="13" t="str">
        <f aca="false">IF($B1825="","",IFERROR(INDEX(직원목록!$C$3:$C$302,MATCH($B1825,직원목록!$A$3:$A$302,0)),""))</f>
        <v/>
      </c>
      <c r="E1825" s="14"/>
      <c r="F1825" s="14"/>
      <c r="G1825" s="15"/>
      <c r="H1825" s="16" t="str">
        <f aca="false">IF(OR($K1825="",$L1825=""),"",ROUND(MAX(0,($L1825-$K1825)-IF($G1825="",0,$G1825))/60,2))</f>
        <v/>
      </c>
      <c r="I1825" s="8"/>
      <c r="J1825" s="8"/>
      <c r="K1825" s="17" t="str">
        <f aca="false">IF($E1825="","",IF($E1825&lt;1,ROUND($E1825*1440,0),INT($E1825/100)*60+MOD($E1825,100)))</f>
        <v/>
      </c>
      <c r="L1825" s="17" t="str">
        <f aca="false">IF($F1825="","",IF($F1825&lt;1,ROUND($F1825*1440,0),INT($F1825/100)*60+MOD($F1825,100)))</f>
        <v/>
      </c>
    </row>
    <row r="1826" customFormat="false" ht="15" hidden="false" customHeight="true" outlineLevel="0" collapsed="false">
      <c r="A1826" s="10"/>
      <c r="B1826" s="8"/>
      <c r="C1826" s="13" t="str">
        <f aca="false">IF($B1826="","",IFERROR(INDEX(직원목록!$B$3:$B$302,MATCH($B1826,직원목록!$A$3:$A$302,0)),"미등록사번"))</f>
        <v/>
      </c>
      <c r="D1826" s="13" t="str">
        <f aca="false">IF($B1826="","",IFERROR(INDEX(직원목록!$C$3:$C$302,MATCH($B1826,직원목록!$A$3:$A$302,0)),""))</f>
        <v/>
      </c>
      <c r="E1826" s="14"/>
      <c r="F1826" s="14"/>
      <c r="G1826" s="15"/>
      <c r="H1826" s="16" t="str">
        <f aca="false">IF(OR($K1826="",$L1826=""),"",ROUND(MAX(0,($L1826-$K1826)-IF($G1826="",0,$G1826))/60,2))</f>
        <v/>
      </c>
      <c r="I1826" s="8"/>
      <c r="J1826" s="8"/>
      <c r="K1826" s="17" t="str">
        <f aca="false">IF($E1826="","",IF($E1826&lt;1,ROUND($E1826*1440,0),INT($E1826/100)*60+MOD($E1826,100)))</f>
        <v/>
      </c>
      <c r="L1826" s="17" t="str">
        <f aca="false">IF($F1826="","",IF($F1826&lt;1,ROUND($F1826*1440,0),INT($F1826/100)*60+MOD($F1826,100)))</f>
        <v/>
      </c>
    </row>
    <row r="1827" customFormat="false" ht="15" hidden="false" customHeight="true" outlineLevel="0" collapsed="false">
      <c r="A1827" s="10"/>
      <c r="B1827" s="8"/>
      <c r="C1827" s="13" t="str">
        <f aca="false">IF($B1827="","",IFERROR(INDEX(직원목록!$B$3:$B$302,MATCH($B1827,직원목록!$A$3:$A$302,0)),"미등록사번"))</f>
        <v/>
      </c>
      <c r="D1827" s="13" t="str">
        <f aca="false">IF($B1827="","",IFERROR(INDEX(직원목록!$C$3:$C$302,MATCH($B1827,직원목록!$A$3:$A$302,0)),""))</f>
        <v/>
      </c>
      <c r="E1827" s="14"/>
      <c r="F1827" s="14"/>
      <c r="G1827" s="15"/>
      <c r="H1827" s="16" t="str">
        <f aca="false">IF(OR($K1827="",$L1827=""),"",ROUND(MAX(0,($L1827-$K1827)-IF($G1827="",0,$G1827))/60,2))</f>
        <v/>
      </c>
      <c r="I1827" s="8"/>
      <c r="J1827" s="8"/>
      <c r="K1827" s="17" t="str">
        <f aca="false">IF($E1827="","",IF($E1827&lt;1,ROUND($E1827*1440,0),INT($E1827/100)*60+MOD($E1827,100)))</f>
        <v/>
      </c>
      <c r="L1827" s="17" t="str">
        <f aca="false">IF($F1827="","",IF($F1827&lt;1,ROUND($F1827*1440,0),INT($F1827/100)*60+MOD($F1827,100)))</f>
        <v/>
      </c>
    </row>
    <row r="1828" customFormat="false" ht="15" hidden="false" customHeight="true" outlineLevel="0" collapsed="false">
      <c r="A1828" s="10"/>
      <c r="B1828" s="8"/>
      <c r="C1828" s="13" t="str">
        <f aca="false">IF($B1828="","",IFERROR(INDEX(직원목록!$B$3:$B$302,MATCH($B1828,직원목록!$A$3:$A$302,0)),"미등록사번"))</f>
        <v/>
      </c>
      <c r="D1828" s="13" t="str">
        <f aca="false">IF($B1828="","",IFERROR(INDEX(직원목록!$C$3:$C$302,MATCH($B1828,직원목록!$A$3:$A$302,0)),""))</f>
        <v/>
      </c>
      <c r="E1828" s="14"/>
      <c r="F1828" s="14"/>
      <c r="G1828" s="15"/>
      <c r="H1828" s="16" t="str">
        <f aca="false">IF(OR($K1828="",$L1828=""),"",ROUND(MAX(0,($L1828-$K1828)-IF($G1828="",0,$G1828))/60,2))</f>
        <v/>
      </c>
      <c r="I1828" s="8"/>
      <c r="J1828" s="8"/>
      <c r="K1828" s="17" t="str">
        <f aca="false">IF($E1828="","",IF($E1828&lt;1,ROUND($E1828*1440,0),INT($E1828/100)*60+MOD($E1828,100)))</f>
        <v/>
      </c>
      <c r="L1828" s="17" t="str">
        <f aca="false">IF($F1828="","",IF($F1828&lt;1,ROUND($F1828*1440,0),INT($F1828/100)*60+MOD($F1828,100)))</f>
        <v/>
      </c>
    </row>
    <row r="1829" customFormat="false" ht="15" hidden="false" customHeight="true" outlineLevel="0" collapsed="false">
      <c r="A1829" s="10"/>
      <c r="B1829" s="8"/>
      <c r="C1829" s="13" t="str">
        <f aca="false">IF($B1829="","",IFERROR(INDEX(직원목록!$B$3:$B$302,MATCH($B1829,직원목록!$A$3:$A$302,0)),"미등록사번"))</f>
        <v/>
      </c>
      <c r="D1829" s="13" t="str">
        <f aca="false">IF($B1829="","",IFERROR(INDEX(직원목록!$C$3:$C$302,MATCH($B1829,직원목록!$A$3:$A$302,0)),""))</f>
        <v/>
      </c>
      <c r="E1829" s="14"/>
      <c r="F1829" s="14"/>
      <c r="G1829" s="15"/>
      <c r="H1829" s="16" t="str">
        <f aca="false">IF(OR($K1829="",$L1829=""),"",ROUND(MAX(0,($L1829-$K1829)-IF($G1829="",0,$G1829))/60,2))</f>
        <v/>
      </c>
      <c r="I1829" s="8"/>
      <c r="J1829" s="8"/>
      <c r="K1829" s="17" t="str">
        <f aca="false">IF($E1829="","",IF($E1829&lt;1,ROUND($E1829*1440,0),INT($E1829/100)*60+MOD($E1829,100)))</f>
        <v/>
      </c>
      <c r="L1829" s="17" t="str">
        <f aca="false">IF($F1829="","",IF($F1829&lt;1,ROUND($F1829*1440,0),INT($F1829/100)*60+MOD($F1829,100)))</f>
        <v/>
      </c>
    </row>
    <row r="1830" customFormat="false" ht="15" hidden="false" customHeight="true" outlineLevel="0" collapsed="false">
      <c r="A1830" s="10"/>
      <c r="B1830" s="8"/>
      <c r="C1830" s="13" t="str">
        <f aca="false">IF($B1830="","",IFERROR(INDEX(직원목록!$B$3:$B$302,MATCH($B1830,직원목록!$A$3:$A$302,0)),"미등록사번"))</f>
        <v/>
      </c>
      <c r="D1830" s="13" t="str">
        <f aca="false">IF($B1830="","",IFERROR(INDEX(직원목록!$C$3:$C$302,MATCH($B1830,직원목록!$A$3:$A$302,0)),""))</f>
        <v/>
      </c>
      <c r="E1830" s="14"/>
      <c r="F1830" s="14"/>
      <c r="G1830" s="15"/>
      <c r="H1830" s="16" t="str">
        <f aca="false">IF(OR($K1830="",$L1830=""),"",ROUND(MAX(0,($L1830-$K1830)-IF($G1830="",0,$G1830))/60,2))</f>
        <v/>
      </c>
      <c r="I1830" s="8"/>
      <c r="J1830" s="8"/>
      <c r="K1830" s="17" t="str">
        <f aca="false">IF($E1830="","",IF($E1830&lt;1,ROUND($E1830*1440,0),INT($E1830/100)*60+MOD($E1830,100)))</f>
        <v/>
      </c>
      <c r="L1830" s="17" t="str">
        <f aca="false">IF($F1830="","",IF($F1830&lt;1,ROUND($F1830*1440,0),INT($F1830/100)*60+MOD($F1830,100)))</f>
        <v/>
      </c>
    </row>
    <row r="1831" customFormat="false" ht="15" hidden="false" customHeight="true" outlineLevel="0" collapsed="false">
      <c r="A1831" s="10"/>
      <c r="B1831" s="8"/>
      <c r="C1831" s="13" t="str">
        <f aca="false">IF($B1831="","",IFERROR(INDEX(직원목록!$B$3:$B$302,MATCH($B1831,직원목록!$A$3:$A$302,0)),"미등록사번"))</f>
        <v/>
      </c>
      <c r="D1831" s="13" t="str">
        <f aca="false">IF($B1831="","",IFERROR(INDEX(직원목록!$C$3:$C$302,MATCH($B1831,직원목록!$A$3:$A$302,0)),""))</f>
        <v/>
      </c>
      <c r="E1831" s="14"/>
      <c r="F1831" s="14"/>
      <c r="G1831" s="15"/>
      <c r="H1831" s="16" t="str">
        <f aca="false">IF(OR($K1831="",$L1831=""),"",ROUND(MAX(0,($L1831-$K1831)-IF($G1831="",0,$G1831))/60,2))</f>
        <v/>
      </c>
      <c r="I1831" s="8"/>
      <c r="J1831" s="8"/>
      <c r="K1831" s="17" t="str">
        <f aca="false">IF($E1831="","",IF($E1831&lt;1,ROUND($E1831*1440,0),INT($E1831/100)*60+MOD($E1831,100)))</f>
        <v/>
      </c>
      <c r="L1831" s="17" t="str">
        <f aca="false">IF($F1831="","",IF($F1831&lt;1,ROUND($F1831*1440,0),INT($F1831/100)*60+MOD($F1831,100)))</f>
        <v/>
      </c>
    </row>
    <row r="1832" customFormat="false" ht="15" hidden="false" customHeight="true" outlineLevel="0" collapsed="false">
      <c r="A1832" s="10"/>
      <c r="B1832" s="8"/>
      <c r="C1832" s="13" t="str">
        <f aca="false">IF($B1832="","",IFERROR(INDEX(직원목록!$B$3:$B$302,MATCH($B1832,직원목록!$A$3:$A$302,0)),"미등록사번"))</f>
        <v/>
      </c>
      <c r="D1832" s="13" t="str">
        <f aca="false">IF($B1832="","",IFERROR(INDEX(직원목록!$C$3:$C$302,MATCH($B1832,직원목록!$A$3:$A$302,0)),""))</f>
        <v/>
      </c>
      <c r="E1832" s="14"/>
      <c r="F1832" s="14"/>
      <c r="G1832" s="15"/>
      <c r="H1832" s="16" t="str">
        <f aca="false">IF(OR($K1832="",$L1832=""),"",ROUND(MAX(0,($L1832-$K1832)-IF($G1832="",0,$G1832))/60,2))</f>
        <v/>
      </c>
      <c r="I1832" s="8"/>
      <c r="J1832" s="8"/>
      <c r="K1832" s="17" t="str">
        <f aca="false">IF($E1832="","",IF($E1832&lt;1,ROUND($E1832*1440,0),INT($E1832/100)*60+MOD($E1832,100)))</f>
        <v/>
      </c>
      <c r="L1832" s="17" t="str">
        <f aca="false">IF($F1832="","",IF($F1832&lt;1,ROUND($F1832*1440,0),INT($F1832/100)*60+MOD($F1832,100)))</f>
        <v/>
      </c>
    </row>
    <row r="1833" customFormat="false" ht="15" hidden="false" customHeight="true" outlineLevel="0" collapsed="false">
      <c r="A1833" s="10"/>
      <c r="B1833" s="8"/>
      <c r="C1833" s="13" t="str">
        <f aca="false">IF($B1833="","",IFERROR(INDEX(직원목록!$B$3:$B$302,MATCH($B1833,직원목록!$A$3:$A$302,0)),"미등록사번"))</f>
        <v/>
      </c>
      <c r="D1833" s="13" t="str">
        <f aca="false">IF($B1833="","",IFERROR(INDEX(직원목록!$C$3:$C$302,MATCH($B1833,직원목록!$A$3:$A$302,0)),""))</f>
        <v/>
      </c>
      <c r="E1833" s="14"/>
      <c r="F1833" s="14"/>
      <c r="G1833" s="15"/>
      <c r="H1833" s="16" t="str">
        <f aca="false">IF(OR($K1833="",$L1833=""),"",ROUND(MAX(0,($L1833-$K1833)-IF($G1833="",0,$G1833))/60,2))</f>
        <v/>
      </c>
      <c r="I1833" s="8"/>
      <c r="J1833" s="8"/>
      <c r="K1833" s="17" t="str">
        <f aca="false">IF($E1833="","",IF($E1833&lt;1,ROUND($E1833*1440,0),INT($E1833/100)*60+MOD($E1833,100)))</f>
        <v/>
      </c>
      <c r="L1833" s="17" t="str">
        <f aca="false">IF($F1833="","",IF($F1833&lt;1,ROUND($F1833*1440,0),INT($F1833/100)*60+MOD($F1833,100)))</f>
        <v/>
      </c>
    </row>
    <row r="1834" customFormat="false" ht="15" hidden="false" customHeight="true" outlineLevel="0" collapsed="false">
      <c r="A1834" s="10"/>
      <c r="B1834" s="8"/>
      <c r="C1834" s="13" t="str">
        <f aca="false">IF($B1834="","",IFERROR(INDEX(직원목록!$B$3:$B$302,MATCH($B1834,직원목록!$A$3:$A$302,0)),"미등록사번"))</f>
        <v/>
      </c>
      <c r="D1834" s="13" t="str">
        <f aca="false">IF($B1834="","",IFERROR(INDEX(직원목록!$C$3:$C$302,MATCH($B1834,직원목록!$A$3:$A$302,0)),""))</f>
        <v/>
      </c>
      <c r="E1834" s="14"/>
      <c r="F1834" s="14"/>
      <c r="G1834" s="15"/>
      <c r="H1834" s="16" t="str">
        <f aca="false">IF(OR($K1834="",$L1834=""),"",ROUND(MAX(0,($L1834-$K1834)-IF($G1834="",0,$G1834))/60,2))</f>
        <v/>
      </c>
      <c r="I1834" s="8"/>
      <c r="J1834" s="8"/>
      <c r="K1834" s="17" t="str">
        <f aca="false">IF($E1834="","",IF($E1834&lt;1,ROUND($E1834*1440,0),INT($E1834/100)*60+MOD($E1834,100)))</f>
        <v/>
      </c>
      <c r="L1834" s="17" t="str">
        <f aca="false">IF($F1834="","",IF($F1834&lt;1,ROUND($F1834*1440,0),INT($F1834/100)*60+MOD($F1834,100)))</f>
        <v/>
      </c>
    </row>
    <row r="1835" customFormat="false" ht="15" hidden="false" customHeight="true" outlineLevel="0" collapsed="false">
      <c r="A1835" s="10"/>
      <c r="B1835" s="8"/>
      <c r="C1835" s="13" t="str">
        <f aca="false">IF($B1835="","",IFERROR(INDEX(직원목록!$B$3:$B$302,MATCH($B1835,직원목록!$A$3:$A$302,0)),"미등록사번"))</f>
        <v/>
      </c>
      <c r="D1835" s="13" t="str">
        <f aca="false">IF($B1835="","",IFERROR(INDEX(직원목록!$C$3:$C$302,MATCH($B1835,직원목록!$A$3:$A$302,0)),""))</f>
        <v/>
      </c>
      <c r="E1835" s="14"/>
      <c r="F1835" s="14"/>
      <c r="G1835" s="15"/>
      <c r="H1835" s="16" t="str">
        <f aca="false">IF(OR($K1835="",$L1835=""),"",ROUND(MAX(0,($L1835-$K1835)-IF($G1835="",0,$G1835))/60,2))</f>
        <v/>
      </c>
      <c r="I1835" s="8"/>
      <c r="J1835" s="8"/>
      <c r="K1835" s="17" t="str">
        <f aca="false">IF($E1835="","",IF($E1835&lt;1,ROUND($E1835*1440,0),INT($E1835/100)*60+MOD($E1835,100)))</f>
        <v/>
      </c>
      <c r="L1835" s="17" t="str">
        <f aca="false">IF($F1835="","",IF($F1835&lt;1,ROUND($F1835*1440,0),INT($F1835/100)*60+MOD($F1835,100)))</f>
        <v/>
      </c>
    </row>
    <row r="1836" customFormat="false" ht="15" hidden="false" customHeight="true" outlineLevel="0" collapsed="false">
      <c r="A1836" s="10"/>
      <c r="B1836" s="8"/>
      <c r="C1836" s="13" t="str">
        <f aca="false">IF($B1836="","",IFERROR(INDEX(직원목록!$B$3:$B$302,MATCH($B1836,직원목록!$A$3:$A$302,0)),"미등록사번"))</f>
        <v/>
      </c>
      <c r="D1836" s="13" t="str">
        <f aca="false">IF($B1836="","",IFERROR(INDEX(직원목록!$C$3:$C$302,MATCH($B1836,직원목록!$A$3:$A$302,0)),""))</f>
        <v/>
      </c>
      <c r="E1836" s="14"/>
      <c r="F1836" s="14"/>
      <c r="G1836" s="15"/>
      <c r="H1836" s="16" t="str">
        <f aca="false">IF(OR($K1836="",$L1836=""),"",ROUND(MAX(0,($L1836-$K1836)-IF($G1836="",0,$G1836))/60,2))</f>
        <v/>
      </c>
      <c r="I1836" s="8"/>
      <c r="J1836" s="8"/>
      <c r="K1836" s="17" t="str">
        <f aca="false">IF($E1836="","",IF($E1836&lt;1,ROUND($E1836*1440,0),INT($E1836/100)*60+MOD($E1836,100)))</f>
        <v/>
      </c>
      <c r="L1836" s="17" t="str">
        <f aca="false">IF($F1836="","",IF($F1836&lt;1,ROUND($F1836*1440,0),INT($F1836/100)*60+MOD($F1836,100)))</f>
        <v/>
      </c>
    </row>
    <row r="1837" customFormat="false" ht="15" hidden="false" customHeight="true" outlineLevel="0" collapsed="false">
      <c r="A1837" s="10"/>
      <c r="B1837" s="8"/>
      <c r="C1837" s="13" t="str">
        <f aca="false">IF($B1837="","",IFERROR(INDEX(직원목록!$B$3:$B$302,MATCH($B1837,직원목록!$A$3:$A$302,0)),"미등록사번"))</f>
        <v/>
      </c>
      <c r="D1837" s="13" t="str">
        <f aca="false">IF($B1837="","",IFERROR(INDEX(직원목록!$C$3:$C$302,MATCH($B1837,직원목록!$A$3:$A$302,0)),""))</f>
        <v/>
      </c>
      <c r="E1837" s="14"/>
      <c r="F1837" s="14"/>
      <c r="G1837" s="15"/>
      <c r="H1837" s="16" t="str">
        <f aca="false">IF(OR($K1837="",$L1837=""),"",ROUND(MAX(0,($L1837-$K1837)-IF($G1837="",0,$G1837))/60,2))</f>
        <v/>
      </c>
      <c r="I1837" s="8"/>
      <c r="J1837" s="8"/>
      <c r="K1837" s="17" t="str">
        <f aca="false">IF($E1837="","",IF($E1837&lt;1,ROUND($E1837*1440,0),INT($E1837/100)*60+MOD($E1837,100)))</f>
        <v/>
      </c>
      <c r="L1837" s="17" t="str">
        <f aca="false">IF($F1837="","",IF($F1837&lt;1,ROUND($F1837*1440,0),INT($F1837/100)*60+MOD($F1837,100)))</f>
        <v/>
      </c>
    </row>
    <row r="1838" customFormat="false" ht="15" hidden="false" customHeight="true" outlineLevel="0" collapsed="false">
      <c r="A1838" s="10"/>
      <c r="B1838" s="8"/>
      <c r="C1838" s="13" t="str">
        <f aca="false">IF($B1838="","",IFERROR(INDEX(직원목록!$B$3:$B$302,MATCH($B1838,직원목록!$A$3:$A$302,0)),"미등록사번"))</f>
        <v/>
      </c>
      <c r="D1838" s="13" t="str">
        <f aca="false">IF($B1838="","",IFERROR(INDEX(직원목록!$C$3:$C$302,MATCH($B1838,직원목록!$A$3:$A$302,0)),""))</f>
        <v/>
      </c>
      <c r="E1838" s="14"/>
      <c r="F1838" s="14"/>
      <c r="G1838" s="15"/>
      <c r="H1838" s="16" t="str">
        <f aca="false">IF(OR($K1838="",$L1838=""),"",ROUND(MAX(0,($L1838-$K1838)-IF($G1838="",0,$G1838))/60,2))</f>
        <v/>
      </c>
      <c r="I1838" s="8"/>
      <c r="J1838" s="8"/>
      <c r="K1838" s="17" t="str">
        <f aca="false">IF($E1838="","",IF($E1838&lt;1,ROUND($E1838*1440,0),INT($E1838/100)*60+MOD($E1838,100)))</f>
        <v/>
      </c>
      <c r="L1838" s="17" t="str">
        <f aca="false">IF($F1838="","",IF($F1838&lt;1,ROUND($F1838*1440,0),INT($F1838/100)*60+MOD($F1838,100)))</f>
        <v/>
      </c>
    </row>
    <row r="1839" customFormat="false" ht="15" hidden="false" customHeight="true" outlineLevel="0" collapsed="false">
      <c r="A1839" s="10"/>
      <c r="B1839" s="8"/>
      <c r="C1839" s="13" t="str">
        <f aca="false">IF($B1839="","",IFERROR(INDEX(직원목록!$B$3:$B$302,MATCH($B1839,직원목록!$A$3:$A$302,0)),"미등록사번"))</f>
        <v/>
      </c>
      <c r="D1839" s="13" t="str">
        <f aca="false">IF($B1839="","",IFERROR(INDEX(직원목록!$C$3:$C$302,MATCH($B1839,직원목록!$A$3:$A$302,0)),""))</f>
        <v/>
      </c>
      <c r="E1839" s="14"/>
      <c r="F1839" s="14"/>
      <c r="G1839" s="15"/>
      <c r="H1839" s="16" t="str">
        <f aca="false">IF(OR($K1839="",$L1839=""),"",ROUND(MAX(0,($L1839-$K1839)-IF($G1839="",0,$G1839))/60,2))</f>
        <v/>
      </c>
      <c r="I1839" s="8"/>
      <c r="J1839" s="8"/>
      <c r="K1839" s="17" t="str">
        <f aca="false">IF($E1839="","",IF($E1839&lt;1,ROUND($E1839*1440,0),INT($E1839/100)*60+MOD($E1839,100)))</f>
        <v/>
      </c>
      <c r="L1839" s="17" t="str">
        <f aca="false">IF($F1839="","",IF($F1839&lt;1,ROUND($F1839*1440,0),INT($F1839/100)*60+MOD($F1839,100)))</f>
        <v/>
      </c>
    </row>
    <row r="1840" customFormat="false" ht="15" hidden="false" customHeight="true" outlineLevel="0" collapsed="false">
      <c r="A1840" s="10"/>
      <c r="B1840" s="8"/>
      <c r="C1840" s="13" t="str">
        <f aca="false">IF($B1840="","",IFERROR(INDEX(직원목록!$B$3:$B$302,MATCH($B1840,직원목록!$A$3:$A$302,0)),"미등록사번"))</f>
        <v/>
      </c>
      <c r="D1840" s="13" t="str">
        <f aca="false">IF($B1840="","",IFERROR(INDEX(직원목록!$C$3:$C$302,MATCH($B1840,직원목록!$A$3:$A$302,0)),""))</f>
        <v/>
      </c>
      <c r="E1840" s="14"/>
      <c r="F1840" s="14"/>
      <c r="G1840" s="15"/>
      <c r="H1840" s="16" t="str">
        <f aca="false">IF(OR($K1840="",$L1840=""),"",ROUND(MAX(0,($L1840-$K1840)-IF($G1840="",0,$G1840))/60,2))</f>
        <v/>
      </c>
      <c r="I1840" s="8"/>
      <c r="J1840" s="8"/>
      <c r="K1840" s="17" t="str">
        <f aca="false">IF($E1840="","",IF($E1840&lt;1,ROUND($E1840*1440,0),INT($E1840/100)*60+MOD($E1840,100)))</f>
        <v/>
      </c>
      <c r="L1840" s="17" t="str">
        <f aca="false">IF($F1840="","",IF($F1840&lt;1,ROUND($F1840*1440,0),INT($F1840/100)*60+MOD($F1840,100)))</f>
        <v/>
      </c>
    </row>
    <row r="1841" customFormat="false" ht="15" hidden="false" customHeight="true" outlineLevel="0" collapsed="false">
      <c r="A1841" s="10"/>
      <c r="B1841" s="8"/>
      <c r="C1841" s="13" t="str">
        <f aca="false">IF($B1841="","",IFERROR(INDEX(직원목록!$B$3:$B$302,MATCH($B1841,직원목록!$A$3:$A$302,0)),"미등록사번"))</f>
        <v/>
      </c>
      <c r="D1841" s="13" t="str">
        <f aca="false">IF($B1841="","",IFERROR(INDEX(직원목록!$C$3:$C$302,MATCH($B1841,직원목록!$A$3:$A$302,0)),""))</f>
        <v/>
      </c>
      <c r="E1841" s="14"/>
      <c r="F1841" s="14"/>
      <c r="G1841" s="15"/>
      <c r="H1841" s="16" t="str">
        <f aca="false">IF(OR($K1841="",$L1841=""),"",ROUND(MAX(0,($L1841-$K1841)-IF($G1841="",0,$G1841))/60,2))</f>
        <v/>
      </c>
      <c r="I1841" s="8"/>
      <c r="J1841" s="8"/>
      <c r="K1841" s="17" t="str">
        <f aca="false">IF($E1841="","",IF($E1841&lt;1,ROUND($E1841*1440,0),INT($E1841/100)*60+MOD($E1841,100)))</f>
        <v/>
      </c>
      <c r="L1841" s="17" t="str">
        <f aca="false">IF($F1841="","",IF($F1841&lt;1,ROUND($F1841*1440,0),INT($F1841/100)*60+MOD($F1841,100)))</f>
        <v/>
      </c>
    </row>
    <row r="1842" customFormat="false" ht="15" hidden="false" customHeight="true" outlineLevel="0" collapsed="false">
      <c r="A1842" s="10"/>
      <c r="B1842" s="8"/>
      <c r="C1842" s="13" t="str">
        <f aca="false">IF($B1842="","",IFERROR(INDEX(직원목록!$B$3:$B$302,MATCH($B1842,직원목록!$A$3:$A$302,0)),"미등록사번"))</f>
        <v/>
      </c>
      <c r="D1842" s="13" t="str">
        <f aca="false">IF($B1842="","",IFERROR(INDEX(직원목록!$C$3:$C$302,MATCH($B1842,직원목록!$A$3:$A$302,0)),""))</f>
        <v/>
      </c>
      <c r="E1842" s="14"/>
      <c r="F1842" s="14"/>
      <c r="G1842" s="15"/>
      <c r="H1842" s="16" t="str">
        <f aca="false">IF(OR($K1842="",$L1842=""),"",ROUND(MAX(0,($L1842-$K1842)-IF($G1842="",0,$G1842))/60,2))</f>
        <v/>
      </c>
      <c r="I1842" s="8"/>
      <c r="J1842" s="8"/>
      <c r="K1842" s="17" t="str">
        <f aca="false">IF($E1842="","",IF($E1842&lt;1,ROUND($E1842*1440,0),INT($E1842/100)*60+MOD($E1842,100)))</f>
        <v/>
      </c>
      <c r="L1842" s="17" t="str">
        <f aca="false">IF($F1842="","",IF($F1842&lt;1,ROUND($F1842*1440,0),INT($F1842/100)*60+MOD($F1842,100)))</f>
        <v/>
      </c>
    </row>
    <row r="1843" customFormat="false" ht="15" hidden="false" customHeight="true" outlineLevel="0" collapsed="false">
      <c r="A1843" s="10"/>
      <c r="B1843" s="8"/>
      <c r="C1843" s="13" t="str">
        <f aca="false">IF($B1843="","",IFERROR(INDEX(직원목록!$B$3:$B$302,MATCH($B1843,직원목록!$A$3:$A$302,0)),"미등록사번"))</f>
        <v/>
      </c>
      <c r="D1843" s="13" t="str">
        <f aca="false">IF($B1843="","",IFERROR(INDEX(직원목록!$C$3:$C$302,MATCH($B1843,직원목록!$A$3:$A$302,0)),""))</f>
        <v/>
      </c>
      <c r="E1843" s="14"/>
      <c r="F1843" s="14"/>
      <c r="G1843" s="15"/>
      <c r="H1843" s="16" t="str">
        <f aca="false">IF(OR($K1843="",$L1843=""),"",ROUND(MAX(0,($L1843-$K1843)-IF($G1843="",0,$G1843))/60,2))</f>
        <v/>
      </c>
      <c r="I1843" s="8"/>
      <c r="J1843" s="8"/>
      <c r="K1843" s="17" t="str">
        <f aca="false">IF($E1843="","",IF($E1843&lt;1,ROUND($E1843*1440,0),INT($E1843/100)*60+MOD($E1843,100)))</f>
        <v/>
      </c>
      <c r="L1843" s="17" t="str">
        <f aca="false">IF($F1843="","",IF($F1843&lt;1,ROUND($F1843*1440,0),INT($F1843/100)*60+MOD($F1843,100)))</f>
        <v/>
      </c>
    </row>
    <row r="1844" customFormat="false" ht="15" hidden="false" customHeight="true" outlineLevel="0" collapsed="false">
      <c r="A1844" s="10"/>
      <c r="B1844" s="8"/>
      <c r="C1844" s="13" t="str">
        <f aca="false">IF($B1844="","",IFERROR(INDEX(직원목록!$B$3:$B$302,MATCH($B1844,직원목록!$A$3:$A$302,0)),"미등록사번"))</f>
        <v/>
      </c>
      <c r="D1844" s="13" t="str">
        <f aca="false">IF($B1844="","",IFERROR(INDEX(직원목록!$C$3:$C$302,MATCH($B1844,직원목록!$A$3:$A$302,0)),""))</f>
        <v/>
      </c>
      <c r="E1844" s="14"/>
      <c r="F1844" s="14"/>
      <c r="G1844" s="15"/>
      <c r="H1844" s="16" t="str">
        <f aca="false">IF(OR($K1844="",$L1844=""),"",ROUND(MAX(0,($L1844-$K1844)-IF($G1844="",0,$G1844))/60,2))</f>
        <v/>
      </c>
      <c r="I1844" s="8"/>
      <c r="J1844" s="8"/>
      <c r="K1844" s="17" t="str">
        <f aca="false">IF($E1844="","",IF($E1844&lt;1,ROUND($E1844*1440,0),INT($E1844/100)*60+MOD($E1844,100)))</f>
        <v/>
      </c>
      <c r="L1844" s="17" t="str">
        <f aca="false">IF($F1844="","",IF($F1844&lt;1,ROUND($F1844*1440,0),INT($F1844/100)*60+MOD($F1844,100)))</f>
        <v/>
      </c>
    </row>
    <row r="1845" customFormat="false" ht="15" hidden="false" customHeight="true" outlineLevel="0" collapsed="false">
      <c r="A1845" s="10"/>
      <c r="B1845" s="8"/>
      <c r="C1845" s="13" t="str">
        <f aca="false">IF($B1845="","",IFERROR(INDEX(직원목록!$B$3:$B$302,MATCH($B1845,직원목록!$A$3:$A$302,0)),"미등록사번"))</f>
        <v/>
      </c>
      <c r="D1845" s="13" t="str">
        <f aca="false">IF($B1845="","",IFERROR(INDEX(직원목록!$C$3:$C$302,MATCH($B1845,직원목록!$A$3:$A$302,0)),""))</f>
        <v/>
      </c>
      <c r="E1845" s="14"/>
      <c r="F1845" s="14"/>
      <c r="G1845" s="15"/>
      <c r="H1845" s="16" t="str">
        <f aca="false">IF(OR($K1845="",$L1845=""),"",ROUND(MAX(0,($L1845-$K1845)-IF($G1845="",0,$G1845))/60,2))</f>
        <v/>
      </c>
      <c r="I1845" s="8"/>
      <c r="J1845" s="8"/>
      <c r="K1845" s="17" t="str">
        <f aca="false">IF($E1845="","",IF($E1845&lt;1,ROUND($E1845*1440,0),INT($E1845/100)*60+MOD($E1845,100)))</f>
        <v/>
      </c>
      <c r="L1845" s="17" t="str">
        <f aca="false">IF($F1845="","",IF($F1845&lt;1,ROUND($F1845*1440,0),INT($F1845/100)*60+MOD($F1845,100)))</f>
        <v/>
      </c>
    </row>
    <row r="1846" customFormat="false" ht="15" hidden="false" customHeight="true" outlineLevel="0" collapsed="false">
      <c r="A1846" s="10"/>
      <c r="B1846" s="8"/>
      <c r="C1846" s="13" t="str">
        <f aca="false">IF($B1846="","",IFERROR(INDEX(직원목록!$B$3:$B$302,MATCH($B1846,직원목록!$A$3:$A$302,0)),"미등록사번"))</f>
        <v/>
      </c>
      <c r="D1846" s="13" t="str">
        <f aca="false">IF($B1846="","",IFERROR(INDEX(직원목록!$C$3:$C$302,MATCH($B1846,직원목록!$A$3:$A$302,0)),""))</f>
        <v/>
      </c>
      <c r="E1846" s="14"/>
      <c r="F1846" s="14"/>
      <c r="G1846" s="15"/>
      <c r="H1846" s="16" t="str">
        <f aca="false">IF(OR($K1846="",$L1846=""),"",ROUND(MAX(0,($L1846-$K1846)-IF($G1846="",0,$G1846))/60,2))</f>
        <v/>
      </c>
      <c r="I1846" s="8"/>
      <c r="J1846" s="8"/>
      <c r="K1846" s="17" t="str">
        <f aca="false">IF($E1846="","",IF($E1846&lt;1,ROUND($E1846*1440,0),INT($E1846/100)*60+MOD($E1846,100)))</f>
        <v/>
      </c>
      <c r="L1846" s="17" t="str">
        <f aca="false">IF($F1846="","",IF($F1846&lt;1,ROUND($F1846*1440,0),INT($F1846/100)*60+MOD($F1846,100)))</f>
        <v/>
      </c>
    </row>
    <row r="1847" customFormat="false" ht="15" hidden="false" customHeight="true" outlineLevel="0" collapsed="false">
      <c r="A1847" s="10"/>
      <c r="B1847" s="8"/>
      <c r="C1847" s="13" t="str">
        <f aca="false">IF($B1847="","",IFERROR(INDEX(직원목록!$B$3:$B$302,MATCH($B1847,직원목록!$A$3:$A$302,0)),"미등록사번"))</f>
        <v/>
      </c>
      <c r="D1847" s="13" t="str">
        <f aca="false">IF($B1847="","",IFERROR(INDEX(직원목록!$C$3:$C$302,MATCH($B1847,직원목록!$A$3:$A$302,0)),""))</f>
        <v/>
      </c>
      <c r="E1847" s="14"/>
      <c r="F1847" s="14"/>
      <c r="G1847" s="15"/>
      <c r="H1847" s="16" t="str">
        <f aca="false">IF(OR($K1847="",$L1847=""),"",ROUND(MAX(0,($L1847-$K1847)-IF($G1847="",0,$G1847))/60,2))</f>
        <v/>
      </c>
      <c r="I1847" s="8"/>
      <c r="J1847" s="8"/>
      <c r="K1847" s="17" t="str">
        <f aca="false">IF($E1847="","",IF($E1847&lt;1,ROUND($E1847*1440,0),INT($E1847/100)*60+MOD($E1847,100)))</f>
        <v/>
      </c>
      <c r="L1847" s="17" t="str">
        <f aca="false">IF($F1847="","",IF($F1847&lt;1,ROUND($F1847*1440,0),INT($F1847/100)*60+MOD($F1847,100)))</f>
        <v/>
      </c>
    </row>
    <row r="1848" customFormat="false" ht="15" hidden="false" customHeight="true" outlineLevel="0" collapsed="false">
      <c r="A1848" s="10"/>
      <c r="B1848" s="8"/>
      <c r="C1848" s="13" t="str">
        <f aca="false">IF($B1848="","",IFERROR(INDEX(직원목록!$B$3:$B$302,MATCH($B1848,직원목록!$A$3:$A$302,0)),"미등록사번"))</f>
        <v/>
      </c>
      <c r="D1848" s="13" t="str">
        <f aca="false">IF($B1848="","",IFERROR(INDEX(직원목록!$C$3:$C$302,MATCH($B1848,직원목록!$A$3:$A$302,0)),""))</f>
        <v/>
      </c>
      <c r="E1848" s="14"/>
      <c r="F1848" s="14"/>
      <c r="G1848" s="15"/>
      <c r="H1848" s="16" t="str">
        <f aca="false">IF(OR($K1848="",$L1848=""),"",ROUND(MAX(0,($L1848-$K1848)-IF($G1848="",0,$G1848))/60,2))</f>
        <v/>
      </c>
      <c r="I1848" s="8"/>
      <c r="J1848" s="8"/>
      <c r="K1848" s="17" t="str">
        <f aca="false">IF($E1848="","",IF($E1848&lt;1,ROUND($E1848*1440,0),INT($E1848/100)*60+MOD($E1848,100)))</f>
        <v/>
      </c>
      <c r="L1848" s="17" t="str">
        <f aca="false">IF($F1848="","",IF($F1848&lt;1,ROUND($F1848*1440,0),INT($F1848/100)*60+MOD($F1848,100)))</f>
        <v/>
      </c>
    </row>
    <row r="1849" customFormat="false" ht="15" hidden="false" customHeight="true" outlineLevel="0" collapsed="false">
      <c r="A1849" s="10"/>
      <c r="B1849" s="8"/>
      <c r="C1849" s="13" t="str">
        <f aca="false">IF($B1849="","",IFERROR(INDEX(직원목록!$B$3:$B$302,MATCH($B1849,직원목록!$A$3:$A$302,0)),"미등록사번"))</f>
        <v/>
      </c>
      <c r="D1849" s="13" t="str">
        <f aca="false">IF($B1849="","",IFERROR(INDEX(직원목록!$C$3:$C$302,MATCH($B1849,직원목록!$A$3:$A$302,0)),""))</f>
        <v/>
      </c>
      <c r="E1849" s="14"/>
      <c r="F1849" s="14"/>
      <c r="G1849" s="15"/>
      <c r="H1849" s="16" t="str">
        <f aca="false">IF(OR($K1849="",$L1849=""),"",ROUND(MAX(0,($L1849-$K1849)-IF($G1849="",0,$G1849))/60,2))</f>
        <v/>
      </c>
      <c r="I1849" s="8"/>
      <c r="J1849" s="8"/>
      <c r="K1849" s="17" t="str">
        <f aca="false">IF($E1849="","",IF($E1849&lt;1,ROUND($E1849*1440,0),INT($E1849/100)*60+MOD($E1849,100)))</f>
        <v/>
      </c>
      <c r="L1849" s="17" t="str">
        <f aca="false">IF($F1849="","",IF($F1849&lt;1,ROUND($F1849*1440,0),INT($F1849/100)*60+MOD($F1849,100)))</f>
        <v/>
      </c>
    </row>
    <row r="1850" customFormat="false" ht="15" hidden="false" customHeight="true" outlineLevel="0" collapsed="false">
      <c r="A1850" s="10"/>
      <c r="B1850" s="8"/>
      <c r="C1850" s="13" t="str">
        <f aca="false">IF($B1850="","",IFERROR(INDEX(직원목록!$B$3:$B$302,MATCH($B1850,직원목록!$A$3:$A$302,0)),"미등록사번"))</f>
        <v/>
      </c>
      <c r="D1850" s="13" t="str">
        <f aca="false">IF($B1850="","",IFERROR(INDEX(직원목록!$C$3:$C$302,MATCH($B1850,직원목록!$A$3:$A$302,0)),""))</f>
        <v/>
      </c>
      <c r="E1850" s="14"/>
      <c r="F1850" s="14"/>
      <c r="G1850" s="15"/>
      <c r="H1850" s="16" t="str">
        <f aca="false">IF(OR($K1850="",$L1850=""),"",ROUND(MAX(0,($L1850-$K1850)-IF($G1850="",0,$G1850))/60,2))</f>
        <v/>
      </c>
      <c r="I1850" s="8"/>
      <c r="J1850" s="8"/>
      <c r="K1850" s="17" t="str">
        <f aca="false">IF($E1850="","",IF($E1850&lt;1,ROUND($E1850*1440,0),INT($E1850/100)*60+MOD($E1850,100)))</f>
        <v/>
      </c>
      <c r="L1850" s="17" t="str">
        <f aca="false">IF($F1850="","",IF($F1850&lt;1,ROUND($F1850*1440,0),INT($F1850/100)*60+MOD($F1850,100)))</f>
        <v/>
      </c>
    </row>
    <row r="1851" customFormat="false" ht="15" hidden="false" customHeight="true" outlineLevel="0" collapsed="false">
      <c r="A1851" s="10"/>
      <c r="B1851" s="8"/>
      <c r="C1851" s="13" t="str">
        <f aca="false">IF($B1851="","",IFERROR(INDEX(직원목록!$B$3:$B$302,MATCH($B1851,직원목록!$A$3:$A$302,0)),"미등록사번"))</f>
        <v/>
      </c>
      <c r="D1851" s="13" t="str">
        <f aca="false">IF($B1851="","",IFERROR(INDEX(직원목록!$C$3:$C$302,MATCH($B1851,직원목록!$A$3:$A$302,0)),""))</f>
        <v/>
      </c>
      <c r="E1851" s="14"/>
      <c r="F1851" s="14"/>
      <c r="G1851" s="15"/>
      <c r="H1851" s="16" t="str">
        <f aca="false">IF(OR($K1851="",$L1851=""),"",ROUND(MAX(0,($L1851-$K1851)-IF($G1851="",0,$G1851))/60,2))</f>
        <v/>
      </c>
      <c r="I1851" s="8"/>
      <c r="J1851" s="8"/>
      <c r="K1851" s="17" t="str">
        <f aca="false">IF($E1851="","",IF($E1851&lt;1,ROUND($E1851*1440,0),INT($E1851/100)*60+MOD($E1851,100)))</f>
        <v/>
      </c>
      <c r="L1851" s="17" t="str">
        <f aca="false">IF($F1851="","",IF($F1851&lt;1,ROUND($F1851*1440,0),INT($F1851/100)*60+MOD($F1851,100)))</f>
        <v/>
      </c>
    </row>
    <row r="1852" customFormat="false" ht="15" hidden="false" customHeight="true" outlineLevel="0" collapsed="false">
      <c r="A1852" s="10"/>
      <c r="B1852" s="8"/>
      <c r="C1852" s="13" t="str">
        <f aca="false">IF($B1852="","",IFERROR(INDEX(직원목록!$B$3:$B$302,MATCH($B1852,직원목록!$A$3:$A$302,0)),"미등록사번"))</f>
        <v/>
      </c>
      <c r="D1852" s="13" t="str">
        <f aca="false">IF($B1852="","",IFERROR(INDEX(직원목록!$C$3:$C$302,MATCH($B1852,직원목록!$A$3:$A$302,0)),""))</f>
        <v/>
      </c>
      <c r="E1852" s="14"/>
      <c r="F1852" s="14"/>
      <c r="G1852" s="15"/>
      <c r="H1852" s="16" t="str">
        <f aca="false">IF(OR($K1852="",$L1852=""),"",ROUND(MAX(0,($L1852-$K1852)-IF($G1852="",0,$G1852))/60,2))</f>
        <v/>
      </c>
      <c r="I1852" s="8"/>
      <c r="J1852" s="8"/>
      <c r="K1852" s="17" t="str">
        <f aca="false">IF($E1852="","",IF($E1852&lt;1,ROUND($E1852*1440,0),INT($E1852/100)*60+MOD($E1852,100)))</f>
        <v/>
      </c>
      <c r="L1852" s="17" t="str">
        <f aca="false">IF($F1852="","",IF($F1852&lt;1,ROUND($F1852*1440,0),INT($F1852/100)*60+MOD($F1852,100)))</f>
        <v/>
      </c>
    </row>
    <row r="1853" customFormat="false" ht="15" hidden="false" customHeight="true" outlineLevel="0" collapsed="false">
      <c r="A1853" s="10"/>
      <c r="B1853" s="8"/>
      <c r="C1853" s="13" t="str">
        <f aca="false">IF($B1853="","",IFERROR(INDEX(직원목록!$B$3:$B$302,MATCH($B1853,직원목록!$A$3:$A$302,0)),"미등록사번"))</f>
        <v/>
      </c>
      <c r="D1853" s="13" t="str">
        <f aca="false">IF($B1853="","",IFERROR(INDEX(직원목록!$C$3:$C$302,MATCH($B1853,직원목록!$A$3:$A$302,0)),""))</f>
        <v/>
      </c>
      <c r="E1853" s="14"/>
      <c r="F1853" s="14"/>
      <c r="G1853" s="15"/>
      <c r="H1853" s="16" t="str">
        <f aca="false">IF(OR($K1853="",$L1853=""),"",ROUND(MAX(0,($L1853-$K1853)-IF($G1853="",0,$G1853))/60,2))</f>
        <v/>
      </c>
      <c r="I1853" s="8"/>
      <c r="J1853" s="8"/>
      <c r="K1853" s="17" t="str">
        <f aca="false">IF($E1853="","",IF($E1853&lt;1,ROUND($E1853*1440,0),INT($E1853/100)*60+MOD($E1853,100)))</f>
        <v/>
      </c>
      <c r="L1853" s="17" t="str">
        <f aca="false">IF($F1853="","",IF($F1853&lt;1,ROUND($F1853*1440,0),INT($F1853/100)*60+MOD($F1853,100)))</f>
        <v/>
      </c>
    </row>
    <row r="1854" customFormat="false" ht="15" hidden="false" customHeight="true" outlineLevel="0" collapsed="false">
      <c r="A1854" s="10"/>
      <c r="B1854" s="8"/>
      <c r="C1854" s="13" t="str">
        <f aca="false">IF($B1854="","",IFERROR(INDEX(직원목록!$B$3:$B$302,MATCH($B1854,직원목록!$A$3:$A$302,0)),"미등록사번"))</f>
        <v/>
      </c>
      <c r="D1854" s="13" t="str">
        <f aca="false">IF($B1854="","",IFERROR(INDEX(직원목록!$C$3:$C$302,MATCH($B1854,직원목록!$A$3:$A$302,0)),""))</f>
        <v/>
      </c>
      <c r="E1854" s="14"/>
      <c r="F1854" s="14"/>
      <c r="G1854" s="15"/>
      <c r="H1854" s="16" t="str">
        <f aca="false">IF(OR($K1854="",$L1854=""),"",ROUND(MAX(0,($L1854-$K1854)-IF($G1854="",0,$G1854))/60,2))</f>
        <v/>
      </c>
      <c r="I1854" s="8"/>
      <c r="J1854" s="8"/>
      <c r="K1854" s="17" t="str">
        <f aca="false">IF($E1854="","",IF($E1854&lt;1,ROUND($E1854*1440,0),INT($E1854/100)*60+MOD($E1854,100)))</f>
        <v/>
      </c>
      <c r="L1854" s="17" t="str">
        <f aca="false">IF($F1854="","",IF($F1854&lt;1,ROUND($F1854*1440,0),INT($F1854/100)*60+MOD($F1854,100)))</f>
        <v/>
      </c>
    </row>
    <row r="1855" customFormat="false" ht="15" hidden="false" customHeight="true" outlineLevel="0" collapsed="false">
      <c r="A1855" s="10"/>
      <c r="B1855" s="8"/>
      <c r="C1855" s="13" t="str">
        <f aca="false">IF($B1855="","",IFERROR(INDEX(직원목록!$B$3:$B$302,MATCH($B1855,직원목록!$A$3:$A$302,0)),"미등록사번"))</f>
        <v/>
      </c>
      <c r="D1855" s="13" t="str">
        <f aca="false">IF($B1855="","",IFERROR(INDEX(직원목록!$C$3:$C$302,MATCH($B1855,직원목록!$A$3:$A$302,0)),""))</f>
        <v/>
      </c>
      <c r="E1855" s="14"/>
      <c r="F1855" s="14"/>
      <c r="G1855" s="15"/>
      <c r="H1855" s="16" t="str">
        <f aca="false">IF(OR($K1855="",$L1855=""),"",ROUND(MAX(0,($L1855-$K1855)-IF($G1855="",0,$G1855))/60,2))</f>
        <v/>
      </c>
      <c r="I1855" s="8"/>
      <c r="J1855" s="8"/>
      <c r="K1855" s="17" t="str">
        <f aca="false">IF($E1855="","",IF($E1855&lt;1,ROUND($E1855*1440,0),INT($E1855/100)*60+MOD($E1855,100)))</f>
        <v/>
      </c>
      <c r="L1855" s="17" t="str">
        <f aca="false">IF($F1855="","",IF($F1855&lt;1,ROUND($F1855*1440,0),INT($F1855/100)*60+MOD($F1855,100)))</f>
        <v/>
      </c>
    </row>
    <row r="1856" customFormat="false" ht="15" hidden="false" customHeight="true" outlineLevel="0" collapsed="false">
      <c r="A1856" s="10"/>
      <c r="B1856" s="8"/>
      <c r="C1856" s="13" t="str">
        <f aca="false">IF($B1856="","",IFERROR(INDEX(직원목록!$B$3:$B$302,MATCH($B1856,직원목록!$A$3:$A$302,0)),"미등록사번"))</f>
        <v/>
      </c>
      <c r="D1856" s="13" t="str">
        <f aca="false">IF($B1856="","",IFERROR(INDEX(직원목록!$C$3:$C$302,MATCH($B1856,직원목록!$A$3:$A$302,0)),""))</f>
        <v/>
      </c>
      <c r="E1856" s="14"/>
      <c r="F1856" s="14"/>
      <c r="G1856" s="15"/>
      <c r="H1856" s="16" t="str">
        <f aca="false">IF(OR($K1856="",$L1856=""),"",ROUND(MAX(0,($L1856-$K1856)-IF($G1856="",0,$G1856))/60,2))</f>
        <v/>
      </c>
      <c r="I1856" s="8"/>
      <c r="J1856" s="8"/>
      <c r="K1856" s="17" t="str">
        <f aca="false">IF($E1856="","",IF($E1856&lt;1,ROUND($E1856*1440,0),INT($E1856/100)*60+MOD($E1856,100)))</f>
        <v/>
      </c>
      <c r="L1856" s="17" t="str">
        <f aca="false">IF($F1856="","",IF($F1856&lt;1,ROUND($F1856*1440,0),INT($F1856/100)*60+MOD($F1856,100)))</f>
        <v/>
      </c>
    </row>
    <row r="1857" customFormat="false" ht="15" hidden="false" customHeight="true" outlineLevel="0" collapsed="false">
      <c r="A1857" s="10"/>
      <c r="B1857" s="8"/>
      <c r="C1857" s="13" t="str">
        <f aca="false">IF($B1857="","",IFERROR(INDEX(직원목록!$B$3:$B$302,MATCH($B1857,직원목록!$A$3:$A$302,0)),"미등록사번"))</f>
        <v/>
      </c>
      <c r="D1857" s="13" t="str">
        <f aca="false">IF($B1857="","",IFERROR(INDEX(직원목록!$C$3:$C$302,MATCH($B1857,직원목록!$A$3:$A$302,0)),""))</f>
        <v/>
      </c>
      <c r="E1857" s="14"/>
      <c r="F1857" s="14"/>
      <c r="G1857" s="15"/>
      <c r="H1857" s="16" t="str">
        <f aca="false">IF(OR($K1857="",$L1857=""),"",ROUND(MAX(0,($L1857-$K1857)-IF($G1857="",0,$G1857))/60,2))</f>
        <v/>
      </c>
      <c r="I1857" s="8"/>
      <c r="J1857" s="8"/>
      <c r="K1857" s="17" t="str">
        <f aca="false">IF($E1857="","",IF($E1857&lt;1,ROUND($E1857*1440,0),INT($E1857/100)*60+MOD($E1857,100)))</f>
        <v/>
      </c>
      <c r="L1857" s="17" t="str">
        <f aca="false">IF($F1857="","",IF($F1857&lt;1,ROUND($F1857*1440,0),INT($F1857/100)*60+MOD($F1857,100)))</f>
        <v/>
      </c>
    </row>
    <row r="1858" customFormat="false" ht="15" hidden="false" customHeight="true" outlineLevel="0" collapsed="false">
      <c r="A1858" s="10"/>
      <c r="B1858" s="8"/>
      <c r="C1858" s="13" t="str">
        <f aca="false">IF($B1858="","",IFERROR(INDEX(직원목록!$B$3:$B$302,MATCH($B1858,직원목록!$A$3:$A$302,0)),"미등록사번"))</f>
        <v/>
      </c>
      <c r="D1858" s="13" t="str">
        <f aca="false">IF($B1858="","",IFERROR(INDEX(직원목록!$C$3:$C$302,MATCH($B1858,직원목록!$A$3:$A$302,0)),""))</f>
        <v/>
      </c>
      <c r="E1858" s="14"/>
      <c r="F1858" s="14"/>
      <c r="G1858" s="15"/>
      <c r="H1858" s="16" t="str">
        <f aca="false">IF(OR($K1858="",$L1858=""),"",ROUND(MAX(0,($L1858-$K1858)-IF($G1858="",0,$G1858))/60,2))</f>
        <v/>
      </c>
      <c r="I1858" s="8"/>
      <c r="J1858" s="8"/>
      <c r="K1858" s="17" t="str">
        <f aca="false">IF($E1858="","",IF($E1858&lt;1,ROUND($E1858*1440,0),INT($E1858/100)*60+MOD($E1858,100)))</f>
        <v/>
      </c>
      <c r="L1858" s="17" t="str">
        <f aca="false">IF($F1858="","",IF($F1858&lt;1,ROUND($F1858*1440,0),INT($F1858/100)*60+MOD($F1858,100)))</f>
        <v/>
      </c>
    </row>
    <row r="1859" customFormat="false" ht="15" hidden="false" customHeight="true" outlineLevel="0" collapsed="false">
      <c r="A1859" s="10"/>
      <c r="B1859" s="8"/>
      <c r="C1859" s="13" t="str">
        <f aca="false">IF($B1859="","",IFERROR(INDEX(직원목록!$B$3:$B$302,MATCH($B1859,직원목록!$A$3:$A$302,0)),"미등록사번"))</f>
        <v/>
      </c>
      <c r="D1859" s="13" t="str">
        <f aca="false">IF($B1859="","",IFERROR(INDEX(직원목록!$C$3:$C$302,MATCH($B1859,직원목록!$A$3:$A$302,0)),""))</f>
        <v/>
      </c>
      <c r="E1859" s="14"/>
      <c r="F1859" s="14"/>
      <c r="G1859" s="15"/>
      <c r="H1859" s="16" t="str">
        <f aca="false">IF(OR($K1859="",$L1859=""),"",ROUND(MAX(0,($L1859-$K1859)-IF($G1859="",0,$G1859))/60,2))</f>
        <v/>
      </c>
      <c r="I1859" s="8"/>
      <c r="J1859" s="8"/>
      <c r="K1859" s="17" t="str">
        <f aca="false">IF($E1859="","",IF($E1859&lt;1,ROUND($E1859*1440,0),INT($E1859/100)*60+MOD($E1859,100)))</f>
        <v/>
      </c>
      <c r="L1859" s="17" t="str">
        <f aca="false">IF($F1859="","",IF($F1859&lt;1,ROUND($F1859*1440,0),INT($F1859/100)*60+MOD($F1859,100)))</f>
        <v/>
      </c>
    </row>
    <row r="1860" customFormat="false" ht="15" hidden="false" customHeight="true" outlineLevel="0" collapsed="false">
      <c r="A1860" s="10"/>
      <c r="B1860" s="8"/>
      <c r="C1860" s="13" t="str">
        <f aca="false">IF($B1860="","",IFERROR(INDEX(직원목록!$B$3:$B$302,MATCH($B1860,직원목록!$A$3:$A$302,0)),"미등록사번"))</f>
        <v/>
      </c>
      <c r="D1860" s="13" t="str">
        <f aca="false">IF($B1860="","",IFERROR(INDEX(직원목록!$C$3:$C$302,MATCH($B1860,직원목록!$A$3:$A$302,0)),""))</f>
        <v/>
      </c>
      <c r="E1860" s="14"/>
      <c r="F1860" s="14"/>
      <c r="G1860" s="15"/>
      <c r="H1860" s="16" t="str">
        <f aca="false">IF(OR($K1860="",$L1860=""),"",ROUND(MAX(0,($L1860-$K1860)-IF($G1860="",0,$G1860))/60,2))</f>
        <v/>
      </c>
      <c r="I1860" s="8"/>
      <c r="J1860" s="8"/>
      <c r="K1860" s="17" t="str">
        <f aca="false">IF($E1860="","",IF($E1860&lt;1,ROUND($E1860*1440,0),INT($E1860/100)*60+MOD($E1860,100)))</f>
        <v/>
      </c>
      <c r="L1860" s="17" t="str">
        <f aca="false">IF($F1860="","",IF($F1860&lt;1,ROUND($F1860*1440,0),INT($F1860/100)*60+MOD($F1860,100)))</f>
        <v/>
      </c>
    </row>
    <row r="1861" customFormat="false" ht="15" hidden="false" customHeight="true" outlineLevel="0" collapsed="false">
      <c r="A1861" s="10"/>
      <c r="B1861" s="8"/>
      <c r="C1861" s="13" t="str">
        <f aca="false">IF($B1861="","",IFERROR(INDEX(직원목록!$B$3:$B$302,MATCH($B1861,직원목록!$A$3:$A$302,0)),"미등록사번"))</f>
        <v/>
      </c>
      <c r="D1861" s="13" t="str">
        <f aca="false">IF($B1861="","",IFERROR(INDEX(직원목록!$C$3:$C$302,MATCH($B1861,직원목록!$A$3:$A$302,0)),""))</f>
        <v/>
      </c>
      <c r="E1861" s="14"/>
      <c r="F1861" s="14"/>
      <c r="G1861" s="15"/>
      <c r="H1861" s="16" t="str">
        <f aca="false">IF(OR($K1861="",$L1861=""),"",ROUND(MAX(0,($L1861-$K1861)-IF($G1861="",0,$G1861))/60,2))</f>
        <v/>
      </c>
      <c r="I1861" s="8"/>
      <c r="J1861" s="8"/>
      <c r="K1861" s="17" t="str">
        <f aca="false">IF($E1861="","",IF($E1861&lt;1,ROUND($E1861*1440,0),INT($E1861/100)*60+MOD($E1861,100)))</f>
        <v/>
      </c>
      <c r="L1861" s="17" t="str">
        <f aca="false">IF($F1861="","",IF($F1861&lt;1,ROUND($F1861*1440,0),INT($F1861/100)*60+MOD($F1861,100)))</f>
        <v/>
      </c>
    </row>
    <row r="1862" customFormat="false" ht="15" hidden="false" customHeight="true" outlineLevel="0" collapsed="false">
      <c r="A1862" s="10"/>
      <c r="B1862" s="8"/>
      <c r="C1862" s="13" t="str">
        <f aca="false">IF($B1862="","",IFERROR(INDEX(직원목록!$B$3:$B$302,MATCH($B1862,직원목록!$A$3:$A$302,0)),"미등록사번"))</f>
        <v/>
      </c>
      <c r="D1862" s="13" t="str">
        <f aca="false">IF($B1862="","",IFERROR(INDEX(직원목록!$C$3:$C$302,MATCH($B1862,직원목록!$A$3:$A$302,0)),""))</f>
        <v/>
      </c>
      <c r="E1862" s="14"/>
      <c r="F1862" s="14"/>
      <c r="G1862" s="15"/>
      <c r="H1862" s="16" t="str">
        <f aca="false">IF(OR($K1862="",$L1862=""),"",ROUND(MAX(0,($L1862-$K1862)-IF($G1862="",0,$G1862))/60,2))</f>
        <v/>
      </c>
      <c r="I1862" s="8"/>
      <c r="J1862" s="8"/>
      <c r="K1862" s="17" t="str">
        <f aca="false">IF($E1862="","",IF($E1862&lt;1,ROUND($E1862*1440,0),INT($E1862/100)*60+MOD($E1862,100)))</f>
        <v/>
      </c>
      <c r="L1862" s="17" t="str">
        <f aca="false">IF($F1862="","",IF($F1862&lt;1,ROUND($F1862*1440,0),INT($F1862/100)*60+MOD($F1862,100)))</f>
        <v/>
      </c>
    </row>
    <row r="1863" customFormat="false" ht="15" hidden="false" customHeight="true" outlineLevel="0" collapsed="false">
      <c r="A1863" s="10"/>
      <c r="B1863" s="8"/>
      <c r="C1863" s="13" t="str">
        <f aca="false">IF($B1863="","",IFERROR(INDEX(직원목록!$B$3:$B$302,MATCH($B1863,직원목록!$A$3:$A$302,0)),"미등록사번"))</f>
        <v/>
      </c>
      <c r="D1863" s="13" t="str">
        <f aca="false">IF($B1863="","",IFERROR(INDEX(직원목록!$C$3:$C$302,MATCH($B1863,직원목록!$A$3:$A$302,0)),""))</f>
        <v/>
      </c>
      <c r="E1863" s="14"/>
      <c r="F1863" s="14"/>
      <c r="G1863" s="15"/>
      <c r="H1863" s="16" t="str">
        <f aca="false">IF(OR($K1863="",$L1863=""),"",ROUND(MAX(0,($L1863-$K1863)-IF($G1863="",0,$G1863))/60,2))</f>
        <v/>
      </c>
      <c r="I1863" s="8"/>
      <c r="J1863" s="8"/>
      <c r="K1863" s="17" t="str">
        <f aca="false">IF($E1863="","",IF($E1863&lt;1,ROUND($E1863*1440,0),INT($E1863/100)*60+MOD($E1863,100)))</f>
        <v/>
      </c>
      <c r="L1863" s="17" t="str">
        <f aca="false">IF($F1863="","",IF($F1863&lt;1,ROUND($F1863*1440,0),INT($F1863/100)*60+MOD($F1863,100)))</f>
        <v/>
      </c>
    </row>
    <row r="1864" customFormat="false" ht="15" hidden="false" customHeight="true" outlineLevel="0" collapsed="false">
      <c r="A1864" s="10"/>
      <c r="B1864" s="8"/>
      <c r="C1864" s="13" t="str">
        <f aca="false">IF($B1864="","",IFERROR(INDEX(직원목록!$B$3:$B$302,MATCH($B1864,직원목록!$A$3:$A$302,0)),"미등록사번"))</f>
        <v/>
      </c>
      <c r="D1864" s="13" t="str">
        <f aca="false">IF($B1864="","",IFERROR(INDEX(직원목록!$C$3:$C$302,MATCH($B1864,직원목록!$A$3:$A$302,0)),""))</f>
        <v/>
      </c>
      <c r="E1864" s="14"/>
      <c r="F1864" s="14"/>
      <c r="G1864" s="15"/>
      <c r="H1864" s="16" t="str">
        <f aca="false">IF(OR($K1864="",$L1864=""),"",ROUND(MAX(0,($L1864-$K1864)-IF($G1864="",0,$G1864))/60,2))</f>
        <v/>
      </c>
      <c r="I1864" s="8"/>
      <c r="J1864" s="8"/>
      <c r="K1864" s="17" t="str">
        <f aca="false">IF($E1864="","",IF($E1864&lt;1,ROUND($E1864*1440,0),INT($E1864/100)*60+MOD($E1864,100)))</f>
        <v/>
      </c>
      <c r="L1864" s="17" t="str">
        <f aca="false">IF($F1864="","",IF($F1864&lt;1,ROUND($F1864*1440,0),INT($F1864/100)*60+MOD($F1864,100)))</f>
        <v/>
      </c>
    </row>
    <row r="1865" customFormat="false" ht="15" hidden="false" customHeight="true" outlineLevel="0" collapsed="false">
      <c r="A1865" s="10"/>
      <c r="B1865" s="8"/>
      <c r="C1865" s="13" t="str">
        <f aca="false">IF($B1865="","",IFERROR(INDEX(직원목록!$B$3:$B$302,MATCH($B1865,직원목록!$A$3:$A$302,0)),"미등록사번"))</f>
        <v/>
      </c>
      <c r="D1865" s="13" t="str">
        <f aca="false">IF($B1865="","",IFERROR(INDEX(직원목록!$C$3:$C$302,MATCH($B1865,직원목록!$A$3:$A$302,0)),""))</f>
        <v/>
      </c>
      <c r="E1865" s="14"/>
      <c r="F1865" s="14"/>
      <c r="G1865" s="15"/>
      <c r="H1865" s="16" t="str">
        <f aca="false">IF(OR($K1865="",$L1865=""),"",ROUND(MAX(0,($L1865-$K1865)-IF($G1865="",0,$G1865))/60,2))</f>
        <v/>
      </c>
      <c r="I1865" s="8"/>
      <c r="J1865" s="8"/>
      <c r="K1865" s="17" t="str">
        <f aca="false">IF($E1865="","",IF($E1865&lt;1,ROUND($E1865*1440,0),INT($E1865/100)*60+MOD($E1865,100)))</f>
        <v/>
      </c>
      <c r="L1865" s="17" t="str">
        <f aca="false">IF($F1865="","",IF($F1865&lt;1,ROUND($F1865*1440,0),INT($F1865/100)*60+MOD($F1865,100)))</f>
        <v/>
      </c>
    </row>
    <row r="1866" customFormat="false" ht="15" hidden="false" customHeight="true" outlineLevel="0" collapsed="false">
      <c r="A1866" s="10"/>
      <c r="B1866" s="8"/>
      <c r="C1866" s="13" t="str">
        <f aca="false">IF($B1866="","",IFERROR(INDEX(직원목록!$B$3:$B$302,MATCH($B1866,직원목록!$A$3:$A$302,0)),"미등록사번"))</f>
        <v/>
      </c>
      <c r="D1866" s="13" t="str">
        <f aca="false">IF($B1866="","",IFERROR(INDEX(직원목록!$C$3:$C$302,MATCH($B1866,직원목록!$A$3:$A$302,0)),""))</f>
        <v/>
      </c>
      <c r="E1866" s="14"/>
      <c r="F1866" s="14"/>
      <c r="G1866" s="15"/>
      <c r="H1866" s="16" t="str">
        <f aca="false">IF(OR($K1866="",$L1866=""),"",ROUND(MAX(0,($L1866-$K1866)-IF($G1866="",0,$G1866))/60,2))</f>
        <v/>
      </c>
      <c r="I1866" s="8"/>
      <c r="J1866" s="8"/>
      <c r="K1866" s="17" t="str">
        <f aca="false">IF($E1866="","",IF($E1866&lt;1,ROUND($E1866*1440,0),INT($E1866/100)*60+MOD($E1866,100)))</f>
        <v/>
      </c>
      <c r="L1866" s="17" t="str">
        <f aca="false">IF($F1866="","",IF($F1866&lt;1,ROUND($F1866*1440,0),INT($F1866/100)*60+MOD($F1866,100)))</f>
        <v/>
      </c>
    </row>
    <row r="1867" customFormat="false" ht="15" hidden="false" customHeight="true" outlineLevel="0" collapsed="false">
      <c r="A1867" s="10"/>
      <c r="B1867" s="8"/>
      <c r="C1867" s="13" t="str">
        <f aca="false">IF($B1867="","",IFERROR(INDEX(직원목록!$B$3:$B$302,MATCH($B1867,직원목록!$A$3:$A$302,0)),"미등록사번"))</f>
        <v/>
      </c>
      <c r="D1867" s="13" t="str">
        <f aca="false">IF($B1867="","",IFERROR(INDEX(직원목록!$C$3:$C$302,MATCH($B1867,직원목록!$A$3:$A$302,0)),""))</f>
        <v/>
      </c>
      <c r="E1867" s="14"/>
      <c r="F1867" s="14"/>
      <c r="G1867" s="15"/>
      <c r="H1867" s="16" t="str">
        <f aca="false">IF(OR($K1867="",$L1867=""),"",ROUND(MAX(0,($L1867-$K1867)-IF($G1867="",0,$G1867))/60,2))</f>
        <v/>
      </c>
      <c r="I1867" s="8"/>
      <c r="J1867" s="8"/>
      <c r="K1867" s="17" t="str">
        <f aca="false">IF($E1867="","",IF($E1867&lt;1,ROUND($E1867*1440,0),INT($E1867/100)*60+MOD($E1867,100)))</f>
        <v/>
      </c>
      <c r="L1867" s="17" t="str">
        <f aca="false">IF($F1867="","",IF($F1867&lt;1,ROUND($F1867*1440,0),INT($F1867/100)*60+MOD($F1867,100)))</f>
        <v/>
      </c>
    </row>
    <row r="1868" customFormat="false" ht="15" hidden="false" customHeight="true" outlineLevel="0" collapsed="false">
      <c r="A1868" s="10"/>
      <c r="B1868" s="8"/>
      <c r="C1868" s="13" t="str">
        <f aca="false">IF($B1868="","",IFERROR(INDEX(직원목록!$B$3:$B$302,MATCH($B1868,직원목록!$A$3:$A$302,0)),"미등록사번"))</f>
        <v/>
      </c>
      <c r="D1868" s="13" t="str">
        <f aca="false">IF($B1868="","",IFERROR(INDEX(직원목록!$C$3:$C$302,MATCH($B1868,직원목록!$A$3:$A$302,0)),""))</f>
        <v/>
      </c>
      <c r="E1868" s="14"/>
      <c r="F1868" s="14"/>
      <c r="G1868" s="15"/>
      <c r="H1868" s="16" t="str">
        <f aca="false">IF(OR($K1868="",$L1868=""),"",ROUND(MAX(0,($L1868-$K1868)-IF($G1868="",0,$G1868))/60,2))</f>
        <v/>
      </c>
      <c r="I1868" s="8"/>
      <c r="J1868" s="8"/>
      <c r="K1868" s="17" t="str">
        <f aca="false">IF($E1868="","",IF($E1868&lt;1,ROUND($E1868*1440,0),INT($E1868/100)*60+MOD($E1868,100)))</f>
        <v/>
      </c>
      <c r="L1868" s="17" t="str">
        <f aca="false">IF($F1868="","",IF($F1868&lt;1,ROUND($F1868*1440,0),INT($F1868/100)*60+MOD($F1868,100)))</f>
        <v/>
      </c>
    </row>
    <row r="1869" customFormat="false" ht="15" hidden="false" customHeight="true" outlineLevel="0" collapsed="false">
      <c r="A1869" s="10"/>
      <c r="B1869" s="8"/>
      <c r="C1869" s="13" t="str">
        <f aca="false">IF($B1869="","",IFERROR(INDEX(직원목록!$B$3:$B$302,MATCH($B1869,직원목록!$A$3:$A$302,0)),"미등록사번"))</f>
        <v/>
      </c>
      <c r="D1869" s="13" t="str">
        <f aca="false">IF($B1869="","",IFERROR(INDEX(직원목록!$C$3:$C$302,MATCH($B1869,직원목록!$A$3:$A$302,0)),""))</f>
        <v/>
      </c>
      <c r="E1869" s="14"/>
      <c r="F1869" s="14"/>
      <c r="G1869" s="15"/>
      <c r="H1869" s="16" t="str">
        <f aca="false">IF(OR($K1869="",$L1869=""),"",ROUND(MAX(0,($L1869-$K1869)-IF($G1869="",0,$G1869))/60,2))</f>
        <v/>
      </c>
      <c r="I1869" s="8"/>
      <c r="J1869" s="8"/>
      <c r="K1869" s="17" t="str">
        <f aca="false">IF($E1869="","",IF($E1869&lt;1,ROUND($E1869*1440,0),INT($E1869/100)*60+MOD($E1869,100)))</f>
        <v/>
      </c>
      <c r="L1869" s="17" t="str">
        <f aca="false">IF($F1869="","",IF($F1869&lt;1,ROUND($F1869*1440,0),INT($F1869/100)*60+MOD($F1869,100)))</f>
        <v/>
      </c>
    </row>
    <row r="1870" customFormat="false" ht="15" hidden="false" customHeight="true" outlineLevel="0" collapsed="false">
      <c r="A1870" s="10"/>
      <c r="B1870" s="8"/>
      <c r="C1870" s="13" t="str">
        <f aca="false">IF($B1870="","",IFERROR(INDEX(직원목록!$B$3:$B$302,MATCH($B1870,직원목록!$A$3:$A$302,0)),"미등록사번"))</f>
        <v/>
      </c>
      <c r="D1870" s="13" t="str">
        <f aca="false">IF($B1870="","",IFERROR(INDEX(직원목록!$C$3:$C$302,MATCH($B1870,직원목록!$A$3:$A$302,0)),""))</f>
        <v/>
      </c>
      <c r="E1870" s="14"/>
      <c r="F1870" s="14"/>
      <c r="G1870" s="15"/>
      <c r="H1870" s="16" t="str">
        <f aca="false">IF(OR($K1870="",$L1870=""),"",ROUND(MAX(0,($L1870-$K1870)-IF($G1870="",0,$G1870))/60,2))</f>
        <v/>
      </c>
      <c r="I1870" s="8"/>
      <c r="J1870" s="8"/>
      <c r="K1870" s="17" t="str">
        <f aca="false">IF($E1870="","",IF($E1870&lt;1,ROUND($E1870*1440,0),INT($E1870/100)*60+MOD($E1870,100)))</f>
        <v/>
      </c>
      <c r="L1870" s="17" t="str">
        <f aca="false">IF($F1870="","",IF($F1870&lt;1,ROUND($F1870*1440,0),INT($F1870/100)*60+MOD($F1870,100)))</f>
        <v/>
      </c>
    </row>
    <row r="1871" customFormat="false" ht="15" hidden="false" customHeight="true" outlineLevel="0" collapsed="false">
      <c r="A1871" s="10"/>
      <c r="B1871" s="8"/>
      <c r="C1871" s="13" t="str">
        <f aca="false">IF($B1871="","",IFERROR(INDEX(직원목록!$B$3:$B$302,MATCH($B1871,직원목록!$A$3:$A$302,0)),"미등록사번"))</f>
        <v/>
      </c>
      <c r="D1871" s="13" t="str">
        <f aca="false">IF($B1871="","",IFERROR(INDEX(직원목록!$C$3:$C$302,MATCH($B1871,직원목록!$A$3:$A$302,0)),""))</f>
        <v/>
      </c>
      <c r="E1871" s="14"/>
      <c r="F1871" s="14"/>
      <c r="G1871" s="15"/>
      <c r="H1871" s="16" t="str">
        <f aca="false">IF(OR($K1871="",$L1871=""),"",ROUND(MAX(0,($L1871-$K1871)-IF($G1871="",0,$G1871))/60,2))</f>
        <v/>
      </c>
      <c r="I1871" s="8"/>
      <c r="J1871" s="8"/>
      <c r="K1871" s="17" t="str">
        <f aca="false">IF($E1871="","",IF($E1871&lt;1,ROUND($E1871*1440,0),INT($E1871/100)*60+MOD($E1871,100)))</f>
        <v/>
      </c>
      <c r="L1871" s="17" t="str">
        <f aca="false">IF($F1871="","",IF($F1871&lt;1,ROUND($F1871*1440,0),INT($F1871/100)*60+MOD($F1871,100)))</f>
        <v/>
      </c>
    </row>
    <row r="1872" customFormat="false" ht="15" hidden="false" customHeight="true" outlineLevel="0" collapsed="false">
      <c r="A1872" s="10"/>
      <c r="B1872" s="8"/>
      <c r="C1872" s="13" t="str">
        <f aca="false">IF($B1872="","",IFERROR(INDEX(직원목록!$B$3:$B$302,MATCH($B1872,직원목록!$A$3:$A$302,0)),"미등록사번"))</f>
        <v/>
      </c>
      <c r="D1872" s="13" t="str">
        <f aca="false">IF($B1872="","",IFERROR(INDEX(직원목록!$C$3:$C$302,MATCH($B1872,직원목록!$A$3:$A$302,0)),""))</f>
        <v/>
      </c>
      <c r="E1872" s="14"/>
      <c r="F1872" s="14"/>
      <c r="G1872" s="15"/>
      <c r="H1872" s="16" t="str">
        <f aca="false">IF(OR($K1872="",$L1872=""),"",ROUND(MAX(0,($L1872-$K1872)-IF($G1872="",0,$G1872))/60,2))</f>
        <v/>
      </c>
      <c r="I1872" s="8"/>
      <c r="J1872" s="8"/>
      <c r="K1872" s="17" t="str">
        <f aca="false">IF($E1872="","",IF($E1872&lt;1,ROUND($E1872*1440,0),INT($E1872/100)*60+MOD($E1872,100)))</f>
        <v/>
      </c>
      <c r="L1872" s="17" t="str">
        <f aca="false">IF($F1872="","",IF($F1872&lt;1,ROUND($F1872*1440,0),INT($F1872/100)*60+MOD($F1872,100)))</f>
        <v/>
      </c>
    </row>
    <row r="1873" customFormat="false" ht="15" hidden="false" customHeight="true" outlineLevel="0" collapsed="false">
      <c r="A1873" s="10"/>
      <c r="B1873" s="8"/>
      <c r="C1873" s="13" t="str">
        <f aca="false">IF($B1873="","",IFERROR(INDEX(직원목록!$B$3:$B$302,MATCH($B1873,직원목록!$A$3:$A$302,0)),"미등록사번"))</f>
        <v/>
      </c>
      <c r="D1873" s="13" t="str">
        <f aca="false">IF($B1873="","",IFERROR(INDEX(직원목록!$C$3:$C$302,MATCH($B1873,직원목록!$A$3:$A$302,0)),""))</f>
        <v/>
      </c>
      <c r="E1873" s="14"/>
      <c r="F1873" s="14"/>
      <c r="G1873" s="15"/>
      <c r="H1873" s="16" t="str">
        <f aca="false">IF(OR($K1873="",$L1873=""),"",ROUND(MAX(0,($L1873-$K1873)-IF($G1873="",0,$G1873))/60,2))</f>
        <v/>
      </c>
      <c r="I1873" s="8"/>
      <c r="J1873" s="8"/>
      <c r="K1873" s="17" t="str">
        <f aca="false">IF($E1873="","",IF($E1873&lt;1,ROUND($E1873*1440,0),INT($E1873/100)*60+MOD($E1873,100)))</f>
        <v/>
      </c>
      <c r="L1873" s="17" t="str">
        <f aca="false">IF($F1873="","",IF($F1873&lt;1,ROUND($F1873*1440,0),INT($F1873/100)*60+MOD($F1873,100)))</f>
        <v/>
      </c>
    </row>
    <row r="1874" customFormat="false" ht="15" hidden="false" customHeight="true" outlineLevel="0" collapsed="false">
      <c r="A1874" s="10"/>
      <c r="B1874" s="8"/>
      <c r="C1874" s="13" t="str">
        <f aca="false">IF($B1874="","",IFERROR(INDEX(직원목록!$B$3:$B$302,MATCH($B1874,직원목록!$A$3:$A$302,0)),"미등록사번"))</f>
        <v/>
      </c>
      <c r="D1874" s="13" t="str">
        <f aca="false">IF($B1874="","",IFERROR(INDEX(직원목록!$C$3:$C$302,MATCH($B1874,직원목록!$A$3:$A$302,0)),""))</f>
        <v/>
      </c>
      <c r="E1874" s="14"/>
      <c r="F1874" s="14"/>
      <c r="G1874" s="15"/>
      <c r="H1874" s="16" t="str">
        <f aca="false">IF(OR($K1874="",$L1874=""),"",ROUND(MAX(0,($L1874-$K1874)-IF($G1874="",0,$G1874))/60,2))</f>
        <v/>
      </c>
      <c r="I1874" s="8"/>
      <c r="J1874" s="8"/>
      <c r="K1874" s="17" t="str">
        <f aca="false">IF($E1874="","",IF($E1874&lt;1,ROUND($E1874*1440,0),INT($E1874/100)*60+MOD($E1874,100)))</f>
        <v/>
      </c>
      <c r="L1874" s="17" t="str">
        <f aca="false">IF($F1874="","",IF($F1874&lt;1,ROUND($F1874*1440,0),INT($F1874/100)*60+MOD($F1874,100)))</f>
        <v/>
      </c>
    </row>
    <row r="1875" customFormat="false" ht="15" hidden="false" customHeight="true" outlineLevel="0" collapsed="false">
      <c r="A1875" s="10"/>
      <c r="B1875" s="8"/>
      <c r="C1875" s="13" t="str">
        <f aca="false">IF($B1875="","",IFERROR(INDEX(직원목록!$B$3:$B$302,MATCH($B1875,직원목록!$A$3:$A$302,0)),"미등록사번"))</f>
        <v/>
      </c>
      <c r="D1875" s="13" t="str">
        <f aca="false">IF($B1875="","",IFERROR(INDEX(직원목록!$C$3:$C$302,MATCH($B1875,직원목록!$A$3:$A$302,0)),""))</f>
        <v/>
      </c>
      <c r="E1875" s="14"/>
      <c r="F1875" s="14"/>
      <c r="G1875" s="15"/>
      <c r="H1875" s="16" t="str">
        <f aca="false">IF(OR($K1875="",$L1875=""),"",ROUND(MAX(0,($L1875-$K1875)-IF($G1875="",0,$G1875))/60,2))</f>
        <v/>
      </c>
      <c r="I1875" s="8"/>
      <c r="J1875" s="8"/>
      <c r="K1875" s="17" t="str">
        <f aca="false">IF($E1875="","",IF($E1875&lt;1,ROUND($E1875*1440,0),INT($E1875/100)*60+MOD($E1875,100)))</f>
        <v/>
      </c>
      <c r="L1875" s="17" t="str">
        <f aca="false">IF($F1875="","",IF($F1875&lt;1,ROUND($F1875*1440,0),INT($F1875/100)*60+MOD($F1875,100)))</f>
        <v/>
      </c>
    </row>
    <row r="1876" customFormat="false" ht="15" hidden="false" customHeight="true" outlineLevel="0" collapsed="false">
      <c r="A1876" s="10"/>
      <c r="B1876" s="8"/>
      <c r="C1876" s="13" t="str">
        <f aca="false">IF($B1876="","",IFERROR(INDEX(직원목록!$B$3:$B$302,MATCH($B1876,직원목록!$A$3:$A$302,0)),"미등록사번"))</f>
        <v/>
      </c>
      <c r="D1876" s="13" t="str">
        <f aca="false">IF($B1876="","",IFERROR(INDEX(직원목록!$C$3:$C$302,MATCH($B1876,직원목록!$A$3:$A$302,0)),""))</f>
        <v/>
      </c>
      <c r="E1876" s="14"/>
      <c r="F1876" s="14"/>
      <c r="G1876" s="15"/>
      <c r="H1876" s="16" t="str">
        <f aca="false">IF(OR($K1876="",$L1876=""),"",ROUND(MAX(0,($L1876-$K1876)-IF($G1876="",0,$G1876))/60,2))</f>
        <v/>
      </c>
      <c r="I1876" s="8"/>
      <c r="J1876" s="8"/>
      <c r="K1876" s="17" t="str">
        <f aca="false">IF($E1876="","",IF($E1876&lt;1,ROUND($E1876*1440,0),INT($E1876/100)*60+MOD($E1876,100)))</f>
        <v/>
      </c>
      <c r="L1876" s="17" t="str">
        <f aca="false">IF($F1876="","",IF($F1876&lt;1,ROUND($F1876*1440,0),INT($F1876/100)*60+MOD($F1876,100)))</f>
        <v/>
      </c>
    </row>
    <row r="1877" customFormat="false" ht="15" hidden="false" customHeight="true" outlineLevel="0" collapsed="false">
      <c r="A1877" s="10"/>
      <c r="B1877" s="8"/>
      <c r="C1877" s="13" t="str">
        <f aca="false">IF($B1877="","",IFERROR(INDEX(직원목록!$B$3:$B$302,MATCH($B1877,직원목록!$A$3:$A$302,0)),"미등록사번"))</f>
        <v/>
      </c>
      <c r="D1877" s="13" t="str">
        <f aca="false">IF($B1877="","",IFERROR(INDEX(직원목록!$C$3:$C$302,MATCH($B1877,직원목록!$A$3:$A$302,0)),""))</f>
        <v/>
      </c>
      <c r="E1877" s="14"/>
      <c r="F1877" s="14"/>
      <c r="G1877" s="15"/>
      <c r="H1877" s="16" t="str">
        <f aca="false">IF(OR($K1877="",$L1877=""),"",ROUND(MAX(0,($L1877-$K1877)-IF($G1877="",0,$G1877))/60,2))</f>
        <v/>
      </c>
      <c r="I1877" s="8"/>
      <c r="J1877" s="8"/>
      <c r="K1877" s="17" t="str">
        <f aca="false">IF($E1877="","",IF($E1877&lt;1,ROUND($E1877*1440,0),INT($E1877/100)*60+MOD($E1877,100)))</f>
        <v/>
      </c>
      <c r="L1877" s="17" t="str">
        <f aca="false">IF($F1877="","",IF($F1877&lt;1,ROUND($F1877*1440,0),INT($F1877/100)*60+MOD($F1877,100)))</f>
        <v/>
      </c>
    </row>
    <row r="1878" customFormat="false" ht="15" hidden="false" customHeight="true" outlineLevel="0" collapsed="false">
      <c r="A1878" s="10"/>
      <c r="B1878" s="8"/>
      <c r="C1878" s="13" t="str">
        <f aca="false">IF($B1878="","",IFERROR(INDEX(직원목록!$B$3:$B$302,MATCH($B1878,직원목록!$A$3:$A$302,0)),"미등록사번"))</f>
        <v/>
      </c>
      <c r="D1878" s="13" t="str">
        <f aca="false">IF($B1878="","",IFERROR(INDEX(직원목록!$C$3:$C$302,MATCH($B1878,직원목록!$A$3:$A$302,0)),""))</f>
        <v/>
      </c>
      <c r="E1878" s="14"/>
      <c r="F1878" s="14"/>
      <c r="G1878" s="15"/>
      <c r="H1878" s="16" t="str">
        <f aca="false">IF(OR($K1878="",$L1878=""),"",ROUND(MAX(0,($L1878-$K1878)-IF($G1878="",0,$G1878))/60,2))</f>
        <v/>
      </c>
      <c r="I1878" s="8"/>
      <c r="J1878" s="8"/>
      <c r="K1878" s="17" t="str">
        <f aca="false">IF($E1878="","",IF($E1878&lt;1,ROUND($E1878*1440,0),INT($E1878/100)*60+MOD($E1878,100)))</f>
        <v/>
      </c>
      <c r="L1878" s="17" t="str">
        <f aca="false">IF($F1878="","",IF($F1878&lt;1,ROUND($F1878*1440,0),INT($F1878/100)*60+MOD($F1878,100)))</f>
        <v/>
      </c>
    </row>
    <row r="1879" customFormat="false" ht="15" hidden="false" customHeight="true" outlineLevel="0" collapsed="false">
      <c r="A1879" s="10"/>
      <c r="B1879" s="8"/>
      <c r="C1879" s="13" t="str">
        <f aca="false">IF($B1879="","",IFERROR(INDEX(직원목록!$B$3:$B$302,MATCH($B1879,직원목록!$A$3:$A$302,0)),"미등록사번"))</f>
        <v/>
      </c>
      <c r="D1879" s="13" t="str">
        <f aca="false">IF($B1879="","",IFERROR(INDEX(직원목록!$C$3:$C$302,MATCH($B1879,직원목록!$A$3:$A$302,0)),""))</f>
        <v/>
      </c>
      <c r="E1879" s="14"/>
      <c r="F1879" s="14"/>
      <c r="G1879" s="15"/>
      <c r="H1879" s="16" t="str">
        <f aca="false">IF(OR($K1879="",$L1879=""),"",ROUND(MAX(0,($L1879-$K1879)-IF($G1879="",0,$G1879))/60,2))</f>
        <v/>
      </c>
      <c r="I1879" s="8"/>
      <c r="J1879" s="8"/>
      <c r="K1879" s="17" t="str">
        <f aca="false">IF($E1879="","",IF($E1879&lt;1,ROUND($E1879*1440,0),INT($E1879/100)*60+MOD($E1879,100)))</f>
        <v/>
      </c>
      <c r="L1879" s="17" t="str">
        <f aca="false">IF($F1879="","",IF($F1879&lt;1,ROUND($F1879*1440,0),INT($F1879/100)*60+MOD($F1879,100)))</f>
        <v/>
      </c>
    </row>
    <row r="1880" customFormat="false" ht="15" hidden="false" customHeight="true" outlineLevel="0" collapsed="false">
      <c r="A1880" s="10"/>
      <c r="B1880" s="8"/>
      <c r="C1880" s="13" t="str">
        <f aca="false">IF($B1880="","",IFERROR(INDEX(직원목록!$B$3:$B$302,MATCH($B1880,직원목록!$A$3:$A$302,0)),"미등록사번"))</f>
        <v/>
      </c>
      <c r="D1880" s="13" t="str">
        <f aca="false">IF($B1880="","",IFERROR(INDEX(직원목록!$C$3:$C$302,MATCH($B1880,직원목록!$A$3:$A$302,0)),""))</f>
        <v/>
      </c>
      <c r="E1880" s="14"/>
      <c r="F1880" s="14"/>
      <c r="G1880" s="15"/>
      <c r="H1880" s="16" t="str">
        <f aca="false">IF(OR($K1880="",$L1880=""),"",ROUND(MAX(0,($L1880-$K1880)-IF($G1880="",0,$G1880))/60,2))</f>
        <v/>
      </c>
      <c r="I1880" s="8"/>
      <c r="J1880" s="8"/>
      <c r="K1880" s="17" t="str">
        <f aca="false">IF($E1880="","",IF($E1880&lt;1,ROUND($E1880*1440,0),INT($E1880/100)*60+MOD($E1880,100)))</f>
        <v/>
      </c>
      <c r="L1880" s="17" t="str">
        <f aca="false">IF($F1880="","",IF($F1880&lt;1,ROUND($F1880*1440,0),INT($F1880/100)*60+MOD($F1880,100)))</f>
        <v/>
      </c>
    </row>
    <row r="1881" customFormat="false" ht="15" hidden="false" customHeight="true" outlineLevel="0" collapsed="false">
      <c r="A1881" s="10"/>
      <c r="B1881" s="8"/>
      <c r="C1881" s="13" t="str">
        <f aca="false">IF($B1881="","",IFERROR(INDEX(직원목록!$B$3:$B$302,MATCH($B1881,직원목록!$A$3:$A$302,0)),"미등록사번"))</f>
        <v/>
      </c>
      <c r="D1881" s="13" t="str">
        <f aca="false">IF($B1881="","",IFERROR(INDEX(직원목록!$C$3:$C$302,MATCH($B1881,직원목록!$A$3:$A$302,0)),""))</f>
        <v/>
      </c>
      <c r="E1881" s="14"/>
      <c r="F1881" s="14"/>
      <c r="G1881" s="15"/>
      <c r="H1881" s="16" t="str">
        <f aca="false">IF(OR($K1881="",$L1881=""),"",ROUND(MAX(0,($L1881-$K1881)-IF($G1881="",0,$G1881))/60,2))</f>
        <v/>
      </c>
      <c r="I1881" s="8"/>
      <c r="J1881" s="8"/>
      <c r="K1881" s="17" t="str">
        <f aca="false">IF($E1881="","",IF($E1881&lt;1,ROUND($E1881*1440,0),INT($E1881/100)*60+MOD($E1881,100)))</f>
        <v/>
      </c>
      <c r="L1881" s="17" t="str">
        <f aca="false">IF($F1881="","",IF($F1881&lt;1,ROUND($F1881*1440,0),INT($F1881/100)*60+MOD($F1881,100)))</f>
        <v/>
      </c>
    </row>
    <row r="1882" customFormat="false" ht="15" hidden="false" customHeight="true" outlineLevel="0" collapsed="false">
      <c r="A1882" s="10"/>
      <c r="B1882" s="8"/>
      <c r="C1882" s="13" t="str">
        <f aca="false">IF($B1882="","",IFERROR(INDEX(직원목록!$B$3:$B$302,MATCH($B1882,직원목록!$A$3:$A$302,0)),"미등록사번"))</f>
        <v/>
      </c>
      <c r="D1882" s="13" t="str">
        <f aca="false">IF($B1882="","",IFERROR(INDEX(직원목록!$C$3:$C$302,MATCH($B1882,직원목록!$A$3:$A$302,0)),""))</f>
        <v/>
      </c>
      <c r="E1882" s="14"/>
      <c r="F1882" s="14"/>
      <c r="G1882" s="15"/>
      <c r="H1882" s="16" t="str">
        <f aca="false">IF(OR($K1882="",$L1882=""),"",ROUND(MAX(0,($L1882-$K1882)-IF($G1882="",0,$G1882))/60,2))</f>
        <v/>
      </c>
      <c r="I1882" s="8"/>
      <c r="J1882" s="8"/>
      <c r="K1882" s="17" t="str">
        <f aca="false">IF($E1882="","",IF($E1882&lt;1,ROUND($E1882*1440,0),INT($E1882/100)*60+MOD($E1882,100)))</f>
        <v/>
      </c>
      <c r="L1882" s="17" t="str">
        <f aca="false">IF($F1882="","",IF($F1882&lt;1,ROUND($F1882*1440,0),INT($F1882/100)*60+MOD($F1882,100)))</f>
        <v/>
      </c>
    </row>
    <row r="1883" customFormat="false" ht="15" hidden="false" customHeight="true" outlineLevel="0" collapsed="false">
      <c r="A1883" s="10"/>
      <c r="B1883" s="8"/>
      <c r="C1883" s="13" t="str">
        <f aca="false">IF($B1883="","",IFERROR(INDEX(직원목록!$B$3:$B$302,MATCH($B1883,직원목록!$A$3:$A$302,0)),"미등록사번"))</f>
        <v/>
      </c>
      <c r="D1883" s="13" t="str">
        <f aca="false">IF($B1883="","",IFERROR(INDEX(직원목록!$C$3:$C$302,MATCH($B1883,직원목록!$A$3:$A$302,0)),""))</f>
        <v/>
      </c>
      <c r="E1883" s="14"/>
      <c r="F1883" s="14"/>
      <c r="G1883" s="15"/>
      <c r="H1883" s="16" t="str">
        <f aca="false">IF(OR($K1883="",$L1883=""),"",ROUND(MAX(0,($L1883-$K1883)-IF($G1883="",0,$G1883))/60,2))</f>
        <v/>
      </c>
      <c r="I1883" s="8"/>
      <c r="J1883" s="8"/>
      <c r="K1883" s="17" t="str">
        <f aca="false">IF($E1883="","",IF($E1883&lt;1,ROUND($E1883*1440,0),INT($E1883/100)*60+MOD($E1883,100)))</f>
        <v/>
      </c>
      <c r="L1883" s="17" t="str">
        <f aca="false">IF($F1883="","",IF($F1883&lt;1,ROUND($F1883*1440,0),INT($F1883/100)*60+MOD($F1883,100)))</f>
        <v/>
      </c>
    </row>
    <row r="1884" customFormat="false" ht="15" hidden="false" customHeight="true" outlineLevel="0" collapsed="false">
      <c r="A1884" s="10"/>
      <c r="B1884" s="8"/>
      <c r="C1884" s="13" t="str">
        <f aca="false">IF($B1884="","",IFERROR(INDEX(직원목록!$B$3:$B$302,MATCH($B1884,직원목록!$A$3:$A$302,0)),"미등록사번"))</f>
        <v/>
      </c>
      <c r="D1884" s="13" t="str">
        <f aca="false">IF($B1884="","",IFERROR(INDEX(직원목록!$C$3:$C$302,MATCH($B1884,직원목록!$A$3:$A$302,0)),""))</f>
        <v/>
      </c>
      <c r="E1884" s="14"/>
      <c r="F1884" s="14"/>
      <c r="G1884" s="15"/>
      <c r="H1884" s="16" t="str">
        <f aca="false">IF(OR($K1884="",$L1884=""),"",ROUND(MAX(0,($L1884-$K1884)-IF($G1884="",0,$G1884))/60,2))</f>
        <v/>
      </c>
      <c r="I1884" s="8"/>
      <c r="J1884" s="8"/>
      <c r="K1884" s="17" t="str">
        <f aca="false">IF($E1884="","",IF($E1884&lt;1,ROUND($E1884*1440,0),INT($E1884/100)*60+MOD($E1884,100)))</f>
        <v/>
      </c>
      <c r="L1884" s="17" t="str">
        <f aca="false">IF($F1884="","",IF($F1884&lt;1,ROUND($F1884*1440,0),INT($F1884/100)*60+MOD($F1884,100)))</f>
        <v/>
      </c>
    </row>
    <row r="1885" customFormat="false" ht="15" hidden="false" customHeight="true" outlineLevel="0" collapsed="false">
      <c r="A1885" s="10"/>
      <c r="B1885" s="8"/>
      <c r="C1885" s="13" t="str">
        <f aca="false">IF($B1885="","",IFERROR(INDEX(직원목록!$B$3:$B$302,MATCH($B1885,직원목록!$A$3:$A$302,0)),"미등록사번"))</f>
        <v/>
      </c>
      <c r="D1885" s="13" t="str">
        <f aca="false">IF($B1885="","",IFERROR(INDEX(직원목록!$C$3:$C$302,MATCH($B1885,직원목록!$A$3:$A$302,0)),""))</f>
        <v/>
      </c>
      <c r="E1885" s="14"/>
      <c r="F1885" s="14"/>
      <c r="G1885" s="15"/>
      <c r="H1885" s="16" t="str">
        <f aca="false">IF(OR($K1885="",$L1885=""),"",ROUND(MAX(0,($L1885-$K1885)-IF($G1885="",0,$G1885))/60,2))</f>
        <v/>
      </c>
      <c r="I1885" s="8"/>
      <c r="J1885" s="8"/>
      <c r="K1885" s="17" t="str">
        <f aca="false">IF($E1885="","",IF($E1885&lt;1,ROUND($E1885*1440,0),INT($E1885/100)*60+MOD($E1885,100)))</f>
        <v/>
      </c>
      <c r="L1885" s="17" t="str">
        <f aca="false">IF($F1885="","",IF($F1885&lt;1,ROUND($F1885*1440,0),INT($F1885/100)*60+MOD($F1885,100)))</f>
        <v/>
      </c>
    </row>
    <row r="1886" customFormat="false" ht="15" hidden="false" customHeight="true" outlineLevel="0" collapsed="false">
      <c r="A1886" s="10"/>
      <c r="B1886" s="8"/>
      <c r="C1886" s="13" t="str">
        <f aca="false">IF($B1886="","",IFERROR(INDEX(직원목록!$B$3:$B$302,MATCH($B1886,직원목록!$A$3:$A$302,0)),"미등록사번"))</f>
        <v/>
      </c>
      <c r="D1886" s="13" t="str">
        <f aca="false">IF($B1886="","",IFERROR(INDEX(직원목록!$C$3:$C$302,MATCH($B1886,직원목록!$A$3:$A$302,0)),""))</f>
        <v/>
      </c>
      <c r="E1886" s="14"/>
      <c r="F1886" s="14"/>
      <c r="G1886" s="15"/>
      <c r="H1886" s="16" t="str">
        <f aca="false">IF(OR($K1886="",$L1886=""),"",ROUND(MAX(0,($L1886-$K1886)-IF($G1886="",0,$G1886))/60,2))</f>
        <v/>
      </c>
      <c r="I1886" s="8"/>
      <c r="J1886" s="8"/>
      <c r="K1886" s="17" t="str">
        <f aca="false">IF($E1886="","",IF($E1886&lt;1,ROUND($E1886*1440,0),INT($E1886/100)*60+MOD($E1886,100)))</f>
        <v/>
      </c>
      <c r="L1886" s="17" t="str">
        <f aca="false">IF($F1886="","",IF($F1886&lt;1,ROUND($F1886*1440,0),INT($F1886/100)*60+MOD($F1886,100)))</f>
        <v/>
      </c>
    </row>
    <row r="1887" customFormat="false" ht="15" hidden="false" customHeight="true" outlineLevel="0" collapsed="false">
      <c r="A1887" s="10"/>
      <c r="B1887" s="8"/>
      <c r="C1887" s="13" t="str">
        <f aca="false">IF($B1887="","",IFERROR(INDEX(직원목록!$B$3:$B$302,MATCH($B1887,직원목록!$A$3:$A$302,0)),"미등록사번"))</f>
        <v/>
      </c>
      <c r="D1887" s="13" t="str">
        <f aca="false">IF($B1887="","",IFERROR(INDEX(직원목록!$C$3:$C$302,MATCH($B1887,직원목록!$A$3:$A$302,0)),""))</f>
        <v/>
      </c>
      <c r="E1887" s="14"/>
      <c r="F1887" s="14"/>
      <c r="G1887" s="15"/>
      <c r="H1887" s="16" t="str">
        <f aca="false">IF(OR($K1887="",$L1887=""),"",ROUND(MAX(0,($L1887-$K1887)-IF($G1887="",0,$G1887))/60,2))</f>
        <v/>
      </c>
      <c r="I1887" s="8"/>
      <c r="J1887" s="8"/>
      <c r="K1887" s="17" t="str">
        <f aca="false">IF($E1887="","",IF($E1887&lt;1,ROUND($E1887*1440,0),INT($E1887/100)*60+MOD($E1887,100)))</f>
        <v/>
      </c>
      <c r="L1887" s="17" t="str">
        <f aca="false">IF($F1887="","",IF($F1887&lt;1,ROUND($F1887*1440,0),INT($F1887/100)*60+MOD($F1887,100)))</f>
        <v/>
      </c>
    </row>
    <row r="1888" customFormat="false" ht="15" hidden="false" customHeight="true" outlineLevel="0" collapsed="false">
      <c r="A1888" s="10"/>
      <c r="B1888" s="8"/>
      <c r="C1888" s="13" t="str">
        <f aca="false">IF($B1888="","",IFERROR(INDEX(직원목록!$B$3:$B$302,MATCH($B1888,직원목록!$A$3:$A$302,0)),"미등록사번"))</f>
        <v/>
      </c>
      <c r="D1888" s="13" t="str">
        <f aca="false">IF($B1888="","",IFERROR(INDEX(직원목록!$C$3:$C$302,MATCH($B1888,직원목록!$A$3:$A$302,0)),""))</f>
        <v/>
      </c>
      <c r="E1888" s="14"/>
      <c r="F1888" s="14"/>
      <c r="G1888" s="15"/>
      <c r="H1888" s="16" t="str">
        <f aca="false">IF(OR($K1888="",$L1888=""),"",ROUND(MAX(0,($L1888-$K1888)-IF($G1888="",0,$G1888))/60,2))</f>
        <v/>
      </c>
      <c r="I1888" s="8"/>
      <c r="J1888" s="8"/>
      <c r="K1888" s="17" t="str">
        <f aca="false">IF($E1888="","",IF($E1888&lt;1,ROUND($E1888*1440,0),INT($E1888/100)*60+MOD($E1888,100)))</f>
        <v/>
      </c>
      <c r="L1888" s="17" t="str">
        <f aca="false">IF($F1888="","",IF($F1888&lt;1,ROUND($F1888*1440,0),INT($F1888/100)*60+MOD($F1888,100)))</f>
        <v/>
      </c>
    </row>
    <row r="1889" customFormat="false" ht="15" hidden="false" customHeight="true" outlineLevel="0" collapsed="false">
      <c r="A1889" s="10"/>
      <c r="B1889" s="8"/>
      <c r="C1889" s="13" t="str">
        <f aca="false">IF($B1889="","",IFERROR(INDEX(직원목록!$B$3:$B$302,MATCH($B1889,직원목록!$A$3:$A$302,0)),"미등록사번"))</f>
        <v/>
      </c>
      <c r="D1889" s="13" t="str">
        <f aca="false">IF($B1889="","",IFERROR(INDEX(직원목록!$C$3:$C$302,MATCH($B1889,직원목록!$A$3:$A$302,0)),""))</f>
        <v/>
      </c>
      <c r="E1889" s="14"/>
      <c r="F1889" s="14"/>
      <c r="G1889" s="15"/>
      <c r="H1889" s="16" t="str">
        <f aca="false">IF(OR($K1889="",$L1889=""),"",ROUND(MAX(0,($L1889-$K1889)-IF($G1889="",0,$G1889))/60,2))</f>
        <v/>
      </c>
      <c r="I1889" s="8"/>
      <c r="J1889" s="8"/>
      <c r="K1889" s="17" t="str">
        <f aca="false">IF($E1889="","",IF($E1889&lt;1,ROUND($E1889*1440,0),INT($E1889/100)*60+MOD($E1889,100)))</f>
        <v/>
      </c>
      <c r="L1889" s="17" t="str">
        <f aca="false">IF($F1889="","",IF($F1889&lt;1,ROUND($F1889*1440,0),INT($F1889/100)*60+MOD($F1889,100)))</f>
        <v/>
      </c>
    </row>
    <row r="1890" customFormat="false" ht="15" hidden="false" customHeight="true" outlineLevel="0" collapsed="false">
      <c r="A1890" s="10"/>
      <c r="B1890" s="8"/>
      <c r="C1890" s="13" t="str">
        <f aca="false">IF($B1890="","",IFERROR(INDEX(직원목록!$B$3:$B$302,MATCH($B1890,직원목록!$A$3:$A$302,0)),"미등록사번"))</f>
        <v/>
      </c>
      <c r="D1890" s="13" t="str">
        <f aca="false">IF($B1890="","",IFERROR(INDEX(직원목록!$C$3:$C$302,MATCH($B1890,직원목록!$A$3:$A$302,0)),""))</f>
        <v/>
      </c>
      <c r="E1890" s="14"/>
      <c r="F1890" s="14"/>
      <c r="G1890" s="15"/>
      <c r="H1890" s="16" t="str">
        <f aca="false">IF(OR($K1890="",$L1890=""),"",ROUND(MAX(0,($L1890-$K1890)-IF($G1890="",0,$G1890))/60,2))</f>
        <v/>
      </c>
      <c r="I1890" s="8"/>
      <c r="J1890" s="8"/>
      <c r="K1890" s="17" t="str">
        <f aca="false">IF($E1890="","",IF($E1890&lt;1,ROUND($E1890*1440,0),INT($E1890/100)*60+MOD($E1890,100)))</f>
        <v/>
      </c>
      <c r="L1890" s="17" t="str">
        <f aca="false">IF($F1890="","",IF($F1890&lt;1,ROUND($F1890*1440,0),INT($F1890/100)*60+MOD($F1890,100)))</f>
        <v/>
      </c>
    </row>
    <row r="1891" customFormat="false" ht="15" hidden="false" customHeight="true" outlineLevel="0" collapsed="false">
      <c r="A1891" s="10"/>
      <c r="B1891" s="8"/>
      <c r="C1891" s="13" t="str">
        <f aca="false">IF($B1891="","",IFERROR(INDEX(직원목록!$B$3:$B$302,MATCH($B1891,직원목록!$A$3:$A$302,0)),"미등록사번"))</f>
        <v/>
      </c>
      <c r="D1891" s="13" t="str">
        <f aca="false">IF($B1891="","",IFERROR(INDEX(직원목록!$C$3:$C$302,MATCH($B1891,직원목록!$A$3:$A$302,0)),""))</f>
        <v/>
      </c>
      <c r="E1891" s="14"/>
      <c r="F1891" s="14"/>
      <c r="G1891" s="15"/>
      <c r="H1891" s="16" t="str">
        <f aca="false">IF(OR($K1891="",$L1891=""),"",ROUND(MAX(0,($L1891-$K1891)-IF($G1891="",0,$G1891))/60,2))</f>
        <v/>
      </c>
      <c r="I1891" s="8"/>
      <c r="J1891" s="8"/>
      <c r="K1891" s="17" t="str">
        <f aca="false">IF($E1891="","",IF($E1891&lt;1,ROUND($E1891*1440,0),INT($E1891/100)*60+MOD($E1891,100)))</f>
        <v/>
      </c>
      <c r="L1891" s="17" t="str">
        <f aca="false">IF($F1891="","",IF($F1891&lt;1,ROUND($F1891*1440,0),INT($F1891/100)*60+MOD($F1891,100)))</f>
        <v/>
      </c>
    </row>
    <row r="1892" customFormat="false" ht="15" hidden="false" customHeight="true" outlineLevel="0" collapsed="false">
      <c r="A1892" s="10"/>
      <c r="B1892" s="8"/>
      <c r="C1892" s="13" t="str">
        <f aca="false">IF($B1892="","",IFERROR(INDEX(직원목록!$B$3:$B$302,MATCH($B1892,직원목록!$A$3:$A$302,0)),"미등록사번"))</f>
        <v/>
      </c>
      <c r="D1892" s="13" t="str">
        <f aca="false">IF($B1892="","",IFERROR(INDEX(직원목록!$C$3:$C$302,MATCH($B1892,직원목록!$A$3:$A$302,0)),""))</f>
        <v/>
      </c>
      <c r="E1892" s="14"/>
      <c r="F1892" s="14"/>
      <c r="G1892" s="15"/>
      <c r="H1892" s="16" t="str">
        <f aca="false">IF(OR($K1892="",$L1892=""),"",ROUND(MAX(0,($L1892-$K1892)-IF($G1892="",0,$G1892))/60,2))</f>
        <v/>
      </c>
      <c r="I1892" s="8"/>
      <c r="J1892" s="8"/>
      <c r="K1892" s="17" t="str">
        <f aca="false">IF($E1892="","",IF($E1892&lt;1,ROUND($E1892*1440,0),INT($E1892/100)*60+MOD($E1892,100)))</f>
        <v/>
      </c>
      <c r="L1892" s="17" t="str">
        <f aca="false">IF($F1892="","",IF($F1892&lt;1,ROUND($F1892*1440,0),INT($F1892/100)*60+MOD($F1892,100)))</f>
        <v/>
      </c>
    </row>
    <row r="1893" customFormat="false" ht="15" hidden="false" customHeight="true" outlineLevel="0" collapsed="false">
      <c r="A1893" s="10"/>
      <c r="B1893" s="8"/>
      <c r="C1893" s="13" t="str">
        <f aca="false">IF($B1893="","",IFERROR(INDEX(직원목록!$B$3:$B$302,MATCH($B1893,직원목록!$A$3:$A$302,0)),"미등록사번"))</f>
        <v/>
      </c>
      <c r="D1893" s="13" t="str">
        <f aca="false">IF($B1893="","",IFERROR(INDEX(직원목록!$C$3:$C$302,MATCH($B1893,직원목록!$A$3:$A$302,0)),""))</f>
        <v/>
      </c>
      <c r="E1893" s="14"/>
      <c r="F1893" s="14"/>
      <c r="G1893" s="15"/>
      <c r="H1893" s="16" t="str">
        <f aca="false">IF(OR($K1893="",$L1893=""),"",ROUND(MAX(0,($L1893-$K1893)-IF($G1893="",0,$G1893))/60,2))</f>
        <v/>
      </c>
      <c r="I1893" s="8"/>
      <c r="J1893" s="8"/>
      <c r="K1893" s="17" t="str">
        <f aca="false">IF($E1893="","",IF($E1893&lt;1,ROUND($E1893*1440,0),INT($E1893/100)*60+MOD($E1893,100)))</f>
        <v/>
      </c>
      <c r="L1893" s="17" t="str">
        <f aca="false">IF($F1893="","",IF($F1893&lt;1,ROUND($F1893*1440,0),INT($F1893/100)*60+MOD($F1893,100)))</f>
        <v/>
      </c>
    </row>
    <row r="1894" customFormat="false" ht="15" hidden="false" customHeight="true" outlineLevel="0" collapsed="false">
      <c r="A1894" s="10"/>
      <c r="B1894" s="8"/>
      <c r="C1894" s="13" t="str">
        <f aca="false">IF($B1894="","",IFERROR(INDEX(직원목록!$B$3:$B$302,MATCH($B1894,직원목록!$A$3:$A$302,0)),"미등록사번"))</f>
        <v/>
      </c>
      <c r="D1894" s="13" t="str">
        <f aca="false">IF($B1894="","",IFERROR(INDEX(직원목록!$C$3:$C$302,MATCH($B1894,직원목록!$A$3:$A$302,0)),""))</f>
        <v/>
      </c>
      <c r="E1894" s="14"/>
      <c r="F1894" s="14"/>
      <c r="G1894" s="15"/>
      <c r="H1894" s="16" t="str">
        <f aca="false">IF(OR($K1894="",$L1894=""),"",ROUND(MAX(0,($L1894-$K1894)-IF($G1894="",0,$G1894))/60,2))</f>
        <v/>
      </c>
      <c r="I1894" s="8"/>
      <c r="J1894" s="8"/>
      <c r="K1894" s="17" t="str">
        <f aca="false">IF($E1894="","",IF($E1894&lt;1,ROUND($E1894*1440,0),INT($E1894/100)*60+MOD($E1894,100)))</f>
        <v/>
      </c>
      <c r="L1894" s="17" t="str">
        <f aca="false">IF($F1894="","",IF($F1894&lt;1,ROUND($F1894*1440,0),INT($F1894/100)*60+MOD($F1894,100)))</f>
        <v/>
      </c>
    </row>
    <row r="1895" customFormat="false" ht="15" hidden="false" customHeight="true" outlineLevel="0" collapsed="false">
      <c r="A1895" s="10"/>
      <c r="B1895" s="8"/>
      <c r="C1895" s="13" t="str">
        <f aca="false">IF($B1895="","",IFERROR(INDEX(직원목록!$B$3:$B$302,MATCH($B1895,직원목록!$A$3:$A$302,0)),"미등록사번"))</f>
        <v/>
      </c>
      <c r="D1895" s="13" t="str">
        <f aca="false">IF($B1895="","",IFERROR(INDEX(직원목록!$C$3:$C$302,MATCH($B1895,직원목록!$A$3:$A$302,0)),""))</f>
        <v/>
      </c>
      <c r="E1895" s="14"/>
      <c r="F1895" s="14"/>
      <c r="G1895" s="15"/>
      <c r="H1895" s="16" t="str">
        <f aca="false">IF(OR($K1895="",$L1895=""),"",ROUND(MAX(0,($L1895-$K1895)-IF($G1895="",0,$G1895))/60,2))</f>
        <v/>
      </c>
      <c r="I1895" s="8"/>
      <c r="J1895" s="8"/>
      <c r="K1895" s="17" t="str">
        <f aca="false">IF($E1895="","",IF($E1895&lt;1,ROUND($E1895*1440,0),INT($E1895/100)*60+MOD($E1895,100)))</f>
        <v/>
      </c>
      <c r="L1895" s="17" t="str">
        <f aca="false">IF($F1895="","",IF($F1895&lt;1,ROUND($F1895*1440,0),INT($F1895/100)*60+MOD($F1895,100)))</f>
        <v/>
      </c>
    </row>
    <row r="1896" customFormat="false" ht="15" hidden="false" customHeight="true" outlineLevel="0" collapsed="false">
      <c r="A1896" s="10"/>
      <c r="B1896" s="8"/>
      <c r="C1896" s="13" t="str">
        <f aca="false">IF($B1896="","",IFERROR(INDEX(직원목록!$B$3:$B$302,MATCH($B1896,직원목록!$A$3:$A$302,0)),"미등록사번"))</f>
        <v/>
      </c>
      <c r="D1896" s="13" t="str">
        <f aca="false">IF($B1896="","",IFERROR(INDEX(직원목록!$C$3:$C$302,MATCH($B1896,직원목록!$A$3:$A$302,0)),""))</f>
        <v/>
      </c>
      <c r="E1896" s="14"/>
      <c r="F1896" s="14"/>
      <c r="G1896" s="15"/>
      <c r="H1896" s="16" t="str">
        <f aca="false">IF(OR($K1896="",$L1896=""),"",ROUND(MAX(0,($L1896-$K1896)-IF($G1896="",0,$G1896))/60,2))</f>
        <v/>
      </c>
      <c r="I1896" s="8"/>
      <c r="J1896" s="8"/>
      <c r="K1896" s="17" t="str">
        <f aca="false">IF($E1896="","",IF($E1896&lt;1,ROUND($E1896*1440,0),INT($E1896/100)*60+MOD($E1896,100)))</f>
        <v/>
      </c>
      <c r="L1896" s="17" t="str">
        <f aca="false">IF($F1896="","",IF($F1896&lt;1,ROUND($F1896*1440,0),INT($F1896/100)*60+MOD($F1896,100)))</f>
        <v/>
      </c>
    </row>
    <row r="1897" customFormat="false" ht="15" hidden="false" customHeight="true" outlineLevel="0" collapsed="false">
      <c r="A1897" s="10"/>
      <c r="B1897" s="8"/>
      <c r="C1897" s="13" t="str">
        <f aca="false">IF($B1897="","",IFERROR(INDEX(직원목록!$B$3:$B$302,MATCH($B1897,직원목록!$A$3:$A$302,0)),"미등록사번"))</f>
        <v/>
      </c>
      <c r="D1897" s="13" t="str">
        <f aca="false">IF($B1897="","",IFERROR(INDEX(직원목록!$C$3:$C$302,MATCH($B1897,직원목록!$A$3:$A$302,0)),""))</f>
        <v/>
      </c>
      <c r="E1897" s="14"/>
      <c r="F1897" s="14"/>
      <c r="G1897" s="15"/>
      <c r="H1897" s="16" t="str">
        <f aca="false">IF(OR($K1897="",$L1897=""),"",ROUND(MAX(0,($L1897-$K1897)-IF($G1897="",0,$G1897))/60,2))</f>
        <v/>
      </c>
      <c r="I1897" s="8"/>
      <c r="J1897" s="8"/>
      <c r="K1897" s="17" t="str">
        <f aca="false">IF($E1897="","",IF($E1897&lt;1,ROUND($E1897*1440,0),INT($E1897/100)*60+MOD($E1897,100)))</f>
        <v/>
      </c>
      <c r="L1897" s="17" t="str">
        <f aca="false">IF($F1897="","",IF($F1897&lt;1,ROUND($F1897*1440,0),INT($F1897/100)*60+MOD($F1897,100)))</f>
        <v/>
      </c>
    </row>
    <row r="1898" customFormat="false" ht="15" hidden="false" customHeight="true" outlineLevel="0" collapsed="false">
      <c r="A1898" s="10"/>
      <c r="B1898" s="8"/>
      <c r="C1898" s="13" t="str">
        <f aca="false">IF($B1898="","",IFERROR(INDEX(직원목록!$B$3:$B$302,MATCH($B1898,직원목록!$A$3:$A$302,0)),"미등록사번"))</f>
        <v/>
      </c>
      <c r="D1898" s="13" t="str">
        <f aca="false">IF($B1898="","",IFERROR(INDEX(직원목록!$C$3:$C$302,MATCH($B1898,직원목록!$A$3:$A$302,0)),""))</f>
        <v/>
      </c>
      <c r="E1898" s="14"/>
      <c r="F1898" s="14"/>
      <c r="G1898" s="15"/>
      <c r="H1898" s="16" t="str">
        <f aca="false">IF(OR($K1898="",$L1898=""),"",ROUND(MAX(0,($L1898-$K1898)-IF($G1898="",0,$G1898))/60,2))</f>
        <v/>
      </c>
      <c r="I1898" s="8"/>
      <c r="J1898" s="8"/>
      <c r="K1898" s="17" t="str">
        <f aca="false">IF($E1898="","",IF($E1898&lt;1,ROUND($E1898*1440,0),INT($E1898/100)*60+MOD($E1898,100)))</f>
        <v/>
      </c>
      <c r="L1898" s="17" t="str">
        <f aca="false">IF($F1898="","",IF($F1898&lt;1,ROUND($F1898*1440,0),INT($F1898/100)*60+MOD($F1898,100)))</f>
        <v/>
      </c>
    </row>
    <row r="1899" customFormat="false" ht="15" hidden="false" customHeight="true" outlineLevel="0" collapsed="false">
      <c r="A1899" s="10"/>
      <c r="B1899" s="8"/>
      <c r="C1899" s="13" t="str">
        <f aca="false">IF($B1899="","",IFERROR(INDEX(직원목록!$B$3:$B$302,MATCH($B1899,직원목록!$A$3:$A$302,0)),"미등록사번"))</f>
        <v/>
      </c>
      <c r="D1899" s="13" t="str">
        <f aca="false">IF($B1899="","",IFERROR(INDEX(직원목록!$C$3:$C$302,MATCH($B1899,직원목록!$A$3:$A$302,0)),""))</f>
        <v/>
      </c>
      <c r="E1899" s="14"/>
      <c r="F1899" s="14"/>
      <c r="G1899" s="15"/>
      <c r="H1899" s="16" t="str">
        <f aca="false">IF(OR($K1899="",$L1899=""),"",ROUND(MAX(0,($L1899-$K1899)-IF($G1899="",0,$G1899))/60,2))</f>
        <v/>
      </c>
      <c r="I1899" s="8"/>
      <c r="J1899" s="8"/>
      <c r="K1899" s="17" t="str">
        <f aca="false">IF($E1899="","",IF($E1899&lt;1,ROUND($E1899*1440,0),INT($E1899/100)*60+MOD($E1899,100)))</f>
        <v/>
      </c>
      <c r="L1899" s="17" t="str">
        <f aca="false">IF($F1899="","",IF($F1899&lt;1,ROUND($F1899*1440,0),INT($F1899/100)*60+MOD($F1899,100)))</f>
        <v/>
      </c>
    </row>
    <row r="1900" customFormat="false" ht="15" hidden="false" customHeight="true" outlineLevel="0" collapsed="false">
      <c r="A1900" s="10"/>
      <c r="B1900" s="8"/>
      <c r="C1900" s="13" t="str">
        <f aca="false">IF($B1900="","",IFERROR(INDEX(직원목록!$B$3:$B$302,MATCH($B1900,직원목록!$A$3:$A$302,0)),"미등록사번"))</f>
        <v/>
      </c>
      <c r="D1900" s="13" t="str">
        <f aca="false">IF($B1900="","",IFERROR(INDEX(직원목록!$C$3:$C$302,MATCH($B1900,직원목록!$A$3:$A$302,0)),""))</f>
        <v/>
      </c>
      <c r="E1900" s="14"/>
      <c r="F1900" s="14"/>
      <c r="G1900" s="15"/>
      <c r="H1900" s="16" t="str">
        <f aca="false">IF(OR($K1900="",$L1900=""),"",ROUND(MAX(0,($L1900-$K1900)-IF($G1900="",0,$G1900))/60,2))</f>
        <v/>
      </c>
      <c r="I1900" s="8"/>
      <c r="J1900" s="8"/>
      <c r="K1900" s="17" t="str">
        <f aca="false">IF($E1900="","",IF($E1900&lt;1,ROUND($E1900*1440,0),INT($E1900/100)*60+MOD($E1900,100)))</f>
        <v/>
      </c>
      <c r="L1900" s="17" t="str">
        <f aca="false">IF($F1900="","",IF($F1900&lt;1,ROUND($F1900*1440,0),INT($F1900/100)*60+MOD($F1900,100)))</f>
        <v/>
      </c>
    </row>
    <row r="1901" customFormat="false" ht="15" hidden="false" customHeight="true" outlineLevel="0" collapsed="false">
      <c r="A1901" s="10"/>
      <c r="B1901" s="8"/>
      <c r="C1901" s="13" t="str">
        <f aca="false">IF($B1901="","",IFERROR(INDEX(직원목록!$B$3:$B$302,MATCH($B1901,직원목록!$A$3:$A$302,0)),"미등록사번"))</f>
        <v/>
      </c>
      <c r="D1901" s="13" t="str">
        <f aca="false">IF($B1901="","",IFERROR(INDEX(직원목록!$C$3:$C$302,MATCH($B1901,직원목록!$A$3:$A$302,0)),""))</f>
        <v/>
      </c>
      <c r="E1901" s="14"/>
      <c r="F1901" s="14"/>
      <c r="G1901" s="15"/>
      <c r="H1901" s="16" t="str">
        <f aca="false">IF(OR($K1901="",$L1901=""),"",ROUND(MAX(0,($L1901-$K1901)-IF($G1901="",0,$G1901))/60,2))</f>
        <v/>
      </c>
      <c r="I1901" s="8"/>
      <c r="J1901" s="8"/>
      <c r="K1901" s="17" t="str">
        <f aca="false">IF($E1901="","",IF($E1901&lt;1,ROUND($E1901*1440,0),INT($E1901/100)*60+MOD($E1901,100)))</f>
        <v/>
      </c>
      <c r="L1901" s="17" t="str">
        <f aca="false">IF($F1901="","",IF($F1901&lt;1,ROUND($F1901*1440,0),INT($F1901/100)*60+MOD($F1901,100)))</f>
        <v/>
      </c>
    </row>
    <row r="1902" customFormat="false" ht="15" hidden="false" customHeight="true" outlineLevel="0" collapsed="false">
      <c r="A1902" s="10"/>
      <c r="B1902" s="8"/>
      <c r="C1902" s="13" t="str">
        <f aca="false">IF($B1902="","",IFERROR(INDEX(직원목록!$B$3:$B$302,MATCH($B1902,직원목록!$A$3:$A$302,0)),"미등록사번"))</f>
        <v/>
      </c>
      <c r="D1902" s="13" t="str">
        <f aca="false">IF($B1902="","",IFERROR(INDEX(직원목록!$C$3:$C$302,MATCH($B1902,직원목록!$A$3:$A$302,0)),""))</f>
        <v/>
      </c>
      <c r="E1902" s="14"/>
      <c r="F1902" s="14"/>
      <c r="G1902" s="15"/>
      <c r="H1902" s="16" t="str">
        <f aca="false">IF(OR($K1902="",$L1902=""),"",ROUND(MAX(0,($L1902-$K1902)-IF($G1902="",0,$G1902))/60,2))</f>
        <v/>
      </c>
      <c r="I1902" s="8"/>
      <c r="J1902" s="8"/>
      <c r="K1902" s="17" t="str">
        <f aca="false">IF($E1902="","",IF($E1902&lt;1,ROUND($E1902*1440,0),INT($E1902/100)*60+MOD($E1902,100)))</f>
        <v/>
      </c>
      <c r="L1902" s="17" t="str">
        <f aca="false">IF($F1902="","",IF($F1902&lt;1,ROUND($F1902*1440,0),INT($F1902/100)*60+MOD($F1902,100)))</f>
        <v/>
      </c>
    </row>
    <row r="1903" customFormat="false" ht="15" hidden="false" customHeight="true" outlineLevel="0" collapsed="false">
      <c r="A1903" s="10"/>
      <c r="B1903" s="8"/>
      <c r="C1903" s="13" t="str">
        <f aca="false">IF($B1903="","",IFERROR(INDEX(직원목록!$B$3:$B$302,MATCH($B1903,직원목록!$A$3:$A$302,0)),"미등록사번"))</f>
        <v/>
      </c>
      <c r="D1903" s="13" t="str">
        <f aca="false">IF($B1903="","",IFERROR(INDEX(직원목록!$C$3:$C$302,MATCH($B1903,직원목록!$A$3:$A$302,0)),""))</f>
        <v/>
      </c>
      <c r="E1903" s="14"/>
      <c r="F1903" s="14"/>
      <c r="G1903" s="15"/>
      <c r="H1903" s="16" t="str">
        <f aca="false">IF(OR($K1903="",$L1903=""),"",ROUND(MAX(0,($L1903-$K1903)-IF($G1903="",0,$G1903))/60,2))</f>
        <v/>
      </c>
      <c r="I1903" s="8"/>
      <c r="J1903" s="8"/>
      <c r="K1903" s="17" t="str">
        <f aca="false">IF($E1903="","",IF($E1903&lt;1,ROUND($E1903*1440,0),INT($E1903/100)*60+MOD($E1903,100)))</f>
        <v/>
      </c>
      <c r="L1903" s="17" t="str">
        <f aca="false">IF($F1903="","",IF($F1903&lt;1,ROUND($F1903*1440,0),INT($F1903/100)*60+MOD($F1903,100)))</f>
        <v/>
      </c>
    </row>
    <row r="1904" customFormat="false" ht="15" hidden="false" customHeight="true" outlineLevel="0" collapsed="false">
      <c r="A1904" s="10"/>
      <c r="B1904" s="8"/>
      <c r="C1904" s="13" t="str">
        <f aca="false">IF($B1904="","",IFERROR(INDEX(직원목록!$B$3:$B$302,MATCH($B1904,직원목록!$A$3:$A$302,0)),"미등록사번"))</f>
        <v/>
      </c>
      <c r="D1904" s="13" t="str">
        <f aca="false">IF($B1904="","",IFERROR(INDEX(직원목록!$C$3:$C$302,MATCH($B1904,직원목록!$A$3:$A$302,0)),""))</f>
        <v/>
      </c>
      <c r="E1904" s="14"/>
      <c r="F1904" s="14"/>
      <c r="G1904" s="15"/>
      <c r="H1904" s="16" t="str">
        <f aca="false">IF(OR($K1904="",$L1904=""),"",ROUND(MAX(0,($L1904-$K1904)-IF($G1904="",0,$G1904))/60,2))</f>
        <v/>
      </c>
      <c r="I1904" s="8"/>
      <c r="J1904" s="8"/>
      <c r="K1904" s="17" t="str">
        <f aca="false">IF($E1904="","",IF($E1904&lt;1,ROUND($E1904*1440,0),INT($E1904/100)*60+MOD($E1904,100)))</f>
        <v/>
      </c>
      <c r="L1904" s="17" t="str">
        <f aca="false">IF($F1904="","",IF($F1904&lt;1,ROUND($F1904*1440,0),INT($F1904/100)*60+MOD($F1904,100)))</f>
        <v/>
      </c>
    </row>
    <row r="1905" customFormat="false" ht="15" hidden="false" customHeight="true" outlineLevel="0" collapsed="false">
      <c r="A1905" s="10"/>
      <c r="B1905" s="8"/>
      <c r="C1905" s="13" t="str">
        <f aca="false">IF($B1905="","",IFERROR(INDEX(직원목록!$B$3:$B$302,MATCH($B1905,직원목록!$A$3:$A$302,0)),"미등록사번"))</f>
        <v/>
      </c>
      <c r="D1905" s="13" t="str">
        <f aca="false">IF($B1905="","",IFERROR(INDEX(직원목록!$C$3:$C$302,MATCH($B1905,직원목록!$A$3:$A$302,0)),""))</f>
        <v/>
      </c>
      <c r="E1905" s="14"/>
      <c r="F1905" s="14"/>
      <c r="G1905" s="15"/>
      <c r="H1905" s="16" t="str">
        <f aca="false">IF(OR($K1905="",$L1905=""),"",ROUND(MAX(0,($L1905-$K1905)-IF($G1905="",0,$G1905))/60,2))</f>
        <v/>
      </c>
      <c r="I1905" s="8"/>
      <c r="J1905" s="8"/>
      <c r="K1905" s="17" t="str">
        <f aca="false">IF($E1905="","",IF($E1905&lt;1,ROUND($E1905*1440,0),INT($E1905/100)*60+MOD($E1905,100)))</f>
        <v/>
      </c>
      <c r="L1905" s="17" t="str">
        <f aca="false">IF($F1905="","",IF($F1905&lt;1,ROUND($F1905*1440,0),INT($F1905/100)*60+MOD($F1905,100)))</f>
        <v/>
      </c>
    </row>
    <row r="1906" customFormat="false" ht="15" hidden="false" customHeight="true" outlineLevel="0" collapsed="false">
      <c r="A1906" s="10"/>
      <c r="B1906" s="8"/>
      <c r="C1906" s="13" t="str">
        <f aca="false">IF($B1906="","",IFERROR(INDEX(직원목록!$B$3:$B$302,MATCH($B1906,직원목록!$A$3:$A$302,0)),"미등록사번"))</f>
        <v/>
      </c>
      <c r="D1906" s="13" t="str">
        <f aca="false">IF($B1906="","",IFERROR(INDEX(직원목록!$C$3:$C$302,MATCH($B1906,직원목록!$A$3:$A$302,0)),""))</f>
        <v/>
      </c>
      <c r="E1906" s="14"/>
      <c r="F1906" s="14"/>
      <c r="G1906" s="15"/>
      <c r="H1906" s="16" t="str">
        <f aca="false">IF(OR($K1906="",$L1906=""),"",ROUND(MAX(0,($L1906-$K1906)-IF($G1906="",0,$G1906))/60,2))</f>
        <v/>
      </c>
      <c r="I1906" s="8"/>
      <c r="J1906" s="8"/>
      <c r="K1906" s="17" t="str">
        <f aca="false">IF($E1906="","",IF($E1906&lt;1,ROUND($E1906*1440,0),INT($E1906/100)*60+MOD($E1906,100)))</f>
        <v/>
      </c>
      <c r="L1906" s="17" t="str">
        <f aca="false">IF($F1906="","",IF($F1906&lt;1,ROUND($F1906*1440,0),INT($F1906/100)*60+MOD($F1906,100)))</f>
        <v/>
      </c>
    </row>
    <row r="1907" customFormat="false" ht="15" hidden="false" customHeight="true" outlineLevel="0" collapsed="false">
      <c r="A1907" s="10"/>
      <c r="B1907" s="8"/>
      <c r="C1907" s="13" t="str">
        <f aca="false">IF($B1907="","",IFERROR(INDEX(직원목록!$B$3:$B$302,MATCH($B1907,직원목록!$A$3:$A$302,0)),"미등록사번"))</f>
        <v/>
      </c>
      <c r="D1907" s="13" t="str">
        <f aca="false">IF($B1907="","",IFERROR(INDEX(직원목록!$C$3:$C$302,MATCH($B1907,직원목록!$A$3:$A$302,0)),""))</f>
        <v/>
      </c>
      <c r="E1907" s="14"/>
      <c r="F1907" s="14"/>
      <c r="G1907" s="15"/>
      <c r="H1907" s="16" t="str">
        <f aca="false">IF(OR($K1907="",$L1907=""),"",ROUND(MAX(0,($L1907-$K1907)-IF($G1907="",0,$G1907))/60,2))</f>
        <v/>
      </c>
      <c r="I1907" s="8"/>
      <c r="J1907" s="8"/>
      <c r="K1907" s="17" t="str">
        <f aca="false">IF($E1907="","",IF($E1907&lt;1,ROUND($E1907*1440,0),INT($E1907/100)*60+MOD($E1907,100)))</f>
        <v/>
      </c>
      <c r="L1907" s="17" t="str">
        <f aca="false">IF($F1907="","",IF($F1907&lt;1,ROUND($F1907*1440,0),INT($F1907/100)*60+MOD($F1907,100)))</f>
        <v/>
      </c>
    </row>
    <row r="1908" customFormat="false" ht="15" hidden="false" customHeight="true" outlineLevel="0" collapsed="false">
      <c r="A1908" s="10"/>
      <c r="B1908" s="8"/>
      <c r="C1908" s="13" t="str">
        <f aca="false">IF($B1908="","",IFERROR(INDEX(직원목록!$B$3:$B$302,MATCH($B1908,직원목록!$A$3:$A$302,0)),"미등록사번"))</f>
        <v/>
      </c>
      <c r="D1908" s="13" t="str">
        <f aca="false">IF($B1908="","",IFERROR(INDEX(직원목록!$C$3:$C$302,MATCH($B1908,직원목록!$A$3:$A$302,0)),""))</f>
        <v/>
      </c>
      <c r="E1908" s="14"/>
      <c r="F1908" s="14"/>
      <c r="G1908" s="15"/>
      <c r="H1908" s="16" t="str">
        <f aca="false">IF(OR($K1908="",$L1908=""),"",ROUND(MAX(0,($L1908-$K1908)-IF($G1908="",0,$G1908))/60,2))</f>
        <v/>
      </c>
      <c r="I1908" s="8"/>
      <c r="J1908" s="8"/>
      <c r="K1908" s="17" t="str">
        <f aca="false">IF($E1908="","",IF($E1908&lt;1,ROUND($E1908*1440,0),INT($E1908/100)*60+MOD($E1908,100)))</f>
        <v/>
      </c>
      <c r="L1908" s="17" t="str">
        <f aca="false">IF($F1908="","",IF($F1908&lt;1,ROUND($F1908*1440,0),INT($F1908/100)*60+MOD($F1908,100)))</f>
        <v/>
      </c>
    </row>
    <row r="1909" customFormat="false" ht="15" hidden="false" customHeight="true" outlineLevel="0" collapsed="false">
      <c r="A1909" s="10"/>
      <c r="B1909" s="8"/>
      <c r="C1909" s="13" t="str">
        <f aca="false">IF($B1909="","",IFERROR(INDEX(직원목록!$B$3:$B$302,MATCH($B1909,직원목록!$A$3:$A$302,0)),"미등록사번"))</f>
        <v/>
      </c>
      <c r="D1909" s="13" t="str">
        <f aca="false">IF($B1909="","",IFERROR(INDEX(직원목록!$C$3:$C$302,MATCH($B1909,직원목록!$A$3:$A$302,0)),""))</f>
        <v/>
      </c>
      <c r="E1909" s="14"/>
      <c r="F1909" s="14"/>
      <c r="G1909" s="15"/>
      <c r="H1909" s="16" t="str">
        <f aca="false">IF(OR($K1909="",$L1909=""),"",ROUND(MAX(0,($L1909-$K1909)-IF($G1909="",0,$G1909))/60,2))</f>
        <v/>
      </c>
      <c r="I1909" s="8"/>
      <c r="J1909" s="8"/>
      <c r="K1909" s="17" t="str">
        <f aca="false">IF($E1909="","",IF($E1909&lt;1,ROUND($E1909*1440,0),INT($E1909/100)*60+MOD($E1909,100)))</f>
        <v/>
      </c>
      <c r="L1909" s="17" t="str">
        <f aca="false">IF($F1909="","",IF($F1909&lt;1,ROUND($F1909*1440,0),INT($F1909/100)*60+MOD($F1909,100)))</f>
        <v/>
      </c>
    </row>
    <row r="1910" customFormat="false" ht="15" hidden="false" customHeight="true" outlineLevel="0" collapsed="false">
      <c r="A1910" s="10"/>
      <c r="B1910" s="8"/>
      <c r="C1910" s="13" t="str">
        <f aca="false">IF($B1910="","",IFERROR(INDEX(직원목록!$B$3:$B$302,MATCH($B1910,직원목록!$A$3:$A$302,0)),"미등록사번"))</f>
        <v/>
      </c>
      <c r="D1910" s="13" t="str">
        <f aca="false">IF($B1910="","",IFERROR(INDEX(직원목록!$C$3:$C$302,MATCH($B1910,직원목록!$A$3:$A$302,0)),""))</f>
        <v/>
      </c>
      <c r="E1910" s="14"/>
      <c r="F1910" s="14"/>
      <c r="G1910" s="15"/>
      <c r="H1910" s="16" t="str">
        <f aca="false">IF(OR($K1910="",$L1910=""),"",ROUND(MAX(0,($L1910-$K1910)-IF($G1910="",0,$G1910))/60,2))</f>
        <v/>
      </c>
      <c r="I1910" s="8"/>
      <c r="J1910" s="8"/>
      <c r="K1910" s="17" t="str">
        <f aca="false">IF($E1910="","",IF($E1910&lt;1,ROUND($E1910*1440,0),INT($E1910/100)*60+MOD($E1910,100)))</f>
        <v/>
      </c>
      <c r="L1910" s="17" t="str">
        <f aca="false">IF($F1910="","",IF($F1910&lt;1,ROUND($F1910*1440,0),INT($F1910/100)*60+MOD($F1910,100)))</f>
        <v/>
      </c>
    </row>
    <row r="1911" customFormat="false" ht="15" hidden="false" customHeight="true" outlineLevel="0" collapsed="false">
      <c r="A1911" s="10"/>
      <c r="B1911" s="8"/>
      <c r="C1911" s="13" t="str">
        <f aca="false">IF($B1911="","",IFERROR(INDEX(직원목록!$B$3:$B$302,MATCH($B1911,직원목록!$A$3:$A$302,0)),"미등록사번"))</f>
        <v/>
      </c>
      <c r="D1911" s="13" t="str">
        <f aca="false">IF($B1911="","",IFERROR(INDEX(직원목록!$C$3:$C$302,MATCH($B1911,직원목록!$A$3:$A$302,0)),""))</f>
        <v/>
      </c>
      <c r="E1911" s="14"/>
      <c r="F1911" s="14"/>
      <c r="G1911" s="15"/>
      <c r="H1911" s="16" t="str">
        <f aca="false">IF(OR($K1911="",$L1911=""),"",ROUND(MAX(0,($L1911-$K1911)-IF($G1911="",0,$G1911))/60,2))</f>
        <v/>
      </c>
      <c r="I1911" s="8"/>
      <c r="J1911" s="8"/>
      <c r="K1911" s="17" t="str">
        <f aca="false">IF($E1911="","",IF($E1911&lt;1,ROUND($E1911*1440,0),INT($E1911/100)*60+MOD($E1911,100)))</f>
        <v/>
      </c>
      <c r="L1911" s="17" t="str">
        <f aca="false">IF($F1911="","",IF($F1911&lt;1,ROUND($F1911*1440,0),INT($F1911/100)*60+MOD($F1911,100)))</f>
        <v/>
      </c>
    </row>
    <row r="1912" customFormat="false" ht="15" hidden="false" customHeight="true" outlineLevel="0" collapsed="false">
      <c r="A1912" s="10"/>
      <c r="B1912" s="8"/>
      <c r="C1912" s="13" t="str">
        <f aca="false">IF($B1912="","",IFERROR(INDEX(직원목록!$B$3:$B$302,MATCH($B1912,직원목록!$A$3:$A$302,0)),"미등록사번"))</f>
        <v/>
      </c>
      <c r="D1912" s="13" t="str">
        <f aca="false">IF($B1912="","",IFERROR(INDEX(직원목록!$C$3:$C$302,MATCH($B1912,직원목록!$A$3:$A$302,0)),""))</f>
        <v/>
      </c>
      <c r="E1912" s="14"/>
      <c r="F1912" s="14"/>
      <c r="G1912" s="15"/>
      <c r="H1912" s="16" t="str">
        <f aca="false">IF(OR($K1912="",$L1912=""),"",ROUND(MAX(0,($L1912-$K1912)-IF($G1912="",0,$G1912))/60,2))</f>
        <v/>
      </c>
      <c r="I1912" s="8"/>
      <c r="J1912" s="8"/>
      <c r="K1912" s="17" t="str">
        <f aca="false">IF($E1912="","",IF($E1912&lt;1,ROUND($E1912*1440,0),INT($E1912/100)*60+MOD($E1912,100)))</f>
        <v/>
      </c>
      <c r="L1912" s="17" t="str">
        <f aca="false">IF($F1912="","",IF($F1912&lt;1,ROUND($F1912*1440,0),INT($F1912/100)*60+MOD($F1912,100)))</f>
        <v/>
      </c>
    </row>
    <row r="1913" customFormat="false" ht="15" hidden="false" customHeight="true" outlineLevel="0" collapsed="false">
      <c r="A1913" s="10"/>
      <c r="B1913" s="8"/>
      <c r="C1913" s="13" t="str">
        <f aca="false">IF($B1913="","",IFERROR(INDEX(직원목록!$B$3:$B$302,MATCH($B1913,직원목록!$A$3:$A$302,0)),"미등록사번"))</f>
        <v/>
      </c>
      <c r="D1913" s="13" t="str">
        <f aca="false">IF($B1913="","",IFERROR(INDEX(직원목록!$C$3:$C$302,MATCH($B1913,직원목록!$A$3:$A$302,0)),""))</f>
        <v/>
      </c>
      <c r="E1913" s="14"/>
      <c r="F1913" s="14"/>
      <c r="G1913" s="15"/>
      <c r="H1913" s="16" t="str">
        <f aca="false">IF(OR($K1913="",$L1913=""),"",ROUND(MAX(0,($L1913-$K1913)-IF($G1913="",0,$G1913))/60,2))</f>
        <v/>
      </c>
      <c r="I1913" s="8"/>
      <c r="J1913" s="8"/>
      <c r="K1913" s="17" t="str">
        <f aca="false">IF($E1913="","",IF($E1913&lt;1,ROUND($E1913*1440,0),INT($E1913/100)*60+MOD($E1913,100)))</f>
        <v/>
      </c>
      <c r="L1913" s="17" t="str">
        <f aca="false">IF($F1913="","",IF($F1913&lt;1,ROUND($F1913*1440,0),INT($F1913/100)*60+MOD($F1913,100)))</f>
        <v/>
      </c>
    </row>
    <row r="1914" customFormat="false" ht="15" hidden="false" customHeight="true" outlineLevel="0" collapsed="false">
      <c r="A1914" s="10"/>
      <c r="B1914" s="8"/>
      <c r="C1914" s="13" t="str">
        <f aca="false">IF($B1914="","",IFERROR(INDEX(직원목록!$B$3:$B$302,MATCH($B1914,직원목록!$A$3:$A$302,0)),"미등록사번"))</f>
        <v/>
      </c>
      <c r="D1914" s="13" t="str">
        <f aca="false">IF($B1914="","",IFERROR(INDEX(직원목록!$C$3:$C$302,MATCH($B1914,직원목록!$A$3:$A$302,0)),""))</f>
        <v/>
      </c>
      <c r="E1914" s="14"/>
      <c r="F1914" s="14"/>
      <c r="G1914" s="15"/>
      <c r="H1914" s="16" t="str">
        <f aca="false">IF(OR($K1914="",$L1914=""),"",ROUND(MAX(0,($L1914-$K1914)-IF($G1914="",0,$G1914))/60,2))</f>
        <v/>
      </c>
      <c r="I1914" s="8"/>
      <c r="J1914" s="8"/>
      <c r="K1914" s="17" t="str">
        <f aca="false">IF($E1914="","",IF($E1914&lt;1,ROUND($E1914*1440,0),INT($E1914/100)*60+MOD($E1914,100)))</f>
        <v/>
      </c>
      <c r="L1914" s="17" t="str">
        <f aca="false">IF($F1914="","",IF($F1914&lt;1,ROUND($F1914*1440,0),INT($F1914/100)*60+MOD($F1914,100)))</f>
        <v/>
      </c>
    </row>
    <row r="1915" customFormat="false" ht="15" hidden="false" customHeight="true" outlineLevel="0" collapsed="false">
      <c r="A1915" s="10"/>
      <c r="B1915" s="8"/>
      <c r="C1915" s="13" t="str">
        <f aca="false">IF($B1915="","",IFERROR(INDEX(직원목록!$B$3:$B$302,MATCH($B1915,직원목록!$A$3:$A$302,0)),"미등록사번"))</f>
        <v/>
      </c>
      <c r="D1915" s="13" t="str">
        <f aca="false">IF($B1915="","",IFERROR(INDEX(직원목록!$C$3:$C$302,MATCH($B1915,직원목록!$A$3:$A$302,0)),""))</f>
        <v/>
      </c>
      <c r="E1915" s="14"/>
      <c r="F1915" s="14"/>
      <c r="G1915" s="15"/>
      <c r="H1915" s="16" t="str">
        <f aca="false">IF(OR($K1915="",$L1915=""),"",ROUND(MAX(0,($L1915-$K1915)-IF($G1915="",0,$G1915))/60,2))</f>
        <v/>
      </c>
      <c r="I1915" s="8"/>
      <c r="J1915" s="8"/>
      <c r="K1915" s="17" t="str">
        <f aca="false">IF($E1915="","",IF($E1915&lt;1,ROUND($E1915*1440,0),INT($E1915/100)*60+MOD($E1915,100)))</f>
        <v/>
      </c>
      <c r="L1915" s="17" t="str">
        <f aca="false">IF($F1915="","",IF($F1915&lt;1,ROUND($F1915*1440,0),INT($F1915/100)*60+MOD($F1915,100)))</f>
        <v/>
      </c>
    </row>
    <row r="1916" customFormat="false" ht="15" hidden="false" customHeight="true" outlineLevel="0" collapsed="false">
      <c r="A1916" s="10"/>
      <c r="B1916" s="8"/>
      <c r="C1916" s="13" t="str">
        <f aca="false">IF($B1916="","",IFERROR(INDEX(직원목록!$B$3:$B$302,MATCH($B1916,직원목록!$A$3:$A$302,0)),"미등록사번"))</f>
        <v/>
      </c>
      <c r="D1916" s="13" t="str">
        <f aca="false">IF($B1916="","",IFERROR(INDEX(직원목록!$C$3:$C$302,MATCH($B1916,직원목록!$A$3:$A$302,0)),""))</f>
        <v/>
      </c>
      <c r="E1916" s="14"/>
      <c r="F1916" s="14"/>
      <c r="G1916" s="15"/>
      <c r="H1916" s="16" t="str">
        <f aca="false">IF(OR($K1916="",$L1916=""),"",ROUND(MAX(0,($L1916-$K1916)-IF($G1916="",0,$G1916))/60,2))</f>
        <v/>
      </c>
      <c r="I1916" s="8"/>
      <c r="J1916" s="8"/>
      <c r="K1916" s="17" t="str">
        <f aca="false">IF($E1916="","",IF($E1916&lt;1,ROUND($E1916*1440,0),INT($E1916/100)*60+MOD($E1916,100)))</f>
        <v/>
      </c>
      <c r="L1916" s="17" t="str">
        <f aca="false">IF($F1916="","",IF($F1916&lt;1,ROUND($F1916*1440,0),INT($F1916/100)*60+MOD($F1916,100)))</f>
        <v/>
      </c>
    </row>
    <row r="1917" customFormat="false" ht="15" hidden="false" customHeight="true" outlineLevel="0" collapsed="false">
      <c r="A1917" s="10"/>
      <c r="B1917" s="8"/>
      <c r="C1917" s="13" t="str">
        <f aca="false">IF($B1917="","",IFERROR(INDEX(직원목록!$B$3:$B$302,MATCH($B1917,직원목록!$A$3:$A$302,0)),"미등록사번"))</f>
        <v/>
      </c>
      <c r="D1917" s="13" t="str">
        <f aca="false">IF($B1917="","",IFERROR(INDEX(직원목록!$C$3:$C$302,MATCH($B1917,직원목록!$A$3:$A$302,0)),""))</f>
        <v/>
      </c>
      <c r="E1917" s="14"/>
      <c r="F1917" s="14"/>
      <c r="G1917" s="15"/>
      <c r="H1917" s="16" t="str">
        <f aca="false">IF(OR($K1917="",$L1917=""),"",ROUND(MAX(0,($L1917-$K1917)-IF($G1917="",0,$G1917))/60,2))</f>
        <v/>
      </c>
      <c r="I1917" s="8"/>
      <c r="J1917" s="8"/>
      <c r="K1917" s="17" t="str">
        <f aca="false">IF($E1917="","",IF($E1917&lt;1,ROUND($E1917*1440,0),INT($E1917/100)*60+MOD($E1917,100)))</f>
        <v/>
      </c>
      <c r="L1917" s="17" t="str">
        <f aca="false">IF($F1917="","",IF($F1917&lt;1,ROUND($F1917*1440,0),INT($F1917/100)*60+MOD($F1917,100)))</f>
        <v/>
      </c>
    </row>
    <row r="1918" customFormat="false" ht="15" hidden="false" customHeight="true" outlineLevel="0" collapsed="false">
      <c r="A1918" s="10"/>
      <c r="B1918" s="8"/>
      <c r="C1918" s="13" t="str">
        <f aca="false">IF($B1918="","",IFERROR(INDEX(직원목록!$B$3:$B$302,MATCH($B1918,직원목록!$A$3:$A$302,0)),"미등록사번"))</f>
        <v/>
      </c>
      <c r="D1918" s="13" t="str">
        <f aca="false">IF($B1918="","",IFERROR(INDEX(직원목록!$C$3:$C$302,MATCH($B1918,직원목록!$A$3:$A$302,0)),""))</f>
        <v/>
      </c>
      <c r="E1918" s="14"/>
      <c r="F1918" s="14"/>
      <c r="G1918" s="15"/>
      <c r="H1918" s="16" t="str">
        <f aca="false">IF(OR($K1918="",$L1918=""),"",ROUND(MAX(0,($L1918-$K1918)-IF($G1918="",0,$G1918))/60,2))</f>
        <v/>
      </c>
      <c r="I1918" s="8"/>
      <c r="J1918" s="8"/>
      <c r="K1918" s="17" t="str">
        <f aca="false">IF($E1918="","",IF($E1918&lt;1,ROUND($E1918*1440,0),INT($E1918/100)*60+MOD($E1918,100)))</f>
        <v/>
      </c>
      <c r="L1918" s="17" t="str">
        <f aca="false">IF($F1918="","",IF($F1918&lt;1,ROUND($F1918*1440,0),INT($F1918/100)*60+MOD($F1918,100)))</f>
        <v/>
      </c>
    </row>
    <row r="1919" customFormat="false" ht="15" hidden="false" customHeight="true" outlineLevel="0" collapsed="false">
      <c r="A1919" s="10"/>
      <c r="B1919" s="8"/>
      <c r="C1919" s="13" t="str">
        <f aca="false">IF($B1919="","",IFERROR(INDEX(직원목록!$B$3:$B$302,MATCH($B1919,직원목록!$A$3:$A$302,0)),"미등록사번"))</f>
        <v/>
      </c>
      <c r="D1919" s="13" t="str">
        <f aca="false">IF($B1919="","",IFERROR(INDEX(직원목록!$C$3:$C$302,MATCH($B1919,직원목록!$A$3:$A$302,0)),""))</f>
        <v/>
      </c>
      <c r="E1919" s="14"/>
      <c r="F1919" s="14"/>
      <c r="G1919" s="15"/>
      <c r="H1919" s="16" t="str">
        <f aca="false">IF(OR($K1919="",$L1919=""),"",ROUND(MAX(0,($L1919-$K1919)-IF($G1919="",0,$G1919))/60,2))</f>
        <v/>
      </c>
      <c r="I1919" s="8"/>
      <c r="J1919" s="8"/>
      <c r="K1919" s="17" t="str">
        <f aca="false">IF($E1919="","",IF($E1919&lt;1,ROUND($E1919*1440,0),INT($E1919/100)*60+MOD($E1919,100)))</f>
        <v/>
      </c>
      <c r="L1919" s="17" t="str">
        <f aca="false">IF($F1919="","",IF($F1919&lt;1,ROUND($F1919*1440,0),INT($F1919/100)*60+MOD($F1919,100)))</f>
        <v/>
      </c>
    </row>
    <row r="1920" customFormat="false" ht="15" hidden="false" customHeight="true" outlineLevel="0" collapsed="false">
      <c r="A1920" s="10"/>
      <c r="B1920" s="8"/>
      <c r="C1920" s="13" t="str">
        <f aca="false">IF($B1920="","",IFERROR(INDEX(직원목록!$B$3:$B$302,MATCH($B1920,직원목록!$A$3:$A$302,0)),"미등록사번"))</f>
        <v/>
      </c>
      <c r="D1920" s="13" t="str">
        <f aca="false">IF($B1920="","",IFERROR(INDEX(직원목록!$C$3:$C$302,MATCH($B1920,직원목록!$A$3:$A$302,0)),""))</f>
        <v/>
      </c>
      <c r="E1920" s="14"/>
      <c r="F1920" s="14"/>
      <c r="G1920" s="15"/>
      <c r="H1920" s="16" t="str">
        <f aca="false">IF(OR($K1920="",$L1920=""),"",ROUND(MAX(0,($L1920-$K1920)-IF($G1920="",0,$G1920))/60,2))</f>
        <v/>
      </c>
      <c r="I1920" s="8"/>
      <c r="J1920" s="8"/>
      <c r="K1920" s="17" t="str">
        <f aca="false">IF($E1920="","",IF($E1920&lt;1,ROUND($E1920*1440,0),INT($E1920/100)*60+MOD($E1920,100)))</f>
        <v/>
      </c>
      <c r="L1920" s="17" t="str">
        <f aca="false">IF($F1920="","",IF($F1920&lt;1,ROUND($F1920*1440,0),INT($F1920/100)*60+MOD($F1920,100)))</f>
        <v/>
      </c>
    </row>
    <row r="1921" customFormat="false" ht="15" hidden="false" customHeight="true" outlineLevel="0" collapsed="false">
      <c r="A1921" s="10"/>
      <c r="B1921" s="8"/>
      <c r="C1921" s="13" t="str">
        <f aca="false">IF($B1921="","",IFERROR(INDEX(직원목록!$B$3:$B$302,MATCH($B1921,직원목록!$A$3:$A$302,0)),"미등록사번"))</f>
        <v/>
      </c>
      <c r="D1921" s="13" t="str">
        <f aca="false">IF($B1921="","",IFERROR(INDEX(직원목록!$C$3:$C$302,MATCH($B1921,직원목록!$A$3:$A$302,0)),""))</f>
        <v/>
      </c>
      <c r="E1921" s="14"/>
      <c r="F1921" s="14"/>
      <c r="G1921" s="15"/>
      <c r="H1921" s="16" t="str">
        <f aca="false">IF(OR($K1921="",$L1921=""),"",ROUND(MAX(0,($L1921-$K1921)-IF($G1921="",0,$G1921))/60,2))</f>
        <v/>
      </c>
      <c r="I1921" s="8"/>
      <c r="J1921" s="8"/>
      <c r="K1921" s="17" t="str">
        <f aca="false">IF($E1921="","",IF($E1921&lt;1,ROUND($E1921*1440,0),INT($E1921/100)*60+MOD($E1921,100)))</f>
        <v/>
      </c>
      <c r="L1921" s="17" t="str">
        <f aca="false">IF($F1921="","",IF($F1921&lt;1,ROUND($F1921*1440,0),INT($F1921/100)*60+MOD($F1921,100)))</f>
        <v/>
      </c>
    </row>
    <row r="1922" customFormat="false" ht="15" hidden="false" customHeight="true" outlineLevel="0" collapsed="false">
      <c r="A1922" s="10"/>
      <c r="B1922" s="8"/>
      <c r="C1922" s="13" t="str">
        <f aca="false">IF($B1922="","",IFERROR(INDEX(직원목록!$B$3:$B$302,MATCH($B1922,직원목록!$A$3:$A$302,0)),"미등록사번"))</f>
        <v/>
      </c>
      <c r="D1922" s="13" t="str">
        <f aca="false">IF($B1922="","",IFERROR(INDEX(직원목록!$C$3:$C$302,MATCH($B1922,직원목록!$A$3:$A$302,0)),""))</f>
        <v/>
      </c>
      <c r="E1922" s="14"/>
      <c r="F1922" s="14"/>
      <c r="G1922" s="15"/>
      <c r="H1922" s="16" t="str">
        <f aca="false">IF(OR($K1922="",$L1922=""),"",ROUND(MAX(0,($L1922-$K1922)-IF($G1922="",0,$G1922))/60,2))</f>
        <v/>
      </c>
      <c r="I1922" s="8"/>
      <c r="J1922" s="8"/>
      <c r="K1922" s="17" t="str">
        <f aca="false">IF($E1922="","",IF($E1922&lt;1,ROUND($E1922*1440,0),INT($E1922/100)*60+MOD($E1922,100)))</f>
        <v/>
      </c>
      <c r="L1922" s="17" t="str">
        <f aca="false">IF($F1922="","",IF($F1922&lt;1,ROUND($F1922*1440,0),INT($F1922/100)*60+MOD($F1922,100)))</f>
        <v/>
      </c>
    </row>
    <row r="1923" customFormat="false" ht="15" hidden="false" customHeight="true" outlineLevel="0" collapsed="false">
      <c r="A1923" s="10"/>
      <c r="B1923" s="8"/>
      <c r="C1923" s="13" t="str">
        <f aca="false">IF($B1923="","",IFERROR(INDEX(직원목록!$B$3:$B$302,MATCH($B1923,직원목록!$A$3:$A$302,0)),"미등록사번"))</f>
        <v/>
      </c>
      <c r="D1923" s="13" t="str">
        <f aca="false">IF($B1923="","",IFERROR(INDEX(직원목록!$C$3:$C$302,MATCH($B1923,직원목록!$A$3:$A$302,0)),""))</f>
        <v/>
      </c>
      <c r="E1923" s="14"/>
      <c r="F1923" s="14"/>
      <c r="G1923" s="15"/>
      <c r="H1923" s="16" t="str">
        <f aca="false">IF(OR($K1923="",$L1923=""),"",ROUND(MAX(0,($L1923-$K1923)-IF($G1923="",0,$G1923))/60,2))</f>
        <v/>
      </c>
      <c r="I1923" s="8"/>
      <c r="J1923" s="8"/>
      <c r="K1923" s="17" t="str">
        <f aca="false">IF($E1923="","",IF($E1923&lt;1,ROUND($E1923*1440,0),INT($E1923/100)*60+MOD($E1923,100)))</f>
        <v/>
      </c>
      <c r="L1923" s="17" t="str">
        <f aca="false">IF($F1923="","",IF($F1923&lt;1,ROUND($F1923*1440,0),INT($F1923/100)*60+MOD($F1923,100)))</f>
        <v/>
      </c>
    </row>
    <row r="1924" customFormat="false" ht="15" hidden="false" customHeight="true" outlineLevel="0" collapsed="false">
      <c r="A1924" s="10"/>
      <c r="B1924" s="8"/>
      <c r="C1924" s="13" t="str">
        <f aca="false">IF($B1924="","",IFERROR(INDEX(직원목록!$B$3:$B$302,MATCH($B1924,직원목록!$A$3:$A$302,0)),"미등록사번"))</f>
        <v/>
      </c>
      <c r="D1924" s="13" t="str">
        <f aca="false">IF($B1924="","",IFERROR(INDEX(직원목록!$C$3:$C$302,MATCH($B1924,직원목록!$A$3:$A$302,0)),""))</f>
        <v/>
      </c>
      <c r="E1924" s="14"/>
      <c r="F1924" s="14"/>
      <c r="G1924" s="15"/>
      <c r="H1924" s="16" t="str">
        <f aca="false">IF(OR($K1924="",$L1924=""),"",ROUND(MAX(0,($L1924-$K1924)-IF($G1924="",0,$G1924))/60,2))</f>
        <v/>
      </c>
      <c r="I1924" s="8"/>
      <c r="J1924" s="8"/>
      <c r="K1924" s="17" t="str">
        <f aca="false">IF($E1924="","",IF($E1924&lt;1,ROUND($E1924*1440,0),INT($E1924/100)*60+MOD($E1924,100)))</f>
        <v/>
      </c>
      <c r="L1924" s="17" t="str">
        <f aca="false">IF($F1924="","",IF($F1924&lt;1,ROUND($F1924*1440,0),INT($F1924/100)*60+MOD($F1924,100)))</f>
        <v/>
      </c>
    </row>
    <row r="1925" customFormat="false" ht="15" hidden="false" customHeight="true" outlineLevel="0" collapsed="false">
      <c r="A1925" s="10"/>
      <c r="B1925" s="8"/>
      <c r="C1925" s="13" t="str">
        <f aca="false">IF($B1925="","",IFERROR(INDEX(직원목록!$B$3:$B$302,MATCH($B1925,직원목록!$A$3:$A$302,0)),"미등록사번"))</f>
        <v/>
      </c>
      <c r="D1925" s="13" t="str">
        <f aca="false">IF($B1925="","",IFERROR(INDEX(직원목록!$C$3:$C$302,MATCH($B1925,직원목록!$A$3:$A$302,0)),""))</f>
        <v/>
      </c>
      <c r="E1925" s="14"/>
      <c r="F1925" s="14"/>
      <c r="G1925" s="15"/>
      <c r="H1925" s="16" t="str">
        <f aca="false">IF(OR($K1925="",$L1925=""),"",ROUND(MAX(0,($L1925-$K1925)-IF($G1925="",0,$G1925))/60,2))</f>
        <v/>
      </c>
      <c r="I1925" s="8"/>
      <c r="J1925" s="8"/>
      <c r="K1925" s="17" t="str">
        <f aca="false">IF($E1925="","",IF($E1925&lt;1,ROUND($E1925*1440,0),INT($E1925/100)*60+MOD($E1925,100)))</f>
        <v/>
      </c>
      <c r="L1925" s="17" t="str">
        <f aca="false">IF($F1925="","",IF($F1925&lt;1,ROUND($F1925*1440,0),INT($F1925/100)*60+MOD($F1925,100)))</f>
        <v/>
      </c>
    </row>
    <row r="1926" customFormat="false" ht="15" hidden="false" customHeight="true" outlineLevel="0" collapsed="false">
      <c r="A1926" s="10"/>
      <c r="B1926" s="8"/>
      <c r="C1926" s="13" t="str">
        <f aca="false">IF($B1926="","",IFERROR(INDEX(직원목록!$B$3:$B$302,MATCH($B1926,직원목록!$A$3:$A$302,0)),"미등록사번"))</f>
        <v/>
      </c>
      <c r="D1926" s="13" t="str">
        <f aca="false">IF($B1926="","",IFERROR(INDEX(직원목록!$C$3:$C$302,MATCH($B1926,직원목록!$A$3:$A$302,0)),""))</f>
        <v/>
      </c>
      <c r="E1926" s="14"/>
      <c r="F1926" s="14"/>
      <c r="G1926" s="15"/>
      <c r="H1926" s="16" t="str">
        <f aca="false">IF(OR($K1926="",$L1926=""),"",ROUND(MAX(0,($L1926-$K1926)-IF($G1926="",0,$G1926))/60,2))</f>
        <v/>
      </c>
      <c r="I1926" s="8"/>
      <c r="J1926" s="8"/>
      <c r="K1926" s="17" t="str">
        <f aca="false">IF($E1926="","",IF($E1926&lt;1,ROUND($E1926*1440,0),INT($E1926/100)*60+MOD($E1926,100)))</f>
        <v/>
      </c>
      <c r="L1926" s="17" t="str">
        <f aca="false">IF($F1926="","",IF($F1926&lt;1,ROUND($F1926*1440,0),INT($F1926/100)*60+MOD($F1926,100)))</f>
        <v/>
      </c>
    </row>
    <row r="1927" customFormat="false" ht="15" hidden="false" customHeight="true" outlineLevel="0" collapsed="false">
      <c r="A1927" s="10"/>
      <c r="B1927" s="8"/>
      <c r="C1927" s="13" t="str">
        <f aca="false">IF($B1927="","",IFERROR(INDEX(직원목록!$B$3:$B$302,MATCH($B1927,직원목록!$A$3:$A$302,0)),"미등록사번"))</f>
        <v/>
      </c>
      <c r="D1927" s="13" t="str">
        <f aca="false">IF($B1927="","",IFERROR(INDEX(직원목록!$C$3:$C$302,MATCH($B1927,직원목록!$A$3:$A$302,0)),""))</f>
        <v/>
      </c>
      <c r="E1927" s="14"/>
      <c r="F1927" s="14"/>
      <c r="G1927" s="15"/>
      <c r="H1927" s="16" t="str">
        <f aca="false">IF(OR($K1927="",$L1927=""),"",ROUND(MAX(0,($L1927-$K1927)-IF($G1927="",0,$G1927))/60,2))</f>
        <v/>
      </c>
      <c r="I1927" s="8"/>
      <c r="J1927" s="8"/>
      <c r="K1927" s="17" t="str">
        <f aca="false">IF($E1927="","",IF($E1927&lt;1,ROUND($E1927*1440,0),INT($E1927/100)*60+MOD($E1927,100)))</f>
        <v/>
      </c>
      <c r="L1927" s="17" t="str">
        <f aca="false">IF($F1927="","",IF($F1927&lt;1,ROUND($F1927*1440,0),INT($F1927/100)*60+MOD($F1927,100)))</f>
        <v/>
      </c>
    </row>
    <row r="1928" customFormat="false" ht="15" hidden="false" customHeight="true" outlineLevel="0" collapsed="false">
      <c r="A1928" s="10"/>
      <c r="B1928" s="8"/>
      <c r="C1928" s="13" t="str">
        <f aca="false">IF($B1928="","",IFERROR(INDEX(직원목록!$B$3:$B$302,MATCH($B1928,직원목록!$A$3:$A$302,0)),"미등록사번"))</f>
        <v/>
      </c>
      <c r="D1928" s="13" t="str">
        <f aca="false">IF($B1928="","",IFERROR(INDEX(직원목록!$C$3:$C$302,MATCH($B1928,직원목록!$A$3:$A$302,0)),""))</f>
        <v/>
      </c>
      <c r="E1928" s="14"/>
      <c r="F1928" s="14"/>
      <c r="G1928" s="15"/>
      <c r="H1928" s="16" t="str">
        <f aca="false">IF(OR($K1928="",$L1928=""),"",ROUND(MAX(0,($L1928-$K1928)-IF($G1928="",0,$G1928))/60,2))</f>
        <v/>
      </c>
      <c r="I1928" s="8"/>
      <c r="J1928" s="8"/>
      <c r="K1928" s="17" t="str">
        <f aca="false">IF($E1928="","",IF($E1928&lt;1,ROUND($E1928*1440,0),INT($E1928/100)*60+MOD($E1928,100)))</f>
        <v/>
      </c>
      <c r="L1928" s="17" t="str">
        <f aca="false">IF($F1928="","",IF($F1928&lt;1,ROUND($F1928*1440,0),INT($F1928/100)*60+MOD($F1928,100)))</f>
        <v/>
      </c>
    </row>
    <row r="1929" customFormat="false" ht="15" hidden="false" customHeight="true" outlineLevel="0" collapsed="false">
      <c r="A1929" s="10"/>
      <c r="B1929" s="8"/>
      <c r="C1929" s="13" t="str">
        <f aca="false">IF($B1929="","",IFERROR(INDEX(직원목록!$B$3:$B$302,MATCH($B1929,직원목록!$A$3:$A$302,0)),"미등록사번"))</f>
        <v/>
      </c>
      <c r="D1929" s="13" t="str">
        <f aca="false">IF($B1929="","",IFERROR(INDEX(직원목록!$C$3:$C$302,MATCH($B1929,직원목록!$A$3:$A$302,0)),""))</f>
        <v/>
      </c>
      <c r="E1929" s="14"/>
      <c r="F1929" s="14"/>
      <c r="G1929" s="15"/>
      <c r="H1929" s="16" t="str">
        <f aca="false">IF(OR($K1929="",$L1929=""),"",ROUND(MAX(0,($L1929-$K1929)-IF($G1929="",0,$G1929))/60,2))</f>
        <v/>
      </c>
      <c r="I1929" s="8"/>
      <c r="J1929" s="8"/>
      <c r="K1929" s="17" t="str">
        <f aca="false">IF($E1929="","",IF($E1929&lt;1,ROUND($E1929*1440,0),INT($E1929/100)*60+MOD($E1929,100)))</f>
        <v/>
      </c>
      <c r="L1929" s="17" t="str">
        <f aca="false">IF($F1929="","",IF($F1929&lt;1,ROUND($F1929*1440,0),INT($F1929/100)*60+MOD($F1929,100)))</f>
        <v/>
      </c>
    </row>
    <row r="1930" customFormat="false" ht="15" hidden="false" customHeight="true" outlineLevel="0" collapsed="false">
      <c r="A1930" s="10"/>
      <c r="B1930" s="8"/>
      <c r="C1930" s="13" t="str">
        <f aca="false">IF($B1930="","",IFERROR(INDEX(직원목록!$B$3:$B$302,MATCH($B1930,직원목록!$A$3:$A$302,0)),"미등록사번"))</f>
        <v/>
      </c>
      <c r="D1930" s="13" t="str">
        <f aca="false">IF($B1930="","",IFERROR(INDEX(직원목록!$C$3:$C$302,MATCH($B1930,직원목록!$A$3:$A$302,0)),""))</f>
        <v/>
      </c>
      <c r="E1930" s="14"/>
      <c r="F1930" s="14"/>
      <c r="G1930" s="15"/>
      <c r="H1930" s="16" t="str">
        <f aca="false">IF(OR($K1930="",$L1930=""),"",ROUND(MAX(0,($L1930-$K1930)-IF($G1930="",0,$G1930))/60,2))</f>
        <v/>
      </c>
      <c r="I1930" s="8"/>
      <c r="J1930" s="8"/>
      <c r="K1930" s="17" t="str">
        <f aca="false">IF($E1930="","",IF($E1930&lt;1,ROUND($E1930*1440,0),INT($E1930/100)*60+MOD($E1930,100)))</f>
        <v/>
      </c>
      <c r="L1930" s="17" t="str">
        <f aca="false">IF($F1930="","",IF($F1930&lt;1,ROUND($F1930*1440,0),INT($F1930/100)*60+MOD($F1930,100)))</f>
        <v/>
      </c>
    </row>
    <row r="1931" customFormat="false" ht="15" hidden="false" customHeight="true" outlineLevel="0" collapsed="false">
      <c r="A1931" s="10"/>
      <c r="B1931" s="8"/>
      <c r="C1931" s="13" t="str">
        <f aca="false">IF($B1931="","",IFERROR(INDEX(직원목록!$B$3:$B$302,MATCH($B1931,직원목록!$A$3:$A$302,0)),"미등록사번"))</f>
        <v/>
      </c>
      <c r="D1931" s="13" t="str">
        <f aca="false">IF($B1931="","",IFERROR(INDEX(직원목록!$C$3:$C$302,MATCH($B1931,직원목록!$A$3:$A$302,0)),""))</f>
        <v/>
      </c>
      <c r="E1931" s="14"/>
      <c r="F1931" s="14"/>
      <c r="G1931" s="15"/>
      <c r="H1931" s="16" t="str">
        <f aca="false">IF(OR($K1931="",$L1931=""),"",ROUND(MAX(0,($L1931-$K1931)-IF($G1931="",0,$G1931))/60,2))</f>
        <v/>
      </c>
      <c r="I1931" s="8"/>
      <c r="J1931" s="8"/>
      <c r="K1931" s="17" t="str">
        <f aca="false">IF($E1931="","",IF($E1931&lt;1,ROUND($E1931*1440,0),INT($E1931/100)*60+MOD($E1931,100)))</f>
        <v/>
      </c>
      <c r="L1931" s="17" t="str">
        <f aca="false">IF($F1931="","",IF($F1931&lt;1,ROUND($F1931*1440,0),INT($F1931/100)*60+MOD($F1931,100)))</f>
        <v/>
      </c>
    </row>
    <row r="1932" customFormat="false" ht="15" hidden="false" customHeight="true" outlineLevel="0" collapsed="false">
      <c r="A1932" s="10"/>
      <c r="B1932" s="8"/>
      <c r="C1932" s="13" t="str">
        <f aca="false">IF($B1932="","",IFERROR(INDEX(직원목록!$B$3:$B$302,MATCH($B1932,직원목록!$A$3:$A$302,0)),"미등록사번"))</f>
        <v/>
      </c>
      <c r="D1932" s="13" t="str">
        <f aca="false">IF($B1932="","",IFERROR(INDEX(직원목록!$C$3:$C$302,MATCH($B1932,직원목록!$A$3:$A$302,0)),""))</f>
        <v/>
      </c>
      <c r="E1932" s="14"/>
      <c r="F1932" s="14"/>
      <c r="G1932" s="15"/>
      <c r="H1932" s="16" t="str">
        <f aca="false">IF(OR($K1932="",$L1932=""),"",ROUND(MAX(0,($L1932-$K1932)-IF($G1932="",0,$G1932))/60,2))</f>
        <v/>
      </c>
      <c r="I1932" s="8"/>
      <c r="J1932" s="8"/>
      <c r="K1932" s="17" t="str">
        <f aca="false">IF($E1932="","",IF($E1932&lt;1,ROUND($E1932*1440,0),INT($E1932/100)*60+MOD($E1932,100)))</f>
        <v/>
      </c>
      <c r="L1932" s="17" t="str">
        <f aca="false">IF($F1932="","",IF($F1932&lt;1,ROUND($F1932*1440,0),INT($F1932/100)*60+MOD($F1932,100)))</f>
        <v/>
      </c>
    </row>
    <row r="1933" customFormat="false" ht="15" hidden="false" customHeight="true" outlineLevel="0" collapsed="false">
      <c r="A1933" s="10"/>
      <c r="B1933" s="8"/>
      <c r="C1933" s="13" t="str">
        <f aca="false">IF($B1933="","",IFERROR(INDEX(직원목록!$B$3:$B$302,MATCH($B1933,직원목록!$A$3:$A$302,0)),"미등록사번"))</f>
        <v/>
      </c>
      <c r="D1933" s="13" t="str">
        <f aca="false">IF($B1933="","",IFERROR(INDEX(직원목록!$C$3:$C$302,MATCH($B1933,직원목록!$A$3:$A$302,0)),""))</f>
        <v/>
      </c>
      <c r="E1933" s="14"/>
      <c r="F1933" s="14"/>
      <c r="G1933" s="15"/>
      <c r="H1933" s="16" t="str">
        <f aca="false">IF(OR($K1933="",$L1933=""),"",ROUND(MAX(0,($L1933-$K1933)-IF($G1933="",0,$G1933))/60,2))</f>
        <v/>
      </c>
      <c r="I1933" s="8"/>
      <c r="J1933" s="8"/>
      <c r="K1933" s="17" t="str">
        <f aca="false">IF($E1933="","",IF($E1933&lt;1,ROUND($E1933*1440,0),INT($E1933/100)*60+MOD($E1933,100)))</f>
        <v/>
      </c>
      <c r="L1933" s="17" t="str">
        <f aca="false">IF($F1933="","",IF($F1933&lt;1,ROUND($F1933*1440,0),INT($F1933/100)*60+MOD($F1933,100)))</f>
        <v/>
      </c>
    </row>
    <row r="1934" customFormat="false" ht="15" hidden="false" customHeight="true" outlineLevel="0" collapsed="false">
      <c r="A1934" s="10"/>
      <c r="B1934" s="8"/>
      <c r="C1934" s="13" t="str">
        <f aca="false">IF($B1934="","",IFERROR(INDEX(직원목록!$B$3:$B$302,MATCH($B1934,직원목록!$A$3:$A$302,0)),"미등록사번"))</f>
        <v/>
      </c>
      <c r="D1934" s="13" t="str">
        <f aca="false">IF($B1934="","",IFERROR(INDEX(직원목록!$C$3:$C$302,MATCH($B1934,직원목록!$A$3:$A$302,0)),""))</f>
        <v/>
      </c>
      <c r="E1934" s="14"/>
      <c r="F1934" s="14"/>
      <c r="G1934" s="15"/>
      <c r="H1934" s="16" t="str">
        <f aca="false">IF(OR($K1934="",$L1934=""),"",ROUND(MAX(0,($L1934-$K1934)-IF($G1934="",0,$G1934))/60,2))</f>
        <v/>
      </c>
      <c r="I1934" s="8"/>
      <c r="J1934" s="8"/>
      <c r="K1934" s="17" t="str">
        <f aca="false">IF($E1934="","",IF($E1934&lt;1,ROUND($E1934*1440,0),INT($E1934/100)*60+MOD($E1934,100)))</f>
        <v/>
      </c>
      <c r="L1934" s="17" t="str">
        <f aca="false">IF($F1934="","",IF($F1934&lt;1,ROUND($F1934*1440,0),INT($F1934/100)*60+MOD($F1934,100)))</f>
        <v/>
      </c>
    </row>
    <row r="1935" customFormat="false" ht="15" hidden="false" customHeight="true" outlineLevel="0" collapsed="false">
      <c r="A1935" s="10"/>
      <c r="B1935" s="8"/>
      <c r="C1935" s="13" t="str">
        <f aca="false">IF($B1935="","",IFERROR(INDEX(직원목록!$B$3:$B$302,MATCH($B1935,직원목록!$A$3:$A$302,0)),"미등록사번"))</f>
        <v/>
      </c>
      <c r="D1935" s="13" t="str">
        <f aca="false">IF($B1935="","",IFERROR(INDEX(직원목록!$C$3:$C$302,MATCH($B1935,직원목록!$A$3:$A$302,0)),""))</f>
        <v/>
      </c>
      <c r="E1935" s="14"/>
      <c r="F1935" s="14"/>
      <c r="G1935" s="15"/>
      <c r="H1935" s="16" t="str">
        <f aca="false">IF(OR($K1935="",$L1935=""),"",ROUND(MAX(0,($L1935-$K1935)-IF($G1935="",0,$G1935))/60,2))</f>
        <v/>
      </c>
      <c r="I1935" s="8"/>
      <c r="J1935" s="8"/>
      <c r="K1935" s="17" t="str">
        <f aca="false">IF($E1935="","",IF($E1935&lt;1,ROUND($E1935*1440,0),INT($E1935/100)*60+MOD($E1935,100)))</f>
        <v/>
      </c>
      <c r="L1935" s="17" t="str">
        <f aca="false">IF($F1935="","",IF($F1935&lt;1,ROUND($F1935*1440,0),INT($F1935/100)*60+MOD($F1935,100)))</f>
        <v/>
      </c>
    </row>
    <row r="1936" customFormat="false" ht="15" hidden="false" customHeight="true" outlineLevel="0" collapsed="false">
      <c r="A1936" s="10"/>
      <c r="B1936" s="8"/>
      <c r="C1936" s="13" t="str">
        <f aca="false">IF($B1936="","",IFERROR(INDEX(직원목록!$B$3:$B$302,MATCH($B1936,직원목록!$A$3:$A$302,0)),"미등록사번"))</f>
        <v/>
      </c>
      <c r="D1936" s="13" t="str">
        <f aca="false">IF($B1936="","",IFERROR(INDEX(직원목록!$C$3:$C$302,MATCH($B1936,직원목록!$A$3:$A$302,0)),""))</f>
        <v/>
      </c>
      <c r="E1936" s="14"/>
      <c r="F1936" s="14"/>
      <c r="G1936" s="15"/>
      <c r="H1936" s="16" t="str">
        <f aca="false">IF(OR($K1936="",$L1936=""),"",ROUND(MAX(0,($L1936-$K1936)-IF($G1936="",0,$G1936))/60,2))</f>
        <v/>
      </c>
      <c r="I1936" s="8"/>
      <c r="J1936" s="8"/>
      <c r="K1936" s="17" t="str">
        <f aca="false">IF($E1936="","",IF($E1936&lt;1,ROUND($E1936*1440,0),INT($E1936/100)*60+MOD($E1936,100)))</f>
        <v/>
      </c>
      <c r="L1936" s="17" t="str">
        <f aca="false">IF($F1936="","",IF($F1936&lt;1,ROUND($F1936*1440,0),INT($F1936/100)*60+MOD($F1936,100)))</f>
        <v/>
      </c>
    </row>
    <row r="1937" customFormat="false" ht="15" hidden="false" customHeight="true" outlineLevel="0" collapsed="false">
      <c r="A1937" s="10"/>
      <c r="B1937" s="8"/>
      <c r="C1937" s="13" t="str">
        <f aca="false">IF($B1937="","",IFERROR(INDEX(직원목록!$B$3:$B$302,MATCH($B1937,직원목록!$A$3:$A$302,0)),"미등록사번"))</f>
        <v/>
      </c>
      <c r="D1937" s="13" t="str">
        <f aca="false">IF($B1937="","",IFERROR(INDEX(직원목록!$C$3:$C$302,MATCH($B1937,직원목록!$A$3:$A$302,0)),""))</f>
        <v/>
      </c>
      <c r="E1937" s="14"/>
      <c r="F1937" s="14"/>
      <c r="G1937" s="15"/>
      <c r="H1937" s="16" t="str">
        <f aca="false">IF(OR($K1937="",$L1937=""),"",ROUND(MAX(0,($L1937-$K1937)-IF($G1937="",0,$G1937))/60,2))</f>
        <v/>
      </c>
      <c r="I1937" s="8"/>
      <c r="J1937" s="8"/>
      <c r="K1937" s="17" t="str">
        <f aca="false">IF($E1937="","",IF($E1937&lt;1,ROUND($E1937*1440,0),INT($E1937/100)*60+MOD($E1937,100)))</f>
        <v/>
      </c>
      <c r="L1937" s="17" t="str">
        <f aca="false">IF($F1937="","",IF($F1937&lt;1,ROUND($F1937*1440,0),INT($F1937/100)*60+MOD($F1937,100)))</f>
        <v/>
      </c>
    </row>
    <row r="1938" customFormat="false" ht="15" hidden="false" customHeight="true" outlineLevel="0" collapsed="false">
      <c r="A1938" s="10"/>
      <c r="B1938" s="8"/>
      <c r="C1938" s="13" t="str">
        <f aca="false">IF($B1938="","",IFERROR(INDEX(직원목록!$B$3:$B$302,MATCH($B1938,직원목록!$A$3:$A$302,0)),"미등록사번"))</f>
        <v/>
      </c>
      <c r="D1938" s="13" t="str">
        <f aca="false">IF($B1938="","",IFERROR(INDEX(직원목록!$C$3:$C$302,MATCH($B1938,직원목록!$A$3:$A$302,0)),""))</f>
        <v/>
      </c>
      <c r="E1938" s="14"/>
      <c r="F1938" s="14"/>
      <c r="G1938" s="15"/>
      <c r="H1938" s="16" t="str">
        <f aca="false">IF(OR($K1938="",$L1938=""),"",ROUND(MAX(0,($L1938-$K1938)-IF($G1938="",0,$G1938))/60,2))</f>
        <v/>
      </c>
      <c r="I1938" s="8"/>
      <c r="J1938" s="8"/>
      <c r="K1938" s="17" t="str">
        <f aca="false">IF($E1938="","",IF($E1938&lt;1,ROUND($E1938*1440,0),INT($E1938/100)*60+MOD($E1938,100)))</f>
        <v/>
      </c>
      <c r="L1938" s="17" t="str">
        <f aca="false">IF($F1938="","",IF($F1938&lt;1,ROUND($F1938*1440,0),INT($F1938/100)*60+MOD($F1938,100)))</f>
        <v/>
      </c>
    </row>
    <row r="1939" customFormat="false" ht="15" hidden="false" customHeight="true" outlineLevel="0" collapsed="false">
      <c r="A1939" s="10"/>
      <c r="B1939" s="8"/>
      <c r="C1939" s="13" t="str">
        <f aca="false">IF($B1939="","",IFERROR(INDEX(직원목록!$B$3:$B$302,MATCH($B1939,직원목록!$A$3:$A$302,0)),"미등록사번"))</f>
        <v/>
      </c>
      <c r="D1939" s="13" t="str">
        <f aca="false">IF($B1939="","",IFERROR(INDEX(직원목록!$C$3:$C$302,MATCH($B1939,직원목록!$A$3:$A$302,0)),""))</f>
        <v/>
      </c>
      <c r="E1939" s="14"/>
      <c r="F1939" s="14"/>
      <c r="G1939" s="15"/>
      <c r="H1939" s="16" t="str">
        <f aca="false">IF(OR($K1939="",$L1939=""),"",ROUND(MAX(0,($L1939-$K1939)-IF($G1939="",0,$G1939))/60,2))</f>
        <v/>
      </c>
      <c r="I1939" s="8"/>
      <c r="J1939" s="8"/>
      <c r="K1939" s="17" t="str">
        <f aca="false">IF($E1939="","",IF($E1939&lt;1,ROUND($E1939*1440,0),INT($E1939/100)*60+MOD($E1939,100)))</f>
        <v/>
      </c>
      <c r="L1939" s="17" t="str">
        <f aca="false">IF($F1939="","",IF($F1939&lt;1,ROUND($F1939*1440,0),INT($F1939/100)*60+MOD($F1939,100)))</f>
        <v/>
      </c>
    </row>
    <row r="1940" customFormat="false" ht="15" hidden="false" customHeight="true" outlineLevel="0" collapsed="false">
      <c r="A1940" s="10"/>
      <c r="B1940" s="8"/>
      <c r="C1940" s="13" t="str">
        <f aca="false">IF($B1940="","",IFERROR(INDEX(직원목록!$B$3:$B$302,MATCH($B1940,직원목록!$A$3:$A$302,0)),"미등록사번"))</f>
        <v/>
      </c>
      <c r="D1940" s="13" t="str">
        <f aca="false">IF($B1940="","",IFERROR(INDEX(직원목록!$C$3:$C$302,MATCH($B1940,직원목록!$A$3:$A$302,0)),""))</f>
        <v/>
      </c>
      <c r="E1940" s="14"/>
      <c r="F1940" s="14"/>
      <c r="G1940" s="15"/>
      <c r="H1940" s="16" t="str">
        <f aca="false">IF(OR($K1940="",$L1940=""),"",ROUND(MAX(0,($L1940-$K1940)-IF($G1940="",0,$G1940))/60,2))</f>
        <v/>
      </c>
      <c r="I1940" s="8"/>
      <c r="J1940" s="8"/>
      <c r="K1940" s="17" t="str">
        <f aca="false">IF($E1940="","",IF($E1940&lt;1,ROUND($E1940*1440,0),INT($E1940/100)*60+MOD($E1940,100)))</f>
        <v/>
      </c>
      <c r="L1940" s="17" t="str">
        <f aca="false">IF($F1940="","",IF($F1940&lt;1,ROUND($F1940*1440,0),INT($F1940/100)*60+MOD($F1940,100)))</f>
        <v/>
      </c>
    </row>
    <row r="1941" customFormat="false" ht="15" hidden="false" customHeight="true" outlineLevel="0" collapsed="false">
      <c r="A1941" s="10"/>
      <c r="B1941" s="8"/>
      <c r="C1941" s="13" t="str">
        <f aca="false">IF($B1941="","",IFERROR(INDEX(직원목록!$B$3:$B$302,MATCH($B1941,직원목록!$A$3:$A$302,0)),"미등록사번"))</f>
        <v/>
      </c>
      <c r="D1941" s="13" t="str">
        <f aca="false">IF($B1941="","",IFERROR(INDEX(직원목록!$C$3:$C$302,MATCH($B1941,직원목록!$A$3:$A$302,0)),""))</f>
        <v/>
      </c>
      <c r="E1941" s="14"/>
      <c r="F1941" s="14"/>
      <c r="G1941" s="15"/>
      <c r="H1941" s="16" t="str">
        <f aca="false">IF(OR($K1941="",$L1941=""),"",ROUND(MAX(0,($L1941-$K1941)-IF($G1941="",0,$G1941))/60,2))</f>
        <v/>
      </c>
      <c r="I1941" s="8"/>
      <c r="J1941" s="8"/>
      <c r="K1941" s="17" t="str">
        <f aca="false">IF($E1941="","",IF($E1941&lt;1,ROUND($E1941*1440,0),INT($E1941/100)*60+MOD($E1941,100)))</f>
        <v/>
      </c>
      <c r="L1941" s="17" t="str">
        <f aca="false">IF($F1941="","",IF($F1941&lt;1,ROUND($F1941*1440,0),INT($F1941/100)*60+MOD($F1941,100)))</f>
        <v/>
      </c>
    </row>
    <row r="1942" customFormat="false" ht="15" hidden="false" customHeight="true" outlineLevel="0" collapsed="false">
      <c r="A1942" s="10"/>
      <c r="B1942" s="8"/>
      <c r="C1942" s="13" t="str">
        <f aca="false">IF($B1942="","",IFERROR(INDEX(직원목록!$B$3:$B$302,MATCH($B1942,직원목록!$A$3:$A$302,0)),"미등록사번"))</f>
        <v/>
      </c>
      <c r="D1942" s="13" t="str">
        <f aca="false">IF($B1942="","",IFERROR(INDEX(직원목록!$C$3:$C$302,MATCH($B1942,직원목록!$A$3:$A$302,0)),""))</f>
        <v/>
      </c>
      <c r="E1942" s="14"/>
      <c r="F1942" s="14"/>
      <c r="G1942" s="15"/>
      <c r="H1942" s="16" t="str">
        <f aca="false">IF(OR($K1942="",$L1942=""),"",ROUND(MAX(0,($L1942-$K1942)-IF($G1942="",0,$G1942))/60,2))</f>
        <v/>
      </c>
      <c r="I1942" s="8"/>
      <c r="J1942" s="8"/>
      <c r="K1942" s="17" t="str">
        <f aca="false">IF($E1942="","",IF($E1942&lt;1,ROUND($E1942*1440,0),INT($E1942/100)*60+MOD($E1942,100)))</f>
        <v/>
      </c>
      <c r="L1942" s="17" t="str">
        <f aca="false">IF($F1942="","",IF($F1942&lt;1,ROUND($F1942*1440,0),INT($F1942/100)*60+MOD($F1942,100)))</f>
        <v/>
      </c>
    </row>
    <row r="1943" customFormat="false" ht="15" hidden="false" customHeight="true" outlineLevel="0" collapsed="false">
      <c r="A1943" s="10"/>
      <c r="B1943" s="8"/>
      <c r="C1943" s="13" t="str">
        <f aca="false">IF($B1943="","",IFERROR(INDEX(직원목록!$B$3:$B$302,MATCH($B1943,직원목록!$A$3:$A$302,0)),"미등록사번"))</f>
        <v/>
      </c>
      <c r="D1943" s="13" t="str">
        <f aca="false">IF($B1943="","",IFERROR(INDEX(직원목록!$C$3:$C$302,MATCH($B1943,직원목록!$A$3:$A$302,0)),""))</f>
        <v/>
      </c>
      <c r="E1943" s="14"/>
      <c r="F1943" s="14"/>
      <c r="G1943" s="15"/>
      <c r="H1943" s="16" t="str">
        <f aca="false">IF(OR($K1943="",$L1943=""),"",ROUND(MAX(0,($L1943-$K1943)-IF($G1943="",0,$G1943))/60,2))</f>
        <v/>
      </c>
      <c r="I1943" s="8"/>
      <c r="J1943" s="8"/>
      <c r="K1943" s="17" t="str">
        <f aca="false">IF($E1943="","",IF($E1943&lt;1,ROUND($E1943*1440,0),INT($E1943/100)*60+MOD($E1943,100)))</f>
        <v/>
      </c>
      <c r="L1943" s="17" t="str">
        <f aca="false">IF($F1943="","",IF($F1943&lt;1,ROUND($F1943*1440,0),INT($F1943/100)*60+MOD($F1943,100)))</f>
        <v/>
      </c>
    </row>
    <row r="1944" customFormat="false" ht="15" hidden="false" customHeight="true" outlineLevel="0" collapsed="false">
      <c r="A1944" s="10"/>
      <c r="B1944" s="8"/>
      <c r="C1944" s="13" t="str">
        <f aca="false">IF($B1944="","",IFERROR(INDEX(직원목록!$B$3:$B$302,MATCH($B1944,직원목록!$A$3:$A$302,0)),"미등록사번"))</f>
        <v/>
      </c>
      <c r="D1944" s="13" t="str">
        <f aca="false">IF($B1944="","",IFERROR(INDEX(직원목록!$C$3:$C$302,MATCH($B1944,직원목록!$A$3:$A$302,0)),""))</f>
        <v/>
      </c>
      <c r="E1944" s="14"/>
      <c r="F1944" s="14"/>
      <c r="G1944" s="15"/>
      <c r="H1944" s="16" t="str">
        <f aca="false">IF(OR($K1944="",$L1944=""),"",ROUND(MAX(0,($L1944-$K1944)-IF($G1944="",0,$G1944))/60,2))</f>
        <v/>
      </c>
      <c r="I1944" s="8"/>
      <c r="J1944" s="8"/>
      <c r="K1944" s="17" t="str">
        <f aca="false">IF($E1944="","",IF($E1944&lt;1,ROUND($E1944*1440,0),INT($E1944/100)*60+MOD($E1944,100)))</f>
        <v/>
      </c>
      <c r="L1944" s="17" t="str">
        <f aca="false">IF($F1944="","",IF($F1944&lt;1,ROUND($F1944*1440,0),INT($F1944/100)*60+MOD($F1944,100)))</f>
        <v/>
      </c>
    </row>
    <row r="1945" customFormat="false" ht="15" hidden="false" customHeight="true" outlineLevel="0" collapsed="false">
      <c r="A1945" s="10"/>
      <c r="B1945" s="8"/>
      <c r="C1945" s="13" t="str">
        <f aca="false">IF($B1945="","",IFERROR(INDEX(직원목록!$B$3:$B$302,MATCH($B1945,직원목록!$A$3:$A$302,0)),"미등록사번"))</f>
        <v/>
      </c>
      <c r="D1945" s="13" t="str">
        <f aca="false">IF($B1945="","",IFERROR(INDEX(직원목록!$C$3:$C$302,MATCH($B1945,직원목록!$A$3:$A$302,0)),""))</f>
        <v/>
      </c>
      <c r="E1945" s="14"/>
      <c r="F1945" s="14"/>
      <c r="G1945" s="15"/>
      <c r="H1945" s="16" t="str">
        <f aca="false">IF(OR($K1945="",$L1945=""),"",ROUND(MAX(0,($L1945-$K1945)-IF($G1945="",0,$G1945))/60,2))</f>
        <v/>
      </c>
      <c r="I1945" s="8"/>
      <c r="J1945" s="8"/>
      <c r="K1945" s="17" t="str">
        <f aca="false">IF($E1945="","",IF($E1945&lt;1,ROUND($E1945*1440,0),INT($E1945/100)*60+MOD($E1945,100)))</f>
        <v/>
      </c>
      <c r="L1945" s="17" t="str">
        <f aca="false">IF($F1945="","",IF($F1945&lt;1,ROUND($F1945*1440,0),INT($F1945/100)*60+MOD($F1945,100)))</f>
        <v/>
      </c>
    </row>
    <row r="1946" customFormat="false" ht="15" hidden="false" customHeight="true" outlineLevel="0" collapsed="false">
      <c r="A1946" s="10"/>
      <c r="B1946" s="8"/>
      <c r="C1946" s="13" t="str">
        <f aca="false">IF($B1946="","",IFERROR(INDEX(직원목록!$B$3:$B$302,MATCH($B1946,직원목록!$A$3:$A$302,0)),"미등록사번"))</f>
        <v/>
      </c>
      <c r="D1946" s="13" t="str">
        <f aca="false">IF($B1946="","",IFERROR(INDEX(직원목록!$C$3:$C$302,MATCH($B1946,직원목록!$A$3:$A$302,0)),""))</f>
        <v/>
      </c>
      <c r="E1946" s="14"/>
      <c r="F1946" s="14"/>
      <c r="G1946" s="15"/>
      <c r="H1946" s="16" t="str">
        <f aca="false">IF(OR($K1946="",$L1946=""),"",ROUND(MAX(0,($L1946-$K1946)-IF($G1946="",0,$G1946))/60,2))</f>
        <v/>
      </c>
      <c r="I1946" s="8"/>
      <c r="J1946" s="8"/>
      <c r="K1946" s="17" t="str">
        <f aca="false">IF($E1946="","",IF($E1946&lt;1,ROUND($E1946*1440,0),INT($E1946/100)*60+MOD($E1946,100)))</f>
        <v/>
      </c>
      <c r="L1946" s="17" t="str">
        <f aca="false">IF($F1946="","",IF($F1946&lt;1,ROUND($F1946*1440,0),INT($F1946/100)*60+MOD($F1946,100)))</f>
        <v/>
      </c>
    </row>
    <row r="1947" customFormat="false" ht="15" hidden="false" customHeight="true" outlineLevel="0" collapsed="false">
      <c r="A1947" s="10"/>
      <c r="B1947" s="8"/>
      <c r="C1947" s="13" t="str">
        <f aca="false">IF($B1947="","",IFERROR(INDEX(직원목록!$B$3:$B$302,MATCH($B1947,직원목록!$A$3:$A$302,0)),"미등록사번"))</f>
        <v/>
      </c>
      <c r="D1947" s="13" t="str">
        <f aca="false">IF($B1947="","",IFERROR(INDEX(직원목록!$C$3:$C$302,MATCH($B1947,직원목록!$A$3:$A$302,0)),""))</f>
        <v/>
      </c>
      <c r="E1947" s="14"/>
      <c r="F1947" s="14"/>
      <c r="G1947" s="15"/>
      <c r="H1947" s="16" t="str">
        <f aca="false">IF(OR($K1947="",$L1947=""),"",ROUND(MAX(0,($L1947-$K1947)-IF($G1947="",0,$G1947))/60,2))</f>
        <v/>
      </c>
      <c r="I1947" s="8"/>
      <c r="J1947" s="8"/>
      <c r="K1947" s="17" t="str">
        <f aca="false">IF($E1947="","",IF($E1947&lt;1,ROUND($E1947*1440,0),INT($E1947/100)*60+MOD($E1947,100)))</f>
        <v/>
      </c>
      <c r="L1947" s="17" t="str">
        <f aca="false">IF($F1947="","",IF($F1947&lt;1,ROUND($F1947*1440,0),INT($F1947/100)*60+MOD($F1947,100)))</f>
        <v/>
      </c>
    </row>
    <row r="1948" customFormat="false" ht="15" hidden="false" customHeight="true" outlineLevel="0" collapsed="false">
      <c r="A1948" s="10"/>
      <c r="B1948" s="8"/>
      <c r="C1948" s="13" t="str">
        <f aca="false">IF($B1948="","",IFERROR(INDEX(직원목록!$B$3:$B$302,MATCH($B1948,직원목록!$A$3:$A$302,0)),"미등록사번"))</f>
        <v/>
      </c>
      <c r="D1948" s="13" t="str">
        <f aca="false">IF($B1948="","",IFERROR(INDEX(직원목록!$C$3:$C$302,MATCH($B1948,직원목록!$A$3:$A$302,0)),""))</f>
        <v/>
      </c>
      <c r="E1948" s="14"/>
      <c r="F1948" s="14"/>
      <c r="G1948" s="15"/>
      <c r="H1948" s="16" t="str">
        <f aca="false">IF(OR($K1948="",$L1948=""),"",ROUND(MAX(0,($L1948-$K1948)-IF($G1948="",0,$G1948))/60,2))</f>
        <v/>
      </c>
      <c r="I1948" s="8"/>
      <c r="J1948" s="8"/>
      <c r="K1948" s="17" t="str">
        <f aca="false">IF($E1948="","",IF($E1948&lt;1,ROUND($E1948*1440,0),INT($E1948/100)*60+MOD($E1948,100)))</f>
        <v/>
      </c>
      <c r="L1948" s="17" t="str">
        <f aca="false">IF($F1948="","",IF($F1948&lt;1,ROUND($F1948*1440,0),INT($F1948/100)*60+MOD($F1948,100)))</f>
        <v/>
      </c>
    </row>
    <row r="1949" customFormat="false" ht="15" hidden="false" customHeight="true" outlineLevel="0" collapsed="false">
      <c r="A1949" s="10"/>
      <c r="B1949" s="8"/>
      <c r="C1949" s="13" t="str">
        <f aca="false">IF($B1949="","",IFERROR(INDEX(직원목록!$B$3:$B$302,MATCH($B1949,직원목록!$A$3:$A$302,0)),"미등록사번"))</f>
        <v/>
      </c>
      <c r="D1949" s="13" t="str">
        <f aca="false">IF($B1949="","",IFERROR(INDEX(직원목록!$C$3:$C$302,MATCH($B1949,직원목록!$A$3:$A$302,0)),""))</f>
        <v/>
      </c>
      <c r="E1949" s="14"/>
      <c r="F1949" s="14"/>
      <c r="G1949" s="15"/>
      <c r="H1949" s="16" t="str">
        <f aca="false">IF(OR($K1949="",$L1949=""),"",ROUND(MAX(0,($L1949-$K1949)-IF($G1949="",0,$G1949))/60,2))</f>
        <v/>
      </c>
      <c r="I1949" s="8"/>
      <c r="J1949" s="8"/>
      <c r="K1949" s="17" t="str">
        <f aca="false">IF($E1949="","",IF($E1949&lt;1,ROUND($E1949*1440,0),INT($E1949/100)*60+MOD($E1949,100)))</f>
        <v/>
      </c>
      <c r="L1949" s="17" t="str">
        <f aca="false">IF($F1949="","",IF($F1949&lt;1,ROUND($F1949*1440,0),INT($F1949/100)*60+MOD($F1949,100)))</f>
        <v/>
      </c>
    </row>
    <row r="1950" customFormat="false" ht="15" hidden="false" customHeight="true" outlineLevel="0" collapsed="false">
      <c r="A1950" s="10"/>
      <c r="B1950" s="8"/>
      <c r="C1950" s="13" t="str">
        <f aca="false">IF($B1950="","",IFERROR(INDEX(직원목록!$B$3:$B$302,MATCH($B1950,직원목록!$A$3:$A$302,0)),"미등록사번"))</f>
        <v/>
      </c>
      <c r="D1950" s="13" t="str">
        <f aca="false">IF($B1950="","",IFERROR(INDEX(직원목록!$C$3:$C$302,MATCH($B1950,직원목록!$A$3:$A$302,0)),""))</f>
        <v/>
      </c>
      <c r="E1950" s="14"/>
      <c r="F1950" s="14"/>
      <c r="G1950" s="15"/>
      <c r="H1950" s="16" t="str">
        <f aca="false">IF(OR($K1950="",$L1950=""),"",ROUND(MAX(0,($L1950-$K1950)-IF($G1950="",0,$G1950))/60,2))</f>
        <v/>
      </c>
      <c r="I1950" s="8"/>
      <c r="J1950" s="8"/>
      <c r="K1950" s="17" t="str">
        <f aca="false">IF($E1950="","",IF($E1950&lt;1,ROUND($E1950*1440,0),INT($E1950/100)*60+MOD($E1950,100)))</f>
        <v/>
      </c>
      <c r="L1950" s="17" t="str">
        <f aca="false">IF($F1950="","",IF($F1950&lt;1,ROUND($F1950*1440,0),INT($F1950/100)*60+MOD($F1950,100)))</f>
        <v/>
      </c>
    </row>
    <row r="1951" customFormat="false" ht="15" hidden="false" customHeight="true" outlineLevel="0" collapsed="false">
      <c r="A1951" s="10"/>
      <c r="B1951" s="8"/>
      <c r="C1951" s="13" t="str">
        <f aca="false">IF($B1951="","",IFERROR(INDEX(직원목록!$B$3:$B$302,MATCH($B1951,직원목록!$A$3:$A$302,0)),"미등록사번"))</f>
        <v/>
      </c>
      <c r="D1951" s="13" t="str">
        <f aca="false">IF($B1951="","",IFERROR(INDEX(직원목록!$C$3:$C$302,MATCH($B1951,직원목록!$A$3:$A$302,0)),""))</f>
        <v/>
      </c>
      <c r="E1951" s="14"/>
      <c r="F1951" s="14"/>
      <c r="G1951" s="15"/>
      <c r="H1951" s="16" t="str">
        <f aca="false">IF(OR($K1951="",$L1951=""),"",ROUND(MAX(0,($L1951-$K1951)-IF($G1951="",0,$G1951))/60,2))</f>
        <v/>
      </c>
      <c r="I1951" s="8"/>
      <c r="J1951" s="8"/>
      <c r="K1951" s="17" t="str">
        <f aca="false">IF($E1951="","",IF($E1951&lt;1,ROUND($E1951*1440,0),INT($E1951/100)*60+MOD($E1951,100)))</f>
        <v/>
      </c>
      <c r="L1951" s="17" t="str">
        <f aca="false">IF($F1951="","",IF($F1951&lt;1,ROUND($F1951*1440,0),INT($F1951/100)*60+MOD($F1951,100)))</f>
        <v/>
      </c>
    </row>
    <row r="1952" customFormat="false" ht="15" hidden="false" customHeight="true" outlineLevel="0" collapsed="false">
      <c r="A1952" s="10"/>
      <c r="B1952" s="8"/>
      <c r="C1952" s="13" t="str">
        <f aca="false">IF($B1952="","",IFERROR(INDEX(직원목록!$B$3:$B$302,MATCH($B1952,직원목록!$A$3:$A$302,0)),"미등록사번"))</f>
        <v/>
      </c>
      <c r="D1952" s="13" t="str">
        <f aca="false">IF($B1952="","",IFERROR(INDEX(직원목록!$C$3:$C$302,MATCH($B1952,직원목록!$A$3:$A$302,0)),""))</f>
        <v/>
      </c>
      <c r="E1952" s="14"/>
      <c r="F1952" s="14"/>
      <c r="G1952" s="15"/>
      <c r="H1952" s="16" t="str">
        <f aca="false">IF(OR($K1952="",$L1952=""),"",ROUND(MAX(0,($L1952-$K1952)-IF($G1952="",0,$G1952))/60,2))</f>
        <v/>
      </c>
      <c r="I1952" s="8"/>
      <c r="J1952" s="8"/>
      <c r="K1952" s="17" t="str">
        <f aca="false">IF($E1952="","",IF($E1952&lt;1,ROUND($E1952*1440,0),INT($E1952/100)*60+MOD($E1952,100)))</f>
        <v/>
      </c>
      <c r="L1952" s="17" t="str">
        <f aca="false">IF($F1952="","",IF($F1952&lt;1,ROUND($F1952*1440,0),INT($F1952/100)*60+MOD($F1952,100)))</f>
        <v/>
      </c>
    </row>
    <row r="1953" customFormat="false" ht="15" hidden="false" customHeight="true" outlineLevel="0" collapsed="false">
      <c r="A1953" s="10"/>
      <c r="B1953" s="8"/>
      <c r="C1953" s="13" t="str">
        <f aca="false">IF($B1953="","",IFERROR(INDEX(직원목록!$B$3:$B$302,MATCH($B1953,직원목록!$A$3:$A$302,0)),"미등록사번"))</f>
        <v/>
      </c>
      <c r="D1953" s="13" t="str">
        <f aca="false">IF($B1953="","",IFERROR(INDEX(직원목록!$C$3:$C$302,MATCH($B1953,직원목록!$A$3:$A$302,0)),""))</f>
        <v/>
      </c>
      <c r="E1953" s="14"/>
      <c r="F1953" s="14"/>
      <c r="G1953" s="15"/>
      <c r="H1953" s="16" t="str">
        <f aca="false">IF(OR($K1953="",$L1953=""),"",ROUND(MAX(0,($L1953-$K1953)-IF($G1953="",0,$G1953))/60,2))</f>
        <v/>
      </c>
      <c r="I1953" s="8"/>
      <c r="J1953" s="8"/>
      <c r="K1953" s="17" t="str">
        <f aca="false">IF($E1953="","",IF($E1953&lt;1,ROUND($E1953*1440,0),INT($E1953/100)*60+MOD($E1953,100)))</f>
        <v/>
      </c>
      <c r="L1953" s="17" t="str">
        <f aca="false">IF($F1953="","",IF($F1953&lt;1,ROUND($F1953*1440,0),INT($F1953/100)*60+MOD($F1953,100)))</f>
        <v/>
      </c>
    </row>
    <row r="1954" customFormat="false" ht="15" hidden="false" customHeight="true" outlineLevel="0" collapsed="false">
      <c r="A1954" s="10"/>
      <c r="B1954" s="8"/>
      <c r="C1954" s="13" t="str">
        <f aca="false">IF($B1954="","",IFERROR(INDEX(직원목록!$B$3:$B$302,MATCH($B1954,직원목록!$A$3:$A$302,0)),"미등록사번"))</f>
        <v/>
      </c>
      <c r="D1954" s="13" t="str">
        <f aca="false">IF($B1954="","",IFERROR(INDEX(직원목록!$C$3:$C$302,MATCH($B1954,직원목록!$A$3:$A$302,0)),""))</f>
        <v/>
      </c>
      <c r="E1954" s="14"/>
      <c r="F1954" s="14"/>
      <c r="G1954" s="15"/>
      <c r="H1954" s="16" t="str">
        <f aca="false">IF(OR($K1954="",$L1954=""),"",ROUND(MAX(0,($L1954-$K1954)-IF($G1954="",0,$G1954))/60,2))</f>
        <v/>
      </c>
      <c r="I1954" s="8"/>
      <c r="J1954" s="8"/>
      <c r="K1954" s="17" t="str">
        <f aca="false">IF($E1954="","",IF($E1954&lt;1,ROUND($E1954*1440,0),INT($E1954/100)*60+MOD($E1954,100)))</f>
        <v/>
      </c>
      <c r="L1954" s="17" t="str">
        <f aca="false">IF($F1954="","",IF($F1954&lt;1,ROUND($F1954*1440,0),INT($F1954/100)*60+MOD($F1954,100)))</f>
        <v/>
      </c>
    </row>
    <row r="1955" customFormat="false" ht="15" hidden="false" customHeight="true" outlineLevel="0" collapsed="false">
      <c r="A1955" s="10"/>
      <c r="B1955" s="8"/>
      <c r="C1955" s="13" t="str">
        <f aca="false">IF($B1955="","",IFERROR(INDEX(직원목록!$B$3:$B$302,MATCH($B1955,직원목록!$A$3:$A$302,0)),"미등록사번"))</f>
        <v/>
      </c>
      <c r="D1955" s="13" t="str">
        <f aca="false">IF($B1955="","",IFERROR(INDEX(직원목록!$C$3:$C$302,MATCH($B1955,직원목록!$A$3:$A$302,0)),""))</f>
        <v/>
      </c>
      <c r="E1955" s="14"/>
      <c r="F1955" s="14"/>
      <c r="G1955" s="15"/>
      <c r="H1955" s="16" t="str">
        <f aca="false">IF(OR($K1955="",$L1955=""),"",ROUND(MAX(0,($L1955-$K1955)-IF($G1955="",0,$G1955))/60,2))</f>
        <v/>
      </c>
      <c r="I1955" s="8"/>
      <c r="J1955" s="8"/>
      <c r="K1955" s="17" t="str">
        <f aca="false">IF($E1955="","",IF($E1955&lt;1,ROUND($E1955*1440,0),INT($E1955/100)*60+MOD($E1955,100)))</f>
        <v/>
      </c>
      <c r="L1955" s="17" t="str">
        <f aca="false">IF($F1955="","",IF($F1955&lt;1,ROUND($F1955*1440,0),INT($F1955/100)*60+MOD($F1955,100)))</f>
        <v/>
      </c>
    </row>
    <row r="1956" customFormat="false" ht="15" hidden="false" customHeight="true" outlineLevel="0" collapsed="false">
      <c r="A1956" s="10"/>
      <c r="B1956" s="8"/>
      <c r="C1956" s="13" t="str">
        <f aca="false">IF($B1956="","",IFERROR(INDEX(직원목록!$B$3:$B$302,MATCH($B1956,직원목록!$A$3:$A$302,0)),"미등록사번"))</f>
        <v/>
      </c>
      <c r="D1956" s="13" t="str">
        <f aca="false">IF($B1956="","",IFERROR(INDEX(직원목록!$C$3:$C$302,MATCH($B1956,직원목록!$A$3:$A$302,0)),""))</f>
        <v/>
      </c>
      <c r="E1956" s="14"/>
      <c r="F1956" s="14"/>
      <c r="G1956" s="15"/>
      <c r="H1956" s="16" t="str">
        <f aca="false">IF(OR($K1956="",$L1956=""),"",ROUND(MAX(0,($L1956-$K1956)-IF($G1956="",0,$G1956))/60,2))</f>
        <v/>
      </c>
      <c r="I1956" s="8"/>
      <c r="J1956" s="8"/>
      <c r="K1956" s="17" t="str">
        <f aca="false">IF($E1956="","",IF($E1956&lt;1,ROUND($E1956*1440,0),INT($E1956/100)*60+MOD($E1956,100)))</f>
        <v/>
      </c>
      <c r="L1956" s="17" t="str">
        <f aca="false">IF($F1956="","",IF($F1956&lt;1,ROUND($F1956*1440,0),INT($F1956/100)*60+MOD($F1956,100)))</f>
        <v/>
      </c>
    </row>
    <row r="1957" customFormat="false" ht="15" hidden="false" customHeight="true" outlineLevel="0" collapsed="false">
      <c r="A1957" s="10"/>
      <c r="B1957" s="8"/>
      <c r="C1957" s="13" t="str">
        <f aca="false">IF($B1957="","",IFERROR(INDEX(직원목록!$B$3:$B$302,MATCH($B1957,직원목록!$A$3:$A$302,0)),"미등록사번"))</f>
        <v/>
      </c>
      <c r="D1957" s="13" t="str">
        <f aca="false">IF($B1957="","",IFERROR(INDEX(직원목록!$C$3:$C$302,MATCH($B1957,직원목록!$A$3:$A$302,0)),""))</f>
        <v/>
      </c>
      <c r="E1957" s="14"/>
      <c r="F1957" s="14"/>
      <c r="G1957" s="15"/>
      <c r="H1957" s="16" t="str">
        <f aca="false">IF(OR($K1957="",$L1957=""),"",ROUND(MAX(0,($L1957-$K1957)-IF($G1957="",0,$G1957))/60,2))</f>
        <v/>
      </c>
      <c r="I1957" s="8"/>
      <c r="J1957" s="8"/>
      <c r="K1957" s="17" t="str">
        <f aca="false">IF($E1957="","",IF($E1957&lt;1,ROUND($E1957*1440,0),INT($E1957/100)*60+MOD($E1957,100)))</f>
        <v/>
      </c>
      <c r="L1957" s="17" t="str">
        <f aca="false">IF($F1957="","",IF($F1957&lt;1,ROUND($F1957*1440,0),INT($F1957/100)*60+MOD($F1957,100)))</f>
        <v/>
      </c>
    </row>
    <row r="1958" customFormat="false" ht="15" hidden="false" customHeight="true" outlineLevel="0" collapsed="false">
      <c r="A1958" s="10"/>
      <c r="B1958" s="8"/>
      <c r="C1958" s="13" t="str">
        <f aca="false">IF($B1958="","",IFERROR(INDEX(직원목록!$B$3:$B$302,MATCH($B1958,직원목록!$A$3:$A$302,0)),"미등록사번"))</f>
        <v/>
      </c>
      <c r="D1958" s="13" t="str">
        <f aca="false">IF($B1958="","",IFERROR(INDEX(직원목록!$C$3:$C$302,MATCH($B1958,직원목록!$A$3:$A$302,0)),""))</f>
        <v/>
      </c>
      <c r="E1958" s="14"/>
      <c r="F1958" s="14"/>
      <c r="G1958" s="15"/>
      <c r="H1958" s="16" t="str">
        <f aca="false">IF(OR($K1958="",$L1958=""),"",ROUND(MAX(0,($L1958-$K1958)-IF($G1958="",0,$G1958))/60,2))</f>
        <v/>
      </c>
      <c r="I1958" s="8"/>
      <c r="J1958" s="8"/>
      <c r="K1958" s="17" t="str">
        <f aca="false">IF($E1958="","",IF($E1958&lt;1,ROUND($E1958*1440,0),INT($E1958/100)*60+MOD($E1958,100)))</f>
        <v/>
      </c>
      <c r="L1958" s="17" t="str">
        <f aca="false">IF($F1958="","",IF($F1958&lt;1,ROUND($F1958*1440,0),INT($F1958/100)*60+MOD($F1958,100)))</f>
        <v/>
      </c>
    </row>
    <row r="1959" customFormat="false" ht="15" hidden="false" customHeight="true" outlineLevel="0" collapsed="false">
      <c r="A1959" s="10"/>
      <c r="B1959" s="8"/>
      <c r="C1959" s="13" t="str">
        <f aca="false">IF($B1959="","",IFERROR(INDEX(직원목록!$B$3:$B$302,MATCH($B1959,직원목록!$A$3:$A$302,0)),"미등록사번"))</f>
        <v/>
      </c>
      <c r="D1959" s="13" t="str">
        <f aca="false">IF($B1959="","",IFERROR(INDEX(직원목록!$C$3:$C$302,MATCH($B1959,직원목록!$A$3:$A$302,0)),""))</f>
        <v/>
      </c>
      <c r="E1959" s="14"/>
      <c r="F1959" s="14"/>
      <c r="G1959" s="15"/>
      <c r="H1959" s="16" t="str">
        <f aca="false">IF(OR($K1959="",$L1959=""),"",ROUND(MAX(0,($L1959-$K1959)-IF($G1959="",0,$G1959))/60,2))</f>
        <v/>
      </c>
      <c r="I1959" s="8"/>
      <c r="J1959" s="8"/>
      <c r="K1959" s="17" t="str">
        <f aca="false">IF($E1959="","",IF($E1959&lt;1,ROUND($E1959*1440,0),INT($E1959/100)*60+MOD($E1959,100)))</f>
        <v/>
      </c>
      <c r="L1959" s="17" t="str">
        <f aca="false">IF($F1959="","",IF($F1959&lt;1,ROUND($F1959*1440,0),INT($F1959/100)*60+MOD($F1959,100)))</f>
        <v/>
      </c>
    </row>
    <row r="1960" customFormat="false" ht="15" hidden="false" customHeight="true" outlineLevel="0" collapsed="false">
      <c r="A1960" s="10"/>
      <c r="B1960" s="8"/>
      <c r="C1960" s="13" t="str">
        <f aca="false">IF($B1960="","",IFERROR(INDEX(직원목록!$B$3:$B$302,MATCH($B1960,직원목록!$A$3:$A$302,0)),"미등록사번"))</f>
        <v/>
      </c>
      <c r="D1960" s="13" t="str">
        <f aca="false">IF($B1960="","",IFERROR(INDEX(직원목록!$C$3:$C$302,MATCH($B1960,직원목록!$A$3:$A$302,0)),""))</f>
        <v/>
      </c>
      <c r="E1960" s="14"/>
      <c r="F1960" s="14"/>
      <c r="G1960" s="15"/>
      <c r="H1960" s="16" t="str">
        <f aca="false">IF(OR($K1960="",$L1960=""),"",ROUND(MAX(0,($L1960-$K1960)-IF($G1960="",0,$G1960))/60,2))</f>
        <v/>
      </c>
      <c r="I1960" s="8"/>
      <c r="J1960" s="8"/>
      <c r="K1960" s="17" t="str">
        <f aca="false">IF($E1960="","",IF($E1960&lt;1,ROUND($E1960*1440,0),INT($E1960/100)*60+MOD($E1960,100)))</f>
        <v/>
      </c>
      <c r="L1960" s="17" t="str">
        <f aca="false">IF($F1960="","",IF($F1960&lt;1,ROUND($F1960*1440,0),INT($F1960/100)*60+MOD($F1960,100)))</f>
        <v/>
      </c>
    </row>
    <row r="1961" customFormat="false" ht="15" hidden="false" customHeight="true" outlineLevel="0" collapsed="false">
      <c r="A1961" s="10"/>
      <c r="B1961" s="8"/>
      <c r="C1961" s="13" t="str">
        <f aca="false">IF($B1961="","",IFERROR(INDEX(직원목록!$B$3:$B$302,MATCH($B1961,직원목록!$A$3:$A$302,0)),"미등록사번"))</f>
        <v/>
      </c>
      <c r="D1961" s="13" t="str">
        <f aca="false">IF($B1961="","",IFERROR(INDEX(직원목록!$C$3:$C$302,MATCH($B1961,직원목록!$A$3:$A$302,0)),""))</f>
        <v/>
      </c>
      <c r="E1961" s="14"/>
      <c r="F1961" s="14"/>
      <c r="G1961" s="15"/>
      <c r="H1961" s="16" t="str">
        <f aca="false">IF(OR($K1961="",$L1961=""),"",ROUND(MAX(0,($L1961-$K1961)-IF($G1961="",0,$G1961))/60,2))</f>
        <v/>
      </c>
      <c r="I1961" s="8"/>
      <c r="J1961" s="8"/>
      <c r="K1961" s="17" t="str">
        <f aca="false">IF($E1961="","",IF($E1961&lt;1,ROUND($E1961*1440,0),INT($E1961/100)*60+MOD($E1961,100)))</f>
        <v/>
      </c>
      <c r="L1961" s="17" t="str">
        <f aca="false">IF($F1961="","",IF($F1961&lt;1,ROUND($F1961*1440,0),INT($F1961/100)*60+MOD($F1961,100)))</f>
        <v/>
      </c>
    </row>
    <row r="1962" customFormat="false" ht="15" hidden="false" customHeight="true" outlineLevel="0" collapsed="false">
      <c r="A1962" s="10"/>
      <c r="B1962" s="8"/>
      <c r="C1962" s="13" t="str">
        <f aca="false">IF($B1962="","",IFERROR(INDEX(직원목록!$B$3:$B$302,MATCH($B1962,직원목록!$A$3:$A$302,0)),"미등록사번"))</f>
        <v/>
      </c>
      <c r="D1962" s="13" t="str">
        <f aca="false">IF($B1962="","",IFERROR(INDEX(직원목록!$C$3:$C$302,MATCH($B1962,직원목록!$A$3:$A$302,0)),""))</f>
        <v/>
      </c>
      <c r="E1962" s="14"/>
      <c r="F1962" s="14"/>
      <c r="G1962" s="15"/>
      <c r="H1962" s="16" t="str">
        <f aca="false">IF(OR($K1962="",$L1962=""),"",ROUND(MAX(0,($L1962-$K1962)-IF($G1962="",0,$G1962))/60,2))</f>
        <v/>
      </c>
      <c r="I1962" s="8"/>
      <c r="J1962" s="8"/>
      <c r="K1962" s="17" t="str">
        <f aca="false">IF($E1962="","",IF($E1962&lt;1,ROUND($E1962*1440,0),INT($E1962/100)*60+MOD($E1962,100)))</f>
        <v/>
      </c>
      <c r="L1962" s="17" t="str">
        <f aca="false">IF($F1962="","",IF($F1962&lt;1,ROUND($F1962*1440,0),INT($F1962/100)*60+MOD($F1962,100)))</f>
        <v/>
      </c>
    </row>
    <row r="1963" customFormat="false" ht="15" hidden="false" customHeight="true" outlineLevel="0" collapsed="false">
      <c r="A1963" s="10"/>
      <c r="B1963" s="8"/>
      <c r="C1963" s="13" t="str">
        <f aca="false">IF($B1963="","",IFERROR(INDEX(직원목록!$B$3:$B$302,MATCH($B1963,직원목록!$A$3:$A$302,0)),"미등록사번"))</f>
        <v/>
      </c>
      <c r="D1963" s="13" t="str">
        <f aca="false">IF($B1963="","",IFERROR(INDEX(직원목록!$C$3:$C$302,MATCH($B1963,직원목록!$A$3:$A$302,0)),""))</f>
        <v/>
      </c>
      <c r="E1963" s="14"/>
      <c r="F1963" s="14"/>
      <c r="G1963" s="15"/>
      <c r="H1963" s="16" t="str">
        <f aca="false">IF(OR($K1963="",$L1963=""),"",ROUND(MAX(0,($L1963-$K1963)-IF($G1963="",0,$G1963))/60,2))</f>
        <v/>
      </c>
      <c r="I1963" s="8"/>
      <c r="J1963" s="8"/>
      <c r="K1963" s="17" t="str">
        <f aca="false">IF($E1963="","",IF($E1963&lt;1,ROUND($E1963*1440,0),INT($E1963/100)*60+MOD($E1963,100)))</f>
        <v/>
      </c>
      <c r="L1963" s="17" t="str">
        <f aca="false">IF($F1963="","",IF($F1963&lt;1,ROUND($F1963*1440,0),INT($F1963/100)*60+MOD($F1963,100)))</f>
        <v/>
      </c>
    </row>
    <row r="1964" customFormat="false" ht="15" hidden="false" customHeight="true" outlineLevel="0" collapsed="false">
      <c r="A1964" s="10"/>
      <c r="B1964" s="8"/>
      <c r="C1964" s="13" t="str">
        <f aca="false">IF($B1964="","",IFERROR(INDEX(직원목록!$B$3:$B$302,MATCH($B1964,직원목록!$A$3:$A$302,0)),"미등록사번"))</f>
        <v/>
      </c>
      <c r="D1964" s="13" t="str">
        <f aca="false">IF($B1964="","",IFERROR(INDEX(직원목록!$C$3:$C$302,MATCH($B1964,직원목록!$A$3:$A$302,0)),""))</f>
        <v/>
      </c>
      <c r="E1964" s="14"/>
      <c r="F1964" s="14"/>
      <c r="G1964" s="15"/>
      <c r="H1964" s="16" t="str">
        <f aca="false">IF(OR($K1964="",$L1964=""),"",ROUND(MAX(0,($L1964-$K1964)-IF($G1964="",0,$G1964))/60,2))</f>
        <v/>
      </c>
      <c r="I1964" s="8"/>
      <c r="J1964" s="8"/>
      <c r="K1964" s="17" t="str">
        <f aca="false">IF($E1964="","",IF($E1964&lt;1,ROUND($E1964*1440,0),INT($E1964/100)*60+MOD($E1964,100)))</f>
        <v/>
      </c>
      <c r="L1964" s="17" t="str">
        <f aca="false">IF($F1964="","",IF($F1964&lt;1,ROUND($F1964*1440,0),INT($F1964/100)*60+MOD($F1964,100)))</f>
        <v/>
      </c>
    </row>
    <row r="1965" customFormat="false" ht="15" hidden="false" customHeight="true" outlineLevel="0" collapsed="false">
      <c r="A1965" s="10"/>
      <c r="B1965" s="8"/>
      <c r="C1965" s="13" t="str">
        <f aca="false">IF($B1965="","",IFERROR(INDEX(직원목록!$B$3:$B$302,MATCH($B1965,직원목록!$A$3:$A$302,0)),"미등록사번"))</f>
        <v/>
      </c>
      <c r="D1965" s="13" t="str">
        <f aca="false">IF($B1965="","",IFERROR(INDEX(직원목록!$C$3:$C$302,MATCH($B1965,직원목록!$A$3:$A$302,0)),""))</f>
        <v/>
      </c>
      <c r="E1965" s="14"/>
      <c r="F1965" s="14"/>
      <c r="G1965" s="15"/>
      <c r="H1965" s="16" t="str">
        <f aca="false">IF(OR($K1965="",$L1965=""),"",ROUND(MAX(0,($L1965-$K1965)-IF($G1965="",0,$G1965))/60,2))</f>
        <v/>
      </c>
      <c r="I1965" s="8"/>
      <c r="J1965" s="8"/>
      <c r="K1965" s="17" t="str">
        <f aca="false">IF($E1965="","",IF($E1965&lt;1,ROUND($E1965*1440,0),INT($E1965/100)*60+MOD($E1965,100)))</f>
        <v/>
      </c>
      <c r="L1965" s="17" t="str">
        <f aca="false">IF($F1965="","",IF($F1965&lt;1,ROUND($F1965*1440,0),INT($F1965/100)*60+MOD($F1965,100)))</f>
        <v/>
      </c>
    </row>
    <row r="1966" customFormat="false" ht="15" hidden="false" customHeight="true" outlineLevel="0" collapsed="false">
      <c r="A1966" s="10"/>
      <c r="B1966" s="8"/>
      <c r="C1966" s="13" t="str">
        <f aca="false">IF($B1966="","",IFERROR(INDEX(직원목록!$B$3:$B$302,MATCH($B1966,직원목록!$A$3:$A$302,0)),"미등록사번"))</f>
        <v/>
      </c>
      <c r="D1966" s="13" t="str">
        <f aca="false">IF($B1966="","",IFERROR(INDEX(직원목록!$C$3:$C$302,MATCH($B1966,직원목록!$A$3:$A$302,0)),""))</f>
        <v/>
      </c>
      <c r="E1966" s="14"/>
      <c r="F1966" s="14"/>
      <c r="G1966" s="15"/>
      <c r="H1966" s="16" t="str">
        <f aca="false">IF(OR($K1966="",$L1966=""),"",ROUND(MAX(0,($L1966-$K1966)-IF($G1966="",0,$G1966))/60,2))</f>
        <v/>
      </c>
      <c r="I1966" s="8"/>
      <c r="J1966" s="8"/>
      <c r="K1966" s="17" t="str">
        <f aca="false">IF($E1966="","",IF($E1966&lt;1,ROUND($E1966*1440,0),INT($E1966/100)*60+MOD($E1966,100)))</f>
        <v/>
      </c>
      <c r="L1966" s="17" t="str">
        <f aca="false">IF($F1966="","",IF($F1966&lt;1,ROUND($F1966*1440,0),INT($F1966/100)*60+MOD($F1966,100)))</f>
        <v/>
      </c>
    </row>
    <row r="1967" customFormat="false" ht="15" hidden="false" customHeight="true" outlineLevel="0" collapsed="false">
      <c r="A1967" s="10"/>
      <c r="B1967" s="8"/>
      <c r="C1967" s="13" t="str">
        <f aca="false">IF($B1967="","",IFERROR(INDEX(직원목록!$B$3:$B$302,MATCH($B1967,직원목록!$A$3:$A$302,0)),"미등록사번"))</f>
        <v/>
      </c>
      <c r="D1967" s="13" t="str">
        <f aca="false">IF($B1967="","",IFERROR(INDEX(직원목록!$C$3:$C$302,MATCH($B1967,직원목록!$A$3:$A$302,0)),""))</f>
        <v/>
      </c>
      <c r="E1967" s="14"/>
      <c r="F1967" s="14"/>
      <c r="G1967" s="15"/>
      <c r="H1967" s="16" t="str">
        <f aca="false">IF(OR($K1967="",$L1967=""),"",ROUND(MAX(0,($L1967-$K1967)-IF($G1967="",0,$G1967))/60,2))</f>
        <v/>
      </c>
      <c r="I1967" s="8"/>
      <c r="J1967" s="8"/>
      <c r="K1967" s="17" t="str">
        <f aca="false">IF($E1967="","",IF($E1967&lt;1,ROUND($E1967*1440,0),INT($E1967/100)*60+MOD($E1967,100)))</f>
        <v/>
      </c>
      <c r="L1967" s="17" t="str">
        <f aca="false">IF($F1967="","",IF($F1967&lt;1,ROUND($F1967*1440,0),INT($F1967/100)*60+MOD($F1967,100)))</f>
        <v/>
      </c>
    </row>
    <row r="1968" customFormat="false" ht="15" hidden="false" customHeight="true" outlineLevel="0" collapsed="false">
      <c r="A1968" s="10"/>
      <c r="B1968" s="8"/>
      <c r="C1968" s="13" t="str">
        <f aca="false">IF($B1968="","",IFERROR(INDEX(직원목록!$B$3:$B$302,MATCH($B1968,직원목록!$A$3:$A$302,0)),"미등록사번"))</f>
        <v/>
      </c>
      <c r="D1968" s="13" t="str">
        <f aca="false">IF($B1968="","",IFERROR(INDEX(직원목록!$C$3:$C$302,MATCH($B1968,직원목록!$A$3:$A$302,0)),""))</f>
        <v/>
      </c>
      <c r="E1968" s="14"/>
      <c r="F1968" s="14"/>
      <c r="G1968" s="15"/>
      <c r="H1968" s="16" t="str">
        <f aca="false">IF(OR($K1968="",$L1968=""),"",ROUND(MAX(0,($L1968-$K1968)-IF($G1968="",0,$G1968))/60,2))</f>
        <v/>
      </c>
      <c r="I1968" s="8"/>
      <c r="J1968" s="8"/>
      <c r="K1968" s="17" t="str">
        <f aca="false">IF($E1968="","",IF($E1968&lt;1,ROUND($E1968*1440,0),INT($E1968/100)*60+MOD($E1968,100)))</f>
        <v/>
      </c>
      <c r="L1968" s="17" t="str">
        <f aca="false">IF($F1968="","",IF($F1968&lt;1,ROUND($F1968*1440,0),INT($F1968/100)*60+MOD($F1968,100)))</f>
        <v/>
      </c>
    </row>
    <row r="1969" customFormat="false" ht="15" hidden="false" customHeight="true" outlineLevel="0" collapsed="false">
      <c r="A1969" s="10"/>
      <c r="B1969" s="8"/>
      <c r="C1969" s="13" t="str">
        <f aca="false">IF($B1969="","",IFERROR(INDEX(직원목록!$B$3:$B$302,MATCH($B1969,직원목록!$A$3:$A$302,0)),"미등록사번"))</f>
        <v/>
      </c>
      <c r="D1969" s="13" t="str">
        <f aca="false">IF($B1969="","",IFERROR(INDEX(직원목록!$C$3:$C$302,MATCH($B1969,직원목록!$A$3:$A$302,0)),""))</f>
        <v/>
      </c>
      <c r="E1969" s="14"/>
      <c r="F1969" s="14"/>
      <c r="G1969" s="15"/>
      <c r="H1969" s="16" t="str">
        <f aca="false">IF(OR($K1969="",$L1969=""),"",ROUND(MAX(0,($L1969-$K1969)-IF($G1969="",0,$G1969))/60,2))</f>
        <v/>
      </c>
      <c r="I1969" s="8"/>
      <c r="J1969" s="8"/>
      <c r="K1969" s="17" t="str">
        <f aca="false">IF($E1969="","",IF($E1969&lt;1,ROUND($E1969*1440,0),INT($E1969/100)*60+MOD($E1969,100)))</f>
        <v/>
      </c>
      <c r="L1969" s="17" t="str">
        <f aca="false">IF($F1969="","",IF($F1969&lt;1,ROUND($F1969*1440,0),INT($F1969/100)*60+MOD($F1969,100)))</f>
        <v/>
      </c>
    </row>
    <row r="1970" customFormat="false" ht="15" hidden="false" customHeight="true" outlineLevel="0" collapsed="false">
      <c r="A1970" s="10"/>
      <c r="B1970" s="8"/>
      <c r="C1970" s="13" t="str">
        <f aca="false">IF($B1970="","",IFERROR(INDEX(직원목록!$B$3:$B$302,MATCH($B1970,직원목록!$A$3:$A$302,0)),"미등록사번"))</f>
        <v/>
      </c>
      <c r="D1970" s="13" t="str">
        <f aca="false">IF($B1970="","",IFERROR(INDEX(직원목록!$C$3:$C$302,MATCH($B1970,직원목록!$A$3:$A$302,0)),""))</f>
        <v/>
      </c>
      <c r="E1970" s="14"/>
      <c r="F1970" s="14"/>
      <c r="G1970" s="15"/>
      <c r="H1970" s="16" t="str">
        <f aca="false">IF(OR($K1970="",$L1970=""),"",ROUND(MAX(0,($L1970-$K1970)-IF($G1970="",0,$G1970))/60,2))</f>
        <v/>
      </c>
      <c r="I1970" s="8"/>
      <c r="J1970" s="8"/>
      <c r="K1970" s="17" t="str">
        <f aca="false">IF($E1970="","",IF($E1970&lt;1,ROUND($E1970*1440,0),INT($E1970/100)*60+MOD($E1970,100)))</f>
        <v/>
      </c>
      <c r="L1970" s="17" t="str">
        <f aca="false">IF($F1970="","",IF($F1970&lt;1,ROUND($F1970*1440,0),INT($F1970/100)*60+MOD($F1970,100)))</f>
        <v/>
      </c>
    </row>
    <row r="1971" customFormat="false" ht="15" hidden="false" customHeight="true" outlineLevel="0" collapsed="false">
      <c r="A1971" s="10"/>
      <c r="B1971" s="8"/>
      <c r="C1971" s="13" t="str">
        <f aca="false">IF($B1971="","",IFERROR(INDEX(직원목록!$B$3:$B$302,MATCH($B1971,직원목록!$A$3:$A$302,0)),"미등록사번"))</f>
        <v/>
      </c>
      <c r="D1971" s="13" t="str">
        <f aca="false">IF($B1971="","",IFERROR(INDEX(직원목록!$C$3:$C$302,MATCH($B1971,직원목록!$A$3:$A$302,0)),""))</f>
        <v/>
      </c>
      <c r="E1971" s="14"/>
      <c r="F1971" s="14"/>
      <c r="G1971" s="15"/>
      <c r="H1971" s="16" t="str">
        <f aca="false">IF(OR($K1971="",$L1971=""),"",ROUND(MAX(0,($L1971-$K1971)-IF($G1971="",0,$G1971))/60,2))</f>
        <v/>
      </c>
      <c r="I1971" s="8"/>
      <c r="J1971" s="8"/>
      <c r="K1971" s="17" t="str">
        <f aca="false">IF($E1971="","",IF($E1971&lt;1,ROUND($E1971*1440,0),INT($E1971/100)*60+MOD($E1971,100)))</f>
        <v/>
      </c>
      <c r="L1971" s="17" t="str">
        <f aca="false">IF($F1971="","",IF($F1971&lt;1,ROUND($F1971*1440,0),INT($F1971/100)*60+MOD($F1971,100)))</f>
        <v/>
      </c>
    </row>
    <row r="1972" customFormat="false" ht="15" hidden="false" customHeight="true" outlineLevel="0" collapsed="false">
      <c r="A1972" s="10"/>
      <c r="B1972" s="8"/>
      <c r="C1972" s="13" t="str">
        <f aca="false">IF($B1972="","",IFERROR(INDEX(직원목록!$B$3:$B$302,MATCH($B1972,직원목록!$A$3:$A$302,0)),"미등록사번"))</f>
        <v/>
      </c>
      <c r="D1972" s="13" t="str">
        <f aca="false">IF($B1972="","",IFERROR(INDEX(직원목록!$C$3:$C$302,MATCH($B1972,직원목록!$A$3:$A$302,0)),""))</f>
        <v/>
      </c>
      <c r="E1972" s="14"/>
      <c r="F1972" s="14"/>
      <c r="G1972" s="15"/>
      <c r="H1972" s="16" t="str">
        <f aca="false">IF(OR($K1972="",$L1972=""),"",ROUND(MAX(0,($L1972-$K1972)-IF($G1972="",0,$G1972))/60,2))</f>
        <v/>
      </c>
      <c r="I1972" s="8"/>
      <c r="J1972" s="8"/>
      <c r="K1972" s="17" t="str">
        <f aca="false">IF($E1972="","",IF($E1972&lt;1,ROUND($E1972*1440,0),INT($E1972/100)*60+MOD($E1972,100)))</f>
        <v/>
      </c>
      <c r="L1972" s="17" t="str">
        <f aca="false">IF($F1972="","",IF($F1972&lt;1,ROUND($F1972*1440,0),INT($F1972/100)*60+MOD($F1972,100)))</f>
        <v/>
      </c>
    </row>
    <row r="1973" customFormat="false" ht="15" hidden="false" customHeight="true" outlineLevel="0" collapsed="false">
      <c r="A1973" s="10"/>
      <c r="B1973" s="8"/>
      <c r="C1973" s="13" t="str">
        <f aca="false">IF($B1973="","",IFERROR(INDEX(직원목록!$B$3:$B$302,MATCH($B1973,직원목록!$A$3:$A$302,0)),"미등록사번"))</f>
        <v/>
      </c>
      <c r="D1973" s="13" t="str">
        <f aca="false">IF($B1973="","",IFERROR(INDEX(직원목록!$C$3:$C$302,MATCH($B1973,직원목록!$A$3:$A$302,0)),""))</f>
        <v/>
      </c>
      <c r="E1973" s="14"/>
      <c r="F1973" s="14"/>
      <c r="G1973" s="15"/>
      <c r="H1973" s="16" t="str">
        <f aca="false">IF(OR($K1973="",$L1973=""),"",ROUND(MAX(0,($L1973-$K1973)-IF($G1973="",0,$G1973))/60,2))</f>
        <v/>
      </c>
      <c r="I1973" s="8"/>
      <c r="J1973" s="8"/>
      <c r="K1973" s="17" t="str">
        <f aca="false">IF($E1973="","",IF($E1973&lt;1,ROUND($E1973*1440,0),INT($E1973/100)*60+MOD($E1973,100)))</f>
        <v/>
      </c>
      <c r="L1973" s="17" t="str">
        <f aca="false">IF($F1973="","",IF($F1973&lt;1,ROUND($F1973*1440,0),INT($F1973/100)*60+MOD($F1973,100)))</f>
        <v/>
      </c>
    </row>
    <row r="1974" customFormat="false" ht="15" hidden="false" customHeight="true" outlineLevel="0" collapsed="false">
      <c r="A1974" s="10"/>
      <c r="B1974" s="8"/>
      <c r="C1974" s="13" t="str">
        <f aca="false">IF($B1974="","",IFERROR(INDEX(직원목록!$B$3:$B$302,MATCH($B1974,직원목록!$A$3:$A$302,0)),"미등록사번"))</f>
        <v/>
      </c>
      <c r="D1974" s="13" t="str">
        <f aca="false">IF($B1974="","",IFERROR(INDEX(직원목록!$C$3:$C$302,MATCH($B1974,직원목록!$A$3:$A$302,0)),""))</f>
        <v/>
      </c>
      <c r="E1974" s="14"/>
      <c r="F1974" s="14"/>
      <c r="G1974" s="15"/>
      <c r="H1974" s="16" t="str">
        <f aca="false">IF(OR($K1974="",$L1974=""),"",ROUND(MAX(0,($L1974-$K1974)-IF($G1974="",0,$G1974))/60,2))</f>
        <v/>
      </c>
      <c r="I1974" s="8"/>
      <c r="J1974" s="8"/>
      <c r="K1974" s="17" t="str">
        <f aca="false">IF($E1974="","",IF($E1974&lt;1,ROUND($E1974*1440,0),INT($E1974/100)*60+MOD($E1974,100)))</f>
        <v/>
      </c>
      <c r="L1974" s="17" t="str">
        <f aca="false">IF($F1974="","",IF($F1974&lt;1,ROUND($F1974*1440,0),INT($F1974/100)*60+MOD($F1974,100)))</f>
        <v/>
      </c>
    </row>
    <row r="1975" customFormat="false" ht="15" hidden="false" customHeight="true" outlineLevel="0" collapsed="false">
      <c r="A1975" s="10"/>
      <c r="B1975" s="8"/>
      <c r="C1975" s="13" t="str">
        <f aca="false">IF($B1975="","",IFERROR(INDEX(직원목록!$B$3:$B$302,MATCH($B1975,직원목록!$A$3:$A$302,0)),"미등록사번"))</f>
        <v/>
      </c>
      <c r="D1975" s="13" t="str">
        <f aca="false">IF($B1975="","",IFERROR(INDEX(직원목록!$C$3:$C$302,MATCH($B1975,직원목록!$A$3:$A$302,0)),""))</f>
        <v/>
      </c>
      <c r="E1975" s="14"/>
      <c r="F1975" s="14"/>
      <c r="G1975" s="15"/>
      <c r="H1975" s="16" t="str">
        <f aca="false">IF(OR($K1975="",$L1975=""),"",ROUND(MAX(0,($L1975-$K1975)-IF($G1975="",0,$G1975))/60,2))</f>
        <v/>
      </c>
      <c r="I1975" s="8"/>
      <c r="J1975" s="8"/>
      <c r="K1975" s="17" t="str">
        <f aca="false">IF($E1975="","",IF($E1975&lt;1,ROUND($E1975*1440,0),INT($E1975/100)*60+MOD($E1975,100)))</f>
        <v/>
      </c>
      <c r="L1975" s="17" t="str">
        <f aca="false">IF($F1975="","",IF($F1975&lt;1,ROUND($F1975*1440,0),INT($F1975/100)*60+MOD($F1975,100)))</f>
        <v/>
      </c>
    </row>
    <row r="1976" customFormat="false" ht="15" hidden="false" customHeight="true" outlineLevel="0" collapsed="false">
      <c r="A1976" s="10"/>
      <c r="B1976" s="8"/>
      <c r="C1976" s="13" t="str">
        <f aca="false">IF($B1976="","",IFERROR(INDEX(직원목록!$B$3:$B$302,MATCH($B1976,직원목록!$A$3:$A$302,0)),"미등록사번"))</f>
        <v/>
      </c>
      <c r="D1976" s="13" t="str">
        <f aca="false">IF($B1976="","",IFERROR(INDEX(직원목록!$C$3:$C$302,MATCH($B1976,직원목록!$A$3:$A$302,0)),""))</f>
        <v/>
      </c>
      <c r="E1976" s="14"/>
      <c r="F1976" s="14"/>
      <c r="G1976" s="15"/>
      <c r="H1976" s="16" t="str">
        <f aca="false">IF(OR($K1976="",$L1976=""),"",ROUND(MAX(0,($L1976-$K1976)-IF($G1976="",0,$G1976))/60,2))</f>
        <v/>
      </c>
      <c r="I1976" s="8"/>
      <c r="J1976" s="8"/>
      <c r="K1976" s="17" t="str">
        <f aca="false">IF($E1976="","",IF($E1976&lt;1,ROUND($E1976*1440,0),INT($E1976/100)*60+MOD($E1976,100)))</f>
        <v/>
      </c>
      <c r="L1976" s="17" t="str">
        <f aca="false">IF($F1976="","",IF($F1976&lt;1,ROUND($F1976*1440,0),INT($F1976/100)*60+MOD($F1976,100)))</f>
        <v/>
      </c>
    </row>
    <row r="1977" customFormat="false" ht="15" hidden="false" customHeight="true" outlineLevel="0" collapsed="false">
      <c r="A1977" s="10"/>
      <c r="B1977" s="8"/>
      <c r="C1977" s="13" t="str">
        <f aca="false">IF($B1977="","",IFERROR(INDEX(직원목록!$B$3:$B$302,MATCH($B1977,직원목록!$A$3:$A$302,0)),"미등록사번"))</f>
        <v/>
      </c>
      <c r="D1977" s="13" t="str">
        <f aca="false">IF($B1977="","",IFERROR(INDEX(직원목록!$C$3:$C$302,MATCH($B1977,직원목록!$A$3:$A$302,0)),""))</f>
        <v/>
      </c>
      <c r="E1977" s="14"/>
      <c r="F1977" s="14"/>
      <c r="G1977" s="15"/>
      <c r="H1977" s="16" t="str">
        <f aca="false">IF(OR($K1977="",$L1977=""),"",ROUND(MAX(0,($L1977-$K1977)-IF($G1977="",0,$G1977))/60,2))</f>
        <v/>
      </c>
      <c r="I1977" s="8"/>
      <c r="J1977" s="8"/>
      <c r="K1977" s="17" t="str">
        <f aca="false">IF($E1977="","",IF($E1977&lt;1,ROUND($E1977*1440,0),INT($E1977/100)*60+MOD($E1977,100)))</f>
        <v/>
      </c>
      <c r="L1977" s="17" t="str">
        <f aca="false">IF($F1977="","",IF($F1977&lt;1,ROUND($F1977*1440,0),INT($F1977/100)*60+MOD($F1977,100)))</f>
        <v/>
      </c>
    </row>
    <row r="1978" customFormat="false" ht="15" hidden="false" customHeight="true" outlineLevel="0" collapsed="false">
      <c r="A1978" s="10"/>
      <c r="B1978" s="8"/>
      <c r="C1978" s="13" t="str">
        <f aca="false">IF($B1978="","",IFERROR(INDEX(직원목록!$B$3:$B$302,MATCH($B1978,직원목록!$A$3:$A$302,0)),"미등록사번"))</f>
        <v/>
      </c>
      <c r="D1978" s="13" t="str">
        <f aca="false">IF($B1978="","",IFERROR(INDEX(직원목록!$C$3:$C$302,MATCH($B1978,직원목록!$A$3:$A$302,0)),""))</f>
        <v/>
      </c>
      <c r="E1978" s="14"/>
      <c r="F1978" s="14"/>
      <c r="G1978" s="15"/>
      <c r="H1978" s="16" t="str">
        <f aca="false">IF(OR($K1978="",$L1978=""),"",ROUND(MAX(0,($L1978-$K1978)-IF($G1978="",0,$G1978))/60,2))</f>
        <v/>
      </c>
      <c r="I1978" s="8"/>
      <c r="J1978" s="8"/>
      <c r="K1978" s="17" t="str">
        <f aca="false">IF($E1978="","",IF($E1978&lt;1,ROUND($E1978*1440,0),INT($E1978/100)*60+MOD($E1978,100)))</f>
        <v/>
      </c>
      <c r="L1978" s="17" t="str">
        <f aca="false">IF($F1978="","",IF($F1978&lt;1,ROUND($F1978*1440,0),INT($F1978/100)*60+MOD($F1978,100)))</f>
        <v/>
      </c>
    </row>
    <row r="1979" customFormat="false" ht="15" hidden="false" customHeight="true" outlineLevel="0" collapsed="false">
      <c r="A1979" s="10"/>
      <c r="B1979" s="8"/>
      <c r="C1979" s="13" t="str">
        <f aca="false">IF($B1979="","",IFERROR(INDEX(직원목록!$B$3:$B$302,MATCH($B1979,직원목록!$A$3:$A$302,0)),"미등록사번"))</f>
        <v/>
      </c>
      <c r="D1979" s="13" t="str">
        <f aca="false">IF($B1979="","",IFERROR(INDEX(직원목록!$C$3:$C$302,MATCH($B1979,직원목록!$A$3:$A$302,0)),""))</f>
        <v/>
      </c>
      <c r="E1979" s="14"/>
      <c r="F1979" s="14"/>
      <c r="G1979" s="15"/>
      <c r="H1979" s="16" t="str">
        <f aca="false">IF(OR($K1979="",$L1979=""),"",ROUND(MAX(0,($L1979-$K1979)-IF($G1979="",0,$G1979))/60,2))</f>
        <v/>
      </c>
      <c r="I1979" s="8"/>
      <c r="J1979" s="8"/>
      <c r="K1979" s="17" t="str">
        <f aca="false">IF($E1979="","",IF($E1979&lt;1,ROUND($E1979*1440,0),INT($E1979/100)*60+MOD($E1979,100)))</f>
        <v/>
      </c>
      <c r="L1979" s="17" t="str">
        <f aca="false">IF($F1979="","",IF($F1979&lt;1,ROUND($F1979*1440,0),INT($F1979/100)*60+MOD($F1979,100)))</f>
        <v/>
      </c>
    </row>
    <row r="1980" customFormat="false" ht="15" hidden="false" customHeight="true" outlineLevel="0" collapsed="false">
      <c r="A1980" s="10"/>
      <c r="B1980" s="8"/>
      <c r="C1980" s="13" t="str">
        <f aca="false">IF($B1980="","",IFERROR(INDEX(직원목록!$B$3:$B$302,MATCH($B1980,직원목록!$A$3:$A$302,0)),"미등록사번"))</f>
        <v/>
      </c>
      <c r="D1980" s="13" t="str">
        <f aca="false">IF($B1980="","",IFERROR(INDEX(직원목록!$C$3:$C$302,MATCH($B1980,직원목록!$A$3:$A$302,0)),""))</f>
        <v/>
      </c>
      <c r="E1980" s="14"/>
      <c r="F1980" s="14"/>
      <c r="G1980" s="15"/>
      <c r="H1980" s="16" t="str">
        <f aca="false">IF(OR($K1980="",$L1980=""),"",ROUND(MAX(0,($L1980-$K1980)-IF($G1980="",0,$G1980))/60,2))</f>
        <v/>
      </c>
      <c r="I1980" s="8"/>
      <c r="J1980" s="8"/>
      <c r="K1980" s="17" t="str">
        <f aca="false">IF($E1980="","",IF($E1980&lt;1,ROUND($E1980*1440,0),INT($E1980/100)*60+MOD($E1980,100)))</f>
        <v/>
      </c>
      <c r="L1980" s="17" t="str">
        <f aca="false">IF($F1980="","",IF($F1980&lt;1,ROUND($F1980*1440,0),INT($F1980/100)*60+MOD($F1980,100)))</f>
        <v/>
      </c>
    </row>
    <row r="1981" customFormat="false" ht="15" hidden="false" customHeight="true" outlineLevel="0" collapsed="false">
      <c r="A1981" s="10"/>
      <c r="B1981" s="8"/>
      <c r="C1981" s="13" t="str">
        <f aca="false">IF($B1981="","",IFERROR(INDEX(직원목록!$B$3:$B$302,MATCH($B1981,직원목록!$A$3:$A$302,0)),"미등록사번"))</f>
        <v/>
      </c>
      <c r="D1981" s="13" t="str">
        <f aca="false">IF($B1981="","",IFERROR(INDEX(직원목록!$C$3:$C$302,MATCH($B1981,직원목록!$A$3:$A$302,0)),""))</f>
        <v/>
      </c>
      <c r="E1981" s="14"/>
      <c r="F1981" s="14"/>
      <c r="G1981" s="15"/>
      <c r="H1981" s="16" t="str">
        <f aca="false">IF(OR($K1981="",$L1981=""),"",ROUND(MAX(0,($L1981-$K1981)-IF($G1981="",0,$G1981))/60,2))</f>
        <v/>
      </c>
      <c r="I1981" s="8"/>
      <c r="J1981" s="8"/>
      <c r="K1981" s="17" t="str">
        <f aca="false">IF($E1981="","",IF($E1981&lt;1,ROUND($E1981*1440,0),INT($E1981/100)*60+MOD($E1981,100)))</f>
        <v/>
      </c>
      <c r="L1981" s="17" t="str">
        <f aca="false">IF($F1981="","",IF($F1981&lt;1,ROUND($F1981*1440,0),INT($F1981/100)*60+MOD($F1981,100)))</f>
        <v/>
      </c>
    </row>
    <row r="1982" customFormat="false" ht="15" hidden="false" customHeight="true" outlineLevel="0" collapsed="false">
      <c r="A1982" s="10"/>
      <c r="B1982" s="8"/>
      <c r="C1982" s="13" t="str">
        <f aca="false">IF($B1982="","",IFERROR(INDEX(직원목록!$B$3:$B$302,MATCH($B1982,직원목록!$A$3:$A$302,0)),"미등록사번"))</f>
        <v/>
      </c>
      <c r="D1982" s="13" t="str">
        <f aca="false">IF($B1982="","",IFERROR(INDEX(직원목록!$C$3:$C$302,MATCH($B1982,직원목록!$A$3:$A$302,0)),""))</f>
        <v/>
      </c>
      <c r="E1982" s="14"/>
      <c r="F1982" s="14"/>
      <c r="G1982" s="15"/>
      <c r="H1982" s="16" t="str">
        <f aca="false">IF(OR($K1982="",$L1982=""),"",ROUND(MAX(0,($L1982-$K1982)-IF($G1982="",0,$G1982))/60,2))</f>
        <v/>
      </c>
      <c r="I1982" s="8"/>
      <c r="J1982" s="8"/>
      <c r="K1982" s="17" t="str">
        <f aca="false">IF($E1982="","",IF($E1982&lt;1,ROUND($E1982*1440,0),INT($E1982/100)*60+MOD($E1982,100)))</f>
        <v/>
      </c>
      <c r="L1982" s="17" t="str">
        <f aca="false">IF($F1982="","",IF($F1982&lt;1,ROUND($F1982*1440,0),INT($F1982/100)*60+MOD($F1982,100)))</f>
        <v/>
      </c>
    </row>
    <row r="1983" customFormat="false" ht="15" hidden="false" customHeight="true" outlineLevel="0" collapsed="false">
      <c r="A1983" s="10"/>
      <c r="B1983" s="8"/>
      <c r="C1983" s="13" t="str">
        <f aca="false">IF($B1983="","",IFERROR(INDEX(직원목록!$B$3:$B$302,MATCH($B1983,직원목록!$A$3:$A$302,0)),"미등록사번"))</f>
        <v/>
      </c>
      <c r="D1983" s="13" t="str">
        <f aca="false">IF($B1983="","",IFERROR(INDEX(직원목록!$C$3:$C$302,MATCH($B1983,직원목록!$A$3:$A$302,0)),""))</f>
        <v/>
      </c>
      <c r="E1983" s="14"/>
      <c r="F1983" s="14"/>
      <c r="G1983" s="15"/>
      <c r="H1983" s="16" t="str">
        <f aca="false">IF(OR($K1983="",$L1983=""),"",ROUND(MAX(0,($L1983-$K1983)-IF($G1983="",0,$G1983))/60,2))</f>
        <v/>
      </c>
      <c r="I1983" s="8"/>
      <c r="J1983" s="8"/>
      <c r="K1983" s="17" t="str">
        <f aca="false">IF($E1983="","",IF($E1983&lt;1,ROUND($E1983*1440,0),INT($E1983/100)*60+MOD($E1983,100)))</f>
        <v/>
      </c>
      <c r="L1983" s="17" t="str">
        <f aca="false">IF($F1983="","",IF($F1983&lt;1,ROUND($F1983*1440,0),INT($F1983/100)*60+MOD($F1983,100)))</f>
        <v/>
      </c>
    </row>
    <row r="1984" customFormat="false" ht="15" hidden="false" customHeight="true" outlineLevel="0" collapsed="false">
      <c r="A1984" s="10"/>
      <c r="B1984" s="8"/>
      <c r="C1984" s="13" t="str">
        <f aca="false">IF($B1984="","",IFERROR(INDEX(직원목록!$B$3:$B$302,MATCH($B1984,직원목록!$A$3:$A$302,0)),"미등록사번"))</f>
        <v/>
      </c>
      <c r="D1984" s="13" t="str">
        <f aca="false">IF($B1984="","",IFERROR(INDEX(직원목록!$C$3:$C$302,MATCH($B1984,직원목록!$A$3:$A$302,0)),""))</f>
        <v/>
      </c>
      <c r="E1984" s="14"/>
      <c r="F1984" s="14"/>
      <c r="G1984" s="15"/>
      <c r="H1984" s="16" t="str">
        <f aca="false">IF(OR($K1984="",$L1984=""),"",ROUND(MAX(0,($L1984-$K1984)-IF($G1984="",0,$G1984))/60,2))</f>
        <v/>
      </c>
      <c r="I1984" s="8"/>
      <c r="J1984" s="8"/>
      <c r="K1984" s="17" t="str">
        <f aca="false">IF($E1984="","",IF($E1984&lt;1,ROUND($E1984*1440,0),INT($E1984/100)*60+MOD($E1984,100)))</f>
        <v/>
      </c>
      <c r="L1984" s="17" t="str">
        <f aca="false">IF($F1984="","",IF($F1984&lt;1,ROUND($F1984*1440,0),INT($F1984/100)*60+MOD($F1984,100)))</f>
        <v/>
      </c>
    </row>
    <row r="1985" customFormat="false" ht="15" hidden="false" customHeight="true" outlineLevel="0" collapsed="false">
      <c r="A1985" s="10"/>
      <c r="B1985" s="8"/>
      <c r="C1985" s="13" t="str">
        <f aca="false">IF($B1985="","",IFERROR(INDEX(직원목록!$B$3:$B$302,MATCH($B1985,직원목록!$A$3:$A$302,0)),"미등록사번"))</f>
        <v/>
      </c>
      <c r="D1985" s="13" t="str">
        <f aca="false">IF($B1985="","",IFERROR(INDEX(직원목록!$C$3:$C$302,MATCH($B1985,직원목록!$A$3:$A$302,0)),""))</f>
        <v/>
      </c>
      <c r="E1985" s="14"/>
      <c r="F1985" s="14"/>
      <c r="G1985" s="15"/>
      <c r="H1985" s="16" t="str">
        <f aca="false">IF(OR($K1985="",$L1985=""),"",ROUND(MAX(0,($L1985-$K1985)-IF($G1985="",0,$G1985))/60,2))</f>
        <v/>
      </c>
      <c r="I1985" s="8"/>
      <c r="J1985" s="8"/>
      <c r="K1985" s="17" t="str">
        <f aca="false">IF($E1985="","",IF($E1985&lt;1,ROUND($E1985*1440,0),INT($E1985/100)*60+MOD($E1985,100)))</f>
        <v/>
      </c>
      <c r="L1985" s="17" t="str">
        <f aca="false">IF($F1985="","",IF($F1985&lt;1,ROUND($F1985*1440,0),INT($F1985/100)*60+MOD($F1985,100)))</f>
        <v/>
      </c>
    </row>
    <row r="1986" customFormat="false" ht="15" hidden="false" customHeight="true" outlineLevel="0" collapsed="false">
      <c r="A1986" s="10"/>
      <c r="B1986" s="8"/>
      <c r="C1986" s="13" t="str">
        <f aca="false">IF($B1986="","",IFERROR(INDEX(직원목록!$B$3:$B$302,MATCH($B1986,직원목록!$A$3:$A$302,0)),"미등록사번"))</f>
        <v/>
      </c>
      <c r="D1986" s="13" t="str">
        <f aca="false">IF($B1986="","",IFERROR(INDEX(직원목록!$C$3:$C$302,MATCH($B1986,직원목록!$A$3:$A$302,0)),""))</f>
        <v/>
      </c>
      <c r="E1986" s="14"/>
      <c r="F1986" s="14"/>
      <c r="G1986" s="15"/>
      <c r="H1986" s="16" t="str">
        <f aca="false">IF(OR($K1986="",$L1986=""),"",ROUND(MAX(0,($L1986-$K1986)-IF($G1986="",0,$G1986))/60,2))</f>
        <v/>
      </c>
      <c r="I1986" s="8"/>
      <c r="J1986" s="8"/>
      <c r="K1986" s="17" t="str">
        <f aca="false">IF($E1986="","",IF($E1986&lt;1,ROUND($E1986*1440,0),INT($E1986/100)*60+MOD($E1986,100)))</f>
        <v/>
      </c>
      <c r="L1986" s="17" t="str">
        <f aca="false">IF($F1986="","",IF($F1986&lt;1,ROUND($F1986*1440,0),INT($F1986/100)*60+MOD($F1986,100)))</f>
        <v/>
      </c>
    </row>
    <row r="1987" customFormat="false" ht="15" hidden="false" customHeight="true" outlineLevel="0" collapsed="false">
      <c r="A1987" s="10"/>
      <c r="B1987" s="8"/>
      <c r="C1987" s="13" t="str">
        <f aca="false">IF($B1987="","",IFERROR(INDEX(직원목록!$B$3:$B$302,MATCH($B1987,직원목록!$A$3:$A$302,0)),"미등록사번"))</f>
        <v/>
      </c>
      <c r="D1987" s="13" t="str">
        <f aca="false">IF($B1987="","",IFERROR(INDEX(직원목록!$C$3:$C$302,MATCH($B1987,직원목록!$A$3:$A$302,0)),""))</f>
        <v/>
      </c>
      <c r="E1987" s="14"/>
      <c r="F1987" s="14"/>
      <c r="G1987" s="15"/>
      <c r="H1987" s="16" t="str">
        <f aca="false">IF(OR($K1987="",$L1987=""),"",ROUND(MAX(0,($L1987-$K1987)-IF($G1987="",0,$G1987))/60,2))</f>
        <v/>
      </c>
      <c r="I1987" s="8"/>
      <c r="J1987" s="8"/>
      <c r="K1987" s="17" t="str">
        <f aca="false">IF($E1987="","",IF($E1987&lt;1,ROUND($E1987*1440,0),INT($E1987/100)*60+MOD($E1987,100)))</f>
        <v/>
      </c>
      <c r="L1987" s="17" t="str">
        <f aca="false">IF($F1987="","",IF($F1987&lt;1,ROUND($F1987*1440,0),INT($F1987/100)*60+MOD($F1987,100)))</f>
        <v/>
      </c>
    </row>
    <row r="1988" customFormat="false" ht="15" hidden="false" customHeight="true" outlineLevel="0" collapsed="false">
      <c r="A1988" s="10"/>
      <c r="B1988" s="8"/>
      <c r="C1988" s="13" t="str">
        <f aca="false">IF($B1988="","",IFERROR(INDEX(직원목록!$B$3:$B$302,MATCH($B1988,직원목록!$A$3:$A$302,0)),"미등록사번"))</f>
        <v/>
      </c>
      <c r="D1988" s="13" t="str">
        <f aca="false">IF($B1988="","",IFERROR(INDEX(직원목록!$C$3:$C$302,MATCH($B1988,직원목록!$A$3:$A$302,0)),""))</f>
        <v/>
      </c>
      <c r="E1988" s="14"/>
      <c r="F1988" s="14"/>
      <c r="G1988" s="15"/>
      <c r="H1988" s="16" t="str">
        <f aca="false">IF(OR($K1988="",$L1988=""),"",ROUND(MAX(0,($L1988-$K1988)-IF($G1988="",0,$G1988))/60,2))</f>
        <v/>
      </c>
      <c r="I1988" s="8"/>
      <c r="J1988" s="8"/>
      <c r="K1988" s="17" t="str">
        <f aca="false">IF($E1988="","",IF($E1988&lt;1,ROUND($E1988*1440,0),INT($E1988/100)*60+MOD($E1988,100)))</f>
        <v/>
      </c>
      <c r="L1988" s="17" t="str">
        <f aca="false">IF($F1988="","",IF($F1988&lt;1,ROUND($F1988*1440,0),INT($F1988/100)*60+MOD($F1988,100)))</f>
        <v/>
      </c>
    </row>
    <row r="1989" customFormat="false" ht="15" hidden="false" customHeight="true" outlineLevel="0" collapsed="false">
      <c r="A1989" s="10"/>
      <c r="B1989" s="8"/>
      <c r="C1989" s="13" t="str">
        <f aca="false">IF($B1989="","",IFERROR(INDEX(직원목록!$B$3:$B$302,MATCH($B1989,직원목록!$A$3:$A$302,0)),"미등록사번"))</f>
        <v/>
      </c>
      <c r="D1989" s="13" t="str">
        <f aca="false">IF($B1989="","",IFERROR(INDEX(직원목록!$C$3:$C$302,MATCH($B1989,직원목록!$A$3:$A$302,0)),""))</f>
        <v/>
      </c>
      <c r="E1989" s="14"/>
      <c r="F1989" s="14"/>
      <c r="G1989" s="15"/>
      <c r="H1989" s="16" t="str">
        <f aca="false">IF(OR($K1989="",$L1989=""),"",ROUND(MAX(0,($L1989-$K1989)-IF($G1989="",0,$G1989))/60,2))</f>
        <v/>
      </c>
      <c r="I1989" s="8"/>
      <c r="J1989" s="8"/>
      <c r="K1989" s="17" t="str">
        <f aca="false">IF($E1989="","",IF($E1989&lt;1,ROUND($E1989*1440,0),INT($E1989/100)*60+MOD($E1989,100)))</f>
        <v/>
      </c>
      <c r="L1989" s="17" t="str">
        <f aca="false">IF($F1989="","",IF($F1989&lt;1,ROUND($F1989*1440,0),INT($F1989/100)*60+MOD($F1989,100)))</f>
        <v/>
      </c>
    </row>
    <row r="1990" customFormat="false" ht="15" hidden="false" customHeight="true" outlineLevel="0" collapsed="false">
      <c r="A1990" s="10"/>
      <c r="B1990" s="8"/>
      <c r="C1990" s="13" t="str">
        <f aca="false">IF($B1990="","",IFERROR(INDEX(직원목록!$B$3:$B$302,MATCH($B1990,직원목록!$A$3:$A$302,0)),"미등록사번"))</f>
        <v/>
      </c>
      <c r="D1990" s="13" t="str">
        <f aca="false">IF($B1990="","",IFERROR(INDEX(직원목록!$C$3:$C$302,MATCH($B1990,직원목록!$A$3:$A$302,0)),""))</f>
        <v/>
      </c>
      <c r="E1990" s="14"/>
      <c r="F1990" s="14"/>
      <c r="G1990" s="15"/>
      <c r="H1990" s="16" t="str">
        <f aca="false">IF(OR($K1990="",$L1990=""),"",ROUND(MAX(0,($L1990-$K1990)-IF($G1990="",0,$G1990))/60,2))</f>
        <v/>
      </c>
      <c r="I1990" s="8"/>
      <c r="J1990" s="8"/>
      <c r="K1990" s="17" t="str">
        <f aca="false">IF($E1990="","",IF($E1990&lt;1,ROUND($E1990*1440,0),INT($E1990/100)*60+MOD($E1990,100)))</f>
        <v/>
      </c>
      <c r="L1990" s="17" t="str">
        <f aca="false">IF($F1990="","",IF($F1990&lt;1,ROUND($F1990*1440,0),INT($F1990/100)*60+MOD($F1990,100)))</f>
        <v/>
      </c>
    </row>
    <row r="1991" customFormat="false" ht="15" hidden="false" customHeight="true" outlineLevel="0" collapsed="false">
      <c r="A1991" s="10"/>
      <c r="B1991" s="8"/>
      <c r="C1991" s="13" t="str">
        <f aca="false">IF($B1991="","",IFERROR(INDEX(직원목록!$B$3:$B$302,MATCH($B1991,직원목록!$A$3:$A$302,0)),"미등록사번"))</f>
        <v/>
      </c>
      <c r="D1991" s="13" t="str">
        <f aca="false">IF($B1991="","",IFERROR(INDEX(직원목록!$C$3:$C$302,MATCH($B1991,직원목록!$A$3:$A$302,0)),""))</f>
        <v/>
      </c>
      <c r="E1991" s="14"/>
      <c r="F1991" s="14"/>
      <c r="G1991" s="15"/>
      <c r="H1991" s="16" t="str">
        <f aca="false">IF(OR($K1991="",$L1991=""),"",ROUND(MAX(0,($L1991-$K1991)-IF($G1991="",0,$G1991))/60,2))</f>
        <v/>
      </c>
      <c r="I1991" s="8"/>
      <c r="J1991" s="8"/>
      <c r="K1991" s="17" t="str">
        <f aca="false">IF($E1991="","",IF($E1991&lt;1,ROUND($E1991*1440,0),INT($E1991/100)*60+MOD($E1991,100)))</f>
        <v/>
      </c>
      <c r="L1991" s="17" t="str">
        <f aca="false">IF($F1991="","",IF($F1991&lt;1,ROUND($F1991*1440,0),INT($F1991/100)*60+MOD($F1991,100)))</f>
        <v/>
      </c>
    </row>
    <row r="1992" customFormat="false" ht="15" hidden="false" customHeight="true" outlineLevel="0" collapsed="false">
      <c r="A1992" s="10"/>
      <c r="B1992" s="8"/>
      <c r="C1992" s="13" t="str">
        <f aca="false">IF($B1992="","",IFERROR(INDEX(직원목록!$B$3:$B$302,MATCH($B1992,직원목록!$A$3:$A$302,0)),"미등록사번"))</f>
        <v/>
      </c>
      <c r="D1992" s="13" t="str">
        <f aca="false">IF($B1992="","",IFERROR(INDEX(직원목록!$C$3:$C$302,MATCH($B1992,직원목록!$A$3:$A$302,0)),""))</f>
        <v/>
      </c>
      <c r="E1992" s="14"/>
      <c r="F1992" s="14"/>
      <c r="G1992" s="15"/>
      <c r="H1992" s="16" t="str">
        <f aca="false">IF(OR($K1992="",$L1992=""),"",ROUND(MAX(0,($L1992-$K1992)-IF($G1992="",0,$G1992))/60,2))</f>
        <v/>
      </c>
      <c r="I1992" s="8"/>
      <c r="J1992" s="8"/>
      <c r="K1992" s="17" t="str">
        <f aca="false">IF($E1992="","",IF($E1992&lt;1,ROUND($E1992*1440,0),INT($E1992/100)*60+MOD($E1992,100)))</f>
        <v/>
      </c>
      <c r="L1992" s="17" t="str">
        <f aca="false">IF($F1992="","",IF($F1992&lt;1,ROUND($F1992*1440,0),INT($F1992/100)*60+MOD($F1992,100)))</f>
        <v/>
      </c>
    </row>
    <row r="1993" customFormat="false" ht="15" hidden="false" customHeight="true" outlineLevel="0" collapsed="false">
      <c r="A1993" s="10"/>
      <c r="B1993" s="8"/>
      <c r="C1993" s="13" t="str">
        <f aca="false">IF($B1993="","",IFERROR(INDEX(직원목록!$B$3:$B$302,MATCH($B1993,직원목록!$A$3:$A$302,0)),"미등록사번"))</f>
        <v/>
      </c>
      <c r="D1993" s="13" t="str">
        <f aca="false">IF($B1993="","",IFERROR(INDEX(직원목록!$C$3:$C$302,MATCH($B1993,직원목록!$A$3:$A$302,0)),""))</f>
        <v/>
      </c>
      <c r="E1993" s="14"/>
      <c r="F1993" s="14"/>
      <c r="G1993" s="15"/>
      <c r="H1993" s="16" t="str">
        <f aca="false">IF(OR($K1993="",$L1993=""),"",ROUND(MAX(0,($L1993-$K1993)-IF($G1993="",0,$G1993))/60,2))</f>
        <v/>
      </c>
      <c r="I1993" s="8"/>
      <c r="J1993" s="8"/>
      <c r="K1993" s="17" t="str">
        <f aca="false">IF($E1993="","",IF($E1993&lt;1,ROUND($E1993*1440,0),INT($E1993/100)*60+MOD($E1993,100)))</f>
        <v/>
      </c>
      <c r="L1993" s="17" t="str">
        <f aca="false">IF($F1993="","",IF($F1993&lt;1,ROUND($F1993*1440,0),INT($F1993/100)*60+MOD($F1993,100)))</f>
        <v/>
      </c>
    </row>
    <row r="1994" customFormat="false" ht="15" hidden="false" customHeight="true" outlineLevel="0" collapsed="false">
      <c r="A1994" s="10"/>
      <c r="B1994" s="8"/>
      <c r="C1994" s="13" t="str">
        <f aca="false">IF($B1994="","",IFERROR(INDEX(직원목록!$B$3:$B$302,MATCH($B1994,직원목록!$A$3:$A$302,0)),"미등록사번"))</f>
        <v/>
      </c>
      <c r="D1994" s="13" t="str">
        <f aca="false">IF($B1994="","",IFERROR(INDEX(직원목록!$C$3:$C$302,MATCH($B1994,직원목록!$A$3:$A$302,0)),""))</f>
        <v/>
      </c>
      <c r="E1994" s="14"/>
      <c r="F1994" s="14"/>
      <c r="G1994" s="15"/>
      <c r="H1994" s="16" t="str">
        <f aca="false">IF(OR($K1994="",$L1994=""),"",ROUND(MAX(0,($L1994-$K1994)-IF($G1994="",0,$G1994))/60,2))</f>
        <v/>
      </c>
      <c r="I1994" s="8"/>
      <c r="J1994" s="8"/>
      <c r="K1994" s="17" t="str">
        <f aca="false">IF($E1994="","",IF($E1994&lt;1,ROUND($E1994*1440,0),INT($E1994/100)*60+MOD($E1994,100)))</f>
        <v/>
      </c>
      <c r="L1994" s="17" t="str">
        <f aca="false">IF($F1994="","",IF($F1994&lt;1,ROUND($F1994*1440,0),INT($F1994/100)*60+MOD($F1994,100)))</f>
        <v/>
      </c>
    </row>
    <row r="1995" customFormat="false" ht="15" hidden="false" customHeight="true" outlineLevel="0" collapsed="false">
      <c r="A1995" s="10"/>
      <c r="B1995" s="8"/>
      <c r="C1995" s="13" t="str">
        <f aca="false">IF($B1995="","",IFERROR(INDEX(직원목록!$B$3:$B$302,MATCH($B1995,직원목록!$A$3:$A$302,0)),"미등록사번"))</f>
        <v/>
      </c>
      <c r="D1995" s="13" t="str">
        <f aca="false">IF($B1995="","",IFERROR(INDEX(직원목록!$C$3:$C$302,MATCH($B1995,직원목록!$A$3:$A$302,0)),""))</f>
        <v/>
      </c>
      <c r="E1995" s="14"/>
      <c r="F1995" s="14"/>
      <c r="G1995" s="15"/>
      <c r="H1995" s="16" t="str">
        <f aca="false">IF(OR($K1995="",$L1995=""),"",ROUND(MAX(0,($L1995-$K1995)-IF($G1995="",0,$G1995))/60,2))</f>
        <v/>
      </c>
      <c r="I1995" s="8"/>
      <c r="J1995" s="8"/>
      <c r="K1995" s="17" t="str">
        <f aca="false">IF($E1995="","",IF($E1995&lt;1,ROUND($E1995*1440,0),INT($E1995/100)*60+MOD($E1995,100)))</f>
        <v/>
      </c>
      <c r="L1995" s="17" t="str">
        <f aca="false">IF($F1995="","",IF($F1995&lt;1,ROUND($F1995*1440,0),INT($F1995/100)*60+MOD($F1995,100)))</f>
        <v/>
      </c>
    </row>
    <row r="1996" customFormat="false" ht="15" hidden="false" customHeight="true" outlineLevel="0" collapsed="false">
      <c r="A1996" s="10"/>
      <c r="B1996" s="8"/>
      <c r="C1996" s="13" t="str">
        <f aca="false">IF($B1996="","",IFERROR(INDEX(직원목록!$B$3:$B$302,MATCH($B1996,직원목록!$A$3:$A$302,0)),"미등록사번"))</f>
        <v/>
      </c>
      <c r="D1996" s="13" t="str">
        <f aca="false">IF($B1996="","",IFERROR(INDEX(직원목록!$C$3:$C$302,MATCH($B1996,직원목록!$A$3:$A$302,0)),""))</f>
        <v/>
      </c>
      <c r="E1996" s="14"/>
      <c r="F1996" s="14"/>
      <c r="G1996" s="15"/>
      <c r="H1996" s="16" t="str">
        <f aca="false">IF(OR($K1996="",$L1996=""),"",ROUND(MAX(0,($L1996-$K1996)-IF($G1996="",0,$G1996))/60,2))</f>
        <v/>
      </c>
      <c r="I1996" s="8"/>
      <c r="J1996" s="8"/>
      <c r="K1996" s="17" t="str">
        <f aca="false">IF($E1996="","",IF($E1996&lt;1,ROUND($E1996*1440,0),INT($E1996/100)*60+MOD($E1996,100)))</f>
        <v/>
      </c>
      <c r="L1996" s="17" t="str">
        <f aca="false">IF($F1996="","",IF($F1996&lt;1,ROUND($F1996*1440,0),INT($F1996/100)*60+MOD($F1996,100)))</f>
        <v/>
      </c>
    </row>
    <row r="1997" customFormat="false" ht="15" hidden="false" customHeight="true" outlineLevel="0" collapsed="false">
      <c r="A1997" s="10"/>
      <c r="B1997" s="8"/>
      <c r="C1997" s="13" t="str">
        <f aca="false">IF($B1997="","",IFERROR(INDEX(직원목록!$B$3:$B$302,MATCH($B1997,직원목록!$A$3:$A$302,0)),"미등록사번"))</f>
        <v/>
      </c>
      <c r="D1997" s="13" t="str">
        <f aca="false">IF($B1997="","",IFERROR(INDEX(직원목록!$C$3:$C$302,MATCH($B1997,직원목록!$A$3:$A$302,0)),""))</f>
        <v/>
      </c>
      <c r="E1997" s="14"/>
      <c r="F1997" s="14"/>
      <c r="G1997" s="15"/>
      <c r="H1997" s="16" t="str">
        <f aca="false">IF(OR($K1997="",$L1997=""),"",ROUND(MAX(0,($L1997-$K1997)-IF($G1997="",0,$G1997))/60,2))</f>
        <v/>
      </c>
      <c r="I1997" s="8"/>
      <c r="J1997" s="8"/>
      <c r="K1997" s="17" t="str">
        <f aca="false">IF($E1997="","",IF($E1997&lt;1,ROUND($E1997*1440,0),INT($E1997/100)*60+MOD($E1997,100)))</f>
        <v/>
      </c>
      <c r="L1997" s="17" t="str">
        <f aca="false">IF($F1997="","",IF($F1997&lt;1,ROUND($F1997*1440,0),INT($F1997/100)*60+MOD($F1997,100)))</f>
        <v/>
      </c>
    </row>
    <row r="1998" customFormat="false" ht="15" hidden="false" customHeight="true" outlineLevel="0" collapsed="false">
      <c r="A1998" s="10"/>
      <c r="B1998" s="8"/>
      <c r="C1998" s="13" t="str">
        <f aca="false">IF($B1998="","",IFERROR(INDEX(직원목록!$B$3:$B$302,MATCH($B1998,직원목록!$A$3:$A$302,0)),"미등록사번"))</f>
        <v/>
      </c>
      <c r="D1998" s="13" t="str">
        <f aca="false">IF($B1998="","",IFERROR(INDEX(직원목록!$C$3:$C$302,MATCH($B1998,직원목록!$A$3:$A$302,0)),""))</f>
        <v/>
      </c>
      <c r="E1998" s="14"/>
      <c r="F1998" s="14"/>
      <c r="G1998" s="15"/>
      <c r="H1998" s="16" t="str">
        <f aca="false">IF(OR($K1998="",$L1998=""),"",ROUND(MAX(0,($L1998-$K1998)-IF($G1998="",0,$G1998))/60,2))</f>
        <v/>
      </c>
      <c r="I1998" s="8"/>
      <c r="J1998" s="8"/>
      <c r="K1998" s="17" t="str">
        <f aca="false">IF($E1998="","",IF($E1998&lt;1,ROUND($E1998*1440,0),INT($E1998/100)*60+MOD($E1998,100)))</f>
        <v/>
      </c>
      <c r="L1998" s="17" t="str">
        <f aca="false">IF($F1998="","",IF($F1998&lt;1,ROUND($F1998*1440,0),INT($F1998/100)*60+MOD($F1998,100)))</f>
        <v/>
      </c>
    </row>
    <row r="1999" customFormat="false" ht="15" hidden="false" customHeight="true" outlineLevel="0" collapsed="false">
      <c r="A1999" s="10"/>
      <c r="B1999" s="8"/>
      <c r="C1999" s="13" t="str">
        <f aca="false">IF($B1999="","",IFERROR(INDEX(직원목록!$B$3:$B$302,MATCH($B1999,직원목록!$A$3:$A$302,0)),"미등록사번"))</f>
        <v/>
      </c>
      <c r="D1999" s="13" t="str">
        <f aca="false">IF($B1999="","",IFERROR(INDEX(직원목록!$C$3:$C$302,MATCH($B1999,직원목록!$A$3:$A$302,0)),""))</f>
        <v/>
      </c>
      <c r="E1999" s="14"/>
      <c r="F1999" s="14"/>
      <c r="G1999" s="15"/>
      <c r="H1999" s="16" t="str">
        <f aca="false">IF(OR($K1999="",$L1999=""),"",ROUND(MAX(0,($L1999-$K1999)-IF($G1999="",0,$G1999))/60,2))</f>
        <v/>
      </c>
      <c r="I1999" s="8"/>
      <c r="J1999" s="8"/>
      <c r="K1999" s="17" t="str">
        <f aca="false">IF($E1999="","",IF($E1999&lt;1,ROUND($E1999*1440,0),INT($E1999/100)*60+MOD($E1999,100)))</f>
        <v/>
      </c>
      <c r="L1999" s="17" t="str">
        <f aca="false">IF($F1999="","",IF($F1999&lt;1,ROUND($F1999*1440,0),INT($F1999/100)*60+MOD($F1999,100)))</f>
        <v/>
      </c>
    </row>
    <row r="2000" customFormat="false" ht="15" hidden="false" customHeight="true" outlineLevel="0" collapsed="false">
      <c r="A2000" s="10"/>
      <c r="B2000" s="8"/>
      <c r="C2000" s="13" t="str">
        <f aca="false">IF($B2000="","",IFERROR(INDEX(직원목록!$B$3:$B$302,MATCH($B2000,직원목록!$A$3:$A$302,0)),"미등록사번"))</f>
        <v/>
      </c>
      <c r="D2000" s="13" t="str">
        <f aca="false">IF($B2000="","",IFERROR(INDEX(직원목록!$C$3:$C$302,MATCH($B2000,직원목록!$A$3:$A$302,0)),""))</f>
        <v/>
      </c>
      <c r="E2000" s="14"/>
      <c r="F2000" s="14"/>
      <c r="G2000" s="15"/>
      <c r="H2000" s="16" t="str">
        <f aca="false">IF(OR($K2000="",$L2000=""),"",ROUND(MAX(0,($L2000-$K2000)-IF($G2000="",0,$G2000))/60,2))</f>
        <v/>
      </c>
      <c r="I2000" s="8"/>
      <c r="J2000" s="8"/>
      <c r="K2000" s="17" t="str">
        <f aca="false">IF($E2000="","",IF($E2000&lt;1,ROUND($E2000*1440,0),INT($E2000/100)*60+MOD($E2000,100)))</f>
        <v/>
      </c>
      <c r="L2000" s="17" t="str">
        <f aca="false">IF($F2000="","",IF($F2000&lt;1,ROUND($F2000*1440,0),INT($F2000/100)*60+MOD($F2000,100)))</f>
        <v/>
      </c>
    </row>
    <row r="2001" customFormat="false" ht="15" hidden="false" customHeight="true" outlineLevel="0" collapsed="false">
      <c r="A2001" s="10"/>
      <c r="B2001" s="8"/>
      <c r="C2001" s="13" t="str">
        <f aca="false">IF($B2001="","",IFERROR(INDEX(직원목록!$B$3:$B$302,MATCH($B2001,직원목록!$A$3:$A$302,0)),"미등록사번"))</f>
        <v/>
      </c>
      <c r="D2001" s="13" t="str">
        <f aca="false">IF($B2001="","",IFERROR(INDEX(직원목록!$C$3:$C$302,MATCH($B2001,직원목록!$A$3:$A$302,0)),""))</f>
        <v/>
      </c>
      <c r="E2001" s="14"/>
      <c r="F2001" s="14"/>
      <c r="G2001" s="15"/>
      <c r="H2001" s="16" t="str">
        <f aca="false">IF(OR($K2001="",$L2001=""),"",ROUND(MAX(0,($L2001-$K2001)-IF($G2001="",0,$G2001))/60,2))</f>
        <v/>
      </c>
      <c r="I2001" s="8"/>
      <c r="J2001" s="8"/>
      <c r="K2001" s="17" t="str">
        <f aca="false">IF($E2001="","",IF($E2001&lt;1,ROUND($E2001*1440,0),INT($E2001/100)*60+MOD($E2001,100)))</f>
        <v/>
      </c>
      <c r="L2001" s="17" t="str">
        <f aca="false">IF($F2001="","",IF($F2001&lt;1,ROUND($F2001*1440,0),INT($F2001/100)*60+MOD($F2001,100)))</f>
        <v/>
      </c>
    </row>
    <row r="2002" customFormat="false" ht="15" hidden="false" customHeight="true" outlineLevel="0" collapsed="false">
      <c r="A2002" s="10"/>
      <c r="B2002" s="8"/>
      <c r="C2002" s="13" t="str">
        <f aca="false">IF($B2002="","",IFERROR(INDEX(직원목록!$B$3:$B$302,MATCH($B2002,직원목록!$A$3:$A$302,0)),"미등록사번"))</f>
        <v/>
      </c>
      <c r="D2002" s="13" t="str">
        <f aca="false">IF($B2002="","",IFERROR(INDEX(직원목록!$C$3:$C$302,MATCH($B2002,직원목록!$A$3:$A$302,0)),""))</f>
        <v/>
      </c>
      <c r="E2002" s="14"/>
      <c r="F2002" s="14"/>
      <c r="G2002" s="15"/>
      <c r="H2002" s="16" t="str">
        <f aca="false">IF(OR($K2002="",$L2002=""),"",ROUND(MAX(0,($L2002-$K2002)-IF($G2002="",0,$G2002))/60,2))</f>
        <v/>
      </c>
      <c r="I2002" s="8"/>
      <c r="J2002" s="8"/>
      <c r="K2002" s="17" t="str">
        <f aca="false">IF($E2002="","",IF($E2002&lt;1,ROUND($E2002*1440,0),INT($E2002/100)*60+MOD($E2002,100)))</f>
        <v/>
      </c>
      <c r="L2002" s="17" t="str">
        <f aca="false">IF($F2002="","",IF($F2002&lt;1,ROUND($F2002*1440,0),INT($F2002/100)*60+MOD($F2002,100)))</f>
        <v/>
      </c>
    </row>
    <row r="2003" customFormat="false" ht="15" hidden="false" customHeight="true" outlineLevel="0" collapsed="false">
      <c r="A2003" s="10"/>
      <c r="B2003" s="8"/>
      <c r="C2003" s="13" t="str">
        <f aca="false">IF($B2003="","",IFERROR(INDEX(직원목록!$B$3:$B$302,MATCH($B2003,직원목록!$A$3:$A$302,0)),"미등록사번"))</f>
        <v/>
      </c>
      <c r="D2003" s="13" t="str">
        <f aca="false">IF($B2003="","",IFERROR(INDEX(직원목록!$C$3:$C$302,MATCH($B2003,직원목록!$A$3:$A$302,0)),""))</f>
        <v/>
      </c>
      <c r="E2003" s="14"/>
      <c r="F2003" s="14"/>
      <c r="G2003" s="15"/>
      <c r="H2003" s="16" t="str">
        <f aca="false">IF(OR($K2003="",$L2003=""),"",ROUND(MAX(0,($L2003-$K2003)-IF($G2003="",0,$G2003))/60,2))</f>
        <v/>
      </c>
      <c r="I2003" s="8"/>
      <c r="J2003" s="8"/>
      <c r="K2003" s="17" t="str">
        <f aca="false">IF($E2003="","",IF($E2003&lt;1,ROUND($E2003*1440,0),INT($E2003/100)*60+MOD($E2003,100)))</f>
        <v/>
      </c>
      <c r="L2003" s="17" t="str">
        <f aca="false">IF($F2003="","",IF($F2003&lt;1,ROUND($F2003*1440,0),INT($F2003/100)*60+MOD($F2003,100)))</f>
        <v/>
      </c>
    </row>
    <row r="2004" customFormat="false" ht="15" hidden="false" customHeight="true" outlineLevel="0" collapsed="false">
      <c r="A2004" s="10"/>
      <c r="B2004" s="8"/>
      <c r="C2004" s="13" t="str">
        <f aca="false">IF($B2004="","",IFERROR(INDEX(직원목록!$B$3:$B$302,MATCH($B2004,직원목록!$A$3:$A$302,0)),"미등록사번"))</f>
        <v/>
      </c>
      <c r="D2004" s="13" t="str">
        <f aca="false">IF($B2004="","",IFERROR(INDEX(직원목록!$C$3:$C$302,MATCH($B2004,직원목록!$A$3:$A$302,0)),""))</f>
        <v/>
      </c>
      <c r="E2004" s="14"/>
      <c r="F2004" s="14"/>
      <c r="G2004" s="15"/>
      <c r="H2004" s="16" t="str">
        <f aca="false">IF(OR($K2004="",$L2004=""),"",ROUND(MAX(0,($L2004-$K2004)-IF($G2004="",0,$G2004))/60,2))</f>
        <v/>
      </c>
      <c r="I2004" s="8"/>
      <c r="J2004" s="8"/>
      <c r="K2004" s="17" t="str">
        <f aca="false">IF($E2004="","",IF($E2004&lt;1,ROUND($E2004*1440,0),INT($E2004/100)*60+MOD($E2004,100)))</f>
        <v/>
      </c>
      <c r="L2004" s="17" t="str">
        <f aca="false">IF($F2004="","",IF($F2004&lt;1,ROUND($F2004*1440,0),INT($F2004/100)*60+MOD($F2004,100)))</f>
        <v/>
      </c>
    </row>
    <row r="2005" customFormat="false" ht="15" hidden="false" customHeight="true" outlineLevel="0" collapsed="false">
      <c r="A2005" s="10"/>
      <c r="B2005" s="8"/>
      <c r="C2005" s="13" t="str">
        <f aca="false">IF($B2005="","",IFERROR(INDEX(직원목록!$B$3:$B$302,MATCH($B2005,직원목록!$A$3:$A$302,0)),"미등록사번"))</f>
        <v/>
      </c>
      <c r="D2005" s="13" t="str">
        <f aca="false">IF($B2005="","",IFERROR(INDEX(직원목록!$C$3:$C$302,MATCH($B2005,직원목록!$A$3:$A$302,0)),""))</f>
        <v/>
      </c>
      <c r="E2005" s="14"/>
      <c r="F2005" s="14"/>
      <c r="G2005" s="15"/>
      <c r="H2005" s="16" t="str">
        <f aca="false">IF(OR($K2005="",$L2005=""),"",ROUND(MAX(0,($L2005-$K2005)-IF($G2005="",0,$G2005))/60,2))</f>
        <v/>
      </c>
      <c r="I2005" s="8"/>
      <c r="J2005" s="8"/>
      <c r="K2005" s="17" t="str">
        <f aca="false">IF($E2005="","",IF($E2005&lt;1,ROUND($E2005*1440,0),INT($E2005/100)*60+MOD($E2005,100)))</f>
        <v/>
      </c>
      <c r="L2005" s="17" t="str">
        <f aca="false">IF($F2005="","",IF($F2005&lt;1,ROUND($F2005*1440,0),INT($F2005/100)*60+MOD($F2005,100)))</f>
        <v/>
      </c>
    </row>
    <row r="2006" customFormat="false" ht="15" hidden="false" customHeight="true" outlineLevel="0" collapsed="false">
      <c r="A2006" s="10"/>
      <c r="B2006" s="8"/>
      <c r="C2006" s="13" t="str">
        <f aca="false">IF($B2006="","",IFERROR(INDEX(직원목록!$B$3:$B$302,MATCH($B2006,직원목록!$A$3:$A$302,0)),"미등록사번"))</f>
        <v/>
      </c>
      <c r="D2006" s="13" t="str">
        <f aca="false">IF($B2006="","",IFERROR(INDEX(직원목록!$C$3:$C$302,MATCH($B2006,직원목록!$A$3:$A$302,0)),""))</f>
        <v/>
      </c>
      <c r="E2006" s="14"/>
      <c r="F2006" s="14"/>
      <c r="G2006" s="15"/>
      <c r="H2006" s="16" t="str">
        <f aca="false">IF(OR($K2006="",$L2006=""),"",ROUND(MAX(0,($L2006-$K2006)-IF($G2006="",0,$G2006))/60,2))</f>
        <v/>
      </c>
      <c r="I2006" s="8"/>
      <c r="J2006" s="8"/>
      <c r="K2006" s="17" t="str">
        <f aca="false">IF($E2006="","",IF($E2006&lt;1,ROUND($E2006*1440,0),INT($E2006/100)*60+MOD($E2006,100)))</f>
        <v/>
      </c>
      <c r="L2006" s="17" t="str">
        <f aca="false">IF($F2006="","",IF($F2006&lt;1,ROUND($F2006*1440,0),INT($F2006/100)*60+MOD($F2006,100)))</f>
        <v/>
      </c>
    </row>
    <row r="2007" customFormat="false" ht="15" hidden="false" customHeight="true" outlineLevel="0" collapsed="false">
      <c r="A2007" s="10"/>
      <c r="B2007" s="8"/>
      <c r="C2007" s="13" t="str">
        <f aca="false">IF($B2007="","",IFERROR(INDEX(직원목록!$B$3:$B$302,MATCH($B2007,직원목록!$A$3:$A$302,0)),"미등록사번"))</f>
        <v/>
      </c>
      <c r="D2007" s="13" t="str">
        <f aca="false">IF($B2007="","",IFERROR(INDEX(직원목록!$C$3:$C$302,MATCH($B2007,직원목록!$A$3:$A$302,0)),""))</f>
        <v/>
      </c>
      <c r="E2007" s="14"/>
      <c r="F2007" s="14"/>
      <c r="G2007" s="15"/>
      <c r="H2007" s="16" t="str">
        <f aca="false">IF(OR($K2007="",$L2007=""),"",ROUND(MAX(0,($L2007-$K2007)-IF($G2007="",0,$G2007))/60,2))</f>
        <v/>
      </c>
      <c r="I2007" s="8"/>
      <c r="J2007" s="8"/>
      <c r="K2007" s="17" t="str">
        <f aca="false">IF($E2007="","",IF($E2007&lt;1,ROUND($E2007*1440,0),INT($E2007/100)*60+MOD($E2007,100)))</f>
        <v/>
      </c>
      <c r="L2007" s="17" t="str">
        <f aca="false">IF($F2007="","",IF($F2007&lt;1,ROUND($F2007*1440,0),INT($F2007/100)*60+MOD($F2007,100)))</f>
        <v/>
      </c>
    </row>
    <row r="2008" customFormat="false" ht="15" hidden="false" customHeight="true" outlineLevel="0" collapsed="false">
      <c r="A2008" s="10"/>
      <c r="B2008" s="8"/>
      <c r="C2008" s="13" t="str">
        <f aca="false">IF($B2008="","",IFERROR(INDEX(직원목록!$B$3:$B$302,MATCH($B2008,직원목록!$A$3:$A$302,0)),"미등록사번"))</f>
        <v/>
      </c>
      <c r="D2008" s="13" t="str">
        <f aca="false">IF($B2008="","",IFERROR(INDEX(직원목록!$C$3:$C$302,MATCH($B2008,직원목록!$A$3:$A$302,0)),""))</f>
        <v/>
      </c>
      <c r="E2008" s="14"/>
      <c r="F2008" s="14"/>
      <c r="G2008" s="15"/>
      <c r="H2008" s="16" t="str">
        <f aca="false">IF(OR($K2008="",$L2008=""),"",ROUND(MAX(0,($L2008-$K2008)-IF($G2008="",0,$G2008))/60,2))</f>
        <v/>
      </c>
      <c r="I2008" s="8"/>
      <c r="J2008" s="8"/>
      <c r="K2008" s="17" t="str">
        <f aca="false">IF($E2008="","",IF($E2008&lt;1,ROUND($E2008*1440,0),INT($E2008/100)*60+MOD($E2008,100)))</f>
        <v/>
      </c>
      <c r="L2008" s="17" t="str">
        <f aca="false">IF($F2008="","",IF($F2008&lt;1,ROUND($F2008*1440,0),INT($F2008/100)*60+MOD($F2008,100)))</f>
        <v/>
      </c>
    </row>
    <row r="2009" customFormat="false" ht="15" hidden="false" customHeight="true" outlineLevel="0" collapsed="false">
      <c r="A2009" s="10"/>
      <c r="B2009" s="8"/>
      <c r="C2009" s="13" t="str">
        <f aca="false">IF($B2009="","",IFERROR(INDEX(직원목록!$B$3:$B$302,MATCH($B2009,직원목록!$A$3:$A$302,0)),"미등록사번"))</f>
        <v/>
      </c>
      <c r="D2009" s="13" t="str">
        <f aca="false">IF($B2009="","",IFERROR(INDEX(직원목록!$C$3:$C$302,MATCH($B2009,직원목록!$A$3:$A$302,0)),""))</f>
        <v/>
      </c>
      <c r="E2009" s="14"/>
      <c r="F2009" s="14"/>
      <c r="G2009" s="15"/>
      <c r="H2009" s="16" t="str">
        <f aca="false">IF(OR($K2009="",$L2009=""),"",ROUND(MAX(0,($L2009-$K2009)-IF($G2009="",0,$G2009))/60,2))</f>
        <v/>
      </c>
      <c r="I2009" s="8"/>
      <c r="J2009" s="8"/>
      <c r="K2009" s="17" t="str">
        <f aca="false">IF($E2009="","",IF($E2009&lt;1,ROUND($E2009*1440,0),INT($E2009/100)*60+MOD($E2009,100)))</f>
        <v/>
      </c>
      <c r="L2009" s="17" t="str">
        <f aca="false">IF($F2009="","",IF($F2009&lt;1,ROUND($F2009*1440,0),INT($F2009/100)*60+MOD($F2009,100)))</f>
        <v/>
      </c>
    </row>
    <row r="2010" customFormat="false" ht="15" hidden="false" customHeight="true" outlineLevel="0" collapsed="false">
      <c r="A2010" s="10"/>
      <c r="B2010" s="8"/>
      <c r="C2010" s="13" t="str">
        <f aca="false">IF($B2010="","",IFERROR(INDEX(직원목록!$B$3:$B$302,MATCH($B2010,직원목록!$A$3:$A$302,0)),"미등록사번"))</f>
        <v/>
      </c>
      <c r="D2010" s="13" t="str">
        <f aca="false">IF($B2010="","",IFERROR(INDEX(직원목록!$C$3:$C$302,MATCH($B2010,직원목록!$A$3:$A$302,0)),""))</f>
        <v/>
      </c>
      <c r="E2010" s="14"/>
      <c r="F2010" s="14"/>
      <c r="G2010" s="15"/>
      <c r="H2010" s="16" t="str">
        <f aca="false">IF(OR($K2010="",$L2010=""),"",ROUND(MAX(0,($L2010-$K2010)-IF($G2010="",0,$G2010))/60,2))</f>
        <v/>
      </c>
      <c r="I2010" s="8"/>
      <c r="J2010" s="8"/>
      <c r="K2010" s="17" t="str">
        <f aca="false">IF($E2010="","",IF($E2010&lt;1,ROUND($E2010*1440,0),INT($E2010/100)*60+MOD($E2010,100)))</f>
        <v/>
      </c>
      <c r="L2010" s="17" t="str">
        <f aca="false">IF($F2010="","",IF($F2010&lt;1,ROUND($F2010*1440,0),INT($F2010/100)*60+MOD($F2010,100)))</f>
        <v/>
      </c>
    </row>
    <row r="2011" customFormat="false" ht="15" hidden="false" customHeight="true" outlineLevel="0" collapsed="false">
      <c r="A2011" s="10"/>
      <c r="B2011" s="8"/>
      <c r="C2011" s="13" t="str">
        <f aca="false">IF($B2011="","",IFERROR(INDEX(직원목록!$B$3:$B$302,MATCH($B2011,직원목록!$A$3:$A$302,0)),"미등록사번"))</f>
        <v/>
      </c>
      <c r="D2011" s="13" t="str">
        <f aca="false">IF($B2011="","",IFERROR(INDEX(직원목록!$C$3:$C$302,MATCH($B2011,직원목록!$A$3:$A$302,0)),""))</f>
        <v/>
      </c>
      <c r="E2011" s="14"/>
      <c r="F2011" s="14"/>
      <c r="G2011" s="15"/>
      <c r="H2011" s="16" t="str">
        <f aca="false">IF(OR($K2011="",$L2011=""),"",ROUND(MAX(0,($L2011-$K2011)-IF($G2011="",0,$G2011))/60,2))</f>
        <v/>
      </c>
      <c r="I2011" s="8"/>
      <c r="J2011" s="8"/>
      <c r="K2011" s="17" t="str">
        <f aca="false">IF($E2011="","",IF($E2011&lt;1,ROUND($E2011*1440,0),INT($E2011/100)*60+MOD($E2011,100)))</f>
        <v/>
      </c>
      <c r="L2011" s="17" t="str">
        <f aca="false">IF($F2011="","",IF($F2011&lt;1,ROUND($F2011*1440,0),INT($F2011/100)*60+MOD($F2011,100)))</f>
        <v/>
      </c>
    </row>
    <row r="2012" customFormat="false" ht="15" hidden="false" customHeight="true" outlineLevel="0" collapsed="false">
      <c r="A2012" s="10"/>
      <c r="B2012" s="8"/>
      <c r="C2012" s="13" t="str">
        <f aca="false">IF($B2012="","",IFERROR(INDEX(직원목록!$B$3:$B$302,MATCH($B2012,직원목록!$A$3:$A$302,0)),"미등록사번"))</f>
        <v/>
      </c>
      <c r="D2012" s="13" t="str">
        <f aca="false">IF($B2012="","",IFERROR(INDEX(직원목록!$C$3:$C$302,MATCH($B2012,직원목록!$A$3:$A$302,0)),""))</f>
        <v/>
      </c>
      <c r="E2012" s="14"/>
      <c r="F2012" s="14"/>
      <c r="G2012" s="15"/>
      <c r="H2012" s="16" t="str">
        <f aca="false">IF(OR($K2012="",$L2012=""),"",ROUND(MAX(0,($L2012-$K2012)-IF($G2012="",0,$G2012))/60,2))</f>
        <v/>
      </c>
      <c r="I2012" s="8"/>
      <c r="J2012" s="8"/>
      <c r="K2012" s="17" t="str">
        <f aca="false">IF($E2012="","",IF($E2012&lt;1,ROUND($E2012*1440,0),INT($E2012/100)*60+MOD($E2012,100)))</f>
        <v/>
      </c>
      <c r="L2012" s="17" t="str">
        <f aca="false">IF($F2012="","",IF($F2012&lt;1,ROUND($F2012*1440,0),INT($F2012/100)*60+MOD($F2012,100)))</f>
        <v/>
      </c>
    </row>
    <row r="2013" customFormat="false" ht="15" hidden="false" customHeight="true" outlineLevel="0" collapsed="false">
      <c r="A2013" s="10"/>
      <c r="B2013" s="8"/>
      <c r="C2013" s="13" t="str">
        <f aca="false">IF($B2013="","",IFERROR(INDEX(직원목록!$B$3:$B$302,MATCH($B2013,직원목록!$A$3:$A$302,0)),"미등록사번"))</f>
        <v/>
      </c>
      <c r="D2013" s="13" t="str">
        <f aca="false">IF($B2013="","",IFERROR(INDEX(직원목록!$C$3:$C$302,MATCH($B2013,직원목록!$A$3:$A$302,0)),""))</f>
        <v/>
      </c>
      <c r="E2013" s="14"/>
      <c r="F2013" s="14"/>
      <c r="G2013" s="15"/>
      <c r="H2013" s="16" t="str">
        <f aca="false">IF(OR($K2013="",$L2013=""),"",ROUND(MAX(0,($L2013-$K2013)-IF($G2013="",0,$G2013))/60,2))</f>
        <v/>
      </c>
      <c r="I2013" s="8"/>
      <c r="J2013" s="8"/>
      <c r="K2013" s="17" t="str">
        <f aca="false">IF($E2013="","",IF($E2013&lt;1,ROUND($E2013*1440,0),INT($E2013/100)*60+MOD($E2013,100)))</f>
        <v/>
      </c>
      <c r="L2013" s="17" t="str">
        <f aca="false">IF($F2013="","",IF($F2013&lt;1,ROUND($F2013*1440,0),INT($F2013/100)*60+MOD($F2013,100)))</f>
        <v/>
      </c>
    </row>
    <row r="2014" customFormat="false" ht="15" hidden="false" customHeight="true" outlineLevel="0" collapsed="false">
      <c r="A2014" s="10"/>
      <c r="B2014" s="8"/>
      <c r="C2014" s="13" t="str">
        <f aca="false">IF($B2014="","",IFERROR(INDEX(직원목록!$B$3:$B$302,MATCH($B2014,직원목록!$A$3:$A$302,0)),"미등록사번"))</f>
        <v/>
      </c>
      <c r="D2014" s="13" t="str">
        <f aca="false">IF($B2014="","",IFERROR(INDEX(직원목록!$C$3:$C$302,MATCH($B2014,직원목록!$A$3:$A$302,0)),""))</f>
        <v/>
      </c>
      <c r="E2014" s="14"/>
      <c r="F2014" s="14"/>
      <c r="G2014" s="15"/>
      <c r="H2014" s="16" t="str">
        <f aca="false">IF(OR($K2014="",$L2014=""),"",ROUND(MAX(0,($L2014-$K2014)-IF($G2014="",0,$G2014))/60,2))</f>
        <v/>
      </c>
      <c r="I2014" s="8"/>
      <c r="J2014" s="8"/>
      <c r="K2014" s="17" t="str">
        <f aca="false">IF($E2014="","",IF($E2014&lt;1,ROUND($E2014*1440,0),INT($E2014/100)*60+MOD($E2014,100)))</f>
        <v/>
      </c>
      <c r="L2014" s="17" t="str">
        <f aca="false">IF($F2014="","",IF($F2014&lt;1,ROUND($F2014*1440,0),INT($F2014/100)*60+MOD($F2014,100)))</f>
        <v/>
      </c>
    </row>
    <row r="2015" customFormat="false" ht="15" hidden="false" customHeight="true" outlineLevel="0" collapsed="false">
      <c r="A2015" s="10"/>
      <c r="B2015" s="8"/>
      <c r="C2015" s="13" t="str">
        <f aca="false">IF($B2015="","",IFERROR(INDEX(직원목록!$B$3:$B$302,MATCH($B2015,직원목록!$A$3:$A$302,0)),"미등록사번"))</f>
        <v/>
      </c>
      <c r="D2015" s="13" t="str">
        <f aca="false">IF($B2015="","",IFERROR(INDEX(직원목록!$C$3:$C$302,MATCH($B2015,직원목록!$A$3:$A$302,0)),""))</f>
        <v/>
      </c>
      <c r="E2015" s="14"/>
      <c r="F2015" s="14"/>
      <c r="G2015" s="15"/>
      <c r="H2015" s="16" t="str">
        <f aca="false">IF(OR($K2015="",$L2015=""),"",ROUND(MAX(0,($L2015-$K2015)-IF($G2015="",0,$G2015))/60,2))</f>
        <v/>
      </c>
      <c r="I2015" s="8"/>
      <c r="J2015" s="8"/>
      <c r="K2015" s="17" t="str">
        <f aca="false">IF($E2015="","",IF($E2015&lt;1,ROUND($E2015*1440,0),INT($E2015/100)*60+MOD($E2015,100)))</f>
        <v/>
      </c>
      <c r="L2015" s="17" t="str">
        <f aca="false">IF($F2015="","",IF($F2015&lt;1,ROUND($F2015*1440,0),INT($F2015/100)*60+MOD($F2015,100)))</f>
        <v/>
      </c>
    </row>
    <row r="2016" customFormat="false" ht="15" hidden="false" customHeight="true" outlineLevel="0" collapsed="false">
      <c r="A2016" s="10"/>
      <c r="B2016" s="8"/>
      <c r="C2016" s="13" t="str">
        <f aca="false">IF($B2016="","",IFERROR(INDEX(직원목록!$B$3:$B$302,MATCH($B2016,직원목록!$A$3:$A$302,0)),"미등록사번"))</f>
        <v/>
      </c>
      <c r="D2016" s="13" t="str">
        <f aca="false">IF($B2016="","",IFERROR(INDEX(직원목록!$C$3:$C$302,MATCH($B2016,직원목록!$A$3:$A$302,0)),""))</f>
        <v/>
      </c>
      <c r="E2016" s="14"/>
      <c r="F2016" s="14"/>
      <c r="G2016" s="15"/>
      <c r="H2016" s="16" t="str">
        <f aca="false">IF(OR($K2016="",$L2016=""),"",ROUND(MAX(0,($L2016-$K2016)-IF($G2016="",0,$G2016))/60,2))</f>
        <v/>
      </c>
      <c r="I2016" s="8"/>
      <c r="J2016" s="8"/>
      <c r="K2016" s="17" t="str">
        <f aca="false">IF($E2016="","",IF($E2016&lt;1,ROUND($E2016*1440,0),INT($E2016/100)*60+MOD($E2016,100)))</f>
        <v/>
      </c>
      <c r="L2016" s="17" t="str">
        <f aca="false">IF($F2016="","",IF($F2016&lt;1,ROUND($F2016*1440,0),INT($F2016/100)*60+MOD($F2016,100)))</f>
        <v/>
      </c>
    </row>
    <row r="2017" customFormat="false" ht="15" hidden="false" customHeight="true" outlineLevel="0" collapsed="false">
      <c r="A2017" s="10"/>
      <c r="B2017" s="8"/>
      <c r="C2017" s="13" t="str">
        <f aca="false">IF($B2017="","",IFERROR(INDEX(직원목록!$B$3:$B$302,MATCH($B2017,직원목록!$A$3:$A$302,0)),"미등록사번"))</f>
        <v/>
      </c>
      <c r="D2017" s="13" t="str">
        <f aca="false">IF($B2017="","",IFERROR(INDEX(직원목록!$C$3:$C$302,MATCH($B2017,직원목록!$A$3:$A$302,0)),""))</f>
        <v/>
      </c>
      <c r="E2017" s="14"/>
      <c r="F2017" s="14"/>
      <c r="G2017" s="15"/>
      <c r="H2017" s="16" t="str">
        <f aca="false">IF(OR($K2017="",$L2017=""),"",ROUND(MAX(0,($L2017-$K2017)-IF($G2017="",0,$G2017))/60,2))</f>
        <v/>
      </c>
      <c r="I2017" s="8"/>
      <c r="J2017" s="8"/>
      <c r="K2017" s="17" t="str">
        <f aca="false">IF($E2017="","",IF($E2017&lt;1,ROUND($E2017*1440,0),INT($E2017/100)*60+MOD($E2017,100)))</f>
        <v/>
      </c>
      <c r="L2017" s="17" t="str">
        <f aca="false">IF($F2017="","",IF($F2017&lt;1,ROUND($F2017*1440,0),INT($F2017/100)*60+MOD($F2017,100)))</f>
        <v/>
      </c>
    </row>
    <row r="2018" customFormat="false" ht="15" hidden="false" customHeight="true" outlineLevel="0" collapsed="false">
      <c r="A2018" s="10"/>
      <c r="B2018" s="8"/>
      <c r="C2018" s="13" t="str">
        <f aca="false">IF($B2018="","",IFERROR(INDEX(직원목록!$B$3:$B$302,MATCH($B2018,직원목록!$A$3:$A$302,0)),"미등록사번"))</f>
        <v/>
      </c>
      <c r="D2018" s="13" t="str">
        <f aca="false">IF($B2018="","",IFERROR(INDEX(직원목록!$C$3:$C$302,MATCH($B2018,직원목록!$A$3:$A$302,0)),""))</f>
        <v/>
      </c>
      <c r="E2018" s="14"/>
      <c r="F2018" s="14"/>
      <c r="G2018" s="15"/>
      <c r="H2018" s="16" t="str">
        <f aca="false">IF(OR($K2018="",$L2018=""),"",ROUND(MAX(0,($L2018-$K2018)-IF($G2018="",0,$G2018))/60,2))</f>
        <v/>
      </c>
      <c r="I2018" s="8"/>
      <c r="J2018" s="8"/>
      <c r="K2018" s="17" t="str">
        <f aca="false">IF($E2018="","",IF($E2018&lt;1,ROUND($E2018*1440,0),INT($E2018/100)*60+MOD($E2018,100)))</f>
        <v/>
      </c>
      <c r="L2018" s="17" t="str">
        <f aca="false">IF($F2018="","",IF($F2018&lt;1,ROUND($F2018*1440,0),INT($F2018/100)*60+MOD($F2018,100)))</f>
        <v/>
      </c>
    </row>
    <row r="2019" customFormat="false" ht="15" hidden="false" customHeight="true" outlineLevel="0" collapsed="false">
      <c r="A2019" s="10"/>
      <c r="B2019" s="8"/>
      <c r="C2019" s="13" t="str">
        <f aca="false">IF($B2019="","",IFERROR(INDEX(직원목록!$B$3:$B$302,MATCH($B2019,직원목록!$A$3:$A$302,0)),"미등록사번"))</f>
        <v/>
      </c>
      <c r="D2019" s="13" t="str">
        <f aca="false">IF($B2019="","",IFERROR(INDEX(직원목록!$C$3:$C$302,MATCH($B2019,직원목록!$A$3:$A$302,0)),""))</f>
        <v/>
      </c>
      <c r="E2019" s="14"/>
      <c r="F2019" s="14"/>
      <c r="G2019" s="15"/>
      <c r="H2019" s="16" t="str">
        <f aca="false">IF(OR($K2019="",$L2019=""),"",ROUND(MAX(0,($L2019-$K2019)-IF($G2019="",0,$G2019))/60,2))</f>
        <v/>
      </c>
      <c r="I2019" s="8"/>
      <c r="J2019" s="8"/>
      <c r="K2019" s="17" t="str">
        <f aca="false">IF($E2019="","",IF($E2019&lt;1,ROUND($E2019*1440,0),INT($E2019/100)*60+MOD($E2019,100)))</f>
        <v/>
      </c>
      <c r="L2019" s="17" t="str">
        <f aca="false">IF($F2019="","",IF($F2019&lt;1,ROUND($F2019*1440,0),INT($F2019/100)*60+MOD($F2019,100)))</f>
        <v/>
      </c>
    </row>
    <row r="2020" customFormat="false" ht="15" hidden="false" customHeight="true" outlineLevel="0" collapsed="false">
      <c r="A2020" s="10"/>
      <c r="B2020" s="8"/>
      <c r="C2020" s="13" t="str">
        <f aca="false">IF($B2020="","",IFERROR(INDEX(직원목록!$B$3:$B$302,MATCH($B2020,직원목록!$A$3:$A$302,0)),"미등록사번"))</f>
        <v/>
      </c>
      <c r="D2020" s="13" t="str">
        <f aca="false">IF($B2020="","",IFERROR(INDEX(직원목록!$C$3:$C$302,MATCH($B2020,직원목록!$A$3:$A$302,0)),""))</f>
        <v/>
      </c>
      <c r="E2020" s="14"/>
      <c r="F2020" s="14"/>
      <c r="G2020" s="15"/>
      <c r="H2020" s="16" t="str">
        <f aca="false">IF(OR($K2020="",$L2020=""),"",ROUND(MAX(0,($L2020-$K2020)-IF($G2020="",0,$G2020))/60,2))</f>
        <v/>
      </c>
      <c r="I2020" s="8"/>
      <c r="J2020" s="8"/>
      <c r="K2020" s="17" t="str">
        <f aca="false">IF($E2020="","",IF($E2020&lt;1,ROUND($E2020*1440,0),INT($E2020/100)*60+MOD($E2020,100)))</f>
        <v/>
      </c>
      <c r="L2020" s="17" t="str">
        <f aca="false">IF($F2020="","",IF($F2020&lt;1,ROUND($F2020*1440,0),INT($F2020/100)*60+MOD($F2020,100)))</f>
        <v/>
      </c>
    </row>
    <row r="2021" customFormat="false" ht="15" hidden="false" customHeight="true" outlineLevel="0" collapsed="false">
      <c r="A2021" s="10"/>
      <c r="B2021" s="8"/>
      <c r="C2021" s="13" t="str">
        <f aca="false">IF($B2021="","",IFERROR(INDEX(직원목록!$B$3:$B$302,MATCH($B2021,직원목록!$A$3:$A$302,0)),"미등록사번"))</f>
        <v/>
      </c>
      <c r="D2021" s="13" t="str">
        <f aca="false">IF($B2021="","",IFERROR(INDEX(직원목록!$C$3:$C$302,MATCH($B2021,직원목록!$A$3:$A$302,0)),""))</f>
        <v/>
      </c>
      <c r="E2021" s="14"/>
      <c r="F2021" s="14"/>
      <c r="G2021" s="15"/>
      <c r="H2021" s="16" t="str">
        <f aca="false">IF(OR($K2021="",$L2021=""),"",ROUND(MAX(0,($L2021-$K2021)-IF($G2021="",0,$G2021))/60,2))</f>
        <v/>
      </c>
      <c r="I2021" s="8"/>
      <c r="J2021" s="8"/>
      <c r="K2021" s="17" t="str">
        <f aca="false">IF($E2021="","",IF($E2021&lt;1,ROUND($E2021*1440,0),INT($E2021/100)*60+MOD($E2021,100)))</f>
        <v/>
      </c>
      <c r="L2021" s="17" t="str">
        <f aca="false">IF($F2021="","",IF($F2021&lt;1,ROUND($F2021*1440,0),INT($F2021/100)*60+MOD($F2021,100)))</f>
        <v/>
      </c>
    </row>
    <row r="2022" customFormat="false" ht="15" hidden="false" customHeight="true" outlineLevel="0" collapsed="false">
      <c r="A2022" s="10"/>
      <c r="B2022" s="8"/>
      <c r="C2022" s="13" t="str">
        <f aca="false">IF($B2022="","",IFERROR(INDEX(직원목록!$B$3:$B$302,MATCH($B2022,직원목록!$A$3:$A$302,0)),"미등록사번"))</f>
        <v/>
      </c>
      <c r="D2022" s="13" t="str">
        <f aca="false">IF($B2022="","",IFERROR(INDEX(직원목록!$C$3:$C$302,MATCH($B2022,직원목록!$A$3:$A$302,0)),""))</f>
        <v/>
      </c>
      <c r="E2022" s="14"/>
      <c r="F2022" s="14"/>
      <c r="G2022" s="15"/>
      <c r="H2022" s="16" t="str">
        <f aca="false">IF(OR($K2022="",$L2022=""),"",ROUND(MAX(0,($L2022-$K2022)-IF($G2022="",0,$G2022))/60,2))</f>
        <v/>
      </c>
      <c r="I2022" s="8"/>
      <c r="J2022" s="8"/>
      <c r="K2022" s="17" t="str">
        <f aca="false">IF($E2022="","",IF($E2022&lt;1,ROUND($E2022*1440,0),INT($E2022/100)*60+MOD($E2022,100)))</f>
        <v/>
      </c>
      <c r="L2022" s="17" t="str">
        <f aca="false">IF($F2022="","",IF($F2022&lt;1,ROUND($F2022*1440,0),INT($F2022/100)*60+MOD($F2022,100)))</f>
        <v/>
      </c>
    </row>
    <row r="2023" customFormat="false" ht="15" hidden="false" customHeight="true" outlineLevel="0" collapsed="false">
      <c r="A2023" s="10"/>
      <c r="B2023" s="8"/>
      <c r="C2023" s="13" t="str">
        <f aca="false">IF($B2023="","",IFERROR(INDEX(직원목록!$B$3:$B$302,MATCH($B2023,직원목록!$A$3:$A$302,0)),"미등록사번"))</f>
        <v/>
      </c>
      <c r="D2023" s="13" t="str">
        <f aca="false">IF($B2023="","",IFERROR(INDEX(직원목록!$C$3:$C$302,MATCH($B2023,직원목록!$A$3:$A$302,0)),""))</f>
        <v/>
      </c>
      <c r="E2023" s="14"/>
      <c r="F2023" s="14"/>
      <c r="G2023" s="15"/>
      <c r="H2023" s="16" t="str">
        <f aca="false">IF(OR($K2023="",$L2023=""),"",ROUND(MAX(0,($L2023-$K2023)-IF($G2023="",0,$G2023))/60,2))</f>
        <v/>
      </c>
      <c r="I2023" s="8"/>
      <c r="J2023" s="8"/>
      <c r="K2023" s="17" t="str">
        <f aca="false">IF($E2023="","",IF($E2023&lt;1,ROUND($E2023*1440,0),INT($E2023/100)*60+MOD($E2023,100)))</f>
        <v/>
      </c>
      <c r="L2023" s="17" t="str">
        <f aca="false">IF($F2023="","",IF($F2023&lt;1,ROUND($F2023*1440,0),INT($F2023/100)*60+MOD($F2023,100)))</f>
        <v/>
      </c>
    </row>
    <row r="2024" customFormat="false" ht="15" hidden="false" customHeight="true" outlineLevel="0" collapsed="false">
      <c r="A2024" s="10"/>
      <c r="B2024" s="8"/>
      <c r="C2024" s="13" t="str">
        <f aca="false">IF($B2024="","",IFERROR(INDEX(직원목록!$B$3:$B$302,MATCH($B2024,직원목록!$A$3:$A$302,0)),"미등록사번"))</f>
        <v/>
      </c>
      <c r="D2024" s="13" t="str">
        <f aca="false">IF($B2024="","",IFERROR(INDEX(직원목록!$C$3:$C$302,MATCH($B2024,직원목록!$A$3:$A$302,0)),""))</f>
        <v/>
      </c>
      <c r="E2024" s="14"/>
      <c r="F2024" s="14"/>
      <c r="G2024" s="15"/>
      <c r="H2024" s="16" t="str">
        <f aca="false">IF(OR($K2024="",$L2024=""),"",ROUND(MAX(0,($L2024-$K2024)-IF($G2024="",0,$G2024))/60,2))</f>
        <v/>
      </c>
      <c r="I2024" s="8"/>
      <c r="J2024" s="8"/>
      <c r="K2024" s="17" t="str">
        <f aca="false">IF($E2024="","",IF($E2024&lt;1,ROUND($E2024*1440,0),INT($E2024/100)*60+MOD($E2024,100)))</f>
        <v/>
      </c>
      <c r="L2024" s="17" t="str">
        <f aca="false">IF($F2024="","",IF($F2024&lt;1,ROUND($F2024*1440,0),INT($F2024/100)*60+MOD($F2024,100)))</f>
        <v/>
      </c>
    </row>
    <row r="2025" customFormat="false" ht="15" hidden="false" customHeight="true" outlineLevel="0" collapsed="false">
      <c r="A2025" s="10"/>
      <c r="B2025" s="8"/>
      <c r="C2025" s="13" t="str">
        <f aca="false">IF($B2025="","",IFERROR(INDEX(직원목록!$B$3:$B$302,MATCH($B2025,직원목록!$A$3:$A$302,0)),"미등록사번"))</f>
        <v/>
      </c>
      <c r="D2025" s="13" t="str">
        <f aca="false">IF($B2025="","",IFERROR(INDEX(직원목록!$C$3:$C$302,MATCH($B2025,직원목록!$A$3:$A$302,0)),""))</f>
        <v/>
      </c>
      <c r="E2025" s="14"/>
      <c r="F2025" s="14"/>
      <c r="G2025" s="15"/>
      <c r="H2025" s="16" t="str">
        <f aca="false">IF(OR($K2025="",$L2025=""),"",ROUND(MAX(0,($L2025-$K2025)-IF($G2025="",0,$G2025))/60,2))</f>
        <v/>
      </c>
      <c r="I2025" s="8"/>
      <c r="J2025" s="8"/>
      <c r="K2025" s="17" t="str">
        <f aca="false">IF($E2025="","",IF($E2025&lt;1,ROUND($E2025*1440,0),INT($E2025/100)*60+MOD($E2025,100)))</f>
        <v/>
      </c>
      <c r="L2025" s="17" t="str">
        <f aca="false">IF($F2025="","",IF($F2025&lt;1,ROUND($F2025*1440,0),INT($F2025/100)*60+MOD($F2025,100)))</f>
        <v/>
      </c>
    </row>
    <row r="2026" customFormat="false" ht="15" hidden="false" customHeight="true" outlineLevel="0" collapsed="false">
      <c r="A2026" s="10"/>
      <c r="B2026" s="8"/>
      <c r="C2026" s="13" t="str">
        <f aca="false">IF($B2026="","",IFERROR(INDEX(직원목록!$B$3:$B$302,MATCH($B2026,직원목록!$A$3:$A$302,0)),"미등록사번"))</f>
        <v/>
      </c>
      <c r="D2026" s="13" t="str">
        <f aca="false">IF($B2026="","",IFERROR(INDEX(직원목록!$C$3:$C$302,MATCH($B2026,직원목록!$A$3:$A$302,0)),""))</f>
        <v/>
      </c>
      <c r="E2026" s="14"/>
      <c r="F2026" s="14"/>
      <c r="G2026" s="15"/>
      <c r="H2026" s="16" t="str">
        <f aca="false">IF(OR($K2026="",$L2026=""),"",ROUND(MAX(0,($L2026-$K2026)-IF($G2026="",0,$G2026))/60,2))</f>
        <v/>
      </c>
      <c r="I2026" s="8"/>
      <c r="J2026" s="8"/>
      <c r="K2026" s="17" t="str">
        <f aca="false">IF($E2026="","",IF($E2026&lt;1,ROUND($E2026*1440,0),INT($E2026/100)*60+MOD($E2026,100)))</f>
        <v/>
      </c>
      <c r="L2026" s="17" t="str">
        <f aca="false">IF($F2026="","",IF($F2026&lt;1,ROUND($F2026*1440,0),INT($F2026/100)*60+MOD($F2026,100)))</f>
        <v/>
      </c>
    </row>
    <row r="2027" customFormat="false" ht="15" hidden="false" customHeight="true" outlineLevel="0" collapsed="false">
      <c r="A2027" s="10"/>
      <c r="B2027" s="8"/>
      <c r="C2027" s="13" t="str">
        <f aca="false">IF($B2027="","",IFERROR(INDEX(직원목록!$B$3:$B$302,MATCH($B2027,직원목록!$A$3:$A$302,0)),"미등록사번"))</f>
        <v/>
      </c>
      <c r="D2027" s="13" t="str">
        <f aca="false">IF($B2027="","",IFERROR(INDEX(직원목록!$C$3:$C$302,MATCH($B2027,직원목록!$A$3:$A$302,0)),""))</f>
        <v/>
      </c>
      <c r="E2027" s="14"/>
      <c r="F2027" s="14"/>
      <c r="G2027" s="15"/>
      <c r="H2027" s="16" t="str">
        <f aca="false">IF(OR($K2027="",$L2027=""),"",ROUND(MAX(0,($L2027-$K2027)-IF($G2027="",0,$G2027))/60,2))</f>
        <v/>
      </c>
      <c r="I2027" s="8"/>
      <c r="J2027" s="8"/>
      <c r="K2027" s="17" t="str">
        <f aca="false">IF($E2027="","",IF($E2027&lt;1,ROUND($E2027*1440,0),INT($E2027/100)*60+MOD($E2027,100)))</f>
        <v/>
      </c>
      <c r="L2027" s="17" t="str">
        <f aca="false">IF($F2027="","",IF($F2027&lt;1,ROUND($F2027*1440,0),INT($F2027/100)*60+MOD($F2027,100)))</f>
        <v/>
      </c>
    </row>
    <row r="2028" customFormat="false" ht="15" hidden="false" customHeight="true" outlineLevel="0" collapsed="false">
      <c r="A2028" s="10"/>
      <c r="B2028" s="8"/>
      <c r="C2028" s="13" t="str">
        <f aca="false">IF($B2028="","",IFERROR(INDEX(직원목록!$B$3:$B$302,MATCH($B2028,직원목록!$A$3:$A$302,0)),"미등록사번"))</f>
        <v/>
      </c>
      <c r="D2028" s="13" t="str">
        <f aca="false">IF($B2028="","",IFERROR(INDEX(직원목록!$C$3:$C$302,MATCH($B2028,직원목록!$A$3:$A$302,0)),""))</f>
        <v/>
      </c>
      <c r="E2028" s="14"/>
      <c r="F2028" s="14"/>
      <c r="G2028" s="15"/>
      <c r="H2028" s="16" t="str">
        <f aca="false">IF(OR($K2028="",$L2028=""),"",ROUND(MAX(0,($L2028-$K2028)-IF($G2028="",0,$G2028))/60,2))</f>
        <v/>
      </c>
      <c r="I2028" s="8"/>
      <c r="J2028" s="8"/>
      <c r="K2028" s="17" t="str">
        <f aca="false">IF($E2028="","",IF($E2028&lt;1,ROUND($E2028*1440,0),INT($E2028/100)*60+MOD($E2028,100)))</f>
        <v/>
      </c>
      <c r="L2028" s="17" t="str">
        <f aca="false">IF($F2028="","",IF($F2028&lt;1,ROUND($F2028*1440,0),INT($F2028/100)*60+MOD($F2028,100)))</f>
        <v/>
      </c>
    </row>
    <row r="2029" customFormat="false" ht="15" hidden="false" customHeight="true" outlineLevel="0" collapsed="false">
      <c r="A2029" s="10"/>
      <c r="B2029" s="8"/>
      <c r="C2029" s="13" t="str">
        <f aca="false">IF($B2029="","",IFERROR(INDEX(직원목록!$B$3:$B$302,MATCH($B2029,직원목록!$A$3:$A$302,0)),"미등록사번"))</f>
        <v/>
      </c>
      <c r="D2029" s="13" t="str">
        <f aca="false">IF($B2029="","",IFERROR(INDEX(직원목록!$C$3:$C$302,MATCH($B2029,직원목록!$A$3:$A$302,0)),""))</f>
        <v/>
      </c>
      <c r="E2029" s="14"/>
      <c r="F2029" s="14"/>
      <c r="G2029" s="15"/>
      <c r="H2029" s="16" t="str">
        <f aca="false">IF(OR($K2029="",$L2029=""),"",ROUND(MAX(0,($L2029-$K2029)-IF($G2029="",0,$G2029))/60,2))</f>
        <v/>
      </c>
      <c r="I2029" s="8"/>
      <c r="J2029" s="8"/>
      <c r="K2029" s="17" t="str">
        <f aca="false">IF($E2029="","",IF($E2029&lt;1,ROUND($E2029*1440,0),INT($E2029/100)*60+MOD($E2029,100)))</f>
        <v/>
      </c>
      <c r="L2029" s="17" t="str">
        <f aca="false">IF($F2029="","",IF($F2029&lt;1,ROUND($F2029*1440,0),INT($F2029/100)*60+MOD($F2029,100)))</f>
        <v/>
      </c>
    </row>
    <row r="2030" customFormat="false" ht="15" hidden="false" customHeight="true" outlineLevel="0" collapsed="false">
      <c r="A2030" s="10"/>
      <c r="B2030" s="8"/>
      <c r="C2030" s="13" t="str">
        <f aca="false">IF($B2030="","",IFERROR(INDEX(직원목록!$B$3:$B$302,MATCH($B2030,직원목록!$A$3:$A$302,0)),"미등록사번"))</f>
        <v/>
      </c>
      <c r="D2030" s="13" t="str">
        <f aca="false">IF($B2030="","",IFERROR(INDEX(직원목록!$C$3:$C$302,MATCH($B2030,직원목록!$A$3:$A$302,0)),""))</f>
        <v/>
      </c>
      <c r="E2030" s="14"/>
      <c r="F2030" s="14"/>
      <c r="G2030" s="15"/>
      <c r="H2030" s="16" t="str">
        <f aca="false">IF(OR($K2030="",$L2030=""),"",ROUND(MAX(0,($L2030-$K2030)-IF($G2030="",0,$G2030))/60,2))</f>
        <v/>
      </c>
      <c r="I2030" s="8"/>
      <c r="J2030" s="8"/>
      <c r="K2030" s="17" t="str">
        <f aca="false">IF($E2030="","",IF($E2030&lt;1,ROUND($E2030*1440,0),INT($E2030/100)*60+MOD($E2030,100)))</f>
        <v/>
      </c>
      <c r="L2030" s="17" t="str">
        <f aca="false">IF($F2030="","",IF($F2030&lt;1,ROUND($F2030*1440,0),INT($F2030/100)*60+MOD($F2030,100)))</f>
        <v/>
      </c>
    </row>
    <row r="2031" customFormat="false" ht="15" hidden="false" customHeight="true" outlineLevel="0" collapsed="false">
      <c r="A2031" s="10"/>
      <c r="B2031" s="8"/>
      <c r="C2031" s="13" t="str">
        <f aca="false">IF($B2031="","",IFERROR(INDEX(직원목록!$B$3:$B$302,MATCH($B2031,직원목록!$A$3:$A$302,0)),"미등록사번"))</f>
        <v/>
      </c>
      <c r="D2031" s="13" t="str">
        <f aca="false">IF($B2031="","",IFERROR(INDEX(직원목록!$C$3:$C$302,MATCH($B2031,직원목록!$A$3:$A$302,0)),""))</f>
        <v/>
      </c>
      <c r="E2031" s="14"/>
      <c r="F2031" s="14"/>
      <c r="G2031" s="15"/>
      <c r="H2031" s="16" t="str">
        <f aca="false">IF(OR($K2031="",$L2031=""),"",ROUND(MAX(0,($L2031-$K2031)-IF($G2031="",0,$G2031))/60,2))</f>
        <v/>
      </c>
      <c r="I2031" s="8"/>
      <c r="J2031" s="8"/>
      <c r="K2031" s="17" t="str">
        <f aca="false">IF($E2031="","",IF($E2031&lt;1,ROUND($E2031*1440,0),INT($E2031/100)*60+MOD($E2031,100)))</f>
        <v/>
      </c>
      <c r="L2031" s="17" t="str">
        <f aca="false">IF($F2031="","",IF($F2031&lt;1,ROUND($F2031*1440,0),INT($F2031/100)*60+MOD($F2031,100)))</f>
        <v/>
      </c>
    </row>
    <row r="2032" customFormat="false" ht="15" hidden="false" customHeight="true" outlineLevel="0" collapsed="false">
      <c r="A2032" s="10"/>
      <c r="B2032" s="8"/>
      <c r="C2032" s="13" t="str">
        <f aca="false">IF($B2032="","",IFERROR(INDEX(직원목록!$B$3:$B$302,MATCH($B2032,직원목록!$A$3:$A$302,0)),"미등록사번"))</f>
        <v/>
      </c>
      <c r="D2032" s="13" t="str">
        <f aca="false">IF($B2032="","",IFERROR(INDEX(직원목록!$C$3:$C$302,MATCH($B2032,직원목록!$A$3:$A$302,0)),""))</f>
        <v/>
      </c>
      <c r="E2032" s="14"/>
      <c r="F2032" s="14"/>
      <c r="G2032" s="15"/>
      <c r="H2032" s="16" t="str">
        <f aca="false">IF(OR($K2032="",$L2032=""),"",ROUND(MAX(0,($L2032-$K2032)-IF($G2032="",0,$G2032))/60,2))</f>
        <v/>
      </c>
      <c r="I2032" s="8"/>
      <c r="J2032" s="8"/>
      <c r="K2032" s="17" t="str">
        <f aca="false">IF($E2032="","",IF($E2032&lt;1,ROUND($E2032*1440,0),INT($E2032/100)*60+MOD($E2032,100)))</f>
        <v/>
      </c>
      <c r="L2032" s="17" t="str">
        <f aca="false">IF($F2032="","",IF($F2032&lt;1,ROUND($F2032*1440,0),INT($F2032/100)*60+MOD($F2032,100)))</f>
        <v/>
      </c>
    </row>
    <row r="2033" customFormat="false" ht="15" hidden="false" customHeight="true" outlineLevel="0" collapsed="false">
      <c r="A2033" s="10"/>
      <c r="B2033" s="8"/>
      <c r="C2033" s="13" t="str">
        <f aca="false">IF($B2033="","",IFERROR(INDEX(직원목록!$B$3:$B$302,MATCH($B2033,직원목록!$A$3:$A$302,0)),"미등록사번"))</f>
        <v/>
      </c>
      <c r="D2033" s="13" t="str">
        <f aca="false">IF($B2033="","",IFERROR(INDEX(직원목록!$C$3:$C$302,MATCH($B2033,직원목록!$A$3:$A$302,0)),""))</f>
        <v/>
      </c>
      <c r="E2033" s="14"/>
      <c r="F2033" s="14"/>
      <c r="G2033" s="15"/>
      <c r="H2033" s="16" t="str">
        <f aca="false">IF(OR($K2033="",$L2033=""),"",ROUND(MAX(0,($L2033-$K2033)-IF($G2033="",0,$G2033))/60,2))</f>
        <v/>
      </c>
      <c r="I2033" s="8"/>
      <c r="J2033" s="8"/>
      <c r="K2033" s="17" t="str">
        <f aca="false">IF($E2033="","",IF($E2033&lt;1,ROUND($E2033*1440,0),INT($E2033/100)*60+MOD($E2033,100)))</f>
        <v/>
      </c>
      <c r="L2033" s="17" t="str">
        <f aca="false">IF($F2033="","",IF($F2033&lt;1,ROUND($F2033*1440,0),INT($F2033/100)*60+MOD($F2033,100)))</f>
        <v/>
      </c>
    </row>
    <row r="2034" customFormat="false" ht="15" hidden="false" customHeight="true" outlineLevel="0" collapsed="false">
      <c r="A2034" s="10"/>
      <c r="B2034" s="8"/>
      <c r="C2034" s="13" t="str">
        <f aca="false">IF($B2034="","",IFERROR(INDEX(직원목록!$B$3:$B$302,MATCH($B2034,직원목록!$A$3:$A$302,0)),"미등록사번"))</f>
        <v/>
      </c>
      <c r="D2034" s="13" t="str">
        <f aca="false">IF($B2034="","",IFERROR(INDEX(직원목록!$C$3:$C$302,MATCH($B2034,직원목록!$A$3:$A$302,0)),""))</f>
        <v/>
      </c>
      <c r="E2034" s="14"/>
      <c r="F2034" s="14"/>
      <c r="G2034" s="15"/>
      <c r="H2034" s="16" t="str">
        <f aca="false">IF(OR($K2034="",$L2034=""),"",ROUND(MAX(0,($L2034-$K2034)-IF($G2034="",0,$G2034))/60,2))</f>
        <v/>
      </c>
      <c r="I2034" s="8"/>
      <c r="J2034" s="8"/>
      <c r="K2034" s="17" t="str">
        <f aca="false">IF($E2034="","",IF($E2034&lt;1,ROUND($E2034*1440,0),INT($E2034/100)*60+MOD($E2034,100)))</f>
        <v/>
      </c>
      <c r="L2034" s="17" t="str">
        <f aca="false">IF($F2034="","",IF($F2034&lt;1,ROUND($F2034*1440,0),INT($F2034/100)*60+MOD($F2034,100)))</f>
        <v/>
      </c>
    </row>
    <row r="2035" customFormat="false" ht="15" hidden="false" customHeight="true" outlineLevel="0" collapsed="false">
      <c r="A2035" s="10"/>
      <c r="B2035" s="8"/>
      <c r="C2035" s="13" t="str">
        <f aca="false">IF($B2035="","",IFERROR(INDEX(직원목록!$B$3:$B$302,MATCH($B2035,직원목록!$A$3:$A$302,0)),"미등록사번"))</f>
        <v/>
      </c>
      <c r="D2035" s="13" t="str">
        <f aca="false">IF($B2035="","",IFERROR(INDEX(직원목록!$C$3:$C$302,MATCH($B2035,직원목록!$A$3:$A$302,0)),""))</f>
        <v/>
      </c>
      <c r="E2035" s="14"/>
      <c r="F2035" s="14"/>
      <c r="G2035" s="15"/>
      <c r="H2035" s="16" t="str">
        <f aca="false">IF(OR($K2035="",$L2035=""),"",ROUND(MAX(0,($L2035-$K2035)-IF($G2035="",0,$G2035))/60,2))</f>
        <v/>
      </c>
      <c r="I2035" s="8"/>
      <c r="J2035" s="8"/>
      <c r="K2035" s="17" t="str">
        <f aca="false">IF($E2035="","",IF($E2035&lt;1,ROUND($E2035*1440,0),INT($E2035/100)*60+MOD($E2035,100)))</f>
        <v/>
      </c>
      <c r="L2035" s="17" t="str">
        <f aca="false">IF($F2035="","",IF($F2035&lt;1,ROUND($F2035*1440,0),INT($F2035/100)*60+MOD($F2035,100)))</f>
        <v/>
      </c>
    </row>
    <row r="2036" customFormat="false" ht="15" hidden="false" customHeight="true" outlineLevel="0" collapsed="false">
      <c r="A2036" s="10"/>
      <c r="B2036" s="8"/>
      <c r="C2036" s="13" t="str">
        <f aca="false">IF($B2036="","",IFERROR(INDEX(직원목록!$B$3:$B$302,MATCH($B2036,직원목록!$A$3:$A$302,0)),"미등록사번"))</f>
        <v/>
      </c>
      <c r="D2036" s="13" t="str">
        <f aca="false">IF($B2036="","",IFERROR(INDEX(직원목록!$C$3:$C$302,MATCH($B2036,직원목록!$A$3:$A$302,0)),""))</f>
        <v/>
      </c>
      <c r="E2036" s="14"/>
      <c r="F2036" s="14"/>
      <c r="G2036" s="15"/>
      <c r="H2036" s="16" t="str">
        <f aca="false">IF(OR($K2036="",$L2036=""),"",ROUND(MAX(0,($L2036-$K2036)-IF($G2036="",0,$G2036))/60,2))</f>
        <v/>
      </c>
      <c r="I2036" s="8"/>
      <c r="J2036" s="8"/>
      <c r="K2036" s="17" t="str">
        <f aca="false">IF($E2036="","",IF($E2036&lt;1,ROUND($E2036*1440,0),INT($E2036/100)*60+MOD($E2036,100)))</f>
        <v/>
      </c>
      <c r="L2036" s="17" t="str">
        <f aca="false">IF($F2036="","",IF($F2036&lt;1,ROUND($F2036*1440,0),INT($F2036/100)*60+MOD($F2036,100)))</f>
        <v/>
      </c>
    </row>
    <row r="2037" customFormat="false" ht="15" hidden="false" customHeight="true" outlineLevel="0" collapsed="false">
      <c r="A2037" s="10"/>
      <c r="B2037" s="8"/>
      <c r="C2037" s="13" t="str">
        <f aca="false">IF($B2037="","",IFERROR(INDEX(직원목록!$B$3:$B$302,MATCH($B2037,직원목록!$A$3:$A$302,0)),"미등록사번"))</f>
        <v/>
      </c>
      <c r="D2037" s="13" t="str">
        <f aca="false">IF($B2037="","",IFERROR(INDEX(직원목록!$C$3:$C$302,MATCH($B2037,직원목록!$A$3:$A$302,0)),""))</f>
        <v/>
      </c>
      <c r="E2037" s="14"/>
      <c r="F2037" s="14"/>
      <c r="G2037" s="15"/>
      <c r="H2037" s="16" t="str">
        <f aca="false">IF(OR($K2037="",$L2037=""),"",ROUND(MAX(0,($L2037-$K2037)-IF($G2037="",0,$G2037))/60,2))</f>
        <v/>
      </c>
      <c r="I2037" s="8"/>
      <c r="J2037" s="8"/>
      <c r="K2037" s="17" t="str">
        <f aca="false">IF($E2037="","",IF($E2037&lt;1,ROUND($E2037*1440,0),INT($E2037/100)*60+MOD($E2037,100)))</f>
        <v/>
      </c>
      <c r="L2037" s="17" t="str">
        <f aca="false">IF($F2037="","",IF($F2037&lt;1,ROUND($F2037*1440,0),INT($F2037/100)*60+MOD($F2037,100)))</f>
        <v/>
      </c>
    </row>
    <row r="2038" customFormat="false" ht="15" hidden="false" customHeight="true" outlineLevel="0" collapsed="false">
      <c r="A2038" s="10"/>
      <c r="B2038" s="8"/>
      <c r="C2038" s="13" t="str">
        <f aca="false">IF($B2038="","",IFERROR(INDEX(직원목록!$B$3:$B$302,MATCH($B2038,직원목록!$A$3:$A$302,0)),"미등록사번"))</f>
        <v/>
      </c>
      <c r="D2038" s="13" t="str">
        <f aca="false">IF($B2038="","",IFERROR(INDEX(직원목록!$C$3:$C$302,MATCH($B2038,직원목록!$A$3:$A$302,0)),""))</f>
        <v/>
      </c>
      <c r="E2038" s="14"/>
      <c r="F2038" s="14"/>
      <c r="G2038" s="15"/>
      <c r="H2038" s="16" t="str">
        <f aca="false">IF(OR($K2038="",$L2038=""),"",ROUND(MAX(0,($L2038-$K2038)-IF($G2038="",0,$G2038))/60,2))</f>
        <v/>
      </c>
      <c r="I2038" s="8"/>
      <c r="J2038" s="8"/>
      <c r="K2038" s="17" t="str">
        <f aca="false">IF($E2038="","",IF($E2038&lt;1,ROUND($E2038*1440,0),INT($E2038/100)*60+MOD($E2038,100)))</f>
        <v/>
      </c>
      <c r="L2038" s="17" t="str">
        <f aca="false">IF($F2038="","",IF($F2038&lt;1,ROUND($F2038*1440,0),INT($F2038/100)*60+MOD($F2038,100)))</f>
        <v/>
      </c>
    </row>
    <row r="2039" customFormat="false" ht="15" hidden="false" customHeight="true" outlineLevel="0" collapsed="false">
      <c r="A2039" s="10"/>
      <c r="B2039" s="8"/>
      <c r="C2039" s="13" t="str">
        <f aca="false">IF($B2039="","",IFERROR(INDEX(직원목록!$B$3:$B$302,MATCH($B2039,직원목록!$A$3:$A$302,0)),"미등록사번"))</f>
        <v/>
      </c>
      <c r="D2039" s="13" t="str">
        <f aca="false">IF($B2039="","",IFERROR(INDEX(직원목록!$C$3:$C$302,MATCH($B2039,직원목록!$A$3:$A$302,0)),""))</f>
        <v/>
      </c>
      <c r="E2039" s="14"/>
      <c r="F2039" s="14"/>
      <c r="G2039" s="15"/>
      <c r="H2039" s="16" t="str">
        <f aca="false">IF(OR($K2039="",$L2039=""),"",ROUND(MAX(0,($L2039-$K2039)-IF($G2039="",0,$G2039))/60,2))</f>
        <v/>
      </c>
      <c r="I2039" s="8"/>
      <c r="J2039" s="8"/>
      <c r="K2039" s="17" t="str">
        <f aca="false">IF($E2039="","",IF($E2039&lt;1,ROUND($E2039*1440,0),INT($E2039/100)*60+MOD($E2039,100)))</f>
        <v/>
      </c>
      <c r="L2039" s="17" t="str">
        <f aca="false">IF($F2039="","",IF($F2039&lt;1,ROUND($F2039*1440,0),INT($F2039/100)*60+MOD($F2039,100)))</f>
        <v/>
      </c>
    </row>
    <row r="2040" customFormat="false" ht="15" hidden="false" customHeight="true" outlineLevel="0" collapsed="false">
      <c r="A2040" s="10"/>
      <c r="B2040" s="8"/>
      <c r="C2040" s="13" t="str">
        <f aca="false">IF($B2040="","",IFERROR(INDEX(직원목록!$B$3:$B$302,MATCH($B2040,직원목록!$A$3:$A$302,0)),"미등록사번"))</f>
        <v/>
      </c>
      <c r="D2040" s="13" t="str">
        <f aca="false">IF($B2040="","",IFERROR(INDEX(직원목록!$C$3:$C$302,MATCH($B2040,직원목록!$A$3:$A$302,0)),""))</f>
        <v/>
      </c>
      <c r="E2040" s="14"/>
      <c r="F2040" s="14"/>
      <c r="G2040" s="15"/>
      <c r="H2040" s="16" t="str">
        <f aca="false">IF(OR($K2040="",$L2040=""),"",ROUND(MAX(0,($L2040-$K2040)-IF($G2040="",0,$G2040))/60,2))</f>
        <v/>
      </c>
      <c r="I2040" s="8"/>
      <c r="J2040" s="8"/>
      <c r="K2040" s="17" t="str">
        <f aca="false">IF($E2040="","",IF($E2040&lt;1,ROUND($E2040*1440,0),INT($E2040/100)*60+MOD($E2040,100)))</f>
        <v/>
      </c>
      <c r="L2040" s="17" t="str">
        <f aca="false">IF($F2040="","",IF($F2040&lt;1,ROUND($F2040*1440,0),INT($F2040/100)*60+MOD($F2040,100)))</f>
        <v/>
      </c>
    </row>
    <row r="2041" customFormat="false" ht="15" hidden="false" customHeight="true" outlineLevel="0" collapsed="false">
      <c r="A2041" s="10"/>
      <c r="B2041" s="8"/>
      <c r="C2041" s="13" t="str">
        <f aca="false">IF($B2041="","",IFERROR(INDEX(직원목록!$B$3:$B$302,MATCH($B2041,직원목록!$A$3:$A$302,0)),"미등록사번"))</f>
        <v/>
      </c>
      <c r="D2041" s="13" t="str">
        <f aca="false">IF($B2041="","",IFERROR(INDEX(직원목록!$C$3:$C$302,MATCH($B2041,직원목록!$A$3:$A$302,0)),""))</f>
        <v/>
      </c>
      <c r="E2041" s="14"/>
      <c r="F2041" s="14"/>
      <c r="G2041" s="15"/>
      <c r="H2041" s="16" t="str">
        <f aca="false">IF(OR($K2041="",$L2041=""),"",ROUND(MAX(0,($L2041-$K2041)-IF($G2041="",0,$G2041))/60,2))</f>
        <v/>
      </c>
      <c r="I2041" s="8"/>
      <c r="J2041" s="8"/>
      <c r="K2041" s="17" t="str">
        <f aca="false">IF($E2041="","",IF($E2041&lt;1,ROUND($E2041*1440,0),INT($E2041/100)*60+MOD($E2041,100)))</f>
        <v/>
      </c>
      <c r="L2041" s="17" t="str">
        <f aca="false">IF($F2041="","",IF($F2041&lt;1,ROUND($F2041*1440,0),INT($F2041/100)*60+MOD($F2041,100)))</f>
        <v/>
      </c>
    </row>
    <row r="2042" customFormat="false" ht="15" hidden="false" customHeight="true" outlineLevel="0" collapsed="false">
      <c r="A2042" s="10"/>
      <c r="B2042" s="8"/>
      <c r="C2042" s="13" t="str">
        <f aca="false">IF($B2042="","",IFERROR(INDEX(직원목록!$B$3:$B$302,MATCH($B2042,직원목록!$A$3:$A$302,0)),"미등록사번"))</f>
        <v/>
      </c>
      <c r="D2042" s="13" t="str">
        <f aca="false">IF($B2042="","",IFERROR(INDEX(직원목록!$C$3:$C$302,MATCH($B2042,직원목록!$A$3:$A$302,0)),""))</f>
        <v/>
      </c>
      <c r="E2042" s="14"/>
      <c r="F2042" s="14"/>
      <c r="G2042" s="15"/>
      <c r="H2042" s="16" t="str">
        <f aca="false">IF(OR($K2042="",$L2042=""),"",ROUND(MAX(0,($L2042-$K2042)-IF($G2042="",0,$G2042))/60,2))</f>
        <v/>
      </c>
      <c r="I2042" s="8"/>
      <c r="J2042" s="8"/>
      <c r="K2042" s="17" t="str">
        <f aca="false">IF($E2042="","",IF($E2042&lt;1,ROUND($E2042*1440,0),INT($E2042/100)*60+MOD($E2042,100)))</f>
        <v/>
      </c>
      <c r="L2042" s="17" t="str">
        <f aca="false">IF($F2042="","",IF($F2042&lt;1,ROUND($F2042*1440,0),INT($F2042/100)*60+MOD($F2042,100)))</f>
        <v/>
      </c>
    </row>
    <row r="2043" customFormat="false" ht="15" hidden="false" customHeight="true" outlineLevel="0" collapsed="false">
      <c r="A2043" s="10"/>
      <c r="B2043" s="8"/>
      <c r="C2043" s="13" t="str">
        <f aca="false">IF($B2043="","",IFERROR(INDEX(직원목록!$B$3:$B$302,MATCH($B2043,직원목록!$A$3:$A$302,0)),"미등록사번"))</f>
        <v/>
      </c>
      <c r="D2043" s="13" t="str">
        <f aca="false">IF($B2043="","",IFERROR(INDEX(직원목록!$C$3:$C$302,MATCH($B2043,직원목록!$A$3:$A$302,0)),""))</f>
        <v/>
      </c>
      <c r="E2043" s="14"/>
      <c r="F2043" s="14"/>
      <c r="G2043" s="15"/>
      <c r="H2043" s="16" t="str">
        <f aca="false">IF(OR($K2043="",$L2043=""),"",ROUND(MAX(0,($L2043-$K2043)-IF($G2043="",0,$G2043))/60,2))</f>
        <v/>
      </c>
      <c r="I2043" s="8"/>
      <c r="J2043" s="8"/>
      <c r="K2043" s="17" t="str">
        <f aca="false">IF($E2043="","",IF($E2043&lt;1,ROUND($E2043*1440,0),INT($E2043/100)*60+MOD($E2043,100)))</f>
        <v/>
      </c>
      <c r="L2043" s="17" t="str">
        <f aca="false">IF($F2043="","",IF($F2043&lt;1,ROUND($F2043*1440,0),INT($F2043/100)*60+MOD($F2043,100)))</f>
        <v/>
      </c>
    </row>
    <row r="2044" customFormat="false" ht="15" hidden="false" customHeight="true" outlineLevel="0" collapsed="false">
      <c r="A2044" s="10"/>
      <c r="B2044" s="8"/>
      <c r="C2044" s="13" t="str">
        <f aca="false">IF($B2044="","",IFERROR(INDEX(직원목록!$B$3:$B$302,MATCH($B2044,직원목록!$A$3:$A$302,0)),"미등록사번"))</f>
        <v/>
      </c>
      <c r="D2044" s="13" t="str">
        <f aca="false">IF($B2044="","",IFERROR(INDEX(직원목록!$C$3:$C$302,MATCH($B2044,직원목록!$A$3:$A$302,0)),""))</f>
        <v/>
      </c>
      <c r="E2044" s="14"/>
      <c r="F2044" s="14"/>
      <c r="G2044" s="15"/>
      <c r="H2044" s="16" t="str">
        <f aca="false">IF(OR($K2044="",$L2044=""),"",ROUND(MAX(0,($L2044-$K2044)-IF($G2044="",0,$G2044))/60,2))</f>
        <v/>
      </c>
      <c r="I2044" s="8"/>
      <c r="J2044" s="8"/>
      <c r="K2044" s="17" t="str">
        <f aca="false">IF($E2044="","",IF($E2044&lt;1,ROUND($E2044*1440,0),INT($E2044/100)*60+MOD($E2044,100)))</f>
        <v/>
      </c>
      <c r="L2044" s="17" t="str">
        <f aca="false">IF($F2044="","",IF($F2044&lt;1,ROUND($F2044*1440,0),INT($F2044/100)*60+MOD($F2044,100)))</f>
        <v/>
      </c>
    </row>
    <row r="2045" customFormat="false" ht="15" hidden="false" customHeight="true" outlineLevel="0" collapsed="false">
      <c r="A2045" s="10"/>
      <c r="B2045" s="8"/>
      <c r="C2045" s="13" t="str">
        <f aca="false">IF($B2045="","",IFERROR(INDEX(직원목록!$B$3:$B$302,MATCH($B2045,직원목록!$A$3:$A$302,0)),"미등록사번"))</f>
        <v/>
      </c>
      <c r="D2045" s="13" t="str">
        <f aca="false">IF($B2045="","",IFERROR(INDEX(직원목록!$C$3:$C$302,MATCH($B2045,직원목록!$A$3:$A$302,0)),""))</f>
        <v/>
      </c>
      <c r="E2045" s="14"/>
      <c r="F2045" s="14"/>
      <c r="G2045" s="15"/>
      <c r="H2045" s="16" t="str">
        <f aca="false">IF(OR($K2045="",$L2045=""),"",ROUND(MAX(0,($L2045-$K2045)-IF($G2045="",0,$G2045))/60,2))</f>
        <v/>
      </c>
      <c r="I2045" s="8"/>
      <c r="J2045" s="8"/>
      <c r="K2045" s="17" t="str">
        <f aca="false">IF($E2045="","",IF($E2045&lt;1,ROUND($E2045*1440,0),INT($E2045/100)*60+MOD($E2045,100)))</f>
        <v/>
      </c>
      <c r="L2045" s="17" t="str">
        <f aca="false">IF($F2045="","",IF($F2045&lt;1,ROUND($F2045*1440,0),INT($F2045/100)*60+MOD($F2045,100)))</f>
        <v/>
      </c>
    </row>
    <row r="2046" customFormat="false" ht="15" hidden="false" customHeight="true" outlineLevel="0" collapsed="false">
      <c r="A2046" s="10"/>
      <c r="B2046" s="8"/>
      <c r="C2046" s="13" t="str">
        <f aca="false">IF($B2046="","",IFERROR(INDEX(직원목록!$B$3:$B$302,MATCH($B2046,직원목록!$A$3:$A$302,0)),"미등록사번"))</f>
        <v/>
      </c>
      <c r="D2046" s="13" t="str">
        <f aca="false">IF($B2046="","",IFERROR(INDEX(직원목록!$C$3:$C$302,MATCH($B2046,직원목록!$A$3:$A$302,0)),""))</f>
        <v/>
      </c>
      <c r="E2046" s="14"/>
      <c r="F2046" s="14"/>
      <c r="G2046" s="15"/>
      <c r="H2046" s="16" t="str">
        <f aca="false">IF(OR($K2046="",$L2046=""),"",ROUND(MAX(0,($L2046-$K2046)-IF($G2046="",0,$G2046))/60,2))</f>
        <v/>
      </c>
      <c r="I2046" s="8"/>
      <c r="J2046" s="8"/>
      <c r="K2046" s="17" t="str">
        <f aca="false">IF($E2046="","",IF($E2046&lt;1,ROUND($E2046*1440,0),INT($E2046/100)*60+MOD($E2046,100)))</f>
        <v/>
      </c>
      <c r="L2046" s="17" t="str">
        <f aca="false">IF($F2046="","",IF($F2046&lt;1,ROUND($F2046*1440,0),INT($F2046/100)*60+MOD($F2046,100)))</f>
        <v/>
      </c>
    </row>
    <row r="2047" customFormat="false" ht="15" hidden="false" customHeight="true" outlineLevel="0" collapsed="false">
      <c r="A2047" s="10"/>
      <c r="B2047" s="8"/>
      <c r="C2047" s="13" t="str">
        <f aca="false">IF($B2047="","",IFERROR(INDEX(직원목록!$B$3:$B$302,MATCH($B2047,직원목록!$A$3:$A$302,0)),"미등록사번"))</f>
        <v/>
      </c>
      <c r="D2047" s="13" t="str">
        <f aca="false">IF($B2047="","",IFERROR(INDEX(직원목록!$C$3:$C$302,MATCH($B2047,직원목록!$A$3:$A$302,0)),""))</f>
        <v/>
      </c>
      <c r="E2047" s="14"/>
      <c r="F2047" s="14"/>
      <c r="G2047" s="15"/>
      <c r="H2047" s="16" t="str">
        <f aca="false">IF(OR($K2047="",$L2047=""),"",ROUND(MAX(0,($L2047-$K2047)-IF($G2047="",0,$G2047))/60,2))</f>
        <v/>
      </c>
      <c r="I2047" s="8"/>
      <c r="J2047" s="8"/>
      <c r="K2047" s="17" t="str">
        <f aca="false">IF($E2047="","",IF($E2047&lt;1,ROUND($E2047*1440,0),INT($E2047/100)*60+MOD($E2047,100)))</f>
        <v/>
      </c>
      <c r="L2047" s="17" t="str">
        <f aca="false">IF($F2047="","",IF($F2047&lt;1,ROUND($F2047*1440,0),INT($F2047/100)*60+MOD($F2047,100)))</f>
        <v/>
      </c>
    </row>
    <row r="2048" customFormat="false" ht="15" hidden="false" customHeight="true" outlineLevel="0" collapsed="false">
      <c r="A2048" s="10"/>
      <c r="B2048" s="8"/>
      <c r="C2048" s="13" t="str">
        <f aca="false">IF($B2048="","",IFERROR(INDEX(직원목록!$B$3:$B$302,MATCH($B2048,직원목록!$A$3:$A$302,0)),"미등록사번"))</f>
        <v/>
      </c>
      <c r="D2048" s="13" t="str">
        <f aca="false">IF($B2048="","",IFERROR(INDEX(직원목록!$C$3:$C$302,MATCH($B2048,직원목록!$A$3:$A$302,0)),""))</f>
        <v/>
      </c>
      <c r="E2048" s="14"/>
      <c r="F2048" s="14"/>
      <c r="G2048" s="15"/>
      <c r="H2048" s="16" t="str">
        <f aca="false">IF(OR($K2048="",$L2048=""),"",ROUND(MAX(0,($L2048-$K2048)-IF($G2048="",0,$G2048))/60,2))</f>
        <v/>
      </c>
      <c r="I2048" s="8"/>
      <c r="J2048" s="8"/>
      <c r="K2048" s="17" t="str">
        <f aca="false">IF($E2048="","",IF($E2048&lt;1,ROUND($E2048*1440,0),INT($E2048/100)*60+MOD($E2048,100)))</f>
        <v/>
      </c>
      <c r="L2048" s="17" t="str">
        <f aca="false">IF($F2048="","",IF($F2048&lt;1,ROUND($F2048*1440,0),INT($F2048/100)*60+MOD($F2048,100)))</f>
        <v/>
      </c>
    </row>
    <row r="2049" customFormat="false" ht="15" hidden="false" customHeight="true" outlineLevel="0" collapsed="false">
      <c r="A2049" s="10"/>
      <c r="B2049" s="8"/>
      <c r="C2049" s="13" t="str">
        <f aca="false">IF($B2049="","",IFERROR(INDEX(직원목록!$B$3:$B$302,MATCH($B2049,직원목록!$A$3:$A$302,0)),"미등록사번"))</f>
        <v/>
      </c>
      <c r="D2049" s="13" t="str">
        <f aca="false">IF($B2049="","",IFERROR(INDEX(직원목록!$C$3:$C$302,MATCH($B2049,직원목록!$A$3:$A$302,0)),""))</f>
        <v/>
      </c>
      <c r="E2049" s="14"/>
      <c r="F2049" s="14"/>
      <c r="G2049" s="15"/>
      <c r="H2049" s="16" t="str">
        <f aca="false">IF(OR($K2049="",$L2049=""),"",ROUND(MAX(0,($L2049-$K2049)-IF($G2049="",0,$G2049))/60,2))</f>
        <v/>
      </c>
      <c r="I2049" s="8"/>
      <c r="J2049" s="8"/>
      <c r="K2049" s="17" t="str">
        <f aca="false">IF($E2049="","",IF($E2049&lt;1,ROUND($E2049*1440,0),INT($E2049/100)*60+MOD($E2049,100)))</f>
        <v/>
      </c>
      <c r="L2049" s="17" t="str">
        <f aca="false">IF($F2049="","",IF($F2049&lt;1,ROUND($F2049*1440,0),INT($F2049/100)*60+MOD($F2049,100)))</f>
        <v/>
      </c>
    </row>
    <row r="2050" customFormat="false" ht="15" hidden="false" customHeight="true" outlineLevel="0" collapsed="false">
      <c r="A2050" s="10"/>
      <c r="B2050" s="8"/>
      <c r="C2050" s="13" t="str">
        <f aca="false">IF($B2050="","",IFERROR(INDEX(직원목록!$B$3:$B$302,MATCH($B2050,직원목록!$A$3:$A$302,0)),"미등록사번"))</f>
        <v/>
      </c>
      <c r="D2050" s="13" t="str">
        <f aca="false">IF($B2050="","",IFERROR(INDEX(직원목록!$C$3:$C$302,MATCH($B2050,직원목록!$A$3:$A$302,0)),""))</f>
        <v/>
      </c>
      <c r="E2050" s="14"/>
      <c r="F2050" s="14"/>
      <c r="G2050" s="15"/>
      <c r="H2050" s="16" t="str">
        <f aca="false">IF(OR($K2050="",$L2050=""),"",ROUND(MAX(0,($L2050-$K2050)-IF($G2050="",0,$G2050))/60,2))</f>
        <v/>
      </c>
      <c r="I2050" s="8"/>
      <c r="J2050" s="8"/>
      <c r="K2050" s="17" t="str">
        <f aca="false">IF($E2050="","",IF($E2050&lt;1,ROUND($E2050*1440,0),INT($E2050/100)*60+MOD($E2050,100)))</f>
        <v/>
      </c>
      <c r="L2050" s="17" t="str">
        <f aca="false">IF($F2050="","",IF($F2050&lt;1,ROUND($F2050*1440,0),INT($F2050/100)*60+MOD($F2050,100)))</f>
        <v/>
      </c>
    </row>
    <row r="2051" customFormat="false" ht="15" hidden="false" customHeight="true" outlineLevel="0" collapsed="false">
      <c r="A2051" s="10"/>
      <c r="B2051" s="8"/>
      <c r="C2051" s="13" t="str">
        <f aca="false">IF($B2051="","",IFERROR(INDEX(직원목록!$B$3:$B$302,MATCH($B2051,직원목록!$A$3:$A$302,0)),"미등록사번"))</f>
        <v/>
      </c>
      <c r="D2051" s="13" t="str">
        <f aca="false">IF($B2051="","",IFERROR(INDEX(직원목록!$C$3:$C$302,MATCH($B2051,직원목록!$A$3:$A$302,0)),""))</f>
        <v/>
      </c>
      <c r="E2051" s="14"/>
      <c r="F2051" s="14"/>
      <c r="G2051" s="15"/>
      <c r="H2051" s="16" t="str">
        <f aca="false">IF(OR($K2051="",$L2051=""),"",ROUND(MAX(0,($L2051-$K2051)-IF($G2051="",0,$G2051))/60,2))</f>
        <v/>
      </c>
      <c r="I2051" s="8"/>
      <c r="J2051" s="8"/>
      <c r="K2051" s="17" t="str">
        <f aca="false">IF($E2051="","",IF($E2051&lt;1,ROUND($E2051*1440,0),INT($E2051/100)*60+MOD($E2051,100)))</f>
        <v/>
      </c>
      <c r="L2051" s="17" t="str">
        <f aca="false">IF($F2051="","",IF($F2051&lt;1,ROUND($F2051*1440,0),INT($F2051/100)*60+MOD($F2051,100)))</f>
        <v/>
      </c>
    </row>
    <row r="2052" customFormat="false" ht="15" hidden="false" customHeight="true" outlineLevel="0" collapsed="false">
      <c r="A2052" s="10"/>
      <c r="B2052" s="8"/>
      <c r="C2052" s="13" t="str">
        <f aca="false">IF($B2052="","",IFERROR(INDEX(직원목록!$B$3:$B$302,MATCH($B2052,직원목록!$A$3:$A$302,0)),"미등록사번"))</f>
        <v/>
      </c>
      <c r="D2052" s="13" t="str">
        <f aca="false">IF($B2052="","",IFERROR(INDEX(직원목록!$C$3:$C$302,MATCH($B2052,직원목록!$A$3:$A$302,0)),""))</f>
        <v/>
      </c>
      <c r="E2052" s="14"/>
      <c r="F2052" s="14"/>
      <c r="G2052" s="15"/>
      <c r="H2052" s="16" t="str">
        <f aca="false">IF(OR($K2052="",$L2052=""),"",ROUND(MAX(0,($L2052-$K2052)-IF($G2052="",0,$G2052))/60,2))</f>
        <v/>
      </c>
      <c r="I2052" s="8"/>
      <c r="J2052" s="8"/>
      <c r="K2052" s="17" t="str">
        <f aca="false">IF($E2052="","",IF($E2052&lt;1,ROUND($E2052*1440,0),INT($E2052/100)*60+MOD($E2052,100)))</f>
        <v/>
      </c>
      <c r="L2052" s="17" t="str">
        <f aca="false">IF($F2052="","",IF($F2052&lt;1,ROUND($F2052*1440,0),INT($F2052/100)*60+MOD($F2052,100)))</f>
        <v/>
      </c>
    </row>
    <row r="2053" customFormat="false" ht="15" hidden="false" customHeight="true" outlineLevel="0" collapsed="false">
      <c r="A2053" s="10"/>
      <c r="B2053" s="8"/>
      <c r="C2053" s="13" t="str">
        <f aca="false">IF($B2053="","",IFERROR(INDEX(직원목록!$B$3:$B$302,MATCH($B2053,직원목록!$A$3:$A$302,0)),"미등록사번"))</f>
        <v/>
      </c>
      <c r="D2053" s="13" t="str">
        <f aca="false">IF($B2053="","",IFERROR(INDEX(직원목록!$C$3:$C$302,MATCH($B2053,직원목록!$A$3:$A$302,0)),""))</f>
        <v/>
      </c>
      <c r="E2053" s="14"/>
      <c r="F2053" s="14"/>
      <c r="G2053" s="15"/>
      <c r="H2053" s="16" t="str">
        <f aca="false">IF(OR($K2053="",$L2053=""),"",ROUND(MAX(0,($L2053-$K2053)-IF($G2053="",0,$G2053))/60,2))</f>
        <v/>
      </c>
      <c r="I2053" s="8"/>
      <c r="J2053" s="8"/>
      <c r="K2053" s="17" t="str">
        <f aca="false">IF($E2053="","",IF($E2053&lt;1,ROUND($E2053*1440,0),INT($E2053/100)*60+MOD($E2053,100)))</f>
        <v/>
      </c>
      <c r="L2053" s="17" t="str">
        <f aca="false">IF($F2053="","",IF($F2053&lt;1,ROUND($F2053*1440,0),INT($F2053/100)*60+MOD($F2053,100)))</f>
        <v/>
      </c>
    </row>
    <row r="2054" customFormat="false" ht="15" hidden="false" customHeight="true" outlineLevel="0" collapsed="false">
      <c r="A2054" s="10"/>
      <c r="B2054" s="8"/>
      <c r="C2054" s="13" t="str">
        <f aca="false">IF($B2054="","",IFERROR(INDEX(직원목록!$B$3:$B$302,MATCH($B2054,직원목록!$A$3:$A$302,0)),"미등록사번"))</f>
        <v/>
      </c>
      <c r="D2054" s="13" t="str">
        <f aca="false">IF($B2054="","",IFERROR(INDEX(직원목록!$C$3:$C$302,MATCH($B2054,직원목록!$A$3:$A$302,0)),""))</f>
        <v/>
      </c>
      <c r="E2054" s="14"/>
      <c r="F2054" s="14"/>
      <c r="G2054" s="15"/>
      <c r="H2054" s="16" t="str">
        <f aca="false">IF(OR($K2054="",$L2054=""),"",ROUND(MAX(0,($L2054-$K2054)-IF($G2054="",0,$G2054))/60,2))</f>
        <v/>
      </c>
      <c r="I2054" s="8"/>
      <c r="J2054" s="8"/>
      <c r="K2054" s="17" t="str">
        <f aca="false">IF($E2054="","",IF($E2054&lt;1,ROUND($E2054*1440,0),INT($E2054/100)*60+MOD($E2054,100)))</f>
        <v/>
      </c>
      <c r="L2054" s="17" t="str">
        <f aca="false">IF($F2054="","",IF($F2054&lt;1,ROUND($F2054*1440,0),INT($F2054/100)*60+MOD($F2054,100)))</f>
        <v/>
      </c>
    </row>
    <row r="2055" customFormat="false" ht="15" hidden="false" customHeight="true" outlineLevel="0" collapsed="false">
      <c r="A2055" s="10"/>
      <c r="B2055" s="8"/>
      <c r="C2055" s="13" t="str">
        <f aca="false">IF($B2055="","",IFERROR(INDEX(직원목록!$B$3:$B$302,MATCH($B2055,직원목록!$A$3:$A$302,0)),"미등록사번"))</f>
        <v/>
      </c>
      <c r="D2055" s="13" t="str">
        <f aca="false">IF($B2055="","",IFERROR(INDEX(직원목록!$C$3:$C$302,MATCH($B2055,직원목록!$A$3:$A$302,0)),""))</f>
        <v/>
      </c>
      <c r="E2055" s="14"/>
      <c r="F2055" s="14"/>
      <c r="G2055" s="15"/>
      <c r="H2055" s="16" t="str">
        <f aca="false">IF(OR($K2055="",$L2055=""),"",ROUND(MAX(0,($L2055-$K2055)-IF($G2055="",0,$G2055))/60,2))</f>
        <v/>
      </c>
      <c r="I2055" s="8"/>
      <c r="J2055" s="8"/>
      <c r="K2055" s="17" t="str">
        <f aca="false">IF($E2055="","",IF($E2055&lt;1,ROUND($E2055*1440,0),INT($E2055/100)*60+MOD($E2055,100)))</f>
        <v/>
      </c>
      <c r="L2055" s="17" t="str">
        <f aca="false">IF($F2055="","",IF($F2055&lt;1,ROUND($F2055*1440,0),INT($F2055/100)*60+MOD($F2055,100)))</f>
        <v/>
      </c>
    </row>
    <row r="2056" customFormat="false" ht="15" hidden="false" customHeight="true" outlineLevel="0" collapsed="false">
      <c r="A2056" s="10"/>
      <c r="B2056" s="8"/>
      <c r="C2056" s="13" t="str">
        <f aca="false">IF($B2056="","",IFERROR(INDEX(직원목록!$B$3:$B$302,MATCH($B2056,직원목록!$A$3:$A$302,0)),"미등록사번"))</f>
        <v/>
      </c>
      <c r="D2056" s="13" t="str">
        <f aca="false">IF($B2056="","",IFERROR(INDEX(직원목록!$C$3:$C$302,MATCH($B2056,직원목록!$A$3:$A$302,0)),""))</f>
        <v/>
      </c>
      <c r="E2056" s="14"/>
      <c r="F2056" s="14"/>
      <c r="G2056" s="15"/>
      <c r="H2056" s="16" t="str">
        <f aca="false">IF(OR($K2056="",$L2056=""),"",ROUND(MAX(0,($L2056-$K2056)-IF($G2056="",0,$G2056))/60,2))</f>
        <v/>
      </c>
      <c r="I2056" s="8"/>
      <c r="J2056" s="8"/>
      <c r="K2056" s="17" t="str">
        <f aca="false">IF($E2056="","",IF($E2056&lt;1,ROUND($E2056*1440,0),INT($E2056/100)*60+MOD($E2056,100)))</f>
        <v/>
      </c>
      <c r="L2056" s="17" t="str">
        <f aca="false">IF($F2056="","",IF($F2056&lt;1,ROUND($F2056*1440,0),INT($F2056/100)*60+MOD($F2056,100)))</f>
        <v/>
      </c>
    </row>
    <row r="2057" customFormat="false" ht="15" hidden="false" customHeight="true" outlineLevel="0" collapsed="false">
      <c r="A2057" s="10"/>
      <c r="B2057" s="8"/>
      <c r="C2057" s="13" t="str">
        <f aca="false">IF($B2057="","",IFERROR(INDEX(직원목록!$B$3:$B$302,MATCH($B2057,직원목록!$A$3:$A$302,0)),"미등록사번"))</f>
        <v/>
      </c>
      <c r="D2057" s="13" t="str">
        <f aca="false">IF($B2057="","",IFERROR(INDEX(직원목록!$C$3:$C$302,MATCH($B2057,직원목록!$A$3:$A$302,0)),""))</f>
        <v/>
      </c>
      <c r="E2057" s="14"/>
      <c r="F2057" s="14"/>
      <c r="G2057" s="15"/>
      <c r="H2057" s="16" t="str">
        <f aca="false">IF(OR($K2057="",$L2057=""),"",ROUND(MAX(0,($L2057-$K2057)-IF($G2057="",0,$G2057))/60,2))</f>
        <v/>
      </c>
      <c r="I2057" s="8"/>
      <c r="J2057" s="8"/>
      <c r="K2057" s="17" t="str">
        <f aca="false">IF($E2057="","",IF($E2057&lt;1,ROUND($E2057*1440,0),INT($E2057/100)*60+MOD($E2057,100)))</f>
        <v/>
      </c>
      <c r="L2057" s="17" t="str">
        <f aca="false">IF($F2057="","",IF($F2057&lt;1,ROUND($F2057*1440,0),INT($F2057/100)*60+MOD($F2057,100)))</f>
        <v/>
      </c>
    </row>
    <row r="2058" customFormat="false" ht="15" hidden="false" customHeight="true" outlineLevel="0" collapsed="false">
      <c r="A2058" s="10"/>
      <c r="B2058" s="8"/>
      <c r="C2058" s="13" t="str">
        <f aca="false">IF($B2058="","",IFERROR(INDEX(직원목록!$B$3:$B$302,MATCH($B2058,직원목록!$A$3:$A$302,0)),"미등록사번"))</f>
        <v/>
      </c>
      <c r="D2058" s="13" t="str">
        <f aca="false">IF($B2058="","",IFERROR(INDEX(직원목록!$C$3:$C$302,MATCH($B2058,직원목록!$A$3:$A$302,0)),""))</f>
        <v/>
      </c>
      <c r="E2058" s="14"/>
      <c r="F2058" s="14"/>
      <c r="G2058" s="15"/>
      <c r="H2058" s="16" t="str">
        <f aca="false">IF(OR($K2058="",$L2058=""),"",ROUND(MAX(0,($L2058-$K2058)-IF($G2058="",0,$G2058))/60,2))</f>
        <v/>
      </c>
      <c r="I2058" s="8"/>
      <c r="J2058" s="8"/>
      <c r="K2058" s="17" t="str">
        <f aca="false">IF($E2058="","",IF($E2058&lt;1,ROUND($E2058*1440,0),INT($E2058/100)*60+MOD($E2058,100)))</f>
        <v/>
      </c>
      <c r="L2058" s="17" t="str">
        <f aca="false">IF($F2058="","",IF($F2058&lt;1,ROUND($F2058*1440,0),INT($F2058/100)*60+MOD($F2058,100)))</f>
        <v/>
      </c>
    </row>
    <row r="2059" customFormat="false" ht="15" hidden="false" customHeight="true" outlineLevel="0" collapsed="false">
      <c r="A2059" s="10"/>
      <c r="B2059" s="8"/>
      <c r="C2059" s="13" t="str">
        <f aca="false">IF($B2059="","",IFERROR(INDEX(직원목록!$B$3:$B$302,MATCH($B2059,직원목록!$A$3:$A$302,0)),"미등록사번"))</f>
        <v/>
      </c>
      <c r="D2059" s="13" t="str">
        <f aca="false">IF($B2059="","",IFERROR(INDEX(직원목록!$C$3:$C$302,MATCH($B2059,직원목록!$A$3:$A$302,0)),""))</f>
        <v/>
      </c>
      <c r="E2059" s="14"/>
      <c r="F2059" s="14"/>
      <c r="G2059" s="15"/>
      <c r="H2059" s="16" t="str">
        <f aca="false">IF(OR($K2059="",$L2059=""),"",ROUND(MAX(0,($L2059-$K2059)-IF($G2059="",0,$G2059))/60,2))</f>
        <v/>
      </c>
      <c r="I2059" s="8"/>
      <c r="J2059" s="8"/>
      <c r="K2059" s="17" t="str">
        <f aca="false">IF($E2059="","",IF($E2059&lt;1,ROUND($E2059*1440,0),INT($E2059/100)*60+MOD($E2059,100)))</f>
        <v/>
      </c>
      <c r="L2059" s="17" t="str">
        <f aca="false">IF($F2059="","",IF($F2059&lt;1,ROUND($F2059*1440,0),INT($F2059/100)*60+MOD($F2059,100)))</f>
        <v/>
      </c>
    </row>
    <row r="2060" customFormat="false" ht="15" hidden="false" customHeight="true" outlineLevel="0" collapsed="false">
      <c r="A2060" s="10"/>
      <c r="B2060" s="8"/>
      <c r="C2060" s="13" t="str">
        <f aca="false">IF($B2060="","",IFERROR(INDEX(직원목록!$B$3:$B$302,MATCH($B2060,직원목록!$A$3:$A$302,0)),"미등록사번"))</f>
        <v/>
      </c>
      <c r="D2060" s="13" t="str">
        <f aca="false">IF($B2060="","",IFERROR(INDEX(직원목록!$C$3:$C$302,MATCH($B2060,직원목록!$A$3:$A$302,0)),""))</f>
        <v/>
      </c>
      <c r="E2060" s="14"/>
      <c r="F2060" s="14"/>
      <c r="G2060" s="15"/>
      <c r="H2060" s="16" t="str">
        <f aca="false">IF(OR($K2060="",$L2060=""),"",ROUND(MAX(0,($L2060-$K2060)-IF($G2060="",0,$G2060))/60,2))</f>
        <v/>
      </c>
      <c r="I2060" s="8"/>
      <c r="J2060" s="8"/>
      <c r="K2060" s="17" t="str">
        <f aca="false">IF($E2060="","",IF($E2060&lt;1,ROUND($E2060*1440,0),INT($E2060/100)*60+MOD($E2060,100)))</f>
        <v/>
      </c>
      <c r="L2060" s="17" t="str">
        <f aca="false">IF($F2060="","",IF($F2060&lt;1,ROUND($F2060*1440,0),INT($F2060/100)*60+MOD($F2060,100)))</f>
        <v/>
      </c>
    </row>
    <row r="2061" customFormat="false" ht="15" hidden="false" customHeight="true" outlineLevel="0" collapsed="false">
      <c r="A2061" s="10"/>
      <c r="B2061" s="8"/>
      <c r="C2061" s="13" t="str">
        <f aca="false">IF($B2061="","",IFERROR(INDEX(직원목록!$B$3:$B$302,MATCH($B2061,직원목록!$A$3:$A$302,0)),"미등록사번"))</f>
        <v/>
      </c>
      <c r="D2061" s="13" t="str">
        <f aca="false">IF($B2061="","",IFERROR(INDEX(직원목록!$C$3:$C$302,MATCH($B2061,직원목록!$A$3:$A$302,0)),""))</f>
        <v/>
      </c>
      <c r="E2061" s="14"/>
      <c r="F2061" s="14"/>
      <c r="G2061" s="15"/>
      <c r="H2061" s="16" t="str">
        <f aca="false">IF(OR($K2061="",$L2061=""),"",ROUND(MAX(0,($L2061-$K2061)-IF($G2061="",0,$G2061))/60,2))</f>
        <v/>
      </c>
      <c r="I2061" s="8"/>
      <c r="J2061" s="8"/>
      <c r="K2061" s="17" t="str">
        <f aca="false">IF($E2061="","",IF($E2061&lt;1,ROUND($E2061*1440,0),INT($E2061/100)*60+MOD($E2061,100)))</f>
        <v/>
      </c>
      <c r="L2061" s="17" t="str">
        <f aca="false">IF($F2061="","",IF($F2061&lt;1,ROUND($F2061*1440,0),INT($F2061/100)*60+MOD($F2061,100)))</f>
        <v/>
      </c>
    </row>
    <row r="2062" customFormat="false" ht="15" hidden="false" customHeight="true" outlineLevel="0" collapsed="false">
      <c r="A2062" s="10"/>
      <c r="B2062" s="8"/>
      <c r="C2062" s="13" t="str">
        <f aca="false">IF($B2062="","",IFERROR(INDEX(직원목록!$B$3:$B$302,MATCH($B2062,직원목록!$A$3:$A$302,0)),"미등록사번"))</f>
        <v/>
      </c>
      <c r="D2062" s="13" t="str">
        <f aca="false">IF($B2062="","",IFERROR(INDEX(직원목록!$C$3:$C$302,MATCH($B2062,직원목록!$A$3:$A$302,0)),""))</f>
        <v/>
      </c>
      <c r="E2062" s="14"/>
      <c r="F2062" s="14"/>
      <c r="G2062" s="15"/>
      <c r="H2062" s="16" t="str">
        <f aca="false">IF(OR($K2062="",$L2062=""),"",ROUND(MAX(0,($L2062-$K2062)-IF($G2062="",0,$G2062))/60,2))</f>
        <v/>
      </c>
      <c r="I2062" s="8"/>
      <c r="J2062" s="8"/>
      <c r="K2062" s="17" t="str">
        <f aca="false">IF($E2062="","",IF($E2062&lt;1,ROUND($E2062*1440,0),INT($E2062/100)*60+MOD($E2062,100)))</f>
        <v/>
      </c>
      <c r="L2062" s="17" t="str">
        <f aca="false">IF($F2062="","",IF($F2062&lt;1,ROUND($F2062*1440,0),INT($F2062/100)*60+MOD($F2062,100)))</f>
        <v/>
      </c>
    </row>
    <row r="2063" customFormat="false" ht="15" hidden="false" customHeight="true" outlineLevel="0" collapsed="false">
      <c r="A2063" s="10"/>
      <c r="B2063" s="8"/>
      <c r="C2063" s="13" t="str">
        <f aca="false">IF($B2063="","",IFERROR(INDEX(직원목록!$B$3:$B$302,MATCH($B2063,직원목록!$A$3:$A$302,0)),"미등록사번"))</f>
        <v/>
      </c>
      <c r="D2063" s="13" t="str">
        <f aca="false">IF($B2063="","",IFERROR(INDEX(직원목록!$C$3:$C$302,MATCH($B2063,직원목록!$A$3:$A$302,0)),""))</f>
        <v/>
      </c>
      <c r="E2063" s="14"/>
      <c r="F2063" s="14"/>
      <c r="G2063" s="15"/>
      <c r="H2063" s="16" t="str">
        <f aca="false">IF(OR($K2063="",$L2063=""),"",ROUND(MAX(0,($L2063-$K2063)-IF($G2063="",0,$G2063))/60,2))</f>
        <v/>
      </c>
      <c r="I2063" s="8"/>
      <c r="J2063" s="8"/>
      <c r="K2063" s="17" t="str">
        <f aca="false">IF($E2063="","",IF($E2063&lt;1,ROUND($E2063*1440,0),INT($E2063/100)*60+MOD($E2063,100)))</f>
        <v/>
      </c>
      <c r="L2063" s="17" t="str">
        <f aca="false">IF($F2063="","",IF($F2063&lt;1,ROUND($F2063*1440,0),INT($F2063/100)*60+MOD($F2063,100)))</f>
        <v/>
      </c>
    </row>
    <row r="2064" customFormat="false" ht="15" hidden="false" customHeight="true" outlineLevel="0" collapsed="false">
      <c r="A2064" s="10"/>
      <c r="B2064" s="8"/>
      <c r="C2064" s="13" t="str">
        <f aca="false">IF($B2064="","",IFERROR(INDEX(직원목록!$B$3:$B$302,MATCH($B2064,직원목록!$A$3:$A$302,0)),"미등록사번"))</f>
        <v/>
      </c>
      <c r="D2064" s="13" t="str">
        <f aca="false">IF($B2064="","",IFERROR(INDEX(직원목록!$C$3:$C$302,MATCH($B2064,직원목록!$A$3:$A$302,0)),""))</f>
        <v/>
      </c>
      <c r="E2064" s="14"/>
      <c r="F2064" s="14"/>
      <c r="G2064" s="15"/>
      <c r="H2064" s="16" t="str">
        <f aca="false">IF(OR($K2064="",$L2064=""),"",ROUND(MAX(0,($L2064-$K2064)-IF($G2064="",0,$G2064))/60,2))</f>
        <v/>
      </c>
      <c r="I2064" s="8"/>
      <c r="J2064" s="8"/>
      <c r="K2064" s="17" t="str">
        <f aca="false">IF($E2064="","",IF($E2064&lt;1,ROUND($E2064*1440,0),INT($E2064/100)*60+MOD($E2064,100)))</f>
        <v/>
      </c>
      <c r="L2064" s="17" t="str">
        <f aca="false">IF($F2064="","",IF($F2064&lt;1,ROUND($F2064*1440,0),INT($F2064/100)*60+MOD($F2064,100)))</f>
        <v/>
      </c>
    </row>
    <row r="2065" customFormat="false" ht="15" hidden="false" customHeight="true" outlineLevel="0" collapsed="false">
      <c r="A2065" s="10"/>
      <c r="B2065" s="8"/>
      <c r="C2065" s="13" t="str">
        <f aca="false">IF($B2065="","",IFERROR(INDEX(직원목록!$B$3:$B$302,MATCH($B2065,직원목록!$A$3:$A$302,0)),"미등록사번"))</f>
        <v/>
      </c>
      <c r="D2065" s="13" t="str">
        <f aca="false">IF($B2065="","",IFERROR(INDEX(직원목록!$C$3:$C$302,MATCH($B2065,직원목록!$A$3:$A$302,0)),""))</f>
        <v/>
      </c>
      <c r="E2065" s="14"/>
      <c r="F2065" s="14"/>
      <c r="G2065" s="15"/>
      <c r="H2065" s="16" t="str">
        <f aca="false">IF(OR($K2065="",$L2065=""),"",ROUND(MAX(0,($L2065-$K2065)-IF($G2065="",0,$G2065))/60,2))</f>
        <v/>
      </c>
      <c r="I2065" s="8"/>
      <c r="J2065" s="8"/>
      <c r="K2065" s="17" t="str">
        <f aca="false">IF($E2065="","",IF($E2065&lt;1,ROUND($E2065*1440,0),INT($E2065/100)*60+MOD($E2065,100)))</f>
        <v/>
      </c>
      <c r="L2065" s="17" t="str">
        <f aca="false">IF($F2065="","",IF($F2065&lt;1,ROUND($F2065*1440,0),INT($F2065/100)*60+MOD($F2065,100)))</f>
        <v/>
      </c>
    </row>
    <row r="2066" customFormat="false" ht="15" hidden="false" customHeight="true" outlineLevel="0" collapsed="false">
      <c r="A2066" s="10"/>
      <c r="B2066" s="8"/>
      <c r="C2066" s="13" t="str">
        <f aca="false">IF($B2066="","",IFERROR(INDEX(직원목록!$B$3:$B$302,MATCH($B2066,직원목록!$A$3:$A$302,0)),"미등록사번"))</f>
        <v/>
      </c>
      <c r="D2066" s="13" t="str">
        <f aca="false">IF($B2066="","",IFERROR(INDEX(직원목록!$C$3:$C$302,MATCH($B2066,직원목록!$A$3:$A$302,0)),""))</f>
        <v/>
      </c>
      <c r="E2066" s="14"/>
      <c r="F2066" s="14"/>
      <c r="G2066" s="15"/>
      <c r="H2066" s="16" t="str">
        <f aca="false">IF(OR($K2066="",$L2066=""),"",ROUND(MAX(0,($L2066-$K2066)-IF($G2066="",0,$G2066))/60,2))</f>
        <v/>
      </c>
      <c r="I2066" s="8"/>
      <c r="J2066" s="8"/>
      <c r="K2066" s="17" t="str">
        <f aca="false">IF($E2066="","",IF($E2066&lt;1,ROUND($E2066*1440,0),INT($E2066/100)*60+MOD($E2066,100)))</f>
        <v/>
      </c>
      <c r="L2066" s="17" t="str">
        <f aca="false">IF($F2066="","",IF($F2066&lt;1,ROUND($F2066*1440,0),INT($F2066/100)*60+MOD($F2066,100)))</f>
        <v/>
      </c>
    </row>
    <row r="2067" customFormat="false" ht="15" hidden="false" customHeight="true" outlineLevel="0" collapsed="false">
      <c r="A2067" s="10"/>
      <c r="B2067" s="8"/>
      <c r="C2067" s="13" t="str">
        <f aca="false">IF($B2067="","",IFERROR(INDEX(직원목록!$B$3:$B$302,MATCH($B2067,직원목록!$A$3:$A$302,0)),"미등록사번"))</f>
        <v/>
      </c>
      <c r="D2067" s="13" t="str">
        <f aca="false">IF($B2067="","",IFERROR(INDEX(직원목록!$C$3:$C$302,MATCH($B2067,직원목록!$A$3:$A$302,0)),""))</f>
        <v/>
      </c>
      <c r="E2067" s="14"/>
      <c r="F2067" s="14"/>
      <c r="G2067" s="15"/>
      <c r="H2067" s="16" t="str">
        <f aca="false">IF(OR($K2067="",$L2067=""),"",ROUND(MAX(0,($L2067-$K2067)-IF($G2067="",0,$G2067))/60,2))</f>
        <v/>
      </c>
      <c r="I2067" s="8"/>
      <c r="J2067" s="8"/>
      <c r="K2067" s="17" t="str">
        <f aca="false">IF($E2067="","",IF($E2067&lt;1,ROUND($E2067*1440,0),INT($E2067/100)*60+MOD($E2067,100)))</f>
        <v/>
      </c>
      <c r="L2067" s="17" t="str">
        <f aca="false">IF($F2067="","",IF($F2067&lt;1,ROUND($F2067*1440,0),INT($F2067/100)*60+MOD($F2067,100)))</f>
        <v/>
      </c>
    </row>
    <row r="2068" customFormat="false" ht="15" hidden="false" customHeight="true" outlineLevel="0" collapsed="false">
      <c r="A2068" s="10"/>
      <c r="B2068" s="8"/>
      <c r="C2068" s="13" t="str">
        <f aca="false">IF($B2068="","",IFERROR(INDEX(직원목록!$B$3:$B$302,MATCH($B2068,직원목록!$A$3:$A$302,0)),"미등록사번"))</f>
        <v/>
      </c>
      <c r="D2068" s="13" t="str">
        <f aca="false">IF($B2068="","",IFERROR(INDEX(직원목록!$C$3:$C$302,MATCH($B2068,직원목록!$A$3:$A$302,0)),""))</f>
        <v/>
      </c>
      <c r="E2068" s="14"/>
      <c r="F2068" s="14"/>
      <c r="G2068" s="15"/>
      <c r="H2068" s="16" t="str">
        <f aca="false">IF(OR($K2068="",$L2068=""),"",ROUND(MAX(0,($L2068-$K2068)-IF($G2068="",0,$G2068))/60,2))</f>
        <v/>
      </c>
      <c r="I2068" s="8"/>
      <c r="J2068" s="8"/>
      <c r="K2068" s="17" t="str">
        <f aca="false">IF($E2068="","",IF($E2068&lt;1,ROUND($E2068*1440,0),INT($E2068/100)*60+MOD($E2068,100)))</f>
        <v/>
      </c>
      <c r="L2068" s="17" t="str">
        <f aca="false">IF($F2068="","",IF($F2068&lt;1,ROUND($F2068*1440,0),INT($F2068/100)*60+MOD($F2068,100)))</f>
        <v/>
      </c>
    </row>
    <row r="2069" customFormat="false" ht="15" hidden="false" customHeight="true" outlineLevel="0" collapsed="false">
      <c r="A2069" s="10"/>
      <c r="B2069" s="8"/>
      <c r="C2069" s="13" t="str">
        <f aca="false">IF($B2069="","",IFERROR(INDEX(직원목록!$B$3:$B$302,MATCH($B2069,직원목록!$A$3:$A$302,0)),"미등록사번"))</f>
        <v/>
      </c>
      <c r="D2069" s="13" t="str">
        <f aca="false">IF($B2069="","",IFERROR(INDEX(직원목록!$C$3:$C$302,MATCH($B2069,직원목록!$A$3:$A$302,0)),""))</f>
        <v/>
      </c>
      <c r="E2069" s="14"/>
      <c r="F2069" s="14"/>
      <c r="G2069" s="15"/>
      <c r="H2069" s="16" t="str">
        <f aca="false">IF(OR($K2069="",$L2069=""),"",ROUND(MAX(0,($L2069-$K2069)-IF($G2069="",0,$G2069))/60,2))</f>
        <v/>
      </c>
      <c r="I2069" s="8"/>
      <c r="J2069" s="8"/>
      <c r="K2069" s="17" t="str">
        <f aca="false">IF($E2069="","",IF($E2069&lt;1,ROUND($E2069*1440,0),INT($E2069/100)*60+MOD($E2069,100)))</f>
        <v/>
      </c>
      <c r="L2069" s="17" t="str">
        <f aca="false">IF($F2069="","",IF($F2069&lt;1,ROUND($F2069*1440,0),INT($F2069/100)*60+MOD($F2069,100)))</f>
        <v/>
      </c>
    </row>
    <row r="2070" customFormat="false" ht="15" hidden="false" customHeight="true" outlineLevel="0" collapsed="false">
      <c r="A2070" s="10"/>
      <c r="B2070" s="8"/>
      <c r="C2070" s="13" t="str">
        <f aca="false">IF($B2070="","",IFERROR(INDEX(직원목록!$B$3:$B$302,MATCH($B2070,직원목록!$A$3:$A$302,0)),"미등록사번"))</f>
        <v/>
      </c>
      <c r="D2070" s="13" t="str">
        <f aca="false">IF($B2070="","",IFERROR(INDEX(직원목록!$C$3:$C$302,MATCH($B2070,직원목록!$A$3:$A$302,0)),""))</f>
        <v/>
      </c>
      <c r="E2070" s="14"/>
      <c r="F2070" s="14"/>
      <c r="G2070" s="15"/>
      <c r="H2070" s="16" t="str">
        <f aca="false">IF(OR($K2070="",$L2070=""),"",ROUND(MAX(0,($L2070-$K2070)-IF($G2070="",0,$G2070))/60,2))</f>
        <v/>
      </c>
      <c r="I2070" s="8"/>
      <c r="J2070" s="8"/>
      <c r="K2070" s="17" t="str">
        <f aca="false">IF($E2070="","",IF($E2070&lt;1,ROUND($E2070*1440,0),INT($E2070/100)*60+MOD($E2070,100)))</f>
        <v/>
      </c>
      <c r="L2070" s="17" t="str">
        <f aca="false">IF($F2070="","",IF($F2070&lt;1,ROUND($F2070*1440,0),INT($F2070/100)*60+MOD($F2070,100)))</f>
        <v/>
      </c>
    </row>
    <row r="2071" customFormat="false" ht="15" hidden="false" customHeight="true" outlineLevel="0" collapsed="false">
      <c r="A2071" s="10"/>
      <c r="B2071" s="8"/>
      <c r="C2071" s="13" t="str">
        <f aca="false">IF($B2071="","",IFERROR(INDEX(직원목록!$B$3:$B$302,MATCH($B2071,직원목록!$A$3:$A$302,0)),"미등록사번"))</f>
        <v/>
      </c>
      <c r="D2071" s="13" t="str">
        <f aca="false">IF($B2071="","",IFERROR(INDEX(직원목록!$C$3:$C$302,MATCH($B2071,직원목록!$A$3:$A$302,0)),""))</f>
        <v/>
      </c>
      <c r="E2071" s="14"/>
      <c r="F2071" s="14"/>
      <c r="G2071" s="15"/>
      <c r="H2071" s="16" t="str">
        <f aca="false">IF(OR($K2071="",$L2071=""),"",ROUND(MAX(0,($L2071-$K2071)-IF($G2071="",0,$G2071))/60,2))</f>
        <v/>
      </c>
      <c r="I2071" s="8"/>
      <c r="J2071" s="8"/>
      <c r="K2071" s="17" t="str">
        <f aca="false">IF($E2071="","",IF($E2071&lt;1,ROUND($E2071*1440,0),INT($E2071/100)*60+MOD($E2071,100)))</f>
        <v/>
      </c>
      <c r="L2071" s="17" t="str">
        <f aca="false">IF($F2071="","",IF($F2071&lt;1,ROUND($F2071*1440,0),INT($F2071/100)*60+MOD($F2071,100)))</f>
        <v/>
      </c>
    </row>
    <row r="2072" customFormat="false" ht="15" hidden="false" customHeight="true" outlineLevel="0" collapsed="false">
      <c r="A2072" s="10"/>
      <c r="B2072" s="8"/>
      <c r="C2072" s="13" t="str">
        <f aca="false">IF($B2072="","",IFERROR(INDEX(직원목록!$B$3:$B$302,MATCH($B2072,직원목록!$A$3:$A$302,0)),"미등록사번"))</f>
        <v/>
      </c>
      <c r="D2072" s="13" t="str">
        <f aca="false">IF($B2072="","",IFERROR(INDEX(직원목록!$C$3:$C$302,MATCH($B2072,직원목록!$A$3:$A$302,0)),""))</f>
        <v/>
      </c>
      <c r="E2072" s="14"/>
      <c r="F2072" s="14"/>
      <c r="G2072" s="15"/>
      <c r="H2072" s="16" t="str">
        <f aca="false">IF(OR($K2072="",$L2072=""),"",ROUND(MAX(0,($L2072-$K2072)-IF($G2072="",0,$G2072))/60,2))</f>
        <v/>
      </c>
      <c r="I2072" s="8"/>
      <c r="J2072" s="8"/>
      <c r="K2072" s="17" t="str">
        <f aca="false">IF($E2072="","",IF($E2072&lt;1,ROUND($E2072*1440,0),INT($E2072/100)*60+MOD($E2072,100)))</f>
        <v/>
      </c>
      <c r="L2072" s="17" t="str">
        <f aca="false">IF($F2072="","",IF($F2072&lt;1,ROUND($F2072*1440,0),INT($F2072/100)*60+MOD($F2072,100)))</f>
        <v/>
      </c>
    </row>
    <row r="2073" customFormat="false" ht="15" hidden="false" customHeight="true" outlineLevel="0" collapsed="false">
      <c r="A2073" s="10"/>
      <c r="B2073" s="8"/>
      <c r="C2073" s="13" t="str">
        <f aca="false">IF($B2073="","",IFERROR(INDEX(직원목록!$B$3:$B$302,MATCH($B2073,직원목록!$A$3:$A$302,0)),"미등록사번"))</f>
        <v/>
      </c>
      <c r="D2073" s="13" t="str">
        <f aca="false">IF($B2073="","",IFERROR(INDEX(직원목록!$C$3:$C$302,MATCH($B2073,직원목록!$A$3:$A$302,0)),""))</f>
        <v/>
      </c>
      <c r="E2073" s="14"/>
      <c r="F2073" s="14"/>
      <c r="G2073" s="15"/>
      <c r="H2073" s="16" t="str">
        <f aca="false">IF(OR($K2073="",$L2073=""),"",ROUND(MAX(0,($L2073-$K2073)-IF($G2073="",0,$G2073))/60,2))</f>
        <v/>
      </c>
      <c r="I2073" s="8"/>
      <c r="J2073" s="8"/>
      <c r="K2073" s="17" t="str">
        <f aca="false">IF($E2073="","",IF($E2073&lt;1,ROUND($E2073*1440,0),INT($E2073/100)*60+MOD($E2073,100)))</f>
        <v/>
      </c>
      <c r="L2073" s="17" t="str">
        <f aca="false">IF($F2073="","",IF($F2073&lt;1,ROUND($F2073*1440,0),INT($F2073/100)*60+MOD($F2073,100)))</f>
        <v/>
      </c>
    </row>
    <row r="2074" customFormat="false" ht="15" hidden="false" customHeight="true" outlineLevel="0" collapsed="false">
      <c r="A2074" s="10"/>
      <c r="B2074" s="8"/>
      <c r="C2074" s="13" t="str">
        <f aca="false">IF($B2074="","",IFERROR(INDEX(직원목록!$B$3:$B$302,MATCH($B2074,직원목록!$A$3:$A$302,0)),"미등록사번"))</f>
        <v/>
      </c>
      <c r="D2074" s="13" t="str">
        <f aca="false">IF($B2074="","",IFERROR(INDEX(직원목록!$C$3:$C$302,MATCH($B2074,직원목록!$A$3:$A$302,0)),""))</f>
        <v/>
      </c>
      <c r="E2074" s="14"/>
      <c r="F2074" s="14"/>
      <c r="G2074" s="15"/>
      <c r="H2074" s="16" t="str">
        <f aca="false">IF(OR($K2074="",$L2074=""),"",ROUND(MAX(0,($L2074-$K2074)-IF($G2074="",0,$G2074))/60,2))</f>
        <v/>
      </c>
      <c r="I2074" s="8"/>
      <c r="J2074" s="8"/>
      <c r="K2074" s="17" t="str">
        <f aca="false">IF($E2074="","",IF($E2074&lt;1,ROUND($E2074*1440,0),INT($E2074/100)*60+MOD($E2074,100)))</f>
        <v/>
      </c>
      <c r="L2074" s="17" t="str">
        <f aca="false">IF($F2074="","",IF($F2074&lt;1,ROUND($F2074*1440,0),INT($F2074/100)*60+MOD($F2074,100)))</f>
        <v/>
      </c>
    </row>
    <row r="2075" customFormat="false" ht="15" hidden="false" customHeight="true" outlineLevel="0" collapsed="false">
      <c r="A2075" s="10"/>
      <c r="B2075" s="8"/>
      <c r="C2075" s="13" t="str">
        <f aca="false">IF($B2075="","",IFERROR(INDEX(직원목록!$B$3:$B$302,MATCH($B2075,직원목록!$A$3:$A$302,0)),"미등록사번"))</f>
        <v/>
      </c>
      <c r="D2075" s="13" t="str">
        <f aca="false">IF($B2075="","",IFERROR(INDEX(직원목록!$C$3:$C$302,MATCH($B2075,직원목록!$A$3:$A$302,0)),""))</f>
        <v/>
      </c>
      <c r="E2075" s="14"/>
      <c r="F2075" s="14"/>
      <c r="G2075" s="15"/>
      <c r="H2075" s="16" t="str">
        <f aca="false">IF(OR($K2075="",$L2075=""),"",ROUND(MAX(0,($L2075-$K2075)-IF($G2075="",0,$G2075))/60,2))</f>
        <v/>
      </c>
      <c r="I2075" s="8"/>
      <c r="J2075" s="8"/>
      <c r="K2075" s="17" t="str">
        <f aca="false">IF($E2075="","",IF($E2075&lt;1,ROUND($E2075*1440,0),INT($E2075/100)*60+MOD($E2075,100)))</f>
        <v/>
      </c>
      <c r="L2075" s="17" t="str">
        <f aca="false">IF($F2075="","",IF($F2075&lt;1,ROUND($F2075*1440,0),INT($F2075/100)*60+MOD($F2075,100)))</f>
        <v/>
      </c>
    </row>
    <row r="2076" customFormat="false" ht="15" hidden="false" customHeight="true" outlineLevel="0" collapsed="false">
      <c r="A2076" s="10"/>
      <c r="B2076" s="8"/>
      <c r="C2076" s="13" t="str">
        <f aca="false">IF($B2076="","",IFERROR(INDEX(직원목록!$B$3:$B$302,MATCH($B2076,직원목록!$A$3:$A$302,0)),"미등록사번"))</f>
        <v/>
      </c>
      <c r="D2076" s="13" t="str">
        <f aca="false">IF($B2076="","",IFERROR(INDEX(직원목록!$C$3:$C$302,MATCH($B2076,직원목록!$A$3:$A$302,0)),""))</f>
        <v/>
      </c>
      <c r="E2076" s="14"/>
      <c r="F2076" s="14"/>
      <c r="G2076" s="15"/>
      <c r="H2076" s="16" t="str">
        <f aca="false">IF(OR($K2076="",$L2076=""),"",ROUND(MAX(0,($L2076-$K2076)-IF($G2076="",0,$G2076))/60,2))</f>
        <v/>
      </c>
      <c r="I2076" s="8"/>
      <c r="J2076" s="8"/>
      <c r="K2076" s="17" t="str">
        <f aca="false">IF($E2076="","",IF($E2076&lt;1,ROUND($E2076*1440,0),INT($E2076/100)*60+MOD($E2076,100)))</f>
        <v/>
      </c>
      <c r="L2076" s="17" t="str">
        <f aca="false">IF($F2076="","",IF($F2076&lt;1,ROUND($F2076*1440,0),INT($F2076/100)*60+MOD($F2076,100)))</f>
        <v/>
      </c>
    </row>
    <row r="2077" customFormat="false" ht="15" hidden="false" customHeight="true" outlineLevel="0" collapsed="false">
      <c r="A2077" s="10"/>
      <c r="B2077" s="8"/>
      <c r="C2077" s="13" t="str">
        <f aca="false">IF($B2077="","",IFERROR(INDEX(직원목록!$B$3:$B$302,MATCH($B2077,직원목록!$A$3:$A$302,0)),"미등록사번"))</f>
        <v/>
      </c>
      <c r="D2077" s="13" t="str">
        <f aca="false">IF($B2077="","",IFERROR(INDEX(직원목록!$C$3:$C$302,MATCH($B2077,직원목록!$A$3:$A$302,0)),""))</f>
        <v/>
      </c>
      <c r="E2077" s="14"/>
      <c r="F2077" s="14"/>
      <c r="G2077" s="15"/>
      <c r="H2077" s="16" t="str">
        <f aca="false">IF(OR($K2077="",$L2077=""),"",ROUND(MAX(0,($L2077-$K2077)-IF($G2077="",0,$G2077))/60,2))</f>
        <v/>
      </c>
      <c r="I2077" s="8"/>
      <c r="J2077" s="8"/>
      <c r="K2077" s="17" t="str">
        <f aca="false">IF($E2077="","",IF($E2077&lt;1,ROUND($E2077*1440,0),INT($E2077/100)*60+MOD($E2077,100)))</f>
        <v/>
      </c>
      <c r="L2077" s="17" t="str">
        <f aca="false">IF($F2077="","",IF($F2077&lt;1,ROUND($F2077*1440,0),INT($F2077/100)*60+MOD($F2077,100)))</f>
        <v/>
      </c>
    </row>
    <row r="2078" customFormat="false" ht="15" hidden="false" customHeight="true" outlineLevel="0" collapsed="false">
      <c r="A2078" s="10"/>
      <c r="B2078" s="8"/>
      <c r="C2078" s="13" t="str">
        <f aca="false">IF($B2078="","",IFERROR(INDEX(직원목록!$B$3:$B$302,MATCH($B2078,직원목록!$A$3:$A$302,0)),"미등록사번"))</f>
        <v/>
      </c>
      <c r="D2078" s="13" t="str">
        <f aca="false">IF($B2078="","",IFERROR(INDEX(직원목록!$C$3:$C$302,MATCH($B2078,직원목록!$A$3:$A$302,0)),""))</f>
        <v/>
      </c>
      <c r="E2078" s="14"/>
      <c r="F2078" s="14"/>
      <c r="G2078" s="15"/>
      <c r="H2078" s="16" t="str">
        <f aca="false">IF(OR($K2078="",$L2078=""),"",ROUND(MAX(0,($L2078-$K2078)-IF($G2078="",0,$G2078))/60,2))</f>
        <v/>
      </c>
      <c r="I2078" s="8"/>
      <c r="J2078" s="8"/>
      <c r="K2078" s="17" t="str">
        <f aca="false">IF($E2078="","",IF($E2078&lt;1,ROUND($E2078*1440,0),INT($E2078/100)*60+MOD($E2078,100)))</f>
        <v/>
      </c>
      <c r="L2078" s="17" t="str">
        <f aca="false">IF($F2078="","",IF($F2078&lt;1,ROUND($F2078*1440,0),INT($F2078/100)*60+MOD($F2078,100)))</f>
        <v/>
      </c>
    </row>
    <row r="2079" customFormat="false" ht="15" hidden="false" customHeight="true" outlineLevel="0" collapsed="false">
      <c r="A2079" s="10"/>
      <c r="B2079" s="8"/>
      <c r="C2079" s="13" t="str">
        <f aca="false">IF($B2079="","",IFERROR(INDEX(직원목록!$B$3:$B$302,MATCH($B2079,직원목록!$A$3:$A$302,0)),"미등록사번"))</f>
        <v/>
      </c>
      <c r="D2079" s="13" t="str">
        <f aca="false">IF($B2079="","",IFERROR(INDEX(직원목록!$C$3:$C$302,MATCH($B2079,직원목록!$A$3:$A$302,0)),""))</f>
        <v/>
      </c>
      <c r="E2079" s="14"/>
      <c r="F2079" s="14"/>
      <c r="G2079" s="15"/>
      <c r="H2079" s="16" t="str">
        <f aca="false">IF(OR($K2079="",$L2079=""),"",ROUND(MAX(0,($L2079-$K2079)-IF($G2079="",0,$G2079))/60,2))</f>
        <v/>
      </c>
      <c r="I2079" s="8"/>
      <c r="J2079" s="8"/>
      <c r="K2079" s="17" t="str">
        <f aca="false">IF($E2079="","",IF($E2079&lt;1,ROUND($E2079*1440,0),INT($E2079/100)*60+MOD($E2079,100)))</f>
        <v/>
      </c>
      <c r="L2079" s="17" t="str">
        <f aca="false">IF($F2079="","",IF($F2079&lt;1,ROUND($F2079*1440,0),INT($F2079/100)*60+MOD($F2079,100)))</f>
        <v/>
      </c>
    </row>
    <row r="2080" customFormat="false" ht="15" hidden="false" customHeight="true" outlineLevel="0" collapsed="false">
      <c r="A2080" s="10"/>
      <c r="B2080" s="8"/>
      <c r="C2080" s="13" t="str">
        <f aca="false">IF($B2080="","",IFERROR(INDEX(직원목록!$B$3:$B$302,MATCH($B2080,직원목록!$A$3:$A$302,0)),"미등록사번"))</f>
        <v/>
      </c>
      <c r="D2080" s="13" t="str">
        <f aca="false">IF($B2080="","",IFERROR(INDEX(직원목록!$C$3:$C$302,MATCH($B2080,직원목록!$A$3:$A$302,0)),""))</f>
        <v/>
      </c>
      <c r="E2080" s="14"/>
      <c r="F2080" s="14"/>
      <c r="G2080" s="15"/>
      <c r="H2080" s="16" t="str">
        <f aca="false">IF(OR($K2080="",$L2080=""),"",ROUND(MAX(0,($L2080-$K2080)-IF($G2080="",0,$G2080))/60,2))</f>
        <v/>
      </c>
      <c r="I2080" s="8"/>
      <c r="J2080" s="8"/>
      <c r="K2080" s="17" t="str">
        <f aca="false">IF($E2080="","",IF($E2080&lt;1,ROUND($E2080*1440,0),INT($E2080/100)*60+MOD($E2080,100)))</f>
        <v/>
      </c>
      <c r="L2080" s="17" t="str">
        <f aca="false">IF($F2080="","",IF($F2080&lt;1,ROUND($F2080*1440,0),INT($F2080/100)*60+MOD($F2080,100)))</f>
        <v/>
      </c>
    </row>
    <row r="2081" customFormat="false" ht="15" hidden="false" customHeight="true" outlineLevel="0" collapsed="false">
      <c r="A2081" s="10"/>
      <c r="B2081" s="8"/>
      <c r="C2081" s="13" t="str">
        <f aca="false">IF($B2081="","",IFERROR(INDEX(직원목록!$B$3:$B$302,MATCH($B2081,직원목록!$A$3:$A$302,0)),"미등록사번"))</f>
        <v/>
      </c>
      <c r="D2081" s="13" t="str">
        <f aca="false">IF($B2081="","",IFERROR(INDEX(직원목록!$C$3:$C$302,MATCH($B2081,직원목록!$A$3:$A$302,0)),""))</f>
        <v/>
      </c>
      <c r="E2081" s="14"/>
      <c r="F2081" s="14"/>
      <c r="G2081" s="15"/>
      <c r="H2081" s="16" t="str">
        <f aca="false">IF(OR($K2081="",$L2081=""),"",ROUND(MAX(0,($L2081-$K2081)-IF($G2081="",0,$G2081))/60,2))</f>
        <v/>
      </c>
      <c r="I2081" s="8"/>
      <c r="J2081" s="8"/>
      <c r="K2081" s="17" t="str">
        <f aca="false">IF($E2081="","",IF($E2081&lt;1,ROUND($E2081*1440,0),INT($E2081/100)*60+MOD($E2081,100)))</f>
        <v/>
      </c>
      <c r="L2081" s="17" t="str">
        <f aca="false">IF($F2081="","",IF($F2081&lt;1,ROUND($F2081*1440,0),INT($F2081/100)*60+MOD($F2081,100)))</f>
        <v/>
      </c>
    </row>
    <row r="2082" customFormat="false" ht="15" hidden="false" customHeight="true" outlineLevel="0" collapsed="false">
      <c r="A2082" s="10"/>
      <c r="B2082" s="8"/>
      <c r="C2082" s="13" t="str">
        <f aca="false">IF($B2082="","",IFERROR(INDEX(직원목록!$B$3:$B$302,MATCH($B2082,직원목록!$A$3:$A$302,0)),"미등록사번"))</f>
        <v/>
      </c>
      <c r="D2082" s="13" t="str">
        <f aca="false">IF($B2082="","",IFERROR(INDEX(직원목록!$C$3:$C$302,MATCH($B2082,직원목록!$A$3:$A$302,0)),""))</f>
        <v/>
      </c>
      <c r="E2082" s="14"/>
      <c r="F2082" s="14"/>
      <c r="G2082" s="15"/>
      <c r="H2082" s="16" t="str">
        <f aca="false">IF(OR($K2082="",$L2082=""),"",ROUND(MAX(0,($L2082-$K2082)-IF($G2082="",0,$G2082))/60,2))</f>
        <v/>
      </c>
      <c r="I2082" s="8"/>
      <c r="J2082" s="8"/>
      <c r="K2082" s="17" t="str">
        <f aca="false">IF($E2082="","",IF($E2082&lt;1,ROUND($E2082*1440,0),INT($E2082/100)*60+MOD($E2082,100)))</f>
        <v/>
      </c>
      <c r="L2082" s="17" t="str">
        <f aca="false">IF($F2082="","",IF($F2082&lt;1,ROUND($F2082*1440,0),INT($F2082/100)*60+MOD($F2082,100)))</f>
        <v/>
      </c>
    </row>
    <row r="2083" customFormat="false" ht="15" hidden="false" customHeight="true" outlineLevel="0" collapsed="false">
      <c r="A2083" s="10"/>
      <c r="B2083" s="8"/>
      <c r="C2083" s="13" t="str">
        <f aca="false">IF($B2083="","",IFERROR(INDEX(직원목록!$B$3:$B$302,MATCH($B2083,직원목록!$A$3:$A$302,0)),"미등록사번"))</f>
        <v/>
      </c>
      <c r="D2083" s="13" t="str">
        <f aca="false">IF($B2083="","",IFERROR(INDEX(직원목록!$C$3:$C$302,MATCH($B2083,직원목록!$A$3:$A$302,0)),""))</f>
        <v/>
      </c>
      <c r="E2083" s="14"/>
      <c r="F2083" s="14"/>
      <c r="G2083" s="15"/>
      <c r="H2083" s="16" t="str">
        <f aca="false">IF(OR($K2083="",$L2083=""),"",ROUND(MAX(0,($L2083-$K2083)-IF($G2083="",0,$G2083))/60,2))</f>
        <v/>
      </c>
      <c r="I2083" s="8"/>
      <c r="J2083" s="8"/>
      <c r="K2083" s="17" t="str">
        <f aca="false">IF($E2083="","",IF($E2083&lt;1,ROUND($E2083*1440,0),INT($E2083/100)*60+MOD($E2083,100)))</f>
        <v/>
      </c>
      <c r="L2083" s="17" t="str">
        <f aca="false">IF($F2083="","",IF($F2083&lt;1,ROUND($F2083*1440,0),INT($F2083/100)*60+MOD($F2083,100)))</f>
        <v/>
      </c>
    </row>
    <row r="2084" customFormat="false" ht="15" hidden="false" customHeight="true" outlineLevel="0" collapsed="false">
      <c r="A2084" s="10"/>
      <c r="B2084" s="8"/>
      <c r="C2084" s="13" t="str">
        <f aca="false">IF($B2084="","",IFERROR(INDEX(직원목록!$B$3:$B$302,MATCH($B2084,직원목록!$A$3:$A$302,0)),"미등록사번"))</f>
        <v/>
      </c>
      <c r="D2084" s="13" t="str">
        <f aca="false">IF($B2084="","",IFERROR(INDEX(직원목록!$C$3:$C$302,MATCH($B2084,직원목록!$A$3:$A$302,0)),""))</f>
        <v/>
      </c>
      <c r="E2084" s="14"/>
      <c r="F2084" s="14"/>
      <c r="G2084" s="15"/>
      <c r="H2084" s="16" t="str">
        <f aca="false">IF(OR($K2084="",$L2084=""),"",ROUND(MAX(0,($L2084-$K2084)-IF($G2084="",0,$G2084))/60,2))</f>
        <v/>
      </c>
      <c r="I2084" s="8"/>
      <c r="J2084" s="8"/>
      <c r="K2084" s="17" t="str">
        <f aca="false">IF($E2084="","",IF($E2084&lt;1,ROUND($E2084*1440,0),INT($E2084/100)*60+MOD($E2084,100)))</f>
        <v/>
      </c>
      <c r="L2084" s="17" t="str">
        <f aca="false">IF($F2084="","",IF($F2084&lt;1,ROUND($F2084*1440,0),INT($F2084/100)*60+MOD($F2084,100)))</f>
        <v/>
      </c>
    </row>
    <row r="2085" customFormat="false" ht="15" hidden="false" customHeight="true" outlineLevel="0" collapsed="false">
      <c r="A2085" s="10"/>
      <c r="B2085" s="8"/>
      <c r="C2085" s="13" t="str">
        <f aca="false">IF($B2085="","",IFERROR(INDEX(직원목록!$B$3:$B$302,MATCH($B2085,직원목록!$A$3:$A$302,0)),"미등록사번"))</f>
        <v/>
      </c>
      <c r="D2085" s="13" t="str">
        <f aca="false">IF($B2085="","",IFERROR(INDEX(직원목록!$C$3:$C$302,MATCH($B2085,직원목록!$A$3:$A$302,0)),""))</f>
        <v/>
      </c>
      <c r="E2085" s="14"/>
      <c r="F2085" s="14"/>
      <c r="G2085" s="15"/>
      <c r="H2085" s="16" t="str">
        <f aca="false">IF(OR($K2085="",$L2085=""),"",ROUND(MAX(0,($L2085-$K2085)-IF($G2085="",0,$G2085))/60,2))</f>
        <v/>
      </c>
      <c r="I2085" s="8"/>
      <c r="J2085" s="8"/>
      <c r="K2085" s="17" t="str">
        <f aca="false">IF($E2085="","",IF($E2085&lt;1,ROUND($E2085*1440,0),INT($E2085/100)*60+MOD($E2085,100)))</f>
        <v/>
      </c>
      <c r="L2085" s="17" t="str">
        <f aca="false">IF($F2085="","",IF($F2085&lt;1,ROUND($F2085*1440,0),INT($F2085/100)*60+MOD($F2085,100)))</f>
        <v/>
      </c>
    </row>
    <row r="2086" customFormat="false" ht="15" hidden="false" customHeight="true" outlineLevel="0" collapsed="false">
      <c r="A2086" s="10"/>
      <c r="B2086" s="8"/>
      <c r="C2086" s="13" t="str">
        <f aca="false">IF($B2086="","",IFERROR(INDEX(직원목록!$B$3:$B$302,MATCH($B2086,직원목록!$A$3:$A$302,0)),"미등록사번"))</f>
        <v/>
      </c>
      <c r="D2086" s="13" t="str">
        <f aca="false">IF($B2086="","",IFERROR(INDEX(직원목록!$C$3:$C$302,MATCH($B2086,직원목록!$A$3:$A$302,0)),""))</f>
        <v/>
      </c>
      <c r="E2086" s="14"/>
      <c r="F2086" s="14"/>
      <c r="G2086" s="15"/>
      <c r="H2086" s="16" t="str">
        <f aca="false">IF(OR($K2086="",$L2086=""),"",ROUND(MAX(0,($L2086-$K2086)-IF($G2086="",0,$G2086))/60,2))</f>
        <v/>
      </c>
      <c r="I2086" s="8"/>
      <c r="J2086" s="8"/>
      <c r="K2086" s="17" t="str">
        <f aca="false">IF($E2086="","",IF($E2086&lt;1,ROUND($E2086*1440,0),INT($E2086/100)*60+MOD($E2086,100)))</f>
        <v/>
      </c>
      <c r="L2086" s="17" t="str">
        <f aca="false">IF($F2086="","",IF($F2086&lt;1,ROUND($F2086*1440,0),INT($F2086/100)*60+MOD($F2086,100)))</f>
        <v/>
      </c>
    </row>
    <row r="2087" customFormat="false" ht="15" hidden="false" customHeight="true" outlineLevel="0" collapsed="false">
      <c r="A2087" s="10"/>
      <c r="B2087" s="8"/>
      <c r="C2087" s="13" t="str">
        <f aca="false">IF($B2087="","",IFERROR(INDEX(직원목록!$B$3:$B$302,MATCH($B2087,직원목록!$A$3:$A$302,0)),"미등록사번"))</f>
        <v/>
      </c>
      <c r="D2087" s="13" t="str">
        <f aca="false">IF($B2087="","",IFERROR(INDEX(직원목록!$C$3:$C$302,MATCH($B2087,직원목록!$A$3:$A$302,0)),""))</f>
        <v/>
      </c>
      <c r="E2087" s="14"/>
      <c r="F2087" s="14"/>
      <c r="G2087" s="15"/>
      <c r="H2087" s="16" t="str">
        <f aca="false">IF(OR($K2087="",$L2087=""),"",ROUND(MAX(0,($L2087-$K2087)-IF($G2087="",0,$G2087))/60,2))</f>
        <v/>
      </c>
      <c r="I2087" s="8"/>
      <c r="J2087" s="8"/>
      <c r="K2087" s="17" t="str">
        <f aca="false">IF($E2087="","",IF($E2087&lt;1,ROUND($E2087*1440,0),INT($E2087/100)*60+MOD($E2087,100)))</f>
        <v/>
      </c>
      <c r="L2087" s="17" t="str">
        <f aca="false">IF($F2087="","",IF($F2087&lt;1,ROUND($F2087*1440,0),INT($F2087/100)*60+MOD($F2087,100)))</f>
        <v/>
      </c>
    </row>
    <row r="2088" customFormat="false" ht="15" hidden="false" customHeight="true" outlineLevel="0" collapsed="false">
      <c r="A2088" s="10"/>
      <c r="B2088" s="8"/>
      <c r="C2088" s="13" t="str">
        <f aca="false">IF($B2088="","",IFERROR(INDEX(직원목록!$B$3:$B$302,MATCH($B2088,직원목록!$A$3:$A$302,0)),"미등록사번"))</f>
        <v/>
      </c>
      <c r="D2088" s="13" t="str">
        <f aca="false">IF($B2088="","",IFERROR(INDEX(직원목록!$C$3:$C$302,MATCH($B2088,직원목록!$A$3:$A$302,0)),""))</f>
        <v/>
      </c>
      <c r="E2088" s="14"/>
      <c r="F2088" s="14"/>
      <c r="G2088" s="15"/>
      <c r="H2088" s="16" t="str">
        <f aca="false">IF(OR($K2088="",$L2088=""),"",ROUND(MAX(0,($L2088-$K2088)-IF($G2088="",0,$G2088))/60,2))</f>
        <v/>
      </c>
      <c r="I2088" s="8"/>
      <c r="J2088" s="8"/>
      <c r="K2088" s="17" t="str">
        <f aca="false">IF($E2088="","",IF($E2088&lt;1,ROUND($E2088*1440,0),INT($E2088/100)*60+MOD($E2088,100)))</f>
        <v/>
      </c>
      <c r="L2088" s="17" t="str">
        <f aca="false">IF($F2088="","",IF($F2088&lt;1,ROUND($F2088*1440,0),INT($F2088/100)*60+MOD($F2088,100)))</f>
        <v/>
      </c>
    </row>
    <row r="2089" customFormat="false" ht="15" hidden="false" customHeight="true" outlineLevel="0" collapsed="false">
      <c r="A2089" s="10"/>
      <c r="B2089" s="8"/>
      <c r="C2089" s="13" t="str">
        <f aca="false">IF($B2089="","",IFERROR(INDEX(직원목록!$B$3:$B$302,MATCH($B2089,직원목록!$A$3:$A$302,0)),"미등록사번"))</f>
        <v/>
      </c>
      <c r="D2089" s="13" t="str">
        <f aca="false">IF($B2089="","",IFERROR(INDEX(직원목록!$C$3:$C$302,MATCH($B2089,직원목록!$A$3:$A$302,0)),""))</f>
        <v/>
      </c>
      <c r="E2089" s="14"/>
      <c r="F2089" s="14"/>
      <c r="G2089" s="15"/>
      <c r="H2089" s="16" t="str">
        <f aca="false">IF(OR($K2089="",$L2089=""),"",ROUND(MAX(0,($L2089-$K2089)-IF($G2089="",0,$G2089))/60,2))</f>
        <v/>
      </c>
      <c r="I2089" s="8"/>
      <c r="J2089" s="8"/>
      <c r="K2089" s="17" t="str">
        <f aca="false">IF($E2089="","",IF($E2089&lt;1,ROUND($E2089*1440,0),INT($E2089/100)*60+MOD($E2089,100)))</f>
        <v/>
      </c>
      <c r="L2089" s="17" t="str">
        <f aca="false">IF($F2089="","",IF($F2089&lt;1,ROUND($F2089*1440,0),INT($F2089/100)*60+MOD($F2089,100)))</f>
        <v/>
      </c>
    </row>
    <row r="2090" customFormat="false" ht="15" hidden="false" customHeight="true" outlineLevel="0" collapsed="false">
      <c r="A2090" s="10"/>
      <c r="B2090" s="8"/>
      <c r="C2090" s="13" t="str">
        <f aca="false">IF($B2090="","",IFERROR(INDEX(직원목록!$B$3:$B$302,MATCH($B2090,직원목록!$A$3:$A$302,0)),"미등록사번"))</f>
        <v/>
      </c>
      <c r="D2090" s="13" t="str">
        <f aca="false">IF($B2090="","",IFERROR(INDEX(직원목록!$C$3:$C$302,MATCH($B2090,직원목록!$A$3:$A$302,0)),""))</f>
        <v/>
      </c>
      <c r="E2090" s="14"/>
      <c r="F2090" s="14"/>
      <c r="G2090" s="15"/>
      <c r="H2090" s="16" t="str">
        <f aca="false">IF(OR($K2090="",$L2090=""),"",ROUND(MAX(0,($L2090-$K2090)-IF($G2090="",0,$G2090))/60,2))</f>
        <v/>
      </c>
      <c r="I2090" s="8"/>
      <c r="J2090" s="8"/>
      <c r="K2090" s="17" t="str">
        <f aca="false">IF($E2090="","",IF($E2090&lt;1,ROUND($E2090*1440,0),INT($E2090/100)*60+MOD($E2090,100)))</f>
        <v/>
      </c>
      <c r="L2090" s="17" t="str">
        <f aca="false">IF($F2090="","",IF($F2090&lt;1,ROUND($F2090*1440,0),INT($F2090/100)*60+MOD($F2090,100)))</f>
        <v/>
      </c>
    </row>
    <row r="2091" customFormat="false" ht="15" hidden="false" customHeight="true" outlineLevel="0" collapsed="false">
      <c r="A2091" s="10"/>
      <c r="B2091" s="8"/>
      <c r="C2091" s="13" t="str">
        <f aca="false">IF($B2091="","",IFERROR(INDEX(직원목록!$B$3:$B$302,MATCH($B2091,직원목록!$A$3:$A$302,0)),"미등록사번"))</f>
        <v/>
      </c>
      <c r="D2091" s="13" t="str">
        <f aca="false">IF($B2091="","",IFERROR(INDEX(직원목록!$C$3:$C$302,MATCH($B2091,직원목록!$A$3:$A$302,0)),""))</f>
        <v/>
      </c>
      <c r="E2091" s="14"/>
      <c r="F2091" s="14"/>
      <c r="G2091" s="15"/>
      <c r="H2091" s="16" t="str">
        <f aca="false">IF(OR($K2091="",$L2091=""),"",ROUND(MAX(0,($L2091-$K2091)-IF($G2091="",0,$G2091))/60,2))</f>
        <v/>
      </c>
      <c r="I2091" s="8"/>
      <c r="J2091" s="8"/>
      <c r="K2091" s="17" t="str">
        <f aca="false">IF($E2091="","",IF($E2091&lt;1,ROUND($E2091*1440,0),INT($E2091/100)*60+MOD($E2091,100)))</f>
        <v/>
      </c>
      <c r="L2091" s="17" t="str">
        <f aca="false">IF($F2091="","",IF($F2091&lt;1,ROUND($F2091*1440,0),INT($F2091/100)*60+MOD($F2091,100)))</f>
        <v/>
      </c>
    </row>
    <row r="2092" customFormat="false" ht="15" hidden="false" customHeight="true" outlineLevel="0" collapsed="false">
      <c r="A2092" s="10"/>
      <c r="B2092" s="8"/>
      <c r="C2092" s="13" t="str">
        <f aca="false">IF($B2092="","",IFERROR(INDEX(직원목록!$B$3:$B$302,MATCH($B2092,직원목록!$A$3:$A$302,0)),"미등록사번"))</f>
        <v/>
      </c>
      <c r="D2092" s="13" t="str">
        <f aca="false">IF($B2092="","",IFERROR(INDEX(직원목록!$C$3:$C$302,MATCH($B2092,직원목록!$A$3:$A$302,0)),""))</f>
        <v/>
      </c>
      <c r="E2092" s="14"/>
      <c r="F2092" s="14"/>
      <c r="G2092" s="15"/>
      <c r="H2092" s="16" t="str">
        <f aca="false">IF(OR($K2092="",$L2092=""),"",ROUND(MAX(0,($L2092-$K2092)-IF($G2092="",0,$G2092))/60,2))</f>
        <v/>
      </c>
      <c r="I2092" s="8"/>
      <c r="J2092" s="8"/>
      <c r="K2092" s="17" t="str">
        <f aca="false">IF($E2092="","",IF($E2092&lt;1,ROUND($E2092*1440,0),INT($E2092/100)*60+MOD($E2092,100)))</f>
        <v/>
      </c>
      <c r="L2092" s="17" t="str">
        <f aca="false">IF($F2092="","",IF($F2092&lt;1,ROUND($F2092*1440,0),INT($F2092/100)*60+MOD($F2092,100)))</f>
        <v/>
      </c>
    </row>
    <row r="2093" customFormat="false" ht="15" hidden="false" customHeight="true" outlineLevel="0" collapsed="false">
      <c r="A2093" s="10"/>
      <c r="B2093" s="8"/>
      <c r="C2093" s="13" t="str">
        <f aca="false">IF($B2093="","",IFERROR(INDEX(직원목록!$B$3:$B$302,MATCH($B2093,직원목록!$A$3:$A$302,0)),"미등록사번"))</f>
        <v/>
      </c>
      <c r="D2093" s="13" t="str">
        <f aca="false">IF($B2093="","",IFERROR(INDEX(직원목록!$C$3:$C$302,MATCH($B2093,직원목록!$A$3:$A$302,0)),""))</f>
        <v/>
      </c>
      <c r="E2093" s="14"/>
      <c r="F2093" s="14"/>
      <c r="G2093" s="15"/>
      <c r="H2093" s="16" t="str">
        <f aca="false">IF(OR($K2093="",$L2093=""),"",ROUND(MAX(0,($L2093-$K2093)-IF($G2093="",0,$G2093))/60,2))</f>
        <v/>
      </c>
      <c r="I2093" s="8"/>
      <c r="J2093" s="8"/>
      <c r="K2093" s="17" t="str">
        <f aca="false">IF($E2093="","",IF($E2093&lt;1,ROUND($E2093*1440,0),INT($E2093/100)*60+MOD($E2093,100)))</f>
        <v/>
      </c>
      <c r="L2093" s="17" t="str">
        <f aca="false">IF($F2093="","",IF($F2093&lt;1,ROUND($F2093*1440,0),INT($F2093/100)*60+MOD($F2093,100)))</f>
        <v/>
      </c>
    </row>
    <row r="2094" customFormat="false" ht="15" hidden="false" customHeight="true" outlineLevel="0" collapsed="false">
      <c r="A2094" s="10"/>
      <c r="B2094" s="8"/>
      <c r="C2094" s="13" t="str">
        <f aca="false">IF($B2094="","",IFERROR(INDEX(직원목록!$B$3:$B$302,MATCH($B2094,직원목록!$A$3:$A$302,0)),"미등록사번"))</f>
        <v/>
      </c>
      <c r="D2094" s="13" t="str">
        <f aca="false">IF($B2094="","",IFERROR(INDEX(직원목록!$C$3:$C$302,MATCH($B2094,직원목록!$A$3:$A$302,0)),""))</f>
        <v/>
      </c>
      <c r="E2094" s="14"/>
      <c r="F2094" s="14"/>
      <c r="G2094" s="15"/>
      <c r="H2094" s="16" t="str">
        <f aca="false">IF(OR($K2094="",$L2094=""),"",ROUND(MAX(0,($L2094-$K2094)-IF($G2094="",0,$G2094))/60,2))</f>
        <v/>
      </c>
      <c r="I2094" s="8"/>
      <c r="J2094" s="8"/>
      <c r="K2094" s="17" t="str">
        <f aca="false">IF($E2094="","",IF($E2094&lt;1,ROUND($E2094*1440,0),INT($E2094/100)*60+MOD($E2094,100)))</f>
        <v/>
      </c>
      <c r="L2094" s="17" t="str">
        <f aca="false">IF($F2094="","",IF($F2094&lt;1,ROUND($F2094*1440,0),INT($F2094/100)*60+MOD($F2094,100)))</f>
        <v/>
      </c>
    </row>
    <row r="2095" customFormat="false" ht="15" hidden="false" customHeight="true" outlineLevel="0" collapsed="false">
      <c r="A2095" s="10"/>
      <c r="B2095" s="8"/>
      <c r="C2095" s="13" t="str">
        <f aca="false">IF($B2095="","",IFERROR(INDEX(직원목록!$B$3:$B$302,MATCH($B2095,직원목록!$A$3:$A$302,0)),"미등록사번"))</f>
        <v/>
      </c>
      <c r="D2095" s="13" t="str">
        <f aca="false">IF($B2095="","",IFERROR(INDEX(직원목록!$C$3:$C$302,MATCH($B2095,직원목록!$A$3:$A$302,0)),""))</f>
        <v/>
      </c>
      <c r="E2095" s="14"/>
      <c r="F2095" s="14"/>
      <c r="G2095" s="15"/>
      <c r="H2095" s="16" t="str">
        <f aca="false">IF(OR($K2095="",$L2095=""),"",ROUND(MAX(0,($L2095-$K2095)-IF($G2095="",0,$G2095))/60,2))</f>
        <v/>
      </c>
      <c r="I2095" s="8"/>
      <c r="J2095" s="8"/>
      <c r="K2095" s="17" t="str">
        <f aca="false">IF($E2095="","",IF($E2095&lt;1,ROUND($E2095*1440,0),INT($E2095/100)*60+MOD($E2095,100)))</f>
        <v/>
      </c>
      <c r="L2095" s="17" t="str">
        <f aca="false">IF($F2095="","",IF($F2095&lt;1,ROUND($F2095*1440,0),INT($F2095/100)*60+MOD($F2095,100)))</f>
        <v/>
      </c>
    </row>
    <row r="2096" customFormat="false" ht="15" hidden="false" customHeight="true" outlineLevel="0" collapsed="false">
      <c r="A2096" s="10"/>
      <c r="B2096" s="8"/>
      <c r="C2096" s="13" t="str">
        <f aca="false">IF($B2096="","",IFERROR(INDEX(직원목록!$B$3:$B$302,MATCH($B2096,직원목록!$A$3:$A$302,0)),"미등록사번"))</f>
        <v/>
      </c>
      <c r="D2096" s="13" t="str">
        <f aca="false">IF($B2096="","",IFERROR(INDEX(직원목록!$C$3:$C$302,MATCH($B2096,직원목록!$A$3:$A$302,0)),""))</f>
        <v/>
      </c>
      <c r="E2096" s="14"/>
      <c r="F2096" s="14"/>
      <c r="G2096" s="15"/>
      <c r="H2096" s="16" t="str">
        <f aca="false">IF(OR($K2096="",$L2096=""),"",ROUND(MAX(0,($L2096-$K2096)-IF($G2096="",0,$G2096))/60,2))</f>
        <v/>
      </c>
      <c r="I2096" s="8"/>
      <c r="J2096" s="8"/>
      <c r="K2096" s="17" t="str">
        <f aca="false">IF($E2096="","",IF($E2096&lt;1,ROUND($E2096*1440,0),INT($E2096/100)*60+MOD($E2096,100)))</f>
        <v/>
      </c>
      <c r="L2096" s="17" t="str">
        <f aca="false">IF($F2096="","",IF($F2096&lt;1,ROUND($F2096*1440,0),INT($F2096/100)*60+MOD($F2096,100)))</f>
        <v/>
      </c>
    </row>
    <row r="2097" customFormat="false" ht="15" hidden="false" customHeight="true" outlineLevel="0" collapsed="false">
      <c r="A2097" s="10"/>
      <c r="B2097" s="8"/>
      <c r="C2097" s="13" t="str">
        <f aca="false">IF($B2097="","",IFERROR(INDEX(직원목록!$B$3:$B$302,MATCH($B2097,직원목록!$A$3:$A$302,0)),"미등록사번"))</f>
        <v/>
      </c>
      <c r="D2097" s="13" t="str">
        <f aca="false">IF($B2097="","",IFERROR(INDEX(직원목록!$C$3:$C$302,MATCH($B2097,직원목록!$A$3:$A$302,0)),""))</f>
        <v/>
      </c>
      <c r="E2097" s="14"/>
      <c r="F2097" s="14"/>
      <c r="G2097" s="15"/>
      <c r="H2097" s="16" t="str">
        <f aca="false">IF(OR($K2097="",$L2097=""),"",ROUND(MAX(0,($L2097-$K2097)-IF($G2097="",0,$G2097))/60,2))</f>
        <v/>
      </c>
      <c r="I2097" s="8"/>
      <c r="J2097" s="8"/>
      <c r="K2097" s="17" t="str">
        <f aca="false">IF($E2097="","",IF($E2097&lt;1,ROUND($E2097*1440,0),INT($E2097/100)*60+MOD($E2097,100)))</f>
        <v/>
      </c>
      <c r="L2097" s="17" t="str">
        <f aca="false">IF($F2097="","",IF($F2097&lt;1,ROUND($F2097*1440,0),INT($F2097/100)*60+MOD($F2097,100)))</f>
        <v/>
      </c>
    </row>
    <row r="2098" customFormat="false" ht="15" hidden="false" customHeight="true" outlineLevel="0" collapsed="false">
      <c r="A2098" s="10"/>
      <c r="B2098" s="8"/>
      <c r="C2098" s="13" t="str">
        <f aca="false">IF($B2098="","",IFERROR(INDEX(직원목록!$B$3:$B$302,MATCH($B2098,직원목록!$A$3:$A$302,0)),"미등록사번"))</f>
        <v/>
      </c>
      <c r="D2098" s="13" t="str">
        <f aca="false">IF($B2098="","",IFERROR(INDEX(직원목록!$C$3:$C$302,MATCH($B2098,직원목록!$A$3:$A$302,0)),""))</f>
        <v/>
      </c>
      <c r="E2098" s="14"/>
      <c r="F2098" s="14"/>
      <c r="G2098" s="15"/>
      <c r="H2098" s="16" t="str">
        <f aca="false">IF(OR($K2098="",$L2098=""),"",ROUND(MAX(0,($L2098-$K2098)-IF($G2098="",0,$G2098))/60,2))</f>
        <v/>
      </c>
      <c r="I2098" s="8"/>
      <c r="J2098" s="8"/>
      <c r="K2098" s="17" t="str">
        <f aca="false">IF($E2098="","",IF($E2098&lt;1,ROUND($E2098*1440,0),INT($E2098/100)*60+MOD($E2098,100)))</f>
        <v/>
      </c>
      <c r="L2098" s="17" t="str">
        <f aca="false">IF($F2098="","",IF($F2098&lt;1,ROUND($F2098*1440,0),INT($F2098/100)*60+MOD($F2098,100)))</f>
        <v/>
      </c>
    </row>
    <row r="2099" customFormat="false" ht="15" hidden="false" customHeight="true" outlineLevel="0" collapsed="false">
      <c r="A2099" s="10"/>
      <c r="B2099" s="8"/>
      <c r="C2099" s="13" t="str">
        <f aca="false">IF($B2099="","",IFERROR(INDEX(직원목록!$B$3:$B$302,MATCH($B2099,직원목록!$A$3:$A$302,0)),"미등록사번"))</f>
        <v/>
      </c>
      <c r="D2099" s="13" t="str">
        <f aca="false">IF($B2099="","",IFERROR(INDEX(직원목록!$C$3:$C$302,MATCH($B2099,직원목록!$A$3:$A$302,0)),""))</f>
        <v/>
      </c>
      <c r="E2099" s="14"/>
      <c r="F2099" s="14"/>
      <c r="G2099" s="15"/>
      <c r="H2099" s="16" t="str">
        <f aca="false">IF(OR($K2099="",$L2099=""),"",ROUND(MAX(0,($L2099-$K2099)-IF($G2099="",0,$G2099))/60,2))</f>
        <v/>
      </c>
      <c r="I2099" s="8"/>
      <c r="J2099" s="8"/>
      <c r="K2099" s="17" t="str">
        <f aca="false">IF($E2099="","",IF($E2099&lt;1,ROUND($E2099*1440,0),INT($E2099/100)*60+MOD($E2099,100)))</f>
        <v/>
      </c>
      <c r="L2099" s="17" t="str">
        <f aca="false">IF($F2099="","",IF($F2099&lt;1,ROUND($F2099*1440,0),INT($F2099/100)*60+MOD($F2099,100)))</f>
        <v/>
      </c>
    </row>
    <row r="2100" customFormat="false" ht="15" hidden="false" customHeight="true" outlineLevel="0" collapsed="false">
      <c r="A2100" s="10"/>
      <c r="B2100" s="8"/>
      <c r="C2100" s="13" t="str">
        <f aca="false">IF($B2100="","",IFERROR(INDEX(직원목록!$B$3:$B$302,MATCH($B2100,직원목록!$A$3:$A$302,0)),"미등록사번"))</f>
        <v/>
      </c>
      <c r="D2100" s="13" t="str">
        <f aca="false">IF($B2100="","",IFERROR(INDEX(직원목록!$C$3:$C$302,MATCH($B2100,직원목록!$A$3:$A$302,0)),""))</f>
        <v/>
      </c>
      <c r="E2100" s="14"/>
      <c r="F2100" s="14"/>
      <c r="G2100" s="15"/>
      <c r="H2100" s="16" t="str">
        <f aca="false">IF(OR($K2100="",$L2100=""),"",ROUND(MAX(0,($L2100-$K2100)-IF($G2100="",0,$G2100))/60,2))</f>
        <v/>
      </c>
      <c r="I2100" s="8"/>
      <c r="J2100" s="8"/>
      <c r="K2100" s="17" t="str">
        <f aca="false">IF($E2100="","",IF($E2100&lt;1,ROUND($E2100*1440,0),INT($E2100/100)*60+MOD($E2100,100)))</f>
        <v/>
      </c>
      <c r="L2100" s="17" t="str">
        <f aca="false">IF($F2100="","",IF($F2100&lt;1,ROUND($F2100*1440,0),INT($F2100/100)*60+MOD($F2100,100)))</f>
        <v/>
      </c>
    </row>
    <row r="2101" customFormat="false" ht="15" hidden="false" customHeight="true" outlineLevel="0" collapsed="false">
      <c r="A2101" s="10"/>
      <c r="B2101" s="8"/>
      <c r="C2101" s="13" t="str">
        <f aca="false">IF($B2101="","",IFERROR(INDEX(직원목록!$B$3:$B$302,MATCH($B2101,직원목록!$A$3:$A$302,0)),"미등록사번"))</f>
        <v/>
      </c>
      <c r="D2101" s="13" t="str">
        <f aca="false">IF($B2101="","",IFERROR(INDEX(직원목록!$C$3:$C$302,MATCH($B2101,직원목록!$A$3:$A$302,0)),""))</f>
        <v/>
      </c>
      <c r="E2101" s="14"/>
      <c r="F2101" s="14"/>
      <c r="G2101" s="15"/>
      <c r="H2101" s="16" t="str">
        <f aca="false">IF(OR($K2101="",$L2101=""),"",ROUND(MAX(0,($L2101-$K2101)-IF($G2101="",0,$G2101))/60,2))</f>
        <v/>
      </c>
      <c r="I2101" s="8"/>
      <c r="J2101" s="8"/>
      <c r="K2101" s="17" t="str">
        <f aca="false">IF($E2101="","",IF($E2101&lt;1,ROUND($E2101*1440,0),INT($E2101/100)*60+MOD($E2101,100)))</f>
        <v/>
      </c>
      <c r="L2101" s="17" t="str">
        <f aca="false">IF($F2101="","",IF($F2101&lt;1,ROUND($F2101*1440,0),INT($F2101/100)*60+MOD($F2101,100)))</f>
        <v/>
      </c>
    </row>
    <row r="2102" customFormat="false" ht="15" hidden="false" customHeight="true" outlineLevel="0" collapsed="false">
      <c r="A2102" s="10"/>
      <c r="B2102" s="8"/>
      <c r="C2102" s="13" t="str">
        <f aca="false">IF($B2102="","",IFERROR(INDEX(직원목록!$B$3:$B$302,MATCH($B2102,직원목록!$A$3:$A$302,0)),"미등록사번"))</f>
        <v/>
      </c>
      <c r="D2102" s="13" t="str">
        <f aca="false">IF($B2102="","",IFERROR(INDEX(직원목록!$C$3:$C$302,MATCH($B2102,직원목록!$A$3:$A$302,0)),""))</f>
        <v/>
      </c>
      <c r="E2102" s="14"/>
      <c r="F2102" s="14"/>
      <c r="G2102" s="15"/>
      <c r="H2102" s="16" t="str">
        <f aca="false">IF(OR($K2102="",$L2102=""),"",ROUND(MAX(0,($L2102-$K2102)-IF($G2102="",0,$G2102))/60,2))</f>
        <v/>
      </c>
      <c r="I2102" s="8"/>
      <c r="J2102" s="8"/>
      <c r="K2102" s="17" t="str">
        <f aca="false">IF($E2102="","",IF($E2102&lt;1,ROUND($E2102*1440,0),INT($E2102/100)*60+MOD($E2102,100)))</f>
        <v/>
      </c>
      <c r="L2102" s="17" t="str">
        <f aca="false">IF($F2102="","",IF($F2102&lt;1,ROUND($F2102*1440,0),INT($F2102/100)*60+MOD($F2102,100)))</f>
        <v/>
      </c>
    </row>
    <row r="2103" customFormat="false" ht="15" hidden="false" customHeight="true" outlineLevel="0" collapsed="false">
      <c r="A2103" s="10"/>
      <c r="B2103" s="8"/>
      <c r="C2103" s="13" t="str">
        <f aca="false">IF($B2103="","",IFERROR(INDEX(직원목록!$B$3:$B$302,MATCH($B2103,직원목록!$A$3:$A$302,0)),"미등록사번"))</f>
        <v/>
      </c>
      <c r="D2103" s="13" t="str">
        <f aca="false">IF($B2103="","",IFERROR(INDEX(직원목록!$C$3:$C$302,MATCH($B2103,직원목록!$A$3:$A$302,0)),""))</f>
        <v/>
      </c>
      <c r="E2103" s="14"/>
      <c r="F2103" s="14"/>
      <c r="G2103" s="15"/>
      <c r="H2103" s="16" t="str">
        <f aca="false">IF(OR($K2103="",$L2103=""),"",ROUND(MAX(0,($L2103-$K2103)-IF($G2103="",0,$G2103))/60,2))</f>
        <v/>
      </c>
      <c r="I2103" s="8"/>
      <c r="J2103" s="8"/>
      <c r="K2103" s="17" t="str">
        <f aca="false">IF($E2103="","",IF($E2103&lt;1,ROUND($E2103*1440,0),INT($E2103/100)*60+MOD($E2103,100)))</f>
        <v/>
      </c>
      <c r="L2103" s="17" t="str">
        <f aca="false">IF($F2103="","",IF($F2103&lt;1,ROUND($F2103*1440,0),INT($F2103/100)*60+MOD($F2103,100)))</f>
        <v/>
      </c>
    </row>
    <row r="2104" customFormat="false" ht="15" hidden="false" customHeight="true" outlineLevel="0" collapsed="false">
      <c r="A2104" s="10"/>
      <c r="B2104" s="8"/>
      <c r="C2104" s="13" t="str">
        <f aca="false">IF($B2104="","",IFERROR(INDEX(직원목록!$B$3:$B$302,MATCH($B2104,직원목록!$A$3:$A$302,0)),"미등록사번"))</f>
        <v/>
      </c>
      <c r="D2104" s="13" t="str">
        <f aca="false">IF($B2104="","",IFERROR(INDEX(직원목록!$C$3:$C$302,MATCH($B2104,직원목록!$A$3:$A$302,0)),""))</f>
        <v/>
      </c>
      <c r="E2104" s="14"/>
      <c r="F2104" s="14"/>
      <c r="G2104" s="15"/>
      <c r="H2104" s="16" t="str">
        <f aca="false">IF(OR($K2104="",$L2104=""),"",ROUND(MAX(0,($L2104-$K2104)-IF($G2104="",0,$G2104))/60,2))</f>
        <v/>
      </c>
      <c r="I2104" s="8"/>
      <c r="J2104" s="8"/>
      <c r="K2104" s="17" t="str">
        <f aca="false">IF($E2104="","",IF($E2104&lt;1,ROUND($E2104*1440,0),INT($E2104/100)*60+MOD($E2104,100)))</f>
        <v/>
      </c>
      <c r="L2104" s="17" t="str">
        <f aca="false">IF($F2104="","",IF($F2104&lt;1,ROUND($F2104*1440,0),INT($F2104/100)*60+MOD($F2104,100)))</f>
        <v/>
      </c>
    </row>
    <row r="2105" customFormat="false" ht="15" hidden="false" customHeight="true" outlineLevel="0" collapsed="false">
      <c r="A2105" s="10"/>
      <c r="B2105" s="8"/>
      <c r="C2105" s="13" t="str">
        <f aca="false">IF($B2105="","",IFERROR(INDEX(직원목록!$B$3:$B$302,MATCH($B2105,직원목록!$A$3:$A$302,0)),"미등록사번"))</f>
        <v/>
      </c>
      <c r="D2105" s="13" t="str">
        <f aca="false">IF($B2105="","",IFERROR(INDEX(직원목록!$C$3:$C$302,MATCH($B2105,직원목록!$A$3:$A$302,0)),""))</f>
        <v/>
      </c>
      <c r="E2105" s="14"/>
      <c r="F2105" s="14"/>
      <c r="G2105" s="15"/>
      <c r="H2105" s="16" t="str">
        <f aca="false">IF(OR($K2105="",$L2105=""),"",ROUND(MAX(0,($L2105-$K2105)-IF($G2105="",0,$G2105))/60,2))</f>
        <v/>
      </c>
      <c r="I2105" s="8"/>
      <c r="J2105" s="8"/>
      <c r="K2105" s="17" t="str">
        <f aca="false">IF($E2105="","",IF($E2105&lt;1,ROUND($E2105*1440,0),INT($E2105/100)*60+MOD($E2105,100)))</f>
        <v/>
      </c>
      <c r="L2105" s="17" t="str">
        <f aca="false">IF($F2105="","",IF($F2105&lt;1,ROUND($F2105*1440,0),INT($F2105/100)*60+MOD($F2105,100)))</f>
        <v/>
      </c>
    </row>
    <row r="2106" customFormat="false" ht="15" hidden="false" customHeight="true" outlineLevel="0" collapsed="false">
      <c r="A2106" s="10"/>
      <c r="B2106" s="8"/>
      <c r="C2106" s="13" t="str">
        <f aca="false">IF($B2106="","",IFERROR(INDEX(직원목록!$B$3:$B$302,MATCH($B2106,직원목록!$A$3:$A$302,0)),"미등록사번"))</f>
        <v/>
      </c>
      <c r="D2106" s="13" t="str">
        <f aca="false">IF($B2106="","",IFERROR(INDEX(직원목록!$C$3:$C$302,MATCH($B2106,직원목록!$A$3:$A$302,0)),""))</f>
        <v/>
      </c>
      <c r="E2106" s="14"/>
      <c r="F2106" s="14"/>
      <c r="G2106" s="15"/>
      <c r="H2106" s="16" t="str">
        <f aca="false">IF(OR($K2106="",$L2106=""),"",ROUND(MAX(0,($L2106-$K2106)-IF($G2106="",0,$G2106))/60,2))</f>
        <v/>
      </c>
      <c r="I2106" s="8"/>
      <c r="J2106" s="8"/>
      <c r="K2106" s="17" t="str">
        <f aca="false">IF($E2106="","",IF($E2106&lt;1,ROUND($E2106*1440,0),INT($E2106/100)*60+MOD($E2106,100)))</f>
        <v/>
      </c>
      <c r="L2106" s="17" t="str">
        <f aca="false">IF($F2106="","",IF($F2106&lt;1,ROUND($F2106*1440,0),INT($F2106/100)*60+MOD($F2106,100)))</f>
        <v/>
      </c>
    </row>
    <row r="2107" customFormat="false" ht="15" hidden="false" customHeight="true" outlineLevel="0" collapsed="false">
      <c r="A2107" s="10"/>
      <c r="B2107" s="8"/>
      <c r="C2107" s="13" t="str">
        <f aca="false">IF($B2107="","",IFERROR(INDEX(직원목록!$B$3:$B$302,MATCH($B2107,직원목록!$A$3:$A$302,0)),"미등록사번"))</f>
        <v/>
      </c>
      <c r="D2107" s="13" t="str">
        <f aca="false">IF($B2107="","",IFERROR(INDEX(직원목록!$C$3:$C$302,MATCH($B2107,직원목록!$A$3:$A$302,0)),""))</f>
        <v/>
      </c>
      <c r="E2107" s="14"/>
      <c r="F2107" s="14"/>
      <c r="G2107" s="15"/>
      <c r="H2107" s="16" t="str">
        <f aca="false">IF(OR($K2107="",$L2107=""),"",ROUND(MAX(0,($L2107-$K2107)-IF($G2107="",0,$G2107))/60,2))</f>
        <v/>
      </c>
      <c r="I2107" s="8"/>
      <c r="J2107" s="8"/>
      <c r="K2107" s="17" t="str">
        <f aca="false">IF($E2107="","",IF($E2107&lt;1,ROUND($E2107*1440,0),INT($E2107/100)*60+MOD($E2107,100)))</f>
        <v/>
      </c>
      <c r="L2107" s="17" t="str">
        <f aca="false">IF($F2107="","",IF($F2107&lt;1,ROUND($F2107*1440,0),INT($F2107/100)*60+MOD($F2107,100)))</f>
        <v/>
      </c>
    </row>
    <row r="2108" customFormat="false" ht="15" hidden="false" customHeight="true" outlineLevel="0" collapsed="false">
      <c r="A2108" s="10"/>
      <c r="B2108" s="8"/>
      <c r="C2108" s="13" t="str">
        <f aca="false">IF($B2108="","",IFERROR(INDEX(직원목록!$B$3:$B$302,MATCH($B2108,직원목록!$A$3:$A$302,0)),"미등록사번"))</f>
        <v/>
      </c>
      <c r="D2108" s="13" t="str">
        <f aca="false">IF($B2108="","",IFERROR(INDEX(직원목록!$C$3:$C$302,MATCH($B2108,직원목록!$A$3:$A$302,0)),""))</f>
        <v/>
      </c>
      <c r="E2108" s="14"/>
      <c r="F2108" s="14"/>
      <c r="G2108" s="15"/>
      <c r="H2108" s="16" t="str">
        <f aca="false">IF(OR($K2108="",$L2108=""),"",ROUND(MAX(0,($L2108-$K2108)-IF($G2108="",0,$G2108))/60,2))</f>
        <v/>
      </c>
      <c r="I2108" s="8"/>
      <c r="J2108" s="8"/>
      <c r="K2108" s="17" t="str">
        <f aca="false">IF($E2108="","",IF($E2108&lt;1,ROUND($E2108*1440,0),INT($E2108/100)*60+MOD($E2108,100)))</f>
        <v/>
      </c>
      <c r="L2108" s="17" t="str">
        <f aca="false">IF($F2108="","",IF($F2108&lt;1,ROUND($F2108*1440,0),INT($F2108/100)*60+MOD($F2108,100)))</f>
        <v/>
      </c>
    </row>
    <row r="2109" customFormat="false" ht="15" hidden="false" customHeight="true" outlineLevel="0" collapsed="false">
      <c r="A2109" s="10"/>
      <c r="B2109" s="8"/>
      <c r="C2109" s="13" t="str">
        <f aca="false">IF($B2109="","",IFERROR(INDEX(직원목록!$B$3:$B$302,MATCH($B2109,직원목록!$A$3:$A$302,0)),"미등록사번"))</f>
        <v/>
      </c>
      <c r="D2109" s="13" t="str">
        <f aca="false">IF($B2109="","",IFERROR(INDEX(직원목록!$C$3:$C$302,MATCH($B2109,직원목록!$A$3:$A$302,0)),""))</f>
        <v/>
      </c>
      <c r="E2109" s="14"/>
      <c r="F2109" s="14"/>
      <c r="G2109" s="15"/>
      <c r="H2109" s="16" t="str">
        <f aca="false">IF(OR($K2109="",$L2109=""),"",ROUND(MAX(0,($L2109-$K2109)-IF($G2109="",0,$G2109))/60,2))</f>
        <v/>
      </c>
      <c r="I2109" s="8"/>
      <c r="J2109" s="8"/>
      <c r="K2109" s="17" t="str">
        <f aca="false">IF($E2109="","",IF($E2109&lt;1,ROUND($E2109*1440,0),INT($E2109/100)*60+MOD($E2109,100)))</f>
        <v/>
      </c>
      <c r="L2109" s="17" t="str">
        <f aca="false">IF($F2109="","",IF($F2109&lt;1,ROUND($F2109*1440,0),INT($F2109/100)*60+MOD($F2109,100)))</f>
        <v/>
      </c>
    </row>
    <row r="2110" customFormat="false" ht="15" hidden="false" customHeight="true" outlineLevel="0" collapsed="false">
      <c r="A2110" s="10"/>
      <c r="B2110" s="8"/>
      <c r="C2110" s="13" t="str">
        <f aca="false">IF($B2110="","",IFERROR(INDEX(직원목록!$B$3:$B$302,MATCH($B2110,직원목록!$A$3:$A$302,0)),"미등록사번"))</f>
        <v/>
      </c>
      <c r="D2110" s="13" t="str">
        <f aca="false">IF($B2110="","",IFERROR(INDEX(직원목록!$C$3:$C$302,MATCH($B2110,직원목록!$A$3:$A$302,0)),""))</f>
        <v/>
      </c>
      <c r="E2110" s="14"/>
      <c r="F2110" s="14"/>
      <c r="G2110" s="15"/>
      <c r="H2110" s="16" t="str">
        <f aca="false">IF(OR($K2110="",$L2110=""),"",ROUND(MAX(0,($L2110-$K2110)-IF($G2110="",0,$G2110))/60,2))</f>
        <v/>
      </c>
      <c r="I2110" s="8"/>
      <c r="J2110" s="8"/>
      <c r="K2110" s="17" t="str">
        <f aca="false">IF($E2110="","",IF($E2110&lt;1,ROUND($E2110*1440,0),INT($E2110/100)*60+MOD($E2110,100)))</f>
        <v/>
      </c>
      <c r="L2110" s="17" t="str">
        <f aca="false">IF($F2110="","",IF($F2110&lt;1,ROUND($F2110*1440,0),INT($F2110/100)*60+MOD($F2110,100)))</f>
        <v/>
      </c>
    </row>
    <row r="2111" customFormat="false" ht="15" hidden="false" customHeight="true" outlineLevel="0" collapsed="false">
      <c r="A2111" s="10"/>
      <c r="B2111" s="8"/>
      <c r="C2111" s="13" t="str">
        <f aca="false">IF($B2111="","",IFERROR(INDEX(직원목록!$B$3:$B$302,MATCH($B2111,직원목록!$A$3:$A$302,0)),"미등록사번"))</f>
        <v/>
      </c>
      <c r="D2111" s="13" t="str">
        <f aca="false">IF($B2111="","",IFERROR(INDEX(직원목록!$C$3:$C$302,MATCH($B2111,직원목록!$A$3:$A$302,0)),""))</f>
        <v/>
      </c>
      <c r="E2111" s="14"/>
      <c r="F2111" s="14"/>
      <c r="G2111" s="15"/>
      <c r="H2111" s="16" t="str">
        <f aca="false">IF(OR($K2111="",$L2111=""),"",ROUND(MAX(0,($L2111-$K2111)-IF($G2111="",0,$G2111))/60,2))</f>
        <v/>
      </c>
      <c r="I2111" s="8"/>
      <c r="J2111" s="8"/>
      <c r="K2111" s="17" t="str">
        <f aca="false">IF($E2111="","",IF($E2111&lt;1,ROUND($E2111*1440,0),INT($E2111/100)*60+MOD($E2111,100)))</f>
        <v/>
      </c>
      <c r="L2111" s="17" t="str">
        <f aca="false">IF($F2111="","",IF($F2111&lt;1,ROUND($F2111*1440,0),INT($F2111/100)*60+MOD($F2111,100)))</f>
        <v/>
      </c>
    </row>
    <row r="2112" customFormat="false" ht="15" hidden="false" customHeight="true" outlineLevel="0" collapsed="false">
      <c r="A2112" s="10"/>
      <c r="B2112" s="8"/>
      <c r="C2112" s="13" t="str">
        <f aca="false">IF($B2112="","",IFERROR(INDEX(직원목록!$B$3:$B$302,MATCH($B2112,직원목록!$A$3:$A$302,0)),"미등록사번"))</f>
        <v/>
      </c>
      <c r="D2112" s="13" t="str">
        <f aca="false">IF($B2112="","",IFERROR(INDEX(직원목록!$C$3:$C$302,MATCH($B2112,직원목록!$A$3:$A$302,0)),""))</f>
        <v/>
      </c>
      <c r="E2112" s="14"/>
      <c r="F2112" s="14"/>
      <c r="G2112" s="15"/>
      <c r="H2112" s="16" t="str">
        <f aca="false">IF(OR($K2112="",$L2112=""),"",ROUND(MAX(0,($L2112-$K2112)-IF($G2112="",0,$G2112))/60,2))</f>
        <v/>
      </c>
      <c r="I2112" s="8"/>
      <c r="J2112" s="8"/>
      <c r="K2112" s="17" t="str">
        <f aca="false">IF($E2112="","",IF($E2112&lt;1,ROUND($E2112*1440,0),INT($E2112/100)*60+MOD($E2112,100)))</f>
        <v/>
      </c>
      <c r="L2112" s="17" t="str">
        <f aca="false">IF($F2112="","",IF($F2112&lt;1,ROUND($F2112*1440,0),INT($F2112/100)*60+MOD($F2112,100)))</f>
        <v/>
      </c>
    </row>
    <row r="2113" customFormat="false" ht="15" hidden="false" customHeight="true" outlineLevel="0" collapsed="false">
      <c r="A2113" s="10"/>
      <c r="B2113" s="8"/>
      <c r="C2113" s="13" t="str">
        <f aca="false">IF($B2113="","",IFERROR(INDEX(직원목록!$B$3:$B$302,MATCH($B2113,직원목록!$A$3:$A$302,0)),"미등록사번"))</f>
        <v/>
      </c>
      <c r="D2113" s="13" t="str">
        <f aca="false">IF($B2113="","",IFERROR(INDEX(직원목록!$C$3:$C$302,MATCH($B2113,직원목록!$A$3:$A$302,0)),""))</f>
        <v/>
      </c>
      <c r="E2113" s="14"/>
      <c r="F2113" s="14"/>
      <c r="G2113" s="15"/>
      <c r="H2113" s="16" t="str">
        <f aca="false">IF(OR($K2113="",$L2113=""),"",ROUND(MAX(0,($L2113-$K2113)-IF($G2113="",0,$G2113))/60,2))</f>
        <v/>
      </c>
      <c r="I2113" s="8"/>
      <c r="J2113" s="8"/>
      <c r="K2113" s="17" t="str">
        <f aca="false">IF($E2113="","",IF($E2113&lt;1,ROUND($E2113*1440,0),INT($E2113/100)*60+MOD($E2113,100)))</f>
        <v/>
      </c>
      <c r="L2113" s="17" t="str">
        <f aca="false">IF($F2113="","",IF($F2113&lt;1,ROUND($F2113*1440,0),INT($F2113/100)*60+MOD($F2113,100)))</f>
        <v/>
      </c>
    </row>
    <row r="2114" customFormat="false" ht="15" hidden="false" customHeight="true" outlineLevel="0" collapsed="false">
      <c r="A2114" s="10"/>
      <c r="B2114" s="8"/>
      <c r="C2114" s="13" t="str">
        <f aca="false">IF($B2114="","",IFERROR(INDEX(직원목록!$B$3:$B$302,MATCH($B2114,직원목록!$A$3:$A$302,0)),"미등록사번"))</f>
        <v/>
      </c>
      <c r="D2114" s="13" t="str">
        <f aca="false">IF($B2114="","",IFERROR(INDEX(직원목록!$C$3:$C$302,MATCH($B2114,직원목록!$A$3:$A$302,0)),""))</f>
        <v/>
      </c>
      <c r="E2114" s="14"/>
      <c r="F2114" s="14"/>
      <c r="G2114" s="15"/>
      <c r="H2114" s="16" t="str">
        <f aca="false">IF(OR($K2114="",$L2114=""),"",ROUND(MAX(0,($L2114-$K2114)-IF($G2114="",0,$G2114))/60,2))</f>
        <v/>
      </c>
      <c r="I2114" s="8"/>
      <c r="J2114" s="8"/>
      <c r="K2114" s="17" t="str">
        <f aca="false">IF($E2114="","",IF($E2114&lt;1,ROUND($E2114*1440,0),INT($E2114/100)*60+MOD($E2114,100)))</f>
        <v/>
      </c>
      <c r="L2114" s="17" t="str">
        <f aca="false">IF($F2114="","",IF($F2114&lt;1,ROUND($F2114*1440,0),INT($F2114/100)*60+MOD($F2114,100)))</f>
        <v/>
      </c>
    </row>
    <row r="2115" customFormat="false" ht="15" hidden="false" customHeight="true" outlineLevel="0" collapsed="false">
      <c r="A2115" s="10"/>
      <c r="B2115" s="8"/>
      <c r="C2115" s="13" t="str">
        <f aca="false">IF($B2115="","",IFERROR(INDEX(직원목록!$B$3:$B$302,MATCH($B2115,직원목록!$A$3:$A$302,0)),"미등록사번"))</f>
        <v/>
      </c>
      <c r="D2115" s="13" t="str">
        <f aca="false">IF($B2115="","",IFERROR(INDEX(직원목록!$C$3:$C$302,MATCH($B2115,직원목록!$A$3:$A$302,0)),""))</f>
        <v/>
      </c>
      <c r="E2115" s="14"/>
      <c r="F2115" s="14"/>
      <c r="G2115" s="15"/>
      <c r="H2115" s="16" t="str">
        <f aca="false">IF(OR($K2115="",$L2115=""),"",ROUND(MAX(0,($L2115-$K2115)-IF($G2115="",0,$G2115))/60,2))</f>
        <v/>
      </c>
      <c r="I2115" s="8"/>
      <c r="J2115" s="8"/>
      <c r="K2115" s="17" t="str">
        <f aca="false">IF($E2115="","",IF($E2115&lt;1,ROUND($E2115*1440,0),INT($E2115/100)*60+MOD($E2115,100)))</f>
        <v/>
      </c>
      <c r="L2115" s="17" t="str">
        <f aca="false">IF($F2115="","",IF($F2115&lt;1,ROUND($F2115*1440,0),INT($F2115/100)*60+MOD($F2115,100)))</f>
        <v/>
      </c>
    </row>
    <row r="2116" customFormat="false" ht="15" hidden="false" customHeight="true" outlineLevel="0" collapsed="false">
      <c r="A2116" s="10"/>
      <c r="B2116" s="8"/>
      <c r="C2116" s="13" t="str">
        <f aca="false">IF($B2116="","",IFERROR(INDEX(직원목록!$B$3:$B$302,MATCH($B2116,직원목록!$A$3:$A$302,0)),"미등록사번"))</f>
        <v/>
      </c>
      <c r="D2116" s="13" t="str">
        <f aca="false">IF($B2116="","",IFERROR(INDEX(직원목록!$C$3:$C$302,MATCH($B2116,직원목록!$A$3:$A$302,0)),""))</f>
        <v/>
      </c>
      <c r="E2116" s="14"/>
      <c r="F2116" s="14"/>
      <c r="G2116" s="15"/>
      <c r="H2116" s="16" t="str">
        <f aca="false">IF(OR($K2116="",$L2116=""),"",ROUND(MAX(0,($L2116-$K2116)-IF($G2116="",0,$G2116))/60,2))</f>
        <v/>
      </c>
      <c r="I2116" s="8"/>
      <c r="J2116" s="8"/>
      <c r="K2116" s="17" t="str">
        <f aca="false">IF($E2116="","",IF($E2116&lt;1,ROUND($E2116*1440,0),INT($E2116/100)*60+MOD($E2116,100)))</f>
        <v/>
      </c>
      <c r="L2116" s="17" t="str">
        <f aca="false">IF($F2116="","",IF($F2116&lt;1,ROUND($F2116*1440,0),INT($F2116/100)*60+MOD($F2116,100)))</f>
        <v/>
      </c>
    </row>
    <row r="2117" customFormat="false" ht="15" hidden="false" customHeight="true" outlineLevel="0" collapsed="false">
      <c r="A2117" s="10"/>
      <c r="B2117" s="8"/>
      <c r="C2117" s="13" t="str">
        <f aca="false">IF($B2117="","",IFERROR(INDEX(직원목록!$B$3:$B$302,MATCH($B2117,직원목록!$A$3:$A$302,0)),"미등록사번"))</f>
        <v/>
      </c>
      <c r="D2117" s="13" t="str">
        <f aca="false">IF($B2117="","",IFERROR(INDEX(직원목록!$C$3:$C$302,MATCH($B2117,직원목록!$A$3:$A$302,0)),""))</f>
        <v/>
      </c>
      <c r="E2117" s="14"/>
      <c r="F2117" s="14"/>
      <c r="G2117" s="15"/>
      <c r="H2117" s="16" t="str">
        <f aca="false">IF(OR($K2117="",$L2117=""),"",ROUND(MAX(0,($L2117-$K2117)-IF($G2117="",0,$G2117))/60,2))</f>
        <v/>
      </c>
      <c r="I2117" s="8"/>
      <c r="J2117" s="8"/>
      <c r="K2117" s="17" t="str">
        <f aca="false">IF($E2117="","",IF($E2117&lt;1,ROUND($E2117*1440,0),INT($E2117/100)*60+MOD($E2117,100)))</f>
        <v/>
      </c>
      <c r="L2117" s="17" t="str">
        <f aca="false">IF($F2117="","",IF($F2117&lt;1,ROUND($F2117*1440,0),INT($F2117/100)*60+MOD($F2117,100)))</f>
        <v/>
      </c>
    </row>
    <row r="2118" customFormat="false" ht="15" hidden="false" customHeight="true" outlineLevel="0" collapsed="false">
      <c r="A2118" s="10"/>
      <c r="B2118" s="8"/>
      <c r="C2118" s="13" t="str">
        <f aca="false">IF($B2118="","",IFERROR(INDEX(직원목록!$B$3:$B$302,MATCH($B2118,직원목록!$A$3:$A$302,0)),"미등록사번"))</f>
        <v/>
      </c>
      <c r="D2118" s="13" t="str">
        <f aca="false">IF($B2118="","",IFERROR(INDEX(직원목록!$C$3:$C$302,MATCH($B2118,직원목록!$A$3:$A$302,0)),""))</f>
        <v/>
      </c>
      <c r="E2118" s="14"/>
      <c r="F2118" s="14"/>
      <c r="G2118" s="15"/>
      <c r="H2118" s="16" t="str">
        <f aca="false">IF(OR($K2118="",$L2118=""),"",ROUND(MAX(0,($L2118-$K2118)-IF($G2118="",0,$G2118))/60,2))</f>
        <v/>
      </c>
      <c r="I2118" s="8"/>
      <c r="J2118" s="8"/>
      <c r="K2118" s="17" t="str">
        <f aca="false">IF($E2118="","",IF($E2118&lt;1,ROUND($E2118*1440,0),INT($E2118/100)*60+MOD($E2118,100)))</f>
        <v/>
      </c>
      <c r="L2118" s="17" t="str">
        <f aca="false">IF($F2118="","",IF($F2118&lt;1,ROUND($F2118*1440,0),INT($F2118/100)*60+MOD($F2118,100)))</f>
        <v/>
      </c>
    </row>
    <row r="2119" customFormat="false" ht="15" hidden="false" customHeight="true" outlineLevel="0" collapsed="false">
      <c r="A2119" s="10"/>
      <c r="B2119" s="8"/>
      <c r="C2119" s="13" t="str">
        <f aca="false">IF($B2119="","",IFERROR(INDEX(직원목록!$B$3:$B$302,MATCH($B2119,직원목록!$A$3:$A$302,0)),"미등록사번"))</f>
        <v/>
      </c>
      <c r="D2119" s="13" t="str">
        <f aca="false">IF($B2119="","",IFERROR(INDEX(직원목록!$C$3:$C$302,MATCH($B2119,직원목록!$A$3:$A$302,0)),""))</f>
        <v/>
      </c>
      <c r="E2119" s="14"/>
      <c r="F2119" s="14"/>
      <c r="G2119" s="15"/>
      <c r="H2119" s="16" t="str">
        <f aca="false">IF(OR($K2119="",$L2119=""),"",ROUND(MAX(0,($L2119-$K2119)-IF($G2119="",0,$G2119))/60,2))</f>
        <v/>
      </c>
      <c r="I2119" s="8"/>
      <c r="J2119" s="8"/>
      <c r="K2119" s="17" t="str">
        <f aca="false">IF($E2119="","",IF($E2119&lt;1,ROUND($E2119*1440,0),INT($E2119/100)*60+MOD($E2119,100)))</f>
        <v/>
      </c>
      <c r="L2119" s="17" t="str">
        <f aca="false">IF($F2119="","",IF($F2119&lt;1,ROUND($F2119*1440,0),INT($F2119/100)*60+MOD($F2119,100)))</f>
        <v/>
      </c>
    </row>
    <row r="2120" customFormat="false" ht="15" hidden="false" customHeight="true" outlineLevel="0" collapsed="false">
      <c r="A2120" s="10"/>
      <c r="B2120" s="8"/>
      <c r="C2120" s="13" t="str">
        <f aca="false">IF($B2120="","",IFERROR(INDEX(직원목록!$B$3:$B$302,MATCH($B2120,직원목록!$A$3:$A$302,0)),"미등록사번"))</f>
        <v/>
      </c>
      <c r="D2120" s="13" t="str">
        <f aca="false">IF($B2120="","",IFERROR(INDEX(직원목록!$C$3:$C$302,MATCH($B2120,직원목록!$A$3:$A$302,0)),""))</f>
        <v/>
      </c>
      <c r="E2120" s="14"/>
      <c r="F2120" s="14"/>
      <c r="G2120" s="15"/>
      <c r="H2120" s="16" t="str">
        <f aca="false">IF(OR($K2120="",$L2120=""),"",ROUND(MAX(0,($L2120-$K2120)-IF($G2120="",0,$G2120))/60,2))</f>
        <v/>
      </c>
      <c r="I2120" s="8"/>
      <c r="J2120" s="8"/>
      <c r="K2120" s="17" t="str">
        <f aca="false">IF($E2120="","",IF($E2120&lt;1,ROUND($E2120*1440,0),INT($E2120/100)*60+MOD($E2120,100)))</f>
        <v/>
      </c>
      <c r="L2120" s="17" t="str">
        <f aca="false">IF($F2120="","",IF($F2120&lt;1,ROUND($F2120*1440,0),INT($F2120/100)*60+MOD($F2120,100)))</f>
        <v/>
      </c>
    </row>
    <row r="2121" customFormat="false" ht="15" hidden="false" customHeight="true" outlineLevel="0" collapsed="false">
      <c r="A2121" s="10"/>
      <c r="B2121" s="8"/>
      <c r="C2121" s="13" t="str">
        <f aca="false">IF($B2121="","",IFERROR(INDEX(직원목록!$B$3:$B$302,MATCH($B2121,직원목록!$A$3:$A$302,0)),"미등록사번"))</f>
        <v/>
      </c>
      <c r="D2121" s="13" t="str">
        <f aca="false">IF($B2121="","",IFERROR(INDEX(직원목록!$C$3:$C$302,MATCH($B2121,직원목록!$A$3:$A$302,0)),""))</f>
        <v/>
      </c>
      <c r="E2121" s="14"/>
      <c r="F2121" s="14"/>
      <c r="G2121" s="15"/>
      <c r="H2121" s="16" t="str">
        <f aca="false">IF(OR($K2121="",$L2121=""),"",ROUND(MAX(0,($L2121-$K2121)-IF($G2121="",0,$G2121))/60,2))</f>
        <v/>
      </c>
      <c r="I2121" s="8"/>
      <c r="J2121" s="8"/>
      <c r="K2121" s="17" t="str">
        <f aca="false">IF($E2121="","",IF($E2121&lt;1,ROUND($E2121*1440,0),INT($E2121/100)*60+MOD($E2121,100)))</f>
        <v/>
      </c>
      <c r="L2121" s="17" t="str">
        <f aca="false">IF($F2121="","",IF($F2121&lt;1,ROUND($F2121*1440,0),INT($F2121/100)*60+MOD($F2121,100)))</f>
        <v/>
      </c>
    </row>
    <row r="2122" customFormat="false" ht="15" hidden="false" customHeight="true" outlineLevel="0" collapsed="false">
      <c r="A2122" s="10"/>
      <c r="B2122" s="8"/>
      <c r="C2122" s="13" t="str">
        <f aca="false">IF($B2122="","",IFERROR(INDEX(직원목록!$B$3:$B$302,MATCH($B2122,직원목록!$A$3:$A$302,0)),"미등록사번"))</f>
        <v/>
      </c>
      <c r="D2122" s="13" t="str">
        <f aca="false">IF($B2122="","",IFERROR(INDEX(직원목록!$C$3:$C$302,MATCH($B2122,직원목록!$A$3:$A$302,0)),""))</f>
        <v/>
      </c>
      <c r="E2122" s="14"/>
      <c r="F2122" s="14"/>
      <c r="G2122" s="15"/>
      <c r="H2122" s="16" t="str">
        <f aca="false">IF(OR($K2122="",$L2122=""),"",ROUND(MAX(0,($L2122-$K2122)-IF($G2122="",0,$G2122))/60,2))</f>
        <v/>
      </c>
      <c r="I2122" s="8"/>
      <c r="J2122" s="8"/>
      <c r="K2122" s="17" t="str">
        <f aca="false">IF($E2122="","",IF($E2122&lt;1,ROUND($E2122*1440,0),INT($E2122/100)*60+MOD($E2122,100)))</f>
        <v/>
      </c>
      <c r="L2122" s="17" t="str">
        <f aca="false">IF($F2122="","",IF($F2122&lt;1,ROUND($F2122*1440,0),INT($F2122/100)*60+MOD($F2122,100)))</f>
        <v/>
      </c>
    </row>
    <row r="2123" customFormat="false" ht="15" hidden="false" customHeight="true" outlineLevel="0" collapsed="false">
      <c r="A2123" s="10"/>
      <c r="B2123" s="8"/>
      <c r="C2123" s="13" t="str">
        <f aca="false">IF($B2123="","",IFERROR(INDEX(직원목록!$B$3:$B$302,MATCH($B2123,직원목록!$A$3:$A$302,0)),"미등록사번"))</f>
        <v/>
      </c>
      <c r="D2123" s="13" t="str">
        <f aca="false">IF($B2123="","",IFERROR(INDEX(직원목록!$C$3:$C$302,MATCH($B2123,직원목록!$A$3:$A$302,0)),""))</f>
        <v/>
      </c>
      <c r="E2123" s="14"/>
      <c r="F2123" s="14"/>
      <c r="G2123" s="15"/>
      <c r="H2123" s="16" t="str">
        <f aca="false">IF(OR($K2123="",$L2123=""),"",ROUND(MAX(0,($L2123-$K2123)-IF($G2123="",0,$G2123))/60,2))</f>
        <v/>
      </c>
      <c r="I2123" s="8"/>
      <c r="J2123" s="8"/>
      <c r="K2123" s="17" t="str">
        <f aca="false">IF($E2123="","",IF($E2123&lt;1,ROUND($E2123*1440,0),INT($E2123/100)*60+MOD($E2123,100)))</f>
        <v/>
      </c>
      <c r="L2123" s="17" t="str">
        <f aca="false">IF($F2123="","",IF($F2123&lt;1,ROUND($F2123*1440,0),INT($F2123/100)*60+MOD($F2123,100)))</f>
        <v/>
      </c>
    </row>
    <row r="2124" customFormat="false" ht="15" hidden="false" customHeight="true" outlineLevel="0" collapsed="false">
      <c r="A2124" s="10"/>
      <c r="B2124" s="8"/>
      <c r="C2124" s="13" t="str">
        <f aca="false">IF($B2124="","",IFERROR(INDEX(직원목록!$B$3:$B$302,MATCH($B2124,직원목록!$A$3:$A$302,0)),"미등록사번"))</f>
        <v/>
      </c>
      <c r="D2124" s="13" t="str">
        <f aca="false">IF($B2124="","",IFERROR(INDEX(직원목록!$C$3:$C$302,MATCH($B2124,직원목록!$A$3:$A$302,0)),""))</f>
        <v/>
      </c>
      <c r="E2124" s="14"/>
      <c r="F2124" s="14"/>
      <c r="G2124" s="15"/>
      <c r="H2124" s="16" t="str">
        <f aca="false">IF(OR($K2124="",$L2124=""),"",ROUND(MAX(0,($L2124-$K2124)-IF($G2124="",0,$G2124))/60,2))</f>
        <v/>
      </c>
      <c r="I2124" s="8"/>
      <c r="J2124" s="8"/>
      <c r="K2124" s="17" t="str">
        <f aca="false">IF($E2124="","",IF($E2124&lt;1,ROUND($E2124*1440,0),INT($E2124/100)*60+MOD($E2124,100)))</f>
        <v/>
      </c>
      <c r="L2124" s="17" t="str">
        <f aca="false">IF($F2124="","",IF($F2124&lt;1,ROUND($F2124*1440,0),INT($F2124/100)*60+MOD($F2124,100)))</f>
        <v/>
      </c>
    </row>
    <row r="2125" customFormat="false" ht="15" hidden="false" customHeight="true" outlineLevel="0" collapsed="false">
      <c r="A2125" s="10"/>
      <c r="B2125" s="8"/>
      <c r="C2125" s="13" t="str">
        <f aca="false">IF($B2125="","",IFERROR(INDEX(직원목록!$B$3:$B$302,MATCH($B2125,직원목록!$A$3:$A$302,0)),"미등록사번"))</f>
        <v/>
      </c>
      <c r="D2125" s="13" t="str">
        <f aca="false">IF($B2125="","",IFERROR(INDEX(직원목록!$C$3:$C$302,MATCH($B2125,직원목록!$A$3:$A$302,0)),""))</f>
        <v/>
      </c>
      <c r="E2125" s="14"/>
      <c r="F2125" s="14"/>
      <c r="G2125" s="15"/>
      <c r="H2125" s="16" t="str">
        <f aca="false">IF(OR($K2125="",$L2125=""),"",ROUND(MAX(0,($L2125-$K2125)-IF($G2125="",0,$G2125))/60,2))</f>
        <v/>
      </c>
      <c r="I2125" s="8"/>
      <c r="J2125" s="8"/>
      <c r="K2125" s="17" t="str">
        <f aca="false">IF($E2125="","",IF($E2125&lt;1,ROUND($E2125*1440,0),INT($E2125/100)*60+MOD($E2125,100)))</f>
        <v/>
      </c>
      <c r="L2125" s="17" t="str">
        <f aca="false">IF($F2125="","",IF($F2125&lt;1,ROUND($F2125*1440,0),INT($F2125/100)*60+MOD($F2125,100)))</f>
        <v/>
      </c>
    </row>
    <row r="2126" customFormat="false" ht="15" hidden="false" customHeight="true" outlineLevel="0" collapsed="false">
      <c r="A2126" s="10"/>
      <c r="B2126" s="8"/>
      <c r="C2126" s="13" t="str">
        <f aca="false">IF($B2126="","",IFERROR(INDEX(직원목록!$B$3:$B$302,MATCH($B2126,직원목록!$A$3:$A$302,0)),"미등록사번"))</f>
        <v/>
      </c>
      <c r="D2126" s="13" t="str">
        <f aca="false">IF($B2126="","",IFERROR(INDEX(직원목록!$C$3:$C$302,MATCH($B2126,직원목록!$A$3:$A$302,0)),""))</f>
        <v/>
      </c>
      <c r="E2126" s="14"/>
      <c r="F2126" s="14"/>
      <c r="G2126" s="15"/>
      <c r="H2126" s="16" t="str">
        <f aca="false">IF(OR($K2126="",$L2126=""),"",ROUND(MAX(0,($L2126-$K2126)-IF($G2126="",0,$G2126))/60,2))</f>
        <v/>
      </c>
      <c r="I2126" s="8"/>
      <c r="J2126" s="8"/>
      <c r="K2126" s="17" t="str">
        <f aca="false">IF($E2126="","",IF($E2126&lt;1,ROUND($E2126*1440,0),INT($E2126/100)*60+MOD($E2126,100)))</f>
        <v/>
      </c>
      <c r="L2126" s="17" t="str">
        <f aca="false">IF($F2126="","",IF($F2126&lt;1,ROUND($F2126*1440,0),INT($F2126/100)*60+MOD($F2126,100)))</f>
        <v/>
      </c>
    </row>
    <row r="2127" customFormat="false" ht="15" hidden="false" customHeight="true" outlineLevel="0" collapsed="false">
      <c r="A2127" s="10"/>
      <c r="B2127" s="8"/>
      <c r="C2127" s="13" t="str">
        <f aca="false">IF($B2127="","",IFERROR(INDEX(직원목록!$B$3:$B$302,MATCH($B2127,직원목록!$A$3:$A$302,0)),"미등록사번"))</f>
        <v/>
      </c>
      <c r="D2127" s="13" t="str">
        <f aca="false">IF($B2127="","",IFERROR(INDEX(직원목록!$C$3:$C$302,MATCH($B2127,직원목록!$A$3:$A$302,0)),""))</f>
        <v/>
      </c>
      <c r="E2127" s="14"/>
      <c r="F2127" s="14"/>
      <c r="G2127" s="15"/>
      <c r="H2127" s="16" t="str">
        <f aca="false">IF(OR($K2127="",$L2127=""),"",ROUND(MAX(0,($L2127-$K2127)-IF($G2127="",0,$G2127))/60,2))</f>
        <v/>
      </c>
      <c r="I2127" s="8"/>
      <c r="J2127" s="8"/>
      <c r="K2127" s="17" t="str">
        <f aca="false">IF($E2127="","",IF($E2127&lt;1,ROUND($E2127*1440,0),INT($E2127/100)*60+MOD($E2127,100)))</f>
        <v/>
      </c>
      <c r="L2127" s="17" t="str">
        <f aca="false">IF($F2127="","",IF($F2127&lt;1,ROUND($F2127*1440,0),INT($F2127/100)*60+MOD($F2127,100)))</f>
        <v/>
      </c>
    </row>
    <row r="2128" customFormat="false" ht="15" hidden="false" customHeight="true" outlineLevel="0" collapsed="false">
      <c r="A2128" s="10"/>
      <c r="B2128" s="8"/>
      <c r="C2128" s="13" t="str">
        <f aca="false">IF($B2128="","",IFERROR(INDEX(직원목록!$B$3:$B$302,MATCH($B2128,직원목록!$A$3:$A$302,0)),"미등록사번"))</f>
        <v/>
      </c>
      <c r="D2128" s="13" t="str">
        <f aca="false">IF($B2128="","",IFERROR(INDEX(직원목록!$C$3:$C$302,MATCH($B2128,직원목록!$A$3:$A$302,0)),""))</f>
        <v/>
      </c>
      <c r="E2128" s="14"/>
      <c r="F2128" s="14"/>
      <c r="G2128" s="15"/>
      <c r="H2128" s="16" t="str">
        <f aca="false">IF(OR($K2128="",$L2128=""),"",ROUND(MAX(0,($L2128-$K2128)-IF($G2128="",0,$G2128))/60,2))</f>
        <v/>
      </c>
      <c r="I2128" s="8"/>
      <c r="J2128" s="8"/>
      <c r="K2128" s="17" t="str">
        <f aca="false">IF($E2128="","",IF($E2128&lt;1,ROUND($E2128*1440,0),INT($E2128/100)*60+MOD($E2128,100)))</f>
        <v/>
      </c>
      <c r="L2128" s="17" t="str">
        <f aca="false">IF($F2128="","",IF($F2128&lt;1,ROUND($F2128*1440,0),INT($F2128/100)*60+MOD($F2128,100)))</f>
        <v/>
      </c>
    </row>
    <row r="2129" customFormat="false" ht="15" hidden="false" customHeight="true" outlineLevel="0" collapsed="false">
      <c r="A2129" s="10"/>
      <c r="B2129" s="8"/>
      <c r="C2129" s="13" t="str">
        <f aca="false">IF($B2129="","",IFERROR(INDEX(직원목록!$B$3:$B$302,MATCH($B2129,직원목록!$A$3:$A$302,0)),"미등록사번"))</f>
        <v/>
      </c>
      <c r="D2129" s="13" t="str">
        <f aca="false">IF($B2129="","",IFERROR(INDEX(직원목록!$C$3:$C$302,MATCH($B2129,직원목록!$A$3:$A$302,0)),""))</f>
        <v/>
      </c>
      <c r="E2129" s="14"/>
      <c r="F2129" s="14"/>
      <c r="G2129" s="15"/>
      <c r="H2129" s="16" t="str">
        <f aca="false">IF(OR($K2129="",$L2129=""),"",ROUND(MAX(0,($L2129-$K2129)-IF($G2129="",0,$G2129))/60,2))</f>
        <v/>
      </c>
      <c r="I2129" s="8"/>
      <c r="J2129" s="8"/>
      <c r="K2129" s="17" t="str">
        <f aca="false">IF($E2129="","",IF($E2129&lt;1,ROUND($E2129*1440,0),INT($E2129/100)*60+MOD($E2129,100)))</f>
        <v/>
      </c>
      <c r="L2129" s="17" t="str">
        <f aca="false">IF($F2129="","",IF($F2129&lt;1,ROUND($F2129*1440,0),INT($F2129/100)*60+MOD($F2129,100)))</f>
        <v/>
      </c>
    </row>
    <row r="2130" customFormat="false" ht="15" hidden="false" customHeight="true" outlineLevel="0" collapsed="false">
      <c r="A2130" s="10"/>
      <c r="B2130" s="8"/>
      <c r="C2130" s="13" t="str">
        <f aca="false">IF($B2130="","",IFERROR(INDEX(직원목록!$B$3:$B$302,MATCH($B2130,직원목록!$A$3:$A$302,0)),"미등록사번"))</f>
        <v/>
      </c>
      <c r="D2130" s="13" t="str">
        <f aca="false">IF($B2130="","",IFERROR(INDEX(직원목록!$C$3:$C$302,MATCH($B2130,직원목록!$A$3:$A$302,0)),""))</f>
        <v/>
      </c>
      <c r="E2130" s="14"/>
      <c r="F2130" s="14"/>
      <c r="G2130" s="15"/>
      <c r="H2130" s="16" t="str">
        <f aca="false">IF(OR($K2130="",$L2130=""),"",ROUND(MAX(0,($L2130-$K2130)-IF($G2130="",0,$G2130))/60,2))</f>
        <v/>
      </c>
      <c r="I2130" s="8"/>
      <c r="J2130" s="8"/>
      <c r="K2130" s="17" t="str">
        <f aca="false">IF($E2130="","",IF($E2130&lt;1,ROUND($E2130*1440,0),INT($E2130/100)*60+MOD($E2130,100)))</f>
        <v/>
      </c>
      <c r="L2130" s="17" t="str">
        <f aca="false">IF($F2130="","",IF($F2130&lt;1,ROUND($F2130*1440,0),INT($F2130/100)*60+MOD($F2130,100)))</f>
        <v/>
      </c>
    </row>
    <row r="2131" customFormat="false" ht="15" hidden="false" customHeight="true" outlineLevel="0" collapsed="false">
      <c r="A2131" s="10"/>
      <c r="B2131" s="8"/>
      <c r="C2131" s="13" t="str">
        <f aca="false">IF($B2131="","",IFERROR(INDEX(직원목록!$B$3:$B$302,MATCH($B2131,직원목록!$A$3:$A$302,0)),"미등록사번"))</f>
        <v/>
      </c>
      <c r="D2131" s="13" t="str">
        <f aca="false">IF($B2131="","",IFERROR(INDEX(직원목록!$C$3:$C$302,MATCH($B2131,직원목록!$A$3:$A$302,0)),""))</f>
        <v/>
      </c>
      <c r="E2131" s="14"/>
      <c r="F2131" s="14"/>
      <c r="G2131" s="15"/>
      <c r="H2131" s="16" t="str">
        <f aca="false">IF(OR($K2131="",$L2131=""),"",ROUND(MAX(0,($L2131-$K2131)-IF($G2131="",0,$G2131))/60,2))</f>
        <v/>
      </c>
      <c r="I2131" s="8"/>
      <c r="J2131" s="8"/>
      <c r="K2131" s="17" t="str">
        <f aca="false">IF($E2131="","",IF($E2131&lt;1,ROUND($E2131*1440,0),INT($E2131/100)*60+MOD($E2131,100)))</f>
        <v/>
      </c>
      <c r="L2131" s="17" t="str">
        <f aca="false">IF($F2131="","",IF($F2131&lt;1,ROUND($F2131*1440,0),INT($F2131/100)*60+MOD($F2131,100)))</f>
        <v/>
      </c>
    </row>
    <row r="2132" customFormat="false" ht="15" hidden="false" customHeight="true" outlineLevel="0" collapsed="false">
      <c r="A2132" s="10"/>
      <c r="B2132" s="8"/>
      <c r="C2132" s="13" t="str">
        <f aca="false">IF($B2132="","",IFERROR(INDEX(직원목록!$B$3:$B$302,MATCH($B2132,직원목록!$A$3:$A$302,0)),"미등록사번"))</f>
        <v/>
      </c>
      <c r="D2132" s="13" t="str">
        <f aca="false">IF($B2132="","",IFERROR(INDEX(직원목록!$C$3:$C$302,MATCH($B2132,직원목록!$A$3:$A$302,0)),""))</f>
        <v/>
      </c>
      <c r="E2132" s="14"/>
      <c r="F2132" s="14"/>
      <c r="G2132" s="15"/>
      <c r="H2132" s="16" t="str">
        <f aca="false">IF(OR($K2132="",$L2132=""),"",ROUND(MAX(0,($L2132-$K2132)-IF($G2132="",0,$G2132))/60,2))</f>
        <v/>
      </c>
      <c r="I2132" s="8"/>
      <c r="J2132" s="8"/>
      <c r="K2132" s="17" t="str">
        <f aca="false">IF($E2132="","",IF($E2132&lt;1,ROUND($E2132*1440,0),INT($E2132/100)*60+MOD($E2132,100)))</f>
        <v/>
      </c>
      <c r="L2132" s="17" t="str">
        <f aca="false">IF($F2132="","",IF($F2132&lt;1,ROUND($F2132*1440,0),INT($F2132/100)*60+MOD($F2132,100)))</f>
        <v/>
      </c>
    </row>
    <row r="2133" customFormat="false" ht="15" hidden="false" customHeight="true" outlineLevel="0" collapsed="false">
      <c r="A2133" s="10"/>
      <c r="B2133" s="8"/>
      <c r="C2133" s="13" t="str">
        <f aca="false">IF($B2133="","",IFERROR(INDEX(직원목록!$B$3:$B$302,MATCH($B2133,직원목록!$A$3:$A$302,0)),"미등록사번"))</f>
        <v/>
      </c>
      <c r="D2133" s="13" t="str">
        <f aca="false">IF($B2133="","",IFERROR(INDEX(직원목록!$C$3:$C$302,MATCH($B2133,직원목록!$A$3:$A$302,0)),""))</f>
        <v/>
      </c>
      <c r="E2133" s="14"/>
      <c r="F2133" s="14"/>
      <c r="G2133" s="15"/>
      <c r="H2133" s="16" t="str">
        <f aca="false">IF(OR($K2133="",$L2133=""),"",ROUND(MAX(0,($L2133-$K2133)-IF($G2133="",0,$G2133))/60,2))</f>
        <v/>
      </c>
      <c r="I2133" s="8"/>
      <c r="J2133" s="8"/>
      <c r="K2133" s="17" t="str">
        <f aca="false">IF($E2133="","",IF($E2133&lt;1,ROUND($E2133*1440,0),INT($E2133/100)*60+MOD($E2133,100)))</f>
        <v/>
      </c>
      <c r="L2133" s="17" t="str">
        <f aca="false">IF($F2133="","",IF($F2133&lt;1,ROUND($F2133*1440,0),INT($F2133/100)*60+MOD($F2133,100)))</f>
        <v/>
      </c>
    </row>
    <row r="2134" customFormat="false" ht="15" hidden="false" customHeight="true" outlineLevel="0" collapsed="false">
      <c r="A2134" s="10"/>
      <c r="B2134" s="8"/>
      <c r="C2134" s="13" t="str">
        <f aca="false">IF($B2134="","",IFERROR(INDEX(직원목록!$B$3:$B$302,MATCH($B2134,직원목록!$A$3:$A$302,0)),"미등록사번"))</f>
        <v/>
      </c>
      <c r="D2134" s="13" t="str">
        <f aca="false">IF($B2134="","",IFERROR(INDEX(직원목록!$C$3:$C$302,MATCH($B2134,직원목록!$A$3:$A$302,0)),""))</f>
        <v/>
      </c>
      <c r="E2134" s="14"/>
      <c r="F2134" s="14"/>
      <c r="G2134" s="15"/>
      <c r="H2134" s="16" t="str">
        <f aca="false">IF(OR($K2134="",$L2134=""),"",ROUND(MAX(0,($L2134-$K2134)-IF($G2134="",0,$G2134))/60,2))</f>
        <v/>
      </c>
      <c r="I2134" s="8"/>
      <c r="J2134" s="8"/>
      <c r="K2134" s="17" t="str">
        <f aca="false">IF($E2134="","",IF($E2134&lt;1,ROUND($E2134*1440,0),INT($E2134/100)*60+MOD($E2134,100)))</f>
        <v/>
      </c>
      <c r="L2134" s="17" t="str">
        <f aca="false">IF($F2134="","",IF($F2134&lt;1,ROUND($F2134*1440,0),INT($F2134/100)*60+MOD($F2134,100)))</f>
        <v/>
      </c>
    </row>
    <row r="2135" customFormat="false" ht="15" hidden="false" customHeight="true" outlineLevel="0" collapsed="false">
      <c r="A2135" s="10"/>
      <c r="B2135" s="8"/>
      <c r="C2135" s="13" t="str">
        <f aca="false">IF($B2135="","",IFERROR(INDEX(직원목록!$B$3:$B$302,MATCH($B2135,직원목록!$A$3:$A$302,0)),"미등록사번"))</f>
        <v/>
      </c>
      <c r="D2135" s="13" t="str">
        <f aca="false">IF($B2135="","",IFERROR(INDEX(직원목록!$C$3:$C$302,MATCH($B2135,직원목록!$A$3:$A$302,0)),""))</f>
        <v/>
      </c>
      <c r="E2135" s="14"/>
      <c r="F2135" s="14"/>
      <c r="G2135" s="15"/>
      <c r="H2135" s="16" t="str">
        <f aca="false">IF(OR($K2135="",$L2135=""),"",ROUND(MAX(0,($L2135-$K2135)-IF($G2135="",0,$G2135))/60,2))</f>
        <v/>
      </c>
      <c r="I2135" s="8"/>
      <c r="J2135" s="8"/>
      <c r="K2135" s="17" t="str">
        <f aca="false">IF($E2135="","",IF($E2135&lt;1,ROUND($E2135*1440,0),INT($E2135/100)*60+MOD($E2135,100)))</f>
        <v/>
      </c>
      <c r="L2135" s="17" t="str">
        <f aca="false">IF($F2135="","",IF($F2135&lt;1,ROUND($F2135*1440,0),INT($F2135/100)*60+MOD($F2135,100)))</f>
        <v/>
      </c>
    </row>
    <row r="2136" customFormat="false" ht="15" hidden="false" customHeight="true" outlineLevel="0" collapsed="false">
      <c r="A2136" s="10"/>
      <c r="B2136" s="8"/>
      <c r="C2136" s="13" t="str">
        <f aca="false">IF($B2136="","",IFERROR(INDEX(직원목록!$B$3:$B$302,MATCH($B2136,직원목록!$A$3:$A$302,0)),"미등록사번"))</f>
        <v/>
      </c>
      <c r="D2136" s="13" t="str">
        <f aca="false">IF($B2136="","",IFERROR(INDEX(직원목록!$C$3:$C$302,MATCH($B2136,직원목록!$A$3:$A$302,0)),""))</f>
        <v/>
      </c>
      <c r="E2136" s="14"/>
      <c r="F2136" s="14"/>
      <c r="G2136" s="15"/>
      <c r="H2136" s="16" t="str">
        <f aca="false">IF(OR($K2136="",$L2136=""),"",ROUND(MAX(0,($L2136-$K2136)-IF($G2136="",0,$G2136))/60,2))</f>
        <v/>
      </c>
      <c r="I2136" s="8"/>
      <c r="J2136" s="8"/>
      <c r="K2136" s="17" t="str">
        <f aca="false">IF($E2136="","",IF($E2136&lt;1,ROUND($E2136*1440,0),INT($E2136/100)*60+MOD($E2136,100)))</f>
        <v/>
      </c>
      <c r="L2136" s="17" t="str">
        <f aca="false">IF($F2136="","",IF($F2136&lt;1,ROUND($F2136*1440,0),INT($F2136/100)*60+MOD($F2136,100)))</f>
        <v/>
      </c>
    </row>
    <row r="2137" customFormat="false" ht="15" hidden="false" customHeight="true" outlineLevel="0" collapsed="false">
      <c r="A2137" s="10"/>
      <c r="B2137" s="8"/>
      <c r="C2137" s="13" t="str">
        <f aca="false">IF($B2137="","",IFERROR(INDEX(직원목록!$B$3:$B$302,MATCH($B2137,직원목록!$A$3:$A$302,0)),"미등록사번"))</f>
        <v/>
      </c>
      <c r="D2137" s="13" t="str">
        <f aca="false">IF($B2137="","",IFERROR(INDEX(직원목록!$C$3:$C$302,MATCH($B2137,직원목록!$A$3:$A$302,0)),""))</f>
        <v/>
      </c>
      <c r="E2137" s="14"/>
      <c r="F2137" s="14"/>
      <c r="G2137" s="15"/>
      <c r="H2137" s="16" t="str">
        <f aca="false">IF(OR($K2137="",$L2137=""),"",ROUND(MAX(0,($L2137-$K2137)-IF($G2137="",0,$G2137))/60,2))</f>
        <v/>
      </c>
      <c r="I2137" s="8"/>
      <c r="J2137" s="8"/>
      <c r="K2137" s="17" t="str">
        <f aca="false">IF($E2137="","",IF($E2137&lt;1,ROUND($E2137*1440,0),INT($E2137/100)*60+MOD($E2137,100)))</f>
        <v/>
      </c>
      <c r="L2137" s="17" t="str">
        <f aca="false">IF($F2137="","",IF($F2137&lt;1,ROUND($F2137*1440,0),INT($F2137/100)*60+MOD($F2137,100)))</f>
        <v/>
      </c>
    </row>
    <row r="2138" customFormat="false" ht="15" hidden="false" customHeight="true" outlineLevel="0" collapsed="false">
      <c r="A2138" s="10"/>
      <c r="B2138" s="8"/>
      <c r="C2138" s="13" t="str">
        <f aca="false">IF($B2138="","",IFERROR(INDEX(직원목록!$B$3:$B$302,MATCH($B2138,직원목록!$A$3:$A$302,0)),"미등록사번"))</f>
        <v/>
      </c>
      <c r="D2138" s="13" t="str">
        <f aca="false">IF($B2138="","",IFERROR(INDEX(직원목록!$C$3:$C$302,MATCH($B2138,직원목록!$A$3:$A$302,0)),""))</f>
        <v/>
      </c>
      <c r="E2138" s="14"/>
      <c r="F2138" s="14"/>
      <c r="G2138" s="15"/>
      <c r="H2138" s="16" t="str">
        <f aca="false">IF(OR($K2138="",$L2138=""),"",ROUND(MAX(0,($L2138-$K2138)-IF($G2138="",0,$G2138))/60,2))</f>
        <v/>
      </c>
      <c r="I2138" s="8"/>
      <c r="J2138" s="8"/>
      <c r="K2138" s="17" t="str">
        <f aca="false">IF($E2138="","",IF($E2138&lt;1,ROUND($E2138*1440,0),INT($E2138/100)*60+MOD($E2138,100)))</f>
        <v/>
      </c>
      <c r="L2138" s="17" t="str">
        <f aca="false">IF($F2138="","",IF($F2138&lt;1,ROUND($F2138*1440,0),INT($F2138/100)*60+MOD($F2138,100)))</f>
        <v/>
      </c>
    </row>
    <row r="2139" customFormat="false" ht="15" hidden="false" customHeight="true" outlineLevel="0" collapsed="false">
      <c r="A2139" s="10"/>
      <c r="B2139" s="8"/>
      <c r="C2139" s="13" t="str">
        <f aca="false">IF($B2139="","",IFERROR(INDEX(직원목록!$B$3:$B$302,MATCH($B2139,직원목록!$A$3:$A$302,0)),"미등록사번"))</f>
        <v/>
      </c>
      <c r="D2139" s="13" t="str">
        <f aca="false">IF($B2139="","",IFERROR(INDEX(직원목록!$C$3:$C$302,MATCH($B2139,직원목록!$A$3:$A$302,0)),""))</f>
        <v/>
      </c>
      <c r="E2139" s="14"/>
      <c r="F2139" s="14"/>
      <c r="G2139" s="15"/>
      <c r="H2139" s="16" t="str">
        <f aca="false">IF(OR($K2139="",$L2139=""),"",ROUND(MAX(0,($L2139-$K2139)-IF($G2139="",0,$G2139))/60,2))</f>
        <v/>
      </c>
      <c r="I2139" s="8"/>
      <c r="J2139" s="8"/>
      <c r="K2139" s="17" t="str">
        <f aca="false">IF($E2139="","",IF($E2139&lt;1,ROUND($E2139*1440,0),INT($E2139/100)*60+MOD($E2139,100)))</f>
        <v/>
      </c>
      <c r="L2139" s="17" t="str">
        <f aca="false">IF($F2139="","",IF($F2139&lt;1,ROUND($F2139*1440,0),INT($F2139/100)*60+MOD($F2139,100)))</f>
        <v/>
      </c>
    </row>
    <row r="2140" customFormat="false" ht="15" hidden="false" customHeight="true" outlineLevel="0" collapsed="false">
      <c r="A2140" s="10"/>
      <c r="B2140" s="8"/>
      <c r="C2140" s="13" t="str">
        <f aca="false">IF($B2140="","",IFERROR(INDEX(직원목록!$B$3:$B$302,MATCH($B2140,직원목록!$A$3:$A$302,0)),"미등록사번"))</f>
        <v/>
      </c>
      <c r="D2140" s="13" t="str">
        <f aca="false">IF($B2140="","",IFERROR(INDEX(직원목록!$C$3:$C$302,MATCH($B2140,직원목록!$A$3:$A$302,0)),""))</f>
        <v/>
      </c>
      <c r="E2140" s="14"/>
      <c r="F2140" s="14"/>
      <c r="G2140" s="15"/>
      <c r="H2140" s="16" t="str">
        <f aca="false">IF(OR($K2140="",$L2140=""),"",ROUND(MAX(0,($L2140-$K2140)-IF($G2140="",0,$G2140))/60,2))</f>
        <v/>
      </c>
      <c r="I2140" s="8"/>
      <c r="J2140" s="8"/>
      <c r="K2140" s="17" t="str">
        <f aca="false">IF($E2140="","",IF($E2140&lt;1,ROUND($E2140*1440,0),INT($E2140/100)*60+MOD($E2140,100)))</f>
        <v/>
      </c>
      <c r="L2140" s="17" t="str">
        <f aca="false">IF($F2140="","",IF($F2140&lt;1,ROUND($F2140*1440,0),INT($F2140/100)*60+MOD($F2140,100)))</f>
        <v/>
      </c>
    </row>
    <row r="2141" customFormat="false" ht="15" hidden="false" customHeight="true" outlineLevel="0" collapsed="false">
      <c r="A2141" s="10"/>
      <c r="B2141" s="8"/>
      <c r="C2141" s="13" t="str">
        <f aca="false">IF($B2141="","",IFERROR(INDEX(직원목록!$B$3:$B$302,MATCH($B2141,직원목록!$A$3:$A$302,0)),"미등록사번"))</f>
        <v/>
      </c>
      <c r="D2141" s="13" t="str">
        <f aca="false">IF($B2141="","",IFERROR(INDEX(직원목록!$C$3:$C$302,MATCH($B2141,직원목록!$A$3:$A$302,0)),""))</f>
        <v/>
      </c>
      <c r="E2141" s="14"/>
      <c r="F2141" s="14"/>
      <c r="G2141" s="15"/>
      <c r="H2141" s="16" t="str">
        <f aca="false">IF(OR($K2141="",$L2141=""),"",ROUND(MAX(0,($L2141-$K2141)-IF($G2141="",0,$G2141))/60,2))</f>
        <v/>
      </c>
      <c r="I2141" s="8"/>
      <c r="J2141" s="8"/>
      <c r="K2141" s="17" t="str">
        <f aca="false">IF($E2141="","",IF($E2141&lt;1,ROUND($E2141*1440,0),INT($E2141/100)*60+MOD($E2141,100)))</f>
        <v/>
      </c>
      <c r="L2141" s="17" t="str">
        <f aca="false">IF($F2141="","",IF($F2141&lt;1,ROUND($F2141*1440,0),INT($F2141/100)*60+MOD($F2141,100)))</f>
        <v/>
      </c>
    </row>
    <row r="2142" customFormat="false" ht="15" hidden="false" customHeight="true" outlineLevel="0" collapsed="false">
      <c r="A2142" s="10"/>
      <c r="B2142" s="8"/>
      <c r="C2142" s="13" t="str">
        <f aca="false">IF($B2142="","",IFERROR(INDEX(직원목록!$B$3:$B$302,MATCH($B2142,직원목록!$A$3:$A$302,0)),"미등록사번"))</f>
        <v/>
      </c>
      <c r="D2142" s="13" t="str">
        <f aca="false">IF($B2142="","",IFERROR(INDEX(직원목록!$C$3:$C$302,MATCH($B2142,직원목록!$A$3:$A$302,0)),""))</f>
        <v/>
      </c>
      <c r="E2142" s="14"/>
      <c r="F2142" s="14"/>
      <c r="G2142" s="15"/>
      <c r="H2142" s="16" t="str">
        <f aca="false">IF(OR($K2142="",$L2142=""),"",ROUND(MAX(0,($L2142-$K2142)-IF($G2142="",0,$G2142))/60,2))</f>
        <v/>
      </c>
      <c r="I2142" s="8"/>
      <c r="J2142" s="8"/>
      <c r="K2142" s="17" t="str">
        <f aca="false">IF($E2142="","",IF($E2142&lt;1,ROUND($E2142*1440,0),INT($E2142/100)*60+MOD($E2142,100)))</f>
        <v/>
      </c>
      <c r="L2142" s="17" t="str">
        <f aca="false">IF($F2142="","",IF($F2142&lt;1,ROUND($F2142*1440,0),INT($F2142/100)*60+MOD($F2142,100)))</f>
        <v/>
      </c>
    </row>
    <row r="2143" customFormat="false" ht="15" hidden="false" customHeight="true" outlineLevel="0" collapsed="false">
      <c r="A2143" s="10"/>
      <c r="B2143" s="8"/>
      <c r="C2143" s="13" t="str">
        <f aca="false">IF($B2143="","",IFERROR(INDEX(직원목록!$B$3:$B$302,MATCH($B2143,직원목록!$A$3:$A$302,0)),"미등록사번"))</f>
        <v/>
      </c>
      <c r="D2143" s="13" t="str">
        <f aca="false">IF($B2143="","",IFERROR(INDEX(직원목록!$C$3:$C$302,MATCH($B2143,직원목록!$A$3:$A$302,0)),""))</f>
        <v/>
      </c>
      <c r="E2143" s="14"/>
      <c r="F2143" s="14"/>
      <c r="G2143" s="15"/>
      <c r="H2143" s="16" t="str">
        <f aca="false">IF(OR($K2143="",$L2143=""),"",ROUND(MAX(0,($L2143-$K2143)-IF($G2143="",0,$G2143))/60,2))</f>
        <v/>
      </c>
      <c r="I2143" s="8"/>
      <c r="J2143" s="8"/>
      <c r="K2143" s="17" t="str">
        <f aca="false">IF($E2143="","",IF($E2143&lt;1,ROUND($E2143*1440,0),INT($E2143/100)*60+MOD($E2143,100)))</f>
        <v/>
      </c>
      <c r="L2143" s="17" t="str">
        <f aca="false">IF($F2143="","",IF($F2143&lt;1,ROUND($F2143*1440,0),INT($F2143/100)*60+MOD($F2143,100)))</f>
        <v/>
      </c>
    </row>
    <row r="2144" customFormat="false" ht="15" hidden="false" customHeight="true" outlineLevel="0" collapsed="false">
      <c r="A2144" s="10"/>
      <c r="B2144" s="8"/>
      <c r="C2144" s="13" t="str">
        <f aca="false">IF($B2144="","",IFERROR(INDEX(직원목록!$B$3:$B$302,MATCH($B2144,직원목록!$A$3:$A$302,0)),"미등록사번"))</f>
        <v/>
      </c>
      <c r="D2144" s="13" t="str">
        <f aca="false">IF($B2144="","",IFERROR(INDEX(직원목록!$C$3:$C$302,MATCH($B2144,직원목록!$A$3:$A$302,0)),""))</f>
        <v/>
      </c>
      <c r="E2144" s="14"/>
      <c r="F2144" s="14"/>
      <c r="G2144" s="15"/>
      <c r="H2144" s="16" t="str">
        <f aca="false">IF(OR($K2144="",$L2144=""),"",ROUND(MAX(0,($L2144-$K2144)-IF($G2144="",0,$G2144))/60,2))</f>
        <v/>
      </c>
      <c r="I2144" s="8"/>
      <c r="J2144" s="8"/>
      <c r="K2144" s="17" t="str">
        <f aca="false">IF($E2144="","",IF($E2144&lt;1,ROUND($E2144*1440,0),INT($E2144/100)*60+MOD($E2144,100)))</f>
        <v/>
      </c>
      <c r="L2144" s="17" t="str">
        <f aca="false">IF($F2144="","",IF($F2144&lt;1,ROUND($F2144*1440,0),INT($F2144/100)*60+MOD($F2144,100)))</f>
        <v/>
      </c>
    </row>
    <row r="2145" customFormat="false" ht="15" hidden="false" customHeight="true" outlineLevel="0" collapsed="false">
      <c r="A2145" s="10"/>
      <c r="B2145" s="8"/>
      <c r="C2145" s="13" t="str">
        <f aca="false">IF($B2145="","",IFERROR(INDEX(직원목록!$B$3:$B$302,MATCH($B2145,직원목록!$A$3:$A$302,0)),"미등록사번"))</f>
        <v/>
      </c>
      <c r="D2145" s="13" t="str">
        <f aca="false">IF($B2145="","",IFERROR(INDEX(직원목록!$C$3:$C$302,MATCH($B2145,직원목록!$A$3:$A$302,0)),""))</f>
        <v/>
      </c>
      <c r="E2145" s="14"/>
      <c r="F2145" s="14"/>
      <c r="G2145" s="15"/>
      <c r="H2145" s="16" t="str">
        <f aca="false">IF(OR($K2145="",$L2145=""),"",ROUND(MAX(0,($L2145-$K2145)-IF($G2145="",0,$G2145))/60,2))</f>
        <v/>
      </c>
      <c r="I2145" s="8"/>
      <c r="J2145" s="8"/>
      <c r="K2145" s="17" t="str">
        <f aca="false">IF($E2145="","",IF($E2145&lt;1,ROUND($E2145*1440,0),INT($E2145/100)*60+MOD($E2145,100)))</f>
        <v/>
      </c>
      <c r="L2145" s="17" t="str">
        <f aca="false">IF($F2145="","",IF($F2145&lt;1,ROUND($F2145*1440,0),INT($F2145/100)*60+MOD($F2145,100)))</f>
        <v/>
      </c>
    </row>
    <row r="2146" customFormat="false" ht="15" hidden="false" customHeight="true" outlineLevel="0" collapsed="false">
      <c r="A2146" s="10"/>
      <c r="B2146" s="8"/>
      <c r="C2146" s="13" t="str">
        <f aca="false">IF($B2146="","",IFERROR(INDEX(직원목록!$B$3:$B$302,MATCH($B2146,직원목록!$A$3:$A$302,0)),"미등록사번"))</f>
        <v/>
      </c>
      <c r="D2146" s="13" t="str">
        <f aca="false">IF($B2146="","",IFERROR(INDEX(직원목록!$C$3:$C$302,MATCH($B2146,직원목록!$A$3:$A$302,0)),""))</f>
        <v/>
      </c>
      <c r="E2146" s="14"/>
      <c r="F2146" s="14"/>
      <c r="G2146" s="15"/>
      <c r="H2146" s="16" t="str">
        <f aca="false">IF(OR($K2146="",$L2146=""),"",ROUND(MAX(0,($L2146-$K2146)-IF($G2146="",0,$G2146))/60,2))</f>
        <v/>
      </c>
      <c r="I2146" s="8"/>
      <c r="J2146" s="8"/>
      <c r="K2146" s="17" t="str">
        <f aca="false">IF($E2146="","",IF($E2146&lt;1,ROUND($E2146*1440,0),INT($E2146/100)*60+MOD($E2146,100)))</f>
        <v/>
      </c>
      <c r="L2146" s="17" t="str">
        <f aca="false">IF($F2146="","",IF($F2146&lt;1,ROUND($F2146*1440,0),INT($F2146/100)*60+MOD($F2146,100)))</f>
        <v/>
      </c>
    </row>
    <row r="2147" customFormat="false" ht="15" hidden="false" customHeight="true" outlineLevel="0" collapsed="false">
      <c r="A2147" s="10"/>
      <c r="B2147" s="8"/>
      <c r="C2147" s="13" t="str">
        <f aca="false">IF($B2147="","",IFERROR(INDEX(직원목록!$B$3:$B$302,MATCH($B2147,직원목록!$A$3:$A$302,0)),"미등록사번"))</f>
        <v/>
      </c>
      <c r="D2147" s="13" t="str">
        <f aca="false">IF($B2147="","",IFERROR(INDEX(직원목록!$C$3:$C$302,MATCH($B2147,직원목록!$A$3:$A$302,0)),""))</f>
        <v/>
      </c>
      <c r="E2147" s="14"/>
      <c r="F2147" s="14"/>
      <c r="G2147" s="15"/>
      <c r="H2147" s="16" t="str">
        <f aca="false">IF(OR($K2147="",$L2147=""),"",ROUND(MAX(0,($L2147-$K2147)-IF($G2147="",0,$G2147))/60,2))</f>
        <v/>
      </c>
      <c r="I2147" s="8"/>
      <c r="J2147" s="8"/>
      <c r="K2147" s="17" t="str">
        <f aca="false">IF($E2147="","",IF($E2147&lt;1,ROUND($E2147*1440,0),INT($E2147/100)*60+MOD($E2147,100)))</f>
        <v/>
      </c>
      <c r="L2147" s="17" t="str">
        <f aca="false">IF($F2147="","",IF($F2147&lt;1,ROUND($F2147*1440,0),INT($F2147/100)*60+MOD($F2147,100)))</f>
        <v/>
      </c>
    </row>
    <row r="2148" customFormat="false" ht="15" hidden="false" customHeight="true" outlineLevel="0" collapsed="false">
      <c r="A2148" s="10"/>
      <c r="B2148" s="8"/>
      <c r="C2148" s="13" t="str">
        <f aca="false">IF($B2148="","",IFERROR(INDEX(직원목록!$B$3:$B$302,MATCH($B2148,직원목록!$A$3:$A$302,0)),"미등록사번"))</f>
        <v/>
      </c>
      <c r="D2148" s="13" t="str">
        <f aca="false">IF($B2148="","",IFERROR(INDEX(직원목록!$C$3:$C$302,MATCH($B2148,직원목록!$A$3:$A$302,0)),""))</f>
        <v/>
      </c>
      <c r="E2148" s="14"/>
      <c r="F2148" s="14"/>
      <c r="G2148" s="15"/>
      <c r="H2148" s="16" t="str">
        <f aca="false">IF(OR($K2148="",$L2148=""),"",ROUND(MAX(0,($L2148-$K2148)-IF($G2148="",0,$G2148))/60,2))</f>
        <v/>
      </c>
      <c r="I2148" s="8"/>
      <c r="J2148" s="8"/>
      <c r="K2148" s="17" t="str">
        <f aca="false">IF($E2148="","",IF($E2148&lt;1,ROUND($E2148*1440,0),INT($E2148/100)*60+MOD($E2148,100)))</f>
        <v/>
      </c>
      <c r="L2148" s="17" t="str">
        <f aca="false">IF($F2148="","",IF($F2148&lt;1,ROUND($F2148*1440,0),INT($F2148/100)*60+MOD($F2148,100)))</f>
        <v/>
      </c>
    </row>
    <row r="2149" customFormat="false" ht="15" hidden="false" customHeight="true" outlineLevel="0" collapsed="false">
      <c r="A2149" s="10"/>
      <c r="B2149" s="8"/>
      <c r="C2149" s="13" t="str">
        <f aca="false">IF($B2149="","",IFERROR(INDEX(직원목록!$B$3:$B$302,MATCH($B2149,직원목록!$A$3:$A$302,0)),"미등록사번"))</f>
        <v/>
      </c>
      <c r="D2149" s="13" t="str">
        <f aca="false">IF($B2149="","",IFERROR(INDEX(직원목록!$C$3:$C$302,MATCH($B2149,직원목록!$A$3:$A$302,0)),""))</f>
        <v/>
      </c>
      <c r="E2149" s="14"/>
      <c r="F2149" s="14"/>
      <c r="G2149" s="15"/>
      <c r="H2149" s="16" t="str">
        <f aca="false">IF(OR($K2149="",$L2149=""),"",ROUND(MAX(0,($L2149-$K2149)-IF($G2149="",0,$G2149))/60,2))</f>
        <v/>
      </c>
      <c r="I2149" s="8"/>
      <c r="J2149" s="8"/>
      <c r="K2149" s="17" t="str">
        <f aca="false">IF($E2149="","",IF($E2149&lt;1,ROUND($E2149*1440,0),INT($E2149/100)*60+MOD($E2149,100)))</f>
        <v/>
      </c>
      <c r="L2149" s="17" t="str">
        <f aca="false">IF($F2149="","",IF($F2149&lt;1,ROUND($F2149*1440,0),INT($F2149/100)*60+MOD($F2149,100)))</f>
        <v/>
      </c>
    </row>
    <row r="2150" customFormat="false" ht="15" hidden="false" customHeight="true" outlineLevel="0" collapsed="false">
      <c r="A2150" s="10"/>
      <c r="B2150" s="8"/>
      <c r="C2150" s="13" t="str">
        <f aca="false">IF($B2150="","",IFERROR(INDEX(직원목록!$B$3:$B$302,MATCH($B2150,직원목록!$A$3:$A$302,0)),"미등록사번"))</f>
        <v/>
      </c>
      <c r="D2150" s="13" t="str">
        <f aca="false">IF($B2150="","",IFERROR(INDEX(직원목록!$C$3:$C$302,MATCH($B2150,직원목록!$A$3:$A$302,0)),""))</f>
        <v/>
      </c>
      <c r="E2150" s="14"/>
      <c r="F2150" s="14"/>
      <c r="G2150" s="15"/>
      <c r="H2150" s="16" t="str">
        <f aca="false">IF(OR($K2150="",$L2150=""),"",ROUND(MAX(0,($L2150-$K2150)-IF($G2150="",0,$G2150))/60,2))</f>
        <v/>
      </c>
      <c r="I2150" s="8"/>
      <c r="J2150" s="8"/>
      <c r="K2150" s="17" t="str">
        <f aca="false">IF($E2150="","",IF($E2150&lt;1,ROUND($E2150*1440,0),INT($E2150/100)*60+MOD($E2150,100)))</f>
        <v/>
      </c>
      <c r="L2150" s="17" t="str">
        <f aca="false">IF($F2150="","",IF($F2150&lt;1,ROUND($F2150*1440,0),INT($F2150/100)*60+MOD($F2150,100)))</f>
        <v/>
      </c>
    </row>
    <row r="2151" customFormat="false" ht="15" hidden="false" customHeight="true" outlineLevel="0" collapsed="false">
      <c r="A2151" s="10"/>
      <c r="B2151" s="8"/>
      <c r="C2151" s="13" t="str">
        <f aca="false">IF($B2151="","",IFERROR(INDEX(직원목록!$B$3:$B$302,MATCH($B2151,직원목록!$A$3:$A$302,0)),"미등록사번"))</f>
        <v/>
      </c>
      <c r="D2151" s="13" t="str">
        <f aca="false">IF($B2151="","",IFERROR(INDEX(직원목록!$C$3:$C$302,MATCH($B2151,직원목록!$A$3:$A$302,0)),""))</f>
        <v/>
      </c>
      <c r="E2151" s="14"/>
      <c r="F2151" s="14"/>
      <c r="G2151" s="15"/>
      <c r="H2151" s="16" t="str">
        <f aca="false">IF(OR($K2151="",$L2151=""),"",ROUND(MAX(0,($L2151-$K2151)-IF($G2151="",0,$G2151))/60,2))</f>
        <v/>
      </c>
      <c r="I2151" s="8"/>
      <c r="J2151" s="8"/>
      <c r="K2151" s="17" t="str">
        <f aca="false">IF($E2151="","",IF($E2151&lt;1,ROUND($E2151*1440,0),INT($E2151/100)*60+MOD($E2151,100)))</f>
        <v/>
      </c>
      <c r="L2151" s="17" t="str">
        <f aca="false">IF($F2151="","",IF($F2151&lt;1,ROUND($F2151*1440,0),INT($F2151/100)*60+MOD($F2151,100)))</f>
        <v/>
      </c>
    </row>
    <row r="2152" customFormat="false" ht="15" hidden="false" customHeight="true" outlineLevel="0" collapsed="false">
      <c r="A2152" s="10"/>
      <c r="B2152" s="8"/>
      <c r="C2152" s="13" t="str">
        <f aca="false">IF($B2152="","",IFERROR(INDEX(직원목록!$B$3:$B$302,MATCH($B2152,직원목록!$A$3:$A$302,0)),"미등록사번"))</f>
        <v/>
      </c>
      <c r="D2152" s="13" t="str">
        <f aca="false">IF($B2152="","",IFERROR(INDEX(직원목록!$C$3:$C$302,MATCH($B2152,직원목록!$A$3:$A$302,0)),""))</f>
        <v/>
      </c>
      <c r="E2152" s="14"/>
      <c r="F2152" s="14"/>
      <c r="G2152" s="15"/>
      <c r="H2152" s="16" t="str">
        <f aca="false">IF(OR($K2152="",$L2152=""),"",ROUND(MAX(0,($L2152-$K2152)-IF($G2152="",0,$G2152))/60,2))</f>
        <v/>
      </c>
      <c r="I2152" s="8"/>
      <c r="J2152" s="8"/>
      <c r="K2152" s="17" t="str">
        <f aca="false">IF($E2152="","",IF($E2152&lt;1,ROUND($E2152*1440,0),INT($E2152/100)*60+MOD($E2152,100)))</f>
        <v/>
      </c>
      <c r="L2152" s="17" t="str">
        <f aca="false">IF($F2152="","",IF($F2152&lt;1,ROUND($F2152*1440,0),INT($F2152/100)*60+MOD($F2152,100)))</f>
        <v/>
      </c>
    </row>
    <row r="2153" customFormat="false" ht="15" hidden="false" customHeight="true" outlineLevel="0" collapsed="false">
      <c r="A2153" s="10"/>
      <c r="B2153" s="8"/>
      <c r="C2153" s="13" t="str">
        <f aca="false">IF($B2153="","",IFERROR(INDEX(직원목록!$B$3:$B$302,MATCH($B2153,직원목록!$A$3:$A$302,0)),"미등록사번"))</f>
        <v/>
      </c>
      <c r="D2153" s="13" t="str">
        <f aca="false">IF($B2153="","",IFERROR(INDEX(직원목록!$C$3:$C$302,MATCH($B2153,직원목록!$A$3:$A$302,0)),""))</f>
        <v/>
      </c>
      <c r="E2153" s="14"/>
      <c r="F2153" s="14"/>
      <c r="G2153" s="15"/>
      <c r="H2153" s="16" t="str">
        <f aca="false">IF(OR($K2153="",$L2153=""),"",ROUND(MAX(0,($L2153-$K2153)-IF($G2153="",0,$G2153))/60,2))</f>
        <v/>
      </c>
      <c r="I2153" s="8"/>
      <c r="J2153" s="8"/>
      <c r="K2153" s="17" t="str">
        <f aca="false">IF($E2153="","",IF($E2153&lt;1,ROUND($E2153*1440,0),INT($E2153/100)*60+MOD($E2153,100)))</f>
        <v/>
      </c>
      <c r="L2153" s="17" t="str">
        <f aca="false">IF($F2153="","",IF($F2153&lt;1,ROUND($F2153*1440,0),INT($F2153/100)*60+MOD($F2153,100)))</f>
        <v/>
      </c>
    </row>
    <row r="2154" customFormat="false" ht="15" hidden="false" customHeight="true" outlineLevel="0" collapsed="false">
      <c r="A2154" s="10"/>
      <c r="B2154" s="8"/>
      <c r="C2154" s="13" t="str">
        <f aca="false">IF($B2154="","",IFERROR(INDEX(직원목록!$B$3:$B$302,MATCH($B2154,직원목록!$A$3:$A$302,0)),"미등록사번"))</f>
        <v/>
      </c>
      <c r="D2154" s="13" t="str">
        <f aca="false">IF($B2154="","",IFERROR(INDEX(직원목록!$C$3:$C$302,MATCH($B2154,직원목록!$A$3:$A$302,0)),""))</f>
        <v/>
      </c>
      <c r="E2154" s="14"/>
      <c r="F2154" s="14"/>
      <c r="G2154" s="15"/>
      <c r="H2154" s="16" t="str">
        <f aca="false">IF(OR($K2154="",$L2154=""),"",ROUND(MAX(0,($L2154-$K2154)-IF($G2154="",0,$G2154))/60,2))</f>
        <v/>
      </c>
      <c r="I2154" s="8"/>
      <c r="J2154" s="8"/>
      <c r="K2154" s="17" t="str">
        <f aca="false">IF($E2154="","",IF($E2154&lt;1,ROUND($E2154*1440,0),INT($E2154/100)*60+MOD($E2154,100)))</f>
        <v/>
      </c>
      <c r="L2154" s="17" t="str">
        <f aca="false">IF($F2154="","",IF($F2154&lt;1,ROUND($F2154*1440,0),INT($F2154/100)*60+MOD($F2154,100)))</f>
        <v/>
      </c>
    </row>
    <row r="2155" customFormat="false" ht="15" hidden="false" customHeight="true" outlineLevel="0" collapsed="false">
      <c r="A2155" s="10"/>
      <c r="B2155" s="8"/>
      <c r="C2155" s="13" t="str">
        <f aca="false">IF($B2155="","",IFERROR(INDEX(직원목록!$B$3:$B$302,MATCH($B2155,직원목록!$A$3:$A$302,0)),"미등록사번"))</f>
        <v/>
      </c>
      <c r="D2155" s="13" t="str">
        <f aca="false">IF($B2155="","",IFERROR(INDEX(직원목록!$C$3:$C$302,MATCH($B2155,직원목록!$A$3:$A$302,0)),""))</f>
        <v/>
      </c>
      <c r="E2155" s="14"/>
      <c r="F2155" s="14"/>
      <c r="G2155" s="15"/>
      <c r="H2155" s="16" t="str">
        <f aca="false">IF(OR($K2155="",$L2155=""),"",ROUND(MAX(0,($L2155-$K2155)-IF($G2155="",0,$G2155))/60,2))</f>
        <v/>
      </c>
      <c r="I2155" s="8"/>
      <c r="J2155" s="8"/>
      <c r="K2155" s="17" t="str">
        <f aca="false">IF($E2155="","",IF($E2155&lt;1,ROUND($E2155*1440,0),INT($E2155/100)*60+MOD($E2155,100)))</f>
        <v/>
      </c>
      <c r="L2155" s="17" t="str">
        <f aca="false">IF($F2155="","",IF($F2155&lt;1,ROUND($F2155*1440,0),INT($F2155/100)*60+MOD($F2155,100)))</f>
        <v/>
      </c>
    </row>
    <row r="2156" customFormat="false" ht="15" hidden="false" customHeight="true" outlineLevel="0" collapsed="false">
      <c r="A2156" s="10"/>
      <c r="B2156" s="8"/>
      <c r="C2156" s="13" t="str">
        <f aca="false">IF($B2156="","",IFERROR(INDEX(직원목록!$B$3:$B$302,MATCH($B2156,직원목록!$A$3:$A$302,0)),"미등록사번"))</f>
        <v/>
      </c>
      <c r="D2156" s="13" t="str">
        <f aca="false">IF($B2156="","",IFERROR(INDEX(직원목록!$C$3:$C$302,MATCH($B2156,직원목록!$A$3:$A$302,0)),""))</f>
        <v/>
      </c>
      <c r="E2156" s="14"/>
      <c r="F2156" s="14"/>
      <c r="G2156" s="15"/>
      <c r="H2156" s="16" t="str">
        <f aca="false">IF(OR($K2156="",$L2156=""),"",ROUND(MAX(0,($L2156-$K2156)-IF($G2156="",0,$G2156))/60,2))</f>
        <v/>
      </c>
      <c r="I2156" s="8"/>
      <c r="J2156" s="8"/>
      <c r="K2156" s="17" t="str">
        <f aca="false">IF($E2156="","",IF($E2156&lt;1,ROUND($E2156*1440,0),INT($E2156/100)*60+MOD($E2156,100)))</f>
        <v/>
      </c>
      <c r="L2156" s="17" t="str">
        <f aca="false">IF($F2156="","",IF($F2156&lt;1,ROUND($F2156*1440,0),INT($F2156/100)*60+MOD($F2156,100)))</f>
        <v/>
      </c>
    </row>
    <row r="2157" customFormat="false" ht="15" hidden="false" customHeight="true" outlineLevel="0" collapsed="false">
      <c r="A2157" s="10"/>
      <c r="B2157" s="8"/>
      <c r="C2157" s="13" t="str">
        <f aca="false">IF($B2157="","",IFERROR(INDEX(직원목록!$B$3:$B$302,MATCH($B2157,직원목록!$A$3:$A$302,0)),"미등록사번"))</f>
        <v/>
      </c>
      <c r="D2157" s="13" t="str">
        <f aca="false">IF($B2157="","",IFERROR(INDEX(직원목록!$C$3:$C$302,MATCH($B2157,직원목록!$A$3:$A$302,0)),""))</f>
        <v/>
      </c>
      <c r="E2157" s="14"/>
      <c r="F2157" s="14"/>
      <c r="G2157" s="15"/>
      <c r="H2157" s="16" t="str">
        <f aca="false">IF(OR($K2157="",$L2157=""),"",ROUND(MAX(0,($L2157-$K2157)-IF($G2157="",0,$G2157))/60,2))</f>
        <v/>
      </c>
      <c r="I2157" s="8"/>
      <c r="J2157" s="8"/>
      <c r="K2157" s="17" t="str">
        <f aca="false">IF($E2157="","",IF($E2157&lt;1,ROUND($E2157*1440,0),INT($E2157/100)*60+MOD($E2157,100)))</f>
        <v/>
      </c>
      <c r="L2157" s="17" t="str">
        <f aca="false">IF($F2157="","",IF($F2157&lt;1,ROUND($F2157*1440,0),INT($F2157/100)*60+MOD($F2157,100)))</f>
        <v/>
      </c>
    </row>
    <row r="2158" customFormat="false" ht="15" hidden="false" customHeight="true" outlineLevel="0" collapsed="false">
      <c r="A2158" s="10"/>
      <c r="B2158" s="8"/>
      <c r="C2158" s="13" t="str">
        <f aca="false">IF($B2158="","",IFERROR(INDEX(직원목록!$B$3:$B$302,MATCH($B2158,직원목록!$A$3:$A$302,0)),"미등록사번"))</f>
        <v/>
      </c>
      <c r="D2158" s="13" t="str">
        <f aca="false">IF($B2158="","",IFERROR(INDEX(직원목록!$C$3:$C$302,MATCH($B2158,직원목록!$A$3:$A$302,0)),""))</f>
        <v/>
      </c>
      <c r="E2158" s="14"/>
      <c r="F2158" s="14"/>
      <c r="G2158" s="15"/>
      <c r="H2158" s="16" t="str">
        <f aca="false">IF(OR($K2158="",$L2158=""),"",ROUND(MAX(0,($L2158-$K2158)-IF($G2158="",0,$G2158))/60,2))</f>
        <v/>
      </c>
      <c r="I2158" s="8"/>
      <c r="J2158" s="8"/>
      <c r="K2158" s="17" t="str">
        <f aca="false">IF($E2158="","",IF($E2158&lt;1,ROUND($E2158*1440,0),INT($E2158/100)*60+MOD($E2158,100)))</f>
        <v/>
      </c>
      <c r="L2158" s="17" t="str">
        <f aca="false">IF($F2158="","",IF($F2158&lt;1,ROUND($F2158*1440,0),INT($F2158/100)*60+MOD($F2158,100)))</f>
        <v/>
      </c>
    </row>
    <row r="2159" customFormat="false" ht="15" hidden="false" customHeight="true" outlineLevel="0" collapsed="false">
      <c r="A2159" s="10"/>
      <c r="B2159" s="8"/>
      <c r="C2159" s="13" t="str">
        <f aca="false">IF($B2159="","",IFERROR(INDEX(직원목록!$B$3:$B$302,MATCH($B2159,직원목록!$A$3:$A$302,0)),"미등록사번"))</f>
        <v/>
      </c>
      <c r="D2159" s="13" t="str">
        <f aca="false">IF($B2159="","",IFERROR(INDEX(직원목록!$C$3:$C$302,MATCH($B2159,직원목록!$A$3:$A$302,0)),""))</f>
        <v/>
      </c>
      <c r="E2159" s="14"/>
      <c r="F2159" s="14"/>
      <c r="G2159" s="15"/>
      <c r="H2159" s="16" t="str">
        <f aca="false">IF(OR($K2159="",$L2159=""),"",ROUND(MAX(0,($L2159-$K2159)-IF($G2159="",0,$G2159))/60,2))</f>
        <v/>
      </c>
      <c r="I2159" s="8"/>
      <c r="J2159" s="8"/>
      <c r="K2159" s="17" t="str">
        <f aca="false">IF($E2159="","",IF($E2159&lt;1,ROUND($E2159*1440,0),INT($E2159/100)*60+MOD($E2159,100)))</f>
        <v/>
      </c>
      <c r="L2159" s="17" t="str">
        <f aca="false">IF($F2159="","",IF($F2159&lt;1,ROUND($F2159*1440,0),INT($F2159/100)*60+MOD($F2159,100)))</f>
        <v/>
      </c>
    </row>
    <row r="2160" customFormat="false" ht="15" hidden="false" customHeight="true" outlineLevel="0" collapsed="false">
      <c r="A2160" s="10"/>
      <c r="B2160" s="8"/>
      <c r="C2160" s="13" t="str">
        <f aca="false">IF($B2160="","",IFERROR(INDEX(직원목록!$B$3:$B$302,MATCH($B2160,직원목록!$A$3:$A$302,0)),"미등록사번"))</f>
        <v/>
      </c>
      <c r="D2160" s="13" t="str">
        <f aca="false">IF($B2160="","",IFERROR(INDEX(직원목록!$C$3:$C$302,MATCH($B2160,직원목록!$A$3:$A$302,0)),""))</f>
        <v/>
      </c>
      <c r="E2160" s="14"/>
      <c r="F2160" s="14"/>
      <c r="G2160" s="15"/>
      <c r="H2160" s="16" t="str">
        <f aca="false">IF(OR($K2160="",$L2160=""),"",ROUND(MAX(0,($L2160-$K2160)-IF($G2160="",0,$G2160))/60,2))</f>
        <v/>
      </c>
      <c r="I2160" s="8"/>
      <c r="J2160" s="8"/>
      <c r="K2160" s="17" t="str">
        <f aca="false">IF($E2160="","",IF($E2160&lt;1,ROUND($E2160*1440,0),INT($E2160/100)*60+MOD($E2160,100)))</f>
        <v/>
      </c>
      <c r="L2160" s="17" t="str">
        <f aca="false">IF($F2160="","",IF($F2160&lt;1,ROUND($F2160*1440,0),INT($F2160/100)*60+MOD($F2160,100)))</f>
        <v/>
      </c>
    </row>
    <row r="2161" customFormat="false" ht="15" hidden="false" customHeight="true" outlineLevel="0" collapsed="false">
      <c r="A2161" s="10"/>
      <c r="B2161" s="8"/>
      <c r="C2161" s="13" t="str">
        <f aca="false">IF($B2161="","",IFERROR(INDEX(직원목록!$B$3:$B$302,MATCH($B2161,직원목록!$A$3:$A$302,0)),"미등록사번"))</f>
        <v/>
      </c>
      <c r="D2161" s="13" t="str">
        <f aca="false">IF($B2161="","",IFERROR(INDEX(직원목록!$C$3:$C$302,MATCH($B2161,직원목록!$A$3:$A$302,0)),""))</f>
        <v/>
      </c>
      <c r="E2161" s="14"/>
      <c r="F2161" s="14"/>
      <c r="G2161" s="15"/>
      <c r="H2161" s="16" t="str">
        <f aca="false">IF(OR($K2161="",$L2161=""),"",ROUND(MAX(0,($L2161-$K2161)-IF($G2161="",0,$G2161))/60,2))</f>
        <v/>
      </c>
      <c r="I2161" s="8"/>
      <c r="J2161" s="8"/>
      <c r="K2161" s="17" t="str">
        <f aca="false">IF($E2161="","",IF($E2161&lt;1,ROUND($E2161*1440,0),INT($E2161/100)*60+MOD($E2161,100)))</f>
        <v/>
      </c>
      <c r="L2161" s="17" t="str">
        <f aca="false">IF($F2161="","",IF($F2161&lt;1,ROUND($F2161*1440,0),INT($F2161/100)*60+MOD($F2161,100)))</f>
        <v/>
      </c>
    </row>
    <row r="2162" customFormat="false" ht="15" hidden="false" customHeight="true" outlineLevel="0" collapsed="false">
      <c r="A2162" s="10"/>
      <c r="B2162" s="8"/>
      <c r="C2162" s="13" t="str">
        <f aca="false">IF($B2162="","",IFERROR(INDEX(직원목록!$B$3:$B$302,MATCH($B2162,직원목록!$A$3:$A$302,0)),"미등록사번"))</f>
        <v/>
      </c>
      <c r="D2162" s="13" t="str">
        <f aca="false">IF($B2162="","",IFERROR(INDEX(직원목록!$C$3:$C$302,MATCH($B2162,직원목록!$A$3:$A$302,0)),""))</f>
        <v/>
      </c>
      <c r="E2162" s="14"/>
      <c r="F2162" s="14"/>
      <c r="G2162" s="15"/>
      <c r="H2162" s="16" t="str">
        <f aca="false">IF(OR($K2162="",$L2162=""),"",ROUND(MAX(0,($L2162-$K2162)-IF($G2162="",0,$G2162))/60,2))</f>
        <v/>
      </c>
      <c r="I2162" s="8"/>
      <c r="J2162" s="8"/>
      <c r="K2162" s="17" t="str">
        <f aca="false">IF($E2162="","",IF($E2162&lt;1,ROUND($E2162*1440,0),INT($E2162/100)*60+MOD($E2162,100)))</f>
        <v/>
      </c>
      <c r="L2162" s="17" t="str">
        <f aca="false">IF($F2162="","",IF($F2162&lt;1,ROUND($F2162*1440,0),INT($F2162/100)*60+MOD($F2162,100)))</f>
        <v/>
      </c>
    </row>
    <row r="2163" customFormat="false" ht="15" hidden="false" customHeight="true" outlineLevel="0" collapsed="false">
      <c r="A2163" s="10"/>
      <c r="B2163" s="8"/>
      <c r="C2163" s="13" t="str">
        <f aca="false">IF($B2163="","",IFERROR(INDEX(직원목록!$B$3:$B$302,MATCH($B2163,직원목록!$A$3:$A$302,0)),"미등록사번"))</f>
        <v/>
      </c>
      <c r="D2163" s="13" t="str">
        <f aca="false">IF($B2163="","",IFERROR(INDEX(직원목록!$C$3:$C$302,MATCH($B2163,직원목록!$A$3:$A$302,0)),""))</f>
        <v/>
      </c>
      <c r="E2163" s="14"/>
      <c r="F2163" s="14"/>
      <c r="G2163" s="15"/>
      <c r="H2163" s="16" t="str">
        <f aca="false">IF(OR($K2163="",$L2163=""),"",ROUND(MAX(0,($L2163-$K2163)-IF($G2163="",0,$G2163))/60,2))</f>
        <v/>
      </c>
      <c r="I2163" s="8"/>
      <c r="J2163" s="8"/>
      <c r="K2163" s="17" t="str">
        <f aca="false">IF($E2163="","",IF($E2163&lt;1,ROUND($E2163*1440,0),INT($E2163/100)*60+MOD($E2163,100)))</f>
        <v/>
      </c>
      <c r="L2163" s="17" t="str">
        <f aca="false">IF($F2163="","",IF($F2163&lt;1,ROUND($F2163*1440,0),INT($F2163/100)*60+MOD($F2163,100)))</f>
        <v/>
      </c>
    </row>
    <row r="2164" customFormat="false" ht="15" hidden="false" customHeight="true" outlineLevel="0" collapsed="false">
      <c r="A2164" s="10"/>
      <c r="B2164" s="8"/>
      <c r="C2164" s="13" t="str">
        <f aca="false">IF($B2164="","",IFERROR(INDEX(직원목록!$B$3:$B$302,MATCH($B2164,직원목록!$A$3:$A$302,0)),"미등록사번"))</f>
        <v/>
      </c>
      <c r="D2164" s="13" t="str">
        <f aca="false">IF($B2164="","",IFERROR(INDEX(직원목록!$C$3:$C$302,MATCH($B2164,직원목록!$A$3:$A$302,0)),""))</f>
        <v/>
      </c>
      <c r="E2164" s="14"/>
      <c r="F2164" s="14"/>
      <c r="G2164" s="15"/>
      <c r="H2164" s="16" t="str">
        <f aca="false">IF(OR($K2164="",$L2164=""),"",ROUND(MAX(0,($L2164-$K2164)-IF($G2164="",0,$G2164))/60,2))</f>
        <v/>
      </c>
      <c r="I2164" s="8"/>
      <c r="J2164" s="8"/>
      <c r="K2164" s="17" t="str">
        <f aca="false">IF($E2164="","",IF($E2164&lt;1,ROUND($E2164*1440,0),INT($E2164/100)*60+MOD($E2164,100)))</f>
        <v/>
      </c>
      <c r="L2164" s="17" t="str">
        <f aca="false">IF($F2164="","",IF($F2164&lt;1,ROUND($F2164*1440,0),INT($F2164/100)*60+MOD($F2164,100)))</f>
        <v/>
      </c>
    </row>
    <row r="2165" customFormat="false" ht="15" hidden="false" customHeight="true" outlineLevel="0" collapsed="false">
      <c r="A2165" s="10"/>
      <c r="B2165" s="8"/>
      <c r="C2165" s="13" t="str">
        <f aca="false">IF($B2165="","",IFERROR(INDEX(직원목록!$B$3:$B$302,MATCH($B2165,직원목록!$A$3:$A$302,0)),"미등록사번"))</f>
        <v/>
      </c>
      <c r="D2165" s="13" t="str">
        <f aca="false">IF($B2165="","",IFERROR(INDEX(직원목록!$C$3:$C$302,MATCH($B2165,직원목록!$A$3:$A$302,0)),""))</f>
        <v/>
      </c>
      <c r="E2165" s="14"/>
      <c r="F2165" s="14"/>
      <c r="G2165" s="15"/>
      <c r="H2165" s="16" t="str">
        <f aca="false">IF(OR($K2165="",$L2165=""),"",ROUND(MAX(0,($L2165-$K2165)-IF($G2165="",0,$G2165))/60,2))</f>
        <v/>
      </c>
      <c r="I2165" s="8"/>
      <c r="J2165" s="8"/>
      <c r="K2165" s="17" t="str">
        <f aca="false">IF($E2165="","",IF($E2165&lt;1,ROUND($E2165*1440,0),INT($E2165/100)*60+MOD($E2165,100)))</f>
        <v/>
      </c>
      <c r="L2165" s="17" t="str">
        <f aca="false">IF($F2165="","",IF($F2165&lt;1,ROUND($F2165*1440,0),INT($F2165/100)*60+MOD($F2165,100)))</f>
        <v/>
      </c>
    </row>
    <row r="2166" customFormat="false" ht="15" hidden="false" customHeight="true" outlineLevel="0" collapsed="false">
      <c r="A2166" s="10"/>
      <c r="B2166" s="8"/>
      <c r="C2166" s="13" t="str">
        <f aca="false">IF($B2166="","",IFERROR(INDEX(직원목록!$B$3:$B$302,MATCH($B2166,직원목록!$A$3:$A$302,0)),"미등록사번"))</f>
        <v/>
      </c>
      <c r="D2166" s="13" t="str">
        <f aca="false">IF($B2166="","",IFERROR(INDEX(직원목록!$C$3:$C$302,MATCH($B2166,직원목록!$A$3:$A$302,0)),""))</f>
        <v/>
      </c>
      <c r="E2166" s="14"/>
      <c r="F2166" s="14"/>
      <c r="G2166" s="15"/>
      <c r="H2166" s="16" t="str">
        <f aca="false">IF(OR($K2166="",$L2166=""),"",ROUND(MAX(0,($L2166-$K2166)-IF($G2166="",0,$G2166))/60,2))</f>
        <v/>
      </c>
      <c r="I2166" s="8"/>
      <c r="J2166" s="8"/>
      <c r="K2166" s="17" t="str">
        <f aca="false">IF($E2166="","",IF($E2166&lt;1,ROUND($E2166*1440,0),INT($E2166/100)*60+MOD($E2166,100)))</f>
        <v/>
      </c>
      <c r="L2166" s="17" t="str">
        <f aca="false">IF($F2166="","",IF($F2166&lt;1,ROUND($F2166*1440,0),INT($F2166/100)*60+MOD($F2166,100)))</f>
        <v/>
      </c>
    </row>
    <row r="2167" customFormat="false" ht="15" hidden="false" customHeight="true" outlineLevel="0" collapsed="false">
      <c r="A2167" s="10"/>
      <c r="B2167" s="8"/>
      <c r="C2167" s="13" t="str">
        <f aca="false">IF($B2167="","",IFERROR(INDEX(직원목록!$B$3:$B$302,MATCH($B2167,직원목록!$A$3:$A$302,0)),"미등록사번"))</f>
        <v/>
      </c>
      <c r="D2167" s="13" t="str">
        <f aca="false">IF($B2167="","",IFERROR(INDEX(직원목록!$C$3:$C$302,MATCH($B2167,직원목록!$A$3:$A$302,0)),""))</f>
        <v/>
      </c>
      <c r="E2167" s="14"/>
      <c r="F2167" s="14"/>
      <c r="G2167" s="15"/>
      <c r="H2167" s="16" t="str">
        <f aca="false">IF(OR($K2167="",$L2167=""),"",ROUND(MAX(0,($L2167-$K2167)-IF($G2167="",0,$G2167))/60,2))</f>
        <v/>
      </c>
      <c r="I2167" s="8"/>
      <c r="J2167" s="8"/>
      <c r="K2167" s="17" t="str">
        <f aca="false">IF($E2167="","",IF($E2167&lt;1,ROUND($E2167*1440,0),INT($E2167/100)*60+MOD($E2167,100)))</f>
        <v/>
      </c>
      <c r="L2167" s="17" t="str">
        <f aca="false">IF($F2167="","",IF($F2167&lt;1,ROUND($F2167*1440,0),INT($F2167/100)*60+MOD($F2167,100)))</f>
        <v/>
      </c>
    </row>
    <row r="2168" customFormat="false" ht="15" hidden="false" customHeight="true" outlineLevel="0" collapsed="false">
      <c r="A2168" s="10"/>
      <c r="B2168" s="8"/>
      <c r="C2168" s="13" t="str">
        <f aca="false">IF($B2168="","",IFERROR(INDEX(직원목록!$B$3:$B$302,MATCH($B2168,직원목록!$A$3:$A$302,0)),"미등록사번"))</f>
        <v/>
      </c>
      <c r="D2168" s="13" t="str">
        <f aca="false">IF($B2168="","",IFERROR(INDEX(직원목록!$C$3:$C$302,MATCH($B2168,직원목록!$A$3:$A$302,0)),""))</f>
        <v/>
      </c>
      <c r="E2168" s="14"/>
      <c r="F2168" s="14"/>
      <c r="G2168" s="15"/>
      <c r="H2168" s="16" t="str">
        <f aca="false">IF(OR($K2168="",$L2168=""),"",ROUND(MAX(0,($L2168-$K2168)-IF($G2168="",0,$G2168))/60,2))</f>
        <v/>
      </c>
      <c r="I2168" s="8"/>
      <c r="J2168" s="8"/>
      <c r="K2168" s="17" t="str">
        <f aca="false">IF($E2168="","",IF($E2168&lt;1,ROUND($E2168*1440,0),INT($E2168/100)*60+MOD($E2168,100)))</f>
        <v/>
      </c>
      <c r="L2168" s="17" t="str">
        <f aca="false">IF($F2168="","",IF($F2168&lt;1,ROUND($F2168*1440,0),INT($F2168/100)*60+MOD($F2168,100)))</f>
        <v/>
      </c>
    </row>
    <row r="2169" customFormat="false" ht="15" hidden="false" customHeight="true" outlineLevel="0" collapsed="false">
      <c r="A2169" s="10"/>
      <c r="B2169" s="8"/>
      <c r="C2169" s="13" t="str">
        <f aca="false">IF($B2169="","",IFERROR(INDEX(직원목록!$B$3:$B$302,MATCH($B2169,직원목록!$A$3:$A$302,0)),"미등록사번"))</f>
        <v/>
      </c>
      <c r="D2169" s="13" t="str">
        <f aca="false">IF($B2169="","",IFERROR(INDEX(직원목록!$C$3:$C$302,MATCH($B2169,직원목록!$A$3:$A$302,0)),""))</f>
        <v/>
      </c>
      <c r="E2169" s="14"/>
      <c r="F2169" s="14"/>
      <c r="G2169" s="15"/>
      <c r="H2169" s="16" t="str">
        <f aca="false">IF(OR($K2169="",$L2169=""),"",ROUND(MAX(0,($L2169-$K2169)-IF($G2169="",0,$G2169))/60,2))</f>
        <v/>
      </c>
      <c r="I2169" s="8"/>
      <c r="J2169" s="8"/>
      <c r="K2169" s="17" t="str">
        <f aca="false">IF($E2169="","",IF($E2169&lt;1,ROUND($E2169*1440,0),INT($E2169/100)*60+MOD($E2169,100)))</f>
        <v/>
      </c>
      <c r="L2169" s="17" t="str">
        <f aca="false">IF($F2169="","",IF($F2169&lt;1,ROUND($F2169*1440,0),INT($F2169/100)*60+MOD($F2169,100)))</f>
        <v/>
      </c>
    </row>
    <row r="2170" customFormat="false" ht="15" hidden="false" customHeight="true" outlineLevel="0" collapsed="false">
      <c r="A2170" s="10"/>
      <c r="B2170" s="8"/>
      <c r="C2170" s="13" t="str">
        <f aca="false">IF($B2170="","",IFERROR(INDEX(직원목록!$B$3:$B$302,MATCH($B2170,직원목록!$A$3:$A$302,0)),"미등록사번"))</f>
        <v/>
      </c>
      <c r="D2170" s="13" t="str">
        <f aca="false">IF($B2170="","",IFERROR(INDEX(직원목록!$C$3:$C$302,MATCH($B2170,직원목록!$A$3:$A$302,0)),""))</f>
        <v/>
      </c>
      <c r="E2170" s="14"/>
      <c r="F2170" s="14"/>
      <c r="G2170" s="15"/>
      <c r="H2170" s="16" t="str">
        <f aca="false">IF(OR($K2170="",$L2170=""),"",ROUND(MAX(0,($L2170-$K2170)-IF($G2170="",0,$G2170))/60,2))</f>
        <v/>
      </c>
      <c r="I2170" s="8"/>
      <c r="J2170" s="8"/>
      <c r="K2170" s="17" t="str">
        <f aca="false">IF($E2170="","",IF($E2170&lt;1,ROUND($E2170*1440,0),INT($E2170/100)*60+MOD($E2170,100)))</f>
        <v/>
      </c>
      <c r="L2170" s="17" t="str">
        <f aca="false">IF($F2170="","",IF($F2170&lt;1,ROUND($F2170*1440,0),INT($F2170/100)*60+MOD($F2170,100)))</f>
        <v/>
      </c>
    </row>
    <row r="2171" customFormat="false" ht="15" hidden="false" customHeight="true" outlineLevel="0" collapsed="false">
      <c r="A2171" s="10"/>
      <c r="B2171" s="8"/>
      <c r="C2171" s="13" t="str">
        <f aca="false">IF($B2171="","",IFERROR(INDEX(직원목록!$B$3:$B$302,MATCH($B2171,직원목록!$A$3:$A$302,0)),"미등록사번"))</f>
        <v/>
      </c>
      <c r="D2171" s="13" t="str">
        <f aca="false">IF($B2171="","",IFERROR(INDEX(직원목록!$C$3:$C$302,MATCH($B2171,직원목록!$A$3:$A$302,0)),""))</f>
        <v/>
      </c>
      <c r="E2171" s="14"/>
      <c r="F2171" s="14"/>
      <c r="G2171" s="15"/>
      <c r="H2171" s="16" t="str">
        <f aca="false">IF(OR($K2171="",$L2171=""),"",ROUND(MAX(0,($L2171-$K2171)-IF($G2171="",0,$G2171))/60,2))</f>
        <v/>
      </c>
      <c r="I2171" s="8"/>
      <c r="J2171" s="8"/>
      <c r="K2171" s="17" t="str">
        <f aca="false">IF($E2171="","",IF($E2171&lt;1,ROUND($E2171*1440,0),INT($E2171/100)*60+MOD($E2171,100)))</f>
        <v/>
      </c>
      <c r="L2171" s="17" t="str">
        <f aca="false">IF($F2171="","",IF($F2171&lt;1,ROUND($F2171*1440,0),INT($F2171/100)*60+MOD($F2171,100)))</f>
        <v/>
      </c>
    </row>
    <row r="2172" customFormat="false" ht="15" hidden="false" customHeight="true" outlineLevel="0" collapsed="false">
      <c r="A2172" s="10"/>
      <c r="B2172" s="8"/>
      <c r="C2172" s="13" t="str">
        <f aca="false">IF($B2172="","",IFERROR(INDEX(직원목록!$B$3:$B$302,MATCH($B2172,직원목록!$A$3:$A$302,0)),"미등록사번"))</f>
        <v/>
      </c>
      <c r="D2172" s="13" t="str">
        <f aca="false">IF($B2172="","",IFERROR(INDEX(직원목록!$C$3:$C$302,MATCH($B2172,직원목록!$A$3:$A$302,0)),""))</f>
        <v/>
      </c>
      <c r="E2172" s="14"/>
      <c r="F2172" s="14"/>
      <c r="G2172" s="15"/>
      <c r="H2172" s="16" t="str">
        <f aca="false">IF(OR($K2172="",$L2172=""),"",ROUND(MAX(0,($L2172-$K2172)-IF($G2172="",0,$G2172))/60,2))</f>
        <v/>
      </c>
      <c r="I2172" s="8"/>
      <c r="J2172" s="8"/>
      <c r="K2172" s="17" t="str">
        <f aca="false">IF($E2172="","",IF($E2172&lt;1,ROUND($E2172*1440,0),INT($E2172/100)*60+MOD($E2172,100)))</f>
        <v/>
      </c>
      <c r="L2172" s="17" t="str">
        <f aca="false">IF($F2172="","",IF($F2172&lt;1,ROUND($F2172*1440,0),INT($F2172/100)*60+MOD($F2172,100)))</f>
        <v/>
      </c>
    </row>
    <row r="2173" customFormat="false" ht="15" hidden="false" customHeight="true" outlineLevel="0" collapsed="false">
      <c r="A2173" s="10"/>
      <c r="B2173" s="8"/>
      <c r="C2173" s="13" t="str">
        <f aca="false">IF($B2173="","",IFERROR(INDEX(직원목록!$B$3:$B$302,MATCH($B2173,직원목록!$A$3:$A$302,0)),"미등록사번"))</f>
        <v/>
      </c>
      <c r="D2173" s="13" t="str">
        <f aca="false">IF($B2173="","",IFERROR(INDEX(직원목록!$C$3:$C$302,MATCH($B2173,직원목록!$A$3:$A$302,0)),""))</f>
        <v/>
      </c>
      <c r="E2173" s="14"/>
      <c r="F2173" s="14"/>
      <c r="G2173" s="15"/>
      <c r="H2173" s="16" t="str">
        <f aca="false">IF(OR($K2173="",$L2173=""),"",ROUND(MAX(0,($L2173-$K2173)-IF($G2173="",0,$G2173))/60,2))</f>
        <v/>
      </c>
      <c r="I2173" s="8"/>
      <c r="J2173" s="8"/>
      <c r="K2173" s="17" t="str">
        <f aca="false">IF($E2173="","",IF($E2173&lt;1,ROUND($E2173*1440,0),INT($E2173/100)*60+MOD($E2173,100)))</f>
        <v/>
      </c>
      <c r="L2173" s="17" t="str">
        <f aca="false">IF($F2173="","",IF($F2173&lt;1,ROUND($F2173*1440,0),INT($F2173/100)*60+MOD($F2173,100)))</f>
        <v/>
      </c>
    </row>
    <row r="2174" customFormat="false" ht="15" hidden="false" customHeight="true" outlineLevel="0" collapsed="false">
      <c r="A2174" s="10"/>
      <c r="B2174" s="8"/>
      <c r="C2174" s="13" t="str">
        <f aca="false">IF($B2174="","",IFERROR(INDEX(직원목록!$B$3:$B$302,MATCH($B2174,직원목록!$A$3:$A$302,0)),"미등록사번"))</f>
        <v/>
      </c>
      <c r="D2174" s="13" t="str">
        <f aca="false">IF($B2174="","",IFERROR(INDEX(직원목록!$C$3:$C$302,MATCH($B2174,직원목록!$A$3:$A$302,0)),""))</f>
        <v/>
      </c>
      <c r="E2174" s="14"/>
      <c r="F2174" s="14"/>
      <c r="G2174" s="15"/>
      <c r="H2174" s="16" t="str">
        <f aca="false">IF(OR($K2174="",$L2174=""),"",ROUND(MAX(0,($L2174-$K2174)-IF($G2174="",0,$G2174))/60,2))</f>
        <v/>
      </c>
      <c r="I2174" s="8"/>
      <c r="J2174" s="8"/>
      <c r="K2174" s="17" t="str">
        <f aca="false">IF($E2174="","",IF($E2174&lt;1,ROUND($E2174*1440,0),INT($E2174/100)*60+MOD($E2174,100)))</f>
        <v/>
      </c>
      <c r="L2174" s="17" t="str">
        <f aca="false">IF($F2174="","",IF($F2174&lt;1,ROUND($F2174*1440,0),INT($F2174/100)*60+MOD($F2174,100)))</f>
        <v/>
      </c>
    </row>
    <row r="2175" customFormat="false" ht="15" hidden="false" customHeight="true" outlineLevel="0" collapsed="false">
      <c r="A2175" s="10"/>
      <c r="B2175" s="8"/>
      <c r="C2175" s="13" t="str">
        <f aca="false">IF($B2175="","",IFERROR(INDEX(직원목록!$B$3:$B$302,MATCH($B2175,직원목록!$A$3:$A$302,0)),"미등록사번"))</f>
        <v/>
      </c>
      <c r="D2175" s="13" t="str">
        <f aca="false">IF($B2175="","",IFERROR(INDEX(직원목록!$C$3:$C$302,MATCH($B2175,직원목록!$A$3:$A$302,0)),""))</f>
        <v/>
      </c>
      <c r="E2175" s="14"/>
      <c r="F2175" s="14"/>
      <c r="G2175" s="15"/>
      <c r="H2175" s="16" t="str">
        <f aca="false">IF(OR($K2175="",$L2175=""),"",ROUND(MAX(0,($L2175-$K2175)-IF($G2175="",0,$G2175))/60,2))</f>
        <v/>
      </c>
      <c r="I2175" s="8"/>
      <c r="J2175" s="8"/>
      <c r="K2175" s="17" t="str">
        <f aca="false">IF($E2175="","",IF($E2175&lt;1,ROUND($E2175*1440,0),INT($E2175/100)*60+MOD($E2175,100)))</f>
        <v/>
      </c>
      <c r="L2175" s="17" t="str">
        <f aca="false">IF($F2175="","",IF($F2175&lt;1,ROUND($F2175*1440,0),INT($F2175/100)*60+MOD($F2175,100)))</f>
        <v/>
      </c>
    </row>
    <row r="2176" customFormat="false" ht="15" hidden="false" customHeight="true" outlineLevel="0" collapsed="false">
      <c r="A2176" s="10"/>
      <c r="B2176" s="8"/>
      <c r="C2176" s="13" t="str">
        <f aca="false">IF($B2176="","",IFERROR(INDEX(직원목록!$B$3:$B$302,MATCH($B2176,직원목록!$A$3:$A$302,0)),"미등록사번"))</f>
        <v/>
      </c>
      <c r="D2176" s="13" t="str">
        <f aca="false">IF($B2176="","",IFERROR(INDEX(직원목록!$C$3:$C$302,MATCH($B2176,직원목록!$A$3:$A$302,0)),""))</f>
        <v/>
      </c>
      <c r="E2176" s="14"/>
      <c r="F2176" s="14"/>
      <c r="G2176" s="15"/>
      <c r="H2176" s="16" t="str">
        <f aca="false">IF(OR($K2176="",$L2176=""),"",ROUND(MAX(0,($L2176-$K2176)-IF($G2176="",0,$G2176))/60,2))</f>
        <v/>
      </c>
      <c r="I2176" s="8"/>
      <c r="J2176" s="8"/>
      <c r="K2176" s="17" t="str">
        <f aca="false">IF($E2176="","",IF($E2176&lt;1,ROUND($E2176*1440,0),INT($E2176/100)*60+MOD($E2176,100)))</f>
        <v/>
      </c>
      <c r="L2176" s="17" t="str">
        <f aca="false">IF($F2176="","",IF($F2176&lt;1,ROUND($F2176*1440,0),INT($F2176/100)*60+MOD($F2176,100)))</f>
        <v/>
      </c>
    </row>
    <row r="2177" customFormat="false" ht="15" hidden="false" customHeight="true" outlineLevel="0" collapsed="false">
      <c r="A2177" s="10"/>
      <c r="B2177" s="8"/>
      <c r="C2177" s="13" t="str">
        <f aca="false">IF($B2177="","",IFERROR(INDEX(직원목록!$B$3:$B$302,MATCH($B2177,직원목록!$A$3:$A$302,0)),"미등록사번"))</f>
        <v/>
      </c>
      <c r="D2177" s="13" t="str">
        <f aca="false">IF($B2177="","",IFERROR(INDEX(직원목록!$C$3:$C$302,MATCH($B2177,직원목록!$A$3:$A$302,0)),""))</f>
        <v/>
      </c>
      <c r="E2177" s="14"/>
      <c r="F2177" s="14"/>
      <c r="G2177" s="15"/>
      <c r="H2177" s="16" t="str">
        <f aca="false">IF(OR($K2177="",$L2177=""),"",ROUND(MAX(0,($L2177-$K2177)-IF($G2177="",0,$G2177))/60,2))</f>
        <v/>
      </c>
      <c r="I2177" s="8"/>
      <c r="J2177" s="8"/>
      <c r="K2177" s="17" t="str">
        <f aca="false">IF($E2177="","",IF($E2177&lt;1,ROUND($E2177*1440,0),INT($E2177/100)*60+MOD($E2177,100)))</f>
        <v/>
      </c>
      <c r="L2177" s="17" t="str">
        <f aca="false">IF($F2177="","",IF($F2177&lt;1,ROUND($F2177*1440,0),INT($F2177/100)*60+MOD($F2177,100)))</f>
        <v/>
      </c>
    </row>
    <row r="2178" customFormat="false" ht="15" hidden="false" customHeight="true" outlineLevel="0" collapsed="false">
      <c r="A2178" s="10"/>
      <c r="B2178" s="8"/>
      <c r="C2178" s="13" t="str">
        <f aca="false">IF($B2178="","",IFERROR(INDEX(직원목록!$B$3:$B$302,MATCH($B2178,직원목록!$A$3:$A$302,0)),"미등록사번"))</f>
        <v/>
      </c>
      <c r="D2178" s="13" t="str">
        <f aca="false">IF($B2178="","",IFERROR(INDEX(직원목록!$C$3:$C$302,MATCH($B2178,직원목록!$A$3:$A$302,0)),""))</f>
        <v/>
      </c>
      <c r="E2178" s="14"/>
      <c r="F2178" s="14"/>
      <c r="G2178" s="15"/>
      <c r="H2178" s="16" t="str">
        <f aca="false">IF(OR($K2178="",$L2178=""),"",ROUND(MAX(0,($L2178-$K2178)-IF($G2178="",0,$G2178))/60,2))</f>
        <v/>
      </c>
      <c r="I2178" s="8"/>
      <c r="J2178" s="8"/>
      <c r="K2178" s="17" t="str">
        <f aca="false">IF($E2178="","",IF($E2178&lt;1,ROUND($E2178*1440,0),INT($E2178/100)*60+MOD($E2178,100)))</f>
        <v/>
      </c>
      <c r="L2178" s="17" t="str">
        <f aca="false">IF($F2178="","",IF($F2178&lt;1,ROUND($F2178*1440,0),INT($F2178/100)*60+MOD($F2178,100)))</f>
        <v/>
      </c>
    </row>
    <row r="2179" customFormat="false" ht="15" hidden="false" customHeight="true" outlineLevel="0" collapsed="false">
      <c r="A2179" s="10"/>
      <c r="B2179" s="8"/>
      <c r="C2179" s="13" t="str">
        <f aca="false">IF($B2179="","",IFERROR(INDEX(직원목록!$B$3:$B$302,MATCH($B2179,직원목록!$A$3:$A$302,0)),"미등록사번"))</f>
        <v/>
      </c>
      <c r="D2179" s="13" t="str">
        <f aca="false">IF($B2179="","",IFERROR(INDEX(직원목록!$C$3:$C$302,MATCH($B2179,직원목록!$A$3:$A$302,0)),""))</f>
        <v/>
      </c>
      <c r="E2179" s="14"/>
      <c r="F2179" s="14"/>
      <c r="G2179" s="15"/>
      <c r="H2179" s="16" t="str">
        <f aca="false">IF(OR($K2179="",$L2179=""),"",ROUND(MAX(0,($L2179-$K2179)-IF($G2179="",0,$G2179))/60,2))</f>
        <v/>
      </c>
      <c r="I2179" s="8"/>
      <c r="J2179" s="8"/>
      <c r="K2179" s="17" t="str">
        <f aca="false">IF($E2179="","",IF($E2179&lt;1,ROUND($E2179*1440,0),INT($E2179/100)*60+MOD($E2179,100)))</f>
        <v/>
      </c>
      <c r="L2179" s="17" t="str">
        <f aca="false">IF($F2179="","",IF($F2179&lt;1,ROUND($F2179*1440,0),INT($F2179/100)*60+MOD($F2179,100)))</f>
        <v/>
      </c>
    </row>
    <row r="2180" customFormat="false" ht="15" hidden="false" customHeight="true" outlineLevel="0" collapsed="false">
      <c r="A2180" s="10"/>
      <c r="B2180" s="8"/>
      <c r="C2180" s="13" t="str">
        <f aca="false">IF($B2180="","",IFERROR(INDEX(직원목록!$B$3:$B$302,MATCH($B2180,직원목록!$A$3:$A$302,0)),"미등록사번"))</f>
        <v/>
      </c>
      <c r="D2180" s="13" t="str">
        <f aca="false">IF($B2180="","",IFERROR(INDEX(직원목록!$C$3:$C$302,MATCH($B2180,직원목록!$A$3:$A$302,0)),""))</f>
        <v/>
      </c>
      <c r="E2180" s="14"/>
      <c r="F2180" s="14"/>
      <c r="G2180" s="15"/>
      <c r="H2180" s="16" t="str">
        <f aca="false">IF(OR($K2180="",$L2180=""),"",ROUND(MAX(0,($L2180-$K2180)-IF($G2180="",0,$G2180))/60,2))</f>
        <v/>
      </c>
      <c r="I2180" s="8"/>
      <c r="J2180" s="8"/>
      <c r="K2180" s="17" t="str">
        <f aca="false">IF($E2180="","",IF($E2180&lt;1,ROUND($E2180*1440,0),INT($E2180/100)*60+MOD($E2180,100)))</f>
        <v/>
      </c>
      <c r="L2180" s="17" t="str">
        <f aca="false">IF($F2180="","",IF($F2180&lt;1,ROUND($F2180*1440,0),INT($F2180/100)*60+MOD($F2180,100)))</f>
        <v/>
      </c>
    </row>
    <row r="2181" customFormat="false" ht="15" hidden="false" customHeight="true" outlineLevel="0" collapsed="false">
      <c r="A2181" s="10"/>
      <c r="B2181" s="8"/>
      <c r="C2181" s="13" t="str">
        <f aca="false">IF($B2181="","",IFERROR(INDEX(직원목록!$B$3:$B$302,MATCH($B2181,직원목록!$A$3:$A$302,0)),"미등록사번"))</f>
        <v/>
      </c>
      <c r="D2181" s="13" t="str">
        <f aca="false">IF($B2181="","",IFERROR(INDEX(직원목록!$C$3:$C$302,MATCH($B2181,직원목록!$A$3:$A$302,0)),""))</f>
        <v/>
      </c>
      <c r="E2181" s="14"/>
      <c r="F2181" s="14"/>
      <c r="G2181" s="15"/>
      <c r="H2181" s="16" t="str">
        <f aca="false">IF(OR($K2181="",$L2181=""),"",ROUND(MAX(0,($L2181-$K2181)-IF($G2181="",0,$G2181))/60,2))</f>
        <v/>
      </c>
      <c r="I2181" s="8"/>
      <c r="J2181" s="8"/>
      <c r="K2181" s="17" t="str">
        <f aca="false">IF($E2181="","",IF($E2181&lt;1,ROUND($E2181*1440,0),INT($E2181/100)*60+MOD($E2181,100)))</f>
        <v/>
      </c>
      <c r="L2181" s="17" t="str">
        <f aca="false">IF($F2181="","",IF($F2181&lt;1,ROUND($F2181*1440,0),INT($F2181/100)*60+MOD($F2181,100)))</f>
        <v/>
      </c>
    </row>
    <row r="2182" customFormat="false" ht="15" hidden="false" customHeight="true" outlineLevel="0" collapsed="false">
      <c r="A2182" s="10"/>
      <c r="B2182" s="8"/>
      <c r="C2182" s="13" t="str">
        <f aca="false">IF($B2182="","",IFERROR(INDEX(직원목록!$B$3:$B$302,MATCH($B2182,직원목록!$A$3:$A$302,0)),"미등록사번"))</f>
        <v/>
      </c>
      <c r="D2182" s="13" t="str">
        <f aca="false">IF($B2182="","",IFERROR(INDEX(직원목록!$C$3:$C$302,MATCH($B2182,직원목록!$A$3:$A$302,0)),""))</f>
        <v/>
      </c>
      <c r="E2182" s="14"/>
      <c r="F2182" s="14"/>
      <c r="G2182" s="15"/>
      <c r="H2182" s="16" t="str">
        <f aca="false">IF(OR($K2182="",$L2182=""),"",ROUND(MAX(0,($L2182-$K2182)-IF($G2182="",0,$G2182))/60,2))</f>
        <v/>
      </c>
      <c r="I2182" s="8"/>
      <c r="J2182" s="8"/>
      <c r="K2182" s="17" t="str">
        <f aca="false">IF($E2182="","",IF($E2182&lt;1,ROUND($E2182*1440,0),INT($E2182/100)*60+MOD($E2182,100)))</f>
        <v/>
      </c>
      <c r="L2182" s="17" t="str">
        <f aca="false">IF($F2182="","",IF($F2182&lt;1,ROUND($F2182*1440,0),INT($F2182/100)*60+MOD($F2182,100)))</f>
        <v/>
      </c>
    </row>
    <row r="2183" customFormat="false" ht="15" hidden="false" customHeight="true" outlineLevel="0" collapsed="false">
      <c r="A2183" s="10"/>
      <c r="B2183" s="8"/>
      <c r="C2183" s="13" t="str">
        <f aca="false">IF($B2183="","",IFERROR(INDEX(직원목록!$B$3:$B$302,MATCH($B2183,직원목록!$A$3:$A$302,0)),"미등록사번"))</f>
        <v/>
      </c>
      <c r="D2183" s="13" t="str">
        <f aca="false">IF($B2183="","",IFERROR(INDEX(직원목록!$C$3:$C$302,MATCH($B2183,직원목록!$A$3:$A$302,0)),""))</f>
        <v/>
      </c>
      <c r="E2183" s="14"/>
      <c r="F2183" s="14"/>
      <c r="G2183" s="15"/>
      <c r="H2183" s="16" t="str">
        <f aca="false">IF(OR($K2183="",$L2183=""),"",ROUND(MAX(0,($L2183-$K2183)-IF($G2183="",0,$G2183))/60,2))</f>
        <v/>
      </c>
      <c r="I2183" s="8"/>
      <c r="J2183" s="8"/>
      <c r="K2183" s="17" t="str">
        <f aca="false">IF($E2183="","",IF($E2183&lt;1,ROUND($E2183*1440,0),INT($E2183/100)*60+MOD($E2183,100)))</f>
        <v/>
      </c>
      <c r="L2183" s="17" t="str">
        <f aca="false">IF($F2183="","",IF($F2183&lt;1,ROUND($F2183*1440,0),INT($F2183/100)*60+MOD($F2183,100)))</f>
        <v/>
      </c>
    </row>
    <row r="2184" customFormat="false" ht="15" hidden="false" customHeight="true" outlineLevel="0" collapsed="false">
      <c r="A2184" s="10"/>
      <c r="B2184" s="8"/>
      <c r="C2184" s="13" t="str">
        <f aca="false">IF($B2184="","",IFERROR(INDEX(직원목록!$B$3:$B$302,MATCH($B2184,직원목록!$A$3:$A$302,0)),"미등록사번"))</f>
        <v/>
      </c>
      <c r="D2184" s="13" t="str">
        <f aca="false">IF($B2184="","",IFERROR(INDEX(직원목록!$C$3:$C$302,MATCH($B2184,직원목록!$A$3:$A$302,0)),""))</f>
        <v/>
      </c>
      <c r="E2184" s="14"/>
      <c r="F2184" s="14"/>
      <c r="G2184" s="15"/>
      <c r="H2184" s="16" t="str">
        <f aca="false">IF(OR($K2184="",$L2184=""),"",ROUND(MAX(0,($L2184-$K2184)-IF($G2184="",0,$G2184))/60,2))</f>
        <v/>
      </c>
      <c r="I2184" s="8"/>
      <c r="J2184" s="8"/>
      <c r="K2184" s="17" t="str">
        <f aca="false">IF($E2184="","",IF($E2184&lt;1,ROUND($E2184*1440,0),INT($E2184/100)*60+MOD($E2184,100)))</f>
        <v/>
      </c>
      <c r="L2184" s="17" t="str">
        <f aca="false">IF($F2184="","",IF($F2184&lt;1,ROUND($F2184*1440,0),INT($F2184/100)*60+MOD($F2184,100)))</f>
        <v/>
      </c>
    </row>
    <row r="2185" customFormat="false" ht="15" hidden="false" customHeight="true" outlineLevel="0" collapsed="false">
      <c r="A2185" s="10"/>
      <c r="B2185" s="8"/>
      <c r="C2185" s="13" t="str">
        <f aca="false">IF($B2185="","",IFERROR(INDEX(직원목록!$B$3:$B$302,MATCH($B2185,직원목록!$A$3:$A$302,0)),"미등록사번"))</f>
        <v/>
      </c>
      <c r="D2185" s="13" t="str">
        <f aca="false">IF($B2185="","",IFERROR(INDEX(직원목록!$C$3:$C$302,MATCH($B2185,직원목록!$A$3:$A$302,0)),""))</f>
        <v/>
      </c>
      <c r="E2185" s="14"/>
      <c r="F2185" s="14"/>
      <c r="G2185" s="15"/>
      <c r="H2185" s="16" t="str">
        <f aca="false">IF(OR($K2185="",$L2185=""),"",ROUND(MAX(0,($L2185-$K2185)-IF($G2185="",0,$G2185))/60,2))</f>
        <v/>
      </c>
      <c r="I2185" s="8"/>
      <c r="J2185" s="8"/>
      <c r="K2185" s="17" t="str">
        <f aca="false">IF($E2185="","",IF($E2185&lt;1,ROUND($E2185*1440,0),INT($E2185/100)*60+MOD($E2185,100)))</f>
        <v/>
      </c>
      <c r="L2185" s="17" t="str">
        <f aca="false">IF($F2185="","",IF($F2185&lt;1,ROUND($F2185*1440,0),INT($F2185/100)*60+MOD($F2185,100)))</f>
        <v/>
      </c>
    </row>
    <row r="2186" customFormat="false" ht="15" hidden="false" customHeight="true" outlineLevel="0" collapsed="false">
      <c r="A2186" s="10"/>
      <c r="B2186" s="8"/>
      <c r="C2186" s="13" t="str">
        <f aca="false">IF($B2186="","",IFERROR(INDEX(직원목록!$B$3:$B$302,MATCH($B2186,직원목록!$A$3:$A$302,0)),"미등록사번"))</f>
        <v/>
      </c>
      <c r="D2186" s="13" t="str">
        <f aca="false">IF($B2186="","",IFERROR(INDEX(직원목록!$C$3:$C$302,MATCH($B2186,직원목록!$A$3:$A$302,0)),""))</f>
        <v/>
      </c>
      <c r="E2186" s="14"/>
      <c r="F2186" s="14"/>
      <c r="G2186" s="15"/>
      <c r="H2186" s="16" t="str">
        <f aca="false">IF(OR($K2186="",$L2186=""),"",ROUND(MAX(0,($L2186-$K2186)-IF($G2186="",0,$G2186))/60,2))</f>
        <v/>
      </c>
      <c r="I2186" s="8"/>
      <c r="J2186" s="8"/>
      <c r="K2186" s="17" t="str">
        <f aca="false">IF($E2186="","",IF($E2186&lt;1,ROUND($E2186*1440,0),INT($E2186/100)*60+MOD($E2186,100)))</f>
        <v/>
      </c>
      <c r="L2186" s="17" t="str">
        <f aca="false">IF($F2186="","",IF($F2186&lt;1,ROUND($F2186*1440,0),INT($F2186/100)*60+MOD($F2186,100)))</f>
        <v/>
      </c>
    </row>
    <row r="2187" customFormat="false" ht="15" hidden="false" customHeight="true" outlineLevel="0" collapsed="false">
      <c r="A2187" s="10"/>
      <c r="B2187" s="8"/>
      <c r="C2187" s="13" t="str">
        <f aca="false">IF($B2187="","",IFERROR(INDEX(직원목록!$B$3:$B$302,MATCH($B2187,직원목록!$A$3:$A$302,0)),"미등록사번"))</f>
        <v/>
      </c>
      <c r="D2187" s="13" t="str">
        <f aca="false">IF($B2187="","",IFERROR(INDEX(직원목록!$C$3:$C$302,MATCH($B2187,직원목록!$A$3:$A$302,0)),""))</f>
        <v/>
      </c>
      <c r="E2187" s="14"/>
      <c r="F2187" s="14"/>
      <c r="G2187" s="15"/>
      <c r="H2187" s="16" t="str">
        <f aca="false">IF(OR($K2187="",$L2187=""),"",ROUND(MAX(0,($L2187-$K2187)-IF($G2187="",0,$G2187))/60,2))</f>
        <v/>
      </c>
      <c r="I2187" s="8"/>
      <c r="J2187" s="8"/>
      <c r="K2187" s="17" t="str">
        <f aca="false">IF($E2187="","",IF($E2187&lt;1,ROUND($E2187*1440,0),INT($E2187/100)*60+MOD($E2187,100)))</f>
        <v/>
      </c>
      <c r="L2187" s="17" t="str">
        <f aca="false">IF($F2187="","",IF($F2187&lt;1,ROUND($F2187*1440,0),INT($F2187/100)*60+MOD($F2187,100)))</f>
        <v/>
      </c>
    </row>
    <row r="2188" customFormat="false" ht="15" hidden="false" customHeight="true" outlineLevel="0" collapsed="false">
      <c r="A2188" s="10"/>
      <c r="B2188" s="8"/>
      <c r="C2188" s="13" t="str">
        <f aca="false">IF($B2188="","",IFERROR(INDEX(직원목록!$B$3:$B$302,MATCH($B2188,직원목록!$A$3:$A$302,0)),"미등록사번"))</f>
        <v/>
      </c>
      <c r="D2188" s="13" t="str">
        <f aca="false">IF($B2188="","",IFERROR(INDEX(직원목록!$C$3:$C$302,MATCH($B2188,직원목록!$A$3:$A$302,0)),""))</f>
        <v/>
      </c>
      <c r="E2188" s="14"/>
      <c r="F2188" s="14"/>
      <c r="G2188" s="15"/>
      <c r="H2188" s="16" t="str">
        <f aca="false">IF(OR($K2188="",$L2188=""),"",ROUND(MAX(0,($L2188-$K2188)-IF($G2188="",0,$G2188))/60,2))</f>
        <v/>
      </c>
      <c r="I2188" s="8"/>
      <c r="J2188" s="8"/>
      <c r="K2188" s="17" t="str">
        <f aca="false">IF($E2188="","",IF($E2188&lt;1,ROUND($E2188*1440,0),INT($E2188/100)*60+MOD($E2188,100)))</f>
        <v/>
      </c>
      <c r="L2188" s="17" t="str">
        <f aca="false">IF($F2188="","",IF($F2188&lt;1,ROUND($F2188*1440,0),INT($F2188/100)*60+MOD($F2188,100)))</f>
        <v/>
      </c>
    </row>
    <row r="2189" customFormat="false" ht="15" hidden="false" customHeight="true" outlineLevel="0" collapsed="false">
      <c r="A2189" s="10"/>
      <c r="B2189" s="8"/>
      <c r="C2189" s="13" t="str">
        <f aca="false">IF($B2189="","",IFERROR(INDEX(직원목록!$B$3:$B$302,MATCH($B2189,직원목록!$A$3:$A$302,0)),"미등록사번"))</f>
        <v/>
      </c>
      <c r="D2189" s="13" t="str">
        <f aca="false">IF($B2189="","",IFERROR(INDEX(직원목록!$C$3:$C$302,MATCH($B2189,직원목록!$A$3:$A$302,0)),""))</f>
        <v/>
      </c>
      <c r="E2189" s="14"/>
      <c r="F2189" s="14"/>
      <c r="G2189" s="15"/>
      <c r="H2189" s="16" t="str">
        <f aca="false">IF(OR($K2189="",$L2189=""),"",ROUND(MAX(0,($L2189-$K2189)-IF($G2189="",0,$G2189))/60,2))</f>
        <v/>
      </c>
      <c r="I2189" s="8"/>
      <c r="J2189" s="8"/>
      <c r="K2189" s="17" t="str">
        <f aca="false">IF($E2189="","",IF($E2189&lt;1,ROUND($E2189*1440,0),INT($E2189/100)*60+MOD($E2189,100)))</f>
        <v/>
      </c>
      <c r="L2189" s="17" t="str">
        <f aca="false">IF($F2189="","",IF($F2189&lt;1,ROUND($F2189*1440,0),INT($F2189/100)*60+MOD($F2189,100)))</f>
        <v/>
      </c>
    </row>
    <row r="2190" customFormat="false" ht="15" hidden="false" customHeight="true" outlineLevel="0" collapsed="false">
      <c r="A2190" s="10"/>
      <c r="B2190" s="8"/>
      <c r="C2190" s="13" t="str">
        <f aca="false">IF($B2190="","",IFERROR(INDEX(직원목록!$B$3:$B$302,MATCH($B2190,직원목록!$A$3:$A$302,0)),"미등록사번"))</f>
        <v/>
      </c>
      <c r="D2190" s="13" t="str">
        <f aca="false">IF($B2190="","",IFERROR(INDEX(직원목록!$C$3:$C$302,MATCH($B2190,직원목록!$A$3:$A$302,0)),""))</f>
        <v/>
      </c>
      <c r="E2190" s="14"/>
      <c r="F2190" s="14"/>
      <c r="G2190" s="15"/>
      <c r="H2190" s="16" t="str">
        <f aca="false">IF(OR($K2190="",$L2190=""),"",ROUND(MAX(0,($L2190-$K2190)-IF($G2190="",0,$G2190))/60,2))</f>
        <v/>
      </c>
      <c r="I2190" s="8"/>
      <c r="J2190" s="8"/>
      <c r="K2190" s="17" t="str">
        <f aca="false">IF($E2190="","",IF($E2190&lt;1,ROUND($E2190*1440,0),INT($E2190/100)*60+MOD($E2190,100)))</f>
        <v/>
      </c>
      <c r="L2190" s="17" t="str">
        <f aca="false">IF($F2190="","",IF($F2190&lt;1,ROUND($F2190*1440,0),INT($F2190/100)*60+MOD($F2190,100)))</f>
        <v/>
      </c>
    </row>
    <row r="2191" customFormat="false" ht="15" hidden="false" customHeight="true" outlineLevel="0" collapsed="false">
      <c r="A2191" s="10"/>
      <c r="B2191" s="8"/>
      <c r="C2191" s="13" t="str">
        <f aca="false">IF($B2191="","",IFERROR(INDEX(직원목록!$B$3:$B$302,MATCH($B2191,직원목록!$A$3:$A$302,0)),"미등록사번"))</f>
        <v/>
      </c>
      <c r="D2191" s="13" t="str">
        <f aca="false">IF($B2191="","",IFERROR(INDEX(직원목록!$C$3:$C$302,MATCH($B2191,직원목록!$A$3:$A$302,0)),""))</f>
        <v/>
      </c>
      <c r="E2191" s="14"/>
      <c r="F2191" s="14"/>
      <c r="G2191" s="15"/>
      <c r="H2191" s="16" t="str">
        <f aca="false">IF(OR($K2191="",$L2191=""),"",ROUND(MAX(0,($L2191-$K2191)-IF($G2191="",0,$G2191))/60,2))</f>
        <v/>
      </c>
      <c r="I2191" s="8"/>
      <c r="J2191" s="8"/>
      <c r="K2191" s="17" t="str">
        <f aca="false">IF($E2191="","",IF($E2191&lt;1,ROUND($E2191*1440,0),INT($E2191/100)*60+MOD($E2191,100)))</f>
        <v/>
      </c>
      <c r="L2191" s="17" t="str">
        <f aca="false">IF($F2191="","",IF($F2191&lt;1,ROUND($F2191*1440,0),INT($F2191/100)*60+MOD($F2191,100)))</f>
        <v/>
      </c>
    </row>
    <row r="2192" customFormat="false" ht="15" hidden="false" customHeight="true" outlineLevel="0" collapsed="false">
      <c r="A2192" s="10"/>
      <c r="B2192" s="8"/>
      <c r="C2192" s="13" t="str">
        <f aca="false">IF($B2192="","",IFERROR(INDEX(직원목록!$B$3:$B$302,MATCH($B2192,직원목록!$A$3:$A$302,0)),"미등록사번"))</f>
        <v/>
      </c>
      <c r="D2192" s="13" t="str">
        <f aca="false">IF($B2192="","",IFERROR(INDEX(직원목록!$C$3:$C$302,MATCH($B2192,직원목록!$A$3:$A$302,0)),""))</f>
        <v/>
      </c>
      <c r="E2192" s="14"/>
      <c r="F2192" s="14"/>
      <c r="G2192" s="15"/>
      <c r="H2192" s="16" t="str">
        <f aca="false">IF(OR($K2192="",$L2192=""),"",ROUND(MAX(0,($L2192-$K2192)-IF($G2192="",0,$G2192))/60,2))</f>
        <v/>
      </c>
      <c r="I2192" s="8"/>
      <c r="J2192" s="8"/>
      <c r="K2192" s="17" t="str">
        <f aca="false">IF($E2192="","",IF($E2192&lt;1,ROUND($E2192*1440,0),INT($E2192/100)*60+MOD($E2192,100)))</f>
        <v/>
      </c>
      <c r="L2192" s="17" t="str">
        <f aca="false">IF($F2192="","",IF($F2192&lt;1,ROUND($F2192*1440,0),INT($F2192/100)*60+MOD($F2192,100)))</f>
        <v/>
      </c>
    </row>
    <row r="2193" customFormat="false" ht="15" hidden="false" customHeight="true" outlineLevel="0" collapsed="false">
      <c r="A2193" s="10"/>
      <c r="B2193" s="8"/>
      <c r="C2193" s="13" t="str">
        <f aca="false">IF($B2193="","",IFERROR(INDEX(직원목록!$B$3:$B$302,MATCH($B2193,직원목록!$A$3:$A$302,0)),"미등록사번"))</f>
        <v/>
      </c>
      <c r="D2193" s="13" t="str">
        <f aca="false">IF($B2193="","",IFERROR(INDEX(직원목록!$C$3:$C$302,MATCH($B2193,직원목록!$A$3:$A$302,0)),""))</f>
        <v/>
      </c>
      <c r="E2193" s="14"/>
      <c r="F2193" s="14"/>
      <c r="G2193" s="15"/>
      <c r="H2193" s="16" t="str">
        <f aca="false">IF(OR($K2193="",$L2193=""),"",ROUND(MAX(0,($L2193-$K2193)-IF($G2193="",0,$G2193))/60,2))</f>
        <v/>
      </c>
      <c r="I2193" s="8"/>
      <c r="J2193" s="8"/>
      <c r="K2193" s="17" t="str">
        <f aca="false">IF($E2193="","",IF($E2193&lt;1,ROUND($E2193*1440,0),INT($E2193/100)*60+MOD($E2193,100)))</f>
        <v/>
      </c>
      <c r="L2193" s="17" t="str">
        <f aca="false">IF($F2193="","",IF($F2193&lt;1,ROUND($F2193*1440,0),INT($F2193/100)*60+MOD($F2193,100)))</f>
        <v/>
      </c>
    </row>
    <row r="2194" customFormat="false" ht="15" hidden="false" customHeight="true" outlineLevel="0" collapsed="false">
      <c r="A2194" s="10"/>
      <c r="B2194" s="8"/>
      <c r="C2194" s="13" t="str">
        <f aca="false">IF($B2194="","",IFERROR(INDEX(직원목록!$B$3:$B$302,MATCH($B2194,직원목록!$A$3:$A$302,0)),"미등록사번"))</f>
        <v/>
      </c>
      <c r="D2194" s="13" t="str">
        <f aca="false">IF($B2194="","",IFERROR(INDEX(직원목록!$C$3:$C$302,MATCH($B2194,직원목록!$A$3:$A$302,0)),""))</f>
        <v/>
      </c>
      <c r="E2194" s="14"/>
      <c r="F2194" s="14"/>
      <c r="G2194" s="15"/>
      <c r="H2194" s="16" t="str">
        <f aca="false">IF(OR($K2194="",$L2194=""),"",ROUND(MAX(0,($L2194-$K2194)-IF($G2194="",0,$G2194))/60,2))</f>
        <v/>
      </c>
      <c r="I2194" s="8"/>
      <c r="J2194" s="8"/>
      <c r="K2194" s="17" t="str">
        <f aca="false">IF($E2194="","",IF($E2194&lt;1,ROUND($E2194*1440,0),INT($E2194/100)*60+MOD($E2194,100)))</f>
        <v/>
      </c>
      <c r="L2194" s="17" t="str">
        <f aca="false">IF($F2194="","",IF($F2194&lt;1,ROUND($F2194*1440,0),INT($F2194/100)*60+MOD($F2194,100)))</f>
        <v/>
      </c>
    </row>
    <row r="2195" customFormat="false" ht="15" hidden="false" customHeight="true" outlineLevel="0" collapsed="false">
      <c r="A2195" s="10"/>
      <c r="B2195" s="8"/>
      <c r="C2195" s="13" t="str">
        <f aca="false">IF($B2195="","",IFERROR(INDEX(직원목록!$B$3:$B$302,MATCH($B2195,직원목록!$A$3:$A$302,0)),"미등록사번"))</f>
        <v/>
      </c>
      <c r="D2195" s="13" t="str">
        <f aca="false">IF($B2195="","",IFERROR(INDEX(직원목록!$C$3:$C$302,MATCH($B2195,직원목록!$A$3:$A$302,0)),""))</f>
        <v/>
      </c>
      <c r="E2195" s="14"/>
      <c r="F2195" s="14"/>
      <c r="G2195" s="15"/>
      <c r="H2195" s="16" t="str">
        <f aca="false">IF(OR($K2195="",$L2195=""),"",ROUND(MAX(0,($L2195-$K2195)-IF($G2195="",0,$G2195))/60,2))</f>
        <v/>
      </c>
      <c r="I2195" s="8"/>
      <c r="J2195" s="8"/>
      <c r="K2195" s="17" t="str">
        <f aca="false">IF($E2195="","",IF($E2195&lt;1,ROUND($E2195*1440,0),INT($E2195/100)*60+MOD($E2195,100)))</f>
        <v/>
      </c>
      <c r="L2195" s="17" t="str">
        <f aca="false">IF($F2195="","",IF($F2195&lt;1,ROUND($F2195*1440,0),INT($F2195/100)*60+MOD($F2195,100)))</f>
        <v/>
      </c>
    </row>
    <row r="2196" customFormat="false" ht="15" hidden="false" customHeight="true" outlineLevel="0" collapsed="false">
      <c r="A2196" s="10"/>
      <c r="B2196" s="8"/>
      <c r="C2196" s="13" t="str">
        <f aca="false">IF($B2196="","",IFERROR(INDEX(직원목록!$B$3:$B$302,MATCH($B2196,직원목록!$A$3:$A$302,0)),"미등록사번"))</f>
        <v/>
      </c>
      <c r="D2196" s="13" t="str">
        <f aca="false">IF($B2196="","",IFERROR(INDEX(직원목록!$C$3:$C$302,MATCH($B2196,직원목록!$A$3:$A$302,0)),""))</f>
        <v/>
      </c>
      <c r="E2196" s="14"/>
      <c r="F2196" s="14"/>
      <c r="G2196" s="15"/>
      <c r="H2196" s="16" t="str">
        <f aca="false">IF(OR($K2196="",$L2196=""),"",ROUND(MAX(0,($L2196-$K2196)-IF($G2196="",0,$G2196))/60,2))</f>
        <v/>
      </c>
      <c r="I2196" s="8"/>
      <c r="J2196" s="8"/>
      <c r="K2196" s="17" t="str">
        <f aca="false">IF($E2196="","",IF($E2196&lt;1,ROUND($E2196*1440,0),INT($E2196/100)*60+MOD($E2196,100)))</f>
        <v/>
      </c>
      <c r="L2196" s="17" t="str">
        <f aca="false">IF($F2196="","",IF($F2196&lt;1,ROUND($F2196*1440,0),INT($F2196/100)*60+MOD($F2196,100)))</f>
        <v/>
      </c>
    </row>
    <row r="2197" customFormat="false" ht="15" hidden="false" customHeight="true" outlineLevel="0" collapsed="false">
      <c r="A2197" s="10"/>
      <c r="B2197" s="8"/>
      <c r="C2197" s="13" t="str">
        <f aca="false">IF($B2197="","",IFERROR(INDEX(직원목록!$B$3:$B$302,MATCH($B2197,직원목록!$A$3:$A$302,0)),"미등록사번"))</f>
        <v/>
      </c>
      <c r="D2197" s="13" t="str">
        <f aca="false">IF($B2197="","",IFERROR(INDEX(직원목록!$C$3:$C$302,MATCH($B2197,직원목록!$A$3:$A$302,0)),""))</f>
        <v/>
      </c>
      <c r="E2197" s="14"/>
      <c r="F2197" s="14"/>
      <c r="G2197" s="15"/>
      <c r="H2197" s="16" t="str">
        <f aca="false">IF(OR($K2197="",$L2197=""),"",ROUND(MAX(0,($L2197-$K2197)-IF($G2197="",0,$G2197))/60,2))</f>
        <v/>
      </c>
      <c r="I2197" s="8"/>
      <c r="J2197" s="8"/>
      <c r="K2197" s="17" t="str">
        <f aca="false">IF($E2197="","",IF($E2197&lt;1,ROUND($E2197*1440,0),INT($E2197/100)*60+MOD($E2197,100)))</f>
        <v/>
      </c>
      <c r="L2197" s="17" t="str">
        <f aca="false">IF($F2197="","",IF($F2197&lt;1,ROUND($F2197*1440,0),INT($F2197/100)*60+MOD($F2197,100)))</f>
        <v/>
      </c>
    </row>
    <row r="2198" customFormat="false" ht="15" hidden="false" customHeight="true" outlineLevel="0" collapsed="false">
      <c r="A2198" s="10"/>
      <c r="B2198" s="8"/>
      <c r="C2198" s="13" t="str">
        <f aca="false">IF($B2198="","",IFERROR(INDEX(직원목록!$B$3:$B$302,MATCH($B2198,직원목록!$A$3:$A$302,0)),"미등록사번"))</f>
        <v/>
      </c>
      <c r="D2198" s="13" t="str">
        <f aca="false">IF($B2198="","",IFERROR(INDEX(직원목록!$C$3:$C$302,MATCH($B2198,직원목록!$A$3:$A$302,0)),""))</f>
        <v/>
      </c>
      <c r="E2198" s="14"/>
      <c r="F2198" s="14"/>
      <c r="G2198" s="15"/>
      <c r="H2198" s="16" t="str">
        <f aca="false">IF(OR($K2198="",$L2198=""),"",ROUND(MAX(0,($L2198-$K2198)-IF($G2198="",0,$G2198))/60,2))</f>
        <v/>
      </c>
      <c r="I2198" s="8"/>
      <c r="J2198" s="8"/>
      <c r="K2198" s="17" t="str">
        <f aca="false">IF($E2198="","",IF($E2198&lt;1,ROUND($E2198*1440,0),INT($E2198/100)*60+MOD($E2198,100)))</f>
        <v/>
      </c>
      <c r="L2198" s="17" t="str">
        <f aca="false">IF($F2198="","",IF($F2198&lt;1,ROUND($F2198*1440,0),INT($F2198/100)*60+MOD($F2198,100)))</f>
        <v/>
      </c>
    </row>
    <row r="2199" customFormat="false" ht="15" hidden="false" customHeight="true" outlineLevel="0" collapsed="false">
      <c r="A2199" s="10"/>
      <c r="B2199" s="8"/>
      <c r="C2199" s="13" t="str">
        <f aca="false">IF($B2199="","",IFERROR(INDEX(직원목록!$B$3:$B$302,MATCH($B2199,직원목록!$A$3:$A$302,0)),"미등록사번"))</f>
        <v/>
      </c>
      <c r="D2199" s="13" t="str">
        <f aca="false">IF($B2199="","",IFERROR(INDEX(직원목록!$C$3:$C$302,MATCH($B2199,직원목록!$A$3:$A$302,0)),""))</f>
        <v/>
      </c>
      <c r="E2199" s="14"/>
      <c r="F2199" s="14"/>
      <c r="G2199" s="15"/>
      <c r="H2199" s="16" t="str">
        <f aca="false">IF(OR($K2199="",$L2199=""),"",ROUND(MAX(0,($L2199-$K2199)-IF($G2199="",0,$G2199))/60,2))</f>
        <v/>
      </c>
      <c r="I2199" s="8"/>
      <c r="J2199" s="8"/>
      <c r="K2199" s="17" t="str">
        <f aca="false">IF($E2199="","",IF($E2199&lt;1,ROUND($E2199*1440,0),INT($E2199/100)*60+MOD($E2199,100)))</f>
        <v/>
      </c>
      <c r="L2199" s="17" t="str">
        <f aca="false">IF($F2199="","",IF($F2199&lt;1,ROUND($F2199*1440,0),INT($F2199/100)*60+MOD($F2199,100)))</f>
        <v/>
      </c>
    </row>
    <row r="2200" customFormat="false" ht="15" hidden="false" customHeight="true" outlineLevel="0" collapsed="false">
      <c r="A2200" s="10"/>
      <c r="B2200" s="8"/>
      <c r="C2200" s="13" t="str">
        <f aca="false">IF($B2200="","",IFERROR(INDEX(직원목록!$B$3:$B$302,MATCH($B2200,직원목록!$A$3:$A$302,0)),"미등록사번"))</f>
        <v/>
      </c>
      <c r="D2200" s="13" t="str">
        <f aca="false">IF($B2200="","",IFERROR(INDEX(직원목록!$C$3:$C$302,MATCH($B2200,직원목록!$A$3:$A$302,0)),""))</f>
        <v/>
      </c>
      <c r="E2200" s="14"/>
      <c r="F2200" s="14"/>
      <c r="G2200" s="15"/>
      <c r="H2200" s="16" t="str">
        <f aca="false">IF(OR($K2200="",$L2200=""),"",ROUND(MAX(0,($L2200-$K2200)-IF($G2200="",0,$G2200))/60,2))</f>
        <v/>
      </c>
      <c r="I2200" s="8"/>
      <c r="J2200" s="8"/>
      <c r="K2200" s="17" t="str">
        <f aca="false">IF($E2200="","",IF($E2200&lt;1,ROUND($E2200*1440,0),INT($E2200/100)*60+MOD($E2200,100)))</f>
        <v/>
      </c>
      <c r="L2200" s="17" t="str">
        <f aca="false">IF($F2200="","",IF($F2200&lt;1,ROUND($F2200*1440,0),INT($F2200/100)*60+MOD($F2200,100)))</f>
        <v/>
      </c>
    </row>
    <row r="2201" customFormat="false" ht="15" hidden="false" customHeight="true" outlineLevel="0" collapsed="false">
      <c r="A2201" s="10"/>
      <c r="B2201" s="8"/>
      <c r="C2201" s="13" t="str">
        <f aca="false">IF($B2201="","",IFERROR(INDEX(직원목록!$B$3:$B$302,MATCH($B2201,직원목록!$A$3:$A$302,0)),"미등록사번"))</f>
        <v/>
      </c>
      <c r="D2201" s="13" t="str">
        <f aca="false">IF($B2201="","",IFERROR(INDEX(직원목록!$C$3:$C$302,MATCH($B2201,직원목록!$A$3:$A$302,0)),""))</f>
        <v/>
      </c>
      <c r="E2201" s="14"/>
      <c r="F2201" s="14"/>
      <c r="G2201" s="15"/>
      <c r="H2201" s="16" t="str">
        <f aca="false">IF(OR($K2201="",$L2201=""),"",ROUND(MAX(0,($L2201-$K2201)-IF($G2201="",0,$G2201))/60,2))</f>
        <v/>
      </c>
      <c r="I2201" s="8"/>
      <c r="J2201" s="8"/>
      <c r="K2201" s="17" t="str">
        <f aca="false">IF($E2201="","",IF($E2201&lt;1,ROUND($E2201*1440,0),INT($E2201/100)*60+MOD($E2201,100)))</f>
        <v/>
      </c>
      <c r="L2201" s="17" t="str">
        <f aca="false">IF($F2201="","",IF($F2201&lt;1,ROUND($F2201*1440,0),INT($F2201/100)*60+MOD($F2201,100)))</f>
        <v/>
      </c>
    </row>
    <row r="2202" customFormat="false" ht="15" hidden="false" customHeight="true" outlineLevel="0" collapsed="false">
      <c r="A2202" s="10"/>
      <c r="B2202" s="8"/>
      <c r="C2202" s="13" t="str">
        <f aca="false">IF($B2202="","",IFERROR(INDEX(직원목록!$B$3:$B$302,MATCH($B2202,직원목록!$A$3:$A$302,0)),"미등록사번"))</f>
        <v/>
      </c>
      <c r="D2202" s="13" t="str">
        <f aca="false">IF($B2202="","",IFERROR(INDEX(직원목록!$C$3:$C$302,MATCH($B2202,직원목록!$A$3:$A$302,0)),""))</f>
        <v/>
      </c>
      <c r="E2202" s="14"/>
      <c r="F2202" s="14"/>
      <c r="G2202" s="15"/>
      <c r="H2202" s="16" t="str">
        <f aca="false">IF(OR($K2202="",$L2202=""),"",ROUND(MAX(0,($L2202-$K2202)-IF($G2202="",0,$G2202))/60,2))</f>
        <v/>
      </c>
      <c r="I2202" s="8"/>
      <c r="J2202" s="8"/>
      <c r="K2202" s="17" t="str">
        <f aca="false">IF($E2202="","",IF($E2202&lt;1,ROUND($E2202*1440,0),INT($E2202/100)*60+MOD($E2202,100)))</f>
        <v/>
      </c>
      <c r="L2202" s="17" t="str">
        <f aca="false">IF($F2202="","",IF($F2202&lt;1,ROUND($F2202*1440,0),INT($F2202/100)*60+MOD($F2202,100)))</f>
        <v/>
      </c>
    </row>
    <row r="2203" customFormat="false" ht="15" hidden="false" customHeight="true" outlineLevel="0" collapsed="false">
      <c r="A2203" s="10"/>
      <c r="B2203" s="8"/>
      <c r="C2203" s="13" t="str">
        <f aca="false">IF($B2203="","",IFERROR(INDEX(직원목록!$B$3:$B$302,MATCH($B2203,직원목록!$A$3:$A$302,0)),"미등록사번"))</f>
        <v/>
      </c>
      <c r="D2203" s="13" t="str">
        <f aca="false">IF($B2203="","",IFERROR(INDEX(직원목록!$C$3:$C$302,MATCH($B2203,직원목록!$A$3:$A$302,0)),""))</f>
        <v/>
      </c>
      <c r="E2203" s="14"/>
      <c r="F2203" s="14"/>
      <c r="G2203" s="15"/>
      <c r="H2203" s="16" t="str">
        <f aca="false">IF(OR($K2203="",$L2203=""),"",ROUND(MAX(0,($L2203-$K2203)-IF($G2203="",0,$G2203))/60,2))</f>
        <v/>
      </c>
      <c r="I2203" s="8"/>
      <c r="J2203" s="8"/>
      <c r="K2203" s="17" t="str">
        <f aca="false">IF($E2203="","",IF($E2203&lt;1,ROUND($E2203*1440,0),INT($E2203/100)*60+MOD($E2203,100)))</f>
        <v/>
      </c>
      <c r="L2203" s="17" t="str">
        <f aca="false">IF($F2203="","",IF($F2203&lt;1,ROUND($F2203*1440,0),INT($F2203/100)*60+MOD($F2203,100)))</f>
        <v/>
      </c>
    </row>
    <row r="2204" customFormat="false" ht="15" hidden="false" customHeight="true" outlineLevel="0" collapsed="false">
      <c r="A2204" s="10"/>
      <c r="B2204" s="8"/>
      <c r="C2204" s="13" t="str">
        <f aca="false">IF($B2204="","",IFERROR(INDEX(직원목록!$B$3:$B$302,MATCH($B2204,직원목록!$A$3:$A$302,0)),"미등록사번"))</f>
        <v/>
      </c>
      <c r="D2204" s="13" t="str">
        <f aca="false">IF($B2204="","",IFERROR(INDEX(직원목록!$C$3:$C$302,MATCH($B2204,직원목록!$A$3:$A$302,0)),""))</f>
        <v/>
      </c>
      <c r="E2204" s="14"/>
      <c r="F2204" s="14"/>
      <c r="G2204" s="15"/>
      <c r="H2204" s="16" t="str">
        <f aca="false">IF(OR($K2204="",$L2204=""),"",ROUND(MAX(0,($L2204-$K2204)-IF($G2204="",0,$G2204))/60,2))</f>
        <v/>
      </c>
      <c r="I2204" s="8"/>
      <c r="J2204" s="8"/>
      <c r="K2204" s="17" t="str">
        <f aca="false">IF($E2204="","",IF($E2204&lt;1,ROUND($E2204*1440,0),INT($E2204/100)*60+MOD($E2204,100)))</f>
        <v/>
      </c>
      <c r="L2204" s="17" t="str">
        <f aca="false">IF($F2204="","",IF($F2204&lt;1,ROUND($F2204*1440,0),INT($F2204/100)*60+MOD($F2204,100)))</f>
        <v/>
      </c>
    </row>
    <row r="2205" customFormat="false" ht="15" hidden="false" customHeight="true" outlineLevel="0" collapsed="false">
      <c r="A2205" s="10"/>
      <c r="B2205" s="8"/>
      <c r="C2205" s="13" t="str">
        <f aca="false">IF($B2205="","",IFERROR(INDEX(직원목록!$B$3:$B$302,MATCH($B2205,직원목록!$A$3:$A$302,0)),"미등록사번"))</f>
        <v/>
      </c>
      <c r="D2205" s="13" t="str">
        <f aca="false">IF($B2205="","",IFERROR(INDEX(직원목록!$C$3:$C$302,MATCH($B2205,직원목록!$A$3:$A$302,0)),""))</f>
        <v/>
      </c>
      <c r="E2205" s="14"/>
      <c r="F2205" s="14"/>
      <c r="G2205" s="15"/>
      <c r="H2205" s="16" t="str">
        <f aca="false">IF(OR($K2205="",$L2205=""),"",ROUND(MAX(0,($L2205-$K2205)-IF($G2205="",0,$G2205))/60,2))</f>
        <v/>
      </c>
      <c r="I2205" s="8"/>
      <c r="J2205" s="8"/>
      <c r="K2205" s="17" t="str">
        <f aca="false">IF($E2205="","",IF($E2205&lt;1,ROUND($E2205*1440,0),INT($E2205/100)*60+MOD($E2205,100)))</f>
        <v/>
      </c>
      <c r="L2205" s="17" t="str">
        <f aca="false">IF($F2205="","",IF($F2205&lt;1,ROUND($F2205*1440,0),INT($F2205/100)*60+MOD($F2205,100)))</f>
        <v/>
      </c>
    </row>
    <row r="2206" customFormat="false" ht="15" hidden="false" customHeight="true" outlineLevel="0" collapsed="false">
      <c r="A2206" s="10"/>
      <c r="B2206" s="8"/>
      <c r="C2206" s="13" t="str">
        <f aca="false">IF($B2206="","",IFERROR(INDEX(직원목록!$B$3:$B$302,MATCH($B2206,직원목록!$A$3:$A$302,0)),"미등록사번"))</f>
        <v/>
      </c>
      <c r="D2206" s="13" t="str">
        <f aca="false">IF($B2206="","",IFERROR(INDEX(직원목록!$C$3:$C$302,MATCH($B2206,직원목록!$A$3:$A$302,0)),""))</f>
        <v/>
      </c>
      <c r="E2206" s="14"/>
      <c r="F2206" s="14"/>
      <c r="G2206" s="15"/>
      <c r="H2206" s="16" t="str">
        <f aca="false">IF(OR($K2206="",$L2206=""),"",ROUND(MAX(0,($L2206-$K2206)-IF($G2206="",0,$G2206))/60,2))</f>
        <v/>
      </c>
      <c r="I2206" s="8"/>
      <c r="J2206" s="8"/>
      <c r="K2206" s="17" t="str">
        <f aca="false">IF($E2206="","",IF($E2206&lt;1,ROUND($E2206*1440,0),INT($E2206/100)*60+MOD($E2206,100)))</f>
        <v/>
      </c>
      <c r="L2206" s="17" t="str">
        <f aca="false">IF($F2206="","",IF($F2206&lt;1,ROUND($F2206*1440,0),INT($F2206/100)*60+MOD($F2206,100)))</f>
        <v/>
      </c>
    </row>
    <row r="2207" customFormat="false" ht="15" hidden="false" customHeight="true" outlineLevel="0" collapsed="false">
      <c r="A2207" s="10"/>
      <c r="B2207" s="8"/>
      <c r="C2207" s="13" t="str">
        <f aca="false">IF($B2207="","",IFERROR(INDEX(직원목록!$B$3:$B$302,MATCH($B2207,직원목록!$A$3:$A$302,0)),"미등록사번"))</f>
        <v/>
      </c>
      <c r="D2207" s="13" t="str">
        <f aca="false">IF($B2207="","",IFERROR(INDEX(직원목록!$C$3:$C$302,MATCH($B2207,직원목록!$A$3:$A$302,0)),""))</f>
        <v/>
      </c>
      <c r="E2207" s="14"/>
      <c r="F2207" s="14"/>
      <c r="G2207" s="15"/>
      <c r="H2207" s="16" t="str">
        <f aca="false">IF(OR($K2207="",$L2207=""),"",ROUND(MAX(0,($L2207-$K2207)-IF($G2207="",0,$G2207))/60,2))</f>
        <v/>
      </c>
      <c r="I2207" s="8"/>
      <c r="J2207" s="8"/>
      <c r="K2207" s="17" t="str">
        <f aca="false">IF($E2207="","",IF($E2207&lt;1,ROUND($E2207*1440,0),INT($E2207/100)*60+MOD($E2207,100)))</f>
        <v/>
      </c>
      <c r="L2207" s="17" t="str">
        <f aca="false">IF($F2207="","",IF($F2207&lt;1,ROUND($F2207*1440,0),INT($F2207/100)*60+MOD($F2207,100)))</f>
        <v/>
      </c>
    </row>
    <row r="2208" customFormat="false" ht="15" hidden="false" customHeight="true" outlineLevel="0" collapsed="false">
      <c r="A2208" s="10"/>
      <c r="B2208" s="8"/>
      <c r="C2208" s="13" t="str">
        <f aca="false">IF($B2208="","",IFERROR(INDEX(직원목록!$B$3:$B$302,MATCH($B2208,직원목록!$A$3:$A$302,0)),"미등록사번"))</f>
        <v/>
      </c>
      <c r="D2208" s="13" t="str">
        <f aca="false">IF($B2208="","",IFERROR(INDEX(직원목록!$C$3:$C$302,MATCH($B2208,직원목록!$A$3:$A$302,0)),""))</f>
        <v/>
      </c>
      <c r="E2208" s="14"/>
      <c r="F2208" s="14"/>
      <c r="G2208" s="15"/>
      <c r="H2208" s="16" t="str">
        <f aca="false">IF(OR($K2208="",$L2208=""),"",ROUND(MAX(0,($L2208-$K2208)-IF($G2208="",0,$G2208))/60,2))</f>
        <v/>
      </c>
      <c r="I2208" s="8"/>
      <c r="J2208" s="8"/>
      <c r="K2208" s="17" t="str">
        <f aca="false">IF($E2208="","",IF($E2208&lt;1,ROUND($E2208*1440,0),INT($E2208/100)*60+MOD($E2208,100)))</f>
        <v/>
      </c>
      <c r="L2208" s="17" t="str">
        <f aca="false">IF($F2208="","",IF($F2208&lt;1,ROUND($F2208*1440,0),INT($F2208/100)*60+MOD($F2208,100)))</f>
        <v/>
      </c>
    </row>
    <row r="2209" customFormat="false" ht="15" hidden="false" customHeight="true" outlineLevel="0" collapsed="false">
      <c r="A2209" s="10"/>
      <c r="B2209" s="8"/>
      <c r="C2209" s="13" t="str">
        <f aca="false">IF($B2209="","",IFERROR(INDEX(직원목록!$B$3:$B$302,MATCH($B2209,직원목록!$A$3:$A$302,0)),"미등록사번"))</f>
        <v/>
      </c>
      <c r="D2209" s="13" t="str">
        <f aca="false">IF($B2209="","",IFERROR(INDEX(직원목록!$C$3:$C$302,MATCH($B2209,직원목록!$A$3:$A$302,0)),""))</f>
        <v/>
      </c>
      <c r="E2209" s="14"/>
      <c r="F2209" s="14"/>
      <c r="G2209" s="15"/>
      <c r="H2209" s="16" t="str">
        <f aca="false">IF(OR($K2209="",$L2209=""),"",ROUND(MAX(0,($L2209-$K2209)-IF($G2209="",0,$G2209))/60,2))</f>
        <v/>
      </c>
      <c r="I2209" s="8"/>
      <c r="J2209" s="8"/>
      <c r="K2209" s="17" t="str">
        <f aca="false">IF($E2209="","",IF($E2209&lt;1,ROUND($E2209*1440,0),INT($E2209/100)*60+MOD($E2209,100)))</f>
        <v/>
      </c>
      <c r="L2209" s="17" t="str">
        <f aca="false">IF($F2209="","",IF($F2209&lt;1,ROUND($F2209*1440,0),INT($F2209/100)*60+MOD($F2209,100)))</f>
        <v/>
      </c>
    </row>
    <row r="2210" customFormat="false" ht="15" hidden="false" customHeight="true" outlineLevel="0" collapsed="false">
      <c r="A2210" s="10"/>
      <c r="B2210" s="8"/>
      <c r="C2210" s="13" t="str">
        <f aca="false">IF($B2210="","",IFERROR(INDEX(직원목록!$B$3:$B$302,MATCH($B2210,직원목록!$A$3:$A$302,0)),"미등록사번"))</f>
        <v/>
      </c>
      <c r="D2210" s="13" t="str">
        <f aca="false">IF($B2210="","",IFERROR(INDEX(직원목록!$C$3:$C$302,MATCH($B2210,직원목록!$A$3:$A$302,0)),""))</f>
        <v/>
      </c>
      <c r="E2210" s="14"/>
      <c r="F2210" s="14"/>
      <c r="G2210" s="15"/>
      <c r="H2210" s="16" t="str">
        <f aca="false">IF(OR($K2210="",$L2210=""),"",ROUND(MAX(0,($L2210-$K2210)-IF($G2210="",0,$G2210))/60,2))</f>
        <v/>
      </c>
      <c r="I2210" s="8"/>
      <c r="J2210" s="8"/>
      <c r="K2210" s="17" t="str">
        <f aca="false">IF($E2210="","",IF($E2210&lt;1,ROUND($E2210*1440,0),INT($E2210/100)*60+MOD($E2210,100)))</f>
        <v/>
      </c>
      <c r="L2210" s="17" t="str">
        <f aca="false">IF($F2210="","",IF($F2210&lt;1,ROUND($F2210*1440,0),INT($F2210/100)*60+MOD($F2210,100)))</f>
        <v/>
      </c>
    </row>
    <row r="2211" customFormat="false" ht="15" hidden="false" customHeight="true" outlineLevel="0" collapsed="false">
      <c r="A2211" s="10"/>
      <c r="B2211" s="8"/>
      <c r="C2211" s="13" t="str">
        <f aca="false">IF($B2211="","",IFERROR(INDEX(직원목록!$B$3:$B$302,MATCH($B2211,직원목록!$A$3:$A$302,0)),"미등록사번"))</f>
        <v/>
      </c>
      <c r="D2211" s="13" t="str">
        <f aca="false">IF($B2211="","",IFERROR(INDEX(직원목록!$C$3:$C$302,MATCH($B2211,직원목록!$A$3:$A$302,0)),""))</f>
        <v/>
      </c>
      <c r="E2211" s="14"/>
      <c r="F2211" s="14"/>
      <c r="G2211" s="15"/>
      <c r="H2211" s="16" t="str">
        <f aca="false">IF(OR($K2211="",$L2211=""),"",ROUND(MAX(0,($L2211-$K2211)-IF($G2211="",0,$G2211))/60,2))</f>
        <v/>
      </c>
      <c r="I2211" s="8"/>
      <c r="J2211" s="8"/>
      <c r="K2211" s="17" t="str">
        <f aca="false">IF($E2211="","",IF($E2211&lt;1,ROUND($E2211*1440,0),INT($E2211/100)*60+MOD($E2211,100)))</f>
        <v/>
      </c>
      <c r="L2211" s="17" t="str">
        <f aca="false">IF($F2211="","",IF($F2211&lt;1,ROUND($F2211*1440,0),INT($F2211/100)*60+MOD($F2211,100)))</f>
        <v/>
      </c>
    </row>
    <row r="2212" customFormat="false" ht="15" hidden="false" customHeight="true" outlineLevel="0" collapsed="false">
      <c r="A2212" s="10"/>
      <c r="B2212" s="8"/>
      <c r="C2212" s="13" t="str">
        <f aca="false">IF($B2212="","",IFERROR(INDEX(직원목록!$B$3:$B$302,MATCH($B2212,직원목록!$A$3:$A$302,0)),"미등록사번"))</f>
        <v/>
      </c>
      <c r="D2212" s="13" t="str">
        <f aca="false">IF($B2212="","",IFERROR(INDEX(직원목록!$C$3:$C$302,MATCH($B2212,직원목록!$A$3:$A$302,0)),""))</f>
        <v/>
      </c>
      <c r="E2212" s="14"/>
      <c r="F2212" s="14"/>
      <c r="G2212" s="15"/>
      <c r="H2212" s="16" t="str">
        <f aca="false">IF(OR($K2212="",$L2212=""),"",ROUND(MAX(0,($L2212-$K2212)-IF($G2212="",0,$G2212))/60,2))</f>
        <v/>
      </c>
      <c r="I2212" s="8"/>
      <c r="J2212" s="8"/>
      <c r="K2212" s="17" t="str">
        <f aca="false">IF($E2212="","",IF($E2212&lt;1,ROUND($E2212*1440,0),INT($E2212/100)*60+MOD($E2212,100)))</f>
        <v/>
      </c>
      <c r="L2212" s="17" t="str">
        <f aca="false">IF($F2212="","",IF($F2212&lt;1,ROUND($F2212*1440,0),INT($F2212/100)*60+MOD($F2212,100)))</f>
        <v/>
      </c>
    </row>
    <row r="2213" customFormat="false" ht="15" hidden="false" customHeight="true" outlineLevel="0" collapsed="false">
      <c r="A2213" s="10"/>
      <c r="B2213" s="8"/>
      <c r="C2213" s="13" t="str">
        <f aca="false">IF($B2213="","",IFERROR(INDEX(직원목록!$B$3:$B$302,MATCH($B2213,직원목록!$A$3:$A$302,0)),"미등록사번"))</f>
        <v/>
      </c>
      <c r="D2213" s="13" t="str">
        <f aca="false">IF($B2213="","",IFERROR(INDEX(직원목록!$C$3:$C$302,MATCH($B2213,직원목록!$A$3:$A$302,0)),""))</f>
        <v/>
      </c>
      <c r="E2213" s="14"/>
      <c r="F2213" s="14"/>
      <c r="G2213" s="15"/>
      <c r="H2213" s="16" t="str">
        <f aca="false">IF(OR($K2213="",$L2213=""),"",ROUND(MAX(0,($L2213-$K2213)-IF($G2213="",0,$G2213))/60,2))</f>
        <v/>
      </c>
      <c r="I2213" s="8"/>
      <c r="J2213" s="8"/>
      <c r="K2213" s="17" t="str">
        <f aca="false">IF($E2213="","",IF($E2213&lt;1,ROUND($E2213*1440,0),INT($E2213/100)*60+MOD($E2213,100)))</f>
        <v/>
      </c>
      <c r="L2213" s="17" t="str">
        <f aca="false">IF($F2213="","",IF($F2213&lt;1,ROUND($F2213*1440,0),INT($F2213/100)*60+MOD($F2213,100)))</f>
        <v/>
      </c>
    </row>
    <row r="2214" customFormat="false" ht="15" hidden="false" customHeight="true" outlineLevel="0" collapsed="false">
      <c r="A2214" s="10"/>
      <c r="B2214" s="8"/>
      <c r="C2214" s="13" t="str">
        <f aca="false">IF($B2214="","",IFERROR(INDEX(직원목록!$B$3:$B$302,MATCH($B2214,직원목록!$A$3:$A$302,0)),"미등록사번"))</f>
        <v/>
      </c>
      <c r="D2214" s="13" t="str">
        <f aca="false">IF($B2214="","",IFERROR(INDEX(직원목록!$C$3:$C$302,MATCH($B2214,직원목록!$A$3:$A$302,0)),""))</f>
        <v/>
      </c>
      <c r="E2214" s="14"/>
      <c r="F2214" s="14"/>
      <c r="G2214" s="15"/>
      <c r="H2214" s="16" t="str">
        <f aca="false">IF(OR($K2214="",$L2214=""),"",ROUND(MAX(0,($L2214-$K2214)-IF($G2214="",0,$G2214))/60,2))</f>
        <v/>
      </c>
      <c r="I2214" s="8"/>
      <c r="J2214" s="8"/>
      <c r="K2214" s="17" t="str">
        <f aca="false">IF($E2214="","",IF($E2214&lt;1,ROUND($E2214*1440,0),INT($E2214/100)*60+MOD($E2214,100)))</f>
        <v/>
      </c>
      <c r="L2214" s="17" t="str">
        <f aca="false">IF($F2214="","",IF($F2214&lt;1,ROUND($F2214*1440,0),INT($F2214/100)*60+MOD($F2214,100)))</f>
        <v/>
      </c>
    </row>
    <row r="2215" customFormat="false" ht="15" hidden="false" customHeight="true" outlineLevel="0" collapsed="false">
      <c r="A2215" s="10"/>
      <c r="B2215" s="8"/>
      <c r="C2215" s="13" t="str">
        <f aca="false">IF($B2215="","",IFERROR(INDEX(직원목록!$B$3:$B$302,MATCH($B2215,직원목록!$A$3:$A$302,0)),"미등록사번"))</f>
        <v/>
      </c>
      <c r="D2215" s="13" t="str">
        <f aca="false">IF($B2215="","",IFERROR(INDEX(직원목록!$C$3:$C$302,MATCH($B2215,직원목록!$A$3:$A$302,0)),""))</f>
        <v/>
      </c>
      <c r="E2215" s="14"/>
      <c r="F2215" s="14"/>
      <c r="G2215" s="15"/>
      <c r="H2215" s="16" t="str">
        <f aca="false">IF(OR($K2215="",$L2215=""),"",ROUND(MAX(0,($L2215-$K2215)-IF($G2215="",0,$G2215))/60,2))</f>
        <v/>
      </c>
      <c r="I2215" s="8"/>
      <c r="J2215" s="8"/>
      <c r="K2215" s="17" t="str">
        <f aca="false">IF($E2215="","",IF($E2215&lt;1,ROUND($E2215*1440,0),INT($E2215/100)*60+MOD($E2215,100)))</f>
        <v/>
      </c>
      <c r="L2215" s="17" t="str">
        <f aca="false">IF($F2215="","",IF($F2215&lt;1,ROUND($F2215*1440,0),INT($F2215/100)*60+MOD($F2215,100)))</f>
        <v/>
      </c>
    </row>
    <row r="2216" customFormat="false" ht="15" hidden="false" customHeight="true" outlineLevel="0" collapsed="false">
      <c r="A2216" s="10"/>
      <c r="B2216" s="8"/>
      <c r="C2216" s="13" t="str">
        <f aca="false">IF($B2216="","",IFERROR(INDEX(직원목록!$B$3:$B$302,MATCH($B2216,직원목록!$A$3:$A$302,0)),"미등록사번"))</f>
        <v/>
      </c>
      <c r="D2216" s="13" t="str">
        <f aca="false">IF($B2216="","",IFERROR(INDEX(직원목록!$C$3:$C$302,MATCH($B2216,직원목록!$A$3:$A$302,0)),""))</f>
        <v/>
      </c>
      <c r="E2216" s="14"/>
      <c r="F2216" s="14"/>
      <c r="G2216" s="15"/>
      <c r="H2216" s="16" t="str">
        <f aca="false">IF(OR($K2216="",$L2216=""),"",ROUND(MAX(0,($L2216-$K2216)-IF($G2216="",0,$G2216))/60,2))</f>
        <v/>
      </c>
      <c r="I2216" s="8"/>
      <c r="J2216" s="8"/>
      <c r="K2216" s="17" t="str">
        <f aca="false">IF($E2216="","",IF($E2216&lt;1,ROUND($E2216*1440,0),INT($E2216/100)*60+MOD($E2216,100)))</f>
        <v/>
      </c>
      <c r="L2216" s="17" t="str">
        <f aca="false">IF($F2216="","",IF($F2216&lt;1,ROUND($F2216*1440,0),INT($F2216/100)*60+MOD($F2216,100)))</f>
        <v/>
      </c>
    </row>
    <row r="2217" customFormat="false" ht="15" hidden="false" customHeight="true" outlineLevel="0" collapsed="false">
      <c r="A2217" s="10"/>
      <c r="B2217" s="8"/>
      <c r="C2217" s="13" t="str">
        <f aca="false">IF($B2217="","",IFERROR(INDEX(직원목록!$B$3:$B$302,MATCH($B2217,직원목록!$A$3:$A$302,0)),"미등록사번"))</f>
        <v/>
      </c>
      <c r="D2217" s="13" t="str">
        <f aca="false">IF($B2217="","",IFERROR(INDEX(직원목록!$C$3:$C$302,MATCH($B2217,직원목록!$A$3:$A$302,0)),""))</f>
        <v/>
      </c>
      <c r="E2217" s="14"/>
      <c r="F2217" s="14"/>
      <c r="G2217" s="15"/>
      <c r="H2217" s="16" t="str">
        <f aca="false">IF(OR($K2217="",$L2217=""),"",ROUND(MAX(0,($L2217-$K2217)-IF($G2217="",0,$G2217))/60,2))</f>
        <v/>
      </c>
      <c r="I2217" s="8"/>
      <c r="J2217" s="8"/>
      <c r="K2217" s="17" t="str">
        <f aca="false">IF($E2217="","",IF($E2217&lt;1,ROUND($E2217*1440,0),INT($E2217/100)*60+MOD($E2217,100)))</f>
        <v/>
      </c>
      <c r="L2217" s="17" t="str">
        <f aca="false">IF($F2217="","",IF($F2217&lt;1,ROUND($F2217*1440,0),INT($F2217/100)*60+MOD($F2217,100)))</f>
        <v/>
      </c>
    </row>
    <row r="2218" customFormat="false" ht="15" hidden="false" customHeight="true" outlineLevel="0" collapsed="false">
      <c r="A2218" s="10"/>
      <c r="B2218" s="8"/>
      <c r="C2218" s="13" t="str">
        <f aca="false">IF($B2218="","",IFERROR(INDEX(직원목록!$B$3:$B$302,MATCH($B2218,직원목록!$A$3:$A$302,0)),"미등록사번"))</f>
        <v/>
      </c>
      <c r="D2218" s="13" t="str">
        <f aca="false">IF($B2218="","",IFERROR(INDEX(직원목록!$C$3:$C$302,MATCH($B2218,직원목록!$A$3:$A$302,0)),""))</f>
        <v/>
      </c>
      <c r="E2218" s="14"/>
      <c r="F2218" s="14"/>
      <c r="G2218" s="15"/>
      <c r="H2218" s="16" t="str">
        <f aca="false">IF(OR($K2218="",$L2218=""),"",ROUND(MAX(0,($L2218-$K2218)-IF($G2218="",0,$G2218))/60,2))</f>
        <v/>
      </c>
      <c r="I2218" s="8"/>
      <c r="J2218" s="8"/>
      <c r="K2218" s="17" t="str">
        <f aca="false">IF($E2218="","",IF($E2218&lt;1,ROUND($E2218*1440,0),INT($E2218/100)*60+MOD($E2218,100)))</f>
        <v/>
      </c>
      <c r="L2218" s="17" t="str">
        <f aca="false">IF($F2218="","",IF($F2218&lt;1,ROUND($F2218*1440,0),INT($F2218/100)*60+MOD($F2218,100)))</f>
        <v/>
      </c>
    </row>
    <row r="2219" customFormat="false" ht="15" hidden="false" customHeight="true" outlineLevel="0" collapsed="false">
      <c r="A2219" s="10"/>
      <c r="B2219" s="8"/>
      <c r="C2219" s="13" t="str">
        <f aca="false">IF($B2219="","",IFERROR(INDEX(직원목록!$B$3:$B$302,MATCH($B2219,직원목록!$A$3:$A$302,0)),"미등록사번"))</f>
        <v/>
      </c>
      <c r="D2219" s="13" t="str">
        <f aca="false">IF($B2219="","",IFERROR(INDEX(직원목록!$C$3:$C$302,MATCH($B2219,직원목록!$A$3:$A$302,0)),""))</f>
        <v/>
      </c>
      <c r="E2219" s="14"/>
      <c r="F2219" s="14"/>
      <c r="G2219" s="15"/>
      <c r="H2219" s="16" t="str">
        <f aca="false">IF(OR($K2219="",$L2219=""),"",ROUND(MAX(0,($L2219-$K2219)-IF($G2219="",0,$G2219))/60,2))</f>
        <v/>
      </c>
      <c r="I2219" s="8"/>
      <c r="J2219" s="8"/>
      <c r="K2219" s="17" t="str">
        <f aca="false">IF($E2219="","",IF($E2219&lt;1,ROUND($E2219*1440,0),INT($E2219/100)*60+MOD($E2219,100)))</f>
        <v/>
      </c>
      <c r="L2219" s="17" t="str">
        <f aca="false">IF($F2219="","",IF($F2219&lt;1,ROUND($F2219*1440,0),INT($F2219/100)*60+MOD($F2219,100)))</f>
        <v/>
      </c>
    </row>
    <row r="2220" customFormat="false" ht="15" hidden="false" customHeight="true" outlineLevel="0" collapsed="false">
      <c r="A2220" s="10"/>
      <c r="B2220" s="8"/>
      <c r="C2220" s="13" t="str">
        <f aca="false">IF($B2220="","",IFERROR(INDEX(직원목록!$B$3:$B$302,MATCH($B2220,직원목록!$A$3:$A$302,0)),"미등록사번"))</f>
        <v/>
      </c>
      <c r="D2220" s="13" t="str">
        <f aca="false">IF($B2220="","",IFERROR(INDEX(직원목록!$C$3:$C$302,MATCH($B2220,직원목록!$A$3:$A$302,0)),""))</f>
        <v/>
      </c>
      <c r="E2220" s="14"/>
      <c r="F2220" s="14"/>
      <c r="G2220" s="15"/>
      <c r="H2220" s="16" t="str">
        <f aca="false">IF(OR($K2220="",$L2220=""),"",ROUND(MAX(0,($L2220-$K2220)-IF($G2220="",0,$G2220))/60,2))</f>
        <v/>
      </c>
      <c r="I2220" s="8"/>
      <c r="J2220" s="8"/>
      <c r="K2220" s="17" t="str">
        <f aca="false">IF($E2220="","",IF($E2220&lt;1,ROUND($E2220*1440,0),INT($E2220/100)*60+MOD($E2220,100)))</f>
        <v/>
      </c>
      <c r="L2220" s="17" t="str">
        <f aca="false">IF($F2220="","",IF($F2220&lt;1,ROUND($F2220*1440,0),INT($F2220/100)*60+MOD($F2220,100)))</f>
        <v/>
      </c>
    </row>
    <row r="2221" customFormat="false" ht="15" hidden="false" customHeight="true" outlineLevel="0" collapsed="false">
      <c r="A2221" s="10"/>
      <c r="B2221" s="8"/>
      <c r="C2221" s="13" t="str">
        <f aca="false">IF($B2221="","",IFERROR(INDEX(직원목록!$B$3:$B$302,MATCH($B2221,직원목록!$A$3:$A$302,0)),"미등록사번"))</f>
        <v/>
      </c>
      <c r="D2221" s="13" t="str">
        <f aca="false">IF($B2221="","",IFERROR(INDEX(직원목록!$C$3:$C$302,MATCH($B2221,직원목록!$A$3:$A$302,0)),""))</f>
        <v/>
      </c>
      <c r="E2221" s="14"/>
      <c r="F2221" s="14"/>
      <c r="G2221" s="15"/>
      <c r="H2221" s="16" t="str">
        <f aca="false">IF(OR($K2221="",$L2221=""),"",ROUND(MAX(0,($L2221-$K2221)-IF($G2221="",0,$G2221))/60,2))</f>
        <v/>
      </c>
      <c r="I2221" s="8"/>
      <c r="J2221" s="8"/>
      <c r="K2221" s="17" t="str">
        <f aca="false">IF($E2221="","",IF($E2221&lt;1,ROUND($E2221*1440,0),INT($E2221/100)*60+MOD($E2221,100)))</f>
        <v/>
      </c>
      <c r="L2221" s="17" t="str">
        <f aca="false">IF($F2221="","",IF($F2221&lt;1,ROUND($F2221*1440,0),INT($F2221/100)*60+MOD($F2221,100)))</f>
        <v/>
      </c>
    </row>
    <row r="2222" customFormat="false" ht="15" hidden="false" customHeight="true" outlineLevel="0" collapsed="false">
      <c r="A2222" s="10"/>
      <c r="B2222" s="8"/>
      <c r="C2222" s="13" t="str">
        <f aca="false">IF($B2222="","",IFERROR(INDEX(직원목록!$B$3:$B$302,MATCH($B2222,직원목록!$A$3:$A$302,0)),"미등록사번"))</f>
        <v/>
      </c>
      <c r="D2222" s="13" t="str">
        <f aca="false">IF($B2222="","",IFERROR(INDEX(직원목록!$C$3:$C$302,MATCH($B2222,직원목록!$A$3:$A$302,0)),""))</f>
        <v/>
      </c>
      <c r="E2222" s="14"/>
      <c r="F2222" s="14"/>
      <c r="G2222" s="15"/>
      <c r="H2222" s="16" t="str">
        <f aca="false">IF(OR($K2222="",$L2222=""),"",ROUND(MAX(0,($L2222-$K2222)-IF($G2222="",0,$G2222))/60,2))</f>
        <v/>
      </c>
      <c r="I2222" s="8"/>
      <c r="J2222" s="8"/>
      <c r="K2222" s="17" t="str">
        <f aca="false">IF($E2222="","",IF($E2222&lt;1,ROUND($E2222*1440,0),INT($E2222/100)*60+MOD($E2222,100)))</f>
        <v/>
      </c>
      <c r="L2222" s="17" t="str">
        <f aca="false">IF($F2222="","",IF($F2222&lt;1,ROUND($F2222*1440,0),INT($F2222/100)*60+MOD($F2222,100)))</f>
        <v/>
      </c>
    </row>
    <row r="2223" customFormat="false" ht="15" hidden="false" customHeight="true" outlineLevel="0" collapsed="false">
      <c r="A2223" s="10"/>
      <c r="B2223" s="8"/>
      <c r="C2223" s="13" t="str">
        <f aca="false">IF($B2223="","",IFERROR(INDEX(직원목록!$B$3:$B$302,MATCH($B2223,직원목록!$A$3:$A$302,0)),"미등록사번"))</f>
        <v/>
      </c>
      <c r="D2223" s="13" t="str">
        <f aca="false">IF($B2223="","",IFERROR(INDEX(직원목록!$C$3:$C$302,MATCH($B2223,직원목록!$A$3:$A$302,0)),""))</f>
        <v/>
      </c>
      <c r="E2223" s="14"/>
      <c r="F2223" s="14"/>
      <c r="G2223" s="15"/>
      <c r="H2223" s="16" t="str">
        <f aca="false">IF(OR($K2223="",$L2223=""),"",ROUND(MAX(0,($L2223-$K2223)-IF($G2223="",0,$G2223))/60,2))</f>
        <v/>
      </c>
      <c r="I2223" s="8"/>
      <c r="J2223" s="8"/>
      <c r="K2223" s="17" t="str">
        <f aca="false">IF($E2223="","",IF($E2223&lt;1,ROUND($E2223*1440,0),INT($E2223/100)*60+MOD($E2223,100)))</f>
        <v/>
      </c>
      <c r="L2223" s="17" t="str">
        <f aca="false">IF($F2223="","",IF($F2223&lt;1,ROUND($F2223*1440,0),INT($F2223/100)*60+MOD($F2223,100)))</f>
        <v/>
      </c>
    </row>
    <row r="2224" customFormat="false" ht="15" hidden="false" customHeight="true" outlineLevel="0" collapsed="false">
      <c r="A2224" s="10"/>
      <c r="B2224" s="8"/>
      <c r="C2224" s="13" t="str">
        <f aca="false">IF($B2224="","",IFERROR(INDEX(직원목록!$B$3:$B$302,MATCH($B2224,직원목록!$A$3:$A$302,0)),"미등록사번"))</f>
        <v/>
      </c>
      <c r="D2224" s="13" t="str">
        <f aca="false">IF($B2224="","",IFERROR(INDEX(직원목록!$C$3:$C$302,MATCH($B2224,직원목록!$A$3:$A$302,0)),""))</f>
        <v/>
      </c>
      <c r="E2224" s="14"/>
      <c r="F2224" s="14"/>
      <c r="G2224" s="15"/>
      <c r="H2224" s="16" t="str">
        <f aca="false">IF(OR($K2224="",$L2224=""),"",ROUND(MAX(0,($L2224-$K2224)-IF($G2224="",0,$G2224))/60,2))</f>
        <v/>
      </c>
      <c r="I2224" s="8"/>
      <c r="J2224" s="8"/>
      <c r="K2224" s="17" t="str">
        <f aca="false">IF($E2224="","",IF($E2224&lt;1,ROUND($E2224*1440,0),INT($E2224/100)*60+MOD($E2224,100)))</f>
        <v/>
      </c>
      <c r="L2224" s="17" t="str">
        <f aca="false">IF($F2224="","",IF($F2224&lt;1,ROUND($F2224*1440,0),INT($F2224/100)*60+MOD($F2224,100)))</f>
        <v/>
      </c>
    </row>
    <row r="2225" customFormat="false" ht="15" hidden="false" customHeight="true" outlineLevel="0" collapsed="false">
      <c r="A2225" s="10"/>
      <c r="B2225" s="8"/>
      <c r="C2225" s="13" t="str">
        <f aca="false">IF($B2225="","",IFERROR(INDEX(직원목록!$B$3:$B$302,MATCH($B2225,직원목록!$A$3:$A$302,0)),"미등록사번"))</f>
        <v/>
      </c>
      <c r="D2225" s="13" t="str">
        <f aca="false">IF($B2225="","",IFERROR(INDEX(직원목록!$C$3:$C$302,MATCH($B2225,직원목록!$A$3:$A$302,0)),""))</f>
        <v/>
      </c>
      <c r="E2225" s="14"/>
      <c r="F2225" s="14"/>
      <c r="G2225" s="15"/>
      <c r="H2225" s="16" t="str">
        <f aca="false">IF(OR($K2225="",$L2225=""),"",ROUND(MAX(0,($L2225-$K2225)-IF($G2225="",0,$G2225))/60,2))</f>
        <v/>
      </c>
      <c r="I2225" s="8"/>
      <c r="J2225" s="8"/>
      <c r="K2225" s="17" t="str">
        <f aca="false">IF($E2225="","",IF($E2225&lt;1,ROUND($E2225*1440,0),INT($E2225/100)*60+MOD($E2225,100)))</f>
        <v/>
      </c>
      <c r="L2225" s="17" t="str">
        <f aca="false">IF($F2225="","",IF($F2225&lt;1,ROUND($F2225*1440,0),INT($F2225/100)*60+MOD($F2225,100)))</f>
        <v/>
      </c>
    </row>
    <row r="2226" customFormat="false" ht="15" hidden="false" customHeight="true" outlineLevel="0" collapsed="false">
      <c r="A2226" s="10"/>
      <c r="B2226" s="8"/>
      <c r="C2226" s="13" t="str">
        <f aca="false">IF($B2226="","",IFERROR(INDEX(직원목록!$B$3:$B$302,MATCH($B2226,직원목록!$A$3:$A$302,0)),"미등록사번"))</f>
        <v/>
      </c>
      <c r="D2226" s="13" t="str">
        <f aca="false">IF($B2226="","",IFERROR(INDEX(직원목록!$C$3:$C$302,MATCH($B2226,직원목록!$A$3:$A$302,0)),""))</f>
        <v/>
      </c>
      <c r="E2226" s="14"/>
      <c r="F2226" s="14"/>
      <c r="G2226" s="15"/>
      <c r="H2226" s="16" t="str">
        <f aca="false">IF(OR($K2226="",$L2226=""),"",ROUND(MAX(0,($L2226-$K2226)-IF($G2226="",0,$G2226))/60,2))</f>
        <v/>
      </c>
      <c r="I2226" s="8"/>
      <c r="J2226" s="8"/>
      <c r="K2226" s="17" t="str">
        <f aca="false">IF($E2226="","",IF($E2226&lt;1,ROUND($E2226*1440,0),INT($E2226/100)*60+MOD($E2226,100)))</f>
        <v/>
      </c>
      <c r="L2226" s="17" t="str">
        <f aca="false">IF($F2226="","",IF($F2226&lt;1,ROUND($F2226*1440,0),INT($F2226/100)*60+MOD($F2226,100)))</f>
        <v/>
      </c>
    </row>
    <row r="2227" customFormat="false" ht="15" hidden="false" customHeight="true" outlineLevel="0" collapsed="false">
      <c r="A2227" s="10"/>
      <c r="B2227" s="8"/>
      <c r="C2227" s="13" t="str">
        <f aca="false">IF($B2227="","",IFERROR(INDEX(직원목록!$B$3:$B$302,MATCH($B2227,직원목록!$A$3:$A$302,0)),"미등록사번"))</f>
        <v/>
      </c>
      <c r="D2227" s="13" t="str">
        <f aca="false">IF($B2227="","",IFERROR(INDEX(직원목록!$C$3:$C$302,MATCH($B2227,직원목록!$A$3:$A$302,0)),""))</f>
        <v/>
      </c>
      <c r="E2227" s="14"/>
      <c r="F2227" s="14"/>
      <c r="G2227" s="15"/>
      <c r="H2227" s="16" t="str">
        <f aca="false">IF(OR($K2227="",$L2227=""),"",ROUND(MAX(0,($L2227-$K2227)-IF($G2227="",0,$G2227))/60,2))</f>
        <v/>
      </c>
      <c r="I2227" s="8"/>
      <c r="J2227" s="8"/>
      <c r="K2227" s="17" t="str">
        <f aca="false">IF($E2227="","",IF($E2227&lt;1,ROUND($E2227*1440,0),INT($E2227/100)*60+MOD($E2227,100)))</f>
        <v/>
      </c>
      <c r="L2227" s="17" t="str">
        <f aca="false">IF($F2227="","",IF($F2227&lt;1,ROUND($F2227*1440,0),INT($F2227/100)*60+MOD($F2227,100)))</f>
        <v/>
      </c>
    </row>
    <row r="2228" customFormat="false" ht="15" hidden="false" customHeight="true" outlineLevel="0" collapsed="false">
      <c r="A2228" s="10"/>
      <c r="B2228" s="8"/>
      <c r="C2228" s="13" t="str">
        <f aca="false">IF($B2228="","",IFERROR(INDEX(직원목록!$B$3:$B$302,MATCH($B2228,직원목록!$A$3:$A$302,0)),"미등록사번"))</f>
        <v/>
      </c>
      <c r="D2228" s="13" t="str">
        <f aca="false">IF($B2228="","",IFERROR(INDEX(직원목록!$C$3:$C$302,MATCH($B2228,직원목록!$A$3:$A$302,0)),""))</f>
        <v/>
      </c>
      <c r="E2228" s="14"/>
      <c r="F2228" s="14"/>
      <c r="G2228" s="15"/>
      <c r="H2228" s="16" t="str">
        <f aca="false">IF(OR($K2228="",$L2228=""),"",ROUND(MAX(0,($L2228-$K2228)-IF($G2228="",0,$G2228))/60,2))</f>
        <v/>
      </c>
      <c r="I2228" s="8"/>
      <c r="J2228" s="8"/>
      <c r="K2228" s="17" t="str">
        <f aca="false">IF($E2228="","",IF($E2228&lt;1,ROUND($E2228*1440,0),INT($E2228/100)*60+MOD($E2228,100)))</f>
        <v/>
      </c>
      <c r="L2228" s="17" t="str">
        <f aca="false">IF($F2228="","",IF($F2228&lt;1,ROUND($F2228*1440,0),INT($F2228/100)*60+MOD($F2228,100)))</f>
        <v/>
      </c>
    </row>
    <row r="2229" customFormat="false" ht="15" hidden="false" customHeight="true" outlineLevel="0" collapsed="false">
      <c r="A2229" s="10"/>
      <c r="B2229" s="8"/>
      <c r="C2229" s="13" t="str">
        <f aca="false">IF($B2229="","",IFERROR(INDEX(직원목록!$B$3:$B$302,MATCH($B2229,직원목록!$A$3:$A$302,0)),"미등록사번"))</f>
        <v/>
      </c>
      <c r="D2229" s="13" t="str">
        <f aca="false">IF($B2229="","",IFERROR(INDEX(직원목록!$C$3:$C$302,MATCH($B2229,직원목록!$A$3:$A$302,0)),""))</f>
        <v/>
      </c>
      <c r="E2229" s="14"/>
      <c r="F2229" s="14"/>
      <c r="G2229" s="15"/>
      <c r="H2229" s="16" t="str">
        <f aca="false">IF(OR($K2229="",$L2229=""),"",ROUND(MAX(0,($L2229-$K2229)-IF($G2229="",0,$G2229))/60,2))</f>
        <v/>
      </c>
      <c r="I2229" s="8"/>
      <c r="J2229" s="8"/>
      <c r="K2229" s="17" t="str">
        <f aca="false">IF($E2229="","",IF($E2229&lt;1,ROUND($E2229*1440,0),INT($E2229/100)*60+MOD($E2229,100)))</f>
        <v/>
      </c>
      <c r="L2229" s="17" t="str">
        <f aca="false">IF($F2229="","",IF($F2229&lt;1,ROUND($F2229*1440,0),INT($F2229/100)*60+MOD($F2229,100)))</f>
        <v/>
      </c>
    </row>
    <row r="2230" customFormat="false" ht="15" hidden="false" customHeight="true" outlineLevel="0" collapsed="false">
      <c r="A2230" s="10"/>
      <c r="B2230" s="8"/>
      <c r="C2230" s="13" t="str">
        <f aca="false">IF($B2230="","",IFERROR(INDEX(직원목록!$B$3:$B$302,MATCH($B2230,직원목록!$A$3:$A$302,0)),"미등록사번"))</f>
        <v/>
      </c>
      <c r="D2230" s="13" t="str">
        <f aca="false">IF($B2230="","",IFERROR(INDEX(직원목록!$C$3:$C$302,MATCH($B2230,직원목록!$A$3:$A$302,0)),""))</f>
        <v/>
      </c>
      <c r="E2230" s="14"/>
      <c r="F2230" s="14"/>
      <c r="G2230" s="15"/>
      <c r="H2230" s="16" t="str">
        <f aca="false">IF(OR($K2230="",$L2230=""),"",ROUND(MAX(0,($L2230-$K2230)-IF($G2230="",0,$G2230))/60,2))</f>
        <v/>
      </c>
      <c r="I2230" s="8"/>
      <c r="J2230" s="8"/>
      <c r="K2230" s="17" t="str">
        <f aca="false">IF($E2230="","",IF($E2230&lt;1,ROUND($E2230*1440,0),INT($E2230/100)*60+MOD($E2230,100)))</f>
        <v/>
      </c>
      <c r="L2230" s="17" t="str">
        <f aca="false">IF($F2230="","",IF($F2230&lt;1,ROUND($F2230*1440,0),INT($F2230/100)*60+MOD($F2230,100)))</f>
        <v/>
      </c>
    </row>
    <row r="2231" customFormat="false" ht="15" hidden="false" customHeight="true" outlineLevel="0" collapsed="false">
      <c r="A2231" s="10"/>
      <c r="B2231" s="8"/>
      <c r="C2231" s="13" t="str">
        <f aca="false">IF($B2231="","",IFERROR(INDEX(직원목록!$B$3:$B$302,MATCH($B2231,직원목록!$A$3:$A$302,0)),"미등록사번"))</f>
        <v/>
      </c>
      <c r="D2231" s="13" t="str">
        <f aca="false">IF($B2231="","",IFERROR(INDEX(직원목록!$C$3:$C$302,MATCH($B2231,직원목록!$A$3:$A$302,0)),""))</f>
        <v/>
      </c>
      <c r="E2231" s="14"/>
      <c r="F2231" s="14"/>
      <c r="G2231" s="15"/>
      <c r="H2231" s="16" t="str">
        <f aca="false">IF(OR($K2231="",$L2231=""),"",ROUND(MAX(0,($L2231-$K2231)-IF($G2231="",0,$G2231))/60,2))</f>
        <v/>
      </c>
      <c r="I2231" s="8"/>
      <c r="J2231" s="8"/>
      <c r="K2231" s="17" t="str">
        <f aca="false">IF($E2231="","",IF($E2231&lt;1,ROUND($E2231*1440,0),INT($E2231/100)*60+MOD($E2231,100)))</f>
        <v/>
      </c>
      <c r="L2231" s="17" t="str">
        <f aca="false">IF($F2231="","",IF($F2231&lt;1,ROUND($F2231*1440,0),INT($F2231/100)*60+MOD($F2231,100)))</f>
        <v/>
      </c>
    </row>
    <row r="2232" customFormat="false" ht="15" hidden="false" customHeight="true" outlineLevel="0" collapsed="false">
      <c r="A2232" s="10"/>
      <c r="B2232" s="8"/>
      <c r="C2232" s="13" t="str">
        <f aca="false">IF($B2232="","",IFERROR(INDEX(직원목록!$B$3:$B$302,MATCH($B2232,직원목록!$A$3:$A$302,0)),"미등록사번"))</f>
        <v/>
      </c>
      <c r="D2232" s="13" t="str">
        <f aca="false">IF($B2232="","",IFERROR(INDEX(직원목록!$C$3:$C$302,MATCH($B2232,직원목록!$A$3:$A$302,0)),""))</f>
        <v/>
      </c>
      <c r="E2232" s="14"/>
      <c r="F2232" s="14"/>
      <c r="G2232" s="15"/>
      <c r="H2232" s="16" t="str">
        <f aca="false">IF(OR($K2232="",$L2232=""),"",ROUND(MAX(0,($L2232-$K2232)-IF($G2232="",0,$G2232))/60,2))</f>
        <v/>
      </c>
      <c r="I2232" s="8"/>
      <c r="J2232" s="8"/>
      <c r="K2232" s="17" t="str">
        <f aca="false">IF($E2232="","",IF($E2232&lt;1,ROUND($E2232*1440,0),INT($E2232/100)*60+MOD($E2232,100)))</f>
        <v/>
      </c>
      <c r="L2232" s="17" t="str">
        <f aca="false">IF($F2232="","",IF($F2232&lt;1,ROUND($F2232*1440,0),INT($F2232/100)*60+MOD($F2232,100)))</f>
        <v/>
      </c>
    </row>
    <row r="2233" customFormat="false" ht="15" hidden="false" customHeight="true" outlineLevel="0" collapsed="false">
      <c r="A2233" s="10"/>
      <c r="B2233" s="8"/>
      <c r="C2233" s="13" t="str">
        <f aca="false">IF($B2233="","",IFERROR(INDEX(직원목록!$B$3:$B$302,MATCH($B2233,직원목록!$A$3:$A$302,0)),"미등록사번"))</f>
        <v/>
      </c>
      <c r="D2233" s="13" t="str">
        <f aca="false">IF($B2233="","",IFERROR(INDEX(직원목록!$C$3:$C$302,MATCH($B2233,직원목록!$A$3:$A$302,0)),""))</f>
        <v/>
      </c>
      <c r="E2233" s="14"/>
      <c r="F2233" s="14"/>
      <c r="G2233" s="15"/>
      <c r="H2233" s="16" t="str">
        <f aca="false">IF(OR($K2233="",$L2233=""),"",ROUND(MAX(0,($L2233-$K2233)-IF($G2233="",0,$G2233))/60,2))</f>
        <v/>
      </c>
      <c r="I2233" s="8"/>
      <c r="J2233" s="8"/>
      <c r="K2233" s="17" t="str">
        <f aca="false">IF($E2233="","",IF($E2233&lt;1,ROUND($E2233*1440,0),INT($E2233/100)*60+MOD($E2233,100)))</f>
        <v/>
      </c>
      <c r="L2233" s="17" t="str">
        <f aca="false">IF($F2233="","",IF($F2233&lt;1,ROUND($F2233*1440,0),INT($F2233/100)*60+MOD($F2233,100)))</f>
        <v/>
      </c>
    </row>
    <row r="2234" customFormat="false" ht="15" hidden="false" customHeight="true" outlineLevel="0" collapsed="false">
      <c r="A2234" s="10"/>
      <c r="B2234" s="8"/>
      <c r="C2234" s="13" t="str">
        <f aca="false">IF($B2234="","",IFERROR(INDEX(직원목록!$B$3:$B$302,MATCH($B2234,직원목록!$A$3:$A$302,0)),"미등록사번"))</f>
        <v/>
      </c>
      <c r="D2234" s="13" t="str">
        <f aca="false">IF($B2234="","",IFERROR(INDEX(직원목록!$C$3:$C$302,MATCH($B2234,직원목록!$A$3:$A$302,0)),""))</f>
        <v/>
      </c>
      <c r="E2234" s="14"/>
      <c r="F2234" s="14"/>
      <c r="G2234" s="15"/>
      <c r="H2234" s="16" t="str">
        <f aca="false">IF(OR($K2234="",$L2234=""),"",ROUND(MAX(0,($L2234-$K2234)-IF($G2234="",0,$G2234))/60,2))</f>
        <v/>
      </c>
      <c r="I2234" s="8"/>
      <c r="J2234" s="8"/>
      <c r="K2234" s="17" t="str">
        <f aca="false">IF($E2234="","",IF($E2234&lt;1,ROUND($E2234*1440,0),INT($E2234/100)*60+MOD($E2234,100)))</f>
        <v/>
      </c>
      <c r="L2234" s="17" t="str">
        <f aca="false">IF($F2234="","",IF($F2234&lt;1,ROUND($F2234*1440,0),INT($F2234/100)*60+MOD($F2234,100)))</f>
        <v/>
      </c>
    </row>
    <row r="2235" customFormat="false" ht="15" hidden="false" customHeight="true" outlineLevel="0" collapsed="false">
      <c r="A2235" s="10"/>
      <c r="B2235" s="8"/>
      <c r="C2235" s="13" t="str">
        <f aca="false">IF($B2235="","",IFERROR(INDEX(직원목록!$B$3:$B$302,MATCH($B2235,직원목록!$A$3:$A$302,0)),"미등록사번"))</f>
        <v/>
      </c>
      <c r="D2235" s="13" t="str">
        <f aca="false">IF($B2235="","",IFERROR(INDEX(직원목록!$C$3:$C$302,MATCH($B2235,직원목록!$A$3:$A$302,0)),""))</f>
        <v/>
      </c>
      <c r="E2235" s="14"/>
      <c r="F2235" s="14"/>
      <c r="G2235" s="15"/>
      <c r="H2235" s="16" t="str">
        <f aca="false">IF(OR($K2235="",$L2235=""),"",ROUND(MAX(0,($L2235-$K2235)-IF($G2235="",0,$G2235))/60,2))</f>
        <v/>
      </c>
      <c r="I2235" s="8"/>
      <c r="J2235" s="8"/>
      <c r="K2235" s="17" t="str">
        <f aca="false">IF($E2235="","",IF($E2235&lt;1,ROUND($E2235*1440,0),INT($E2235/100)*60+MOD($E2235,100)))</f>
        <v/>
      </c>
      <c r="L2235" s="17" t="str">
        <f aca="false">IF($F2235="","",IF($F2235&lt;1,ROUND($F2235*1440,0),INT($F2235/100)*60+MOD($F2235,100)))</f>
        <v/>
      </c>
    </row>
    <row r="2236" customFormat="false" ht="15" hidden="false" customHeight="true" outlineLevel="0" collapsed="false">
      <c r="A2236" s="10"/>
      <c r="B2236" s="8"/>
      <c r="C2236" s="13" t="str">
        <f aca="false">IF($B2236="","",IFERROR(INDEX(직원목록!$B$3:$B$302,MATCH($B2236,직원목록!$A$3:$A$302,0)),"미등록사번"))</f>
        <v/>
      </c>
      <c r="D2236" s="13" t="str">
        <f aca="false">IF($B2236="","",IFERROR(INDEX(직원목록!$C$3:$C$302,MATCH($B2236,직원목록!$A$3:$A$302,0)),""))</f>
        <v/>
      </c>
      <c r="E2236" s="14"/>
      <c r="F2236" s="14"/>
      <c r="G2236" s="15"/>
      <c r="H2236" s="16" t="str">
        <f aca="false">IF(OR($K2236="",$L2236=""),"",ROUND(MAX(0,($L2236-$K2236)-IF($G2236="",0,$G2236))/60,2))</f>
        <v/>
      </c>
      <c r="I2236" s="8"/>
      <c r="J2236" s="8"/>
      <c r="K2236" s="17" t="str">
        <f aca="false">IF($E2236="","",IF($E2236&lt;1,ROUND($E2236*1440,0),INT($E2236/100)*60+MOD($E2236,100)))</f>
        <v/>
      </c>
      <c r="L2236" s="17" t="str">
        <f aca="false">IF($F2236="","",IF($F2236&lt;1,ROUND($F2236*1440,0),INT($F2236/100)*60+MOD($F2236,100)))</f>
        <v/>
      </c>
    </row>
    <row r="2237" customFormat="false" ht="15" hidden="false" customHeight="true" outlineLevel="0" collapsed="false">
      <c r="A2237" s="10"/>
      <c r="B2237" s="8"/>
      <c r="C2237" s="13" t="str">
        <f aca="false">IF($B2237="","",IFERROR(INDEX(직원목록!$B$3:$B$302,MATCH($B2237,직원목록!$A$3:$A$302,0)),"미등록사번"))</f>
        <v/>
      </c>
      <c r="D2237" s="13" t="str">
        <f aca="false">IF($B2237="","",IFERROR(INDEX(직원목록!$C$3:$C$302,MATCH($B2237,직원목록!$A$3:$A$302,0)),""))</f>
        <v/>
      </c>
      <c r="E2237" s="14"/>
      <c r="F2237" s="14"/>
      <c r="G2237" s="15"/>
      <c r="H2237" s="16" t="str">
        <f aca="false">IF(OR($K2237="",$L2237=""),"",ROUND(MAX(0,($L2237-$K2237)-IF($G2237="",0,$G2237))/60,2))</f>
        <v/>
      </c>
      <c r="I2237" s="8"/>
      <c r="J2237" s="8"/>
      <c r="K2237" s="17" t="str">
        <f aca="false">IF($E2237="","",IF($E2237&lt;1,ROUND($E2237*1440,0),INT($E2237/100)*60+MOD($E2237,100)))</f>
        <v/>
      </c>
      <c r="L2237" s="17" t="str">
        <f aca="false">IF($F2237="","",IF($F2237&lt;1,ROUND($F2237*1440,0),INT($F2237/100)*60+MOD($F2237,100)))</f>
        <v/>
      </c>
    </row>
    <row r="2238" customFormat="false" ht="15" hidden="false" customHeight="true" outlineLevel="0" collapsed="false">
      <c r="A2238" s="10"/>
      <c r="B2238" s="8"/>
      <c r="C2238" s="13" t="str">
        <f aca="false">IF($B2238="","",IFERROR(INDEX(직원목록!$B$3:$B$302,MATCH($B2238,직원목록!$A$3:$A$302,0)),"미등록사번"))</f>
        <v/>
      </c>
      <c r="D2238" s="13" t="str">
        <f aca="false">IF($B2238="","",IFERROR(INDEX(직원목록!$C$3:$C$302,MATCH($B2238,직원목록!$A$3:$A$302,0)),""))</f>
        <v/>
      </c>
      <c r="E2238" s="14"/>
      <c r="F2238" s="14"/>
      <c r="G2238" s="15"/>
      <c r="H2238" s="16" t="str">
        <f aca="false">IF(OR($K2238="",$L2238=""),"",ROUND(MAX(0,($L2238-$K2238)-IF($G2238="",0,$G2238))/60,2))</f>
        <v/>
      </c>
      <c r="I2238" s="8"/>
      <c r="J2238" s="8"/>
      <c r="K2238" s="17" t="str">
        <f aca="false">IF($E2238="","",IF($E2238&lt;1,ROUND($E2238*1440,0),INT($E2238/100)*60+MOD($E2238,100)))</f>
        <v/>
      </c>
      <c r="L2238" s="17" t="str">
        <f aca="false">IF($F2238="","",IF($F2238&lt;1,ROUND($F2238*1440,0),INT($F2238/100)*60+MOD($F2238,100)))</f>
        <v/>
      </c>
    </row>
    <row r="2239" customFormat="false" ht="15" hidden="false" customHeight="true" outlineLevel="0" collapsed="false">
      <c r="A2239" s="10"/>
      <c r="B2239" s="8"/>
      <c r="C2239" s="13" t="str">
        <f aca="false">IF($B2239="","",IFERROR(INDEX(직원목록!$B$3:$B$302,MATCH($B2239,직원목록!$A$3:$A$302,0)),"미등록사번"))</f>
        <v/>
      </c>
      <c r="D2239" s="13" t="str">
        <f aca="false">IF($B2239="","",IFERROR(INDEX(직원목록!$C$3:$C$302,MATCH($B2239,직원목록!$A$3:$A$302,0)),""))</f>
        <v/>
      </c>
      <c r="E2239" s="14"/>
      <c r="F2239" s="14"/>
      <c r="G2239" s="15"/>
      <c r="H2239" s="16" t="str">
        <f aca="false">IF(OR($K2239="",$L2239=""),"",ROUND(MAX(0,($L2239-$K2239)-IF($G2239="",0,$G2239))/60,2))</f>
        <v/>
      </c>
      <c r="I2239" s="8"/>
      <c r="J2239" s="8"/>
      <c r="K2239" s="17" t="str">
        <f aca="false">IF($E2239="","",IF($E2239&lt;1,ROUND($E2239*1440,0),INT($E2239/100)*60+MOD($E2239,100)))</f>
        <v/>
      </c>
      <c r="L2239" s="17" t="str">
        <f aca="false">IF($F2239="","",IF($F2239&lt;1,ROUND($F2239*1440,0),INT($F2239/100)*60+MOD($F2239,100)))</f>
        <v/>
      </c>
    </row>
    <row r="2240" customFormat="false" ht="15" hidden="false" customHeight="true" outlineLevel="0" collapsed="false">
      <c r="A2240" s="10"/>
      <c r="B2240" s="8"/>
      <c r="C2240" s="13" t="str">
        <f aca="false">IF($B2240="","",IFERROR(INDEX(직원목록!$B$3:$B$302,MATCH($B2240,직원목록!$A$3:$A$302,0)),"미등록사번"))</f>
        <v/>
      </c>
      <c r="D2240" s="13" t="str">
        <f aca="false">IF($B2240="","",IFERROR(INDEX(직원목록!$C$3:$C$302,MATCH($B2240,직원목록!$A$3:$A$302,0)),""))</f>
        <v/>
      </c>
      <c r="E2240" s="14"/>
      <c r="F2240" s="14"/>
      <c r="G2240" s="15"/>
      <c r="H2240" s="16" t="str">
        <f aca="false">IF(OR($K2240="",$L2240=""),"",ROUND(MAX(0,($L2240-$K2240)-IF($G2240="",0,$G2240))/60,2))</f>
        <v/>
      </c>
      <c r="I2240" s="8"/>
      <c r="J2240" s="8"/>
      <c r="K2240" s="17" t="str">
        <f aca="false">IF($E2240="","",IF($E2240&lt;1,ROUND($E2240*1440,0),INT($E2240/100)*60+MOD($E2240,100)))</f>
        <v/>
      </c>
      <c r="L2240" s="17" t="str">
        <f aca="false">IF($F2240="","",IF($F2240&lt;1,ROUND($F2240*1440,0),INT($F2240/100)*60+MOD($F2240,100)))</f>
        <v/>
      </c>
    </row>
    <row r="2241" customFormat="false" ht="15" hidden="false" customHeight="true" outlineLevel="0" collapsed="false">
      <c r="A2241" s="10"/>
      <c r="B2241" s="8"/>
      <c r="C2241" s="13" t="str">
        <f aca="false">IF($B2241="","",IFERROR(INDEX(직원목록!$B$3:$B$302,MATCH($B2241,직원목록!$A$3:$A$302,0)),"미등록사번"))</f>
        <v/>
      </c>
      <c r="D2241" s="13" t="str">
        <f aca="false">IF($B2241="","",IFERROR(INDEX(직원목록!$C$3:$C$302,MATCH($B2241,직원목록!$A$3:$A$302,0)),""))</f>
        <v/>
      </c>
      <c r="E2241" s="14"/>
      <c r="F2241" s="14"/>
      <c r="G2241" s="15"/>
      <c r="H2241" s="16" t="str">
        <f aca="false">IF(OR($K2241="",$L2241=""),"",ROUND(MAX(0,($L2241-$K2241)-IF($G2241="",0,$G2241))/60,2))</f>
        <v/>
      </c>
      <c r="I2241" s="8"/>
      <c r="J2241" s="8"/>
      <c r="K2241" s="17" t="str">
        <f aca="false">IF($E2241="","",IF($E2241&lt;1,ROUND($E2241*1440,0),INT($E2241/100)*60+MOD($E2241,100)))</f>
        <v/>
      </c>
      <c r="L2241" s="17" t="str">
        <f aca="false">IF($F2241="","",IF($F2241&lt;1,ROUND($F2241*1440,0),INT($F2241/100)*60+MOD($F2241,100)))</f>
        <v/>
      </c>
    </row>
    <row r="2242" customFormat="false" ht="15" hidden="false" customHeight="true" outlineLevel="0" collapsed="false">
      <c r="A2242" s="10"/>
      <c r="B2242" s="8"/>
      <c r="C2242" s="13" t="str">
        <f aca="false">IF($B2242="","",IFERROR(INDEX(직원목록!$B$3:$B$302,MATCH($B2242,직원목록!$A$3:$A$302,0)),"미등록사번"))</f>
        <v/>
      </c>
      <c r="D2242" s="13" t="str">
        <f aca="false">IF($B2242="","",IFERROR(INDEX(직원목록!$C$3:$C$302,MATCH($B2242,직원목록!$A$3:$A$302,0)),""))</f>
        <v/>
      </c>
      <c r="E2242" s="14"/>
      <c r="F2242" s="14"/>
      <c r="G2242" s="15"/>
      <c r="H2242" s="16" t="str">
        <f aca="false">IF(OR($K2242="",$L2242=""),"",ROUND(MAX(0,($L2242-$K2242)-IF($G2242="",0,$G2242))/60,2))</f>
        <v/>
      </c>
      <c r="I2242" s="8"/>
      <c r="J2242" s="8"/>
      <c r="K2242" s="17" t="str">
        <f aca="false">IF($E2242="","",IF($E2242&lt;1,ROUND($E2242*1440,0),INT($E2242/100)*60+MOD($E2242,100)))</f>
        <v/>
      </c>
      <c r="L2242" s="17" t="str">
        <f aca="false">IF($F2242="","",IF($F2242&lt;1,ROUND($F2242*1440,0),INT($F2242/100)*60+MOD($F2242,100)))</f>
        <v/>
      </c>
    </row>
    <row r="2243" customFormat="false" ht="15" hidden="false" customHeight="true" outlineLevel="0" collapsed="false">
      <c r="A2243" s="10"/>
      <c r="B2243" s="8"/>
      <c r="C2243" s="13" t="str">
        <f aca="false">IF($B2243="","",IFERROR(INDEX(직원목록!$B$3:$B$302,MATCH($B2243,직원목록!$A$3:$A$302,0)),"미등록사번"))</f>
        <v/>
      </c>
      <c r="D2243" s="13" t="str">
        <f aca="false">IF($B2243="","",IFERROR(INDEX(직원목록!$C$3:$C$302,MATCH($B2243,직원목록!$A$3:$A$302,0)),""))</f>
        <v/>
      </c>
      <c r="E2243" s="14"/>
      <c r="F2243" s="14"/>
      <c r="G2243" s="15"/>
      <c r="H2243" s="16" t="str">
        <f aca="false">IF(OR($K2243="",$L2243=""),"",ROUND(MAX(0,($L2243-$K2243)-IF($G2243="",0,$G2243))/60,2))</f>
        <v/>
      </c>
      <c r="I2243" s="8"/>
      <c r="J2243" s="8"/>
      <c r="K2243" s="17" t="str">
        <f aca="false">IF($E2243="","",IF($E2243&lt;1,ROUND($E2243*1440,0),INT($E2243/100)*60+MOD($E2243,100)))</f>
        <v/>
      </c>
      <c r="L2243" s="17" t="str">
        <f aca="false">IF($F2243="","",IF($F2243&lt;1,ROUND($F2243*1440,0),INT($F2243/100)*60+MOD($F2243,100)))</f>
        <v/>
      </c>
    </row>
    <row r="2244" customFormat="false" ht="15" hidden="false" customHeight="true" outlineLevel="0" collapsed="false">
      <c r="A2244" s="10"/>
      <c r="B2244" s="8"/>
      <c r="C2244" s="13" t="str">
        <f aca="false">IF($B2244="","",IFERROR(INDEX(직원목록!$B$3:$B$302,MATCH($B2244,직원목록!$A$3:$A$302,0)),"미등록사번"))</f>
        <v/>
      </c>
      <c r="D2244" s="13" t="str">
        <f aca="false">IF($B2244="","",IFERROR(INDEX(직원목록!$C$3:$C$302,MATCH($B2244,직원목록!$A$3:$A$302,0)),""))</f>
        <v/>
      </c>
      <c r="E2244" s="14"/>
      <c r="F2244" s="14"/>
      <c r="G2244" s="15"/>
      <c r="H2244" s="16" t="str">
        <f aca="false">IF(OR($K2244="",$L2244=""),"",ROUND(MAX(0,($L2244-$K2244)-IF($G2244="",0,$G2244))/60,2))</f>
        <v/>
      </c>
      <c r="I2244" s="8"/>
      <c r="J2244" s="8"/>
      <c r="K2244" s="17" t="str">
        <f aca="false">IF($E2244="","",IF($E2244&lt;1,ROUND($E2244*1440,0),INT($E2244/100)*60+MOD($E2244,100)))</f>
        <v/>
      </c>
      <c r="L2244" s="17" t="str">
        <f aca="false">IF($F2244="","",IF($F2244&lt;1,ROUND($F2244*1440,0),INT($F2244/100)*60+MOD($F2244,100)))</f>
        <v/>
      </c>
    </row>
    <row r="2245" customFormat="false" ht="15" hidden="false" customHeight="true" outlineLevel="0" collapsed="false">
      <c r="A2245" s="10"/>
      <c r="B2245" s="8"/>
      <c r="C2245" s="13" t="str">
        <f aca="false">IF($B2245="","",IFERROR(INDEX(직원목록!$B$3:$B$302,MATCH($B2245,직원목록!$A$3:$A$302,0)),"미등록사번"))</f>
        <v/>
      </c>
      <c r="D2245" s="13" t="str">
        <f aca="false">IF($B2245="","",IFERROR(INDEX(직원목록!$C$3:$C$302,MATCH($B2245,직원목록!$A$3:$A$302,0)),""))</f>
        <v/>
      </c>
      <c r="E2245" s="14"/>
      <c r="F2245" s="14"/>
      <c r="G2245" s="15"/>
      <c r="H2245" s="16" t="str">
        <f aca="false">IF(OR($K2245="",$L2245=""),"",ROUND(MAX(0,($L2245-$K2245)-IF($G2245="",0,$G2245))/60,2))</f>
        <v/>
      </c>
      <c r="I2245" s="8"/>
      <c r="J2245" s="8"/>
      <c r="K2245" s="17" t="str">
        <f aca="false">IF($E2245="","",IF($E2245&lt;1,ROUND($E2245*1440,0),INT($E2245/100)*60+MOD($E2245,100)))</f>
        <v/>
      </c>
      <c r="L2245" s="17" t="str">
        <f aca="false">IF($F2245="","",IF($F2245&lt;1,ROUND($F2245*1440,0),INT($F2245/100)*60+MOD($F2245,100)))</f>
        <v/>
      </c>
    </row>
    <row r="2246" customFormat="false" ht="15" hidden="false" customHeight="true" outlineLevel="0" collapsed="false">
      <c r="A2246" s="10"/>
      <c r="B2246" s="8"/>
      <c r="C2246" s="13" t="str">
        <f aca="false">IF($B2246="","",IFERROR(INDEX(직원목록!$B$3:$B$302,MATCH($B2246,직원목록!$A$3:$A$302,0)),"미등록사번"))</f>
        <v/>
      </c>
      <c r="D2246" s="13" t="str">
        <f aca="false">IF($B2246="","",IFERROR(INDEX(직원목록!$C$3:$C$302,MATCH($B2246,직원목록!$A$3:$A$302,0)),""))</f>
        <v/>
      </c>
      <c r="E2246" s="14"/>
      <c r="F2246" s="14"/>
      <c r="G2246" s="15"/>
      <c r="H2246" s="16" t="str">
        <f aca="false">IF(OR($K2246="",$L2246=""),"",ROUND(MAX(0,($L2246-$K2246)-IF($G2246="",0,$G2246))/60,2))</f>
        <v/>
      </c>
      <c r="I2246" s="8"/>
      <c r="J2246" s="8"/>
      <c r="K2246" s="17" t="str">
        <f aca="false">IF($E2246="","",IF($E2246&lt;1,ROUND($E2246*1440,0),INT($E2246/100)*60+MOD($E2246,100)))</f>
        <v/>
      </c>
      <c r="L2246" s="17" t="str">
        <f aca="false">IF($F2246="","",IF($F2246&lt;1,ROUND($F2246*1440,0),INT($F2246/100)*60+MOD($F2246,100)))</f>
        <v/>
      </c>
    </row>
    <row r="2247" customFormat="false" ht="15" hidden="false" customHeight="true" outlineLevel="0" collapsed="false">
      <c r="A2247" s="10"/>
      <c r="B2247" s="8"/>
      <c r="C2247" s="13" t="str">
        <f aca="false">IF($B2247="","",IFERROR(INDEX(직원목록!$B$3:$B$302,MATCH($B2247,직원목록!$A$3:$A$302,0)),"미등록사번"))</f>
        <v/>
      </c>
      <c r="D2247" s="13" t="str">
        <f aca="false">IF($B2247="","",IFERROR(INDEX(직원목록!$C$3:$C$302,MATCH($B2247,직원목록!$A$3:$A$302,0)),""))</f>
        <v/>
      </c>
      <c r="E2247" s="14"/>
      <c r="F2247" s="14"/>
      <c r="G2247" s="15"/>
      <c r="H2247" s="16" t="str">
        <f aca="false">IF(OR($K2247="",$L2247=""),"",ROUND(MAX(0,($L2247-$K2247)-IF($G2247="",0,$G2247))/60,2))</f>
        <v/>
      </c>
      <c r="I2247" s="8"/>
      <c r="J2247" s="8"/>
      <c r="K2247" s="17" t="str">
        <f aca="false">IF($E2247="","",IF($E2247&lt;1,ROUND($E2247*1440,0),INT($E2247/100)*60+MOD($E2247,100)))</f>
        <v/>
      </c>
      <c r="L2247" s="17" t="str">
        <f aca="false">IF($F2247="","",IF($F2247&lt;1,ROUND($F2247*1440,0),INT($F2247/100)*60+MOD($F2247,100)))</f>
        <v/>
      </c>
    </row>
    <row r="2248" customFormat="false" ht="15" hidden="false" customHeight="true" outlineLevel="0" collapsed="false">
      <c r="A2248" s="10"/>
      <c r="B2248" s="8"/>
      <c r="C2248" s="13" t="str">
        <f aca="false">IF($B2248="","",IFERROR(INDEX(직원목록!$B$3:$B$302,MATCH($B2248,직원목록!$A$3:$A$302,0)),"미등록사번"))</f>
        <v/>
      </c>
      <c r="D2248" s="13" t="str">
        <f aca="false">IF($B2248="","",IFERROR(INDEX(직원목록!$C$3:$C$302,MATCH($B2248,직원목록!$A$3:$A$302,0)),""))</f>
        <v/>
      </c>
      <c r="E2248" s="14"/>
      <c r="F2248" s="14"/>
      <c r="G2248" s="15"/>
      <c r="H2248" s="16" t="str">
        <f aca="false">IF(OR($K2248="",$L2248=""),"",ROUND(MAX(0,($L2248-$K2248)-IF($G2248="",0,$G2248))/60,2))</f>
        <v/>
      </c>
      <c r="I2248" s="8"/>
      <c r="J2248" s="8"/>
      <c r="K2248" s="17" t="str">
        <f aca="false">IF($E2248="","",IF($E2248&lt;1,ROUND($E2248*1440,0),INT($E2248/100)*60+MOD($E2248,100)))</f>
        <v/>
      </c>
      <c r="L2248" s="17" t="str">
        <f aca="false">IF($F2248="","",IF($F2248&lt;1,ROUND($F2248*1440,0),INT($F2248/100)*60+MOD($F2248,100)))</f>
        <v/>
      </c>
    </row>
    <row r="2249" customFormat="false" ht="15" hidden="false" customHeight="true" outlineLevel="0" collapsed="false">
      <c r="A2249" s="10"/>
      <c r="B2249" s="8"/>
      <c r="C2249" s="13" t="str">
        <f aca="false">IF($B2249="","",IFERROR(INDEX(직원목록!$B$3:$B$302,MATCH($B2249,직원목록!$A$3:$A$302,0)),"미등록사번"))</f>
        <v/>
      </c>
      <c r="D2249" s="13" t="str">
        <f aca="false">IF($B2249="","",IFERROR(INDEX(직원목록!$C$3:$C$302,MATCH($B2249,직원목록!$A$3:$A$302,0)),""))</f>
        <v/>
      </c>
      <c r="E2249" s="14"/>
      <c r="F2249" s="14"/>
      <c r="G2249" s="15"/>
      <c r="H2249" s="16" t="str">
        <f aca="false">IF(OR($K2249="",$L2249=""),"",ROUND(MAX(0,($L2249-$K2249)-IF($G2249="",0,$G2249))/60,2))</f>
        <v/>
      </c>
      <c r="I2249" s="8"/>
      <c r="J2249" s="8"/>
      <c r="K2249" s="17" t="str">
        <f aca="false">IF($E2249="","",IF($E2249&lt;1,ROUND($E2249*1440,0),INT($E2249/100)*60+MOD($E2249,100)))</f>
        <v/>
      </c>
      <c r="L2249" s="17" t="str">
        <f aca="false">IF($F2249="","",IF($F2249&lt;1,ROUND($F2249*1440,0),INT($F2249/100)*60+MOD($F2249,100)))</f>
        <v/>
      </c>
    </row>
    <row r="2250" customFormat="false" ht="15" hidden="false" customHeight="true" outlineLevel="0" collapsed="false">
      <c r="A2250" s="10"/>
      <c r="B2250" s="8"/>
      <c r="C2250" s="13" t="str">
        <f aca="false">IF($B2250="","",IFERROR(INDEX(직원목록!$B$3:$B$302,MATCH($B2250,직원목록!$A$3:$A$302,0)),"미등록사번"))</f>
        <v/>
      </c>
      <c r="D2250" s="13" t="str">
        <f aca="false">IF($B2250="","",IFERROR(INDEX(직원목록!$C$3:$C$302,MATCH($B2250,직원목록!$A$3:$A$302,0)),""))</f>
        <v/>
      </c>
      <c r="E2250" s="14"/>
      <c r="F2250" s="14"/>
      <c r="G2250" s="15"/>
      <c r="H2250" s="16" t="str">
        <f aca="false">IF(OR($K2250="",$L2250=""),"",ROUND(MAX(0,($L2250-$K2250)-IF($G2250="",0,$G2250))/60,2))</f>
        <v/>
      </c>
      <c r="I2250" s="8"/>
      <c r="J2250" s="8"/>
      <c r="K2250" s="17" t="str">
        <f aca="false">IF($E2250="","",IF($E2250&lt;1,ROUND($E2250*1440,0),INT($E2250/100)*60+MOD($E2250,100)))</f>
        <v/>
      </c>
      <c r="L2250" s="17" t="str">
        <f aca="false">IF($F2250="","",IF($F2250&lt;1,ROUND($F2250*1440,0),INT($F2250/100)*60+MOD($F2250,100)))</f>
        <v/>
      </c>
    </row>
    <row r="2251" customFormat="false" ht="15" hidden="false" customHeight="true" outlineLevel="0" collapsed="false">
      <c r="A2251" s="10"/>
      <c r="B2251" s="8"/>
      <c r="C2251" s="13" t="str">
        <f aca="false">IF($B2251="","",IFERROR(INDEX(직원목록!$B$3:$B$302,MATCH($B2251,직원목록!$A$3:$A$302,0)),"미등록사번"))</f>
        <v/>
      </c>
      <c r="D2251" s="13" t="str">
        <f aca="false">IF($B2251="","",IFERROR(INDEX(직원목록!$C$3:$C$302,MATCH($B2251,직원목록!$A$3:$A$302,0)),""))</f>
        <v/>
      </c>
      <c r="E2251" s="14"/>
      <c r="F2251" s="14"/>
      <c r="G2251" s="15"/>
      <c r="H2251" s="16" t="str">
        <f aca="false">IF(OR($K2251="",$L2251=""),"",ROUND(MAX(0,($L2251-$K2251)-IF($G2251="",0,$G2251))/60,2))</f>
        <v/>
      </c>
      <c r="I2251" s="8"/>
      <c r="J2251" s="8"/>
      <c r="K2251" s="17" t="str">
        <f aca="false">IF($E2251="","",IF($E2251&lt;1,ROUND($E2251*1440,0),INT($E2251/100)*60+MOD($E2251,100)))</f>
        <v/>
      </c>
      <c r="L2251" s="17" t="str">
        <f aca="false">IF($F2251="","",IF($F2251&lt;1,ROUND($F2251*1440,0),INT($F2251/100)*60+MOD($F2251,100)))</f>
        <v/>
      </c>
    </row>
    <row r="2252" customFormat="false" ht="15" hidden="false" customHeight="true" outlineLevel="0" collapsed="false">
      <c r="A2252" s="10"/>
      <c r="B2252" s="8"/>
      <c r="C2252" s="13" t="str">
        <f aca="false">IF($B2252="","",IFERROR(INDEX(직원목록!$B$3:$B$302,MATCH($B2252,직원목록!$A$3:$A$302,0)),"미등록사번"))</f>
        <v/>
      </c>
      <c r="D2252" s="13" t="str">
        <f aca="false">IF($B2252="","",IFERROR(INDEX(직원목록!$C$3:$C$302,MATCH($B2252,직원목록!$A$3:$A$302,0)),""))</f>
        <v/>
      </c>
      <c r="E2252" s="14"/>
      <c r="F2252" s="14"/>
      <c r="G2252" s="15"/>
      <c r="H2252" s="16" t="str">
        <f aca="false">IF(OR($K2252="",$L2252=""),"",ROUND(MAX(0,($L2252-$K2252)-IF($G2252="",0,$G2252))/60,2))</f>
        <v/>
      </c>
      <c r="I2252" s="8"/>
      <c r="J2252" s="8"/>
      <c r="K2252" s="17" t="str">
        <f aca="false">IF($E2252="","",IF($E2252&lt;1,ROUND($E2252*1440,0),INT($E2252/100)*60+MOD($E2252,100)))</f>
        <v/>
      </c>
      <c r="L2252" s="17" t="str">
        <f aca="false">IF($F2252="","",IF($F2252&lt;1,ROUND($F2252*1440,0),INT($F2252/100)*60+MOD($F2252,100)))</f>
        <v/>
      </c>
    </row>
    <row r="2253" customFormat="false" ht="15" hidden="false" customHeight="true" outlineLevel="0" collapsed="false">
      <c r="A2253" s="10"/>
      <c r="B2253" s="8"/>
      <c r="C2253" s="13" t="str">
        <f aca="false">IF($B2253="","",IFERROR(INDEX(직원목록!$B$3:$B$302,MATCH($B2253,직원목록!$A$3:$A$302,0)),"미등록사번"))</f>
        <v/>
      </c>
      <c r="D2253" s="13" t="str">
        <f aca="false">IF($B2253="","",IFERROR(INDEX(직원목록!$C$3:$C$302,MATCH($B2253,직원목록!$A$3:$A$302,0)),""))</f>
        <v/>
      </c>
      <c r="E2253" s="14"/>
      <c r="F2253" s="14"/>
      <c r="G2253" s="15"/>
      <c r="H2253" s="16" t="str">
        <f aca="false">IF(OR($K2253="",$L2253=""),"",ROUND(MAX(0,($L2253-$K2253)-IF($G2253="",0,$G2253))/60,2))</f>
        <v/>
      </c>
      <c r="I2253" s="8"/>
      <c r="J2253" s="8"/>
      <c r="K2253" s="17" t="str">
        <f aca="false">IF($E2253="","",IF($E2253&lt;1,ROUND($E2253*1440,0),INT($E2253/100)*60+MOD($E2253,100)))</f>
        <v/>
      </c>
      <c r="L2253" s="17" t="str">
        <f aca="false">IF($F2253="","",IF($F2253&lt;1,ROUND($F2253*1440,0),INT($F2253/100)*60+MOD($F2253,100)))</f>
        <v/>
      </c>
    </row>
    <row r="2254" customFormat="false" ht="15" hidden="false" customHeight="true" outlineLevel="0" collapsed="false">
      <c r="A2254" s="10"/>
      <c r="B2254" s="8"/>
      <c r="C2254" s="13" t="str">
        <f aca="false">IF($B2254="","",IFERROR(INDEX(직원목록!$B$3:$B$302,MATCH($B2254,직원목록!$A$3:$A$302,0)),"미등록사번"))</f>
        <v/>
      </c>
      <c r="D2254" s="13" t="str">
        <f aca="false">IF($B2254="","",IFERROR(INDEX(직원목록!$C$3:$C$302,MATCH($B2254,직원목록!$A$3:$A$302,0)),""))</f>
        <v/>
      </c>
      <c r="E2254" s="14"/>
      <c r="F2254" s="14"/>
      <c r="G2254" s="15"/>
      <c r="H2254" s="16" t="str">
        <f aca="false">IF(OR($K2254="",$L2254=""),"",ROUND(MAX(0,($L2254-$K2254)-IF($G2254="",0,$G2254))/60,2))</f>
        <v/>
      </c>
      <c r="I2254" s="8"/>
      <c r="J2254" s="8"/>
      <c r="K2254" s="17" t="str">
        <f aca="false">IF($E2254="","",IF($E2254&lt;1,ROUND($E2254*1440,0),INT($E2254/100)*60+MOD($E2254,100)))</f>
        <v/>
      </c>
      <c r="L2254" s="17" t="str">
        <f aca="false">IF($F2254="","",IF($F2254&lt;1,ROUND($F2254*1440,0),INT($F2254/100)*60+MOD($F2254,100)))</f>
        <v/>
      </c>
    </row>
    <row r="2255" customFormat="false" ht="15" hidden="false" customHeight="true" outlineLevel="0" collapsed="false">
      <c r="A2255" s="10"/>
      <c r="B2255" s="8"/>
      <c r="C2255" s="13" t="str">
        <f aca="false">IF($B2255="","",IFERROR(INDEX(직원목록!$B$3:$B$302,MATCH($B2255,직원목록!$A$3:$A$302,0)),"미등록사번"))</f>
        <v/>
      </c>
      <c r="D2255" s="13" t="str">
        <f aca="false">IF($B2255="","",IFERROR(INDEX(직원목록!$C$3:$C$302,MATCH($B2255,직원목록!$A$3:$A$302,0)),""))</f>
        <v/>
      </c>
      <c r="E2255" s="14"/>
      <c r="F2255" s="14"/>
      <c r="G2255" s="15"/>
      <c r="H2255" s="16" t="str">
        <f aca="false">IF(OR($K2255="",$L2255=""),"",ROUND(MAX(0,($L2255-$K2255)-IF($G2255="",0,$G2255))/60,2))</f>
        <v/>
      </c>
      <c r="I2255" s="8"/>
      <c r="J2255" s="8"/>
      <c r="K2255" s="17" t="str">
        <f aca="false">IF($E2255="","",IF($E2255&lt;1,ROUND($E2255*1440,0),INT($E2255/100)*60+MOD($E2255,100)))</f>
        <v/>
      </c>
      <c r="L2255" s="17" t="str">
        <f aca="false">IF($F2255="","",IF($F2255&lt;1,ROUND($F2255*1440,0),INT($F2255/100)*60+MOD($F2255,100)))</f>
        <v/>
      </c>
    </row>
    <row r="2256" customFormat="false" ht="15" hidden="false" customHeight="true" outlineLevel="0" collapsed="false">
      <c r="A2256" s="10"/>
      <c r="B2256" s="8"/>
      <c r="C2256" s="13" t="str">
        <f aca="false">IF($B2256="","",IFERROR(INDEX(직원목록!$B$3:$B$302,MATCH($B2256,직원목록!$A$3:$A$302,0)),"미등록사번"))</f>
        <v/>
      </c>
      <c r="D2256" s="13" t="str">
        <f aca="false">IF($B2256="","",IFERROR(INDEX(직원목록!$C$3:$C$302,MATCH($B2256,직원목록!$A$3:$A$302,0)),""))</f>
        <v/>
      </c>
      <c r="E2256" s="14"/>
      <c r="F2256" s="14"/>
      <c r="G2256" s="15"/>
      <c r="H2256" s="16" t="str">
        <f aca="false">IF(OR($K2256="",$L2256=""),"",ROUND(MAX(0,($L2256-$K2256)-IF($G2256="",0,$G2256))/60,2))</f>
        <v/>
      </c>
      <c r="I2256" s="8"/>
      <c r="J2256" s="8"/>
      <c r="K2256" s="17" t="str">
        <f aca="false">IF($E2256="","",IF($E2256&lt;1,ROUND($E2256*1440,0),INT($E2256/100)*60+MOD($E2256,100)))</f>
        <v/>
      </c>
      <c r="L2256" s="17" t="str">
        <f aca="false">IF($F2256="","",IF($F2256&lt;1,ROUND($F2256*1440,0),INT($F2256/100)*60+MOD($F2256,100)))</f>
        <v/>
      </c>
    </row>
    <row r="2257" customFormat="false" ht="15" hidden="false" customHeight="true" outlineLevel="0" collapsed="false">
      <c r="A2257" s="10"/>
      <c r="B2257" s="8"/>
      <c r="C2257" s="13" t="str">
        <f aca="false">IF($B2257="","",IFERROR(INDEX(직원목록!$B$3:$B$302,MATCH($B2257,직원목록!$A$3:$A$302,0)),"미등록사번"))</f>
        <v/>
      </c>
      <c r="D2257" s="13" t="str">
        <f aca="false">IF($B2257="","",IFERROR(INDEX(직원목록!$C$3:$C$302,MATCH($B2257,직원목록!$A$3:$A$302,0)),""))</f>
        <v/>
      </c>
      <c r="E2257" s="14"/>
      <c r="F2257" s="14"/>
      <c r="G2257" s="15"/>
      <c r="H2257" s="16" t="str">
        <f aca="false">IF(OR($K2257="",$L2257=""),"",ROUND(MAX(0,($L2257-$K2257)-IF($G2257="",0,$G2257))/60,2))</f>
        <v/>
      </c>
      <c r="I2257" s="8"/>
      <c r="J2257" s="8"/>
      <c r="K2257" s="17" t="str">
        <f aca="false">IF($E2257="","",IF($E2257&lt;1,ROUND($E2257*1440,0),INT($E2257/100)*60+MOD($E2257,100)))</f>
        <v/>
      </c>
      <c r="L2257" s="17" t="str">
        <f aca="false">IF($F2257="","",IF($F2257&lt;1,ROUND($F2257*1440,0),INT($F2257/100)*60+MOD($F2257,100)))</f>
        <v/>
      </c>
    </row>
    <row r="2258" customFormat="false" ht="15" hidden="false" customHeight="true" outlineLevel="0" collapsed="false">
      <c r="A2258" s="10"/>
      <c r="B2258" s="8"/>
      <c r="C2258" s="13" t="str">
        <f aca="false">IF($B2258="","",IFERROR(INDEX(직원목록!$B$3:$B$302,MATCH($B2258,직원목록!$A$3:$A$302,0)),"미등록사번"))</f>
        <v/>
      </c>
      <c r="D2258" s="13" t="str">
        <f aca="false">IF($B2258="","",IFERROR(INDEX(직원목록!$C$3:$C$302,MATCH($B2258,직원목록!$A$3:$A$302,0)),""))</f>
        <v/>
      </c>
      <c r="E2258" s="14"/>
      <c r="F2258" s="14"/>
      <c r="G2258" s="15"/>
      <c r="H2258" s="16" t="str">
        <f aca="false">IF(OR($K2258="",$L2258=""),"",ROUND(MAX(0,($L2258-$K2258)-IF($G2258="",0,$G2258))/60,2))</f>
        <v/>
      </c>
      <c r="I2258" s="8"/>
      <c r="J2258" s="8"/>
      <c r="K2258" s="17" t="str">
        <f aca="false">IF($E2258="","",IF($E2258&lt;1,ROUND($E2258*1440,0),INT($E2258/100)*60+MOD($E2258,100)))</f>
        <v/>
      </c>
      <c r="L2258" s="17" t="str">
        <f aca="false">IF($F2258="","",IF($F2258&lt;1,ROUND($F2258*1440,0),INT($F2258/100)*60+MOD($F2258,100)))</f>
        <v/>
      </c>
    </row>
    <row r="2259" customFormat="false" ht="15" hidden="false" customHeight="true" outlineLevel="0" collapsed="false">
      <c r="A2259" s="10"/>
      <c r="B2259" s="8"/>
      <c r="C2259" s="13" t="str">
        <f aca="false">IF($B2259="","",IFERROR(INDEX(직원목록!$B$3:$B$302,MATCH($B2259,직원목록!$A$3:$A$302,0)),"미등록사번"))</f>
        <v/>
      </c>
      <c r="D2259" s="13" t="str">
        <f aca="false">IF($B2259="","",IFERROR(INDEX(직원목록!$C$3:$C$302,MATCH($B2259,직원목록!$A$3:$A$302,0)),""))</f>
        <v/>
      </c>
      <c r="E2259" s="14"/>
      <c r="F2259" s="14"/>
      <c r="G2259" s="15"/>
      <c r="H2259" s="16" t="str">
        <f aca="false">IF(OR($K2259="",$L2259=""),"",ROUND(MAX(0,($L2259-$K2259)-IF($G2259="",0,$G2259))/60,2))</f>
        <v/>
      </c>
      <c r="I2259" s="8"/>
      <c r="J2259" s="8"/>
      <c r="K2259" s="17" t="str">
        <f aca="false">IF($E2259="","",IF($E2259&lt;1,ROUND($E2259*1440,0),INT($E2259/100)*60+MOD($E2259,100)))</f>
        <v/>
      </c>
      <c r="L2259" s="17" t="str">
        <f aca="false">IF($F2259="","",IF($F2259&lt;1,ROUND($F2259*1440,0),INT($F2259/100)*60+MOD($F2259,100)))</f>
        <v/>
      </c>
    </row>
    <row r="2260" customFormat="false" ht="15" hidden="false" customHeight="true" outlineLevel="0" collapsed="false">
      <c r="A2260" s="10"/>
      <c r="B2260" s="8"/>
      <c r="C2260" s="13" t="str">
        <f aca="false">IF($B2260="","",IFERROR(INDEX(직원목록!$B$3:$B$302,MATCH($B2260,직원목록!$A$3:$A$302,0)),"미등록사번"))</f>
        <v/>
      </c>
      <c r="D2260" s="13" t="str">
        <f aca="false">IF($B2260="","",IFERROR(INDEX(직원목록!$C$3:$C$302,MATCH($B2260,직원목록!$A$3:$A$302,0)),""))</f>
        <v/>
      </c>
      <c r="E2260" s="14"/>
      <c r="F2260" s="14"/>
      <c r="G2260" s="15"/>
      <c r="H2260" s="16" t="str">
        <f aca="false">IF(OR($K2260="",$L2260=""),"",ROUND(MAX(0,($L2260-$K2260)-IF($G2260="",0,$G2260))/60,2))</f>
        <v/>
      </c>
      <c r="I2260" s="8"/>
      <c r="J2260" s="8"/>
      <c r="K2260" s="17" t="str">
        <f aca="false">IF($E2260="","",IF($E2260&lt;1,ROUND($E2260*1440,0),INT($E2260/100)*60+MOD($E2260,100)))</f>
        <v/>
      </c>
      <c r="L2260" s="17" t="str">
        <f aca="false">IF($F2260="","",IF($F2260&lt;1,ROUND($F2260*1440,0),INT($F2260/100)*60+MOD($F2260,100)))</f>
        <v/>
      </c>
    </row>
    <row r="2261" customFormat="false" ht="15" hidden="false" customHeight="true" outlineLevel="0" collapsed="false">
      <c r="A2261" s="10"/>
      <c r="B2261" s="8"/>
      <c r="C2261" s="13" t="str">
        <f aca="false">IF($B2261="","",IFERROR(INDEX(직원목록!$B$3:$B$302,MATCH($B2261,직원목록!$A$3:$A$302,0)),"미등록사번"))</f>
        <v/>
      </c>
      <c r="D2261" s="13" t="str">
        <f aca="false">IF($B2261="","",IFERROR(INDEX(직원목록!$C$3:$C$302,MATCH($B2261,직원목록!$A$3:$A$302,0)),""))</f>
        <v/>
      </c>
      <c r="E2261" s="14"/>
      <c r="F2261" s="14"/>
      <c r="G2261" s="15"/>
      <c r="H2261" s="16" t="str">
        <f aca="false">IF(OR($K2261="",$L2261=""),"",ROUND(MAX(0,($L2261-$K2261)-IF($G2261="",0,$G2261))/60,2))</f>
        <v/>
      </c>
      <c r="I2261" s="8"/>
      <c r="J2261" s="8"/>
      <c r="K2261" s="17" t="str">
        <f aca="false">IF($E2261="","",IF($E2261&lt;1,ROUND($E2261*1440,0),INT($E2261/100)*60+MOD($E2261,100)))</f>
        <v/>
      </c>
      <c r="L2261" s="17" t="str">
        <f aca="false">IF($F2261="","",IF($F2261&lt;1,ROUND($F2261*1440,0),INT($F2261/100)*60+MOD($F2261,100)))</f>
        <v/>
      </c>
    </row>
    <row r="2262" customFormat="false" ht="15" hidden="false" customHeight="true" outlineLevel="0" collapsed="false">
      <c r="A2262" s="10"/>
      <c r="B2262" s="8"/>
      <c r="C2262" s="13" t="str">
        <f aca="false">IF($B2262="","",IFERROR(INDEX(직원목록!$B$3:$B$302,MATCH($B2262,직원목록!$A$3:$A$302,0)),"미등록사번"))</f>
        <v/>
      </c>
      <c r="D2262" s="13" t="str">
        <f aca="false">IF($B2262="","",IFERROR(INDEX(직원목록!$C$3:$C$302,MATCH($B2262,직원목록!$A$3:$A$302,0)),""))</f>
        <v/>
      </c>
      <c r="E2262" s="14"/>
      <c r="F2262" s="14"/>
      <c r="G2262" s="15"/>
      <c r="H2262" s="16" t="str">
        <f aca="false">IF(OR($K2262="",$L2262=""),"",ROUND(MAX(0,($L2262-$K2262)-IF($G2262="",0,$G2262))/60,2))</f>
        <v/>
      </c>
      <c r="I2262" s="8"/>
      <c r="J2262" s="8"/>
      <c r="K2262" s="17" t="str">
        <f aca="false">IF($E2262="","",IF($E2262&lt;1,ROUND($E2262*1440,0),INT($E2262/100)*60+MOD($E2262,100)))</f>
        <v/>
      </c>
      <c r="L2262" s="17" t="str">
        <f aca="false">IF($F2262="","",IF($F2262&lt;1,ROUND($F2262*1440,0),INT($F2262/100)*60+MOD($F2262,100)))</f>
        <v/>
      </c>
    </row>
    <row r="2263" customFormat="false" ht="15" hidden="false" customHeight="true" outlineLevel="0" collapsed="false">
      <c r="A2263" s="10"/>
      <c r="B2263" s="8"/>
      <c r="C2263" s="13" t="str">
        <f aca="false">IF($B2263="","",IFERROR(INDEX(직원목록!$B$3:$B$302,MATCH($B2263,직원목록!$A$3:$A$302,0)),"미등록사번"))</f>
        <v/>
      </c>
      <c r="D2263" s="13" t="str">
        <f aca="false">IF($B2263="","",IFERROR(INDEX(직원목록!$C$3:$C$302,MATCH($B2263,직원목록!$A$3:$A$302,0)),""))</f>
        <v/>
      </c>
      <c r="E2263" s="14"/>
      <c r="F2263" s="14"/>
      <c r="G2263" s="15"/>
      <c r="H2263" s="16" t="str">
        <f aca="false">IF(OR($K2263="",$L2263=""),"",ROUND(MAX(0,($L2263-$K2263)-IF($G2263="",0,$G2263))/60,2))</f>
        <v/>
      </c>
      <c r="I2263" s="8"/>
      <c r="J2263" s="8"/>
      <c r="K2263" s="17" t="str">
        <f aca="false">IF($E2263="","",IF($E2263&lt;1,ROUND($E2263*1440,0),INT($E2263/100)*60+MOD($E2263,100)))</f>
        <v/>
      </c>
      <c r="L2263" s="17" t="str">
        <f aca="false">IF($F2263="","",IF($F2263&lt;1,ROUND($F2263*1440,0),INT($F2263/100)*60+MOD($F2263,100)))</f>
        <v/>
      </c>
    </row>
    <row r="2264" customFormat="false" ht="15" hidden="false" customHeight="true" outlineLevel="0" collapsed="false">
      <c r="A2264" s="10"/>
      <c r="B2264" s="8"/>
      <c r="C2264" s="13" t="str">
        <f aca="false">IF($B2264="","",IFERROR(INDEX(직원목록!$B$3:$B$302,MATCH($B2264,직원목록!$A$3:$A$302,0)),"미등록사번"))</f>
        <v/>
      </c>
      <c r="D2264" s="13" t="str">
        <f aca="false">IF($B2264="","",IFERROR(INDEX(직원목록!$C$3:$C$302,MATCH($B2264,직원목록!$A$3:$A$302,0)),""))</f>
        <v/>
      </c>
      <c r="E2264" s="14"/>
      <c r="F2264" s="14"/>
      <c r="G2264" s="15"/>
      <c r="H2264" s="16" t="str">
        <f aca="false">IF(OR($K2264="",$L2264=""),"",ROUND(MAX(0,($L2264-$K2264)-IF($G2264="",0,$G2264))/60,2))</f>
        <v/>
      </c>
      <c r="I2264" s="8"/>
      <c r="J2264" s="8"/>
      <c r="K2264" s="17" t="str">
        <f aca="false">IF($E2264="","",IF($E2264&lt;1,ROUND($E2264*1440,0),INT($E2264/100)*60+MOD($E2264,100)))</f>
        <v/>
      </c>
      <c r="L2264" s="17" t="str">
        <f aca="false">IF($F2264="","",IF($F2264&lt;1,ROUND($F2264*1440,0),INT($F2264/100)*60+MOD($F2264,100)))</f>
        <v/>
      </c>
    </row>
    <row r="2265" customFormat="false" ht="15" hidden="false" customHeight="true" outlineLevel="0" collapsed="false">
      <c r="A2265" s="10"/>
      <c r="B2265" s="8"/>
      <c r="C2265" s="13" t="str">
        <f aca="false">IF($B2265="","",IFERROR(INDEX(직원목록!$B$3:$B$302,MATCH($B2265,직원목록!$A$3:$A$302,0)),"미등록사번"))</f>
        <v/>
      </c>
      <c r="D2265" s="13" t="str">
        <f aca="false">IF($B2265="","",IFERROR(INDEX(직원목록!$C$3:$C$302,MATCH($B2265,직원목록!$A$3:$A$302,0)),""))</f>
        <v/>
      </c>
      <c r="E2265" s="14"/>
      <c r="F2265" s="14"/>
      <c r="G2265" s="15"/>
      <c r="H2265" s="16" t="str">
        <f aca="false">IF(OR($K2265="",$L2265=""),"",ROUND(MAX(0,($L2265-$K2265)-IF($G2265="",0,$G2265))/60,2))</f>
        <v/>
      </c>
      <c r="I2265" s="8"/>
      <c r="J2265" s="8"/>
      <c r="K2265" s="17" t="str">
        <f aca="false">IF($E2265="","",IF($E2265&lt;1,ROUND($E2265*1440,0),INT($E2265/100)*60+MOD($E2265,100)))</f>
        <v/>
      </c>
      <c r="L2265" s="17" t="str">
        <f aca="false">IF($F2265="","",IF($F2265&lt;1,ROUND($F2265*1440,0),INT($F2265/100)*60+MOD($F2265,100)))</f>
        <v/>
      </c>
    </row>
    <row r="2266" customFormat="false" ht="15" hidden="false" customHeight="true" outlineLevel="0" collapsed="false">
      <c r="A2266" s="10"/>
      <c r="B2266" s="8"/>
      <c r="C2266" s="13" t="str">
        <f aca="false">IF($B2266="","",IFERROR(INDEX(직원목록!$B$3:$B$302,MATCH($B2266,직원목록!$A$3:$A$302,0)),"미등록사번"))</f>
        <v/>
      </c>
      <c r="D2266" s="13" t="str">
        <f aca="false">IF($B2266="","",IFERROR(INDEX(직원목록!$C$3:$C$302,MATCH($B2266,직원목록!$A$3:$A$302,0)),""))</f>
        <v/>
      </c>
      <c r="E2266" s="14"/>
      <c r="F2266" s="14"/>
      <c r="G2266" s="15"/>
      <c r="H2266" s="16" t="str">
        <f aca="false">IF(OR($K2266="",$L2266=""),"",ROUND(MAX(0,($L2266-$K2266)-IF($G2266="",0,$G2266))/60,2))</f>
        <v/>
      </c>
      <c r="I2266" s="8"/>
      <c r="J2266" s="8"/>
      <c r="K2266" s="17" t="str">
        <f aca="false">IF($E2266="","",IF($E2266&lt;1,ROUND($E2266*1440,0),INT($E2266/100)*60+MOD($E2266,100)))</f>
        <v/>
      </c>
      <c r="L2266" s="17" t="str">
        <f aca="false">IF($F2266="","",IF($F2266&lt;1,ROUND($F2266*1440,0),INT($F2266/100)*60+MOD($F2266,100)))</f>
        <v/>
      </c>
    </row>
    <row r="2267" customFormat="false" ht="15" hidden="false" customHeight="true" outlineLevel="0" collapsed="false">
      <c r="A2267" s="10"/>
      <c r="B2267" s="8"/>
      <c r="C2267" s="13" t="str">
        <f aca="false">IF($B2267="","",IFERROR(INDEX(직원목록!$B$3:$B$302,MATCH($B2267,직원목록!$A$3:$A$302,0)),"미등록사번"))</f>
        <v/>
      </c>
      <c r="D2267" s="13" t="str">
        <f aca="false">IF($B2267="","",IFERROR(INDEX(직원목록!$C$3:$C$302,MATCH($B2267,직원목록!$A$3:$A$302,0)),""))</f>
        <v/>
      </c>
      <c r="E2267" s="14"/>
      <c r="F2267" s="14"/>
      <c r="G2267" s="15"/>
      <c r="H2267" s="16" t="str">
        <f aca="false">IF(OR($K2267="",$L2267=""),"",ROUND(MAX(0,($L2267-$K2267)-IF($G2267="",0,$G2267))/60,2))</f>
        <v/>
      </c>
      <c r="I2267" s="8"/>
      <c r="J2267" s="8"/>
      <c r="K2267" s="17" t="str">
        <f aca="false">IF($E2267="","",IF($E2267&lt;1,ROUND($E2267*1440,0),INT($E2267/100)*60+MOD($E2267,100)))</f>
        <v/>
      </c>
      <c r="L2267" s="17" t="str">
        <f aca="false">IF($F2267="","",IF($F2267&lt;1,ROUND($F2267*1440,0),INT($F2267/100)*60+MOD($F2267,100)))</f>
        <v/>
      </c>
    </row>
    <row r="2268" customFormat="false" ht="15" hidden="false" customHeight="true" outlineLevel="0" collapsed="false">
      <c r="A2268" s="10"/>
      <c r="B2268" s="8"/>
      <c r="C2268" s="13" t="str">
        <f aca="false">IF($B2268="","",IFERROR(INDEX(직원목록!$B$3:$B$302,MATCH($B2268,직원목록!$A$3:$A$302,0)),"미등록사번"))</f>
        <v/>
      </c>
      <c r="D2268" s="13" t="str">
        <f aca="false">IF($B2268="","",IFERROR(INDEX(직원목록!$C$3:$C$302,MATCH($B2268,직원목록!$A$3:$A$302,0)),""))</f>
        <v/>
      </c>
      <c r="E2268" s="14"/>
      <c r="F2268" s="14"/>
      <c r="G2268" s="15"/>
      <c r="H2268" s="16" t="str">
        <f aca="false">IF(OR($K2268="",$L2268=""),"",ROUND(MAX(0,($L2268-$K2268)-IF($G2268="",0,$G2268))/60,2))</f>
        <v/>
      </c>
      <c r="I2268" s="8"/>
      <c r="J2268" s="8"/>
      <c r="K2268" s="17" t="str">
        <f aca="false">IF($E2268="","",IF($E2268&lt;1,ROUND($E2268*1440,0),INT($E2268/100)*60+MOD($E2268,100)))</f>
        <v/>
      </c>
      <c r="L2268" s="17" t="str">
        <f aca="false">IF($F2268="","",IF($F2268&lt;1,ROUND($F2268*1440,0),INT($F2268/100)*60+MOD($F2268,100)))</f>
        <v/>
      </c>
    </row>
    <row r="2269" customFormat="false" ht="15" hidden="false" customHeight="true" outlineLevel="0" collapsed="false">
      <c r="A2269" s="10"/>
      <c r="B2269" s="8"/>
      <c r="C2269" s="13" t="str">
        <f aca="false">IF($B2269="","",IFERROR(INDEX(직원목록!$B$3:$B$302,MATCH($B2269,직원목록!$A$3:$A$302,0)),"미등록사번"))</f>
        <v/>
      </c>
      <c r="D2269" s="13" t="str">
        <f aca="false">IF($B2269="","",IFERROR(INDEX(직원목록!$C$3:$C$302,MATCH($B2269,직원목록!$A$3:$A$302,0)),""))</f>
        <v/>
      </c>
      <c r="E2269" s="14"/>
      <c r="F2269" s="14"/>
      <c r="G2269" s="15"/>
      <c r="H2269" s="16" t="str">
        <f aca="false">IF(OR($K2269="",$L2269=""),"",ROUND(MAX(0,($L2269-$K2269)-IF($G2269="",0,$G2269))/60,2))</f>
        <v/>
      </c>
      <c r="I2269" s="8"/>
      <c r="J2269" s="8"/>
      <c r="K2269" s="17" t="str">
        <f aca="false">IF($E2269="","",IF($E2269&lt;1,ROUND($E2269*1440,0),INT($E2269/100)*60+MOD($E2269,100)))</f>
        <v/>
      </c>
      <c r="L2269" s="17" t="str">
        <f aca="false">IF($F2269="","",IF($F2269&lt;1,ROUND($F2269*1440,0),INT($F2269/100)*60+MOD($F2269,100)))</f>
        <v/>
      </c>
    </row>
    <row r="2270" customFormat="false" ht="15" hidden="false" customHeight="true" outlineLevel="0" collapsed="false">
      <c r="A2270" s="10"/>
      <c r="B2270" s="8"/>
      <c r="C2270" s="13" t="str">
        <f aca="false">IF($B2270="","",IFERROR(INDEX(직원목록!$B$3:$B$302,MATCH($B2270,직원목록!$A$3:$A$302,0)),"미등록사번"))</f>
        <v/>
      </c>
      <c r="D2270" s="13" t="str">
        <f aca="false">IF($B2270="","",IFERROR(INDEX(직원목록!$C$3:$C$302,MATCH($B2270,직원목록!$A$3:$A$302,0)),""))</f>
        <v/>
      </c>
      <c r="E2270" s="14"/>
      <c r="F2270" s="14"/>
      <c r="G2270" s="15"/>
      <c r="H2270" s="16" t="str">
        <f aca="false">IF(OR($K2270="",$L2270=""),"",ROUND(MAX(0,($L2270-$K2270)-IF($G2270="",0,$G2270))/60,2))</f>
        <v/>
      </c>
      <c r="I2270" s="8"/>
      <c r="J2270" s="8"/>
      <c r="K2270" s="17" t="str">
        <f aca="false">IF($E2270="","",IF($E2270&lt;1,ROUND($E2270*1440,0),INT($E2270/100)*60+MOD($E2270,100)))</f>
        <v/>
      </c>
      <c r="L2270" s="17" t="str">
        <f aca="false">IF($F2270="","",IF($F2270&lt;1,ROUND($F2270*1440,0),INT($F2270/100)*60+MOD($F2270,100)))</f>
        <v/>
      </c>
    </row>
    <row r="2271" customFormat="false" ht="15" hidden="false" customHeight="true" outlineLevel="0" collapsed="false">
      <c r="A2271" s="10"/>
      <c r="B2271" s="8"/>
      <c r="C2271" s="13" t="str">
        <f aca="false">IF($B2271="","",IFERROR(INDEX(직원목록!$B$3:$B$302,MATCH($B2271,직원목록!$A$3:$A$302,0)),"미등록사번"))</f>
        <v/>
      </c>
      <c r="D2271" s="13" t="str">
        <f aca="false">IF($B2271="","",IFERROR(INDEX(직원목록!$C$3:$C$302,MATCH($B2271,직원목록!$A$3:$A$302,0)),""))</f>
        <v/>
      </c>
      <c r="E2271" s="14"/>
      <c r="F2271" s="14"/>
      <c r="G2271" s="15"/>
      <c r="H2271" s="16" t="str">
        <f aca="false">IF(OR($K2271="",$L2271=""),"",ROUND(MAX(0,($L2271-$K2271)-IF($G2271="",0,$G2271))/60,2))</f>
        <v/>
      </c>
      <c r="I2271" s="8"/>
      <c r="J2271" s="8"/>
      <c r="K2271" s="17" t="str">
        <f aca="false">IF($E2271="","",IF($E2271&lt;1,ROUND($E2271*1440,0),INT($E2271/100)*60+MOD($E2271,100)))</f>
        <v/>
      </c>
      <c r="L2271" s="17" t="str">
        <f aca="false">IF($F2271="","",IF($F2271&lt;1,ROUND($F2271*1440,0),INT($F2271/100)*60+MOD($F2271,100)))</f>
        <v/>
      </c>
    </row>
    <row r="2272" customFormat="false" ht="15" hidden="false" customHeight="true" outlineLevel="0" collapsed="false">
      <c r="A2272" s="10"/>
      <c r="B2272" s="8"/>
      <c r="C2272" s="13" t="str">
        <f aca="false">IF($B2272="","",IFERROR(INDEX(직원목록!$B$3:$B$302,MATCH($B2272,직원목록!$A$3:$A$302,0)),"미등록사번"))</f>
        <v/>
      </c>
      <c r="D2272" s="13" t="str">
        <f aca="false">IF($B2272="","",IFERROR(INDEX(직원목록!$C$3:$C$302,MATCH($B2272,직원목록!$A$3:$A$302,0)),""))</f>
        <v/>
      </c>
      <c r="E2272" s="14"/>
      <c r="F2272" s="14"/>
      <c r="G2272" s="15"/>
      <c r="H2272" s="16" t="str">
        <f aca="false">IF(OR($K2272="",$L2272=""),"",ROUND(MAX(0,($L2272-$K2272)-IF($G2272="",0,$G2272))/60,2))</f>
        <v/>
      </c>
      <c r="I2272" s="8"/>
      <c r="J2272" s="8"/>
      <c r="K2272" s="17" t="str">
        <f aca="false">IF($E2272="","",IF($E2272&lt;1,ROUND($E2272*1440,0),INT($E2272/100)*60+MOD($E2272,100)))</f>
        <v/>
      </c>
      <c r="L2272" s="17" t="str">
        <f aca="false">IF($F2272="","",IF($F2272&lt;1,ROUND($F2272*1440,0),INT($F2272/100)*60+MOD($F2272,100)))</f>
        <v/>
      </c>
    </row>
    <row r="2273" customFormat="false" ht="15" hidden="false" customHeight="true" outlineLevel="0" collapsed="false">
      <c r="A2273" s="10"/>
      <c r="B2273" s="8"/>
      <c r="C2273" s="13" t="str">
        <f aca="false">IF($B2273="","",IFERROR(INDEX(직원목록!$B$3:$B$302,MATCH($B2273,직원목록!$A$3:$A$302,0)),"미등록사번"))</f>
        <v/>
      </c>
      <c r="D2273" s="13" t="str">
        <f aca="false">IF($B2273="","",IFERROR(INDEX(직원목록!$C$3:$C$302,MATCH($B2273,직원목록!$A$3:$A$302,0)),""))</f>
        <v/>
      </c>
      <c r="E2273" s="14"/>
      <c r="F2273" s="14"/>
      <c r="G2273" s="15"/>
      <c r="H2273" s="16" t="str">
        <f aca="false">IF(OR($K2273="",$L2273=""),"",ROUND(MAX(0,($L2273-$K2273)-IF($G2273="",0,$G2273))/60,2))</f>
        <v/>
      </c>
      <c r="I2273" s="8"/>
      <c r="J2273" s="8"/>
      <c r="K2273" s="17" t="str">
        <f aca="false">IF($E2273="","",IF($E2273&lt;1,ROUND($E2273*1440,0),INT($E2273/100)*60+MOD($E2273,100)))</f>
        <v/>
      </c>
      <c r="L2273" s="17" t="str">
        <f aca="false">IF($F2273="","",IF($F2273&lt;1,ROUND($F2273*1440,0),INT($F2273/100)*60+MOD($F2273,100)))</f>
        <v/>
      </c>
    </row>
    <row r="2274" customFormat="false" ht="15" hidden="false" customHeight="true" outlineLevel="0" collapsed="false">
      <c r="A2274" s="10"/>
      <c r="B2274" s="8"/>
      <c r="C2274" s="13" t="str">
        <f aca="false">IF($B2274="","",IFERROR(INDEX(직원목록!$B$3:$B$302,MATCH($B2274,직원목록!$A$3:$A$302,0)),"미등록사번"))</f>
        <v/>
      </c>
      <c r="D2274" s="13" t="str">
        <f aca="false">IF($B2274="","",IFERROR(INDEX(직원목록!$C$3:$C$302,MATCH($B2274,직원목록!$A$3:$A$302,0)),""))</f>
        <v/>
      </c>
      <c r="E2274" s="14"/>
      <c r="F2274" s="14"/>
      <c r="G2274" s="15"/>
      <c r="H2274" s="16" t="str">
        <f aca="false">IF(OR($K2274="",$L2274=""),"",ROUND(MAX(0,($L2274-$K2274)-IF($G2274="",0,$G2274))/60,2))</f>
        <v/>
      </c>
      <c r="I2274" s="8"/>
      <c r="J2274" s="8"/>
      <c r="K2274" s="17" t="str">
        <f aca="false">IF($E2274="","",IF($E2274&lt;1,ROUND($E2274*1440,0),INT($E2274/100)*60+MOD($E2274,100)))</f>
        <v/>
      </c>
      <c r="L2274" s="17" t="str">
        <f aca="false">IF($F2274="","",IF($F2274&lt;1,ROUND($F2274*1440,0),INT($F2274/100)*60+MOD($F2274,100)))</f>
        <v/>
      </c>
    </row>
    <row r="2275" customFormat="false" ht="15" hidden="false" customHeight="true" outlineLevel="0" collapsed="false">
      <c r="A2275" s="10"/>
      <c r="B2275" s="8"/>
      <c r="C2275" s="13" t="str">
        <f aca="false">IF($B2275="","",IFERROR(INDEX(직원목록!$B$3:$B$302,MATCH($B2275,직원목록!$A$3:$A$302,0)),"미등록사번"))</f>
        <v/>
      </c>
      <c r="D2275" s="13" t="str">
        <f aca="false">IF($B2275="","",IFERROR(INDEX(직원목록!$C$3:$C$302,MATCH($B2275,직원목록!$A$3:$A$302,0)),""))</f>
        <v/>
      </c>
      <c r="E2275" s="14"/>
      <c r="F2275" s="14"/>
      <c r="G2275" s="15"/>
      <c r="H2275" s="16" t="str">
        <f aca="false">IF(OR($K2275="",$L2275=""),"",ROUND(MAX(0,($L2275-$K2275)-IF($G2275="",0,$G2275))/60,2))</f>
        <v/>
      </c>
      <c r="I2275" s="8"/>
      <c r="J2275" s="8"/>
      <c r="K2275" s="17" t="str">
        <f aca="false">IF($E2275="","",IF($E2275&lt;1,ROUND($E2275*1440,0),INT($E2275/100)*60+MOD($E2275,100)))</f>
        <v/>
      </c>
      <c r="L2275" s="17" t="str">
        <f aca="false">IF($F2275="","",IF($F2275&lt;1,ROUND($F2275*1440,0),INT($F2275/100)*60+MOD($F2275,100)))</f>
        <v/>
      </c>
    </row>
    <row r="2276" customFormat="false" ht="15" hidden="false" customHeight="true" outlineLevel="0" collapsed="false">
      <c r="A2276" s="10"/>
      <c r="B2276" s="8"/>
      <c r="C2276" s="13" t="str">
        <f aca="false">IF($B2276="","",IFERROR(INDEX(직원목록!$B$3:$B$302,MATCH($B2276,직원목록!$A$3:$A$302,0)),"미등록사번"))</f>
        <v/>
      </c>
      <c r="D2276" s="13" t="str">
        <f aca="false">IF($B2276="","",IFERROR(INDEX(직원목록!$C$3:$C$302,MATCH($B2276,직원목록!$A$3:$A$302,0)),""))</f>
        <v/>
      </c>
      <c r="E2276" s="14"/>
      <c r="F2276" s="14"/>
      <c r="G2276" s="15"/>
      <c r="H2276" s="16" t="str">
        <f aca="false">IF(OR($K2276="",$L2276=""),"",ROUND(MAX(0,($L2276-$K2276)-IF($G2276="",0,$G2276))/60,2))</f>
        <v/>
      </c>
      <c r="I2276" s="8"/>
      <c r="J2276" s="8"/>
      <c r="K2276" s="17" t="str">
        <f aca="false">IF($E2276="","",IF($E2276&lt;1,ROUND($E2276*1440,0),INT($E2276/100)*60+MOD($E2276,100)))</f>
        <v/>
      </c>
      <c r="L2276" s="17" t="str">
        <f aca="false">IF($F2276="","",IF($F2276&lt;1,ROUND($F2276*1440,0),INT($F2276/100)*60+MOD($F2276,100)))</f>
        <v/>
      </c>
    </row>
    <row r="2277" customFormat="false" ht="15" hidden="false" customHeight="true" outlineLevel="0" collapsed="false">
      <c r="A2277" s="10"/>
      <c r="B2277" s="8"/>
      <c r="C2277" s="13" t="str">
        <f aca="false">IF($B2277="","",IFERROR(INDEX(직원목록!$B$3:$B$302,MATCH($B2277,직원목록!$A$3:$A$302,0)),"미등록사번"))</f>
        <v/>
      </c>
      <c r="D2277" s="13" t="str">
        <f aca="false">IF($B2277="","",IFERROR(INDEX(직원목록!$C$3:$C$302,MATCH($B2277,직원목록!$A$3:$A$302,0)),""))</f>
        <v/>
      </c>
      <c r="E2277" s="14"/>
      <c r="F2277" s="14"/>
      <c r="G2277" s="15"/>
      <c r="H2277" s="16" t="str">
        <f aca="false">IF(OR($K2277="",$L2277=""),"",ROUND(MAX(0,($L2277-$K2277)-IF($G2277="",0,$G2277))/60,2))</f>
        <v/>
      </c>
      <c r="I2277" s="8"/>
      <c r="J2277" s="8"/>
      <c r="K2277" s="17" t="str">
        <f aca="false">IF($E2277="","",IF($E2277&lt;1,ROUND($E2277*1440,0),INT($E2277/100)*60+MOD($E2277,100)))</f>
        <v/>
      </c>
      <c r="L2277" s="17" t="str">
        <f aca="false">IF($F2277="","",IF($F2277&lt;1,ROUND($F2277*1440,0),INT($F2277/100)*60+MOD($F2277,100)))</f>
        <v/>
      </c>
    </row>
    <row r="2278" customFormat="false" ht="15" hidden="false" customHeight="true" outlineLevel="0" collapsed="false">
      <c r="A2278" s="10"/>
      <c r="B2278" s="8"/>
      <c r="C2278" s="13" t="str">
        <f aca="false">IF($B2278="","",IFERROR(INDEX(직원목록!$B$3:$B$302,MATCH($B2278,직원목록!$A$3:$A$302,0)),"미등록사번"))</f>
        <v/>
      </c>
      <c r="D2278" s="13" t="str">
        <f aca="false">IF($B2278="","",IFERROR(INDEX(직원목록!$C$3:$C$302,MATCH($B2278,직원목록!$A$3:$A$302,0)),""))</f>
        <v/>
      </c>
      <c r="E2278" s="14"/>
      <c r="F2278" s="14"/>
      <c r="G2278" s="15"/>
      <c r="H2278" s="16" t="str">
        <f aca="false">IF(OR($K2278="",$L2278=""),"",ROUND(MAX(0,($L2278-$K2278)-IF($G2278="",0,$G2278))/60,2))</f>
        <v/>
      </c>
      <c r="I2278" s="8"/>
      <c r="J2278" s="8"/>
      <c r="K2278" s="17" t="str">
        <f aca="false">IF($E2278="","",IF($E2278&lt;1,ROUND($E2278*1440,0),INT($E2278/100)*60+MOD($E2278,100)))</f>
        <v/>
      </c>
      <c r="L2278" s="17" t="str">
        <f aca="false">IF($F2278="","",IF($F2278&lt;1,ROUND($F2278*1440,0),INT($F2278/100)*60+MOD($F2278,100)))</f>
        <v/>
      </c>
    </row>
    <row r="2279" customFormat="false" ht="15" hidden="false" customHeight="true" outlineLevel="0" collapsed="false">
      <c r="A2279" s="10"/>
      <c r="B2279" s="8"/>
      <c r="C2279" s="13" t="str">
        <f aca="false">IF($B2279="","",IFERROR(INDEX(직원목록!$B$3:$B$302,MATCH($B2279,직원목록!$A$3:$A$302,0)),"미등록사번"))</f>
        <v/>
      </c>
      <c r="D2279" s="13" t="str">
        <f aca="false">IF($B2279="","",IFERROR(INDEX(직원목록!$C$3:$C$302,MATCH($B2279,직원목록!$A$3:$A$302,0)),""))</f>
        <v/>
      </c>
      <c r="E2279" s="14"/>
      <c r="F2279" s="14"/>
      <c r="G2279" s="15"/>
      <c r="H2279" s="16" t="str">
        <f aca="false">IF(OR($K2279="",$L2279=""),"",ROUND(MAX(0,($L2279-$K2279)-IF($G2279="",0,$G2279))/60,2))</f>
        <v/>
      </c>
      <c r="I2279" s="8"/>
      <c r="J2279" s="8"/>
      <c r="K2279" s="17" t="str">
        <f aca="false">IF($E2279="","",IF($E2279&lt;1,ROUND($E2279*1440,0),INT($E2279/100)*60+MOD($E2279,100)))</f>
        <v/>
      </c>
      <c r="L2279" s="17" t="str">
        <f aca="false">IF($F2279="","",IF($F2279&lt;1,ROUND($F2279*1440,0),INT($F2279/100)*60+MOD($F2279,100)))</f>
        <v/>
      </c>
    </row>
    <row r="2280" customFormat="false" ht="15" hidden="false" customHeight="true" outlineLevel="0" collapsed="false">
      <c r="A2280" s="10"/>
      <c r="B2280" s="8"/>
      <c r="C2280" s="13" t="str">
        <f aca="false">IF($B2280="","",IFERROR(INDEX(직원목록!$B$3:$B$302,MATCH($B2280,직원목록!$A$3:$A$302,0)),"미등록사번"))</f>
        <v/>
      </c>
      <c r="D2280" s="13" t="str">
        <f aca="false">IF($B2280="","",IFERROR(INDEX(직원목록!$C$3:$C$302,MATCH($B2280,직원목록!$A$3:$A$302,0)),""))</f>
        <v/>
      </c>
      <c r="E2280" s="14"/>
      <c r="F2280" s="14"/>
      <c r="G2280" s="15"/>
      <c r="H2280" s="16" t="str">
        <f aca="false">IF(OR($K2280="",$L2280=""),"",ROUND(MAX(0,($L2280-$K2280)-IF($G2280="",0,$G2280))/60,2))</f>
        <v/>
      </c>
      <c r="I2280" s="8"/>
      <c r="J2280" s="8"/>
      <c r="K2280" s="17" t="str">
        <f aca="false">IF($E2280="","",IF($E2280&lt;1,ROUND($E2280*1440,0),INT($E2280/100)*60+MOD($E2280,100)))</f>
        <v/>
      </c>
      <c r="L2280" s="17" t="str">
        <f aca="false">IF($F2280="","",IF($F2280&lt;1,ROUND($F2280*1440,0),INT($F2280/100)*60+MOD($F2280,100)))</f>
        <v/>
      </c>
    </row>
    <row r="2281" customFormat="false" ht="15" hidden="false" customHeight="true" outlineLevel="0" collapsed="false">
      <c r="A2281" s="10"/>
      <c r="B2281" s="8"/>
      <c r="C2281" s="13" t="str">
        <f aca="false">IF($B2281="","",IFERROR(INDEX(직원목록!$B$3:$B$302,MATCH($B2281,직원목록!$A$3:$A$302,0)),"미등록사번"))</f>
        <v/>
      </c>
      <c r="D2281" s="13" t="str">
        <f aca="false">IF($B2281="","",IFERROR(INDEX(직원목록!$C$3:$C$302,MATCH($B2281,직원목록!$A$3:$A$302,0)),""))</f>
        <v/>
      </c>
      <c r="E2281" s="14"/>
      <c r="F2281" s="14"/>
      <c r="G2281" s="15"/>
      <c r="H2281" s="16" t="str">
        <f aca="false">IF(OR($K2281="",$L2281=""),"",ROUND(MAX(0,($L2281-$K2281)-IF($G2281="",0,$G2281))/60,2))</f>
        <v/>
      </c>
      <c r="I2281" s="8"/>
      <c r="J2281" s="8"/>
      <c r="K2281" s="17" t="str">
        <f aca="false">IF($E2281="","",IF($E2281&lt;1,ROUND($E2281*1440,0),INT($E2281/100)*60+MOD($E2281,100)))</f>
        <v/>
      </c>
      <c r="L2281" s="17" t="str">
        <f aca="false">IF($F2281="","",IF($F2281&lt;1,ROUND($F2281*1440,0),INT($F2281/100)*60+MOD($F2281,100)))</f>
        <v/>
      </c>
    </row>
    <row r="2282" customFormat="false" ht="15" hidden="false" customHeight="true" outlineLevel="0" collapsed="false">
      <c r="A2282" s="10"/>
      <c r="B2282" s="8"/>
      <c r="C2282" s="13" t="str">
        <f aca="false">IF($B2282="","",IFERROR(INDEX(직원목록!$B$3:$B$302,MATCH($B2282,직원목록!$A$3:$A$302,0)),"미등록사번"))</f>
        <v/>
      </c>
      <c r="D2282" s="13" t="str">
        <f aca="false">IF($B2282="","",IFERROR(INDEX(직원목록!$C$3:$C$302,MATCH($B2282,직원목록!$A$3:$A$302,0)),""))</f>
        <v/>
      </c>
      <c r="E2282" s="14"/>
      <c r="F2282" s="14"/>
      <c r="G2282" s="15"/>
      <c r="H2282" s="16" t="str">
        <f aca="false">IF(OR($K2282="",$L2282=""),"",ROUND(MAX(0,($L2282-$K2282)-IF($G2282="",0,$G2282))/60,2))</f>
        <v/>
      </c>
      <c r="I2282" s="8"/>
      <c r="J2282" s="8"/>
      <c r="K2282" s="17" t="str">
        <f aca="false">IF($E2282="","",IF($E2282&lt;1,ROUND($E2282*1440,0),INT($E2282/100)*60+MOD($E2282,100)))</f>
        <v/>
      </c>
      <c r="L2282" s="17" t="str">
        <f aca="false">IF($F2282="","",IF($F2282&lt;1,ROUND($F2282*1440,0),INT($F2282/100)*60+MOD($F2282,100)))</f>
        <v/>
      </c>
    </row>
    <row r="2283" customFormat="false" ht="15" hidden="false" customHeight="true" outlineLevel="0" collapsed="false">
      <c r="A2283" s="10"/>
      <c r="B2283" s="8"/>
      <c r="C2283" s="13" t="str">
        <f aca="false">IF($B2283="","",IFERROR(INDEX(직원목록!$B$3:$B$302,MATCH($B2283,직원목록!$A$3:$A$302,0)),"미등록사번"))</f>
        <v/>
      </c>
      <c r="D2283" s="13" t="str">
        <f aca="false">IF($B2283="","",IFERROR(INDEX(직원목록!$C$3:$C$302,MATCH($B2283,직원목록!$A$3:$A$302,0)),""))</f>
        <v/>
      </c>
      <c r="E2283" s="14"/>
      <c r="F2283" s="14"/>
      <c r="G2283" s="15"/>
      <c r="H2283" s="16" t="str">
        <f aca="false">IF(OR($K2283="",$L2283=""),"",ROUND(MAX(0,($L2283-$K2283)-IF($G2283="",0,$G2283))/60,2))</f>
        <v/>
      </c>
      <c r="I2283" s="8"/>
      <c r="J2283" s="8"/>
      <c r="K2283" s="17" t="str">
        <f aca="false">IF($E2283="","",IF($E2283&lt;1,ROUND($E2283*1440,0),INT($E2283/100)*60+MOD($E2283,100)))</f>
        <v/>
      </c>
      <c r="L2283" s="17" t="str">
        <f aca="false">IF($F2283="","",IF($F2283&lt;1,ROUND($F2283*1440,0),INT($F2283/100)*60+MOD($F2283,100)))</f>
        <v/>
      </c>
    </row>
    <row r="2284" customFormat="false" ht="15" hidden="false" customHeight="true" outlineLevel="0" collapsed="false">
      <c r="A2284" s="10"/>
      <c r="B2284" s="8"/>
      <c r="C2284" s="13" t="str">
        <f aca="false">IF($B2284="","",IFERROR(INDEX(직원목록!$B$3:$B$302,MATCH($B2284,직원목록!$A$3:$A$302,0)),"미등록사번"))</f>
        <v/>
      </c>
      <c r="D2284" s="13" t="str">
        <f aca="false">IF($B2284="","",IFERROR(INDEX(직원목록!$C$3:$C$302,MATCH($B2284,직원목록!$A$3:$A$302,0)),""))</f>
        <v/>
      </c>
      <c r="E2284" s="14"/>
      <c r="F2284" s="14"/>
      <c r="G2284" s="15"/>
      <c r="H2284" s="16" t="str">
        <f aca="false">IF(OR($K2284="",$L2284=""),"",ROUND(MAX(0,($L2284-$K2284)-IF($G2284="",0,$G2284))/60,2))</f>
        <v/>
      </c>
      <c r="I2284" s="8"/>
      <c r="J2284" s="8"/>
      <c r="K2284" s="17" t="str">
        <f aca="false">IF($E2284="","",IF($E2284&lt;1,ROUND($E2284*1440,0),INT($E2284/100)*60+MOD($E2284,100)))</f>
        <v/>
      </c>
      <c r="L2284" s="17" t="str">
        <f aca="false">IF($F2284="","",IF($F2284&lt;1,ROUND($F2284*1440,0),INT($F2284/100)*60+MOD($F2284,100)))</f>
        <v/>
      </c>
    </row>
    <row r="2285" customFormat="false" ht="15" hidden="false" customHeight="true" outlineLevel="0" collapsed="false">
      <c r="A2285" s="10"/>
      <c r="B2285" s="8"/>
      <c r="C2285" s="13" t="str">
        <f aca="false">IF($B2285="","",IFERROR(INDEX(직원목록!$B$3:$B$302,MATCH($B2285,직원목록!$A$3:$A$302,0)),"미등록사번"))</f>
        <v/>
      </c>
      <c r="D2285" s="13" t="str">
        <f aca="false">IF($B2285="","",IFERROR(INDEX(직원목록!$C$3:$C$302,MATCH($B2285,직원목록!$A$3:$A$302,0)),""))</f>
        <v/>
      </c>
      <c r="E2285" s="14"/>
      <c r="F2285" s="14"/>
      <c r="G2285" s="15"/>
      <c r="H2285" s="16" t="str">
        <f aca="false">IF(OR($K2285="",$L2285=""),"",ROUND(MAX(0,($L2285-$K2285)-IF($G2285="",0,$G2285))/60,2))</f>
        <v/>
      </c>
      <c r="I2285" s="8"/>
      <c r="J2285" s="8"/>
      <c r="K2285" s="17" t="str">
        <f aca="false">IF($E2285="","",IF($E2285&lt;1,ROUND($E2285*1440,0),INT($E2285/100)*60+MOD($E2285,100)))</f>
        <v/>
      </c>
      <c r="L2285" s="17" t="str">
        <f aca="false">IF($F2285="","",IF($F2285&lt;1,ROUND($F2285*1440,0),INT($F2285/100)*60+MOD($F2285,100)))</f>
        <v/>
      </c>
    </row>
    <row r="2286" customFormat="false" ht="15" hidden="false" customHeight="true" outlineLevel="0" collapsed="false">
      <c r="A2286" s="10"/>
      <c r="B2286" s="8"/>
      <c r="C2286" s="13" t="str">
        <f aca="false">IF($B2286="","",IFERROR(INDEX(직원목록!$B$3:$B$302,MATCH($B2286,직원목록!$A$3:$A$302,0)),"미등록사번"))</f>
        <v/>
      </c>
      <c r="D2286" s="13" t="str">
        <f aca="false">IF($B2286="","",IFERROR(INDEX(직원목록!$C$3:$C$302,MATCH($B2286,직원목록!$A$3:$A$302,0)),""))</f>
        <v/>
      </c>
      <c r="E2286" s="14"/>
      <c r="F2286" s="14"/>
      <c r="G2286" s="15"/>
      <c r="H2286" s="16" t="str">
        <f aca="false">IF(OR($K2286="",$L2286=""),"",ROUND(MAX(0,($L2286-$K2286)-IF($G2286="",0,$G2286))/60,2))</f>
        <v/>
      </c>
      <c r="I2286" s="8"/>
      <c r="J2286" s="8"/>
      <c r="K2286" s="17" t="str">
        <f aca="false">IF($E2286="","",IF($E2286&lt;1,ROUND($E2286*1440,0),INT($E2286/100)*60+MOD($E2286,100)))</f>
        <v/>
      </c>
      <c r="L2286" s="17" t="str">
        <f aca="false">IF($F2286="","",IF($F2286&lt;1,ROUND($F2286*1440,0),INT($F2286/100)*60+MOD($F2286,100)))</f>
        <v/>
      </c>
    </row>
    <row r="2287" customFormat="false" ht="15" hidden="false" customHeight="true" outlineLevel="0" collapsed="false">
      <c r="A2287" s="10"/>
      <c r="B2287" s="8"/>
      <c r="C2287" s="13" t="str">
        <f aca="false">IF($B2287="","",IFERROR(INDEX(직원목록!$B$3:$B$302,MATCH($B2287,직원목록!$A$3:$A$302,0)),"미등록사번"))</f>
        <v/>
      </c>
      <c r="D2287" s="13" t="str">
        <f aca="false">IF($B2287="","",IFERROR(INDEX(직원목록!$C$3:$C$302,MATCH($B2287,직원목록!$A$3:$A$302,0)),""))</f>
        <v/>
      </c>
      <c r="E2287" s="14"/>
      <c r="F2287" s="14"/>
      <c r="G2287" s="15"/>
      <c r="H2287" s="16" t="str">
        <f aca="false">IF(OR($K2287="",$L2287=""),"",ROUND(MAX(0,($L2287-$K2287)-IF($G2287="",0,$G2287))/60,2))</f>
        <v/>
      </c>
      <c r="I2287" s="8"/>
      <c r="J2287" s="8"/>
      <c r="K2287" s="17" t="str">
        <f aca="false">IF($E2287="","",IF($E2287&lt;1,ROUND($E2287*1440,0),INT($E2287/100)*60+MOD($E2287,100)))</f>
        <v/>
      </c>
      <c r="L2287" s="17" t="str">
        <f aca="false">IF($F2287="","",IF($F2287&lt;1,ROUND($F2287*1440,0),INT($F2287/100)*60+MOD($F2287,100)))</f>
        <v/>
      </c>
    </row>
    <row r="2288" customFormat="false" ht="15" hidden="false" customHeight="true" outlineLevel="0" collapsed="false">
      <c r="A2288" s="10"/>
      <c r="B2288" s="8"/>
      <c r="C2288" s="13" t="str">
        <f aca="false">IF($B2288="","",IFERROR(INDEX(직원목록!$B$3:$B$302,MATCH($B2288,직원목록!$A$3:$A$302,0)),"미등록사번"))</f>
        <v/>
      </c>
      <c r="D2288" s="13" t="str">
        <f aca="false">IF($B2288="","",IFERROR(INDEX(직원목록!$C$3:$C$302,MATCH($B2288,직원목록!$A$3:$A$302,0)),""))</f>
        <v/>
      </c>
      <c r="E2288" s="14"/>
      <c r="F2288" s="14"/>
      <c r="G2288" s="15"/>
      <c r="H2288" s="16" t="str">
        <f aca="false">IF(OR($K2288="",$L2288=""),"",ROUND(MAX(0,($L2288-$K2288)-IF($G2288="",0,$G2288))/60,2))</f>
        <v/>
      </c>
      <c r="I2288" s="8"/>
      <c r="J2288" s="8"/>
      <c r="K2288" s="17" t="str">
        <f aca="false">IF($E2288="","",IF($E2288&lt;1,ROUND($E2288*1440,0),INT($E2288/100)*60+MOD($E2288,100)))</f>
        <v/>
      </c>
      <c r="L2288" s="17" t="str">
        <f aca="false">IF($F2288="","",IF($F2288&lt;1,ROUND($F2288*1440,0),INT($F2288/100)*60+MOD($F2288,100)))</f>
        <v/>
      </c>
    </row>
    <row r="2289" customFormat="false" ht="15" hidden="false" customHeight="true" outlineLevel="0" collapsed="false">
      <c r="A2289" s="10"/>
      <c r="B2289" s="8"/>
      <c r="C2289" s="13" t="str">
        <f aca="false">IF($B2289="","",IFERROR(INDEX(직원목록!$B$3:$B$302,MATCH($B2289,직원목록!$A$3:$A$302,0)),"미등록사번"))</f>
        <v/>
      </c>
      <c r="D2289" s="13" t="str">
        <f aca="false">IF($B2289="","",IFERROR(INDEX(직원목록!$C$3:$C$302,MATCH($B2289,직원목록!$A$3:$A$302,0)),""))</f>
        <v/>
      </c>
      <c r="E2289" s="14"/>
      <c r="F2289" s="14"/>
      <c r="G2289" s="15"/>
      <c r="H2289" s="16" t="str">
        <f aca="false">IF(OR($K2289="",$L2289=""),"",ROUND(MAX(0,($L2289-$K2289)-IF($G2289="",0,$G2289))/60,2))</f>
        <v/>
      </c>
      <c r="I2289" s="8"/>
      <c r="J2289" s="8"/>
      <c r="K2289" s="17" t="str">
        <f aca="false">IF($E2289="","",IF($E2289&lt;1,ROUND($E2289*1440,0),INT($E2289/100)*60+MOD($E2289,100)))</f>
        <v/>
      </c>
      <c r="L2289" s="17" t="str">
        <f aca="false">IF($F2289="","",IF($F2289&lt;1,ROUND($F2289*1440,0),INT($F2289/100)*60+MOD($F2289,100)))</f>
        <v/>
      </c>
    </row>
    <row r="2290" customFormat="false" ht="15" hidden="false" customHeight="true" outlineLevel="0" collapsed="false">
      <c r="A2290" s="10"/>
      <c r="B2290" s="8"/>
      <c r="C2290" s="13" t="str">
        <f aca="false">IF($B2290="","",IFERROR(INDEX(직원목록!$B$3:$B$302,MATCH($B2290,직원목록!$A$3:$A$302,0)),"미등록사번"))</f>
        <v/>
      </c>
      <c r="D2290" s="13" t="str">
        <f aca="false">IF($B2290="","",IFERROR(INDEX(직원목록!$C$3:$C$302,MATCH($B2290,직원목록!$A$3:$A$302,0)),""))</f>
        <v/>
      </c>
      <c r="E2290" s="14"/>
      <c r="F2290" s="14"/>
      <c r="G2290" s="15"/>
      <c r="H2290" s="16" t="str">
        <f aca="false">IF(OR($K2290="",$L2290=""),"",ROUND(MAX(0,($L2290-$K2290)-IF($G2290="",0,$G2290))/60,2))</f>
        <v/>
      </c>
      <c r="I2290" s="8"/>
      <c r="J2290" s="8"/>
      <c r="K2290" s="17" t="str">
        <f aca="false">IF($E2290="","",IF($E2290&lt;1,ROUND($E2290*1440,0),INT($E2290/100)*60+MOD($E2290,100)))</f>
        <v/>
      </c>
      <c r="L2290" s="17" t="str">
        <f aca="false">IF($F2290="","",IF($F2290&lt;1,ROUND($F2290*1440,0),INT($F2290/100)*60+MOD($F2290,100)))</f>
        <v/>
      </c>
    </row>
    <row r="2291" customFormat="false" ht="15" hidden="false" customHeight="true" outlineLevel="0" collapsed="false">
      <c r="A2291" s="10"/>
      <c r="B2291" s="8"/>
      <c r="C2291" s="13" t="str">
        <f aca="false">IF($B2291="","",IFERROR(INDEX(직원목록!$B$3:$B$302,MATCH($B2291,직원목록!$A$3:$A$302,0)),"미등록사번"))</f>
        <v/>
      </c>
      <c r="D2291" s="13" t="str">
        <f aca="false">IF($B2291="","",IFERROR(INDEX(직원목록!$C$3:$C$302,MATCH($B2291,직원목록!$A$3:$A$302,0)),""))</f>
        <v/>
      </c>
      <c r="E2291" s="14"/>
      <c r="F2291" s="14"/>
      <c r="G2291" s="15"/>
      <c r="H2291" s="16" t="str">
        <f aca="false">IF(OR($K2291="",$L2291=""),"",ROUND(MAX(0,($L2291-$K2291)-IF($G2291="",0,$G2291))/60,2))</f>
        <v/>
      </c>
      <c r="I2291" s="8"/>
      <c r="J2291" s="8"/>
      <c r="K2291" s="17" t="str">
        <f aca="false">IF($E2291="","",IF($E2291&lt;1,ROUND($E2291*1440,0),INT($E2291/100)*60+MOD($E2291,100)))</f>
        <v/>
      </c>
      <c r="L2291" s="17" t="str">
        <f aca="false">IF($F2291="","",IF($F2291&lt;1,ROUND($F2291*1440,0),INT($F2291/100)*60+MOD($F2291,100)))</f>
        <v/>
      </c>
    </row>
    <row r="2292" customFormat="false" ht="15" hidden="false" customHeight="true" outlineLevel="0" collapsed="false">
      <c r="A2292" s="10"/>
      <c r="B2292" s="8"/>
      <c r="C2292" s="13" t="str">
        <f aca="false">IF($B2292="","",IFERROR(INDEX(직원목록!$B$3:$B$302,MATCH($B2292,직원목록!$A$3:$A$302,0)),"미등록사번"))</f>
        <v/>
      </c>
      <c r="D2292" s="13" t="str">
        <f aca="false">IF($B2292="","",IFERROR(INDEX(직원목록!$C$3:$C$302,MATCH($B2292,직원목록!$A$3:$A$302,0)),""))</f>
        <v/>
      </c>
      <c r="E2292" s="14"/>
      <c r="F2292" s="14"/>
      <c r="G2292" s="15"/>
      <c r="H2292" s="16" t="str">
        <f aca="false">IF(OR($K2292="",$L2292=""),"",ROUND(MAX(0,($L2292-$K2292)-IF($G2292="",0,$G2292))/60,2))</f>
        <v/>
      </c>
      <c r="I2292" s="8"/>
      <c r="J2292" s="8"/>
      <c r="K2292" s="17" t="str">
        <f aca="false">IF($E2292="","",IF($E2292&lt;1,ROUND($E2292*1440,0),INT($E2292/100)*60+MOD($E2292,100)))</f>
        <v/>
      </c>
      <c r="L2292" s="17" t="str">
        <f aca="false">IF($F2292="","",IF($F2292&lt;1,ROUND($F2292*1440,0),INT($F2292/100)*60+MOD($F2292,100)))</f>
        <v/>
      </c>
    </row>
    <row r="2293" customFormat="false" ht="15" hidden="false" customHeight="true" outlineLevel="0" collapsed="false">
      <c r="A2293" s="10"/>
      <c r="B2293" s="8"/>
      <c r="C2293" s="13" t="str">
        <f aca="false">IF($B2293="","",IFERROR(INDEX(직원목록!$B$3:$B$302,MATCH($B2293,직원목록!$A$3:$A$302,0)),"미등록사번"))</f>
        <v/>
      </c>
      <c r="D2293" s="13" t="str">
        <f aca="false">IF($B2293="","",IFERROR(INDEX(직원목록!$C$3:$C$302,MATCH($B2293,직원목록!$A$3:$A$302,0)),""))</f>
        <v/>
      </c>
      <c r="E2293" s="14"/>
      <c r="F2293" s="14"/>
      <c r="G2293" s="15"/>
      <c r="H2293" s="16" t="str">
        <f aca="false">IF(OR($K2293="",$L2293=""),"",ROUND(MAX(0,($L2293-$K2293)-IF($G2293="",0,$G2293))/60,2))</f>
        <v/>
      </c>
      <c r="I2293" s="8"/>
      <c r="J2293" s="8"/>
      <c r="K2293" s="17" t="str">
        <f aca="false">IF($E2293="","",IF($E2293&lt;1,ROUND($E2293*1440,0),INT($E2293/100)*60+MOD($E2293,100)))</f>
        <v/>
      </c>
      <c r="L2293" s="17" t="str">
        <f aca="false">IF($F2293="","",IF($F2293&lt;1,ROUND($F2293*1440,0),INT($F2293/100)*60+MOD($F2293,100)))</f>
        <v/>
      </c>
    </row>
    <row r="2294" customFormat="false" ht="15" hidden="false" customHeight="true" outlineLevel="0" collapsed="false">
      <c r="A2294" s="10"/>
      <c r="B2294" s="8"/>
      <c r="C2294" s="13" t="str">
        <f aca="false">IF($B2294="","",IFERROR(INDEX(직원목록!$B$3:$B$302,MATCH($B2294,직원목록!$A$3:$A$302,0)),"미등록사번"))</f>
        <v/>
      </c>
      <c r="D2294" s="13" t="str">
        <f aca="false">IF($B2294="","",IFERROR(INDEX(직원목록!$C$3:$C$302,MATCH($B2294,직원목록!$A$3:$A$302,0)),""))</f>
        <v/>
      </c>
      <c r="E2294" s="14"/>
      <c r="F2294" s="14"/>
      <c r="G2294" s="15"/>
      <c r="H2294" s="16" t="str">
        <f aca="false">IF(OR($K2294="",$L2294=""),"",ROUND(MAX(0,($L2294-$K2294)-IF($G2294="",0,$G2294))/60,2))</f>
        <v/>
      </c>
      <c r="I2294" s="8"/>
      <c r="J2294" s="8"/>
      <c r="K2294" s="17" t="str">
        <f aca="false">IF($E2294="","",IF($E2294&lt;1,ROUND($E2294*1440,0),INT($E2294/100)*60+MOD($E2294,100)))</f>
        <v/>
      </c>
      <c r="L2294" s="17" t="str">
        <f aca="false">IF($F2294="","",IF($F2294&lt;1,ROUND($F2294*1440,0),INT($F2294/100)*60+MOD($F2294,100)))</f>
        <v/>
      </c>
    </row>
    <row r="2295" customFormat="false" ht="15" hidden="false" customHeight="true" outlineLevel="0" collapsed="false">
      <c r="A2295" s="10"/>
      <c r="B2295" s="8"/>
      <c r="C2295" s="13" t="str">
        <f aca="false">IF($B2295="","",IFERROR(INDEX(직원목록!$B$3:$B$302,MATCH($B2295,직원목록!$A$3:$A$302,0)),"미등록사번"))</f>
        <v/>
      </c>
      <c r="D2295" s="13" t="str">
        <f aca="false">IF($B2295="","",IFERROR(INDEX(직원목록!$C$3:$C$302,MATCH($B2295,직원목록!$A$3:$A$302,0)),""))</f>
        <v/>
      </c>
      <c r="E2295" s="14"/>
      <c r="F2295" s="14"/>
      <c r="G2295" s="15"/>
      <c r="H2295" s="16" t="str">
        <f aca="false">IF(OR($K2295="",$L2295=""),"",ROUND(MAX(0,($L2295-$K2295)-IF($G2295="",0,$G2295))/60,2))</f>
        <v/>
      </c>
      <c r="I2295" s="8"/>
      <c r="J2295" s="8"/>
      <c r="K2295" s="17" t="str">
        <f aca="false">IF($E2295="","",IF($E2295&lt;1,ROUND($E2295*1440,0),INT($E2295/100)*60+MOD($E2295,100)))</f>
        <v/>
      </c>
      <c r="L2295" s="17" t="str">
        <f aca="false">IF($F2295="","",IF($F2295&lt;1,ROUND($F2295*1440,0),INT($F2295/100)*60+MOD($F2295,100)))</f>
        <v/>
      </c>
    </row>
    <row r="2296" customFormat="false" ht="15" hidden="false" customHeight="true" outlineLevel="0" collapsed="false">
      <c r="A2296" s="10"/>
      <c r="B2296" s="8"/>
      <c r="C2296" s="13" t="str">
        <f aca="false">IF($B2296="","",IFERROR(INDEX(직원목록!$B$3:$B$302,MATCH($B2296,직원목록!$A$3:$A$302,0)),"미등록사번"))</f>
        <v/>
      </c>
      <c r="D2296" s="13" t="str">
        <f aca="false">IF($B2296="","",IFERROR(INDEX(직원목록!$C$3:$C$302,MATCH($B2296,직원목록!$A$3:$A$302,0)),""))</f>
        <v/>
      </c>
      <c r="E2296" s="14"/>
      <c r="F2296" s="14"/>
      <c r="G2296" s="15"/>
      <c r="H2296" s="16" t="str">
        <f aca="false">IF(OR($K2296="",$L2296=""),"",ROUND(MAX(0,($L2296-$K2296)-IF($G2296="",0,$G2296))/60,2))</f>
        <v/>
      </c>
      <c r="I2296" s="8"/>
      <c r="J2296" s="8"/>
      <c r="K2296" s="17" t="str">
        <f aca="false">IF($E2296="","",IF($E2296&lt;1,ROUND($E2296*1440,0),INT($E2296/100)*60+MOD($E2296,100)))</f>
        <v/>
      </c>
      <c r="L2296" s="17" t="str">
        <f aca="false">IF($F2296="","",IF($F2296&lt;1,ROUND($F2296*1440,0),INT($F2296/100)*60+MOD($F2296,100)))</f>
        <v/>
      </c>
    </row>
    <row r="2297" customFormat="false" ht="15" hidden="false" customHeight="true" outlineLevel="0" collapsed="false">
      <c r="A2297" s="10"/>
      <c r="B2297" s="8"/>
      <c r="C2297" s="13" t="str">
        <f aca="false">IF($B2297="","",IFERROR(INDEX(직원목록!$B$3:$B$302,MATCH($B2297,직원목록!$A$3:$A$302,0)),"미등록사번"))</f>
        <v/>
      </c>
      <c r="D2297" s="13" t="str">
        <f aca="false">IF($B2297="","",IFERROR(INDEX(직원목록!$C$3:$C$302,MATCH($B2297,직원목록!$A$3:$A$302,0)),""))</f>
        <v/>
      </c>
      <c r="E2297" s="14"/>
      <c r="F2297" s="14"/>
      <c r="G2297" s="15"/>
      <c r="H2297" s="16" t="str">
        <f aca="false">IF(OR($K2297="",$L2297=""),"",ROUND(MAX(0,($L2297-$K2297)-IF($G2297="",0,$G2297))/60,2))</f>
        <v/>
      </c>
      <c r="I2297" s="8"/>
      <c r="J2297" s="8"/>
      <c r="K2297" s="17" t="str">
        <f aca="false">IF($E2297="","",IF($E2297&lt;1,ROUND($E2297*1440,0),INT($E2297/100)*60+MOD($E2297,100)))</f>
        <v/>
      </c>
      <c r="L2297" s="17" t="str">
        <f aca="false">IF($F2297="","",IF($F2297&lt;1,ROUND($F2297*1440,0),INT($F2297/100)*60+MOD($F2297,100)))</f>
        <v/>
      </c>
    </row>
    <row r="2298" customFormat="false" ht="15" hidden="false" customHeight="true" outlineLevel="0" collapsed="false">
      <c r="A2298" s="10"/>
      <c r="B2298" s="8"/>
      <c r="C2298" s="13" t="str">
        <f aca="false">IF($B2298="","",IFERROR(INDEX(직원목록!$B$3:$B$302,MATCH($B2298,직원목록!$A$3:$A$302,0)),"미등록사번"))</f>
        <v/>
      </c>
      <c r="D2298" s="13" t="str">
        <f aca="false">IF($B2298="","",IFERROR(INDEX(직원목록!$C$3:$C$302,MATCH($B2298,직원목록!$A$3:$A$302,0)),""))</f>
        <v/>
      </c>
      <c r="E2298" s="14"/>
      <c r="F2298" s="14"/>
      <c r="G2298" s="15"/>
      <c r="H2298" s="16" t="str">
        <f aca="false">IF(OR($K2298="",$L2298=""),"",ROUND(MAX(0,($L2298-$K2298)-IF($G2298="",0,$G2298))/60,2))</f>
        <v/>
      </c>
      <c r="I2298" s="8"/>
      <c r="J2298" s="8"/>
      <c r="K2298" s="17" t="str">
        <f aca="false">IF($E2298="","",IF($E2298&lt;1,ROUND($E2298*1440,0),INT($E2298/100)*60+MOD($E2298,100)))</f>
        <v/>
      </c>
      <c r="L2298" s="17" t="str">
        <f aca="false">IF($F2298="","",IF($F2298&lt;1,ROUND($F2298*1440,0),INT($F2298/100)*60+MOD($F2298,100)))</f>
        <v/>
      </c>
    </row>
    <row r="2299" customFormat="false" ht="15" hidden="false" customHeight="true" outlineLevel="0" collapsed="false">
      <c r="A2299" s="10"/>
      <c r="B2299" s="8"/>
      <c r="C2299" s="13" t="str">
        <f aca="false">IF($B2299="","",IFERROR(INDEX(직원목록!$B$3:$B$302,MATCH($B2299,직원목록!$A$3:$A$302,0)),"미등록사번"))</f>
        <v/>
      </c>
      <c r="D2299" s="13" t="str">
        <f aca="false">IF($B2299="","",IFERROR(INDEX(직원목록!$C$3:$C$302,MATCH($B2299,직원목록!$A$3:$A$302,0)),""))</f>
        <v/>
      </c>
      <c r="E2299" s="14"/>
      <c r="F2299" s="14"/>
      <c r="G2299" s="15"/>
      <c r="H2299" s="16" t="str">
        <f aca="false">IF(OR($K2299="",$L2299=""),"",ROUND(MAX(0,($L2299-$K2299)-IF($G2299="",0,$G2299))/60,2))</f>
        <v/>
      </c>
      <c r="I2299" s="8"/>
      <c r="J2299" s="8"/>
      <c r="K2299" s="17" t="str">
        <f aca="false">IF($E2299="","",IF($E2299&lt;1,ROUND($E2299*1440,0),INT($E2299/100)*60+MOD($E2299,100)))</f>
        <v/>
      </c>
      <c r="L2299" s="17" t="str">
        <f aca="false">IF($F2299="","",IF($F2299&lt;1,ROUND($F2299*1440,0),INT($F2299/100)*60+MOD($F2299,100)))</f>
        <v/>
      </c>
    </row>
    <row r="2300" customFormat="false" ht="15" hidden="false" customHeight="true" outlineLevel="0" collapsed="false">
      <c r="A2300" s="10"/>
      <c r="B2300" s="8"/>
      <c r="C2300" s="13" t="str">
        <f aca="false">IF($B2300="","",IFERROR(INDEX(직원목록!$B$3:$B$302,MATCH($B2300,직원목록!$A$3:$A$302,0)),"미등록사번"))</f>
        <v/>
      </c>
      <c r="D2300" s="13" t="str">
        <f aca="false">IF($B2300="","",IFERROR(INDEX(직원목록!$C$3:$C$302,MATCH($B2300,직원목록!$A$3:$A$302,0)),""))</f>
        <v/>
      </c>
      <c r="E2300" s="14"/>
      <c r="F2300" s="14"/>
      <c r="G2300" s="15"/>
      <c r="H2300" s="16" t="str">
        <f aca="false">IF(OR($K2300="",$L2300=""),"",ROUND(MAX(0,($L2300-$K2300)-IF($G2300="",0,$G2300))/60,2))</f>
        <v/>
      </c>
      <c r="I2300" s="8"/>
      <c r="J2300" s="8"/>
      <c r="K2300" s="17" t="str">
        <f aca="false">IF($E2300="","",IF($E2300&lt;1,ROUND($E2300*1440,0),INT($E2300/100)*60+MOD($E2300,100)))</f>
        <v/>
      </c>
      <c r="L2300" s="17" t="str">
        <f aca="false">IF($F2300="","",IF($F2300&lt;1,ROUND($F2300*1440,0),INT($F2300/100)*60+MOD($F2300,100)))</f>
        <v/>
      </c>
    </row>
    <row r="2301" customFormat="false" ht="15" hidden="false" customHeight="true" outlineLevel="0" collapsed="false">
      <c r="A2301" s="10"/>
      <c r="B2301" s="8"/>
      <c r="C2301" s="13" t="str">
        <f aca="false">IF($B2301="","",IFERROR(INDEX(직원목록!$B$3:$B$302,MATCH($B2301,직원목록!$A$3:$A$302,0)),"미등록사번"))</f>
        <v/>
      </c>
      <c r="D2301" s="13" t="str">
        <f aca="false">IF($B2301="","",IFERROR(INDEX(직원목록!$C$3:$C$302,MATCH($B2301,직원목록!$A$3:$A$302,0)),""))</f>
        <v/>
      </c>
      <c r="E2301" s="14"/>
      <c r="F2301" s="14"/>
      <c r="G2301" s="15"/>
      <c r="H2301" s="16" t="str">
        <f aca="false">IF(OR($K2301="",$L2301=""),"",ROUND(MAX(0,($L2301-$K2301)-IF($G2301="",0,$G2301))/60,2))</f>
        <v/>
      </c>
      <c r="I2301" s="8"/>
      <c r="J2301" s="8"/>
      <c r="K2301" s="17" t="str">
        <f aca="false">IF($E2301="","",IF($E2301&lt;1,ROUND($E2301*1440,0),INT($E2301/100)*60+MOD($E2301,100)))</f>
        <v/>
      </c>
      <c r="L2301" s="17" t="str">
        <f aca="false">IF($F2301="","",IF($F2301&lt;1,ROUND($F2301*1440,0),INT($F2301/100)*60+MOD($F2301,100)))</f>
        <v/>
      </c>
    </row>
    <row r="2302" customFormat="false" ht="15" hidden="false" customHeight="true" outlineLevel="0" collapsed="false">
      <c r="A2302" s="10"/>
      <c r="B2302" s="8"/>
      <c r="C2302" s="13" t="str">
        <f aca="false">IF($B2302="","",IFERROR(INDEX(직원목록!$B$3:$B$302,MATCH($B2302,직원목록!$A$3:$A$302,0)),"미등록사번"))</f>
        <v/>
      </c>
      <c r="D2302" s="13" t="str">
        <f aca="false">IF($B2302="","",IFERROR(INDEX(직원목록!$C$3:$C$302,MATCH($B2302,직원목록!$A$3:$A$302,0)),""))</f>
        <v/>
      </c>
      <c r="E2302" s="14"/>
      <c r="F2302" s="14"/>
      <c r="G2302" s="15"/>
      <c r="H2302" s="16" t="str">
        <f aca="false">IF(OR($K2302="",$L2302=""),"",ROUND(MAX(0,($L2302-$K2302)-IF($G2302="",0,$G2302))/60,2))</f>
        <v/>
      </c>
      <c r="I2302" s="8"/>
      <c r="J2302" s="8"/>
      <c r="K2302" s="17" t="str">
        <f aca="false">IF($E2302="","",IF($E2302&lt;1,ROUND($E2302*1440,0),INT($E2302/100)*60+MOD($E2302,100)))</f>
        <v/>
      </c>
      <c r="L2302" s="17" t="str">
        <f aca="false">IF($F2302="","",IF($F2302&lt;1,ROUND($F2302*1440,0),INT($F2302/100)*60+MOD($F2302,100)))</f>
        <v/>
      </c>
    </row>
    <row r="2303" customFormat="false" ht="15" hidden="false" customHeight="true" outlineLevel="0" collapsed="false">
      <c r="A2303" s="10"/>
      <c r="B2303" s="8"/>
      <c r="C2303" s="13" t="str">
        <f aca="false">IF($B2303="","",IFERROR(INDEX(직원목록!$B$3:$B$302,MATCH($B2303,직원목록!$A$3:$A$302,0)),"미등록사번"))</f>
        <v/>
      </c>
      <c r="D2303" s="13" t="str">
        <f aca="false">IF($B2303="","",IFERROR(INDEX(직원목록!$C$3:$C$302,MATCH($B2303,직원목록!$A$3:$A$302,0)),""))</f>
        <v/>
      </c>
      <c r="E2303" s="14"/>
      <c r="F2303" s="14"/>
      <c r="G2303" s="15"/>
      <c r="H2303" s="16" t="str">
        <f aca="false">IF(OR($K2303="",$L2303=""),"",ROUND(MAX(0,($L2303-$K2303)-IF($G2303="",0,$G2303))/60,2))</f>
        <v/>
      </c>
      <c r="I2303" s="8"/>
      <c r="J2303" s="8"/>
      <c r="K2303" s="17" t="str">
        <f aca="false">IF($E2303="","",IF($E2303&lt;1,ROUND($E2303*1440,0),INT($E2303/100)*60+MOD($E2303,100)))</f>
        <v/>
      </c>
      <c r="L2303" s="17" t="str">
        <f aca="false">IF($F2303="","",IF($F2303&lt;1,ROUND($F2303*1440,0),INT($F2303/100)*60+MOD($F2303,100)))</f>
        <v/>
      </c>
    </row>
    <row r="2304" customFormat="false" ht="15" hidden="false" customHeight="true" outlineLevel="0" collapsed="false">
      <c r="A2304" s="10"/>
      <c r="B2304" s="8"/>
      <c r="C2304" s="13" t="str">
        <f aca="false">IF($B2304="","",IFERROR(INDEX(직원목록!$B$3:$B$302,MATCH($B2304,직원목록!$A$3:$A$302,0)),"미등록사번"))</f>
        <v/>
      </c>
      <c r="D2304" s="13" t="str">
        <f aca="false">IF($B2304="","",IFERROR(INDEX(직원목록!$C$3:$C$302,MATCH($B2304,직원목록!$A$3:$A$302,0)),""))</f>
        <v/>
      </c>
      <c r="E2304" s="14"/>
      <c r="F2304" s="14"/>
      <c r="G2304" s="15"/>
      <c r="H2304" s="16" t="str">
        <f aca="false">IF(OR($K2304="",$L2304=""),"",ROUND(MAX(0,($L2304-$K2304)-IF($G2304="",0,$G2304))/60,2))</f>
        <v/>
      </c>
      <c r="I2304" s="8"/>
      <c r="J2304" s="8"/>
      <c r="K2304" s="17" t="str">
        <f aca="false">IF($E2304="","",IF($E2304&lt;1,ROUND($E2304*1440,0),INT($E2304/100)*60+MOD($E2304,100)))</f>
        <v/>
      </c>
      <c r="L2304" s="17" t="str">
        <f aca="false">IF($F2304="","",IF($F2304&lt;1,ROUND($F2304*1440,0),INT($F2304/100)*60+MOD($F2304,100)))</f>
        <v/>
      </c>
    </row>
    <row r="2305" customFormat="false" ht="15" hidden="false" customHeight="true" outlineLevel="0" collapsed="false">
      <c r="A2305" s="10"/>
      <c r="B2305" s="8"/>
      <c r="C2305" s="13" t="str">
        <f aca="false">IF($B2305="","",IFERROR(INDEX(직원목록!$B$3:$B$302,MATCH($B2305,직원목록!$A$3:$A$302,0)),"미등록사번"))</f>
        <v/>
      </c>
      <c r="D2305" s="13" t="str">
        <f aca="false">IF($B2305="","",IFERROR(INDEX(직원목록!$C$3:$C$302,MATCH($B2305,직원목록!$A$3:$A$302,0)),""))</f>
        <v/>
      </c>
      <c r="E2305" s="14"/>
      <c r="F2305" s="14"/>
      <c r="G2305" s="15"/>
      <c r="H2305" s="16" t="str">
        <f aca="false">IF(OR($K2305="",$L2305=""),"",ROUND(MAX(0,($L2305-$K2305)-IF($G2305="",0,$G2305))/60,2))</f>
        <v/>
      </c>
      <c r="I2305" s="8"/>
      <c r="J2305" s="8"/>
      <c r="K2305" s="17" t="str">
        <f aca="false">IF($E2305="","",IF($E2305&lt;1,ROUND($E2305*1440,0),INT($E2305/100)*60+MOD($E2305,100)))</f>
        <v/>
      </c>
      <c r="L2305" s="17" t="str">
        <f aca="false">IF($F2305="","",IF($F2305&lt;1,ROUND($F2305*1440,0),INT($F2305/100)*60+MOD($F2305,100)))</f>
        <v/>
      </c>
    </row>
    <row r="2306" customFormat="false" ht="15" hidden="false" customHeight="true" outlineLevel="0" collapsed="false">
      <c r="A2306" s="10"/>
      <c r="B2306" s="8"/>
      <c r="C2306" s="13" t="str">
        <f aca="false">IF($B2306="","",IFERROR(INDEX(직원목록!$B$3:$B$302,MATCH($B2306,직원목록!$A$3:$A$302,0)),"미등록사번"))</f>
        <v/>
      </c>
      <c r="D2306" s="13" t="str">
        <f aca="false">IF($B2306="","",IFERROR(INDEX(직원목록!$C$3:$C$302,MATCH($B2306,직원목록!$A$3:$A$302,0)),""))</f>
        <v/>
      </c>
      <c r="E2306" s="14"/>
      <c r="F2306" s="14"/>
      <c r="G2306" s="15"/>
      <c r="H2306" s="16" t="str">
        <f aca="false">IF(OR($K2306="",$L2306=""),"",ROUND(MAX(0,($L2306-$K2306)-IF($G2306="",0,$G2306))/60,2))</f>
        <v/>
      </c>
      <c r="I2306" s="8"/>
      <c r="J2306" s="8"/>
      <c r="K2306" s="17" t="str">
        <f aca="false">IF($E2306="","",IF($E2306&lt;1,ROUND($E2306*1440,0),INT($E2306/100)*60+MOD($E2306,100)))</f>
        <v/>
      </c>
      <c r="L2306" s="17" t="str">
        <f aca="false">IF($F2306="","",IF($F2306&lt;1,ROUND($F2306*1440,0),INT($F2306/100)*60+MOD($F2306,100)))</f>
        <v/>
      </c>
    </row>
    <row r="2307" customFormat="false" ht="15" hidden="false" customHeight="true" outlineLevel="0" collapsed="false">
      <c r="A2307" s="10"/>
      <c r="B2307" s="8"/>
      <c r="C2307" s="13" t="str">
        <f aca="false">IF($B2307="","",IFERROR(INDEX(직원목록!$B$3:$B$302,MATCH($B2307,직원목록!$A$3:$A$302,0)),"미등록사번"))</f>
        <v/>
      </c>
      <c r="D2307" s="13" t="str">
        <f aca="false">IF($B2307="","",IFERROR(INDEX(직원목록!$C$3:$C$302,MATCH($B2307,직원목록!$A$3:$A$302,0)),""))</f>
        <v/>
      </c>
      <c r="E2307" s="14"/>
      <c r="F2307" s="14"/>
      <c r="G2307" s="15"/>
      <c r="H2307" s="16" t="str">
        <f aca="false">IF(OR($K2307="",$L2307=""),"",ROUND(MAX(0,($L2307-$K2307)-IF($G2307="",0,$G2307))/60,2))</f>
        <v/>
      </c>
      <c r="I2307" s="8"/>
      <c r="J2307" s="8"/>
      <c r="K2307" s="17" t="str">
        <f aca="false">IF($E2307="","",IF($E2307&lt;1,ROUND($E2307*1440,0),INT($E2307/100)*60+MOD($E2307,100)))</f>
        <v/>
      </c>
      <c r="L2307" s="17" t="str">
        <f aca="false">IF($F2307="","",IF($F2307&lt;1,ROUND($F2307*1440,0),INT($F2307/100)*60+MOD($F2307,100)))</f>
        <v/>
      </c>
    </row>
    <row r="2308" customFormat="false" ht="15" hidden="false" customHeight="true" outlineLevel="0" collapsed="false">
      <c r="A2308" s="10"/>
      <c r="B2308" s="8"/>
      <c r="C2308" s="13" t="str">
        <f aca="false">IF($B2308="","",IFERROR(INDEX(직원목록!$B$3:$B$302,MATCH($B2308,직원목록!$A$3:$A$302,0)),"미등록사번"))</f>
        <v/>
      </c>
      <c r="D2308" s="13" t="str">
        <f aca="false">IF($B2308="","",IFERROR(INDEX(직원목록!$C$3:$C$302,MATCH($B2308,직원목록!$A$3:$A$302,0)),""))</f>
        <v/>
      </c>
      <c r="E2308" s="14"/>
      <c r="F2308" s="14"/>
      <c r="G2308" s="15"/>
      <c r="H2308" s="16" t="str">
        <f aca="false">IF(OR($K2308="",$L2308=""),"",ROUND(MAX(0,($L2308-$K2308)-IF($G2308="",0,$G2308))/60,2))</f>
        <v/>
      </c>
      <c r="I2308" s="8"/>
      <c r="J2308" s="8"/>
      <c r="K2308" s="17" t="str">
        <f aca="false">IF($E2308="","",IF($E2308&lt;1,ROUND($E2308*1440,0),INT($E2308/100)*60+MOD($E2308,100)))</f>
        <v/>
      </c>
      <c r="L2308" s="17" t="str">
        <f aca="false">IF($F2308="","",IF($F2308&lt;1,ROUND($F2308*1440,0),INT($F2308/100)*60+MOD($F2308,100)))</f>
        <v/>
      </c>
    </row>
    <row r="2309" customFormat="false" ht="15" hidden="false" customHeight="true" outlineLevel="0" collapsed="false">
      <c r="A2309" s="10"/>
      <c r="B2309" s="8"/>
      <c r="C2309" s="13" t="str">
        <f aca="false">IF($B2309="","",IFERROR(INDEX(직원목록!$B$3:$B$302,MATCH($B2309,직원목록!$A$3:$A$302,0)),"미등록사번"))</f>
        <v/>
      </c>
      <c r="D2309" s="13" t="str">
        <f aca="false">IF($B2309="","",IFERROR(INDEX(직원목록!$C$3:$C$302,MATCH($B2309,직원목록!$A$3:$A$302,0)),""))</f>
        <v/>
      </c>
      <c r="E2309" s="14"/>
      <c r="F2309" s="14"/>
      <c r="G2309" s="15"/>
      <c r="H2309" s="16" t="str">
        <f aca="false">IF(OR($K2309="",$L2309=""),"",ROUND(MAX(0,($L2309-$K2309)-IF($G2309="",0,$G2309))/60,2))</f>
        <v/>
      </c>
      <c r="I2309" s="8"/>
      <c r="J2309" s="8"/>
      <c r="K2309" s="17" t="str">
        <f aca="false">IF($E2309="","",IF($E2309&lt;1,ROUND($E2309*1440,0),INT($E2309/100)*60+MOD($E2309,100)))</f>
        <v/>
      </c>
      <c r="L2309" s="17" t="str">
        <f aca="false">IF($F2309="","",IF($F2309&lt;1,ROUND($F2309*1440,0),INT($F2309/100)*60+MOD($F2309,100)))</f>
        <v/>
      </c>
    </row>
    <row r="2310" customFormat="false" ht="15" hidden="false" customHeight="true" outlineLevel="0" collapsed="false">
      <c r="A2310" s="10"/>
      <c r="B2310" s="8"/>
      <c r="C2310" s="13" t="str">
        <f aca="false">IF($B2310="","",IFERROR(INDEX(직원목록!$B$3:$B$302,MATCH($B2310,직원목록!$A$3:$A$302,0)),"미등록사번"))</f>
        <v/>
      </c>
      <c r="D2310" s="13" t="str">
        <f aca="false">IF($B2310="","",IFERROR(INDEX(직원목록!$C$3:$C$302,MATCH($B2310,직원목록!$A$3:$A$302,0)),""))</f>
        <v/>
      </c>
      <c r="E2310" s="14"/>
      <c r="F2310" s="14"/>
      <c r="G2310" s="15"/>
      <c r="H2310" s="16" t="str">
        <f aca="false">IF(OR($K2310="",$L2310=""),"",ROUND(MAX(0,($L2310-$K2310)-IF($G2310="",0,$G2310))/60,2))</f>
        <v/>
      </c>
      <c r="I2310" s="8"/>
      <c r="J2310" s="8"/>
      <c r="K2310" s="17" t="str">
        <f aca="false">IF($E2310="","",IF($E2310&lt;1,ROUND($E2310*1440,0),INT($E2310/100)*60+MOD($E2310,100)))</f>
        <v/>
      </c>
      <c r="L2310" s="17" t="str">
        <f aca="false">IF($F2310="","",IF($F2310&lt;1,ROUND($F2310*1440,0),INT($F2310/100)*60+MOD($F2310,100)))</f>
        <v/>
      </c>
    </row>
    <row r="2311" customFormat="false" ht="15" hidden="false" customHeight="true" outlineLevel="0" collapsed="false">
      <c r="A2311" s="10"/>
      <c r="B2311" s="8"/>
      <c r="C2311" s="13" t="str">
        <f aca="false">IF($B2311="","",IFERROR(INDEX(직원목록!$B$3:$B$302,MATCH($B2311,직원목록!$A$3:$A$302,0)),"미등록사번"))</f>
        <v/>
      </c>
      <c r="D2311" s="13" t="str">
        <f aca="false">IF($B2311="","",IFERROR(INDEX(직원목록!$C$3:$C$302,MATCH($B2311,직원목록!$A$3:$A$302,0)),""))</f>
        <v/>
      </c>
      <c r="E2311" s="14"/>
      <c r="F2311" s="14"/>
      <c r="G2311" s="15"/>
      <c r="H2311" s="16" t="str">
        <f aca="false">IF(OR($K2311="",$L2311=""),"",ROUND(MAX(0,($L2311-$K2311)-IF($G2311="",0,$G2311))/60,2))</f>
        <v/>
      </c>
      <c r="I2311" s="8"/>
      <c r="J2311" s="8"/>
      <c r="K2311" s="17" t="str">
        <f aca="false">IF($E2311="","",IF($E2311&lt;1,ROUND($E2311*1440,0),INT($E2311/100)*60+MOD($E2311,100)))</f>
        <v/>
      </c>
      <c r="L2311" s="17" t="str">
        <f aca="false">IF($F2311="","",IF($F2311&lt;1,ROUND($F2311*1440,0),INT($F2311/100)*60+MOD($F2311,100)))</f>
        <v/>
      </c>
    </row>
    <row r="2312" customFormat="false" ht="15" hidden="false" customHeight="true" outlineLevel="0" collapsed="false">
      <c r="A2312" s="10"/>
      <c r="B2312" s="8"/>
      <c r="C2312" s="13" t="str">
        <f aca="false">IF($B2312="","",IFERROR(INDEX(직원목록!$B$3:$B$302,MATCH($B2312,직원목록!$A$3:$A$302,0)),"미등록사번"))</f>
        <v/>
      </c>
      <c r="D2312" s="13" t="str">
        <f aca="false">IF($B2312="","",IFERROR(INDEX(직원목록!$C$3:$C$302,MATCH($B2312,직원목록!$A$3:$A$302,0)),""))</f>
        <v/>
      </c>
      <c r="E2312" s="14"/>
      <c r="F2312" s="14"/>
      <c r="G2312" s="15"/>
      <c r="H2312" s="16" t="str">
        <f aca="false">IF(OR($K2312="",$L2312=""),"",ROUND(MAX(0,($L2312-$K2312)-IF($G2312="",0,$G2312))/60,2))</f>
        <v/>
      </c>
      <c r="I2312" s="8"/>
      <c r="J2312" s="8"/>
      <c r="K2312" s="17" t="str">
        <f aca="false">IF($E2312="","",IF($E2312&lt;1,ROUND($E2312*1440,0),INT($E2312/100)*60+MOD($E2312,100)))</f>
        <v/>
      </c>
      <c r="L2312" s="17" t="str">
        <f aca="false">IF($F2312="","",IF($F2312&lt;1,ROUND($F2312*1440,0),INT($F2312/100)*60+MOD($F2312,100)))</f>
        <v/>
      </c>
    </row>
    <row r="2313" customFormat="false" ht="15" hidden="false" customHeight="true" outlineLevel="0" collapsed="false">
      <c r="A2313" s="10"/>
      <c r="B2313" s="8"/>
      <c r="C2313" s="13" t="str">
        <f aca="false">IF($B2313="","",IFERROR(INDEX(직원목록!$B$3:$B$302,MATCH($B2313,직원목록!$A$3:$A$302,0)),"미등록사번"))</f>
        <v/>
      </c>
      <c r="D2313" s="13" t="str">
        <f aca="false">IF($B2313="","",IFERROR(INDEX(직원목록!$C$3:$C$302,MATCH($B2313,직원목록!$A$3:$A$302,0)),""))</f>
        <v/>
      </c>
      <c r="E2313" s="14"/>
      <c r="F2313" s="14"/>
      <c r="G2313" s="15"/>
      <c r="H2313" s="16" t="str">
        <f aca="false">IF(OR($K2313="",$L2313=""),"",ROUND(MAX(0,($L2313-$K2313)-IF($G2313="",0,$G2313))/60,2))</f>
        <v/>
      </c>
      <c r="I2313" s="8"/>
      <c r="J2313" s="8"/>
      <c r="K2313" s="17" t="str">
        <f aca="false">IF($E2313="","",IF($E2313&lt;1,ROUND($E2313*1440,0),INT($E2313/100)*60+MOD($E2313,100)))</f>
        <v/>
      </c>
      <c r="L2313" s="17" t="str">
        <f aca="false">IF($F2313="","",IF($F2313&lt;1,ROUND($F2313*1440,0),INT($F2313/100)*60+MOD($F2313,100)))</f>
        <v/>
      </c>
    </row>
    <row r="2314" customFormat="false" ht="15" hidden="false" customHeight="true" outlineLevel="0" collapsed="false">
      <c r="A2314" s="10"/>
      <c r="B2314" s="8"/>
      <c r="C2314" s="13" t="str">
        <f aca="false">IF($B2314="","",IFERROR(INDEX(직원목록!$B$3:$B$302,MATCH($B2314,직원목록!$A$3:$A$302,0)),"미등록사번"))</f>
        <v/>
      </c>
      <c r="D2314" s="13" t="str">
        <f aca="false">IF($B2314="","",IFERROR(INDEX(직원목록!$C$3:$C$302,MATCH($B2314,직원목록!$A$3:$A$302,0)),""))</f>
        <v/>
      </c>
      <c r="E2314" s="14"/>
      <c r="F2314" s="14"/>
      <c r="G2314" s="15"/>
      <c r="H2314" s="16" t="str">
        <f aca="false">IF(OR($K2314="",$L2314=""),"",ROUND(MAX(0,($L2314-$K2314)-IF($G2314="",0,$G2314))/60,2))</f>
        <v/>
      </c>
      <c r="I2314" s="8"/>
      <c r="J2314" s="8"/>
      <c r="K2314" s="17" t="str">
        <f aca="false">IF($E2314="","",IF($E2314&lt;1,ROUND($E2314*1440,0),INT($E2314/100)*60+MOD($E2314,100)))</f>
        <v/>
      </c>
      <c r="L2314" s="17" t="str">
        <f aca="false">IF($F2314="","",IF($F2314&lt;1,ROUND($F2314*1440,0),INT($F2314/100)*60+MOD($F2314,100)))</f>
        <v/>
      </c>
    </row>
    <row r="2315" customFormat="false" ht="15" hidden="false" customHeight="true" outlineLevel="0" collapsed="false">
      <c r="A2315" s="10"/>
      <c r="B2315" s="8"/>
      <c r="C2315" s="13" t="str">
        <f aca="false">IF($B2315="","",IFERROR(INDEX(직원목록!$B$3:$B$302,MATCH($B2315,직원목록!$A$3:$A$302,0)),"미등록사번"))</f>
        <v/>
      </c>
      <c r="D2315" s="13" t="str">
        <f aca="false">IF($B2315="","",IFERROR(INDEX(직원목록!$C$3:$C$302,MATCH($B2315,직원목록!$A$3:$A$302,0)),""))</f>
        <v/>
      </c>
      <c r="E2315" s="14"/>
      <c r="F2315" s="14"/>
      <c r="G2315" s="15"/>
      <c r="H2315" s="16" t="str">
        <f aca="false">IF(OR($K2315="",$L2315=""),"",ROUND(MAX(0,($L2315-$K2315)-IF($G2315="",0,$G2315))/60,2))</f>
        <v/>
      </c>
      <c r="I2315" s="8"/>
      <c r="J2315" s="8"/>
      <c r="K2315" s="17" t="str">
        <f aca="false">IF($E2315="","",IF($E2315&lt;1,ROUND($E2315*1440,0),INT($E2315/100)*60+MOD($E2315,100)))</f>
        <v/>
      </c>
      <c r="L2315" s="17" t="str">
        <f aca="false">IF($F2315="","",IF($F2315&lt;1,ROUND($F2315*1440,0),INT($F2315/100)*60+MOD($F2315,100)))</f>
        <v/>
      </c>
    </row>
    <row r="2316" customFormat="false" ht="15" hidden="false" customHeight="true" outlineLevel="0" collapsed="false">
      <c r="A2316" s="10"/>
      <c r="B2316" s="8"/>
      <c r="C2316" s="13" t="str">
        <f aca="false">IF($B2316="","",IFERROR(INDEX(직원목록!$B$3:$B$302,MATCH($B2316,직원목록!$A$3:$A$302,0)),"미등록사번"))</f>
        <v/>
      </c>
      <c r="D2316" s="13" t="str">
        <f aca="false">IF($B2316="","",IFERROR(INDEX(직원목록!$C$3:$C$302,MATCH($B2316,직원목록!$A$3:$A$302,0)),""))</f>
        <v/>
      </c>
      <c r="E2316" s="14"/>
      <c r="F2316" s="14"/>
      <c r="G2316" s="15"/>
      <c r="H2316" s="16" t="str">
        <f aca="false">IF(OR($K2316="",$L2316=""),"",ROUND(MAX(0,($L2316-$K2316)-IF($G2316="",0,$G2316))/60,2))</f>
        <v/>
      </c>
      <c r="I2316" s="8"/>
      <c r="J2316" s="8"/>
      <c r="K2316" s="17" t="str">
        <f aca="false">IF($E2316="","",IF($E2316&lt;1,ROUND($E2316*1440,0),INT($E2316/100)*60+MOD($E2316,100)))</f>
        <v/>
      </c>
      <c r="L2316" s="17" t="str">
        <f aca="false">IF($F2316="","",IF($F2316&lt;1,ROUND($F2316*1440,0),INT($F2316/100)*60+MOD($F2316,100)))</f>
        <v/>
      </c>
    </row>
    <row r="2317" customFormat="false" ht="15" hidden="false" customHeight="true" outlineLevel="0" collapsed="false">
      <c r="A2317" s="10"/>
      <c r="B2317" s="8"/>
      <c r="C2317" s="13" t="str">
        <f aca="false">IF($B2317="","",IFERROR(INDEX(직원목록!$B$3:$B$302,MATCH($B2317,직원목록!$A$3:$A$302,0)),"미등록사번"))</f>
        <v/>
      </c>
      <c r="D2317" s="13" t="str">
        <f aca="false">IF($B2317="","",IFERROR(INDEX(직원목록!$C$3:$C$302,MATCH($B2317,직원목록!$A$3:$A$302,0)),""))</f>
        <v/>
      </c>
      <c r="E2317" s="14"/>
      <c r="F2317" s="14"/>
      <c r="G2317" s="15"/>
      <c r="H2317" s="16" t="str">
        <f aca="false">IF(OR($K2317="",$L2317=""),"",ROUND(MAX(0,($L2317-$K2317)-IF($G2317="",0,$G2317))/60,2))</f>
        <v/>
      </c>
      <c r="I2317" s="8"/>
      <c r="J2317" s="8"/>
      <c r="K2317" s="17" t="str">
        <f aca="false">IF($E2317="","",IF($E2317&lt;1,ROUND($E2317*1440,0),INT($E2317/100)*60+MOD($E2317,100)))</f>
        <v/>
      </c>
      <c r="L2317" s="17" t="str">
        <f aca="false">IF($F2317="","",IF($F2317&lt;1,ROUND($F2317*1440,0),INT($F2317/100)*60+MOD($F2317,100)))</f>
        <v/>
      </c>
    </row>
    <row r="2318" customFormat="false" ht="15" hidden="false" customHeight="true" outlineLevel="0" collapsed="false">
      <c r="A2318" s="10"/>
      <c r="B2318" s="8"/>
      <c r="C2318" s="13" t="str">
        <f aca="false">IF($B2318="","",IFERROR(INDEX(직원목록!$B$3:$B$302,MATCH($B2318,직원목록!$A$3:$A$302,0)),"미등록사번"))</f>
        <v/>
      </c>
      <c r="D2318" s="13" t="str">
        <f aca="false">IF($B2318="","",IFERROR(INDEX(직원목록!$C$3:$C$302,MATCH($B2318,직원목록!$A$3:$A$302,0)),""))</f>
        <v/>
      </c>
      <c r="E2318" s="14"/>
      <c r="F2318" s="14"/>
      <c r="G2318" s="15"/>
      <c r="H2318" s="16" t="str">
        <f aca="false">IF(OR($K2318="",$L2318=""),"",ROUND(MAX(0,($L2318-$K2318)-IF($G2318="",0,$G2318))/60,2))</f>
        <v/>
      </c>
      <c r="I2318" s="8"/>
      <c r="J2318" s="8"/>
      <c r="K2318" s="17" t="str">
        <f aca="false">IF($E2318="","",IF($E2318&lt;1,ROUND($E2318*1440,0),INT($E2318/100)*60+MOD($E2318,100)))</f>
        <v/>
      </c>
      <c r="L2318" s="17" t="str">
        <f aca="false">IF($F2318="","",IF($F2318&lt;1,ROUND($F2318*1440,0),INT($F2318/100)*60+MOD($F2318,100)))</f>
        <v/>
      </c>
    </row>
    <row r="2319" customFormat="false" ht="15" hidden="false" customHeight="true" outlineLevel="0" collapsed="false">
      <c r="A2319" s="10"/>
      <c r="B2319" s="8"/>
      <c r="C2319" s="13" t="str">
        <f aca="false">IF($B2319="","",IFERROR(INDEX(직원목록!$B$3:$B$302,MATCH($B2319,직원목록!$A$3:$A$302,0)),"미등록사번"))</f>
        <v/>
      </c>
      <c r="D2319" s="13" t="str">
        <f aca="false">IF($B2319="","",IFERROR(INDEX(직원목록!$C$3:$C$302,MATCH($B2319,직원목록!$A$3:$A$302,0)),""))</f>
        <v/>
      </c>
      <c r="E2319" s="14"/>
      <c r="F2319" s="14"/>
      <c r="G2319" s="15"/>
      <c r="H2319" s="16" t="str">
        <f aca="false">IF(OR($K2319="",$L2319=""),"",ROUND(MAX(0,($L2319-$K2319)-IF($G2319="",0,$G2319))/60,2))</f>
        <v/>
      </c>
      <c r="I2319" s="8"/>
      <c r="J2319" s="8"/>
      <c r="K2319" s="17" t="str">
        <f aca="false">IF($E2319="","",IF($E2319&lt;1,ROUND($E2319*1440,0),INT($E2319/100)*60+MOD($E2319,100)))</f>
        <v/>
      </c>
      <c r="L2319" s="17" t="str">
        <f aca="false">IF($F2319="","",IF($F2319&lt;1,ROUND($F2319*1440,0),INT($F2319/100)*60+MOD($F2319,100)))</f>
        <v/>
      </c>
    </row>
    <row r="2320" customFormat="false" ht="15" hidden="false" customHeight="true" outlineLevel="0" collapsed="false">
      <c r="A2320" s="10"/>
      <c r="B2320" s="8"/>
      <c r="C2320" s="13" t="str">
        <f aca="false">IF($B2320="","",IFERROR(INDEX(직원목록!$B$3:$B$302,MATCH($B2320,직원목록!$A$3:$A$302,0)),"미등록사번"))</f>
        <v/>
      </c>
      <c r="D2320" s="13" t="str">
        <f aca="false">IF($B2320="","",IFERROR(INDEX(직원목록!$C$3:$C$302,MATCH($B2320,직원목록!$A$3:$A$302,0)),""))</f>
        <v/>
      </c>
      <c r="E2320" s="14"/>
      <c r="F2320" s="14"/>
      <c r="G2320" s="15"/>
      <c r="H2320" s="16" t="str">
        <f aca="false">IF(OR($K2320="",$L2320=""),"",ROUND(MAX(0,($L2320-$K2320)-IF($G2320="",0,$G2320))/60,2))</f>
        <v/>
      </c>
      <c r="I2320" s="8"/>
      <c r="J2320" s="8"/>
      <c r="K2320" s="17" t="str">
        <f aca="false">IF($E2320="","",IF($E2320&lt;1,ROUND($E2320*1440,0),INT($E2320/100)*60+MOD($E2320,100)))</f>
        <v/>
      </c>
      <c r="L2320" s="17" t="str">
        <f aca="false">IF($F2320="","",IF($F2320&lt;1,ROUND($F2320*1440,0),INT($F2320/100)*60+MOD($F2320,100)))</f>
        <v/>
      </c>
    </row>
    <row r="2321" customFormat="false" ht="15" hidden="false" customHeight="true" outlineLevel="0" collapsed="false">
      <c r="A2321" s="10"/>
      <c r="B2321" s="8"/>
      <c r="C2321" s="13" t="str">
        <f aca="false">IF($B2321="","",IFERROR(INDEX(직원목록!$B$3:$B$302,MATCH($B2321,직원목록!$A$3:$A$302,0)),"미등록사번"))</f>
        <v/>
      </c>
      <c r="D2321" s="13" t="str">
        <f aca="false">IF($B2321="","",IFERROR(INDEX(직원목록!$C$3:$C$302,MATCH($B2321,직원목록!$A$3:$A$302,0)),""))</f>
        <v/>
      </c>
      <c r="E2321" s="14"/>
      <c r="F2321" s="14"/>
      <c r="G2321" s="15"/>
      <c r="H2321" s="16" t="str">
        <f aca="false">IF(OR($K2321="",$L2321=""),"",ROUND(MAX(0,($L2321-$K2321)-IF($G2321="",0,$G2321))/60,2))</f>
        <v/>
      </c>
      <c r="I2321" s="8"/>
      <c r="J2321" s="8"/>
      <c r="K2321" s="17" t="str">
        <f aca="false">IF($E2321="","",IF($E2321&lt;1,ROUND($E2321*1440,0),INT($E2321/100)*60+MOD($E2321,100)))</f>
        <v/>
      </c>
      <c r="L2321" s="17" t="str">
        <f aca="false">IF($F2321="","",IF($F2321&lt;1,ROUND($F2321*1440,0),INT($F2321/100)*60+MOD($F2321,100)))</f>
        <v/>
      </c>
    </row>
    <row r="2322" customFormat="false" ht="15" hidden="false" customHeight="true" outlineLevel="0" collapsed="false">
      <c r="A2322" s="10"/>
      <c r="B2322" s="8"/>
      <c r="C2322" s="13" t="str">
        <f aca="false">IF($B2322="","",IFERROR(INDEX(직원목록!$B$3:$B$302,MATCH($B2322,직원목록!$A$3:$A$302,0)),"미등록사번"))</f>
        <v/>
      </c>
      <c r="D2322" s="13" t="str">
        <f aca="false">IF($B2322="","",IFERROR(INDEX(직원목록!$C$3:$C$302,MATCH($B2322,직원목록!$A$3:$A$302,0)),""))</f>
        <v/>
      </c>
      <c r="E2322" s="14"/>
      <c r="F2322" s="14"/>
      <c r="G2322" s="15"/>
      <c r="H2322" s="16" t="str">
        <f aca="false">IF(OR($K2322="",$L2322=""),"",ROUND(MAX(0,($L2322-$K2322)-IF($G2322="",0,$G2322))/60,2))</f>
        <v/>
      </c>
      <c r="I2322" s="8"/>
      <c r="J2322" s="8"/>
      <c r="K2322" s="17" t="str">
        <f aca="false">IF($E2322="","",IF($E2322&lt;1,ROUND($E2322*1440,0),INT($E2322/100)*60+MOD($E2322,100)))</f>
        <v/>
      </c>
      <c r="L2322" s="17" t="str">
        <f aca="false">IF($F2322="","",IF($F2322&lt;1,ROUND($F2322*1440,0),INT($F2322/100)*60+MOD($F2322,100)))</f>
        <v/>
      </c>
    </row>
    <row r="2323" customFormat="false" ht="15" hidden="false" customHeight="true" outlineLevel="0" collapsed="false">
      <c r="A2323" s="10"/>
      <c r="B2323" s="8"/>
      <c r="C2323" s="13" t="str">
        <f aca="false">IF($B2323="","",IFERROR(INDEX(직원목록!$B$3:$B$302,MATCH($B2323,직원목록!$A$3:$A$302,0)),"미등록사번"))</f>
        <v/>
      </c>
      <c r="D2323" s="13" t="str">
        <f aca="false">IF($B2323="","",IFERROR(INDEX(직원목록!$C$3:$C$302,MATCH($B2323,직원목록!$A$3:$A$302,0)),""))</f>
        <v/>
      </c>
      <c r="E2323" s="14"/>
      <c r="F2323" s="14"/>
      <c r="G2323" s="15"/>
      <c r="H2323" s="16" t="str">
        <f aca="false">IF(OR($K2323="",$L2323=""),"",ROUND(MAX(0,($L2323-$K2323)-IF($G2323="",0,$G2323))/60,2))</f>
        <v/>
      </c>
      <c r="I2323" s="8"/>
      <c r="J2323" s="8"/>
      <c r="K2323" s="17" t="str">
        <f aca="false">IF($E2323="","",IF($E2323&lt;1,ROUND($E2323*1440,0),INT($E2323/100)*60+MOD($E2323,100)))</f>
        <v/>
      </c>
      <c r="L2323" s="17" t="str">
        <f aca="false">IF($F2323="","",IF($F2323&lt;1,ROUND($F2323*1440,0),INT($F2323/100)*60+MOD($F2323,100)))</f>
        <v/>
      </c>
    </row>
    <row r="2324" customFormat="false" ht="15" hidden="false" customHeight="true" outlineLevel="0" collapsed="false">
      <c r="A2324" s="10"/>
      <c r="B2324" s="8"/>
      <c r="C2324" s="13" t="str">
        <f aca="false">IF($B2324="","",IFERROR(INDEX(직원목록!$B$3:$B$302,MATCH($B2324,직원목록!$A$3:$A$302,0)),"미등록사번"))</f>
        <v/>
      </c>
      <c r="D2324" s="13" t="str">
        <f aca="false">IF($B2324="","",IFERROR(INDEX(직원목록!$C$3:$C$302,MATCH($B2324,직원목록!$A$3:$A$302,0)),""))</f>
        <v/>
      </c>
      <c r="E2324" s="14"/>
      <c r="F2324" s="14"/>
      <c r="G2324" s="15"/>
      <c r="H2324" s="16" t="str">
        <f aca="false">IF(OR($K2324="",$L2324=""),"",ROUND(MAX(0,($L2324-$K2324)-IF($G2324="",0,$G2324))/60,2))</f>
        <v/>
      </c>
      <c r="I2324" s="8"/>
      <c r="J2324" s="8"/>
      <c r="K2324" s="17" t="str">
        <f aca="false">IF($E2324="","",IF($E2324&lt;1,ROUND($E2324*1440,0),INT($E2324/100)*60+MOD($E2324,100)))</f>
        <v/>
      </c>
      <c r="L2324" s="17" t="str">
        <f aca="false">IF($F2324="","",IF($F2324&lt;1,ROUND($F2324*1440,0),INT($F2324/100)*60+MOD($F2324,100)))</f>
        <v/>
      </c>
    </row>
    <row r="2325" customFormat="false" ht="15" hidden="false" customHeight="true" outlineLevel="0" collapsed="false">
      <c r="A2325" s="10"/>
      <c r="B2325" s="8"/>
      <c r="C2325" s="13" t="str">
        <f aca="false">IF($B2325="","",IFERROR(INDEX(직원목록!$B$3:$B$302,MATCH($B2325,직원목록!$A$3:$A$302,0)),"미등록사번"))</f>
        <v/>
      </c>
      <c r="D2325" s="13" t="str">
        <f aca="false">IF($B2325="","",IFERROR(INDEX(직원목록!$C$3:$C$302,MATCH($B2325,직원목록!$A$3:$A$302,0)),""))</f>
        <v/>
      </c>
      <c r="E2325" s="14"/>
      <c r="F2325" s="14"/>
      <c r="G2325" s="15"/>
      <c r="H2325" s="16" t="str">
        <f aca="false">IF(OR($K2325="",$L2325=""),"",ROUND(MAX(0,($L2325-$K2325)-IF($G2325="",0,$G2325))/60,2))</f>
        <v/>
      </c>
      <c r="I2325" s="8"/>
      <c r="J2325" s="8"/>
      <c r="K2325" s="17" t="str">
        <f aca="false">IF($E2325="","",IF($E2325&lt;1,ROUND($E2325*1440,0),INT($E2325/100)*60+MOD($E2325,100)))</f>
        <v/>
      </c>
      <c r="L2325" s="17" t="str">
        <f aca="false">IF($F2325="","",IF($F2325&lt;1,ROUND($F2325*1440,0),INT($F2325/100)*60+MOD($F2325,100)))</f>
        <v/>
      </c>
    </row>
    <row r="2326" customFormat="false" ht="15" hidden="false" customHeight="true" outlineLevel="0" collapsed="false">
      <c r="A2326" s="10"/>
      <c r="B2326" s="8"/>
      <c r="C2326" s="13" t="str">
        <f aca="false">IF($B2326="","",IFERROR(INDEX(직원목록!$B$3:$B$302,MATCH($B2326,직원목록!$A$3:$A$302,0)),"미등록사번"))</f>
        <v/>
      </c>
      <c r="D2326" s="13" t="str">
        <f aca="false">IF($B2326="","",IFERROR(INDEX(직원목록!$C$3:$C$302,MATCH($B2326,직원목록!$A$3:$A$302,0)),""))</f>
        <v/>
      </c>
      <c r="E2326" s="14"/>
      <c r="F2326" s="14"/>
      <c r="G2326" s="15"/>
      <c r="H2326" s="16" t="str">
        <f aca="false">IF(OR($K2326="",$L2326=""),"",ROUND(MAX(0,($L2326-$K2326)-IF($G2326="",0,$G2326))/60,2))</f>
        <v/>
      </c>
      <c r="I2326" s="8"/>
      <c r="J2326" s="8"/>
      <c r="K2326" s="17" t="str">
        <f aca="false">IF($E2326="","",IF($E2326&lt;1,ROUND($E2326*1440,0),INT($E2326/100)*60+MOD($E2326,100)))</f>
        <v/>
      </c>
      <c r="L2326" s="17" t="str">
        <f aca="false">IF($F2326="","",IF($F2326&lt;1,ROUND($F2326*1440,0),INT($F2326/100)*60+MOD($F2326,100)))</f>
        <v/>
      </c>
    </row>
    <row r="2327" customFormat="false" ht="15" hidden="false" customHeight="true" outlineLevel="0" collapsed="false">
      <c r="A2327" s="10"/>
      <c r="B2327" s="8"/>
      <c r="C2327" s="13" t="str">
        <f aca="false">IF($B2327="","",IFERROR(INDEX(직원목록!$B$3:$B$302,MATCH($B2327,직원목록!$A$3:$A$302,0)),"미등록사번"))</f>
        <v/>
      </c>
      <c r="D2327" s="13" t="str">
        <f aca="false">IF($B2327="","",IFERROR(INDEX(직원목록!$C$3:$C$302,MATCH($B2327,직원목록!$A$3:$A$302,0)),""))</f>
        <v/>
      </c>
      <c r="E2327" s="14"/>
      <c r="F2327" s="14"/>
      <c r="G2327" s="15"/>
      <c r="H2327" s="16" t="str">
        <f aca="false">IF(OR($K2327="",$L2327=""),"",ROUND(MAX(0,($L2327-$K2327)-IF($G2327="",0,$G2327))/60,2))</f>
        <v/>
      </c>
      <c r="I2327" s="8"/>
      <c r="J2327" s="8"/>
      <c r="K2327" s="17" t="str">
        <f aca="false">IF($E2327="","",IF($E2327&lt;1,ROUND($E2327*1440,0),INT($E2327/100)*60+MOD($E2327,100)))</f>
        <v/>
      </c>
      <c r="L2327" s="17" t="str">
        <f aca="false">IF($F2327="","",IF($F2327&lt;1,ROUND($F2327*1440,0),INT($F2327/100)*60+MOD($F2327,100)))</f>
        <v/>
      </c>
    </row>
    <row r="2328" customFormat="false" ht="15" hidden="false" customHeight="true" outlineLevel="0" collapsed="false">
      <c r="A2328" s="10"/>
      <c r="B2328" s="8"/>
      <c r="C2328" s="13" t="str">
        <f aca="false">IF($B2328="","",IFERROR(INDEX(직원목록!$B$3:$B$302,MATCH($B2328,직원목록!$A$3:$A$302,0)),"미등록사번"))</f>
        <v/>
      </c>
      <c r="D2328" s="13" t="str">
        <f aca="false">IF($B2328="","",IFERROR(INDEX(직원목록!$C$3:$C$302,MATCH($B2328,직원목록!$A$3:$A$302,0)),""))</f>
        <v/>
      </c>
      <c r="E2328" s="14"/>
      <c r="F2328" s="14"/>
      <c r="G2328" s="15"/>
      <c r="H2328" s="16" t="str">
        <f aca="false">IF(OR($K2328="",$L2328=""),"",ROUND(MAX(0,($L2328-$K2328)-IF($G2328="",0,$G2328))/60,2))</f>
        <v/>
      </c>
      <c r="I2328" s="8"/>
      <c r="J2328" s="8"/>
      <c r="K2328" s="17" t="str">
        <f aca="false">IF($E2328="","",IF($E2328&lt;1,ROUND($E2328*1440,0),INT($E2328/100)*60+MOD($E2328,100)))</f>
        <v/>
      </c>
      <c r="L2328" s="17" t="str">
        <f aca="false">IF($F2328="","",IF($F2328&lt;1,ROUND($F2328*1440,0),INT($F2328/100)*60+MOD($F2328,100)))</f>
        <v/>
      </c>
    </row>
    <row r="2329" customFormat="false" ht="15" hidden="false" customHeight="true" outlineLevel="0" collapsed="false">
      <c r="A2329" s="10"/>
      <c r="B2329" s="8"/>
      <c r="C2329" s="13" t="str">
        <f aca="false">IF($B2329="","",IFERROR(INDEX(직원목록!$B$3:$B$302,MATCH($B2329,직원목록!$A$3:$A$302,0)),"미등록사번"))</f>
        <v/>
      </c>
      <c r="D2329" s="13" t="str">
        <f aca="false">IF($B2329="","",IFERROR(INDEX(직원목록!$C$3:$C$302,MATCH($B2329,직원목록!$A$3:$A$302,0)),""))</f>
        <v/>
      </c>
      <c r="E2329" s="14"/>
      <c r="F2329" s="14"/>
      <c r="G2329" s="15"/>
      <c r="H2329" s="16" t="str">
        <f aca="false">IF(OR($K2329="",$L2329=""),"",ROUND(MAX(0,($L2329-$K2329)-IF($G2329="",0,$G2329))/60,2))</f>
        <v/>
      </c>
      <c r="I2329" s="8"/>
      <c r="J2329" s="8"/>
      <c r="K2329" s="17" t="str">
        <f aca="false">IF($E2329="","",IF($E2329&lt;1,ROUND($E2329*1440,0),INT($E2329/100)*60+MOD($E2329,100)))</f>
        <v/>
      </c>
      <c r="L2329" s="17" t="str">
        <f aca="false">IF($F2329="","",IF($F2329&lt;1,ROUND($F2329*1440,0),INT($F2329/100)*60+MOD($F2329,100)))</f>
        <v/>
      </c>
    </row>
    <row r="2330" customFormat="false" ht="15" hidden="false" customHeight="true" outlineLevel="0" collapsed="false">
      <c r="A2330" s="10"/>
      <c r="B2330" s="8"/>
      <c r="C2330" s="13" t="str">
        <f aca="false">IF($B2330="","",IFERROR(INDEX(직원목록!$B$3:$B$302,MATCH($B2330,직원목록!$A$3:$A$302,0)),"미등록사번"))</f>
        <v/>
      </c>
      <c r="D2330" s="13" t="str">
        <f aca="false">IF($B2330="","",IFERROR(INDEX(직원목록!$C$3:$C$302,MATCH($B2330,직원목록!$A$3:$A$302,0)),""))</f>
        <v/>
      </c>
      <c r="E2330" s="14"/>
      <c r="F2330" s="14"/>
      <c r="G2330" s="15"/>
      <c r="H2330" s="16" t="str">
        <f aca="false">IF(OR($K2330="",$L2330=""),"",ROUND(MAX(0,($L2330-$K2330)-IF($G2330="",0,$G2330))/60,2))</f>
        <v/>
      </c>
      <c r="I2330" s="8"/>
      <c r="J2330" s="8"/>
      <c r="K2330" s="17" t="str">
        <f aca="false">IF($E2330="","",IF($E2330&lt;1,ROUND($E2330*1440,0),INT($E2330/100)*60+MOD($E2330,100)))</f>
        <v/>
      </c>
      <c r="L2330" s="17" t="str">
        <f aca="false">IF($F2330="","",IF($F2330&lt;1,ROUND($F2330*1440,0),INT($F2330/100)*60+MOD($F2330,100)))</f>
        <v/>
      </c>
    </row>
    <row r="2331" customFormat="false" ht="15" hidden="false" customHeight="true" outlineLevel="0" collapsed="false">
      <c r="A2331" s="10"/>
      <c r="B2331" s="8"/>
      <c r="C2331" s="13" t="str">
        <f aca="false">IF($B2331="","",IFERROR(INDEX(직원목록!$B$3:$B$302,MATCH($B2331,직원목록!$A$3:$A$302,0)),"미등록사번"))</f>
        <v/>
      </c>
      <c r="D2331" s="13" t="str">
        <f aca="false">IF($B2331="","",IFERROR(INDEX(직원목록!$C$3:$C$302,MATCH($B2331,직원목록!$A$3:$A$302,0)),""))</f>
        <v/>
      </c>
      <c r="E2331" s="14"/>
      <c r="F2331" s="14"/>
      <c r="G2331" s="15"/>
      <c r="H2331" s="16" t="str">
        <f aca="false">IF(OR($K2331="",$L2331=""),"",ROUND(MAX(0,($L2331-$K2331)-IF($G2331="",0,$G2331))/60,2))</f>
        <v/>
      </c>
      <c r="I2331" s="8"/>
      <c r="J2331" s="8"/>
      <c r="K2331" s="17" t="str">
        <f aca="false">IF($E2331="","",IF($E2331&lt;1,ROUND($E2331*1440,0),INT($E2331/100)*60+MOD($E2331,100)))</f>
        <v/>
      </c>
      <c r="L2331" s="17" t="str">
        <f aca="false">IF($F2331="","",IF($F2331&lt;1,ROUND($F2331*1440,0),INT($F2331/100)*60+MOD($F2331,100)))</f>
        <v/>
      </c>
    </row>
    <row r="2332" customFormat="false" ht="15" hidden="false" customHeight="true" outlineLevel="0" collapsed="false">
      <c r="A2332" s="10"/>
      <c r="B2332" s="8"/>
      <c r="C2332" s="13" t="str">
        <f aca="false">IF($B2332="","",IFERROR(INDEX(직원목록!$B$3:$B$302,MATCH($B2332,직원목록!$A$3:$A$302,0)),"미등록사번"))</f>
        <v/>
      </c>
      <c r="D2332" s="13" t="str">
        <f aca="false">IF($B2332="","",IFERROR(INDEX(직원목록!$C$3:$C$302,MATCH($B2332,직원목록!$A$3:$A$302,0)),""))</f>
        <v/>
      </c>
      <c r="E2332" s="14"/>
      <c r="F2332" s="14"/>
      <c r="G2332" s="15"/>
      <c r="H2332" s="16" t="str">
        <f aca="false">IF(OR($K2332="",$L2332=""),"",ROUND(MAX(0,($L2332-$K2332)-IF($G2332="",0,$G2332))/60,2))</f>
        <v/>
      </c>
      <c r="I2332" s="8"/>
      <c r="J2332" s="8"/>
      <c r="K2332" s="17" t="str">
        <f aca="false">IF($E2332="","",IF($E2332&lt;1,ROUND($E2332*1440,0),INT($E2332/100)*60+MOD($E2332,100)))</f>
        <v/>
      </c>
      <c r="L2332" s="17" t="str">
        <f aca="false">IF($F2332="","",IF($F2332&lt;1,ROUND($F2332*1440,0),INT($F2332/100)*60+MOD($F2332,100)))</f>
        <v/>
      </c>
    </row>
    <row r="2333" customFormat="false" ht="15" hidden="false" customHeight="true" outlineLevel="0" collapsed="false">
      <c r="A2333" s="10"/>
      <c r="B2333" s="8"/>
      <c r="C2333" s="13" t="str">
        <f aca="false">IF($B2333="","",IFERROR(INDEX(직원목록!$B$3:$B$302,MATCH($B2333,직원목록!$A$3:$A$302,0)),"미등록사번"))</f>
        <v/>
      </c>
      <c r="D2333" s="13" t="str">
        <f aca="false">IF($B2333="","",IFERROR(INDEX(직원목록!$C$3:$C$302,MATCH($B2333,직원목록!$A$3:$A$302,0)),""))</f>
        <v/>
      </c>
      <c r="E2333" s="14"/>
      <c r="F2333" s="14"/>
      <c r="G2333" s="15"/>
      <c r="H2333" s="16" t="str">
        <f aca="false">IF(OR($K2333="",$L2333=""),"",ROUND(MAX(0,($L2333-$K2333)-IF($G2333="",0,$G2333))/60,2))</f>
        <v/>
      </c>
      <c r="I2333" s="8"/>
      <c r="J2333" s="8"/>
      <c r="K2333" s="17" t="str">
        <f aca="false">IF($E2333="","",IF($E2333&lt;1,ROUND($E2333*1440,0),INT($E2333/100)*60+MOD($E2333,100)))</f>
        <v/>
      </c>
      <c r="L2333" s="17" t="str">
        <f aca="false">IF($F2333="","",IF($F2333&lt;1,ROUND($F2333*1440,0),INT($F2333/100)*60+MOD($F2333,100)))</f>
        <v/>
      </c>
    </row>
    <row r="2334" customFormat="false" ht="15" hidden="false" customHeight="true" outlineLevel="0" collapsed="false">
      <c r="A2334" s="10"/>
      <c r="B2334" s="8"/>
      <c r="C2334" s="13" t="str">
        <f aca="false">IF($B2334="","",IFERROR(INDEX(직원목록!$B$3:$B$302,MATCH($B2334,직원목록!$A$3:$A$302,0)),"미등록사번"))</f>
        <v/>
      </c>
      <c r="D2334" s="13" t="str">
        <f aca="false">IF($B2334="","",IFERROR(INDEX(직원목록!$C$3:$C$302,MATCH($B2334,직원목록!$A$3:$A$302,0)),""))</f>
        <v/>
      </c>
      <c r="E2334" s="14"/>
      <c r="F2334" s="14"/>
      <c r="G2334" s="15"/>
      <c r="H2334" s="16" t="str">
        <f aca="false">IF(OR($K2334="",$L2334=""),"",ROUND(MAX(0,($L2334-$K2334)-IF($G2334="",0,$G2334))/60,2))</f>
        <v/>
      </c>
      <c r="I2334" s="8"/>
      <c r="J2334" s="8"/>
      <c r="K2334" s="17" t="str">
        <f aca="false">IF($E2334="","",IF($E2334&lt;1,ROUND($E2334*1440,0),INT($E2334/100)*60+MOD($E2334,100)))</f>
        <v/>
      </c>
      <c r="L2334" s="17" t="str">
        <f aca="false">IF($F2334="","",IF($F2334&lt;1,ROUND($F2334*1440,0),INT($F2334/100)*60+MOD($F2334,100)))</f>
        <v/>
      </c>
    </row>
    <row r="2335" customFormat="false" ht="15" hidden="false" customHeight="true" outlineLevel="0" collapsed="false">
      <c r="A2335" s="10"/>
      <c r="B2335" s="8"/>
      <c r="C2335" s="13" t="str">
        <f aca="false">IF($B2335="","",IFERROR(INDEX(직원목록!$B$3:$B$302,MATCH($B2335,직원목록!$A$3:$A$302,0)),"미등록사번"))</f>
        <v/>
      </c>
      <c r="D2335" s="13" t="str">
        <f aca="false">IF($B2335="","",IFERROR(INDEX(직원목록!$C$3:$C$302,MATCH($B2335,직원목록!$A$3:$A$302,0)),""))</f>
        <v/>
      </c>
      <c r="E2335" s="14"/>
      <c r="F2335" s="14"/>
      <c r="G2335" s="15"/>
      <c r="H2335" s="16" t="str">
        <f aca="false">IF(OR($K2335="",$L2335=""),"",ROUND(MAX(0,($L2335-$K2335)-IF($G2335="",0,$G2335))/60,2))</f>
        <v/>
      </c>
      <c r="I2335" s="8"/>
      <c r="J2335" s="8"/>
      <c r="K2335" s="17" t="str">
        <f aca="false">IF($E2335="","",IF($E2335&lt;1,ROUND($E2335*1440,0),INT($E2335/100)*60+MOD($E2335,100)))</f>
        <v/>
      </c>
      <c r="L2335" s="17" t="str">
        <f aca="false">IF($F2335="","",IF($F2335&lt;1,ROUND($F2335*1440,0),INT($F2335/100)*60+MOD($F2335,100)))</f>
        <v/>
      </c>
    </row>
    <row r="2336" customFormat="false" ht="15" hidden="false" customHeight="true" outlineLevel="0" collapsed="false">
      <c r="A2336" s="10"/>
      <c r="B2336" s="8"/>
      <c r="C2336" s="13" t="str">
        <f aca="false">IF($B2336="","",IFERROR(INDEX(직원목록!$B$3:$B$302,MATCH($B2336,직원목록!$A$3:$A$302,0)),"미등록사번"))</f>
        <v/>
      </c>
      <c r="D2336" s="13" t="str">
        <f aca="false">IF($B2336="","",IFERROR(INDEX(직원목록!$C$3:$C$302,MATCH($B2336,직원목록!$A$3:$A$302,0)),""))</f>
        <v/>
      </c>
      <c r="E2336" s="14"/>
      <c r="F2336" s="14"/>
      <c r="G2336" s="15"/>
      <c r="H2336" s="16" t="str">
        <f aca="false">IF(OR($K2336="",$L2336=""),"",ROUND(MAX(0,($L2336-$K2336)-IF($G2336="",0,$G2336))/60,2))</f>
        <v/>
      </c>
      <c r="I2336" s="8"/>
      <c r="J2336" s="8"/>
      <c r="K2336" s="17" t="str">
        <f aca="false">IF($E2336="","",IF($E2336&lt;1,ROUND($E2336*1440,0),INT($E2336/100)*60+MOD($E2336,100)))</f>
        <v/>
      </c>
      <c r="L2336" s="17" t="str">
        <f aca="false">IF($F2336="","",IF($F2336&lt;1,ROUND($F2336*1440,0),INT($F2336/100)*60+MOD($F2336,100)))</f>
        <v/>
      </c>
    </row>
    <row r="2337" customFormat="false" ht="15" hidden="false" customHeight="true" outlineLevel="0" collapsed="false">
      <c r="A2337" s="10"/>
      <c r="B2337" s="8"/>
      <c r="C2337" s="13" t="str">
        <f aca="false">IF($B2337="","",IFERROR(INDEX(직원목록!$B$3:$B$302,MATCH($B2337,직원목록!$A$3:$A$302,0)),"미등록사번"))</f>
        <v/>
      </c>
      <c r="D2337" s="13" t="str">
        <f aca="false">IF($B2337="","",IFERROR(INDEX(직원목록!$C$3:$C$302,MATCH($B2337,직원목록!$A$3:$A$302,0)),""))</f>
        <v/>
      </c>
      <c r="E2337" s="14"/>
      <c r="F2337" s="14"/>
      <c r="G2337" s="15"/>
      <c r="H2337" s="16" t="str">
        <f aca="false">IF(OR($K2337="",$L2337=""),"",ROUND(MAX(0,($L2337-$K2337)-IF($G2337="",0,$G2337))/60,2))</f>
        <v/>
      </c>
      <c r="I2337" s="8"/>
      <c r="J2337" s="8"/>
      <c r="K2337" s="17" t="str">
        <f aca="false">IF($E2337="","",IF($E2337&lt;1,ROUND($E2337*1440,0),INT($E2337/100)*60+MOD($E2337,100)))</f>
        <v/>
      </c>
      <c r="L2337" s="17" t="str">
        <f aca="false">IF($F2337="","",IF($F2337&lt;1,ROUND($F2337*1440,0),INT($F2337/100)*60+MOD($F2337,100)))</f>
        <v/>
      </c>
    </row>
    <row r="2338" customFormat="false" ht="15" hidden="false" customHeight="true" outlineLevel="0" collapsed="false">
      <c r="A2338" s="10"/>
      <c r="B2338" s="8"/>
      <c r="C2338" s="13" t="str">
        <f aca="false">IF($B2338="","",IFERROR(INDEX(직원목록!$B$3:$B$302,MATCH($B2338,직원목록!$A$3:$A$302,0)),"미등록사번"))</f>
        <v/>
      </c>
      <c r="D2338" s="13" t="str">
        <f aca="false">IF($B2338="","",IFERROR(INDEX(직원목록!$C$3:$C$302,MATCH($B2338,직원목록!$A$3:$A$302,0)),""))</f>
        <v/>
      </c>
      <c r="E2338" s="14"/>
      <c r="F2338" s="14"/>
      <c r="G2338" s="15"/>
      <c r="H2338" s="16" t="str">
        <f aca="false">IF(OR($K2338="",$L2338=""),"",ROUND(MAX(0,($L2338-$K2338)-IF($G2338="",0,$G2338))/60,2))</f>
        <v/>
      </c>
      <c r="I2338" s="8"/>
      <c r="J2338" s="8"/>
      <c r="K2338" s="17" t="str">
        <f aca="false">IF($E2338="","",IF($E2338&lt;1,ROUND($E2338*1440,0),INT($E2338/100)*60+MOD($E2338,100)))</f>
        <v/>
      </c>
      <c r="L2338" s="17" t="str">
        <f aca="false">IF($F2338="","",IF($F2338&lt;1,ROUND($F2338*1440,0),INT($F2338/100)*60+MOD($F2338,100)))</f>
        <v/>
      </c>
    </row>
    <row r="2339" customFormat="false" ht="15" hidden="false" customHeight="true" outlineLevel="0" collapsed="false">
      <c r="A2339" s="10"/>
      <c r="B2339" s="8"/>
      <c r="C2339" s="13" t="str">
        <f aca="false">IF($B2339="","",IFERROR(INDEX(직원목록!$B$3:$B$302,MATCH($B2339,직원목록!$A$3:$A$302,0)),"미등록사번"))</f>
        <v/>
      </c>
      <c r="D2339" s="13" t="str">
        <f aca="false">IF($B2339="","",IFERROR(INDEX(직원목록!$C$3:$C$302,MATCH($B2339,직원목록!$A$3:$A$302,0)),""))</f>
        <v/>
      </c>
      <c r="E2339" s="14"/>
      <c r="F2339" s="14"/>
      <c r="G2339" s="15"/>
      <c r="H2339" s="16" t="str">
        <f aca="false">IF(OR($K2339="",$L2339=""),"",ROUND(MAX(0,($L2339-$K2339)-IF($G2339="",0,$G2339))/60,2))</f>
        <v/>
      </c>
      <c r="I2339" s="8"/>
      <c r="J2339" s="8"/>
      <c r="K2339" s="17" t="str">
        <f aca="false">IF($E2339="","",IF($E2339&lt;1,ROUND($E2339*1440,0),INT($E2339/100)*60+MOD($E2339,100)))</f>
        <v/>
      </c>
      <c r="L2339" s="17" t="str">
        <f aca="false">IF($F2339="","",IF($F2339&lt;1,ROUND($F2339*1440,0),INT($F2339/100)*60+MOD($F2339,100)))</f>
        <v/>
      </c>
    </row>
    <row r="2340" customFormat="false" ht="15" hidden="false" customHeight="true" outlineLevel="0" collapsed="false">
      <c r="A2340" s="10"/>
      <c r="B2340" s="8"/>
      <c r="C2340" s="13" t="str">
        <f aca="false">IF($B2340="","",IFERROR(INDEX(직원목록!$B$3:$B$302,MATCH($B2340,직원목록!$A$3:$A$302,0)),"미등록사번"))</f>
        <v/>
      </c>
      <c r="D2340" s="13" t="str">
        <f aca="false">IF($B2340="","",IFERROR(INDEX(직원목록!$C$3:$C$302,MATCH($B2340,직원목록!$A$3:$A$302,0)),""))</f>
        <v/>
      </c>
      <c r="E2340" s="14"/>
      <c r="F2340" s="14"/>
      <c r="G2340" s="15"/>
      <c r="H2340" s="16" t="str">
        <f aca="false">IF(OR($K2340="",$L2340=""),"",ROUND(MAX(0,($L2340-$K2340)-IF($G2340="",0,$G2340))/60,2))</f>
        <v/>
      </c>
      <c r="I2340" s="8"/>
      <c r="J2340" s="8"/>
      <c r="K2340" s="17" t="str">
        <f aca="false">IF($E2340="","",IF($E2340&lt;1,ROUND($E2340*1440,0),INT($E2340/100)*60+MOD($E2340,100)))</f>
        <v/>
      </c>
      <c r="L2340" s="17" t="str">
        <f aca="false">IF($F2340="","",IF($F2340&lt;1,ROUND($F2340*1440,0),INT($F2340/100)*60+MOD($F2340,100)))</f>
        <v/>
      </c>
    </row>
    <row r="2341" customFormat="false" ht="15" hidden="false" customHeight="true" outlineLevel="0" collapsed="false">
      <c r="A2341" s="10"/>
      <c r="B2341" s="8"/>
      <c r="C2341" s="13" t="str">
        <f aca="false">IF($B2341="","",IFERROR(INDEX(직원목록!$B$3:$B$302,MATCH($B2341,직원목록!$A$3:$A$302,0)),"미등록사번"))</f>
        <v/>
      </c>
      <c r="D2341" s="13" t="str">
        <f aca="false">IF($B2341="","",IFERROR(INDEX(직원목록!$C$3:$C$302,MATCH($B2341,직원목록!$A$3:$A$302,0)),""))</f>
        <v/>
      </c>
      <c r="E2341" s="14"/>
      <c r="F2341" s="14"/>
      <c r="G2341" s="15"/>
      <c r="H2341" s="16" t="str">
        <f aca="false">IF(OR($K2341="",$L2341=""),"",ROUND(MAX(0,($L2341-$K2341)-IF($G2341="",0,$G2341))/60,2))</f>
        <v/>
      </c>
      <c r="I2341" s="8"/>
      <c r="J2341" s="8"/>
      <c r="K2341" s="17" t="str">
        <f aca="false">IF($E2341="","",IF($E2341&lt;1,ROUND($E2341*1440,0),INT($E2341/100)*60+MOD($E2341,100)))</f>
        <v/>
      </c>
      <c r="L2341" s="17" t="str">
        <f aca="false">IF($F2341="","",IF($F2341&lt;1,ROUND($F2341*1440,0),INT($F2341/100)*60+MOD($F2341,100)))</f>
        <v/>
      </c>
    </row>
    <row r="2342" customFormat="false" ht="15" hidden="false" customHeight="true" outlineLevel="0" collapsed="false">
      <c r="A2342" s="10"/>
      <c r="B2342" s="8"/>
      <c r="C2342" s="13" t="str">
        <f aca="false">IF($B2342="","",IFERROR(INDEX(직원목록!$B$3:$B$302,MATCH($B2342,직원목록!$A$3:$A$302,0)),"미등록사번"))</f>
        <v/>
      </c>
      <c r="D2342" s="13" t="str">
        <f aca="false">IF($B2342="","",IFERROR(INDEX(직원목록!$C$3:$C$302,MATCH($B2342,직원목록!$A$3:$A$302,0)),""))</f>
        <v/>
      </c>
      <c r="E2342" s="14"/>
      <c r="F2342" s="14"/>
      <c r="G2342" s="15"/>
      <c r="H2342" s="16" t="str">
        <f aca="false">IF(OR($K2342="",$L2342=""),"",ROUND(MAX(0,($L2342-$K2342)-IF($G2342="",0,$G2342))/60,2))</f>
        <v/>
      </c>
      <c r="I2342" s="8"/>
      <c r="J2342" s="8"/>
      <c r="K2342" s="17" t="str">
        <f aca="false">IF($E2342="","",IF($E2342&lt;1,ROUND($E2342*1440,0),INT($E2342/100)*60+MOD($E2342,100)))</f>
        <v/>
      </c>
      <c r="L2342" s="17" t="str">
        <f aca="false">IF($F2342="","",IF($F2342&lt;1,ROUND($F2342*1440,0),INT($F2342/100)*60+MOD($F2342,100)))</f>
        <v/>
      </c>
    </row>
    <row r="2343" customFormat="false" ht="15" hidden="false" customHeight="true" outlineLevel="0" collapsed="false">
      <c r="A2343" s="10"/>
      <c r="B2343" s="8"/>
      <c r="C2343" s="13" t="str">
        <f aca="false">IF($B2343="","",IFERROR(INDEX(직원목록!$B$3:$B$302,MATCH($B2343,직원목록!$A$3:$A$302,0)),"미등록사번"))</f>
        <v/>
      </c>
      <c r="D2343" s="13" t="str">
        <f aca="false">IF($B2343="","",IFERROR(INDEX(직원목록!$C$3:$C$302,MATCH($B2343,직원목록!$A$3:$A$302,0)),""))</f>
        <v/>
      </c>
      <c r="E2343" s="14"/>
      <c r="F2343" s="14"/>
      <c r="G2343" s="15"/>
      <c r="H2343" s="16" t="str">
        <f aca="false">IF(OR($K2343="",$L2343=""),"",ROUND(MAX(0,($L2343-$K2343)-IF($G2343="",0,$G2343))/60,2))</f>
        <v/>
      </c>
      <c r="I2343" s="8"/>
      <c r="J2343" s="8"/>
      <c r="K2343" s="17" t="str">
        <f aca="false">IF($E2343="","",IF($E2343&lt;1,ROUND($E2343*1440,0),INT($E2343/100)*60+MOD($E2343,100)))</f>
        <v/>
      </c>
      <c r="L2343" s="17" t="str">
        <f aca="false">IF($F2343="","",IF($F2343&lt;1,ROUND($F2343*1440,0),INT($F2343/100)*60+MOD($F2343,100)))</f>
        <v/>
      </c>
    </row>
    <row r="2344" customFormat="false" ht="15" hidden="false" customHeight="true" outlineLevel="0" collapsed="false">
      <c r="A2344" s="10"/>
      <c r="B2344" s="8"/>
      <c r="C2344" s="13" t="str">
        <f aca="false">IF($B2344="","",IFERROR(INDEX(직원목록!$B$3:$B$302,MATCH($B2344,직원목록!$A$3:$A$302,0)),"미등록사번"))</f>
        <v/>
      </c>
      <c r="D2344" s="13" t="str">
        <f aca="false">IF($B2344="","",IFERROR(INDEX(직원목록!$C$3:$C$302,MATCH($B2344,직원목록!$A$3:$A$302,0)),""))</f>
        <v/>
      </c>
      <c r="E2344" s="14"/>
      <c r="F2344" s="14"/>
      <c r="G2344" s="15"/>
      <c r="H2344" s="16" t="str">
        <f aca="false">IF(OR($K2344="",$L2344=""),"",ROUND(MAX(0,($L2344-$K2344)-IF($G2344="",0,$G2344))/60,2))</f>
        <v/>
      </c>
      <c r="I2344" s="8"/>
      <c r="J2344" s="8"/>
      <c r="K2344" s="17" t="str">
        <f aca="false">IF($E2344="","",IF($E2344&lt;1,ROUND($E2344*1440,0),INT($E2344/100)*60+MOD($E2344,100)))</f>
        <v/>
      </c>
      <c r="L2344" s="17" t="str">
        <f aca="false">IF($F2344="","",IF($F2344&lt;1,ROUND($F2344*1440,0),INT($F2344/100)*60+MOD($F2344,100)))</f>
        <v/>
      </c>
    </row>
    <row r="2345" customFormat="false" ht="15" hidden="false" customHeight="true" outlineLevel="0" collapsed="false">
      <c r="A2345" s="10"/>
      <c r="B2345" s="8"/>
      <c r="C2345" s="13" t="str">
        <f aca="false">IF($B2345="","",IFERROR(INDEX(직원목록!$B$3:$B$302,MATCH($B2345,직원목록!$A$3:$A$302,0)),"미등록사번"))</f>
        <v/>
      </c>
      <c r="D2345" s="13" t="str">
        <f aca="false">IF($B2345="","",IFERROR(INDEX(직원목록!$C$3:$C$302,MATCH($B2345,직원목록!$A$3:$A$302,0)),""))</f>
        <v/>
      </c>
      <c r="E2345" s="14"/>
      <c r="F2345" s="14"/>
      <c r="G2345" s="15"/>
      <c r="H2345" s="16" t="str">
        <f aca="false">IF(OR($K2345="",$L2345=""),"",ROUND(MAX(0,($L2345-$K2345)-IF($G2345="",0,$G2345))/60,2))</f>
        <v/>
      </c>
      <c r="I2345" s="8"/>
      <c r="J2345" s="8"/>
      <c r="K2345" s="17" t="str">
        <f aca="false">IF($E2345="","",IF($E2345&lt;1,ROUND($E2345*1440,0),INT($E2345/100)*60+MOD($E2345,100)))</f>
        <v/>
      </c>
      <c r="L2345" s="17" t="str">
        <f aca="false">IF($F2345="","",IF($F2345&lt;1,ROUND($F2345*1440,0),INT($F2345/100)*60+MOD($F2345,100)))</f>
        <v/>
      </c>
    </row>
    <row r="2346" customFormat="false" ht="15" hidden="false" customHeight="true" outlineLevel="0" collapsed="false">
      <c r="A2346" s="10"/>
      <c r="B2346" s="8"/>
      <c r="C2346" s="13" t="str">
        <f aca="false">IF($B2346="","",IFERROR(INDEX(직원목록!$B$3:$B$302,MATCH($B2346,직원목록!$A$3:$A$302,0)),"미등록사번"))</f>
        <v/>
      </c>
      <c r="D2346" s="13" t="str">
        <f aca="false">IF($B2346="","",IFERROR(INDEX(직원목록!$C$3:$C$302,MATCH($B2346,직원목록!$A$3:$A$302,0)),""))</f>
        <v/>
      </c>
      <c r="E2346" s="14"/>
      <c r="F2346" s="14"/>
      <c r="G2346" s="15"/>
      <c r="H2346" s="16" t="str">
        <f aca="false">IF(OR($K2346="",$L2346=""),"",ROUND(MAX(0,($L2346-$K2346)-IF($G2346="",0,$G2346))/60,2))</f>
        <v/>
      </c>
      <c r="I2346" s="8"/>
      <c r="J2346" s="8"/>
      <c r="K2346" s="17" t="str">
        <f aca="false">IF($E2346="","",IF($E2346&lt;1,ROUND($E2346*1440,0),INT($E2346/100)*60+MOD($E2346,100)))</f>
        <v/>
      </c>
      <c r="L2346" s="17" t="str">
        <f aca="false">IF($F2346="","",IF($F2346&lt;1,ROUND($F2346*1440,0),INT($F2346/100)*60+MOD($F2346,100)))</f>
        <v/>
      </c>
    </row>
    <row r="2347" customFormat="false" ht="15" hidden="false" customHeight="true" outlineLevel="0" collapsed="false">
      <c r="A2347" s="10"/>
      <c r="B2347" s="8"/>
      <c r="C2347" s="13" t="str">
        <f aca="false">IF($B2347="","",IFERROR(INDEX(직원목록!$B$3:$B$302,MATCH($B2347,직원목록!$A$3:$A$302,0)),"미등록사번"))</f>
        <v/>
      </c>
      <c r="D2347" s="13" t="str">
        <f aca="false">IF($B2347="","",IFERROR(INDEX(직원목록!$C$3:$C$302,MATCH($B2347,직원목록!$A$3:$A$302,0)),""))</f>
        <v/>
      </c>
      <c r="E2347" s="14"/>
      <c r="F2347" s="14"/>
      <c r="G2347" s="15"/>
      <c r="H2347" s="16" t="str">
        <f aca="false">IF(OR($K2347="",$L2347=""),"",ROUND(MAX(0,($L2347-$K2347)-IF($G2347="",0,$G2347))/60,2))</f>
        <v/>
      </c>
      <c r="I2347" s="8"/>
      <c r="J2347" s="8"/>
      <c r="K2347" s="17" t="str">
        <f aca="false">IF($E2347="","",IF($E2347&lt;1,ROUND($E2347*1440,0),INT($E2347/100)*60+MOD($E2347,100)))</f>
        <v/>
      </c>
      <c r="L2347" s="17" t="str">
        <f aca="false">IF($F2347="","",IF($F2347&lt;1,ROUND($F2347*1440,0),INT($F2347/100)*60+MOD($F2347,100)))</f>
        <v/>
      </c>
    </row>
    <row r="2348" customFormat="false" ht="15" hidden="false" customHeight="true" outlineLevel="0" collapsed="false">
      <c r="A2348" s="10"/>
      <c r="B2348" s="8"/>
      <c r="C2348" s="13" t="str">
        <f aca="false">IF($B2348="","",IFERROR(INDEX(직원목록!$B$3:$B$302,MATCH($B2348,직원목록!$A$3:$A$302,0)),"미등록사번"))</f>
        <v/>
      </c>
      <c r="D2348" s="13" t="str">
        <f aca="false">IF($B2348="","",IFERROR(INDEX(직원목록!$C$3:$C$302,MATCH($B2348,직원목록!$A$3:$A$302,0)),""))</f>
        <v/>
      </c>
      <c r="E2348" s="14"/>
      <c r="F2348" s="14"/>
      <c r="G2348" s="15"/>
      <c r="H2348" s="16" t="str">
        <f aca="false">IF(OR($K2348="",$L2348=""),"",ROUND(MAX(0,($L2348-$K2348)-IF($G2348="",0,$G2348))/60,2))</f>
        <v/>
      </c>
      <c r="I2348" s="8"/>
      <c r="J2348" s="8"/>
      <c r="K2348" s="17" t="str">
        <f aca="false">IF($E2348="","",IF($E2348&lt;1,ROUND($E2348*1440,0),INT($E2348/100)*60+MOD($E2348,100)))</f>
        <v/>
      </c>
      <c r="L2348" s="17" t="str">
        <f aca="false">IF($F2348="","",IF($F2348&lt;1,ROUND($F2348*1440,0),INT($F2348/100)*60+MOD($F2348,100)))</f>
        <v/>
      </c>
    </row>
    <row r="2349" customFormat="false" ht="15" hidden="false" customHeight="true" outlineLevel="0" collapsed="false">
      <c r="A2349" s="10"/>
      <c r="B2349" s="8"/>
      <c r="C2349" s="13" t="str">
        <f aca="false">IF($B2349="","",IFERROR(INDEX(직원목록!$B$3:$B$302,MATCH($B2349,직원목록!$A$3:$A$302,0)),"미등록사번"))</f>
        <v/>
      </c>
      <c r="D2349" s="13" t="str">
        <f aca="false">IF($B2349="","",IFERROR(INDEX(직원목록!$C$3:$C$302,MATCH($B2349,직원목록!$A$3:$A$302,0)),""))</f>
        <v/>
      </c>
      <c r="E2349" s="14"/>
      <c r="F2349" s="14"/>
      <c r="G2349" s="15"/>
      <c r="H2349" s="16" t="str">
        <f aca="false">IF(OR($K2349="",$L2349=""),"",ROUND(MAX(0,($L2349-$K2349)-IF($G2349="",0,$G2349))/60,2))</f>
        <v/>
      </c>
      <c r="I2349" s="8"/>
      <c r="J2349" s="8"/>
      <c r="K2349" s="17" t="str">
        <f aca="false">IF($E2349="","",IF($E2349&lt;1,ROUND($E2349*1440,0),INT($E2349/100)*60+MOD($E2349,100)))</f>
        <v/>
      </c>
      <c r="L2349" s="17" t="str">
        <f aca="false">IF($F2349="","",IF($F2349&lt;1,ROUND($F2349*1440,0),INT($F2349/100)*60+MOD($F2349,100)))</f>
        <v/>
      </c>
    </row>
    <row r="2350" customFormat="false" ht="15" hidden="false" customHeight="true" outlineLevel="0" collapsed="false">
      <c r="A2350" s="10"/>
      <c r="B2350" s="8"/>
      <c r="C2350" s="13" t="str">
        <f aca="false">IF($B2350="","",IFERROR(INDEX(직원목록!$B$3:$B$302,MATCH($B2350,직원목록!$A$3:$A$302,0)),"미등록사번"))</f>
        <v/>
      </c>
      <c r="D2350" s="13" t="str">
        <f aca="false">IF($B2350="","",IFERROR(INDEX(직원목록!$C$3:$C$302,MATCH($B2350,직원목록!$A$3:$A$302,0)),""))</f>
        <v/>
      </c>
      <c r="E2350" s="14"/>
      <c r="F2350" s="14"/>
      <c r="G2350" s="15"/>
      <c r="H2350" s="16" t="str">
        <f aca="false">IF(OR($K2350="",$L2350=""),"",ROUND(MAX(0,($L2350-$K2350)-IF($G2350="",0,$G2350))/60,2))</f>
        <v/>
      </c>
      <c r="I2350" s="8"/>
      <c r="J2350" s="8"/>
      <c r="K2350" s="17" t="str">
        <f aca="false">IF($E2350="","",IF($E2350&lt;1,ROUND($E2350*1440,0),INT($E2350/100)*60+MOD($E2350,100)))</f>
        <v/>
      </c>
      <c r="L2350" s="17" t="str">
        <f aca="false">IF($F2350="","",IF($F2350&lt;1,ROUND($F2350*1440,0),INT($F2350/100)*60+MOD($F2350,100)))</f>
        <v/>
      </c>
    </row>
    <row r="2351" customFormat="false" ht="15" hidden="false" customHeight="true" outlineLevel="0" collapsed="false">
      <c r="A2351" s="10"/>
      <c r="B2351" s="8"/>
      <c r="C2351" s="13" t="str">
        <f aca="false">IF($B2351="","",IFERROR(INDEX(직원목록!$B$3:$B$302,MATCH($B2351,직원목록!$A$3:$A$302,0)),"미등록사번"))</f>
        <v/>
      </c>
      <c r="D2351" s="13" t="str">
        <f aca="false">IF($B2351="","",IFERROR(INDEX(직원목록!$C$3:$C$302,MATCH($B2351,직원목록!$A$3:$A$302,0)),""))</f>
        <v/>
      </c>
      <c r="E2351" s="14"/>
      <c r="F2351" s="14"/>
      <c r="G2351" s="15"/>
      <c r="H2351" s="16" t="str">
        <f aca="false">IF(OR($K2351="",$L2351=""),"",ROUND(MAX(0,($L2351-$K2351)-IF($G2351="",0,$G2351))/60,2))</f>
        <v/>
      </c>
      <c r="I2351" s="8"/>
      <c r="J2351" s="8"/>
      <c r="K2351" s="17" t="str">
        <f aca="false">IF($E2351="","",IF($E2351&lt;1,ROUND($E2351*1440,0),INT($E2351/100)*60+MOD($E2351,100)))</f>
        <v/>
      </c>
      <c r="L2351" s="17" t="str">
        <f aca="false">IF($F2351="","",IF($F2351&lt;1,ROUND($F2351*1440,0),INT($F2351/100)*60+MOD($F2351,100)))</f>
        <v/>
      </c>
    </row>
    <row r="2352" customFormat="false" ht="15" hidden="false" customHeight="true" outlineLevel="0" collapsed="false">
      <c r="A2352" s="10"/>
      <c r="B2352" s="8"/>
      <c r="C2352" s="13" t="str">
        <f aca="false">IF($B2352="","",IFERROR(INDEX(직원목록!$B$3:$B$302,MATCH($B2352,직원목록!$A$3:$A$302,0)),"미등록사번"))</f>
        <v/>
      </c>
      <c r="D2352" s="13" t="str">
        <f aca="false">IF($B2352="","",IFERROR(INDEX(직원목록!$C$3:$C$302,MATCH($B2352,직원목록!$A$3:$A$302,0)),""))</f>
        <v/>
      </c>
      <c r="E2352" s="14"/>
      <c r="F2352" s="14"/>
      <c r="G2352" s="15"/>
      <c r="H2352" s="16" t="str">
        <f aca="false">IF(OR($K2352="",$L2352=""),"",ROUND(MAX(0,($L2352-$K2352)-IF($G2352="",0,$G2352))/60,2))</f>
        <v/>
      </c>
      <c r="I2352" s="8"/>
      <c r="J2352" s="8"/>
      <c r="K2352" s="17" t="str">
        <f aca="false">IF($E2352="","",IF($E2352&lt;1,ROUND($E2352*1440,0),INT($E2352/100)*60+MOD($E2352,100)))</f>
        <v/>
      </c>
      <c r="L2352" s="17" t="str">
        <f aca="false">IF($F2352="","",IF($F2352&lt;1,ROUND($F2352*1440,0),INT($F2352/100)*60+MOD($F2352,100)))</f>
        <v/>
      </c>
    </row>
    <row r="2353" customFormat="false" ht="15" hidden="false" customHeight="true" outlineLevel="0" collapsed="false">
      <c r="A2353" s="10"/>
      <c r="B2353" s="8"/>
      <c r="C2353" s="13" t="str">
        <f aca="false">IF($B2353="","",IFERROR(INDEX(직원목록!$B$3:$B$302,MATCH($B2353,직원목록!$A$3:$A$302,0)),"미등록사번"))</f>
        <v/>
      </c>
      <c r="D2353" s="13" t="str">
        <f aca="false">IF($B2353="","",IFERROR(INDEX(직원목록!$C$3:$C$302,MATCH($B2353,직원목록!$A$3:$A$302,0)),""))</f>
        <v/>
      </c>
      <c r="E2353" s="14"/>
      <c r="F2353" s="14"/>
      <c r="G2353" s="15"/>
      <c r="H2353" s="16" t="str">
        <f aca="false">IF(OR($K2353="",$L2353=""),"",ROUND(MAX(0,($L2353-$K2353)-IF($G2353="",0,$G2353))/60,2))</f>
        <v/>
      </c>
      <c r="I2353" s="8"/>
      <c r="J2353" s="8"/>
      <c r="K2353" s="17" t="str">
        <f aca="false">IF($E2353="","",IF($E2353&lt;1,ROUND($E2353*1440,0),INT($E2353/100)*60+MOD($E2353,100)))</f>
        <v/>
      </c>
      <c r="L2353" s="17" t="str">
        <f aca="false">IF($F2353="","",IF($F2353&lt;1,ROUND($F2353*1440,0),INT($F2353/100)*60+MOD($F2353,100)))</f>
        <v/>
      </c>
    </row>
    <row r="2354" customFormat="false" ht="15" hidden="false" customHeight="true" outlineLevel="0" collapsed="false">
      <c r="A2354" s="10"/>
      <c r="B2354" s="8"/>
      <c r="C2354" s="13" t="str">
        <f aca="false">IF($B2354="","",IFERROR(INDEX(직원목록!$B$3:$B$302,MATCH($B2354,직원목록!$A$3:$A$302,0)),"미등록사번"))</f>
        <v/>
      </c>
      <c r="D2354" s="13" t="str">
        <f aca="false">IF($B2354="","",IFERROR(INDEX(직원목록!$C$3:$C$302,MATCH($B2354,직원목록!$A$3:$A$302,0)),""))</f>
        <v/>
      </c>
      <c r="E2354" s="14"/>
      <c r="F2354" s="14"/>
      <c r="G2354" s="15"/>
      <c r="H2354" s="16" t="str">
        <f aca="false">IF(OR($K2354="",$L2354=""),"",ROUND(MAX(0,($L2354-$K2354)-IF($G2354="",0,$G2354))/60,2))</f>
        <v/>
      </c>
      <c r="I2354" s="8"/>
      <c r="J2354" s="8"/>
      <c r="K2354" s="17" t="str">
        <f aca="false">IF($E2354="","",IF($E2354&lt;1,ROUND($E2354*1440,0),INT($E2354/100)*60+MOD($E2354,100)))</f>
        <v/>
      </c>
      <c r="L2354" s="17" t="str">
        <f aca="false">IF($F2354="","",IF($F2354&lt;1,ROUND($F2354*1440,0),INT($F2354/100)*60+MOD($F2354,100)))</f>
        <v/>
      </c>
    </row>
    <row r="2355" customFormat="false" ht="15" hidden="false" customHeight="true" outlineLevel="0" collapsed="false">
      <c r="A2355" s="10"/>
      <c r="B2355" s="8"/>
      <c r="C2355" s="13" t="str">
        <f aca="false">IF($B2355="","",IFERROR(INDEX(직원목록!$B$3:$B$302,MATCH($B2355,직원목록!$A$3:$A$302,0)),"미등록사번"))</f>
        <v/>
      </c>
      <c r="D2355" s="13" t="str">
        <f aca="false">IF($B2355="","",IFERROR(INDEX(직원목록!$C$3:$C$302,MATCH($B2355,직원목록!$A$3:$A$302,0)),""))</f>
        <v/>
      </c>
      <c r="E2355" s="14"/>
      <c r="F2355" s="14"/>
      <c r="G2355" s="15"/>
      <c r="H2355" s="16" t="str">
        <f aca="false">IF(OR($K2355="",$L2355=""),"",ROUND(MAX(0,($L2355-$K2355)-IF($G2355="",0,$G2355))/60,2))</f>
        <v/>
      </c>
      <c r="I2355" s="8"/>
      <c r="J2355" s="8"/>
      <c r="K2355" s="17" t="str">
        <f aca="false">IF($E2355="","",IF($E2355&lt;1,ROUND($E2355*1440,0),INT($E2355/100)*60+MOD($E2355,100)))</f>
        <v/>
      </c>
      <c r="L2355" s="17" t="str">
        <f aca="false">IF($F2355="","",IF($F2355&lt;1,ROUND($F2355*1440,0),INT($F2355/100)*60+MOD($F2355,100)))</f>
        <v/>
      </c>
    </row>
    <row r="2356" customFormat="false" ht="15" hidden="false" customHeight="true" outlineLevel="0" collapsed="false">
      <c r="A2356" s="10"/>
      <c r="B2356" s="8"/>
      <c r="C2356" s="13" t="str">
        <f aca="false">IF($B2356="","",IFERROR(INDEX(직원목록!$B$3:$B$302,MATCH($B2356,직원목록!$A$3:$A$302,0)),"미등록사번"))</f>
        <v/>
      </c>
      <c r="D2356" s="13" t="str">
        <f aca="false">IF($B2356="","",IFERROR(INDEX(직원목록!$C$3:$C$302,MATCH($B2356,직원목록!$A$3:$A$302,0)),""))</f>
        <v/>
      </c>
      <c r="E2356" s="14"/>
      <c r="F2356" s="14"/>
      <c r="G2356" s="15"/>
      <c r="H2356" s="16" t="str">
        <f aca="false">IF(OR($K2356="",$L2356=""),"",ROUND(MAX(0,($L2356-$K2356)-IF($G2356="",0,$G2356))/60,2))</f>
        <v/>
      </c>
      <c r="I2356" s="8"/>
      <c r="J2356" s="8"/>
      <c r="K2356" s="17" t="str">
        <f aca="false">IF($E2356="","",IF($E2356&lt;1,ROUND($E2356*1440,0),INT($E2356/100)*60+MOD($E2356,100)))</f>
        <v/>
      </c>
      <c r="L2356" s="17" t="str">
        <f aca="false">IF($F2356="","",IF($F2356&lt;1,ROUND($F2356*1440,0),INT($F2356/100)*60+MOD($F2356,100)))</f>
        <v/>
      </c>
    </row>
    <row r="2357" customFormat="false" ht="15" hidden="false" customHeight="true" outlineLevel="0" collapsed="false">
      <c r="A2357" s="10"/>
      <c r="B2357" s="8"/>
      <c r="C2357" s="13" t="str">
        <f aca="false">IF($B2357="","",IFERROR(INDEX(직원목록!$B$3:$B$302,MATCH($B2357,직원목록!$A$3:$A$302,0)),"미등록사번"))</f>
        <v/>
      </c>
      <c r="D2357" s="13" t="str">
        <f aca="false">IF($B2357="","",IFERROR(INDEX(직원목록!$C$3:$C$302,MATCH($B2357,직원목록!$A$3:$A$302,0)),""))</f>
        <v/>
      </c>
      <c r="E2357" s="14"/>
      <c r="F2357" s="14"/>
      <c r="G2357" s="15"/>
      <c r="H2357" s="16" t="str">
        <f aca="false">IF(OR($K2357="",$L2357=""),"",ROUND(MAX(0,($L2357-$K2357)-IF($G2357="",0,$G2357))/60,2))</f>
        <v/>
      </c>
      <c r="I2357" s="8"/>
      <c r="J2357" s="8"/>
      <c r="K2357" s="17" t="str">
        <f aca="false">IF($E2357="","",IF($E2357&lt;1,ROUND($E2357*1440,0),INT($E2357/100)*60+MOD($E2357,100)))</f>
        <v/>
      </c>
      <c r="L2357" s="17" t="str">
        <f aca="false">IF($F2357="","",IF($F2357&lt;1,ROUND($F2357*1440,0),INT($F2357/100)*60+MOD($F2357,100)))</f>
        <v/>
      </c>
    </row>
    <row r="2358" customFormat="false" ht="15" hidden="false" customHeight="true" outlineLevel="0" collapsed="false">
      <c r="A2358" s="10"/>
      <c r="B2358" s="8"/>
      <c r="C2358" s="13" t="str">
        <f aca="false">IF($B2358="","",IFERROR(INDEX(직원목록!$B$3:$B$302,MATCH($B2358,직원목록!$A$3:$A$302,0)),"미등록사번"))</f>
        <v/>
      </c>
      <c r="D2358" s="13" t="str">
        <f aca="false">IF($B2358="","",IFERROR(INDEX(직원목록!$C$3:$C$302,MATCH($B2358,직원목록!$A$3:$A$302,0)),""))</f>
        <v/>
      </c>
      <c r="E2358" s="14"/>
      <c r="F2358" s="14"/>
      <c r="G2358" s="15"/>
      <c r="H2358" s="16" t="str">
        <f aca="false">IF(OR($K2358="",$L2358=""),"",ROUND(MAX(0,($L2358-$K2358)-IF($G2358="",0,$G2358))/60,2))</f>
        <v/>
      </c>
      <c r="I2358" s="8"/>
      <c r="J2358" s="8"/>
      <c r="K2358" s="17" t="str">
        <f aca="false">IF($E2358="","",IF($E2358&lt;1,ROUND($E2358*1440,0),INT($E2358/100)*60+MOD($E2358,100)))</f>
        <v/>
      </c>
      <c r="L2358" s="17" t="str">
        <f aca="false">IF($F2358="","",IF($F2358&lt;1,ROUND($F2358*1440,0),INT($F2358/100)*60+MOD($F2358,100)))</f>
        <v/>
      </c>
    </row>
    <row r="2359" customFormat="false" ht="15" hidden="false" customHeight="true" outlineLevel="0" collapsed="false">
      <c r="A2359" s="10"/>
      <c r="B2359" s="8"/>
      <c r="C2359" s="13" t="str">
        <f aca="false">IF($B2359="","",IFERROR(INDEX(직원목록!$B$3:$B$302,MATCH($B2359,직원목록!$A$3:$A$302,0)),"미등록사번"))</f>
        <v/>
      </c>
      <c r="D2359" s="13" t="str">
        <f aca="false">IF($B2359="","",IFERROR(INDEX(직원목록!$C$3:$C$302,MATCH($B2359,직원목록!$A$3:$A$302,0)),""))</f>
        <v/>
      </c>
      <c r="E2359" s="14"/>
      <c r="F2359" s="14"/>
      <c r="G2359" s="15"/>
      <c r="H2359" s="16" t="str">
        <f aca="false">IF(OR($K2359="",$L2359=""),"",ROUND(MAX(0,($L2359-$K2359)-IF($G2359="",0,$G2359))/60,2))</f>
        <v/>
      </c>
      <c r="I2359" s="8"/>
      <c r="J2359" s="8"/>
      <c r="K2359" s="17" t="str">
        <f aca="false">IF($E2359="","",IF($E2359&lt;1,ROUND($E2359*1440,0),INT($E2359/100)*60+MOD($E2359,100)))</f>
        <v/>
      </c>
      <c r="L2359" s="17" t="str">
        <f aca="false">IF($F2359="","",IF($F2359&lt;1,ROUND($F2359*1440,0),INT($F2359/100)*60+MOD($F2359,100)))</f>
        <v/>
      </c>
    </row>
    <row r="2360" customFormat="false" ht="15" hidden="false" customHeight="true" outlineLevel="0" collapsed="false">
      <c r="A2360" s="10"/>
      <c r="B2360" s="8"/>
      <c r="C2360" s="13" t="str">
        <f aca="false">IF($B2360="","",IFERROR(INDEX(직원목록!$B$3:$B$302,MATCH($B2360,직원목록!$A$3:$A$302,0)),"미등록사번"))</f>
        <v/>
      </c>
      <c r="D2360" s="13" t="str">
        <f aca="false">IF($B2360="","",IFERROR(INDEX(직원목록!$C$3:$C$302,MATCH($B2360,직원목록!$A$3:$A$302,0)),""))</f>
        <v/>
      </c>
      <c r="E2360" s="14"/>
      <c r="F2360" s="14"/>
      <c r="G2360" s="15"/>
      <c r="H2360" s="16" t="str">
        <f aca="false">IF(OR($K2360="",$L2360=""),"",ROUND(MAX(0,($L2360-$K2360)-IF($G2360="",0,$G2360))/60,2))</f>
        <v/>
      </c>
      <c r="I2360" s="8"/>
      <c r="J2360" s="8"/>
      <c r="K2360" s="17" t="str">
        <f aca="false">IF($E2360="","",IF($E2360&lt;1,ROUND($E2360*1440,0),INT($E2360/100)*60+MOD($E2360,100)))</f>
        <v/>
      </c>
      <c r="L2360" s="17" t="str">
        <f aca="false">IF($F2360="","",IF($F2360&lt;1,ROUND($F2360*1440,0),INT($F2360/100)*60+MOD($F2360,100)))</f>
        <v/>
      </c>
    </row>
    <row r="2361" customFormat="false" ht="15" hidden="false" customHeight="true" outlineLevel="0" collapsed="false">
      <c r="A2361" s="10"/>
      <c r="B2361" s="8"/>
      <c r="C2361" s="13" t="str">
        <f aca="false">IF($B2361="","",IFERROR(INDEX(직원목록!$B$3:$B$302,MATCH($B2361,직원목록!$A$3:$A$302,0)),"미등록사번"))</f>
        <v/>
      </c>
      <c r="D2361" s="13" t="str">
        <f aca="false">IF($B2361="","",IFERROR(INDEX(직원목록!$C$3:$C$302,MATCH($B2361,직원목록!$A$3:$A$302,0)),""))</f>
        <v/>
      </c>
      <c r="E2361" s="14"/>
      <c r="F2361" s="14"/>
      <c r="G2361" s="15"/>
      <c r="H2361" s="16" t="str">
        <f aca="false">IF(OR($K2361="",$L2361=""),"",ROUND(MAX(0,($L2361-$K2361)-IF($G2361="",0,$G2361))/60,2))</f>
        <v/>
      </c>
      <c r="I2361" s="8"/>
      <c r="J2361" s="8"/>
      <c r="K2361" s="17" t="str">
        <f aca="false">IF($E2361="","",IF($E2361&lt;1,ROUND($E2361*1440,0),INT($E2361/100)*60+MOD($E2361,100)))</f>
        <v/>
      </c>
      <c r="L2361" s="17" t="str">
        <f aca="false">IF($F2361="","",IF($F2361&lt;1,ROUND($F2361*1440,0),INT($F2361/100)*60+MOD($F2361,100)))</f>
        <v/>
      </c>
    </row>
    <row r="2362" customFormat="false" ht="15" hidden="false" customHeight="true" outlineLevel="0" collapsed="false">
      <c r="A2362" s="10"/>
      <c r="B2362" s="8"/>
      <c r="C2362" s="13" t="str">
        <f aca="false">IF($B2362="","",IFERROR(INDEX(직원목록!$B$3:$B$302,MATCH($B2362,직원목록!$A$3:$A$302,0)),"미등록사번"))</f>
        <v/>
      </c>
      <c r="D2362" s="13" t="str">
        <f aca="false">IF($B2362="","",IFERROR(INDEX(직원목록!$C$3:$C$302,MATCH($B2362,직원목록!$A$3:$A$302,0)),""))</f>
        <v/>
      </c>
      <c r="E2362" s="14"/>
      <c r="F2362" s="14"/>
      <c r="G2362" s="15"/>
      <c r="H2362" s="16" t="str">
        <f aca="false">IF(OR($K2362="",$L2362=""),"",ROUND(MAX(0,($L2362-$K2362)-IF($G2362="",0,$G2362))/60,2))</f>
        <v/>
      </c>
      <c r="I2362" s="8"/>
      <c r="J2362" s="8"/>
      <c r="K2362" s="17" t="str">
        <f aca="false">IF($E2362="","",IF($E2362&lt;1,ROUND($E2362*1440,0),INT($E2362/100)*60+MOD($E2362,100)))</f>
        <v/>
      </c>
      <c r="L2362" s="17" t="str">
        <f aca="false">IF($F2362="","",IF($F2362&lt;1,ROUND($F2362*1440,0),INT($F2362/100)*60+MOD($F2362,100)))</f>
        <v/>
      </c>
    </row>
    <row r="2363" customFormat="false" ht="15" hidden="false" customHeight="true" outlineLevel="0" collapsed="false">
      <c r="A2363" s="10"/>
      <c r="B2363" s="8"/>
      <c r="C2363" s="13" t="str">
        <f aca="false">IF($B2363="","",IFERROR(INDEX(직원목록!$B$3:$B$302,MATCH($B2363,직원목록!$A$3:$A$302,0)),"미등록사번"))</f>
        <v/>
      </c>
      <c r="D2363" s="13" t="str">
        <f aca="false">IF($B2363="","",IFERROR(INDEX(직원목록!$C$3:$C$302,MATCH($B2363,직원목록!$A$3:$A$302,0)),""))</f>
        <v/>
      </c>
      <c r="E2363" s="14"/>
      <c r="F2363" s="14"/>
      <c r="G2363" s="15"/>
      <c r="H2363" s="16" t="str">
        <f aca="false">IF(OR($K2363="",$L2363=""),"",ROUND(MAX(0,($L2363-$K2363)-IF($G2363="",0,$G2363))/60,2))</f>
        <v/>
      </c>
      <c r="I2363" s="8"/>
      <c r="J2363" s="8"/>
      <c r="K2363" s="17" t="str">
        <f aca="false">IF($E2363="","",IF($E2363&lt;1,ROUND($E2363*1440,0),INT($E2363/100)*60+MOD($E2363,100)))</f>
        <v/>
      </c>
      <c r="L2363" s="17" t="str">
        <f aca="false">IF($F2363="","",IF($F2363&lt;1,ROUND($F2363*1440,0),INT($F2363/100)*60+MOD($F2363,100)))</f>
        <v/>
      </c>
    </row>
    <row r="2364" customFormat="false" ht="15" hidden="false" customHeight="true" outlineLevel="0" collapsed="false">
      <c r="A2364" s="10"/>
      <c r="B2364" s="8"/>
      <c r="C2364" s="13" t="str">
        <f aca="false">IF($B2364="","",IFERROR(INDEX(직원목록!$B$3:$B$302,MATCH($B2364,직원목록!$A$3:$A$302,0)),"미등록사번"))</f>
        <v/>
      </c>
      <c r="D2364" s="13" t="str">
        <f aca="false">IF($B2364="","",IFERROR(INDEX(직원목록!$C$3:$C$302,MATCH($B2364,직원목록!$A$3:$A$302,0)),""))</f>
        <v/>
      </c>
      <c r="E2364" s="14"/>
      <c r="F2364" s="14"/>
      <c r="G2364" s="15"/>
      <c r="H2364" s="16" t="str">
        <f aca="false">IF(OR($K2364="",$L2364=""),"",ROUND(MAX(0,($L2364-$K2364)-IF($G2364="",0,$G2364))/60,2))</f>
        <v/>
      </c>
      <c r="I2364" s="8"/>
      <c r="J2364" s="8"/>
      <c r="K2364" s="17" t="str">
        <f aca="false">IF($E2364="","",IF($E2364&lt;1,ROUND($E2364*1440,0),INT($E2364/100)*60+MOD($E2364,100)))</f>
        <v/>
      </c>
      <c r="L2364" s="17" t="str">
        <f aca="false">IF($F2364="","",IF($F2364&lt;1,ROUND($F2364*1440,0),INT($F2364/100)*60+MOD($F2364,100)))</f>
        <v/>
      </c>
    </row>
    <row r="2365" customFormat="false" ht="15" hidden="false" customHeight="true" outlineLevel="0" collapsed="false">
      <c r="A2365" s="10"/>
      <c r="B2365" s="8"/>
      <c r="C2365" s="13" t="str">
        <f aca="false">IF($B2365="","",IFERROR(INDEX(직원목록!$B$3:$B$302,MATCH($B2365,직원목록!$A$3:$A$302,0)),"미등록사번"))</f>
        <v/>
      </c>
      <c r="D2365" s="13" t="str">
        <f aca="false">IF($B2365="","",IFERROR(INDEX(직원목록!$C$3:$C$302,MATCH($B2365,직원목록!$A$3:$A$302,0)),""))</f>
        <v/>
      </c>
      <c r="E2365" s="14"/>
      <c r="F2365" s="14"/>
      <c r="G2365" s="15"/>
      <c r="H2365" s="16" t="str">
        <f aca="false">IF(OR($K2365="",$L2365=""),"",ROUND(MAX(0,($L2365-$K2365)-IF($G2365="",0,$G2365))/60,2))</f>
        <v/>
      </c>
      <c r="I2365" s="8"/>
      <c r="J2365" s="8"/>
      <c r="K2365" s="17" t="str">
        <f aca="false">IF($E2365="","",IF($E2365&lt;1,ROUND($E2365*1440,0),INT($E2365/100)*60+MOD($E2365,100)))</f>
        <v/>
      </c>
      <c r="L2365" s="17" t="str">
        <f aca="false">IF($F2365="","",IF($F2365&lt;1,ROUND($F2365*1440,0),INT($F2365/100)*60+MOD($F2365,100)))</f>
        <v/>
      </c>
    </row>
    <row r="2366" customFormat="false" ht="15" hidden="false" customHeight="true" outlineLevel="0" collapsed="false">
      <c r="A2366" s="10"/>
      <c r="B2366" s="8"/>
      <c r="C2366" s="13" t="str">
        <f aca="false">IF($B2366="","",IFERROR(INDEX(직원목록!$B$3:$B$302,MATCH($B2366,직원목록!$A$3:$A$302,0)),"미등록사번"))</f>
        <v/>
      </c>
      <c r="D2366" s="13" t="str">
        <f aca="false">IF($B2366="","",IFERROR(INDEX(직원목록!$C$3:$C$302,MATCH($B2366,직원목록!$A$3:$A$302,0)),""))</f>
        <v/>
      </c>
      <c r="E2366" s="14"/>
      <c r="F2366" s="14"/>
      <c r="G2366" s="15"/>
      <c r="H2366" s="16" t="str">
        <f aca="false">IF(OR($K2366="",$L2366=""),"",ROUND(MAX(0,($L2366-$K2366)-IF($G2366="",0,$G2366))/60,2))</f>
        <v/>
      </c>
      <c r="I2366" s="8"/>
      <c r="J2366" s="8"/>
      <c r="K2366" s="17" t="str">
        <f aca="false">IF($E2366="","",IF($E2366&lt;1,ROUND($E2366*1440,0),INT($E2366/100)*60+MOD($E2366,100)))</f>
        <v/>
      </c>
      <c r="L2366" s="17" t="str">
        <f aca="false">IF($F2366="","",IF($F2366&lt;1,ROUND($F2366*1440,0),INT($F2366/100)*60+MOD($F2366,100)))</f>
        <v/>
      </c>
    </row>
    <row r="2367" customFormat="false" ht="15" hidden="false" customHeight="true" outlineLevel="0" collapsed="false">
      <c r="A2367" s="10"/>
      <c r="B2367" s="8"/>
      <c r="C2367" s="13" t="str">
        <f aca="false">IF($B2367="","",IFERROR(INDEX(직원목록!$B$3:$B$302,MATCH($B2367,직원목록!$A$3:$A$302,0)),"미등록사번"))</f>
        <v/>
      </c>
      <c r="D2367" s="13" t="str">
        <f aca="false">IF($B2367="","",IFERROR(INDEX(직원목록!$C$3:$C$302,MATCH($B2367,직원목록!$A$3:$A$302,0)),""))</f>
        <v/>
      </c>
      <c r="E2367" s="14"/>
      <c r="F2367" s="14"/>
      <c r="G2367" s="15"/>
      <c r="H2367" s="16" t="str">
        <f aca="false">IF(OR($K2367="",$L2367=""),"",ROUND(MAX(0,($L2367-$K2367)-IF($G2367="",0,$G2367))/60,2))</f>
        <v/>
      </c>
      <c r="I2367" s="8"/>
      <c r="J2367" s="8"/>
      <c r="K2367" s="17" t="str">
        <f aca="false">IF($E2367="","",IF($E2367&lt;1,ROUND($E2367*1440,0),INT($E2367/100)*60+MOD($E2367,100)))</f>
        <v/>
      </c>
      <c r="L2367" s="17" t="str">
        <f aca="false">IF($F2367="","",IF($F2367&lt;1,ROUND($F2367*1440,0),INT($F2367/100)*60+MOD($F2367,100)))</f>
        <v/>
      </c>
    </row>
    <row r="2368" customFormat="false" ht="15" hidden="false" customHeight="true" outlineLevel="0" collapsed="false">
      <c r="A2368" s="10"/>
      <c r="B2368" s="8"/>
      <c r="C2368" s="13" t="str">
        <f aca="false">IF($B2368="","",IFERROR(INDEX(직원목록!$B$3:$B$302,MATCH($B2368,직원목록!$A$3:$A$302,0)),"미등록사번"))</f>
        <v/>
      </c>
      <c r="D2368" s="13" t="str">
        <f aca="false">IF($B2368="","",IFERROR(INDEX(직원목록!$C$3:$C$302,MATCH($B2368,직원목록!$A$3:$A$302,0)),""))</f>
        <v/>
      </c>
      <c r="E2368" s="14"/>
      <c r="F2368" s="14"/>
      <c r="G2368" s="15"/>
      <c r="H2368" s="16" t="str">
        <f aca="false">IF(OR($K2368="",$L2368=""),"",ROUND(MAX(0,($L2368-$K2368)-IF($G2368="",0,$G2368))/60,2))</f>
        <v/>
      </c>
      <c r="I2368" s="8"/>
      <c r="J2368" s="8"/>
      <c r="K2368" s="17" t="str">
        <f aca="false">IF($E2368="","",IF($E2368&lt;1,ROUND($E2368*1440,0),INT($E2368/100)*60+MOD($E2368,100)))</f>
        <v/>
      </c>
      <c r="L2368" s="17" t="str">
        <f aca="false">IF($F2368="","",IF($F2368&lt;1,ROUND($F2368*1440,0),INT($F2368/100)*60+MOD($F2368,100)))</f>
        <v/>
      </c>
    </row>
    <row r="2369" customFormat="false" ht="15" hidden="false" customHeight="true" outlineLevel="0" collapsed="false">
      <c r="A2369" s="10"/>
      <c r="B2369" s="8"/>
      <c r="C2369" s="13" t="str">
        <f aca="false">IF($B2369="","",IFERROR(INDEX(직원목록!$B$3:$B$302,MATCH($B2369,직원목록!$A$3:$A$302,0)),"미등록사번"))</f>
        <v/>
      </c>
      <c r="D2369" s="13" t="str">
        <f aca="false">IF($B2369="","",IFERROR(INDEX(직원목록!$C$3:$C$302,MATCH($B2369,직원목록!$A$3:$A$302,0)),""))</f>
        <v/>
      </c>
      <c r="E2369" s="14"/>
      <c r="F2369" s="14"/>
      <c r="G2369" s="15"/>
      <c r="H2369" s="16" t="str">
        <f aca="false">IF(OR($K2369="",$L2369=""),"",ROUND(MAX(0,($L2369-$K2369)-IF($G2369="",0,$G2369))/60,2))</f>
        <v/>
      </c>
      <c r="I2369" s="8"/>
      <c r="J2369" s="8"/>
      <c r="K2369" s="17" t="str">
        <f aca="false">IF($E2369="","",IF($E2369&lt;1,ROUND($E2369*1440,0),INT($E2369/100)*60+MOD($E2369,100)))</f>
        <v/>
      </c>
      <c r="L2369" s="17" t="str">
        <f aca="false">IF($F2369="","",IF($F2369&lt;1,ROUND($F2369*1440,0),INT($F2369/100)*60+MOD($F2369,100)))</f>
        <v/>
      </c>
    </row>
    <row r="2370" customFormat="false" ht="15" hidden="false" customHeight="true" outlineLevel="0" collapsed="false">
      <c r="A2370" s="10"/>
      <c r="B2370" s="8"/>
      <c r="C2370" s="13" t="str">
        <f aca="false">IF($B2370="","",IFERROR(INDEX(직원목록!$B$3:$B$302,MATCH($B2370,직원목록!$A$3:$A$302,0)),"미등록사번"))</f>
        <v/>
      </c>
      <c r="D2370" s="13" t="str">
        <f aca="false">IF($B2370="","",IFERROR(INDEX(직원목록!$C$3:$C$302,MATCH($B2370,직원목록!$A$3:$A$302,0)),""))</f>
        <v/>
      </c>
      <c r="E2370" s="14"/>
      <c r="F2370" s="14"/>
      <c r="G2370" s="15"/>
      <c r="H2370" s="16" t="str">
        <f aca="false">IF(OR($K2370="",$L2370=""),"",ROUND(MAX(0,($L2370-$K2370)-IF($G2370="",0,$G2370))/60,2))</f>
        <v/>
      </c>
      <c r="I2370" s="8"/>
      <c r="J2370" s="8"/>
      <c r="K2370" s="17" t="str">
        <f aca="false">IF($E2370="","",IF($E2370&lt;1,ROUND($E2370*1440,0),INT($E2370/100)*60+MOD($E2370,100)))</f>
        <v/>
      </c>
      <c r="L2370" s="17" t="str">
        <f aca="false">IF($F2370="","",IF($F2370&lt;1,ROUND($F2370*1440,0),INT($F2370/100)*60+MOD($F2370,100)))</f>
        <v/>
      </c>
    </row>
    <row r="2371" customFormat="false" ht="15" hidden="false" customHeight="true" outlineLevel="0" collapsed="false">
      <c r="A2371" s="10"/>
      <c r="B2371" s="8"/>
      <c r="C2371" s="13" t="str">
        <f aca="false">IF($B2371="","",IFERROR(INDEX(직원목록!$B$3:$B$302,MATCH($B2371,직원목록!$A$3:$A$302,0)),"미등록사번"))</f>
        <v/>
      </c>
      <c r="D2371" s="13" t="str">
        <f aca="false">IF($B2371="","",IFERROR(INDEX(직원목록!$C$3:$C$302,MATCH($B2371,직원목록!$A$3:$A$302,0)),""))</f>
        <v/>
      </c>
      <c r="E2371" s="14"/>
      <c r="F2371" s="14"/>
      <c r="G2371" s="15"/>
      <c r="H2371" s="16" t="str">
        <f aca="false">IF(OR($K2371="",$L2371=""),"",ROUND(MAX(0,($L2371-$K2371)-IF($G2371="",0,$G2371))/60,2))</f>
        <v/>
      </c>
      <c r="I2371" s="8"/>
      <c r="J2371" s="8"/>
      <c r="K2371" s="17" t="str">
        <f aca="false">IF($E2371="","",IF($E2371&lt;1,ROUND($E2371*1440,0),INT($E2371/100)*60+MOD($E2371,100)))</f>
        <v/>
      </c>
      <c r="L2371" s="17" t="str">
        <f aca="false">IF($F2371="","",IF($F2371&lt;1,ROUND($F2371*1440,0),INT($F2371/100)*60+MOD($F2371,100)))</f>
        <v/>
      </c>
    </row>
    <row r="2372" customFormat="false" ht="15" hidden="false" customHeight="true" outlineLevel="0" collapsed="false">
      <c r="A2372" s="10"/>
      <c r="B2372" s="8"/>
      <c r="C2372" s="13" t="str">
        <f aca="false">IF($B2372="","",IFERROR(INDEX(직원목록!$B$3:$B$302,MATCH($B2372,직원목록!$A$3:$A$302,0)),"미등록사번"))</f>
        <v/>
      </c>
      <c r="D2372" s="13" t="str">
        <f aca="false">IF($B2372="","",IFERROR(INDEX(직원목록!$C$3:$C$302,MATCH($B2372,직원목록!$A$3:$A$302,0)),""))</f>
        <v/>
      </c>
      <c r="E2372" s="14"/>
      <c r="F2372" s="14"/>
      <c r="G2372" s="15"/>
      <c r="H2372" s="16" t="str">
        <f aca="false">IF(OR($K2372="",$L2372=""),"",ROUND(MAX(0,($L2372-$K2372)-IF($G2372="",0,$G2372))/60,2))</f>
        <v/>
      </c>
      <c r="I2372" s="8"/>
      <c r="J2372" s="8"/>
      <c r="K2372" s="17" t="str">
        <f aca="false">IF($E2372="","",IF($E2372&lt;1,ROUND($E2372*1440,0),INT($E2372/100)*60+MOD($E2372,100)))</f>
        <v/>
      </c>
      <c r="L2372" s="17" t="str">
        <f aca="false">IF($F2372="","",IF($F2372&lt;1,ROUND($F2372*1440,0),INT($F2372/100)*60+MOD($F2372,100)))</f>
        <v/>
      </c>
    </row>
    <row r="2373" customFormat="false" ht="15" hidden="false" customHeight="true" outlineLevel="0" collapsed="false">
      <c r="A2373" s="10"/>
      <c r="B2373" s="8"/>
      <c r="C2373" s="13" t="str">
        <f aca="false">IF($B2373="","",IFERROR(INDEX(직원목록!$B$3:$B$302,MATCH($B2373,직원목록!$A$3:$A$302,0)),"미등록사번"))</f>
        <v/>
      </c>
      <c r="D2373" s="13" t="str">
        <f aca="false">IF($B2373="","",IFERROR(INDEX(직원목록!$C$3:$C$302,MATCH($B2373,직원목록!$A$3:$A$302,0)),""))</f>
        <v/>
      </c>
      <c r="E2373" s="14"/>
      <c r="F2373" s="14"/>
      <c r="G2373" s="15"/>
      <c r="H2373" s="16" t="str">
        <f aca="false">IF(OR($K2373="",$L2373=""),"",ROUND(MAX(0,($L2373-$K2373)-IF($G2373="",0,$G2373))/60,2))</f>
        <v/>
      </c>
      <c r="I2373" s="8"/>
      <c r="J2373" s="8"/>
      <c r="K2373" s="17" t="str">
        <f aca="false">IF($E2373="","",IF($E2373&lt;1,ROUND($E2373*1440,0),INT($E2373/100)*60+MOD($E2373,100)))</f>
        <v/>
      </c>
      <c r="L2373" s="17" t="str">
        <f aca="false">IF($F2373="","",IF($F2373&lt;1,ROUND($F2373*1440,0),INT($F2373/100)*60+MOD($F2373,100)))</f>
        <v/>
      </c>
    </row>
    <row r="2374" customFormat="false" ht="15" hidden="false" customHeight="true" outlineLevel="0" collapsed="false">
      <c r="A2374" s="10"/>
      <c r="B2374" s="8"/>
      <c r="C2374" s="13" t="str">
        <f aca="false">IF($B2374="","",IFERROR(INDEX(직원목록!$B$3:$B$302,MATCH($B2374,직원목록!$A$3:$A$302,0)),"미등록사번"))</f>
        <v/>
      </c>
      <c r="D2374" s="13" t="str">
        <f aca="false">IF($B2374="","",IFERROR(INDEX(직원목록!$C$3:$C$302,MATCH($B2374,직원목록!$A$3:$A$302,0)),""))</f>
        <v/>
      </c>
      <c r="E2374" s="14"/>
      <c r="F2374" s="14"/>
      <c r="G2374" s="15"/>
      <c r="H2374" s="16" t="str">
        <f aca="false">IF(OR($K2374="",$L2374=""),"",ROUND(MAX(0,($L2374-$K2374)-IF($G2374="",0,$G2374))/60,2))</f>
        <v/>
      </c>
      <c r="I2374" s="8"/>
      <c r="J2374" s="8"/>
      <c r="K2374" s="17" t="str">
        <f aca="false">IF($E2374="","",IF($E2374&lt;1,ROUND($E2374*1440,0),INT($E2374/100)*60+MOD($E2374,100)))</f>
        <v/>
      </c>
      <c r="L2374" s="17" t="str">
        <f aca="false">IF($F2374="","",IF($F2374&lt;1,ROUND($F2374*1440,0),INT($F2374/100)*60+MOD($F2374,100)))</f>
        <v/>
      </c>
    </row>
    <row r="2375" customFormat="false" ht="15" hidden="false" customHeight="true" outlineLevel="0" collapsed="false">
      <c r="A2375" s="10"/>
      <c r="B2375" s="8"/>
      <c r="C2375" s="13" t="str">
        <f aca="false">IF($B2375="","",IFERROR(INDEX(직원목록!$B$3:$B$302,MATCH($B2375,직원목록!$A$3:$A$302,0)),"미등록사번"))</f>
        <v/>
      </c>
      <c r="D2375" s="13" t="str">
        <f aca="false">IF($B2375="","",IFERROR(INDEX(직원목록!$C$3:$C$302,MATCH($B2375,직원목록!$A$3:$A$302,0)),""))</f>
        <v/>
      </c>
      <c r="E2375" s="14"/>
      <c r="F2375" s="14"/>
      <c r="G2375" s="15"/>
      <c r="H2375" s="16" t="str">
        <f aca="false">IF(OR($K2375="",$L2375=""),"",ROUND(MAX(0,($L2375-$K2375)-IF($G2375="",0,$G2375))/60,2))</f>
        <v/>
      </c>
      <c r="I2375" s="8"/>
      <c r="J2375" s="8"/>
      <c r="K2375" s="17" t="str">
        <f aca="false">IF($E2375="","",IF($E2375&lt;1,ROUND($E2375*1440,0),INT($E2375/100)*60+MOD($E2375,100)))</f>
        <v/>
      </c>
      <c r="L2375" s="17" t="str">
        <f aca="false">IF($F2375="","",IF($F2375&lt;1,ROUND($F2375*1440,0),INT($F2375/100)*60+MOD($F2375,100)))</f>
        <v/>
      </c>
    </row>
    <row r="2376" customFormat="false" ht="15" hidden="false" customHeight="true" outlineLevel="0" collapsed="false">
      <c r="A2376" s="10"/>
      <c r="B2376" s="8"/>
      <c r="C2376" s="13" t="str">
        <f aca="false">IF($B2376="","",IFERROR(INDEX(직원목록!$B$3:$B$302,MATCH($B2376,직원목록!$A$3:$A$302,0)),"미등록사번"))</f>
        <v/>
      </c>
      <c r="D2376" s="13" t="str">
        <f aca="false">IF($B2376="","",IFERROR(INDEX(직원목록!$C$3:$C$302,MATCH($B2376,직원목록!$A$3:$A$302,0)),""))</f>
        <v/>
      </c>
      <c r="E2376" s="14"/>
      <c r="F2376" s="14"/>
      <c r="G2376" s="15"/>
      <c r="H2376" s="16" t="str">
        <f aca="false">IF(OR($K2376="",$L2376=""),"",ROUND(MAX(0,($L2376-$K2376)-IF($G2376="",0,$G2376))/60,2))</f>
        <v/>
      </c>
      <c r="I2376" s="8"/>
      <c r="J2376" s="8"/>
      <c r="K2376" s="17" t="str">
        <f aca="false">IF($E2376="","",IF($E2376&lt;1,ROUND($E2376*1440,0),INT($E2376/100)*60+MOD($E2376,100)))</f>
        <v/>
      </c>
      <c r="L2376" s="17" t="str">
        <f aca="false">IF($F2376="","",IF($F2376&lt;1,ROUND($F2376*1440,0),INT($F2376/100)*60+MOD($F2376,100)))</f>
        <v/>
      </c>
    </row>
    <row r="2377" customFormat="false" ht="15" hidden="false" customHeight="true" outlineLevel="0" collapsed="false">
      <c r="A2377" s="10"/>
      <c r="B2377" s="8"/>
      <c r="C2377" s="13" t="str">
        <f aca="false">IF($B2377="","",IFERROR(INDEX(직원목록!$B$3:$B$302,MATCH($B2377,직원목록!$A$3:$A$302,0)),"미등록사번"))</f>
        <v/>
      </c>
      <c r="D2377" s="13" t="str">
        <f aca="false">IF($B2377="","",IFERROR(INDEX(직원목록!$C$3:$C$302,MATCH($B2377,직원목록!$A$3:$A$302,0)),""))</f>
        <v/>
      </c>
      <c r="E2377" s="14"/>
      <c r="F2377" s="14"/>
      <c r="G2377" s="15"/>
      <c r="H2377" s="16" t="str">
        <f aca="false">IF(OR($K2377="",$L2377=""),"",ROUND(MAX(0,($L2377-$K2377)-IF($G2377="",0,$G2377))/60,2))</f>
        <v/>
      </c>
      <c r="I2377" s="8"/>
      <c r="J2377" s="8"/>
      <c r="K2377" s="17" t="str">
        <f aca="false">IF($E2377="","",IF($E2377&lt;1,ROUND($E2377*1440,0),INT($E2377/100)*60+MOD($E2377,100)))</f>
        <v/>
      </c>
      <c r="L2377" s="17" t="str">
        <f aca="false">IF($F2377="","",IF($F2377&lt;1,ROUND($F2377*1440,0),INT($F2377/100)*60+MOD($F2377,100)))</f>
        <v/>
      </c>
    </row>
    <row r="2378" customFormat="false" ht="15" hidden="false" customHeight="true" outlineLevel="0" collapsed="false">
      <c r="A2378" s="10"/>
      <c r="B2378" s="8"/>
      <c r="C2378" s="13" t="str">
        <f aca="false">IF($B2378="","",IFERROR(INDEX(직원목록!$B$3:$B$302,MATCH($B2378,직원목록!$A$3:$A$302,0)),"미등록사번"))</f>
        <v/>
      </c>
      <c r="D2378" s="13" t="str">
        <f aca="false">IF($B2378="","",IFERROR(INDEX(직원목록!$C$3:$C$302,MATCH($B2378,직원목록!$A$3:$A$302,0)),""))</f>
        <v/>
      </c>
      <c r="E2378" s="14"/>
      <c r="F2378" s="14"/>
      <c r="G2378" s="15"/>
      <c r="H2378" s="16" t="str">
        <f aca="false">IF(OR($K2378="",$L2378=""),"",ROUND(MAX(0,($L2378-$K2378)-IF($G2378="",0,$G2378))/60,2))</f>
        <v/>
      </c>
      <c r="I2378" s="8"/>
      <c r="J2378" s="8"/>
      <c r="K2378" s="17" t="str">
        <f aca="false">IF($E2378="","",IF($E2378&lt;1,ROUND($E2378*1440,0),INT($E2378/100)*60+MOD($E2378,100)))</f>
        <v/>
      </c>
      <c r="L2378" s="17" t="str">
        <f aca="false">IF($F2378="","",IF($F2378&lt;1,ROUND($F2378*1440,0),INT($F2378/100)*60+MOD($F2378,100)))</f>
        <v/>
      </c>
    </row>
    <row r="2379" customFormat="false" ht="15" hidden="false" customHeight="true" outlineLevel="0" collapsed="false">
      <c r="A2379" s="10"/>
      <c r="B2379" s="8"/>
      <c r="C2379" s="13" t="str">
        <f aca="false">IF($B2379="","",IFERROR(INDEX(직원목록!$B$3:$B$302,MATCH($B2379,직원목록!$A$3:$A$302,0)),"미등록사번"))</f>
        <v/>
      </c>
      <c r="D2379" s="13" t="str">
        <f aca="false">IF($B2379="","",IFERROR(INDEX(직원목록!$C$3:$C$302,MATCH($B2379,직원목록!$A$3:$A$302,0)),""))</f>
        <v/>
      </c>
      <c r="E2379" s="14"/>
      <c r="F2379" s="14"/>
      <c r="G2379" s="15"/>
      <c r="H2379" s="16" t="str">
        <f aca="false">IF(OR($K2379="",$L2379=""),"",ROUND(MAX(0,($L2379-$K2379)-IF($G2379="",0,$G2379))/60,2))</f>
        <v/>
      </c>
      <c r="I2379" s="8"/>
      <c r="J2379" s="8"/>
      <c r="K2379" s="17" t="str">
        <f aca="false">IF($E2379="","",IF($E2379&lt;1,ROUND($E2379*1440,0),INT($E2379/100)*60+MOD($E2379,100)))</f>
        <v/>
      </c>
      <c r="L2379" s="17" t="str">
        <f aca="false">IF($F2379="","",IF($F2379&lt;1,ROUND($F2379*1440,0),INT($F2379/100)*60+MOD($F2379,100)))</f>
        <v/>
      </c>
    </row>
    <row r="2380" customFormat="false" ht="15" hidden="false" customHeight="true" outlineLevel="0" collapsed="false">
      <c r="A2380" s="10"/>
      <c r="B2380" s="8"/>
      <c r="C2380" s="13" t="str">
        <f aca="false">IF($B2380="","",IFERROR(INDEX(직원목록!$B$3:$B$302,MATCH($B2380,직원목록!$A$3:$A$302,0)),"미등록사번"))</f>
        <v/>
      </c>
      <c r="D2380" s="13" t="str">
        <f aca="false">IF($B2380="","",IFERROR(INDEX(직원목록!$C$3:$C$302,MATCH($B2380,직원목록!$A$3:$A$302,0)),""))</f>
        <v/>
      </c>
      <c r="E2380" s="14"/>
      <c r="F2380" s="14"/>
      <c r="G2380" s="15"/>
      <c r="H2380" s="16" t="str">
        <f aca="false">IF(OR($K2380="",$L2380=""),"",ROUND(MAX(0,($L2380-$K2380)-IF($G2380="",0,$G2380))/60,2))</f>
        <v/>
      </c>
      <c r="I2380" s="8"/>
      <c r="J2380" s="8"/>
      <c r="K2380" s="17" t="str">
        <f aca="false">IF($E2380="","",IF($E2380&lt;1,ROUND($E2380*1440,0),INT($E2380/100)*60+MOD($E2380,100)))</f>
        <v/>
      </c>
      <c r="L2380" s="17" t="str">
        <f aca="false">IF($F2380="","",IF($F2380&lt;1,ROUND($F2380*1440,0),INT($F2380/100)*60+MOD($F2380,100)))</f>
        <v/>
      </c>
    </row>
    <row r="2381" customFormat="false" ht="15" hidden="false" customHeight="true" outlineLevel="0" collapsed="false">
      <c r="A2381" s="10"/>
      <c r="B2381" s="8"/>
      <c r="C2381" s="13" t="str">
        <f aca="false">IF($B2381="","",IFERROR(INDEX(직원목록!$B$3:$B$302,MATCH($B2381,직원목록!$A$3:$A$302,0)),"미등록사번"))</f>
        <v/>
      </c>
      <c r="D2381" s="13" t="str">
        <f aca="false">IF($B2381="","",IFERROR(INDEX(직원목록!$C$3:$C$302,MATCH($B2381,직원목록!$A$3:$A$302,0)),""))</f>
        <v/>
      </c>
      <c r="E2381" s="14"/>
      <c r="F2381" s="14"/>
      <c r="G2381" s="15"/>
      <c r="H2381" s="16" t="str">
        <f aca="false">IF(OR($K2381="",$L2381=""),"",ROUND(MAX(0,($L2381-$K2381)-IF($G2381="",0,$G2381))/60,2))</f>
        <v/>
      </c>
      <c r="I2381" s="8"/>
      <c r="J2381" s="8"/>
      <c r="K2381" s="17" t="str">
        <f aca="false">IF($E2381="","",IF($E2381&lt;1,ROUND($E2381*1440,0),INT($E2381/100)*60+MOD($E2381,100)))</f>
        <v/>
      </c>
      <c r="L2381" s="17" t="str">
        <f aca="false">IF($F2381="","",IF($F2381&lt;1,ROUND($F2381*1440,0),INT($F2381/100)*60+MOD($F2381,100)))</f>
        <v/>
      </c>
    </row>
    <row r="2382" customFormat="false" ht="15" hidden="false" customHeight="true" outlineLevel="0" collapsed="false">
      <c r="A2382" s="10"/>
      <c r="B2382" s="8"/>
      <c r="C2382" s="13" t="str">
        <f aca="false">IF($B2382="","",IFERROR(INDEX(직원목록!$B$3:$B$302,MATCH($B2382,직원목록!$A$3:$A$302,0)),"미등록사번"))</f>
        <v/>
      </c>
      <c r="D2382" s="13" t="str">
        <f aca="false">IF($B2382="","",IFERROR(INDEX(직원목록!$C$3:$C$302,MATCH($B2382,직원목록!$A$3:$A$302,0)),""))</f>
        <v/>
      </c>
      <c r="E2382" s="14"/>
      <c r="F2382" s="14"/>
      <c r="G2382" s="15"/>
      <c r="H2382" s="16" t="str">
        <f aca="false">IF(OR($K2382="",$L2382=""),"",ROUND(MAX(0,($L2382-$K2382)-IF($G2382="",0,$G2382))/60,2))</f>
        <v/>
      </c>
      <c r="I2382" s="8"/>
      <c r="J2382" s="8"/>
      <c r="K2382" s="17" t="str">
        <f aca="false">IF($E2382="","",IF($E2382&lt;1,ROUND($E2382*1440,0),INT($E2382/100)*60+MOD($E2382,100)))</f>
        <v/>
      </c>
      <c r="L2382" s="17" t="str">
        <f aca="false">IF($F2382="","",IF($F2382&lt;1,ROUND($F2382*1440,0),INT($F2382/100)*60+MOD($F2382,100)))</f>
        <v/>
      </c>
    </row>
    <row r="2383" customFormat="false" ht="15" hidden="false" customHeight="true" outlineLevel="0" collapsed="false">
      <c r="A2383" s="10"/>
      <c r="B2383" s="8"/>
      <c r="C2383" s="13" t="str">
        <f aca="false">IF($B2383="","",IFERROR(INDEX(직원목록!$B$3:$B$302,MATCH($B2383,직원목록!$A$3:$A$302,0)),"미등록사번"))</f>
        <v/>
      </c>
      <c r="D2383" s="13" t="str">
        <f aca="false">IF($B2383="","",IFERROR(INDEX(직원목록!$C$3:$C$302,MATCH($B2383,직원목록!$A$3:$A$302,0)),""))</f>
        <v/>
      </c>
      <c r="E2383" s="14"/>
      <c r="F2383" s="14"/>
      <c r="G2383" s="15"/>
      <c r="H2383" s="16" t="str">
        <f aca="false">IF(OR($K2383="",$L2383=""),"",ROUND(MAX(0,($L2383-$K2383)-IF($G2383="",0,$G2383))/60,2))</f>
        <v/>
      </c>
      <c r="I2383" s="8"/>
      <c r="J2383" s="8"/>
      <c r="K2383" s="17" t="str">
        <f aca="false">IF($E2383="","",IF($E2383&lt;1,ROUND($E2383*1440,0),INT($E2383/100)*60+MOD($E2383,100)))</f>
        <v/>
      </c>
      <c r="L2383" s="17" t="str">
        <f aca="false">IF($F2383="","",IF($F2383&lt;1,ROUND($F2383*1440,0),INT($F2383/100)*60+MOD($F2383,100)))</f>
        <v/>
      </c>
    </row>
    <row r="2384" customFormat="false" ht="15" hidden="false" customHeight="true" outlineLevel="0" collapsed="false">
      <c r="A2384" s="10"/>
      <c r="B2384" s="8"/>
      <c r="C2384" s="13" t="str">
        <f aca="false">IF($B2384="","",IFERROR(INDEX(직원목록!$B$3:$B$302,MATCH($B2384,직원목록!$A$3:$A$302,0)),"미등록사번"))</f>
        <v/>
      </c>
      <c r="D2384" s="13" t="str">
        <f aca="false">IF($B2384="","",IFERROR(INDEX(직원목록!$C$3:$C$302,MATCH($B2384,직원목록!$A$3:$A$302,0)),""))</f>
        <v/>
      </c>
      <c r="E2384" s="14"/>
      <c r="F2384" s="14"/>
      <c r="G2384" s="15"/>
      <c r="H2384" s="16" t="str">
        <f aca="false">IF(OR($K2384="",$L2384=""),"",ROUND(MAX(0,($L2384-$K2384)-IF($G2384="",0,$G2384))/60,2))</f>
        <v/>
      </c>
      <c r="I2384" s="8"/>
      <c r="J2384" s="8"/>
      <c r="K2384" s="17" t="str">
        <f aca="false">IF($E2384="","",IF($E2384&lt;1,ROUND($E2384*1440,0),INT($E2384/100)*60+MOD($E2384,100)))</f>
        <v/>
      </c>
      <c r="L2384" s="17" t="str">
        <f aca="false">IF($F2384="","",IF($F2384&lt;1,ROUND($F2384*1440,0),INT($F2384/100)*60+MOD($F2384,100)))</f>
        <v/>
      </c>
    </row>
    <row r="2385" customFormat="false" ht="15" hidden="false" customHeight="true" outlineLevel="0" collapsed="false">
      <c r="A2385" s="10"/>
      <c r="B2385" s="8"/>
      <c r="C2385" s="13" t="str">
        <f aca="false">IF($B2385="","",IFERROR(INDEX(직원목록!$B$3:$B$302,MATCH($B2385,직원목록!$A$3:$A$302,0)),"미등록사번"))</f>
        <v/>
      </c>
      <c r="D2385" s="13" t="str">
        <f aca="false">IF($B2385="","",IFERROR(INDEX(직원목록!$C$3:$C$302,MATCH($B2385,직원목록!$A$3:$A$302,0)),""))</f>
        <v/>
      </c>
      <c r="E2385" s="14"/>
      <c r="F2385" s="14"/>
      <c r="G2385" s="15"/>
      <c r="H2385" s="16" t="str">
        <f aca="false">IF(OR($K2385="",$L2385=""),"",ROUND(MAX(0,($L2385-$K2385)-IF($G2385="",0,$G2385))/60,2))</f>
        <v/>
      </c>
      <c r="I2385" s="8"/>
      <c r="J2385" s="8"/>
      <c r="K2385" s="17" t="str">
        <f aca="false">IF($E2385="","",IF($E2385&lt;1,ROUND($E2385*1440,0),INT($E2385/100)*60+MOD($E2385,100)))</f>
        <v/>
      </c>
      <c r="L2385" s="17" t="str">
        <f aca="false">IF($F2385="","",IF($F2385&lt;1,ROUND($F2385*1440,0),INT($F2385/100)*60+MOD($F2385,100)))</f>
        <v/>
      </c>
    </row>
    <row r="2386" customFormat="false" ht="15" hidden="false" customHeight="true" outlineLevel="0" collapsed="false">
      <c r="A2386" s="10"/>
      <c r="B2386" s="8"/>
      <c r="C2386" s="13" t="str">
        <f aca="false">IF($B2386="","",IFERROR(INDEX(직원목록!$B$3:$B$302,MATCH($B2386,직원목록!$A$3:$A$302,0)),"미등록사번"))</f>
        <v/>
      </c>
      <c r="D2386" s="13" t="str">
        <f aca="false">IF($B2386="","",IFERROR(INDEX(직원목록!$C$3:$C$302,MATCH($B2386,직원목록!$A$3:$A$302,0)),""))</f>
        <v/>
      </c>
      <c r="E2386" s="14"/>
      <c r="F2386" s="14"/>
      <c r="G2386" s="15"/>
      <c r="H2386" s="16" t="str">
        <f aca="false">IF(OR($K2386="",$L2386=""),"",ROUND(MAX(0,($L2386-$K2386)-IF($G2386="",0,$G2386))/60,2))</f>
        <v/>
      </c>
      <c r="I2386" s="8"/>
      <c r="J2386" s="8"/>
      <c r="K2386" s="17" t="str">
        <f aca="false">IF($E2386="","",IF($E2386&lt;1,ROUND($E2386*1440,0),INT($E2386/100)*60+MOD($E2386,100)))</f>
        <v/>
      </c>
      <c r="L2386" s="17" t="str">
        <f aca="false">IF($F2386="","",IF($F2386&lt;1,ROUND($F2386*1440,0),INT($F2386/100)*60+MOD($F2386,100)))</f>
        <v/>
      </c>
    </row>
    <row r="2387" customFormat="false" ht="15" hidden="false" customHeight="true" outlineLevel="0" collapsed="false">
      <c r="A2387" s="10"/>
      <c r="B2387" s="8"/>
      <c r="C2387" s="13" t="str">
        <f aca="false">IF($B2387="","",IFERROR(INDEX(직원목록!$B$3:$B$302,MATCH($B2387,직원목록!$A$3:$A$302,0)),"미등록사번"))</f>
        <v/>
      </c>
      <c r="D2387" s="13" t="str">
        <f aca="false">IF($B2387="","",IFERROR(INDEX(직원목록!$C$3:$C$302,MATCH($B2387,직원목록!$A$3:$A$302,0)),""))</f>
        <v/>
      </c>
      <c r="E2387" s="14"/>
      <c r="F2387" s="14"/>
      <c r="G2387" s="15"/>
      <c r="H2387" s="16" t="str">
        <f aca="false">IF(OR($K2387="",$L2387=""),"",ROUND(MAX(0,($L2387-$K2387)-IF($G2387="",0,$G2387))/60,2))</f>
        <v/>
      </c>
      <c r="I2387" s="8"/>
      <c r="J2387" s="8"/>
      <c r="K2387" s="17" t="str">
        <f aca="false">IF($E2387="","",IF($E2387&lt;1,ROUND($E2387*1440,0),INT($E2387/100)*60+MOD($E2387,100)))</f>
        <v/>
      </c>
      <c r="L2387" s="17" t="str">
        <f aca="false">IF($F2387="","",IF($F2387&lt;1,ROUND($F2387*1440,0),INT($F2387/100)*60+MOD($F2387,100)))</f>
        <v/>
      </c>
    </row>
    <row r="2388" customFormat="false" ht="15" hidden="false" customHeight="true" outlineLevel="0" collapsed="false">
      <c r="A2388" s="10"/>
      <c r="B2388" s="8"/>
      <c r="C2388" s="13" t="str">
        <f aca="false">IF($B2388="","",IFERROR(INDEX(직원목록!$B$3:$B$302,MATCH($B2388,직원목록!$A$3:$A$302,0)),"미등록사번"))</f>
        <v/>
      </c>
      <c r="D2388" s="13" t="str">
        <f aca="false">IF($B2388="","",IFERROR(INDEX(직원목록!$C$3:$C$302,MATCH($B2388,직원목록!$A$3:$A$302,0)),""))</f>
        <v/>
      </c>
      <c r="E2388" s="14"/>
      <c r="F2388" s="14"/>
      <c r="G2388" s="15"/>
      <c r="H2388" s="16" t="str">
        <f aca="false">IF(OR($K2388="",$L2388=""),"",ROUND(MAX(0,($L2388-$K2388)-IF($G2388="",0,$G2388))/60,2))</f>
        <v/>
      </c>
      <c r="I2388" s="8"/>
      <c r="J2388" s="8"/>
      <c r="K2388" s="17" t="str">
        <f aca="false">IF($E2388="","",IF($E2388&lt;1,ROUND($E2388*1440,0),INT($E2388/100)*60+MOD($E2388,100)))</f>
        <v/>
      </c>
      <c r="L2388" s="17" t="str">
        <f aca="false">IF($F2388="","",IF($F2388&lt;1,ROUND($F2388*1440,0),INT($F2388/100)*60+MOD($F2388,100)))</f>
        <v/>
      </c>
    </row>
    <row r="2389" customFormat="false" ht="15" hidden="false" customHeight="true" outlineLevel="0" collapsed="false">
      <c r="A2389" s="10"/>
      <c r="B2389" s="8"/>
      <c r="C2389" s="13" t="str">
        <f aca="false">IF($B2389="","",IFERROR(INDEX(직원목록!$B$3:$B$302,MATCH($B2389,직원목록!$A$3:$A$302,0)),"미등록사번"))</f>
        <v/>
      </c>
      <c r="D2389" s="13" t="str">
        <f aca="false">IF($B2389="","",IFERROR(INDEX(직원목록!$C$3:$C$302,MATCH($B2389,직원목록!$A$3:$A$302,0)),""))</f>
        <v/>
      </c>
      <c r="E2389" s="14"/>
      <c r="F2389" s="14"/>
      <c r="G2389" s="15"/>
      <c r="H2389" s="16" t="str">
        <f aca="false">IF(OR($K2389="",$L2389=""),"",ROUND(MAX(0,($L2389-$K2389)-IF($G2389="",0,$G2389))/60,2))</f>
        <v/>
      </c>
      <c r="I2389" s="8"/>
      <c r="J2389" s="8"/>
      <c r="K2389" s="17" t="str">
        <f aca="false">IF($E2389="","",IF($E2389&lt;1,ROUND($E2389*1440,0),INT($E2389/100)*60+MOD($E2389,100)))</f>
        <v/>
      </c>
      <c r="L2389" s="17" t="str">
        <f aca="false">IF($F2389="","",IF($F2389&lt;1,ROUND($F2389*1440,0),INT($F2389/100)*60+MOD($F2389,100)))</f>
        <v/>
      </c>
    </row>
    <row r="2390" customFormat="false" ht="15" hidden="false" customHeight="true" outlineLevel="0" collapsed="false">
      <c r="A2390" s="10"/>
      <c r="B2390" s="8"/>
      <c r="C2390" s="13" t="str">
        <f aca="false">IF($B2390="","",IFERROR(INDEX(직원목록!$B$3:$B$302,MATCH($B2390,직원목록!$A$3:$A$302,0)),"미등록사번"))</f>
        <v/>
      </c>
      <c r="D2390" s="13" t="str">
        <f aca="false">IF($B2390="","",IFERROR(INDEX(직원목록!$C$3:$C$302,MATCH($B2390,직원목록!$A$3:$A$302,0)),""))</f>
        <v/>
      </c>
      <c r="E2390" s="14"/>
      <c r="F2390" s="14"/>
      <c r="G2390" s="15"/>
      <c r="H2390" s="16" t="str">
        <f aca="false">IF(OR($K2390="",$L2390=""),"",ROUND(MAX(0,($L2390-$K2390)-IF($G2390="",0,$G2390))/60,2))</f>
        <v/>
      </c>
      <c r="I2390" s="8"/>
      <c r="J2390" s="8"/>
      <c r="K2390" s="17" t="str">
        <f aca="false">IF($E2390="","",IF($E2390&lt;1,ROUND($E2390*1440,0),INT($E2390/100)*60+MOD($E2390,100)))</f>
        <v/>
      </c>
      <c r="L2390" s="17" t="str">
        <f aca="false">IF($F2390="","",IF($F2390&lt;1,ROUND($F2390*1440,0),INT($F2390/100)*60+MOD($F2390,100)))</f>
        <v/>
      </c>
    </row>
    <row r="2391" customFormat="false" ht="15" hidden="false" customHeight="true" outlineLevel="0" collapsed="false">
      <c r="A2391" s="10"/>
      <c r="B2391" s="8"/>
      <c r="C2391" s="13" t="str">
        <f aca="false">IF($B2391="","",IFERROR(INDEX(직원목록!$B$3:$B$302,MATCH($B2391,직원목록!$A$3:$A$302,0)),"미등록사번"))</f>
        <v/>
      </c>
      <c r="D2391" s="13" t="str">
        <f aca="false">IF($B2391="","",IFERROR(INDEX(직원목록!$C$3:$C$302,MATCH($B2391,직원목록!$A$3:$A$302,0)),""))</f>
        <v/>
      </c>
      <c r="E2391" s="14"/>
      <c r="F2391" s="14"/>
      <c r="G2391" s="15"/>
      <c r="H2391" s="16" t="str">
        <f aca="false">IF(OR($K2391="",$L2391=""),"",ROUND(MAX(0,($L2391-$K2391)-IF($G2391="",0,$G2391))/60,2))</f>
        <v/>
      </c>
      <c r="I2391" s="8"/>
      <c r="J2391" s="8"/>
      <c r="K2391" s="17" t="str">
        <f aca="false">IF($E2391="","",IF($E2391&lt;1,ROUND($E2391*1440,0),INT($E2391/100)*60+MOD($E2391,100)))</f>
        <v/>
      </c>
      <c r="L2391" s="17" t="str">
        <f aca="false">IF($F2391="","",IF($F2391&lt;1,ROUND($F2391*1440,0),INT($F2391/100)*60+MOD($F2391,100)))</f>
        <v/>
      </c>
    </row>
    <row r="2392" customFormat="false" ht="15" hidden="false" customHeight="true" outlineLevel="0" collapsed="false">
      <c r="A2392" s="10"/>
      <c r="B2392" s="8"/>
      <c r="C2392" s="13" t="str">
        <f aca="false">IF($B2392="","",IFERROR(INDEX(직원목록!$B$3:$B$302,MATCH($B2392,직원목록!$A$3:$A$302,0)),"미등록사번"))</f>
        <v/>
      </c>
      <c r="D2392" s="13" t="str">
        <f aca="false">IF($B2392="","",IFERROR(INDEX(직원목록!$C$3:$C$302,MATCH($B2392,직원목록!$A$3:$A$302,0)),""))</f>
        <v/>
      </c>
      <c r="E2392" s="14"/>
      <c r="F2392" s="14"/>
      <c r="G2392" s="15"/>
      <c r="H2392" s="16" t="str">
        <f aca="false">IF(OR($K2392="",$L2392=""),"",ROUND(MAX(0,($L2392-$K2392)-IF($G2392="",0,$G2392))/60,2))</f>
        <v/>
      </c>
      <c r="I2392" s="8"/>
      <c r="J2392" s="8"/>
      <c r="K2392" s="17" t="str">
        <f aca="false">IF($E2392="","",IF($E2392&lt;1,ROUND($E2392*1440,0),INT($E2392/100)*60+MOD($E2392,100)))</f>
        <v/>
      </c>
      <c r="L2392" s="17" t="str">
        <f aca="false">IF($F2392="","",IF($F2392&lt;1,ROUND($F2392*1440,0),INT($F2392/100)*60+MOD($F2392,100)))</f>
        <v/>
      </c>
    </row>
    <row r="2393" customFormat="false" ht="15" hidden="false" customHeight="true" outlineLevel="0" collapsed="false">
      <c r="A2393" s="10"/>
      <c r="B2393" s="8"/>
      <c r="C2393" s="13" t="str">
        <f aca="false">IF($B2393="","",IFERROR(INDEX(직원목록!$B$3:$B$302,MATCH($B2393,직원목록!$A$3:$A$302,0)),"미등록사번"))</f>
        <v/>
      </c>
      <c r="D2393" s="13" t="str">
        <f aca="false">IF($B2393="","",IFERROR(INDEX(직원목록!$C$3:$C$302,MATCH($B2393,직원목록!$A$3:$A$302,0)),""))</f>
        <v/>
      </c>
      <c r="E2393" s="14"/>
      <c r="F2393" s="14"/>
      <c r="G2393" s="15"/>
      <c r="H2393" s="16" t="str">
        <f aca="false">IF(OR($K2393="",$L2393=""),"",ROUND(MAX(0,($L2393-$K2393)-IF($G2393="",0,$G2393))/60,2))</f>
        <v/>
      </c>
      <c r="I2393" s="8"/>
      <c r="J2393" s="8"/>
      <c r="K2393" s="17" t="str">
        <f aca="false">IF($E2393="","",IF($E2393&lt;1,ROUND($E2393*1440,0),INT($E2393/100)*60+MOD($E2393,100)))</f>
        <v/>
      </c>
      <c r="L2393" s="17" t="str">
        <f aca="false">IF($F2393="","",IF($F2393&lt;1,ROUND($F2393*1440,0),INT($F2393/100)*60+MOD($F2393,100)))</f>
        <v/>
      </c>
    </row>
    <row r="2394" customFormat="false" ht="15" hidden="false" customHeight="true" outlineLevel="0" collapsed="false">
      <c r="A2394" s="10"/>
      <c r="B2394" s="8"/>
      <c r="C2394" s="13" t="str">
        <f aca="false">IF($B2394="","",IFERROR(INDEX(직원목록!$B$3:$B$302,MATCH($B2394,직원목록!$A$3:$A$302,0)),"미등록사번"))</f>
        <v/>
      </c>
      <c r="D2394" s="13" t="str">
        <f aca="false">IF($B2394="","",IFERROR(INDEX(직원목록!$C$3:$C$302,MATCH($B2394,직원목록!$A$3:$A$302,0)),""))</f>
        <v/>
      </c>
      <c r="E2394" s="14"/>
      <c r="F2394" s="14"/>
      <c r="G2394" s="15"/>
      <c r="H2394" s="16" t="str">
        <f aca="false">IF(OR($K2394="",$L2394=""),"",ROUND(MAX(0,($L2394-$K2394)-IF($G2394="",0,$G2394))/60,2))</f>
        <v/>
      </c>
      <c r="I2394" s="8"/>
      <c r="J2394" s="8"/>
      <c r="K2394" s="17" t="str">
        <f aca="false">IF($E2394="","",IF($E2394&lt;1,ROUND($E2394*1440,0),INT($E2394/100)*60+MOD($E2394,100)))</f>
        <v/>
      </c>
      <c r="L2394" s="17" t="str">
        <f aca="false">IF($F2394="","",IF($F2394&lt;1,ROUND($F2394*1440,0),INT($F2394/100)*60+MOD($F2394,100)))</f>
        <v/>
      </c>
    </row>
    <row r="2395" customFormat="false" ht="15" hidden="false" customHeight="true" outlineLevel="0" collapsed="false">
      <c r="A2395" s="10"/>
      <c r="B2395" s="8"/>
      <c r="C2395" s="13" t="str">
        <f aca="false">IF($B2395="","",IFERROR(INDEX(직원목록!$B$3:$B$302,MATCH($B2395,직원목록!$A$3:$A$302,0)),"미등록사번"))</f>
        <v/>
      </c>
      <c r="D2395" s="13" t="str">
        <f aca="false">IF($B2395="","",IFERROR(INDEX(직원목록!$C$3:$C$302,MATCH($B2395,직원목록!$A$3:$A$302,0)),""))</f>
        <v/>
      </c>
      <c r="E2395" s="14"/>
      <c r="F2395" s="14"/>
      <c r="G2395" s="15"/>
      <c r="H2395" s="16" t="str">
        <f aca="false">IF(OR($K2395="",$L2395=""),"",ROUND(MAX(0,($L2395-$K2395)-IF($G2395="",0,$G2395))/60,2))</f>
        <v/>
      </c>
      <c r="I2395" s="8"/>
      <c r="J2395" s="8"/>
      <c r="K2395" s="17" t="str">
        <f aca="false">IF($E2395="","",IF($E2395&lt;1,ROUND($E2395*1440,0),INT($E2395/100)*60+MOD($E2395,100)))</f>
        <v/>
      </c>
      <c r="L2395" s="17" t="str">
        <f aca="false">IF($F2395="","",IF($F2395&lt;1,ROUND($F2395*1440,0),INT($F2395/100)*60+MOD($F2395,100)))</f>
        <v/>
      </c>
    </row>
    <row r="2396" customFormat="false" ht="15" hidden="false" customHeight="true" outlineLevel="0" collapsed="false">
      <c r="A2396" s="10"/>
      <c r="B2396" s="8"/>
      <c r="C2396" s="13" t="str">
        <f aca="false">IF($B2396="","",IFERROR(INDEX(직원목록!$B$3:$B$302,MATCH($B2396,직원목록!$A$3:$A$302,0)),"미등록사번"))</f>
        <v/>
      </c>
      <c r="D2396" s="13" t="str">
        <f aca="false">IF($B2396="","",IFERROR(INDEX(직원목록!$C$3:$C$302,MATCH($B2396,직원목록!$A$3:$A$302,0)),""))</f>
        <v/>
      </c>
      <c r="E2396" s="14"/>
      <c r="F2396" s="14"/>
      <c r="G2396" s="15"/>
      <c r="H2396" s="16" t="str">
        <f aca="false">IF(OR($K2396="",$L2396=""),"",ROUND(MAX(0,($L2396-$K2396)-IF($G2396="",0,$G2396))/60,2))</f>
        <v/>
      </c>
      <c r="I2396" s="8"/>
      <c r="J2396" s="8"/>
      <c r="K2396" s="17" t="str">
        <f aca="false">IF($E2396="","",IF($E2396&lt;1,ROUND($E2396*1440,0),INT($E2396/100)*60+MOD($E2396,100)))</f>
        <v/>
      </c>
      <c r="L2396" s="17" t="str">
        <f aca="false">IF($F2396="","",IF($F2396&lt;1,ROUND($F2396*1440,0),INT($F2396/100)*60+MOD($F2396,100)))</f>
        <v/>
      </c>
    </row>
    <row r="2397" customFormat="false" ht="15" hidden="false" customHeight="true" outlineLevel="0" collapsed="false">
      <c r="A2397" s="10"/>
      <c r="B2397" s="8"/>
      <c r="C2397" s="13" t="str">
        <f aca="false">IF($B2397="","",IFERROR(INDEX(직원목록!$B$3:$B$302,MATCH($B2397,직원목록!$A$3:$A$302,0)),"미등록사번"))</f>
        <v/>
      </c>
      <c r="D2397" s="13" t="str">
        <f aca="false">IF($B2397="","",IFERROR(INDEX(직원목록!$C$3:$C$302,MATCH($B2397,직원목록!$A$3:$A$302,0)),""))</f>
        <v/>
      </c>
      <c r="E2397" s="14"/>
      <c r="F2397" s="14"/>
      <c r="G2397" s="15"/>
      <c r="H2397" s="16" t="str">
        <f aca="false">IF(OR($K2397="",$L2397=""),"",ROUND(MAX(0,($L2397-$K2397)-IF($G2397="",0,$G2397))/60,2))</f>
        <v/>
      </c>
      <c r="I2397" s="8"/>
      <c r="J2397" s="8"/>
      <c r="K2397" s="17" t="str">
        <f aca="false">IF($E2397="","",IF($E2397&lt;1,ROUND($E2397*1440,0),INT($E2397/100)*60+MOD($E2397,100)))</f>
        <v/>
      </c>
      <c r="L2397" s="17" t="str">
        <f aca="false">IF($F2397="","",IF($F2397&lt;1,ROUND($F2397*1440,0),INT($F2397/100)*60+MOD($F2397,100)))</f>
        <v/>
      </c>
    </row>
    <row r="2398" customFormat="false" ht="15" hidden="false" customHeight="true" outlineLevel="0" collapsed="false">
      <c r="A2398" s="10"/>
      <c r="B2398" s="8"/>
      <c r="C2398" s="13" t="str">
        <f aca="false">IF($B2398="","",IFERROR(INDEX(직원목록!$B$3:$B$302,MATCH($B2398,직원목록!$A$3:$A$302,0)),"미등록사번"))</f>
        <v/>
      </c>
      <c r="D2398" s="13" t="str">
        <f aca="false">IF($B2398="","",IFERROR(INDEX(직원목록!$C$3:$C$302,MATCH($B2398,직원목록!$A$3:$A$302,0)),""))</f>
        <v/>
      </c>
      <c r="E2398" s="14"/>
      <c r="F2398" s="14"/>
      <c r="G2398" s="15"/>
      <c r="H2398" s="16" t="str">
        <f aca="false">IF(OR($K2398="",$L2398=""),"",ROUND(MAX(0,($L2398-$K2398)-IF($G2398="",0,$G2398))/60,2))</f>
        <v/>
      </c>
      <c r="I2398" s="8"/>
      <c r="J2398" s="8"/>
      <c r="K2398" s="17" t="str">
        <f aca="false">IF($E2398="","",IF($E2398&lt;1,ROUND($E2398*1440,0),INT($E2398/100)*60+MOD($E2398,100)))</f>
        <v/>
      </c>
      <c r="L2398" s="17" t="str">
        <f aca="false">IF($F2398="","",IF($F2398&lt;1,ROUND($F2398*1440,0),INT($F2398/100)*60+MOD($F2398,100)))</f>
        <v/>
      </c>
    </row>
    <row r="2399" customFormat="false" ht="15" hidden="false" customHeight="true" outlineLevel="0" collapsed="false">
      <c r="A2399" s="10"/>
      <c r="B2399" s="8"/>
      <c r="C2399" s="13" t="str">
        <f aca="false">IF($B2399="","",IFERROR(INDEX(직원목록!$B$3:$B$302,MATCH($B2399,직원목록!$A$3:$A$302,0)),"미등록사번"))</f>
        <v/>
      </c>
      <c r="D2399" s="13" t="str">
        <f aca="false">IF($B2399="","",IFERROR(INDEX(직원목록!$C$3:$C$302,MATCH($B2399,직원목록!$A$3:$A$302,0)),""))</f>
        <v/>
      </c>
      <c r="E2399" s="14"/>
      <c r="F2399" s="14"/>
      <c r="G2399" s="15"/>
      <c r="H2399" s="16" t="str">
        <f aca="false">IF(OR($K2399="",$L2399=""),"",ROUND(MAX(0,($L2399-$K2399)-IF($G2399="",0,$G2399))/60,2))</f>
        <v/>
      </c>
      <c r="I2399" s="8"/>
      <c r="J2399" s="8"/>
      <c r="K2399" s="17" t="str">
        <f aca="false">IF($E2399="","",IF($E2399&lt;1,ROUND($E2399*1440,0),INT($E2399/100)*60+MOD($E2399,100)))</f>
        <v/>
      </c>
      <c r="L2399" s="17" t="str">
        <f aca="false">IF($F2399="","",IF($F2399&lt;1,ROUND($F2399*1440,0),INT($F2399/100)*60+MOD($F2399,100)))</f>
        <v/>
      </c>
    </row>
    <row r="2400" customFormat="false" ht="15" hidden="false" customHeight="true" outlineLevel="0" collapsed="false">
      <c r="A2400" s="10"/>
      <c r="B2400" s="8"/>
      <c r="C2400" s="13" t="str">
        <f aca="false">IF($B2400="","",IFERROR(INDEX(직원목록!$B$3:$B$302,MATCH($B2400,직원목록!$A$3:$A$302,0)),"미등록사번"))</f>
        <v/>
      </c>
      <c r="D2400" s="13" t="str">
        <f aca="false">IF($B2400="","",IFERROR(INDEX(직원목록!$C$3:$C$302,MATCH($B2400,직원목록!$A$3:$A$302,0)),""))</f>
        <v/>
      </c>
      <c r="E2400" s="14"/>
      <c r="F2400" s="14"/>
      <c r="G2400" s="15"/>
      <c r="H2400" s="16" t="str">
        <f aca="false">IF(OR($K2400="",$L2400=""),"",ROUND(MAX(0,($L2400-$K2400)-IF($G2400="",0,$G2400))/60,2))</f>
        <v/>
      </c>
      <c r="I2400" s="8"/>
      <c r="J2400" s="8"/>
      <c r="K2400" s="17" t="str">
        <f aca="false">IF($E2400="","",IF($E2400&lt;1,ROUND($E2400*1440,0),INT($E2400/100)*60+MOD($E2400,100)))</f>
        <v/>
      </c>
      <c r="L2400" s="17" t="str">
        <f aca="false">IF($F2400="","",IF($F2400&lt;1,ROUND($F2400*1440,0),INT($F2400/100)*60+MOD($F2400,100)))</f>
        <v/>
      </c>
    </row>
    <row r="2401" customFormat="false" ht="15" hidden="false" customHeight="true" outlineLevel="0" collapsed="false">
      <c r="A2401" s="10"/>
      <c r="B2401" s="8"/>
      <c r="C2401" s="13" t="str">
        <f aca="false">IF($B2401="","",IFERROR(INDEX(직원목록!$B$3:$B$302,MATCH($B2401,직원목록!$A$3:$A$302,0)),"미등록사번"))</f>
        <v/>
      </c>
      <c r="D2401" s="13" t="str">
        <f aca="false">IF($B2401="","",IFERROR(INDEX(직원목록!$C$3:$C$302,MATCH($B2401,직원목록!$A$3:$A$302,0)),""))</f>
        <v/>
      </c>
      <c r="E2401" s="14"/>
      <c r="F2401" s="14"/>
      <c r="G2401" s="15"/>
      <c r="H2401" s="16" t="str">
        <f aca="false">IF(OR($K2401="",$L2401=""),"",ROUND(MAX(0,($L2401-$K2401)-IF($G2401="",0,$G2401))/60,2))</f>
        <v/>
      </c>
      <c r="I2401" s="8"/>
      <c r="J2401" s="8"/>
      <c r="K2401" s="17" t="str">
        <f aca="false">IF($E2401="","",IF($E2401&lt;1,ROUND($E2401*1440,0),INT($E2401/100)*60+MOD($E2401,100)))</f>
        <v/>
      </c>
      <c r="L2401" s="17" t="str">
        <f aca="false">IF($F2401="","",IF($F2401&lt;1,ROUND($F2401*1440,0),INT($F2401/100)*60+MOD($F2401,100)))</f>
        <v/>
      </c>
    </row>
    <row r="2402" customFormat="false" ht="15" hidden="false" customHeight="true" outlineLevel="0" collapsed="false">
      <c r="A2402" s="10"/>
      <c r="B2402" s="8"/>
      <c r="C2402" s="13" t="str">
        <f aca="false">IF($B2402="","",IFERROR(INDEX(직원목록!$B$3:$B$302,MATCH($B2402,직원목록!$A$3:$A$302,0)),"미등록사번"))</f>
        <v/>
      </c>
      <c r="D2402" s="13" t="str">
        <f aca="false">IF($B2402="","",IFERROR(INDEX(직원목록!$C$3:$C$302,MATCH($B2402,직원목록!$A$3:$A$302,0)),""))</f>
        <v/>
      </c>
      <c r="E2402" s="14"/>
      <c r="F2402" s="14"/>
      <c r="G2402" s="15"/>
      <c r="H2402" s="16" t="str">
        <f aca="false">IF(OR($K2402="",$L2402=""),"",ROUND(MAX(0,($L2402-$K2402)-IF($G2402="",0,$G2402))/60,2))</f>
        <v/>
      </c>
      <c r="I2402" s="8"/>
      <c r="J2402" s="8"/>
      <c r="K2402" s="17" t="str">
        <f aca="false">IF($E2402="","",IF($E2402&lt;1,ROUND($E2402*1440,0),INT($E2402/100)*60+MOD($E2402,100)))</f>
        <v/>
      </c>
      <c r="L2402" s="17" t="str">
        <f aca="false">IF($F2402="","",IF($F2402&lt;1,ROUND($F2402*1440,0),INT($F2402/100)*60+MOD($F2402,100)))</f>
        <v/>
      </c>
    </row>
    <row r="2403" customFormat="false" ht="15" hidden="false" customHeight="true" outlineLevel="0" collapsed="false">
      <c r="A2403" s="10"/>
      <c r="B2403" s="8"/>
      <c r="C2403" s="13" t="str">
        <f aca="false">IF($B2403="","",IFERROR(INDEX(직원목록!$B$3:$B$302,MATCH($B2403,직원목록!$A$3:$A$302,0)),"미등록사번"))</f>
        <v/>
      </c>
      <c r="D2403" s="13" t="str">
        <f aca="false">IF($B2403="","",IFERROR(INDEX(직원목록!$C$3:$C$302,MATCH($B2403,직원목록!$A$3:$A$302,0)),""))</f>
        <v/>
      </c>
      <c r="E2403" s="14"/>
      <c r="F2403" s="14"/>
      <c r="G2403" s="15"/>
      <c r="H2403" s="16" t="str">
        <f aca="false">IF(OR($K2403="",$L2403=""),"",ROUND(MAX(0,($L2403-$K2403)-IF($G2403="",0,$G2403))/60,2))</f>
        <v/>
      </c>
      <c r="I2403" s="8"/>
      <c r="J2403" s="8"/>
      <c r="K2403" s="17" t="str">
        <f aca="false">IF($E2403="","",IF($E2403&lt;1,ROUND($E2403*1440,0),INT($E2403/100)*60+MOD($E2403,100)))</f>
        <v/>
      </c>
      <c r="L2403" s="17" t="str">
        <f aca="false">IF($F2403="","",IF($F2403&lt;1,ROUND($F2403*1440,0),INT($F2403/100)*60+MOD($F2403,100)))</f>
        <v/>
      </c>
    </row>
    <row r="2404" customFormat="false" ht="15" hidden="false" customHeight="true" outlineLevel="0" collapsed="false">
      <c r="A2404" s="10"/>
      <c r="B2404" s="8"/>
      <c r="C2404" s="13" t="str">
        <f aca="false">IF($B2404="","",IFERROR(INDEX(직원목록!$B$3:$B$302,MATCH($B2404,직원목록!$A$3:$A$302,0)),"미등록사번"))</f>
        <v/>
      </c>
      <c r="D2404" s="13" t="str">
        <f aca="false">IF($B2404="","",IFERROR(INDEX(직원목록!$C$3:$C$302,MATCH($B2404,직원목록!$A$3:$A$302,0)),""))</f>
        <v/>
      </c>
      <c r="E2404" s="14"/>
      <c r="F2404" s="14"/>
      <c r="G2404" s="15"/>
      <c r="H2404" s="16" t="str">
        <f aca="false">IF(OR($K2404="",$L2404=""),"",ROUND(MAX(0,($L2404-$K2404)-IF($G2404="",0,$G2404))/60,2))</f>
        <v/>
      </c>
      <c r="I2404" s="8"/>
      <c r="J2404" s="8"/>
      <c r="K2404" s="17" t="str">
        <f aca="false">IF($E2404="","",IF($E2404&lt;1,ROUND($E2404*1440,0),INT($E2404/100)*60+MOD($E2404,100)))</f>
        <v/>
      </c>
      <c r="L2404" s="17" t="str">
        <f aca="false">IF($F2404="","",IF($F2404&lt;1,ROUND($F2404*1440,0),INT($F2404/100)*60+MOD($F2404,100)))</f>
        <v/>
      </c>
    </row>
    <row r="2405" customFormat="false" ht="15" hidden="false" customHeight="true" outlineLevel="0" collapsed="false">
      <c r="A2405" s="10"/>
      <c r="B2405" s="8"/>
      <c r="C2405" s="13" t="str">
        <f aca="false">IF($B2405="","",IFERROR(INDEX(직원목록!$B$3:$B$302,MATCH($B2405,직원목록!$A$3:$A$302,0)),"미등록사번"))</f>
        <v/>
      </c>
      <c r="D2405" s="13" t="str">
        <f aca="false">IF($B2405="","",IFERROR(INDEX(직원목록!$C$3:$C$302,MATCH($B2405,직원목록!$A$3:$A$302,0)),""))</f>
        <v/>
      </c>
      <c r="E2405" s="14"/>
      <c r="F2405" s="14"/>
      <c r="G2405" s="15"/>
      <c r="H2405" s="16" t="str">
        <f aca="false">IF(OR($K2405="",$L2405=""),"",ROUND(MAX(0,($L2405-$K2405)-IF($G2405="",0,$G2405))/60,2))</f>
        <v/>
      </c>
      <c r="I2405" s="8"/>
      <c r="J2405" s="8"/>
      <c r="K2405" s="17" t="str">
        <f aca="false">IF($E2405="","",IF($E2405&lt;1,ROUND($E2405*1440,0),INT($E2405/100)*60+MOD($E2405,100)))</f>
        <v/>
      </c>
      <c r="L2405" s="17" t="str">
        <f aca="false">IF($F2405="","",IF($F2405&lt;1,ROUND($F2405*1440,0),INT($F2405/100)*60+MOD($F2405,100)))</f>
        <v/>
      </c>
    </row>
    <row r="2406" customFormat="false" ht="15" hidden="false" customHeight="true" outlineLevel="0" collapsed="false">
      <c r="A2406" s="10"/>
      <c r="B2406" s="8"/>
      <c r="C2406" s="13" t="str">
        <f aca="false">IF($B2406="","",IFERROR(INDEX(직원목록!$B$3:$B$302,MATCH($B2406,직원목록!$A$3:$A$302,0)),"미등록사번"))</f>
        <v/>
      </c>
      <c r="D2406" s="13" t="str">
        <f aca="false">IF($B2406="","",IFERROR(INDEX(직원목록!$C$3:$C$302,MATCH($B2406,직원목록!$A$3:$A$302,0)),""))</f>
        <v/>
      </c>
      <c r="E2406" s="14"/>
      <c r="F2406" s="14"/>
      <c r="G2406" s="15"/>
      <c r="H2406" s="16" t="str">
        <f aca="false">IF(OR($K2406="",$L2406=""),"",ROUND(MAX(0,($L2406-$K2406)-IF($G2406="",0,$G2406))/60,2))</f>
        <v/>
      </c>
      <c r="I2406" s="8"/>
      <c r="J2406" s="8"/>
      <c r="K2406" s="17" t="str">
        <f aca="false">IF($E2406="","",IF($E2406&lt;1,ROUND($E2406*1440,0),INT($E2406/100)*60+MOD($E2406,100)))</f>
        <v/>
      </c>
      <c r="L2406" s="17" t="str">
        <f aca="false">IF($F2406="","",IF($F2406&lt;1,ROUND($F2406*1440,0),INT($F2406/100)*60+MOD($F2406,100)))</f>
        <v/>
      </c>
    </row>
    <row r="2407" customFormat="false" ht="15" hidden="false" customHeight="true" outlineLevel="0" collapsed="false">
      <c r="A2407" s="10"/>
      <c r="B2407" s="8"/>
      <c r="C2407" s="13" t="str">
        <f aca="false">IF($B2407="","",IFERROR(INDEX(직원목록!$B$3:$B$302,MATCH($B2407,직원목록!$A$3:$A$302,0)),"미등록사번"))</f>
        <v/>
      </c>
      <c r="D2407" s="13" t="str">
        <f aca="false">IF($B2407="","",IFERROR(INDEX(직원목록!$C$3:$C$302,MATCH($B2407,직원목록!$A$3:$A$302,0)),""))</f>
        <v/>
      </c>
      <c r="E2407" s="14"/>
      <c r="F2407" s="14"/>
      <c r="G2407" s="15"/>
      <c r="H2407" s="16" t="str">
        <f aca="false">IF(OR($K2407="",$L2407=""),"",ROUND(MAX(0,($L2407-$K2407)-IF($G2407="",0,$G2407))/60,2))</f>
        <v/>
      </c>
      <c r="I2407" s="8"/>
      <c r="J2407" s="8"/>
      <c r="K2407" s="17" t="str">
        <f aca="false">IF($E2407="","",IF($E2407&lt;1,ROUND($E2407*1440,0),INT($E2407/100)*60+MOD($E2407,100)))</f>
        <v/>
      </c>
      <c r="L2407" s="17" t="str">
        <f aca="false">IF($F2407="","",IF($F2407&lt;1,ROUND($F2407*1440,0),INT($F2407/100)*60+MOD($F2407,100)))</f>
        <v/>
      </c>
    </row>
    <row r="2408" customFormat="false" ht="15" hidden="false" customHeight="true" outlineLevel="0" collapsed="false">
      <c r="A2408" s="10"/>
      <c r="B2408" s="8"/>
      <c r="C2408" s="13" t="str">
        <f aca="false">IF($B2408="","",IFERROR(INDEX(직원목록!$B$3:$B$302,MATCH($B2408,직원목록!$A$3:$A$302,0)),"미등록사번"))</f>
        <v/>
      </c>
      <c r="D2408" s="13" t="str">
        <f aca="false">IF($B2408="","",IFERROR(INDEX(직원목록!$C$3:$C$302,MATCH($B2408,직원목록!$A$3:$A$302,0)),""))</f>
        <v/>
      </c>
      <c r="E2408" s="14"/>
      <c r="F2408" s="14"/>
      <c r="G2408" s="15"/>
      <c r="H2408" s="16" t="str">
        <f aca="false">IF(OR($K2408="",$L2408=""),"",ROUND(MAX(0,($L2408-$K2408)-IF($G2408="",0,$G2408))/60,2))</f>
        <v/>
      </c>
      <c r="I2408" s="8"/>
      <c r="J2408" s="8"/>
      <c r="K2408" s="17" t="str">
        <f aca="false">IF($E2408="","",IF($E2408&lt;1,ROUND($E2408*1440,0),INT($E2408/100)*60+MOD($E2408,100)))</f>
        <v/>
      </c>
      <c r="L2408" s="17" t="str">
        <f aca="false">IF($F2408="","",IF($F2408&lt;1,ROUND($F2408*1440,0),INT($F2408/100)*60+MOD($F2408,100)))</f>
        <v/>
      </c>
    </row>
    <row r="2409" customFormat="false" ht="15" hidden="false" customHeight="true" outlineLevel="0" collapsed="false">
      <c r="A2409" s="10"/>
      <c r="B2409" s="8"/>
      <c r="C2409" s="13" t="str">
        <f aca="false">IF($B2409="","",IFERROR(INDEX(직원목록!$B$3:$B$302,MATCH($B2409,직원목록!$A$3:$A$302,0)),"미등록사번"))</f>
        <v/>
      </c>
      <c r="D2409" s="13" t="str">
        <f aca="false">IF($B2409="","",IFERROR(INDEX(직원목록!$C$3:$C$302,MATCH($B2409,직원목록!$A$3:$A$302,0)),""))</f>
        <v/>
      </c>
      <c r="E2409" s="14"/>
      <c r="F2409" s="14"/>
      <c r="G2409" s="15"/>
      <c r="H2409" s="16" t="str">
        <f aca="false">IF(OR($K2409="",$L2409=""),"",ROUND(MAX(0,($L2409-$K2409)-IF($G2409="",0,$G2409))/60,2))</f>
        <v/>
      </c>
      <c r="I2409" s="8"/>
      <c r="J2409" s="8"/>
      <c r="K2409" s="17" t="str">
        <f aca="false">IF($E2409="","",IF($E2409&lt;1,ROUND($E2409*1440,0),INT($E2409/100)*60+MOD($E2409,100)))</f>
        <v/>
      </c>
      <c r="L2409" s="17" t="str">
        <f aca="false">IF($F2409="","",IF($F2409&lt;1,ROUND($F2409*1440,0),INT($F2409/100)*60+MOD($F2409,100)))</f>
        <v/>
      </c>
    </row>
    <row r="2410" customFormat="false" ht="15" hidden="false" customHeight="true" outlineLevel="0" collapsed="false">
      <c r="A2410" s="10"/>
      <c r="B2410" s="8"/>
      <c r="C2410" s="13" t="str">
        <f aca="false">IF($B2410="","",IFERROR(INDEX(직원목록!$B$3:$B$302,MATCH($B2410,직원목록!$A$3:$A$302,0)),"미등록사번"))</f>
        <v/>
      </c>
      <c r="D2410" s="13" t="str">
        <f aca="false">IF($B2410="","",IFERROR(INDEX(직원목록!$C$3:$C$302,MATCH($B2410,직원목록!$A$3:$A$302,0)),""))</f>
        <v/>
      </c>
      <c r="E2410" s="14"/>
      <c r="F2410" s="14"/>
      <c r="G2410" s="15"/>
      <c r="H2410" s="16" t="str">
        <f aca="false">IF(OR($K2410="",$L2410=""),"",ROUND(MAX(0,($L2410-$K2410)-IF($G2410="",0,$G2410))/60,2))</f>
        <v/>
      </c>
      <c r="I2410" s="8"/>
      <c r="J2410" s="8"/>
      <c r="K2410" s="17" t="str">
        <f aca="false">IF($E2410="","",IF($E2410&lt;1,ROUND($E2410*1440,0),INT($E2410/100)*60+MOD($E2410,100)))</f>
        <v/>
      </c>
      <c r="L2410" s="17" t="str">
        <f aca="false">IF($F2410="","",IF($F2410&lt;1,ROUND($F2410*1440,0),INT($F2410/100)*60+MOD($F2410,100)))</f>
        <v/>
      </c>
    </row>
    <row r="2411" customFormat="false" ht="15" hidden="false" customHeight="true" outlineLevel="0" collapsed="false">
      <c r="A2411" s="10"/>
      <c r="B2411" s="8"/>
      <c r="C2411" s="13" t="str">
        <f aca="false">IF($B2411="","",IFERROR(INDEX(직원목록!$B$3:$B$302,MATCH($B2411,직원목록!$A$3:$A$302,0)),"미등록사번"))</f>
        <v/>
      </c>
      <c r="D2411" s="13" t="str">
        <f aca="false">IF($B2411="","",IFERROR(INDEX(직원목록!$C$3:$C$302,MATCH($B2411,직원목록!$A$3:$A$302,0)),""))</f>
        <v/>
      </c>
      <c r="E2411" s="14"/>
      <c r="F2411" s="14"/>
      <c r="G2411" s="15"/>
      <c r="H2411" s="16" t="str">
        <f aca="false">IF(OR($K2411="",$L2411=""),"",ROUND(MAX(0,($L2411-$K2411)-IF($G2411="",0,$G2411))/60,2))</f>
        <v/>
      </c>
      <c r="I2411" s="8"/>
      <c r="J2411" s="8"/>
      <c r="K2411" s="17" t="str">
        <f aca="false">IF($E2411="","",IF($E2411&lt;1,ROUND($E2411*1440,0),INT($E2411/100)*60+MOD($E2411,100)))</f>
        <v/>
      </c>
      <c r="L2411" s="17" t="str">
        <f aca="false">IF($F2411="","",IF($F2411&lt;1,ROUND($F2411*1440,0),INT($F2411/100)*60+MOD($F2411,100)))</f>
        <v/>
      </c>
    </row>
    <row r="2412" customFormat="false" ht="15" hidden="false" customHeight="true" outlineLevel="0" collapsed="false">
      <c r="A2412" s="10"/>
      <c r="B2412" s="8"/>
      <c r="C2412" s="13" t="str">
        <f aca="false">IF($B2412="","",IFERROR(INDEX(직원목록!$B$3:$B$302,MATCH($B2412,직원목록!$A$3:$A$302,0)),"미등록사번"))</f>
        <v/>
      </c>
      <c r="D2412" s="13" t="str">
        <f aca="false">IF($B2412="","",IFERROR(INDEX(직원목록!$C$3:$C$302,MATCH($B2412,직원목록!$A$3:$A$302,0)),""))</f>
        <v/>
      </c>
      <c r="E2412" s="14"/>
      <c r="F2412" s="14"/>
      <c r="G2412" s="15"/>
      <c r="H2412" s="16" t="str">
        <f aca="false">IF(OR($K2412="",$L2412=""),"",ROUND(MAX(0,($L2412-$K2412)-IF($G2412="",0,$G2412))/60,2))</f>
        <v/>
      </c>
      <c r="I2412" s="8"/>
      <c r="J2412" s="8"/>
      <c r="K2412" s="17" t="str">
        <f aca="false">IF($E2412="","",IF($E2412&lt;1,ROUND($E2412*1440,0),INT($E2412/100)*60+MOD($E2412,100)))</f>
        <v/>
      </c>
      <c r="L2412" s="17" t="str">
        <f aca="false">IF($F2412="","",IF($F2412&lt;1,ROUND($F2412*1440,0),INT($F2412/100)*60+MOD($F2412,100)))</f>
        <v/>
      </c>
    </row>
    <row r="2413" customFormat="false" ht="15" hidden="false" customHeight="true" outlineLevel="0" collapsed="false">
      <c r="A2413" s="10"/>
      <c r="B2413" s="8"/>
      <c r="C2413" s="13" t="str">
        <f aca="false">IF($B2413="","",IFERROR(INDEX(직원목록!$B$3:$B$302,MATCH($B2413,직원목록!$A$3:$A$302,0)),"미등록사번"))</f>
        <v/>
      </c>
      <c r="D2413" s="13" t="str">
        <f aca="false">IF($B2413="","",IFERROR(INDEX(직원목록!$C$3:$C$302,MATCH($B2413,직원목록!$A$3:$A$302,0)),""))</f>
        <v/>
      </c>
      <c r="E2413" s="14"/>
      <c r="F2413" s="14"/>
      <c r="G2413" s="15"/>
      <c r="H2413" s="16" t="str">
        <f aca="false">IF(OR($K2413="",$L2413=""),"",ROUND(MAX(0,($L2413-$K2413)-IF($G2413="",0,$G2413))/60,2))</f>
        <v/>
      </c>
      <c r="I2413" s="8"/>
      <c r="J2413" s="8"/>
      <c r="K2413" s="17" t="str">
        <f aca="false">IF($E2413="","",IF($E2413&lt;1,ROUND($E2413*1440,0),INT($E2413/100)*60+MOD($E2413,100)))</f>
        <v/>
      </c>
      <c r="L2413" s="17" t="str">
        <f aca="false">IF($F2413="","",IF($F2413&lt;1,ROUND($F2413*1440,0),INT($F2413/100)*60+MOD($F2413,100)))</f>
        <v/>
      </c>
    </row>
    <row r="2414" customFormat="false" ht="15" hidden="false" customHeight="true" outlineLevel="0" collapsed="false">
      <c r="A2414" s="10"/>
      <c r="B2414" s="8"/>
      <c r="C2414" s="13" t="str">
        <f aca="false">IF($B2414="","",IFERROR(INDEX(직원목록!$B$3:$B$302,MATCH($B2414,직원목록!$A$3:$A$302,0)),"미등록사번"))</f>
        <v/>
      </c>
      <c r="D2414" s="13" t="str">
        <f aca="false">IF($B2414="","",IFERROR(INDEX(직원목록!$C$3:$C$302,MATCH($B2414,직원목록!$A$3:$A$302,0)),""))</f>
        <v/>
      </c>
      <c r="E2414" s="14"/>
      <c r="F2414" s="14"/>
      <c r="G2414" s="15"/>
      <c r="H2414" s="16" t="str">
        <f aca="false">IF(OR($K2414="",$L2414=""),"",ROUND(MAX(0,($L2414-$K2414)-IF($G2414="",0,$G2414))/60,2))</f>
        <v/>
      </c>
      <c r="I2414" s="8"/>
      <c r="J2414" s="8"/>
      <c r="K2414" s="17" t="str">
        <f aca="false">IF($E2414="","",IF($E2414&lt;1,ROUND($E2414*1440,0),INT($E2414/100)*60+MOD($E2414,100)))</f>
        <v/>
      </c>
      <c r="L2414" s="17" t="str">
        <f aca="false">IF($F2414="","",IF($F2414&lt;1,ROUND($F2414*1440,0),INT($F2414/100)*60+MOD($F2414,100)))</f>
        <v/>
      </c>
    </row>
    <row r="2415" customFormat="false" ht="15" hidden="false" customHeight="true" outlineLevel="0" collapsed="false">
      <c r="A2415" s="10"/>
      <c r="B2415" s="8"/>
      <c r="C2415" s="13" t="str">
        <f aca="false">IF($B2415="","",IFERROR(INDEX(직원목록!$B$3:$B$302,MATCH($B2415,직원목록!$A$3:$A$302,0)),"미등록사번"))</f>
        <v/>
      </c>
      <c r="D2415" s="13" t="str">
        <f aca="false">IF($B2415="","",IFERROR(INDEX(직원목록!$C$3:$C$302,MATCH($B2415,직원목록!$A$3:$A$302,0)),""))</f>
        <v/>
      </c>
      <c r="E2415" s="14"/>
      <c r="F2415" s="14"/>
      <c r="G2415" s="15"/>
      <c r="H2415" s="16" t="str">
        <f aca="false">IF(OR($K2415="",$L2415=""),"",ROUND(MAX(0,($L2415-$K2415)-IF($G2415="",0,$G2415))/60,2))</f>
        <v/>
      </c>
      <c r="I2415" s="8"/>
      <c r="J2415" s="8"/>
      <c r="K2415" s="17" t="str">
        <f aca="false">IF($E2415="","",IF($E2415&lt;1,ROUND($E2415*1440,0),INT($E2415/100)*60+MOD($E2415,100)))</f>
        <v/>
      </c>
      <c r="L2415" s="17" t="str">
        <f aca="false">IF($F2415="","",IF($F2415&lt;1,ROUND($F2415*1440,0),INT($F2415/100)*60+MOD($F2415,100)))</f>
        <v/>
      </c>
    </row>
    <row r="2416" customFormat="false" ht="15" hidden="false" customHeight="true" outlineLevel="0" collapsed="false">
      <c r="A2416" s="10"/>
      <c r="B2416" s="8"/>
      <c r="C2416" s="13" t="str">
        <f aca="false">IF($B2416="","",IFERROR(INDEX(직원목록!$B$3:$B$302,MATCH($B2416,직원목록!$A$3:$A$302,0)),"미등록사번"))</f>
        <v/>
      </c>
      <c r="D2416" s="13" t="str">
        <f aca="false">IF($B2416="","",IFERROR(INDEX(직원목록!$C$3:$C$302,MATCH($B2416,직원목록!$A$3:$A$302,0)),""))</f>
        <v/>
      </c>
      <c r="E2416" s="14"/>
      <c r="F2416" s="14"/>
      <c r="G2416" s="15"/>
      <c r="H2416" s="16" t="str">
        <f aca="false">IF(OR($K2416="",$L2416=""),"",ROUND(MAX(0,($L2416-$K2416)-IF($G2416="",0,$G2416))/60,2))</f>
        <v/>
      </c>
      <c r="I2416" s="8"/>
      <c r="J2416" s="8"/>
      <c r="K2416" s="17" t="str">
        <f aca="false">IF($E2416="","",IF($E2416&lt;1,ROUND($E2416*1440,0),INT($E2416/100)*60+MOD($E2416,100)))</f>
        <v/>
      </c>
      <c r="L2416" s="17" t="str">
        <f aca="false">IF($F2416="","",IF($F2416&lt;1,ROUND($F2416*1440,0),INT($F2416/100)*60+MOD($F2416,100)))</f>
        <v/>
      </c>
    </row>
    <row r="2417" customFormat="false" ht="15" hidden="false" customHeight="true" outlineLevel="0" collapsed="false">
      <c r="A2417" s="10"/>
      <c r="B2417" s="8"/>
      <c r="C2417" s="13" t="str">
        <f aca="false">IF($B2417="","",IFERROR(INDEX(직원목록!$B$3:$B$302,MATCH($B2417,직원목록!$A$3:$A$302,0)),"미등록사번"))</f>
        <v/>
      </c>
      <c r="D2417" s="13" t="str">
        <f aca="false">IF($B2417="","",IFERROR(INDEX(직원목록!$C$3:$C$302,MATCH($B2417,직원목록!$A$3:$A$302,0)),""))</f>
        <v/>
      </c>
      <c r="E2417" s="14"/>
      <c r="F2417" s="14"/>
      <c r="G2417" s="15"/>
      <c r="H2417" s="16" t="str">
        <f aca="false">IF(OR($K2417="",$L2417=""),"",ROUND(MAX(0,($L2417-$K2417)-IF($G2417="",0,$G2417))/60,2))</f>
        <v/>
      </c>
      <c r="I2417" s="8"/>
      <c r="J2417" s="8"/>
      <c r="K2417" s="17" t="str">
        <f aca="false">IF($E2417="","",IF($E2417&lt;1,ROUND($E2417*1440,0),INT($E2417/100)*60+MOD($E2417,100)))</f>
        <v/>
      </c>
      <c r="L2417" s="17" t="str">
        <f aca="false">IF($F2417="","",IF($F2417&lt;1,ROUND($F2417*1440,0),INT($F2417/100)*60+MOD($F2417,100)))</f>
        <v/>
      </c>
    </row>
    <row r="2418" customFormat="false" ht="15" hidden="false" customHeight="true" outlineLevel="0" collapsed="false">
      <c r="A2418" s="10"/>
      <c r="B2418" s="8"/>
      <c r="C2418" s="13" t="str">
        <f aca="false">IF($B2418="","",IFERROR(INDEX(직원목록!$B$3:$B$302,MATCH($B2418,직원목록!$A$3:$A$302,0)),"미등록사번"))</f>
        <v/>
      </c>
      <c r="D2418" s="13" t="str">
        <f aca="false">IF($B2418="","",IFERROR(INDEX(직원목록!$C$3:$C$302,MATCH($B2418,직원목록!$A$3:$A$302,0)),""))</f>
        <v/>
      </c>
      <c r="E2418" s="14"/>
      <c r="F2418" s="14"/>
      <c r="G2418" s="15"/>
      <c r="H2418" s="16" t="str">
        <f aca="false">IF(OR($K2418="",$L2418=""),"",ROUND(MAX(0,($L2418-$K2418)-IF($G2418="",0,$G2418))/60,2))</f>
        <v/>
      </c>
      <c r="I2418" s="8"/>
      <c r="J2418" s="8"/>
      <c r="K2418" s="17" t="str">
        <f aca="false">IF($E2418="","",IF($E2418&lt;1,ROUND($E2418*1440,0),INT($E2418/100)*60+MOD($E2418,100)))</f>
        <v/>
      </c>
      <c r="L2418" s="17" t="str">
        <f aca="false">IF($F2418="","",IF($F2418&lt;1,ROUND($F2418*1440,0),INT($F2418/100)*60+MOD($F2418,100)))</f>
        <v/>
      </c>
    </row>
    <row r="2419" customFormat="false" ht="15" hidden="false" customHeight="true" outlineLevel="0" collapsed="false">
      <c r="A2419" s="10"/>
      <c r="B2419" s="8"/>
      <c r="C2419" s="13" t="str">
        <f aca="false">IF($B2419="","",IFERROR(INDEX(직원목록!$B$3:$B$302,MATCH($B2419,직원목록!$A$3:$A$302,0)),"미등록사번"))</f>
        <v/>
      </c>
      <c r="D2419" s="13" t="str">
        <f aca="false">IF($B2419="","",IFERROR(INDEX(직원목록!$C$3:$C$302,MATCH($B2419,직원목록!$A$3:$A$302,0)),""))</f>
        <v/>
      </c>
      <c r="E2419" s="14"/>
      <c r="F2419" s="14"/>
      <c r="G2419" s="15"/>
      <c r="H2419" s="16" t="str">
        <f aca="false">IF(OR($K2419="",$L2419=""),"",ROUND(MAX(0,($L2419-$K2419)-IF($G2419="",0,$G2419))/60,2))</f>
        <v/>
      </c>
      <c r="I2419" s="8"/>
      <c r="J2419" s="8"/>
      <c r="K2419" s="17" t="str">
        <f aca="false">IF($E2419="","",IF($E2419&lt;1,ROUND($E2419*1440,0),INT($E2419/100)*60+MOD($E2419,100)))</f>
        <v/>
      </c>
      <c r="L2419" s="17" t="str">
        <f aca="false">IF($F2419="","",IF($F2419&lt;1,ROUND($F2419*1440,0),INT($F2419/100)*60+MOD($F2419,100)))</f>
        <v/>
      </c>
    </row>
    <row r="2420" customFormat="false" ht="15" hidden="false" customHeight="true" outlineLevel="0" collapsed="false">
      <c r="A2420" s="10"/>
      <c r="B2420" s="8"/>
      <c r="C2420" s="13" t="str">
        <f aca="false">IF($B2420="","",IFERROR(INDEX(직원목록!$B$3:$B$302,MATCH($B2420,직원목록!$A$3:$A$302,0)),"미등록사번"))</f>
        <v/>
      </c>
      <c r="D2420" s="13" t="str">
        <f aca="false">IF($B2420="","",IFERROR(INDEX(직원목록!$C$3:$C$302,MATCH($B2420,직원목록!$A$3:$A$302,0)),""))</f>
        <v/>
      </c>
      <c r="E2420" s="14"/>
      <c r="F2420" s="14"/>
      <c r="G2420" s="15"/>
      <c r="H2420" s="16" t="str">
        <f aca="false">IF(OR($K2420="",$L2420=""),"",ROUND(MAX(0,($L2420-$K2420)-IF($G2420="",0,$G2420))/60,2))</f>
        <v/>
      </c>
      <c r="I2420" s="8"/>
      <c r="J2420" s="8"/>
      <c r="K2420" s="17" t="str">
        <f aca="false">IF($E2420="","",IF($E2420&lt;1,ROUND($E2420*1440,0),INT($E2420/100)*60+MOD($E2420,100)))</f>
        <v/>
      </c>
      <c r="L2420" s="17" t="str">
        <f aca="false">IF($F2420="","",IF($F2420&lt;1,ROUND($F2420*1440,0),INT($F2420/100)*60+MOD($F2420,100)))</f>
        <v/>
      </c>
    </row>
    <row r="2421" customFormat="false" ht="15" hidden="false" customHeight="true" outlineLevel="0" collapsed="false">
      <c r="A2421" s="10"/>
      <c r="B2421" s="8"/>
      <c r="C2421" s="13" t="str">
        <f aca="false">IF($B2421="","",IFERROR(INDEX(직원목록!$B$3:$B$302,MATCH($B2421,직원목록!$A$3:$A$302,0)),"미등록사번"))</f>
        <v/>
      </c>
      <c r="D2421" s="13" t="str">
        <f aca="false">IF($B2421="","",IFERROR(INDEX(직원목록!$C$3:$C$302,MATCH($B2421,직원목록!$A$3:$A$302,0)),""))</f>
        <v/>
      </c>
      <c r="E2421" s="14"/>
      <c r="F2421" s="14"/>
      <c r="G2421" s="15"/>
      <c r="H2421" s="16" t="str">
        <f aca="false">IF(OR($K2421="",$L2421=""),"",ROUND(MAX(0,($L2421-$K2421)-IF($G2421="",0,$G2421))/60,2))</f>
        <v/>
      </c>
      <c r="I2421" s="8"/>
      <c r="J2421" s="8"/>
      <c r="K2421" s="17" t="str">
        <f aca="false">IF($E2421="","",IF($E2421&lt;1,ROUND($E2421*1440,0),INT($E2421/100)*60+MOD($E2421,100)))</f>
        <v/>
      </c>
      <c r="L2421" s="17" t="str">
        <f aca="false">IF($F2421="","",IF($F2421&lt;1,ROUND($F2421*1440,0),INT($F2421/100)*60+MOD($F2421,100)))</f>
        <v/>
      </c>
    </row>
    <row r="2422" customFormat="false" ht="15" hidden="false" customHeight="true" outlineLevel="0" collapsed="false">
      <c r="A2422" s="10"/>
      <c r="B2422" s="8"/>
      <c r="C2422" s="13" t="str">
        <f aca="false">IF($B2422="","",IFERROR(INDEX(직원목록!$B$3:$B$302,MATCH($B2422,직원목록!$A$3:$A$302,0)),"미등록사번"))</f>
        <v/>
      </c>
      <c r="D2422" s="13" t="str">
        <f aca="false">IF($B2422="","",IFERROR(INDEX(직원목록!$C$3:$C$302,MATCH($B2422,직원목록!$A$3:$A$302,0)),""))</f>
        <v/>
      </c>
      <c r="E2422" s="14"/>
      <c r="F2422" s="14"/>
      <c r="G2422" s="15"/>
      <c r="H2422" s="16" t="str">
        <f aca="false">IF(OR($K2422="",$L2422=""),"",ROUND(MAX(0,($L2422-$K2422)-IF($G2422="",0,$G2422))/60,2))</f>
        <v/>
      </c>
      <c r="I2422" s="8"/>
      <c r="J2422" s="8"/>
      <c r="K2422" s="17" t="str">
        <f aca="false">IF($E2422="","",IF($E2422&lt;1,ROUND($E2422*1440,0),INT($E2422/100)*60+MOD($E2422,100)))</f>
        <v/>
      </c>
      <c r="L2422" s="17" t="str">
        <f aca="false">IF($F2422="","",IF($F2422&lt;1,ROUND($F2422*1440,0),INT($F2422/100)*60+MOD($F2422,100)))</f>
        <v/>
      </c>
    </row>
    <row r="2423" customFormat="false" ht="15" hidden="false" customHeight="true" outlineLevel="0" collapsed="false">
      <c r="A2423" s="10"/>
      <c r="B2423" s="8"/>
      <c r="C2423" s="13" t="str">
        <f aca="false">IF($B2423="","",IFERROR(INDEX(직원목록!$B$3:$B$302,MATCH($B2423,직원목록!$A$3:$A$302,0)),"미등록사번"))</f>
        <v/>
      </c>
      <c r="D2423" s="13" t="str">
        <f aca="false">IF($B2423="","",IFERROR(INDEX(직원목록!$C$3:$C$302,MATCH($B2423,직원목록!$A$3:$A$302,0)),""))</f>
        <v/>
      </c>
      <c r="E2423" s="14"/>
      <c r="F2423" s="14"/>
      <c r="G2423" s="15"/>
      <c r="H2423" s="16" t="str">
        <f aca="false">IF(OR($K2423="",$L2423=""),"",ROUND(MAX(0,($L2423-$K2423)-IF($G2423="",0,$G2423))/60,2))</f>
        <v/>
      </c>
      <c r="I2423" s="8"/>
      <c r="J2423" s="8"/>
      <c r="K2423" s="17" t="str">
        <f aca="false">IF($E2423="","",IF($E2423&lt;1,ROUND($E2423*1440,0),INT($E2423/100)*60+MOD($E2423,100)))</f>
        <v/>
      </c>
      <c r="L2423" s="17" t="str">
        <f aca="false">IF($F2423="","",IF($F2423&lt;1,ROUND($F2423*1440,0),INT($F2423/100)*60+MOD($F2423,100)))</f>
        <v/>
      </c>
    </row>
    <row r="2424" customFormat="false" ht="15" hidden="false" customHeight="true" outlineLevel="0" collapsed="false">
      <c r="A2424" s="10"/>
      <c r="B2424" s="8"/>
      <c r="C2424" s="13" t="str">
        <f aca="false">IF($B2424="","",IFERROR(INDEX(직원목록!$B$3:$B$302,MATCH($B2424,직원목록!$A$3:$A$302,0)),"미등록사번"))</f>
        <v/>
      </c>
      <c r="D2424" s="13" t="str">
        <f aca="false">IF($B2424="","",IFERROR(INDEX(직원목록!$C$3:$C$302,MATCH($B2424,직원목록!$A$3:$A$302,0)),""))</f>
        <v/>
      </c>
      <c r="E2424" s="14"/>
      <c r="F2424" s="14"/>
      <c r="G2424" s="15"/>
      <c r="H2424" s="16" t="str">
        <f aca="false">IF(OR($K2424="",$L2424=""),"",ROUND(MAX(0,($L2424-$K2424)-IF($G2424="",0,$G2424))/60,2))</f>
        <v/>
      </c>
      <c r="I2424" s="8"/>
      <c r="J2424" s="8"/>
      <c r="K2424" s="17" t="str">
        <f aca="false">IF($E2424="","",IF($E2424&lt;1,ROUND($E2424*1440,0),INT($E2424/100)*60+MOD($E2424,100)))</f>
        <v/>
      </c>
      <c r="L2424" s="17" t="str">
        <f aca="false">IF($F2424="","",IF($F2424&lt;1,ROUND($F2424*1440,0),INT($F2424/100)*60+MOD($F2424,100)))</f>
        <v/>
      </c>
    </row>
    <row r="2425" customFormat="false" ht="15" hidden="false" customHeight="true" outlineLevel="0" collapsed="false">
      <c r="A2425" s="10"/>
      <c r="B2425" s="8"/>
      <c r="C2425" s="13" t="str">
        <f aca="false">IF($B2425="","",IFERROR(INDEX(직원목록!$B$3:$B$302,MATCH($B2425,직원목록!$A$3:$A$302,0)),"미등록사번"))</f>
        <v/>
      </c>
      <c r="D2425" s="13" t="str">
        <f aca="false">IF($B2425="","",IFERROR(INDEX(직원목록!$C$3:$C$302,MATCH($B2425,직원목록!$A$3:$A$302,0)),""))</f>
        <v/>
      </c>
      <c r="E2425" s="14"/>
      <c r="F2425" s="14"/>
      <c r="G2425" s="15"/>
      <c r="H2425" s="16" t="str">
        <f aca="false">IF(OR($K2425="",$L2425=""),"",ROUND(MAX(0,($L2425-$K2425)-IF($G2425="",0,$G2425))/60,2))</f>
        <v/>
      </c>
      <c r="I2425" s="8"/>
      <c r="J2425" s="8"/>
      <c r="K2425" s="17" t="str">
        <f aca="false">IF($E2425="","",IF($E2425&lt;1,ROUND($E2425*1440,0),INT($E2425/100)*60+MOD($E2425,100)))</f>
        <v/>
      </c>
      <c r="L2425" s="17" t="str">
        <f aca="false">IF($F2425="","",IF($F2425&lt;1,ROUND($F2425*1440,0),INT($F2425/100)*60+MOD($F2425,100)))</f>
        <v/>
      </c>
    </row>
    <row r="2426" customFormat="false" ht="15" hidden="false" customHeight="true" outlineLevel="0" collapsed="false">
      <c r="A2426" s="10"/>
      <c r="B2426" s="8"/>
      <c r="C2426" s="13" t="str">
        <f aca="false">IF($B2426="","",IFERROR(INDEX(직원목록!$B$3:$B$302,MATCH($B2426,직원목록!$A$3:$A$302,0)),"미등록사번"))</f>
        <v/>
      </c>
      <c r="D2426" s="13" t="str">
        <f aca="false">IF($B2426="","",IFERROR(INDEX(직원목록!$C$3:$C$302,MATCH($B2426,직원목록!$A$3:$A$302,0)),""))</f>
        <v/>
      </c>
      <c r="E2426" s="14"/>
      <c r="F2426" s="14"/>
      <c r="G2426" s="15"/>
      <c r="H2426" s="16" t="str">
        <f aca="false">IF(OR($K2426="",$L2426=""),"",ROUND(MAX(0,($L2426-$K2426)-IF($G2426="",0,$G2426))/60,2))</f>
        <v/>
      </c>
      <c r="I2426" s="8"/>
      <c r="J2426" s="8"/>
      <c r="K2426" s="17" t="str">
        <f aca="false">IF($E2426="","",IF($E2426&lt;1,ROUND($E2426*1440,0),INT($E2426/100)*60+MOD($E2426,100)))</f>
        <v/>
      </c>
      <c r="L2426" s="17" t="str">
        <f aca="false">IF($F2426="","",IF($F2426&lt;1,ROUND($F2426*1440,0),INT($F2426/100)*60+MOD($F2426,100)))</f>
        <v/>
      </c>
    </row>
    <row r="2427" customFormat="false" ht="15" hidden="false" customHeight="true" outlineLevel="0" collapsed="false">
      <c r="A2427" s="10"/>
      <c r="B2427" s="8"/>
      <c r="C2427" s="13" t="str">
        <f aca="false">IF($B2427="","",IFERROR(INDEX(직원목록!$B$3:$B$302,MATCH($B2427,직원목록!$A$3:$A$302,0)),"미등록사번"))</f>
        <v/>
      </c>
      <c r="D2427" s="13" t="str">
        <f aca="false">IF($B2427="","",IFERROR(INDEX(직원목록!$C$3:$C$302,MATCH($B2427,직원목록!$A$3:$A$302,0)),""))</f>
        <v/>
      </c>
      <c r="E2427" s="14"/>
      <c r="F2427" s="14"/>
      <c r="G2427" s="15"/>
      <c r="H2427" s="16" t="str">
        <f aca="false">IF(OR($K2427="",$L2427=""),"",ROUND(MAX(0,($L2427-$K2427)-IF($G2427="",0,$G2427))/60,2))</f>
        <v/>
      </c>
      <c r="I2427" s="8"/>
      <c r="J2427" s="8"/>
      <c r="K2427" s="17" t="str">
        <f aca="false">IF($E2427="","",IF($E2427&lt;1,ROUND($E2427*1440,0),INT($E2427/100)*60+MOD($E2427,100)))</f>
        <v/>
      </c>
      <c r="L2427" s="17" t="str">
        <f aca="false">IF($F2427="","",IF($F2427&lt;1,ROUND($F2427*1440,0),INT($F2427/100)*60+MOD($F2427,100)))</f>
        <v/>
      </c>
    </row>
    <row r="2428" customFormat="false" ht="15" hidden="false" customHeight="true" outlineLevel="0" collapsed="false">
      <c r="A2428" s="10"/>
      <c r="B2428" s="8"/>
      <c r="C2428" s="13" t="str">
        <f aca="false">IF($B2428="","",IFERROR(INDEX(직원목록!$B$3:$B$302,MATCH($B2428,직원목록!$A$3:$A$302,0)),"미등록사번"))</f>
        <v/>
      </c>
      <c r="D2428" s="13" t="str">
        <f aca="false">IF($B2428="","",IFERROR(INDEX(직원목록!$C$3:$C$302,MATCH($B2428,직원목록!$A$3:$A$302,0)),""))</f>
        <v/>
      </c>
      <c r="E2428" s="14"/>
      <c r="F2428" s="14"/>
      <c r="G2428" s="15"/>
      <c r="H2428" s="16" t="str">
        <f aca="false">IF(OR($K2428="",$L2428=""),"",ROUND(MAX(0,($L2428-$K2428)-IF($G2428="",0,$G2428))/60,2))</f>
        <v/>
      </c>
      <c r="I2428" s="8"/>
      <c r="J2428" s="8"/>
      <c r="K2428" s="17" t="str">
        <f aca="false">IF($E2428="","",IF($E2428&lt;1,ROUND($E2428*1440,0),INT($E2428/100)*60+MOD($E2428,100)))</f>
        <v/>
      </c>
      <c r="L2428" s="17" t="str">
        <f aca="false">IF($F2428="","",IF($F2428&lt;1,ROUND($F2428*1440,0),INT($F2428/100)*60+MOD($F2428,100)))</f>
        <v/>
      </c>
    </row>
    <row r="2429" customFormat="false" ht="15" hidden="false" customHeight="true" outlineLevel="0" collapsed="false">
      <c r="A2429" s="10"/>
      <c r="B2429" s="8"/>
      <c r="C2429" s="13" t="str">
        <f aca="false">IF($B2429="","",IFERROR(INDEX(직원목록!$B$3:$B$302,MATCH($B2429,직원목록!$A$3:$A$302,0)),"미등록사번"))</f>
        <v/>
      </c>
      <c r="D2429" s="13" t="str">
        <f aca="false">IF($B2429="","",IFERROR(INDEX(직원목록!$C$3:$C$302,MATCH($B2429,직원목록!$A$3:$A$302,0)),""))</f>
        <v/>
      </c>
      <c r="E2429" s="14"/>
      <c r="F2429" s="14"/>
      <c r="G2429" s="15"/>
      <c r="H2429" s="16" t="str">
        <f aca="false">IF(OR($K2429="",$L2429=""),"",ROUND(MAX(0,($L2429-$K2429)-IF($G2429="",0,$G2429))/60,2))</f>
        <v/>
      </c>
      <c r="I2429" s="8"/>
      <c r="J2429" s="8"/>
      <c r="K2429" s="17" t="str">
        <f aca="false">IF($E2429="","",IF($E2429&lt;1,ROUND($E2429*1440,0),INT($E2429/100)*60+MOD($E2429,100)))</f>
        <v/>
      </c>
      <c r="L2429" s="17" t="str">
        <f aca="false">IF($F2429="","",IF($F2429&lt;1,ROUND($F2429*1440,0),INT($F2429/100)*60+MOD($F2429,100)))</f>
        <v/>
      </c>
    </row>
    <row r="2430" customFormat="false" ht="15" hidden="false" customHeight="true" outlineLevel="0" collapsed="false">
      <c r="A2430" s="10"/>
      <c r="B2430" s="8"/>
      <c r="C2430" s="13" t="str">
        <f aca="false">IF($B2430="","",IFERROR(INDEX(직원목록!$B$3:$B$302,MATCH($B2430,직원목록!$A$3:$A$302,0)),"미등록사번"))</f>
        <v/>
      </c>
      <c r="D2430" s="13" t="str">
        <f aca="false">IF($B2430="","",IFERROR(INDEX(직원목록!$C$3:$C$302,MATCH($B2430,직원목록!$A$3:$A$302,0)),""))</f>
        <v/>
      </c>
      <c r="E2430" s="14"/>
      <c r="F2430" s="14"/>
      <c r="G2430" s="15"/>
      <c r="H2430" s="16" t="str">
        <f aca="false">IF(OR($K2430="",$L2430=""),"",ROUND(MAX(0,($L2430-$K2430)-IF($G2430="",0,$G2430))/60,2))</f>
        <v/>
      </c>
      <c r="I2430" s="8"/>
      <c r="J2430" s="8"/>
      <c r="K2430" s="17" t="str">
        <f aca="false">IF($E2430="","",IF($E2430&lt;1,ROUND($E2430*1440,0),INT($E2430/100)*60+MOD($E2430,100)))</f>
        <v/>
      </c>
      <c r="L2430" s="17" t="str">
        <f aca="false">IF($F2430="","",IF($F2430&lt;1,ROUND($F2430*1440,0),INT($F2430/100)*60+MOD($F2430,100)))</f>
        <v/>
      </c>
    </row>
    <row r="2431" customFormat="false" ht="15" hidden="false" customHeight="true" outlineLevel="0" collapsed="false">
      <c r="A2431" s="10"/>
      <c r="B2431" s="8"/>
      <c r="C2431" s="13" t="str">
        <f aca="false">IF($B2431="","",IFERROR(INDEX(직원목록!$B$3:$B$302,MATCH($B2431,직원목록!$A$3:$A$302,0)),"미등록사번"))</f>
        <v/>
      </c>
      <c r="D2431" s="13" t="str">
        <f aca="false">IF($B2431="","",IFERROR(INDEX(직원목록!$C$3:$C$302,MATCH($B2431,직원목록!$A$3:$A$302,0)),""))</f>
        <v/>
      </c>
      <c r="E2431" s="14"/>
      <c r="F2431" s="14"/>
      <c r="G2431" s="15"/>
      <c r="H2431" s="16" t="str">
        <f aca="false">IF(OR($K2431="",$L2431=""),"",ROUND(MAX(0,($L2431-$K2431)-IF($G2431="",0,$G2431))/60,2))</f>
        <v/>
      </c>
      <c r="I2431" s="8"/>
      <c r="J2431" s="8"/>
      <c r="K2431" s="17" t="str">
        <f aca="false">IF($E2431="","",IF($E2431&lt;1,ROUND($E2431*1440,0),INT($E2431/100)*60+MOD($E2431,100)))</f>
        <v/>
      </c>
      <c r="L2431" s="17" t="str">
        <f aca="false">IF($F2431="","",IF($F2431&lt;1,ROUND($F2431*1440,0),INT($F2431/100)*60+MOD($F2431,100)))</f>
        <v/>
      </c>
    </row>
    <row r="2432" customFormat="false" ht="15" hidden="false" customHeight="true" outlineLevel="0" collapsed="false">
      <c r="A2432" s="10"/>
      <c r="B2432" s="8"/>
      <c r="C2432" s="13" t="str">
        <f aca="false">IF($B2432="","",IFERROR(INDEX(직원목록!$B$3:$B$302,MATCH($B2432,직원목록!$A$3:$A$302,0)),"미등록사번"))</f>
        <v/>
      </c>
      <c r="D2432" s="13" t="str">
        <f aca="false">IF($B2432="","",IFERROR(INDEX(직원목록!$C$3:$C$302,MATCH($B2432,직원목록!$A$3:$A$302,0)),""))</f>
        <v/>
      </c>
      <c r="E2432" s="14"/>
      <c r="F2432" s="14"/>
      <c r="G2432" s="15"/>
      <c r="H2432" s="16" t="str">
        <f aca="false">IF(OR($K2432="",$L2432=""),"",ROUND(MAX(0,($L2432-$K2432)-IF($G2432="",0,$G2432))/60,2))</f>
        <v/>
      </c>
      <c r="I2432" s="8"/>
      <c r="J2432" s="8"/>
      <c r="K2432" s="17" t="str">
        <f aca="false">IF($E2432="","",IF($E2432&lt;1,ROUND($E2432*1440,0),INT($E2432/100)*60+MOD($E2432,100)))</f>
        <v/>
      </c>
      <c r="L2432" s="17" t="str">
        <f aca="false">IF($F2432="","",IF($F2432&lt;1,ROUND($F2432*1440,0),INT($F2432/100)*60+MOD($F2432,100)))</f>
        <v/>
      </c>
    </row>
    <row r="2433" customFormat="false" ht="15" hidden="false" customHeight="true" outlineLevel="0" collapsed="false">
      <c r="A2433" s="10"/>
      <c r="B2433" s="8"/>
      <c r="C2433" s="13" t="str">
        <f aca="false">IF($B2433="","",IFERROR(INDEX(직원목록!$B$3:$B$302,MATCH($B2433,직원목록!$A$3:$A$302,0)),"미등록사번"))</f>
        <v/>
      </c>
      <c r="D2433" s="13" t="str">
        <f aca="false">IF($B2433="","",IFERROR(INDEX(직원목록!$C$3:$C$302,MATCH($B2433,직원목록!$A$3:$A$302,0)),""))</f>
        <v/>
      </c>
      <c r="E2433" s="14"/>
      <c r="F2433" s="14"/>
      <c r="G2433" s="15"/>
      <c r="H2433" s="16" t="str">
        <f aca="false">IF(OR($K2433="",$L2433=""),"",ROUND(MAX(0,($L2433-$K2433)-IF($G2433="",0,$G2433))/60,2))</f>
        <v/>
      </c>
      <c r="I2433" s="8"/>
      <c r="J2433" s="8"/>
      <c r="K2433" s="17" t="str">
        <f aca="false">IF($E2433="","",IF($E2433&lt;1,ROUND($E2433*1440,0),INT($E2433/100)*60+MOD($E2433,100)))</f>
        <v/>
      </c>
      <c r="L2433" s="17" t="str">
        <f aca="false">IF($F2433="","",IF($F2433&lt;1,ROUND($F2433*1440,0),INT($F2433/100)*60+MOD($F2433,100)))</f>
        <v/>
      </c>
    </row>
    <row r="2434" customFormat="false" ht="15" hidden="false" customHeight="true" outlineLevel="0" collapsed="false">
      <c r="A2434" s="10"/>
      <c r="B2434" s="8"/>
      <c r="C2434" s="13" t="str">
        <f aca="false">IF($B2434="","",IFERROR(INDEX(직원목록!$B$3:$B$302,MATCH($B2434,직원목록!$A$3:$A$302,0)),"미등록사번"))</f>
        <v/>
      </c>
      <c r="D2434" s="13" t="str">
        <f aca="false">IF($B2434="","",IFERROR(INDEX(직원목록!$C$3:$C$302,MATCH($B2434,직원목록!$A$3:$A$302,0)),""))</f>
        <v/>
      </c>
      <c r="E2434" s="14"/>
      <c r="F2434" s="14"/>
      <c r="G2434" s="15"/>
      <c r="H2434" s="16" t="str">
        <f aca="false">IF(OR($K2434="",$L2434=""),"",ROUND(MAX(0,($L2434-$K2434)-IF($G2434="",0,$G2434))/60,2))</f>
        <v/>
      </c>
      <c r="I2434" s="8"/>
      <c r="J2434" s="8"/>
      <c r="K2434" s="17" t="str">
        <f aca="false">IF($E2434="","",IF($E2434&lt;1,ROUND($E2434*1440,0),INT($E2434/100)*60+MOD($E2434,100)))</f>
        <v/>
      </c>
      <c r="L2434" s="17" t="str">
        <f aca="false">IF($F2434="","",IF($F2434&lt;1,ROUND($F2434*1440,0),INT($F2434/100)*60+MOD($F2434,100)))</f>
        <v/>
      </c>
    </row>
    <row r="2435" customFormat="false" ht="15" hidden="false" customHeight="true" outlineLevel="0" collapsed="false">
      <c r="A2435" s="10"/>
      <c r="B2435" s="8"/>
      <c r="C2435" s="13" t="str">
        <f aca="false">IF($B2435="","",IFERROR(INDEX(직원목록!$B$3:$B$302,MATCH($B2435,직원목록!$A$3:$A$302,0)),"미등록사번"))</f>
        <v/>
      </c>
      <c r="D2435" s="13" t="str">
        <f aca="false">IF($B2435="","",IFERROR(INDEX(직원목록!$C$3:$C$302,MATCH($B2435,직원목록!$A$3:$A$302,0)),""))</f>
        <v/>
      </c>
      <c r="E2435" s="14"/>
      <c r="F2435" s="14"/>
      <c r="G2435" s="15"/>
      <c r="H2435" s="16" t="str">
        <f aca="false">IF(OR($K2435="",$L2435=""),"",ROUND(MAX(0,($L2435-$K2435)-IF($G2435="",0,$G2435))/60,2))</f>
        <v/>
      </c>
      <c r="I2435" s="8"/>
      <c r="J2435" s="8"/>
      <c r="K2435" s="17" t="str">
        <f aca="false">IF($E2435="","",IF($E2435&lt;1,ROUND($E2435*1440,0),INT($E2435/100)*60+MOD($E2435,100)))</f>
        <v/>
      </c>
      <c r="L2435" s="17" t="str">
        <f aca="false">IF($F2435="","",IF($F2435&lt;1,ROUND($F2435*1440,0),INT($F2435/100)*60+MOD($F2435,100)))</f>
        <v/>
      </c>
    </row>
    <row r="2436" customFormat="false" ht="15" hidden="false" customHeight="true" outlineLevel="0" collapsed="false">
      <c r="A2436" s="10"/>
      <c r="B2436" s="8"/>
      <c r="C2436" s="13" t="str">
        <f aca="false">IF($B2436="","",IFERROR(INDEX(직원목록!$B$3:$B$302,MATCH($B2436,직원목록!$A$3:$A$302,0)),"미등록사번"))</f>
        <v/>
      </c>
      <c r="D2436" s="13" t="str">
        <f aca="false">IF($B2436="","",IFERROR(INDEX(직원목록!$C$3:$C$302,MATCH($B2436,직원목록!$A$3:$A$302,0)),""))</f>
        <v/>
      </c>
      <c r="E2436" s="14"/>
      <c r="F2436" s="14"/>
      <c r="G2436" s="15"/>
      <c r="H2436" s="16" t="str">
        <f aca="false">IF(OR($K2436="",$L2436=""),"",ROUND(MAX(0,($L2436-$K2436)-IF($G2436="",0,$G2436))/60,2))</f>
        <v/>
      </c>
      <c r="I2436" s="8"/>
      <c r="J2436" s="8"/>
      <c r="K2436" s="17" t="str">
        <f aca="false">IF($E2436="","",IF($E2436&lt;1,ROUND($E2436*1440,0),INT($E2436/100)*60+MOD($E2436,100)))</f>
        <v/>
      </c>
      <c r="L2436" s="17" t="str">
        <f aca="false">IF($F2436="","",IF($F2436&lt;1,ROUND($F2436*1440,0),INT($F2436/100)*60+MOD($F2436,100)))</f>
        <v/>
      </c>
    </row>
    <row r="2437" customFormat="false" ht="15" hidden="false" customHeight="true" outlineLevel="0" collapsed="false">
      <c r="A2437" s="10"/>
      <c r="B2437" s="8"/>
      <c r="C2437" s="13" t="str">
        <f aca="false">IF($B2437="","",IFERROR(INDEX(직원목록!$B$3:$B$302,MATCH($B2437,직원목록!$A$3:$A$302,0)),"미등록사번"))</f>
        <v/>
      </c>
      <c r="D2437" s="13" t="str">
        <f aca="false">IF($B2437="","",IFERROR(INDEX(직원목록!$C$3:$C$302,MATCH($B2437,직원목록!$A$3:$A$302,0)),""))</f>
        <v/>
      </c>
      <c r="E2437" s="14"/>
      <c r="F2437" s="14"/>
      <c r="G2437" s="15"/>
      <c r="H2437" s="16" t="str">
        <f aca="false">IF(OR($K2437="",$L2437=""),"",ROUND(MAX(0,($L2437-$K2437)-IF($G2437="",0,$G2437))/60,2))</f>
        <v/>
      </c>
      <c r="I2437" s="8"/>
      <c r="J2437" s="8"/>
      <c r="K2437" s="17" t="str">
        <f aca="false">IF($E2437="","",IF($E2437&lt;1,ROUND($E2437*1440,0),INT($E2437/100)*60+MOD($E2437,100)))</f>
        <v/>
      </c>
      <c r="L2437" s="17" t="str">
        <f aca="false">IF($F2437="","",IF($F2437&lt;1,ROUND($F2437*1440,0),INT($F2437/100)*60+MOD($F2437,100)))</f>
        <v/>
      </c>
    </row>
    <row r="2438" customFormat="false" ht="15" hidden="false" customHeight="true" outlineLevel="0" collapsed="false">
      <c r="A2438" s="10"/>
      <c r="B2438" s="8"/>
      <c r="C2438" s="13" t="str">
        <f aca="false">IF($B2438="","",IFERROR(INDEX(직원목록!$B$3:$B$302,MATCH($B2438,직원목록!$A$3:$A$302,0)),"미등록사번"))</f>
        <v/>
      </c>
      <c r="D2438" s="13" t="str">
        <f aca="false">IF($B2438="","",IFERROR(INDEX(직원목록!$C$3:$C$302,MATCH($B2438,직원목록!$A$3:$A$302,0)),""))</f>
        <v/>
      </c>
      <c r="E2438" s="14"/>
      <c r="F2438" s="14"/>
      <c r="G2438" s="15"/>
      <c r="H2438" s="16" t="str">
        <f aca="false">IF(OR($K2438="",$L2438=""),"",ROUND(MAX(0,($L2438-$K2438)-IF($G2438="",0,$G2438))/60,2))</f>
        <v/>
      </c>
      <c r="I2438" s="8"/>
      <c r="J2438" s="8"/>
      <c r="K2438" s="17" t="str">
        <f aca="false">IF($E2438="","",IF($E2438&lt;1,ROUND($E2438*1440,0),INT($E2438/100)*60+MOD($E2438,100)))</f>
        <v/>
      </c>
      <c r="L2438" s="17" t="str">
        <f aca="false">IF($F2438="","",IF($F2438&lt;1,ROUND($F2438*1440,0),INT($F2438/100)*60+MOD($F2438,100)))</f>
        <v/>
      </c>
    </row>
    <row r="2439" customFormat="false" ht="15" hidden="false" customHeight="true" outlineLevel="0" collapsed="false">
      <c r="A2439" s="10"/>
      <c r="B2439" s="8"/>
      <c r="C2439" s="13" t="str">
        <f aca="false">IF($B2439="","",IFERROR(INDEX(직원목록!$B$3:$B$302,MATCH($B2439,직원목록!$A$3:$A$302,0)),"미등록사번"))</f>
        <v/>
      </c>
      <c r="D2439" s="13" t="str">
        <f aca="false">IF($B2439="","",IFERROR(INDEX(직원목록!$C$3:$C$302,MATCH($B2439,직원목록!$A$3:$A$302,0)),""))</f>
        <v/>
      </c>
      <c r="E2439" s="14"/>
      <c r="F2439" s="14"/>
      <c r="G2439" s="15"/>
      <c r="H2439" s="16" t="str">
        <f aca="false">IF(OR($K2439="",$L2439=""),"",ROUND(MAX(0,($L2439-$K2439)-IF($G2439="",0,$G2439))/60,2))</f>
        <v/>
      </c>
      <c r="I2439" s="8"/>
      <c r="J2439" s="8"/>
      <c r="K2439" s="17" t="str">
        <f aca="false">IF($E2439="","",IF($E2439&lt;1,ROUND($E2439*1440,0),INT($E2439/100)*60+MOD($E2439,100)))</f>
        <v/>
      </c>
      <c r="L2439" s="17" t="str">
        <f aca="false">IF($F2439="","",IF($F2439&lt;1,ROUND($F2439*1440,0),INT($F2439/100)*60+MOD($F2439,100)))</f>
        <v/>
      </c>
    </row>
    <row r="2440" customFormat="false" ht="15" hidden="false" customHeight="true" outlineLevel="0" collapsed="false">
      <c r="A2440" s="10"/>
      <c r="B2440" s="8"/>
      <c r="C2440" s="13" t="str">
        <f aca="false">IF($B2440="","",IFERROR(INDEX(직원목록!$B$3:$B$302,MATCH($B2440,직원목록!$A$3:$A$302,0)),"미등록사번"))</f>
        <v/>
      </c>
      <c r="D2440" s="13" t="str">
        <f aca="false">IF($B2440="","",IFERROR(INDEX(직원목록!$C$3:$C$302,MATCH($B2440,직원목록!$A$3:$A$302,0)),""))</f>
        <v/>
      </c>
      <c r="E2440" s="14"/>
      <c r="F2440" s="14"/>
      <c r="G2440" s="15"/>
      <c r="H2440" s="16" t="str">
        <f aca="false">IF(OR($K2440="",$L2440=""),"",ROUND(MAX(0,($L2440-$K2440)-IF($G2440="",0,$G2440))/60,2))</f>
        <v/>
      </c>
      <c r="I2440" s="8"/>
      <c r="J2440" s="8"/>
      <c r="K2440" s="17" t="str">
        <f aca="false">IF($E2440="","",IF($E2440&lt;1,ROUND($E2440*1440,0),INT($E2440/100)*60+MOD($E2440,100)))</f>
        <v/>
      </c>
      <c r="L2440" s="17" t="str">
        <f aca="false">IF($F2440="","",IF($F2440&lt;1,ROUND($F2440*1440,0),INT($F2440/100)*60+MOD($F2440,100)))</f>
        <v/>
      </c>
    </row>
    <row r="2441" customFormat="false" ht="15" hidden="false" customHeight="true" outlineLevel="0" collapsed="false">
      <c r="A2441" s="10"/>
      <c r="B2441" s="8"/>
      <c r="C2441" s="13" t="str">
        <f aca="false">IF($B2441="","",IFERROR(INDEX(직원목록!$B$3:$B$302,MATCH($B2441,직원목록!$A$3:$A$302,0)),"미등록사번"))</f>
        <v/>
      </c>
      <c r="D2441" s="13" t="str">
        <f aca="false">IF($B2441="","",IFERROR(INDEX(직원목록!$C$3:$C$302,MATCH($B2441,직원목록!$A$3:$A$302,0)),""))</f>
        <v/>
      </c>
      <c r="E2441" s="14"/>
      <c r="F2441" s="14"/>
      <c r="G2441" s="15"/>
      <c r="H2441" s="16" t="str">
        <f aca="false">IF(OR($K2441="",$L2441=""),"",ROUND(MAX(0,($L2441-$K2441)-IF($G2441="",0,$G2441))/60,2))</f>
        <v/>
      </c>
      <c r="I2441" s="8"/>
      <c r="J2441" s="8"/>
      <c r="K2441" s="17" t="str">
        <f aca="false">IF($E2441="","",IF($E2441&lt;1,ROUND($E2441*1440,0),INT($E2441/100)*60+MOD($E2441,100)))</f>
        <v/>
      </c>
      <c r="L2441" s="17" t="str">
        <f aca="false">IF($F2441="","",IF($F2441&lt;1,ROUND($F2441*1440,0),INT($F2441/100)*60+MOD($F2441,100)))</f>
        <v/>
      </c>
    </row>
    <row r="2442" customFormat="false" ht="15" hidden="false" customHeight="true" outlineLevel="0" collapsed="false">
      <c r="A2442" s="10"/>
      <c r="B2442" s="8"/>
      <c r="C2442" s="13" t="str">
        <f aca="false">IF($B2442="","",IFERROR(INDEX(직원목록!$B$3:$B$302,MATCH($B2442,직원목록!$A$3:$A$302,0)),"미등록사번"))</f>
        <v/>
      </c>
      <c r="D2442" s="13" t="str">
        <f aca="false">IF($B2442="","",IFERROR(INDEX(직원목록!$C$3:$C$302,MATCH($B2442,직원목록!$A$3:$A$302,0)),""))</f>
        <v/>
      </c>
      <c r="E2442" s="14"/>
      <c r="F2442" s="14"/>
      <c r="G2442" s="15"/>
      <c r="H2442" s="16" t="str">
        <f aca="false">IF(OR($K2442="",$L2442=""),"",ROUND(MAX(0,($L2442-$K2442)-IF($G2442="",0,$G2442))/60,2))</f>
        <v/>
      </c>
      <c r="I2442" s="8"/>
      <c r="J2442" s="8"/>
      <c r="K2442" s="17" t="str">
        <f aca="false">IF($E2442="","",IF($E2442&lt;1,ROUND($E2442*1440,0),INT($E2442/100)*60+MOD($E2442,100)))</f>
        <v/>
      </c>
      <c r="L2442" s="17" t="str">
        <f aca="false">IF($F2442="","",IF($F2442&lt;1,ROUND($F2442*1440,0),INT($F2442/100)*60+MOD($F2442,100)))</f>
        <v/>
      </c>
    </row>
    <row r="2443" customFormat="false" ht="15" hidden="false" customHeight="true" outlineLevel="0" collapsed="false">
      <c r="A2443" s="10"/>
      <c r="B2443" s="8"/>
      <c r="C2443" s="13" t="str">
        <f aca="false">IF($B2443="","",IFERROR(INDEX(직원목록!$B$3:$B$302,MATCH($B2443,직원목록!$A$3:$A$302,0)),"미등록사번"))</f>
        <v/>
      </c>
      <c r="D2443" s="13" t="str">
        <f aca="false">IF($B2443="","",IFERROR(INDEX(직원목록!$C$3:$C$302,MATCH($B2443,직원목록!$A$3:$A$302,0)),""))</f>
        <v/>
      </c>
      <c r="E2443" s="14"/>
      <c r="F2443" s="14"/>
      <c r="G2443" s="15"/>
      <c r="H2443" s="16" t="str">
        <f aca="false">IF(OR($K2443="",$L2443=""),"",ROUND(MAX(0,($L2443-$K2443)-IF($G2443="",0,$G2443))/60,2))</f>
        <v/>
      </c>
      <c r="I2443" s="8"/>
      <c r="J2443" s="8"/>
      <c r="K2443" s="17" t="str">
        <f aca="false">IF($E2443="","",IF($E2443&lt;1,ROUND($E2443*1440,0),INT($E2443/100)*60+MOD($E2443,100)))</f>
        <v/>
      </c>
      <c r="L2443" s="17" t="str">
        <f aca="false">IF($F2443="","",IF($F2443&lt;1,ROUND($F2443*1440,0),INT($F2443/100)*60+MOD($F2443,100)))</f>
        <v/>
      </c>
    </row>
    <row r="2444" customFormat="false" ht="15" hidden="false" customHeight="true" outlineLevel="0" collapsed="false">
      <c r="A2444" s="10"/>
      <c r="B2444" s="8"/>
      <c r="C2444" s="13" t="str">
        <f aca="false">IF($B2444="","",IFERROR(INDEX(직원목록!$B$3:$B$302,MATCH($B2444,직원목록!$A$3:$A$302,0)),"미등록사번"))</f>
        <v/>
      </c>
      <c r="D2444" s="13" t="str">
        <f aca="false">IF($B2444="","",IFERROR(INDEX(직원목록!$C$3:$C$302,MATCH($B2444,직원목록!$A$3:$A$302,0)),""))</f>
        <v/>
      </c>
      <c r="E2444" s="14"/>
      <c r="F2444" s="14"/>
      <c r="G2444" s="15"/>
      <c r="H2444" s="16" t="str">
        <f aca="false">IF(OR($K2444="",$L2444=""),"",ROUND(MAX(0,($L2444-$K2444)-IF($G2444="",0,$G2444))/60,2))</f>
        <v/>
      </c>
      <c r="I2444" s="8"/>
      <c r="J2444" s="8"/>
      <c r="K2444" s="17" t="str">
        <f aca="false">IF($E2444="","",IF($E2444&lt;1,ROUND($E2444*1440,0),INT($E2444/100)*60+MOD($E2444,100)))</f>
        <v/>
      </c>
      <c r="L2444" s="17" t="str">
        <f aca="false">IF($F2444="","",IF($F2444&lt;1,ROUND($F2444*1440,0),INT($F2444/100)*60+MOD($F2444,100)))</f>
        <v/>
      </c>
    </row>
    <row r="2445" customFormat="false" ht="15" hidden="false" customHeight="true" outlineLevel="0" collapsed="false">
      <c r="A2445" s="10"/>
      <c r="B2445" s="8"/>
      <c r="C2445" s="13" t="str">
        <f aca="false">IF($B2445="","",IFERROR(INDEX(직원목록!$B$3:$B$302,MATCH($B2445,직원목록!$A$3:$A$302,0)),"미등록사번"))</f>
        <v/>
      </c>
      <c r="D2445" s="13" t="str">
        <f aca="false">IF($B2445="","",IFERROR(INDEX(직원목록!$C$3:$C$302,MATCH($B2445,직원목록!$A$3:$A$302,0)),""))</f>
        <v/>
      </c>
      <c r="E2445" s="14"/>
      <c r="F2445" s="14"/>
      <c r="G2445" s="15"/>
      <c r="H2445" s="16" t="str">
        <f aca="false">IF(OR($K2445="",$L2445=""),"",ROUND(MAX(0,($L2445-$K2445)-IF($G2445="",0,$G2445))/60,2))</f>
        <v/>
      </c>
      <c r="I2445" s="8"/>
      <c r="J2445" s="8"/>
      <c r="K2445" s="17" t="str">
        <f aca="false">IF($E2445="","",IF($E2445&lt;1,ROUND($E2445*1440,0),INT($E2445/100)*60+MOD($E2445,100)))</f>
        <v/>
      </c>
      <c r="L2445" s="17" t="str">
        <f aca="false">IF($F2445="","",IF($F2445&lt;1,ROUND($F2445*1440,0),INT($F2445/100)*60+MOD($F2445,100)))</f>
        <v/>
      </c>
    </row>
    <row r="2446" customFormat="false" ht="15" hidden="false" customHeight="true" outlineLevel="0" collapsed="false">
      <c r="A2446" s="10"/>
      <c r="B2446" s="8"/>
      <c r="C2446" s="13" t="str">
        <f aca="false">IF($B2446="","",IFERROR(INDEX(직원목록!$B$3:$B$302,MATCH($B2446,직원목록!$A$3:$A$302,0)),"미등록사번"))</f>
        <v/>
      </c>
      <c r="D2446" s="13" t="str">
        <f aca="false">IF($B2446="","",IFERROR(INDEX(직원목록!$C$3:$C$302,MATCH($B2446,직원목록!$A$3:$A$302,0)),""))</f>
        <v/>
      </c>
      <c r="E2446" s="14"/>
      <c r="F2446" s="14"/>
      <c r="G2446" s="15"/>
      <c r="H2446" s="16" t="str">
        <f aca="false">IF(OR($K2446="",$L2446=""),"",ROUND(MAX(0,($L2446-$K2446)-IF($G2446="",0,$G2446))/60,2))</f>
        <v/>
      </c>
      <c r="I2446" s="8"/>
      <c r="J2446" s="8"/>
      <c r="K2446" s="17" t="str">
        <f aca="false">IF($E2446="","",IF($E2446&lt;1,ROUND($E2446*1440,0),INT($E2446/100)*60+MOD($E2446,100)))</f>
        <v/>
      </c>
      <c r="L2446" s="17" t="str">
        <f aca="false">IF($F2446="","",IF($F2446&lt;1,ROUND($F2446*1440,0),INT($F2446/100)*60+MOD($F2446,100)))</f>
        <v/>
      </c>
    </row>
    <row r="2447" customFormat="false" ht="15" hidden="false" customHeight="true" outlineLevel="0" collapsed="false">
      <c r="A2447" s="10"/>
      <c r="B2447" s="8"/>
      <c r="C2447" s="13" t="str">
        <f aca="false">IF($B2447="","",IFERROR(INDEX(직원목록!$B$3:$B$302,MATCH($B2447,직원목록!$A$3:$A$302,0)),"미등록사번"))</f>
        <v/>
      </c>
      <c r="D2447" s="13" t="str">
        <f aca="false">IF($B2447="","",IFERROR(INDEX(직원목록!$C$3:$C$302,MATCH($B2447,직원목록!$A$3:$A$302,0)),""))</f>
        <v/>
      </c>
      <c r="E2447" s="14"/>
      <c r="F2447" s="14"/>
      <c r="G2447" s="15"/>
      <c r="H2447" s="16" t="str">
        <f aca="false">IF(OR($K2447="",$L2447=""),"",ROUND(MAX(0,($L2447-$K2447)-IF($G2447="",0,$G2447))/60,2))</f>
        <v/>
      </c>
      <c r="I2447" s="8"/>
      <c r="J2447" s="8"/>
      <c r="K2447" s="17" t="str">
        <f aca="false">IF($E2447="","",IF($E2447&lt;1,ROUND($E2447*1440,0),INT($E2447/100)*60+MOD($E2447,100)))</f>
        <v/>
      </c>
      <c r="L2447" s="17" t="str">
        <f aca="false">IF($F2447="","",IF($F2447&lt;1,ROUND($F2447*1440,0),INT($F2447/100)*60+MOD($F2447,100)))</f>
        <v/>
      </c>
    </row>
    <row r="2448" customFormat="false" ht="15" hidden="false" customHeight="true" outlineLevel="0" collapsed="false">
      <c r="A2448" s="10"/>
      <c r="B2448" s="8"/>
      <c r="C2448" s="13" t="str">
        <f aca="false">IF($B2448="","",IFERROR(INDEX(직원목록!$B$3:$B$302,MATCH($B2448,직원목록!$A$3:$A$302,0)),"미등록사번"))</f>
        <v/>
      </c>
      <c r="D2448" s="13" t="str">
        <f aca="false">IF($B2448="","",IFERROR(INDEX(직원목록!$C$3:$C$302,MATCH($B2448,직원목록!$A$3:$A$302,0)),""))</f>
        <v/>
      </c>
      <c r="E2448" s="14"/>
      <c r="F2448" s="14"/>
      <c r="G2448" s="15"/>
      <c r="H2448" s="16" t="str">
        <f aca="false">IF(OR($K2448="",$L2448=""),"",ROUND(MAX(0,($L2448-$K2448)-IF($G2448="",0,$G2448))/60,2))</f>
        <v/>
      </c>
      <c r="I2448" s="8"/>
      <c r="J2448" s="8"/>
      <c r="K2448" s="17" t="str">
        <f aca="false">IF($E2448="","",IF($E2448&lt;1,ROUND($E2448*1440,0),INT($E2448/100)*60+MOD($E2448,100)))</f>
        <v/>
      </c>
      <c r="L2448" s="17" t="str">
        <f aca="false">IF($F2448="","",IF($F2448&lt;1,ROUND($F2448*1440,0),INT($F2448/100)*60+MOD($F2448,100)))</f>
        <v/>
      </c>
    </row>
    <row r="2449" customFormat="false" ht="15" hidden="false" customHeight="true" outlineLevel="0" collapsed="false">
      <c r="A2449" s="10"/>
      <c r="B2449" s="8"/>
      <c r="C2449" s="13" t="str">
        <f aca="false">IF($B2449="","",IFERROR(INDEX(직원목록!$B$3:$B$302,MATCH($B2449,직원목록!$A$3:$A$302,0)),"미등록사번"))</f>
        <v/>
      </c>
      <c r="D2449" s="13" t="str">
        <f aca="false">IF($B2449="","",IFERROR(INDEX(직원목록!$C$3:$C$302,MATCH($B2449,직원목록!$A$3:$A$302,0)),""))</f>
        <v/>
      </c>
      <c r="E2449" s="14"/>
      <c r="F2449" s="14"/>
      <c r="G2449" s="15"/>
      <c r="H2449" s="16" t="str">
        <f aca="false">IF(OR($K2449="",$L2449=""),"",ROUND(MAX(0,($L2449-$K2449)-IF($G2449="",0,$G2449))/60,2))</f>
        <v/>
      </c>
      <c r="I2449" s="8"/>
      <c r="J2449" s="8"/>
      <c r="K2449" s="17" t="str">
        <f aca="false">IF($E2449="","",IF($E2449&lt;1,ROUND($E2449*1440,0),INT($E2449/100)*60+MOD($E2449,100)))</f>
        <v/>
      </c>
      <c r="L2449" s="17" t="str">
        <f aca="false">IF($F2449="","",IF($F2449&lt;1,ROUND($F2449*1440,0),INT($F2449/100)*60+MOD($F2449,100)))</f>
        <v/>
      </c>
    </row>
    <row r="2450" customFormat="false" ht="15" hidden="false" customHeight="true" outlineLevel="0" collapsed="false">
      <c r="A2450" s="10"/>
      <c r="B2450" s="8"/>
      <c r="C2450" s="13" t="str">
        <f aca="false">IF($B2450="","",IFERROR(INDEX(직원목록!$B$3:$B$302,MATCH($B2450,직원목록!$A$3:$A$302,0)),"미등록사번"))</f>
        <v/>
      </c>
      <c r="D2450" s="13" t="str">
        <f aca="false">IF($B2450="","",IFERROR(INDEX(직원목록!$C$3:$C$302,MATCH($B2450,직원목록!$A$3:$A$302,0)),""))</f>
        <v/>
      </c>
      <c r="E2450" s="14"/>
      <c r="F2450" s="14"/>
      <c r="G2450" s="15"/>
      <c r="H2450" s="16" t="str">
        <f aca="false">IF(OR($K2450="",$L2450=""),"",ROUND(MAX(0,($L2450-$K2450)-IF($G2450="",0,$G2450))/60,2))</f>
        <v/>
      </c>
      <c r="I2450" s="8"/>
      <c r="J2450" s="8"/>
      <c r="K2450" s="17" t="str">
        <f aca="false">IF($E2450="","",IF($E2450&lt;1,ROUND($E2450*1440,0),INT($E2450/100)*60+MOD($E2450,100)))</f>
        <v/>
      </c>
      <c r="L2450" s="17" t="str">
        <f aca="false">IF($F2450="","",IF($F2450&lt;1,ROUND($F2450*1440,0),INT($F2450/100)*60+MOD($F2450,100)))</f>
        <v/>
      </c>
    </row>
    <row r="2451" customFormat="false" ht="15" hidden="false" customHeight="true" outlineLevel="0" collapsed="false">
      <c r="A2451" s="10"/>
      <c r="B2451" s="8"/>
      <c r="C2451" s="13" t="str">
        <f aca="false">IF($B2451="","",IFERROR(INDEX(직원목록!$B$3:$B$302,MATCH($B2451,직원목록!$A$3:$A$302,0)),"미등록사번"))</f>
        <v/>
      </c>
      <c r="D2451" s="13" t="str">
        <f aca="false">IF($B2451="","",IFERROR(INDEX(직원목록!$C$3:$C$302,MATCH($B2451,직원목록!$A$3:$A$302,0)),""))</f>
        <v/>
      </c>
      <c r="E2451" s="14"/>
      <c r="F2451" s="14"/>
      <c r="G2451" s="15"/>
      <c r="H2451" s="16" t="str">
        <f aca="false">IF(OR($K2451="",$L2451=""),"",ROUND(MAX(0,($L2451-$K2451)-IF($G2451="",0,$G2451))/60,2))</f>
        <v/>
      </c>
      <c r="I2451" s="8"/>
      <c r="J2451" s="8"/>
      <c r="K2451" s="17" t="str">
        <f aca="false">IF($E2451="","",IF($E2451&lt;1,ROUND($E2451*1440,0),INT($E2451/100)*60+MOD($E2451,100)))</f>
        <v/>
      </c>
      <c r="L2451" s="17" t="str">
        <f aca="false">IF($F2451="","",IF($F2451&lt;1,ROUND($F2451*1440,0),INT($F2451/100)*60+MOD($F2451,100)))</f>
        <v/>
      </c>
    </row>
    <row r="2452" customFormat="false" ht="15" hidden="false" customHeight="true" outlineLevel="0" collapsed="false">
      <c r="A2452" s="10"/>
      <c r="B2452" s="8"/>
      <c r="C2452" s="13" t="str">
        <f aca="false">IF($B2452="","",IFERROR(INDEX(직원목록!$B$3:$B$302,MATCH($B2452,직원목록!$A$3:$A$302,0)),"미등록사번"))</f>
        <v/>
      </c>
      <c r="D2452" s="13" t="str">
        <f aca="false">IF($B2452="","",IFERROR(INDEX(직원목록!$C$3:$C$302,MATCH($B2452,직원목록!$A$3:$A$302,0)),""))</f>
        <v/>
      </c>
      <c r="E2452" s="14"/>
      <c r="F2452" s="14"/>
      <c r="G2452" s="15"/>
      <c r="H2452" s="16" t="str">
        <f aca="false">IF(OR($K2452="",$L2452=""),"",ROUND(MAX(0,($L2452-$K2452)-IF($G2452="",0,$G2452))/60,2))</f>
        <v/>
      </c>
      <c r="I2452" s="8"/>
      <c r="J2452" s="8"/>
      <c r="K2452" s="17" t="str">
        <f aca="false">IF($E2452="","",IF($E2452&lt;1,ROUND($E2452*1440,0),INT($E2452/100)*60+MOD($E2452,100)))</f>
        <v/>
      </c>
      <c r="L2452" s="17" t="str">
        <f aca="false">IF($F2452="","",IF($F2452&lt;1,ROUND($F2452*1440,0),INT($F2452/100)*60+MOD($F2452,100)))</f>
        <v/>
      </c>
    </row>
    <row r="2453" customFormat="false" ht="15" hidden="false" customHeight="true" outlineLevel="0" collapsed="false">
      <c r="A2453" s="10"/>
      <c r="B2453" s="8"/>
      <c r="C2453" s="13" t="str">
        <f aca="false">IF($B2453="","",IFERROR(INDEX(직원목록!$B$3:$B$302,MATCH($B2453,직원목록!$A$3:$A$302,0)),"미등록사번"))</f>
        <v/>
      </c>
      <c r="D2453" s="13" t="str">
        <f aca="false">IF($B2453="","",IFERROR(INDEX(직원목록!$C$3:$C$302,MATCH($B2453,직원목록!$A$3:$A$302,0)),""))</f>
        <v/>
      </c>
      <c r="E2453" s="14"/>
      <c r="F2453" s="14"/>
      <c r="G2453" s="15"/>
      <c r="H2453" s="16" t="str">
        <f aca="false">IF(OR($K2453="",$L2453=""),"",ROUND(MAX(0,($L2453-$K2453)-IF($G2453="",0,$G2453))/60,2))</f>
        <v/>
      </c>
      <c r="I2453" s="8"/>
      <c r="J2453" s="8"/>
      <c r="K2453" s="17" t="str">
        <f aca="false">IF($E2453="","",IF($E2453&lt;1,ROUND($E2453*1440,0),INT($E2453/100)*60+MOD($E2453,100)))</f>
        <v/>
      </c>
      <c r="L2453" s="17" t="str">
        <f aca="false">IF($F2453="","",IF($F2453&lt;1,ROUND($F2453*1440,0),INT($F2453/100)*60+MOD($F2453,100)))</f>
        <v/>
      </c>
    </row>
    <row r="2454" customFormat="false" ht="15" hidden="false" customHeight="true" outlineLevel="0" collapsed="false">
      <c r="A2454" s="10"/>
      <c r="B2454" s="8"/>
      <c r="C2454" s="13" t="str">
        <f aca="false">IF($B2454="","",IFERROR(INDEX(직원목록!$B$3:$B$302,MATCH($B2454,직원목록!$A$3:$A$302,0)),"미등록사번"))</f>
        <v/>
      </c>
      <c r="D2454" s="13" t="str">
        <f aca="false">IF($B2454="","",IFERROR(INDEX(직원목록!$C$3:$C$302,MATCH($B2454,직원목록!$A$3:$A$302,0)),""))</f>
        <v/>
      </c>
      <c r="E2454" s="14"/>
      <c r="F2454" s="14"/>
      <c r="G2454" s="15"/>
      <c r="H2454" s="16" t="str">
        <f aca="false">IF(OR($K2454="",$L2454=""),"",ROUND(MAX(0,($L2454-$K2454)-IF($G2454="",0,$G2454))/60,2))</f>
        <v/>
      </c>
      <c r="I2454" s="8"/>
      <c r="J2454" s="8"/>
      <c r="K2454" s="17" t="str">
        <f aca="false">IF($E2454="","",IF($E2454&lt;1,ROUND($E2454*1440,0),INT($E2454/100)*60+MOD($E2454,100)))</f>
        <v/>
      </c>
      <c r="L2454" s="17" t="str">
        <f aca="false">IF($F2454="","",IF($F2454&lt;1,ROUND($F2454*1440,0),INT($F2454/100)*60+MOD($F2454,100)))</f>
        <v/>
      </c>
    </row>
    <row r="2455" customFormat="false" ht="15" hidden="false" customHeight="true" outlineLevel="0" collapsed="false">
      <c r="A2455" s="10"/>
      <c r="B2455" s="8"/>
      <c r="C2455" s="13" t="str">
        <f aca="false">IF($B2455="","",IFERROR(INDEX(직원목록!$B$3:$B$302,MATCH($B2455,직원목록!$A$3:$A$302,0)),"미등록사번"))</f>
        <v/>
      </c>
      <c r="D2455" s="13" t="str">
        <f aca="false">IF($B2455="","",IFERROR(INDEX(직원목록!$C$3:$C$302,MATCH($B2455,직원목록!$A$3:$A$302,0)),""))</f>
        <v/>
      </c>
      <c r="E2455" s="14"/>
      <c r="F2455" s="14"/>
      <c r="G2455" s="15"/>
      <c r="H2455" s="16" t="str">
        <f aca="false">IF(OR($K2455="",$L2455=""),"",ROUND(MAX(0,($L2455-$K2455)-IF($G2455="",0,$G2455))/60,2))</f>
        <v/>
      </c>
      <c r="I2455" s="8"/>
      <c r="J2455" s="8"/>
      <c r="K2455" s="17" t="str">
        <f aca="false">IF($E2455="","",IF($E2455&lt;1,ROUND($E2455*1440,0),INT($E2455/100)*60+MOD($E2455,100)))</f>
        <v/>
      </c>
      <c r="L2455" s="17" t="str">
        <f aca="false">IF($F2455="","",IF($F2455&lt;1,ROUND($F2455*1440,0),INT($F2455/100)*60+MOD($F2455,100)))</f>
        <v/>
      </c>
    </row>
    <row r="2456" customFormat="false" ht="15" hidden="false" customHeight="true" outlineLevel="0" collapsed="false">
      <c r="A2456" s="10"/>
      <c r="B2456" s="8"/>
      <c r="C2456" s="13" t="str">
        <f aca="false">IF($B2456="","",IFERROR(INDEX(직원목록!$B$3:$B$302,MATCH($B2456,직원목록!$A$3:$A$302,0)),"미등록사번"))</f>
        <v/>
      </c>
      <c r="D2456" s="13" t="str">
        <f aca="false">IF($B2456="","",IFERROR(INDEX(직원목록!$C$3:$C$302,MATCH($B2456,직원목록!$A$3:$A$302,0)),""))</f>
        <v/>
      </c>
      <c r="E2456" s="14"/>
      <c r="F2456" s="14"/>
      <c r="G2456" s="15"/>
      <c r="H2456" s="16" t="str">
        <f aca="false">IF(OR($K2456="",$L2456=""),"",ROUND(MAX(0,($L2456-$K2456)-IF($G2456="",0,$G2456))/60,2))</f>
        <v/>
      </c>
      <c r="I2456" s="8"/>
      <c r="J2456" s="8"/>
      <c r="K2456" s="17" t="str">
        <f aca="false">IF($E2456="","",IF($E2456&lt;1,ROUND($E2456*1440,0),INT($E2456/100)*60+MOD($E2456,100)))</f>
        <v/>
      </c>
      <c r="L2456" s="17" t="str">
        <f aca="false">IF($F2456="","",IF($F2456&lt;1,ROUND($F2456*1440,0),INT($F2456/100)*60+MOD($F2456,100)))</f>
        <v/>
      </c>
    </row>
    <row r="2457" customFormat="false" ht="15" hidden="false" customHeight="true" outlineLevel="0" collapsed="false">
      <c r="A2457" s="10"/>
      <c r="B2457" s="8"/>
      <c r="C2457" s="13" t="str">
        <f aca="false">IF($B2457="","",IFERROR(INDEX(직원목록!$B$3:$B$302,MATCH($B2457,직원목록!$A$3:$A$302,0)),"미등록사번"))</f>
        <v/>
      </c>
      <c r="D2457" s="13" t="str">
        <f aca="false">IF($B2457="","",IFERROR(INDEX(직원목록!$C$3:$C$302,MATCH($B2457,직원목록!$A$3:$A$302,0)),""))</f>
        <v/>
      </c>
      <c r="E2457" s="14"/>
      <c r="F2457" s="14"/>
      <c r="G2457" s="15"/>
      <c r="H2457" s="16" t="str">
        <f aca="false">IF(OR($K2457="",$L2457=""),"",ROUND(MAX(0,($L2457-$K2457)-IF($G2457="",0,$G2457))/60,2))</f>
        <v/>
      </c>
      <c r="I2457" s="8"/>
      <c r="J2457" s="8"/>
      <c r="K2457" s="17" t="str">
        <f aca="false">IF($E2457="","",IF($E2457&lt;1,ROUND($E2457*1440,0),INT($E2457/100)*60+MOD($E2457,100)))</f>
        <v/>
      </c>
      <c r="L2457" s="17" t="str">
        <f aca="false">IF($F2457="","",IF($F2457&lt;1,ROUND($F2457*1440,0),INT($F2457/100)*60+MOD($F2457,100)))</f>
        <v/>
      </c>
    </row>
    <row r="2458" customFormat="false" ht="15" hidden="false" customHeight="true" outlineLevel="0" collapsed="false">
      <c r="A2458" s="10"/>
      <c r="B2458" s="8"/>
      <c r="C2458" s="13" t="str">
        <f aca="false">IF($B2458="","",IFERROR(INDEX(직원목록!$B$3:$B$302,MATCH($B2458,직원목록!$A$3:$A$302,0)),"미등록사번"))</f>
        <v/>
      </c>
      <c r="D2458" s="13" t="str">
        <f aca="false">IF($B2458="","",IFERROR(INDEX(직원목록!$C$3:$C$302,MATCH($B2458,직원목록!$A$3:$A$302,0)),""))</f>
        <v/>
      </c>
      <c r="E2458" s="14"/>
      <c r="F2458" s="14"/>
      <c r="G2458" s="15"/>
      <c r="H2458" s="16" t="str">
        <f aca="false">IF(OR($K2458="",$L2458=""),"",ROUND(MAX(0,($L2458-$K2458)-IF($G2458="",0,$G2458))/60,2))</f>
        <v/>
      </c>
      <c r="I2458" s="8"/>
      <c r="J2458" s="8"/>
      <c r="K2458" s="17" t="str">
        <f aca="false">IF($E2458="","",IF($E2458&lt;1,ROUND($E2458*1440,0),INT($E2458/100)*60+MOD($E2458,100)))</f>
        <v/>
      </c>
      <c r="L2458" s="17" t="str">
        <f aca="false">IF($F2458="","",IF($F2458&lt;1,ROUND($F2458*1440,0),INT($F2458/100)*60+MOD($F2458,100)))</f>
        <v/>
      </c>
    </row>
    <row r="2459" customFormat="false" ht="15" hidden="false" customHeight="true" outlineLevel="0" collapsed="false">
      <c r="A2459" s="10"/>
      <c r="B2459" s="8"/>
      <c r="C2459" s="13" t="str">
        <f aca="false">IF($B2459="","",IFERROR(INDEX(직원목록!$B$3:$B$302,MATCH($B2459,직원목록!$A$3:$A$302,0)),"미등록사번"))</f>
        <v/>
      </c>
      <c r="D2459" s="13" t="str">
        <f aca="false">IF($B2459="","",IFERROR(INDEX(직원목록!$C$3:$C$302,MATCH($B2459,직원목록!$A$3:$A$302,0)),""))</f>
        <v/>
      </c>
      <c r="E2459" s="14"/>
      <c r="F2459" s="14"/>
      <c r="G2459" s="15"/>
      <c r="H2459" s="16" t="str">
        <f aca="false">IF(OR($K2459="",$L2459=""),"",ROUND(MAX(0,($L2459-$K2459)-IF($G2459="",0,$G2459))/60,2))</f>
        <v/>
      </c>
      <c r="I2459" s="8"/>
      <c r="J2459" s="8"/>
      <c r="K2459" s="17" t="str">
        <f aca="false">IF($E2459="","",IF($E2459&lt;1,ROUND($E2459*1440,0),INT($E2459/100)*60+MOD($E2459,100)))</f>
        <v/>
      </c>
      <c r="L2459" s="17" t="str">
        <f aca="false">IF($F2459="","",IF($F2459&lt;1,ROUND($F2459*1440,0),INT($F2459/100)*60+MOD($F2459,100)))</f>
        <v/>
      </c>
    </row>
    <row r="2460" customFormat="false" ht="15" hidden="false" customHeight="true" outlineLevel="0" collapsed="false">
      <c r="A2460" s="10"/>
      <c r="B2460" s="8"/>
      <c r="C2460" s="13" t="str">
        <f aca="false">IF($B2460="","",IFERROR(INDEX(직원목록!$B$3:$B$302,MATCH($B2460,직원목록!$A$3:$A$302,0)),"미등록사번"))</f>
        <v/>
      </c>
      <c r="D2460" s="13" t="str">
        <f aca="false">IF($B2460="","",IFERROR(INDEX(직원목록!$C$3:$C$302,MATCH($B2460,직원목록!$A$3:$A$302,0)),""))</f>
        <v/>
      </c>
      <c r="E2460" s="14"/>
      <c r="F2460" s="14"/>
      <c r="G2460" s="15"/>
      <c r="H2460" s="16" t="str">
        <f aca="false">IF(OR($K2460="",$L2460=""),"",ROUND(MAX(0,($L2460-$K2460)-IF($G2460="",0,$G2460))/60,2))</f>
        <v/>
      </c>
      <c r="I2460" s="8"/>
      <c r="J2460" s="8"/>
      <c r="K2460" s="17" t="str">
        <f aca="false">IF($E2460="","",IF($E2460&lt;1,ROUND($E2460*1440,0),INT($E2460/100)*60+MOD($E2460,100)))</f>
        <v/>
      </c>
      <c r="L2460" s="17" t="str">
        <f aca="false">IF($F2460="","",IF($F2460&lt;1,ROUND($F2460*1440,0),INT($F2460/100)*60+MOD($F2460,100)))</f>
        <v/>
      </c>
    </row>
    <row r="2461" customFormat="false" ht="15" hidden="false" customHeight="true" outlineLevel="0" collapsed="false">
      <c r="A2461" s="10"/>
      <c r="B2461" s="8"/>
      <c r="C2461" s="13" t="str">
        <f aca="false">IF($B2461="","",IFERROR(INDEX(직원목록!$B$3:$B$302,MATCH($B2461,직원목록!$A$3:$A$302,0)),"미등록사번"))</f>
        <v/>
      </c>
      <c r="D2461" s="13" t="str">
        <f aca="false">IF($B2461="","",IFERROR(INDEX(직원목록!$C$3:$C$302,MATCH($B2461,직원목록!$A$3:$A$302,0)),""))</f>
        <v/>
      </c>
      <c r="E2461" s="14"/>
      <c r="F2461" s="14"/>
      <c r="G2461" s="15"/>
      <c r="H2461" s="16" t="str">
        <f aca="false">IF(OR($K2461="",$L2461=""),"",ROUND(MAX(0,($L2461-$K2461)-IF($G2461="",0,$G2461))/60,2))</f>
        <v/>
      </c>
      <c r="I2461" s="8"/>
      <c r="J2461" s="8"/>
      <c r="K2461" s="17" t="str">
        <f aca="false">IF($E2461="","",IF($E2461&lt;1,ROUND($E2461*1440,0),INT($E2461/100)*60+MOD($E2461,100)))</f>
        <v/>
      </c>
      <c r="L2461" s="17" t="str">
        <f aca="false">IF($F2461="","",IF($F2461&lt;1,ROUND($F2461*1440,0),INT($F2461/100)*60+MOD($F2461,100)))</f>
        <v/>
      </c>
    </row>
    <row r="2462" customFormat="false" ht="15" hidden="false" customHeight="true" outlineLevel="0" collapsed="false">
      <c r="A2462" s="10"/>
      <c r="B2462" s="8"/>
      <c r="C2462" s="13" t="str">
        <f aca="false">IF($B2462="","",IFERROR(INDEX(직원목록!$B$3:$B$302,MATCH($B2462,직원목록!$A$3:$A$302,0)),"미등록사번"))</f>
        <v/>
      </c>
      <c r="D2462" s="13" t="str">
        <f aca="false">IF($B2462="","",IFERROR(INDEX(직원목록!$C$3:$C$302,MATCH($B2462,직원목록!$A$3:$A$302,0)),""))</f>
        <v/>
      </c>
      <c r="E2462" s="14"/>
      <c r="F2462" s="14"/>
      <c r="G2462" s="15"/>
      <c r="H2462" s="16" t="str">
        <f aca="false">IF(OR($K2462="",$L2462=""),"",ROUND(MAX(0,($L2462-$K2462)-IF($G2462="",0,$G2462))/60,2))</f>
        <v/>
      </c>
      <c r="I2462" s="8"/>
      <c r="J2462" s="8"/>
      <c r="K2462" s="17" t="str">
        <f aca="false">IF($E2462="","",IF($E2462&lt;1,ROUND($E2462*1440,0),INT($E2462/100)*60+MOD($E2462,100)))</f>
        <v/>
      </c>
      <c r="L2462" s="17" t="str">
        <f aca="false">IF($F2462="","",IF($F2462&lt;1,ROUND($F2462*1440,0),INT($F2462/100)*60+MOD($F2462,100)))</f>
        <v/>
      </c>
    </row>
    <row r="2463" customFormat="false" ht="15" hidden="false" customHeight="true" outlineLevel="0" collapsed="false">
      <c r="A2463" s="10"/>
      <c r="B2463" s="8"/>
      <c r="C2463" s="13" t="str">
        <f aca="false">IF($B2463="","",IFERROR(INDEX(직원목록!$B$3:$B$302,MATCH($B2463,직원목록!$A$3:$A$302,0)),"미등록사번"))</f>
        <v/>
      </c>
      <c r="D2463" s="13" t="str">
        <f aca="false">IF($B2463="","",IFERROR(INDEX(직원목록!$C$3:$C$302,MATCH($B2463,직원목록!$A$3:$A$302,0)),""))</f>
        <v/>
      </c>
      <c r="E2463" s="14"/>
      <c r="F2463" s="14"/>
      <c r="G2463" s="15"/>
      <c r="H2463" s="16" t="str">
        <f aca="false">IF(OR($K2463="",$L2463=""),"",ROUND(MAX(0,($L2463-$K2463)-IF($G2463="",0,$G2463))/60,2))</f>
        <v/>
      </c>
      <c r="I2463" s="8"/>
      <c r="J2463" s="8"/>
      <c r="K2463" s="17" t="str">
        <f aca="false">IF($E2463="","",IF($E2463&lt;1,ROUND($E2463*1440,0),INT($E2463/100)*60+MOD($E2463,100)))</f>
        <v/>
      </c>
      <c r="L2463" s="17" t="str">
        <f aca="false">IF($F2463="","",IF($F2463&lt;1,ROUND($F2463*1440,0),INT($F2463/100)*60+MOD($F2463,100)))</f>
        <v/>
      </c>
    </row>
    <row r="2464" customFormat="false" ht="15" hidden="false" customHeight="true" outlineLevel="0" collapsed="false">
      <c r="A2464" s="10"/>
      <c r="B2464" s="8"/>
      <c r="C2464" s="13" t="str">
        <f aca="false">IF($B2464="","",IFERROR(INDEX(직원목록!$B$3:$B$302,MATCH($B2464,직원목록!$A$3:$A$302,0)),"미등록사번"))</f>
        <v/>
      </c>
      <c r="D2464" s="13" t="str">
        <f aca="false">IF($B2464="","",IFERROR(INDEX(직원목록!$C$3:$C$302,MATCH($B2464,직원목록!$A$3:$A$302,0)),""))</f>
        <v/>
      </c>
      <c r="E2464" s="14"/>
      <c r="F2464" s="14"/>
      <c r="G2464" s="15"/>
      <c r="H2464" s="16" t="str">
        <f aca="false">IF(OR($K2464="",$L2464=""),"",ROUND(MAX(0,($L2464-$K2464)-IF($G2464="",0,$G2464))/60,2))</f>
        <v/>
      </c>
      <c r="I2464" s="8"/>
      <c r="J2464" s="8"/>
      <c r="K2464" s="17" t="str">
        <f aca="false">IF($E2464="","",IF($E2464&lt;1,ROUND($E2464*1440,0),INT($E2464/100)*60+MOD($E2464,100)))</f>
        <v/>
      </c>
      <c r="L2464" s="17" t="str">
        <f aca="false">IF($F2464="","",IF($F2464&lt;1,ROUND($F2464*1440,0),INT($F2464/100)*60+MOD($F2464,100)))</f>
        <v/>
      </c>
    </row>
    <row r="2465" customFormat="false" ht="15" hidden="false" customHeight="true" outlineLevel="0" collapsed="false">
      <c r="A2465" s="10"/>
      <c r="B2465" s="8"/>
      <c r="C2465" s="13" t="str">
        <f aca="false">IF($B2465="","",IFERROR(INDEX(직원목록!$B$3:$B$302,MATCH($B2465,직원목록!$A$3:$A$302,0)),"미등록사번"))</f>
        <v/>
      </c>
      <c r="D2465" s="13" t="str">
        <f aca="false">IF($B2465="","",IFERROR(INDEX(직원목록!$C$3:$C$302,MATCH($B2465,직원목록!$A$3:$A$302,0)),""))</f>
        <v/>
      </c>
      <c r="E2465" s="14"/>
      <c r="F2465" s="14"/>
      <c r="G2465" s="15"/>
      <c r="H2465" s="16" t="str">
        <f aca="false">IF(OR($K2465="",$L2465=""),"",ROUND(MAX(0,($L2465-$K2465)-IF($G2465="",0,$G2465))/60,2))</f>
        <v/>
      </c>
      <c r="I2465" s="8"/>
      <c r="J2465" s="8"/>
      <c r="K2465" s="17" t="str">
        <f aca="false">IF($E2465="","",IF($E2465&lt;1,ROUND($E2465*1440,0),INT($E2465/100)*60+MOD($E2465,100)))</f>
        <v/>
      </c>
      <c r="L2465" s="17" t="str">
        <f aca="false">IF($F2465="","",IF($F2465&lt;1,ROUND($F2465*1440,0),INT($F2465/100)*60+MOD($F2465,100)))</f>
        <v/>
      </c>
    </row>
    <row r="2466" customFormat="false" ht="15" hidden="false" customHeight="true" outlineLevel="0" collapsed="false">
      <c r="A2466" s="10"/>
      <c r="B2466" s="8"/>
      <c r="C2466" s="13" t="str">
        <f aca="false">IF($B2466="","",IFERROR(INDEX(직원목록!$B$3:$B$302,MATCH($B2466,직원목록!$A$3:$A$302,0)),"미등록사번"))</f>
        <v/>
      </c>
      <c r="D2466" s="13" t="str">
        <f aca="false">IF($B2466="","",IFERROR(INDEX(직원목록!$C$3:$C$302,MATCH($B2466,직원목록!$A$3:$A$302,0)),""))</f>
        <v/>
      </c>
      <c r="E2466" s="14"/>
      <c r="F2466" s="14"/>
      <c r="G2466" s="15"/>
      <c r="H2466" s="16" t="str">
        <f aca="false">IF(OR($K2466="",$L2466=""),"",ROUND(MAX(0,($L2466-$K2466)-IF($G2466="",0,$G2466))/60,2))</f>
        <v/>
      </c>
      <c r="I2466" s="8"/>
      <c r="J2466" s="8"/>
      <c r="K2466" s="17" t="str">
        <f aca="false">IF($E2466="","",IF($E2466&lt;1,ROUND($E2466*1440,0),INT($E2466/100)*60+MOD($E2466,100)))</f>
        <v/>
      </c>
      <c r="L2466" s="17" t="str">
        <f aca="false">IF($F2466="","",IF($F2466&lt;1,ROUND($F2466*1440,0),INT($F2466/100)*60+MOD($F2466,100)))</f>
        <v/>
      </c>
    </row>
    <row r="2467" customFormat="false" ht="15" hidden="false" customHeight="true" outlineLevel="0" collapsed="false">
      <c r="A2467" s="10"/>
      <c r="B2467" s="8"/>
      <c r="C2467" s="13" t="str">
        <f aca="false">IF($B2467="","",IFERROR(INDEX(직원목록!$B$3:$B$302,MATCH($B2467,직원목록!$A$3:$A$302,0)),"미등록사번"))</f>
        <v/>
      </c>
      <c r="D2467" s="13" t="str">
        <f aca="false">IF($B2467="","",IFERROR(INDEX(직원목록!$C$3:$C$302,MATCH($B2467,직원목록!$A$3:$A$302,0)),""))</f>
        <v/>
      </c>
      <c r="E2467" s="14"/>
      <c r="F2467" s="14"/>
      <c r="G2467" s="15"/>
      <c r="H2467" s="16" t="str">
        <f aca="false">IF(OR($K2467="",$L2467=""),"",ROUND(MAX(0,($L2467-$K2467)-IF($G2467="",0,$G2467))/60,2))</f>
        <v/>
      </c>
      <c r="I2467" s="8"/>
      <c r="J2467" s="8"/>
      <c r="K2467" s="17" t="str">
        <f aca="false">IF($E2467="","",IF($E2467&lt;1,ROUND($E2467*1440,0),INT($E2467/100)*60+MOD($E2467,100)))</f>
        <v/>
      </c>
      <c r="L2467" s="17" t="str">
        <f aca="false">IF($F2467="","",IF($F2467&lt;1,ROUND($F2467*1440,0),INT($F2467/100)*60+MOD($F2467,100)))</f>
        <v/>
      </c>
    </row>
    <row r="2468" customFormat="false" ht="15" hidden="false" customHeight="true" outlineLevel="0" collapsed="false">
      <c r="A2468" s="10"/>
      <c r="B2468" s="8"/>
      <c r="C2468" s="13" t="str">
        <f aca="false">IF($B2468="","",IFERROR(INDEX(직원목록!$B$3:$B$302,MATCH($B2468,직원목록!$A$3:$A$302,0)),"미등록사번"))</f>
        <v/>
      </c>
      <c r="D2468" s="13" t="str">
        <f aca="false">IF($B2468="","",IFERROR(INDEX(직원목록!$C$3:$C$302,MATCH($B2468,직원목록!$A$3:$A$302,0)),""))</f>
        <v/>
      </c>
      <c r="E2468" s="14"/>
      <c r="F2468" s="14"/>
      <c r="G2468" s="15"/>
      <c r="H2468" s="16" t="str">
        <f aca="false">IF(OR($K2468="",$L2468=""),"",ROUND(MAX(0,($L2468-$K2468)-IF($G2468="",0,$G2468))/60,2))</f>
        <v/>
      </c>
      <c r="I2468" s="8"/>
      <c r="J2468" s="8"/>
      <c r="K2468" s="17" t="str">
        <f aca="false">IF($E2468="","",IF($E2468&lt;1,ROUND($E2468*1440,0),INT($E2468/100)*60+MOD($E2468,100)))</f>
        <v/>
      </c>
      <c r="L2468" s="17" t="str">
        <f aca="false">IF($F2468="","",IF($F2468&lt;1,ROUND($F2468*1440,0),INT($F2468/100)*60+MOD($F2468,100)))</f>
        <v/>
      </c>
    </row>
    <row r="2469" customFormat="false" ht="15" hidden="false" customHeight="true" outlineLevel="0" collapsed="false">
      <c r="A2469" s="10"/>
      <c r="B2469" s="8"/>
      <c r="C2469" s="13" t="str">
        <f aca="false">IF($B2469="","",IFERROR(INDEX(직원목록!$B$3:$B$302,MATCH($B2469,직원목록!$A$3:$A$302,0)),"미등록사번"))</f>
        <v/>
      </c>
      <c r="D2469" s="13" t="str">
        <f aca="false">IF($B2469="","",IFERROR(INDEX(직원목록!$C$3:$C$302,MATCH($B2469,직원목록!$A$3:$A$302,0)),""))</f>
        <v/>
      </c>
      <c r="E2469" s="14"/>
      <c r="F2469" s="14"/>
      <c r="G2469" s="15"/>
      <c r="H2469" s="16" t="str">
        <f aca="false">IF(OR($K2469="",$L2469=""),"",ROUND(MAX(0,($L2469-$K2469)-IF($G2469="",0,$G2469))/60,2))</f>
        <v/>
      </c>
      <c r="I2469" s="8"/>
      <c r="J2469" s="8"/>
      <c r="K2469" s="17" t="str">
        <f aca="false">IF($E2469="","",IF($E2469&lt;1,ROUND($E2469*1440,0),INT($E2469/100)*60+MOD($E2469,100)))</f>
        <v/>
      </c>
      <c r="L2469" s="17" t="str">
        <f aca="false">IF($F2469="","",IF($F2469&lt;1,ROUND($F2469*1440,0),INT($F2469/100)*60+MOD($F2469,100)))</f>
        <v/>
      </c>
    </row>
    <row r="2470" customFormat="false" ht="15" hidden="false" customHeight="true" outlineLevel="0" collapsed="false">
      <c r="A2470" s="10"/>
      <c r="B2470" s="8"/>
      <c r="C2470" s="13" t="str">
        <f aca="false">IF($B2470="","",IFERROR(INDEX(직원목록!$B$3:$B$302,MATCH($B2470,직원목록!$A$3:$A$302,0)),"미등록사번"))</f>
        <v/>
      </c>
      <c r="D2470" s="13" t="str">
        <f aca="false">IF($B2470="","",IFERROR(INDEX(직원목록!$C$3:$C$302,MATCH($B2470,직원목록!$A$3:$A$302,0)),""))</f>
        <v/>
      </c>
      <c r="E2470" s="14"/>
      <c r="F2470" s="14"/>
      <c r="G2470" s="15"/>
      <c r="H2470" s="16" t="str">
        <f aca="false">IF(OR($K2470="",$L2470=""),"",ROUND(MAX(0,($L2470-$K2470)-IF($G2470="",0,$G2470))/60,2))</f>
        <v/>
      </c>
      <c r="I2470" s="8"/>
      <c r="J2470" s="8"/>
      <c r="K2470" s="17" t="str">
        <f aca="false">IF($E2470="","",IF($E2470&lt;1,ROUND($E2470*1440,0),INT($E2470/100)*60+MOD($E2470,100)))</f>
        <v/>
      </c>
      <c r="L2470" s="17" t="str">
        <f aca="false">IF($F2470="","",IF($F2470&lt;1,ROUND($F2470*1440,0),INT($F2470/100)*60+MOD($F2470,100)))</f>
        <v/>
      </c>
    </row>
    <row r="2471" customFormat="false" ht="15" hidden="false" customHeight="true" outlineLevel="0" collapsed="false">
      <c r="A2471" s="10"/>
      <c r="B2471" s="8"/>
      <c r="C2471" s="13" t="str">
        <f aca="false">IF($B2471="","",IFERROR(INDEX(직원목록!$B$3:$B$302,MATCH($B2471,직원목록!$A$3:$A$302,0)),"미등록사번"))</f>
        <v/>
      </c>
      <c r="D2471" s="13" t="str">
        <f aca="false">IF($B2471="","",IFERROR(INDEX(직원목록!$C$3:$C$302,MATCH($B2471,직원목록!$A$3:$A$302,0)),""))</f>
        <v/>
      </c>
      <c r="E2471" s="14"/>
      <c r="F2471" s="14"/>
      <c r="G2471" s="15"/>
      <c r="H2471" s="16" t="str">
        <f aca="false">IF(OR($K2471="",$L2471=""),"",ROUND(MAX(0,($L2471-$K2471)-IF($G2471="",0,$G2471))/60,2))</f>
        <v/>
      </c>
      <c r="I2471" s="8"/>
      <c r="J2471" s="8"/>
      <c r="K2471" s="17" t="str">
        <f aca="false">IF($E2471="","",IF($E2471&lt;1,ROUND($E2471*1440,0),INT($E2471/100)*60+MOD($E2471,100)))</f>
        <v/>
      </c>
      <c r="L2471" s="17" t="str">
        <f aca="false">IF($F2471="","",IF($F2471&lt;1,ROUND($F2471*1440,0),INT($F2471/100)*60+MOD($F2471,100)))</f>
        <v/>
      </c>
    </row>
    <row r="2472" customFormat="false" ht="15" hidden="false" customHeight="true" outlineLevel="0" collapsed="false">
      <c r="A2472" s="10"/>
      <c r="B2472" s="8"/>
      <c r="C2472" s="13" t="str">
        <f aca="false">IF($B2472="","",IFERROR(INDEX(직원목록!$B$3:$B$302,MATCH($B2472,직원목록!$A$3:$A$302,0)),"미등록사번"))</f>
        <v/>
      </c>
      <c r="D2472" s="13" t="str">
        <f aca="false">IF($B2472="","",IFERROR(INDEX(직원목록!$C$3:$C$302,MATCH($B2472,직원목록!$A$3:$A$302,0)),""))</f>
        <v/>
      </c>
      <c r="E2472" s="14"/>
      <c r="F2472" s="14"/>
      <c r="G2472" s="15"/>
      <c r="H2472" s="16" t="str">
        <f aca="false">IF(OR($K2472="",$L2472=""),"",ROUND(MAX(0,($L2472-$K2472)-IF($G2472="",0,$G2472))/60,2))</f>
        <v/>
      </c>
      <c r="I2472" s="8"/>
      <c r="J2472" s="8"/>
      <c r="K2472" s="17" t="str">
        <f aca="false">IF($E2472="","",IF($E2472&lt;1,ROUND($E2472*1440,0),INT($E2472/100)*60+MOD($E2472,100)))</f>
        <v/>
      </c>
      <c r="L2472" s="17" t="str">
        <f aca="false">IF($F2472="","",IF($F2472&lt;1,ROUND($F2472*1440,0),INT($F2472/100)*60+MOD($F2472,100)))</f>
        <v/>
      </c>
    </row>
    <row r="2473" customFormat="false" ht="15" hidden="false" customHeight="true" outlineLevel="0" collapsed="false">
      <c r="A2473" s="10"/>
      <c r="B2473" s="8"/>
      <c r="C2473" s="13" t="str">
        <f aca="false">IF($B2473="","",IFERROR(INDEX(직원목록!$B$3:$B$302,MATCH($B2473,직원목록!$A$3:$A$302,0)),"미등록사번"))</f>
        <v/>
      </c>
      <c r="D2473" s="13" t="str">
        <f aca="false">IF($B2473="","",IFERROR(INDEX(직원목록!$C$3:$C$302,MATCH($B2473,직원목록!$A$3:$A$302,0)),""))</f>
        <v/>
      </c>
      <c r="E2473" s="14"/>
      <c r="F2473" s="14"/>
      <c r="G2473" s="15"/>
      <c r="H2473" s="16" t="str">
        <f aca="false">IF(OR($K2473="",$L2473=""),"",ROUND(MAX(0,($L2473-$K2473)-IF($G2473="",0,$G2473))/60,2))</f>
        <v/>
      </c>
      <c r="I2473" s="8"/>
      <c r="J2473" s="8"/>
      <c r="K2473" s="17" t="str">
        <f aca="false">IF($E2473="","",IF($E2473&lt;1,ROUND($E2473*1440,0),INT($E2473/100)*60+MOD($E2473,100)))</f>
        <v/>
      </c>
      <c r="L2473" s="17" t="str">
        <f aca="false">IF($F2473="","",IF($F2473&lt;1,ROUND($F2473*1440,0),INT($F2473/100)*60+MOD($F2473,100)))</f>
        <v/>
      </c>
    </row>
    <row r="2474" customFormat="false" ht="15" hidden="false" customHeight="true" outlineLevel="0" collapsed="false">
      <c r="A2474" s="10"/>
      <c r="B2474" s="8"/>
      <c r="C2474" s="13" t="str">
        <f aca="false">IF($B2474="","",IFERROR(INDEX(직원목록!$B$3:$B$302,MATCH($B2474,직원목록!$A$3:$A$302,0)),"미등록사번"))</f>
        <v/>
      </c>
      <c r="D2474" s="13" t="str">
        <f aca="false">IF($B2474="","",IFERROR(INDEX(직원목록!$C$3:$C$302,MATCH($B2474,직원목록!$A$3:$A$302,0)),""))</f>
        <v/>
      </c>
      <c r="E2474" s="14"/>
      <c r="F2474" s="14"/>
      <c r="G2474" s="15"/>
      <c r="H2474" s="16" t="str">
        <f aca="false">IF(OR($K2474="",$L2474=""),"",ROUND(MAX(0,($L2474-$K2474)-IF($G2474="",0,$G2474))/60,2))</f>
        <v/>
      </c>
      <c r="I2474" s="8"/>
      <c r="J2474" s="8"/>
      <c r="K2474" s="17" t="str">
        <f aca="false">IF($E2474="","",IF($E2474&lt;1,ROUND($E2474*1440,0),INT($E2474/100)*60+MOD($E2474,100)))</f>
        <v/>
      </c>
      <c r="L2474" s="17" t="str">
        <f aca="false">IF($F2474="","",IF($F2474&lt;1,ROUND($F2474*1440,0),INT($F2474/100)*60+MOD($F2474,100)))</f>
        <v/>
      </c>
    </row>
    <row r="2475" customFormat="false" ht="15" hidden="false" customHeight="true" outlineLevel="0" collapsed="false">
      <c r="A2475" s="10"/>
      <c r="B2475" s="8"/>
      <c r="C2475" s="13" t="str">
        <f aca="false">IF($B2475="","",IFERROR(INDEX(직원목록!$B$3:$B$302,MATCH($B2475,직원목록!$A$3:$A$302,0)),"미등록사번"))</f>
        <v/>
      </c>
      <c r="D2475" s="13" t="str">
        <f aca="false">IF($B2475="","",IFERROR(INDEX(직원목록!$C$3:$C$302,MATCH($B2475,직원목록!$A$3:$A$302,0)),""))</f>
        <v/>
      </c>
      <c r="E2475" s="14"/>
      <c r="F2475" s="14"/>
      <c r="G2475" s="15"/>
      <c r="H2475" s="16" t="str">
        <f aca="false">IF(OR($K2475="",$L2475=""),"",ROUND(MAX(0,($L2475-$K2475)-IF($G2475="",0,$G2475))/60,2))</f>
        <v/>
      </c>
      <c r="I2475" s="8"/>
      <c r="J2475" s="8"/>
      <c r="K2475" s="17" t="str">
        <f aca="false">IF($E2475="","",IF($E2475&lt;1,ROUND($E2475*1440,0),INT($E2475/100)*60+MOD($E2475,100)))</f>
        <v/>
      </c>
      <c r="L2475" s="17" t="str">
        <f aca="false">IF($F2475="","",IF($F2475&lt;1,ROUND($F2475*1440,0),INT($F2475/100)*60+MOD($F2475,100)))</f>
        <v/>
      </c>
    </row>
    <row r="2476" customFormat="false" ht="15" hidden="false" customHeight="true" outlineLevel="0" collapsed="false">
      <c r="A2476" s="10"/>
      <c r="B2476" s="8"/>
      <c r="C2476" s="13" t="str">
        <f aca="false">IF($B2476="","",IFERROR(INDEX(직원목록!$B$3:$B$302,MATCH($B2476,직원목록!$A$3:$A$302,0)),"미등록사번"))</f>
        <v/>
      </c>
      <c r="D2476" s="13" t="str">
        <f aca="false">IF($B2476="","",IFERROR(INDEX(직원목록!$C$3:$C$302,MATCH($B2476,직원목록!$A$3:$A$302,0)),""))</f>
        <v/>
      </c>
      <c r="E2476" s="14"/>
      <c r="F2476" s="14"/>
      <c r="G2476" s="15"/>
      <c r="H2476" s="16" t="str">
        <f aca="false">IF(OR($K2476="",$L2476=""),"",ROUND(MAX(0,($L2476-$K2476)-IF($G2476="",0,$G2476))/60,2))</f>
        <v/>
      </c>
      <c r="I2476" s="8"/>
      <c r="J2476" s="8"/>
      <c r="K2476" s="17" t="str">
        <f aca="false">IF($E2476="","",IF($E2476&lt;1,ROUND($E2476*1440,0),INT($E2476/100)*60+MOD($E2476,100)))</f>
        <v/>
      </c>
      <c r="L2476" s="17" t="str">
        <f aca="false">IF($F2476="","",IF($F2476&lt;1,ROUND($F2476*1440,0),INT($F2476/100)*60+MOD($F2476,100)))</f>
        <v/>
      </c>
    </row>
    <row r="2477" customFormat="false" ht="15" hidden="false" customHeight="true" outlineLevel="0" collapsed="false">
      <c r="A2477" s="10"/>
      <c r="B2477" s="8"/>
      <c r="C2477" s="13" t="str">
        <f aca="false">IF($B2477="","",IFERROR(INDEX(직원목록!$B$3:$B$302,MATCH($B2477,직원목록!$A$3:$A$302,0)),"미등록사번"))</f>
        <v/>
      </c>
      <c r="D2477" s="13" t="str">
        <f aca="false">IF($B2477="","",IFERROR(INDEX(직원목록!$C$3:$C$302,MATCH($B2477,직원목록!$A$3:$A$302,0)),""))</f>
        <v/>
      </c>
      <c r="E2477" s="14"/>
      <c r="F2477" s="14"/>
      <c r="G2477" s="15"/>
      <c r="H2477" s="16" t="str">
        <f aca="false">IF(OR($K2477="",$L2477=""),"",ROUND(MAX(0,($L2477-$K2477)-IF($G2477="",0,$G2477))/60,2))</f>
        <v/>
      </c>
      <c r="I2477" s="8"/>
      <c r="J2477" s="8"/>
      <c r="K2477" s="17" t="str">
        <f aca="false">IF($E2477="","",IF($E2477&lt;1,ROUND($E2477*1440,0),INT($E2477/100)*60+MOD($E2477,100)))</f>
        <v/>
      </c>
      <c r="L2477" s="17" t="str">
        <f aca="false">IF($F2477="","",IF($F2477&lt;1,ROUND($F2477*1440,0),INT($F2477/100)*60+MOD($F2477,100)))</f>
        <v/>
      </c>
    </row>
    <row r="2478" customFormat="false" ht="15" hidden="false" customHeight="true" outlineLevel="0" collapsed="false">
      <c r="A2478" s="10"/>
      <c r="B2478" s="8"/>
      <c r="C2478" s="13" t="str">
        <f aca="false">IF($B2478="","",IFERROR(INDEX(직원목록!$B$3:$B$302,MATCH($B2478,직원목록!$A$3:$A$302,0)),"미등록사번"))</f>
        <v/>
      </c>
      <c r="D2478" s="13" t="str">
        <f aca="false">IF($B2478="","",IFERROR(INDEX(직원목록!$C$3:$C$302,MATCH($B2478,직원목록!$A$3:$A$302,0)),""))</f>
        <v/>
      </c>
      <c r="E2478" s="14"/>
      <c r="F2478" s="14"/>
      <c r="G2478" s="15"/>
      <c r="H2478" s="16" t="str">
        <f aca="false">IF(OR($K2478="",$L2478=""),"",ROUND(MAX(0,($L2478-$K2478)-IF($G2478="",0,$G2478))/60,2))</f>
        <v/>
      </c>
      <c r="I2478" s="8"/>
      <c r="J2478" s="8"/>
      <c r="K2478" s="17" t="str">
        <f aca="false">IF($E2478="","",IF($E2478&lt;1,ROUND($E2478*1440,0),INT($E2478/100)*60+MOD($E2478,100)))</f>
        <v/>
      </c>
      <c r="L2478" s="17" t="str">
        <f aca="false">IF($F2478="","",IF($F2478&lt;1,ROUND($F2478*1440,0),INT($F2478/100)*60+MOD($F2478,100)))</f>
        <v/>
      </c>
    </row>
    <row r="2479" customFormat="false" ht="15" hidden="false" customHeight="true" outlineLevel="0" collapsed="false">
      <c r="A2479" s="10"/>
      <c r="B2479" s="8"/>
      <c r="C2479" s="13" t="str">
        <f aca="false">IF($B2479="","",IFERROR(INDEX(직원목록!$B$3:$B$302,MATCH($B2479,직원목록!$A$3:$A$302,0)),"미등록사번"))</f>
        <v/>
      </c>
      <c r="D2479" s="13" t="str">
        <f aca="false">IF($B2479="","",IFERROR(INDEX(직원목록!$C$3:$C$302,MATCH($B2479,직원목록!$A$3:$A$302,0)),""))</f>
        <v/>
      </c>
      <c r="E2479" s="14"/>
      <c r="F2479" s="14"/>
      <c r="G2479" s="15"/>
      <c r="H2479" s="16" t="str">
        <f aca="false">IF(OR($K2479="",$L2479=""),"",ROUND(MAX(0,($L2479-$K2479)-IF($G2479="",0,$G2479))/60,2))</f>
        <v/>
      </c>
      <c r="I2479" s="8"/>
      <c r="J2479" s="8"/>
      <c r="K2479" s="17" t="str">
        <f aca="false">IF($E2479="","",IF($E2479&lt;1,ROUND($E2479*1440,0),INT($E2479/100)*60+MOD($E2479,100)))</f>
        <v/>
      </c>
      <c r="L2479" s="17" t="str">
        <f aca="false">IF($F2479="","",IF($F2479&lt;1,ROUND($F2479*1440,0),INT($F2479/100)*60+MOD($F2479,100)))</f>
        <v/>
      </c>
    </row>
    <row r="2480" customFormat="false" ht="15" hidden="false" customHeight="true" outlineLevel="0" collapsed="false">
      <c r="A2480" s="10"/>
      <c r="B2480" s="8"/>
      <c r="C2480" s="13" t="str">
        <f aca="false">IF($B2480="","",IFERROR(INDEX(직원목록!$B$3:$B$302,MATCH($B2480,직원목록!$A$3:$A$302,0)),"미등록사번"))</f>
        <v/>
      </c>
      <c r="D2480" s="13" t="str">
        <f aca="false">IF($B2480="","",IFERROR(INDEX(직원목록!$C$3:$C$302,MATCH($B2480,직원목록!$A$3:$A$302,0)),""))</f>
        <v/>
      </c>
      <c r="E2480" s="14"/>
      <c r="F2480" s="14"/>
      <c r="G2480" s="15"/>
      <c r="H2480" s="16" t="str">
        <f aca="false">IF(OR($K2480="",$L2480=""),"",ROUND(MAX(0,($L2480-$K2480)-IF($G2480="",0,$G2480))/60,2))</f>
        <v/>
      </c>
      <c r="I2480" s="8"/>
      <c r="J2480" s="8"/>
      <c r="K2480" s="17" t="str">
        <f aca="false">IF($E2480="","",IF($E2480&lt;1,ROUND($E2480*1440,0),INT($E2480/100)*60+MOD($E2480,100)))</f>
        <v/>
      </c>
      <c r="L2480" s="17" t="str">
        <f aca="false">IF($F2480="","",IF($F2480&lt;1,ROUND($F2480*1440,0),INT($F2480/100)*60+MOD($F2480,100)))</f>
        <v/>
      </c>
    </row>
    <row r="2481" customFormat="false" ht="15" hidden="false" customHeight="true" outlineLevel="0" collapsed="false">
      <c r="A2481" s="10"/>
      <c r="B2481" s="8"/>
      <c r="C2481" s="13" t="str">
        <f aca="false">IF($B2481="","",IFERROR(INDEX(직원목록!$B$3:$B$302,MATCH($B2481,직원목록!$A$3:$A$302,0)),"미등록사번"))</f>
        <v/>
      </c>
      <c r="D2481" s="13" t="str">
        <f aca="false">IF($B2481="","",IFERROR(INDEX(직원목록!$C$3:$C$302,MATCH($B2481,직원목록!$A$3:$A$302,0)),""))</f>
        <v/>
      </c>
      <c r="E2481" s="14"/>
      <c r="F2481" s="14"/>
      <c r="G2481" s="15"/>
      <c r="H2481" s="16" t="str">
        <f aca="false">IF(OR($K2481="",$L2481=""),"",ROUND(MAX(0,($L2481-$K2481)-IF($G2481="",0,$G2481))/60,2))</f>
        <v/>
      </c>
      <c r="I2481" s="8"/>
      <c r="J2481" s="8"/>
      <c r="K2481" s="17" t="str">
        <f aca="false">IF($E2481="","",IF($E2481&lt;1,ROUND($E2481*1440,0),INT($E2481/100)*60+MOD($E2481,100)))</f>
        <v/>
      </c>
      <c r="L2481" s="17" t="str">
        <f aca="false">IF($F2481="","",IF($F2481&lt;1,ROUND($F2481*1440,0),INT($F2481/100)*60+MOD($F2481,100)))</f>
        <v/>
      </c>
    </row>
    <row r="2482" customFormat="false" ht="15" hidden="false" customHeight="true" outlineLevel="0" collapsed="false">
      <c r="A2482" s="10"/>
      <c r="B2482" s="8"/>
      <c r="C2482" s="13" t="str">
        <f aca="false">IF($B2482="","",IFERROR(INDEX(직원목록!$B$3:$B$302,MATCH($B2482,직원목록!$A$3:$A$302,0)),"미등록사번"))</f>
        <v/>
      </c>
      <c r="D2482" s="13" t="str">
        <f aca="false">IF($B2482="","",IFERROR(INDEX(직원목록!$C$3:$C$302,MATCH($B2482,직원목록!$A$3:$A$302,0)),""))</f>
        <v/>
      </c>
      <c r="E2482" s="14"/>
      <c r="F2482" s="14"/>
      <c r="G2482" s="15"/>
      <c r="H2482" s="16" t="str">
        <f aca="false">IF(OR($K2482="",$L2482=""),"",ROUND(MAX(0,($L2482-$K2482)-IF($G2482="",0,$G2482))/60,2))</f>
        <v/>
      </c>
      <c r="I2482" s="8"/>
      <c r="J2482" s="8"/>
      <c r="K2482" s="17" t="str">
        <f aca="false">IF($E2482="","",IF($E2482&lt;1,ROUND($E2482*1440,0),INT($E2482/100)*60+MOD($E2482,100)))</f>
        <v/>
      </c>
      <c r="L2482" s="17" t="str">
        <f aca="false">IF($F2482="","",IF($F2482&lt;1,ROUND($F2482*1440,0),INT($F2482/100)*60+MOD($F2482,100)))</f>
        <v/>
      </c>
    </row>
    <row r="2483" customFormat="false" ht="15" hidden="false" customHeight="true" outlineLevel="0" collapsed="false">
      <c r="A2483" s="10"/>
      <c r="B2483" s="8"/>
      <c r="C2483" s="13" t="str">
        <f aca="false">IF($B2483="","",IFERROR(INDEX(직원목록!$B$3:$B$302,MATCH($B2483,직원목록!$A$3:$A$302,0)),"미등록사번"))</f>
        <v/>
      </c>
      <c r="D2483" s="13" t="str">
        <f aca="false">IF($B2483="","",IFERROR(INDEX(직원목록!$C$3:$C$302,MATCH($B2483,직원목록!$A$3:$A$302,0)),""))</f>
        <v/>
      </c>
      <c r="E2483" s="14"/>
      <c r="F2483" s="14"/>
      <c r="G2483" s="15"/>
      <c r="H2483" s="16" t="str">
        <f aca="false">IF(OR($K2483="",$L2483=""),"",ROUND(MAX(0,($L2483-$K2483)-IF($G2483="",0,$G2483))/60,2))</f>
        <v/>
      </c>
      <c r="I2483" s="8"/>
      <c r="J2483" s="8"/>
      <c r="K2483" s="17" t="str">
        <f aca="false">IF($E2483="","",IF($E2483&lt;1,ROUND($E2483*1440,0),INT($E2483/100)*60+MOD($E2483,100)))</f>
        <v/>
      </c>
      <c r="L2483" s="17" t="str">
        <f aca="false">IF($F2483="","",IF($F2483&lt;1,ROUND($F2483*1440,0),INT($F2483/100)*60+MOD($F2483,100)))</f>
        <v/>
      </c>
    </row>
    <row r="2484" customFormat="false" ht="15" hidden="false" customHeight="true" outlineLevel="0" collapsed="false">
      <c r="A2484" s="10"/>
      <c r="B2484" s="8"/>
      <c r="C2484" s="13" t="str">
        <f aca="false">IF($B2484="","",IFERROR(INDEX(직원목록!$B$3:$B$302,MATCH($B2484,직원목록!$A$3:$A$302,0)),"미등록사번"))</f>
        <v/>
      </c>
      <c r="D2484" s="13" t="str">
        <f aca="false">IF($B2484="","",IFERROR(INDEX(직원목록!$C$3:$C$302,MATCH($B2484,직원목록!$A$3:$A$302,0)),""))</f>
        <v/>
      </c>
      <c r="E2484" s="14"/>
      <c r="F2484" s="14"/>
      <c r="G2484" s="15"/>
      <c r="H2484" s="16" t="str">
        <f aca="false">IF(OR($K2484="",$L2484=""),"",ROUND(MAX(0,($L2484-$K2484)-IF($G2484="",0,$G2484))/60,2))</f>
        <v/>
      </c>
      <c r="I2484" s="8"/>
      <c r="J2484" s="8"/>
      <c r="K2484" s="17" t="str">
        <f aca="false">IF($E2484="","",IF($E2484&lt;1,ROUND($E2484*1440,0),INT($E2484/100)*60+MOD($E2484,100)))</f>
        <v/>
      </c>
      <c r="L2484" s="17" t="str">
        <f aca="false">IF($F2484="","",IF($F2484&lt;1,ROUND($F2484*1440,0),INT($F2484/100)*60+MOD($F2484,100)))</f>
        <v/>
      </c>
    </row>
    <row r="2485" customFormat="false" ht="15" hidden="false" customHeight="true" outlineLevel="0" collapsed="false">
      <c r="A2485" s="10"/>
      <c r="B2485" s="8"/>
      <c r="C2485" s="13" t="str">
        <f aca="false">IF($B2485="","",IFERROR(INDEX(직원목록!$B$3:$B$302,MATCH($B2485,직원목록!$A$3:$A$302,0)),"미등록사번"))</f>
        <v/>
      </c>
      <c r="D2485" s="13" t="str">
        <f aca="false">IF($B2485="","",IFERROR(INDEX(직원목록!$C$3:$C$302,MATCH($B2485,직원목록!$A$3:$A$302,0)),""))</f>
        <v/>
      </c>
      <c r="E2485" s="14"/>
      <c r="F2485" s="14"/>
      <c r="G2485" s="15"/>
      <c r="H2485" s="16" t="str">
        <f aca="false">IF(OR($K2485="",$L2485=""),"",ROUND(MAX(0,($L2485-$K2485)-IF($G2485="",0,$G2485))/60,2))</f>
        <v/>
      </c>
      <c r="I2485" s="8"/>
      <c r="J2485" s="8"/>
      <c r="K2485" s="17" t="str">
        <f aca="false">IF($E2485="","",IF($E2485&lt;1,ROUND($E2485*1440,0),INT($E2485/100)*60+MOD($E2485,100)))</f>
        <v/>
      </c>
      <c r="L2485" s="17" t="str">
        <f aca="false">IF($F2485="","",IF($F2485&lt;1,ROUND($F2485*1440,0),INT($F2485/100)*60+MOD($F2485,100)))</f>
        <v/>
      </c>
    </row>
    <row r="2486" customFormat="false" ht="15" hidden="false" customHeight="true" outlineLevel="0" collapsed="false">
      <c r="A2486" s="10"/>
      <c r="B2486" s="8"/>
      <c r="C2486" s="13" t="str">
        <f aca="false">IF($B2486="","",IFERROR(INDEX(직원목록!$B$3:$B$302,MATCH($B2486,직원목록!$A$3:$A$302,0)),"미등록사번"))</f>
        <v/>
      </c>
      <c r="D2486" s="13" t="str">
        <f aca="false">IF($B2486="","",IFERROR(INDEX(직원목록!$C$3:$C$302,MATCH($B2486,직원목록!$A$3:$A$302,0)),""))</f>
        <v/>
      </c>
      <c r="E2486" s="14"/>
      <c r="F2486" s="14"/>
      <c r="G2486" s="15"/>
      <c r="H2486" s="16" t="str">
        <f aca="false">IF(OR($K2486="",$L2486=""),"",ROUND(MAX(0,($L2486-$K2486)-IF($G2486="",0,$G2486))/60,2))</f>
        <v/>
      </c>
      <c r="I2486" s="8"/>
      <c r="J2486" s="8"/>
      <c r="K2486" s="17" t="str">
        <f aca="false">IF($E2486="","",IF($E2486&lt;1,ROUND($E2486*1440,0),INT($E2486/100)*60+MOD($E2486,100)))</f>
        <v/>
      </c>
      <c r="L2486" s="17" t="str">
        <f aca="false">IF($F2486="","",IF($F2486&lt;1,ROUND($F2486*1440,0),INT($F2486/100)*60+MOD($F2486,100)))</f>
        <v/>
      </c>
    </row>
    <row r="2487" customFormat="false" ht="15" hidden="false" customHeight="true" outlineLevel="0" collapsed="false">
      <c r="A2487" s="10"/>
      <c r="B2487" s="8"/>
      <c r="C2487" s="13" t="str">
        <f aca="false">IF($B2487="","",IFERROR(INDEX(직원목록!$B$3:$B$302,MATCH($B2487,직원목록!$A$3:$A$302,0)),"미등록사번"))</f>
        <v/>
      </c>
      <c r="D2487" s="13" t="str">
        <f aca="false">IF($B2487="","",IFERROR(INDEX(직원목록!$C$3:$C$302,MATCH($B2487,직원목록!$A$3:$A$302,0)),""))</f>
        <v/>
      </c>
      <c r="E2487" s="14"/>
      <c r="F2487" s="14"/>
      <c r="G2487" s="15"/>
      <c r="H2487" s="16" t="str">
        <f aca="false">IF(OR($K2487="",$L2487=""),"",ROUND(MAX(0,($L2487-$K2487)-IF($G2487="",0,$G2487))/60,2))</f>
        <v/>
      </c>
      <c r="I2487" s="8"/>
      <c r="J2487" s="8"/>
      <c r="K2487" s="17" t="str">
        <f aca="false">IF($E2487="","",IF($E2487&lt;1,ROUND($E2487*1440,0),INT($E2487/100)*60+MOD($E2487,100)))</f>
        <v/>
      </c>
      <c r="L2487" s="17" t="str">
        <f aca="false">IF($F2487="","",IF($F2487&lt;1,ROUND($F2487*1440,0),INT($F2487/100)*60+MOD($F2487,100)))</f>
        <v/>
      </c>
    </row>
    <row r="2488" customFormat="false" ht="15" hidden="false" customHeight="true" outlineLevel="0" collapsed="false">
      <c r="A2488" s="10"/>
      <c r="B2488" s="8"/>
      <c r="C2488" s="13" t="str">
        <f aca="false">IF($B2488="","",IFERROR(INDEX(직원목록!$B$3:$B$302,MATCH($B2488,직원목록!$A$3:$A$302,0)),"미등록사번"))</f>
        <v/>
      </c>
      <c r="D2488" s="13" t="str">
        <f aca="false">IF($B2488="","",IFERROR(INDEX(직원목록!$C$3:$C$302,MATCH($B2488,직원목록!$A$3:$A$302,0)),""))</f>
        <v/>
      </c>
      <c r="E2488" s="14"/>
      <c r="F2488" s="14"/>
      <c r="G2488" s="15"/>
      <c r="H2488" s="16" t="str">
        <f aca="false">IF(OR($K2488="",$L2488=""),"",ROUND(MAX(0,($L2488-$K2488)-IF($G2488="",0,$G2488))/60,2))</f>
        <v/>
      </c>
      <c r="I2488" s="8"/>
      <c r="J2488" s="8"/>
      <c r="K2488" s="17" t="str">
        <f aca="false">IF($E2488="","",IF($E2488&lt;1,ROUND($E2488*1440,0),INT($E2488/100)*60+MOD($E2488,100)))</f>
        <v/>
      </c>
      <c r="L2488" s="17" t="str">
        <f aca="false">IF($F2488="","",IF($F2488&lt;1,ROUND($F2488*1440,0),INT($F2488/100)*60+MOD($F2488,100)))</f>
        <v/>
      </c>
    </row>
    <row r="2489" customFormat="false" ht="15" hidden="false" customHeight="true" outlineLevel="0" collapsed="false">
      <c r="A2489" s="10"/>
      <c r="B2489" s="8"/>
      <c r="C2489" s="13" t="str">
        <f aca="false">IF($B2489="","",IFERROR(INDEX(직원목록!$B$3:$B$302,MATCH($B2489,직원목록!$A$3:$A$302,0)),"미등록사번"))</f>
        <v/>
      </c>
      <c r="D2489" s="13" t="str">
        <f aca="false">IF($B2489="","",IFERROR(INDEX(직원목록!$C$3:$C$302,MATCH($B2489,직원목록!$A$3:$A$302,0)),""))</f>
        <v/>
      </c>
      <c r="E2489" s="14"/>
      <c r="F2489" s="14"/>
      <c r="G2489" s="15"/>
      <c r="H2489" s="16" t="str">
        <f aca="false">IF(OR($K2489="",$L2489=""),"",ROUND(MAX(0,($L2489-$K2489)-IF($G2489="",0,$G2489))/60,2))</f>
        <v/>
      </c>
      <c r="I2489" s="8"/>
      <c r="J2489" s="8"/>
      <c r="K2489" s="17" t="str">
        <f aca="false">IF($E2489="","",IF($E2489&lt;1,ROUND($E2489*1440,0),INT($E2489/100)*60+MOD($E2489,100)))</f>
        <v/>
      </c>
      <c r="L2489" s="17" t="str">
        <f aca="false">IF($F2489="","",IF($F2489&lt;1,ROUND($F2489*1440,0),INT($F2489/100)*60+MOD($F2489,100)))</f>
        <v/>
      </c>
    </row>
    <row r="2490" customFormat="false" ht="15" hidden="false" customHeight="true" outlineLevel="0" collapsed="false">
      <c r="A2490" s="10"/>
      <c r="B2490" s="8"/>
      <c r="C2490" s="13" t="str">
        <f aca="false">IF($B2490="","",IFERROR(INDEX(직원목록!$B$3:$B$302,MATCH($B2490,직원목록!$A$3:$A$302,0)),"미등록사번"))</f>
        <v/>
      </c>
      <c r="D2490" s="13" t="str">
        <f aca="false">IF($B2490="","",IFERROR(INDEX(직원목록!$C$3:$C$302,MATCH($B2490,직원목록!$A$3:$A$302,0)),""))</f>
        <v/>
      </c>
      <c r="E2490" s="14"/>
      <c r="F2490" s="14"/>
      <c r="G2490" s="15"/>
      <c r="H2490" s="16" t="str">
        <f aca="false">IF(OR($K2490="",$L2490=""),"",ROUND(MAX(0,($L2490-$K2490)-IF($G2490="",0,$G2490))/60,2))</f>
        <v/>
      </c>
      <c r="I2490" s="8"/>
      <c r="J2490" s="8"/>
      <c r="K2490" s="17" t="str">
        <f aca="false">IF($E2490="","",IF($E2490&lt;1,ROUND($E2490*1440,0),INT($E2490/100)*60+MOD($E2490,100)))</f>
        <v/>
      </c>
      <c r="L2490" s="17" t="str">
        <f aca="false">IF($F2490="","",IF($F2490&lt;1,ROUND($F2490*1440,0),INT($F2490/100)*60+MOD($F2490,100)))</f>
        <v/>
      </c>
    </row>
    <row r="2491" customFormat="false" ht="15" hidden="false" customHeight="true" outlineLevel="0" collapsed="false">
      <c r="A2491" s="10"/>
      <c r="B2491" s="8"/>
      <c r="C2491" s="13" t="str">
        <f aca="false">IF($B2491="","",IFERROR(INDEX(직원목록!$B$3:$B$302,MATCH($B2491,직원목록!$A$3:$A$302,0)),"미등록사번"))</f>
        <v/>
      </c>
      <c r="D2491" s="13" t="str">
        <f aca="false">IF($B2491="","",IFERROR(INDEX(직원목록!$C$3:$C$302,MATCH($B2491,직원목록!$A$3:$A$302,0)),""))</f>
        <v/>
      </c>
      <c r="E2491" s="14"/>
      <c r="F2491" s="14"/>
      <c r="G2491" s="15"/>
      <c r="H2491" s="16" t="str">
        <f aca="false">IF(OR($K2491="",$L2491=""),"",ROUND(MAX(0,($L2491-$K2491)-IF($G2491="",0,$G2491))/60,2))</f>
        <v/>
      </c>
      <c r="I2491" s="8"/>
      <c r="J2491" s="8"/>
      <c r="K2491" s="17" t="str">
        <f aca="false">IF($E2491="","",IF($E2491&lt;1,ROUND($E2491*1440,0),INT($E2491/100)*60+MOD($E2491,100)))</f>
        <v/>
      </c>
      <c r="L2491" s="17" t="str">
        <f aca="false">IF($F2491="","",IF($F2491&lt;1,ROUND($F2491*1440,0),INT($F2491/100)*60+MOD($F2491,100)))</f>
        <v/>
      </c>
    </row>
    <row r="2492" customFormat="false" ht="15" hidden="false" customHeight="true" outlineLevel="0" collapsed="false">
      <c r="A2492" s="10"/>
      <c r="B2492" s="8"/>
      <c r="C2492" s="13" t="str">
        <f aca="false">IF($B2492="","",IFERROR(INDEX(직원목록!$B$3:$B$302,MATCH($B2492,직원목록!$A$3:$A$302,0)),"미등록사번"))</f>
        <v/>
      </c>
      <c r="D2492" s="13" t="str">
        <f aca="false">IF($B2492="","",IFERROR(INDEX(직원목록!$C$3:$C$302,MATCH($B2492,직원목록!$A$3:$A$302,0)),""))</f>
        <v/>
      </c>
      <c r="E2492" s="14"/>
      <c r="F2492" s="14"/>
      <c r="G2492" s="15"/>
      <c r="H2492" s="16" t="str">
        <f aca="false">IF(OR($K2492="",$L2492=""),"",ROUND(MAX(0,($L2492-$K2492)-IF($G2492="",0,$G2492))/60,2))</f>
        <v/>
      </c>
      <c r="I2492" s="8"/>
      <c r="J2492" s="8"/>
      <c r="K2492" s="17" t="str">
        <f aca="false">IF($E2492="","",IF($E2492&lt;1,ROUND($E2492*1440,0),INT($E2492/100)*60+MOD($E2492,100)))</f>
        <v/>
      </c>
      <c r="L2492" s="17" t="str">
        <f aca="false">IF($F2492="","",IF($F2492&lt;1,ROUND($F2492*1440,0),INT($F2492/100)*60+MOD($F2492,100)))</f>
        <v/>
      </c>
    </row>
    <row r="2493" customFormat="false" ht="15" hidden="false" customHeight="true" outlineLevel="0" collapsed="false">
      <c r="A2493" s="10"/>
      <c r="B2493" s="8"/>
      <c r="C2493" s="13" t="str">
        <f aca="false">IF($B2493="","",IFERROR(INDEX(직원목록!$B$3:$B$302,MATCH($B2493,직원목록!$A$3:$A$302,0)),"미등록사번"))</f>
        <v/>
      </c>
      <c r="D2493" s="13" t="str">
        <f aca="false">IF($B2493="","",IFERROR(INDEX(직원목록!$C$3:$C$302,MATCH($B2493,직원목록!$A$3:$A$302,0)),""))</f>
        <v/>
      </c>
      <c r="E2493" s="14"/>
      <c r="F2493" s="14"/>
      <c r="G2493" s="15"/>
      <c r="H2493" s="16" t="str">
        <f aca="false">IF(OR($K2493="",$L2493=""),"",ROUND(MAX(0,($L2493-$K2493)-IF($G2493="",0,$G2493))/60,2))</f>
        <v/>
      </c>
      <c r="I2493" s="8"/>
      <c r="J2493" s="8"/>
      <c r="K2493" s="17" t="str">
        <f aca="false">IF($E2493="","",IF($E2493&lt;1,ROUND($E2493*1440,0),INT($E2493/100)*60+MOD($E2493,100)))</f>
        <v/>
      </c>
      <c r="L2493" s="17" t="str">
        <f aca="false">IF($F2493="","",IF($F2493&lt;1,ROUND($F2493*1440,0),INT($F2493/100)*60+MOD($F2493,100)))</f>
        <v/>
      </c>
    </row>
    <row r="2494" customFormat="false" ht="15" hidden="false" customHeight="true" outlineLevel="0" collapsed="false">
      <c r="A2494" s="10"/>
      <c r="B2494" s="8"/>
      <c r="C2494" s="13" t="str">
        <f aca="false">IF($B2494="","",IFERROR(INDEX(직원목록!$B$3:$B$302,MATCH($B2494,직원목록!$A$3:$A$302,0)),"미등록사번"))</f>
        <v/>
      </c>
      <c r="D2494" s="13" t="str">
        <f aca="false">IF($B2494="","",IFERROR(INDEX(직원목록!$C$3:$C$302,MATCH($B2494,직원목록!$A$3:$A$302,0)),""))</f>
        <v/>
      </c>
      <c r="E2494" s="14"/>
      <c r="F2494" s="14"/>
      <c r="G2494" s="15"/>
      <c r="H2494" s="16" t="str">
        <f aca="false">IF(OR($K2494="",$L2494=""),"",ROUND(MAX(0,($L2494-$K2494)-IF($G2494="",0,$G2494))/60,2))</f>
        <v/>
      </c>
      <c r="I2494" s="8"/>
      <c r="J2494" s="8"/>
      <c r="K2494" s="17" t="str">
        <f aca="false">IF($E2494="","",IF($E2494&lt;1,ROUND($E2494*1440,0),INT($E2494/100)*60+MOD($E2494,100)))</f>
        <v/>
      </c>
      <c r="L2494" s="17" t="str">
        <f aca="false">IF($F2494="","",IF($F2494&lt;1,ROUND($F2494*1440,0),INT($F2494/100)*60+MOD($F2494,100)))</f>
        <v/>
      </c>
    </row>
    <row r="2495" customFormat="false" ht="15" hidden="false" customHeight="true" outlineLevel="0" collapsed="false">
      <c r="A2495" s="10"/>
      <c r="B2495" s="8"/>
      <c r="C2495" s="13" t="str">
        <f aca="false">IF($B2495="","",IFERROR(INDEX(직원목록!$B$3:$B$302,MATCH($B2495,직원목록!$A$3:$A$302,0)),"미등록사번"))</f>
        <v/>
      </c>
      <c r="D2495" s="13" t="str">
        <f aca="false">IF($B2495="","",IFERROR(INDEX(직원목록!$C$3:$C$302,MATCH($B2495,직원목록!$A$3:$A$302,0)),""))</f>
        <v/>
      </c>
      <c r="E2495" s="14"/>
      <c r="F2495" s="14"/>
      <c r="G2495" s="15"/>
      <c r="H2495" s="16" t="str">
        <f aca="false">IF(OR($K2495="",$L2495=""),"",ROUND(MAX(0,($L2495-$K2495)-IF($G2495="",0,$G2495))/60,2))</f>
        <v/>
      </c>
      <c r="I2495" s="8"/>
      <c r="J2495" s="8"/>
      <c r="K2495" s="17" t="str">
        <f aca="false">IF($E2495="","",IF($E2495&lt;1,ROUND($E2495*1440,0),INT($E2495/100)*60+MOD($E2495,100)))</f>
        <v/>
      </c>
      <c r="L2495" s="17" t="str">
        <f aca="false">IF($F2495="","",IF($F2495&lt;1,ROUND($F2495*1440,0),INT($F2495/100)*60+MOD($F2495,100)))</f>
        <v/>
      </c>
    </row>
    <row r="2496" customFormat="false" ht="15" hidden="false" customHeight="true" outlineLevel="0" collapsed="false">
      <c r="A2496" s="10"/>
      <c r="B2496" s="8"/>
      <c r="C2496" s="13" t="str">
        <f aca="false">IF($B2496="","",IFERROR(INDEX(직원목록!$B$3:$B$302,MATCH($B2496,직원목록!$A$3:$A$302,0)),"미등록사번"))</f>
        <v/>
      </c>
      <c r="D2496" s="13" t="str">
        <f aca="false">IF($B2496="","",IFERROR(INDEX(직원목록!$C$3:$C$302,MATCH($B2496,직원목록!$A$3:$A$302,0)),""))</f>
        <v/>
      </c>
      <c r="E2496" s="14"/>
      <c r="F2496" s="14"/>
      <c r="G2496" s="15"/>
      <c r="H2496" s="16" t="str">
        <f aca="false">IF(OR($K2496="",$L2496=""),"",ROUND(MAX(0,($L2496-$K2496)-IF($G2496="",0,$G2496))/60,2))</f>
        <v/>
      </c>
      <c r="I2496" s="8"/>
      <c r="J2496" s="8"/>
      <c r="K2496" s="17" t="str">
        <f aca="false">IF($E2496="","",IF($E2496&lt;1,ROUND($E2496*1440,0),INT($E2496/100)*60+MOD($E2496,100)))</f>
        <v/>
      </c>
      <c r="L2496" s="17" t="str">
        <f aca="false">IF($F2496="","",IF($F2496&lt;1,ROUND($F2496*1440,0),INT($F2496/100)*60+MOD($F2496,100)))</f>
        <v/>
      </c>
    </row>
    <row r="2497" customFormat="false" ht="15" hidden="false" customHeight="true" outlineLevel="0" collapsed="false">
      <c r="A2497" s="10"/>
      <c r="B2497" s="8"/>
      <c r="C2497" s="13" t="str">
        <f aca="false">IF($B2497="","",IFERROR(INDEX(직원목록!$B$3:$B$302,MATCH($B2497,직원목록!$A$3:$A$302,0)),"미등록사번"))</f>
        <v/>
      </c>
      <c r="D2497" s="13" t="str">
        <f aca="false">IF($B2497="","",IFERROR(INDEX(직원목록!$C$3:$C$302,MATCH($B2497,직원목록!$A$3:$A$302,0)),""))</f>
        <v/>
      </c>
      <c r="E2497" s="14"/>
      <c r="F2497" s="14"/>
      <c r="G2497" s="15"/>
      <c r="H2497" s="16" t="str">
        <f aca="false">IF(OR($K2497="",$L2497=""),"",ROUND(MAX(0,($L2497-$K2497)-IF($G2497="",0,$G2497))/60,2))</f>
        <v/>
      </c>
      <c r="I2497" s="8"/>
      <c r="J2497" s="8"/>
      <c r="K2497" s="17" t="str">
        <f aca="false">IF($E2497="","",IF($E2497&lt;1,ROUND($E2497*1440,0),INT($E2497/100)*60+MOD($E2497,100)))</f>
        <v/>
      </c>
      <c r="L2497" s="17" t="str">
        <f aca="false">IF($F2497="","",IF($F2497&lt;1,ROUND($F2497*1440,0),INT($F2497/100)*60+MOD($F2497,100)))</f>
        <v/>
      </c>
    </row>
    <row r="2498" customFormat="false" ht="15" hidden="false" customHeight="true" outlineLevel="0" collapsed="false">
      <c r="A2498" s="10"/>
      <c r="B2498" s="8"/>
      <c r="C2498" s="13" t="str">
        <f aca="false">IF($B2498="","",IFERROR(INDEX(직원목록!$B$3:$B$302,MATCH($B2498,직원목록!$A$3:$A$302,0)),"미등록사번"))</f>
        <v/>
      </c>
      <c r="D2498" s="13" t="str">
        <f aca="false">IF($B2498="","",IFERROR(INDEX(직원목록!$C$3:$C$302,MATCH($B2498,직원목록!$A$3:$A$302,0)),""))</f>
        <v/>
      </c>
      <c r="E2498" s="14"/>
      <c r="F2498" s="14"/>
      <c r="G2498" s="15"/>
      <c r="H2498" s="16" t="str">
        <f aca="false">IF(OR($K2498="",$L2498=""),"",ROUND(MAX(0,($L2498-$K2498)-IF($G2498="",0,$G2498))/60,2))</f>
        <v/>
      </c>
      <c r="I2498" s="8"/>
      <c r="J2498" s="8"/>
      <c r="K2498" s="17" t="str">
        <f aca="false">IF($E2498="","",IF($E2498&lt;1,ROUND($E2498*1440,0),INT($E2498/100)*60+MOD($E2498,100)))</f>
        <v/>
      </c>
      <c r="L2498" s="17" t="str">
        <f aca="false">IF($F2498="","",IF($F2498&lt;1,ROUND($F2498*1440,0),INT($F2498/100)*60+MOD($F2498,100)))</f>
        <v/>
      </c>
    </row>
    <row r="2499" customFormat="false" ht="15" hidden="false" customHeight="true" outlineLevel="0" collapsed="false">
      <c r="A2499" s="10"/>
      <c r="B2499" s="8"/>
      <c r="C2499" s="13" t="str">
        <f aca="false">IF($B2499="","",IFERROR(INDEX(직원목록!$B$3:$B$302,MATCH($B2499,직원목록!$A$3:$A$302,0)),"미등록사번"))</f>
        <v/>
      </c>
      <c r="D2499" s="13" t="str">
        <f aca="false">IF($B2499="","",IFERROR(INDEX(직원목록!$C$3:$C$302,MATCH($B2499,직원목록!$A$3:$A$302,0)),""))</f>
        <v/>
      </c>
      <c r="E2499" s="14"/>
      <c r="F2499" s="14"/>
      <c r="G2499" s="15"/>
      <c r="H2499" s="16" t="str">
        <f aca="false">IF(OR($K2499="",$L2499=""),"",ROUND(MAX(0,($L2499-$K2499)-IF($G2499="",0,$G2499))/60,2))</f>
        <v/>
      </c>
      <c r="I2499" s="8"/>
      <c r="J2499" s="8"/>
      <c r="K2499" s="17" t="str">
        <f aca="false">IF($E2499="","",IF($E2499&lt;1,ROUND($E2499*1440,0),INT($E2499/100)*60+MOD($E2499,100)))</f>
        <v/>
      </c>
      <c r="L2499" s="17" t="str">
        <f aca="false">IF($F2499="","",IF($F2499&lt;1,ROUND($F2499*1440,0),INT($F2499/100)*60+MOD($F2499,100)))</f>
        <v/>
      </c>
    </row>
    <row r="2500" customFormat="false" ht="15" hidden="false" customHeight="true" outlineLevel="0" collapsed="false">
      <c r="A2500" s="10"/>
      <c r="B2500" s="8"/>
      <c r="C2500" s="13" t="str">
        <f aca="false">IF($B2500="","",IFERROR(INDEX(직원목록!$B$3:$B$302,MATCH($B2500,직원목록!$A$3:$A$302,0)),"미등록사번"))</f>
        <v/>
      </c>
      <c r="D2500" s="13" t="str">
        <f aca="false">IF($B2500="","",IFERROR(INDEX(직원목록!$C$3:$C$302,MATCH($B2500,직원목록!$A$3:$A$302,0)),""))</f>
        <v/>
      </c>
      <c r="E2500" s="14"/>
      <c r="F2500" s="14"/>
      <c r="G2500" s="15"/>
      <c r="H2500" s="16" t="str">
        <f aca="false">IF(OR($K2500="",$L2500=""),"",ROUND(MAX(0,($L2500-$K2500)-IF($G2500="",0,$G2500))/60,2))</f>
        <v/>
      </c>
      <c r="I2500" s="8"/>
      <c r="J2500" s="8"/>
      <c r="K2500" s="17" t="str">
        <f aca="false">IF($E2500="","",IF($E2500&lt;1,ROUND($E2500*1440,0),INT($E2500/100)*60+MOD($E2500,100)))</f>
        <v/>
      </c>
      <c r="L2500" s="17" t="str">
        <f aca="false">IF($F2500="","",IF($F2500&lt;1,ROUND($F2500*1440,0),INT($F2500/100)*60+MOD($F2500,100)))</f>
        <v/>
      </c>
    </row>
    <row r="2501" customFormat="false" ht="15" hidden="false" customHeight="true" outlineLevel="0" collapsed="false">
      <c r="A2501" s="10"/>
      <c r="B2501" s="8"/>
      <c r="C2501" s="13" t="str">
        <f aca="false">IF($B2501="","",IFERROR(INDEX(직원목록!$B$3:$B$302,MATCH($B2501,직원목록!$A$3:$A$302,0)),"미등록사번"))</f>
        <v/>
      </c>
      <c r="D2501" s="13" t="str">
        <f aca="false">IF($B2501="","",IFERROR(INDEX(직원목록!$C$3:$C$302,MATCH($B2501,직원목록!$A$3:$A$302,0)),""))</f>
        <v/>
      </c>
      <c r="E2501" s="14"/>
      <c r="F2501" s="14"/>
      <c r="G2501" s="15"/>
      <c r="H2501" s="16" t="str">
        <f aca="false">IF(OR($K2501="",$L2501=""),"",ROUND(MAX(0,($L2501-$K2501)-IF($G2501="",0,$G2501))/60,2))</f>
        <v/>
      </c>
      <c r="I2501" s="8"/>
      <c r="J2501" s="8"/>
      <c r="K2501" s="17" t="str">
        <f aca="false">IF($E2501="","",IF($E2501&lt;1,ROUND($E2501*1440,0),INT($E2501/100)*60+MOD($E2501,100)))</f>
        <v/>
      </c>
      <c r="L2501" s="17" t="str">
        <f aca="false">IF($F2501="","",IF($F2501&lt;1,ROUND($F2501*1440,0),INT($F2501/100)*60+MOD($F2501,100)))</f>
        <v/>
      </c>
    </row>
    <row r="2502" customFormat="false" ht="15" hidden="false" customHeight="true" outlineLevel="0" collapsed="false">
      <c r="A2502" s="10"/>
      <c r="B2502" s="8"/>
      <c r="C2502" s="13" t="str">
        <f aca="false">IF($B2502="","",IFERROR(INDEX(직원목록!$B$3:$B$302,MATCH($B2502,직원목록!$A$3:$A$302,0)),"미등록사번"))</f>
        <v/>
      </c>
      <c r="D2502" s="13" t="str">
        <f aca="false">IF($B2502="","",IFERROR(INDEX(직원목록!$C$3:$C$302,MATCH($B2502,직원목록!$A$3:$A$302,0)),""))</f>
        <v/>
      </c>
      <c r="E2502" s="14"/>
      <c r="F2502" s="14"/>
      <c r="G2502" s="15"/>
      <c r="H2502" s="16" t="str">
        <f aca="false">IF(OR($K2502="",$L2502=""),"",ROUND(MAX(0,($L2502-$K2502)-IF($G2502="",0,$G2502))/60,2))</f>
        <v/>
      </c>
      <c r="I2502" s="8"/>
      <c r="J2502" s="8"/>
      <c r="K2502" s="17" t="str">
        <f aca="false">IF($E2502="","",IF($E2502&lt;1,ROUND($E2502*1440,0),INT($E2502/100)*60+MOD($E2502,100)))</f>
        <v/>
      </c>
      <c r="L2502" s="17" t="str">
        <f aca="false">IF($F2502="","",IF($F2502&lt;1,ROUND($F2502*1440,0),INT($F2502/100)*60+MOD($F2502,100)))</f>
        <v/>
      </c>
    </row>
    <row r="2503" customFormat="false" ht="15" hidden="false" customHeight="true" outlineLevel="0" collapsed="false">
      <c r="A2503" s="10"/>
      <c r="B2503" s="8"/>
      <c r="C2503" s="13" t="str">
        <f aca="false">IF($B2503="","",IFERROR(INDEX(직원목록!$B$3:$B$302,MATCH($B2503,직원목록!$A$3:$A$302,0)),"미등록사번"))</f>
        <v/>
      </c>
      <c r="D2503" s="13" t="str">
        <f aca="false">IF($B2503="","",IFERROR(INDEX(직원목록!$C$3:$C$302,MATCH($B2503,직원목록!$A$3:$A$302,0)),""))</f>
        <v/>
      </c>
      <c r="E2503" s="14"/>
      <c r="F2503" s="14"/>
      <c r="G2503" s="15"/>
      <c r="H2503" s="16" t="str">
        <f aca="false">IF(OR($K2503="",$L2503=""),"",ROUND(MAX(0,($L2503-$K2503)-IF($G2503="",0,$G2503))/60,2))</f>
        <v/>
      </c>
      <c r="I2503" s="8"/>
      <c r="J2503" s="8"/>
      <c r="K2503" s="17" t="str">
        <f aca="false">IF($E2503="","",IF($E2503&lt;1,ROUND($E2503*1440,0),INT($E2503/100)*60+MOD($E2503,100)))</f>
        <v/>
      </c>
      <c r="L2503" s="17" t="str">
        <f aca="false">IF($F2503="","",IF($F2503&lt;1,ROUND($F2503*1440,0),INT($F2503/100)*60+MOD($F2503,100)))</f>
        <v/>
      </c>
    </row>
    <row r="2504" customFormat="false" ht="15" hidden="false" customHeight="true" outlineLevel="0" collapsed="false">
      <c r="A2504" s="10"/>
      <c r="B2504" s="8"/>
      <c r="C2504" s="13" t="str">
        <f aca="false">IF($B2504="","",IFERROR(INDEX(직원목록!$B$3:$B$302,MATCH($B2504,직원목록!$A$3:$A$302,0)),"미등록사번"))</f>
        <v/>
      </c>
      <c r="D2504" s="13" t="str">
        <f aca="false">IF($B2504="","",IFERROR(INDEX(직원목록!$C$3:$C$302,MATCH($B2504,직원목록!$A$3:$A$302,0)),""))</f>
        <v/>
      </c>
      <c r="E2504" s="14"/>
      <c r="F2504" s="14"/>
      <c r="G2504" s="15"/>
      <c r="H2504" s="16" t="str">
        <f aca="false">IF(OR($K2504="",$L2504=""),"",ROUND(MAX(0,($L2504-$K2504)-IF($G2504="",0,$G2504))/60,2))</f>
        <v/>
      </c>
      <c r="I2504" s="8"/>
      <c r="J2504" s="8"/>
      <c r="K2504" s="17" t="str">
        <f aca="false">IF($E2504="","",IF($E2504&lt;1,ROUND($E2504*1440,0),INT($E2504/100)*60+MOD($E2504,100)))</f>
        <v/>
      </c>
      <c r="L2504" s="17" t="str">
        <f aca="false">IF($F2504="","",IF($F2504&lt;1,ROUND($F2504*1440,0),INT($F2504/100)*60+MOD($F2504,100)))</f>
        <v/>
      </c>
    </row>
    <row r="2505" customFormat="false" ht="15" hidden="false" customHeight="true" outlineLevel="0" collapsed="false">
      <c r="A2505" s="10"/>
      <c r="B2505" s="8"/>
      <c r="C2505" s="13" t="str">
        <f aca="false">IF($B2505="","",IFERROR(INDEX(직원목록!$B$3:$B$302,MATCH($B2505,직원목록!$A$3:$A$302,0)),"미등록사번"))</f>
        <v/>
      </c>
      <c r="D2505" s="13" t="str">
        <f aca="false">IF($B2505="","",IFERROR(INDEX(직원목록!$C$3:$C$302,MATCH($B2505,직원목록!$A$3:$A$302,0)),""))</f>
        <v/>
      </c>
      <c r="E2505" s="14"/>
      <c r="F2505" s="14"/>
      <c r="G2505" s="15"/>
      <c r="H2505" s="16" t="str">
        <f aca="false">IF(OR($K2505="",$L2505=""),"",ROUND(MAX(0,($L2505-$K2505)-IF($G2505="",0,$G2505))/60,2))</f>
        <v/>
      </c>
      <c r="I2505" s="8"/>
      <c r="J2505" s="8"/>
      <c r="K2505" s="17" t="str">
        <f aca="false">IF($E2505="","",IF($E2505&lt;1,ROUND($E2505*1440,0),INT($E2505/100)*60+MOD($E2505,100)))</f>
        <v/>
      </c>
      <c r="L2505" s="17" t="str">
        <f aca="false">IF($F2505="","",IF($F2505&lt;1,ROUND($F2505*1440,0),INT($F2505/100)*60+MOD($F2505,100)))</f>
        <v/>
      </c>
    </row>
    <row r="2506" customFormat="false" ht="15" hidden="false" customHeight="true" outlineLevel="0" collapsed="false">
      <c r="A2506" s="10"/>
      <c r="B2506" s="8"/>
      <c r="C2506" s="13" t="str">
        <f aca="false">IF($B2506="","",IFERROR(INDEX(직원목록!$B$3:$B$302,MATCH($B2506,직원목록!$A$3:$A$302,0)),"미등록사번"))</f>
        <v/>
      </c>
      <c r="D2506" s="13" t="str">
        <f aca="false">IF($B2506="","",IFERROR(INDEX(직원목록!$C$3:$C$302,MATCH($B2506,직원목록!$A$3:$A$302,0)),""))</f>
        <v/>
      </c>
      <c r="E2506" s="14"/>
      <c r="F2506" s="14"/>
      <c r="G2506" s="15"/>
      <c r="H2506" s="16" t="str">
        <f aca="false">IF(OR($K2506="",$L2506=""),"",ROUND(MAX(0,($L2506-$K2506)-IF($G2506="",0,$G2506))/60,2))</f>
        <v/>
      </c>
      <c r="I2506" s="8"/>
      <c r="J2506" s="8"/>
      <c r="K2506" s="17" t="str">
        <f aca="false">IF($E2506="","",IF($E2506&lt;1,ROUND($E2506*1440,0),INT($E2506/100)*60+MOD($E2506,100)))</f>
        <v/>
      </c>
      <c r="L2506" s="17" t="str">
        <f aca="false">IF($F2506="","",IF($F2506&lt;1,ROUND($F2506*1440,0),INT($F2506/100)*60+MOD($F2506,100)))</f>
        <v/>
      </c>
    </row>
    <row r="2507" customFormat="false" ht="15" hidden="false" customHeight="true" outlineLevel="0" collapsed="false">
      <c r="A2507" s="10"/>
      <c r="B2507" s="8"/>
      <c r="C2507" s="13" t="str">
        <f aca="false">IF($B2507="","",IFERROR(INDEX(직원목록!$B$3:$B$302,MATCH($B2507,직원목록!$A$3:$A$302,0)),"미등록사번"))</f>
        <v/>
      </c>
      <c r="D2507" s="13" t="str">
        <f aca="false">IF($B2507="","",IFERROR(INDEX(직원목록!$C$3:$C$302,MATCH($B2507,직원목록!$A$3:$A$302,0)),""))</f>
        <v/>
      </c>
      <c r="E2507" s="14"/>
      <c r="F2507" s="14"/>
      <c r="G2507" s="15"/>
      <c r="H2507" s="16" t="str">
        <f aca="false">IF(OR($K2507="",$L2507=""),"",ROUND(MAX(0,($L2507-$K2507)-IF($G2507="",0,$G2507))/60,2))</f>
        <v/>
      </c>
      <c r="I2507" s="8"/>
      <c r="J2507" s="8"/>
      <c r="K2507" s="17" t="str">
        <f aca="false">IF($E2507="","",IF($E2507&lt;1,ROUND($E2507*1440,0),INT($E2507/100)*60+MOD($E2507,100)))</f>
        <v/>
      </c>
      <c r="L2507" s="17" t="str">
        <f aca="false">IF($F2507="","",IF($F2507&lt;1,ROUND($F2507*1440,0),INT($F2507/100)*60+MOD($F2507,100)))</f>
        <v/>
      </c>
    </row>
    <row r="2508" customFormat="false" ht="15" hidden="false" customHeight="true" outlineLevel="0" collapsed="false">
      <c r="A2508" s="10"/>
      <c r="B2508" s="8"/>
      <c r="C2508" s="13" t="str">
        <f aca="false">IF($B2508="","",IFERROR(INDEX(직원목록!$B$3:$B$302,MATCH($B2508,직원목록!$A$3:$A$302,0)),"미등록사번"))</f>
        <v/>
      </c>
      <c r="D2508" s="13" t="str">
        <f aca="false">IF($B2508="","",IFERROR(INDEX(직원목록!$C$3:$C$302,MATCH($B2508,직원목록!$A$3:$A$302,0)),""))</f>
        <v/>
      </c>
      <c r="E2508" s="14"/>
      <c r="F2508" s="14"/>
      <c r="G2508" s="15"/>
      <c r="H2508" s="16" t="str">
        <f aca="false">IF(OR($K2508="",$L2508=""),"",ROUND(MAX(0,($L2508-$K2508)-IF($G2508="",0,$G2508))/60,2))</f>
        <v/>
      </c>
      <c r="I2508" s="8"/>
      <c r="J2508" s="8"/>
      <c r="K2508" s="17" t="str">
        <f aca="false">IF($E2508="","",IF($E2508&lt;1,ROUND($E2508*1440,0),INT($E2508/100)*60+MOD($E2508,100)))</f>
        <v/>
      </c>
      <c r="L2508" s="17" t="str">
        <f aca="false">IF($F2508="","",IF($F2508&lt;1,ROUND($F2508*1440,0),INT($F2508/100)*60+MOD($F2508,100)))</f>
        <v/>
      </c>
    </row>
    <row r="2509" customFormat="false" ht="15" hidden="false" customHeight="true" outlineLevel="0" collapsed="false">
      <c r="A2509" s="10"/>
      <c r="B2509" s="8"/>
      <c r="C2509" s="13" t="str">
        <f aca="false">IF($B2509="","",IFERROR(INDEX(직원목록!$B$3:$B$302,MATCH($B2509,직원목록!$A$3:$A$302,0)),"미등록사번"))</f>
        <v/>
      </c>
      <c r="D2509" s="13" t="str">
        <f aca="false">IF($B2509="","",IFERROR(INDEX(직원목록!$C$3:$C$302,MATCH($B2509,직원목록!$A$3:$A$302,0)),""))</f>
        <v/>
      </c>
      <c r="E2509" s="14"/>
      <c r="F2509" s="14"/>
      <c r="G2509" s="15"/>
      <c r="H2509" s="16" t="str">
        <f aca="false">IF(OR($K2509="",$L2509=""),"",ROUND(MAX(0,($L2509-$K2509)-IF($G2509="",0,$G2509))/60,2))</f>
        <v/>
      </c>
      <c r="I2509" s="8"/>
      <c r="J2509" s="8"/>
      <c r="K2509" s="17" t="str">
        <f aca="false">IF($E2509="","",IF($E2509&lt;1,ROUND($E2509*1440,0),INT($E2509/100)*60+MOD($E2509,100)))</f>
        <v/>
      </c>
      <c r="L2509" s="17" t="str">
        <f aca="false">IF($F2509="","",IF($F2509&lt;1,ROUND($F2509*1440,0),INT($F2509/100)*60+MOD($F2509,100)))</f>
        <v/>
      </c>
    </row>
    <row r="2510" customFormat="false" ht="15" hidden="false" customHeight="true" outlineLevel="0" collapsed="false">
      <c r="A2510" s="10"/>
      <c r="B2510" s="8"/>
      <c r="C2510" s="13" t="str">
        <f aca="false">IF($B2510="","",IFERROR(INDEX(직원목록!$B$3:$B$302,MATCH($B2510,직원목록!$A$3:$A$302,0)),"미등록사번"))</f>
        <v/>
      </c>
      <c r="D2510" s="13" t="str">
        <f aca="false">IF($B2510="","",IFERROR(INDEX(직원목록!$C$3:$C$302,MATCH($B2510,직원목록!$A$3:$A$302,0)),""))</f>
        <v/>
      </c>
      <c r="E2510" s="14"/>
      <c r="F2510" s="14"/>
      <c r="G2510" s="15"/>
      <c r="H2510" s="16" t="str">
        <f aca="false">IF(OR($K2510="",$L2510=""),"",ROUND(MAX(0,($L2510-$K2510)-IF($G2510="",0,$G2510))/60,2))</f>
        <v/>
      </c>
      <c r="I2510" s="8"/>
      <c r="J2510" s="8"/>
      <c r="K2510" s="17" t="str">
        <f aca="false">IF($E2510="","",IF($E2510&lt;1,ROUND($E2510*1440,0),INT($E2510/100)*60+MOD($E2510,100)))</f>
        <v/>
      </c>
      <c r="L2510" s="17" t="str">
        <f aca="false">IF($F2510="","",IF($F2510&lt;1,ROUND($F2510*1440,0),INT($F2510/100)*60+MOD($F2510,100)))</f>
        <v/>
      </c>
    </row>
    <row r="2511" customFormat="false" ht="15" hidden="false" customHeight="true" outlineLevel="0" collapsed="false">
      <c r="A2511" s="10"/>
      <c r="B2511" s="8"/>
      <c r="C2511" s="13" t="str">
        <f aca="false">IF($B2511="","",IFERROR(INDEX(직원목록!$B$3:$B$302,MATCH($B2511,직원목록!$A$3:$A$302,0)),"미등록사번"))</f>
        <v/>
      </c>
      <c r="D2511" s="13" t="str">
        <f aca="false">IF($B2511="","",IFERROR(INDEX(직원목록!$C$3:$C$302,MATCH($B2511,직원목록!$A$3:$A$302,0)),""))</f>
        <v/>
      </c>
      <c r="E2511" s="14"/>
      <c r="F2511" s="14"/>
      <c r="G2511" s="15"/>
      <c r="H2511" s="16" t="str">
        <f aca="false">IF(OR($K2511="",$L2511=""),"",ROUND(MAX(0,($L2511-$K2511)-IF($G2511="",0,$G2511))/60,2))</f>
        <v/>
      </c>
      <c r="I2511" s="8"/>
      <c r="J2511" s="8"/>
      <c r="K2511" s="17" t="str">
        <f aca="false">IF($E2511="","",IF($E2511&lt;1,ROUND($E2511*1440,0),INT($E2511/100)*60+MOD($E2511,100)))</f>
        <v/>
      </c>
      <c r="L2511" s="17" t="str">
        <f aca="false">IF($F2511="","",IF($F2511&lt;1,ROUND($F2511*1440,0),INT($F2511/100)*60+MOD($F2511,100)))</f>
        <v/>
      </c>
    </row>
    <row r="2512" customFormat="false" ht="15" hidden="false" customHeight="true" outlineLevel="0" collapsed="false">
      <c r="A2512" s="10"/>
      <c r="B2512" s="8"/>
      <c r="C2512" s="13" t="str">
        <f aca="false">IF($B2512="","",IFERROR(INDEX(직원목록!$B$3:$B$302,MATCH($B2512,직원목록!$A$3:$A$302,0)),"미등록사번"))</f>
        <v/>
      </c>
      <c r="D2512" s="13" t="str">
        <f aca="false">IF($B2512="","",IFERROR(INDEX(직원목록!$C$3:$C$302,MATCH($B2512,직원목록!$A$3:$A$302,0)),""))</f>
        <v/>
      </c>
      <c r="E2512" s="14"/>
      <c r="F2512" s="14"/>
      <c r="G2512" s="15"/>
      <c r="H2512" s="16" t="str">
        <f aca="false">IF(OR($K2512="",$L2512=""),"",ROUND(MAX(0,($L2512-$K2512)-IF($G2512="",0,$G2512))/60,2))</f>
        <v/>
      </c>
      <c r="I2512" s="8"/>
      <c r="J2512" s="8"/>
      <c r="K2512" s="17" t="str">
        <f aca="false">IF($E2512="","",IF($E2512&lt;1,ROUND($E2512*1440,0),INT($E2512/100)*60+MOD($E2512,100)))</f>
        <v/>
      </c>
      <c r="L2512" s="17" t="str">
        <f aca="false">IF($F2512="","",IF($F2512&lt;1,ROUND($F2512*1440,0),INT($F2512/100)*60+MOD($F2512,100)))</f>
        <v/>
      </c>
    </row>
    <row r="2513" customFormat="false" ht="15" hidden="false" customHeight="true" outlineLevel="0" collapsed="false">
      <c r="A2513" s="10"/>
      <c r="B2513" s="8"/>
      <c r="C2513" s="13" t="str">
        <f aca="false">IF($B2513="","",IFERROR(INDEX(직원목록!$B$3:$B$302,MATCH($B2513,직원목록!$A$3:$A$302,0)),"미등록사번"))</f>
        <v/>
      </c>
      <c r="D2513" s="13" t="str">
        <f aca="false">IF($B2513="","",IFERROR(INDEX(직원목록!$C$3:$C$302,MATCH($B2513,직원목록!$A$3:$A$302,0)),""))</f>
        <v/>
      </c>
      <c r="E2513" s="14"/>
      <c r="F2513" s="14"/>
      <c r="G2513" s="15"/>
      <c r="H2513" s="16" t="str">
        <f aca="false">IF(OR($K2513="",$L2513=""),"",ROUND(MAX(0,($L2513-$K2513)-IF($G2513="",0,$G2513))/60,2))</f>
        <v/>
      </c>
      <c r="I2513" s="8"/>
      <c r="J2513" s="8"/>
      <c r="K2513" s="17" t="str">
        <f aca="false">IF($E2513="","",IF($E2513&lt;1,ROUND($E2513*1440,0),INT($E2513/100)*60+MOD($E2513,100)))</f>
        <v/>
      </c>
      <c r="L2513" s="17" t="str">
        <f aca="false">IF($F2513="","",IF($F2513&lt;1,ROUND($F2513*1440,0),INT($F2513/100)*60+MOD($F2513,100)))</f>
        <v/>
      </c>
    </row>
    <row r="2514" customFormat="false" ht="15" hidden="false" customHeight="true" outlineLevel="0" collapsed="false">
      <c r="A2514" s="10"/>
      <c r="B2514" s="8"/>
      <c r="C2514" s="13" t="str">
        <f aca="false">IF($B2514="","",IFERROR(INDEX(직원목록!$B$3:$B$302,MATCH($B2514,직원목록!$A$3:$A$302,0)),"미등록사번"))</f>
        <v/>
      </c>
      <c r="D2514" s="13" t="str">
        <f aca="false">IF($B2514="","",IFERROR(INDEX(직원목록!$C$3:$C$302,MATCH($B2514,직원목록!$A$3:$A$302,0)),""))</f>
        <v/>
      </c>
      <c r="E2514" s="14"/>
      <c r="F2514" s="14"/>
      <c r="G2514" s="15"/>
      <c r="H2514" s="16" t="str">
        <f aca="false">IF(OR($K2514="",$L2514=""),"",ROUND(MAX(0,($L2514-$K2514)-IF($G2514="",0,$G2514))/60,2))</f>
        <v/>
      </c>
      <c r="I2514" s="8"/>
      <c r="J2514" s="8"/>
      <c r="K2514" s="17" t="str">
        <f aca="false">IF($E2514="","",IF($E2514&lt;1,ROUND($E2514*1440,0),INT($E2514/100)*60+MOD($E2514,100)))</f>
        <v/>
      </c>
      <c r="L2514" s="17" t="str">
        <f aca="false">IF($F2514="","",IF($F2514&lt;1,ROUND($F2514*1440,0),INT($F2514/100)*60+MOD($F2514,100)))</f>
        <v/>
      </c>
    </row>
    <row r="2515" customFormat="false" ht="15" hidden="false" customHeight="true" outlineLevel="0" collapsed="false">
      <c r="A2515" s="10"/>
      <c r="B2515" s="8"/>
      <c r="C2515" s="13" t="str">
        <f aca="false">IF($B2515="","",IFERROR(INDEX(직원목록!$B$3:$B$302,MATCH($B2515,직원목록!$A$3:$A$302,0)),"미등록사번"))</f>
        <v/>
      </c>
      <c r="D2515" s="13" t="str">
        <f aca="false">IF($B2515="","",IFERROR(INDEX(직원목록!$C$3:$C$302,MATCH($B2515,직원목록!$A$3:$A$302,0)),""))</f>
        <v/>
      </c>
      <c r="E2515" s="14"/>
      <c r="F2515" s="14"/>
      <c r="G2515" s="15"/>
      <c r="H2515" s="16" t="str">
        <f aca="false">IF(OR($K2515="",$L2515=""),"",ROUND(MAX(0,($L2515-$K2515)-IF($G2515="",0,$G2515))/60,2))</f>
        <v/>
      </c>
      <c r="I2515" s="8"/>
      <c r="J2515" s="8"/>
      <c r="K2515" s="17" t="str">
        <f aca="false">IF($E2515="","",IF($E2515&lt;1,ROUND($E2515*1440,0),INT($E2515/100)*60+MOD($E2515,100)))</f>
        <v/>
      </c>
      <c r="L2515" s="17" t="str">
        <f aca="false">IF($F2515="","",IF($F2515&lt;1,ROUND($F2515*1440,0),INT($F2515/100)*60+MOD($F2515,100)))</f>
        <v/>
      </c>
    </row>
    <row r="2516" customFormat="false" ht="15" hidden="false" customHeight="true" outlineLevel="0" collapsed="false">
      <c r="A2516" s="10"/>
      <c r="B2516" s="8"/>
      <c r="C2516" s="13" t="str">
        <f aca="false">IF($B2516="","",IFERROR(INDEX(직원목록!$B$3:$B$302,MATCH($B2516,직원목록!$A$3:$A$302,0)),"미등록사번"))</f>
        <v/>
      </c>
      <c r="D2516" s="13" t="str">
        <f aca="false">IF($B2516="","",IFERROR(INDEX(직원목록!$C$3:$C$302,MATCH($B2516,직원목록!$A$3:$A$302,0)),""))</f>
        <v/>
      </c>
      <c r="E2516" s="14"/>
      <c r="F2516" s="14"/>
      <c r="G2516" s="15"/>
      <c r="H2516" s="16" t="str">
        <f aca="false">IF(OR($K2516="",$L2516=""),"",ROUND(MAX(0,($L2516-$K2516)-IF($G2516="",0,$G2516))/60,2))</f>
        <v/>
      </c>
      <c r="I2516" s="8"/>
      <c r="J2516" s="8"/>
      <c r="K2516" s="17" t="str">
        <f aca="false">IF($E2516="","",IF($E2516&lt;1,ROUND($E2516*1440,0),INT($E2516/100)*60+MOD($E2516,100)))</f>
        <v/>
      </c>
      <c r="L2516" s="17" t="str">
        <f aca="false">IF($F2516="","",IF($F2516&lt;1,ROUND($F2516*1440,0),INT($F2516/100)*60+MOD($F2516,100)))</f>
        <v/>
      </c>
    </row>
    <row r="2517" customFormat="false" ht="15" hidden="false" customHeight="true" outlineLevel="0" collapsed="false">
      <c r="A2517" s="10"/>
      <c r="B2517" s="8"/>
      <c r="C2517" s="13" t="str">
        <f aca="false">IF($B2517="","",IFERROR(INDEX(직원목록!$B$3:$B$302,MATCH($B2517,직원목록!$A$3:$A$302,0)),"미등록사번"))</f>
        <v/>
      </c>
      <c r="D2517" s="13" t="str">
        <f aca="false">IF($B2517="","",IFERROR(INDEX(직원목록!$C$3:$C$302,MATCH($B2517,직원목록!$A$3:$A$302,0)),""))</f>
        <v/>
      </c>
      <c r="E2517" s="14"/>
      <c r="F2517" s="14"/>
      <c r="G2517" s="15"/>
      <c r="H2517" s="16" t="str">
        <f aca="false">IF(OR($K2517="",$L2517=""),"",ROUND(MAX(0,($L2517-$K2517)-IF($G2517="",0,$G2517))/60,2))</f>
        <v/>
      </c>
      <c r="I2517" s="8"/>
      <c r="J2517" s="8"/>
      <c r="K2517" s="17" t="str">
        <f aca="false">IF($E2517="","",IF($E2517&lt;1,ROUND($E2517*1440,0),INT($E2517/100)*60+MOD($E2517,100)))</f>
        <v/>
      </c>
      <c r="L2517" s="17" t="str">
        <f aca="false">IF($F2517="","",IF($F2517&lt;1,ROUND($F2517*1440,0),INT($F2517/100)*60+MOD($F2517,100)))</f>
        <v/>
      </c>
    </row>
    <row r="2518" customFormat="false" ht="15" hidden="false" customHeight="true" outlineLevel="0" collapsed="false">
      <c r="A2518" s="10"/>
      <c r="B2518" s="8"/>
      <c r="C2518" s="13" t="str">
        <f aca="false">IF($B2518="","",IFERROR(INDEX(직원목록!$B$3:$B$302,MATCH($B2518,직원목록!$A$3:$A$302,0)),"미등록사번"))</f>
        <v/>
      </c>
      <c r="D2518" s="13" t="str">
        <f aca="false">IF($B2518="","",IFERROR(INDEX(직원목록!$C$3:$C$302,MATCH($B2518,직원목록!$A$3:$A$302,0)),""))</f>
        <v/>
      </c>
      <c r="E2518" s="14"/>
      <c r="F2518" s="14"/>
      <c r="G2518" s="15"/>
      <c r="H2518" s="16" t="str">
        <f aca="false">IF(OR($K2518="",$L2518=""),"",ROUND(MAX(0,($L2518-$K2518)-IF($G2518="",0,$G2518))/60,2))</f>
        <v/>
      </c>
      <c r="I2518" s="8"/>
      <c r="J2518" s="8"/>
      <c r="K2518" s="17" t="str">
        <f aca="false">IF($E2518="","",IF($E2518&lt;1,ROUND($E2518*1440,0),INT($E2518/100)*60+MOD($E2518,100)))</f>
        <v/>
      </c>
      <c r="L2518" s="17" t="str">
        <f aca="false">IF($F2518="","",IF($F2518&lt;1,ROUND($F2518*1440,0),INT($F2518/100)*60+MOD($F2518,100)))</f>
        <v/>
      </c>
    </row>
    <row r="2519" customFormat="false" ht="15" hidden="false" customHeight="true" outlineLevel="0" collapsed="false">
      <c r="A2519" s="10"/>
      <c r="B2519" s="8"/>
      <c r="C2519" s="13" t="str">
        <f aca="false">IF($B2519="","",IFERROR(INDEX(직원목록!$B$3:$B$302,MATCH($B2519,직원목록!$A$3:$A$302,0)),"미등록사번"))</f>
        <v/>
      </c>
      <c r="D2519" s="13" t="str">
        <f aca="false">IF($B2519="","",IFERROR(INDEX(직원목록!$C$3:$C$302,MATCH($B2519,직원목록!$A$3:$A$302,0)),""))</f>
        <v/>
      </c>
      <c r="E2519" s="14"/>
      <c r="F2519" s="14"/>
      <c r="G2519" s="15"/>
      <c r="H2519" s="16" t="str">
        <f aca="false">IF(OR($K2519="",$L2519=""),"",ROUND(MAX(0,($L2519-$K2519)-IF($G2519="",0,$G2519))/60,2))</f>
        <v/>
      </c>
      <c r="I2519" s="8"/>
      <c r="J2519" s="8"/>
      <c r="K2519" s="17" t="str">
        <f aca="false">IF($E2519="","",IF($E2519&lt;1,ROUND($E2519*1440,0),INT($E2519/100)*60+MOD($E2519,100)))</f>
        <v/>
      </c>
      <c r="L2519" s="17" t="str">
        <f aca="false">IF($F2519="","",IF($F2519&lt;1,ROUND($F2519*1440,0),INT($F2519/100)*60+MOD($F2519,100)))</f>
        <v/>
      </c>
    </row>
    <row r="2520" customFormat="false" ht="15" hidden="false" customHeight="true" outlineLevel="0" collapsed="false">
      <c r="A2520" s="10"/>
      <c r="B2520" s="8"/>
      <c r="C2520" s="13" t="str">
        <f aca="false">IF($B2520="","",IFERROR(INDEX(직원목록!$B$3:$B$302,MATCH($B2520,직원목록!$A$3:$A$302,0)),"미등록사번"))</f>
        <v/>
      </c>
      <c r="D2520" s="13" t="str">
        <f aca="false">IF($B2520="","",IFERROR(INDEX(직원목록!$C$3:$C$302,MATCH($B2520,직원목록!$A$3:$A$302,0)),""))</f>
        <v/>
      </c>
      <c r="E2520" s="14"/>
      <c r="F2520" s="14"/>
      <c r="G2520" s="15"/>
      <c r="H2520" s="16" t="str">
        <f aca="false">IF(OR($K2520="",$L2520=""),"",ROUND(MAX(0,($L2520-$K2520)-IF($G2520="",0,$G2520))/60,2))</f>
        <v/>
      </c>
      <c r="I2520" s="8"/>
      <c r="J2520" s="8"/>
      <c r="K2520" s="17" t="str">
        <f aca="false">IF($E2520="","",IF($E2520&lt;1,ROUND($E2520*1440,0),INT($E2520/100)*60+MOD($E2520,100)))</f>
        <v/>
      </c>
      <c r="L2520" s="17" t="str">
        <f aca="false">IF($F2520="","",IF($F2520&lt;1,ROUND($F2520*1440,0),INT($F2520/100)*60+MOD($F2520,100)))</f>
        <v/>
      </c>
    </row>
    <row r="2521" customFormat="false" ht="15" hidden="false" customHeight="true" outlineLevel="0" collapsed="false">
      <c r="A2521" s="10"/>
      <c r="B2521" s="8"/>
      <c r="C2521" s="13" t="str">
        <f aca="false">IF($B2521="","",IFERROR(INDEX(직원목록!$B$3:$B$302,MATCH($B2521,직원목록!$A$3:$A$302,0)),"미등록사번"))</f>
        <v/>
      </c>
      <c r="D2521" s="13" t="str">
        <f aca="false">IF($B2521="","",IFERROR(INDEX(직원목록!$C$3:$C$302,MATCH($B2521,직원목록!$A$3:$A$302,0)),""))</f>
        <v/>
      </c>
      <c r="E2521" s="14"/>
      <c r="F2521" s="14"/>
      <c r="G2521" s="15"/>
      <c r="H2521" s="16" t="str">
        <f aca="false">IF(OR($K2521="",$L2521=""),"",ROUND(MAX(0,($L2521-$K2521)-IF($G2521="",0,$G2521))/60,2))</f>
        <v/>
      </c>
      <c r="I2521" s="8"/>
      <c r="J2521" s="8"/>
      <c r="K2521" s="17" t="str">
        <f aca="false">IF($E2521="","",IF($E2521&lt;1,ROUND($E2521*1440,0),INT($E2521/100)*60+MOD($E2521,100)))</f>
        <v/>
      </c>
      <c r="L2521" s="17" t="str">
        <f aca="false">IF($F2521="","",IF($F2521&lt;1,ROUND($F2521*1440,0),INT($F2521/100)*60+MOD($F2521,100)))</f>
        <v/>
      </c>
    </row>
    <row r="2522" customFormat="false" ht="15" hidden="false" customHeight="true" outlineLevel="0" collapsed="false">
      <c r="A2522" s="10"/>
      <c r="B2522" s="8"/>
      <c r="C2522" s="13" t="str">
        <f aca="false">IF($B2522="","",IFERROR(INDEX(직원목록!$B$3:$B$302,MATCH($B2522,직원목록!$A$3:$A$302,0)),"미등록사번"))</f>
        <v/>
      </c>
      <c r="D2522" s="13" t="str">
        <f aca="false">IF($B2522="","",IFERROR(INDEX(직원목록!$C$3:$C$302,MATCH($B2522,직원목록!$A$3:$A$302,0)),""))</f>
        <v/>
      </c>
      <c r="E2522" s="14"/>
      <c r="F2522" s="14"/>
      <c r="G2522" s="15"/>
      <c r="H2522" s="16" t="str">
        <f aca="false">IF(OR($K2522="",$L2522=""),"",ROUND(MAX(0,($L2522-$K2522)-IF($G2522="",0,$G2522))/60,2))</f>
        <v/>
      </c>
      <c r="I2522" s="8"/>
      <c r="J2522" s="8"/>
      <c r="K2522" s="17" t="str">
        <f aca="false">IF($E2522="","",IF($E2522&lt;1,ROUND($E2522*1440,0),INT($E2522/100)*60+MOD($E2522,100)))</f>
        <v/>
      </c>
      <c r="L2522" s="17" t="str">
        <f aca="false">IF($F2522="","",IF($F2522&lt;1,ROUND($F2522*1440,0),INT($F2522/100)*60+MOD($F2522,100)))</f>
        <v/>
      </c>
    </row>
    <row r="2523" customFormat="false" ht="15" hidden="false" customHeight="true" outlineLevel="0" collapsed="false">
      <c r="A2523" s="10"/>
      <c r="B2523" s="8"/>
      <c r="C2523" s="13" t="str">
        <f aca="false">IF($B2523="","",IFERROR(INDEX(직원목록!$B$3:$B$302,MATCH($B2523,직원목록!$A$3:$A$302,0)),"미등록사번"))</f>
        <v/>
      </c>
      <c r="D2523" s="13" t="str">
        <f aca="false">IF($B2523="","",IFERROR(INDEX(직원목록!$C$3:$C$302,MATCH($B2523,직원목록!$A$3:$A$302,0)),""))</f>
        <v/>
      </c>
      <c r="E2523" s="14"/>
      <c r="F2523" s="14"/>
      <c r="G2523" s="15"/>
      <c r="H2523" s="16" t="str">
        <f aca="false">IF(OR($K2523="",$L2523=""),"",ROUND(MAX(0,($L2523-$K2523)-IF($G2523="",0,$G2523))/60,2))</f>
        <v/>
      </c>
      <c r="I2523" s="8"/>
      <c r="J2523" s="8"/>
      <c r="K2523" s="17" t="str">
        <f aca="false">IF($E2523="","",IF($E2523&lt;1,ROUND($E2523*1440,0),INT($E2523/100)*60+MOD($E2523,100)))</f>
        <v/>
      </c>
      <c r="L2523" s="17" t="str">
        <f aca="false">IF($F2523="","",IF($F2523&lt;1,ROUND($F2523*1440,0),INT($F2523/100)*60+MOD($F2523,100)))</f>
        <v/>
      </c>
    </row>
    <row r="2524" customFormat="false" ht="15" hidden="false" customHeight="true" outlineLevel="0" collapsed="false">
      <c r="A2524" s="10"/>
      <c r="B2524" s="8"/>
      <c r="C2524" s="13" t="str">
        <f aca="false">IF($B2524="","",IFERROR(INDEX(직원목록!$B$3:$B$302,MATCH($B2524,직원목록!$A$3:$A$302,0)),"미등록사번"))</f>
        <v/>
      </c>
      <c r="D2524" s="13" t="str">
        <f aca="false">IF($B2524="","",IFERROR(INDEX(직원목록!$C$3:$C$302,MATCH($B2524,직원목록!$A$3:$A$302,0)),""))</f>
        <v/>
      </c>
      <c r="E2524" s="14"/>
      <c r="F2524" s="14"/>
      <c r="G2524" s="15"/>
      <c r="H2524" s="16" t="str">
        <f aca="false">IF(OR($K2524="",$L2524=""),"",ROUND(MAX(0,($L2524-$K2524)-IF($G2524="",0,$G2524))/60,2))</f>
        <v/>
      </c>
      <c r="I2524" s="8"/>
      <c r="J2524" s="8"/>
      <c r="K2524" s="17" t="str">
        <f aca="false">IF($E2524="","",IF($E2524&lt;1,ROUND($E2524*1440,0),INT($E2524/100)*60+MOD($E2524,100)))</f>
        <v/>
      </c>
      <c r="L2524" s="17" t="str">
        <f aca="false">IF($F2524="","",IF($F2524&lt;1,ROUND($F2524*1440,0),INT($F2524/100)*60+MOD($F2524,100)))</f>
        <v/>
      </c>
    </row>
    <row r="2525" customFormat="false" ht="15" hidden="false" customHeight="true" outlineLevel="0" collapsed="false">
      <c r="A2525" s="10"/>
      <c r="B2525" s="8"/>
      <c r="C2525" s="13" t="str">
        <f aca="false">IF($B2525="","",IFERROR(INDEX(직원목록!$B$3:$B$302,MATCH($B2525,직원목록!$A$3:$A$302,0)),"미등록사번"))</f>
        <v/>
      </c>
      <c r="D2525" s="13" t="str">
        <f aca="false">IF($B2525="","",IFERROR(INDEX(직원목록!$C$3:$C$302,MATCH($B2525,직원목록!$A$3:$A$302,0)),""))</f>
        <v/>
      </c>
      <c r="E2525" s="14"/>
      <c r="F2525" s="14"/>
      <c r="G2525" s="15"/>
      <c r="H2525" s="16" t="str">
        <f aca="false">IF(OR($K2525="",$L2525=""),"",ROUND(MAX(0,($L2525-$K2525)-IF($G2525="",0,$G2525))/60,2))</f>
        <v/>
      </c>
      <c r="I2525" s="8"/>
      <c r="J2525" s="8"/>
      <c r="K2525" s="17" t="str">
        <f aca="false">IF($E2525="","",IF($E2525&lt;1,ROUND($E2525*1440,0),INT($E2525/100)*60+MOD($E2525,100)))</f>
        <v/>
      </c>
      <c r="L2525" s="17" t="str">
        <f aca="false">IF($F2525="","",IF($F2525&lt;1,ROUND($F2525*1440,0),INT($F2525/100)*60+MOD($F2525,100)))</f>
        <v/>
      </c>
    </row>
    <row r="2526" customFormat="false" ht="15" hidden="false" customHeight="true" outlineLevel="0" collapsed="false">
      <c r="A2526" s="10"/>
      <c r="B2526" s="8"/>
      <c r="C2526" s="13" t="str">
        <f aca="false">IF($B2526="","",IFERROR(INDEX(직원목록!$B$3:$B$302,MATCH($B2526,직원목록!$A$3:$A$302,0)),"미등록사번"))</f>
        <v/>
      </c>
      <c r="D2526" s="13" t="str">
        <f aca="false">IF($B2526="","",IFERROR(INDEX(직원목록!$C$3:$C$302,MATCH($B2526,직원목록!$A$3:$A$302,0)),""))</f>
        <v/>
      </c>
      <c r="E2526" s="14"/>
      <c r="F2526" s="14"/>
      <c r="G2526" s="15"/>
      <c r="H2526" s="16" t="str">
        <f aca="false">IF(OR($K2526="",$L2526=""),"",ROUND(MAX(0,($L2526-$K2526)-IF($G2526="",0,$G2526))/60,2))</f>
        <v/>
      </c>
      <c r="I2526" s="8"/>
      <c r="J2526" s="8"/>
      <c r="K2526" s="17" t="str">
        <f aca="false">IF($E2526="","",IF($E2526&lt;1,ROUND($E2526*1440,0),INT($E2526/100)*60+MOD($E2526,100)))</f>
        <v/>
      </c>
      <c r="L2526" s="17" t="str">
        <f aca="false">IF($F2526="","",IF($F2526&lt;1,ROUND($F2526*1440,0),INT($F2526/100)*60+MOD($F2526,100)))</f>
        <v/>
      </c>
    </row>
    <row r="2527" customFormat="false" ht="15" hidden="false" customHeight="true" outlineLevel="0" collapsed="false">
      <c r="A2527" s="10"/>
      <c r="B2527" s="8"/>
      <c r="C2527" s="13" t="str">
        <f aca="false">IF($B2527="","",IFERROR(INDEX(직원목록!$B$3:$B$302,MATCH($B2527,직원목록!$A$3:$A$302,0)),"미등록사번"))</f>
        <v/>
      </c>
      <c r="D2527" s="13" t="str">
        <f aca="false">IF($B2527="","",IFERROR(INDEX(직원목록!$C$3:$C$302,MATCH($B2527,직원목록!$A$3:$A$302,0)),""))</f>
        <v/>
      </c>
      <c r="E2527" s="14"/>
      <c r="F2527" s="14"/>
      <c r="G2527" s="15"/>
      <c r="H2527" s="16" t="str">
        <f aca="false">IF(OR($K2527="",$L2527=""),"",ROUND(MAX(0,($L2527-$K2527)-IF($G2527="",0,$G2527))/60,2))</f>
        <v/>
      </c>
      <c r="I2527" s="8"/>
      <c r="J2527" s="8"/>
      <c r="K2527" s="17" t="str">
        <f aca="false">IF($E2527="","",IF($E2527&lt;1,ROUND($E2527*1440,0),INT($E2527/100)*60+MOD($E2527,100)))</f>
        <v/>
      </c>
      <c r="L2527" s="17" t="str">
        <f aca="false">IF($F2527="","",IF($F2527&lt;1,ROUND($F2527*1440,0),INT($F2527/100)*60+MOD($F2527,100)))</f>
        <v/>
      </c>
    </row>
    <row r="2528" customFormat="false" ht="15" hidden="false" customHeight="true" outlineLevel="0" collapsed="false">
      <c r="A2528" s="10"/>
      <c r="B2528" s="8"/>
      <c r="C2528" s="13" t="str">
        <f aca="false">IF($B2528="","",IFERROR(INDEX(직원목록!$B$3:$B$302,MATCH($B2528,직원목록!$A$3:$A$302,0)),"미등록사번"))</f>
        <v/>
      </c>
      <c r="D2528" s="13" t="str">
        <f aca="false">IF($B2528="","",IFERROR(INDEX(직원목록!$C$3:$C$302,MATCH($B2528,직원목록!$A$3:$A$302,0)),""))</f>
        <v/>
      </c>
      <c r="E2528" s="14"/>
      <c r="F2528" s="14"/>
      <c r="G2528" s="15"/>
      <c r="H2528" s="16" t="str">
        <f aca="false">IF(OR($K2528="",$L2528=""),"",ROUND(MAX(0,($L2528-$K2528)-IF($G2528="",0,$G2528))/60,2))</f>
        <v/>
      </c>
      <c r="I2528" s="8"/>
      <c r="J2528" s="8"/>
      <c r="K2528" s="17" t="str">
        <f aca="false">IF($E2528="","",IF($E2528&lt;1,ROUND($E2528*1440,0),INT($E2528/100)*60+MOD($E2528,100)))</f>
        <v/>
      </c>
      <c r="L2528" s="17" t="str">
        <f aca="false">IF($F2528="","",IF($F2528&lt;1,ROUND($F2528*1440,0),INT($F2528/100)*60+MOD($F2528,100)))</f>
        <v/>
      </c>
    </row>
    <row r="2529" customFormat="false" ht="15" hidden="false" customHeight="true" outlineLevel="0" collapsed="false">
      <c r="A2529" s="10"/>
      <c r="B2529" s="8"/>
      <c r="C2529" s="13" t="str">
        <f aca="false">IF($B2529="","",IFERROR(INDEX(직원목록!$B$3:$B$302,MATCH($B2529,직원목록!$A$3:$A$302,0)),"미등록사번"))</f>
        <v/>
      </c>
      <c r="D2529" s="13" t="str">
        <f aca="false">IF($B2529="","",IFERROR(INDEX(직원목록!$C$3:$C$302,MATCH($B2529,직원목록!$A$3:$A$302,0)),""))</f>
        <v/>
      </c>
      <c r="E2529" s="14"/>
      <c r="F2529" s="14"/>
      <c r="G2529" s="15"/>
      <c r="H2529" s="16" t="str">
        <f aca="false">IF(OR($K2529="",$L2529=""),"",ROUND(MAX(0,($L2529-$K2529)-IF($G2529="",0,$G2529))/60,2))</f>
        <v/>
      </c>
      <c r="I2529" s="8"/>
      <c r="J2529" s="8"/>
      <c r="K2529" s="17" t="str">
        <f aca="false">IF($E2529="","",IF($E2529&lt;1,ROUND($E2529*1440,0),INT($E2529/100)*60+MOD($E2529,100)))</f>
        <v/>
      </c>
      <c r="L2529" s="17" t="str">
        <f aca="false">IF($F2529="","",IF($F2529&lt;1,ROUND($F2529*1440,0),INT($F2529/100)*60+MOD($F2529,100)))</f>
        <v/>
      </c>
    </row>
    <row r="2530" customFormat="false" ht="15" hidden="false" customHeight="true" outlineLevel="0" collapsed="false">
      <c r="A2530" s="10"/>
      <c r="B2530" s="8"/>
      <c r="C2530" s="13" t="str">
        <f aca="false">IF($B2530="","",IFERROR(INDEX(직원목록!$B$3:$B$302,MATCH($B2530,직원목록!$A$3:$A$302,0)),"미등록사번"))</f>
        <v/>
      </c>
      <c r="D2530" s="13" t="str">
        <f aca="false">IF($B2530="","",IFERROR(INDEX(직원목록!$C$3:$C$302,MATCH($B2530,직원목록!$A$3:$A$302,0)),""))</f>
        <v/>
      </c>
      <c r="E2530" s="14"/>
      <c r="F2530" s="14"/>
      <c r="G2530" s="15"/>
      <c r="H2530" s="16" t="str">
        <f aca="false">IF(OR($K2530="",$L2530=""),"",ROUND(MAX(0,($L2530-$K2530)-IF($G2530="",0,$G2530))/60,2))</f>
        <v/>
      </c>
      <c r="I2530" s="8"/>
      <c r="J2530" s="8"/>
      <c r="K2530" s="17" t="str">
        <f aca="false">IF($E2530="","",IF($E2530&lt;1,ROUND($E2530*1440,0),INT($E2530/100)*60+MOD($E2530,100)))</f>
        <v/>
      </c>
      <c r="L2530" s="17" t="str">
        <f aca="false">IF($F2530="","",IF($F2530&lt;1,ROUND($F2530*1440,0),INT($F2530/100)*60+MOD($F2530,100)))</f>
        <v/>
      </c>
    </row>
    <row r="2531" customFormat="false" ht="15" hidden="false" customHeight="true" outlineLevel="0" collapsed="false">
      <c r="A2531" s="10"/>
      <c r="B2531" s="8"/>
      <c r="C2531" s="13" t="str">
        <f aca="false">IF($B2531="","",IFERROR(INDEX(직원목록!$B$3:$B$302,MATCH($B2531,직원목록!$A$3:$A$302,0)),"미등록사번"))</f>
        <v/>
      </c>
      <c r="D2531" s="13" t="str">
        <f aca="false">IF($B2531="","",IFERROR(INDEX(직원목록!$C$3:$C$302,MATCH($B2531,직원목록!$A$3:$A$302,0)),""))</f>
        <v/>
      </c>
      <c r="E2531" s="14"/>
      <c r="F2531" s="14"/>
      <c r="G2531" s="15"/>
      <c r="H2531" s="16" t="str">
        <f aca="false">IF(OR($K2531="",$L2531=""),"",ROUND(MAX(0,($L2531-$K2531)-IF($G2531="",0,$G2531))/60,2))</f>
        <v/>
      </c>
      <c r="I2531" s="8"/>
      <c r="J2531" s="8"/>
      <c r="K2531" s="17" t="str">
        <f aca="false">IF($E2531="","",IF($E2531&lt;1,ROUND($E2531*1440,0),INT($E2531/100)*60+MOD($E2531,100)))</f>
        <v/>
      </c>
      <c r="L2531" s="17" t="str">
        <f aca="false">IF($F2531="","",IF($F2531&lt;1,ROUND($F2531*1440,0),INT($F2531/100)*60+MOD($F2531,100)))</f>
        <v/>
      </c>
    </row>
    <row r="2532" customFormat="false" ht="15" hidden="false" customHeight="true" outlineLevel="0" collapsed="false">
      <c r="A2532" s="10"/>
      <c r="B2532" s="8"/>
      <c r="C2532" s="13" t="str">
        <f aca="false">IF($B2532="","",IFERROR(INDEX(직원목록!$B$3:$B$302,MATCH($B2532,직원목록!$A$3:$A$302,0)),"미등록사번"))</f>
        <v/>
      </c>
      <c r="D2532" s="13" t="str">
        <f aca="false">IF($B2532="","",IFERROR(INDEX(직원목록!$C$3:$C$302,MATCH($B2532,직원목록!$A$3:$A$302,0)),""))</f>
        <v/>
      </c>
      <c r="E2532" s="14"/>
      <c r="F2532" s="14"/>
      <c r="G2532" s="15"/>
      <c r="H2532" s="16" t="str">
        <f aca="false">IF(OR($K2532="",$L2532=""),"",ROUND(MAX(0,($L2532-$K2532)-IF($G2532="",0,$G2532))/60,2))</f>
        <v/>
      </c>
      <c r="I2532" s="8"/>
      <c r="J2532" s="8"/>
      <c r="K2532" s="17" t="str">
        <f aca="false">IF($E2532="","",IF($E2532&lt;1,ROUND($E2532*1440,0),INT($E2532/100)*60+MOD($E2532,100)))</f>
        <v/>
      </c>
      <c r="L2532" s="17" t="str">
        <f aca="false">IF($F2532="","",IF($F2532&lt;1,ROUND($F2532*1440,0),INT($F2532/100)*60+MOD($F2532,100)))</f>
        <v/>
      </c>
    </row>
    <row r="2533" customFormat="false" ht="15" hidden="false" customHeight="true" outlineLevel="0" collapsed="false">
      <c r="A2533" s="10"/>
      <c r="B2533" s="8"/>
      <c r="C2533" s="13" t="str">
        <f aca="false">IF($B2533="","",IFERROR(INDEX(직원목록!$B$3:$B$302,MATCH($B2533,직원목록!$A$3:$A$302,0)),"미등록사번"))</f>
        <v/>
      </c>
      <c r="D2533" s="13" t="str">
        <f aca="false">IF($B2533="","",IFERROR(INDEX(직원목록!$C$3:$C$302,MATCH($B2533,직원목록!$A$3:$A$302,0)),""))</f>
        <v/>
      </c>
      <c r="E2533" s="14"/>
      <c r="F2533" s="14"/>
      <c r="G2533" s="15"/>
      <c r="H2533" s="16" t="str">
        <f aca="false">IF(OR($K2533="",$L2533=""),"",ROUND(MAX(0,($L2533-$K2533)-IF($G2533="",0,$G2533))/60,2))</f>
        <v/>
      </c>
      <c r="I2533" s="8"/>
      <c r="J2533" s="8"/>
      <c r="K2533" s="17" t="str">
        <f aca="false">IF($E2533="","",IF($E2533&lt;1,ROUND($E2533*1440,0),INT($E2533/100)*60+MOD($E2533,100)))</f>
        <v/>
      </c>
      <c r="L2533" s="17" t="str">
        <f aca="false">IF($F2533="","",IF($F2533&lt;1,ROUND($F2533*1440,0),INT($F2533/100)*60+MOD($F2533,100)))</f>
        <v/>
      </c>
    </row>
    <row r="2534" customFormat="false" ht="15" hidden="false" customHeight="true" outlineLevel="0" collapsed="false">
      <c r="A2534" s="10"/>
      <c r="B2534" s="8"/>
      <c r="C2534" s="13" t="str">
        <f aca="false">IF($B2534="","",IFERROR(INDEX(직원목록!$B$3:$B$302,MATCH($B2534,직원목록!$A$3:$A$302,0)),"미등록사번"))</f>
        <v/>
      </c>
      <c r="D2534" s="13" t="str">
        <f aca="false">IF($B2534="","",IFERROR(INDEX(직원목록!$C$3:$C$302,MATCH($B2534,직원목록!$A$3:$A$302,0)),""))</f>
        <v/>
      </c>
      <c r="E2534" s="14"/>
      <c r="F2534" s="14"/>
      <c r="G2534" s="15"/>
      <c r="H2534" s="16" t="str">
        <f aca="false">IF(OR($K2534="",$L2534=""),"",ROUND(MAX(0,($L2534-$K2534)-IF($G2534="",0,$G2534))/60,2))</f>
        <v/>
      </c>
      <c r="I2534" s="8"/>
      <c r="J2534" s="8"/>
      <c r="K2534" s="17" t="str">
        <f aca="false">IF($E2534="","",IF($E2534&lt;1,ROUND($E2534*1440,0),INT($E2534/100)*60+MOD($E2534,100)))</f>
        <v/>
      </c>
      <c r="L2534" s="17" t="str">
        <f aca="false">IF($F2534="","",IF($F2534&lt;1,ROUND($F2534*1440,0),INT($F2534/100)*60+MOD($F2534,100)))</f>
        <v/>
      </c>
    </row>
    <row r="2535" customFormat="false" ht="15" hidden="false" customHeight="true" outlineLevel="0" collapsed="false">
      <c r="A2535" s="10"/>
      <c r="B2535" s="8"/>
      <c r="C2535" s="13" t="str">
        <f aca="false">IF($B2535="","",IFERROR(INDEX(직원목록!$B$3:$B$302,MATCH($B2535,직원목록!$A$3:$A$302,0)),"미등록사번"))</f>
        <v/>
      </c>
      <c r="D2535" s="13" t="str">
        <f aca="false">IF($B2535="","",IFERROR(INDEX(직원목록!$C$3:$C$302,MATCH($B2535,직원목록!$A$3:$A$302,0)),""))</f>
        <v/>
      </c>
      <c r="E2535" s="14"/>
      <c r="F2535" s="14"/>
      <c r="G2535" s="15"/>
      <c r="H2535" s="16" t="str">
        <f aca="false">IF(OR($K2535="",$L2535=""),"",ROUND(MAX(0,($L2535-$K2535)-IF($G2535="",0,$G2535))/60,2))</f>
        <v/>
      </c>
      <c r="I2535" s="8"/>
      <c r="J2535" s="8"/>
      <c r="K2535" s="17" t="str">
        <f aca="false">IF($E2535="","",IF($E2535&lt;1,ROUND($E2535*1440,0),INT($E2535/100)*60+MOD($E2535,100)))</f>
        <v/>
      </c>
      <c r="L2535" s="17" t="str">
        <f aca="false">IF($F2535="","",IF($F2535&lt;1,ROUND($F2535*1440,0),INT($F2535/100)*60+MOD($F2535,100)))</f>
        <v/>
      </c>
    </row>
    <row r="2536" customFormat="false" ht="15" hidden="false" customHeight="true" outlineLevel="0" collapsed="false">
      <c r="A2536" s="10"/>
      <c r="B2536" s="8"/>
      <c r="C2536" s="13" t="str">
        <f aca="false">IF($B2536="","",IFERROR(INDEX(직원목록!$B$3:$B$302,MATCH($B2536,직원목록!$A$3:$A$302,0)),"미등록사번"))</f>
        <v/>
      </c>
      <c r="D2536" s="13" t="str">
        <f aca="false">IF($B2536="","",IFERROR(INDEX(직원목록!$C$3:$C$302,MATCH($B2536,직원목록!$A$3:$A$302,0)),""))</f>
        <v/>
      </c>
      <c r="E2536" s="14"/>
      <c r="F2536" s="14"/>
      <c r="G2536" s="15"/>
      <c r="H2536" s="16" t="str">
        <f aca="false">IF(OR($K2536="",$L2536=""),"",ROUND(MAX(0,($L2536-$K2536)-IF($G2536="",0,$G2536))/60,2))</f>
        <v/>
      </c>
      <c r="I2536" s="8"/>
      <c r="J2536" s="8"/>
      <c r="K2536" s="17" t="str">
        <f aca="false">IF($E2536="","",IF($E2536&lt;1,ROUND($E2536*1440,0),INT($E2536/100)*60+MOD($E2536,100)))</f>
        <v/>
      </c>
      <c r="L2536" s="17" t="str">
        <f aca="false">IF($F2536="","",IF($F2536&lt;1,ROUND($F2536*1440,0),INT($F2536/100)*60+MOD($F2536,100)))</f>
        <v/>
      </c>
    </row>
    <row r="2537" customFormat="false" ht="15" hidden="false" customHeight="true" outlineLevel="0" collapsed="false">
      <c r="A2537" s="10"/>
      <c r="B2537" s="8"/>
      <c r="C2537" s="13" t="str">
        <f aca="false">IF($B2537="","",IFERROR(INDEX(직원목록!$B$3:$B$302,MATCH($B2537,직원목록!$A$3:$A$302,0)),"미등록사번"))</f>
        <v/>
      </c>
      <c r="D2537" s="13" t="str">
        <f aca="false">IF($B2537="","",IFERROR(INDEX(직원목록!$C$3:$C$302,MATCH($B2537,직원목록!$A$3:$A$302,0)),""))</f>
        <v/>
      </c>
      <c r="E2537" s="14"/>
      <c r="F2537" s="14"/>
      <c r="G2537" s="15"/>
      <c r="H2537" s="16" t="str">
        <f aca="false">IF(OR($K2537="",$L2537=""),"",ROUND(MAX(0,($L2537-$K2537)-IF($G2537="",0,$G2537))/60,2))</f>
        <v/>
      </c>
      <c r="I2537" s="8"/>
      <c r="J2537" s="8"/>
      <c r="K2537" s="17" t="str">
        <f aca="false">IF($E2537="","",IF($E2537&lt;1,ROUND($E2537*1440,0),INT($E2537/100)*60+MOD($E2537,100)))</f>
        <v/>
      </c>
      <c r="L2537" s="17" t="str">
        <f aca="false">IF($F2537="","",IF($F2537&lt;1,ROUND($F2537*1440,0),INT($F2537/100)*60+MOD($F2537,100)))</f>
        <v/>
      </c>
    </row>
    <row r="2538" customFormat="false" ht="15" hidden="false" customHeight="true" outlineLevel="0" collapsed="false">
      <c r="A2538" s="10"/>
      <c r="B2538" s="8"/>
      <c r="C2538" s="13" t="str">
        <f aca="false">IF($B2538="","",IFERROR(INDEX(직원목록!$B$3:$B$302,MATCH($B2538,직원목록!$A$3:$A$302,0)),"미등록사번"))</f>
        <v/>
      </c>
      <c r="D2538" s="13" t="str">
        <f aca="false">IF($B2538="","",IFERROR(INDEX(직원목록!$C$3:$C$302,MATCH($B2538,직원목록!$A$3:$A$302,0)),""))</f>
        <v/>
      </c>
      <c r="E2538" s="14"/>
      <c r="F2538" s="14"/>
      <c r="G2538" s="15"/>
      <c r="H2538" s="16" t="str">
        <f aca="false">IF(OR($K2538="",$L2538=""),"",ROUND(MAX(0,($L2538-$K2538)-IF($G2538="",0,$G2538))/60,2))</f>
        <v/>
      </c>
      <c r="I2538" s="8"/>
      <c r="J2538" s="8"/>
      <c r="K2538" s="17" t="str">
        <f aca="false">IF($E2538="","",IF($E2538&lt;1,ROUND($E2538*1440,0),INT($E2538/100)*60+MOD($E2538,100)))</f>
        <v/>
      </c>
      <c r="L2538" s="17" t="str">
        <f aca="false">IF($F2538="","",IF($F2538&lt;1,ROUND($F2538*1440,0),INT($F2538/100)*60+MOD($F2538,100)))</f>
        <v/>
      </c>
    </row>
    <row r="2539" customFormat="false" ht="15" hidden="false" customHeight="true" outlineLevel="0" collapsed="false">
      <c r="A2539" s="10"/>
      <c r="B2539" s="8"/>
      <c r="C2539" s="13" t="str">
        <f aca="false">IF($B2539="","",IFERROR(INDEX(직원목록!$B$3:$B$302,MATCH($B2539,직원목록!$A$3:$A$302,0)),"미등록사번"))</f>
        <v/>
      </c>
      <c r="D2539" s="13" t="str">
        <f aca="false">IF($B2539="","",IFERROR(INDEX(직원목록!$C$3:$C$302,MATCH($B2539,직원목록!$A$3:$A$302,0)),""))</f>
        <v/>
      </c>
      <c r="E2539" s="14"/>
      <c r="F2539" s="14"/>
      <c r="G2539" s="15"/>
      <c r="H2539" s="16" t="str">
        <f aca="false">IF(OR($K2539="",$L2539=""),"",ROUND(MAX(0,($L2539-$K2539)-IF($G2539="",0,$G2539))/60,2))</f>
        <v/>
      </c>
      <c r="I2539" s="8"/>
      <c r="J2539" s="8"/>
      <c r="K2539" s="17" t="str">
        <f aca="false">IF($E2539="","",IF($E2539&lt;1,ROUND($E2539*1440,0),INT($E2539/100)*60+MOD($E2539,100)))</f>
        <v/>
      </c>
      <c r="L2539" s="17" t="str">
        <f aca="false">IF($F2539="","",IF($F2539&lt;1,ROUND($F2539*1440,0),INT($F2539/100)*60+MOD($F2539,100)))</f>
        <v/>
      </c>
    </row>
    <row r="2540" customFormat="false" ht="15" hidden="false" customHeight="true" outlineLevel="0" collapsed="false">
      <c r="A2540" s="10"/>
      <c r="B2540" s="8"/>
      <c r="C2540" s="13" t="str">
        <f aca="false">IF($B2540="","",IFERROR(INDEX(직원목록!$B$3:$B$302,MATCH($B2540,직원목록!$A$3:$A$302,0)),"미등록사번"))</f>
        <v/>
      </c>
      <c r="D2540" s="13" t="str">
        <f aca="false">IF($B2540="","",IFERROR(INDEX(직원목록!$C$3:$C$302,MATCH($B2540,직원목록!$A$3:$A$302,0)),""))</f>
        <v/>
      </c>
      <c r="E2540" s="14"/>
      <c r="F2540" s="14"/>
      <c r="G2540" s="15"/>
      <c r="H2540" s="16" t="str">
        <f aca="false">IF(OR($K2540="",$L2540=""),"",ROUND(MAX(0,($L2540-$K2540)-IF($G2540="",0,$G2540))/60,2))</f>
        <v/>
      </c>
      <c r="I2540" s="8"/>
      <c r="J2540" s="8"/>
      <c r="K2540" s="17" t="str">
        <f aca="false">IF($E2540="","",IF($E2540&lt;1,ROUND($E2540*1440,0),INT($E2540/100)*60+MOD($E2540,100)))</f>
        <v/>
      </c>
      <c r="L2540" s="17" t="str">
        <f aca="false">IF($F2540="","",IF($F2540&lt;1,ROUND($F2540*1440,0),INT($F2540/100)*60+MOD($F2540,100)))</f>
        <v/>
      </c>
    </row>
    <row r="2541" customFormat="false" ht="15" hidden="false" customHeight="true" outlineLevel="0" collapsed="false">
      <c r="A2541" s="10"/>
      <c r="B2541" s="8"/>
      <c r="C2541" s="13" t="str">
        <f aca="false">IF($B2541="","",IFERROR(INDEX(직원목록!$B$3:$B$302,MATCH($B2541,직원목록!$A$3:$A$302,0)),"미등록사번"))</f>
        <v/>
      </c>
      <c r="D2541" s="13" t="str">
        <f aca="false">IF($B2541="","",IFERROR(INDEX(직원목록!$C$3:$C$302,MATCH($B2541,직원목록!$A$3:$A$302,0)),""))</f>
        <v/>
      </c>
      <c r="E2541" s="14"/>
      <c r="F2541" s="14"/>
      <c r="G2541" s="15"/>
      <c r="H2541" s="16" t="str">
        <f aca="false">IF(OR($K2541="",$L2541=""),"",ROUND(MAX(0,($L2541-$K2541)-IF($G2541="",0,$G2541))/60,2))</f>
        <v/>
      </c>
      <c r="I2541" s="8"/>
      <c r="J2541" s="8"/>
      <c r="K2541" s="17" t="str">
        <f aca="false">IF($E2541="","",IF($E2541&lt;1,ROUND($E2541*1440,0),INT($E2541/100)*60+MOD($E2541,100)))</f>
        <v/>
      </c>
      <c r="L2541" s="17" t="str">
        <f aca="false">IF($F2541="","",IF($F2541&lt;1,ROUND($F2541*1440,0),INT($F2541/100)*60+MOD($F2541,100)))</f>
        <v/>
      </c>
    </row>
    <row r="2542" customFormat="false" ht="15" hidden="false" customHeight="true" outlineLevel="0" collapsed="false">
      <c r="A2542" s="10"/>
      <c r="B2542" s="8"/>
      <c r="C2542" s="13" t="str">
        <f aca="false">IF($B2542="","",IFERROR(INDEX(직원목록!$B$3:$B$302,MATCH($B2542,직원목록!$A$3:$A$302,0)),"미등록사번"))</f>
        <v/>
      </c>
      <c r="D2542" s="13" t="str">
        <f aca="false">IF($B2542="","",IFERROR(INDEX(직원목록!$C$3:$C$302,MATCH($B2542,직원목록!$A$3:$A$302,0)),""))</f>
        <v/>
      </c>
      <c r="E2542" s="14"/>
      <c r="F2542" s="14"/>
      <c r="G2542" s="15"/>
      <c r="H2542" s="16" t="str">
        <f aca="false">IF(OR($K2542="",$L2542=""),"",ROUND(MAX(0,($L2542-$K2542)-IF($G2542="",0,$G2542))/60,2))</f>
        <v/>
      </c>
      <c r="I2542" s="8"/>
      <c r="J2542" s="8"/>
      <c r="K2542" s="17" t="str">
        <f aca="false">IF($E2542="","",IF($E2542&lt;1,ROUND($E2542*1440,0),INT($E2542/100)*60+MOD($E2542,100)))</f>
        <v/>
      </c>
      <c r="L2542" s="17" t="str">
        <f aca="false">IF($F2542="","",IF($F2542&lt;1,ROUND($F2542*1440,0),INT($F2542/100)*60+MOD($F2542,100)))</f>
        <v/>
      </c>
    </row>
    <row r="2543" customFormat="false" ht="15" hidden="false" customHeight="true" outlineLevel="0" collapsed="false">
      <c r="A2543" s="10"/>
      <c r="B2543" s="8"/>
      <c r="C2543" s="13" t="str">
        <f aca="false">IF($B2543="","",IFERROR(INDEX(직원목록!$B$3:$B$302,MATCH($B2543,직원목록!$A$3:$A$302,0)),"미등록사번"))</f>
        <v/>
      </c>
      <c r="D2543" s="13" t="str">
        <f aca="false">IF($B2543="","",IFERROR(INDEX(직원목록!$C$3:$C$302,MATCH($B2543,직원목록!$A$3:$A$302,0)),""))</f>
        <v/>
      </c>
      <c r="E2543" s="14"/>
      <c r="F2543" s="14"/>
      <c r="G2543" s="15"/>
      <c r="H2543" s="16" t="str">
        <f aca="false">IF(OR($K2543="",$L2543=""),"",ROUND(MAX(0,($L2543-$K2543)-IF($G2543="",0,$G2543))/60,2))</f>
        <v/>
      </c>
      <c r="I2543" s="8"/>
      <c r="J2543" s="8"/>
      <c r="K2543" s="17" t="str">
        <f aca="false">IF($E2543="","",IF($E2543&lt;1,ROUND($E2543*1440,0),INT($E2543/100)*60+MOD($E2543,100)))</f>
        <v/>
      </c>
      <c r="L2543" s="17" t="str">
        <f aca="false">IF($F2543="","",IF($F2543&lt;1,ROUND($F2543*1440,0),INT($F2543/100)*60+MOD($F2543,100)))</f>
        <v/>
      </c>
    </row>
    <row r="2544" customFormat="false" ht="15" hidden="false" customHeight="true" outlineLevel="0" collapsed="false">
      <c r="A2544" s="10"/>
      <c r="B2544" s="8"/>
      <c r="C2544" s="13" t="str">
        <f aca="false">IF($B2544="","",IFERROR(INDEX(직원목록!$B$3:$B$302,MATCH($B2544,직원목록!$A$3:$A$302,0)),"미등록사번"))</f>
        <v/>
      </c>
      <c r="D2544" s="13" t="str">
        <f aca="false">IF($B2544="","",IFERROR(INDEX(직원목록!$C$3:$C$302,MATCH($B2544,직원목록!$A$3:$A$302,0)),""))</f>
        <v/>
      </c>
      <c r="E2544" s="14"/>
      <c r="F2544" s="14"/>
      <c r="G2544" s="15"/>
      <c r="H2544" s="16" t="str">
        <f aca="false">IF(OR($K2544="",$L2544=""),"",ROUND(MAX(0,($L2544-$K2544)-IF($G2544="",0,$G2544))/60,2))</f>
        <v/>
      </c>
      <c r="I2544" s="8"/>
      <c r="J2544" s="8"/>
      <c r="K2544" s="17" t="str">
        <f aca="false">IF($E2544="","",IF($E2544&lt;1,ROUND($E2544*1440,0),INT($E2544/100)*60+MOD($E2544,100)))</f>
        <v/>
      </c>
      <c r="L2544" s="17" t="str">
        <f aca="false">IF($F2544="","",IF($F2544&lt;1,ROUND($F2544*1440,0),INT($F2544/100)*60+MOD($F2544,100)))</f>
        <v/>
      </c>
    </row>
    <row r="2545" customFormat="false" ht="15" hidden="false" customHeight="true" outlineLevel="0" collapsed="false">
      <c r="A2545" s="10"/>
      <c r="B2545" s="8"/>
      <c r="C2545" s="13" t="str">
        <f aca="false">IF($B2545="","",IFERROR(INDEX(직원목록!$B$3:$B$302,MATCH($B2545,직원목록!$A$3:$A$302,0)),"미등록사번"))</f>
        <v/>
      </c>
      <c r="D2545" s="13" t="str">
        <f aca="false">IF($B2545="","",IFERROR(INDEX(직원목록!$C$3:$C$302,MATCH($B2545,직원목록!$A$3:$A$302,0)),""))</f>
        <v/>
      </c>
      <c r="E2545" s="14"/>
      <c r="F2545" s="14"/>
      <c r="G2545" s="15"/>
      <c r="H2545" s="16" t="str">
        <f aca="false">IF(OR($K2545="",$L2545=""),"",ROUND(MAX(0,($L2545-$K2545)-IF($G2545="",0,$G2545))/60,2))</f>
        <v/>
      </c>
      <c r="I2545" s="8"/>
      <c r="J2545" s="8"/>
      <c r="K2545" s="17" t="str">
        <f aca="false">IF($E2545="","",IF($E2545&lt;1,ROUND($E2545*1440,0),INT($E2545/100)*60+MOD($E2545,100)))</f>
        <v/>
      </c>
      <c r="L2545" s="17" t="str">
        <f aca="false">IF($F2545="","",IF($F2545&lt;1,ROUND($F2545*1440,0),INT($F2545/100)*60+MOD($F2545,100)))</f>
        <v/>
      </c>
    </row>
    <row r="2546" customFormat="false" ht="15" hidden="false" customHeight="true" outlineLevel="0" collapsed="false">
      <c r="A2546" s="10"/>
      <c r="B2546" s="8"/>
      <c r="C2546" s="13" t="str">
        <f aca="false">IF($B2546="","",IFERROR(INDEX(직원목록!$B$3:$B$302,MATCH($B2546,직원목록!$A$3:$A$302,0)),"미등록사번"))</f>
        <v/>
      </c>
      <c r="D2546" s="13" t="str">
        <f aca="false">IF($B2546="","",IFERROR(INDEX(직원목록!$C$3:$C$302,MATCH($B2546,직원목록!$A$3:$A$302,0)),""))</f>
        <v/>
      </c>
      <c r="E2546" s="14"/>
      <c r="F2546" s="14"/>
      <c r="G2546" s="15"/>
      <c r="H2546" s="16" t="str">
        <f aca="false">IF(OR($K2546="",$L2546=""),"",ROUND(MAX(0,($L2546-$K2546)-IF($G2546="",0,$G2546))/60,2))</f>
        <v/>
      </c>
      <c r="I2546" s="8"/>
      <c r="J2546" s="8"/>
      <c r="K2546" s="17" t="str">
        <f aca="false">IF($E2546="","",IF($E2546&lt;1,ROUND($E2546*1440,0),INT($E2546/100)*60+MOD($E2546,100)))</f>
        <v/>
      </c>
      <c r="L2546" s="17" t="str">
        <f aca="false">IF($F2546="","",IF($F2546&lt;1,ROUND($F2546*1440,0),INT($F2546/100)*60+MOD($F2546,100)))</f>
        <v/>
      </c>
    </row>
    <row r="2547" customFormat="false" ht="15" hidden="false" customHeight="true" outlineLevel="0" collapsed="false">
      <c r="A2547" s="10"/>
      <c r="B2547" s="8"/>
      <c r="C2547" s="13" t="str">
        <f aca="false">IF($B2547="","",IFERROR(INDEX(직원목록!$B$3:$B$302,MATCH($B2547,직원목록!$A$3:$A$302,0)),"미등록사번"))</f>
        <v/>
      </c>
      <c r="D2547" s="13" t="str">
        <f aca="false">IF($B2547="","",IFERROR(INDEX(직원목록!$C$3:$C$302,MATCH($B2547,직원목록!$A$3:$A$302,0)),""))</f>
        <v/>
      </c>
      <c r="E2547" s="14"/>
      <c r="F2547" s="14"/>
      <c r="G2547" s="15"/>
      <c r="H2547" s="16" t="str">
        <f aca="false">IF(OR($K2547="",$L2547=""),"",ROUND(MAX(0,($L2547-$K2547)-IF($G2547="",0,$G2547))/60,2))</f>
        <v/>
      </c>
      <c r="I2547" s="8"/>
      <c r="J2547" s="8"/>
      <c r="K2547" s="17" t="str">
        <f aca="false">IF($E2547="","",IF($E2547&lt;1,ROUND($E2547*1440,0),INT($E2547/100)*60+MOD($E2547,100)))</f>
        <v/>
      </c>
      <c r="L2547" s="17" t="str">
        <f aca="false">IF($F2547="","",IF($F2547&lt;1,ROUND($F2547*1440,0),INT($F2547/100)*60+MOD($F2547,100)))</f>
        <v/>
      </c>
    </row>
    <row r="2548" customFormat="false" ht="15" hidden="false" customHeight="true" outlineLevel="0" collapsed="false">
      <c r="A2548" s="10"/>
      <c r="B2548" s="8"/>
      <c r="C2548" s="13" t="str">
        <f aca="false">IF($B2548="","",IFERROR(INDEX(직원목록!$B$3:$B$302,MATCH($B2548,직원목록!$A$3:$A$302,0)),"미등록사번"))</f>
        <v/>
      </c>
      <c r="D2548" s="13" t="str">
        <f aca="false">IF($B2548="","",IFERROR(INDEX(직원목록!$C$3:$C$302,MATCH($B2548,직원목록!$A$3:$A$302,0)),""))</f>
        <v/>
      </c>
      <c r="E2548" s="14"/>
      <c r="F2548" s="14"/>
      <c r="G2548" s="15"/>
      <c r="H2548" s="16" t="str">
        <f aca="false">IF(OR($K2548="",$L2548=""),"",ROUND(MAX(0,($L2548-$K2548)-IF($G2548="",0,$G2548))/60,2))</f>
        <v/>
      </c>
      <c r="I2548" s="8"/>
      <c r="J2548" s="8"/>
      <c r="K2548" s="17" t="str">
        <f aca="false">IF($E2548="","",IF($E2548&lt;1,ROUND($E2548*1440,0),INT($E2548/100)*60+MOD($E2548,100)))</f>
        <v/>
      </c>
      <c r="L2548" s="17" t="str">
        <f aca="false">IF($F2548="","",IF($F2548&lt;1,ROUND($F2548*1440,0),INT($F2548/100)*60+MOD($F2548,100)))</f>
        <v/>
      </c>
    </row>
    <row r="2549" customFormat="false" ht="15" hidden="false" customHeight="true" outlineLevel="0" collapsed="false">
      <c r="A2549" s="10"/>
      <c r="B2549" s="8"/>
      <c r="C2549" s="13" t="str">
        <f aca="false">IF($B2549="","",IFERROR(INDEX(직원목록!$B$3:$B$302,MATCH($B2549,직원목록!$A$3:$A$302,0)),"미등록사번"))</f>
        <v/>
      </c>
      <c r="D2549" s="13" t="str">
        <f aca="false">IF($B2549="","",IFERROR(INDEX(직원목록!$C$3:$C$302,MATCH($B2549,직원목록!$A$3:$A$302,0)),""))</f>
        <v/>
      </c>
      <c r="E2549" s="14"/>
      <c r="F2549" s="14"/>
      <c r="G2549" s="15"/>
      <c r="H2549" s="16" t="str">
        <f aca="false">IF(OR($K2549="",$L2549=""),"",ROUND(MAX(0,($L2549-$K2549)-IF($G2549="",0,$G2549))/60,2))</f>
        <v/>
      </c>
      <c r="I2549" s="8"/>
      <c r="J2549" s="8"/>
      <c r="K2549" s="17" t="str">
        <f aca="false">IF($E2549="","",IF($E2549&lt;1,ROUND($E2549*1440,0),INT($E2549/100)*60+MOD($E2549,100)))</f>
        <v/>
      </c>
      <c r="L2549" s="17" t="str">
        <f aca="false">IF($F2549="","",IF($F2549&lt;1,ROUND($F2549*1440,0),INT($F2549/100)*60+MOD($F2549,100)))</f>
        <v/>
      </c>
    </row>
    <row r="2550" customFormat="false" ht="15" hidden="false" customHeight="true" outlineLevel="0" collapsed="false">
      <c r="A2550" s="10"/>
      <c r="B2550" s="8"/>
      <c r="C2550" s="13" t="str">
        <f aca="false">IF($B2550="","",IFERROR(INDEX(직원목록!$B$3:$B$302,MATCH($B2550,직원목록!$A$3:$A$302,0)),"미등록사번"))</f>
        <v/>
      </c>
      <c r="D2550" s="13" t="str">
        <f aca="false">IF($B2550="","",IFERROR(INDEX(직원목록!$C$3:$C$302,MATCH($B2550,직원목록!$A$3:$A$302,0)),""))</f>
        <v/>
      </c>
      <c r="E2550" s="14"/>
      <c r="F2550" s="14"/>
      <c r="G2550" s="15"/>
      <c r="H2550" s="16" t="str">
        <f aca="false">IF(OR($K2550="",$L2550=""),"",ROUND(MAX(0,($L2550-$K2550)-IF($G2550="",0,$G2550))/60,2))</f>
        <v/>
      </c>
      <c r="I2550" s="8"/>
      <c r="J2550" s="8"/>
      <c r="K2550" s="17" t="str">
        <f aca="false">IF($E2550="","",IF($E2550&lt;1,ROUND($E2550*1440,0),INT($E2550/100)*60+MOD($E2550,100)))</f>
        <v/>
      </c>
      <c r="L2550" s="17" t="str">
        <f aca="false">IF($F2550="","",IF($F2550&lt;1,ROUND($F2550*1440,0),INT($F2550/100)*60+MOD($F2550,100)))</f>
        <v/>
      </c>
    </row>
    <row r="2551" customFormat="false" ht="15" hidden="false" customHeight="true" outlineLevel="0" collapsed="false">
      <c r="A2551" s="10"/>
      <c r="B2551" s="8"/>
      <c r="C2551" s="13" t="str">
        <f aca="false">IF($B2551="","",IFERROR(INDEX(직원목록!$B$3:$B$302,MATCH($B2551,직원목록!$A$3:$A$302,0)),"미등록사번"))</f>
        <v/>
      </c>
      <c r="D2551" s="13" t="str">
        <f aca="false">IF($B2551="","",IFERROR(INDEX(직원목록!$C$3:$C$302,MATCH($B2551,직원목록!$A$3:$A$302,0)),""))</f>
        <v/>
      </c>
      <c r="E2551" s="14"/>
      <c r="F2551" s="14"/>
      <c r="G2551" s="15"/>
      <c r="H2551" s="16" t="str">
        <f aca="false">IF(OR($K2551="",$L2551=""),"",ROUND(MAX(0,($L2551-$K2551)-IF($G2551="",0,$G2551))/60,2))</f>
        <v/>
      </c>
      <c r="I2551" s="8"/>
      <c r="J2551" s="8"/>
      <c r="K2551" s="17" t="str">
        <f aca="false">IF($E2551="","",IF($E2551&lt;1,ROUND($E2551*1440,0),INT($E2551/100)*60+MOD($E2551,100)))</f>
        <v/>
      </c>
      <c r="L2551" s="17" t="str">
        <f aca="false">IF($F2551="","",IF($F2551&lt;1,ROUND($F2551*1440,0),INT($F2551/100)*60+MOD($F2551,100)))</f>
        <v/>
      </c>
    </row>
    <row r="2552" customFormat="false" ht="15" hidden="false" customHeight="true" outlineLevel="0" collapsed="false">
      <c r="A2552" s="10"/>
      <c r="B2552" s="8"/>
      <c r="C2552" s="13" t="str">
        <f aca="false">IF($B2552="","",IFERROR(INDEX(직원목록!$B$3:$B$302,MATCH($B2552,직원목록!$A$3:$A$302,0)),"미등록사번"))</f>
        <v/>
      </c>
      <c r="D2552" s="13" t="str">
        <f aca="false">IF($B2552="","",IFERROR(INDEX(직원목록!$C$3:$C$302,MATCH($B2552,직원목록!$A$3:$A$302,0)),""))</f>
        <v/>
      </c>
      <c r="E2552" s="14"/>
      <c r="F2552" s="14"/>
      <c r="G2552" s="15"/>
      <c r="H2552" s="16" t="str">
        <f aca="false">IF(OR($K2552="",$L2552=""),"",ROUND(MAX(0,($L2552-$K2552)-IF($G2552="",0,$G2552))/60,2))</f>
        <v/>
      </c>
      <c r="I2552" s="8"/>
      <c r="J2552" s="8"/>
      <c r="K2552" s="17" t="str">
        <f aca="false">IF($E2552="","",IF($E2552&lt;1,ROUND($E2552*1440,0),INT($E2552/100)*60+MOD($E2552,100)))</f>
        <v/>
      </c>
      <c r="L2552" s="17" t="str">
        <f aca="false">IF($F2552="","",IF($F2552&lt;1,ROUND($F2552*1440,0),INT($F2552/100)*60+MOD($F2552,100)))</f>
        <v/>
      </c>
    </row>
    <row r="2553" customFormat="false" ht="15" hidden="false" customHeight="true" outlineLevel="0" collapsed="false">
      <c r="A2553" s="10"/>
      <c r="B2553" s="8"/>
      <c r="C2553" s="13" t="str">
        <f aca="false">IF($B2553="","",IFERROR(INDEX(직원목록!$B$3:$B$302,MATCH($B2553,직원목록!$A$3:$A$302,0)),"미등록사번"))</f>
        <v/>
      </c>
      <c r="D2553" s="13" t="str">
        <f aca="false">IF($B2553="","",IFERROR(INDEX(직원목록!$C$3:$C$302,MATCH($B2553,직원목록!$A$3:$A$302,0)),""))</f>
        <v/>
      </c>
      <c r="E2553" s="14"/>
      <c r="F2553" s="14"/>
      <c r="G2553" s="15"/>
      <c r="H2553" s="16" t="str">
        <f aca="false">IF(OR($K2553="",$L2553=""),"",ROUND(MAX(0,($L2553-$K2553)-IF($G2553="",0,$G2553))/60,2))</f>
        <v/>
      </c>
      <c r="I2553" s="8"/>
      <c r="J2553" s="8"/>
      <c r="K2553" s="17" t="str">
        <f aca="false">IF($E2553="","",IF($E2553&lt;1,ROUND($E2553*1440,0),INT($E2553/100)*60+MOD($E2553,100)))</f>
        <v/>
      </c>
      <c r="L2553" s="17" t="str">
        <f aca="false">IF($F2553="","",IF($F2553&lt;1,ROUND($F2553*1440,0),INT($F2553/100)*60+MOD($F2553,100)))</f>
        <v/>
      </c>
    </row>
    <row r="2554" customFormat="false" ht="15" hidden="false" customHeight="true" outlineLevel="0" collapsed="false">
      <c r="A2554" s="10"/>
      <c r="B2554" s="8"/>
      <c r="C2554" s="13" t="str">
        <f aca="false">IF($B2554="","",IFERROR(INDEX(직원목록!$B$3:$B$302,MATCH($B2554,직원목록!$A$3:$A$302,0)),"미등록사번"))</f>
        <v/>
      </c>
      <c r="D2554" s="13" t="str">
        <f aca="false">IF($B2554="","",IFERROR(INDEX(직원목록!$C$3:$C$302,MATCH($B2554,직원목록!$A$3:$A$302,0)),""))</f>
        <v/>
      </c>
      <c r="E2554" s="14"/>
      <c r="F2554" s="14"/>
      <c r="G2554" s="15"/>
      <c r="H2554" s="16" t="str">
        <f aca="false">IF(OR($K2554="",$L2554=""),"",ROUND(MAX(0,($L2554-$K2554)-IF($G2554="",0,$G2554))/60,2))</f>
        <v/>
      </c>
      <c r="I2554" s="8"/>
      <c r="J2554" s="8"/>
      <c r="K2554" s="17" t="str">
        <f aca="false">IF($E2554="","",IF($E2554&lt;1,ROUND($E2554*1440,0),INT($E2554/100)*60+MOD($E2554,100)))</f>
        <v/>
      </c>
      <c r="L2554" s="17" t="str">
        <f aca="false">IF($F2554="","",IF($F2554&lt;1,ROUND($F2554*1440,0),INT($F2554/100)*60+MOD($F2554,100)))</f>
        <v/>
      </c>
    </row>
    <row r="2555" customFormat="false" ht="15" hidden="false" customHeight="true" outlineLevel="0" collapsed="false">
      <c r="A2555" s="10"/>
      <c r="B2555" s="8"/>
      <c r="C2555" s="13" t="str">
        <f aca="false">IF($B2555="","",IFERROR(INDEX(직원목록!$B$3:$B$302,MATCH($B2555,직원목록!$A$3:$A$302,0)),"미등록사번"))</f>
        <v/>
      </c>
      <c r="D2555" s="13" t="str">
        <f aca="false">IF($B2555="","",IFERROR(INDEX(직원목록!$C$3:$C$302,MATCH($B2555,직원목록!$A$3:$A$302,0)),""))</f>
        <v/>
      </c>
      <c r="E2555" s="14"/>
      <c r="F2555" s="14"/>
      <c r="G2555" s="15"/>
      <c r="H2555" s="16" t="str">
        <f aca="false">IF(OR($K2555="",$L2555=""),"",ROUND(MAX(0,($L2555-$K2555)-IF($G2555="",0,$G2555))/60,2))</f>
        <v/>
      </c>
      <c r="I2555" s="8"/>
      <c r="J2555" s="8"/>
      <c r="K2555" s="17" t="str">
        <f aca="false">IF($E2555="","",IF($E2555&lt;1,ROUND($E2555*1440,0),INT($E2555/100)*60+MOD($E2555,100)))</f>
        <v/>
      </c>
      <c r="L2555" s="17" t="str">
        <f aca="false">IF($F2555="","",IF($F2555&lt;1,ROUND($F2555*1440,0),INT($F2555/100)*60+MOD($F2555,100)))</f>
        <v/>
      </c>
    </row>
    <row r="2556" customFormat="false" ht="15" hidden="false" customHeight="true" outlineLevel="0" collapsed="false">
      <c r="A2556" s="10"/>
      <c r="B2556" s="8"/>
      <c r="C2556" s="13" t="str">
        <f aca="false">IF($B2556="","",IFERROR(INDEX(직원목록!$B$3:$B$302,MATCH($B2556,직원목록!$A$3:$A$302,0)),"미등록사번"))</f>
        <v/>
      </c>
      <c r="D2556" s="13" t="str">
        <f aca="false">IF($B2556="","",IFERROR(INDEX(직원목록!$C$3:$C$302,MATCH($B2556,직원목록!$A$3:$A$302,0)),""))</f>
        <v/>
      </c>
      <c r="E2556" s="14"/>
      <c r="F2556" s="14"/>
      <c r="G2556" s="15"/>
      <c r="H2556" s="16" t="str">
        <f aca="false">IF(OR($K2556="",$L2556=""),"",ROUND(MAX(0,($L2556-$K2556)-IF($G2556="",0,$G2556))/60,2))</f>
        <v/>
      </c>
      <c r="I2556" s="8"/>
      <c r="J2556" s="8"/>
      <c r="K2556" s="17" t="str">
        <f aca="false">IF($E2556="","",IF($E2556&lt;1,ROUND($E2556*1440,0),INT($E2556/100)*60+MOD($E2556,100)))</f>
        <v/>
      </c>
      <c r="L2556" s="17" t="str">
        <f aca="false">IF($F2556="","",IF($F2556&lt;1,ROUND($F2556*1440,0),INT($F2556/100)*60+MOD($F2556,100)))</f>
        <v/>
      </c>
    </row>
    <row r="2557" customFormat="false" ht="15" hidden="false" customHeight="true" outlineLevel="0" collapsed="false">
      <c r="A2557" s="10"/>
      <c r="B2557" s="8"/>
      <c r="C2557" s="13" t="str">
        <f aca="false">IF($B2557="","",IFERROR(INDEX(직원목록!$B$3:$B$302,MATCH($B2557,직원목록!$A$3:$A$302,0)),"미등록사번"))</f>
        <v/>
      </c>
      <c r="D2557" s="13" t="str">
        <f aca="false">IF($B2557="","",IFERROR(INDEX(직원목록!$C$3:$C$302,MATCH($B2557,직원목록!$A$3:$A$302,0)),""))</f>
        <v/>
      </c>
      <c r="E2557" s="14"/>
      <c r="F2557" s="14"/>
      <c r="G2557" s="15"/>
      <c r="H2557" s="16" t="str">
        <f aca="false">IF(OR($K2557="",$L2557=""),"",ROUND(MAX(0,($L2557-$K2557)-IF($G2557="",0,$G2557))/60,2))</f>
        <v/>
      </c>
      <c r="I2557" s="8"/>
      <c r="J2557" s="8"/>
      <c r="K2557" s="17" t="str">
        <f aca="false">IF($E2557="","",IF($E2557&lt;1,ROUND($E2557*1440,0),INT($E2557/100)*60+MOD($E2557,100)))</f>
        <v/>
      </c>
      <c r="L2557" s="17" t="str">
        <f aca="false">IF($F2557="","",IF($F2557&lt;1,ROUND($F2557*1440,0),INT($F2557/100)*60+MOD($F2557,100)))</f>
        <v/>
      </c>
    </row>
    <row r="2558" customFormat="false" ht="15" hidden="false" customHeight="true" outlineLevel="0" collapsed="false">
      <c r="A2558" s="10"/>
      <c r="B2558" s="8"/>
      <c r="C2558" s="13" t="str">
        <f aca="false">IF($B2558="","",IFERROR(INDEX(직원목록!$B$3:$B$302,MATCH($B2558,직원목록!$A$3:$A$302,0)),"미등록사번"))</f>
        <v/>
      </c>
      <c r="D2558" s="13" t="str">
        <f aca="false">IF($B2558="","",IFERROR(INDEX(직원목록!$C$3:$C$302,MATCH($B2558,직원목록!$A$3:$A$302,0)),""))</f>
        <v/>
      </c>
      <c r="E2558" s="14"/>
      <c r="F2558" s="14"/>
      <c r="G2558" s="15"/>
      <c r="H2558" s="16" t="str">
        <f aca="false">IF(OR($K2558="",$L2558=""),"",ROUND(MAX(0,($L2558-$K2558)-IF($G2558="",0,$G2558))/60,2))</f>
        <v/>
      </c>
      <c r="I2558" s="8"/>
      <c r="J2558" s="8"/>
      <c r="K2558" s="17" t="str">
        <f aca="false">IF($E2558="","",IF($E2558&lt;1,ROUND($E2558*1440,0),INT($E2558/100)*60+MOD($E2558,100)))</f>
        <v/>
      </c>
      <c r="L2558" s="17" t="str">
        <f aca="false">IF($F2558="","",IF($F2558&lt;1,ROUND($F2558*1440,0),INT($F2558/100)*60+MOD($F2558,100)))</f>
        <v/>
      </c>
    </row>
    <row r="2559" customFormat="false" ht="15" hidden="false" customHeight="true" outlineLevel="0" collapsed="false">
      <c r="A2559" s="10"/>
      <c r="B2559" s="8"/>
      <c r="C2559" s="13" t="str">
        <f aca="false">IF($B2559="","",IFERROR(INDEX(직원목록!$B$3:$B$302,MATCH($B2559,직원목록!$A$3:$A$302,0)),"미등록사번"))</f>
        <v/>
      </c>
      <c r="D2559" s="13" t="str">
        <f aca="false">IF($B2559="","",IFERROR(INDEX(직원목록!$C$3:$C$302,MATCH($B2559,직원목록!$A$3:$A$302,0)),""))</f>
        <v/>
      </c>
      <c r="E2559" s="14"/>
      <c r="F2559" s="14"/>
      <c r="G2559" s="15"/>
      <c r="H2559" s="16" t="str">
        <f aca="false">IF(OR($K2559="",$L2559=""),"",ROUND(MAX(0,($L2559-$K2559)-IF($G2559="",0,$G2559))/60,2))</f>
        <v/>
      </c>
      <c r="I2559" s="8"/>
      <c r="J2559" s="8"/>
      <c r="K2559" s="17" t="str">
        <f aca="false">IF($E2559="","",IF($E2559&lt;1,ROUND($E2559*1440,0),INT($E2559/100)*60+MOD($E2559,100)))</f>
        <v/>
      </c>
      <c r="L2559" s="17" t="str">
        <f aca="false">IF($F2559="","",IF($F2559&lt;1,ROUND($F2559*1440,0),INT($F2559/100)*60+MOD($F2559,100)))</f>
        <v/>
      </c>
    </row>
    <row r="2560" customFormat="false" ht="15" hidden="false" customHeight="true" outlineLevel="0" collapsed="false">
      <c r="A2560" s="10"/>
      <c r="B2560" s="8"/>
      <c r="C2560" s="13" t="str">
        <f aca="false">IF($B2560="","",IFERROR(INDEX(직원목록!$B$3:$B$302,MATCH($B2560,직원목록!$A$3:$A$302,0)),"미등록사번"))</f>
        <v/>
      </c>
      <c r="D2560" s="13" t="str">
        <f aca="false">IF($B2560="","",IFERROR(INDEX(직원목록!$C$3:$C$302,MATCH($B2560,직원목록!$A$3:$A$302,0)),""))</f>
        <v/>
      </c>
      <c r="E2560" s="14"/>
      <c r="F2560" s="14"/>
      <c r="G2560" s="15"/>
      <c r="H2560" s="16" t="str">
        <f aca="false">IF(OR($K2560="",$L2560=""),"",ROUND(MAX(0,($L2560-$K2560)-IF($G2560="",0,$G2560))/60,2))</f>
        <v/>
      </c>
      <c r="I2560" s="8"/>
      <c r="J2560" s="8"/>
      <c r="K2560" s="17" t="str">
        <f aca="false">IF($E2560="","",IF($E2560&lt;1,ROUND($E2560*1440,0),INT($E2560/100)*60+MOD($E2560,100)))</f>
        <v/>
      </c>
      <c r="L2560" s="17" t="str">
        <f aca="false">IF($F2560="","",IF($F2560&lt;1,ROUND($F2560*1440,0),INT($F2560/100)*60+MOD($F2560,100)))</f>
        <v/>
      </c>
    </row>
    <row r="2561" customFormat="false" ht="15" hidden="false" customHeight="true" outlineLevel="0" collapsed="false">
      <c r="A2561" s="10"/>
      <c r="B2561" s="8"/>
      <c r="C2561" s="13" t="str">
        <f aca="false">IF($B2561="","",IFERROR(INDEX(직원목록!$B$3:$B$302,MATCH($B2561,직원목록!$A$3:$A$302,0)),"미등록사번"))</f>
        <v/>
      </c>
      <c r="D2561" s="13" t="str">
        <f aca="false">IF($B2561="","",IFERROR(INDEX(직원목록!$C$3:$C$302,MATCH($B2561,직원목록!$A$3:$A$302,0)),""))</f>
        <v/>
      </c>
      <c r="E2561" s="14"/>
      <c r="F2561" s="14"/>
      <c r="G2561" s="15"/>
      <c r="H2561" s="16" t="str">
        <f aca="false">IF(OR($K2561="",$L2561=""),"",ROUND(MAX(0,($L2561-$K2561)-IF($G2561="",0,$G2561))/60,2))</f>
        <v/>
      </c>
      <c r="I2561" s="8"/>
      <c r="J2561" s="8"/>
      <c r="K2561" s="17" t="str">
        <f aca="false">IF($E2561="","",IF($E2561&lt;1,ROUND($E2561*1440,0),INT($E2561/100)*60+MOD($E2561,100)))</f>
        <v/>
      </c>
      <c r="L2561" s="17" t="str">
        <f aca="false">IF($F2561="","",IF($F2561&lt;1,ROUND($F2561*1440,0),INT($F2561/100)*60+MOD($F2561,100)))</f>
        <v/>
      </c>
    </row>
    <row r="2562" customFormat="false" ht="15" hidden="false" customHeight="true" outlineLevel="0" collapsed="false">
      <c r="A2562" s="10"/>
      <c r="B2562" s="8"/>
      <c r="C2562" s="13" t="str">
        <f aca="false">IF($B2562="","",IFERROR(INDEX(직원목록!$B$3:$B$302,MATCH($B2562,직원목록!$A$3:$A$302,0)),"미등록사번"))</f>
        <v/>
      </c>
      <c r="D2562" s="13" t="str">
        <f aca="false">IF($B2562="","",IFERROR(INDEX(직원목록!$C$3:$C$302,MATCH($B2562,직원목록!$A$3:$A$302,0)),""))</f>
        <v/>
      </c>
      <c r="E2562" s="14"/>
      <c r="F2562" s="14"/>
      <c r="G2562" s="15"/>
      <c r="H2562" s="16" t="str">
        <f aca="false">IF(OR($K2562="",$L2562=""),"",ROUND(MAX(0,($L2562-$K2562)-IF($G2562="",0,$G2562))/60,2))</f>
        <v/>
      </c>
      <c r="I2562" s="8"/>
      <c r="J2562" s="8"/>
      <c r="K2562" s="17" t="str">
        <f aca="false">IF($E2562="","",IF($E2562&lt;1,ROUND($E2562*1440,0),INT($E2562/100)*60+MOD($E2562,100)))</f>
        <v/>
      </c>
      <c r="L2562" s="17" t="str">
        <f aca="false">IF($F2562="","",IF($F2562&lt;1,ROUND($F2562*1440,0),INT($F2562/100)*60+MOD($F2562,100)))</f>
        <v/>
      </c>
    </row>
    <row r="2563" customFormat="false" ht="15" hidden="false" customHeight="true" outlineLevel="0" collapsed="false">
      <c r="A2563" s="10"/>
      <c r="B2563" s="8"/>
      <c r="C2563" s="13" t="str">
        <f aca="false">IF($B2563="","",IFERROR(INDEX(직원목록!$B$3:$B$302,MATCH($B2563,직원목록!$A$3:$A$302,0)),"미등록사번"))</f>
        <v/>
      </c>
      <c r="D2563" s="13" t="str">
        <f aca="false">IF($B2563="","",IFERROR(INDEX(직원목록!$C$3:$C$302,MATCH($B2563,직원목록!$A$3:$A$302,0)),""))</f>
        <v/>
      </c>
      <c r="E2563" s="14"/>
      <c r="F2563" s="14"/>
      <c r="G2563" s="15"/>
      <c r="H2563" s="16" t="str">
        <f aca="false">IF(OR($K2563="",$L2563=""),"",ROUND(MAX(0,($L2563-$K2563)-IF($G2563="",0,$G2563))/60,2))</f>
        <v/>
      </c>
      <c r="I2563" s="8"/>
      <c r="J2563" s="8"/>
      <c r="K2563" s="17" t="str">
        <f aca="false">IF($E2563="","",IF($E2563&lt;1,ROUND($E2563*1440,0),INT($E2563/100)*60+MOD($E2563,100)))</f>
        <v/>
      </c>
      <c r="L2563" s="17" t="str">
        <f aca="false">IF($F2563="","",IF($F2563&lt;1,ROUND($F2563*1440,0),INT($F2563/100)*60+MOD($F2563,100)))</f>
        <v/>
      </c>
    </row>
    <row r="2564" customFormat="false" ht="15" hidden="false" customHeight="true" outlineLevel="0" collapsed="false">
      <c r="A2564" s="10"/>
      <c r="B2564" s="8"/>
      <c r="C2564" s="13" t="str">
        <f aca="false">IF($B2564="","",IFERROR(INDEX(직원목록!$B$3:$B$302,MATCH($B2564,직원목록!$A$3:$A$302,0)),"미등록사번"))</f>
        <v/>
      </c>
      <c r="D2564" s="13" t="str">
        <f aca="false">IF($B2564="","",IFERROR(INDEX(직원목록!$C$3:$C$302,MATCH($B2564,직원목록!$A$3:$A$302,0)),""))</f>
        <v/>
      </c>
      <c r="E2564" s="14"/>
      <c r="F2564" s="14"/>
      <c r="G2564" s="15"/>
      <c r="H2564" s="16" t="str">
        <f aca="false">IF(OR($K2564="",$L2564=""),"",ROUND(MAX(0,($L2564-$K2564)-IF($G2564="",0,$G2564))/60,2))</f>
        <v/>
      </c>
      <c r="I2564" s="8"/>
      <c r="J2564" s="8"/>
      <c r="K2564" s="17" t="str">
        <f aca="false">IF($E2564="","",IF($E2564&lt;1,ROUND($E2564*1440,0),INT($E2564/100)*60+MOD($E2564,100)))</f>
        <v/>
      </c>
      <c r="L2564" s="17" t="str">
        <f aca="false">IF($F2564="","",IF($F2564&lt;1,ROUND($F2564*1440,0),INT($F2564/100)*60+MOD($F2564,100)))</f>
        <v/>
      </c>
    </row>
    <row r="2565" customFormat="false" ht="15" hidden="false" customHeight="true" outlineLevel="0" collapsed="false">
      <c r="A2565" s="10"/>
      <c r="B2565" s="8"/>
      <c r="C2565" s="13" t="str">
        <f aca="false">IF($B2565="","",IFERROR(INDEX(직원목록!$B$3:$B$302,MATCH($B2565,직원목록!$A$3:$A$302,0)),"미등록사번"))</f>
        <v/>
      </c>
      <c r="D2565" s="13" t="str">
        <f aca="false">IF($B2565="","",IFERROR(INDEX(직원목록!$C$3:$C$302,MATCH($B2565,직원목록!$A$3:$A$302,0)),""))</f>
        <v/>
      </c>
      <c r="E2565" s="14"/>
      <c r="F2565" s="14"/>
      <c r="G2565" s="15"/>
      <c r="H2565" s="16" t="str">
        <f aca="false">IF(OR($K2565="",$L2565=""),"",ROUND(MAX(0,($L2565-$K2565)-IF($G2565="",0,$G2565))/60,2))</f>
        <v/>
      </c>
      <c r="I2565" s="8"/>
      <c r="J2565" s="8"/>
      <c r="K2565" s="17" t="str">
        <f aca="false">IF($E2565="","",IF($E2565&lt;1,ROUND($E2565*1440,0),INT($E2565/100)*60+MOD($E2565,100)))</f>
        <v/>
      </c>
      <c r="L2565" s="17" t="str">
        <f aca="false">IF($F2565="","",IF($F2565&lt;1,ROUND($F2565*1440,0),INT($F2565/100)*60+MOD($F2565,100)))</f>
        <v/>
      </c>
    </row>
    <row r="2566" customFormat="false" ht="15" hidden="false" customHeight="true" outlineLevel="0" collapsed="false">
      <c r="A2566" s="10"/>
      <c r="B2566" s="8"/>
      <c r="C2566" s="13" t="str">
        <f aca="false">IF($B2566="","",IFERROR(INDEX(직원목록!$B$3:$B$302,MATCH($B2566,직원목록!$A$3:$A$302,0)),"미등록사번"))</f>
        <v/>
      </c>
      <c r="D2566" s="13" t="str">
        <f aca="false">IF($B2566="","",IFERROR(INDEX(직원목록!$C$3:$C$302,MATCH($B2566,직원목록!$A$3:$A$302,0)),""))</f>
        <v/>
      </c>
      <c r="E2566" s="14"/>
      <c r="F2566" s="14"/>
      <c r="G2566" s="15"/>
      <c r="H2566" s="16" t="str">
        <f aca="false">IF(OR($K2566="",$L2566=""),"",ROUND(MAX(0,($L2566-$K2566)-IF($G2566="",0,$G2566))/60,2))</f>
        <v/>
      </c>
      <c r="I2566" s="8"/>
      <c r="J2566" s="8"/>
      <c r="K2566" s="17" t="str">
        <f aca="false">IF($E2566="","",IF($E2566&lt;1,ROUND($E2566*1440,0),INT($E2566/100)*60+MOD($E2566,100)))</f>
        <v/>
      </c>
      <c r="L2566" s="17" t="str">
        <f aca="false">IF($F2566="","",IF($F2566&lt;1,ROUND($F2566*1440,0),INT($F2566/100)*60+MOD($F2566,100)))</f>
        <v/>
      </c>
    </row>
    <row r="2567" customFormat="false" ht="15" hidden="false" customHeight="true" outlineLevel="0" collapsed="false">
      <c r="A2567" s="10"/>
      <c r="B2567" s="8"/>
      <c r="C2567" s="13" t="str">
        <f aca="false">IF($B2567="","",IFERROR(INDEX(직원목록!$B$3:$B$302,MATCH($B2567,직원목록!$A$3:$A$302,0)),"미등록사번"))</f>
        <v/>
      </c>
      <c r="D2567" s="13" t="str">
        <f aca="false">IF($B2567="","",IFERROR(INDEX(직원목록!$C$3:$C$302,MATCH($B2567,직원목록!$A$3:$A$302,0)),""))</f>
        <v/>
      </c>
      <c r="E2567" s="14"/>
      <c r="F2567" s="14"/>
      <c r="G2567" s="15"/>
      <c r="H2567" s="16" t="str">
        <f aca="false">IF(OR($K2567="",$L2567=""),"",ROUND(MAX(0,($L2567-$K2567)-IF($G2567="",0,$G2567))/60,2))</f>
        <v/>
      </c>
      <c r="I2567" s="8"/>
      <c r="J2567" s="8"/>
      <c r="K2567" s="17" t="str">
        <f aca="false">IF($E2567="","",IF($E2567&lt;1,ROUND($E2567*1440,0),INT($E2567/100)*60+MOD($E2567,100)))</f>
        <v/>
      </c>
      <c r="L2567" s="17" t="str">
        <f aca="false">IF($F2567="","",IF($F2567&lt;1,ROUND($F2567*1440,0),INT($F2567/100)*60+MOD($F2567,100)))</f>
        <v/>
      </c>
    </row>
    <row r="2568" customFormat="false" ht="15" hidden="false" customHeight="true" outlineLevel="0" collapsed="false">
      <c r="A2568" s="10"/>
      <c r="B2568" s="8"/>
      <c r="C2568" s="13" t="str">
        <f aca="false">IF($B2568="","",IFERROR(INDEX(직원목록!$B$3:$B$302,MATCH($B2568,직원목록!$A$3:$A$302,0)),"미등록사번"))</f>
        <v/>
      </c>
      <c r="D2568" s="13" t="str">
        <f aca="false">IF($B2568="","",IFERROR(INDEX(직원목록!$C$3:$C$302,MATCH($B2568,직원목록!$A$3:$A$302,0)),""))</f>
        <v/>
      </c>
      <c r="E2568" s="14"/>
      <c r="F2568" s="14"/>
      <c r="G2568" s="15"/>
      <c r="H2568" s="16" t="str">
        <f aca="false">IF(OR($K2568="",$L2568=""),"",ROUND(MAX(0,($L2568-$K2568)-IF($G2568="",0,$G2568))/60,2))</f>
        <v/>
      </c>
      <c r="I2568" s="8"/>
      <c r="J2568" s="8"/>
      <c r="K2568" s="17" t="str">
        <f aca="false">IF($E2568="","",IF($E2568&lt;1,ROUND($E2568*1440,0),INT($E2568/100)*60+MOD($E2568,100)))</f>
        <v/>
      </c>
      <c r="L2568" s="17" t="str">
        <f aca="false">IF($F2568="","",IF($F2568&lt;1,ROUND($F2568*1440,0),INT($F2568/100)*60+MOD($F2568,100)))</f>
        <v/>
      </c>
    </row>
    <row r="2569" customFormat="false" ht="15" hidden="false" customHeight="true" outlineLevel="0" collapsed="false">
      <c r="A2569" s="10"/>
      <c r="B2569" s="8"/>
      <c r="C2569" s="13" t="str">
        <f aca="false">IF($B2569="","",IFERROR(INDEX(직원목록!$B$3:$B$302,MATCH($B2569,직원목록!$A$3:$A$302,0)),"미등록사번"))</f>
        <v/>
      </c>
      <c r="D2569" s="13" t="str">
        <f aca="false">IF($B2569="","",IFERROR(INDEX(직원목록!$C$3:$C$302,MATCH($B2569,직원목록!$A$3:$A$302,0)),""))</f>
        <v/>
      </c>
      <c r="E2569" s="14"/>
      <c r="F2569" s="14"/>
      <c r="G2569" s="15"/>
      <c r="H2569" s="16" t="str">
        <f aca="false">IF(OR($K2569="",$L2569=""),"",ROUND(MAX(0,($L2569-$K2569)-IF($G2569="",0,$G2569))/60,2))</f>
        <v/>
      </c>
      <c r="I2569" s="8"/>
      <c r="J2569" s="8"/>
      <c r="K2569" s="17" t="str">
        <f aca="false">IF($E2569="","",IF($E2569&lt;1,ROUND($E2569*1440,0),INT($E2569/100)*60+MOD($E2569,100)))</f>
        <v/>
      </c>
      <c r="L2569" s="17" t="str">
        <f aca="false">IF($F2569="","",IF($F2569&lt;1,ROUND($F2569*1440,0),INT($F2569/100)*60+MOD($F2569,100)))</f>
        <v/>
      </c>
    </row>
    <row r="2570" customFormat="false" ht="15" hidden="false" customHeight="true" outlineLevel="0" collapsed="false">
      <c r="A2570" s="10"/>
      <c r="B2570" s="8"/>
      <c r="C2570" s="13" t="str">
        <f aca="false">IF($B2570="","",IFERROR(INDEX(직원목록!$B$3:$B$302,MATCH($B2570,직원목록!$A$3:$A$302,0)),"미등록사번"))</f>
        <v/>
      </c>
      <c r="D2570" s="13" t="str">
        <f aca="false">IF($B2570="","",IFERROR(INDEX(직원목록!$C$3:$C$302,MATCH($B2570,직원목록!$A$3:$A$302,0)),""))</f>
        <v/>
      </c>
      <c r="E2570" s="14"/>
      <c r="F2570" s="14"/>
      <c r="G2570" s="15"/>
      <c r="H2570" s="16" t="str">
        <f aca="false">IF(OR($K2570="",$L2570=""),"",ROUND(MAX(0,($L2570-$K2570)-IF($G2570="",0,$G2570))/60,2))</f>
        <v/>
      </c>
      <c r="I2570" s="8"/>
      <c r="J2570" s="8"/>
      <c r="K2570" s="17" t="str">
        <f aca="false">IF($E2570="","",IF($E2570&lt;1,ROUND($E2570*1440,0),INT($E2570/100)*60+MOD($E2570,100)))</f>
        <v/>
      </c>
      <c r="L2570" s="17" t="str">
        <f aca="false">IF($F2570="","",IF($F2570&lt;1,ROUND($F2570*1440,0),INT($F2570/100)*60+MOD($F2570,100)))</f>
        <v/>
      </c>
    </row>
    <row r="2571" customFormat="false" ht="15" hidden="false" customHeight="true" outlineLevel="0" collapsed="false">
      <c r="A2571" s="10"/>
      <c r="B2571" s="8"/>
      <c r="C2571" s="13" t="str">
        <f aca="false">IF($B2571="","",IFERROR(INDEX(직원목록!$B$3:$B$302,MATCH($B2571,직원목록!$A$3:$A$302,0)),"미등록사번"))</f>
        <v/>
      </c>
      <c r="D2571" s="13" t="str">
        <f aca="false">IF($B2571="","",IFERROR(INDEX(직원목록!$C$3:$C$302,MATCH($B2571,직원목록!$A$3:$A$302,0)),""))</f>
        <v/>
      </c>
      <c r="E2571" s="14"/>
      <c r="F2571" s="14"/>
      <c r="G2571" s="15"/>
      <c r="H2571" s="16" t="str">
        <f aca="false">IF(OR($K2571="",$L2571=""),"",ROUND(MAX(0,($L2571-$K2571)-IF($G2571="",0,$G2571))/60,2))</f>
        <v/>
      </c>
      <c r="I2571" s="8"/>
      <c r="J2571" s="8"/>
      <c r="K2571" s="17" t="str">
        <f aca="false">IF($E2571="","",IF($E2571&lt;1,ROUND($E2571*1440,0),INT($E2571/100)*60+MOD($E2571,100)))</f>
        <v/>
      </c>
      <c r="L2571" s="17" t="str">
        <f aca="false">IF($F2571="","",IF($F2571&lt;1,ROUND($F2571*1440,0),INT($F2571/100)*60+MOD($F2571,100)))</f>
        <v/>
      </c>
    </row>
    <row r="2572" customFormat="false" ht="15" hidden="false" customHeight="true" outlineLevel="0" collapsed="false">
      <c r="A2572" s="10"/>
      <c r="B2572" s="8"/>
      <c r="C2572" s="13" t="str">
        <f aca="false">IF($B2572="","",IFERROR(INDEX(직원목록!$B$3:$B$302,MATCH($B2572,직원목록!$A$3:$A$302,0)),"미등록사번"))</f>
        <v/>
      </c>
      <c r="D2572" s="13" t="str">
        <f aca="false">IF($B2572="","",IFERROR(INDEX(직원목록!$C$3:$C$302,MATCH($B2572,직원목록!$A$3:$A$302,0)),""))</f>
        <v/>
      </c>
      <c r="E2572" s="14"/>
      <c r="F2572" s="14"/>
      <c r="G2572" s="15"/>
      <c r="H2572" s="16" t="str">
        <f aca="false">IF(OR($K2572="",$L2572=""),"",ROUND(MAX(0,($L2572-$K2572)-IF($G2572="",0,$G2572))/60,2))</f>
        <v/>
      </c>
      <c r="I2572" s="8"/>
      <c r="J2572" s="8"/>
      <c r="K2572" s="17" t="str">
        <f aca="false">IF($E2572="","",IF($E2572&lt;1,ROUND($E2572*1440,0),INT($E2572/100)*60+MOD($E2572,100)))</f>
        <v/>
      </c>
      <c r="L2572" s="17" t="str">
        <f aca="false">IF($F2572="","",IF($F2572&lt;1,ROUND($F2572*1440,0),INT($F2572/100)*60+MOD($F2572,100)))</f>
        <v/>
      </c>
    </row>
    <row r="2573" customFormat="false" ht="15" hidden="false" customHeight="true" outlineLevel="0" collapsed="false">
      <c r="A2573" s="10"/>
      <c r="B2573" s="8"/>
      <c r="C2573" s="13" t="str">
        <f aca="false">IF($B2573="","",IFERROR(INDEX(직원목록!$B$3:$B$302,MATCH($B2573,직원목록!$A$3:$A$302,0)),"미등록사번"))</f>
        <v/>
      </c>
      <c r="D2573" s="13" t="str">
        <f aca="false">IF($B2573="","",IFERROR(INDEX(직원목록!$C$3:$C$302,MATCH($B2573,직원목록!$A$3:$A$302,0)),""))</f>
        <v/>
      </c>
      <c r="E2573" s="14"/>
      <c r="F2573" s="14"/>
      <c r="G2573" s="15"/>
      <c r="H2573" s="16" t="str">
        <f aca="false">IF(OR($K2573="",$L2573=""),"",ROUND(MAX(0,($L2573-$K2573)-IF($G2573="",0,$G2573))/60,2))</f>
        <v/>
      </c>
      <c r="I2573" s="8"/>
      <c r="J2573" s="8"/>
      <c r="K2573" s="17" t="str">
        <f aca="false">IF($E2573="","",IF($E2573&lt;1,ROUND($E2573*1440,0),INT($E2573/100)*60+MOD($E2573,100)))</f>
        <v/>
      </c>
      <c r="L2573" s="17" t="str">
        <f aca="false">IF($F2573="","",IF($F2573&lt;1,ROUND($F2573*1440,0),INT($F2573/100)*60+MOD($F2573,100)))</f>
        <v/>
      </c>
    </row>
    <row r="2574" customFormat="false" ht="15" hidden="false" customHeight="true" outlineLevel="0" collapsed="false">
      <c r="A2574" s="10"/>
      <c r="B2574" s="8"/>
      <c r="C2574" s="13" t="str">
        <f aca="false">IF($B2574="","",IFERROR(INDEX(직원목록!$B$3:$B$302,MATCH($B2574,직원목록!$A$3:$A$302,0)),"미등록사번"))</f>
        <v/>
      </c>
      <c r="D2574" s="13" t="str">
        <f aca="false">IF($B2574="","",IFERROR(INDEX(직원목록!$C$3:$C$302,MATCH($B2574,직원목록!$A$3:$A$302,0)),""))</f>
        <v/>
      </c>
      <c r="E2574" s="14"/>
      <c r="F2574" s="14"/>
      <c r="G2574" s="15"/>
      <c r="H2574" s="16" t="str">
        <f aca="false">IF(OR($K2574="",$L2574=""),"",ROUND(MAX(0,($L2574-$K2574)-IF($G2574="",0,$G2574))/60,2))</f>
        <v/>
      </c>
      <c r="I2574" s="8"/>
      <c r="J2574" s="8"/>
      <c r="K2574" s="17" t="str">
        <f aca="false">IF($E2574="","",IF($E2574&lt;1,ROUND($E2574*1440,0),INT($E2574/100)*60+MOD($E2574,100)))</f>
        <v/>
      </c>
      <c r="L2574" s="17" t="str">
        <f aca="false">IF($F2574="","",IF($F2574&lt;1,ROUND($F2574*1440,0),INT($F2574/100)*60+MOD($F2574,100)))</f>
        <v/>
      </c>
    </row>
    <row r="2575" customFormat="false" ht="15" hidden="false" customHeight="true" outlineLevel="0" collapsed="false">
      <c r="A2575" s="10"/>
      <c r="B2575" s="8"/>
      <c r="C2575" s="13" t="str">
        <f aca="false">IF($B2575="","",IFERROR(INDEX(직원목록!$B$3:$B$302,MATCH($B2575,직원목록!$A$3:$A$302,0)),"미등록사번"))</f>
        <v/>
      </c>
      <c r="D2575" s="13" t="str">
        <f aca="false">IF($B2575="","",IFERROR(INDEX(직원목록!$C$3:$C$302,MATCH($B2575,직원목록!$A$3:$A$302,0)),""))</f>
        <v/>
      </c>
      <c r="E2575" s="14"/>
      <c r="F2575" s="14"/>
      <c r="G2575" s="15"/>
      <c r="H2575" s="16" t="str">
        <f aca="false">IF(OR($K2575="",$L2575=""),"",ROUND(MAX(0,($L2575-$K2575)-IF($G2575="",0,$G2575))/60,2))</f>
        <v/>
      </c>
      <c r="I2575" s="8"/>
      <c r="J2575" s="8"/>
      <c r="K2575" s="17" t="str">
        <f aca="false">IF($E2575="","",IF($E2575&lt;1,ROUND($E2575*1440,0),INT($E2575/100)*60+MOD($E2575,100)))</f>
        <v/>
      </c>
      <c r="L2575" s="17" t="str">
        <f aca="false">IF($F2575="","",IF($F2575&lt;1,ROUND($F2575*1440,0),INT($F2575/100)*60+MOD($F2575,100)))</f>
        <v/>
      </c>
    </row>
    <row r="2576" customFormat="false" ht="15" hidden="false" customHeight="true" outlineLevel="0" collapsed="false">
      <c r="A2576" s="10"/>
      <c r="B2576" s="8"/>
      <c r="C2576" s="13" t="str">
        <f aca="false">IF($B2576="","",IFERROR(INDEX(직원목록!$B$3:$B$302,MATCH($B2576,직원목록!$A$3:$A$302,0)),"미등록사번"))</f>
        <v/>
      </c>
      <c r="D2576" s="13" t="str">
        <f aca="false">IF($B2576="","",IFERROR(INDEX(직원목록!$C$3:$C$302,MATCH($B2576,직원목록!$A$3:$A$302,0)),""))</f>
        <v/>
      </c>
      <c r="E2576" s="14"/>
      <c r="F2576" s="14"/>
      <c r="G2576" s="15"/>
      <c r="H2576" s="16" t="str">
        <f aca="false">IF(OR($K2576="",$L2576=""),"",ROUND(MAX(0,($L2576-$K2576)-IF($G2576="",0,$G2576))/60,2))</f>
        <v/>
      </c>
      <c r="I2576" s="8"/>
      <c r="J2576" s="8"/>
      <c r="K2576" s="17" t="str">
        <f aca="false">IF($E2576="","",IF($E2576&lt;1,ROUND($E2576*1440,0),INT($E2576/100)*60+MOD($E2576,100)))</f>
        <v/>
      </c>
      <c r="L2576" s="17" t="str">
        <f aca="false">IF($F2576="","",IF($F2576&lt;1,ROUND($F2576*1440,0),INT($F2576/100)*60+MOD($F2576,100)))</f>
        <v/>
      </c>
    </row>
    <row r="2577" customFormat="false" ht="15" hidden="false" customHeight="true" outlineLevel="0" collapsed="false">
      <c r="A2577" s="10"/>
      <c r="B2577" s="8"/>
      <c r="C2577" s="13" t="str">
        <f aca="false">IF($B2577="","",IFERROR(INDEX(직원목록!$B$3:$B$302,MATCH($B2577,직원목록!$A$3:$A$302,0)),"미등록사번"))</f>
        <v/>
      </c>
      <c r="D2577" s="13" t="str">
        <f aca="false">IF($B2577="","",IFERROR(INDEX(직원목록!$C$3:$C$302,MATCH($B2577,직원목록!$A$3:$A$302,0)),""))</f>
        <v/>
      </c>
      <c r="E2577" s="14"/>
      <c r="F2577" s="14"/>
      <c r="G2577" s="15"/>
      <c r="H2577" s="16" t="str">
        <f aca="false">IF(OR($K2577="",$L2577=""),"",ROUND(MAX(0,($L2577-$K2577)-IF($G2577="",0,$G2577))/60,2))</f>
        <v/>
      </c>
      <c r="I2577" s="8"/>
      <c r="J2577" s="8"/>
      <c r="K2577" s="17" t="str">
        <f aca="false">IF($E2577="","",IF($E2577&lt;1,ROUND($E2577*1440,0),INT($E2577/100)*60+MOD($E2577,100)))</f>
        <v/>
      </c>
      <c r="L2577" s="17" t="str">
        <f aca="false">IF($F2577="","",IF($F2577&lt;1,ROUND($F2577*1440,0),INT($F2577/100)*60+MOD($F2577,100)))</f>
        <v/>
      </c>
    </row>
    <row r="2578" customFormat="false" ht="15" hidden="false" customHeight="true" outlineLevel="0" collapsed="false">
      <c r="A2578" s="10"/>
      <c r="B2578" s="8"/>
      <c r="C2578" s="13" t="str">
        <f aca="false">IF($B2578="","",IFERROR(INDEX(직원목록!$B$3:$B$302,MATCH($B2578,직원목록!$A$3:$A$302,0)),"미등록사번"))</f>
        <v/>
      </c>
      <c r="D2578" s="13" t="str">
        <f aca="false">IF($B2578="","",IFERROR(INDEX(직원목록!$C$3:$C$302,MATCH($B2578,직원목록!$A$3:$A$302,0)),""))</f>
        <v/>
      </c>
      <c r="E2578" s="14"/>
      <c r="F2578" s="14"/>
      <c r="G2578" s="15"/>
      <c r="H2578" s="16" t="str">
        <f aca="false">IF(OR($K2578="",$L2578=""),"",ROUND(MAX(0,($L2578-$K2578)-IF($G2578="",0,$G2578))/60,2))</f>
        <v/>
      </c>
      <c r="I2578" s="8"/>
      <c r="J2578" s="8"/>
      <c r="K2578" s="17" t="str">
        <f aca="false">IF($E2578="","",IF($E2578&lt;1,ROUND($E2578*1440,0),INT($E2578/100)*60+MOD($E2578,100)))</f>
        <v/>
      </c>
      <c r="L2578" s="17" t="str">
        <f aca="false">IF($F2578="","",IF($F2578&lt;1,ROUND($F2578*1440,0),INT($F2578/100)*60+MOD($F2578,100)))</f>
        <v/>
      </c>
    </row>
    <row r="2579" customFormat="false" ht="15" hidden="false" customHeight="true" outlineLevel="0" collapsed="false">
      <c r="A2579" s="10"/>
      <c r="B2579" s="8"/>
      <c r="C2579" s="13" t="str">
        <f aca="false">IF($B2579="","",IFERROR(INDEX(직원목록!$B$3:$B$302,MATCH($B2579,직원목록!$A$3:$A$302,0)),"미등록사번"))</f>
        <v/>
      </c>
      <c r="D2579" s="13" t="str">
        <f aca="false">IF($B2579="","",IFERROR(INDEX(직원목록!$C$3:$C$302,MATCH($B2579,직원목록!$A$3:$A$302,0)),""))</f>
        <v/>
      </c>
      <c r="E2579" s="14"/>
      <c r="F2579" s="14"/>
      <c r="G2579" s="15"/>
      <c r="H2579" s="16" t="str">
        <f aca="false">IF(OR($K2579="",$L2579=""),"",ROUND(MAX(0,($L2579-$K2579)-IF($G2579="",0,$G2579))/60,2))</f>
        <v/>
      </c>
      <c r="I2579" s="8"/>
      <c r="J2579" s="8"/>
      <c r="K2579" s="17" t="str">
        <f aca="false">IF($E2579="","",IF($E2579&lt;1,ROUND($E2579*1440,0),INT($E2579/100)*60+MOD($E2579,100)))</f>
        <v/>
      </c>
      <c r="L2579" s="17" t="str">
        <f aca="false">IF($F2579="","",IF($F2579&lt;1,ROUND($F2579*1440,0),INT($F2579/100)*60+MOD($F2579,100)))</f>
        <v/>
      </c>
    </row>
    <row r="2580" customFormat="false" ht="15" hidden="false" customHeight="true" outlineLevel="0" collapsed="false">
      <c r="A2580" s="10"/>
      <c r="B2580" s="8"/>
      <c r="C2580" s="13" t="str">
        <f aca="false">IF($B2580="","",IFERROR(INDEX(직원목록!$B$3:$B$302,MATCH($B2580,직원목록!$A$3:$A$302,0)),"미등록사번"))</f>
        <v/>
      </c>
      <c r="D2580" s="13" t="str">
        <f aca="false">IF($B2580="","",IFERROR(INDEX(직원목록!$C$3:$C$302,MATCH($B2580,직원목록!$A$3:$A$302,0)),""))</f>
        <v/>
      </c>
      <c r="E2580" s="14"/>
      <c r="F2580" s="14"/>
      <c r="G2580" s="15"/>
      <c r="H2580" s="16" t="str">
        <f aca="false">IF(OR($K2580="",$L2580=""),"",ROUND(MAX(0,($L2580-$K2580)-IF($G2580="",0,$G2580))/60,2))</f>
        <v/>
      </c>
      <c r="I2580" s="8"/>
      <c r="J2580" s="8"/>
      <c r="K2580" s="17" t="str">
        <f aca="false">IF($E2580="","",IF($E2580&lt;1,ROUND($E2580*1440,0),INT($E2580/100)*60+MOD($E2580,100)))</f>
        <v/>
      </c>
      <c r="L2580" s="17" t="str">
        <f aca="false">IF($F2580="","",IF($F2580&lt;1,ROUND($F2580*1440,0),INT($F2580/100)*60+MOD($F2580,100)))</f>
        <v/>
      </c>
    </row>
    <row r="2581" customFormat="false" ht="15" hidden="false" customHeight="true" outlineLevel="0" collapsed="false">
      <c r="A2581" s="10"/>
      <c r="B2581" s="8"/>
      <c r="C2581" s="13" t="str">
        <f aca="false">IF($B2581="","",IFERROR(INDEX(직원목록!$B$3:$B$302,MATCH($B2581,직원목록!$A$3:$A$302,0)),"미등록사번"))</f>
        <v/>
      </c>
      <c r="D2581" s="13" t="str">
        <f aca="false">IF($B2581="","",IFERROR(INDEX(직원목록!$C$3:$C$302,MATCH($B2581,직원목록!$A$3:$A$302,0)),""))</f>
        <v/>
      </c>
      <c r="E2581" s="14"/>
      <c r="F2581" s="14"/>
      <c r="G2581" s="15"/>
      <c r="H2581" s="16" t="str">
        <f aca="false">IF(OR($K2581="",$L2581=""),"",ROUND(MAX(0,($L2581-$K2581)-IF($G2581="",0,$G2581))/60,2))</f>
        <v/>
      </c>
      <c r="I2581" s="8"/>
      <c r="J2581" s="8"/>
      <c r="K2581" s="17" t="str">
        <f aca="false">IF($E2581="","",IF($E2581&lt;1,ROUND($E2581*1440,0),INT($E2581/100)*60+MOD($E2581,100)))</f>
        <v/>
      </c>
      <c r="L2581" s="17" t="str">
        <f aca="false">IF($F2581="","",IF($F2581&lt;1,ROUND($F2581*1440,0),INT($F2581/100)*60+MOD($F2581,100)))</f>
        <v/>
      </c>
    </row>
    <row r="2582" customFormat="false" ht="15" hidden="false" customHeight="true" outlineLevel="0" collapsed="false">
      <c r="A2582" s="10"/>
      <c r="B2582" s="8"/>
      <c r="C2582" s="13" t="str">
        <f aca="false">IF($B2582="","",IFERROR(INDEX(직원목록!$B$3:$B$302,MATCH($B2582,직원목록!$A$3:$A$302,0)),"미등록사번"))</f>
        <v/>
      </c>
      <c r="D2582" s="13" t="str">
        <f aca="false">IF($B2582="","",IFERROR(INDEX(직원목록!$C$3:$C$302,MATCH($B2582,직원목록!$A$3:$A$302,0)),""))</f>
        <v/>
      </c>
      <c r="E2582" s="14"/>
      <c r="F2582" s="14"/>
      <c r="G2582" s="15"/>
      <c r="H2582" s="16" t="str">
        <f aca="false">IF(OR($K2582="",$L2582=""),"",ROUND(MAX(0,($L2582-$K2582)-IF($G2582="",0,$G2582))/60,2))</f>
        <v/>
      </c>
      <c r="I2582" s="8"/>
      <c r="J2582" s="8"/>
      <c r="K2582" s="17" t="str">
        <f aca="false">IF($E2582="","",IF($E2582&lt;1,ROUND($E2582*1440,0),INT($E2582/100)*60+MOD($E2582,100)))</f>
        <v/>
      </c>
      <c r="L2582" s="17" t="str">
        <f aca="false">IF($F2582="","",IF($F2582&lt;1,ROUND($F2582*1440,0),INT($F2582/100)*60+MOD($F2582,100)))</f>
        <v/>
      </c>
    </row>
    <row r="2583" customFormat="false" ht="15" hidden="false" customHeight="true" outlineLevel="0" collapsed="false">
      <c r="A2583" s="10"/>
      <c r="B2583" s="8"/>
      <c r="C2583" s="13" t="str">
        <f aca="false">IF($B2583="","",IFERROR(INDEX(직원목록!$B$3:$B$302,MATCH($B2583,직원목록!$A$3:$A$302,0)),"미등록사번"))</f>
        <v/>
      </c>
      <c r="D2583" s="13" t="str">
        <f aca="false">IF($B2583="","",IFERROR(INDEX(직원목록!$C$3:$C$302,MATCH($B2583,직원목록!$A$3:$A$302,0)),""))</f>
        <v/>
      </c>
      <c r="E2583" s="14"/>
      <c r="F2583" s="14"/>
      <c r="G2583" s="15"/>
      <c r="H2583" s="16" t="str">
        <f aca="false">IF(OR($K2583="",$L2583=""),"",ROUND(MAX(0,($L2583-$K2583)-IF($G2583="",0,$G2583))/60,2))</f>
        <v/>
      </c>
      <c r="I2583" s="8"/>
      <c r="J2583" s="8"/>
      <c r="K2583" s="17" t="str">
        <f aca="false">IF($E2583="","",IF($E2583&lt;1,ROUND($E2583*1440,0),INT($E2583/100)*60+MOD($E2583,100)))</f>
        <v/>
      </c>
      <c r="L2583" s="17" t="str">
        <f aca="false">IF($F2583="","",IF($F2583&lt;1,ROUND($F2583*1440,0),INT($F2583/100)*60+MOD($F2583,100)))</f>
        <v/>
      </c>
    </row>
    <row r="2584" customFormat="false" ht="15" hidden="false" customHeight="true" outlineLevel="0" collapsed="false">
      <c r="A2584" s="10"/>
      <c r="B2584" s="8"/>
      <c r="C2584" s="13" t="str">
        <f aca="false">IF($B2584="","",IFERROR(INDEX(직원목록!$B$3:$B$302,MATCH($B2584,직원목록!$A$3:$A$302,0)),"미등록사번"))</f>
        <v/>
      </c>
      <c r="D2584" s="13" t="str">
        <f aca="false">IF($B2584="","",IFERROR(INDEX(직원목록!$C$3:$C$302,MATCH($B2584,직원목록!$A$3:$A$302,0)),""))</f>
        <v/>
      </c>
      <c r="E2584" s="14"/>
      <c r="F2584" s="14"/>
      <c r="G2584" s="15"/>
      <c r="H2584" s="16" t="str">
        <f aca="false">IF(OR($K2584="",$L2584=""),"",ROUND(MAX(0,($L2584-$K2584)-IF($G2584="",0,$G2584))/60,2))</f>
        <v/>
      </c>
      <c r="I2584" s="8"/>
      <c r="J2584" s="8"/>
      <c r="K2584" s="17" t="str">
        <f aca="false">IF($E2584="","",IF($E2584&lt;1,ROUND($E2584*1440,0),INT($E2584/100)*60+MOD($E2584,100)))</f>
        <v/>
      </c>
      <c r="L2584" s="17" t="str">
        <f aca="false">IF($F2584="","",IF($F2584&lt;1,ROUND($F2584*1440,0),INT($F2584/100)*60+MOD($F2584,100)))</f>
        <v/>
      </c>
    </row>
    <row r="2585" customFormat="false" ht="15" hidden="false" customHeight="true" outlineLevel="0" collapsed="false">
      <c r="A2585" s="10"/>
      <c r="B2585" s="8"/>
      <c r="C2585" s="13" t="str">
        <f aca="false">IF($B2585="","",IFERROR(INDEX(직원목록!$B$3:$B$302,MATCH($B2585,직원목록!$A$3:$A$302,0)),"미등록사번"))</f>
        <v/>
      </c>
      <c r="D2585" s="13" t="str">
        <f aca="false">IF($B2585="","",IFERROR(INDEX(직원목록!$C$3:$C$302,MATCH($B2585,직원목록!$A$3:$A$302,0)),""))</f>
        <v/>
      </c>
      <c r="E2585" s="14"/>
      <c r="F2585" s="14"/>
      <c r="G2585" s="15"/>
      <c r="H2585" s="16" t="str">
        <f aca="false">IF(OR($K2585="",$L2585=""),"",ROUND(MAX(0,($L2585-$K2585)-IF($G2585="",0,$G2585))/60,2))</f>
        <v/>
      </c>
      <c r="I2585" s="8"/>
      <c r="J2585" s="8"/>
      <c r="K2585" s="17" t="str">
        <f aca="false">IF($E2585="","",IF($E2585&lt;1,ROUND($E2585*1440,0),INT($E2585/100)*60+MOD($E2585,100)))</f>
        <v/>
      </c>
      <c r="L2585" s="17" t="str">
        <f aca="false">IF($F2585="","",IF($F2585&lt;1,ROUND($F2585*1440,0),INT($F2585/100)*60+MOD($F2585,100)))</f>
        <v/>
      </c>
    </row>
    <row r="2586" customFormat="false" ht="15" hidden="false" customHeight="true" outlineLevel="0" collapsed="false">
      <c r="A2586" s="10"/>
      <c r="B2586" s="8"/>
      <c r="C2586" s="13" t="str">
        <f aca="false">IF($B2586="","",IFERROR(INDEX(직원목록!$B$3:$B$302,MATCH($B2586,직원목록!$A$3:$A$302,0)),"미등록사번"))</f>
        <v/>
      </c>
      <c r="D2586" s="13" t="str">
        <f aca="false">IF($B2586="","",IFERROR(INDEX(직원목록!$C$3:$C$302,MATCH($B2586,직원목록!$A$3:$A$302,0)),""))</f>
        <v/>
      </c>
      <c r="E2586" s="14"/>
      <c r="F2586" s="14"/>
      <c r="G2586" s="15"/>
      <c r="H2586" s="16" t="str">
        <f aca="false">IF(OR($K2586="",$L2586=""),"",ROUND(MAX(0,($L2586-$K2586)-IF($G2586="",0,$G2586))/60,2))</f>
        <v/>
      </c>
      <c r="I2586" s="8"/>
      <c r="J2586" s="8"/>
      <c r="K2586" s="17" t="str">
        <f aca="false">IF($E2586="","",IF($E2586&lt;1,ROUND($E2586*1440,0),INT($E2586/100)*60+MOD($E2586,100)))</f>
        <v/>
      </c>
      <c r="L2586" s="17" t="str">
        <f aca="false">IF($F2586="","",IF($F2586&lt;1,ROUND($F2586*1440,0),INT($F2586/100)*60+MOD($F2586,100)))</f>
        <v/>
      </c>
    </row>
    <row r="2587" customFormat="false" ht="15" hidden="false" customHeight="true" outlineLevel="0" collapsed="false">
      <c r="A2587" s="10"/>
      <c r="B2587" s="8"/>
      <c r="C2587" s="13" t="str">
        <f aca="false">IF($B2587="","",IFERROR(INDEX(직원목록!$B$3:$B$302,MATCH($B2587,직원목록!$A$3:$A$302,0)),"미등록사번"))</f>
        <v/>
      </c>
      <c r="D2587" s="13" t="str">
        <f aca="false">IF($B2587="","",IFERROR(INDEX(직원목록!$C$3:$C$302,MATCH($B2587,직원목록!$A$3:$A$302,0)),""))</f>
        <v/>
      </c>
      <c r="E2587" s="14"/>
      <c r="F2587" s="14"/>
      <c r="G2587" s="15"/>
      <c r="H2587" s="16" t="str">
        <f aca="false">IF(OR($K2587="",$L2587=""),"",ROUND(MAX(0,($L2587-$K2587)-IF($G2587="",0,$G2587))/60,2))</f>
        <v/>
      </c>
      <c r="I2587" s="8"/>
      <c r="J2587" s="8"/>
      <c r="K2587" s="17" t="str">
        <f aca="false">IF($E2587="","",IF($E2587&lt;1,ROUND($E2587*1440,0),INT($E2587/100)*60+MOD($E2587,100)))</f>
        <v/>
      </c>
      <c r="L2587" s="17" t="str">
        <f aca="false">IF($F2587="","",IF($F2587&lt;1,ROUND($F2587*1440,0),INT($F2587/100)*60+MOD($F2587,100)))</f>
        <v/>
      </c>
    </row>
    <row r="2588" customFormat="false" ht="15" hidden="false" customHeight="true" outlineLevel="0" collapsed="false">
      <c r="A2588" s="10"/>
      <c r="B2588" s="8"/>
      <c r="C2588" s="13" t="str">
        <f aca="false">IF($B2588="","",IFERROR(INDEX(직원목록!$B$3:$B$302,MATCH($B2588,직원목록!$A$3:$A$302,0)),"미등록사번"))</f>
        <v/>
      </c>
      <c r="D2588" s="13" t="str">
        <f aca="false">IF($B2588="","",IFERROR(INDEX(직원목록!$C$3:$C$302,MATCH($B2588,직원목록!$A$3:$A$302,0)),""))</f>
        <v/>
      </c>
      <c r="E2588" s="14"/>
      <c r="F2588" s="14"/>
      <c r="G2588" s="15"/>
      <c r="H2588" s="16" t="str">
        <f aca="false">IF(OR($K2588="",$L2588=""),"",ROUND(MAX(0,($L2588-$K2588)-IF($G2588="",0,$G2588))/60,2))</f>
        <v/>
      </c>
      <c r="I2588" s="8"/>
      <c r="J2588" s="8"/>
      <c r="K2588" s="17" t="str">
        <f aca="false">IF($E2588="","",IF($E2588&lt;1,ROUND($E2588*1440,0),INT($E2588/100)*60+MOD($E2588,100)))</f>
        <v/>
      </c>
      <c r="L2588" s="17" t="str">
        <f aca="false">IF($F2588="","",IF($F2588&lt;1,ROUND($F2588*1440,0),INT($F2588/100)*60+MOD($F2588,100)))</f>
        <v/>
      </c>
    </row>
    <row r="2589" customFormat="false" ht="15" hidden="false" customHeight="true" outlineLevel="0" collapsed="false">
      <c r="A2589" s="10"/>
      <c r="B2589" s="8"/>
      <c r="C2589" s="13" t="str">
        <f aca="false">IF($B2589="","",IFERROR(INDEX(직원목록!$B$3:$B$302,MATCH($B2589,직원목록!$A$3:$A$302,0)),"미등록사번"))</f>
        <v/>
      </c>
      <c r="D2589" s="13" t="str">
        <f aca="false">IF($B2589="","",IFERROR(INDEX(직원목록!$C$3:$C$302,MATCH($B2589,직원목록!$A$3:$A$302,0)),""))</f>
        <v/>
      </c>
      <c r="E2589" s="14"/>
      <c r="F2589" s="14"/>
      <c r="G2589" s="15"/>
      <c r="H2589" s="16" t="str">
        <f aca="false">IF(OR($K2589="",$L2589=""),"",ROUND(MAX(0,($L2589-$K2589)-IF($G2589="",0,$G2589))/60,2))</f>
        <v/>
      </c>
      <c r="I2589" s="8"/>
      <c r="J2589" s="8"/>
      <c r="K2589" s="17" t="str">
        <f aca="false">IF($E2589="","",IF($E2589&lt;1,ROUND($E2589*1440,0),INT($E2589/100)*60+MOD($E2589,100)))</f>
        <v/>
      </c>
      <c r="L2589" s="17" t="str">
        <f aca="false">IF($F2589="","",IF($F2589&lt;1,ROUND($F2589*1440,0),INT($F2589/100)*60+MOD($F2589,100)))</f>
        <v/>
      </c>
    </row>
    <row r="2590" customFormat="false" ht="15" hidden="false" customHeight="true" outlineLevel="0" collapsed="false">
      <c r="A2590" s="10"/>
      <c r="B2590" s="8"/>
      <c r="C2590" s="13" t="str">
        <f aca="false">IF($B2590="","",IFERROR(INDEX(직원목록!$B$3:$B$302,MATCH($B2590,직원목록!$A$3:$A$302,0)),"미등록사번"))</f>
        <v/>
      </c>
      <c r="D2590" s="13" t="str">
        <f aca="false">IF($B2590="","",IFERROR(INDEX(직원목록!$C$3:$C$302,MATCH($B2590,직원목록!$A$3:$A$302,0)),""))</f>
        <v/>
      </c>
      <c r="E2590" s="14"/>
      <c r="F2590" s="14"/>
      <c r="G2590" s="15"/>
      <c r="H2590" s="16" t="str">
        <f aca="false">IF(OR($K2590="",$L2590=""),"",ROUND(MAX(0,($L2590-$K2590)-IF($G2590="",0,$G2590))/60,2))</f>
        <v/>
      </c>
      <c r="I2590" s="8"/>
      <c r="J2590" s="8"/>
      <c r="K2590" s="17" t="str">
        <f aca="false">IF($E2590="","",IF($E2590&lt;1,ROUND($E2590*1440,0),INT($E2590/100)*60+MOD($E2590,100)))</f>
        <v/>
      </c>
      <c r="L2590" s="17" t="str">
        <f aca="false">IF($F2590="","",IF($F2590&lt;1,ROUND($F2590*1440,0),INT($F2590/100)*60+MOD($F2590,100)))</f>
        <v/>
      </c>
    </row>
    <row r="2591" customFormat="false" ht="15" hidden="false" customHeight="true" outlineLevel="0" collapsed="false">
      <c r="A2591" s="10"/>
      <c r="B2591" s="8"/>
      <c r="C2591" s="13" t="str">
        <f aca="false">IF($B2591="","",IFERROR(INDEX(직원목록!$B$3:$B$302,MATCH($B2591,직원목록!$A$3:$A$302,0)),"미등록사번"))</f>
        <v/>
      </c>
      <c r="D2591" s="13" t="str">
        <f aca="false">IF($B2591="","",IFERROR(INDEX(직원목록!$C$3:$C$302,MATCH($B2591,직원목록!$A$3:$A$302,0)),""))</f>
        <v/>
      </c>
      <c r="E2591" s="14"/>
      <c r="F2591" s="14"/>
      <c r="G2591" s="15"/>
      <c r="H2591" s="16" t="str">
        <f aca="false">IF(OR($K2591="",$L2591=""),"",ROUND(MAX(0,($L2591-$K2591)-IF($G2591="",0,$G2591))/60,2))</f>
        <v/>
      </c>
      <c r="I2591" s="8"/>
      <c r="J2591" s="8"/>
      <c r="K2591" s="17" t="str">
        <f aca="false">IF($E2591="","",IF($E2591&lt;1,ROUND($E2591*1440,0),INT($E2591/100)*60+MOD($E2591,100)))</f>
        <v/>
      </c>
      <c r="L2591" s="17" t="str">
        <f aca="false">IF($F2591="","",IF($F2591&lt;1,ROUND($F2591*1440,0),INT($F2591/100)*60+MOD($F2591,100)))</f>
        <v/>
      </c>
    </row>
    <row r="2592" customFormat="false" ht="15" hidden="false" customHeight="true" outlineLevel="0" collapsed="false">
      <c r="A2592" s="10"/>
      <c r="B2592" s="8"/>
      <c r="C2592" s="13" t="str">
        <f aca="false">IF($B2592="","",IFERROR(INDEX(직원목록!$B$3:$B$302,MATCH($B2592,직원목록!$A$3:$A$302,0)),"미등록사번"))</f>
        <v/>
      </c>
      <c r="D2592" s="13" t="str">
        <f aca="false">IF($B2592="","",IFERROR(INDEX(직원목록!$C$3:$C$302,MATCH($B2592,직원목록!$A$3:$A$302,0)),""))</f>
        <v/>
      </c>
      <c r="E2592" s="14"/>
      <c r="F2592" s="14"/>
      <c r="G2592" s="15"/>
      <c r="H2592" s="16" t="str">
        <f aca="false">IF(OR($K2592="",$L2592=""),"",ROUND(MAX(0,($L2592-$K2592)-IF($G2592="",0,$G2592))/60,2))</f>
        <v/>
      </c>
      <c r="I2592" s="8"/>
      <c r="J2592" s="8"/>
      <c r="K2592" s="17" t="str">
        <f aca="false">IF($E2592="","",IF($E2592&lt;1,ROUND($E2592*1440,0),INT($E2592/100)*60+MOD($E2592,100)))</f>
        <v/>
      </c>
      <c r="L2592" s="17" t="str">
        <f aca="false">IF($F2592="","",IF($F2592&lt;1,ROUND($F2592*1440,0),INT($F2592/100)*60+MOD($F2592,100)))</f>
        <v/>
      </c>
    </row>
    <row r="2593" customFormat="false" ht="15" hidden="false" customHeight="true" outlineLevel="0" collapsed="false">
      <c r="A2593" s="10"/>
      <c r="B2593" s="8"/>
      <c r="C2593" s="13" t="str">
        <f aca="false">IF($B2593="","",IFERROR(INDEX(직원목록!$B$3:$B$302,MATCH($B2593,직원목록!$A$3:$A$302,0)),"미등록사번"))</f>
        <v/>
      </c>
      <c r="D2593" s="13" t="str">
        <f aca="false">IF($B2593="","",IFERROR(INDEX(직원목록!$C$3:$C$302,MATCH($B2593,직원목록!$A$3:$A$302,0)),""))</f>
        <v/>
      </c>
      <c r="E2593" s="14"/>
      <c r="F2593" s="14"/>
      <c r="G2593" s="15"/>
      <c r="H2593" s="16" t="str">
        <f aca="false">IF(OR($K2593="",$L2593=""),"",ROUND(MAX(0,($L2593-$K2593)-IF($G2593="",0,$G2593))/60,2))</f>
        <v/>
      </c>
      <c r="I2593" s="8"/>
      <c r="J2593" s="8"/>
      <c r="K2593" s="17" t="str">
        <f aca="false">IF($E2593="","",IF($E2593&lt;1,ROUND($E2593*1440,0),INT($E2593/100)*60+MOD($E2593,100)))</f>
        <v/>
      </c>
      <c r="L2593" s="17" t="str">
        <f aca="false">IF($F2593="","",IF($F2593&lt;1,ROUND($F2593*1440,0),INT($F2593/100)*60+MOD($F2593,100)))</f>
        <v/>
      </c>
    </row>
    <row r="2594" customFormat="false" ht="15" hidden="false" customHeight="true" outlineLevel="0" collapsed="false">
      <c r="A2594" s="10"/>
      <c r="B2594" s="8"/>
      <c r="C2594" s="13" t="str">
        <f aca="false">IF($B2594="","",IFERROR(INDEX(직원목록!$B$3:$B$302,MATCH($B2594,직원목록!$A$3:$A$302,0)),"미등록사번"))</f>
        <v/>
      </c>
      <c r="D2594" s="13" t="str">
        <f aca="false">IF($B2594="","",IFERROR(INDEX(직원목록!$C$3:$C$302,MATCH($B2594,직원목록!$A$3:$A$302,0)),""))</f>
        <v/>
      </c>
      <c r="E2594" s="14"/>
      <c r="F2594" s="14"/>
      <c r="G2594" s="15"/>
      <c r="H2594" s="16" t="str">
        <f aca="false">IF(OR($K2594="",$L2594=""),"",ROUND(MAX(0,($L2594-$K2594)-IF($G2594="",0,$G2594))/60,2))</f>
        <v/>
      </c>
      <c r="I2594" s="8"/>
      <c r="J2594" s="8"/>
      <c r="K2594" s="17" t="str">
        <f aca="false">IF($E2594="","",IF($E2594&lt;1,ROUND($E2594*1440,0),INT($E2594/100)*60+MOD($E2594,100)))</f>
        <v/>
      </c>
      <c r="L2594" s="17" t="str">
        <f aca="false">IF($F2594="","",IF($F2594&lt;1,ROUND($F2594*1440,0),INT($F2594/100)*60+MOD($F2594,100)))</f>
        <v/>
      </c>
    </row>
    <row r="2595" customFormat="false" ht="15" hidden="false" customHeight="true" outlineLevel="0" collapsed="false">
      <c r="A2595" s="10"/>
      <c r="B2595" s="8"/>
      <c r="C2595" s="13" t="str">
        <f aca="false">IF($B2595="","",IFERROR(INDEX(직원목록!$B$3:$B$302,MATCH($B2595,직원목록!$A$3:$A$302,0)),"미등록사번"))</f>
        <v/>
      </c>
      <c r="D2595" s="13" t="str">
        <f aca="false">IF($B2595="","",IFERROR(INDEX(직원목록!$C$3:$C$302,MATCH($B2595,직원목록!$A$3:$A$302,0)),""))</f>
        <v/>
      </c>
      <c r="E2595" s="14"/>
      <c r="F2595" s="14"/>
      <c r="G2595" s="15"/>
      <c r="H2595" s="16" t="str">
        <f aca="false">IF(OR($K2595="",$L2595=""),"",ROUND(MAX(0,($L2595-$K2595)-IF($G2595="",0,$G2595))/60,2))</f>
        <v/>
      </c>
      <c r="I2595" s="8"/>
      <c r="J2595" s="8"/>
      <c r="K2595" s="17" t="str">
        <f aca="false">IF($E2595="","",IF($E2595&lt;1,ROUND($E2595*1440,0),INT($E2595/100)*60+MOD($E2595,100)))</f>
        <v/>
      </c>
      <c r="L2595" s="17" t="str">
        <f aca="false">IF($F2595="","",IF($F2595&lt;1,ROUND($F2595*1440,0),INT($F2595/100)*60+MOD($F2595,100)))</f>
        <v/>
      </c>
    </row>
    <row r="2596" customFormat="false" ht="15" hidden="false" customHeight="true" outlineLevel="0" collapsed="false">
      <c r="A2596" s="10"/>
      <c r="B2596" s="8"/>
      <c r="C2596" s="13" t="str">
        <f aca="false">IF($B2596="","",IFERROR(INDEX(직원목록!$B$3:$B$302,MATCH($B2596,직원목록!$A$3:$A$302,0)),"미등록사번"))</f>
        <v/>
      </c>
      <c r="D2596" s="13" t="str">
        <f aca="false">IF($B2596="","",IFERROR(INDEX(직원목록!$C$3:$C$302,MATCH($B2596,직원목록!$A$3:$A$302,0)),""))</f>
        <v/>
      </c>
      <c r="E2596" s="14"/>
      <c r="F2596" s="14"/>
      <c r="G2596" s="15"/>
      <c r="H2596" s="16" t="str">
        <f aca="false">IF(OR($K2596="",$L2596=""),"",ROUND(MAX(0,($L2596-$K2596)-IF($G2596="",0,$G2596))/60,2))</f>
        <v/>
      </c>
      <c r="I2596" s="8"/>
      <c r="J2596" s="8"/>
      <c r="K2596" s="17" t="str">
        <f aca="false">IF($E2596="","",IF($E2596&lt;1,ROUND($E2596*1440,0),INT($E2596/100)*60+MOD($E2596,100)))</f>
        <v/>
      </c>
      <c r="L2596" s="17" t="str">
        <f aca="false">IF($F2596="","",IF($F2596&lt;1,ROUND($F2596*1440,0),INT($F2596/100)*60+MOD($F2596,100)))</f>
        <v/>
      </c>
    </row>
    <row r="2597" customFormat="false" ht="15" hidden="false" customHeight="true" outlineLevel="0" collapsed="false">
      <c r="A2597" s="10"/>
      <c r="B2597" s="8"/>
      <c r="C2597" s="13" t="str">
        <f aca="false">IF($B2597="","",IFERROR(INDEX(직원목록!$B$3:$B$302,MATCH($B2597,직원목록!$A$3:$A$302,0)),"미등록사번"))</f>
        <v/>
      </c>
      <c r="D2597" s="13" t="str">
        <f aca="false">IF($B2597="","",IFERROR(INDEX(직원목록!$C$3:$C$302,MATCH($B2597,직원목록!$A$3:$A$302,0)),""))</f>
        <v/>
      </c>
      <c r="E2597" s="14"/>
      <c r="F2597" s="14"/>
      <c r="G2597" s="15"/>
      <c r="H2597" s="16" t="str">
        <f aca="false">IF(OR($K2597="",$L2597=""),"",ROUND(MAX(0,($L2597-$K2597)-IF($G2597="",0,$G2597))/60,2))</f>
        <v/>
      </c>
      <c r="I2597" s="8"/>
      <c r="J2597" s="8"/>
      <c r="K2597" s="17" t="str">
        <f aca="false">IF($E2597="","",IF($E2597&lt;1,ROUND($E2597*1440,0),INT($E2597/100)*60+MOD($E2597,100)))</f>
        <v/>
      </c>
      <c r="L2597" s="17" t="str">
        <f aca="false">IF($F2597="","",IF($F2597&lt;1,ROUND($F2597*1440,0),INT($F2597/100)*60+MOD($F2597,100)))</f>
        <v/>
      </c>
    </row>
    <row r="2598" customFormat="false" ht="15" hidden="false" customHeight="true" outlineLevel="0" collapsed="false">
      <c r="A2598" s="10"/>
      <c r="B2598" s="8"/>
      <c r="C2598" s="13" t="str">
        <f aca="false">IF($B2598="","",IFERROR(INDEX(직원목록!$B$3:$B$302,MATCH($B2598,직원목록!$A$3:$A$302,0)),"미등록사번"))</f>
        <v/>
      </c>
      <c r="D2598" s="13" t="str">
        <f aca="false">IF($B2598="","",IFERROR(INDEX(직원목록!$C$3:$C$302,MATCH($B2598,직원목록!$A$3:$A$302,0)),""))</f>
        <v/>
      </c>
      <c r="E2598" s="14"/>
      <c r="F2598" s="14"/>
      <c r="G2598" s="15"/>
      <c r="H2598" s="16" t="str">
        <f aca="false">IF(OR($K2598="",$L2598=""),"",ROUND(MAX(0,($L2598-$K2598)-IF($G2598="",0,$G2598))/60,2))</f>
        <v/>
      </c>
      <c r="I2598" s="8"/>
      <c r="J2598" s="8"/>
      <c r="K2598" s="17" t="str">
        <f aca="false">IF($E2598="","",IF($E2598&lt;1,ROUND($E2598*1440,0),INT($E2598/100)*60+MOD($E2598,100)))</f>
        <v/>
      </c>
      <c r="L2598" s="17" t="str">
        <f aca="false">IF($F2598="","",IF($F2598&lt;1,ROUND($F2598*1440,0),INT($F2598/100)*60+MOD($F2598,100)))</f>
        <v/>
      </c>
    </row>
    <row r="2599" customFormat="false" ht="15" hidden="false" customHeight="true" outlineLevel="0" collapsed="false">
      <c r="A2599" s="10"/>
      <c r="B2599" s="8"/>
      <c r="C2599" s="13" t="str">
        <f aca="false">IF($B2599="","",IFERROR(INDEX(직원목록!$B$3:$B$302,MATCH($B2599,직원목록!$A$3:$A$302,0)),"미등록사번"))</f>
        <v/>
      </c>
      <c r="D2599" s="13" t="str">
        <f aca="false">IF($B2599="","",IFERROR(INDEX(직원목록!$C$3:$C$302,MATCH($B2599,직원목록!$A$3:$A$302,0)),""))</f>
        <v/>
      </c>
      <c r="E2599" s="14"/>
      <c r="F2599" s="14"/>
      <c r="G2599" s="15"/>
      <c r="H2599" s="16" t="str">
        <f aca="false">IF(OR($K2599="",$L2599=""),"",ROUND(MAX(0,($L2599-$K2599)-IF($G2599="",0,$G2599))/60,2))</f>
        <v/>
      </c>
      <c r="I2599" s="8"/>
      <c r="J2599" s="8"/>
      <c r="K2599" s="17" t="str">
        <f aca="false">IF($E2599="","",IF($E2599&lt;1,ROUND($E2599*1440,0),INT($E2599/100)*60+MOD($E2599,100)))</f>
        <v/>
      </c>
      <c r="L2599" s="17" t="str">
        <f aca="false">IF($F2599="","",IF($F2599&lt;1,ROUND($F2599*1440,0),INT($F2599/100)*60+MOD($F2599,100)))</f>
        <v/>
      </c>
    </row>
    <row r="2600" customFormat="false" ht="15" hidden="false" customHeight="true" outlineLevel="0" collapsed="false">
      <c r="A2600" s="10"/>
      <c r="B2600" s="8"/>
      <c r="C2600" s="13" t="str">
        <f aca="false">IF($B2600="","",IFERROR(INDEX(직원목록!$B$3:$B$302,MATCH($B2600,직원목록!$A$3:$A$302,0)),"미등록사번"))</f>
        <v/>
      </c>
      <c r="D2600" s="13" t="str">
        <f aca="false">IF($B2600="","",IFERROR(INDEX(직원목록!$C$3:$C$302,MATCH($B2600,직원목록!$A$3:$A$302,0)),""))</f>
        <v/>
      </c>
      <c r="E2600" s="14"/>
      <c r="F2600" s="14"/>
      <c r="G2600" s="15"/>
      <c r="H2600" s="16" t="str">
        <f aca="false">IF(OR($K2600="",$L2600=""),"",ROUND(MAX(0,($L2600-$K2600)-IF($G2600="",0,$G2600))/60,2))</f>
        <v/>
      </c>
      <c r="I2600" s="8"/>
      <c r="J2600" s="8"/>
      <c r="K2600" s="17" t="str">
        <f aca="false">IF($E2600="","",IF($E2600&lt;1,ROUND($E2600*1440,0),INT($E2600/100)*60+MOD($E2600,100)))</f>
        <v/>
      </c>
      <c r="L2600" s="17" t="str">
        <f aca="false">IF($F2600="","",IF($F2600&lt;1,ROUND($F2600*1440,0),INT($F2600/100)*60+MOD($F2600,100)))</f>
        <v/>
      </c>
    </row>
    <row r="2601" customFormat="false" ht="15" hidden="false" customHeight="true" outlineLevel="0" collapsed="false">
      <c r="A2601" s="10"/>
      <c r="B2601" s="8"/>
      <c r="C2601" s="13" t="str">
        <f aca="false">IF($B2601="","",IFERROR(INDEX(직원목록!$B$3:$B$302,MATCH($B2601,직원목록!$A$3:$A$302,0)),"미등록사번"))</f>
        <v/>
      </c>
      <c r="D2601" s="13" t="str">
        <f aca="false">IF($B2601="","",IFERROR(INDEX(직원목록!$C$3:$C$302,MATCH($B2601,직원목록!$A$3:$A$302,0)),""))</f>
        <v/>
      </c>
      <c r="E2601" s="14"/>
      <c r="F2601" s="14"/>
      <c r="G2601" s="15"/>
      <c r="H2601" s="16" t="str">
        <f aca="false">IF(OR($K2601="",$L2601=""),"",ROUND(MAX(0,($L2601-$K2601)-IF($G2601="",0,$G2601))/60,2))</f>
        <v/>
      </c>
      <c r="I2601" s="8"/>
      <c r="J2601" s="8"/>
      <c r="K2601" s="17" t="str">
        <f aca="false">IF($E2601="","",IF($E2601&lt;1,ROUND($E2601*1440,0),INT($E2601/100)*60+MOD($E2601,100)))</f>
        <v/>
      </c>
      <c r="L2601" s="17" t="str">
        <f aca="false">IF($F2601="","",IF($F2601&lt;1,ROUND($F2601*1440,0),INT($F2601/100)*60+MOD($F2601,100)))</f>
        <v/>
      </c>
    </row>
    <row r="2602" customFormat="false" ht="15" hidden="false" customHeight="true" outlineLevel="0" collapsed="false">
      <c r="A2602" s="10"/>
      <c r="B2602" s="8"/>
      <c r="C2602" s="13" t="str">
        <f aca="false">IF($B2602="","",IFERROR(INDEX(직원목록!$B$3:$B$302,MATCH($B2602,직원목록!$A$3:$A$302,0)),"미등록사번"))</f>
        <v/>
      </c>
      <c r="D2602" s="13" t="str">
        <f aca="false">IF($B2602="","",IFERROR(INDEX(직원목록!$C$3:$C$302,MATCH($B2602,직원목록!$A$3:$A$302,0)),""))</f>
        <v/>
      </c>
      <c r="E2602" s="14"/>
      <c r="F2602" s="14"/>
      <c r="G2602" s="15"/>
      <c r="H2602" s="16" t="str">
        <f aca="false">IF(OR($K2602="",$L2602=""),"",ROUND(MAX(0,($L2602-$K2602)-IF($G2602="",0,$G2602))/60,2))</f>
        <v/>
      </c>
      <c r="I2602" s="8"/>
      <c r="J2602" s="8"/>
      <c r="K2602" s="17" t="str">
        <f aca="false">IF($E2602="","",IF($E2602&lt;1,ROUND($E2602*1440,0),INT($E2602/100)*60+MOD($E2602,100)))</f>
        <v/>
      </c>
      <c r="L2602" s="17" t="str">
        <f aca="false">IF($F2602="","",IF($F2602&lt;1,ROUND($F2602*1440,0),INT($F2602/100)*60+MOD($F2602,100)))</f>
        <v/>
      </c>
    </row>
    <row r="2603" customFormat="false" ht="15" hidden="false" customHeight="true" outlineLevel="0" collapsed="false">
      <c r="A2603" s="10"/>
      <c r="B2603" s="8"/>
      <c r="C2603" s="13" t="str">
        <f aca="false">IF($B2603="","",IFERROR(INDEX(직원목록!$B$3:$B$302,MATCH($B2603,직원목록!$A$3:$A$302,0)),"미등록사번"))</f>
        <v/>
      </c>
      <c r="D2603" s="13" t="str">
        <f aca="false">IF($B2603="","",IFERROR(INDEX(직원목록!$C$3:$C$302,MATCH($B2603,직원목록!$A$3:$A$302,0)),""))</f>
        <v/>
      </c>
      <c r="E2603" s="14"/>
      <c r="F2603" s="14"/>
      <c r="G2603" s="15"/>
      <c r="H2603" s="16" t="str">
        <f aca="false">IF(OR($K2603="",$L2603=""),"",ROUND(MAX(0,($L2603-$K2603)-IF($G2603="",0,$G2603))/60,2))</f>
        <v/>
      </c>
      <c r="I2603" s="8"/>
      <c r="J2603" s="8"/>
      <c r="K2603" s="17" t="str">
        <f aca="false">IF($E2603="","",IF($E2603&lt;1,ROUND($E2603*1440,0),INT($E2603/100)*60+MOD($E2603,100)))</f>
        <v/>
      </c>
      <c r="L2603" s="17" t="str">
        <f aca="false">IF($F2603="","",IF($F2603&lt;1,ROUND($F2603*1440,0),INT($F2603/100)*60+MOD($F2603,100)))</f>
        <v/>
      </c>
    </row>
    <row r="2604" customFormat="false" ht="15" hidden="false" customHeight="true" outlineLevel="0" collapsed="false">
      <c r="A2604" s="10"/>
      <c r="B2604" s="8"/>
      <c r="C2604" s="13" t="str">
        <f aca="false">IF($B2604="","",IFERROR(INDEX(직원목록!$B$3:$B$302,MATCH($B2604,직원목록!$A$3:$A$302,0)),"미등록사번"))</f>
        <v/>
      </c>
      <c r="D2604" s="13" t="str">
        <f aca="false">IF($B2604="","",IFERROR(INDEX(직원목록!$C$3:$C$302,MATCH($B2604,직원목록!$A$3:$A$302,0)),""))</f>
        <v/>
      </c>
      <c r="E2604" s="14"/>
      <c r="F2604" s="14"/>
      <c r="G2604" s="15"/>
      <c r="H2604" s="16" t="str">
        <f aca="false">IF(OR($K2604="",$L2604=""),"",ROUND(MAX(0,($L2604-$K2604)-IF($G2604="",0,$G2604))/60,2))</f>
        <v/>
      </c>
      <c r="I2604" s="8"/>
      <c r="J2604" s="8"/>
      <c r="K2604" s="17" t="str">
        <f aca="false">IF($E2604="","",IF($E2604&lt;1,ROUND($E2604*1440,0),INT($E2604/100)*60+MOD($E2604,100)))</f>
        <v/>
      </c>
      <c r="L2604" s="17" t="str">
        <f aca="false">IF($F2604="","",IF($F2604&lt;1,ROUND($F2604*1440,0),INT($F2604/100)*60+MOD($F2604,100)))</f>
        <v/>
      </c>
    </row>
    <row r="2605" customFormat="false" ht="15" hidden="false" customHeight="true" outlineLevel="0" collapsed="false">
      <c r="A2605" s="10"/>
      <c r="B2605" s="8"/>
      <c r="C2605" s="13" t="str">
        <f aca="false">IF($B2605="","",IFERROR(INDEX(직원목록!$B$3:$B$302,MATCH($B2605,직원목록!$A$3:$A$302,0)),"미등록사번"))</f>
        <v/>
      </c>
      <c r="D2605" s="13" t="str">
        <f aca="false">IF($B2605="","",IFERROR(INDEX(직원목록!$C$3:$C$302,MATCH($B2605,직원목록!$A$3:$A$302,0)),""))</f>
        <v/>
      </c>
      <c r="E2605" s="14"/>
      <c r="F2605" s="14"/>
      <c r="G2605" s="15"/>
      <c r="H2605" s="16" t="str">
        <f aca="false">IF(OR($K2605="",$L2605=""),"",ROUND(MAX(0,($L2605-$K2605)-IF($G2605="",0,$G2605))/60,2))</f>
        <v/>
      </c>
      <c r="I2605" s="8"/>
      <c r="J2605" s="8"/>
      <c r="K2605" s="17" t="str">
        <f aca="false">IF($E2605="","",IF($E2605&lt;1,ROUND($E2605*1440,0),INT($E2605/100)*60+MOD($E2605,100)))</f>
        <v/>
      </c>
      <c r="L2605" s="17" t="str">
        <f aca="false">IF($F2605="","",IF($F2605&lt;1,ROUND($F2605*1440,0),INT($F2605/100)*60+MOD($F2605,100)))</f>
        <v/>
      </c>
    </row>
    <row r="2606" customFormat="false" ht="15" hidden="false" customHeight="true" outlineLevel="0" collapsed="false">
      <c r="A2606" s="10"/>
      <c r="B2606" s="8"/>
      <c r="C2606" s="13" t="str">
        <f aca="false">IF($B2606="","",IFERROR(INDEX(직원목록!$B$3:$B$302,MATCH($B2606,직원목록!$A$3:$A$302,0)),"미등록사번"))</f>
        <v/>
      </c>
      <c r="D2606" s="13" t="str">
        <f aca="false">IF($B2606="","",IFERROR(INDEX(직원목록!$C$3:$C$302,MATCH($B2606,직원목록!$A$3:$A$302,0)),""))</f>
        <v/>
      </c>
      <c r="E2606" s="14"/>
      <c r="F2606" s="14"/>
      <c r="G2606" s="15"/>
      <c r="H2606" s="16" t="str">
        <f aca="false">IF(OR($K2606="",$L2606=""),"",ROUND(MAX(0,($L2606-$K2606)-IF($G2606="",0,$G2606))/60,2))</f>
        <v/>
      </c>
      <c r="I2606" s="8"/>
      <c r="J2606" s="8"/>
      <c r="K2606" s="17" t="str">
        <f aca="false">IF($E2606="","",IF($E2606&lt;1,ROUND($E2606*1440,0),INT($E2606/100)*60+MOD($E2606,100)))</f>
        <v/>
      </c>
      <c r="L2606" s="17" t="str">
        <f aca="false">IF($F2606="","",IF($F2606&lt;1,ROUND($F2606*1440,0),INT($F2606/100)*60+MOD($F2606,100)))</f>
        <v/>
      </c>
    </row>
    <row r="2607" customFormat="false" ht="15" hidden="false" customHeight="true" outlineLevel="0" collapsed="false">
      <c r="A2607" s="10"/>
      <c r="B2607" s="8"/>
      <c r="C2607" s="13" t="str">
        <f aca="false">IF($B2607="","",IFERROR(INDEX(직원목록!$B$3:$B$302,MATCH($B2607,직원목록!$A$3:$A$302,0)),"미등록사번"))</f>
        <v/>
      </c>
      <c r="D2607" s="13" t="str">
        <f aca="false">IF($B2607="","",IFERROR(INDEX(직원목록!$C$3:$C$302,MATCH($B2607,직원목록!$A$3:$A$302,0)),""))</f>
        <v/>
      </c>
      <c r="E2607" s="14"/>
      <c r="F2607" s="14"/>
      <c r="G2607" s="15"/>
      <c r="H2607" s="16" t="str">
        <f aca="false">IF(OR($K2607="",$L2607=""),"",ROUND(MAX(0,($L2607-$K2607)-IF($G2607="",0,$G2607))/60,2))</f>
        <v/>
      </c>
      <c r="I2607" s="8"/>
      <c r="J2607" s="8"/>
      <c r="K2607" s="17" t="str">
        <f aca="false">IF($E2607="","",IF($E2607&lt;1,ROUND($E2607*1440,0),INT($E2607/100)*60+MOD($E2607,100)))</f>
        <v/>
      </c>
      <c r="L2607" s="17" t="str">
        <f aca="false">IF($F2607="","",IF($F2607&lt;1,ROUND($F2607*1440,0),INT($F2607/100)*60+MOD($F2607,100)))</f>
        <v/>
      </c>
    </row>
    <row r="2608" customFormat="false" ht="15" hidden="false" customHeight="true" outlineLevel="0" collapsed="false">
      <c r="A2608" s="10"/>
      <c r="B2608" s="8"/>
      <c r="C2608" s="13" t="str">
        <f aca="false">IF($B2608="","",IFERROR(INDEX(직원목록!$B$3:$B$302,MATCH($B2608,직원목록!$A$3:$A$302,0)),"미등록사번"))</f>
        <v/>
      </c>
      <c r="D2608" s="13" t="str">
        <f aca="false">IF($B2608="","",IFERROR(INDEX(직원목록!$C$3:$C$302,MATCH($B2608,직원목록!$A$3:$A$302,0)),""))</f>
        <v/>
      </c>
      <c r="E2608" s="14"/>
      <c r="F2608" s="14"/>
      <c r="G2608" s="15"/>
      <c r="H2608" s="16" t="str">
        <f aca="false">IF(OR($K2608="",$L2608=""),"",ROUND(MAX(0,($L2608-$K2608)-IF($G2608="",0,$G2608))/60,2))</f>
        <v/>
      </c>
      <c r="I2608" s="8"/>
      <c r="J2608" s="8"/>
      <c r="K2608" s="17" t="str">
        <f aca="false">IF($E2608="","",IF($E2608&lt;1,ROUND($E2608*1440,0),INT($E2608/100)*60+MOD($E2608,100)))</f>
        <v/>
      </c>
      <c r="L2608" s="17" t="str">
        <f aca="false">IF($F2608="","",IF($F2608&lt;1,ROUND($F2608*1440,0),INT($F2608/100)*60+MOD($F2608,100)))</f>
        <v/>
      </c>
    </row>
    <row r="2609" customFormat="false" ht="15" hidden="false" customHeight="true" outlineLevel="0" collapsed="false">
      <c r="A2609" s="10"/>
      <c r="B2609" s="8"/>
      <c r="C2609" s="13" t="str">
        <f aca="false">IF($B2609="","",IFERROR(INDEX(직원목록!$B$3:$B$302,MATCH($B2609,직원목록!$A$3:$A$302,0)),"미등록사번"))</f>
        <v/>
      </c>
      <c r="D2609" s="13" t="str">
        <f aca="false">IF($B2609="","",IFERROR(INDEX(직원목록!$C$3:$C$302,MATCH($B2609,직원목록!$A$3:$A$302,0)),""))</f>
        <v/>
      </c>
      <c r="E2609" s="14"/>
      <c r="F2609" s="14"/>
      <c r="G2609" s="15"/>
      <c r="H2609" s="16" t="str">
        <f aca="false">IF(OR($K2609="",$L2609=""),"",ROUND(MAX(0,($L2609-$K2609)-IF($G2609="",0,$G2609))/60,2))</f>
        <v/>
      </c>
      <c r="I2609" s="8"/>
      <c r="J2609" s="8"/>
      <c r="K2609" s="17" t="str">
        <f aca="false">IF($E2609="","",IF($E2609&lt;1,ROUND($E2609*1440,0),INT($E2609/100)*60+MOD($E2609,100)))</f>
        <v/>
      </c>
      <c r="L2609" s="17" t="str">
        <f aca="false">IF($F2609="","",IF($F2609&lt;1,ROUND($F2609*1440,0),INT($F2609/100)*60+MOD($F2609,100)))</f>
        <v/>
      </c>
    </row>
    <row r="2610" customFormat="false" ht="15" hidden="false" customHeight="true" outlineLevel="0" collapsed="false">
      <c r="A2610" s="10"/>
      <c r="B2610" s="8"/>
      <c r="C2610" s="13" t="str">
        <f aca="false">IF($B2610="","",IFERROR(INDEX(직원목록!$B$3:$B$302,MATCH($B2610,직원목록!$A$3:$A$302,0)),"미등록사번"))</f>
        <v/>
      </c>
      <c r="D2610" s="13" t="str">
        <f aca="false">IF($B2610="","",IFERROR(INDEX(직원목록!$C$3:$C$302,MATCH($B2610,직원목록!$A$3:$A$302,0)),""))</f>
        <v/>
      </c>
      <c r="E2610" s="14"/>
      <c r="F2610" s="14"/>
      <c r="G2610" s="15"/>
      <c r="H2610" s="16" t="str">
        <f aca="false">IF(OR($K2610="",$L2610=""),"",ROUND(MAX(0,($L2610-$K2610)-IF($G2610="",0,$G2610))/60,2))</f>
        <v/>
      </c>
      <c r="I2610" s="8"/>
      <c r="J2610" s="8"/>
      <c r="K2610" s="17" t="str">
        <f aca="false">IF($E2610="","",IF($E2610&lt;1,ROUND($E2610*1440,0),INT($E2610/100)*60+MOD($E2610,100)))</f>
        <v/>
      </c>
      <c r="L2610" s="17" t="str">
        <f aca="false">IF($F2610="","",IF($F2610&lt;1,ROUND($F2610*1440,0),INT($F2610/100)*60+MOD($F2610,100)))</f>
        <v/>
      </c>
    </row>
    <row r="2611" customFormat="false" ht="15" hidden="false" customHeight="true" outlineLevel="0" collapsed="false">
      <c r="A2611" s="10"/>
      <c r="B2611" s="8"/>
      <c r="C2611" s="13" t="str">
        <f aca="false">IF($B2611="","",IFERROR(INDEX(직원목록!$B$3:$B$302,MATCH($B2611,직원목록!$A$3:$A$302,0)),"미등록사번"))</f>
        <v/>
      </c>
      <c r="D2611" s="13" t="str">
        <f aca="false">IF($B2611="","",IFERROR(INDEX(직원목록!$C$3:$C$302,MATCH($B2611,직원목록!$A$3:$A$302,0)),""))</f>
        <v/>
      </c>
      <c r="E2611" s="14"/>
      <c r="F2611" s="14"/>
      <c r="G2611" s="15"/>
      <c r="H2611" s="16" t="str">
        <f aca="false">IF(OR($K2611="",$L2611=""),"",ROUND(MAX(0,($L2611-$K2611)-IF($G2611="",0,$G2611))/60,2))</f>
        <v/>
      </c>
      <c r="I2611" s="8"/>
      <c r="J2611" s="8"/>
      <c r="K2611" s="17" t="str">
        <f aca="false">IF($E2611="","",IF($E2611&lt;1,ROUND($E2611*1440,0),INT($E2611/100)*60+MOD($E2611,100)))</f>
        <v/>
      </c>
      <c r="L2611" s="17" t="str">
        <f aca="false">IF($F2611="","",IF($F2611&lt;1,ROUND($F2611*1440,0),INT($F2611/100)*60+MOD($F2611,100)))</f>
        <v/>
      </c>
    </row>
    <row r="2612" customFormat="false" ht="15" hidden="false" customHeight="true" outlineLevel="0" collapsed="false">
      <c r="A2612" s="10"/>
      <c r="B2612" s="8"/>
      <c r="C2612" s="13" t="str">
        <f aca="false">IF($B2612="","",IFERROR(INDEX(직원목록!$B$3:$B$302,MATCH($B2612,직원목록!$A$3:$A$302,0)),"미등록사번"))</f>
        <v/>
      </c>
      <c r="D2612" s="13" t="str">
        <f aca="false">IF($B2612="","",IFERROR(INDEX(직원목록!$C$3:$C$302,MATCH($B2612,직원목록!$A$3:$A$302,0)),""))</f>
        <v/>
      </c>
      <c r="E2612" s="14"/>
      <c r="F2612" s="14"/>
      <c r="G2612" s="15"/>
      <c r="H2612" s="16" t="str">
        <f aca="false">IF(OR($K2612="",$L2612=""),"",ROUND(MAX(0,($L2612-$K2612)-IF($G2612="",0,$G2612))/60,2))</f>
        <v/>
      </c>
      <c r="I2612" s="8"/>
      <c r="J2612" s="8"/>
      <c r="K2612" s="17" t="str">
        <f aca="false">IF($E2612="","",IF($E2612&lt;1,ROUND($E2612*1440,0),INT($E2612/100)*60+MOD($E2612,100)))</f>
        <v/>
      </c>
      <c r="L2612" s="17" t="str">
        <f aca="false">IF($F2612="","",IF($F2612&lt;1,ROUND($F2612*1440,0),INT($F2612/100)*60+MOD($F2612,100)))</f>
        <v/>
      </c>
    </row>
    <row r="2613" customFormat="false" ht="15" hidden="false" customHeight="true" outlineLevel="0" collapsed="false">
      <c r="A2613" s="10"/>
      <c r="B2613" s="8"/>
      <c r="C2613" s="13" t="str">
        <f aca="false">IF($B2613="","",IFERROR(INDEX(직원목록!$B$3:$B$302,MATCH($B2613,직원목록!$A$3:$A$302,0)),"미등록사번"))</f>
        <v/>
      </c>
      <c r="D2613" s="13" t="str">
        <f aca="false">IF($B2613="","",IFERROR(INDEX(직원목록!$C$3:$C$302,MATCH($B2613,직원목록!$A$3:$A$302,0)),""))</f>
        <v/>
      </c>
      <c r="E2613" s="14"/>
      <c r="F2613" s="14"/>
      <c r="G2613" s="15"/>
      <c r="H2613" s="16" t="str">
        <f aca="false">IF(OR($K2613="",$L2613=""),"",ROUND(MAX(0,($L2613-$K2613)-IF($G2613="",0,$G2613))/60,2))</f>
        <v/>
      </c>
      <c r="I2613" s="8"/>
      <c r="J2613" s="8"/>
      <c r="K2613" s="17" t="str">
        <f aca="false">IF($E2613="","",IF($E2613&lt;1,ROUND($E2613*1440,0),INT($E2613/100)*60+MOD($E2613,100)))</f>
        <v/>
      </c>
      <c r="L2613" s="17" t="str">
        <f aca="false">IF($F2613="","",IF($F2613&lt;1,ROUND($F2613*1440,0),INT($F2613/100)*60+MOD($F2613,100)))</f>
        <v/>
      </c>
    </row>
    <row r="2614" customFormat="false" ht="15" hidden="false" customHeight="true" outlineLevel="0" collapsed="false">
      <c r="A2614" s="10"/>
      <c r="B2614" s="8"/>
      <c r="C2614" s="13" t="str">
        <f aca="false">IF($B2614="","",IFERROR(INDEX(직원목록!$B$3:$B$302,MATCH($B2614,직원목록!$A$3:$A$302,0)),"미등록사번"))</f>
        <v/>
      </c>
      <c r="D2614" s="13" t="str">
        <f aca="false">IF($B2614="","",IFERROR(INDEX(직원목록!$C$3:$C$302,MATCH($B2614,직원목록!$A$3:$A$302,0)),""))</f>
        <v/>
      </c>
      <c r="E2614" s="14"/>
      <c r="F2614" s="14"/>
      <c r="G2614" s="15"/>
      <c r="H2614" s="16" t="str">
        <f aca="false">IF(OR($K2614="",$L2614=""),"",ROUND(MAX(0,($L2614-$K2614)-IF($G2614="",0,$G2614))/60,2))</f>
        <v/>
      </c>
      <c r="I2614" s="8"/>
      <c r="J2614" s="8"/>
      <c r="K2614" s="17" t="str">
        <f aca="false">IF($E2614="","",IF($E2614&lt;1,ROUND($E2614*1440,0),INT($E2614/100)*60+MOD($E2614,100)))</f>
        <v/>
      </c>
      <c r="L2614" s="17" t="str">
        <f aca="false">IF($F2614="","",IF($F2614&lt;1,ROUND($F2614*1440,0),INT($F2614/100)*60+MOD($F2614,100)))</f>
        <v/>
      </c>
    </row>
    <row r="2615" customFormat="false" ht="15" hidden="false" customHeight="true" outlineLevel="0" collapsed="false">
      <c r="A2615" s="10"/>
      <c r="B2615" s="8"/>
      <c r="C2615" s="13" t="str">
        <f aca="false">IF($B2615="","",IFERROR(INDEX(직원목록!$B$3:$B$302,MATCH($B2615,직원목록!$A$3:$A$302,0)),"미등록사번"))</f>
        <v/>
      </c>
      <c r="D2615" s="13" t="str">
        <f aca="false">IF($B2615="","",IFERROR(INDEX(직원목록!$C$3:$C$302,MATCH($B2615,직원목록!$A$3:$A$302,0)),""))</f>
        <v/>
      </c>
      <c r="E2615" s="14"/>
      <c r="F2615" s="14"/>
      <c r="G2615" s="15"/>
      <c r="H2615" s="16" t="str">
        <f aca="false">IF(OR($K2615="",$L2615=""),"",ROUND(MAX(0,($L2615-$K2615)-IF($G2615="",0,$G2615))/60,2))</f>
        <v/>
      </c>
      <c r="I2615" s="8"/>
      <c r="J2615" s="8"/>
      <c r="K2615" s="17" t="str">
        <f aca="false">IF($E2615="","",IF($E2615&lt;1,ROUND($E2615*1440,0),INT($E2615/100)*60+MOD($E2615,100)))</f>
        <v/>
      </c>
      <c r="L2615" s="17" t="str">
        <f aca="false">IF($F2615="","",IF($F2615&lt;1,ROUND($F2615*1440,0),INT($F2615/100)*60+MOD($F2615,100)))</f>
        <v/>
      </c>
    </row>
    <row r="2616" customFormat="false" ht="15" hidden="false" customHeight="true" outlineLevel="0" collapsed="false">
      <c r="A2616" s="10"/>
      <c r="B2616" s="8"/>
      <c r="C2616" s="13" t="str">
        <f aca="false">IF($B2616="","",IFERROR(INDEX(직원목록!$B$3:$B$302,MATCH($B2616,직원목록!$A$3:$A$302,0)),"미등록사번"))</f>
        <v/>
      </c>
      <c r="D2616" s="13" t="str">
        <f aca="false">IF($B2616="","",IFERROR(INDEX(직원목록!$C$3:$C$302,MATCH($B2616,직원목록!$A$3:$A$302,0)),""))</f>
        <v/>
      </c>
      <c r="E2616" s="14"/>
      <c r="F2616" s="14"/>
      <c r="G2616" s="15"/>
      <c r="H2616" s="16" t="str">
        <f aca="false">IF(OR($K2616="",$L2616=""),"",ROUND(MAX(0,($L2616-$K2616)-IF($G2616="",0,$G2616))/60,2))</f>
        <v/>
      </c>
      <c r="I2616" s="8"/>
      <c r="J2616" s="8"/>
      <c r="K2616" s="17" t="str">
        <f aca="false">IF($E2616="","",IF($E2616&lt;1,ROUND($E2616*1440,0),INT($E2616/100)*60+MOD($E2616,100)))</f>
        <v/>
      </c>
      <c r="L2616" s="17" t="str">
        <f aca="false">IF($F2616="","",IF($F2616&lt;1,ROUND($F2616*1440,0),INT($F2616/100)*60+MOD($F2616,100)))</f>
        <v/>
      </c>
    </row>
    <row r="2617" customFormat="false" ht="15" hidden="false" customHeight="true" outlineLevel="0" collapsed="false">
      <c r="A2617" s="10"/>
      <c r="B2617" s="8"/>
      <c r="C2617" s="13" t="str">
        <f aca="false">IF($B2617="","",IFERROR(INDEX(직원목록!$B$3:$B$302,MATCH($B2617,직원목록!$A$3:$A$302,0)),"미등록사번"))</f>
        <v/>
      </c>
      <c r="D2617" s="13" t="str">
        <f aca="false">IF($B2617="","",IFERROR(INDEX(직원목록!$C$3:$C$302,MATCH($B2617,직원목록!$A$3:$A$302,0)),""))</f>
        <v/>
      </c>
      <c r="E2617" s="14"/>
      <c r="F2617" s="14"/>
      <c r="G2617" s="15"/>
      <c r="H2617" s="16" t="str">
        <f aca="false">IF(OR($K2617="",$L2617=""),"",ROUND(MAX(0,($L2617-$K2617)-IF($G2617="",0,$G2617))/60,2))</f>
        <v/>
      </c>
      <c r="I2617" s="8"/>
      <c r="J2617" s="8"/>
      <c r="K2617" s="17" t="str">
        <f aca="false">IF($E2617="","",IF($E2617&lt;1,ROUND($E2617*1440,0),INT($E2617/100)*60+MOD($E2617,100)))</f>
        <v/>
      </c>
      <c r="L2617" s="17" t="str">
        <f aca="false">IF($F2617="","",IF($F2617&lt;1,ROUND($F2617*1440,0),INT($F2617/100)*60+MOD($F2617,100)))</f>
        <v/>
      </c>
    </row>
    <row r="2618" customFormat="false" ht="15" hidden="false" customHeight="true" outlineLevel="0" collapsed="false">
      <c r="A2618" s="10"/>
      <c r="B2618" s="8"/>
      <c r="C2618" s="13" t="str">
        <f aca="false">IF($B2618="","",IFERROR(INDEX(직원목록!$B$3:$B$302,MATCH($B2618,직원목록!$A$3:$A$302,0)),"미등록사번"))</f>
        <v/>
      </c>
      <c r="D2618" s="13" t="str">
        <f aca="false">IF($B2618="","",IFERROR(INDEX(직원목록!$C$3:$C$302,MATCH($B2618,직원목록!$A$3:$A$302,0)),""))</f>
        <v/>
      </c>
      <c r="E2618" s="14"/>
      <c r="F2618" s="14"/>
      <c r="G2618" s="15"/>
      <c r="H2618" s="16" t="str">
        <f aca="false">IF(OR($K2618="",$L2618=""),"",ROUND(MAX(0,($L2618-$K2618)-IF($G2618="",0,$G2618))/60,2))</f>
        <v/>
      </c>
      <c r="I2618" s="8"/>
      <c r="J2618" s="8"/>
      <c r="K2618" s="17" t="str">
        <f aca="false">IF($E2618="","",IF($E2618&lt;1,ROUND($E2618*1440,0),INT($E2618/100)*60+MOD($E2618,100)))</f>
        <v/>
      </c>
      <c r="L2618" s="17" t="str">
        <f aca="false">IF($F2618="","",IF($F2618&lt;1,ROUND($F2618*1440,0),INT($F2618/100)*60+MOD($F2618,100)))</f>
        <v/>
      </c>
    </row>
    <row r="2619" customFormat="false" ht="15" hidden="false" customHeight="true" outlineLevel="0" collapsed="false">
      <c r="A2619" s="10"/>
      <c r="B2619" s="8"/>
      <c r="C2619" s="13" t="str">
        <f aca="false">IF($B2619="","",IFERROR(INDEX(직원목록!$B$3:$B$302,MATCH($B2619,직원목록!$A$3:$A$302,0)),"미등록사번"))</f>
        <v/>
      </c>
      <c r="D2619" s="13" t="str">
        <f aca="false">IF($B2619="","",IFERROR(INDEX(직원목록!$C$3:$C$302,MATCH($B2619,직원목록!$A$3:$A$302,0)),""))</f>
        <v/>
      </c>
      <c r="E2619" s="14"/>
      <c r="F2619" s="14"/>
      <c r="G2619" s="15"/>
      <c r="H2619" s="16" t="str">
        <f aca="false">IF(OR($K2619="",$L2619=""),"",ROUND(MAX(0,($L2619-$K2619)-IF($G2619="",0,$G2619))/60,2))</f>
        <v/>
      </c>
      <c r="I2619" s="8"/>
      <c r="J2619" s="8"/>
      <c r="K2619" s="17" t="str">
        <f aca="false">IF($E2619="","",IF($E2619&lt;1,ROUND($E2619*1440,0),INT($E2619/100)*60+MOD($E2619,100)))</f>
        <v/>
      </c>
      <c r="L2619" s="17" t="str">
        <f aca="false">IF($F2619="","",IF($F2619&lt;1,ROUND($F2619*1440,0),INT($F2619/100)*60+MOD($F2619,100)))</f>
        <v/>
      </c>
    </row>
    <row r="2620" customFormat="false" ht="15" hidden="false" customHeight="true" outlineLevel="0" collapsed="false">
      <c r="A2620" s="10"/>
      <c r="B2620" s="8"/>
      <c r="C2620" s="13" t="str">
        <f aca="false">IF($B2620="","",IFERROR(INDEX(직원목록!$B$3:$B$302,MATCH($B2620,직원목록!$A$3:$A$302,0)),"미등록사번"))</f>
        <v/>
      </c>
      <c r="D2620" s="13" t="str">
        <f aca="false">IF($B2620="","",IFERROR(INDEX(직원목록!$C$3:$C$302,MATCH($B2620,직원목록!$A$3:$A$302,0)),""))</f>
        <v/>
      </c>
      <c r="E2620" s="14"/>
      <c r="F2620" s="14"/>
      <c r="G2620" s="15"/>
      <c r="H2620" s="16" t="str">
        <f aca="false">IF(OR($K2620="",$L2620=""),"",ROUND(MAX(0,($L2620-$K2620)-IF($G2620="",0,$G2620))/60,2))</f>
        <v/>
      </c>
      <c r="I2620" s="8"/>
      <c r="J2620" s="8"/>
      <c r="K2620" s="17" t="str">
        <f aca="false">IF($E2620="","",IF($E2620&lt;1,ROUND($E2620*1440,0),INT($E2620/100)*60+MOD($E2620,100)))</f>
        <v/>
      </c>
      <c r="L2620" s="17" t="str">
        <f aca="false">IF($F2620="","",IF($F2620&lt;1,ROUND($F2620*1440,0),INT($F2620/100)*60+MOD($F2620,100)))</f>
        <v/>
      </c>
    </row>
    <row r="2621" customFormat="false" ht="15" hidden="false" customHeight="true" outlineLevel="0" collapsed="false">
      <c r="A2621" s="10"/>
      <c r="B2621" s="8"/>
      <c r="C2621" s="13" t="str">
        <f aca="false">IF($B2621="","",IFERROR(INDEX(직원목록!$B$3:$B$302,MATCH($B2621,직원목록!$A$3:$A$302,0)),"미등록사번"))</f>
        <v/>
      </c>
      <c r="D2621" s="13" t="str">
        <f aca="false">IF($B2621="","",IFERROR(INDEX(직원목록!$C$3:$C$302,MATCH($B2621,직원목록!$A$3:$A$302,0)),""))</f>
        <v/>
      </c>
      <c r="E2621" s="14"/>
      <c r="F2621" s="14"/>
      <c r="G2621" s="15"/>
      <c r="H2621" s="16" t="str">
        <f aca="false">IF(OR($K2621="",$L2621=""),"",ROUND(MAX(0,($L2621-$K2621)-IF($G2621="",0,$G2621))/60,2))</f>
        <v/>
      </c>
      <c r="I2621" s="8"/>
      <c r="J2621" s="8"/>
      <c r="K2621" s="17" t="str">
        <f aca="false">IF($E2621="","",IF($E2621&lt;1,ROUND($E2621*1440,0),INT($E2621/100)*60+MOD($E2621,100)))</f>
        <v/>
      </c>
      <c r="L2621" s="17" t="str">
        <f aca="false">IF($F2621="","",IF($F2621&lt;1,ROUND($F2621*1440,0),INT($F2621/100)*60+MOD($F2621,100)))</f>
        <v/>
      </c>
    </row>
    <row r="2622" customFormat="false" ht="15" hidden="false" customHeight="true" outlineLevel="0" collapsed="false">
      <c r="A2622" s="10"/>
      <c r="B2622" s="8"/>
      <c r="C2622" s="13" t="str">
        <f aca="false">IF($B2622="","",IFERROR(INDEX(직원목록!$B$3:$B$302,MATCH($B2622,직원목록!$A$3:$A$302,0)),"미등록사번"))</f>
        <v/>
      </c>
      <c r="D2622" s="13" t="str">
        <f aca="false">IF($B2622="","",IFERROR(INDEX(직원목록!$C$3:$C$302,MATCH($B2622,직원목록!$A$3:$A$302,0)),""))</f>
        <v/>
      </c>
      <c r="E2622" s="14"/>
      <c r="F2622" s="14"/>
      <c r="G2622" s="15"/>
      <c r="H2622" s="16" t="str">
        <f aca="false">IF(OR($K2622="",$L2622=""),"",ROUND(MAX(0,($L2622-$K2622)-IF($G2622="",0,$G2622))/60,2))</f>
        <v/>
      </c>
      <c r="I2622" s="8"/>
      <c r="J2622" s="8"/>
      <c r="K2622" s="17" t="str">
        <f aca="false">IF($E2622="","",IF($E2622&lt;1,ROUND($E2622*1440,0),INT($E2622/100)*60+MOD($E2622,100)))</f>
        <v/>
      </c>
      <c r="L2622" s="17" t="str">
        <f aca="false">IF($F2622="","",IF($F2622&lt;1,ROUND($F2622*1440,0),INT($F2622/100)*60+MOD($F2622,100)))</f>
        <v/>
      </c>
    </row>
    <row r="2623" customFormat="false" ht="15" hidden="false" customHeight="true" outlineLevel="0" collapsed="false">
      <c r="A2623" s="10"/>
      <c r="B2623" s="8"/>
      <c r="C2623" s="13" t="str">
        <f aca="false">IF($B2623="","",IFERROR(INDEX(직원목록!$B$3:$B$302,MATCH($B2623,직원목록!$A$3:$A$302,0)),"미등록사번"))</f>
        <v/>
      </c>
      <c r="D2623" s="13" t="str">
        <f aca="false">IF($B2623="","",IFERROR(INDEX(직원목록!$C$3:$C$302,MATCH($B2623,직원목록!$A$3:$A$302,0)),""))</f>
        <v/>
      </c>
      <c r="E2623" s="14"/>
      <c r="F2623" s="14"/>
      <c r="G2623" s="15"/>
      <c r="H2623" s="16" t="str">
        <f aca="false">IF(OR($K2623="",$L2623=""),"",ROUND(MAX(0,($L2623-$K2623)-IF($G2623="",0,$G2623))/60,2))</f>
        <v/>
      </c>
      <c r="I2623" s="8"/>
      <c r="J2623" s="8"/>
      <c r="K2623" s="17" t="str">
        <f aca="false">IF($E2623="","",IF($E2623&lt;1,ROUND($E2623*1440,0),INT($E2623/100)*60+MOD($E2623,100)))</f>
        <v/>
      </c>
      <c r="L2623" s="17" t="str">
        <f aca="false">IF($F2623="","",IF($F2623&lt;1,ROUND($F2623*1440,0),INT($F2623/100)*60+MOD($F2623,100)))</f>
        <v/>
      </c>
    </row>
    <row r="2624" customFormat="false" ht="15" hidden="false" customHeight="true" outlineLevel="0" collapsed="false">
      <c r="A2624" s="10"/>
      <c r="B2624" s="8"/>
      <c r="C2624" s="13" t="str">
        <f aca="false">IF($B2624="","",IFERROR(INDEX(직원목록!$B$3:$B$302,MATCH($B2624,직원목록!$A$3:$A$302,0)),"미등록사번"))</f>
        <v/>
      </c>
      <c r="D2624" s="13" t="str">
        <f aca="false">IF($B2624="","",IFERROR(INDEX(직원목록!$C$3:$C$302,MATCH($B2624,직원목록!$A$3:$A$302,0)),""))</f>
        <v/>
      </c>
      <c r="E2624" s="14"/>
      <c r="F2624" s="14"/>
      <c r="G2624" s="15"/>
      <c r="H2624" s="16" t="str">
        <f aca="false">IF(OR($K2624="",$L2624=""),"",ROUND(MAX(0,($L2624-$K2624)-IF($G2624="",0,$G2624))/60,2))</f>
        <v/>
      </c>
      <c r="I2624" s="8"/>
      <c r="J2624" s="8"/>
      <c r="K2624" s="17" t="str">
        <f aca="false">IF($E2624="","",IF($E2624&lt;1,ROUND($E2624*1440,0),INT($E2624/100)*60+MOD($E2624,100)))</f>
        <v/>
      </c>
      <c r="L2624" s="17" t="str">
        <f aca="false">IF($F2624="","",IF($F2624&lt;1,ROUND($F2624*1440,0),INT($F2624/100)*60+MOD($F2624,100)))</f>
        <v/>
      </c>
    </row>
    <row r="2625" customFormat="false" ht="15" hidden="false" customHeight="true" outlineLevel="0" collapsed="false">
      <c r="A2625" s="10"/>
      <c r="B2625" s="8"/>
      <c r="C2625" s="13" t="str">
        <f aca="false">IF($B2625="","",IFERROR(INDEX(직원목록!$B$3:$B$302,MATCH($B2625,직원목록!$A$3:$A$302,0)),"미등록사번"))</f>
        <v/>
      </c>
      <c r="D2625" s="13" t="str">
        <f aca="false">IF($B2625="","",IFERROR(INDEX(직원목록!$C$3:$C$302,MATCH($B2625,직원목록!$A$3:$A$302,0)),""))</f>
        <v/>
      </c>
      <c r="E2625" s="14"/>
      <c r="F2625" s="14"/>
      <c r="G2625" s="15"/>
      <c r="H2625" s="16" t="str">
        <f aca="false">IF(OR($K2625="",$L2625=""),"",ROUND(MAX(0,($L2625-$K2625)-IF($G2625="",0,$G2625))/60,2))</f>
        <v/>
      </c>
      <c r="I2625" s="8"/>
      <c r="J2625" s="8"/>
      <c r="K2625" s="17" t="str">
        <f aca="false">IF($E2625="","",IF($E2625&lt;1,ROUND($E2625*1440,0),INT($E2625/100)*60+MOD($E2625,100)))</f>
        <v/>
      </c>
      <c r="L2625" s="17" t="str">
        <f aca="false">IF($F2625="","",IF($F2625&lt;1,ROUND($F2625*1440,0),INT($F2625/100)*60+MOD($F2625,100)))</f>
        <v/>
      </c>
    </row>
    <row r="2626" customFormat="false" ht="15" hidden="false" customHeight="true" outlineLevel="0" collapsed="false">
      <c r="A2626" s="10"/>
      <c r="B2626" s="8"/>
      <c r="C2626" s="13" t="str">
        <f aca="false">IF($B2626="","",IFERROR(INDEX(직원목록!$B$3:$B$302,MATCH($B2626,직원목록!$A$3:$A$302,0)),"미등록사번"))</f>
        <v/>
      </c>
      <c r="D2626" s="13" t="str">
        <f aca="false">IF($B2626="","",IFERROR(INDEX(직원목록!$C$3:$C$302,MATCH($B2626,직원목록!$A$3:$A$302,0)),""))</f>
        <v/>
      </c>
      <c r="E2626" s="14"/>
      <c r="F2626" s="14"/>
      <c r="G2626" s="15"/>
      <c r="H2626" s="16" t="str">
        <f aca="false">IF(OR($K2626="",$L2626=""),"",ROUND(MAX(0,($L2626-$K2626)-IF($G2626="",0,$G2626))/60,2))</f>
        <v/>
      </c>
      <c r="I2626" s="8"/>
      <c r="J2626" s="8"/>
      <c r="K2626" s="17" t="str">
        <f aca="false">IF($E2626="","",IF($E2626&lt;1,ROUND($E2626*1440,0),INT($E2626/100)*60+MOD($E2626,100)))</f>
        <v/>
      </c>
      <c r="L2626" s="17" t="str">
        <f aca="false">IF($F2626="","",IF($F2626&lt;1,ROUND($F2626*1440,0),INT($F2626/100)*60+MOD($F2626,100)))</f>
        <v/>
      </c>
    </row>
    <row r="2627" customFormat="false" ht="15" hidden="false" customHeight="true" outlineLevel="0" collapsed="false">
      <c r="A2627" s="10"/>
      <c r="B2627" s="8"/>
      <c r="C2627" s="13" t="str">
        <f aca="false">IF($B2627="","",IFERROR(INDEX(직원목록!$B$3:$B$302,MATCH($B2627,직원목록!$A$3:$A$302,0)),"미등록사번"))</f>
        <v/>
      </c>
      <c r="D2627" s="13" t="str">
        <f aca="false">IF($B2627="","",IFERROR(INDEX(직원목록!$C$3:$C$302,MATCH($B2627,직원목록!$A$3:$A$302,0)),""))</f>
        <v/>
      </c>
      <c r="E2627" s="14"/>
      <c r="F2627" s="14"/>
      <c r="G2627" s="15"/>
      <c r="H2627" s="16" t="str">
        <f aca="false">IF(OR($K2627="",$L2627=""),"",ROUND(MAX(0,($L2627-$K2627)-IF($G2627="",0,$G2627))/60,2))</f>
        <v/>
      </c>
      <c r="I2627" s="8"/>
      <c r="J2627" s="8"/>
      <c r="K2627" s="17" t="str">
        <f aca="false">IF($E2627="","",IF($E2627&lt;1,ROUND($E2627*1440,0),INT($E2627/100)*60+MOD($E2627,100)))</f>
        <v/>
      </c>
      <c r="L2627" s="17" t="str">
        <f aca="false">IF($F2627="","",IF($F2627&lt;1,ROUND($F2627*1440,0),INT($F2627/100)*60+MOD($F2627,100)))</f>
        <v/>
      </c>
    </row>
    <row r="2628" customFormat="false" ht="15" hidden="false" customHeight="true" outlineLevel="0" collapsed="false">
      <c r="A2628" s="10"/>
      <c r="B2628" s="8"/>
      <c r="C2628" s="13" t="str">
        <f aca="false">IF($B2628="","",IFERROR(INDEX(직원목록!$B$3:$B$302,MATCH($B2628,직원목록!$A$3:$A$302,0)),"미등록사번"))</f>
        <v/>
      </c>
      <c r="D2628" s="13" t="str">
        <f aca="false">IF($B2628="","",IFERROR(INDEX(직원목록!$C$3:$C$302,MATCH($B2628,직원목록!$A$3:$A$302,0)),""))</f>
        <v/>
      </c>
      <c r="E2628" s="14"/>
      <c r="F2628" s="14"/>
      <c r="G2628" s="15"/>
      <c r="H2628" s="16" t="str">
        <f aca="false">IF(OR($K2628="",$L2628=""),"",ROUND(MAX(0,($L2628-$K2628)-IF($G2628="",0,$G2628))/60,2))</f>
        <v/>
      </c>
      <c r="I2628" s="8"/>
      <c r="J2628" s="8"/>
      <c r="K2628" s="17" t="str">
        <f aca="false">IF($E2628="","",IF($E2628&lt;1,ROUND($E2628*1440,0),INT($E2628/100)*60+MOD($E2628,100)))</f>
        <v/>
      </c>
      <c r="L2628" s="17" t="str">
        <f aca="false">IF($F2628="","",IF($F2628&lt;1,ROUND($F2628*1440,0),INT($F2628/100)*60+MOD($F2628,100)))</f>
        <v/>
      </c>
    </row>
    <row r="2629" customFormat="false" ht="15" hidden="false" customHeight="true" outlineLevel="0" collapsed="false">
      <c r="A2629" s="10"/>
      <c r="B2629" s="8"/>
      <c r="C2629" s="13" t="str">
        <f aca="false">IF($B2629="","",IFERROR(INDEX(직원목록!$B$3:$B$302,MATCH($B2629,직원목록!$A$3:$A$302,0)),"미등록사번"))</f>
        <v/>
      </c>
      <c r="D2629" s="13" t="str">
        <f aca="false">IF($B2629="","",IFERROR(INDEX(직원목록!$C$3:$C$302,MATCH($B2629,직원목록!$A$3:$A$302,0)),""))</f>
        <v/>
      </c>
      <c r="E2629" s="14"/>
      <c r="F2629" s="14"/>
      <c r="G2629" s="15"/>
      <c r="H2629" s="16" t="str">
        <f aca="false">IF(OR($K2629="",$L2629=""),"",ROUND(MAX(0,($L2629-$K2629)-IF($G2629="",0,$G2629))/60,2))</f>
        <v/>
      </c>
      <c r="I2629" s="8"/>
      <c r="J2629" s="8"/>
      <c r="K2629" s="17" t="str">
        <f aca="false">IF($E2629="","",IF($E2629&lt;1,ROUND($E2629*1440,0),INT($E2629/100)*60+MOD($E2629,100)))</f>
        <v/>
      </c>
      <c r="L2629" s="17" t="str">
        <f aca="false">IF($F2629="","",IF($F2629&lt;1,ROUND($F2629*1440,0),INT($F2629/100)*60+MOD($F2629,100)))</f>
        <v/>
      </c>
    </row>
    <row r="2630" customFormat="false" ht="15" hidden="false" customHeight="true" outlineLevel="0" collapsed="false">
      <c r="A2630" s="10"/>
      <c r="B2630" s="8"/>
      <c r="C2630" s="13" t="str">
        <f aca="false">IF($B2630="","",IFERROR(INDEX(직원목록!$B$3:$B$302,MATCH($B2630,직원목록!$A$3:$A$302,0)),"미등록사번"))</f>
        <v/>
      </c>
      <c r="D2630" s="13" t="str">
        <f aca="false">IF($B2630="","",IFERROR(INDEX(직원목록!$C$3:$C$302,MATCH($B2630,직원목록!$A$3:$A$302,0)),""))</f>
        <v/>
      </c>
      <c r="E2630" s="14"/>
      <c r="F2630" s="14"/>
      <c r="G2630" s="15"/>
      <c r="H2630" s="16" t="str">
        <f aca="false">IF(OR($K2630="",$L2630=""),"",ROUND(MAX(0,($L2630-$K2630)-IF($G2630="",0,$G2630))/60,2))</f>
        <v/>
      </c>
      <c r="I2630" s="8"/>
      <c r="J2630" s="8"/>
      <c r="K2630" s="17" t="str">
        <f aca="false">IF($E2630="","",IF($E2630&lt;1,ROUND($E2630*1440,0),INT($E2630/100)*60+MOD($E2630,100)))</f>
        <v/>
      </c>
      <c r="L2630" s="17" t="str">
        <f aca="false">IF($F2630="","",IF($F2630&lt;1,ROUND($F2630*1440,0),INT($F2630/100)*60+MOD($F2630,100)))</f>
        <v/>
      </c>
    </row>
    <row r="2631" customFormat="false" ht="15" hidden="false" customHeight="true" outlineLevel="0" collapsed="false">
      <c r="A2631" s="10"/>
      <c r="B2631" s="8"/>
      <c r="C2631" s="13" t="str">
        <f aca="false">IF($B2631="","",IFERROR(INDEX(직원목록!$B$3:$B$302,MATCH($B2631,직원목록!$A$3:$A$302,0)),"미등록사번"))</f>
        <v/>
      </c>
      <c r="D2631" s="13" t="str">
        <f aca="false">IF($B2631="","",IFERROR(INDEX(직원목록!$C$3:$C$302,MATCH($B2631,직원목록!$A$3:$A$302,0)),""))</f>
        <v/>
      </c>
      <c r="E2631" s="14"/>
      <c r="F2631" s="14"/>
      <c r="G2631" s="15"/>
      <c r="H2631" s="16" t="str">
        <f aca="false">IF(OR($K2631="",$L2631=""),"",ROUND(MAX(0,($L2631-$K2631)-IF($G2631="",0,$G2631))/60,2))</f>
        <v/>
      </c>
      <c r="I2631" s="8"/>
      <c r="J2631" s="8"/>
      <c r="K2631" s="17" t="str">
        <f aca="false">IF($E2631="","",IF($E2631&lt;1,ROUND($E2631*1440,0),INT($E2631/100)*60+MOD($E2631,100)))</f>
        <v/>
      </c>
      <c r="L2631" s="17" t="str">
        <f aca="false">IF($F2631="","",IF($F2631&lt;1,ROUND($F2631*1440,0),INT($F2631/100)*60+MOD($F2631,100)))</f>
        <v/>
      </c>
    </row>
    <row r="2632" customFormat="false" ht="15" hidden="false" customHeight="true" outlineLevel="0" collapsed="false">
      <c r="A2632" s="10"/>
      <c r="B2632" s="8"/>
      <c r="C2632" s="13" t="str">
        <f aca="false">IF($B2632="","",IFERROR(INDEX(직원목록!$B$3:$B$302,MATCH($B2632,직원목록!$A$3:$A$302,0)),"미등록사번"))</f>
        <v/>
      </c>
      <c r="D2632" s="13" t="str">
        <f aca="false">IF($B2632="","",IFERROR(INDEX(직원목록!$C$3:$C$302,MATCH($B2632,직원목록!$A$3:$A$302,0)),""))</f>
        <v/>
      </c>
      <c r="E2632" s="14"/>
      <c r="F2632" s="14"/>
      <c r="G2632" s="15"/>
      <c r="H2632" s="16" t="str">
        <f aca="false">IF(OR($K2632="",$L2632=""),"",ROUND(MAX(0,($L2632-$K2632)-IF($G2632="",0,$G2632))/60,2))</f>
        <v/>
      </c>
      <c r="I2632" s="8"/>
      <c r="J2632" s="8"/>
      <c r="K2632" s="17" t="str">
        <f aca="false">IF($E2632="","",IF($E2632&lt;1,ROUND($E2632*1440,0),INT($E2632/100)*60+MOD($E2632,100)))</f>
        <v/>
      </c>
      <c r="L2632" s="17" t="str">
        <f aca="false">IF($F2632="","",IF($F2632&lt;1,ROUND($F2632*1440,0),INT($F2632/100)*60+MOD($F2632,100)))</f>
        <v/>
      </c>
    </row>
    <row r="2633" customFormat="false" ht="15" hidden="false" customHeight="true" outlineLevel="0" collapsed="false">
      <c r="A2633" s="10"/>
      <c r="B2633" s="8"/>
      <c r="C2633" s="13" t="str">
        <f aca="false">IF($B2633="","",IFERROR(INDEX(직원목록!$B$3:$B$302,MATCH($B2633,직원목록!$A$3:$A$302,0)),"미등록사번"))</f>
        <v/>
      </c>
      <c r="D2633" s="13" t="str">
        <f aca="false">IF($B2633="","",IFERROR(INDEX(직원목록!$C$3:$C$302,MATCH($B2633,직원목록!$A$3:$A$302,0)),""))</f>
        <v/>
      </c>
      <c r="E2633" s="14"/>
      <c r="F2633" s="14"/>
      <c r="G2633" s="15"/>
      <c r="H2633" s="16" t="str">
        <f aca="false">IF(OR($K2633="",$L2633=""),"",ROUND(MAX(0,($L2633-$K2633)-IF($G2633="",0,$G2633))/60,2))</f>
        <v/>
      </c>
      <c r="I2633" s="8"/>
      <c r="J2633" s="8"/>
      <c r="K2633" s="17" t="str">
        <f aca="false">IF($E2633="","",IF($E2633&lt;1,ROUND($E2633*1440,0),INT($E2633/100)*60+MOD($E2633,100)))</f>
        <v/>
      </c>
      <c r="L2633" s="17" t="str">
        <f aca="false">IF($F2633="","",IF($F2633&lt;1,ROUND($F2633*1440,0),INT($F2633/100)*60+MOD($F2633,100)))</f>
        <v/>
      </c>
    </row>
    <row r="2634" customFormat="false" ht="15" hidden="false" customHeight="true" outlineLevel="0" collapsed="false">
      <c r="A2634" s="10"/>
      <c r="B2634" s="8"/>
      <c r="C2634" s="13" t="str">
        <f aca="false">IF($B2634="","",IFERROR(INDEX(직원목록!$B$3:$B$302,MATCH($B2634,직원목록!$A$3:$A$302,0)),"미등록사번"))</f>
        <v/>
      </c>
      <c r="D2634" s="13" t="str">
        <f aca="false">IF($B2634="","",IFERROR(INDEX(직원목록!$C$3:$C$302,MATCH($B2634,직원목록!$A$3:$A$302,0)),""))</f>
        <v/>
      </c>
      <c r="E2634" s="14"/>
      <c r="F2634" s="14"/>
      <c r="G2634" s="15"/>
      <c r="H2634" s="16" t="str">
        <f aca="false">IF(OR($K2634="",$L2634=""),"",ROUND(MAX(0,($L2634-$K2634)-IF($G2634="",0,$G2634))/60,2))</f>
        <v/>
      </c>
      <c r="I2634" s="8"/>
      <c r="J2634" s="8"/>
      <c r="K2634" s="17" t="str">
        <f aca="false">IF($E2634="","",IF($E2634&lt;1,ROUND($E2634*1440,0),INT($E2634/100)*60+MOD($E2634,100)))</f>
        <v/>
      </c>
      <c r="L2634" s="17" t="str">
        <f aca="false">IF($F2634="","",IF($F2634&lt;1,ROUND($F2634*1440,0),INT($F2634/100)*60+MOD($F2634,100)))</f>
        <v/>
      </c>
    </row>
    <row r="2635" customFormat="false" ht="15" hidden="false" customHeight="true" outlineLevel="0" collapsed="false">
      <c r="A2635" s="10"/>
      <c r="B2635" s="8"/>
      <c r="C2635" s="13" t="str">
        <f aca="false">IF($B2635="","",IFERROR(INDEX(직원목록!$B$3:$B$302,MATCH($B2635,직원목록!$A$3:$A$302,0)),"미등록사번"))</f>
        <v/>
      </c>
      <c r="D2635" s="13" t="str">
        <f aca="false">IF($B2635="","",IFERROR(INDEX(직원목록!$C$3:$C$302,MATCH($B2635,직원목록!$A$3:$A$302,0)),""))</f>
        <v/>
      </c>
      <c r="E2635" s="14"/>
      <c r="F2635" s="14"/>
      <c r="G2635" s="15"/>
      <c r="H2635" s="16" t="str">
        <f aca="false">IF(OR($K2635="",$L2635=""),"",ROUND(MAX(0,($L2635-$K2635)-IF($G2635="",0,$G2635))/60,2))</f>
        <v/>
      </c>
      <c r="I2635" s="8"/>
      <c r="J2635" s="8"/>
      <c r="K2635" s="17" t="str">
        <f aca="false">IF($E2635="","",IF($E2635&lt;1,ROUND($E2635*1440,0),INT($E2635/100)*60+MOD($E2635,100)))</f>
        <v/>
      </c>
      <c r="L2635" s="17" t="str">
        <f aca="false">IF($F2635="","",IF($F2635&lt;1,ROUND($F2635*1440,0),INT($F2635/100)*60+MOD($F2635,100)))</f>
        <v/>
      </c>
    </row>
    <row r="2636" customFormat="false" ht="15" hidden="false" customHeight="true" outlineLevel="0" collapsed="false">
      <c r="A2636" s="10"/>
      <c r="B2636" s="8"/>
      <c r="C2636" s="13" t="str">
        <f aca="false">IF($B2636="","",IFERROR(INDEX(직원목록!$B$3:$B$302,MATCH($B2636,직원목록!$A$3:$A$302,0)),"미등록사번"))</f>
        <v/>
      </c>
      <c r="D2636" s="13" t="str">
        <f aca="false">IF($B2636="","",IFERROR(INDEX(직원목록!$C$3:$C$302,MATCH($B2636,직원목록!$A$3:$A$302,0)),""))</f>
        <v/>
      </c>
      <c r="E2636" s="14"/>
      <c r="F2636" s="14"/>
      <c r="G2636" s="15"/>
      <c r="H2636" s="16" t="str">
        <f aca="false">IF(OR($K2636="",$L2636=""),"",ROUND(MAX(0,($L2636-$K2636)-IF($G2636="",0,$G2636))/60,2))</f>
        <v/>
      </c>
      <c r="I2636" s="8"/>
      <c r="J2636" s="8"/>
      <c r="K2636" s="17" t="str">
        <f aca="false">IF($E2636="","",IF($E2636&lt;1,ROUND($E2636*1440,0),INT($E2636/100)*60+MOD($E2636,100)))</f>
        <v/>
      </c>
      <c r="L2636" s="17" t="str">
        <f aca="false">IF($F2636="","",IF($F2636&lt;1,ROUND($F2636*1440,0),INT($F2636/100)*60+MOD($F2636,100)))</f>
        <v/>
      </c>
    </row>
    <row r="2637" customFormat="false" ht="15" hidden="false" customHeight="true" outlineLevel="0" collapsed="false">
      <c r="A2637" s="10"/>
      <c r="B2637" s="8"/>
      <c r="C2637" s="13" t="str">
        <f aca="false">IF($B2637="","",IFERROR(INDEX(직원목록!$B$3:$B$302,MATCH($B2637,직원목록!$A$3:$A$302,0)),"미등록사번"))</f>
        <v/>
      </c>
      <c r="D2637" s="13" t="str">
        <f aca="false">IF($B2637="","",IFERROR(INDEX(직원목록!$C$3:$C$302,MATCH($B2637,직원목록!$A$3:$A$302,0)),""))</f>
        <v/>
      </c>
      <c r="E2637" s="14"/>
      <c r="F2637" s="14"/>
      <c r="G2637" s="15"/>
      <c r="H2637" s="16" t="str">
        <f aca="false">IF(OR($K2637="",$L2637=""),"",ROUND(MAX(0,($L2637-$K2637)-IF($G2637="",0,$G2637))/60,2))</f>
        <v/>
      </c>
      <c r="I2637" s="8"/>
      <c r="J2637" s="8"/>
      <c r="K2637" s="17" t="str">
        <f aca="false">IF($E2637="","",IF($E2637&lt;1,ROUND($E2637*1440,0),INT($E2637/100)*60+MOD($E2637,100)))</f>
        <v/>
      </c>
      <c r="L2637" s="17" t="str">
        <f aca="false">IF($F2637="","",IF($F2637&lt;1,ROUND($F2637*1440,0),INT($F2637/100)*60+MOD($F2637,100)))</f>
        <v/>
      </c>
    </row>
    <row r="2638" customFormat="false" ht="15" hidden="false" customHeight="true" outlineLevel="0" collapsed="false">
      <c r="A2638" s="10"/>
      <c r="B2638" s="8"/>
      <c r="C2638" s="13" t="str">
        <f aca="false">IF($B2638="","",IFERROR(INDEX(직원목록!$B$3:$B$302,MATCH($B2638,직원목록!$A$3:$A$302,0)),"미등록사번"))</f>
        <v/>
      </c>
      <c r="D2638" s="13" t="str">
        <f aca="false">IF($B2638="","",IFERROR(INDEX(직원목록!$C$3:$C$302,MATCH($B2638,직원목록!$A$3:$A$302,0)),""))</f>
        <v/>
      </c>
      <c r="E2638" s="14"/>
      <c r="F2638" s="14"/>
      <c r="G2638" s="15"/>
      <c r="H2638" s="16" t="str">
        <f aca="false">IF(OR($K2638="",$L2638=""),"",ROUND(MAX(0,($L2638-$K2638)-IF($G2638="",0,$G2638))/60,2))</f>
        <v/>
      </c>
      <c r="I2638" s="8"/>
      <c r="J2638" s="8"/>
      <c r="K2638" s="17" t="str">
        <f aca="false">IF($E2638="","",IF($E2638&lt;1,ROUND($E2638*1440,0),INT($E2638/100)*60+MOD($E2638,100)))</f>
        <v/>
      </c>
      <c r="L2638" s="17" t="str">
        <f aca="false">IF($F2638="","",IF($F2638&lt;1,ROUND($F2638*1440,0),INT($F2638/100)*60+MOD($F2638,100)))</f>
        <v/>
      </c>
    </row>
    <row r="2639" customFormat="false" ht="15" hidden="false" customHeight="true" outlineLevel="0" collapsed="false">
      <c r="A2639" s="10"/>
      <c r="B2639" s="8"/>
      <c r="C2639" s="13" t="str">
        <f aca="false">IF($B2639="","",IFERROR(INDEX(직원목록!$B$3:$B$302,MATCH($B2639,직원목록!$A$3:$A$302,0)),"미등록사번"))</f>
        <v/>
      </c>
      <c r="D2639" s="13" t="str">
        <f aca="false">IF($B2639="","",IFERROR(INDEX(직원목록!$C$3:$C$302,MATCH($B2639,직원목록!$A$3:$A$302,0)),""))</f>
        <v/>
      </c>
      <c r="E2639" s="14"/>
      <c r="F2639" s="14"/>
      <c r="G2639" s="15"/>
      <c r="H2639" s="16" t="str">
        <f aca="false">IF(OR($K2639="",$L2639=""),"",ROUND(MAX(0,($L2639-$K2639)-IF($G2639="",0,$G2639))/60,2))</f>
        <v/>
      </c>
      <c r="I2639" s="8"/>
      <c r="J2639" s="8"/>
      <c r="K2639" s="17" t="str">
        <f aca="false">IF($E2639="","",IF($E2639&lt;1,ROUND($E2639*1440,0),INT($E2639/100)*60+MOD($E2639,100)))</f>
        <v/>
      </c>
      <c r="L2639" s="17" t="str">
        <f aca="false">IF($F2639="","",IF($F2639&lt;1,ROUND($F2639*1440,0),INT($F2639/100)*60+MOD($F2639,100)))</f>
        <v/>
      </c>
    </row>
    <row r="2640" customFormat="false" ht="15" hidden="false" customHeight="true" outlineLevel="0" collapsed="false">
      <c r="A2640" s="10"/>
      <c r="B2640" s="8"/>
      <c r="C2640" s="13" t="str">
        <f aca="false">IF($B2640="","",IFERROR(INDEX(직원목록!$B$3:$B$302,MATCH($B2640,직원목록!$A$3:$A$302,0)),"미등록사번"))</f>
        <v/>
      </c>
      <c r="D2640" s="13" t="str">
        <f aca="false">IF($B2640="","",IFERROR(INDEX(직원목록!$C$3:$C$302,MATCH($B2640,직원목록!$A$3:$A$302,0)),""))</f>
        <v/>
      </c>
      <c r="E2640" s="14"/>
      <c r="F2640" s="14"/>
      <c r="G2640" s="15"/>
      <c r="H2640" s="16" t="str">
        <f aca="false">IF(OR($K2640="",$L2640=""),"",ROUND(MAX(0,($L2640-$K2640)-IF($G2640="",0,$G2640))/60,2))</f>
        <v/>
      </c>
      <c r="I2640" s="8"/>
      <c r="J2640" s="8"/>
      <c r="K2640" s="17" t="str">
        <f aca="false">IF($E2640="","",IF($E2640&lt;1,ROUND($E2640*1440,0),INT($E2640/100)*60+MOD($E2640,100)))</f>
        <v/>
      </c>
      <c r="L2640" s="17" t="str">
        <f aca="false">IF($F2640="","",IF($F2640&lt;1,ROUND($F2640*1440,0),INT($F2640/100)*60+MOD($F2640,100)))</f>
        <v/>
      </c>
    </row>
    <row r="2641" customFormat="false" ht="15" hidden="false" customHeight="true" outlineLevel="0" collapsed="false">
      <c r="A2641" s="10"/>
      <c r="B2641" s="8"/>
      <c r="C2641" s="13" t="str">
        <f aca="false">IF($B2641="","",IFERROR(INDEX(직원목록!$B$3:$B$302,MATCH($B2641,직원목록!$A$3:$A$302,0)),"미등록사번"))</f>
        <v/>
      </c>
      <c r="D2641" s="13" t="str">
        <f aca="false">IF($B2641="","",IFERROR(INDEX(직원목록!$C$3:$C$302,MATCH($B2641,직원목록!$A$3:$A$302,0)),""))</f>
        <v/>
      </c>
      <c r="E2641" s="14"/>
      <c r="F2641" s="14"/>
      <c r="G2641" s="15"/>
      <c r="H2641" s="16" t="str">
        <f aca="false">IF(OR($K2641="",$L2641=""),"",ROUND(MAX(0,($L2641-$K2641)-IF($G2641="",0,$G2641))/60,2))</f>
        <v/>
      </c>
      <c r="I2641" s="8"/>
      <c r="J2641" s="8"/>
      <c r="K2641" s="17" t="str">
        <f aca="false">IF($E2641="","",IF($E2641&lt;1,ROUND($E2641*1440,0),INT($E2641/100)*60+MOD($E2641,100)))</f>
        <v/>
      </c>
      <c r="L2641" s="17" t="str">
        <f aca="false">IF($F2641="","",IF($F2641&lt;1,ROUND($F2641*1440,0),INT($F2641/100)*60+MOD($F2641,100)))</f>
        <v/>
      </c>
    </row>
    <row r="2642" customFormat="false" ht="15" hidden="false" customHeight="true" outlineLevel="0" collapsed="false">
      <c r="A2642" s="10"/>
      <c r="B2642" s="8"/>
      <c r="C2642" s="13" t="str">
        <f aca="false">IF($B2642="","",IFERROR(INDEX(직원목록!$B$3:$B$302,MATCH($B2642,직원목록!$A$3:$A$302,0)),"미등록사번"))</f>
        <v/>
      </c>
      <c r="D2642" s="13" t="str">
        <f aca="false">IF($B2642="","",IFERROR(INDEX(직원목록!$C$3:$C$302,MATCH($B2642,직원목록!$A$3:$A$302,0)),""))</f>
        <v/>
      </c>
      <c r="E2642" s="14"/>
      <c r="F2642" s="14"/>
      <c r="G2642" s="15"/>
      <c r="H2642" s="16" t="str">
        <f aca="false">IF(OR($K2642="",$L2642=""),"",ROUND(MAX(0,($L2642-$K2642)-IF($G2642="",0,$G2642))/60,2))</f>
        <v/>
      </c>
      <c r="I2642" s="8"/>
      <c r="J2642" s="8"/>
      <c r="K2642" s="17" t="str">
        <f aca="false">IF($E2642="","",IF($E2642&lt;1,ROUND($E2642*1440,0),INT($E2642/100)*60+MOD($E2642,100)))</f>
        <v/>
      </c>
      <c r="L2642" s="17" t="str">
        <f aca="false">IF($F2642="","",IF($F2642&lt;1,ROUND($F2642*1440,0),INT($F2642/100)*60+MOD($F2642,100)))</f>
        <v/>
      </c>
    </row>
    <row r="2643" customFormat="false" ht="15" hidden="false" customHeight="true" outlineLevel="0" collapsed="false">
      <c r="A2643" s="10"/>
      <c r="B2643" s="8"/>
      <c r="C2643" s="13" t="str">
        <f aca="false">IF($B2643="","",IFERROR(INDEX(직원목록!$B$3:$B$302,MATCH($B2643,직원목록!$A$3:$A$302,0)),"미등록사번"))</f>
        <v/>
      </c>
      <c r="D2643" s="13" t="str">
        <f aca="false">IF($B2643="","",IFERROR(INDEX(직원목록!$C$3:$C$302,MATCH($B2643,직원목록!$A$3:$A$302,0)),""))</f>
        <v/>
      </c>
      <c r="E2643" s="14"/>
      <c r="F2643" s="14"/>
      <c r="G2643" s="15"/>
      <c r="H2643" s="16" t="str">
        <f aca="false">IF(OR($K2643="",$L2643=""),"",ROUND(MAX(0,($L2643-$K2643)-IF($G2643="",0,$G2643))/60,2))</f>
        <v/>
      </c>
      <c r="I2643" s="8"/>
      <c r="J2643" s="8"/>
      <c r="K2643" s="17" t="str">
        <f aca="false">IF($E2643="","",IF($E2643&lt;1,ROUND($E2643*1440,0),INT($E2643/100)*60+MOD($E2643,100)))</f>
        <v/>
      </c>
      <c r="L2643" s="17" t="str">
        <f aca="false">IF($F2643="","",IF($F2643&lt;1,ROUND($F2643*1440,0),INT($F2643/100)*60+MOD($F2643,100)))</f>
        <v/>
      </c>
    </row>
    <row r="2644" customFormat="false" ht="15" hidden="false" customHeight="true" outlineLevel="0" collapsed="false">
      <c r="A2644" s="10"/>
      <c r="B2644" s="8"/>
      <c r="C2644" s="13" t="str">
        <f aca="false">IF($B2644="","",IFERROR(INDEX(직원목록!$B$3:$B$302,MATCH($B2644,직원목록!$A$3:$A$302,0)),"미등록사번"))</f>
        <v/>
      </c>
      <c r="D2644" s="13" t="str">
        <f aca="false">IF($B2644="","",IFERROR(INDEX(직원목록!$C$3:$C$302,MATCH($B2644,직원목록!$A$3:$A$302,0)),""))</f>
        <v/>
      </c>
      <c r="E2644" s="14"/>
      <c r="F2644" s="14"/>
      <c r="G2644" s="15"/>
      <c r="H2644" s="16" t="str">
        <f aca="false">IF(OR($K2644="",$L2644=""),"",ROUND(MAX(0,($L2644-$K2644)-IF($G2644="",0,$G2644))/60,2))</f>
        <v/>
      </c>
      <c r="I2644" s="8"/>
      <c r="J2644" s="8"/>
      <c r="K2644" s="17" t="str">
        <f aca="false">IF($E2644="","",IF($E2644&lt;1,ROUND($E2644*1440,0),INT($E2644/100)*60+MOD($E2644,100)))</f>
        <v/>
      </c>
      <c r="L2644" s="17" t="str">
        <f aca="false">IF($F2644="","",IF($F2644&lt;1,ROUND($F2644*1440,0),INT($F2644/100)*60+MOD($F2644,100)))</f>
        <v/>
      </c>
    </row>
    <row r="2645" customFormat="false" ht="15" hidden="false" customHeight="true" outlineLevel="0" collapsed="false">
      <c r="A2645" s="10"/>
      <c r="B2645" s="8"/>
      <c r="C2645" s="13" t="str">
        <f aca="false">IF($B2645="","",IFERROR(INDEX(직원목록!$B$3:$B$302,MATCH($B2645,직원목록!$A$3:$A$302,0)),"미등록사번"))</f>
        <v/>
      </c>
      <c r="D2645" s="13" t="str">
        <f aca="false">IF($B2645="","",IFERROR(INDEX(직원목록!$C$3:$C$302,MATCH($B2645,직원목록!$A$3:$A$302,0)),""))</f>
        <v/>
      </c>
      <c r="E2645" s="14"/>
      <c r="F2645" s="14"/>
      <c r="G2645" s="15"/>
      <c r="H2645" s="16" t="str">
        <f aca="false">IF(OR($K2645="",$L2645=""),"",ROUND(MAX(0,($L2645-$K2645)-IF($G2645="",0,$G2645))/60,2))</f>
        <v/>
      </c>
      <c r="I2645" s="8"/>
      <c r="J2645" s="8"/>
      <c r="K2645" s="17" t="str">
        <f aca="false">IF($E2645="","",IF($E2645&lt;1,ROUND($E2645*1440,0),INT($E2645/100)*60+MOD($E2645,100)))</f>
        <v/>
      </c>
      <c r="L2645" s="17" t="str">
        <f aca="false">IF($F2645="","",IF($F2645&lt;1,ROUND($F2645*1440,0),INT($F2645/100)*60+MOD($F2645,100)))</f>
        <v/>
      </c>
    </row>
    <row r="2646" customFormat="false" ht="15" hidden="false" customHeight="true" outlineLevel="0" collapsed="false">
      <c r="A2646" s="10"/>
      <c r="B2646" s="8"/>
      <c r="C2646" s="13" t="str">
        <f aca="false">IF($B2646="","",IFERROR(INDEX(직원목록!$B$3:$B$302,MATCH($B2646,직원목록!$A$3:$A$302,0)),"미등록사번"))</f>
        <v/>
      </c>
      <c r="D2646" s="13" t="str">
        <f aca="false">IF($B2646="","",IFERROR(INDEX(직원목록!$C$3:$C$302,MATCH($B2646,직원목록!$A$3:$A$302,0)),""))</f>
        <v/>
      </c>
      <c r="E2646" s="14"/>
      <c r="F2646" s="14"/>
      <c r="G2646" s="15"/>
      <c r="H2646" s="16" t="str">
        <f aca="false">IF(OR($K2646="",$L2646=""),"",ROUND(MAX(0,($L2646-$K2646)-IF($G2646="",0,$G2646))/60,2))</f>
        <v/>
      </c>
      <c r="I2646" s="8"/>
      <c r="J2646" s="8"/>
      <c r="K2646" s="17" t="str">
        <f aca="false">IF($E2646="","",IF($E2646&lt;1,ROUND($E2646*1440,0),INT($E2646/100)*60+MOD($E2646,100)))</f>
        <v/>
      </c>
      <c r="L2646" s="17" t="str">
        <f aca="false">IF($F2646="","",IF($F2646&lt;1,ROUND($F2646*1440,0),INT($F2646/100)*60+MOD($F2646,100)))</f>
        <v/>
      </c>
    </row>
    <row r="2647" customFormat="false" ht="15" hidden="false" customHeight="true" outlineLevel="0" collapsed="false">
      <c r="A2647" s="10"/>
      <c r="B2647" s="8"/>
      <c r="C2647" s="13" t="str">
        <f aca="false">IF($B2647="","",IFERROR(INDEX(직원목록!$B$3:$B$302,MATCH($B2647,직원목록!$A$3:$A$302,0)),"미등록사번"))</f>
        <v/>
      </c>
      <c r="D2647" s="13" t="str">
        <f aca="false">IF($B2647="","",IFERROR(INDEX(직원목록!$C$3:$C$302,MATCH($B2647,직원목록!$A$3:$A$302,0)),""))</f>
        <v/>
      </c>
      <c r="E2647" s="14"/>
      <c r="F2647" s="14"/>
      <c r="G2647" s="15"/>
      <c r="H2647" s="16" t="str">
        <f aca="false">IF(OR($K2647="",$L2647=""),"",ROUND(MAX(0,($L2647-$K2647)-IF($G2647="",0,$G2647))/60,2))</f>
        <v/>
      </c>
      <c r="I2647" s="8"/>
      <c r="J2647" s="8"/>
      <c r="K2647" s="17" t="str">
        <f aca="false">IF($E2647="","",IF($E2647&lt;1,ROUND($E2647*1440,0),INT($E2647/100)*60+MOD($E2647,100)))</f>
        <v/>
      </c>
      <c r="L2647" s="17" t="str">
        <f aca="false">IF($F2647="","",IF($F2647&lt;1,ROUND($F2647*1440,0),INT($F2647/100)*60+MOD($F2647,100)))</f>
        <v/>
      </c>
    </row>
    <row r="2648" customFormat="false" ht="15" hidden="false" customHeight="true" outlineLevel="0" collapsed="false">
      <c r="A2648" s="10"/>
      <c r="B2648" s="8"/>
      <c r="C2648" s="13" t="str">
        <f aca="false">IF($B2648="","",IFERROR(INDEX(직원목록!$B$3:$B$302,MATCH($B2648,직원목록!$A$3:$A$302,0)),"미등록사번"))</f>
        <v/>
      </c>
      <c r="D2648" s="13" t="str">
        <f aca="false">IF($B2648="","",IFERROR(INDEX(직원목록!$C$3:$C$302,MATCH($B2648,직원목록!$A$3:$A$302,0)),""))</f>
        <v/>
      </c>
      <c r="E2648" s="14"/>
      <c r="F2648" s="14"/>
      <c r="G2648" s="15"/>
      <c r="H2648" s="16" t="str">
        <f aca="false">IF(OR($K2648="",$L2648=""),"",ROUND(MAX(0,($L2648-$K2648)-IF($G2648="",0,$G2648))/60,2))</f>
        <v/>
      </c>
      <c r="I2648" s="8"/>
      <c r="J2648" s="8"/>
      <c r="K2648" s="17" t="str">
        <f aca="false">IF($E2648="","",IF($E2648&lt;1,ROUND($E2648*1440,0),INT($E2648/100)*60+MOD($E2648,100)))</f>
        <v/>
      </c>
      <c r="L2648" s="17" t="str">
        <f aca="false">IF($F2648="","",IF($F2648&lt;1,ROUND($F2648*1440,0),INT($F2648/100)*60+MOD($F2648,100)))</f>
        <v/>
      </c>
    </row>
    <row r="2649" customFormat="false" ht="15" hidden="false" customHeight="true" outlineLevel="0" collapsed="false">
      <c r="A2649" s="10"/>
      <c r="B2649" s="8"/>
      <c r="C2649" s="13" t="str">
        <f aca="false">IF($B2649="","",IFERROR(INDEX(직원목록!$B$3:$B$302,MATCH($B2649,직원목록!$A$3:$A$302,0)),"미등록사번"))</f>
        <v/>
      </c>
      <c r="D2649" s="13" t="str">
        <f aca="false">IF($B2649="","",IFERROR(INDEX(직원목록!$C$3:$C$302,MATCH($B2649,직원목록!$A$3:$A$302,0)),""))</f>
        <v/>
      </c>
      <c r="E2649" s="14"/>
      <c r="F2649" s="14"/>
      <c r="G2649" s="15"/>
      <c r="H2649" s="16" t="str">
        <f aca="false">IF(OR($K2649="",$L2649=""),"",ROUND(MAX(0,($L2649-$K2649)-IF($G2649="",0,$G2649))/60,2))</f>
        <v/>
      </c>
      <c r="I2649" s="8"/>
      <c r="J2649" s="8"/>
      <c r="K2649" s="17" t="str">
        <f aca="false">IF($E2649="","",IF($E2649&lt;1,ROUND($E2649*1440,0),INT($E2649/100)*60+MOD($E2649,100)))</f>
        <v/>
      </c>
      <c r="L2649" s="17" t="str">
        <f aca="false">IF($F2649="","",IF($F2649&lt;1,ROUND($F2649*1440,0),INT($F2649/100)*60+MOD($F2649,100)))</f>
        <v/>
      </c>
    </row>
    <row r="2650" customFormat="false" ht="15" hidden="false" customHeight="true" outlineLevel="0" collapsed="false">
      <c r="A2650" s="10"/>
      <c r="B2650" s="8"/>
      <c r="C2650" s="13" t="str">
        <f aca="false">IF($B2650="","",IFERROR(INDEX(직원목록!$B$3:$B$302,MATCH($B2650,직원목록!$A$3:$A$302,0)),"미등록사번"))</f>
        <v/>
      </c>
      <c r="D2650" s="13" t="str">
        <f aca="false">IF($B2650="","",IFERROR(INDEX(직원목록!$C$3:$C$302,MATCH($B2650,직원목록!$A$3:$A$302,0)),""))</f>
        <v/>
      </c>
      <c r="E2650" s="14"/>
      <c r="F2650" s="14"/>
      <c r="G2650" s="15"/>
      <c r="H2650" s="16" t="str">
        <f aca="false">IF(OR($K2650="",$L2650=""),"",ROUND(MAX(0,($L2650-$K2650)-IF($G2650="",0,$G2650))/60,2))</f>
        <v/>
      </c>
      <c r="I2650" s="8"/>
      <c r="J2650" s="8"/>
      <c r="K2650" s="17" t="str">
        <f aca="false">IF($E2650="","",IF($E2650&lt;1,ROUND($E2650*1440,0),INT($E2650/100)*60+MOD($E2650,100)))</f>
        <v/>
      </c>
      <c r="L2650" s="17" t="str">
        <f aca="false">IF($F2650="","",IF($F2650&lt;1,ROUND($F2650*1440,0),INT($F2650/100)*60+MOD($F2650,100)))</f>
        <v/>
      </c>
    </row>
    <row r="2651" customFormat="false" ht="15" hidden="false" customHeight="true" outlineLevel="0" collapsed="false">
      <c r="A2651" s="10"/>
      <c r="B2651" s="8"/>
      <c r="C2651" s="13" t="str">
        <f aca="false">IF($B2651="","",IFERROR(INDEX(직원목록!$B$3:$B$302,MATCH($B2651,직원목록!$A$3:$A$302,0)),"미등록사번"))</f>
        <v/>
      </c>
      <c r="D2651" s="13" t="str">
        <f aca="false">IF($B2651="","",IFERROR(INDEX(직원목록!$C$3:$C$302,MATCH($B2651,직원목록!$A$3:$A$302,0)),""))</f>
        <v/>
      </c>
      <c r="E2651" s="14"/>
      <c r="F2651" s="14"/>
      <c r="G2651" s="15"/>
      <c r="H2651" s="16" t="str">
        <f aca="false">IF(OR($K2651="",$L2651=""),"",ROUND(MAX(0,($L2651-$K2651)-IF($G2651="",0,$G2651))/60,2))</f>
        <v/>
      </c>
      <c r="I2651" s="8"/>
      <c r="J2651" s="8"/>
      <c r="K2651" s="17" t="str">
        <f aca="false">IF($E2651="","",IF($E2651&lt;1,ROUND($E2651*1440,0),INT($E2651/100)*60+MOD($E2651,100)))</f>
        <v/>
      </c>
      <c r="L2651" s="17" t="str">
        <f aca="false">IF($F2651="","",IF($F2651&lt;1,ROUND($F2651*1440,0),INT($F2651/100)*60+MOD($F2651,100)))</f>
        <v/>
      </c>
    </row>
    <row r="2652" customFormat="false" ht="15" hidden="false" customHeight="true" outlineLevel="0" collapsed="false">
      <c r="A2652" s="10"/>
      <c r="B2652" s="8"/>
      <c r="C2652" s="13" t="str">
        <f aca="false">IF($B2652="","",IFERROR(INDEX(직원목록!$B$3:$B$302,MATCH($B2652,직원목록!$A$3:$A$302,0)),"미등록사번"))</f>
        <v/>
      </c>
      <c r="D2652" s="13" t="str">
        <f aca="false">IF($B2652="","",IFERROR(INDEX(직원목록!$C$3:$C$302,MATCH($B2652,직원목록!$A$3:$A$302,0)),""))</f>
        <v/>
      </c>
      <c r="E2652" s="14"/>
      <c r="F2652" s="14"/>
      <c r="G2652" s="15"/>
      <c r="H2652" s="16" t="str">
        <f aca="false">IF(OR($K2652="",$L2652=""),"",ROUND(MAX(0,($L2652-$K2652)-IF($G2652="",0,$G2652))/60,2))</f>
        <v/>
      </c>
      <c r="I2652" s="8"/>
      <c r="J2652" s="8"/>
      <c r="K2652" s="17" t="str">
        <f aca="false">IF($E2652="","",IF($E2652&lt;1,ROUND($E2652*1440,0),INT($E2652/100)*60+MOD($E2652,100)))</f>
        <v/>
      </c>
      <c r="L2652" s="17" t="str">
        <f aca="false">IF($F2652="","",IF($F2652&lt;1,ROUND($F2652*1440,0),INT($F2652/100)*60+MOD($F2652,100)))</f>
        <v/>
      </c>
    </row>
    <row r="2653" customFormat="false" ht="15" hidden="false" customHeight="true" outlineLevel="0" collapsed="false">
      <c r="A2653" s="10"/>
      <c r="B2653" s="8"/>
      <c r="C2653" s="13" t="str">
        <f aca="false">IF($B2653="","",IFERROR(INDEX(직원목록!$B$3:$B$302,MATCH($B2653,직원목록!$A$3:$A$302,0)),"미등록사번"))</f>
        <v/>
      </c>
      <c r="D2653" s="13" t="str">
        <f aca="false">IF($B2653="","",IFERROR(INDEX(직원목록!$C$3:$C$302,MATCH($B2653,직원목록!$A$3:$A$302,0)),""))</f>
        <v/>
      </c>
      <c r="E2653" s="14"/>
      <c r="F2653" s="14"/>
      <c r="G2653" s="15"/>
      <c r="H2653" s="16" t="str">
        <f aca="false">IF(OR($K2653="",$L2653=""),"",ROUND(MAX(0,($L2653-$K2653)-IF($G2653="",0,$G2653))/60,2))</f>
        <v/>
      </c>
      <c r="I2653" s="8"/>
      <c r="J2653" s="8"/>
      <c r="K2653" s="17" t="str">
        <f aca="false">IF($E2653="","",IF($E2653&lt;1,ROUND($E2653*1440,0),INT($E2653/100)*60+MOD($E2653,100)))</f>
        <v/>
      </c>
      <c r="L2653" s="17" t="str">
        <f aca="false">IF($F2653="","",IF($F2653&lt;1,ROUND($F2653*1440,0),INT($F2653/100)*60+MOD($F2653,100)))</f>
        <v/>
      </c>
    </row>
    <row r="2654" customFormat="false" ht="15" hidden="false" customHeight="true" outlineLevel="0" collapsed="false">
      <c r="A2654" s="10"/>
      <c r="B2654" s="8"/>
      <c r="C2654" s="13" t="str">
        <f aca="false">IF($B2654="","",IFERROR(INDEX(직원목록!$B$3:$B$302,MATCH($B2654,직원목록!$A$3:$A$302,0)),"미등록사번"))</f>
        <v/>
      </c>
      <c r="D2654" s="13" t="str">
        <f aca="false">IF($B2654="","",IFERROR(INDEX(직원목록!$C$3:$C$302,MATCH($B2654,직원목록!$A$3:$A$302,0)),""))</f>
        <v/>
      </c>
      <c r="E2654" s="14"/>
      <c r="F2654" s="14"/>
      <c r="G2654" s="15"/>
      <c r="H2654" s="16" t="str">
        <f aca="false">IF(OR($K2654="",$L2654=""),"",ROUND(MAX(0,($L2654-$K2654)-IF($G2654="",0,$G2654))/60,2))</f>
        <v/>
      </c>
      <c r="I2654" s="8"/>
      <c r="J2654" s="8"/>
      <c r="K2654" s="17" t="str">
        <f aca="false">IF($E2654="","",IF($E2654&lt;1,ROUND($E2654*1440,0),INT($E2654/100)*60+MOD($E2654,100)))</f>
        <v/>
      </c>
      <c r="L2654" s="17" t="str">
        <f aca="false">IF($F2654="","",IF($F2654&lt;1,ROUND($F2654*1440,0),INT($F2654/100)*60+MOD($F2654,100)))</f>
        <v/>
      </c>
    </row>
    <row r="2655" customFormat="false" ht="15" hidden="false" customHeight="true" outlineLevel="0" collapsed="false">
      <c r="A2655" s="10"/>
      <c r="B2655" s="8"/>
      <c r="C2655" s="13" t="str">
        <f aca="false">IF($B2655="","",IFERROR(INDEX(직원목록!$B$3:$B$302,MATCH($B2655,직원목록!$A$3:$A$302,0)),"미등록사번"))</f>
        <v/>
      </c>
      <c r="D2655" s="13" t="str">
        <f aca="false">IF($B2655="","",IFERROR(INDEX(직원목록!$C$3:$C$302,MATCH($B2655,직원목록!$A$3:$A$302,0)),""))</f>
        <v/>
      </c>
      <c r="E2655" s="14"/>
      <c r="F2655" s="14"/>
      <c r="G2655" s="15"/>
      <c r="H2655" s="16" t="str">
        <f aca="false">IF(OR($K2655="",$L2655=""),"",ROUND(MAX(0,($L2655-$K2655)-IF($G2655="",0,$G2655))/60,2))</f>
        <v/>
      </c>
      <c r="I2655" s="8"/>
      <c r="J2655" s="8"/>
      <c r="K2655" s="17" t="str">
        <f aca="false">IF($E2655="","",IF($E2655&lt;1,ROUND($E2655*1440,0),INT($E2655/100)*60+MOD($E2655,100)))</f>
        <v/>
      </c>
      <c r="L2655" s="17" t="str">
        <f aca="false">IF($F2655="","",IF($F2655&lt;1,ROUND($F2655*1440,0),INT($F2655/100)*60+MOD($F2655,100)))</f>
        <v/>
      </c>
    </row>
    <row r="2656" customFormat="false" ht="15" hidden="false" customHeight="true" outlineLevel="0" collapsed="false">
      <c r="A2656" s="10"/>
      <c r="B2656" s="8"/>
      <c r="C2656" s="13" t="str">
        <f aca="false">IF($B2656="","",IFERROR(INDEX(직원목록!$B$3:$B$302,MATCH($B2656,직원목록!$A$3:$A$302,0)),"미등록사번"))</f>
        <v/>
      </c>
      <c r="D2656" s="13" t="str">
        <f aca="false">IF($B2656="","",IFERROR(INDEX(직원목록!$C$3:$C$302,MATCH($B2656,직원목록!$A$3:$A$302,0)),""))</f>
        <v/>
      </c>
      <c r="E2656" s="14"/>
      <c r="F2656" s="14"/>
      <c r="G2656" s="15"/>
      <c r="H2656" s="16" t="str">
        <f aca="false">IF(OR($K2656="",$L2656=""),"",ROUND(MAX(0,($L2656-$K2656)-IF($G2656="",0,$G2656))/60,2))</f>
        <v/>
      </c>
      <c r="I2656" s="8"/>
      <c r="J2656" s="8"/>
      <c r="K2656" s="17" t="str">
        <f aca="false">IF($E2656="","",IF($E2656&lt;1,ROUND($E2656*1440,0),INT($E2656/100)*60+MOD($E2656,100)))</f>
        <v/>
      </c>
      <c r="L2656" s="17" t="str">
        <f aca="false">IF($F2656="","",IF($F2656&lt;1,ROUND($F2656*1440,0),INT($F2656/100)*60+MOD($F2656,100)))</f>
        <v/>
      </c>
    </row>
    <row r="2657" customFormat="false" ht="15" hidden="false" customHeight="true" outlineLevel="0" collapsed="false">
      <c r="A2657" s="10"/>
      <c r="B2657" s="8"/>
      <c r="C2657" s="13" t="str">
        <f aca="false">IF($B2657="","",IFERROR(INDEX(직원목록!$B$3:$B$302,MATCH($B2657,직원목록!$A$3:$A$302,0)),"미등록사번"))</f>
        <v/>
      </c>
      <c r="D2657" s="13" t="str">
        <f aca="false">IF($B2657="","",IFERROR(INDEX(직원목록!$C$3:$C$302,MATCH($B2657,직원목록!$A$3:$A$302,0)),""))</f>
        <v/>
      </c>
      <c r="E2657" s="14"/>
      <c r="F2657" s="14"/>
      <c r="G2657" s="15"/>
      <c r="H2657" s="16" t="str">
        <f aca="false">IF(OR($K2657="",$L2657=""),"",ROUND(MAX(0,($L2657-$K2657)-IF($G2657="",0,$G2657))/60,2))</f>
        <v/>
      </c>
      <c r="I2657" s="8"/>
      <c r="J2657" s="8"/>
      <c r="K2657" s="17" t="str">
        <f aca="false">IF($E2657="","",IF($E2657&lt;1,ROUND($E2657*1440,0),INT($E2657/100)*60+MOD($E2657,100)))</f>
        <v/>
      </c>
      <c r="L2657" s="17" t="str">
        <f aca="false">IF($F2657="","",IF($F2657&lt;1,ROUND($F2657*1440,0),INT($F2657/100)*60+MOD($F2657,100)))</f>
        <v/>
      </c>
    </row>
    <row r="2658" customFormat="false" ht="15" hidden="false" customHeight="true" outlineLevel="0" collapsed="false">
      <c r="A2658" s="10"/>
      <c r="B2658" s="8"/>
      <c r="C2658" s="13" t="str">
        <f aca="false">IF($B2658="","",IFERROR(INDEX(직원목록!$B$3:$B$302,MATCH($B2658,직원목록!$A$3:$A$302,0)),"미등록사번"))</f>
        <v/>
      </c>
      <c r="D2658" s="13" t="str">
        <f aca="false">IF($B2658="","",IFERROR(INDEX(직원목록!$C$3:$C$302,MATCH($B2658,직원목록!$A$3:$A$302,0)),""))</f>
        <v/>
      </c>
      <c r="E2658" s="14"/>
      <c r="F2658" s="14"/>
      <c r="G2658" s="15"/>
      <c r="H2658" s="16" t="str">
        <f aca="false">IF(OR($K2658="",$L2658=""),"",ROUND(MAX(0,($L2658-$K2658)-IF($G2658="",0,$G2658))/60,2))</f>
        <v/>
      </c>
      <c r="I2658" s="8"/>
      <c r="J2658" s="8"/>
      <c r="K2658" s="17" t="str">
        <f aca="false">IF($E2658="","",IF($E2658&lt;1,ROUND($E2658*1440,0),INT($E2658/100)*60+MOD($E2658,100)))</f>
        <v/>
      </c>
      <c r="L2658" s="17" t="str">
        <f aca="false">IF($F2658="","",IF($F2658&lt;1,ROUND($F2658*1440,0),INT($F2658/100)*60+MOD($F2658,100)))</f>
        <v/>
      </c>
    </row>
    <row r="2659" customFormat="false" ht="15" hidden="false" customHeight="true" outlineLevel="0" collapsed="false">
      <c r="A2659" s="10"/>
      <c r="B2659" s="8"/>
      <c r="C2659" s="13" t="str">
        <f aca="false">IF($B2659="","",IFERROR(INDEX(직원목록!$B$3:$B$302,MATCH($B2659,직원목록!$A$3:$A$302,0)),"미등록사번"))</f>
        <v/>
      </c>
      <c r="D2659" s="13" t="str">
        <f aca="false">IF($B2659="","",IFERROR(INDEX(직원목록!$C$3:$C$302,MATCH($B2659,직원목록!$A$3:$A$302,0)),""))</f>
        <v/>
      </c>
      <c r="E2659" s="14"/>
      <c r="F2659" s="14"/>
      <c r="G2659" s="15"/>
      <c r="H2659" s="16" t="str">
        <f aca="false">IF(OR($K2659="",$L2659=""),"",ROUND(MAX(0,($L2659-$K2659)-IF($G2659="",0,$G2659))/60,2))</f>
        <v/>
      </c>
      <c r="I2659" s="8"/>
      <c r="J2659" s="8"/>
      <c r="K2659" s="17" t="str">
        <f aca="false">IF($E2659="","",IF($E2659&lt;1,ROUND($E2659*1440,0),INT($E2659/100)*60+MOD($E2659,100)))</f>
        <v/>
      </c>
      <c r="L2659" s="17" t="str">
        <f aca="false">IF($F2659="","",IF($F2659&lt;1,ROUND($F2659*1440,0),INT($F2659/100)*60+MOD($F2659,100)))</f>
        <v/>
      </c>
    </row>
    <row r="2660" customFormat="false" ht="15" hidden="false" customHeight="true" outlineLevel="0" collapsed="false">
      <c r="A2660" s="10"/>
      <c r="B2660" s="8"/>
      <c r="C2660" s="13" t="str">
        <f aca="false">IF($B2660="","",IFERROR(INDEX(직원목록!$B$3:$B$302,MATCH($B2660,직원목록!$A$3:$A$302,0)),"미등록사번"))</f>
        <v/>
      </c>
      <c r="D2660" s="13" t="str">
        <f aca="false">IF($B2660="","",IFERROR(INDEX(직원목록!$C$3:$C$302,MATCH($B2660,직원목록!$A$3:$A$302,0)),""))</f>
        <v/>
      </c>
      <c r="E2660" s="14"/>
      <c r="F2660" s="14"/>
      <c r="G2660" s="15"/>
      <c r="H2660" s="16" t="str">
        <f aca="false">IF(OR($K2660="",$L2660=""),"",ROUND(MAX(0,($L2660-$K2660)-IF($G2660="",0,$G2660))/60,2))</f>
        <v/>
      </c>
      <c r="I2660" s="8"/>
      <c r="J2660" s="8"/>
      <c r="K2660" s="17" t="str">
        <f aca="false">IF($E2660="","",IF($E2660&lt;1,ROUND($E2660*1440,0),INT($E2660/100)*60+MOD($E2660,100)))</f>
        <v/>
      </c>
      <c r="L2660" s="17" t="str">
        <f aca="false">IF($F2660="","",IF($F2660&lt;1,ROUND($F2660*1440,0),INT($F2660/100)*60+MOD($F2660,100)))</f>
        <v/>
      </c>
    </row>
    <row r="2661" customFormat="false" ht="15" hidden="false" customHeight="true" outlineLevel="0" collapsed="false">
      <c r="A2661" s="10"/>
      <c r="B2661" s="8"/>
      <c r="C2661" s="13" t="str">
        <f aca="false">IF($B2661="","",IFERROR(INDEX(직원목록!$B$3:$B$302,MATCH($B2661,직원목록!$A$3:$A$302,0)),"미등록사번"))</f>
        <v/>
      </c>
      <c r="D2661" s="13" t="str">
        <f aca="false">IF($B2661="","",IFERROR(INDEX(직원목록!$C$3:$C$302,MATCH($B2661,직원목록!$A$3:$A$302,0)),""))</f>
        <v/>
      </c>
      <c r="E2661" s="14"/>
      <c r="F2661" s="14"/>
      <c r="G2661" s="15"/>
      <c r="H2661" s="16" t="str">
        <f aca="false">IF(OR($K2661="",$L2661=""),"",ROUND(MAX(0,($L2661-$K2661)-IF($G2661="",0,$G2661))/60,2))</f>
        <v/>
      </c>
      <c r="I2661" s="8"/>
      <c r="J2661" s="8"/>
      <c r="K2661" s="17" t="str">
        <f aca="false">IF($E2661="","",IF($E2661&lt;1,ROUND($E2661*1440,0),INT($E2661/100)*60+MOD($E2661,100)))</f>
        <v/>
      </c>
      <c r="L2661" s="17" t="str">
        <f aca="false">IF($F2661="","",IF($F2661&lt;1,ROUND($F2661*1440,0),INT($F2661/100)*60+MOD($F2661,100)))</f>
        <v/>
      </c>
    </row>
    <row r="2662" customFormat="false" ht="15" hidden="false" customHeight="true" outlineLevel="0" collapsed="false">
      <c r="A2662" s="10"/>
      <c r="B2662" s="8"/>
      <c r="C2662" s="13" t="str">
        <f aca="false">IF($B2662="","",IFERROR(INDEX(직원목록!$B$3:$B$302,MATCH($B2662,직원목록!$A$3:$A$302,0)),"미등록사번"))</f>
        <v/>
      </c>
      <c r="D2662" s="13" t="str">
        <f aca="false">IF($B2662="","",IFERROR(INDEX(직원목록!$C$3:$C$302,MATCH($B2662,직원목록!$A$3:$A$302,0)),""))</f>
        <v/>
      </c>
      <c r="E2662" s="14"/>
      <c r="F2662" s="14"/>
      <c r="G2662" s="15"/>
      <c r="H2662" s="16" t="str">
        <f aca="false">IF(OR($K2662="",$L2662=""),"",ROUND(MAX(0,($L2662-$K2662)-IF($G2662="",0,$G2662))/60,2))</f>
        <v/>
      </c>
      <c r="I2662" s="8"/>
      <c r="J2662" s="8"/>
      <c r="K2662" s="17" t="str">
        <f aca="false">IF($E2662="","",IF($E2662&lt;1,ROUND($E2662*1440,0),INT($E2662/100)*60+MOD($E2662,100)))</f>
        <v/>
      </c>
      <c r="L2662" s="17" t="str">
        <f aca="false">IF($F2662="","",IF($F2662&lt;1,ROUND($F2662*1440,0),INT($F2662/100)*60+MOD($F2662,100)))</f>
        <v/>
      </c>
    </row>
    <row r="2663" customFormat="false" ht="15" hidden="false" customHeight="true" outlineLevel="0" collapsed="false">
      <c r="A2663" s="10"/>
      <c r="B2663" s="8"/>
      <c r="C2663" s="13" t="str">
        <f aca="false">IF($B2663="","",IFERROR(INDEX(직원목록!$B$3:$B$302,MATCH($B2663,직원목록!$A$3:$A$302,0)),"미등록사번"))</f>
        <v/>
      </c>
      <c r="D2663" s="13" t="str">
        <f aca="false">IF($B2663="","",IFERROR(INDEX(직원목록!$C$3:$C$302,MATCH($B2663,직원목록!$A$3:$A$302,0)),""))</f>
        <v/>
      </c>
      <c r="E2663" s="14"/>
      <c r="F2663" s="14"/>
      <c r="G2663" s="15"/>
      <c r="H2663" s="16" t="str">
        <f aca="false">IF(OR($K2663="",$L2663=""),"",ROUND(MAX(0,($L2663-$K2663)-IF($G2663="",0,$G2663))/60,2))</f>
        <v/>
      </c>
      <c r="I2663" s="8"/>
      <c r="J2663" s="8"/>
      <c r="K2663" s="17" t="str">
        <f aca="false">IF($E2663="","",IF($E2663&lt;1,ROUND($E2663*1440,0),INT($E2663/100)*60+MOD($E2663,100)))</f>
        <v/>
      </c>
      <c r="L2663" s="17" t="str">
        <f aca="false">IF($F2663="","",IF($F2663&lt;1,ROUND($F2663*1440,0),INT($F2663/100)*60+MOD($F2663,100)))</f>
        <v/>
      </c>
    </row>
    <row r="2664" customFormat="false" ht="15" hidden="false" customHeight="true" outlineLevel="0" collapsed="false">
      <c r="A2664" s="10"/>
      <c r="B2664" s="8"/>
      <c r="C2664" s="13" t="str">
        <f aca="false">IF($B2664="","",IFERROR(INDEX(직원목록!$B$3:$B$302,MATCH($B2664,직원목록!$A$3:$A$302,0)),"미등록사번"))</f>
        <v/>
      </c>
      <c r="D2664" s="13" t="str">
        <f aca="false">IF($B2664="","",IFERROR(INDEX(직원목록!$C$3:$C$302,MATCH($B2664,직원목록!$A$3:$A$302,0)),""))</f>
        <v/>
      </c>
      <c r="E2664" s="14"/>
      <c r="F2664" s="14"/>
      <c r="G2664" s="15"/>
      <c r="H2664" s="16" t="str">
        <f aca="false">IF(OR($K2664="",$L2664=""),"",ROUND(MAX(0,($L2664-$K2664)-IF($G2664="",0,$G2664))/60,2))</f>
        <v/>
      </c>
      <c r="I2664" s="8"/>
      <c r="J2664" s="8"/>
      <c r="K2664" s="17" t="str">
        <f aca="false">IF($E2664="","",IF($E2664&lt;1,ROUND($E2664*1440,0),INT($E2664/100)*60+MOD($E2664,100)))</f>
        <v/>
      </c>
      <c r="L2664" s="17" t="str">
        <f aca="false">IF($F2664="","",IF($F2664&lt;1,ROUND($F2664*1440,0),INT($F2664/100)*60+MOD($F2664,100)))</f>
        <v/>
      </c>
    </row>
    <row r="2665" customFormat="false" ht="15" hidden="false" customHeight="true" outlineLevel="0" collapsed="false">
      <c r="A2665" s="10"/>
      <c r="B2665" s="8"/>
      <c r="C2665" s="13" t="str">
        <f aca="false">IF($B2665="","",IFERROR(INDEX(직원목록!$B$3:$B$302,MATCH($B2665,직원목록!$A$3:$A$302,0)),"미등록사번"))</f>
        <v/>
      </c>
      <c r="D2665" s="13" t="str">
        <f aca="false">IF($B2665="","",IFERROR(INDEX(직원목록!$C$3:$C$302,MATCH($B2665,직원목록!$A$3:$A$302,0)),""))</f>
        <v/>
      </c>
      <c r="E2665" s="14"/>
      <c r="F2665" s="14"/>
      <c r="G2665" s="15"/>
      <c r="H2665" s="16" t="str">
        <f aca="false">IF(OR($K2665="",$L2665=""),"",ROUND(MAX(0,($L2665-$K2665)-IF($G2665="",0,$G2665))/60,2))</f>
        <v/>
      </c>
      <c r="I2665" s="8"/>
      <c r="J2665" s="8"/>
      <c r="K2665" s="17" t="str">
        <f aca="false">IF($E2665="","",IF($E2665&lt;1,ROUND($E2665*1440,0),INT($E2665/100)*60+MOD($E2665,100)))</f>
        <v/>
      </c>
      <c r="L2665" s="17" t="str">
        <f aca="false">IF($F2665="","",IF($F2665&lt;1,ROUND($F2665*1440,0),INT($F2665/100)*60+MOD($F2665,100)))</f>
        <v/>
      </c>
    </row>
    <row r="2666" customFormat="false" ht="15" hidden="false" customHeight="true" outlineLevel="0" collapsed="false">
      <c r="A2666" s="10"/>
      <c r="B2666" s="8"/>
      <c r="C2666" s="13" t="str">
        <f aca="false">IF($B2666="","",IFERROR(INDEX(직원목록!$B$3:$B$302,MATCH($B2666,직원목록!$A$3:$A$302,0)),"미등록사번"))</f>
        <v/>
      </c>
      <c r="D2666" s="13" t="str">
        <f aca="false">IF($B2666="","",IFERROR(INDEX(직원목록!$C$3:$C$302,MATCH($B2666,직원목록!$A$3:$A$302,0)),""))</f>
        <v/>
      </c>
      <c r="E2666" s="14"/>
      <c r="F2666" s="14"/>
      <c r="G2666" s="15"/>
      <c r="H2666" s="16" t="str">
        <f aca="false">IF(OR($K2666="",$L2666=""),"",ROUND(MAX(0,($L2666-$K2666)-IF($G2666="",0,$G2666))/60,2))</f>
        <v/>
      </c>
      <c r="I2666" s="8"/>
      <c r="J2666" s="8"/>
      <c r="K2666" s="17" t="str">
        <f aca="false">IF($E2666="","",IF($E2666&lt;1,ROUND($E2666*1440,0),INT($E2666/100)*60+MOD($E2666,100)))</f>
        <v/>
      </c>
      <c r="L2666" s="17" t="str">
        <f aca="false">IF($F2666="","",IF($F2666&lt;1,ROUND($F2666*1440,0),INT($F2666/100)*60+MOD($F2666,100)))</f>
        <v/>
      </c>
    </row>
    <row r="2667" customFormat="false" ht="15" hidden="false" customHeight="true" outlineLevel="0" collapsed="false">
      <c r="A2667" s="10"/>
      <c r="B2667" s="8"/>
      <c r="C2667" s="13" t="str">
        <f aca="false">IF($B2667="","",IFERROR(INDEX(직원목록!$B$3:$B$302,MATCH($B2667,직원목록!$A$3:$A$302,0)),"미등록사번"))</f>
        <v/>
      </c>
      <c r="D2667" s="13" t="str">
        <f aca="false">IF($B2667="","",IFERROR(INDEX(직원목록!$C$3:$C$302,MATCH($B2667,직원목록!$A$3:$A$302,0)),""))</f>
        <v/>
      </c>
      <c r="E2667" s="14"/>
      <c r="F2667" s="14"/>
      <c r="G2667" s="15"/>
      <c r="H2667" s="16" t="str">
        <f aca="false">IF(OR($K2667="",$L2667=""),"",ROUND(MAX(0,($L2667-$K2667)-IF($G2667="",0,$G2667))/60,2))</f>
        <v/>
      </c>
      <c r="I2667" s="8"/>
      <c r="J2667" s="8"/>
      <c r="K2667" s="17" t="str">
        <f aca="false">IF($E2667="","",IF($E2667&lt;1,ROUND($E2667*1440,0),INT($E2667/100)*60+MOD($E2667,100)))</f>
        <v/>
      </c>
      <c r="L2667" s="17" t="str">
        <f aca="false">IF($F2667="","",IF($F2667&lt;1,ROUND($F2667*1440,0),INT($F2667/100)*60+MOD($F2667,100)))</f>
        <v/>
      </c>
    </row>
    <row r="2668" customFormat="false" ht="15" hidden="false" customHeight="true" outlineLevel="0" collapsed="false">
      <c r="A2668" s="10"/>
      <c r="B2668" s="8"/>
      <c r="C2668" s="13" t="str">
        <f aca="false">IF($B2668="","",IFERROR(INDEX(직원목록!$B$3:$B$302,MATCH($B2668,직원목록!$A$3:$A$302,0)),"미등록사번"))</f>
        <v/>
      </c>
      <c r="D2668" s="13" t="str">
        <f aca="false">IF($B2668="","",IFERROR(INDEX(직원목록!$C$3:$C$302,MATCH($B2668,직원목록!$A$3:$A$302,0)),""))</f>
        <v/>
      </c>
      <c r="E2668" s="14"/>
      <c r="F2668" s="14"/>
      <c r="G2668" s="15"/>
      <c r="H2668" s="16" t="str">
        <f aca="false">IF(OR($K2668="",$L2668=""),"",ROUND(MAX(0,($L2668-$K2668)-IF($G2668="",0,$G2668))/60,2))</f>
        <v/>
      </c>
      <c r="I2668" s="8"/>
      <c r="J2668" s="8"/>
      <c r="K2668" s="17" t="str">
        <f aca="false">IF($E2668="","",IF($E2668&lt;1,ROUND($E2668*1440,0),INT($E2668/100)*60+MOD($E2668,100)))</f>
        <v/>
      </c>
      <c r="L2668" s="17" t="str">
        <f aca="false">IF($F2668="","",IF($F2668&lt;1,ROUND($F2668*1440,0),INT($F2668/100)*60+MOD($F2668,100)))</f>
        <v/>
      </c>
    </row>
    <row r="2669" customFormat="false" ht="15" hidden="false" customHeight="true" outlineLevel="0" collapsed="false">
      <c r="A2669" s="10"/>
      <c r="B2669" s="8"/>
      <c r="C2669" s="13" t="str">
        <f aca="false">IF($B2669="","",IFERROR(INDEX(직원목록!$B$3:$B$302,MATCH($B2669,직원목록!$A$3:$A$302,0)),"미등록사번"))</f>
        <v/>
      </c>
      <c r="D2669" s="13" t="str">
        <f aca="false">IF($B2669="","",IFERROR(INDEX(직원목록!$C$3:$C$302,MATCH($B2669,직원목록!$A$3:$A$302,0)),""))</f>
        <v/>
      </c>
      <c r="E2669" s="14"/>
      <c r="F2669" s="14"/>
      <c r="G2669" s="15"/>
      <c r="H2669" s="16" t="str">
        <f aca="false">IF(OR($K2669="",$L2669=""),"",ROUND(MAX(0,($L2669-$K2669)-IF($G2669="",0,$G2669))/60,2))</f>
        <v/>
      </c>
      <c r="I2669" s="8"/>
      <c r="J2669" s="8"/>
      <c r="K2669" s="17" t="str">
        <f aca="false">IF($E2669="","",IF($E2669&lt;1,ROUND($E2669*1440,0),INT($E2669/100)*60+MOD($E2669,100)))</f>
        <v/>
      </c>
      <c r="L2669" s="17" t="str">
        <f aca="false">IF($F2669="","",IF($F2669&lt;1,ROUND($F2669*1440,0),INT($F2669/100)*60+MOD($F2669,100)))</f>
        <v/>
      </c>
    </row>
    <row r="2670" customFormat="false" ht="15" hidden="false" customHeight="true" outlineLevel="0" collapsed="false">
      <c r="A2670" s="10"/>
      <c r="B2670" s="8"/>
      <c r="C2670" s="13" t="str">
        <f aca="false">IF($B2670="","",IFERROR(INDEX(직원목록!$B$3:$B$302,MATCH($B2670,직원목록!$A$3:$A$302,0)),"미등록사번"))</f>
        <v/>
      </c>
      <c r="D2670" s="13" t="str">
        <f aca="false">IF($B2670="","",IFERROR(INDEX(직원목록!$C$3:$C$302,MATCH($B2670,직원목록!$A$3:$A$302,0)),""))</f>
        <v/>
      </c>
      <c r="E2670" s="14"/>
      <c r="F2670" s="14"/>
      <c r="G2670" s="15"/>
      <c r="H2670" s="16" t="str">
        <f aca="false">IF(OR($K2670="",$L2670=""),"",ROUND(MAX(0,($L2670-$K2670)-IF($G2670="",0,$G2670))/60,2))</f>
        <v/>
      </c>
      <c r="I2670" s="8"/>
      <c r="J2670" s="8"/>
      <c r="K2670" s="17" t="str">
        <f aca="false">IF($E2670="","",IF($E2670&lt;1,ROUND($E2670*1440,0),INT($E2670/100)*60+MOD($E2670,100)))</f>
        <v/>
      </c>
      <c r="L2670" s="17" t="str">
        <f aca="false">IF($F2670="","",IF($F2670&lt;1,ROUND($F2670*1440,0),INT($F2670/100)*60+MOD($F2670,100)))</f>
        <v/>
      </c>
    </row>
    <row r="2671" customFormat="false" ht="15" hidden="false" customHeight="true" outlineLevel="0" collapsed="false">
      <c r="A2671" s="10"/>
      <c r="B2671" s="8"/>
      <c r="C2671" s="13" t="str">
        <f aca="false">IF($B2671="","",IFERROR(INDEX(직원목록!$B$3:$B$302,MATCH($B2671,직원목록!$A$3:$A$302,0)),"미등록사번"))</f>
        <v/>
      </c>
      <c r="D2671" s="13" t="str">
        <f aca="false">IF($B2671="","",IFERROR(INDEX(직원목록!$C$3:$C$302,MATCH($B2671,직원목록!$A$3:$A$302,0)),""))</f>
        <v/>
      </c>
      <c r="E2671" s="14"/>
      <c r="F2671" s="14"/>
      <c r="G2671" s="15"/>
      <c r="H2671" s="16" t="str">
        <f aca="false">IF(OR($K2671="",$L2671=""),"",ROUND(MAX(0,($L2671-$K2671)-IF($G2671="",0,$G2671))/60,2))</f>
        <v/>
      </c>
      <c r="I2671" s="8"/>
      <c r="J2671" s="8"/>
      <c r="K2671" s="17" t="str">
        <f aca="false">IF($E2671="","",IF($E2671&lt;1,ROUND($E2671*1440,0),INT($E2671/100)*60+MOD($E2671,100)))</f>
        <v/>
      </c>
      <c r="L2671" s="17" t="str">
        <f aca="false">IF($F2671="","",IF($F2671&lt;1,ROUND($F2671*1440,0),INT($F2671/100)*60+MOD($F2671,100)))</f>
        <v/>
      </c>
    </row>
    <row r="2672" customFormat="false" ht="15" hidden="false" customHeight="true" outlineLevel="0" collapsed="false">
      <c r="A2672" s="10"/>
      <c r="B2672" s="8"/>
      <c r="C2672" s="13" t="str">
        <f aca="false">IF($B2672="","",IFERROR(INDEX(직원목록!$B$3:$B$302,MATCH($B2672,직원목록!$A$3:$A$302,0)),"미등록사번"))</f>
        <v/>
      </c>
      <c r="D2672" s="13" t="str">
        <f aca="false">IF($B2672="","",IFERROR(INDEX(직원목록!$C$3:$C$302,MATCH($B2672,직원목록!$A$3:$A$302,0)),""))</f>
        <v/>
      </c>
      <c r="E2672" s="14"/>
      <c r="F2672" s="14"/>
      <c r="G2672" s="15"/>
      <c r="H2672" s="16" t="str">
        <f aca="false">IF(OR($K2672="",$L2672=""),"",ROUND(MAX(0,($L2672-$K2672)-IF($G2672="",0,$G2672))/60,2))</f>
        <v/>
      </c>
      <c r="I2672" s="8"/>
      <c r="J2672" s="8"/>
      <c r="K2672" s="17" t="str">
        <f aca="false">IF($E2672="","",IF($E2672&lt;1,ROUND($E2672*1440,0),INT($E2672/100)*60+MOD($E2672,100)))</f>
        <v/>
      </c>
      <c r="L2672" s="17" t="str">
        <f aca="false">IF($F2672="","",IF($F2672&lt;1,ROUND($F2672*1440,0),INT($F2672/100)*60+MOD($F2672,100)))</f>
        <v/>
      </c>
    </row>
    <row r="2673" customFormat="false" ht="15" hidden="false" customHeight="true" outlineLevel="0" collapsed="false">
      <c r="A2673" s="10"/>
      <c r="B2673" s="8"/>
      <c r="C2673" s="13" t="str">
        <f aca="false">IF($B2673="","",IFERROR(INDEX(직원목록!$B$3:$B$302,MATCH($B2673,직원목록!$A$3:$A$302,0)),"미등록사번"))</f>
        <v/>
      </c>
      <c r="D2673" s="13" t="str">
        <f aca="false">IF($B2673="","",IFERROR(INDEX(직원목록!$C$3:$C$302,MATCH($B2673,직원목록!$A$3:$A$302,0)),""))</f>
        <v/>
      </c>
      <c r="E2673" s="14"/>
      <c r="F2673" s="14"/>
      <c r="G2673" s="15"/>
      <c r="H2673" s="16" t="str">
        <f aca="false">IF(OR($K2673="",$L2673=""),"",ROUND(MAX(0,($L2673-$K2673)-IF($G2673="",0,$G2673))/60,2))</f>
        <v/>
      </c>
      <c r="I2673" s="8"/>
      <c r="J2673" s="8"/>
      <c r="K2673" s="17" t="str">
        <f aca="false">IF($E2673="","",IF($E2673&lt;1,ROUND($E2673*1440,0),INT($E2673/100)*60+MOD($E2673,100)))</f>
        <v/>
      </c>
      <c r="L2673" s="17" t="str">
        <f aca="false">IF($F2673="","",IF($F2673&lt;1,ROUND($F2673*1440,0),INT($F2673/100)*60+MOD($F2673,100)))</f>
        <v/>
      </c>
    </row>
    <row r="2674" customFormat="false" ht="15" hidden="false" customHeight="true" outlineLevel="0" collapsed="false">
      <c r="A2674" s="10"/>
      <c r="B2674" s="8"/>
      <c r="C2674" s="13" t="str">
        <f aca="false">IF($B2674="","",IFERROR(INDEX(직원목록!$B$3:$B$302,MATCH($B2674,직원목록!$A$3:$A$302,0)),"미등록사번"))</f>
        <v/>
      </c>
      <c r="D2674" s="13" t="str">
        <f aca="false">IF($B2674="","",IFERROR(INDEX(직원목록!$C$3:$C$302,MATCH($B2674,직원목록!$A$3:$A$302,0)),""))</f>
        <v/>
      </c>
      <c r="E2674" s="14"/>
      <c r="F2674" s="14"/>
      <c r="G2674" s="15"/>
      <c r="H2674" s="16" t="str">
        <f aca="false">IF(OR($K2674="",$L2674=""),"",ROUND(MAX(0,($L2674-$K2674)-IF($G2674="",0,$G2674))/60,2))</f>
        <v/>
      </c>
      <c r="I2674" s="8"/>
      <c r="J2674" s="8"/>
      <c r="K2674" s="17" t="str">
        <f aca="false">IF($E2674="","",IF($E2674&lt;1,ROUND($E2674*1440,0),INT($E2674/100)*60+MOD($E2674,100)))</f>
        <v/>
      </c>
      <c r="L2674" s="17" t="str">
        <f aca="false">IF($F2674="","",IF($F2674&lt;1,ROUND($F2674*1440,0),INT($F2674/100)*60+MOD($F2674,100)))</f>
        <v/>
      </c>
    </row>
    <row r="2675" customFormat="false" ht="15" hidden="false" customHeight="true" outlineLevel="0" collapsed="false">
      <c r="A2675" s="10"/>
      <c r="B2675" s="8"/>
      <c r="C2675" s="13" t="str">
        <f aca="false">IF($B2675="","",IFERROR(INDEX(직원목록!$B$3:$B$302,MATCH($B2675,직원목록!$A$3:$A$302,0)),"미등록사번"))</f>
        <v/>
      </c>
      <c r="D2675" s="13" t="str">
        <f aca="false">IF($B2675="","",IFERROR(INDEX(직원목록!$C$3:$C$302,MATCH($B2675,직원목록!$A$3:$A$302,0)),""))</f>
        <v/>
      </c>
      <c r="E2675" s="14"/>
      <c r="F2675" s="14"/>
      <c r="G2675" s="15"/>
      <c r="H2675" s="16" t="str">
        <f aca="false">IF(OR($K2675="",$L2675=""),"",ROUND(MAX(0,($L2675-$K2675)-IF($G2675="",0,$G2675))/60,2))</f>
        <v/>
      </c>
      <c r="I2675" s="8"/>
      <c r="J2675" s="8"/>
      <c r="K2675" s="17" t="str">
        <f aca="false">IF($E2675="","",IF($E2675&lt;1,ROUND($E2675*1440,0),INT($E2675/100)*60+MOD($E2675,100)))</f>
        <v/>
      </c>
      <c r="L2675" s="17" t="str">
        <f aca="false">IF($F2675="","",IF($F2675&lt;1,ROUND($F2675*1440,0),INT($F2675/100)*60+MOD($F2675,100)))</f>
        <v/>
      </c>
    </row>
    <row r="2676" customFormat="false" ht="15" hidden="false" customHeight="true" outlineLevel="0" collapsed="false">
      <c r="A2676" s="10"/>
      <c r="B2676" s="8"/>
      <c r="C2676" s="13" t="str">
        <f aca="false">IF($B2676="","",IFERROR(INDEX(직원목록!$B$3:$B$302,MATCH($B2676,직원목록!$A$3:$A$302,0)),"미등록사번"))</f>
        <v/>
      </c>
      <c r="D2676" s="13" t="str">
        <f aca="false">IF($B2676="","",IFERROR(INDEX(직원목록!$C$3:$C$302,MATCH($B2676,직원목록!$A$3:$A$302,0)),""))</f>
        <v/>
      </c>
      <c r="E2676" s="14"/>
      <c r="F2676" s="14"/>
      <c r="G2676" s="15"/>
      <c r="H2676" s="16" t="str">
        <f aca="false">IF(OR($K2676="",$L2676=""),"",ROUND(MAX(0,($L2676-$K2676)-IF($G2676="",0,$G2676))/60,2))</f>
        <v/>
      </c>
      <c r="I2676" s="8"/>
      <c r="J2676" s="8"/>
      <c r="K2676" s="17" t="str">
        <f aca="false">IF($E2676="","",IF($E2676&lt;1,ROUND($E2676*1440,0),INT($E2676/100)*60+MOD($E2676,100)))</f>
        <v/>
      </c>
      <c r="L2676" s="17" t="str">
        <f aca="false">IF($F2676="","",IF($F2676&lt;1,ROUND($F2676*1440,0),INT($F2676/100)*60+MOD($F2676,100)))</f>
        <v/>
      </c>
    </row>
    <row r="2677" customFormat="false" ht="15" hidden="false" customHeight="true" outlineLevel="0" collapsed="false">
      <c r="A2677" s="10"/>
      <c r="B2677" s="8"/>
      <c r="C2677" s="13" t="str">
        <f aca="false">IF($B2677="","",IFERROR(INDEX(직원목록!$B$3:$B$302,MATCH($B2677,직원목록!$A$3:$A$302,0)),"미등록사번"))</f>
        <v/>
      </c>
      <c r="D2677" s="13" t="str">
        <f aca="false">IF($B2677="","",IFERROR(INDEX(직원목록!$C$3:$C$302,MATCH($B2677,직원목록!$A$3:$A$302,0)),""))</f>
        <v/>
      </c>
      <c r="E2677" s="14"/>
      <c r="F2677" s="14"/>
      <c r="G2677" s="15"/>
      <c r="H2677" s="16" t="str">
        <f aca="false">IF(OR($K2677="",$L2677=""),"",ROUND(MAX(0,($L2677-$K2677)-IF($G2677="",0,$G2677))/60,2))</f>
        <v/>
      </c>
      <c r="I2677" s="8"/>
      <c r="J2677" s="8"/>
      <c r="K2677" s="17" t="str">
        <f aca="false">IF($E2677="","",IF($E2677&lt;1,ROUND($E2677*1440,0),INT($E2677/100)*60+MOD($E2677,100)))</f>
        <v/>
      </c>
      <c r="L2677" s="17" t="str">
        <f aca="false">IF($F2677="","",IF($F2677&lt;1,ROUND($F2677*1440,0),INT($F2677/100)*60+MOD($F2677,100)))</f>
        <v/>
      </c>
    </row>
    <row r="2678" customFormat="false" ht="15" hidden="false" customHeight="true" outlineLevel="0" collapsed="false">
      <c r="A2678" s="10"/>
      <c r="B2678" s="8"/>
      <c r="C2678" s="13" t="str">
        <f aca="false">IF($B2678="","",IFERROR(INDEX(직원목록!$B$3:$B$302,MATCH($B2678,직원목록!$A$3:$A$302,0)),"미등록사번"))</f>
        <v/>
      </c>
      <c r="D2678" s="13" t="str">
        <f aca="false">IF($B2678="","",IFERROR(INDEX(직원목록!$C$3:$C$302,MATCH($B2678,직원목록!$A$3:$A$302,0)),""))</f>
        <v/>
      </c>
      <c r="E2678" s="14"/>
      <c r="F2678" s="14"/>
      <c r="G2678" s="15"/>
      <c r="H2678" s="16" t="str">
        <f aca="false">IF(OR($K2678="",$L2678=""),"",ROUND(MAX(0,($L2678-$K2678)-IF($G2678="",0,$G2678))/60,2))</f>
        <v/>
      </c>
      <c r="I2678" s="8"/>
      <c r="J2678" s="8"/>
      <c r="K2678" s="17" t="str">
        <f aca="false">IF($E2678="","",IF($E2678&lt;1,ROUND($E2678*1440,0),INT($E2678/100)*60+MOD($E2678,100)))</f>
        <v/>
      </c>
      <c r="L2678" s="17" t="str">
        <f aca="false">IF($F2678="","",IF($F2678&lt;1,ROUND($F2678*1440,0),INT($F2678/100)*60+MOD($F2678,100)))</f>
        <v/>
      </c>
    </row>
    <row r="2679" customFormat="false" ht="15" hidden="false" customHeight="true" outlineLevel="0" collapsed="false">
      <c r="A2679" s="10"/>
      <c r="B2679" s="8"/>
      <c r="C2679" s="13" t="str">
        <f aca="false">IF($B2679="","",IFERROR(INDEX(직원목록!$B$3:$B$302,MATCH($B2679,직원목록!$A$3:$A$302,0)),"미등록사번"))</f>
        <v/>
      </c>
      <c r="D2679" s="13" t="str">
        <f aca="false">IF($B2679="","",IFERROR(INDEX(직원목록!$C$3:$C$302,MATCH($B2679,직원목록!$A$3:$A$302,0)),""))</f>
        <v/>
      </c>
      <c r="E2679" s="14"/>
      <c r="F2679" s="14"/>
      <c r="G2679" s="15"/>
      <c r="H2679" s="16" t="str">
        <f aca="false">IF(OR($K2679="",$L2679=""),"",ROUND(MAX(0,($L2679-$K2679)-IF($G2679="",0,$G2679))/60,2))</f>
        <v/>
      </c>
      <c r="I2679" s="8"/>
      <c r="J2679" s="8"/>
      <c r="K2679" s="17" t="str">
        <f aca="false">IF($E2679="","",IF($E2679&lt;1,ROUND($E2679*1440,0),INT($E2679/100)*60+MOD($E2679,100)))</f>
        <v/>
      </c>
      <c r="L2679" s="17" t="str">
        <f aca="false">IF($F2679="","",IF($F2679&lt;1,ROUND($F2679*1440,0),INT($F2679/100)*60+MOD($F2679,100)))</f>
        <v/>
      </c>
    </row>
    <row r="2680" customFormat="false" ht="15" hidden="false" customHeight="true" outlineLevel="0" collapsed="false">
      <c r="A2680" s="10"/>
      <c r="B2680" s="8"/>
      <c r="C2680" s="13" t="str">
        <f aca="false">IF($B2680="","",IFERROR(INDEX(직원목록!$B$3:$B$302,MATCH($B2680,직원목록!$A$3:$A$302,0)),"미등록사번"))</f>
        <v/>
      </c>
      <c r="D2680" s="13" t="str">
        <f aca="false">IF($B2680="","",IFERROR(INDEX(직원목록!$C$3:$C$302,MATCH($B2680,직원목록!$A$3:$A$302,0)),""))</f>
        <v/>
      </c>
      <c r="E2680" s="14"/>
      <c r="F2680" s="14"/>
      <c r="G2680" s="15"/>
      <c r="H2680" s="16" t="str">
        <f aca="false">IF(OR($K2680="",$L2680=""),"",ROUND(MAX(0,($L2680-$K2680)-IF($G2680="",0,$G2680))/60,2))</f>
        <v/>
      </c>
      <c r="I2680" s="8"/>
      <c r="J2680" s="8"/>
      <c r="K2680" s="17" t="str">
        <f aca="false">IF($E2680="","",IF($E2680&lt;1,ROUND($E2680*1440,0),INT($E2680/100)*60+MOD($E2680,100)))</f>
        <v/>
      </c>
      <c r="L2680" s="17" t="str">
        <f aca="false">IF($F2680="","",IF($F2680&lt;1,ROUND($F2680*1440,0),INT($F2680/100)*60+MOD($F2680,100)))</f>
        <v/>
      </c>
    </row>
    <row r="2681" customFormat="false" ht="15" hidden="false" customHeight="true" outlineLevel="0" collapsed="false">
      <c r="A2681" s="10"/>
      <c r="B2681" s="8"/>
      <c r="C2681" s="13" t="str">
        <f aca="false">IF($B2681="","",IFERROR(INDEX(직원목록!$B$3:$B$302,MATCH($B2681,직원목록!$A$3:$A$302,0)),"미등록사번"))</f>
        <v/>
      </c>
      <c r="D2681" s="13" t="str">
        <f aca="false">IF($B2681="","",IFERROR(INDEX(직원목록!$C$3:$C$302,MATCH($B2681,직원목록!$A$3:$A$302,0)),""))</f>
        <v/>
      </c>
      <c r="E2681" s="14"/>
      <c r="F2681" s="14"/>
      <c r="G2681" s="15"/>
      <c r="H2681" s="16" t="str">
        <f aca="false">IF(OR($K2681="",$L2681=""),"",ROUND(MAX(0,($L2681-$K2681)-IF($G2681="",0,$G2681))/60,2))</f>
        <v/>
      </c>
      <c r="I2681" s="8"/>
      <c r="J2681" s="8"/>
      <c r="K2681" s="17" t="str">
        <f aca="false">IF($E2681="","",IF($E2681&lt;1,ROUND($E2681*1440,0),INT($E2681/100)*60+MOD($E2681,100)))</f>
        <v/>
      </c>
      <c r="L2681" s="17" t="str">
        <f aca="false">IF($F2681="","",IF($F2681&lt;1,ROUND($F2681*1440,0),INT($F2681/100)*60+MOD($F2681,100)))</f>
        <v/>
      </c>
    </row>
    <row r="2682" customFormat="false" ht="15" hidden="false" customHeight="true" outlineLevel="0" collapsed="false">
      <c r="A2682" s="10"/>
      <c r="B2682" s="8"/>
      <c r="C2682" s="13" t="str">
        <f aca="false">IF($B2682="","",IFERROR(INDEX(직원목록!$B$3:$B$302,MATCH($B2682,직원목록!$A$3:$A$302,0)),"미등록사번"))</f>
        <v/>
      </c>
      <c r="D2682" s="13" t="str">
        <f aca="false">IF($B2682="","",IFERROR(INDEX(직원목록!$C$3:$C$302,MATCH($B2682,직원목록!$A$3:$A$302,0)),""))</f>
        <v/>
      </c>
      <c r="E2682" s="14"/>
      <c r="F2682" s="14"/>
      <c r="G2682" s="15"/>
      <c r="H2682" s="16" t="str">
        <f aca="false">IF(OR($K2682="",$L2682=""),"",ROUND(MAX(0,($L2682-$K2682)-IF($G2682="",0,$G2682))/60,2))</f>
        <v/>
      </c>
      <c r="I2682" s="8"/>
      <c r="J2682" s="8"/>
      <c r="K2682" s="17" t="str">
        <f aca="false">IF($E2682="","",IF($E2682&lt;1,ROUND($E2682*1440,0),INT($E2682/100)*60+MOD($E2682,100)))</f>
        <v/>
      </c>
      <c r="L2682" s="17" t="str">
        <f aca="false">IF($F2682="","",IF($F2682&lt;1,ROUND($F2682*1440,0),INT($F2682/100)*60+MOD($F2682,100)))</f>
        <v/>
      </c>
    </row>
    <row r="2683" customFormat="false" ht="15" hidden="false" customHeight="true" outlineLevel="0" collapsed="false">
      <c r="A2683" s="10"/>
      <c r="B2683" s="8"/>
      <c r="C2683" s="13" t="str">
        <f aca="false">IF($B2683="","",IFERROR(INDEX(직원목록!$B$3:$B$302,MATCH($B2683,직원목록!$A$3:$A$302,0)),"미등록사번"))</f>
        <v/>
      </c>
      <c r="D2683" s="13" t="str">
        <f aca="false">IF($B2683="","",IFERROR(INDEX(직원목록!$C$3:$C$302,MATCH($B2683,직원목록!$A$3:$A$302,0)),""))</f>
        <v/>
      </c>
      <c r="E2683" s="14"/>
      <c r="F2683" s="14"/>
      <c r="G2683" s="15"/>
      <c r="H2683" s="16" t="str">
        <f aca="false">IF(OR($K2683="",$L2683=""),"",ROUND(MAX(0,($L2683-$K2683)-IF($G2683="",0,$G2683))/60,2))</f>
        <v/>
      </c>
      <c r="I2683" s="8"/>
      <c r="J2683" s="8"/>
      <c r="K2683" s="17" t="str">
        <f aca="false">IF($E2683="","",IF($E2683&lt;1,ROUND($E2683*1440,0),INT($E2683/100)*60+MOD($E2683,100)))</f>
        <v/>
      </c>
      <c r="L2683" s="17" t="str">
        <f aca="false">IF($F2683="","",IF($F2683&lt;1,ROUND($F2683*1440,0),INT($F2683/100)*60+MOD($F2683,100)))</f>
        <v/>
      </c>
    </row>
    <row r="2684" customFormat="false" ht="15" hidden="false" customHeight="true" outlineLevel="0" collapsed="false">
      <c r="A2684" s="10"/>
      <c r="B2684" s="8"/>
      <c r="C2684" s="13" t="str">
        <f aca="false">IF($B2684="","",IFERROR(INDEX(직원목록!$B$3:$B$302,MATCH($B2684,직원목록!$A$3:$A$302,0)),"미등록사번"))</f>
        <v/>
      </c>
      <c r="D2684" s="13" t="str">
        <f aca="false">IF($B2684="","",IFERROR(INDEX(직원목록!$C$3:$C$302,MATCH($B2684,직원목록!$A$3:$A$302,0)),""))</f>
        <v/>
      </c>
      <c r="E2684" s="14"/>
      <c r="F2684" s="14"/>
      <c r="G2684" s="15"/>
      <c r="H2684" s="16" t="str">
        <f aca="false">IF(OR($K2684="",$L2684=""),"",ROUND(MAX(0,($L2684-$K2684)-IF($G2684="",0,$G2684))/60,2))</f>
        <v/>
      </c>
      <c r="I2684" s="8"/>
      <c r="J2684" s="8"/>
      <c r="K2684" s="17" t="str">
        <f aca="false">IF($E2684="","",IF($E2684&lt;1,ROUND($E2684*1440,0),INT($E2684/100)*60+MOD($E2684,100)))</f>
        <v/>
      </c>
      <c r="L2684" s="17" t="str">
        <f aca="false">IF($F2684="","",IF($F2684&lt;1,ROUND($F2684*1440,0),INT($F2684/100)*60+MOD($F2684,100)))</f>
        <v/>
      </c>
    </row>
    <row r="2685" customFormat="false" ht="15" hidden="false" customHeight="true" outlineLevel="0" collapsed="false">
      <c r="A2685" s="10"/>
      <c r="B2685" s="8"/>
      <c r="C2685" s="13" t="str">
        <f aca="false">IF($B2685="","",IFERROR(INDEX(직원목록!$B$3:$B$302,MATCH($B2685,직원목록!$A$3:$A$302,0)),"미등록사번"))</f>
        <v/>
      </c>
      <c r="D2685" s="13" t="str">
        <f aca="false">IF($B2685="","",IFERROR(INDEX(직원목록!$C$3:$C$302,MATCH($B2685,직원목록!$A$3:$A$302,0)),""))</f>
        <v/>
      </c>
      <c r="E2685" s="14"/>
      <c r="F2685" s="14"/>
      <c r="G2685" s="15"/>
      <c r="H2685" s="16" t="str">
        <f aca="false">IF(OR($K2685="",$L2685=""),"",ROUND(MAX(0,($L2685-$K2685)-IF($G2685="",0,$G2685))/60,2))</f>
        <v/>
      </c>
      <c r="I2685" s="8"/>
      <c r="J2685" s="8"/>
      <c r="K2685" s="17" t="str">
        <f aca="false">IF($E2685="","",IF($E2685&lt;1,ROUND($E2685*1440,0),INT($E2685/100)*60+MOD($E2685,100)))</f>
        <v/>
      </c>
      <c r="L2685" s="17" t="str">
        <f aca="false">IF($F2685="","",IF($F2685&lt;1,ROUND($F2685*1440,0),INT($F2685/100)*60+MOD($F2685,100)))</f>
        <v/>
      </c>
    </row>
    <row r="2686" customFormat="false" ht="15" hidden="false" customHeight="true" outlineLevel="0" collapsed="false">
      <c r="A2686" s="10"/>
      <c r="B2686" s="8"/>
      <c r="C2686" s="13" t="str">
        <f aca="false">IF($B2686="","",IFERROR(INDEX(직원목록!$B$3:$B$302,MATCH($B2686,직원목록!$A$3:$A$302,0)),"미등록사번"))</f>
        <v/>
      </c>
      <c r="D2686" s="13" t="str">
        <f aca="false">IF($B2686="","",IFERROR(INDEX(직원목록!$C$3:$C$302,MATCH($B2686,직원목록!$A$3:$A$302,0)),""))</f>
        <v/>
      </c>
      <c r="E2686" s="14"/>
      <c r="F2686" s="14"/>
      <c r="G2686" s="15"/>
      <c r="H2686" s="16" t="str">
        <f aca="false">IF(OR($K2686="",$L2686=""),"",ROUND(MAX(0,($L2686-$K2686)-IF($G2686="",0,$G2686))/60,2))</f>
        <v/>
      </c>
      <c r="I2686" s="8"/>
      <c r="J2686" s="8"/>
      <c r="K2686" s="17" t="str">
        <f aca="false">IF($E2686="","",IF($E2686&lt;1,ROUND($E2686*1440,0),INT($E2686/100)*60+MOD($E2686,100)))</f>
        <v/>
      </c>
      <c r="L2686" s="17" t="str">
        <f aca="false">IF($F2686="","",IF($F2686&lt;1,ROUND($F2686*1440,0),INT($F2686/100)*60+MOD($F2686,100)))</f>
        <v/>
      </c>
    </row>
    <row r="2687" customFormat="false" ht="15" hidden="false" customHeight="true" outlineLevel="0" collapsed="false">
      <c r="A2687" s="10"/>
      <c r="B2687" s="8"/>
      <c r="C2687" s="13" t="str">
        <f aca="false">IF($B2687="","",IFERROR(INDEX(직원목록!$B$3:$B$302,MATCH($B2687,직원목록!$A$3:$A$302,0)),"미등록사번"))</f>
        <v/>
      </c>
      <c r="D2687" s="13" t="str">
        <f aca="false">IF($B2687="","",IFERROR(INDEX(직원목록!$C$3:$C$302,MATCH($B2687,직원목록!$A$3:$A$302,0)),""))</f>
        <v/>
      </c>
      <c r="E2687" s="14"/>
      <c r="F2687" s="14"/>
      <c r="G2687" s="15"/>
      <c r="H2687" s="16" t="str">
        <f aca="false">IF(OR($K2687="",$L2687=""),"",ROUND(MAX(0,($L2687-$K2687)-IF($G2687="",0,$G2687))/60,2))</f>
        <v/>
      </c>
      <c r="I2687" s="8"/>
      <c r="J2687" s="8"/>
      <c r="K2687" s="17" t="str">
        <f aca="false">IF($E2687="","",IF($E2687&lt;1,ROUND($E2687*1440,0),INT($E2687/100)*60+MOD($E2687,100)))</f>
        <v/>
      </c>
      <c r="L2687" s="17" t="str">
        <f aca="false">IF($F2687="","",IF($F2687&lt;1,ROUND($F2687*1440,0),INT($F2687/100)*60+MOD($F2687,100)))</f>
        <v/>
      </c>
    </row>
    <row r="2688" customFormat="false" ht="15" hidden="false" customHeight="true" outlineLevel="0" collapsed="false">
      <c r="A2688" s="10"/>
      <c r="B2688" s="8"/>
      <c r="C2688" s="13" t="str">
        <f aca="false">IF($B2688="","",IFERROR(INDEX(직원목록!$B$3:$B$302,MATCH($B2688,직원목록!$A$3:$A$302,0)),"미등록사번"))</f>
        <v/>
      </c>
      <c r="D2688" s="13" t="str">
        <f aca="false">IF($B2688="","",IFERROR(INDEX(직원목록!$C$3:$C$302,MATCH($B2688,직원목록!$A$3:$A$302,0)),""))</f>
        <v/>
      </c>
      <c r="E2688" s="14"/>
      <c r="F2688" s="14"/>
      <c r="G2688" s="15"/>
      <c r="H2688" s="16" t="str">
        <f aca="false">IF(OR($K2688="",$L2688=""),"",ROUND(MAX(0,($L2688-$K2688)-IF($G2688="",0,$G2688))/60,2))</f>
        <v/>
      </c>
      <c r="I2688" s="8"/>
      <c r="J2688" s="8"/>
      <c r="K2688" s="17" t="str">
        <f aca="false">IF($E2688="","",IF($E2688&lt;1,ROUND($E2688*1440,0),INT($E2688/100)*60+MOD($E2688,100)))</f>
        <v/>
      </c>
      <c r="L2688" s="17" t="str">
        <f aca="false">IF($F2688="","",IF($F2688&lt;1,ROUND($F2688*1440,0),INT($F2688/100)*60+MOD($F2688,100)))</f>
        <v/>
      </c>
    </row>
    <row r="2689" customFormat="false" ht="15" hidden="false" customHeight="true" outlineLevel="0" collapsed="false">
      <c r="A2689" s="10"/>
      <c r="B2689" s="8"/>
      <c r="C2689" s="13" t="str">
        <f aca="false">IF($B2689="","",IFERROR(INDEX(직원목록!$B$3:$B$302,MATCH($B2689,직원목록!$A$3:$A$302,0)),"미등록사번"))</f>
        <v/>
      </c>
      <c r="D2689" s="13" t="str">
        <f aca="false">IF($B2689="","",IFERROR(INDEX(직원목록!$C$3:$C$302,MATCH($B2689,직원목록!$A$3:$A$302,0)),""))</f>
        <v/>
      </c>
      <c r="E2689" s="14"/>
      <c r="F2689" s="14"/>
      <c r="G2689" s="15"/>
      <c r="H2689" s="16" t="str">
        <f aca="false">IF(OR($K2689="",$L2689=""),"",ROUND(MAX(0,($L2689-$K2689)-IF($G2689="",0,$G2689))/60,2))</f>
        <v/>
      </c>
      <c r="I2689" s="8"/>
      <c r="J2689" s="8"/>
      <c r="K2689" s="17" t="str">
        <f aca="false">IF($E2689="","",IF($E2689&lt;1,ROUND($E2689*1440,0),INT($E2689/100)*60+MOD($E2689,100)))</f>
        <v/>
      </c>
      <c r="L2689" s="17" t="str">
        <f aca="false">IF($F2689="","",IF($F2689&lt;1,ROUND($F2689*1440,0),INT($F2689/100)*60+MOD($F2689,100)))</f>
        <v/>
      </c>
    </row>
    <row r="2690" customFormat="false" ht="15" hidden="false" customHeight="true" outlineLevel="0" collapsed="false">
      <c r="A2690" s="10"/>
      <c r="B2690" s="8"/>
      <c r="C2690" s="13" t="str">
        <f aca="false">IF($B2690="","",IFERROR(INDEX(직원목록!$B$3:$B$302,MATCH($B2690,직원목록!$A$3:$A$302,0)),"미등록사번"))</f>
        <v/>
      </c>
      <c r="D2690" s="13" t="str">
        <f aca="false">IF($B2690="","",IFERROR(INDEX(직원목록!$C$3:$C$302,MATCH($B2690,직원목록!$A$3:$A$302,0)),""))</f>
        <v/>
      </c>
      <c r="E2690" s="14"/>
      <c r="F2690" s="14"/>
      <c r="G2690" s="15"/>
      <c r="H2690" s="16" t="str">
        <f aca="false">IF(OR($K2690="",$L2690=""),"",ROUND(MAX(0,($L2690-$K2690)-IF($G2690="",0,$G2690))/60,2))</f>
        <v/>
      </c>
      <c r="I2690" s="8"/>
      <c r="J2690" s="8"/>
      <c r="K2690" s="17" t="str">
        <f aca="false">IF($E2690="","",IF($E2690&lt;1,ROUND($E2690*1440,0),INT($E2690/100)*60+MOD($E2690,100)))</f>
        <v/>
      </c>
      <c r="L2690" s="17" t="str">
        <f aca="false">IF($F2690="","",IF($F2690&lt;1,ROUND($F2690*1440,0),INT($F2690/100)*60+MOD($F2690,100)))</f>
        <v/>
      </c>
    </row>
    <row r="2691" customFormat="false" ht="15" hidden="false" customHeight="true" outlineLevel="0" collapsed="false">
      <c r="A2691" s="10"/>
      <c r="B2691" s="8"/>
      <c r="C2691" s="13" t="str">
        <f aca="false">IF($B2691="","",IFERROR(INDEX(직원목록!$B$3:$B$302,MATCH($B2691,직원목록!$A$3:$A$302,0)),"미등록사번"))</f>
        <v/>
      </c>
      <c r="D2691" s="13" t="str">
        <f aca="false">IF($B2691="","",IFERROR(INDEX(직원목록!$C$3:$C$302,MATCH($B2691,직원목록!$A$3:$A$302,0)),""))</f>
        <v/>
      </c>
      <c r="E2691" s="14"/>
      <c r="F2691" s="14"/>
      <c r="G2691" s="15"/>
      <c r="H2691" s="16" t="str">
        <f aca="false">IF(OR($K2691="",$L2691=""),"",ROUND(MAX(0,($L2691-$K2691)-IF($G2691="",0,$G2691))/60,2))</f>
        <v/>
      </c>
      <c r="I2691" s="8"/>
      <c r="J2691" s="8"/>
      <c r="K2691" s="17" t="str">
        <f aca="false">IF($E2691="","",IF($E2691&lt;1,ROUND($E2691*1440,0),INT($E2691/100)*60+MOD($E2691,100)))</f>
        <v/>
      </c>
      <c r="L2691" s="17" t="str">
        <f aca="false">IF($F2691="","",IF($F2691&lt;1,ROUND($F2691*1440,0),INT($F2691/100)*60+MOD($F2691,100)))</f>
        <v/>
      </c>
    </row>
    <row r="2692" customFormat="false" ht="15" hidden="false" customHeight="true" outlineLevel="0" collapsed="false">
      <c r="A2692" s="10"/>
      <c r="B2692" s="8"/>
      <c r="C2692" s="13" t="str">
        <f aca="false">IF($B2692="","",IFERROR(INDEX(직원목록!$B$3:$B$302,MATCH($B2692,직원목록!$A$3:$A$302,0)),"미등록사번"))</f>
        <v/>
      </c>
      <c r="D2692" s="13" t="str">
        <f aca="false">IF($B2692="","",IFERROR(INDEX(직원목록!$C$3:$C$302,MATCH($B2692,직원목록!$A$3:$A$302,0)),""))</f>
        <v/>
      </c>
      <c r="E2692" s="14"/>
      <c r="F2692" s="14"/>
      <c r="G2692" s="15"/>
      <c r="H2692" s="16" t="str">
        <f aca="false">IF(OR($K2692="",$L2692=""),"",ROUND(MAX(0,($L2692-$K2692)-IF($G2692="",0,$G2692))/60,2))</f>
        <v/>
      </c>
      <c r="I2692" s="8"/>
      <c r="J2692" s="8"/>
      <c r="K2692" s="17" t="str">
        <f aca="false">IF($E2692="","",IF($E2692&lt;1,ROUND($E2692*1440,0),INT($E2692/100)*60+MOD($E2692,100)))</f>
        <v/>
      </c>
      <c r="L2692" s="17" t="str">
        <f aca="false">IF($F2692="","",IF($F2692&lt;1,ROUND($F2692*1440,0),INT($F2692/100)*60+MOD($F2692,100)))</f>
        <v/>
      </c>
    </row>
    <row r="2693" customFormat="false" ht="15" hidden="false" customHeight="true" outlineLevel="0" collapsed="false">
      <c r="A2693" s="10"/>
      <c r="B2693" s="8"/>
      <c r="C2693" s="13" t="str">
        <f aca="false">IF($B2693="","",IFERROR(INDEX(직원목록!$B$3:$B$302,MATCH($B2693,직원목록!$A$3:$A$302,0)),"미등록사번"))</f>
        <v/>
      </c>
      <c r="D2693" s="13" t="str">
        <f aca="false">IF($B2693="","",IFERROR(INDEX(직원목록!$C$3:$C$302,MATCH($B2693,직원목록!$A$3:$A$302,0)),""))</f>
        <v/>
      </c>
      <c r="E2693" s="14"/>
      <c r="F2693" s="14"/>
      <c r="G2693" s="15"/>
      <c r="H2693" s="16" t="str">
        <f aca="false">IF(OR($K2693="",$L2693=""),"",ROUND(MAX(0,($L2693-$K2693)-IF($G2693="",0,$G2693))/60,2))</f>
        <v/>
      </c>
      <c r="I2693" s="8"/>
      <c r="J2693" s="8"/>
      <c r="K2693" s="17" t="str">
        <f aca="false">IF($E2693="","",IF($E2693&lt;1,ROUND($E2693*1440,0),INT($E2693/100)*60+MOD($E2693,100)))</f>
        <v/>
      </c>
      <c r="L2693" s="17" t="str">
        <f aca="false">IF($F2693="","",IF($F2693&lt;1,ROUND($F2693*1440,0),INT($F2693/100)*60+MOD($F2693,100)))</f>
        <v/>
      </c>
    </row>
    <row r="2694" customFormat="false" ht="15" hidden="false" customHeight="true" outlineLevel="0" collapsed="false">
      <c r="A2694" s="10"/>
      <c r="B2694" s="8"/>
      <c r="C2694" s="13" t="str">
        <f aca="false">IF($B2694="","",IFERROR(INDEX(직원목록!$B$3:$B$302,MATCH($B2694,직원목록!$A$3:$A$302,0)),"미등록사번"))</f>
        <v/>
      </c>
      <c r="D2694" s="13" t="str">
        <f aca="false">IF($B2694="","",IFERROR(INDEX(직원목록!$C$3:$C$302,MATCH($B2694,직원목록!$A$3:$A$302,0)),""))</f>
        <v/>
      </c>
      <c r="E2694" s="14"/>
      <c r="F2694" s="14"/>
      <c r="G2694" s="15"/>
      <c r="H2694" s="16" t="str">
        <f aca="false">IF(OR($K2694="",$L2694=""),"",ROUND(MAX(0,($L2694-$K2694)-IF($G2694="",0,$G2694))/60,2))</f>
        <v/>
      </c>
      <c r="I2694" s="8"/>
      <c r="J2694" s="8"/>
      <c r="K2694" s="17" t="str">
        <f aca="false">IF($E2694="","",IF($E2694&lt;1,ROUND($E2694*1440,0),INT($E2694/100)*60+MOD($E2694,100)))</f>
        <v/>
      </c>
      <c r="L2694" s="17" t="str">
        <f aca="false">IF($F2694="","",IF($F2694&lt;1,ROUND($F2694*1440,0),INT($F2694/100)*60+MOD($F2694,100)))</f>
        <v/>
      </c>
    </row>
    <row r="2695" customFormat="false" ht="15" hidden="false" customHeight="true" outlineLevel="0" collapsed="false">
      <c r="A2695" s="10"/>
      <c r="B2695" s="8"/>
      <c r="C2695" s="13" t="str">
        <f aca="false">IF($B2695="","",IFERROR(INDEX(직원목록!$B$3:$B$302,MATCH($B2695,직원목록!$A$3:$A$302,0)),"미등록사번"))</f>
        <v/>
      </c>
      <c r="D2695" s="13" t="str">
        <f aca="false">IF($B2695="","",IFERROR(INDEX(직원목록!$C$3:$C$302,MATCH($B2695,직원목록!$A$3:$A$302,0)),""))</f>
        <v/>
      </c>
      <c r="E2695" s="14"/>
      <c r="F2695" s="14"/>
      <c r="G2695" s="15"/>
      <c r="H2695" s="16" t="str">
        <f aca="false">IF(OR($K2695="",$L2695=""),"",ROUND(MAX(0,($L2695-$K2695)-IF($G2695="",0,$G2695))/60,2))</f>
        <v/>
      </c>
      <c r="I2695" s="8"/>
      <c r="J2695" s="8"/>
      <c r="K2695" s="17" t="str">
        <f aca="false">IF($E2695="","",IF($E2695&lt;1,ROUND($E2695*1440,0),INT($E2695/100)*60+MOD($E2695,100)))</f>
        <v/>
      </c>
      <c r="L2695" s="17" t="str">
        <f aca="false">IF($F2695="","",IF($F2695&lt;1,ROUND($F2695*1440,0),INT($F2695/100)*60+MOD($F2695,100)))</f>
        <v/>
      </c>
    </row>
    <row r="2696" customFormat="false" ht="15" hidden="false" customHeight="true" outlineLevel="0" collapsed="false">
      <c r="A2696" s="10"/>
      <c r="B2696" s="8"/>
      <c r="C2696" s="13" t="str">
        <f aca="false">IF($B2696="","",IFERROR(INDEX(직원목록!$B$3:$B$302,MATCH($B2696,직원목록!$A$3:$A$302,0)),"미등록사번"))</f>
        <v/>
      </c>
      <c r="D2696" s="13" t="str">
        <f aca="false">IF($B2696="","",IFERROR(INDEX(직원목록!$C$3:$C$302,MATCH($B2696,직원목록!$A$3:$A$302,0)),""))</f>
        <v/>
      </c>
      <c r="E2696" s="14"/>
      <c r="F2696" s="14"/>
      <c r="G2696" s="15"/>
      <c r="H2696" s="16" t="str">
        <f aca="false">IF(OR($K2696="",$L2696=""),"",ROUND(MAX(0,($L2696-$K2696)-IF($G2696="",0,$G2696))/60,2))</f>
        <v/>
      </c>
      <c r="I2696" s="8"/>
      <c r="J2696" s="8"/>
      <c r="K2696" s="17" t="str">
        <f aca="false">IF($E2696="","",IF($E2696&lt;1,ROUND($E2696*1440,0),INT($E2696/100)*60+MOD($E2696,100)))</f>
        <v/>
      </c>
      <c r="L2696" s="17" t="str">
        <f aca="false">IF($F2696="","",IF($F2696&lt;1,ROUND($F2696*1440,0),INT($F2696/100)*60+MOD($F2696,100)))</f>
        <v/>
      </c>
    </row>
    <row r="2697" customFormat="false" ht="15" hidden="false" customHeight="true" outlineLevel="0" collapsed="false">
      <c r="A2697" s="10"/>
      <c r="B2697" s="8"/>
      <c r="C2697" s="13" t="str">
        <f aca="false">IF($B2697="","",IFERROR(INDEX(직원목록!$B$3:$B$302,MATCH($B2697,직원목록!$A$3:$A$302,0)),"미등록사번"))</f>
        <v/>
      </c>
      <c r="D2697" s="13" t="str">
        <f aca="false">IF($B2697="","",IFERROR(INDEX(직원목록!$C$3:$C$302,MATCH($B2697,직원목록!$A$3:$A$302,0)),""))</f>
        <v/>
      </c>
      <c r="E2697" s="14"/>
      <c r="F2697" s="14"/>
      <c r="G2697" s="15"/>
      <c r="H2697" s="16" t="str">
        <f aca="false">IF(OR($K2697="",$L2697=""),"",ROUND(MAX(0,($L2697-$K2697)-IF($G2697="",0,$G2697))/60,2))</f>
        <v/>
      </c>
      <c r="I2697" s="8"/>
      <c r="J2697" s="8"/>
      <c r="K2697" s="17" t="str">
        <f aca="false">IF($E2697="","",IF($E2697&lt;1,ROUND($E2697*1440,0),INT($E2697/100)*60+MOD($E2697,100)))</f>
        <v/>
      </c>
      <c r="L2697" s="17" t="str">
        <f aca="false">IF($F2697="","",IF($F2697&lt;1,ROUND($F2697*1440,0),INT($F2697/100)*60+MOD($F2697,100)))</f>
        <v/>
      </c>
    </row>
    <row r="2698" customFormat="false" ht="15" hidden="false" customHeight="true" outlineLevel="0" collapsed="false">
      <c r="A2698" s="10"/>
      <c r="B2698" s="8"/>
      <c r="C2698" s="13" t="str">
        <f aca="false">IF($B2698="","",IFERROR(INDEX(직원목록!$B$3:$B$302,MATCH($B2698,직원목록!$A$3:$A$302,0)),"미등록사번"))</f>
        <v/>
      </c>
      <c r="D2698" s="13" t="str">
        <f aca="false">IF($B2698="","",IFERROR(INDEX(직원목록!$C$3:$C$302,MATCH($B2698,직원목록!$A$3:$A$302,0)),""))</f>
        <v/>
      </c>
      <c r="E2698" s="14"/>
      <c r="F2698" s="14"/>
      <c r="G2698" s="15"/>
      <c r="H2698" s="16" t="str">
        <f aca="false">IF(OR($K2698="",$L2698=""),"",ROUND(MAX(0,($L2698-$K2698)-IF($G2698="",0,$G2698))/60,2))</f>
        <v/>
      </c>
      <c r="I2698" s="8"/>
      <c r="J2698" s="8"/>
      <c r="K2698" s="17" t="str">
        <f aca="false">IF($E2698="","",IF($E2698&lt;1,ROUND($E2698*1440,0),INT($E2698/100)*60+MOD($E2698,100)))</f>
        <v/>
      </c>
      <c r="L2698" s="17" t="str">
        <f aca="false">IF($F2698="","",IF($F2698&lt;1,ROUND($F2698*1440,0),INT($F2698/100)*60+MOD($F2698,100)))</f>
        <v/>
      </c>
    </row>
    <row r="2699" customFormat="false" ht="15" hidden="false" customHeight="true" outlineLevel="0" collapsed="false">
      <c r="A2699" s="10"/>
      <c r="B2699" s="8"/>
      <c r="C2699" s="13" t="str">
        <f aca="false">IF($B2699="","",IFERROR(INDEX(직원목록!$B$3:$B$302,MATCH($B2699,직원목록!$A$3:$A$302,0)),"미등록사번"))</f>
        <v/>
      </c>
      <c r="D2699" s="13" t="str">
        <f aca="false">IF($B2699="","",IFERROR(INDEX(직원목록!$C$3:$C$302,MATCH($B2699,직원목록!$A$3:$A$302,0)),""))</f>
        <v/>
      </c>
      <c r="E2699" s="14"/>
      <c r="F2699" s="14"/>
      <c r="G2699" s="15"/>
      <c r="H2699" s="16" t="str">
        <f aca="false">IF(OR($K2699="",$L2699=""),"",ROUND(MAX(0,($L2699-$K2699)-IF($G2699="",0,$G2699))/60,2))</f>
        <v/>
      </c>
      <c r="I2699" s="8"/>
      <c r="J2699" s="8"/>
      <c r="K2699" s="17" t="str">
        <f aca="false">IF($E2699="","",IF($E2699&lt;1,ROUND($E2699*1440,0),INT($E2699/100)*60+MOD($E2699,100)))</f>
        <v/>
      </c>
      <c r="L2699" s="17" t="str">
        <f aca="false">IF($F2699="","",IF($F2699&lt;1,ROUND($F2699*1440,0),INT($F2699/100)*60+MOD($F2699,100)))</f>
        <v/>
      </c>
    </row>
    <row r="2700" customFormat="false" ht="15" hidden="false" customHeight="true" outlineLevel="0" collapsed="false">
      <c r="A2700" s="10"/>
      <c r="B2700" s="8"/>
      <c r="C2700" s="13" t="str">
        <f aca="false">IF($B2700="","",IFERROR(INDEX(직원목록!$B$3:$B$302,MATCH($B2700,직원목록!$A$3:$A$302,0)),"미등록사번"))</f>
        <v/>
      </c>
      <c r="D2700" s="13" t="str">
        <f aca="false">IF($B2700="","",IFERROR(INDEX(직원목록!$C$3:$C$302,MATCH($B2700,직원목록!$A$3:$A$302,0)),""))</f>
        <v/>
      </c>
      <c r="E2700" s="14"/>
      <c r="F2700" s="14"/>
      <c r="G2700" s="15"/>
      <c r="H2700" s="16" t="str">
        <f aca="false">IF(OR($K2700="",$L2700=""),"",ROUND(MAX(0,($L2700-$K2700)-IF($G2700="",0,$G2700))/60,2))</f>
        <v/>
      </c>
      <c r="I2700" s="8"/>
      <c r="J2700" s="8"/>
      <c r="K2700" s="17" t="str">
        <f aca="false">IF($E2700="","",IF($E2700&lt;1,ROUND($E2700*1440,0),INT($E2700/100)*60+MOD($E2700,100)))</f>
        <v/>
      </c>
      <c r="L2700" s="17" t="str">
        <f aca="false">IF($F2700="","",IF($F2700&lt;1,ROUND($F2700*1440,0),INT($F2700/100)*60+MOD($F2700,100)))</f>
        <v/>
      </c>
    </row>
    <row r="2701" customFormat="false" ht="15" hidden="false" customHeight="true" outlineLevel="0" collapsed="false">
      <c r="A2701" s="10"/>
      <c r="B2701" s="8"/>
      <c r="C2701" s="13" t="str">
        <f aca="false">IF($B2701="","",IFERROR(INDEX(직원목록!$B$3:$B$302,MATCH($B2701,직원목록!$A$3:$A$302,0)),"미등록사번"))</f>
        <v/>
      </c>
      <c r="D2701" s="13" t="str">
        <f aca="false">IF($B2701="","",IFERROR(INDEX(직원목록!$C$3:$C$302,MATCH($B2701,직원목록!$A$3:$A$302,0)),""))</f>
        <v/>
      </c>
      <c r="E2701" s="14"/>
      <c r="F2701" s="14"/>
      <c r="G2701" s="15"/>
      <c r="H2701" s="16" t="str">
        <f aca="false">IF(OR($K2701="",$L2701=""),"",ROUND(MAX(0,($L2701-$K2701)-IF($G2701="",0,$G2701))/60,2))</f>
        <v/>
      </c>
      <c r="I2701" s="8"/>
      <c r="J2701" s="8"/>
      <c r="K2701" s="17" t="str">
        <f aca="false">IF($E2701="","",IF($E2701&lt;1,ROUND($E2701*1440,0),INT($E2701/100)*60+MOD($E2701,100)))</f>
        <v/>
      </c>
      <c r="L2701" s="17" t="str">
        <f aca="false">IF($F2701="","",IF($F2701&lt;1,ROUND($F2701*1440,0),INT($F2701/100)*60+MOD($F2701,100)))</f>
        <v/>
      </c>
    </row>
    <row r="2702" customFormat="false" ht="15" hidden="false" customHeight="true" outlineLevel="0" collapsed="false">
      <c r="A2702" s="10"/>
      <c r="B2702" s="8"/>
      <c r="C2702" s="13" t="str">
        <f aca="false">IF($B2702="","",IFERROR(INDEX(직원목록!$B$3:$B$302,MATCH($B2702,직원목록!$A$3:$A$302,0)),"미등록사번"))</f>
        <v/>
      </c>
      <c r="D2702" s="13" t="str">
        <f aca="false">IF($B2702="","",IFERROR(INDEX(직원목록!$C$3:$C$302,MATCH($B2702,직원목록!$A$3:$A$302,0)),""))</f>
        <v/>
      </c>
      <c r="E2702" s="14"/>
      <c r="F2702" s="14"/>
      <c r="G2702" s="15"/>
      <c r="H2702" s="16" t="str">
        <f aca="false">IF(OR($K2702="",$L2702=""),"",ROUND(MAX(0,($L2702-$K2702)-IF($G2702="",0,$G2702))/60,2))</f>
        <v/>
      </c>
      <c r="I2702" s="8"/>
      <c r="J2702" s="8"/>
      <c r="K2702" s="17" t="str">
        <f aca="false">IF($E2702="","",IF($E2702&lt;1,ROUND($E2702*1440,0),INT($E2702/100)*60+MOD($E2702,100)))</f>
        <v/>
      </c>
      <c r="L2702" s="17" t="str">
        <f aca="false">IF($F2702="","",IF($F2702&lt;1,ROUND($F2702*1440,0),INT($F2702/100)*60+MOD($F2702,100)))</f>
        <v/>
      </c>
    </row>
    <row r="2703" customFormat="false" ht="15" hidden="false" customHeight="true" outlineLevel="0" collapsed="false">
      <c r="A2703" s="10"/>
      <c r="B2703" s="8"/>
      <c r="C2703" s="13" t="str">
        <f aca="false">IF($B2703="","",IFERROR(INDEX(직원목록!$B$3:$B$302,MATCH($B2703,직원목록!$A$3:$A$302,0)),"미등록사번"))</f>
        <v/>
      </c>
      <c r="D2703" s="13" t="str">
        <f aca="false">IF($B2703="","",IFERROR(INDEX(직원목록!$C$3:$C$302,MATCH($B2703,직원목록!$A$3:$A$302,0)),""))</f>
        <v/>
      </c>
      <c r="E2703" s="14"/>
      <c r="F2703" s="14"/>
      <c r="G2703" s="15"/>
      <c r="H2703" s="16" t="str">
        <f aca="false">IF(OR($K2703="",$L2703=""),"",ROUND(MAX(0,($L2703-$K2703)-IF($G2703="",0,$G2703))/60,2))</f>
        <v/>
      </c>
      <c r="I2703" s="8"/>
      <c r="J2703" s="8"/>
      <c r="K2703" s="17" t="str">
        <f aca="false">IF($E2703="","",IF($E2703&lt;1,ROUND($E2703*1440,0),INT($E2703/100)*60+MOD($E2703,100)))</f>
        <v/>
      </c>
      <c r="L2703" s="17" t="str">
        <f aca="false">IF($F2703="","",IF($F2703&lt;1,ROUND($F2703*1440,0),INT($F2703/100)*60+MOD($F2703,100)))</f>
        <v/>
      </c>
    </row>
    <row r="2704" customFormat="false" ht="15" hidden="false" customHeight="true" outlineLevel="0" collapsed="false">
      <c r="A2704" s="10"/>
      <c r="B2704" s="8"/>
      <c r="C2704" s="13" t="str">
        <f aca="false">IF($B2704="","",IFERROR(INDEX(직원목록!$B$3:$B$302,MATCH($B2704,직원목록!$A$3:$A$302,0)),"미등록사번"))</f>
        <v/>
      </c>
      <c r="D2704" s="13" t="str">
        <f aca="false">IF($B2704="","",IFERROR(INDEX(직원목록!$C$3:$C$302,MATCH($B2704,직원목록!$A$3:$A$302,0)),""))</f>
        <v/>
      </c>
      <c r="E2704" s="14"/>
      <c r="F2704" s="14"/>
      <c r="G2704" s="15"/>
      <c r="H2704" s="16" t="str">
        <f aca="false">IF(OR($K2704="",$L2704=""),"",ROUND(MAX(0,($L2704-$K2704)-IF($G2704="",0,$G2704))/60,2))</f>
        <v/>
      </c>
      <c r="I2704" s="8"/>
      <c r="J2704" s="8"/>
      <c r="K2704" s="17" t="str">
        <f aca="false">IF($E2704="","",IF($E2704&lt;1,ROUND($E2704*1440,0),INT($E2704/100)*60+MOD($E2704,100)))</f>
        <v/>
      </c>
      <c r="L2704" s="17" t="str">
        <f aca="false">IF($F2704="","",IF($F2704&lt;1,ROUND($F2704*1440,0),INT($F2704/100)*60+MOD($F2704,100)))</f>
        <v/>
      </c>
    </row>
    <row r="2705" customFormat="false" ht="15" hidden="false" customHeight="true" outlineLevel="0" collapsed="false">
      <c r="A2705" s="10"/>
      <c r="B2705" s="8"/>
      <c r="C2705" s="13" t="str">
        <f aca="false">IF($B2705="","",IFERROR(INDEX(직원목록!$B$3:$B$302,MATCH($B2705,직원목록!$A$3:$A$302,0)),"미등록사번"))</f>
        <v/>
      </c>
      <c r="D2705" s="13" t="str">
        <f aca="false">IF($B2705="","",IFERROR(INDEX(직원목록!$C$3:$C$302,MATCH($B2705,직원목록!$A$3:$A$302,0)),""))</f>
        <v/>
      </c>
      <c r="E2705" s="14"/>
      <c r="F2705" s="14"/>
      <c r="G2705" s="15"/>
      <c r="H2705" s="16" t="str">
        <f aca="false">IF(OR($K2705="",$L2705=""),"",ROUND(MAX(0,($L2705-$K2705)-IF($G2705="",0,$G2705))/60,2))</f>
        <v/>
      </c>
      <c r="I2705" s="8"/>
      <c r="J2705" s="8"/>
      <c r="K2705" s="17" t="str">
        <f aca="false">IF($E2705="","",IF($E2705&lt;1,ROUND($E2705*1440,0),INT($E2705/100)*60+MOD($E2705,100)))</f>
        <v/>
      </c>
      <c r="L2705" s="17" t="str">
        <f aca="false">IF($F2705="","",IF($F2705&lt;1,ROUND($F2705*1440,0),INT($F2705/100)*60+MOD($F2705,100)))</f>
        <v/>
      </c>
    </row>
    <row r="2706" customFormat="false" ht="15" hidden="false" customHeight="true" outlineLevel="0" collapsed="false">
      <c r="A2706" s="10"/>
      <c r="B2706" s="8"/>
      <c r="C2706" s="13" t="str">
        <f aca="false">IF($B2706="","",IFERROR(INDEX(직원목록!$B$3:$B$302,MATCH($B2706,직원목록!$A$3:$A$302,0)),"미등록사번"))</f>
        <v/>
      </c>
      <c r="D2706" s="13" t="str">
        <f aca="false">IF($B2706="","",IFERROR(INDEX(직원목록!$C$3:$C$302,MATCH($B2706,직원목록!$A$3:$A$302,0)),""))</f>
        <v/>
      </c>
      <c r="E2706" s="14"/>
      <c r="F2706" s="14"/>
      <c r="G2706" s="15"/>
      <c r="H2706" s="16" t="str">
        <f aca="false">IF(OR($K2706="",$L2706=""),"",ROUND(MAX(0,($L2706-$K2706)-IF($G2706="",0,$G2706))/60,2))</f>
        <v/>
      </c>
      <c r="I2706" s="8"/>
      <c r="J2706" s="8"/>
      <c r="K2706" s="17" t="str">
        <f aca="false">IF($E2706="","",IF($E2706&lt;1,ROUND($E2706*1440,0),INT($E2706/100)*60+MOD($E2706,100)))</f>
        <v/>
      </c>
      <c r="L2706" s="17" t="str">
        <f aca="false">IF($F2706="","",IF($F2706&lt;1,ROUND($F2706*1440,0),INT($F2706/100)*60+MOD($F2706,100)))</f>
        <v/>
      </c>
    </row>
    <row r="2707" customFormat="false" ht="15" hidden="false" customHeight="true" outlineLevel="0" collapsed="false">
      <c r="A2707" s="10"/>
      <c r="B2707" s="8"/>
      <c r="C2707" s="13" t="str">
        <f aca="false">IF($B2707="","",IFERROR(INDEX(직원목록!$B$3:$B$302,MATCH($B2707,직원목록!$A$3:$A$302,0)),"미등록사번"))</f>
        <v/>
      </c>
      <c r="D2707" s="13" t="str">
        <f aca="false">IF($B2707="","",IFERROR(INDEX(직원목록!$C$3:$C$302,MATCH($B2707,직원목록!$A$3:$A$302,0)),""))</f>
        <v/>
      </c>
      <c r="E2707" s="14"/>
      <c r="F2707" s="14"/>
      <c r="G2707" s="15"/>
      <c r="H2707" s="16" t="str">
        <f aca="false">IF(OR($K2707="",$L2707=""),"",ROUND(MAX(0,($L2707-$K2707)-IF($G2707="",0,$G2707))/60,2))</f>
        <v/>
      </c>
      <c r="I2707" s="8"/>
      <c r="J2707" s="8"/>
      <c r="K2707" s="17" t="str">
        <f aca="false">IF($E2707="","",IF($E2707&lt;1,ROUND($E2707*1440,0),INT($E2707/100)*60+MOD($E2707,100)))</f>
        <v/>
      </c>
      <c r="L2707" s="17" t="str">
        <f aca="false">IF($F2707="","",IF($F2707&lt;1,ROUND($F2707*1440,0),INT($F2707/100)*60+MOD($F2707,100)))</f>
        <v/>
      </c>
    </row>
    <row r="2708" customFormat="false" ht="15" hidden="false" customHeight="true" outlineLevel="0" collapsed="false">
      <c r="A2708" s="10"/>
      <c r="B2708" s="8"/>
      <c r="C2708" s="13" t="str">
        <f aca="false">IF($B2708="","",IFERROR(INDEX(직원목록!$B$3:$B$302,MATCH($B2708,직원목록!$A$3:$A$302,0)),"미등록사번"))</f>
        <v/>
      </c>
      <c r="D2708" s="13" t="str">
        <f aca="false">IF($B2708="","",IFERROR(INDEX(직원목록!$C$3:$C$302,MATCH($B2708,직원목록!$A$3:$A$302,0)),""))</f>
        <v/>
      </c>
      <c r="E2708" s="14"/>
      <c r="F2708" s="14"/>
      <c r="G2708" s="15"/>
      <c r="H2708" s="16" t="str">
        <f aca="false">IF(OR($K2708="",$L2708=""),"",ROUND(MAX(0,($L2708-$K2708)-IF($G2708="",0,$G2708))/60,2))</f>
        <v/>
      </c>
      <c r="I2708" s="8"/>
      <c r="J2708" s="8"/>
      <c r="K2708" s="17" t="str">
        <f aca="false">IF($E2708="","",IF($E2708&lt;1,ROUND($E2708*1440,0),INT($E2708/100)*60+MOD($E2708,100)))</f>
        <v/>
      </c>
      <c r="L2708" s="17" t="str">
        <f aca="false">IF($F2708="","",IF($F2708&lt;1,ROUND($F2708*1440,0),INT($F2708/100)*60+MOD($F2708,100)))</f>
        <v/>
      </c>
    </row>
    <row r="2709" customFormat="false" ht="15" hidden="false" customHeight="true" outlineLevel="0" collapsed="false">
      <c r="A2709" s="10"/>
      <c r="B2709" s="8"/>
      <c r="C2709" s="13" t="str">
        <f aca="false">IF($B2709="","",IFERROR(INDEX(직원목록!$B$3:$B$302,MATCH($B2709,직원목록!$A$3:$A$302,0)),"미등록사번"))</f>
        <v/>
      </c>
      <c r="D2709" s="13" t="str">
        <f aca="false">IF($B2709="","",IFERROR(INDEX(직원목록!$C$3:$C$302,MATCH($B2709,직원목록!$A$3:$A$302,0)),""))</f>
        <v/>
      </c>
      <c r="E2709" s="14"/>
      <c r="F2709" s="14"/>
      <c r="G2709" s="15"/>
      <c r="H2709" s="16" t="str">
        <f aca="false">IF(OR($K2709="",$L2709=""),"",ROUND(MAX(0,($L2709-$K2709)-IF($G2709="",0,$G2709))/60,2))</f>
        <v/>
      </c>
      <c r="I2709" s="8"/>
      <c r="J2709" s="8"/>
      <c r="K2709" s="17" t="str">
        <f aca="false">IF($E2709="","",IF($E2709&lt;1,ROUND($E2709*1440,0),INT($E2709/100)*60+MOD($E2709,100)))</f>
        <v/>
      </c>
      <c r="L2709" s="17" t="str">
        <f aca="false">IF($F2709="","",IF($F2709&lt;1,ROUND($F2709*1440,0),INT($F2709/100)*60+MOD($F2709,100)))</f>
        <v/>
      </c>
    </row>
    <row r="2710" customFormat="false" ht="15" hidden="false" customHeight="true" outlineLevel="0" collapsed="false">
      <c r="A2710" s="10"/>
      <c r="B2710" s="8"/>
      <c r="C2710" s="13" t="str">
        <f aca="false">IF($B2710="","",IFERROR(INDEX(직원목록!$B$3:$B$302,MATCH($B2710,직원목록!$A$3:$A$302,0)),"미등록사번"))</f>
        <v/>
      </c>
      <c r="D2710" s="13" t="str">
        <f aca="false">IF($B2710="","",IFERROR(INDEX(직원목록!$C$3:$C$302,MATCH($B2710,직원목록!$A$3:$A$302,0)),""))</f>
        <v/>
      </c>
      <c r="E2710" s="14"/>
      <c r="F2710" s="14"/>
      <c r="G2710" s="15"/>
      <c r="H2710" s="16" t="str">
        <f aca="false">IF(OR($K2710="",$L2710=""),"",ROUND(MAX(0,($L2710-$K2710)-IF($G2710="",0,$G2710))/60,2))</f>
        <v/>
      </c>
      <c r="I2710" s="8"/>
      <c r="J2710" s="8"/>
      <c r="K2710" s="17" t="str">
        <f aca="false">IF($E2710="","",IF($E2710&lt;1,ROUND($E2710*1440,0),INT($E2710/100)*60+MOD($E2710,100)))</f>
        <v/>
      </c>
      <c r="L2710" s="17" t="str">
        <f aca="false">IF($F2710="","",IF($F2710&lt;1,ROUND($F2710*1440,0),INT($F2710/100)*60+MOD($F2710,100)))</f>
        <v/>
      </c>
    </row>
    <row r="2711" customFormat="false" ht="15" hidden="false" customHeight="true" outlineLevel="0" collapsed="false">
      <c r="A2711" s="10"/>
      <c r="B2711" s="8"/>
      <c r="C2711" s="13" t="str">
        <f aca="false">IF($B2711="","",IFERROR(INDEX(직원목록!$B$3:$B$302,MATCH($B2711,직원목록!$A$3:$A$302,0)),"미등록사번"))</f>
        <v/>
      </c>
      <c r="D2711" s="13" t="str">
        <f aca="false">IF($B2711="","",IFERROR(INDEX(직원목록!$C$3:$C$302,MATCH($B2711,직원목록!$A$3:$A$302,0)),""))</f>
        <v/>
      </c>
      <c r="E2711" s="14"/>
      <c r="F2711" s="14"/>
      <c r="G2711" s="15"/>
      <c r="H2711" s="16" t="str">
        <f aca="false">IF(OR($K2711="",$L2711=""),"",ROUND(MAX(0,($L2711-$K2711)-IF($G2711="",0,$G2711))/60,2))</f>
        <v/>
      </c>
      <c r="I2711" s="8"/>
      <c r="J2711" s="8"/>
      <c r="K2711" s="17" t="str">
        <f aca="false">IF($E2711="","",IF($E2711&lt;1,ROUND($E2711*1440,0),INT($E2711/100)*60+MOD($E2711,100)))</f>
        <v/>
      </c>
      <c r="L2711" s="17" t="str">
        <f aca="false">IF($F2711="","",IF($F2711&lt;1,ROUND($F2711*1440,0),INT($F2711/100)*60+MOD($F2711,100)))</f>
        <v/>
      </c>
    </row>
    <row r="2712" customFormat="false" ht="15" hidden="false" customHeight="true" outlineLevel="0" collapsed="false">
      <c r="A2712" s="10"/>
      <c r="B2712" s="8"/>
      <c r="C2712" s="13" t="str">
        <f aca="false">IF($B2712="","",IFERROR(INDEX(직원목록!$B$3:$B$302,MATCH($B2712,직원목록!$A$3:$A$302,0)),"미등록사번"))</f>
        <v/>
      </c>
      <c r="D2712" s="13" t="str">
        <f aca="false">IF($B2712="","",IFERROR(INDEX(직원목록!$C$3:$C$302,MATCH($B2712,직원목록!$A$3:$A$302,0)),""))</f>
        <v/>
      </c>
      <c r="E2712" s="14"/>
      <c r="F2712" s="14"/>
      <c r="G2712" s="15"/>
      <c r="H2712" s="16" t="str">
        <f aca="false">IF(OR($K2712="",$L2712=""),"",ROUND(MAX(0,($L2712-$K2712)-IF($G2712="",0,$G2712))/60,2))</f>
        <v/>
      </c>
      <c r="I2712" s="8"/>
      <c r="J2712" s="8"/>
      <c r="K2712" s="17" t="str">
        <f aca="false">IF($E2712="","",IF($E2712&lt;1,ROUND($E2712*1440,0),INT($E2712/100)*60+MOD($E2712,100)))</f>
        <v/>
      </c>
      <c r="L2712" s="17" t="str">
        <f aca="false">IF($F2712="","",IF($F2712&lt;1,ROUND($F2712*1440,0),INT($F2712/100)*60+MOD($F2712,100)))</f>
        <v/>
      </c>
    </row>
    <row r="2713" customFormat="false" ht="15" hidden="false" customHeight="true" outlineLevel="0" collapsed="false">
      <c r="A2713" s="10"/>
      <c r="B2713" s="8"/>
      <c r="C2713" s="13" t="str">
        <f aca="false">IF($B2713="","",IFERROR(INDEX(직원목록!$B$3:$B$302,MATCH($B2713,직원목록!$A$3:$A$302,0)),"미등록사번"))</f>
        <v/>
      </c>
      <c r="D2713" s="13" t="str">
        <f aca="false">IF($B2713="","",IFERROR(INDEX(직원목록!$C$3:$C$302,MATCH($B2713,직원목록!$A$3:$A$302,0)),""))</f>
        <v/>
      </c>
      <c r="E2713" s="14"/>
      <c r="F2713" s="14"/>
      <c r="G2713" s="15"/>
      <c r="H2713" s="16" t="str">
        <f aca="false">IF(OR($K2713="",$L2713=""),"",ROUND(MAX(0,($L2713-$K2713)-IF($G2713="",0,$G2713))/60,2))</f>
        <v/>
      </c>
      <c r="I2713" s="8"/>
      <c r="J2713" s="8"/>
      <c r="K2713" s="17" t="str">
        <f aca="false">IF($E2713="","",IF($E2713&lt;1,ROUND($E2713*1440,0),INT($E2713/100)*60+MOD($E2713,100)))</f>
        <v/>
      </c>
      <c r="L2713" s="17" t="str">
        <f aca="false">IF($F2713="","",IF($F2713&lt;1,ROUND($F2713*1440,0),INT($F2713/100)*60+MOD($F2713,100)))</f>
        <v/>
      </c>
    </row>
    <row r="2714" customFormat="false" ht="15" hidden="false" customHeight="true" outlineLevel="0" collapsed="false">
      <c r="A2714" s="10"/>
      <c r="B2714" s="8"/>
      <c r="C2714" s="13" t="str">
        <f aca="false">IF($B2714="","",IFERROR(INDEX(직원목록!$B$3:$B$302,MATCH($B2714,직원목록!$A$3:$A$302,0)),"미등록사번"))</f>
        <v/>
      </c>
      <c r="D2714" s="13" t="str">
        <f aca="false">IF($B2714="","",IFERROR(INDEX(직원목록!$C$3:$C$302,MATCH($B2714,직원목록!$A$3:$A$302,0)),""))</f>
        <v/>
      </c>
      <c r="E2714" s="14"/>
      <c r="F2714" s="14"/>
      <c r="G2714" s="15"/>
      <c r="H2714" s="16" t="str">
        <f aca="false">IF(OR($K2714="",$L2714=""),"",ROUND(MAX(0,($L2714-$K2714)-IF($G2714="",0,$G2714))/60,2))</f>
        <v/>
      </c>
      <c r="I2714" s="8"/>
      <c r="J2714" s="8"/>
      <c r="K2714" s="17" t="str">
        <f aca="false">IF($E2714="","",IF($E2714&lt;1,ROUND($E2714*1440,0),INT($E2714/100)*60+MOD($E2714,100)))</f>
        <v/>
      </c>
      <c r="L2714" s="17" t="str">
        <f aca="false">IF($F2714="","",IF($F2714&lt;1,ROUND($F2714*1440,0),INT($F2714/100)*60+MOD($F2714,100)))</f>
        <v/>
      </c>
    </row>
    <row r="2715" customFormat="false" ht="15" hidden="false" customHeight="true" outlineLevel="0" collapsed="false">
      <c r="A2715" s="10"/>
      <c r="B2715" s="8"/>
      <c r="C2715" s="13" t="str">
        <f aca="false">IF($B2715="","",IFERROR(INDEX(직원목록!$B$3:$B$302,MATCH($B2715,직원목록!$A$3:$A$302,0)),"미등록사번"))</f>
        <v/>
      </c>
      <c r="D2715" s="13" t="str">
        <f aca="false">IF($B2715="","",IFERROR(INDEX(직원목록!$C$3:$C$302,MATCH($B2715,직원목록!$A$3:$A$302,0)),""))</f>
        <v/>
      </c>
      <c r="E2715" s="14"/>
      <c r="F2715" s="14"/>
      <c r="G2715" s="15"/>
      <c r="H2715" s="16" t="str">
        <f aca="false">IF(OR($K2715="",$L2715=""),"",ROUND(MAX(0,($L2715-$K2715)-IF($G2715="",0,$G2715))/60,2))</f>
        <v/>
      </c>
      <c r="I2715" s="8"/>
      <c r="J2715" s="8"/>
      <c r="K2715" s="17" t="str">
        <f aca="false">IF($E2715="","",IF($E2715&lt;1,ROUND($E2715*1440,0),INT($E2715/100)*60+MOD($E2715,100)))</f>
        <v/>
      </c>
      <c r="L2715" s="17" t="str">
        <f aca="false">IF($F2715="","",IF($F2715&lt;1,ROUND($F2715*1440,0),INT($F2715/100)*60+MOD($F2715,100)))</f>
        <v/>
      </c>
    </row>
    <row r="2716" customFormat="false" ht="15" hidden="false" customHeight="true" outlineLevel="0" collapsed="false">
      <c r="A2716" s="10"/>
      <c r="B2716" s="8"/>
      <c r="C2716" s="13" t="str">
        <f aca="false">IF($B2716="","",IFERROR(INDEX(직원목록!$B$3:$B$302,MATCH($B2716,직원목록!$A$3:$A$302,0)),"미등록사번"))</f>
        <v/>
      </c>
      <c r="D2716" s="13" t="str">
        <f aca="false">IF($B2716="","",IFERROR(INDEX(직원목록!$C$3:$C$302,MATCH($B2716,직원목록!$A$3:$A$302,0)),""))</f>
        <v/>
      </c>
      <c r="E2716" s="14"/>
      <c r="F2716" s="14"/>
      <c r="G2716" s="15"/>
      <c r="H2716" s="16" t="str">
        <f aca="false">IF(OR($K2716="",$L2716=""),"",ROUND(MAX(0,($L2716-$K2716)-IF($G2716="",0,$G2716))/60,2))</f>
        <v/>
      </c>
      <c r="I2716" s="8"/>
      <c r="J2716" s="8"/>
      <c r="K2716" s="17" t="str">
        <f aca="false">IF($E2716="","",IF($E2716&lt;1,ROUND($E2716*1440,0),INT($E2716/100)*60+MOD($E2716,100)))</f>
        <v/>
      </c>
      <c r="L2716" s="17" t="str">
        <f aca="false">IF($F2716="","",IF($F2716&lt;1,ROUND($F2716*1440,0),INT($F2716/100)*60+MOD($F2716,100)))</f>
        <v/>
      </c>
    </row>
    <row r="2717" customFormat="false" ht="15" hidden="false" customHeight="true" outlineLevel="0" collapsed="false">
      <c r="A2717" s="10"/>
      <c r="B2717" s="8"/>
      <c r="C2717" s="13" t="str">
        <f aca="false">IF($B2717="","",IFERROR(INDEX(직원목록!$B$3:$B$302,MATCH($B2717,직원목록!$A$3:$A$302,0)),"미등록사번"))</f>
        <v/>
      </c>
      <c r="D2717" s="13" t="str">
        <f aca="false">IF($B2717="","",IFERROR(INDEX(직원목록!$C$3:$C$302,MATCH($B2717,직원목록!$A$3:$A$302,0)),""))</f>
        <v/>
      </c>
      <c r="E2717" s="14"/>
      <c r="F2717" s="14"/>
      <c r="G2717" s="15"/>
      <c r="H2717" s="16" t="str">
        <f aca="false">IF(OR($K2717="",$L2717=""),"",ROUND(MAX(0,($L2717-$K2717)-IF($G2717="",0,$G2717))/60,2))</f>
        <v/>
      </c>
      <c r="I2717" s="8"/>
      <c r="J2717" s="8"/>
      <c r="K2717" s="17" t="str">
        <f aca="false">IF($E2717="","",IF($E2717&lt;1,ROUND($E2717*1440,0),INT($E2717/100)*60+MOD($E2717,100)))</f>
        <v/>
      </c>
      <c r="L2717" s="17" t="str">
        <f aca="false">IF($F2717="","",IF($F2717&lt;1,ROUND($F2717*1440,0),INT($F2717/100)*60+MOD($F2717,100)))</f>
        <v/>
      </c>
    </row>
    <row r="2718" customFormat="false" ht="15" hidden="false" customHeight="true" outlineLevel="0" collapsed="false">
      <c r="A2718" s="10"/>
      <c r="B2718" s="8"/>
      <c r="C2718" s="13" t="str">
        <f aca="false">IF($B2718="","",IFERROR(INDEX(직원목록!$B$3:$B$302,MATCH($B2718,직원목록!$A$3:$A$302,0)),"미등록사번"))</f>
        <v/>
      </c>
      <c r="D2718" s="13" t="str">
        <f aca="false">IF($B2718="","",IFERROR(INDEX(직원목록!$C$3:$C$302,MATCH($B2718,직원목록!$A$3:$A$302,0)),""))</f>
        <v/>
      </c>
      <c r="E2718" s="14"/>
      <c r="F2718" s="14"/>
      <c r="G2718" s="15"/>
      <c r="H2718" s="16" t="str">
        <f aca="false">IF(OR($K2718="",$L2718=""),"",ROUND(MAX(0,($L2718-$K2718)-IF($G2718="",0,$G2718))/60,2))</f>
        <v/>
      </c>
      <c r="I2718" s="8"/>
      <c r="J2718" s="8"/>
      <c r="K2718" s="17" t="str">
        <f aca="false">IF($E2718="","",IF($E2718&lt;1,ROUND($E2718*1440,0),INT($E2718/100)*60+MOD($E2718,100)))</f>
        <v/>
      </c>
      <c r="L2718" s="17" t="str">
        <f aca="false">IF($F2718="","",IF($F2718&lt;1,ROUND($F2718*1440,0),INT($F2718/100)*60+MOD($F2718,100)))</f>
        <v/>
      </c>
    </row>
    <row r="2719" customFormat="false" ht="15" hidden="false" customHeight="true" outlineLevel="0" collapsed="false">
      <c r="A2719" s="10"/>
      <c r="B2719" s="8"/>
      <c r="C2719" s="13" t="str">
        <f aca="false">IF($B2719="","",IFERROR(INDEX(직원목록!$B$3:$B$302,MATCH($B2719,직원목록!$A$3:$A$302,0)),"미등록사번"))</f>
        <v/>
      </c>
      <c r="D2719" s="13" t="str">
        <f aca="false">IF($B2719="","",IFERROR(INDEX(직원목록!$C$3:$C$302,MATCH($B2719,직원목록!$A$3:$A$302,0)),""))</f>
        <v/>
      </c>
      <c r="E2719" s="14"/>
      <c r="F2719" s="14"/>
      <c r="G2719" s="15"/>
      <c r="H2719" s="16" t="str">
        <f aca="false">IF(OR($K2719="",$L2719=""),"",ROUND(MAX(0,($L2719-$K2719)-IF($G2719="",0,$G2719))/60,2))</f>
        <v/>
      </c>
      <c r="I2719" s="8"/>
      <c r="J2719" s="8"/>
      <c r="K2719" s="17" t="str">
        <f aca="false">IF($E2719="","",IF($E2719&lt;1,ROUND($E2719*1440,0),INT($E2719/100)*60+MOD($E2719,100)))</f>
        <v/>
      </c>
      <c r="L2719" s="17" t="str">
        <f aca="false">IF($F2719="","",IF($F2719&lt;1,ROUND($F2719*1440,0),INT($F2719/100)*60+MOD($F2719,100)))</f>
        <v/>
      </c>
    </row>
    <row r="2720" customFormat="false" ht="15" hidden="false" customHeight="true" outlineLevel="0" collapsed="false">
      <c r="A2720" s="10"/>
      <c r="B2720" s="8"/>
      <c r="C2720" s="13" t="str">
        <f aca="false">IF($B2720="","",IFERROR(INDEX(직원목록!$B$3:$B$302,MATCH($B2720,직원목록!$A$3:$A$302,0)),"미등록사번"))</f>
        <v/>
      </c>
      <c r="D2720" s="13" t="str">
        <f aca="false">IF($B2720="","",IFERROR(INDEX(직원목록!$C$3:$C$302,MATCH($B2720,직원목록!$A$3:$A$302,0)),""))</f>
        <v/>
      </c>
      <c r="E2720" s="14"/>
      <c r="F2720" s="14"/>
      <c r="G2720" s="15"/>
      <c r="H2720" s="16" t="str">
        <f aca="false">IF(OR($K2720="",$L2720=""),"",ROUND(MAX(0,($L2720-$K2720)-IF($G2720="",0,$G2720))/60,2))</f>
        <v/>
      </c>
      <c r="I2720" s="8"/>
      <c r="J2720" s="8"/>
      <c r="K2720" s="17" t="str">
        <f aca="false">IF($E2720="","",IF($E2720&lt;1,ROUND($E2720*1440,0),INT($E2720/100)*60+MOD($E2720,100)))</f>
        <v/>
      </c>
      <c r="L2720" s="17" t="str">
        <f aca="false">IF($F2720="","",IF($F2720&lt;1,ROUND($F2720*1440,0),INT($F2720/100)*60+MOD($F2720,100)))</f>
        <v/>
      </c>
    </row>
    <row r="2721" customFormat="false" ht="15" hidden="false" customHeight="true" outlineLevel="0" collapsed="false">
      <c r="A2721" s="10"/>
      <c r="B2721" s="8"/>
      <c r="C2721" s="13" t="str">
        <f aca="false">IF($B2721="","",IFERROR(INDEX(직원목록!$B$3:$B$302,MATCH($B2721,직원목록!$A$3:$A$302,0)),"미등록사번"))</f>
        <v/>
      </c>
      <c r="D2721" s="13" t="str">
        <f aca="false">IF($B2721="","",IFERROR(INDEX(직원목록!$C$3:$C$302,MATCH($B2721,직원목록!$A$3:$A$302,0)),""))</f>
        <v/>
      </c>
      <c r="E2721" s="14"/>
      <c r="F2721" s="14"/>
      <c r="G2721" s="15"/>
      <c r="H2721" s="16" t="str">
        <f aca="false">IF(OR($K2721="",$L2721=""),"",ROUND(MAX(0,($L2721-$K2721)-IF($G2721="",0,$G2721))/60,2))</f>
        <v/>
      </c>
      <c r="I2721" s="8"/>
      <c r="J2721" s="8"/>
      <c r="K2721" s="17" t="str">
        <f aca="false">IF($E2721="","",IF($E2721&lt;1,ROUND($E2721*1440,0),INT($E2721/100)*60+MOD($E2721,100)))</f>
        <v/>
      </c>
      <c r="L2721" s="17" t="str">
        <f aca="false">IF($F2721="","",IF($F2721&lt;1,ROUND($F2721*1440,0),INT($F2721/100)*60+MOD($F2721,100)))</f>
        <v/>
      </c>
    </row>
    <row r="2722" customFormat="false" ht="15" hidden="false" customHeight="true" outlineLevel="0" collapsed="false">
      <c r="A2722" s="10"/>
      <c r="B2722" s="8"/>
      <c r="C2722" s="13" t="str">
        <f aca="false">IF($B2722="","",IFERROR(INDEX(직원목록!$B$3:$B$302,MATCH($B2722,직원목록!$A$3:$A$302,0)),"미등록사번"))</f>
        <v/>
      </c>
      <c r="D2722" s="13" t="str">
        <f aca="false">IF($B2722="","",IFERROR(INDEX(직원목록!$C$3:$C$302,MATCH($B2722,직원목록!$A$3:$A$302,0)),""))</f>
        <v/>
      </c>
      <c r="E2722" s="14"/>
      <c r="F2722" s="14"/>
      <c r="G2722" s="15"/>
      <c r="H2722" s="16" t="str">
        <f aca="false">IF(OR($K2722="",$L2722=""),"",ROUND(MAX(0,($L2722-$K2722)-IF($G2722="",0,$G2722))/60,2))</f>
        <v/>
      </c>
      <c r="I2722" s="8"/>
      <c r="J2722" s="8"/>
      <c r="K2722" s="17" t="str">
        <f aca="false">IF($E2722="","",IF($E2722&lt;1,ROUND($E2722*1440,0),INT($E2722/100)*60+MOD($E2722,100)))</f>
        <v/>
      </c>
      <c r="L2722" s="17" t="str">
        <f aca="false">IF($F2722="","",IF($F2722&lt;1,ROUND($F2722*1440,0),INT($F2722/100)*60+MOD($F2722,100)))</f>
        <v/>
      </c>
    </row>
    <row r="2723" customFormat="false" ht="15" hidden="false" customHeight="true" outlineLevel="0" collapsed="false">
      <c r="A2723" s="10"/>
      <c r="B2723" s="8"/>
      <c r="C2723" s="13" t="str">
        <f aca="false">IF($B2723="","",IFERROR(INDEX(직원목록!$B$3:$B$302,MATCH($B2723,직원목록!$A$3:$A$302,0)),"미등록사번"))</f>
        <v/>
      </c>
      <c r="D2723" s="13" t="str">
        <f aca="false">IF($B2723="","",IFERROR(INDEX(직원목록!$C$3:$C$302,MATCH($B2723,직원목록!$A$3:$A$302,0)),""))</f>
        <v/>
      </c>
      <c r="E2723" s="14"/>
      <c r="F2723" s="14"/>
      <c r="G2723" s="15"/>
      <c r="H2723" s="16" t="str">
        <f aca="false">IF(OR($K2723="",$L2723=""),"",ROUND(MAX(0,($L2723-$K2723)-IF($G2723="",0,$G2723))/60,2))</f>
        <v/>
      </c>
      <c r="I2723" s="8"/>
      <c r="J2723" s="8"/>
      <c r="K2723" s="17" t="str">
        <f aca="false">IF($E2723="","",IF($E2723&lt;1,ROUND($E2723*1440,0),INT($E2723/100)*60+MOD($E2723,100)))</f>
        <v/>
      </c>
      <c r="L2723" s="17" t="str">
        <f aca="false">IF($F2723="","",IF($F2723&lt;1,ROUND($F2723*1440,0),INT($F2723/100)*60+MOD($F2723,100)))</f>
        <v/>
      </c>
    </row>
    <row r="2724" customFormat="false" ht="15" hidden="false" customHeight="true" outlineLevel="0" collapsed="false">
      <c r="A2724" s="10"/>
      <c r="B2724" s="8"/>
      <c r="C2724" s="13" t="str">
        <f aca="false">IF($B2724="","",IFERROR(INDEX(직원목록!$B$3:$B$302,MATCH($B2724,직원목록!$A$3:$A$302,0)),"미등록사번"))</f>
        <v/>
      </c>
      <c r="D2724" s="13" t="str">
        <f aca="false">IF($B2724="","",IFERROR(INDEX(직원목록!$C$3:$C$302,MATCH($B2724,직원목록!$A$3:$A$302,0)),""))</f>
        <v/>
      </c>
      <c r="E2724" s="14"/>
      <c r="F2724" s="14"/>
      <c r="G2724" s="15"/>
      <c r="H2724" s="16" t="str">
        <f aca="false">IF(OR($K2724="",$L2724=""),"",ROUND(MAX(0,($L2724-$K2724)-IF($G2724="",0,$G2724))/60,2))</f>
        <v/>
      </c>
      <c r="I2724" s="8"/>
      <c r="J2724" s="8"/>
      <c r="K2724" s="17" t="str">
        <f aca="false">IF($E2724="","",IF($E2724&lt;1,ROUND($E2724*1440,0),INT($E2724/100)*60+MOD($E2724,100)))</f>
        <v/>
      </c>
      <c r="L2724" s="17" t="str">
        <f aca="false">IF($F2724="","",IF($F2724&lt;1,ROUND($F2724*1440,0),INT($F2724/100)*60+MOD($F2724,100)))</f>
        <v/>
      </c>
    </row>
    <row r="2725" customFormat="false" ht="15" hidden="false" customHeight="true" outlineLevel="0" collapsed="false">
      <c r="A2725" s="10"/>
      <c r="B2725" s="8"/>
      <c r="C2725" s="13" t="str">
        <f aca="false">IF($B2725="","",IFERROR(INDEX(직원목록!$B$3:$B$302,MATCH($B2725,직원목록!$A$3:$A$302,0)),"미등록사번"))</f>
        <v/>
      </c>
      <c r="D2725" s="13" t="str">
        <f aca="false">IF($B2725="","",IFERROR(INDEX(직원목록!$C$3:$C$302,MATCH($B2725,직원목록!$A$3:$A$302,0)),""))</f>
        <v/>
      </c>
      <c r="E2725" s="14"/>
      <c r="F2725" s="14"/>
      <c r="G2725" s="15"/>
      <c r="H2725" s="16" t="str">
        <f aca="false">IF(OR($K2725="",$L2725=""),"",ROUND(MAX(0,($L2725-$K2725)-IF($G2725="",0,$G2725))/60,2))</f>
        <v/>
      </c>
      <c r="I2725" s="8"/>
      <c r="J2725" s="8"/>
      <c r="K2725" s="17" t="str">
        <f aca="false">IF($E2725="","",IF($E2725&lt;1,ROUND($E2725*1440,0),INT($E2725/100)*60+MOD($E2725,100)))</f>
        <v/>
      </c>
      <c r="L2725" s="17" t="str">
        <f aca="false">IF($F2725="","",IF($F2725&lt;1,ROUND($F2725*1440,0),INT($F2725/100)*60+MOD($F2725,100)))</f>
        <v/>
      </c>
    </row>
    <row r="2726" customFormat="false" ht="15" hidden="false" customHeight="true" outlineLevel="0" collapsed="false">
      <c r="A2726" s="10"/>
      <c r="B2726" s="8"/>
      <c r="C2726" s="13" t="str">
        <f aca="false">IF($B2726="","",IFERROR(INDEX(직원목록!$B$3:$B$302,MATCH($B2726,직원목록!$A$3:$A$302,0)),"미등록사번"))</f>
        <v/>
      </c>
      <c r="D2726" s="13" t="str">
        <f aca="false">IF($B2726="","",IFERROR(INDEX(직원목록!$C$3:$C$302,MATCH($B2726,직원목록!$A$3:$A$302,0)),""))</f>
        <v/>
      </c>
      <c r="E2726" s="14"/>
      <c r="F2726" s="14"/>
      <c r="G2726" s="15"/>
      <c r="H2726" s="16" t="str">
        <f aca="false">IF(OR($K2726="",$L2726=""),"",ROUND(MAX(0,($L2726-$K2726)-IF($G2726="",0,$G2726))/60,2))</f>
        <v/>
      </c>
      <c r="I2726" s="8"/>
      <c r="J2726" s="8"/>
      <c r="K2726" s="17" t="str">
        <f aca="false">IF($E2726="","",IF($E2726&lt;1,ROUND($E2726*1440,0),INT($E2726/100)*60+MOD($E2726,100)))</f>
        <v/>
      </c>
      <c r="L2726" s="17" t="str">
        <f aca="false">IF($F2726="","",IF($F2726&lt;1,ROUND($F2726*1440,0),INT($F2726/100)*60+MOD($F2726,100)))</f>
        <v/>
      </c>
    </row>
    <row r="2727" customFormat="false" ht="15" hidden="false" customHeight="true" outlineLevel="0" collapsed="false">
      <c r="A2727" s="10"/>
      <c r="B2727" s="8"/>
      <c r="C2727" s="13" t="str">
        <f aca="false">IF($B2727="","",IFERROR(INDEX(직원목록!$B$3:$B$302,MATCH($B2727,직원목록!$A$3:$A$302,0)),"미등록사번"))</f>
        <v/>
      </c>
      <c r="D2727" s="13" t="str">
        <f aca="false">IF($B2727="","",IFERROR(INDEX(직원목록!$C$3:$C$302,MATCH($B2727,직원목록!$A$3:$A$302,0)),""))</f>
        <v/>
      </c>
      <c r="E2727" s="14"/>
      <c r="F2727" s="14"/>
      <c r="G2727" s="15"/>
      <c r="H2727" s="16" t="str">
        <f aca="false">IF(OR($K2727="",$L2727=""),"",ROUND(MAX(0,($L2727-$K2727)-IF($G2727="",0,$G2727))/60,2))</f>
        <v/>
      </c>
      <c r="I2727" s="8"/>
      <c r="J2727" s="8"/>
      <c r="K2727" s="17" t="str">
        <f aca="false">IF($E2727="","",IF($E2727&lt;1,ROUND($E2727*1440,0),INT($E2727/100)*60+MOD($E2727,100)))</f>
        <v/>
      </c>
      <c r="L2727" s="17" t="str">
        <f aca="false">IF($F2727="","",IF($F2727&lt;1,ROUND($F2727*1440,0),INT($F2727/100)*60+MOD($F2727,100)))</f>
        <v/>
      </c>
    </row>
    <row r="2728" customFormat="false" ht="15" hidden="false" customHeight="true" outlineLevel="0" collapsed="false">
      <c r="A2728" s="10"/>
      <c r="B2728" s="8"/>
      <c r="C2728" s="13" t="str">
        <f aca="false">IF($B2728="","",IFERROR(INDEX(직원목록!$B$3:$B$302,MATCH($B2728,직원목록!$A$3:$A$302,0)),"미등록사번"))</f>
        <v/>
      </c>
      <c r="D2728" s="13" t="str">
        <f aca="false">IF($B2728="","",IFERROR(INDEX(직원목록!$C$3:$C$302,MATCH($B2728,직원목록!$A$3:$A$302,0)),""))</f>
        <v/>
      </c>
      <c r="E2728" s="14"/>
      <c r="F2728" s="14"/>
      <c r="G2728" s="15"/>
      <c r="H2728" s="16" t="str">
        <f aca="false">IF(OR($K2728="",$L2728=""),"",ROUND(MAX(0,($L2728-$K2728)-IF($G2728="",0,$G2728))/60,2))</f>
        <v/>
      </c>
      <c r="I2728" s="8"/>
      <c r="J2728" s="8"/>
      <c r="K2728" s="17" t="str">
        <f aca="false">IF($E2728="","",IF($E2728&lt;1,ROUND($E2728*1440,0),INT($E2728/100)*60+MOD($E2728,100)))</f>
        <v/>
      </c>
      <c r="L2728" s="17" t="str">
        <f aca="false">IF($F2728="","",IF($F2728&lt;1,ROUND($F2728*1440,0),INT($F2728/100)*60+MOD($F2728,100)))</f>
        <v/>
      </c>
    </row>
    <row r="2729" customFormat="false" ht="15" hidden="false" customHeight="true" outlineLevel="0" collapsed="false">
      <c r="A2729" s="10"/>
      <c r="B2729" s="8"/>
      <c r="C2729" s="13" t="str">
        <f aca="false">IF($B2729="","",IFERROR(INDEX(직원목록!$B$3:$B$302,MATCH($B2729,직원목록!$A$3:$A$302,0)),"미등록사번"))</f>
        <v/>
      </c>
      <c r="D2729" s="13" t="str">
        <f aca="false">IF($B2729="","",IFERROR(INDEX(직원목록!$C$3:$C$302,MATCH($B2729,직원목록!$A$3:$A$302,0)),""))</f>
        <v/>
      </c>
      <c r="E2729" s="14"/>
      <c r="F2729" s="14"/>
      <c r="G2729" s="15"/>
      <c r="H2729" s="16" t="str">
        <f aca="false">IF(OR($K2729="",$L2729=""),"",ROUND(MAX(0,($L2729-$K2729)-IF($G2729="",0,$G2729))/60,2))</f>
        <v/>
      </c>
      <c r="I2729" s="8"/>
      <c r="J2729" s="8"/>
      <c r="K2729" s="17" t="str">
        <f aca="false">IF($E2729="","",IF($E2729&lt;1,ROUND($E2729*1440,0),INT($E2729/100)*60+MOD($E2729,100)))</f>
        <v/>
      </c>
      <c r="L2729" s="17" t="str">
        <f aca="false">IF($F2729="","",IF($F2729&lt;1,ROUND($F2729*1440,0),INT($F2729/100)*60+MOD($F2729,100)))</f>
        <v/>
      </c>
    </row>
    <row r="2730" customFormat="false" ht="15" hidden="false" customHeight="true" outlineLevel="0" collapsed="false">
      <c r="A2730" s="10"/>
      <c r="B2730" s="8"/>
      <c r="C2730" s="13" t="str">
        <f aca="false">IF($B2730="","",IFERROR(INDEX(직원목록!$B$3:$B$302,MATCH($B2730,직원목록!$A$3:$A$302,0)),"미등록사번"))</f>
        <v/>
      </c>
      <c r="D2730" s="13" t="str">
        <f aca="false">IF($B2730="","",IFERROR(INDEX(직원목록!$C$3:$C$302,MATCH($B2730,직원목록!$A$3:$A$302,0)),""))</f>
        <v/>
      </c>
      <c r="E2730" s="14"/>
      <c r="F2730" s="14"/>
      <c r="G2730" s="15"/>
      <c r="H2730" s="16" t="str">
        <f aca="false">IF(OR($K2730="",$L2730=""),"",ROUND(MAX(0,($L2730-$K2730)-IF($G2730="",0,$G2730))/60,2))</f>
        <v/>
      </c>
      <c r="I2730" s="8"/>
      <c r="J2730" s="8"/>
      <c r="K2730" s="17" t="str">
        <f aca="false">IF($E2730="","",IF($E2730&lt;1,ROUND($E2730*1440,0),INT($E2730/100)*60+MOD($E2730,100)))</f>
        <v/>
      </c>
      <c r="L2730" s="17" t="str">
        <f aca="false">IF($F2730="","",IF($F2730&lt;1,ROUND($F2730*1440,0),INT($F2730/100)*60+MOD($F2730,100)))</f>
        <v/>
      </c>
    </row>
    <row r="2731" customFormat="false" ht="15" hidden="false" customHeight="true" outlineLevel="0" collapsed="false">
      <c r="A2731" s="10"/>
      <c r="B2731" s="8"/>
      <c r="C2731" s="13" t="str">
        <f aca="false">IF($B2731="","",IFERROR(INDEX(직원목록!$B$3:$B$302,MATCH($B2731,직원목록!$A$3:$A$302,0)),"미등록사번"))</f>
        <v/>
      </c>
      <c r="D2731" s="13" t="str">
        <f aca="false">IF($B2731="","",IFERROR(INDEX(직원목록!$C$3:$C$302,MATCH($B2731,직원목록!$A$3:$A$302,0)),""))</f>
        <v/>
      </c>
      <c r="E2731" s="14"/>
      <c r="F2731" s="14"/>
      <c r="G2731" s="15"/>
      <c r="H2731" s="16" t="str">
        <f aca="false">IF(OR($K2731="",$L2731=""),"",ROUND(MAX(0,($L2731-$K2731)-IF($G2731="",0,$G2731))/60,2))</f>
        <v/>
      </c>
      <c r="I2731" s="8"/>
      <c r="J2731" s="8"/>
      <c r="K2731" s="17" t="str">
        <f aca="false">IF($E2731="","",IF($E2731&lt;1,ROUND($E2731*1440,0),INT($E2731/100)*60+MOD($E2731,100)))</f>
        <v/>
      </c>
      <c r="L2731" s="17" t="str">
        <f aca="false">IF($F2731="","",IF($F2731&lt;1,ROUND($F2731*1440,0),INT($F2731/100)*60+MOD($F2731,100)))</f>
        <v/>
      </c>
    </row>
    <row r="2732" customFormat="false" ht="15" hidden="false" customHeight="true" outlineLevel="0" collapsed="false">
      <c r="A2732" s="10"/>
      <c r="B2732" s="8"/>
      <c r="C2732" s="13" t="str">
        <f aca="false">IF($B2732="","",IFERROR(INDEX(직원목록!$B$3:$B$302,MATCH($B2732,직원목록!$A$3:$A$302,0)),"미등록사번"))</f>
        <v/>
      </c>
      <c r="D2732" s="13" t="str">
        <f aca="false">IF($B2732="","",IFERROR(INDEX(직원목록!$C$3:$C$302,MATCH($B2732,직원목록!$A$3:$A$302,0)),""))</f>
        <v/>
      </c>
      <c r="E2732" s="14"/>
      <c r="F2732" s="14"/>
      <c r="G2732" s="15"/>
      <c r="H2732" s="16" t="str">
        <f aca="false">IF(OR($K2732="",$L2732=""),"",ROUND(MAX(0,($L2732-$K2732)-IF($G2732="",0,$G2732))/60,2))</f>
        <v/>
      </c>
      <c r="I2732" s="8"/>
      <c r="J2732" s="8"/>
      <c r="K2732" s="17" t="str">
        <f aca="false">IF($E2732="","",IF($E2732&lt;1,ROUND($E2732*1440,0),INT($E2732/100)*60+MOD($E2732,100)))</f>
        <v/>
      </c>
      <c r="L2732" s="17" t="str">
        <f aca="false">IF($F2732="","",IF($F2732&lt;1,ROUND($F2732*1440,0),INT($F2732/100)*60+MOD($F2732,100)))</f>
        <v/>
      </c>
    </row>
    <row r="2733" customFormat="false" ht="15" hidden="false" customHeight="true" outlineLevel="0" collapsed="false">
      <c r="A2733" s="10"/>
      <c r="B2733" s="8"/>
      <c r="C2733" s="13" t="str">
        <f aca="false">IF($B2733="","",IFERROR(INDEX(직원목록!$B$3:$B$302,MATCH($B2733,직원목록!$A$3:$A$302,0)),"미등록사번"))</f>
        <v/>
      </c>
      <c r="D2733" s="13" t="str">
        <f aca="false">IF($B2733="","",IFERROR(INDEX(직원목록!$C$3:$C$302,MATCH($B2733,직원목록!$A$3:$A$302,0)),""))</f>
        <v/>
      </c>
      <c r="E2733" s="14"/>
      <c r="F2733" s="14"/>
      <c r="G2733" s="15"/>
      <c r="H2733" s="16" t="str">
        <f aca="false">IF(OR($K2733="",$L2733=""),"",ROUND(MAX(0,($L2733-$K2733)-IF($G2733="",0,$G2733))/60,2))</f>
        <v/>
      </c>
      <c r="I2733" s="8"/>
      <c r="J2733" s="8"/>
      <c r="K2733" s="17" t="str">
        <f aca="false">IF($E2733="","",IF($E2733&lt;1,ROUND($E2733*1440,0),INT($E2733/100)*60+MOD($E2733,100)))</f>
        <v/>
      </c>
      <c r="L2733" s="17" t="str">
        <f aca="false">IF($F2733="","",IF($F2733&lt;1,ROUND($F2733*1440,0),INT($F2733/100)*60+MOD($F2733,100)))</f>
        <v/>
      </c>
    </row>
    <row r="2734" customFormat="false" ht="15" hidden="false" customHeight="true" outlineLevel="0" collapsed="false">
      <c r="A2734" s="10"/>
      <c r="B2734" s="8"/>
      <c r="C2734" s="13" t="str">
        <f aca="false">IF($B2734="","",IFERROR(INDEX(직원목록!$B$3:$B$302,MATCH($B2734,직원목록!$A$3:$A$302,0)),"미등록사번"))</f>
        <v/>
      </c>
      <c r="D2734" s="13" t="str">
        <f aca="false">IF($B2734="","",IFERROR(INDEX(직원목록!$C$3:$C$302,MATCH($B2734,직원목록!$A$3:$A$302,0)),""))</f>
        <v/>
      </c>
      <c r="E2734" s="14"/>
      <c r="F2734" s="14"/>
      <c r="G2734" s="15"/>
      <c r="H2734" s="16" t="str">
        <f aca="false">IF(OR($K2734="",$L2734=""),"",ROUND(MAX(0,($L2734-$K2734)-IF($G2734="",0,$G2734))/60,2))</f>
        <v/>
      </c>
      <c r="I2734" s="8"/>
      <c r="J2734" s="8"/>
      <c r="K2734" s="17" t="str">
        <f aca="false">IF($E2734="","",IF($E2734&lt;1,ROUND($E2734*1440,0),INT($E2734/100)*60+MOD($E2734,100)))</f>
        <v/>
      </c>
      <c r="L2734" s="17" t="str">
        <f aca="false">IF($F2734="","",IF($F2734&lt;1,ROUND($F2734*1440,0),INT($F2734/100)*60+MOD($F2734,100)))</f>
        <v/>
      </c>
    </row>
    <row r="2735" customFormat="false" ht="15" hidden="false" customHeight="true" outlineLevel="0" collapsed="false">
      <c r="A2735" s="10"/>
      <c r="B2735" s="8"/>
      <c r="C2735" s="13" t="str">
        <f aca="false">IF($B2735="","",IFERROR(INDEX(직원목록!$B$3:$B$302,MATCH($B2735,직원목록!$A$3:$A$302,0)),"미등록사번"))</f>
        <v/>
      </c>
      <c r="D2735" s="13" t="str">
        <f aca="false">IF($B2735="","",IFERROR(INDEX(직원목록!$C$3:$C$302,MATCH($B2735,직원목록!$A$3:$A$302,0)),""))</f>
        <v/>
      </c>
      <c r="E2735" s="14"/>
      <c r="F2735" s="14"/>
      <c r="G2735" s="15"/>
      <c r="H2735" s="16" t="str">
        <f aca="false">IF(OR($K2735="",$L2735=""),"",ROUND(MAX(0,($L2735-$K2735)-IF($G2735="",0,$G2735))/60,2))</f>
        <v/>
      </c>
      <c r="I2735" s="8"/>
      <c r="J2735" s="8"/>
      <c r="K2735" s="17" t="str">
        <f aca="false">IF($E2735="","",IF($E2735&lt;1,ROUND($E2735*1440,0),INT($E2735/100)*60+MOD($E2735,100)))</f>
        <v/>
      </c>
      <c r="L2735" s="17" t="str">
        <f aca="false">IF($F2735="","",IF($F2735&lt;1,ROUND($F2735*1440,0),INT($F2735/100)*60+MOD($F2735,100)))</f>
        <v/>
      </c>
    </row>
    <row r="2736" customFormat="false" ht="15" hidden="false" customHeight="true" outlineLevel="0" collapsed="false">
      <c r="A2736" s="10"/>
      <c r="B2736" s="8"/>
      <c r="C2736" s="13" t="str">
        <f aca="false">IF($B2736="","",IFERROR(INDEX(직원목록!$B$3:$B$302,MATCH($B2736,직원목록!$A$3:$A$302,0)),"미등록사번"))</f>
        <v/>
      </c>
      <c r="D2736" s="13" t="str">
        <f aca="false">IF($B2736="","",IFERROR(INDEX(직원목록!$C$3:$C$302,MATCH($B2736,직원목록!$A$3:$A$302,0)),""))</f>
        <v/>
      </c>
      <c r="E2736" s="14"/>
      <c r="F2736" s="14"/>
      <c r="G2736" s="15"/>
      <c r="H2736" s="16" t="str">
        <f aca="false">IF(OR($K2736="",$L2736=""),"",ROUND(MAX(0,($L2736-$K2736)-IF($G2736="",0,$G2736))/60,2))</f>
        <v/>
      </c>
      <c r="I2736" s="8"/>
      <c r="J2736" s="8"/>
      <c r="K2736" s="17" t="str">
        <f aca="false">IF($E2736="","",IF($E2736&lt;1,ROUND($E2736*1440,0),INT($E2736/100)*60+MOD($E2736,100)))</f>
        <v/>
      </c>
      <c r="L2736" s="17" t="str">
        <f aca="false">IF($F2736="","",IF($F2736&lt;1,ROUND($F2736*1440,0),INT($F2736/100)*60+MOD($F2736,100)))</f>
        <v/>
      </c>
    </row>
    <row r="2737" customFormat="false" ht="15" hidden="false" customHeight="true" outlineLevel="0" collapsed="false">
      <c r="A2737" s="10"/>
      <c r="B2737" s="8"/>
      <c r="C2737" s="13" t="str">
        <f aca="false">IF($B2737="","",IFERROR(INDEX(직원목록!$B$3:$B$302,MATCH($B2737,직원목록!$A$3:$A$302,0)),"미등록사번"))</f>
        <v/>
      </c>
      <c r="D2737" s="13" t="str">
        <f aca="false">IF($B2737="","",IFERROR(INDEX(직원목록!$C$3:$C$302,MATCH($B2737,직원목록!$A$3:$A$302,0)),""))</f>
        <v/>
      </c>
      <c r="E2737" s="14"/>
      <c r="F2737" s="14"/>
      <c r="G2737" s="15"/>
      <c r="H2737" s="16" t="str">
        <f aca="false">IF(OR($K2737="",$L2737=""),"",ROUND(MAX(0,($L2737-$K2737)-IF($G2737="",0,$G2737))/60,2))</f>
        <v/>
      </c>
      <c r="I2737" s="8"/>
      <c r="J2737" s="8"/>
      <c r="K2737" s="17" t="str">
        <f aca="false">IF($E2737="","",IF($E2737&lt;1,ROUND($E2737*1440,0),INT($E2737/100)*60+MOD($E2737,100)))</f>
        <v/>
      </c>
      <c r="L2737" s="17" t="str">
        <f aca="false">IF($F2737="","",IF($F2737&lt;1,ROUND($F2737*1440,0),INT($F2737/100)*60+MOD($F2737,100)))</f>
        <v/>
      </c>
    </row>
    <row r="2738" customFormat="false" ht="15" hidden="false" customHeight="true" outlineLevel="0" collapsed="false">
      <c r="A2738" s="10"/>
      <c r="B2738" s="8"/>
      <c r="C2738" s="13" t="str">
        <f aca="false">IF($B2738="","",IFERROR(INDEX(직원목록!$B$3:$B$302,MATCH($B2738,직원목록!$A$3:$A$302,0)),"미등록사번"))</f>
        <v/>
      </c>
      <c r="D2738" s="13" t="str">
        <f aca="false">IF($B2738="","",IFERROR(INDEX(직원목록!$C$3:$C$302,MATCH($B2738,직원목록!$A$3:$A$302,0)),""))</f>
        <v/>
      </c>
      <c r="E2738" s="14"/>
      <c r="F2738" s="14"/>
      <c r="G2738" s="15"/>
      <c r="H2738" s="16" t="str">
        <f aca="false">IF(OR($K2738="",$L2738=""),"",ROUND(MAX(0,($L2738-$K2738)-IF($G2738="",0,$G2738))/60,2))</f>
        <v/>
      </c>
      <c r="I2738" s="8"/>
      <c r="J2738" s="8"/>
      <c r="K2738" s="17" t="str">
        <f aca="false">IF($E2738="","",IF($E2738&lt;1,ROUND($E2738*1440,0),INT($E2738/100)*60+MOD($E2738,100)))</f>
        <v/>
      </c>
      <c r="L2738" s="17" t="str">
        <f aca="false">IF($F2738="","",IF($F2738&lt;1,ROUND($F2738*1440,0),INT($F2738/100)*60+MOD($F2738,100)))</f>
        <v/>
      </c>
    </row>
    <row r="2739" customFormat="false" ht="15" hidden="false" customHeight="true" outlineLevel="0" collapsed="false">
      <c r="A2739" s="10"/>
      <c r="B2739" s="8"/>
      <c r="C2739" s="13" t="str">
        <f aca="false">IF($B2739="","",IFERROR(INDEX(직원목록!$B$3:$B$302,MATCH($B2739,직원목록!$A$3:$A$302,0)),"미등록사번"))</f>
        <v/>
      </c>
      <c r="D2739" s="13" t="str">
        <f aca="false">IF($B2739="","",IFERROR(INDEX(직원목록!$C$3:$C$302,MATCH($B2739,직원목록!$A$3:$A$302,0)),""))</f>
        <v/>
      </c>
      <c r="E2739" s="14"/>
      <c r="F2739" s="14"/>
      <c r="G2739" s="15"/>
      <c r="H2739" s="16" t="str">
        <f aca="false">IF(OR($K2739="",$L2739=""),"",ROUND(MAX(0,($L2739-$K2739)-IF($G2739="",0,$G2739))/60,2))</f>
        <v/>
      </c>
      <c r="I2739" s="8"/>
      <c r="J2739" s="8"/>
      <c r="K2739" s="17" t="str">
        <f aca="false">IF($E2739="","",IF($E2739&lt;1,ROUND($E2739*1440,0),INT($E2739/100)*60+MOD($E2739,100)))</f>
        <v/>
      </c>
      <c r="L2739" s="17" t="str">
        <f aca="false">IF($F2739="","",IF($F2739&lt;1,ROUND($F2739*1440,0),INT($F2739/100)*60+MOD($F2739,100)))</f>
        <v/>
      </c>
    </row>
    <row r="2740" customFormat="false" ht="15" hidden="false" customHeight="true" outlineLevel="0" collapsed="false">
      <c r="A2740" s="10"/>
      <c r="B2740" s="8"/>
      <c r="C2740" s="13" t="str">
        <f aca="false">IF($B2740="","",IFERROR(INDEX(직원목록!$B$3:$B$302,MATCH($B2740,직원목록!$A$3:$A$302,0)),"미등록사번"))</f>
        <v/>
      </c>
      <c r="D2740" s="13" t="str">
        <f aca="false">IF($B2740="","",IFERROR(INDEX(직원목록!$C$3:$C$302,MATCH($B2740,직원목록!$A$3:$A$302,0)),""))</f>
        <v/>
      </c>
      <c r="E2740" s="14"/>
      <c r="F2740" s="14"/>
      <c r="G2740" s="15"/>
      <c r="H2740" s="16" t="str">
        <f aca="false">IF(OR($K2740="",$L2740=""),"",ROUND(MAX(0,($L2740-$K2740)-IF($G2740="",0,$G2740))/60,2))</f>
        <v/>
      </c>
      <c r="I2740" s="8"/>
      <c r="J2740" s="8"/>
      <c r="K2740" s="17" t="str">
        <f aca="false">IF($E2740="","",IF($E2740&lt;1,ROUND($E2740*1440,0),INT($E2740/100)*60+MOD($E2740,100)))</f>
        <v/>
      </c>
      <c r="L2740" s="17" t="str">
        <f aca="false">IF($F2740="","",IF($F2740&lt;1,ROUND($F2740*1440,0),INT($F2740/100)*60+MOD($F2740,100)))</f>
        <v/>
      </c>
    </row>
    <row r="2741" customFormat="false" ht="15" hidden="false" customHeight="true" outlineLevel="0" collapsed="false">
      <c r="A2741" s="10"/>
      <c r="B2741" s="8"/>
      <c r="C2741" s="13" t="str">
        <f aca="false">IF($B2741="","",IFERROR(INDEX(직원목록!$B$3:$B$302,MATCH($B2741,직원목록!$A$3:$A$302,0)),"미등록사번"))</f>
        <v/>
      </c>
      <c r="D2741" s="13" t="str">
        <f aca="false">IF($B2741="","",IFERROR(INDEX(직원목록!$C$3:$C$302,MATCH($B2741,직원목록!$A$3:$A$302,0)),""))</f>
        <v/>
      </c>
      <c r="E2741" s="14"/>
      <c r="F2741" s="14"/>
      <c r="G2741" s="15"/>
      <c r="H2741" s="16" t="str">
        <f aca="false">IF(OR($K2741="",$L2741=""),"",ROUND(MAX(0,($L2741-$K2741)-IF($G2741="",0,$G2741))/60,2))</f>
        <v/>
      </c>
      <c r="I2741" s="8"/>
      <c r="J2741" s="8"/>
      <c r="K2741" s="17" t="str">
        <f aca="false">IF($E2741="","",IF($E2741&lt;1,ROUND($E2741*1440,0),INT($E2741/100)*60+MOD($E2741,100)))</f>
        <v/>
      </c>
      <c r="L2741" s="17" t="str">
        <f aca="false">IF($F2741="","",IF($F2741&lt;1,ROUND($F2741*1440,0),INT($F2741/100)*60+MOD($F2741,100)))</f>
        <v/>
      </c>
    </row>
    <row r="2742" customFormat="false" ht="15" hidden="false" customHeight="true" outlineLevel="0" collapsed="false">
      <c r="A2742" s="10"/>
      <c r="B2742" s="8"/>
      <c r="C2742" s="13" t="str">
        <f aca="false">IF($B2742="","",IFERROR(INDEX(직원목록!$B$3:$B$302,MATCH($B2742,직원목록!$A$3:$A$302,0)),"미등록사번"))</f>
        <v/>
      </c>
      <c r="D2742" s="13" t="str">
        <f aca="false">IF($B2742="","",IFERROR(INDEX(직원목록!$C$3:$C$302,MATCH($B2742,직원목록!$A$3:$A$302,0)),""))</f>
        <v/>
      </c>
      <c r="E2742" s="14"/>
      <c r="F2742" s="14"/>
      <c r="G2742" s="15"/>
      <c r="H2742" s="16" t="str">
        <f aca="false">IF(OR($K2742="",$L2742=""),"",ROUND(MAX(0,($L2742-$K2742)-IF($G2742="",0,$G2742))/60,2))</f>
        <v/>
      </c>
      <c r="I2742" s="8"/>
      <c r="J2742" s="8"/>
      <c r="K2742" s="17" t="str">
        <f aca="false">IF($E2742="","",IF($E2742&lt;1,ROUND($E2742*1440,0),INT($E2742/100)*60+MOD($E2742,100)))</f>
        <v/>
      </c>
      <c r="L2742" s="17" t="str">
        <f aca="false">IF($F2742="","",IF($F2742&lt;1,ROUND($F2742*1440,0),INT($F2742/100)*60+MOD($F2742,100)))</f>
        <v/>
      </c>
    </row>
    <row r="2743" customFormat="false" ht="15" hidden="false" customHeight="true" outlineLevel="0" collapsed="false">
      <c r="A2743" s="10"/>
      <c r="B2743" s="8"/>
      <c r="C2743" s="13" t="str">
        <f aca="false">IF($B2743="","",IFERROR(INDEX(직원목록!$B$3:$B$302,MATCH($B2743,직원목록!$A$3:$A$302,0)),"미등록사번"))</f>
        <v/>
      </c>
      <c r="D2743" s="13" t="str">
        <f aca="false">IF($B2743="","",IFERROR(INDEX(직원목록!$C$3:$C$302,MATCH($B2743,직원목록!$A$3:$A$302,0)),""))</f>
        <v/>
      </c>
      <c r="E2743" s="14"/>
      <c r="F2743" s="14"/>
      <c r="G2743" s="15"/>
      <c r="H2743" s="16" t="str">
        <f aca="false">IF(OR($K2743="",$L2743=""),"",ROUND(MAX(0,($L2743-$K2743)-IF($G2743="",0,$G2743))/60,2))</f>
        <v/>
      </c>
      <c r="I2743" s="8"/>
      <c r="J2743" s="8"/>
      <c r="K2743" s="17" t="str">
        <f aca="false">IF($E2743="","",IF($E2743&lt;1,ROUND($E2743*1440,0),INT($E2743/100)*60+MOD($E2743,100)))</f>
        <v/>
      </c>
      <c r="L2743" s="17" t="str">
        <f aca="false">IF($F2743="","",IF($F2743&lt;1,ROUND($F2743*1440,0),INT($F2743/100)*60+MOD($F2743,100)))</f>
        <v/>
      </c>
    </row>
    <row r="2744" customFormat="false" ht="15" hidden="false" customHeight="true" outlineLevel="0" collapsed="false">
      <c r="A2744" s="10"/>
      <c r="B2744" s="8"/>
      <c r="C2744" s="13" t="str">
        <f aca="false">IF($B2744="","",IFERROR(INDEX(직원목록!$B$3:$B$302,MATCH($B2744,직원목록!$A$3:$A$302,0)),"미등록사번"))</f>
        <v/>
      </c>
      <c r="D2744" s="13" t="str">
        <f aca="false">IF($B2744="","",IFERROR(INDEX(직원목록!$C$3:$C$302,MATCH($B2744,직원목록!$A$3:$A$302,0)),""))</f>
        <v/>
      </c>
      <c r="E2744" s="14"/>
      <c r="F2744" s="14"/>
      <c r="G2744" s="15"/>
      <c r="H2744" s="16" t="str">
        <f aca="false">IF(OR($K2744="",$L2744=""),"",ROUND(MAX(0,($L2744-$K2744)-IF($G2744="",0,$G2744))/60,2))</f>
        <v/>
      </c>
      <c r="I2744" s="8"/>
      <c r="J2744" s="8"/>
      <c r="K2744" s="17" t="str">
        <f aca="false">IF($E2744="","",IF($E2744&lt;1,ROUND($E2744*1440,0),INT($E2744/100)*60+MOD($E2744,100)))</f>
        <v/>
      </c>
      <c r="L2744" s="17" t="str">
        <f aca="false">IF($F2744="","",IF($F2744&lt;1,ROUND($F2744*1440,0),INT($F2744/100)*60+MOD($F2744,100)))</f>
        <v/>
      </c>
    </row>
    <row r="2745" customFormat="false" ht="15" hidden="false" customHeight="true" outlineLevel="0" collapsed="false">
      <c r="A2745" s="10"/>
      <c r="B2745" s="8"/>
      <c r="C2745" s="13" t="str">
        <f aca="false">IF($B2745="","",IFERROR(INDEX(직원목록!$B$3:$B$302,MATCH($B2745,직원목록!$A$3:$A$302,0)),"미등록사번"))</f>
        <v/>
      </c>
      <c r="D2745" s="13" t="str">
        <f aca="false">IF($B2745="","",IFERROR(INDEX(직원목록!$C$3:$C$302,MATCH($B2745,직원목록!$A$3:$A$302,0)),""))</f>
        <v/>
      </c>
      <c r="E2745" s="14"/>
      <c r="F2745" s="14"/>
      <c r="G2745" s="15"/>
      <c r="H2745" s="16" t="str">
        <f aca="false">IF(OR($K2745="",$L2745=""),"",ROUND(MAX(0,($L2745-$K2745)-IF($G2745="",0,$G2745))/60,2))</f>
        <v/>
      </c>
      <c r="I2745" s="8"/>
      <c r="J2745" s="8"/>
      <c r="K2745" s="17" t="str">
        <f aca="false">IF($E2745="","",IF($E2745&lt;1,ROUND($E2745*1440,0),INT($E2745/100)*60+MOD($E2745,100)))</f>
        <v/>
      </c>
      <c r="L2745" s="17" t="str">
        <f aca="false">IF($F2745="","",IF($F2745&lt;1,ROUND($F2745*1440,0),INT($F2745/100)*60+MOD($F2745,100)))</f>
        <v/>
      </c>
    </row>
    <row r="2746" customFormat="false" ht="15" hidden="false" customHeight="true" outlineLevel="0" collapsed="false">
      <c r="A2746" s="10"/>
      <c r="B2746" s="8"/>
      <c r="C2746" s="13" t="str">
        <f aca="false">IF($B2746="","",IFERROR(INDEX(직원목록!$B$3:$B$302,MATCH($B2746,직원목록!$A$3:$A$302,0)),"미등록사번"))</f>
        <v/>
      </c>
      <c r="D2746" s="13" t="str">
        <f aca="false">IF($B2746="","",IFERROR(INDEX(직원목록!$C$3:$C$302,MATCH($B2746,직원목록!$A$3:$A$302,0)),""))</f>
        <v/>
      </c>
      <c r="E2746" s="14"/>
      <c r="F2746" s="14"/>
      <c r="G2746" s="15"/>
      <c r="H2746" s="16" t="str">
        <f aca="false">IF(OR($K2746="",$L2746=""),"",ROUND(MAX(0,($L2746-$K2746)-IF($G2746="",0,$G2746))/60,2))</f>
        <v/>
      </c>
      <c r="I2746" s="8"/>
      <c r="J2746" s="8"/>
      <c r="K2746" s="17" t="str">
        <f aca="false">IF($E2746="","",IF($E2746&lt;1,ROUND($E2746*1440,0),INT($E2746/100)*60+MOD($E2746,100)))</f>
        <v/>
      </c>
      <c r="L2746" s="17" t="str">
        <f aca="false">IF($F2746="","",IF($F2746&lt;1,ROUND($F2746*1440,0),INT($F2746/100)*60+MOD($F2746,100)))</f>
        <v/>
      </c>
    </row>
    <row r="2747" customFormat="false" ht="15" hidden="false" customHeight="true" outlineLevel="0" collapsed="false">
      <c r="A2747" s="10"/>
      <c r="B2747" s="8"/>
      <c r="C2747" s="13" t="str">
        <f aca="false">IF($B2747="","",IFERROR(INDEX(직원목록!$B$3:$B$302,MATCH($B2747,직원목록!$A$3:$A$302,0)),"미등록사번"))</f>
        <v/>
      </c>
      <c r="D2747" s="13" t="str">
        <f aca="false">IF($B2747="","",IFERROR(INDEX(직원목록!$C$3:$C$302,MATCH($B2747,직원목록!$A$3:$A$302,0)),""))</f>
        <v/>
      </c>
      <c r="E2747" s="14"/>
      <c r="F2747" s="14"/>
      <c r="G2747" s="15"/>
      <c r="H2747" s="16" t="str">
        <f aca="false">IF(OR($K2747="",$L2747=""),"",ROUND(MAX(0,($L2747-$K2747)-IF($G2747="",0,$G2747))/60,2))</f>
        <v/>
      </c>
      <c r="I2747" s="8"/>
      <c r="J2747" s="8"/>
      <c r="K2747" s="17" t="str">
        <f aca="false">IF($E2747="","",IF($E2747&lt;1,ROUND($E2747*1440,0),INT($E2747/100)*60+MOD($E2747,100)))</f>
        <v/>
      </c>
      <c r="L2747" s="17" t="str">
        <f aca="false">IF($F2747="","",IF($F2747&lt;1,ROUND($F2747*1440,0),INT($F2747/100)*60+MOD($F2747,100)))</f>
        <v/>
      </c>
    </row>
    <row r="2748" customFormat="false" ht="15" hidden="false" customHeight="true" outlineLevel="0" collapsed="false">
      <c r="A2748" s="10"/>
      <c r="B2748" s="8"/>
      <c r="C2748" s="13" t="str">
        <f aca="false">IF($B2748="","",IFERROR(INDEX(직원목록!$B$3:$B$302,MATCH($B2748,직원목록!$A$3:$A$302,0)),"미등록사번"))</f>
        <v/>
      </c>
      <c r="D2748" s="13" t="str">
        <f aca="false">IF($B2748="","",IFERROR(INDEX(직원목록!$C$3:$C$302,MATCH($B2748,직원목록!$A$3:$A$302,0)),""))</f>
        <v/>
      </c>
      <c r="E2748" s="14"/>
      <c r="F2748" s="14"/>
      <c r="G2748" s="15"/>
      <c r="H2748" s="16" t="str">
        <f aca="false">IF(OR($K2748="",$L2748=""),"",ROUND(MAX(0,($L2748-$K2748)-IF($G2748="",0,$G2748))/60,2))</f>
        <v/>
      </c>
      <c r="I2748" s="8"/>
      <c r="J2748" s="8"/>
      <c r="K2748" s="17" t="str">
        <f aca="false">IF($E2748="","",IF($E2748&lt;1,ROUND($E2748*1440,0),INT($E2748/100)*60+MOD($E2748,100)))</f>
        <v/>
      </c>
      <c r="L2748" s="17" t="str">
        <f aca="false">IF($F2748="","",IF($F2748&lt;1,ROUND($F2748*1440,0),INT($F2748/100)*60+MOD($F2748,100)))</f>
        <v/>
      </c>
    </row>
    <row r="2749" customFormat="false" ht="15" hidden="false" customHeight="true" outlineLevel="0" collapsed="false">
      <c r="A2749" s="10"/>
      <c r="B2749" s="8"/>
      <c r="C2749" s="13" t="str">
        <f aca="false">IF($B2749="","",IFERROR(INDEX(직원목록!$B$3:$B$302,MATCH($B2749,직원목록!$A$3:$A$302,0)),"미등록사번"))</f>
        <v/>
      </c>
      <c r="D2749" s="13" t="str">
        <f aca="false">IF($B2749="","",IFERROR(INDEX(직원목록!$C$3:$C$302,MATCH($B2749,직원목록!$A$3:$A$302,0)),""))</f>
        <v/>
      </c>
      <c r="E2749" s="14"/>
      <c r="F2749" s="14"/>
      <c r="G2749" s="15"/>
      <c r="H2749" s="16" t="str">
        <f aca="false">IF(OR($K2749="",$L2749=""),"",ROUND(MAX(0,($L2749-$K2749)-IF($G2749="",0,$G2749))/60,2))</f>
        <v/>
      </c>
      <c r="I2749" s="8"/>
      <c r="J2749" s="8"/>
      <c r="K2749" s="17" t="str">
        <f aca="false">IF($E2749="","",IF($E2749&lt;1,ROUND($E2749*1440,0),INT($E2749/100)*60+MOD($E2749,100)))</f>
        <v/>
      </c>
      <c r="L2749" s="17" t="str">
        <f aca="false">IF($F2749="","",IF($F2749&lt;1,ROUND($F2749*1440,0),INT($F2749/100)*60+MOD($F2749,100)))</f>
        <v/>
      </c>
    </row>
    <row r="2750" customFormat="false" ht="15" hidden="false" customHeight="true" outlineLevel="0" collapsed="false">
      <c r="A2750" s="10"/>
      <c r="B2750" s="8"/>
      <c r="C2750" s="13" t="str">
        <f aca="false">IF($B2750="","",IFERROR(INDEX(직원목록!$B$3:$B$302,MATCH($B2750,직원목록!$A$3:$A$302,0)),"미등록사번"))</f>
        <v/>
      </c>
      <c r="D2750" s="13" t="str">
        <f aca="false">IF($B2750="","",IFERROR(INDEX(직원목록!$C$3:$C$302,MATCH($B2750,직원목록!$A$3:$A$302,0)),""))</f>
        <v/>
      </c>
      <c r="E2750" s="14"/>
      <c r="F2750" s="14"/>
      <c r="G2750" s="15"/>
      <c r="H2750" s="16" t="str">
        <f aca="false">IF(OR($K2750="",$L2750=""),"",ROUND(MAX(0,($L2750-$K2750)-IF($G2750="",0,$G2750))/60,2))</f>
        <v/>
      </c>
      <c r="I2750" s="8"/>
      <c r="J2750" s="8"/>
      <c r="K2750" s="17" t="str">
        <f aca="false">IF($E2750="","",IF($E2750&lt;1,ROUND($E2750*1440,0),INT($E2750/100)*60+MOD($E2750,100)))</f>
        <v/>
      </c>
      <c r="L2750" s="17" t="str">
        <f aca="false">IF($F2750="","",IF($F2750&lt;1,ROUND($F2750*1440,0),INT($F2750/100)*60+MOD($F2750,100)))</f>
        <v/>
      </c>
    </row>
    <row r="2751" customFormat="false" ht="15" hidden="false" customHeight="true" outlineLevel="0" collapsed="false">
      <c r="A2751" s="10"/>
      <c r="B2751" s="8"/>
      <c r="C2751" s="13" t="str">
        <f aca="false">IF($B2751="","",IFERROR(INDEX(직원목록!$B$3:$B$302,MATCH($B2751,직원목록!$A$3:$A$302,0)),"미등록사번"))</f>
        <v/>
      </c>
      <c r="D2751" s="13" t="str">
        <f aca="false">IF($B2751="","",IFERROR(INDEX(직원목록!$C$3:$C$302,MATCH($B2751,직원목록!$A$3:$A$302,0)),""))</f>
        <v/>
      </c>
      <c r="E2751" s="14"/>
      <c r="F2751" s="14"/>
      <c r="G2751" s="15"/>
      <c r="H2751" s="16" t="str">
        <f aca="false">IF(OR($K2751="",$L2751=""),"",ROUND(MAX(0,($L2751-$K2751)-IF($G2751="",0,$G2751))/60,2))</f>
        <v/>
      </c>
      <c r="I2751" s="8"/>
      <c r="J2751" s="8"/>
      <c r="K2751" s="17" t="str">
        <f aca="false">IF($E2751="","",IF($E2751&lt;1,ROUND($E2751*1440,0),INT($E2751/100)*60+MOD($E2751,100)))</f>
        <v/>
      </c>
      <c r="L2751" s="17" t="str">
        <f aca="false">IF($F2751="","",IF($F2751&lt;1,ROUND($F2751*1440,0),INT($F2751/100)*60+MOD($F2751,100)))</f>
        <v/>
      </c>
    </row>
    <row r="2752" customFormat="false" ht="15" hidden="false" customHeight="true" outlineLevel="0" collapsed="false">
      <c r="A2752" s="10"/>
      <c r="B2752" s="8"/>
      <c r="C2752" s="13" t="str">
        <f aca="false">IF($B2752="","",IFERROR(INDEX(직원목록!$B$3:$B$302,MATCH($B2752,직원목록!$A$3:$A$302,0)),"미등록사번"))</f>
        <v/>
      </c>
      <c r="D2752" s="13" t="str">
        <f aca="false">IF($B2752="","",IFERROR(INDEX(직원목록!$C$3:$C$302,MATCH($B2752,직원목록!$A$3:$A$302,0)),""))</f>
        <v/>
      </c>
      <c r="E2752" s="14"/>
      <c r="F2752" s="14"/>
      <c r="G2752" s="15"/>
      <c r="H2752" s="16" t="str">
        <f aca="false">IF(OR($K2752="",$L2752=""),"",ROUND(MAX(0,($L2752-$K2752)-IF($G2752="",0,$G2752))/60,2))</f>
        <v/>
      </c>
      <c r="I2752" s="8"/>
      <c r="J2752" s="8"/>
      <c r="K2752" s="17" t="str">
        <f aca="false">IF($E2752="","",IF($E2752&lt;1,ROUND($E2752*1440,0),INT($E2752/100)*60+MOD($E2752,100)))</f>
        <v/>
      </c>
      <c r="L2752" s="17" t="str">
        <f aca="false">IF($F2752="","",IF($F2752&lt;1,ROUND($F2752*1440,0),INT($F2752/100)*60+MOD($F2752,100)))</f>
        <v/>
      </c>
    </row>
    <row r="2753" customFormat="false" ht="15" hidden="false" customHeight="true" outlineLevel="0" collapsed="false">
      <c r="A2753" s="10"/>
      <c r="B2753" s="8"/>
      <c r="C2753" s="13" t="str">
        <f aca="false">IF($B2753="","",IFERROR(INDEX(직원목록!$B$3:$B$302,MATCH($B2753,직원목록!$A$3:$A$302,0)),"미등록사번"))</f>
        <v/>
      </c>
      <c r="D2753" s="13" t="str">
        <f aca="false">IF($B2753="","",IFERROR(INDEX(직원목록!$C$3:$C$302,MATCH($B2753,직원목록!$A$3:$A$302,0)),""))</f>
        <v/>
      </c>
      <c r="E2753" s="14"/>
      <c r="F2753" s="14"/>
      <c r="G2753" s="15"/>
      <c r="H2753" s="16" t="str">
        <f aca="false">IF(OR($K2753="",$L2753=""),"",ROUND(MAX(0,($L2753-$K2753)-IF($G2753="",0,$G2753))/60,2))</f>
        <v/>
      </c>
      <c r="I2753" s="8"/>
      <c r="J2753" s="8"/>
      <c r="K2753" s="17" t="str">
        <f aca="false">IF($E2753="","",IF($E2753&lt;1,ROUND($E2753*1440,0),INT($E2753/100)*60+MOD($E2753,100)))</f>
        <v/>
      </c>
      <c r="L2753" s="17" t="str">
        <f aca="false">IF($F2753="","",IF($F2753&lt;1,ROUND($F2753*1440,0),INT($F2753/100)*60+MOD($F2753,100)))</f>
        <v/>
      </c>
    </row>
    <row r="2754" customFormat="false" ht="15" hidden="false" customHeight="true" outlineLevel="0" collapsed="false">
      <c r="A2754" s="10"/>
      <c r="B2754" s="8"/>
      <c r="C2754" s="13" t="str">
        <f aca="false">IF($B2754="","",IFERROR(INDEX(직원목록!$B$3:$B$302,MATCH($B2754,직원목록!$A$3:$A$302,0)),"미등록사번"))</f>
        <v/>
      </c>
      <c r="D2754" s="13" t="str">
        <f aca="false">IF($B2754="","",IFERROR(INDEX(직원목록!$C$3:$C$302,MATCH($B2754,직원목록!$A$3:$A$302,0)),""))</f>
        <v/>
      </c>
      <c r="E2754" s="14"/>
      <c r="F2754" s="14"/>
      <c r="G2754" s="15"/>
      <c r="H2754" s="16" t="str">
        <f aca="false">IF(OR($K2754="",$L2754=""),"",ROUND(MAX(0,($L2754-$K2754)-IF($G2754="",0,$G2754))/60,2))</f>
        <v/>
      </c>
      <c r="I2754" s="8"/>
      <c r="J2754" s="8"/>
      <c r="K2754" s="17" t="str">
        <f aca="false">IF($E2754="","",IF($E2754&lt;1,ROUND($E2754*1440,0),INT($E2754/100)*60+MOD($E2754,100)))</f>
        <v/>
      </c>
      <c r="L2754" s="17" t="str">
        <f aca="false">IF($F2754="","",IF($F2754&lt;1,ROUND($F2754*1440,0),INT($F2754/100)*60+MOD($F2754,100)))</f>
        <v/>
      </c>
    </row>
    <row r="2755" customFormat="false" ht="15" hidden="false" customHeight="true" outlineLevel="0" collapsed="false">
      <c r="A2755" s="10"/>
      <c r="B2755" s="8"/>
      <c r="C2755" s="13" t="str">
        <f aca="false">IF($B2755="","",IFERROR(INDEX(직원목록!$B$3:$B$302,MATCH($B2755,직원목록!$A$3:$A$302,0)),"미등록사번"))</f>
        <v/>
      </c>
      <c r="D2755" s="13" t="str">
        <f aca="false">IF($B2755="","",IFERROR(INDEX(직원목록!$C$3:$C$302,MATCH($B2755,직원목록!$A$3:$A$302,0)),""))</f>
        <v/>
      </c>
      <c r="E2755" s="14"/>
      <c r="F2755" s="14"/>
      <c r="G2755" s="15"/>
      <c r="H2755" s="16" t="str">
        <f aca="false">IF(OR($K2755="",$L2755=""),"",ROUND(MAX(0,($L2755-$K2755)-IF($G2755="",0,$G2755))/60,2))</f>
        <v/>
      </c>
      <c r="I2755" s="8"/>
      <c r="J2755" s="8"/>
      <c r="K2755" s="17" t="str">
        <f aca="false">IF($E2755="","",IF($E2755&lt;1,ROUND($E2755*1440,0),INT($E2755/100)*60+MOD($E2755,100)))</f>
        <v/>
      </c>
      <c r="L2755" s="17" t="str">
        <f aca="false">IF($F2755="","",IF($F2755&lt;1,ROUND($F2755*1440,0),INT($F2755/100)*60+MOD($F2755,100)))</f>
        <v/>
      </c>
    </row>
    <row r="2756" customFormat="false" ht="15" hidden="false" customHeight="true" outlineLevel="0" collapsed="false">
      <c r="A2756" s="10"/>
      <c r="B2756" s="8"/>
      <c r="C2756" s="13" t="str">
        <f aca="false">IF($B2756="","",IFERROR(INDEX(직원목록!$B$3:$B$302,MATCH($B2756,직원목록!$A$3:$A$302,0)),"미등록사번"))</f>
        <v/>
      </c>
      <c r="D2756" s="13" t="str">
        <f aca="false">IF($B2756="","",IFERROR(INDEX(직원목록!$C$3:$C$302,MATCH($B2756,직원목록!$A$3:$A$302,0)),""))</f>
        <v/>
      </c>
      <c r="E2756" s="14"/>
      <c r="F2756" s="14"/>
      <c r="G2756" s="15"/>
      <c r="H2756" s="16" t="str">
        <f aca="false">IF(OR($K2756="",$L2756=""),"",ROUND(MAX(0,($L2756-$K2756)-IF($G2756="",0,$G2756))/60,2))</f>
        <v/>
      </c>
      <c r="I2756" s="8"/>
      <c r="J2756" s="8"/>
      <c r="K2756" s="17" t="str">
        <f aca="false">IF($E2756="","",IF($E2756&lt;1,ROUND($E2756*1440,0),INT($E2756/100)*60+MOD($E2756,100)))</f>
        <v/>
      </c>
      <c r="L2756" s="17" t="str">
        <f aca="false">IF($F2756="","",IF($F2756&lt;1,ROUND($F2756*1440,0),INT($F2756/100)*60+MOD($F2756,100)))</f>
        <v/>
      </c>
    </row>
    <row r="2757" customFormat="false" ht="15" hidden="false" customHeight="true" outlineLevel="0" collapsed="false">
      <c r="A2757" s="10"/>
      <c r="B2757" s="8"/>
      <c r="C2757" s="13" t="str">
        <f aca="false">IF($B2757="","",IFERROR(INDEX(직원목록!$B$3:$B$302,MATCH($B2757,직원목록!$A$3:$A$302,0)),"미등록사번"))</f>
        <v/>
      </c>
      <c r="D2757" s="13" t="str">
        <f aca="false">IF($B2757="","",IFERROR(INDEX(직원목록!$C$3:$C$302,MATCH($B2757,직원목록!$A$3:$A$302,0)),""))</f>
        <v/>
      </c>
      <c r="E2757" s="14"/>
      <c r="F2757" s="14"/>
      <c r="G2757" s="15"/>
      <c r="H2757" s="16" t="str">
        <f aca="false">IF(OR($K2757="",$L2757=""),"",ROUND(MAX(0,($L2757-$K2757)-IF($G2757="",0,$G2757))/60,2))</f>
        <v/>
      </c>
      <c r="I2757" s="8"/>
      <c r="J2757" s="8"/>
      <c r="K2757" s="17" t="str">
        <f aca="false">IF($E2757="","",IF($E2757&lt;1,ROUND($E2757*1440,0),INT($E2757/100)*60+MOD($E2757,100)))</f>
        <v/>
      </c>
      <c r="L2757" s="17" t="str">
        <f aca="false">IF($F2757="","",IF($F2757&lt;1,ROUND($F2757*1440,0),INT($F2757/100)*60+MOD($F2757,100)))</f>
        <v/>
      </c>
    </row>
    <row r="2758" customFormat="false" ht="15" hidden="false" customHeight="true" outlineLevel="0" collapsed="false">
      <c r="A2758" s="10"/>
      <c r="B2758" s="8"/>
      <c r="C2758" s="13" t="str">
        <f aca="false">IF($B2758="","",IFERROR(INDEX(직원목록!$B$3:$B$302,MATCH($B2758,직원목록!$A$3:$A$302,0)),"미등록사번"))</f>
        <v/>
      </c>
      <c r="D2758" s="13" t="str">
        <f aca="false">IF($B2758="","",IFERROR(INDEX(직원목록!$C$3:$C$302,MATCH($B2758,직원목록!$A$3:$A$302,0)),""))</f>
        <v/>
      </c>
      <c r="E2758" s="14"/>
      <c r="F2758" s="14"/>
      <c r="G2758" s="15"/>
      <c r="H2758" s="16" t="str">
        <f aca="false">IF(OR($K2758="",$L2758=""),"",ROUND(MAX(0,($L2758-$K2758)-IF($G2758="",0,$G2758))/60,2))</f>
        <v/>
      </c>
      <c r="I2758" s="8"/>
      <c r="J2758" s="8"/>
      <c r="K2758" s="17" t="str">
        <f aca="false">IF($E2758="","",IF($E2758&lt;1,ROUND($E2758*1440,0),INT($E2758/100)*60+MOD($E2758,100)))</f>
        <v/>
      </c>
      <c r="L2758" s="17" t="str">
        <f aca="false">IF($F2758="","",IF($F2758&lt;1,ROUND($F2758*1440,0),INT($F2758/100)*60+MOD($F2758,100)))</f>
        <v/>
      </c>
    </row>
    <row r="2759" customFormat="false" ht="15" hidden="false" customHeight="true" outlineLevel="0" collapsed="false">
      <c r="A2759" s="10"/>
      <c r="B2759" s="8"/>
      <c r="C2759" s="13" t="str">
        <f aca="false">IF($B2759="","",IFERROR(INDEX(직원목록!$B$3:$B$302,MATCH($B2759,직원목록!$A$3:$A$302,0)),"미등록사번"))</f>
        <v/>
      </c>
      <c r="D2759" s="13" t="str">
        <f aca="false">IF($B2759="","",IFERROR(INDEX(직원목록!$C$3:$C$302,MATCH($B2759,직원목록!$A$3:$A$302,0)),""))</f>
        <v/>
      </c>
      <c r="E2759" s="14"/>
      <c r="F2759" s="14"/>
      <c r="G2759" s="15"/>
      <c r="H2759" s="16" t="str">
        <f aca="false">IF(OR($K2759="",$L2759=""),"",ROUND(MAX(0,($L2759-$K2759)-IF($G2759="",0,$G2759))/60,2))</f>
        <v/>
      </c>
      <c r="I2759" s="8"/>
      <c r="J2759" s="8"/>
      <c r="K2759" s="17" t="str">
        <f aca="false">IF($E2759="","",IF($E2759&lt;1,ROUND($E2759*1440,0),INT($E2759/100)*60+MOD($E2759,100)))</f>
        <v/>
      </c>
      <c r="L2759" s="17" t="str">
        <f aca="false">IF($F2759="","",IF($F2759&lt;1,ROUND($F2759*1440,0),INT($F2759/100)*60+MOD($F2759,100)))</f>
        <v/>
      </c>
    </row>
    <row r="2760" customFormat="false" ht="15" hidden="false" customHeight="true" outlineLevel="0" collapsed="false">
      <c r="A2760" s="10"/>
      <c r="B2760" s="8"/>
      <c r="C2760" s="13" t="str">
        <f aca="false">IF($B2760="","",IFERROR(INDEX(직원목록!$B$3:$B$302,MATCH($B2760,직원목록!$A$3:$A$302,0)),"미등록사번"))</f>
        <v/>
      </c>
      <c r="D2760" s="13" t="str">
        <f aca="false">IF($B2760="","",IFERROR(INDEX(직원목록!$C$3:$C$302,MATCH($B2760,직원목록!$A$3:$A$302,0)),""))</f>
        <v/>
      </c>
      <c r="E2760" s="14"/>
      <c r="F2760" s="14"/>
      <c r="G2760" s="15"/>
      <c r="H2760" s="16" t="str">
        <f aca="false">IF(OR($K2760="",$L2760=""),"",ROUND(MAX(0,($L2760-$K2760)-IF($G2760="",0,$G2760))/60,2))</f>
        <v/>
      </c>
      <c r="I2760" s="8"/>
      <c r="J2760" s="8"/>
      <c r="K2760" s="17" t="str">
        <f aca="false">IF($E2760="","",IF($E2760&lt;1,ROUND($E2760*1440,0),INT($E2760/100)*60+MOD($E2760,100)))</f>
        <v/>
      </c>
      <c r="L2760" s="17" t="str">
        <f aca="false">IF($F2760="","",IF($F2760&lt;1,ROUND($F2760*1440,0),INT($F2760/100)*60+MOD($F2760,100)))</f>
        <v/>
      </c>
    </row>
    <row r="2761" customFormat="false" ht="15" hidden="false" customHeight="true" outlineLevel="0" collapsed="false">
      <c r="A2761" s="10"/>
      <c r="B2761" s="8"/>
      <c r="C2761" s="13" t="str">
        <f aca="false">IF($B2761="","",IFERROR(INDEX(직원목록!$B$3:$B$302,MATCH($B2761,직원목록!$A$3:$A$302,0)),"미등록사번"))</f>
        <v/>
      </c>
      <c r="D2761" s="13" t="str">
        <f aca="false">IF($B2761="","",IFERROR(INDEX(직원목록!$C$3:$C$302,MATCH($B2761,직원목록!$A$3:$A$302,0)),""))</f>
        <v/>
      </c>
      <c r="E2761" s="14"/>
      <c r="F2761" s="14"/>
      <c r="G2761" s="15"/>
      <c r="H2761" s="16" t="str">
        <f aca="false">IF(OR($K2761="",$L2761=""),"",ROUND(MAX(0,($L2761-$K2761)-IF($G2761="",0,$G2761))/60,2))</f>
        <v/>
      </c>
      <c r="I2761" s="8"/>
      <c r="J2761" s="8"/>
      <c r="K2761" s="17" t="str">
        <f aca="false">IF($E2761="","",IF($E2761&lt;1,ROUND($E2761*1440,0),INT($E2761/100)*60+MOD($E2761,100)))</f>
        <v/>
      </c>
      <c r="L2761" s="17" t="str">
        <f aca="false">IF($F2761="","",IF($F2761&lt;1,ROUND($F2761*1440,0),INT($F2761/100)*60+MOD($F2761,100)))</f>
        <v/>
      </c>
    </row>
    <row r="2762" customFormat="false" ht="15" hidden="false" customHeight="true" outlineLevel="0" collapsed="false">
      <c r="A2762" s="10"/>
      <c r="B2762" s="8"/>
      <c r="C2762" s="13" t="str">
        <f aca="false">IF($B2762="","",IFERROR(INDEX(직원목록!$B$3:$B$302,MATCH($B2762,직원목록!$A$3:$A$302,0)),"미등록사번"))</f>
        <v/>
      </c>
      <c r="D2762" s="13" t="str">
        <f aca="false">IF($B2762="","",IFERROR(INDEX(직원목록!$C$3:$C$302,MATCH($B2762,직원목록!$A$3:$A$302,0)),""))</f>
        <v/>
      </c>
      <c r="E2762" s="14"/>
      <c r="F2762" s="14"/>
      <c r="G2762" s="15"/>
      <c r="H2762" s="16" t="str">
        <f aca="false">IF(OR($K2762="",$L2762=""),"",ROUND(MAX(0,($L2762-$K2762)-IF($G2762="",0,$G2762))/60,2))</f>
        <v/>
      </c>
      <c r="I2762" s="8"/>
      <c r="J2762" s="8"/>
      <c r="K2762" s="17" t="str">
        <f aca="false">IF($E2762="","",IF($E2762&lt;1,ROUND($E2762*1440,0),INT($E2762/100)*60+MOD($E2762,100)))</f>
        <v/>
      </c>
      <c r="L2762" s="17" t="str">
        <f aca="false">IF($F2762="","",IF($F2762&lt;1,ROUND($F2762*1440,0),INT($F2762/100)*60+MOD($F2762,100)))</f>
        <v/>
      </c>
    </row>
    <row r="2763" customFormat="false" ht="15" hidden="false" customHeight="true" outlineLevel="0" collapsed="false">
      <c r="A2763" s="10"/>
      <c r="B2763" s="8"/>
      <c r="C2763" s="13" t="str">
        <f aca="false">IF($B2763="","",IFERROR(INDEX(직원목록!$B$3:$B$302,MATCH($B2763,직원목록!$A$3:$A$302,0)),"미등록사번"))</f>
        <v/>
      </c>
      <c r="D2763" s="13" t="str">
        <f aca="false">IF($B2763="","",IFERROR(INDEX(직원목록!$C$3:$C$302,MATCH($B2763,직원목록!$A$3:$A$302,0)),""))</f>
        <v/>
      </c>
      <c r="E2763" s="14"/>
      <c r="F2763" s="14"/>
      <c r="G2763" s="15"/>
      <c r="H2763" s="16" t="str">
        <f aca="false">IF(OR($K2763="",$L2763=""),"",ROUND(MAX(0,($L2763-$K2763)-IF($G2763="",0,$G2763))/60,2))</f>
        <v/>
      </c>
      <c r="I2763" s="8"/>
      <c r="J2763" s="8"/>
      <c r="K2763" s="17" t="str">
        <f aca="false">IF($E2763="","",IF($E2763&lt;1,ROUND($E2763*1440,0),INT($E2763/100)*60+MOD($E2763,100)))</f>
        <v/>
      </c>
      <c r="L2763" s="17" t="str">
        <f aca="false">IF($F2763="","",IF($F2763&lt;1,ROUND($F2763*1440,0),INT($F2763/100)*60+MOD($F2763,100)))</f>
        <v/>
      </c>
    </row>
    <row r="2764" customFormat="false" ht="15" hidden="false" customHeight="true" outlineLevel="0" collapsed="false">
      <c r="A2764" s="10"/>
      <c r="B2764" s="8"/>
      <c r="C2764" s="13" t="str">
        <f aca="false">IF($B2764="","",IFERROR(INDEX(직원목록!$B$3:$B$302,MATCH($B2764,직원목록!$A$3:$A$302,0)),"미등록사번"))</f>
        <v/>
      </c>
      <c r="D2764" s="13" t="str">
        <f aca="false">IF($B2764="","",IFERROR(INDEX(직원목록!$C$3:$C$302,MATCH($B2764,직원목록!$A$3:$A$302,0)),""))</f>
        <v/>
      </c>
      <c r="E2764" s="14"/>
      <c r="F2764" s="14"/>
      <c r="G2764" s="15"/>
      <c r="H2764" s="16" t="str">
        <f aca="false">IF(OR($K2764="",$L2764=""),"",ROUND(MAX(0,($L2764-$K2764)-IF($G2764="",0,$G2764))/60,2))</f>
        <v/>
      </c>
      <c r="I2764" s="8"/>
      <c r="J2764" s="8"/>
      <c r="K2764" s="17" t="str">
        <f aca="false">IF($E2764="","",IF($E2764&lt;1,ROUND($E2764*1440,0),INT($E2764/100)*60+MOD($E2764,100)))</f>
        <v/>
      </c>
      <c r="L2764" s="17" t="str">
        <f aca="false">IF($F2764="","",IF($F2764&lt;1,ROUND($F2764*1440,0),INT($F2764/100)*60+MOD($F2764,100)))</f>
        <v/>
      </c>
    </row>
    <row r="2765" customFormat="false" ht="15" hidden="false" customHeight="true" outlineLevel="0" collapsed="false">
      <c r="A2765" s="10"/>
      <c r="B2765" s="8"/>
      <c r="C2765" s="13" t="str">
        <f aca="false">IF($B2765="","",IFERROR(INDEX(직원목록!$B$3:$B$302,MATCH($B2765,직원목록!$A$3:$A$302,0)),"미등록사번"))</f>
        <v/>
      </c>
      <c r="D2765" s="13" t="str">
        <f aca="false">IF($B2765="","",IFERROR(INDEX(직원목록!$C$3:$C$302,MATCH($B2765,직원목록!$A$3:$A$302,0)),""))</f>
        <v/>
      </c>
      <c r="E2765" s="14"/>
      <c r="F2765" s="14"/>
      <c r="G2765" s="15"/>
      <c r="H2765" s="16" t="str">
        <f aca="false">IF(OR($K2765="",$L2765=""),"",ROUND(MAX(0,($L2765-$K2765)-IF($G2765="",0,$G2765))/60,2))</f>
        <v/>
      </c>
      <c r="I2765" s="8"/>
      <c r="J2765" s="8"/>
      <c r="K2765" s="17" t="str">
        <f aca="false">IF($E2765="","",IF($E2765&lt;1,ROUND($E2765*1440,0),INT($E2765/100)*60+MOD($E2765,100)))</f>
        <v/>
      </c>
      <c r="L2765" s="17" t="str">
        <f aca="false">IF($F2765="","",IF($F2765&lt;1,ROUND($F2765*1440,0),INT($F2765/100)*60+MOD($F2765,100)))</f>
        <v/>
      </c>
    </row>
    <row r="2766" customFormat="false" ht="15" hidden="false" customHeight="true" outlineLevel="0" collapsed="false">
      <c r="A2766" s="10"/>
      <c r="B2766" s="8"/>
      <c r="C2766" s="13" t="str">
        <f aca="false">IF($B2766="","",IFERROR(INDEX(직원목록!$B$3:$B$302,MATCH($B2766,직원목록!$A$3:$A$302,0)),"미등록사번"))</f>
        <v/>
      </c>
      <c r="D2766" s="13" t="str">
        <f aca="false">IF($B2766="","",IFERROR(INDEX(직원목록!$C$3:$C$302,MATCH($B2766,직원목록!$A$3:$A$302,0)),""))</f>
        <v/>
      </c>
      <c r="E2766" s="14"/>
      <c r="F2766" s="14"/>
      <c r="G2766" s="15"/>
      <c r="H2766" s="16" t="str">
        <f aca="false">IF(OR($K2766="",$L2766=""),"",ROUND(MAX(0,($L2766-$K2766)-IF($G2766="",0,$G2766))/60,2))</f>
        <v/>
      </c>
      <c r="I2766" s="8"/>
      <c r="J2766" s="8"/>
      <c r="K2766" s="17" t="str">
        <f aca="false">IF($E2766="","",IF($E2766&lt;1,ROUND($E2766*1440,0),INT($E2766/100)*60+MOD($E2766,100)))</f>
        <v/>
      </c>
      <c r="L2766" s="17" t="str">
        <f aca="false">IF($F2766="","",IF($F2766&lt;1,ROUND($F2766*1440,0),INT($F2766/100)*60+MOD($F2766,100)))</f>
        <v/>
      </c>
    </row>
    <row r="2767" customFormat="false" ht="15" hidden="false" customHeight="true" outlineLevel="0" collapsed="false">
      <c r="A2767" s="10"/>
      <c r="B2767" s="8"/>
      <c r="C2767" s="13" t="str">
        <f aca="false">IF($B2767="","",IFERROR(INDEX(직원목록!$B$3:$B$302,MATCH($B2767,직원목록!$A$3:$A$302,0)),"미등록사번"))</f>
        <v/>
      </c>
      <c r="D2767" s="13" t="str">
        <f aca="false">IF($B2767="","",IFERROR(INDEX(직원목록!$C$3:$C$302,MATCH($B2767,직원목록!$A$3:$A$302,0)),""))</f>
        <v/>
      </c>
      <c r="E2767" s="14"/>
      <c r="F2767" s="14"/>
      <c r="G2767" s="15"/>
      <c r="H2767" s="16" t="str">
        <f aca="false">IF(OR($K2767="",$L2767=""),"",ROUND(MAX(0,($L2767-$K2767)-IF($G2767="",0,$G2767))/60,2))</f>
        <v/>
      </c>
      <c r="I2767" s="8"/>
      <c r="J2767" s="8"/>
      <c r="K2767" s="17" t="str">
        <f aca="false">IF($E2767="","",IF($E2767&lt;1,ROUND($E2767*1440,0),INT($E2767/100)*60+MOD($E2767,100)))</f>
        <v/>
      </c>
      <c r="L2767" s="17" t="str">
        <f aca="false">IF($F2767="","",IF($F2767&lt;1,ROUND($F2767*1440,0),INT($F2767/100)*60+MOD($F2767,100)))</f>
        <v/>
      </c>
    </row>
    <row r="2768" customFormat="false" ht="15" hidden="false" customHeight="true" outlineLevel="0" collapsed="false">
      <c r="A2768" s="10"/>
      <c r="B2768" s="8"/>
      <c r="C2768" s="13" t="str">
        <f aca="false">IF($B2768="","",IFERROR(INDEX(직원목록!$B$3:$B$302,MATCH($B2768,직원목록!$A$3:$A$302,0)),"미등록사번"))</f>
        <v/>
      </c>
      <c r="D2768" s="13" t="str">
        <f aca="false">IF($B2768="","",IFERROR(INDEX(직원목록!$C$3:$C$302,MATCH($B2768,직원목록!$A$3:$A$302,0)),""))</f>
        <v/>
      </c>
      <c r="E2768" s="14"/>
      <c r="F2768" s="14"/>
      <c r="G2768" s="15"/>
      <c r="H2768" s="16" t="str">
        <f aca="false">IF(OR($K2768="",$L2768=""),"",ROUND(MAX(0,($L2768-$K2768)-IF($G2768="",0,$G2768))/60,2))</f>
        <v/>
      </c>
      <c r="I2768" s="8"/>
      <c r="J2768" s="8"/>
      <c r="K2768" s="17" t="str">
        <f aca="false">IF($E2768="","",IF($E2768&lt;1,ROUND($E2768*1440,0),INT($E2768/100)*60+MOD($E2768,100)))</f>
        <v/>
      </c>
      <c r="L2768" s="17" t="str">
        <f aca="false">IF($F2768="","",IF($F2768&lt;1,ROUND($F2768*1440,0),INT($F2768/100)*60+MOD($F2768,100)))</f>
        <v/>
      </c>
    </row>
    <row r="2769" customFormat="false" ht="15" hidden="false" customHeight="true" outlineLevel="0" collapsed="false">
      <c r="A2769" s="10"/>
      <c r="B2769" s="8"/>
      <c r="C2769" s="13" t="str">
        <f aca="false">IF($B2769="","",IFERROR(INDEX(직원목록!$B$3:$B$302,MATCH($B2769,직원목록!$A$3:$A$302,0)),"미등록사번"))</f>
        <v/>
      </c>
      <c r="D2769" s="13" t="str">
        <f aca="false">IF($B2769="","",IFERROR(INDEX(직원목록!$C$3:$C$302,MATCH($B2769,직원목록!$A$3:$A$302,0)),""))</f>
        <v/>
      </c>
      <c r="E2769" s="14"/>
      <c r="F2769" s="14"/>
      <c r="G2769" s="15"/>
      <c r="H2769" s="16" t="str">
        <f aca="false">IF(OR($K2769="",$L2769=""),"",ROUND(MAX(0,($L2769-$K2769)-IF($G2769="",0,$G2769))/60,2))</f>
        <v/>
      </c>
      <c r="I2769" s="8"/>
      <c r="J2769" s="8"/>
      <c r="K2769" s="17" t="str">
        <f aca="false">IF($E2769="","",IF($E2769&lt;1,ROUND($E2769*1440,0),INT($E2769/100)*60+MOD($E2769,100)))</f>
        <v/>
      </c>
      <c r="L2769" s="17" t="str">
        <f aca="false">IF($F2769="","",IF($F2769&lt;1,ROUND($F2769*1440,0),INT($F2769/100)*60+MOD($F2769,100)))</f>
        <v/>
      </c>
    </row>
    <row r="2770" customFormat="false" ht="15" hidden="false" customHeight="true" outlineLevel="0" collapsed="false">
      <c r="A2770" s="10"/>
      <c r="B2770" s="8"/>
      <c r="C2770" s="13" t="str">
        <f aca="false">IF($B2770="","",IFERROR(INDEX(직원목록!$B$3:$B$302,MATCH($B2770,직원목록!$A$3:$A$302,0)),"미등록사번"))</f>
        <v/>
      </c>
      <c r="D2770" s="13" t="str">
        <f aca="false">IF($B2770="","",IFERROR(INDEX(직원목록!$C$3:$C$302,MATCH($B2770,직원목록!$A$3:$A$302,0)),""))</f>
        <v/>
      </c>
      <c r="E2770" s="14"/>
      <c r="F2770" s="14"/>
      <c r="G2770" s="15"/>
      <c r="H2770" s="16" t="str">
        <f aca="false">IF(OR($K2770="",$L2770=""),"",ROUND(MAX(0,($L2770-$K2770)-IF($G2770="",0,$G2770))/60,2))</f>
        <v/>
      </c>
      <c r="I2770" s="8"/>
      <c r="J2770" s="8"/>
      <c r="K2770" s="17" t="str">
        <f aca="false">IF($E2770="","",IF($E2770&lt;1,ROUND($E2770*1440,0),INT($E2770/100)*60+MOD($E2770,100)))</f>
        <v/>
      </c>
      <c r="L2770" s="17" t="str">
        <f aca="false">IF($F2770="","",IF($F2770&lt;1,ROUND($F2770*1440,0),INT($F2770/100)*60+MOD($F2770,100)))</f>
        <v/>
      </c>
    </row>
    <row r="2771" customFormat="false" ht="15" hidden="false" customHeight="true" outlineLevel="0" collapsed="false">
      <c r="A2771" s="10"/>
      <c r="B2771" s="8"/>
      <c r="C2771" s="13" t="str">
        <f aca="false">IF($B2771="","",IFERROR(INDEX(직원목록!$B$3:$B$302,MATCH($B2771,직원목록!$A$3:$A$302,0)),"미등록사번"))</f>
        <v/>
      </c>
      <c r="D2771" s="13" t="str">
        <f aca="false">IF($B2771="","",IFERROR(INDEX(직원목록!$C$3:$C$302,MATCH($B2771,직원목록!$A$3:$A$302,0)),""))</f>
        <v/>
      </c>
      <c r="E2771" s="14"/>
      <c r="F2771" s="14"/>
      <c r="G2771" s="15"/>
      <c r="H2771" s="16" t="str">
        <f aca="false">IF(OR($K2771="",$L2771=""),"",ROUND(MAX(0,($L2771-$K2771)-IF($G2771="",0,$G2771))/60,2))</f>
        <v/>
      </c>
      <c r="I2771" s="8"/>
      <c r="J2771" s="8"/>
      <c r="K2771" s="17" t="str">
        <f aca="false">IF($E2771="","",IF($E2771&lt;1,ROUND($E2771*1440,0),INT($E2771/100)*60+MOD($E2771,100)))</f>
        <v/>
      </c>
      <c r="L2771" s="17" t="str">
        <f aca="false">IF($F2771="","",IF($F2771&lt;1,ROUND($F2771*1440,0),INT($F2771/100)*60+MOD($F2771,100)))</f>
        <v/>
      </c>
    </row>
    <row r="2772" customFormat="false" ht="15" hidden="false" customHeight="true" outlineLevel="0" collapsed="false">
      <c r="A2772" s="10"/>
      <c r="B2772" s="8"/>
      <c r="C2772" s="13" t="str">
        <f aca="false">IF($B2772="","",IFERROR(INDEX(직원목록!$B$3:$B$302,MATCH($B2772,직원목록!$A$3:$A$302,0)),"미등록사번"))</f>
        <v/>
      </c>
      <c r="D2772" s="13" t="str">
        <f aca="false">IF($B2772="","",IFERROR(INDEX(직원목록!$C$3:$C$302,MATCH($B2772,직원목록!$A$3:$A$302,0)),""))</f>
        <v/>
      </c>
      <c r="E2772" s="14"/>
      <c r="F2772" s="14"/>
      <c r="G2772" s="15"/>
      <c r="H2772" s="16" t="str">
        <f aca="false">IF(OR($K2772="",$L2772=""),"",ROUND(MAX(0,($L2772-$K2772)-IF($G2772="",0,$G2772))/60,2))</f>
        <v/>
      </c>
      <c r="I2772" s="8"/>
      <c r="J2772" s="8"/>
      <c r="K2772" s="17" t="str">
        <f aca="false">IF($E2772="","",IF($E2772&lt;1,ROUND($E2772*1440,0),INT($E2772/100)*60+MOD($E2772,100)))</f>
        <v/>
      </c>
      <c r="L2772" s="17" t="str">
        <f aca="false">IF($F2772="","",IF($F2772&lt;1,ROUND($F2772*1440,0),INT($F2772/100)*60+MOD($F2772,100)))</f>
        <v/>
      </c>
    </row>
    <row r="2773" customFormat="false" ht="15" hidden="false" customHeight="true" outlineLevel="0" collapsed="false">
      <c r="A2773" s="10"/>
      <c r="B2773" s="8"/>
      <c r="C2773" s="13" t="str">
        <f aca="false">IF($B2773="","",IFERROR(INDEX(직원목록!$B$3:$B$302,MATCH($B2773,직원목록!$A$3:$A$302,0)),"미등록사번"))</f>
        <v/>
      </c>
      <c r="D2773" s="13" t="str">
        <f aca="false">IF($B2773="","",IFERROR(INDEX(직원목록!$C$3:$C$302,MATCH($B2773,직원목록!$A$3:$A$302,0)),""))</f>
        <v/>
      </c>
      <c r="E2773" s="14"/>
      <c r="F2773" s="14"/>
      <c r="G2773" s="15"/>
      <c r="H2773" s="16" t="str">
        <f aca="false">IF(OR($K2773="",$L2773=""),"",ROUND(MAX(0,($L2773-$K2773)-IF($G2773="",0,$G2773))/60,2))</f>
        <v/>
      </c>
      <c r="I2773" s="8"/>
      <c r="J2773" s="8"/>
      <c r="K2773" s="17" t="str">
        <f aca="false">IF($E2773="","",IF($E2773&lt;1,ROUND($E2773*1440,0),INT($E2773/100)*60+MOD($E2773,100)))</f>
        <v/>
      </c>
      <c r="L2773" s="17" t="str">
        <f aca="false">IF($F2773="","",IF($F2773&lt;1,ROUND($F2773*1440,0),INT($F2773/100)*60+MOD($F2773,100)))</f>
        <v/>
      </c>
    </row>
    <row r="2774" customFormat="false" ht="15" hidden="false" customHeight="true" outlineLevel="0" collapsed="false">
      <c r="A2774" s="10"/>
      <c r="B2774" s="8"/>
      <c r="C2774" s="13" t="str">
        <f aca="false">IF($B2774="","",IFERROR(INDEX(직원목록!$B$3:$B$302,MATCH($B2774,직원목록!$A$3:$A$302,0)),"미등록사번"))</f>
        <v/>
      </c>
      <c r="D2774" s="13" t="str">
        <f aca="false">IF($B2774="","",IFERROR(INDEX(직원목록!$C$3:$C$302,MATCH($B2774,직원목록!$A$3:$A$302,0)),""))</f>
        <v/>
      </c>
      <c r="E2774" s="14"/>
      <c r="F2774" s="14"/>
      <c r="G2774" s="15"/>
      <c r="H2774" s="16" t="str">
        <f aca="false">IF(OR($K2774="",$L2774=""),"",ROUND(MAX(0,($L2774-$K2774)-IF($G2774="",0,$G2774))/60,2))</f>
        <v/>
      </c>
      <c r="I2774" s="8"/>
      <c r="J2774" s="8"/>
      <c r="K2774" s="17" t="str">
        <f aca="false">IF($E2774="","",IF($E2774&lt;1,ROUND($E2774*1440,0),INT($E2774/100)*60+MOD($E2774,100)))</f>
        <v/>
      </c>
      <c r="L2774" s="17" t="str">
        <f aca="false">IF($F2774="","",IF($F2774&lt;1,ROUND($F2774*1440,0),INT($F2774/100)*60+MOD($F2774,100)))</f>
        <v/>
      </c>
    </row>
    <row r="2775" customFormat="false" ht="15" hidden="false" customHeight="true" outlineLevel="0" collapsed="false">
      <c r="A2775" s="10"/>
      <c r="B2775" s="8"/>
      <c r="C2775" s="13" t="str">
        <f aca="false">IF($B2775="","",IFERROR(INDEX(직원목록!$B$3:$B$302,MATCH($B2775,직원목록!$A$3:$A$302,0)),"미등록사번"))</f>
        <v/>
      </c>
      <c r="D2775" s="13" t="str">
        <f aca="false">IF($B2775="","",IFERROR(INDEX(직원목록!$C$3:$C$302,MATCH($B2775,직원목록!$A$3:$A$302,0)),""))</f>
        <v/>
      </c>
      <c r="E2775" s="14"/>
      <c r="F2775" s="14"/>
      <c r="G2775" s="15"/>
      <c r="H2775" s="16" t="str">
        <f aca="false">IF(OR($K2775="",$L2775=""),"",ROUND(MAX(0,($L2775-$K2775)-IF($G2775="",0,$G2775))/60,2))</f>
        <v/>
      </c>
      <c r="I2775" s="8"/>
      <c r="J2775" s="8"/>
      <c r="K2775" s="17" t="str">
        <f aca="false">IF($E2775="","",IF($E2775&lt;1,ROUND($E2775*1440,0),INT($E2775/100)*60+MOD($E2775,100)))</f>
        <v/>
      </c>
      <c r="L2775" s="17" t="str">
        <f aca="false">IF($F2775="","",IF($F2775&lt;1,ROUND($F2775*1440,0),INT($F2775/100)*60+MOD($F2775,100)))</f>
        <v/>
      </c>
    </row>
    <row r="2776" customFormat="false" ht="15" hidden="false" customHeight="true" outlineLevel="0" collapsed="false">
      <c r="A2776" s="10"/>
      <c r="B2776" s="8"/>
      <c r="C2776" s="13" t="str">
        <f aca="false">IF($B2776="","",IFERROR(INDEX(직원목록!$B$3:$B$302,MATCH($B2776,직원목록!$A$3:$A$302,0)),"미등록사번"))</f>
        <v/>
      </c>
      <c r="D2776" s="13" t="str">
        <f aca="false">IF($B2776="","",IFERROR(INDEX(직원목록!$C$3:$C$302,MATCH($B2776,직원목록!$A$3:$A$302,0)),""))</f>
        <v/>
      </c>
      <c r="E2776" s="14"/>
      <c r="F2776" s="14"/>
      <c r="G2776" s="15"/>
      <c r="H2776" s="16" t="str">
        <f aca="false">IF(OR($K2776="",$L2776=""),"",ROUND(MAX(0,($L2776-$K2776)-IF($G2776="",0,$G2776))/60,2))</f>
        <v/>
      </c>
      <c r="I2776" s="8"/>
      <c r="J2776" s="8"/>
      <c r="K2776" s="17" t="str">
        <f aca="false">IF($E2776="","",IF($E2776&lt;1,ROUND($E2776*1440,0),INT($E2776/100)*60+MOD($E2776,100)))</f>
        <v/>
      </c>
      <c r="L2776" s="17" t="str">
        <f aca="false">IF($F2776="","",IF($F2776&lt;1,ROUND($F2776*1440,0),INT($F2776/100)*60+MOD($F2776,100)))</f>
        <v/>
      </c>
    </row>
    <row r="2777" customFormat="false" ht="15" hidden="false" customHeight="true" outlineLevel="0" collapsed="false">
      <c r="A2777" s="10"/>
      <c r="B2777" s="8"/>
      <c r="C2777" s="13" t="str">
        <f aca="false">IF($B2777="","",IFERROR(INDEX(직원목록!$B$3:$B$302,MATCH($B2777,직원목록!$A$3:$A$302,0)),"미등록사번"))</f>
        <v/>
      </c>
      <c r="D2777" s="13" t="str">
        <f aca="false">IF($B2777="","",IFERROR(INDEX(직원목록!$C$3:$C$302,MATCH($B2777,직원목록!$A$3:$A$302,0)),""))</f>
        <v/>
      </c>
      <c r="E2777" s="14"/>
      <c r="F2777" s="14"/>
      <c r="G2777" s="15"/>
      <c r="H2777" s="16" t="str">
        <f aca="false">IF(OR($K2777="",$L2777=""),"",ROUND(MAX(0,($L2777-$K2777)-IF($G2777="",0,$G2777))/60,2))</f>
        <v/>
      </c>
      <c r="I2777" s="8"/>
      <c r="J2777" s="8"/>
      <c r="K2777" s="17" t="str">
        <f aca="false">IF($E2777="","",IF($E2777&lt;1,ROUND($E2777*1440,0),INT($E2777/100)*60+MOD($E2777,100)))</f>
        <v/>
      </c>
      <c r="L2777" s="17" t="str">
        <f aca="false">IF($F2777="","",IF($F2777&lt;1,ROUND($F2777*1440,0),INT($F2777/100)*60+MOD($F2777,100)))</f>
        <v/>
      </c>
    </row>
    <row r="2778" customFormat="false" ht="15" hidden="false" customHeight="true" outlineLevel="0" collapsed="false">
      <c r="A2778" s="10"/>
      <c r="B2778" s="8"/>
      <c r="C2778" s="13" t="str">
        <f aca="false">IF($B2778="","",IFERROR(INDEX(직원목록!$B$3:$B$302,MATCH($B2778,직원목록!$A$3:$A$302,0)),"미등록사번"))</f>
        <v/>
      </c>
      <c r="D2778" s="13" t="str">
        <f aca="false">IF($B2778="","",IFERROR(INDEX(직원목록!$C$3:$C$302,MATCH($B2778,직원목록!$A$3:$A$302,0)),""))</f>
        <v/>
      </c>
      <c r="E2778" s="14"/>
      <c r="F2778" s="14"/>
      <c r="G2778" s="15"/>
      <c r="H2778" s="16" t="str">
        <f aca="false">IF(OR($K2778="",$L2778=""),"",ROUND(MAX(0,($L2778-$K2778)-IF($G2778="",0,$G2778))/60,2))</f>
        <v/>
      </c>
      <c r="I2778" s="8"/>
      <c r="J2778" s="8"/>
      <c r="K2778" s="17" t="str">
        <f aca="false">IF($E2778="","",IF($E2778&lt;1,ROUND($E2778*1440,0),INT($E2778/100)*60+MOD($E2778,100)))</f>
        <v/>
      </c>
      <c r="L2778" s="17" t="str">
        <f aca="false">IF($F2778="","",IF($F2778&lt;1,ROUND($F2778*1440,0),INT($F2778/100)*60+MOD($F2778,100)))</f>
        <v/>
      </c>
    </row>
    <row r="2779" customFormat="false" ht="15" hidden="false" customHeight="true" outlineLevel="0" collapsed="false">
      <c r="A2779" s="10"/>
      <c r="B2779" s="8"/>
      <c r="C2779" s="13" t="str">
        <f aca="false">IF($B2779="","",IFERROR(INDEX(직원목록!$B$3:$B$302,MATCH($B2779,직원목록!$A$3:$A$302,0)),"미등록사번"))</f>
        <v/>
      </c>
      <c r="D2779" s="13" t="str">
        <f aca="false">IF($B2779="","",IFERROR(INDEX(직원목록!$C$3:$C$302,MATCH($B2779,직원목록!$A$3:$A$302,0)),""))</f>
        <v/>
      </c>
      <c r="E2779" s="14"/>
      <c r="F2779" s="14"/>
      <c r="G2779" s="15"/>
      <c r="H2779" s="16" t="str">
        <f aca="false">IF(OR($K2779="",$L2779=""),"",ROUND(MAX(0,($L2779-$K2779)-IF($G2779="",0,$G2779))/60,2))</f>
        <v/>
      </c>
      <c r="I2779" s="8"/>
      <c r="J2779" s="8"/>
      <c r="K2779" s="17" t="str">
        <f aca="false">IF($E2779="","",IF($E2779&lt;1,ROUND($E2779*1440,0),INT($E2779/100)*60+MOD($E2779,100)))</f>
        <v/>
      </c>
      <c r="L2779" s="17" t="str">
        <f aca="false">IF($F2779="","",IF($F2779&lt;1,ROUND($F2779*1440,0),INT($F2779/100)*60+MOD($F2779,100)))</f>
        <v/>
      </c>
    </row>
    <row r="2780" customFormat="false" ht="15" hidden="false" customHeight="true" outlineLevel="0" collapsed="false">
      <c r="A2780" s="10"/>
      <c r="B2780" s="8"/>
      <c r="C2780" s="13" t="str">
        <f aca="false">IF($B2780="","",IFERROR(INDEX(직원목록!$B$3:$B$302,MATCH($B2780,직원목록!$A$3:$A$302,0)),"미등록사번"))</f>
        <v/>
      </c>
      <c r="D2780" s="13" t="str">
        <f aca="false">IF($B2780="","",IFERROR(INDEX(직원목록!$C$3:$C$302,MATCH($B2780,직원목록!$A$3:$A$302,0)),""))</f>
        <v/>
      </c>
      <c r="E2780" s="14"/>
      <c r="F2780" s="14"/>
      <c r="G2780" s="15"/>
      <c r="H2780" s="16" t="str">
        <f aca="false">IF(OR($K2780="",$L2780=""),"",ROUND(MAX(0,($L2780-$K2780)-IF($G2780="",0,$G2780))/60,2))</f>
        <v/>
      </c>
      <c r="I2780" s="8"/>
      <c r="J2780" s="8"/>
      <c r="K2780" s="17" t="str">
        <f aca="false">IF($E2780="","",IF($E2780&lt;1,ROUND($E2780*1440,0),INT($E2780/100)*60+MOD($E2780,100)))</f>
        <v/>
      </c>
      <c r="L2780" s="17" t="str">
        <f aca="false">IF($F2780="","",IF($F2780&lt;1,ROUND($F2780*1440,0),INT($F2780/100)*60+MOD($F2780,100)))</f>
        <v/>
      </c>
    </row>
    <row r="2781" customFormat="false" ht="15" hidden="false" customHeight="true" outlineLevel="0" collapsed="false">
      <c r="A2781" s="10"/>
      <c r="B2781" s="8"/>
      <c r="C2781" s="13" t="str">
        <f aca="false">IF($B2781="","",IFERROR(INDEX(직원목록!$B$3:$B$302,MATCH($B2781,직원목록!$A$3:$A$302,0)),"미등록사번"))</f>
        <v/>
      </c>
      <c r="D2781" s="13" t="str">
        <f aca="false">IF($B2781="","",IFERROR(INDEX(직원목록!$C$3:$C$302,MATCH($B2781,직원목록!$A$3:$A$302,0)),""))</f>
        <v/>
      </c>
      <c r="E2781" s="14"/>
      <c r="F2781" s="14"/>
      <c r="G2781" s="15"/>
      <c r="H2781" s="16" t="str">
        <f aca="false">IF(OR($K2781="",$L2781=""),"",ROUND(MAX(0,($L2781-$K2781)-IF($G2781="",0,$G2781))/60,2))</f>
        <v/>
      </c>
      <c r="I2781" s="8"/>
      <c r="J2781" s="8"/>
      <c r="K2781" s="17" t="str">
        <f aca="false">IF($E2781="","",IF($E2781&lt;1,ROUND($E2781*1440,0),INT($E2781/100)*60+MOD($E2781,100)))</f>
        <v/>
      </c>
      <c r="L2781" s="17" t="str">
        <f aca="false">IF($F2781="","",IF($F2781&lt;1,ROUND($F2781*1440,0),INT($F2781/100)*60+MOD($F2781,100)))</f>
        <v/>
      </c>
    </row>
    <row r="2782" customFormat="false" ht="15" hidden="false" customHeight="true" outlineLevel="0" collapsed="false">
      <c r="A2782" s="10"/>
      <c r="B2782" s="8"/>
      <c r="C2782" s="13" t="str">
        <f aca="false">IF($B2782="","",IFERROR(INDEX(직원목록!$B$3:$B$302,MATCH($B2782,직원목록!$A$3:$A$302,0)),"미등록사번"))</f>
        <v/>
      </c>
      <c r="D2782" s="13" t="str">
        <f aca="false">IF($B2782="","",IFERROR(INDEX(직원목록!$C$3:$C$302,MATCH($B2782,직원목록!$A$3:$A$302,0)),""))</f>
        <v/>
      </c>
      <c r="E2782" s="14"/>
      <c r="F2782" s="14"/>
      <c r="G2782" s="15"/>
      <c r="H2782" s="16" t="str">
        <f aca="false">IF(OR($K2782="",$L2782=""),"",ROUND(MAX(0,($L2782-$K2782)-IF($G2782="",0,$G2782))/60,2))</f>
        <v/>
      </c>
      <c r="I2782" s="8"/>
      <c r="J2782" s="8"/>
      <c r="K2782" s="17" t="str">
        <f aca="false">IF($E2782="","",IF($E2782&lt;1,ROUND($E2782*1440,0),INT($E2782/100)*60+MOD($E2782,100)))</f>
        <v/>
      </c>
      <c r="L2782" s="17" t="str">
        <f aca="false">IF($F2782="","",IF($F2782&lt;1,ROUND($F2782*1440,0),INT($F2782/100)*60+MOD($F2782,100)))</f>
        <v/>
      </c>
    </row>
    <row r="2783" customFormat="false" ht="15" hidden="false" customHeight="true" outlineLevel="0" collapsed="false">
      <c r="A2783" s="10"/>
      <c r="B2783" s="8"/>
      <c r="C2783" s="13" t="str">
        <f aca="false">IF($B2783="","",IFERROR(INDEX(직원목록!$B$3:$B$302,MATCH($B2783,직원목록!$A$3:$A$302,0)),"미등록사번"))</f>
        <v/>
      </c>
      <c r="D2783" s="13" t="str">
        <f aca="false">IF($B2783="","",IFERROR(INDEX(직원목록!$C$3:$C$302,MATCH($B2783,직원목록!$A$3:$A$302,0)),""))</f>
        <v/>
      </c>
      <c r="E2783" s="14"/>
      <c r="F2783" s="14"/>
      <c r="G2783" s="15"/>
      <c r="H2783" s="16" t="str">
        <f aca="false">IF(OR($K2783="",$L2783=""),"",ROUND(MAX(0,($L2783-$K2783)-IF($G2783="",0,$G2783))/60,2))</f>
        <v/>
      </c>
      <c r="I2783" s="8"/>
      <c r="J2783" s="8"/>
      <c r="K2783" s="17" t="str">
        <f aca="false">IF($E2783="","",IF($E2783&lt;1,ROUND($E2783*1440,0),INT($E2783/100)*60+MOD($E2783,100)))</f>
        <v/>
      </c>
      <c r="L2783" s="17" t="str">
        <f aca="false">IF($F2783="","",IF($F2783&lt;1,ROUND($F2783*1440,0),INT($F2783/100)*60+MOD($F2783,100)))</f>
        <v/>
      </c>
    </row>
    <row r="2784" customFormat="false" ht="15" hidden="false" customHeight="true" outlineLevel="0" collapsed="false">
      <c r="A2784" s="10"/>
      <c r="B2784" s="8"/>
      <c r="C2784" s="13" t="str">
        <f aca="false">IF($B2784="","",IFERROR(INDEX(직원목록!$B$3:$B$302,MATCH($B2784,직원목록!$A$3:$A$302,0)),"미등록사번"))</f>
        <v/>
      </c>
      <c r="D2784" s="13" t="str">
        <f aca="false">IF($B2784="","",IFERROR(INDEX(직원목록!$C$3:$C$302,MATCH($B2784,직원목록!$A$3:$A$302,0)),""))</f>
        <v/>
      </c>
      <c r="E2784" s="14"/>
      <c r="F2784" s="14"/>
      <c r="G2784" s="15"/>
      <c r="H2784" s="16" t="str">
        <f aca="false">IF(OR($K2784="",$L2784=""),"",ROUND(MAX(0,($L2784-$K2784)-IF($G2784="",0,$G2784))/60,2))</f>
        <v/>
      </c>
      <c r="I2784" s="8"/>
      <c r="J2784" s="8"/>
      <c r="K2784" s="17" t="str">
        <f aca="false">IF($E2784="","",IF($E2784&lt;1,ROUND($E2784*1440,0),INT($E2784/100)*60+MOD($E2784,100)))</f>
        <v/>
      </c>
      <c r="L2784" s="17" t="str">
        <f aca="false">IF($F2784="","",IF($F2784&lt;1,ROUND($F2784*1440,0),INT($F2784/100)*60+MOD($F2784,100)))</f>
        <v/>
      </c>
    </row>
    <row r="2785" customFormat="false" ht="15" hidden="false" customHeight="true" outlineLevel="0" collapsed="false">
      <c r="A2785" s="10"/>
      <c r="B2785" s="8"/>
      <c r="C2785" s="13" t="str">
        <f aca="false">IF($B2785="","",IFERROR(INDEX(직원목록!$B$3:$B$302,MATCH($B2785,직원목록!$A$3:$A$302,0)),"미등록사번"))</f>
        <v/>
      </c>
      <c r="D2785" s="13" t="str">
        <f aca="false">IF($B2785="","",IFERROR(INDEX(직원목록!$C$3:$C$302,MATCH($B2785,직원목록!$A$3:$A$302,0)),""))</f>
        <v/>
      </c>
      <c r="E2785" s="14"/>
      <c r="F2785" s="14"/>
      <c r="G2785" s="15"/>
      <c r="H2785" s="16" t="str">
        <f aca="false">IF(OR($K2785="",$L2785=""),"",ROUND(MAX(0,($L2785-$K2785)-IF($G2785="",0,$G2785))/60,2))</f>
        <v/>
      </c>
      <c r="I2785" s="8"/>
      <c r="J2785" s="8"/>
      <c r="K2785" s="17" t="str">
        <f aca="false">IF($E2785="","",IF($E2785&lt;1,ROUND($E2785*1440,0),INT($E2785/100)*60+MOD($E2785,100)))</f>
        <v/>
      </c>
      <c r="L2785" s="17" t="str">
        <f aca="false">IF($F2785="","",IF($F2785&lt;1,ROUND($F2785*1440,0),INT($F2785/100)*60+MOD($F2785,100)))</f>
        <v/>
      </c>
    </row>
    <row r="2786" customFormat="false" ht="15" hidden="false" customHeight="true" outlineLevel="0" collapsed="false">
      <c r="A2786" s="10"/>
      <c r="B2786" s="8"/>
      <c r="C2786" s="13" t="str">
        <f aca="false">IF($B2786="","",IFERROR(INDEX(직원목록!$B$3:$B$302,MATCH($B2786,직원목록!$A$3:$A$302,0)),"미등록사번"))</f>
        <v/>
      </c>
      <c r="D2786" s="13" t="str">
        <f aca="false">IF($B2786="","",IFERROR(INDEX(직원목록!$C$3:$C$302,MATCH($B2786,직원목록!$A$3:$A$302,0)),""))</f>
        <v/>
      </c>
      <c r="E2786" s="14"/>
      <c r="F2786" s="14"/>
      <c r="G2786" s="15"/>
      <c r="H2786" s="16" t="str">
        <f aca="false">IF(OR($K2786="",$L2786=""),"",ROUND(MAX(0,($L2786-$K2786)-IF($G2786="",0,$G2786))/60,2))</f>
        <v/>
      </c>
      <c r="I2786" s="8"/>
      <c r="J2786" s="8"/>
      <c r="K2786" s="17" t="str">
        <f aca="false">IF($E2786="","",IF($E2786&lt;1,ROUND($E2786*1440,0),INT($E2786/100)*60+MOD($E2786,100)))</f>
        <v/>
      </c>
      <c r="L2786" s="17" t="str">
        <f aca="false">IF($F2786="","",IF($F2786&lt;1,ROUND($F2786*1440,0),INT($F2786/100)*60+MOD($F2786,100)))</f>
        <v/>
      </c>
    </row>
    <row r="2787" customFormat="false" ht="15" hidden="false" customHeight="true" outlineLevel="0" collapsed="false">
      <c r="A2787" s="10"/>
      <c r="B2787" s="8"/>
      <c r="C2787" s="13" t="str">
        <f aca="false">IF($B2787="","",IFERROR(INDEX(직원목록!$B$3:$B$302,MATCH($B2787,직원목록!$A$3:$A$302,0)),"미등록사번"))</f>
        <v/>
      </c>
      <c r="D2787" s="13" t="str">
        <f aca="false">IF($B2787="","",IFERROR(INDEX(직원목록!$C$3:$C$302,MATCH($B2787,직원목록!$A$3:$A$302,0)),""))</f>
        <v/>
      </c>
      <c r="E2787" s="14"/>
      <c r="F2787" s="14"/>
      <c r="G2787" s="15"/>
      <c r="H2787" s="16" t="str">
        <f aca="false">IF(OR($K2787="",$L2787=""),"",ROUND(MAX(0,($L2787-$K2787)-IF($G2787="",0,$G2787))/60,2))</f>
        <v/>
      </c>
      <c r="I2787" s="8"/>
      <c r="J2787" s="8"/>
      <c r="K2787" s="17" t="str">
        <f aca="false">IF($E2787="","",IF($E2787&lt;1,ROUND($E2787*1440,0),INT($E2787/100)*60+MOD($E2787,100)))</f>
        <v/>
      </c>
      <c r="L2787" s="17" t="str">
        <f aca="false">IF($F2787="","",IF($F2787&lt;1,ROUND($F2787*1440,0),INT($F2787/100)*60+MOD($F2787,100)))</f>
        <v/>
      </c>
    </row>
    <row r="2788" customFormat="false" ht="15" hidden="false" customHeight="true" outlineLevel="0" collapsed="false">
      <c r="A2788" s="10"/>
      <c r="B2788" s="8"/>
      <c r="C2788" s="13" t="str">
        <f aca="false">IF($B2788="","",IFERROR(INDEX(직원목록!$B$3:$B$302,MATCH($B2788,직원목록!$A$3:$A$302,0)),"미등록사번"))</f>
        <v/>
      </c>
      <c r="D2788" s="13" t="str">
        <f aca="false">IF($B2788="","",IFERROR(INDEX(직원목록!$C$3:$C$302,MATCH($B2788,직원목록!$A$3:$A$302,0)),""))</f>
        <v/>
      </c>
      <c r="E2788" s="14"/>
      <c r="F2788" s="14"/>
      <c r="G2788" s="15"/>
      <c r="H2788" s="16" t="str">
        <f aca="false">IF(OR($K2788="",$L2788=""),"",ROUND(MAX(0,($L2788-$K2788)-IF($G2788="",0,$G2788))/60,2))</f>
        <v/>
      </c>
      <c r="I2788" s="8"/>
      <c r="J2788" s="8"/>
      <c r="K2788" s="17" t="str">
        <f aca="false">IF($E2788="","",IF($E2788&lt;1,ROUND($E2788*1440,0),INT($E2788/100)*60+MOD($E2788,100)))</f>
        <v/>
      </c>
      <c r="L2788" s="17" t="str">
        <f aca="false">IF($F2788="","",IF($F2788&lt;1,ROUND($F2788*1440,0),INT($F2788/100)*60+MOD($F2788,100)))</f>
        <v/>
      </c>
    </row>
    <row r="2789" customFormat="false" ht="15" hidden="false" customHeight="true" outlineLevel="0" collapsed="false">
      <c r="A2789" s="10"/>
      <c r="B2789" s="8"/>
      <c r="C2789" s="13" t="str">
        <f aca="false">IF($B2789="","",IFERROR(INDEX(직원목록!$B$3:$B$302,MATCH($B2789,직원목록!$A$3:$A$302,0)),"미등록사번"))</f>
        <v/>
      </c>
      <c r="D2789" s="13" t="str">
        <f aca="false">IF($B2789="","",IFERROR(INDEX(직원목록!$C$3:$C$302,MATCH($B2789,직원목록!$A$3:$A$302,0)),""))</f>
        <v/>
      </c>
      <c r="E2789" s="14"/>
      <c r="F2789" s="14"/>
      <c r="G2789" s="15"/>
      <c r="H2789" s="16" t="str">
        <f aca="false">IF(OR($K2789="",$L2789=""),"",ROUND(MAX(0,($L2789-$K2789)-IF($G2789="",0,$G2789))/60,2))</f>
        <v/>
      </c>
      <c r="I2789" s="8"/>
      <c r="J2789" s="8"/>
      <c r="K2789" s="17" t="str">
        <f aca="false">IF($E2789="","",IF($E2789&lt;1,ROUND($E2789*1440,0),INT($E2789/100)*60+MOD($E2789,100)))</f>
        <v/>
      </c>
      <c r="L2789" s="17" t="str">
        <f aca="false">IF($F2789="","",IF($F2789&lt;1,ROUND($F2789*1440,0),INT($F2789/100)*60+MOD($F2789,100)))</f>
        <v/>
      </c>
    </row>
    <row r="2790" customFormat="false" ht="15" hidden="false" customHeight="true" outlineLevel="0" collapsed="false">
      <c r="A2790" s="10"/>
      <c r="B2790" s="8"/>
      <c r="C2790" s="13" t="str">
        <f aca="false">IF($B2790="","",IFERROR(INDEX(직원목록!$B$3:$B$302,MATCH($B2790,직원목록!$A$3:$A$302,0)),"미등록사번"))</f>
        <v/>
      </c>
      <c r="D2790" s="13" t="str">
        <f aca="false">IF($B2790="","",IFERROR(INDEX(직원목록!$C$3:$C$302,MATCH($B2790,직원목록!$A$3:$A$302,0)),""))</f>
        <v/>
      </c>
      <c r="E2790" s="14"/>
      <c r="F2790" s="14"/>
      <c r="G2790" s="15"/>
      <c r="H2790" s="16" t="str">
        <f aca="false">IF(OR($K2790="",$L2790=""),"",ROUND(MAX(0,($L2790-$K2790)-IF($G2790="",0,$G2790))/60,2))</f>
        <v/>
      </c>
      <c r="I2790" s="8"/>
      <c r="J2790" s="8"/>
      <c r="K2790" s="17" t="str">
        <f aca="false">IF($E2790="","",IF($E2790&lt;1,ROUND($E2790*1440,0),INT($E2790/100)*60+MOD($E2790,100)))</f>
        <v/>
      </c>
      <c r="L2790" s="17" t="str">
        <f aca="false">IF($F2790="","",IF($F2790&lt;1,ROUND($F2790*1440,0),INT($F2790/100)*60+MOD($F2790,100)))</f>
        <v/>
      </c>
    </row>
    <row r="2791" customFormat="false" ht="15" hidden="false" customHeight="true" outlineLevel="0" collapsed="false">
      <c r="A2791" s="10"/>
      <c r="B2791" s="8"/>
      <c r="C2791" s="13" t="str">
        <f aca="false">IF($B2791="","",IFERROR(INDEX(직원목록!$B$3:$B$302,MATCH($B2791,직원목록!$A$3:$A$302,0)),"미등록사번"))</f>
        <v/>
      </c>
      <c r="D2791" s="13" t="str">
        <f aca="false">IF($B2791="","",IFERROR(INDEX(직원목록!$C$3:$C$302,MATCH($B2791,직원목록!$A$3:$A$302,0)),""))</f>
        <v/>
      </c>
      <c r="E2791" s="14"/>
      <c r="F2791" s="14"/>
      <c r="G2791" s="15"/>
      <c r="H2791" s="16" t="str">
        <f aca="false">IF(OR($K2791="",$L2791=""),"",ROUND(MAX(0,($L2791-$K2791)-IF($G2791="",0,$G2791))/60,2))</f>
        <v/>
      </c>
      <c r="I2791" s="8"/>
      <c r="J2791" s="8"/>
      <c r="K2791" s="17" t="str">
        <f aca="false">IF($E2791="","",IF($E2791&lt;1,ROUND($E2791*1440,0),INT($E2791/100)*60+MOD($E2791,100)))</f>
        <v/>
      </c>
      <c r="L2791" s="17" t="str">
        <f aca="false">IF($F2791="","",IF($F2791&lt;1,ROUND($F2791*1440,0),INT($F2791/100)*60+MOD($F2791,100)))</f>
        <v/>
      </c>
    </row>
    <row r="2792" customFormat="false" ht="15" hidden="false" customHeight="true" outlineLevel="0" collapsed="false">
      <c r="A2792" s="10"/>
      <c r="B2792" s="8"/>
      <c r="C2792" s="13" t="str">
        <f aca="false">IF($B2792="","",IFERROR(INDEX(직원목록!$B$3:$B$302,MATCH($B2792,직원목록!$A$3:$A$302,0)),"미등록사번"))</f>
        <v/>
      </c>
      <c r="D2792" s="13" t="str">
        <f aca="false">IF($B2792="","",IFERROR(INDEX(직원목록!$C$3:$C$302,MATCH($B2792,직원목록!$A$3:$A$302,0)),""))</f>
        <v/>
      </c>
      <c r="E2792" s="14"/>
      <c r="F2792" s="14"/>
      <c r="G2792" s="15"/>
      <c r="H2792" s="16" t="str">
        <f aca="false">IF(OR($K2792="",$L2792=""),"",ROUND(MAX(0,($L2792-$K2792)-IF($G2792="",0,$G2792))/60,2))</f>
        <v/>
      </c>
      <c r="I2792" s="8"/>
      <c r="J2792" s="8"/>
      <c r="K2792" s="17" t="str">
        <f aca="false">IF($E2792="","",IF($E2792&lt;1,ROUND($E2792*1440,0),INT($E2792/100)*60+MOD($E2792,100)))</f>
        <v/>
      </c>
      <c r="L2792" s="17" t="str">
        <f aca="false">IF($F2792="","",IF($F2792&lt;1,ROUND($F2792*1440,0),INT($F2792/100)*60+MOD($F2792,100)))</f>
        <v/>
      </c>
    </row>
    <row r="2793" customFormat="false" ht="15" hidden="false" customHeight="true" outlineLevel="0" collapsed="false">
      <c r="A2793" s="10"/>
      <c r="B2793" s="8"/>
      <c r="C2793" s="13" t="str">
        <f aca="false">IF($B2793="","",IFERROR(INDEX(직원목록!$B$3:$B$302,MATCH($B2793,직원목록!$A$3:$A$302,0)),"미등록사번"))</f>
        <v/>
      </c>
      <c r="D2793" s="13" t="str">
        <f aca="false">IF($B2793="","",IFERROR(INDEX(직원목록!$C$3:$C$302,MATCH($B2793,직원목록!$A$3:$A$302,0)),""))</f>
        <v/>
      </c>
      <c r="E2793" s="14"/>
      <c r="F2793" s="14"/>
      <c r="G2793" s="15"/>
      <c r="H2793" s="16" t="str">
        <f aca="false">IF(OR($K2793="",$L2793=""),"",ROUND(MAX(0,($L2793-$K2793)-IF($G2793="",0,$G2793))/60,2))</f>
        <v/>
      </c>
      <c r="I2793" s="8"/>
      <c r="J2793" s="8"/>
      <c r="K2793" s="17" t="str">
        <f aca="false">IF($E2793="","",IF($E2793&lt;1,ROUND($E2793*1440,0),INT($E2793/100)*60+MOD($E2793,100)))</f>
        <v/>
      </c>
      <c r="L2793" s="17" t="str">
        <f aca="false">IF($F2793="","",IF($F2793&lt;1,ROUND($F2793*1440,0),INT($F2793/100)*60+MOD($F2793,100)))</f>
        <v/>
      </c>
    </row>
    <row r="2794" customFormat="false" ht="15" hidden="false" customHeight="true" outlineLevel="0" collapsed="false">
      <c r="A2794" s="10"/>
      <c r="B2794" s="8"/>
      <c r="C2794" s="13" t="str">
        <f aca="false">IF($B2794="","",IFERROR(INDEX(직원목록!$B$3:$B$302,MATCH($B2794,직원목록!$A$3:$A$302,0)),"미등록사번"))</f>
        <v/>
      </c>
      <c r="D2794" s="13" t="str">
        <f aca="false">IF($B2794="","",IFERROR(INDEX(직원목록!$C$3:$C$302,MATCH($B2794,직원목록!$A$3:$A$302,0)),""))</f>
        <v/>
      </c>
      <c r="E2794" s="14"/>
      <c r="F2794" s="14"/>
      <c r="G2794" s="15"/>
      <c r="H2794" s="16" t="str">
        <f aca="false">IF(OR($K2794="",$L2794=""),"",ROUND(MAX(0,($L2794-$K2794)-IF($G2794="",0,$G2794))/60,2))</f>
        <v/>
      </c>
      <c r="I2794" s="8"/>
      <c r="J2794" s="8"/>
      <c r="K2794" s="17" t="str">
        <f aca="false">IF($E2794="","",IF($E2794&lt;1,ROUND($E2794*1440,0),INT($E2794/100)*60+MOD($E2794,100)))</f>
        <v/>
      </c>
      <c r="L2794" s="17" t="str">
        <f aca="false">IF($F2794="","",IF($F2794&lt;1,ROUND($F2794*1440,0),INT($F2794/100)*60+MOD($F2794,100)))</f>
        <v/>
      </c>
    </row>
    <row r="2795" customFormat="false" ht="15" hidden="false" customHeight="true" outlineLevel="0" collapsed="false">
      <c r="A2795" s="10"/>
      <c r="B2795" s="8"/>
      <c r="C2795" s="13" t="str">
        <f aca="false">IF($B2795="","",IFERROR(INDEX(직원목록!$B$3:$B$302,MATCH($B2795,직원목록!$A$3:$A$302,0)),"미등록사번"))</f>
        <v/>
      </c>
      <c r="D2795" s="13" t="str">
        <f aca="false">IF($B2795="","",IFERROR(INDEX(직원목록!$C$3:$C$302,MATCH($B2795,직원목록!$A$3:$A$302,0)),""))</f>
        <v/>
      </c>
      <c r="E2795" s="14"/>
      <c r="F2795" s="14"/>
      <c r="G2795" s="15"/>
      <c r="H2795" s="16" t="str">
        <f aca="false">IF(OR($K2795="",$L2795=""),"",ROUND(MAX(0,($L2795-$K2795)-IF($G2795="",0,$G2795))/60,2))</f>
        <v/>
      </c>
      <c r="I2795" s="8"/>
      <c r="J2795" s="8"/>
      <c r="K2795" s="17" t="str">
        <f aca="false">IF($E2795="","",IF($E2795&lt;1,ROUND($E2795*1440,0),INT($E2795/100)*60+MOD($E2795,100)))</f>
        <v/>
      </c>
      <c r="L2795" s="17" t="str">
        <f aca="false">IF($F2795="","",IF($F2795&lt;1,ROUND($F2795*1440,0),INT($F2795/100)*60+MOD($F2795,100)))</f>
        <v/>
      </c>
    </row>
    <row r="2796" customFormat="false" ht="15" hidden="false" customHeight="true" outlineLevel="0" collapsed="false">
      <c r="A2796" s="10"/>
      <c r="B2796" s="8"/>
      <c r="C2796" s="13" t="str">
        <f aca="false">IF($B2796="","",IFERROR(INDEX(직원목록!$B$3:$B$302,MATCH($B2796,직원목록!$A$3:$A$302,0)),"미등록사번"))</f>
        <v/>
      </c>
      <c r="D2796" s="13" t="str">
        <f aca="false">IF($B2796="","",IFERROR(INDEX(직원목록!$C$3:$C$302,MATCH($B2796,직원목록!$A$3:$A$302,0)),""))</f>
        <v/>
      </c>
      <c r="E2796" s="14"/>
      <c r="F2796" s="14"/>
      <c r="G2796" s="15"/>
      <c r="H2796" s="16" t="str">
        <f aca="false">IF(OR($K2796="",$L2796=""),"",ROUND(MAX(0,($L2796-$K2796)-IF($G2796="",0,$G2796))/60,2))</f>
        <v/>
      </c>
      <c r="I2796" s="8"/>
      <c r="J2796" s="8"/>
      <c r="K2796" s="17" t="str">
        <f aca="false">IF($E2796="","",IF($E2796&lt;1,ROUND($E2796*1440,0),INT($E2796/100)*60+MOD($E2796,100)))</f>
        <v/>
      </c>
      <c r="L2796" s="17" t="str">
        <f aca="false">IF($F2796="","",IF($F2796&lt;1,ROUND($F2796*1440,0),INT($F2796/100)*60+MOD($F2796,100)))</f>
        <v/>
      </c>
    </row>
    <row r="2797" customFormat="false" ht="15" hidden="false" customHeight="true" outlineLevel="0" collapsed="false">
      <c r="A2797" s="10"/>
      <c r="B2797" s="8"/>
      <c r="C2797" s="13" t="str">
        <f aca="false">IF($B2797="","",IFERROR(INDEX(직원목록!$B$3:$B$302,MATCH($B2797,직원목록!$A$3:$A$302,0)),"미등록사번"))</f>
        <v/>
      </c>
      <c r="D2797" s="13" t="str">
        <f aca="false">IF($B2797="","",IFERROR(INDEX(직원목록!$C$3:$C$302,MATCH($B2797,직원목록!$A$3:$A$302,0)),""))</f>
        <v/>
      </c>
      <c r="E2797" s="14"/>
      <c r="F2797" s="14"/>
      <c r="G2797" s="15"/>
      <c r="H2797" s="16" t="str">
        <f aca="false">IF(OR($K2797="",$L2797=""),"",ROUND(MAX(0,($L2797-$K2797)-IF($G2797="",0,$G2797))/60,2))</f>
        <v/>
      </c>
      <c r="I2797" s="8"/>
      <c r="J2797" s="8"/>
      <c r="K2797" s="17" t="str">
        <f aca="false">IF($E2797="","",IF($E2797&lt;1,ROUND($E2797*1440,0),INT($E2797/100)*60+MOD($E2797,100)))</f>
        <v/>
      </c>
      <c r="L2797" s="17" t="str">
        <f aca="false">IF($F2797="","",IF($F2797&lt;1,ROUND($F2797*1440,0),INT($F2797/100)*60+MOD($F2797,100)))</f>
        <v/>
      </c>
    </row>
    <row r="2798" customFormat="false" ht="15" hidden="false" customHeight="true" outlineLevel="0" collapsed="false">
      <c r="A2798" s="10"/>
      <c r="B2798" s="8"/>
      <c r="C2798" s="13" t="str">
        <f aca="false">IF($B2798="","",IFERROR(INDEX(직원목록!$B$3:$B$302,MATCH($B2798,직원목록!$A$3:$A$302,0)),"미등록사번"))</f>
        <v/>
      </c>
      <c r="D2798" s="13" t="str">
        <f aca="false">IF($B2798="","",IFERROR(INDEX(직원목록!$C$3:$C$302,MATCH($B2798,직원목록!$A$3:$A$302,0)),""))</f>
        <v/>
      </c>
      <c r="E2798" s="14"/>
      <c r="F2798" s="14"/>
      <c r="G2798" s="15"/>
      <c r="H2798" s="16" t="str">
        <f aca="false">IF(OR($K2798="",$L2798=""),"",ROUND(MAX(0,($L2798-$K2798)-IF($G2798="",0,$G2798))/60,2))</f>
        <v/>
      </c>
      <c r="I2798" s="8"/>
      <c r="J2798" s="8"/>
      <c r="K2798" s="17" t="str">
        <f aca="false">IF($E2798="","",IF($E2798&lt;1,ROUND($E2798*1440,0),INT($E2798/100)*60+MOD($E2798,100)))</f>
        <v/>
      </c>
      <c r="L2798" s="17" t="str">
        <f aca="false">IF($F2798="","",IF($F2798&lt;1,ROUND($F2798*1440,0),INT($F2798/100)*60+MOD($F2798,100)))</f>
        <v/>
      </c>
    </row>
    <row r="2799" customFormat="false" ht="15" hidden="false" customHeight="true" outlineLevel="0" collapsed="false">
      <c r="A2799" s="10"/>
      <c r="B2799" s="8"/>
      <c r="C2799" s="13" t="str">
        <f aca="false">IF($B2799="","",IFERROR(INDEX(직원목록!$B$3:$B$302,MATCH($B2799,직원목록!$A$3:$A$302,0)),"미등록사번"))</f>
        <v/>
      </c>
      <c r="D2799" s="13" t="str">
        <f aca="false">IF($B2799="","",IFERROR(INDEX(직원목록!$C$3:$C$302,MATCH($B2799,직원목록!$A$3:$A$302,0)),""))</f>
        <v/>
      </c>
      <c r="E2799" s="14"/>
      <c r="F2799" s="14"/>
      <c r="G2799" s="15"/>
      <c r="H2799" s="16" t="str">
        <f aca="false">IF(OR($K2799="",$L2799=""),"",ROUND(MAX(0,($L2799-$K2799)-IF($G2799="",0,$G2799))/60,2))</f>
        <v/>
      </c>
      <c r="I2799" s="8"/>
      <c r="J2799" s="8"/>
      <c r="K2799" s="17" t="str">
        <f aca="false">IF($E2799="","",IF($E2799&lt;1,ROUND($E2799*1440,0),INT($E2799/100)*60+MOD($E2799,100)))</f>
        <v/>
      </c>
      <c r="L2799" s="17" t="str">
        <f aca="false">IF($F2799="","",IF($F2799&lt;1,ROUND($F2799*1440,0),INT($F2799/100)*60+MOD($F2799,100)))</f>
        <v/>
      </c>
    </row>
    <row r="2800" customFormat="false" ht="15" hidden="false" customHeight="true" outlineLevel="0" collapsed="false">
      <c r="A2800" s="10"/>
      <c r="B2800" s="8"/>
      <c r="C2800" s="13" t="str">
        <f aca="false">IF($B2800="","",IFERROR(INDEX(직원목록!$B$3:$B$302,MATCH($B2800,직원목록!$A$3:$A$302,0)),"미등록사번"))</f>
        <v/>
      </c>
      <c r="D2800" s="13" t="str">
        <f aca="false">IF($B2800="","",IFERROR(INDEX(직원목록!$C$3:$C$302,MATCH($B2800,직원목록!$A$3:$A$302,0)),""))</f>
        <v/>
      </c>
      <c r="E2800" s="14"/>
      <c r="F2800" s="14"/>
      <c r="G2800" s="15"/>
      <c r="H2800" s="16" t="str">
        <f aca="false">IF(OR($K2800="",$L2800=""),"",ROUND(MAX(0,($L2800-$K2800)-IF($G2800="",0,$G2800))/60,2))</f>
        <v/>
      </c>
      <c r="I2800" s="8"/>
      <c r="J2800" s="8"/>
      <c r="K2800" s="17" t="str">
        <f aca="false">IF($E2800="","",IF($E2800&lt;1,ROUND($E2800*1440,0),INT($E2800/100)*60+MOD($E2800,100)))</f>
        <v/>
      </c>
      <c r="L2800" s="17" t="str">
        <f aca="false">IF($F2800="","",IF($F2800&lt;1,ROUND($F2800*1440,0),INT($F2800/100)*60+MOD($F2800,100)))</f>
        <v/>
      </c>
    </row>
    <row r="2801" customFormat="false" ht="15" hidden="false" customHeight="true" outlineLevel="0" collapsed="false">
      <c r="A2801" s="10"/>
      <c r="B2801" s="8"/>
      <c r="C2801" s="13" t="str">
        <f aca="false">IF($B2801="","",IFERROR(INDEX(직원목록!$B$3:$B$302,MATCH($B2801,직원목록!$A$3:$A$302,0)),"미등록사번"))</f>
        <v/>
      </c>
      <c r="D2801" s="13" t="str">
        <f aca="false">IF($B2801="","",IFERROR(INDEX(직원목록!$C$3:$C$302,MATCH($B2801,직원목록!$A$3:$A$302,0)),""))</f>
        <v/>
      </c>
      <c r="E2801" s="14"/>
      <c r="F2801" s="14"/>
      <c r="G2801" s="15"/>
      <c r="H2801" s="16" t="str">
        <f aca="false">IF(OR($K2801="",$L2801=""),"",ROUND(MAX(0,($L2801-$K2801)-IF($G2801="",0,$G2801))/60,2))</f>
        <v/>
      </c>
      <c r="I2801" s="8"/>
      <c r="J2801" s="8"/>
      <c r="K2801" s="17" t="str">
        <f aca="false">IF($E2801="","",IF($E2801&lt;1,ROUND($E2801*1440,0),INT($E2801/100)*60+MOD($E2801,100)))</f>
        <v/>
      </c>
      <c r="L2801" s="17" t="str">
        <f aca="false">IF($F2801="","",IF($F2801&lt;1,ROUND($F2801*1440,0),INT($F2801/100)*60+MOD($F2801,100)))</f>
        <v/>
      </c>
    </row>
    <row r="2802" customFormat="false" ht="15" hidden="false" customHeight="true" outlineLevel="0" collapsed="false">
      <c r="A2802" s="10"/>
      <c r="B2802" s="8"/>
      <c r="C2802" s="13" t="str">
        <f aca="false">IF($B2802="","",IFERROR(INDEX(직원목록!$B$3:$B$302,MATCH($B2802,직원목록!$A$3:$A$302,0)),"미등록사번"))</f>
        <v/>
      </c>
      <c r="D2802" s="13" t="str">
        <f aca="false">IF($B2802="","",IFERROR(INDEX(직원목록!$C$3:$C$302,MATCH($B2802,직원목록!$A$3:$A$302,0)),""))</f>
        <v/>
      </c>
      <c r="E2802" s="14"/>
      <c r="F2802" s="14"/>
      <c r="G2802" s="15"/>
      <c r="H2802" s="16" t="str">
        <f aca="false">IF(OR($K2802="",$L2802=""),"",ROUND(MAX(0,($L2802-$K2802)-IF($G2802="",0,$G2802))/60,2))</f>
        <v/>
      </c>
      <c r="I2802" s="8"/>
      <c r="J2802" s="8"/>
      <c r="K2802" s="17" t="str">
        <f aca="false">IF($E2802="","",IF($E2802&lt;1,ROUND($E2802*1440,0),INT($E2802/100)*60+MOD($E2802,100)))</f>
        <v/>
      </c>
      <c r="L2802" s="17" t="str">
        <f aca="false">IF($F2802="","",IF($F2802&lt;1,ROUND($F2802*1440,0),INT($F2802/100)*60+MOD($F2802,100)))</f>
        <v/>
      </c>
    </row>
    <row r="2803" customFormat="false" ht="15" hidden="false" customHeight="true" outlineLevel="0" collapsed="false">
      <c r="A2803" s="10"/>
      <c r="B2803" s="8"/>
      <c r="C2803" s="13" t="str">
        <f aca="false">IF($B2803="","",IFERROR(INDEX(직원목록!$B$3:$B$302,MATCH($B2803,직원목록!$A$3:$A$302,0)),"미등록사번"))</f>
        <v/>
      </c>
      <c r="D2803" s="13" t="str">
        <f aca="false">IF($B2803="","",IFERROR(INDEX(직원목록!$C$3:$C$302,MATCH($B2803,직원목록!$A$3:$A$302,0)),""))</f>
        <v/>
      </c>
      <c r="E2803" s="14"/>
      <c r="F2803" s="14"/>
      <c r="G2803" s="15"/>
      <c r="H2803" s="16" t="str">
        <f aca="false">IF(OR($K2803="",$L2803=""),"",ROUND(MAX(0,($L2803-$K2803)-IF($G2803="",0,$G2803))/60,2))</f>
        <v/>
      </c>
      <c r="I2803" s="8"/>
      <c r="J2803" s="8"/>
      <c r="K2803" s="17" t="str">
        <f aca="false">IF($E2803="","",IF($E2803&lt;1,ROUND($E2803*1440,0),INT($E2803/100)*60+MOD($E2803,100)))</f>
        <v/>
      </c>
      <c r="L2803" s="17" t="str">
        <f aca="false">IF($F2803="","",IF($F2803&lt;1,ROUND($F2803*1440,0),INT($F2803/100)*60+MOD($F2803,100)))</f>
        <v/>
      </c>
    </row>
    <row r="2804" customFormat="false" ht="15" hidden="false" customHeight="true" outlineLevel="0" collapsed="false">
      <c r="A2804" s="10"/>
      <c r="B2804" s="8"/>
      <c r="C2804" s="13" t="str">
        <f aca="false">IF($B2804="","",IFERROR(INDEX(직원목록!$B$3:$B$302,MATCH($B2804,직원목록!$A$3:$A$302,0)),"미등록사번"))</f>
        <v/>
      </c>
      <c r="D2804" s="13" t="str">
        <f aca="false">IF($B2804="","",IFERROR(INDEX(직원목록!$C$3:$C$302,MATCH($B2804,직원목록!$A$3:$A$302,0)),""))</f>
        <v/>
      </c>
      <c r="E2804" s="14"/>
      <c r="F2804" s="14"/>
      <c r="G2804" s="15"/>
      <c r="H2804" s="16" t="str">
        <f aca="false">IF(OR($K2804="",$L2804=""),"",ROUND(MAX(0,($L2804-$K2804)-IF($G2804="",0,$G2804))/60,2))</f>
        <v/>
      </c>
      <c r="I2804" s="8"/>
      <c r="J2804" s="8"/>
      <c r="K2804" s="17" t="str">
        <f aca="false">IF($E2804="","",IF($E2804&lt;1,ROUND($E2804*1440,0),INT($E2804/100)*60+MOD($E2804,100)))</f>
        <v/>
      </c>
      <c r="L2804" s="17" t="str">
        <f aca="false">IF($F2804="","",IF($F2804&lt;1,ROUND($F2804*1440,0),INT($F2804/100)*60+MOD($F2804,100)))</f>
        <v/>
      </c>
    </row>
    <row r="2805" customFormat="false" ht="15" hidden="false" customHeight="true" outlineLevel="0" collapsed="false">
      <c r="A2805" s="10"/>
      <c r="B2805" s="8"/>
      <c r="C2805" s="13" t="str">
        <f aca="false">IF($B2805="","",IFERROR(INDEX(직원목록!$B$3:$B$302,MATCH($B2805,직원목록!$A$3:$A$302,0)),"미등록사번"))</f>
        <v/>
      </c>
      <c r="D2805" s="13" t="str">
        <f aca="false">IF($B2805="","",IFERROR(INDEX(직원목록!$C$3:$C$302,MATCH($B2805,직원목록!$A$3:$A$302,0)),""))</f>
        <v/>
      </c>
      <c r="E2805" s="14"/>
      <c r="F2805" s="14"/>
      <c r="G2805" s="15"/>
      <c r="H2805" s="16" t="str">
        <f aca="false">IF(OR($K2805="",$L2805=""),"",ROUND(MAX(0,($L2805-$K2805)-IF($G2805="",0,$G2805))/60,2))</f>
        <v/>
      </c>
      <c r="I2805" s="8"/>
      <c r="J2805" s="8"/>
      <c r="K2805" s="17" t="str">
        <f aca="false">IF($E2805="","",IF($E2805&lt;1,ROUND($E2805*1440,0),INT($E2805/100)*60+MOD($E2805,100)))</f>
        <v/>
      </c>
      <c r="L2805" s="17" t="str">
        <f aca="false">IF($F2805="","",IF($F2805&lt;1,ROUND($F2805*1440,0),INT($F2805/100)*60+MOD($F2805,100)))</f>
        <v/>
      </c>
    </row>
    <row r="2806" customFormat="false" ht="15" hidden="false" customHeight="true" outlineLevel="0" collapsed="false">
      <c r="A2806" s="10"/>
      <c r="B2806" s="8"/>
      <c r="C2806" s="13" t="str">
        <f aca="false">IF($B2806="","",IFERROR(INDEX(직원목록!$B$3:$B$302,MATCH($B2806,직원목록!$A$3:$A$302,0)),"미등록사번"))</f>
        <v/>
      </c>
      <c r="D2806" s="13" t="str">
        <f aca="false">IF($B2806="","",IFERROR(INDEX(직원목록!$C$3:$C$302,MATCH($B2806,직원목록!$A$3:$A$302,0)),""))</f>
        <v/>
      </c>
      <c r="E2806" s="14"/>
      <c r="F2806" s="14"/>
      <c r="G2806" s="15"/>
      <c r="H2806" s="16" t="str">
        <f aca="false">IF(OR($K2806="",$L2806=""),"",ROUND(MAX(0,($L2806-$K2806)-IF($G2806="",0,$G2806))/60,2))</f>
        <v/>
      </c>
      <c r="I2806" s="8"/>
      <c r="J2806" s="8"/>
      <c r="K2806" s="17" t="str">
        <f aca="false">IF($E2806="","",IF($E2806&lt;1,ROUND($E2806*1440,0),INT($E2806/100)*60+MOD($E2806,100)))</f>
        <v/>
      </c>
      <c r="L2806" s="17" t="str">
        <f aca="false">IF($F2806="","",IF($F2806&lt;1,ROUND($F2806*1440,0),INT($F2806/100)*60+MOD($F2806,100)))</f>
        <v/>
      </c>
    </row>
    <row r="2807" customFormat="false" ht="15" hidden="false" customHeight="true" outlineLevel="0" collapsed="false">
      <c r="A2807" s="10"/>
      <c r="B2807" s="8"/>
      <c r="C2807" s="13" t="str">
        <f aca="false">IF($B2807="","",IFERROR(INDEX(직원목록!$B$3:$B$302,MATCH($B2807,직원목록!$A$3:$A$302,0)),"미등록사번"))</f>
        <v/>
      </c>
      <c r="D2807" s="13" t="str">
        <f aca="false">IF($B2807="","",IFERROR(INDEX(직원목록!$C$3:$C$302,MATCH($B2807,직원목록!$A$3:$A$302,0)),""))</f>
        <v/>
      </c>
      <c r="E2807" s="14"/>
      <c r="F2807" s="14"/>
      <c r="G2807" s="15"/>
      <c r="H2807" s="16" t="str">
        <f aca="false">IF(OR($K2807="",$L2807=""),"",ROUND(MAX(0,($L2807-$K2807)-IF($G2807="",0,$G2807))/60,2))</f>
        <v/>
      </c>
      <c r="I2807" s="8"/>
      <c r="J2807" s="8"/>
      <c r="K2807" s="17" t="str">
        <f aca="false">IF($E2807="","",IF($E2807&lt;1,ROUND($E2807*1440,0),INT($E2807/100)*60+MOD($E2807,100)))</f>
        <v/>
      </c>
      <c r="L2807" s="17" t="str">
        <f aca="false">IF($F2807="","",IF($F2807&lt;1,ROUND($F2807*1440,0),INT($F2807/100)*60+MOD($F2807,100)))</f>
        <v/>
      </c>
    </row>
    <row r="2808" customFormat="false" ht="15" hidden="false" customHeight="true" outlineLevel="0" collapsed="false">
      <c r="A2808" s="10"/>
      <c r="B2808" s="8"/>
      <c r="C2808" s="13" t="str">
        <f aca="false">IF($B2808="","",IFERROR(INDEX(직원목록!$B$3:$B$302,MATCH($B2808,직원목록!$A$3:$A$302,0)),"미등록사번"))</f>
        <v/>
      </c>
      <c r="D2808" s="13" t="str">
        <f aca="false">IF($B2808="","",IFERROR(INDEX(직원목록!$C$3:$C$302,MATCH($B2808,직원목록!$A$3:$A$302,0)),""))</f>
        <v/>
      </c>
      <c r="E2808" s="14"/>
      <c r="F2808" s="14"/>
      <c r="G2808" s="15"/>
      <c r="H2808" s="16" t="str">
        <f aca="false">IF(OR($K2808="",$L2808=""),"",ROUND(MAX(0,($L2808-$K2808)-IF($G2808="",0,$G2808))/60,2))</f>
        <v/>
      </c>
      <c r="I2808" s="8"/>
      <c r="J2808" s="8"/>
      <c r="K2808" s="17" t="str">
        <f aca="false">IF($E2808="","",IF($E2808&lt;1,ROUND($E2808*1440,0),INT($E2808/100)*60+MOD($E2808,100)))</f>
        <v/>
      </c>
      <c r="L2808" s="17" t="str">
        <f aca="false">IF($F2808="","",IF($F2808&lt;1,ROUND($F2808*1440,0),INT($F2808/100)*60+MOD($F2808,100)))</f>
        <v/>
      </c>
    </row>
    <row r="2809" customFormat="false" ht="15" hidden="false" customHeight="true" outlineLevel="0" collapsed="false">
      <c r="A2809" s="10"/>
      <c r="B2809" s="8"/>
      <c r="C2809" s="13" t="str">
        <f aca="false">IF($B2809="","",IFERROR(INDEX(직원목록!$B$3:$B$302,MATCH($B2809,직원목록!$A$3:$A$302,0)),"미등록사번"))</f>
        <v/>
      </c>
      <c r="D2809" s="13" t="str">
        <f aca="false">IF($B2809="","",IFERROR(INDEX(직원목록!$C$3:$C$302,MATCH($B2809,직원목록!$A$3:$A$302,0)),""))</f>
        <v/>
      </c>
      <c r="E2809" s="14"/>
      <c r="F2809" s="14"/>
      <c r="G2809" s="15"/>
      <c r="H2809" s="16" t="str">
        <f aca="false">IF(OR($K2809="",$L2809=""),"",ROUND(MAX(0,($L2809-$K2809)-IF($G2809="",0,$G2809))/60,2))</f>
        <v/>
      </c>
      <c r="I2809" s="8"/>
      <c r="J2809" s="8"/>
      <c r="K2809" s="17" t="str">
        <f aca="false">IF($E2809="","",IF($E2809&lt;1,ROUND($E2809*1440,0),INT($E2809/100)*60+MOD($E2809,100)))</f>
        <v/>
      </c>
      <c r="L2809" s="17" t="str">
        <f aca="false">IF($F2809="","",IF($F2809&lt;1,ROUND($F2809*1440,0),INT($F2809/100)*60+MOD($F2809,100)))</f>
        <v/>
      </c>
    </row>
    <row r="2810" customFormat="false" ht="15" hidden="false" customHeight="true" outlineLevel="0" collapsed="false">
      <c r="A2810" s="10"/>
      <c r="B2810" s="8"/>
      <c r="C2810" s="13" t="str">
        <f aca="false">IF($B2810="","",IFERROR(INDEX(직원목록!$B$3:$B$302,MATCH($B2810,직원목록!$A$3:$A$302,0)),"미등록사번"))</f>
        <v/>
      </c>
      <c r="D2810" s="13" t="str">
        <f aca="false">IF($B2810="","",IFERROR(INDEX(직원목록!$C$3:$C$302,MATCH($B2810,직원목록!$A$3:$A$302,0)),""))</f>
        <v/>
      </c>
      <c r="E2810" s="14"/>
      <c r="F2810" s="14"/>
      <c r="G2810" s="15"/>
      <c r="H2810" s="16" t="str">
        <f aca="false">IF(OR($K2810="",$L2810=""),"",ROUND(MAX(0,($L2810-$K2810)-IF($G2810="",0,$G2810))/60,2))</f>
        <v/>
      </c>
      <c r="I2810" s="8"/>
      <c r="J2810" s="8"/>
      <c r="K2810" s="17" t="str">
        <f aca="false">IF($E2810="","",IF($E2810&lt;1,ROUND($E2810*1440,0),INT($E2810/100)*60+MOD($E2810,100)))</f>
        <v/>
      </c>
      <c r="L2810" s="17" t="str">
        <f aca="false">IF($F2810="","",IF($F2810&lt;1,ROUND($F2810*1440,0),INT($F2810/100)*60+MOD($F2810,100)))</f>
        <v/>
      </c>
    </row>
    <row r="2811" customFormat="false" ht="15" hidden="false" customHeight="true" outlineLevel="0" collapsed="false">
      <c r="A2811" s="10"/>
      <c r="B2811" s="8"/>
      <c r="C2811" s="13" t="str">
        <f aca="false">IF($B2811="","",IFERROR(INDEX(직원목록!$B$3:$B$302,MATCH($B2811,직원목록!$A$3:$A$302,0)),"미등록사번"))</f>
        <v/>
      </c>
      <c r="D2811" s="13" t="str">
        <f aca="false">IF($B2811="","",IFERROR(INDEX(직원목록!$C$3:$C$302,MATCH($B2811,직원목록!$A$3:$A$302,0)),""))</f>
        <v/>
      </c>
      <c r="E2811" s="14"/>
      <c r="F2811" s="14"/>
      <c r="G2811" s="15"/>
      <c r="H2811" s="16" t="str">
        <f aca="false">IF(OR($K2811="",$L2811=""),"",ROUND(MAX(0,($L2811-$K2811)-IF($G2811="",0,$G2811))/60,2))</f>
        <v/>
      </c>
      <c r="I2811" s="8"/>
      <c r="J2811" s="8"/>
      <c r="K2811" s="17" t="str">
        <f aca="false">IF($E2811="","",IF($E2811&lt;1,ROUND($E2811*1440,0),INT($E2811/100)*60+MOD($E2811,100)))</f>
        <v/>
      </c>
      <c r="L2811" s="17" t="str">
        <f aca="false">IF($F2811="","",IF($F2811&lt;1,ROUND($F2811*1440,0),INT($F2811/100)*60+MOD($F2811,100)))</f>
        <v/>
      </c>
    </row>
    <row r="2812" customFormat="false" ht="15" hidden="false" customHeight="true" outlineLevel="0" collapsed="false">
      <c r="A2812" s="10"/>
      <c r="B2812" s="8"/>
      <c r="C2812" s="13" t="str">
        <f aca="false">IF($B2812="","",IFERROR(INDEX(직원목록!$B$3:$B$302,MATCH($B2812,직원목록!$A$3:$A$302,0)),"미등록사번"))</f>
        <v/>
      </c>
      <c r="D2812" s="13" t="str">
        <f aca="false">IF($B2812="","",IFERROR(INDEX(직원목록!$C$3:$C$302,MATCH($B2812,직원목록!$A$3:$A$302,0)),""))</f>
        <v/>
      </c>
      <c r="E2812" s="14"/>
      <c r="F2812" s="14"/>
      <c r="G2812" s="15"/>
      <c r="H2812" s="16" t="str">
        <f aca="false">IF(OR($K2812="",$L2812=""),"",ROUND(MAX(0,($L2812-$K2812)-IF($G2812="",0,$G2812))/60,2))</f>
        <v/>
      </c>
      <c r="I2812" s="8"/>
      <c r="J2812" s="8"/>
      <c r="K2812" s="17" t="str">
        <f aca="false">IF($E2812="","",IF($E2812&lt;1,ROUND($E2812*1440,0),INT($E2812/100)*60+MOD($E2812,100)))</f>
        <v/>
      </c>
      <c r="L2812" s="17" t="str">
        <f aca="false">IF($F2812="","",IF($F2812&lt;1,ROUND($F2812*1440,0),INT($F2812/100)*60+MOD($F2812,100)))</f>
        <v/>
      </c>
    </row>
    <row r="2813" customFormat="false" ht="15" hidden="false" customHeight="true" outlineLevel="0" collapsed="false">
      <c r="A2813" s="10"/>
      <c r="B2813" s="8"/>
      <c r="C2813" s="13" t="str">
        <f aca="false">IF($B2813="","",IFERROR(INDEX(직원목록!$B$3:$B$302,MATCH($B2813,직원목록!$A$3:$A$302,0)),"미등록사번"))</f>
        <v/>
      </c>
      <c r="D2813" s="13" t="str">
        <f aca="false">IF($B2813="","",IFERROR(INDEX(직원목록!$C$3:$C$302,MATCH($B2813,직원목록!$A$3:$A$302,0)),""))</f>
        <v/>
      </c>
      <c r="E2813" s="14"/>
      <c r="F2813" s="14"/>
      <c r="G2813" s="15"/>
      <c r="H2813" s="16" t="str">
        <f aca="false">IF(OR($K2813="",$L2813=""),"",ROUND(MAX(0,($L2813-$K2813)-IF($G2813="",0,$G2813))/60,2))</f>
        <v/>
      </c>
      <c r="I2813" s="8"/>
      <c r="J2813" s="8"/>
      <c r="K2813" s="17" t="str">
        <f aca="false">IF($E2813="","",IF($E2813&lt;1,ROUND($E2813*1440,0),INT($E2813/100)*60+MOD($E2813,100)))</f>
        <v/>
      </c>
      <c r="L2813" s="17" t="str">
        <f aca="false">IF($F2813="","",IF($F2813&lt;1,ROUND($F2813*1440,0),INT($F2813/100)*60+MOD($F2813,100)))</f>
        <v/>
      </c>
    </row>
    <row r="2814" customFormat="false" ht="15" hidden="false" customHeight="true" outlineLevel="0" collapsed="false">
      <c r="A2814" s="10"/>
      <c r="B2814" s="8"/>
      <c r="C2814" s="13" t="str">
        <f aca="false">IF($B2814="","",IFERROR(INDEX(직원목록!$B$3:$B$302,MATCH($B2814,직원목록!$A$3:$A$302,0)),"미등록사번"))</f>
        <v/>
      </c>
      <c r="D2814" s="13" t="str">
        <f aca="false">IF($B2814="","",IFERROR(INDEX(직원목록!$C$3:$C$302,MATCH($B2814,직원목록!$A$3:$A$302,0)),""))</f>
        <v/>
      </c>
      <c r="E2814" s="14"/>
      <c r="F2814" s="14"/>
      <c r="G2814" s="15"/>
      <c r="H2814" s="16" t="str">
        <f aca="false">IF(OR($K2814="",$L2814=""),"",ROUND(MAX(0,($L2814-$K2814)-IF($G2814="",0,$G2814))/60,2))</f>
        <v/>
      </c>
      <c r="I2814" s="8"/>
      <c r="J2814" s="8"/>
      <c r="K2814" s="17" t="str">
        <f aca="false">IF($E2814="","",IF($E2814&lt;1,ROUND($E2814*1440,0),INT($E2814/100)*60+MOD($E2814,100)))</f>
        <v/>
      </c>
      <c r="L2814" s="17" t="str">
        <f aca="false">IF($F2814="","",IF($F2814&lt;1,ROUND($F2814*1440,0),INT($F2814/100)*60+MOD($F2814,100)))</f>
        <v/>
      </c>
    </row>
    <row r="2815" customFormat="false" ht="15" hidden="false" customHeight="true" outlineLevel="0" collapsed="false">
      <c r="A2815" s="10"/>
      <c r="B2815" s="8"/>
      <c r="C2815" s="13" t="str">
        <f aca="false">IF($B2815="","",IFERROR(INDEX(직원목록!$B$3:$B$302,MATCH($B2815,직원목록!$A$3:$A$302,0)),"미등록사번"))</f>
        <v/>
      </c>
      <c r="D2815" s="13" t="str">
        <f aca="false">IF($B2815="","",IFERROR(INDEX(직원목록!$C$3:$C$302,MATCH($B2815,직원목록!$A$3:$A$302,0)),""))</f>
        <v/>
      </c>
      <c r="E2815" s="14"/>
      <c r="F2815" s="14"/>
      <c r="G2815" s="15"/>
      <c r="H2815" s="16" t="str">
        <f aca="false">IF(OR($K2815="",$L2815=""),"",ROUND(MAX(0,($L2815-$K2815)-IF($G2815="",0,$G2815))/60,2))</f>
        <v/>
      </c>
      <c r="I2815" s="8"/>
      <c r="J2815" s="8"/>
      <c r="K2815" s="17" t="str">
        <f aca="false">IF($E2815="","",IF($E2815&lt;1,ROUND($E2815*1440,0),INT($E2815/100)*60+MOD($E2815,100)))</f>
        <v/>
      </c>
      <c r="L2815" s="17" t="str">
        <f aca="false">IF($F2815="","",IF($F2815&lt;1,ROUND($F2815*1440,0),INT($F2815/100)*60+MOD($F2815,100)))</f>
        <v/>
      </c>
    </row>
    <row r="2816" customFormat="false" ht="15" hidden="false" customHeight="true" outlineLevel="0" collapsed="false">
      <c r="A2816" s="10"/>
      <c r="B2816" s="8"/>
      <c r="C2816" s="13" t="str">
        <f aca="false">IF($B2816="","",IFERROR(INDEX(직원목록!$B$3:$B$302,MATCH($B2816,직원목록!$A$3:$A$302,0)),"미등록사번"))</f>
        <v/>
      </c>
      <c r="D2816" s="13" t="str">
        <f aca="false">IF($B2816="","",IFERROR(INDEX(직원목록!$C$3:$C$302,MATCH($B2816,직원목록!$A$3:$A$302,0)),""))</f>
        <v/>
      </c>
      <c r="E2816" s="14"/>
      <c r="F2816" s="14"/>
      <c r="G2816" s="15"/>
      <c r="H2816" s="16" t="str">
        <f aca="false">IF(OR($K2816="",$L2816=""),"",ROUND(MAX(0,($L2816-$K2816)-IF($G2816="",0,$G2816))/60,2))</f>
        <v/>
      </c>
      <c r="I2816" s="8"/>
      <c r="J2816" s="8"/>
      <c r="K2816" s="17" t="str">
        <f aca="false">IF($E2816="","",IF($E2816&lt;1,ROUND($E2816*1440,0),INT($E2816/100)*60+MOD($E2816,100)))</f>
        <v/>
      </c>
      <c r="L2816" s="17" t="str">
        <f aca="false">IF($F2816="","",IF($F2816&lt;1,ROUND($F2816*1440,0),INT($F2816/100)*60+MOD($F2816,100)))</f>
        <v/>
      </c>
    </row>
    <row r="2817" customFormat="false" ht="15" hidden="false" customHeight="true" outlineLevel="0" collapsed="false">
      <c r="A2817" s="10"/>
      <c r="B2817" s="8"/>
      <c r="C2817" s="13" t="str">
        <f aca="false">IF($B2817="","",IFERROR(INDEX(직원목록!$B$3:$B$302,MATCH($B2817,직원목록!$A$3:$A$302,0)),"미등록사번"))</f>
        <v/>
      </c>
      <c r="D2817" s="13" t="str">
        <f aca="false">IF($B2817="","",IFERROR(INDEX(직원목록!$C$3:$C$302,MATCH($B2817,직원목록!$A$3:$A$302,0)),""))</f>
        <v/>
      </c>
      <c r="E2817" s="14"/>
      <c r="F2817" s="14"/>
      <c r="G2817" s="15"/>
      <c r="H2817" s="16" t="str">
        <f aca="false">IF(OR($K2817="",$L2817=""),"",ROUND(MAX(0,($L2817-$K2817)-IF($G2817="",0,$G2817))/60,2))</f>
        <v/>
      </c>
      <c r="I2817" s="8"/>
      <c r="J2817" s="8"/>
      <c r="K2817" s="17" t="str">
        <f aca="false">IF($E2817="","",IF($E2817&lt;1,ROUND($E2817*1440,0),INT($E2817/100)*60+MOD($E2817,100)))</f>
        <v/>
      </c>
      <c r="L2817" s="17" t="str">
        <f aca="false">IF($F2817="","",IF($F2817&lt;1,ROUND($F2817*1440,0),INT($F2817/100)*60+MOD($F2817,100)))</f>
        <v/>
      </c>
    </row>
    <row r="2818" customFormat="false" ht="15" hidden="false" customHeight="true" outlineLevel="0" collapsed="false">
      <c r="A2818" s="10"/>
      <c r="B2818" s="8"/>
      <c r="C2818" s="13" t="str">
        <f aca="false">IF($B2818="","",IFERROR(INDEX(직원목록!$B$3:$B$302,MATCH($B2818,직원목록!$A$3:$A$302,0)),"미등록사번"))</f>
        <v/>
      </c>
      <c r="D2818" s="13" t="str">
        <f aca="false">IF($B2818="","",IFERROR(INDEX(직원목록!$C$3:$C$302,MATCH($B2818,직원목록!$A$3:$A$302,0)),""))</f>
        <v/>
      </c>
      <c r="E2818" s="14"/>
      <c r="F2818" s="14"/>
      <c r="G2818" s="15"/>
      <c r="H2818" s="16" t="str">
        <f aca="false">IF(OR($K2818="",$L2818=""),"",ROUND(MAX(0,($L2818-$K2818)-IF($G2818="",0,$G2818))/60,2))</f>
        <v/>
      </c>
      <c r="I2818" s="8"/>
      <c r="J2818" s="8"/>
      <c r="K2818" s="17" t="str">
        <f aca="false">IF($E2818="","",IF($E2818&lt;1,ROUND($E2818*1440,0),INT($E2818/100)*60+MOD($E2818,100)))</f>
        <v/>
      </c>
      <c r="L2818" s="17" t="str">
        <f aca="false">IF($F2818="","",IF($F2818&lt;1,ROUND($F2818*1440,0),INT($F2818/100)*60+MOD($F2818,100)))</f>
        <v/>
      </c>
    </row>
    <row r="2819" customFormat="false" ht="15" hidden="false" customHeight="true" outlineLevel="0" collapsed="false">
      <c r="A2819" s="10"/>
      <c r="B2819" s="8"/>
      <c r="C2819" s="13" t="str">
        <f aca="false">IF($B2819="","",IFERROR(INDEX(직원목록!$B$3:$B$302,MATCH($B2819,직원목록!$A$3:$A$302,0)),"미등록사번"))</f>
        <v/>
      </c>
      <c r="D2819" s="13" t="str">
        <f aca="false">IF($B2819="","",IFERROR(INDEX(직원목록!$C$3:$C$302,MATCH($B2819,직원목록!$A$3:$A$302,0)),""))</f>
        <v/>
      </c>
      <c r="E2819" s="14"/>
      <c r="F2819" s="14"/>
      <c r="G2819" s="15"/>
      <c r="H2819" s="16" t="str">
        <f aca="false">IF(OR($K2819="",$L2819=""),"",ROUND(MAX(0,($L2819-$K2819)-IF($G2819="",0,$G2819))/60,2))</f>
        <v/>
      </c>
      <c r="I2819" s="8"/>
      <c r="J2819" s="8"/>
      <c r="K2819" s="17" t="str">
        <f aca="false">IF($E2819="","",IF($E2819&lt;1,ROUND($E2819*1440,0),INT($E2819/100)*60+MOD($E2819,100)))</f>
        <v/>
      </c>
      <c r="L2819" s="17" t="str">
        <f aca="false">IF($F2819="","",IF($F2819&lt;1,ROUND($F2819*1440,0),INT($F2819/100)*60+MOD($F2819,100)))</f>
        <v/>
      </c>
    </row>
    <row r="2820" customFormat="false" ht="15" hidden="false" customHeight="true" outlineLevel="0" collapsed="false">
      <c r="A2820" s="10"/>
      <c r="B2820" s="8"/>
      <c r="C2820" s="13" t="str">
        <f aca="false">IF($B2820="","",IFERROR(INDEX(직원목록!$B$3:$B$302,MATCH($B2820,직원목록!$A$3:$A$302,0)),"미등록사번"))</f>
        <v/>
      </c>
      <c r="D2820" s="13" t="str">
        <f aca="false">IF($B2820="","",IFERROR(INDEX(직원목록!$C$3:$C$302,MATCH($B2820,직원목록!$A$3:$A$302,0)),""))</f>
        <v/>
      </c>
      <c r="E2820" s="14"/>
      <c r="F2820" s="14"/>
      <c r="G2820" s="15"/>
      <c r="H2820" s="16" t="str">
        <f aca="false">IF(OR($K2820="",$L2820=""),"",ROUND(MAX(0,($L2820-$K2820)-IF($G2820="",0,$G2820))/60,2))</f>
        <v/>
      </c>
      <c r="I2820" s="8"/>
      <c r="J2820" s="8"/>
      <c r="K2820" s="17" t="str">
        <f aca="false">IF($E2820="","",IF($E2820&lt;1,ROUND($E2820*1440,0),INT($E2820/100)*60+MOD($E2820,100)))</f>
        <v/>
      </c>
      <c r="L2820" s="17" t="str">
        <f aca="false">IF($F2820="","",IF($F2820&lt;1,ROUND($F2820*1440,0),INT($F2820/100)*60+MOD($F2820,100)))</f>
        <v/>
      </c>
    </row>
    <row r="2821" customFormat="false" ht="15" hidden="false" customHeight="true" outlineLevel="0" collapsed="false">
      <c r="A2821" s="10"/>
      <c r="B2821" s="8"/>
      <c r="C2821" s="13" t="str">
        <f aca="false">IF($B2821="","",IFERROR(INDEX(직원목록!$B$3:$B$302,MATCH($B2821,직원목록!$A$3:$A$302,0)),"미등록사번"))</f>
        <v/>
      </c>
      <c r="D2821" s="13" t="str">
        <f aca="false">IF($B2821="","",IFERROR(INDEX(직원목록!$C$3:$C$302,MATCH($B2821,직원목록!$A$3:$A$302,0)),""))</f>
        <v/>
      </c>
      <c r="E2821" s="14"/>
      <c r="F2821" s="14"/>
      <c r="G2821" s="15"/>
      <c r="H2821" s="16" t="str">
        <f aca="false">IF(OR($K2821="",$L2821=""),"",ROUND(MAX(0,($L2821-$K2821)-IF($G2821="",0,$G2821))/60,2))</f>
        <v/>
      </c>
      <c r="I2821" s="8"/>
      <c r="J2821" s="8"/>
      <c r="K2821" s="17" t="str">
        <f aca="false">IF($E2821="","",IF($E2821&lt;1,ROUND($E2821*1440,0),INT($E2821/100)*60+MOD($E2821,100)))</f>
        <v/>
      </c>
      <c r="L2821" s="17" t="str">
        <f aca="false">IF($F2821="","",IF($F2821&lt;1,ROUND($F2821*1440,0),INT($F2821/100)*60+MOD($F2821,100)))</f>
        <v/>
      </c>
    </row>
    <row r="2822" customFormat="false" ht="15" hidden="false" customHeight="true" outlineLevel="0" collapsed="false">
      <c r="A2822" s="10"/>
      <c r="B2822" s="8"/>
      <c r="C2822" s="13" t="str">
        <f aca="false">IF($B2822="","",IFERROR(INDEX(직원목록!$B$3:$B$302,MATCH($B2822,직원목록!$A$3:$A$302,0)),"미등록사번"))</f>
        <v/>
      </c>
      <c r="D2822" s="13" t="str">
        <f aca="false">IF($B2822="","",IFERROR(INDEX(직원목록!$C$3:$C$302,MATCH($B2822,직원목록!$A$3:$A$302,0)),""))</f>
        <v/>
      </c>
      <c r="E2822" s="14"/>
      <c r="F2822" s="14"/>
      <c r="G2822" s="15"/>
      <c r="H2822" s="16" t="str">
        <f aca="false">IF(OR($K2822="",$L2822=""),"",ROUND(MAX(0,($L2822-$K2822)-IF($G2822="",0,$G2822))/60,2))</f>
        <v/>
      </c>
      <c r="I2822" s="8"/>
      <c r="J2822" s="8"/>
      <c r="K2822" s="17" t="str">
        <f aca="false">IF($E2822="","",IF($E2822&lt;1,ROUND($E2822*1440,0),INT($E2822/100)*60+MOD($E2822,100)))</f>
        <v/>
      </c>
      <c r="L2822" s="17" t="str">
        <f aca="false">IF($F2822="","",IF($F2822&lt;1,ROUND($F2822*1440,0),INT($F2822/100)*60+MOD($F2822,100)))</f>
        <v/>
      </c>
    </row>
    <row r="2823" customFormat="false" ht="15" hidden="false" customHeight="true" outlineLevel="0" collapsed="false">
      <c r="A2823" s="10"/>
      <c r="B2823" s="8"/>
      <c r="C2823" s="13" t="str">
        <f aca="false">IF($B2823="","",IFERROR(INDEX(직원목록!$B$3:$B$302,MATCH($B2823,직원목록!$A$3:$A$302,0)),"미등록사번"))</f>
        <v/>
      </c>
      <c r="D2823" s="13" t="str">
        <f aca="false">IF($B2823="","",IFERROR(INDEX(직원목록!$C$3:$C$302,MATCH($B2823,직원목록!$A$3:$A$302,0)),""))</f>
        <v/>
      </c>
      <c r="E2823" s="14"/>
      <c r="F2823" s="14"/>
      <c r="G2823" s="15"/>
      <c r="H2823" s="16" t="str">
        <f aca="false">IF(OR($K2823="",$L2823=""),"",ROUND(MAX(0,($L2823-$K2823)-IF($G2823="",0,$G2823))/60,2))</f>
        <v/>
      </c>
      <c r="I2823" s="8"/>
      <c r="J2823" s="8"/>
      <c r="K2823" s="17" t="str">
        <f aca="false">IF($E2823="","",IF($E2823&lt;1,ROUND($E2823*1440,0),INT($E2823/100)*60+MOD($E2823,100)))</f>
        <v/>
      </c>
      <c r="L2823" s="17" t="str">
        <f aca="false">IF($F2823="","",IF($F2823&lt;1,ROUND($F2823*1440,0),INT($F2823/100)*60+MOD($F2823,100)))</f>
        <v/>
      </c>
    </row>
    <row r="2824" customFormat="false" ht="15" hidden="false" customHeight="true" outlineLevel="0" collapsed="false">
      <c r="A2824" s="10"/>
      <c r="B2824" s="8"/>
      <c r="C2824" s="13" t="str">
        <f aca="false">IF($B2824="","",IFERROR(INDEX(직원목록!$B$3:$B$302,MATCH($B2824,직원목록!$A$3:$A$302,0)),"미등록사번"))</f>
        <v/>
      </c>
      <c r="D2824" s="13" t="str">
        <f aca="false">IF($B2824="","",IFERROR(INDEX(직원목록!$C$3:$C$302,MATCH($B2824,직원목록!$A$3:$A$302,0)),""))</f>
        <v/>
      </c>
      <c r="E2824" s="14"/>
      <c r="F2824" s="14"/>
      <c r="G2824" s="15"/>
      <c r="H2824" s="16" t="str">
        <f aca="false">IF(OR($K2824="",$L2824=""),"",ROUND(MAX(0,($L2824-$K2824)-IF($G2824="",0,$G2824))/60,2))</f>
        <v/>
      </c>
      <c r="I2824" s="8"/>
      <c r="J2824" s="8"/>
      <c r="K2824" s="17" t="str">
        <f aca="false">IF($E2824="","",IF($E2824&lt;1,ROUND($E2824*1440,0),INT($E2824/100)*60+MOD($E2824,100)))</f>
        <v/>
      </c>
      <c r="L2824" s="17" t="str">
        <f aca="false">IF($F2824="","",IF($F2824&lt;1,ROUND($F2824*1440,0),INT($F2824/100)*60+MOD($F2824,100)))</f>
        <v/>
      </c>
    </row>
    <row r="2825" customFormat="false" ht="15" hidden="false" customHeight="true" outlineLevel="0" collapsed="false">
      <c r="A2825" s="10"/>
      <c r="B2825" s="8"/>
      <c r="C2825" s="13" t="str">
        <f aca="false">IF($B2825="","",IFERROR(INDEX(직원목록!$B$3:$B$302,MATCH($B2825,직원목록!$A$3:$A$302,0)),"미등록사번"))</f>
        <v/>
      </c>
      <c r="D2825" s="13" t="str">
        <f aca="false">IF($B2825="","",IFERROR(INDEX(직원목록!$C$3:$C$302,MATCH($B2825,직원목록!$A$3:$A$302,0)),""))</f>
        <v/>
      </c>
      <c r="E2825" s="14"/>
      <c r="F2825" s="14"/>
      <c r="G2825" s="15"/>
      <c r="H2825" s="16" t="str">
        <f aca="false">IF(OR($K2825="",$L2825=""),"",ROUND(MAX(0,($L2825-$K2825)-IF($G2825="",0,$G2825))/60,2))</f>
        <v/>
      </c>
      <c r="I2825" s="8"/>
      <c r="J2825" s="8"/>
      <c r="K2825" s="17" t="str">
        <f aca="false">IF($E2825="","",IF($E2825&lt;1,ROUND($E2825*1440,0),INT($E2825/100)*60+MOD($E2825,100)))</f>
        <v/>
      </c>
      <c r="L2825" s="17" t="str">
        <f aca="false">IF($F2825="","",IF($F2825&lt;1,ROUND($F2825*1440,0),INT($F2825/100)*60+MOD($F2825,100)))</f>
        <v/>
      </c>
    </row>
    <row r="2826" customFormat="false" ht="15" hidden="false" customHeight="true" outlineLevel="0" collapsed="false">
      <c r="A2826" s="10"/>
      <c r="B2826" s="8"/>
      <c r="C2826" s="13" t="str">
        <f aca="false">IF($B2826="","",IFERROR(INDEX(직원목록!$B$3:$B$302,MATCH($B2826,직원목록!$A$3:$A$302,0)),"미등록사번"))</f>
        <v/>
      </c>
      <c r="D2826" s="13" t="str">
        <f aca="false">IF($B2826="","",IFERROR(INDEX(직원목록!$C$3:$C$302,MATCH($B2826,직원목록!$A$3:$A$302,0)),""))</f>
        <v/>
      </c>
      <c r="E2826" s="14"/>
      <c r="F2826" s="14"/>
      <c r="G2826" s="15"/>
      <c r="H2826" s="16" t="str">
        <f aca="false">IF(OR($K2826="",$L2826=""),"",ROUND(MAX(0,($L2826-$K2826)-IF($G2826="",0,$G2826))/60,2))</f>
        <v/>
      </c>
      <c r="I2826" s="8"/>
      <c r="J2826" s="8"/>
      <c r="K2826" s="17" t="str">
        <f aca="false">IF($E2826="","",IF($E2826&lt;1,ROUND($E2826*1440,0),INT($E2826/100)*60+MOD($E2826,100)))</f>
        <v/>
      </c>
      <c r="L2826" s="17" t="str">
        <f aca="false">IF($F2826="","",IF($F2826&lt;1,ROUND($F2826*1440,0),INT($F2826/100)*60+MOD($F2826,100)))</f>
        <v/>
      </c>
    </row>
    <row r="2827" customFormat="false" ht="15" hidden="false" customHeight="true" outlineLevel="0" collapsed="false">
      <c r="A2827" s="10"/>
      <c r="B2827" s="8"/>
      <c r="C2827" s="13" t="str">
        <f aca="false">IF($B2827="","",IFERROR(INDEX(직원목록!$B$3:$B$302,MATCH($B2827,직원목록!$A$3:$A$302,0)),"미등록사번"))</f>
        <v/>
      </c>
      <c r="D2827" s="13" t="str">
        <f aca="false">IF($B2827="","",IFERROR(INDEX(직원목록!$C$3:$C$302,MATCH($B2827,직원목록!$A$3:$A$302,0)),""))</f>
        <v/>
      </c>
      <c r="E2827" s="14"/>
      <c r="F2827" s="14"/>
      <c r="G2827" s="15"/>
      <c r="H2827" s="16" t="str">
        <f aca="false">IF(OR($K2827="",$L2827=""),"",ROUND(MAX(0,($L2827-$K2827)-IF($G2827="",0,$G2827))/60,2))</f>
        <v/>
      </c>
      <c r="I2827" s="8"/>
      <c r="J2827" s="8"/>
      <c r="K2827" s="17" t="str">
        <f aca="false">IF($E2827="","",IF($E2827&lt;1,ROUND($E2827*1440,0),INT($E2827/100)*60+MOD($E2827,100)))</f>
        <v/>
      </c>
      <c r="L2827" s="17" t="str">
        <f aca="false">IF($F2827="","",IF($F2827&lt;1,ROUND($F2827*1440,0),INT($F2827/100)*60+MOD($F2827,100)))</f>
        <v/>
      </c>
    </row>
    <row r="2828" customFormat="false" ht="15" hidden="false" customHeight="true" outlineLevel="0" collapsed="false">
      <c r="A2828" s="10"/>
      <c r="B2828" s="8"/>
      <c r="C2828" s="13" t="str">
        <f aca="false">IF($B2828="","",IFERROR(INDEX(직원목록!$B$3:$B$302,MATCH($B2828,직원목록!$A$3:$A$302,0)),"미등록사번"))</f>
        <v/>
      </c>
      <c r="D2828" s="13" t="str">
        <f aca="false">IF($B2828="","",IFERROR(INDEX(직원목록!$C$3:$C$302,MATCH($B2828,직원목록!$A$3:$A$302,0)),""))</f>
        <v/>
      </c>
      <c r="E2828" s="14"/>
      <c r="F2828" s="14"/>
      <c r="G2828" s="15"/>
      <c r="H2828" s="16" t="str">
        <f aca="false">IF(OR($K2828="",$L2828=""),"",ROUND(MAX(0,($L2828-$K2828)-IF($G2828="",0,$G2828))/60,2))</f>
        <v/>
      </c>
      <c r="I2828" s="8"/>
      <c r="J2828" s="8"/>
      <c r="K2828" s="17" t="str">
        <f aca="false">IF($E2828="","",IF($E2828&lt;1,ROUND($E2828*1440,0),INT($E2828/100)*60+MOD($E2828,100)))</f>
        <v/>
      </c>
      <c r="L2828" s="17" t="str">
        <f aca="false">IF($F2828="","",IF($F2828&lt;1,ROUND($F2828*1440,0),INT($F2828/100)*60+MOD($F2828,100)))</f>
        <v/>
      </c>
    </row>
    <row r="2829" customFormat="false" ht="15" hidden="false" customHeight="true" outlineLevel="0" collapsed="false">
      <c r="A2829" s="10"/>
      <c r="B2829" s="8"/>
      <c r="C2829" s="13" t="str">
        <f aca="false">IF($B2829="","",IFERROR(INDEX(직원목록!$B$3:$B$302,MATCH($B2829,직원목록!$A$3:$A$302,0)),"미등록사번"))</f>
        <v/>
      </c>
      <c r="D2829" s="13" t="str">
        <f aca="false">IF($B2829="","",IFERROR(INDEX(직원목록!$C$3:$C$302,MATCH($B2829,직원목록!$A$3:$A$302,0)),""))</f>
        <v/>
      </c>
      <c r="E2829" s="14"/>
      <c r="F2829" s="14"/>
      <c r="G2829" s="15"/>
      <c r="H2829" s="16" t="str">
        <f aca="false">IF(OR($K2829="",$L2829=""),"",ROUND(MAX(0,($L2829-$K2829)-IF($G2829="",0,$G2829))/60,2))</f>
        <v/>
      </c>
      <c r="I2829" s="8"/>
      <c r="J2829" s="8"/>
      <c r="K2829" s="17" t="str">
        <f aca="false">IF($E2829="","",IF($E2829&lt;1,ROUND($E2829*1440,0),INT($E2829/100)*60+MOD($E2829,100)))</f>
        <v/>
      </c>
      <c r="L2829" s="17" t="str">
        <f aca="false">IF($F2829="","",IF($F2829&lt;1,ROUND($F2829*1440,0),INT($F2829/100)*60+MOD($F2829,100)))</f>
        <v/>
      </c>
    </row>
    <row r="2830" customFormat="false" ht="15" hidden="false" customHeight="true" outlineLevel="0" collapsed="false">
      <c r="A2830" s="10"/>
      <c r="B2830" s="8"/>
      <c r="C2830" s="13" t="str">
        <f aca="false">IF($B2830="","",IFERROR(INDEX(직원목록!$B$3:$B$302,MATCH($B2830,직원목록!$A$3:$A$302,0)),"미등록사번"))</f>
        <v/>
      </c>
      <c r="D2830" s="13" t="str">
        <f aca="false">IF($B2830="","",IFERROR(INDEX(직원목록!$C$3:$C$302,MATCH($B2830,직원목록!$A$3:$A$302,0)),""))</f>
        <v/>
      </c>
      <c r="E2830" s="14"/>
      <c r="F2830" s="14"/>
      <c r="G2830" s="15"/>
      <c r="H2830" s="16" t="str">
        <f aca="false">IF(OR($K2830="",$L2830=""),"",ROUND(MAX(0,($L2830-$K2830)-IF($G2830="",0,$G2830))/60,2))</f>
        <v/>
      </c>
      <c r="I2830" s="8"/>
      <c r="J2830" s="8"/>
      <c r="K2830" s="17" t="str">
        <f aca="false">IF($E2830="","",IF($E2830&lt;1,ROUND($E2830*1440,0),INT($E2830/100)*60+MOD($E2830,100)))</f>
        <v/>
      </c>
      <c r="L2830" s="17" t="str">
        <f aca="false">IF($F2830="","",IF($F2830&lt;1,ROUND($F2830*1440,0),INT($F2830/100)*60+MOD($F2830,100)))</f>
        <v/>
      </c>
    </row>
    <row r="2831" customFormat="false" ht="15" hidden="false" customHeight="true" outlineLevel="0" collapsed="false">
      <c r="A2831" s="10"/>
      <c r="B2831" s="8"/>
      <c r="C2831" s="13" t="str">
        <f aca="false">IF($B2831="","",IFERROR(INDEX(직원목록!$B$3:$B$302,MATCH($B2831,직원목록!$A$3:$A$302,0)),"미등록사번"))</f>
        <v/>
      </c>
      <c r="D2831" s="13" t="str">
        <f aca="false">IF($B2831="","",IFERROR(INDEX(직원목록!$C$3:$C$302,MATCH($B2831,직원목록!$A$3:$A$302,0)),""))</f>
        <v/>
      </c>
      <c r="E2831" s="14"/>
      <c r="F2831" s="14"/>
      <c r="G2831" s="15"/>
      <c r="H2831" s="16" t="str">
        <f aca="false">IF(OR($K2831="",$L2831=""),"",ROUND(MAX(0,($L2831-$K2831)-IF($G2831="",0,$G2831))/60,2))</f>
        <v/>
      </c>
      <c r="I2831" s="8"/>
      <c r="J2831" s="8"/>
      <c r="K2831" s="17" t="str">
        <f aca="false">IF($E2831="","",IF($E2831&lt;1,ROUND($E2831*1440,0),INT($E2831/100)*60+MOD($E2831,100)))</f>
        <v/>
      </c>
      <c r="L2831" s="17" t="str">
        <f aca="false">IF($F2831="","",IF($F2831&lt;1,ROUND($F2831*1440,0),INT($F2831/100)*60+MOD($F2831,100)))</f>
        <v/>
      </c>
    </row>
    <row r="2832" customFormat="false" ht="15" hidden="false" customHeight="true" outlineLevel="0" collapsed="false">
      <c r="A2832" s="10"/>
      <c r="B2832" s="8"/>
      <c r="C2832" s="13" t="str">
        <f aca="false">IF($B2832="","",IFERROR(INDEX(직원목록!$B$3:$B$302,MATCH($B2832,직원목록!$A$3:$A$302,0)),"미등록사번"))</f>
        <v/>
      </c>
      <c r="D2832" s="13" t="str">
        <f aca="false">IF($B2832="","",IFERROR(INDEX(직원목록!$C$3:$C$302,MATCH($B2832,직원목록!$A$3:$A$302,0)),""))</f>
        <v/>
      </c>
      <c r="E2832" s="14"/>
      <c r="F2832" s="14"/>
      <c r="G2832" s="15"/>
      <c r="H2832" s="16" t="str">
        <f aca="false">IF(OR($K2832="",$L2832=""),"",ROUND(MAX(0,($L2832-$K2832)-IF($G2832="",0,$G2832))/60,2))</f>
        <v/>
      </c>
      <c r="I2832" s="8"/>
      <c r="J2832" s="8"/>
      <c r="K2832" s="17" t="str">
        <f aca="false">IF($E2832="","",IF($E2832&lt;1,ROUND($E2832*1440,0),INT($E2832/100)*60+MOD($E2832,100)))</f>
        <v/>
      </c>
      <c r="L2832" s="17" t="str">
        <f aca="false">IF($F2832="","",IF($F2832&lt;1,ROUND($F2832*1440,0),INT($F2832/100)*60+MOD($F2832,100)))</f>
        <v/>
      </c>
    </row>
    <row r="2833" customFormat="false" ht="15" hidden="false" customHeight="true" outlineLevel="0" collapsed="false">
      <c r="A2833" s="10"/>
      <c r="B2833" s="8"/>
      <c r="C2833" s="13" t="str">
        <f aca="false">IF($B2833="","",IFERROR(INDEX(직원목록!$B$3:$B$302,MATCH($B2833,직원목록!$A$3:$A$302,0)),"미등록사번"))</f>
        <v/>
      </c>
      <c r="D2833" s="13" t="str">
        <f aca="false">IF($B2833="","",IFERROR(INDEX(직원목록!$C$3:$C$302,MATCH($B2833,직원목록!$A$3:$A$302,0)),""))</f>
        <v/>
      </c>
      <c r="E2833" s="14"/>
      <c r="F2833" s="14"/>
      <c r="G2833" s="15"/>
      <c r="H2833" s="16" t="str">
        <f aca="false">IF(OR($K2833="",$L2833=""),"",ROUND(MAX(0,($L2833-$K2833)-IF($G2833="",0,$G2833))/60,2))</f>
        <v/>
      </c>
      <c r="I2833" s="8"/>
      <c r="J2833" s="8"/>
      <c r="K2833" s="17" t="str">
        <f aca="false">IF($E2833="","",IF($E2833&lt;1,ROUND($E2833*1440,0),INT($E2833/100)*60+MOD($E2833,100)))</f>
        <v/>
      </c>
      <c r="L2833" s="17" t="str">
        <f aca="false">IF($F2833="","",IF($F2833&lt;1,ROUND($F2833*1440,0),INT($F2833/100)*60+MOD($F2833,100)))</f>
        <v/>
      </c>
    </row>
    <row r="2834" customFormat="false" ht="15" hidden="false" customHeight="true" outlineLevel="0" collapsed="false">
      <c r="A2834" s="10"/>
      <c r="B2834" s="8"/>
      <c r="C2834" s="13" t="str">
        <f aca="false">IF($B2834="","",IFERROR(INDEX(직원목록!$B$3:$B$302,MATCH($B2834,직원목록!$A$3:$A$302,0)),"미등록사번"))</f>
        <v/>
      </c>
      <c r="D2834" s="13" t="str">
        <f aca="false">IF($B2834="","",IFERROR(INDEX(직원목록!$C$3:$C$302,MATCH($B2834,직원목록!$A$3:$A$302,0)),""))</f>
        <v/>
      </c>
      <c r="E2834" s="14"/>
      <c r="F2834" s="14"/>
      <c r="G2834" s="15"/>
      <c r="H2834" s="16" t="str">
        <f aca="false">IF(OR($K2834="",$L2834=""),"",ROUND(MAX(0,($L2834-$K2834)-IF($G2834="",0,$G2834))/60,2))</f>
        <v/>
      </c>
      <c r="I2834" s="8"/>
      <c r="J2834" s="8"/>
      <c r="K2834" s="17" t="str">
        <f aca="false">IF($E2834="","",IF($E2834&lt;1,ROUND($E2834*1440,0),INT($E2834/100)*60+MOD($E2834,100)))</f>
        <v/>
      </c>
      <c r="L2834" s="17" t="str">
        <f aca="false">IF($F2834="","",IF($F2834&lt;1,ROUND($F2834*1440,0),INT($F2834/100)*60+MOD($F2834,100)))</f>
        <v/>
      </c>
    </row>
    <row r="2835" customFormat="false" ht="15" hidden="false" customHeight="true" outlineLevel="0" collapsed="false">
      <c r="A2835" s="10"/>
      <c r="B2835" s="8"/>
      <c r="C2835" s="13" t="str">
        <f aca="false">IF($B2835="","",IFERROR(INDEX(직원목록!$B$3:$B$302,MATCH($B2835,직원목록!$A$3:$A$302,0)),"미등록사번"))</f>
        <v/>
      </c>
      <c r="D2835" s="13" t="str">
        <f aca="false">IF($B2835="","",IFERROR(INDEX(직원목록!$C$3:$C$302,MATCH($B2835,직원목록!$A$3:$A$302,0)),""))</f>
        <v/>
      </c>
      <c r="E2835" s="14"/>
      <c r="F2835" s="14"/>
      <c r="G2835" s="15"/>
      <c r="H2835" s="16" t="str">
        <f aca="false">IF(OR($K2835="",$L2835=""),"",ROUND(MAX(0,($L2835-$K2835)-IF($G2835="",0,$G2835))/60,2))</f>
        <v/>
      </c>
      <c r="I2835" s="8"/>
      <c r="J2835" s="8"/>
      <c r="K2835" s="17" t="str">
        <f aca="false">IF($E2835="","",IF($E2835&lt;1,ROUND($E2835*1440,0),INT($E2835/100)*60+MOD($E2835,100)))</f>
        <v/>
      </c>
      <c r="L2835" s="17" t="str">
        <f aca="false">IF($F2835="","",IF($F2835&lt;1,ROUND($F2835*1440,0),INT($F2835/100)*60+MOD($F2835,100)))</f>
        <v/>
      </c>
    </row>
    <row r="2836" customFormat="false" ht="15" hidden="false" customHeight="true" outlineLevel="0" collapsed="false">
      <c r="A2836" s="10"/>
      <c r="B2836" s="8"/>
      <c r="C2836" s="13" t="str">
        <f aca="false">IF($B2836="","",IFERROR(INDEX(직원목록!$B$3:$B$302,MATCH($B2836,직원목록!$A$3:$A$302,0)),"미등록사번"))</f>
        <v/>
      </c>
      <c r="D2836" s="13" t="str">
        <f aca="false">IF($B2836="","",IFERROR(INDEX(직원목록!$C$3:$C$302,MATCH($B2836,직원목록!$A$3:$A$302,0)),""))</f>
        <v/>
      </c>
      <c r="E2836" s="14"/>
      <c r="F2836" s="14"/>
      <c r="G2836" s="15"/>
      <c r="H2836" s="16" t="str">
        <f aca="false">IF(OR($K2836="",$L2836=""),"",ROUND(MAX(0,($L2836-$K2836)-IF($G2836="",0,$G2836))/60,2))</f>
        <v/>
      </c>
      <c r="I2836" s="8"/>
      <c r="J2836" s="8"/>
      <c r="K2836" s="17" t="str">
        <f aca="false">IF($E2836="","",IF($E2836&lt;1,ROUND($E2836*1440,0),INT($E2836/100)*60+MOD($E2836,100)))</f>
        <v/>
      </c>
      <c r="L2836" s="17" t="str">
        <f aca="false">IF($F2836="","",IF($F2836&lt;1,ROUND($F2836*1440,0),INT($F2836/100)*60+MOD($F2836,100)))</f>
        <v/>
      </c>
    </row>
    <row r="2837" customFormat="false" ht="15" hidden="false" customHeight="true" outlineLevel="0" collapsed="false">
      <c r="A2837" s="10"/>
      <c r="B2837" s="8"/>
      <c r="C2837" s="13" t="str">
        <f aca="false">IF($B2837="","",IFERROR(INDEX(직원목록!$B$3:$B$302,MATCH($B2837,직원목록!$A$3:$A$302,0)),"미등록사번"))</f>
        <v/>
      </c>
      <c r="D2837" s="13" t="str">
        <f aca="false">IF($B2837="","",IFERROR(INDEX(직원목록!$C$3:$C$302,MATCH($B2837,직원목록!$A$3:$A$302,0)),""))</f>
        <v/>
      </c>
      <c r="E2837" s="14"/>
      <c r="F2837" s="14"/>
      <c r="G2837" s="15"/>
      <c r="H2837" s="16" t="str">
        <f aca="false">IF(OR($K2837="",$L2837=""),"",ROUND(MAX(0,($L2837-$K2837)-IF($G2837="",0,$G2837))/60,2))</f>
        <v/>
      </c>
      <c r="I2837" s="8"/>
      <c r="J2837" s="8"/>
      <c r="K2837" s="17" t="str">
        <f aca="false">IF($E2837="","",IF($E2837&lt;1,ROUND($E2837*1440,0),INT($E2837/100)*60+MOD($E2837,100)))</f>
        <v/>
      </c>
      <c r="L2837" s="17" t="str">
        <f aca="false">IF($F2837="","",IF($F2837&lt;1,ROUND($F2837*1440,0),INT($F2837/100)*60+MOD($F2837,100)))</f>
        <v/>
      </c>
    </row>
    <row r="2838" customFormat="false" ht="15" hidden="false" customHeight="true" outlineLevel="0" collapsed="false">
      <c r="A2838" s="10"/>
      <c r="B2838" s="8"/>
      <c r="C2838" s="13" t="str">
        <f aca="false">IF($B2838="","",IFERROR(INDEX(직원목록!$B$3:$B$302,MATCH($B2838,직원목록!$A$3:$A$302,0)),"미등록사번"))</f>
        <v/>
      </c>
      <c r="D2838" s="13" t="str">
        <f aca="false">IF($B2838="","",IFERROR(INDEX(직원목록!$C$3:$C$302,MATCH($B2838,직원목록!$A$3:$A$302,0)),""))</f>
        <v/>
      </c>
      <c r="E2838" s="14"/>
      <c r="F2838" s="14"/>
      <c r="G2838" s="15"/>
      <c r="H2838" s="16" t="str">
        <f aca="false">IF(OR($K2838="",$L2838=""),"",ROUND(MAX(0,($L2838-$K2838)-IF($G2838="",0,$G2838))/60,2))</f>
        <v/>
      </c>
      <c r="I2838" s="8"/>
      <c r="J2838" s="8"/>
      <c r="K2838" s="17" t="str">
        <f aca="false">IF($E2838="","",IF($E2838&lt;1,ROUND($E2838*1440,0),INT($E2838/100)*60+MOD($E2838,100)))</f>
        <v/>
      </c>
      <c r="L2838" s="17" t="str">
        <f aca="false">IF($F2838="","",IF($F2838&lt;1,ROUND($F2838*1440,0),INT($F2838/100)*60+MOD($F2838,100)))</f>
        <v/>
      </c>
    </row>
    <row r="2839" customFormat="false" ht="15" hidden="false" customHeight="true" outlineLevel="0" collapsed="false">
      <c r="A2839" s="10"/>
      <c r="B2839" s="8"/>
      <c r="C2839" s="13" t="str">
        <f aca="false">IF($B2839="","",IFERROR(INDEX(직원목록!$B$3:$B$302,MATCH($B2839,직원목록!$A$3:$A$302,0)),"미등록사번"))</f>
        <v/>
      </c>
      <c r="D2839" s="13" t="str">
        <f aca="false">IF($B2839="","",IFERROR(INDEX(직원목록!$C$3:$C$302,MATCH($B2839,직원목록!$A$3:$A$302,0)),""))</f>
        <v/>
      </c>
      <c r="E2839" s="14"/>
      <c r="F2839" s="14"/>
      <c r="G2839" s="15"/>
      <c r="H2839" s="16" t="str">
        <f aca="false">IF(OR($K2839="",$L2839=""),"",ROUND(MAX(0,($L2839-$K2839)-IF($G2839="",0,$G2839))/60,2))</f>
        <v/>
      </c>
      <c r="I2839" s="8"/>
      <c r="J2839" s="8"/>
      <c r="K2839" s="17" t="str">
        <f aca="false">IF($E2839="","",IF($E2839&lt;1,ROUND($E2839*1440,0),INT($E2839/100)*60+MOD($E2839,100)))</f>
        <v/>
      </c>
      <c r="L2839" s="17" t="str">
        <f aca="false">IF($F2839="","",IF($F2839&lt;1,ROUND($F2839*1440,0),INT($F2839/100)*60+MOD($F2839,100)))</f>
        <v/>
      </c>
    </row>
    <row r="2840" customFormat="false" ht="15" hidden="false" customHeight="true" outlineLevel="0" collapsed="false">
      <c r="A2840" s="10"/>
      <c r="B2840" s="8"/>
      <c r="C2840" s="13" t="str">
        <f aca="false">IF($B2840="","",IFERROR(INDEX(직원목록!$B$3:$B$302,MATCH($B2840,직원목록!$A$3:$A$302,0)),"미등록사번"))</f>
        <v/>
      </c>
      <c r="D2840" s="13" t="str">
        <f aca="false">IF($B2840="","",IFERROR(INDEX(직원목록!$C$3:$C$302,MATCH($B2840,직원목록!$A$3:$A$302,0)),""))</f>
        <v/>
      </c>
      <c r="E2840" s="14"/>
      <c r="F2840" s="14"/>
      <c r="G2840" s="15"/>
      <c r="H2840" s="16" t="str">
        <f aca="false">IF(OR($K2840="",$L2840=""),"",ROUND(MAX(0,($L2840-$K2840)-IF($G2840="",0,$G2840))/60,2))</f>
        <v/>
      </c>
      <c r="I2840" s="8"/>
      <c r="J2840" s="8"/>
      <c r="K2840" s="17" t="str">
        <f aca="false">IF($E2840="","",IF($E2840&lt;1,ROUND($E2840*1440,0),INT($E2840/100)*60+MOD($E2840,100)))</f>
        <v/>
      </c>
      <c r="L2840" s="17" t="str">
        <f aca="false">IF($F2840="","",IF($F2840&lt;1,ROUND($F2840*1440,0),INT($F2840/100)*60+MOD($F2840,100)))</f>
        <v/>
      </c>
    </row>
    <row r="2841" customFormat="false" ht="15" hidden="false" customHeight="true" outlineLevel="0" collapsed="false">
      <c r="A2841" s="10"/>
      <c r="B2841" s="8"/>
      <c r="C2841" s="13" t="str">
        <f aca="false">IF($B2841="","",IFERROR(INDEX(직원목록!$B$3:$B$302,MATCH($B2841,직원목록!$A$3:$A$302,0)),"미등록사번"))</f>
        <v/>
      </c>
      <c r="D2841" s="13" t="str">
        <f aca="false">IF($B2841="","",IFERROR(INDEX(직원목록!$C$3:$C$302,MATCH($B2841,직원목록!$A$3:$A$302,0)),""))</f>
        <v/>
      </c>
      <c r="E2841" s="14"/>
      <c r="F2841" s="14"/>
      <c r="G2841" s="15"/>
      <c r="H2841" s="16" t="str">
        <f aca="false">IF(OR($K2841="",$L2841=""),"",ROUND(MAX(0,($L2841-$K2841)-IF($G2841="",0,$G2841))/60,2))</f>
        <v/>
      </c>
      <c r="I2841" s="8"/>
      <c r="J2841" s="8"/>
      <c r="K2841" s="17" t="str">
        <f aca="false">IF($E2841="","",IF($E2841&lt;1,ROUND($E2841*1440,0),INT($E2841/100)*60+MOD($E2841,100)))</f>
        <v/>
      </c>
      <c r="L2841" s="17" t="str">
        <f aca="false">IF($F2841="","",IF($F2841&lt;1,ROUND($F2841*1440,0),INT($F2841/100)*60+MOD($F2841,100)))</f>
        <v/>
      </c>
    </row>
    <row r="2842" customFormat="false" ht="15" hidden="false" customHeight="true" outlineLevel="0" collapsed="false">
      <c r="A2842" s="10"/>
      <c r="B2842" s="8"/>
      <c r="C2842" s="13" t="str">
        <f aca="false">IF($B2842="","",IFERROR(INDEX(직원목록!$B$3:$B$302,MATCH($B2842,직원목록!$A$3:$A$302,0)),"미등록사번"))</f>
        <v/>
      </c>
      <c r="D2842" s="13" t="str">
        <f aca="false">IF($B2842="","",IFERROR(INDEX(직원목록!$C$3:$C$302,MATCH($B2842,직원목록!$A$3:$A$302,0)),""))</f>
        <v/>
      </c>
      <c r="E2842" s="14"/>
      <c r="F2842" s="14"/>
      <c r="G2842" s="15"/>
      <c r="H2842" s="16" t="str">
        <f aca="false">IF(OR($K2842="",$L2842=""),"",ROUND(MAX(0,($L2842-$K2842)-IF($G2842="",0,$G2842))/60,2))</f>
        <v/>
      </c>
      <c r="I2842" s="8"/>
      <c r="J2842" s="8"/>
      <c r="K2842" s="17" t="str">
        <f aca="false">IF($E2842="","",IF($E2842&lt;1,ROUND($E2842*1440,0),INT($E2842/100)*60+MOD($E2842,100)))</f>
        <v/>
      </c>
      <c r="L2842" s="17" t="str">
        <f aca="false">IF($F2842="","",IF($F2842&lt;1,ROUND($F2842*1440,0),INT($F2842/100)*60+MOD($F2842,100)))</f>
        <v/>
      </c>
    </row>
    <row r="2843" customFormat="false" ht="15" hidden="false" customHeight="true" outlineLevel="0" collapsed="false">
      <c r="A2843" s="10"/>
      <c r="B2843" s="8"/>
      <c r="C2843" s="13" t="str">
        <f aca="false">IF($B2843="","",IFERROR(INDEX(직원목록!$B$3:$B$302,MATCH($B2843,직원목록!$A$3:$A$302,0)),"미등록사번"))</f>
        <v/>
      </c>
      <c r="D2843" s="13" t="str">
        <f aca="false">IF($B2843="","",IFERROR(INDEX(직원목록!$C$3:$C$302,MATCH($B2843,직원목록!$A$3:$A$302,0)),""))</f>
        <v/>
      </c>
      <c r="E2843" s="14"/>
      <c r="F2843" s="14"/>
      <c r="G2843" s="15"/>
      <c r="H2843" s="16" t="str">
        <f aca="false">IF(OR($K2843="",$L2843=""),"",ROUND(MAX(0,($L2843-$K2843)-IF($G2843="",0,$G2843))/60,2))</f>
        <v/>
      </c>
      <c r="I2843" s="8"/>
      <c r="J2843" s="8"/>
      <c r="K2843" s="17" t="str">
        <f aca="false">IF($E2843="","",IF($E2843&lt;1,ROUND($E2843*1440,0),INT($E2843/100)*60+MOD($E2843,100)))</f>
        <v/>
      </c>
      <c r="L2843" s="17" t="str">
        <f aca="false">IF($F2843="","",IF($F2843&lt;1,ROUND($F2843*1440,0),INT($F2843/100)*60+MOD($F2843,100)))</f>
        <v/>
      </c>
    </row>
    <row r="2844" customFormat="false" ht="15" hidden="false" customHeight="true" outlineLevel="0" collapsed="false">
      <c r="A2844" s="10"/>
      <c r="B2844" s="8"/>
      <c r="C2844" s="13" t="str">
        <f aca="false">IF($B2844="","",IFERROR(INDEX(직원목록!$B$3:$B$302,MATCH($B2844,직원목록!$A$3:$A$302,0)),"미등록사번"))</f>
        <v/>
      </c>
      <c r="D2844" s="13" t="str">
        <f aca="false">IF($B2844="","",IFERROR(INDEX(직원목록!$C$3:$C$302,MATCH($B2844,직원목록!$A$3:$A$302,0)),""))</f>
        <v/>
      </c>
      <c r="E2844" s="14"/>
      <c r="F2844" s="14"/>
      <c r="G2844" s="15"/>
      <c r="H2844" s="16" t="str">
        <f aca="false">IF(OR($K2844="",$L2844=""),"",ROUND(MAX(0,($L2844-$K2844)-IF($G2844="",0,$G2844))/60,2))</f>
        <v/>
      </c>
      <c r="I2844" s="8"/>
      <c r="J2844" s="8"/>
      <c r="K2844" s="17" t="str">
        <f aca="false">IF($E2844="","",IF($E2844&lt;1,ROUND($E2844*1440,0),INT($E2844/100)*60+MOD($E2844,100)))</f>
        <v/>
      </c>
      <c r="L2844" s="17" t="str">
        <f aca="false">IF($F2844="","",IF($F2844&lt;1,ROUND($F2844*1440,0),INT($F2844/100)*60+MOD($F2844,100)))</f>
        <v/>
      </c>
    </row>
    <row r="2845" customFormat="false" ht="15" hidden="false" customHeight="true" outlineLevel="0" collapsed="false">
      <c r="A2845" s="10"/>
      <c r="B2845" s="8"/>
      <c r="C2845" s="13" t="str">
        <f aca="false">IF($B2845="","",IFERROR(INDEX(직원목록!$B$3:$B$302,MATCH($B2845,직원목록!$A$3:$A$302,0)),"미등록사번"))</f>
        <v/>
      </c>
      <c r="D2845" s="13" t="str">
        <f aca="false">IF($B2845="","",IFERROR(INDEX(직원목록!$C$3:$C$302,MATCH($B2845,직원목록!$A$3:$A$302,0)),""))</f>
        <v/>
      </c>
      <c r="E2845" s="14"/>
      <c r="F2845" s="14"/>
      <c r="G2845" s="15"/>
      <c r="H2845" s="16" t="str">
        <f aca="false">IF(OR($K2845="",$L2845=""),"",ROUND(MAX(0,($L2845-$K2845)-IF($G2845="",0,$G2845))/60,2))</f>
        <v/>
      </c>
      <c r="I2845" s="8"/>
      <c r="J2845" s="8"/>
      <c r="K2845" s="17" t="str">
        <f aca="false">IF($E2845="","",IF($E2845&lt;1,ROUND($E2845*1440,0),INT($E2845/100)*60+MOD($E2845,100)))</f>
        <v/>
      </c>
      <c r="L2845" s="17" t="str">
        <f aca="false">IF($F2845="","",IF($F2845&lt;1,ROUND($F2845*1440,0),INT($F2845/100)*60+MOD($F2845,100)))</f>
        <v/>
      </c>
    </row>
    <row r="2846" customFormat="false" ht="15" hidden="false" customHeight="true" outlineLevel="0" collapsed="false">
      <c r="A2846" s="10"/>
      <c r="B2846" s="8"/>
      <c r="C2846" s="13" t="str">
        <f aca="false">IF($B2846="","",IFERROR(INDEX(직원목록!$B$3:$B$302,MATCH($B2846,직원목록!$A$3:$A$302,0)),"미등록사번"))</f>
        <v/>
      </c>
      <c r="D2846" s="13" t="str">
        <f aca="false">IF($B2846="","",IFERROR(INDEX(직원목록!$C$3:$C$302,MATCH($B2846,직원목록!$A$3:$A$302,0)),""))</f>
        <v/>
      </c>
      <c r="E2846" s="14"/>
      <c r="F2846" s="14"/>
      <c r="G2846" s="15"/>
      <c r="H2846" s="16" t="str">
        <f aca="false">IF(OR($K2846="",$L2846=""),"",ROUND(MAX(0,($L2846-$K2846)-IF($G2846="",0,$G2846))/60,2))</f>
        <v/>
      </c>
      <c r="I2846" s="8"/>
      <c r="J2846" s="8"/>
      <c r="K2846" s="17" t="str">
        <f aca="false">IF($E2846="","",IF($E2846&lt;1,ROUND($E2846*1440,0),INT($E2846/100)*60+MOD($E2846,100)))</f>
        <v/>
      </c>
      <c r="L2846" s="17" t="str">
        <f aca="false">IF($F2846="","",IF($F2846&lt;1,ROUND($F2846*1440,0),INT($F2846/100)*60+MOD($F2846,100)))</f>
        <v/>
      </c>
    </row>
    <row r="2847" customFormat="false" ht="15" hidden="false" customHeight="true" outlineLevel="0" collapsed="false">
      <c r="A2847" s="10"/>
      <c r="B2847" s="8"/>
      <c r="C2847" s="13" t="str">
        <f aca="false">IF($B2847="","",IFERROR(INDEX(직원목록!$B$3:$B$302,MATCH($B2847,직원목록!$A$3:$A$302,0)),"미등록사번"))</f>
        <v/>
      </c>
      <c r="D2847" s="13" t="str">
        <f aca="false">IF($B2847="","",IFERROR(INDEX(직원목록!$C$3:$C$302,MATCH($B2847,직원목록!$A$3:$A$302,0)),""))</f>
        <v/>
      </c>
      <c r="E2847" s="14"/>
      <c r="F2847" s="14"/>
      <c r="G2847" s="15"/>
      <c r="H2847" s="16" t="str">
        <f aca="false">IF(OR($K2847="",$L2847=""),"",ROUND(MAX(0,($L2847-$K2847)-IF($G2847="",0,$G2847))/60,2))</f>
        <v/>
      </c>
      <c r="I2847" s="8"/>
      <c r="J2847" s="8"/>
      <c r="K2847" s="17" t="str">
        <f aca="false">IF($E2847="","",IF($E2847&lt;1,ROUND($E2847*1440,0),INT($E2847/100)*60+MOD($E2847,100)))</f>
        <v/>
      </c>
      <c r="L2847" s="17" t="str">
        <f aca="false">IF($F2847="","",IF($F2847&lt;1,ROUND($F2847*1440,0),INT($F2847/100)*60+MOD($F2847,100)))</f>
        <v/>
      </c>
    </row>
    <row r="2848" customFormat="false" ht="15" hidden="false" customHeight="true" outlineLevel="0" collapsed="false">
      <c r="A2848" s="10"/>
      <c r="B2848" s="8"/>
      <c r="C2848" s="13" t="str">
        <f aca="false">IF($B2848="","",IFERROR(INDEX(직원목록!$B$3:$B$302,MATCH($B2848,직원목록!$A$3:$A$302,0)),"미등록사번"))</f>
        <v/>
      </c>
      <c r="D2848" s="13" t="str">
        <f aca="false">IF($B2848="","",IFERROR(INDEX(직원목록!$C$3:$C$302,MATCH($B2848,직원목록!$A$3:$A$302,0)),""))</f>
        <v/>
      </c>
      <c r="E2848" s="14"/>
      <c r="F2848" s="14"/>
      <c r="G2848" s="15"/>
      <c r="H2848" s="16" t="str">
        <f aca="false">IF(OR($K2848="",$L2848=""),"",ROUND(MAX(0,($L2848-$K2848)-IF($G2848="",0,$G2848))/60,2))</f>
        <v/>
      </c>
      <c r="I2848" s="8"/>
      <c r="J2848" s="8"/>
      <c r="K2848" s="17" t="str">
        <f aca="false">IF($E2848="","",IF($E2848&lt;1,ROUND($E2848*1440,0),INT($E2848/100)*60+MOD($E2848,100)))</f>
        <v/>
      </c>
      <c r="L2848" s="17" t="str">
        <f aca="false">IF($F2848="","",IF($F2848&lt;1,ROUND($F2848*1440,0),INT($F2848/100)*60+MOD($F2848,100)))</f>
        <v/>
      </c>
    </row>
    <row r="2849" customFormat="false" ht="15" hidden="false" customHeight="true" outlineLevel="0" collapsed="false">
      <c r="A2849" s="10"/>
      <c r="B2849" s="8"/>
      <c r="C2849" s="13" t="str">
        <f aca="false">IF($B2849="","",IFERROR(INDEX(직원목록!$B$3:$B$302,MATCH($B2849,직원목록!$A$3:$A$302,0)),"미등록사번"))</f>
        <v/>
      </c>
      <c r="D2849" s="13" t="str">
        <f aca="false">IF($B2849="","",IFERROR(INDEX(직원목록!$C$3:$C$302,MATCH($B2849,직원목록!$A$3:$A$302,0)),""))</f>
        <v/>
      </c>
      <c r="E2849" s="14"/>
      <c r="F2849" s="14"/>
      <c r="G2849" s="15"/>
      <c r="H2849" s="16" t="str">
        <f aca="false">IF(OR($K2849="",$L2849=""),"",ROUND(MAX(0,($L2849-$K2849)-IF($G2849="",0,$G2849))/60,2))</f>
        <v/>
      </c>
      <c r="I2849" s="8"/>
      <c r="J2849" s="8"/>
      <c r="K2849" s="17" t="str">
        <f aca="false">IF($E2849="","",IF($E2849&lt;1,ROUND($E2849*1440,0),INT($E2849/100)*60+MOD($E2849,100)))</f>
        <v/>
      </c>
      <c r="L2849" s="17" t="str">
        <f aca="false">IF($F2849="","",IF($F2849&lt;1,ROUND($F2849*1440,0),INT($F2849/100)*60+MOD($F2849,100)))</f>
        <v/>
      </c>
    </row>
    <row r="2850" customFormat="false" ht="15" hidden="false" customHeight="true" outlineLevel="0" collapsed="false">
      <c r="A2850" s="10"/>
      <c r="B2850" s="8"/>
      <c r="C2850" s="13" t="str">
        <f aca="false">IF($B2850="","",IFERROR(INDEX(직원목록!$B$3:$B$302,MATCH($B2850,직원목록!$A$3:$A$302,0)),"미등록사번"))</f>
        <v/>
      </c>
      <c r="D2850" s="13" t="str">
        <f aca="false">IF($B2850="","",IFERROR(INDEX(직원목록!$C$3:$C$302,MATCH($B2850,직원목록!$A$3:$A$302,0)),""))</f>
        <v/>
      </c>
      <c r="E2850" s="14"/>
      <c r="F2850" s="14"/>
      <c r="G2850" s="15"/>
      <c r="H2850" s="16" t="str">
        <f aca="false">IF(OR($K2850="",$L2850=""),"",ROUND(MAX(0,($L2850-$K2850)-IF($G2850="",0,$G2850))/60,2))</f>
        <v/>
      </c>
      <c r="I2850" s="8"/>
      <c r="J2850" s="8"/>
      <c r="K2850" s="17" t="str">
        <f aca="false">IF($E2850="","",IF($E2850&lt;1,ROUND($E2850*1440,0),INT($E2850/100)*60+MOD($E2850,100)))</f>
        <v/>
      </c>
      <c r="L2850" s="17" t="str">
        <f aca="false">IF($F2850="","",IF($F2850&lt;1,ROUND($F2850*1440,0),INT($F2850/100)*60+MOD($F2850,100)))</f>
        <v/>
      </c>
    </row>
    <row r="2851" customFormat="false" ht="15" hidden="false" customHeight="true" outlineLevel="0" collapsed="false">
      <c r="A2851" s="10"/>
      <c r="B2851" s="8"/>
      <c r="C2851" s="13" t="str">
        <f aca="false">IF($B2851="","",IFERROR(INDEX(직원목록!$B$3:$B$302,MATCH($B2851,직원목록!$A$3:$A$302,0)),"미등록사번"))</f>
        <v/>
      </c>
      <c r="D2851" s="13" t="str">
        <f aca="false">IF($B2851="","",IFERROR(INDEX(직원목록!$C$3:$C$302,MATCH($B2851,직원목록!$A$3:$A$302,0)),""))</f>
        <v/>
      </c>
      <c r="E2851" s="14"/>
      <c r="F2851" s="14"/>
      <c r="G2851" s="15"/>
      <c r="H2851" s="16" t="str">
        <f aca="false">IF(OR($K2851="",$L2851=""),"",ROUND(MAX(0,($L2851-$K2851)-IF($G2851="",0,$G2851))/60,2))</f>
        <v/>
      </c>
      <c r="I2851" s="8"/>
      <c r="J2851" s="8"/>
      <c r="K2851" s="17" t="str">
        <f aca="false">IF($E2851="","",IF($E2851&lt;1,ROUND($E2851*1440,0),INT($E2851/100)*60+MOD($E2851,100)))</f>
        <v/>
      </c>
      <c r="L2851" s="17" t="str">
        <f aca="false">IF($F2851="","",IF($F2851&lt;1,ROUND($F2851*1440,0),INT($F2851/100)*60+MOD($F2851,100)))</f>
        <v/>
      </c>
    </row>
    <row r="2852" customFormat="false" ht="15" hidden="false" customHeight="true" outlineLevel="0" collapsed="false">
      <c r="A2852" s="10"/>
      <c r="B2852" s="8"/>
      <c r="C2852" s="13" t="str">
        <f aca="false">IF($B2852="","",IFERROR(INDEX(직원목록!$B$3:$B$302,MATCH($B2852,직원목록!$A$3:$A$302,0)),"미등록사번"))</f>
        <v/>
      </c>
      <c r="D2852" s="13" t="str">
        <f aca="false">IF($B2852="","",IFERROR(INDEX(직원목록!$C$3:$C$302,MATCH($B2852,직원목록!$A$3:$A$302,0)),""))</f>
        <v/>
      </c>
      <c r="E2852" s="14"/>
      <c r="F2852" s="14"/>
      <c r="G2852" s="15"/>
      <c r="H2852" s="16" t="str">
        <f aca="false">IF(OR($K2852="",$L2852=""),"",ROUND(MAX(0,($L2852-$K2852)-IF($G2852="",0,$G2852))/60,2))</f>
        <v/>
      </c>
      <c r="I2852" s="8"/>
      <c r="J2852" s="8"/>
      <c r="K2852" s="17" t="str">
        <f aca="false">IF($E2852="","",IF($E2852&lt;1,ROUND($E2852*1440,0),INT($E2852/100)*60+MOD($E2852,100)))</f>
        <v/>
      </c>
      <c r="L2852" s="17" t="str">
        <f aca="false">IF($F2852="","",IF($F2852&lt;1,ROUND($F2852*1440,0),INT($F2852/100)*60+MOD($F2852,100)))</f>
        <v/>
      </c>
    </row>
    <row r="2853" customFormat="false" ht="15" hidden="false" customHeight="true" outlineLevel="0" collapsed="false">
      <c r="A2853" s="10"/>
      <c r="B2853" s="8"/>
      <c r="C2853" s="13" t="str">
        <f aca="false">IF($B2853="","",IFERROR(INDEX(직원목록!$B$3:$B$302,MATCH($B2853,직원목록!$A$3:$A$302,0)),"미등록사번"))</f>
        <v/>
      </c>
      <c r="D2853" s="13" t="str">
        <f aca="false">IF($B2853="","",IFERROR(INDEX(직원목록!$C$3:$C$302,MATCH($B2853,직원목록!$A$3:$A$302,0)),""))</f>
        <v/>
      </c>
      <c r="E2853" s="14"/>
      <c r="F2853" s="14"/>
      <c r="G2853" s="15"/>
      <c r="H2853" s="16" t="str">
        <f aca="false">IF(OR($K2853="",$L2853=""),"",ROUND(MAX(0,($L2853-$K2853)-IF($G2853="",0,$G2853))/60,2))</f>
        <v/>
      </c>
      <c r="I2853" s="8"/>
      <c r="J2853" s="8"/>
      <c r="K2853" s="17" t="str">
        <f aca="false">IF($E2853="","",IF($E2853&lt;1,ROUND($E2853*1440,0),INT($E2853/100)*60+MOD($E2853,100)))</f>
        <v/>
      </c>
      <c r="L2853" s="17" t="str">
        <f aca="false">IF($F2853="","",IF($F2853&lt;1,ROUND($F2853*1440,0),INT($F2853/100)*60+MOD($F2853,100)))</f>
        <v/>
      </c>
    </row>
    <row r="2854" customFormat="false" ht="15" hidden="false" customHeight="true" outlineLevel="0" collapsed="false">
      <c r="A2854" s="10"/>
      <c r="B2854" s="8"/>
      <c r="C2854" s="13" t="str">
        <f aca="false">IF($B2854="","",IFERROR(INDEX(직원목록!$B$3:$B$302,MATCH($B2854,직원목록!$A$3:$A$302,0)),"미등록사번"))</f>
        <v/>
      </c>
      <c r="D2854" s="13" t="str">
        <f aca="false">IF($B2854="","",IFERROR(INDEX(직원목록!$C$3:$C$302,MATCH($B2854,직원목록!$A$3:$A$302,0)),""))</f>
        <v/>
      </c>
      <c r="E2854" s="14"/>
      <c r="F2854" s="14"/>
      <c r="G2854" s="15"/>
      <c r="H2854" s="16" t="str">
        <f aca="false">IF(OR($K2854="",$L2854=""),"",ROUND(MAX(0,($L2854-$K2854)-IF($G2854="",0,$G2854))/60,2))</f>
        <v/>
      </c>
      <c r="I2854" s="8"/>
      <c r="J2854" s="8"/>
      <c r="K2854" s="17" t="str">
        <f aca="false">IF($E2854="","",IF($E2854&lt;1,ROUND($E2854*1440,0),INT($E2854/100)*60+MOD($E2854,100)))</f>
        <v/>
      </c>
      <c r="L2854" s="17" t="str">
        <f aca="false">IF($F2854="","",IF($F2854&lt;1,ROUND($F2854*1440,0),INT($F2854/100)*60+MOD($F2854,100)))</f>
        <v/>
      </c>
    </row>
    <row r="2855" customFormat="false" ht="15" hidden="false" customHeight="true" outlineLevel="0" collapsed="false">
      <c r="A2855" s="10"/>
      <c r="B2855" s="8"/>
      <c r="C2855" s="13" t="str">
        <f aca="false">IF($B2855="","",IFERROR(INDEX(직원목록!$B$3:$B$302,MATCH($B2855,직원목록!$A$3:$A$302,0)),"미등록사번"))</f>
        <v/>
      </c>
      <c r="D2855" s="13" t="str">
        <f aca="false">IF($B2855="","",IFERROR(INDEX(직원목록!$C$3:$C$302,MATCH($B2855,직원목록!$A$3:$A$302,0)),""))</f>
        <v/>
      </c>
      <c r="E2855" s="14"/>
      <c r="F2855" s="14"/>
      <c r="G2855" s="15"/>
      <c r="H2855" s="16" t="str">
        <f aca="false">IF(OR($K2855="",$L2855=""),"",ROUND(MAX(0,($L2855-$K2855)-IF($G2855="",0,$G2855))/60,2))</f>
        <v/>
      </c>
      <c r="I2855" s="8"/>
      <c r="J2855" s="8"/>
      <c r="K2855" s="17" t="str">
        <f aca="false">IF($E2855="","",IF($E2855&lt;1,ROUND($E2855*1440,0),INT($E2855/100)*60+MOD($E2855,100)))</f>
        <v/>
      </c>
      <c r="L2855" s="17" t="str">
        <f aca="false">IF($F2855="","",IF($F2855&lt;1,ROUND($F2855*1440,0),INT($F2855/100)*60+MOD($F2855,100)))</f>
        <v/>
      </c>
    </row>
    <row r="2856" customFormat="false" ht="15" hidden="false" customHeight="true" outlineLevel="0" collapsed="false">
      <c r="A2856" s="10"/>
      <c r="B2856" s="8"/>
      <c r="C2856" s="13" t="str">
        <f aca="false">IF($B2856="","",IFERROR(INDEX(직원목록!$B$3:$B$302,MATCH($B2856,직원목록!$A$3:$A$302,0)),"미등록사번"))</f>
        <v/>
      </c>
      <c r="D2856" s="13" t="str">
        <f aca="false">IF($B2856="","",IFERROR(INDEX(직원목록!$C$3:$C$302,MATCH($B2856,직원목록!$A$3:$A$302,0)),""))</f>
        <v/>
      </c>
      <c r="E2856" s="14"/>
      <c r="F2856" s="14"/>
      <c r="G2856" s="15"/>
      <c r="H2856" s="16" t="str">
        <f aca="false">IF(OR($K2856="",$L2856=""),"",ROUND(MAX(0,($L2856-$K2856)-IF($G2856="",0,$G2856))/60,2))</f>
        <v/>
      </c>
      <c r="I2856" s="8"/>
      <c r="J2856" s="8"/>
      <c r="K2856" s="17" t="str">
        <f aca="false">IF($E2856="","",IF($E2856&lt;1,ROUND($E2856*1440,0),INT($E2856/100)*60+MOD($E2856,100)))</f>
        <v/>
      </c>
      <c r="L2856" s="17" t="str">
        <f aca="false">IF($F2856="","",IF($F2856&lt;1,ROUND($F2856*1440,0),INT($F2856/100)*60+MOD($F2856,100)))</f>
        <v/>
      </c>
    </row>
    <row r="2857" customFormat="false" ht="15" hidden="false" customHeight="true" outlineLevel="0" collapsed="false">
      <c r="A2857" s="10"/>
      <c r="B2857" s="8"/>
      <c r="C2857" s="13" t="str">
        <f aca="false">IF($B2857="","",IFERROR(INDEX(직원목록!$B$3:$B$302,MATCH($B2857,직원목록!$A$3:$A$302,0)),"미등록사번"))</f>
        <v/>
      </c>
      <c r="D2857" s="13" t="str">
        <f aca="false">IF($B2857="","",IFERROR(INDEX(직원목록!$C$3:$C$302,MATCH($B2857,직원목록!$A$3:$A$302,0)),""))</f>
        <v/>
      </c>
      <c r="E2857" s="14"/>
      <c r="F2857" s="14"/>
      <c r="G2857" s="15"/>
      <c r="H2857" s="16" t="str">
        <f aca="false">IF(OR($K2857="",$L2857=""),"",ROUND(MAX(0,($L2857-$K2857)-IF($G2857="",0,$G2857))/60,2))</f>
        <v/>
      </c>
      <c r="I2857" s="8"/>
      <c r="J2857" s="8"/>
      <c r="K2857" s="17" t="str">
        <f aca="false">IF($E2857="","",IF($E2857&lt;1,ROUND($E2857*1440,0),INT($E2857/100)*60+MOD($E2857,100)))</f>
        <v/>
      </c>
      <c r="L2857" s="17" t="str">
        <f aca="false">IF($F2857="","",IF($F2857&lt;1,ROUND($F2857*1440,0),INT($F2857/100)*60+MOD($F2857,100)))</f>
        <v/>
      </c>
    </row>
    <row r="2858" customFormat="false" ht="15" hidden="false" customHeight="true" outlineLevel="0" collapsed="false">
      <c r="A2858" s="10"/>
      <c r="B2858" s="8"/>
      <c r="C2858" s="13" t="str">
        <f aca="false">IF($B2858="","",IFERROR(INDEX(직원목록!$B$3:$B$302,MATCH($B2858,직원목록!$A$3:$A$302,0)),"미등록사번"))</f>
        <v/>
      </c>
      <c r="D2858" s="13" t="str">
        <f aca="false">IF($B2858="","",IFERROR(INDEX(직원목록!$C$3:$C$302,MATCH($B2858,직원목록!$A$3:$A$302,0)),""))</f>
        <v/>
      </c>
      <c r="E2858" s="14"/>
      <c r="F2858" s="14"/>
      <c r="G2858" s="15"/>
      <c r="H2858" s="16" t="str">
        <f aca="false">IF(OR($K2858="",$L2858=""),"",ROUND(MAX(0,($L2858-$K2858)-IF($G2858="",0,$G2858))/60,2))</f>
        <v/>
      </c>
      <c r="I2858" s="8"/>
      <c r="J2858" s="8"/>
      <c r="K2858" s="17" t="str">
        <f aca="false">IF($E2858="","",IF($E2858&lt;1,ROUND($E2858*1440,0),INT($E2858/100)*60+MOD($E2858,100)))</f>
        <v/>
      </c>
      <c r="L2858" s="17" t="str">
        <f aca="false">IF($F2858="","",IF($F2858&lt;1,ROUND($F2858*1440,0),INT($F2858/100)*60+MOD($F2858,100)))</f>
        <v/>
      </c>
    </row>
    <row r="2859" customFormat="false" ht="15" hidden="false" customHeight="true" outlineLevel="0" collapsed="false">
      <c r="A2859" s="10"/>
      <c r="B2859" s="8"/>
      <c r="C2859" s="13" t="str">
        <f aca="false">IF($B2859="","",IFERROR(INDEX(직원목록!$B$3:$B$302,MATCH($B2859,직원목록!$A$3:$A$302,0)),"미등록사번"))</f>
        <v/>
      </c>
      <c r="D2859" s="13" t="str">
        <f aca="false">IF($B2859="","",IFERROR(INDEX(직원목록!$C$3:$C$302,MATCH($B2859,직원목록!$A$3:$A$302,0)),""))</f>
        <v/>
      </c>
      <c r="E2859" s="14"/>
      <c r="F2859" s="14"/>
      <c r="G2859" s="15"/>
      <c r="H2859" s="16" t="str">
        <f aca="false">IF(OR($K2859="",$L2859=""),"",ROUND(MAX(0,($L2859-$K2859)-IF($G2859="",0,$G2859))/60,2))</f>
        <v/>
      </c>
      <c r="I2859" s="8"/>
      <c r="J2859" s="8"/>
      <c r="K2859" s="17" t="str">
        <f aca="false">IF($E2859="","",IF($E2859&lt;1,ROUND($E2859*1440,0),INT($E2859/100)*60+MOD($E2859,100)))</f>
        <v/>
      </c>
      <c r="L2859" s="17" t="str">
        <f aca="false">IF($F2859="","",IF($F2859&lt;1,ROUND($F2859*1440,0),INT($F2859/100)*60+MOD($F2859,100)))</f>
        <v/>
      </c>
    </row>
    <row r="2860" customFormat="false" ht="15" hidden="false" customHeight="true" outlineLevel="0" collapsed="false">
      <c r="A2860" s="10"/>
      <c r="B2860" s="8"/>
      <c r="C2860" s="13" t="str">
        <f aca="false">IF($B2860="","",IFERROR(INDEX(직원목록!$B$3:$B$302,MATCH($B2860,직원목록!$A$3:$A$302,0)),"미등록사번"))</f>
        <v/>
      </c>
      <c r="D2860" s="13" t="str">
        <f aca="false">IF($B2860="","",IFERROR(INDEX(직원목록!$C$3:$C$302,MATCH($B2860,직원목록!$A$3:$A$302,0)),""))</f>
        <v/>
      </c>
      <c r="E2860" s="14"/>
      <c r="F2860" s="14"/>
      <c r="G2860" s="15"/>
      <c r="H2860" s="16" t="str">
        <f aca="false">IF(OR($K2860="",$L2860=""),"",ROUND(MAX(0,($L2860-$K2860)-IF($G2860="",0,$G2860))/60,2))</f>
        <v/>
      </c>
      <c r="I2860" s="8"/>
      <c r="J2860" s="8"/>
      <c r="K2860" s="17" t="str">
        <f aca="false">IF($E2860="","",IF($E2860&lt;1,ROUND($E2860*1440,0),INT($E2860/100)*60+MOD($E2860,100)))</f>
        <v/>
      </c>
      <c r="L2860" s="17" t="str">
        <f aca="false">IF($F2860="","",IF($F2860&lt;1,ROUND($F2860*1440,0),INT($F2860/100)*60+MOD($F2860,100)))</f>
        <v/>
      </c>
    </row>
    <row r="2861" customFormat="false" ht="15" hidden="false" customHeight="true" outlineLevel="0" collapsed="false">
      <c r="A2861" s="10"/>
      <c r="B2861" s="8"/>
      <c r="C2861" s="13" t="str">
        <f aca="false">IF($B2861="","",IFERROR(INDEX(직원목록!$B$3:$B$302,MATCH($B2861,직원목록!$A$3:$A$302,0)),"미등록사번"))</f>
        <v/>
      </c>
      <c r="D2861" s="13" t="str">
        <f aca="false">IF($B2861="","",IFERROR(INDEX(직원목록!$C$3:$C$302,MATCH($B2861,직원목록!$A$3:$A$302,0)),""))</f>
        <v/>
      </c>
      <c r="E2861" s="14"/>
      <c r="F2861" s="14"/>
      <c r="G2861" s="15"/>
      <c r="H2861" s="16" t="str">
        <f aca="false">IF(OR($K2861="",$L2861=""),"",ROUND(MAX(0,($L2861-$K2861)-IF($G2861="",0,$G2861))/60,2))</f>
        <v/>
      </c>
      <c r="I2861" s="8"/>
      <c r="J2861" s="8"/>
      <c r="K2861" s="17" t="str">
        <f aca="false">IF($E2861="","",IF($E2861&lt;1,ROUND($E2861*1440,0),INT($E2861/100)*60+MOD($E2861,100)))</f>
        <v/>
      </c>
      <c r="L2861" s="17" t="str">
        <f aca="false">IF($F2861="","",IF($F2861&lt;1,ROUND($F2861*1440,0),INT($F2861/100)*60+MOD($F2861,100)))</f>
        <v/>
      </c>
    </row>
    <row r="2862" customFormat="false" ht="15" hidden="false" customHeight="true" outlineLevel="0" collapsed="false">
      <c r="A2862" s="10"/>
      <c r="B2862" s="8"/>
      <c r="C2862" s="13" t="str">
        <f aca="false">IF($B2862="","",IFERROR(INDEX(직원목록!$B$3:$B$302,MATCH($B2862,직원목록!$A$3:$A$302,0)),"미등록사번"))</f>
        <v/>
      </c>
      <c r="D2862" s="13" t="str">
        <f aca="false">IF($B2862="","",IFERROR(INDEX(직원목록!$C$3:$C$302,MATCH($B2862,직원목록!$A$3:$A$302,0)),""))</f>
        <v/>
      </c>
      <c r="E2862" s="14"/>
      <c r="F2862" s="14"/>
      <c r="G2862" s="15"/>
      <c r="H2862" s="16" t="str">
        <f aca="false">IF(OR($K2862="",$L2862=""),"",ROUND(MAX(0,($L2862-$K2862)-IF($G2862="",0,$G2862))/60,2))</f>
        <v/>
      </c>
      <c r="I2862" s="8"/>
      <c r="J2862" s="8"/>
      <c r="K2862" s="17" t="str">
        <f aca="false">IF($E2862="","",IF($E2862&lt;1,ROUND($E2862*1440,0),INT($E2862/100)*60+MOD($E2862,100)))</f>
        <v/>
      </c>
      <c r="L2862" s="17" t="str">
        <f aca="false">IF($F2862="","",IF($F2862&lt;1,ROUND($F2862*1440,0),INT($F2862/100)*60+MOD($F2862,100)))</f>
        <v/>
      </c>
    </row>
    <row r="2863" customFormat="false" ht="15" hidden="false" customHeight="true" outlineLevel="0" collapsed="false">
      <c r="A2863" s="10"/>
      <c r="B2863" s="8"/>
      <c r="C2863" s="13" t="str">
        <f aca="false">IF($B2863="","",IFERROR(INDEX(직원목록!$B$3:$B$302,MATCH($B2863,직원목록!$A$3:$A$302,0)),"미등록사번"))</f>
        <v/>
      </c>
      <c r="D2863" s="13" t="str">
        <f aca="false">IF($B2863="","",IFERROR(INDEX(직원목록!$C$3:$C$302,MATCH($B2863,직원목록!$A$3:$A$302,0)),""))</f>
        <v/>
      </c>
      <c r="E2863" s="14"/>
      <c r="F2863" s="14"/>
      <c r="G2863" s="15"/>
      <c r="H2863" s="16" t="str">
        <f aca="false">IF(OR($K2863="",$L2863=""),"",ROUND(MAX(0,($L2863-$K2863)-IF($G2863="",0,$G2863))/60,2))</f>
        <v/>
      </c>
      <c r="I2863" s="8"/>
      <c r="J2863" s="8"/>
      <c r="K2863" s="17" t="str">
        <f aca="false">IF($E2863="","",IF($E2863&lt;1,ROUND($E2863*1440,0),INT($E2863/100)*60+MOD($E2863,100)))</f>
        <v/>
      </c>
      <c r="L2863" s="17" t="str">
        <f aca="false">IF($F2863="","",IF($F2863&lt;1,ROUND($F2863*1440,0),INT($F2863/100)*60+MOD($F2863,100)))</f>
        <v/>
      </c>
    </row>
    <row r="2864" customFormat="false" ht="15" hidden="false" customHeight="true" outlineLevel="0" collapsed="false">
      <c r="A2864" s="10"/>
      <c r="B2864" s="8"/>
      <c r="C2864" s="13" t="str">
        <f aca="false">IF($B2864="","",IFERROR(INDEX(직원목록!$B$3:$B$302,MATCH($B2864,직원목록!$A$3:$A$302,0)),"미등록사번"))</f>
        <v/>
      </c>
      <c r="D2864" s="13" t="str">
        <f aca="false">IF($B2864="","",IFERROR(INDEX(직원목록!$C$3:$C$302,MATCH($B2864,직원목록!$A$3:$A$302,0)),""))</f>
        <v/>
      </c>
      <c r="E2864" s="14"/>
      <c r="F2864" s="14"/>
      <c r="G2864" s="15"/>
      <c r="H2864" s="16" t="str">
        <f aca="false">IF(OR($K2864="",$L2864=""),"",ROUND(MAX(0,($L2864-$K2864)-IF($G2864="",0,$G2864))/60,2))</f>
        <v/>
      </c>
      <c r="I2864" s="8"/>
      <c r="J2864" s="8"/>
      <c r="K2864" s="17" t="str">
        <f aca="false">IF($E2864="","",IF($E2864&lt;1,ROUND($E2864*1440,0),INT($E2864/100)*60+MOD($E2864,100)))</f>
        <v/>
      </c>
      <c r="L2864" s="17" t="str">
        <f aca="false">IF($F2864="","",IF($F2864&lt;1,ROUND($F2864*1440,0),INT($F2864/100)*60+MOD($F2864,100)))</f>
        <v/>
      </c>
    </row>
    <row r="2865" customFormat="false" ht="15" hidden="false" customHeight="true" outlineLevel="0" collapsed="false">
      <c r="A2865" s="10"/>
      <c r="B2865" s="8"/>
      <c r="C2865" s="13" t="str">
        <f aca="false">IF($B2865="","",IFERROR(INDEX(직원목록!$B$3:$B$302,MATCH($B2865,직원목록!$A$3:$A$302,0)),"미등록사번"))</f>
        <v/>
      </c>
      <c r="D2865" s="13" t="str">
        <f aca="false">IF($B2865="","",IFERROR(INDEX(직원목록!$C$3:$C$302,MATCH($B2865,직원목록!$A$3:$A$302,0)),""))</f>
        <v/>
      </c>
      <c r="E2865" s="14"/>
      <c r="F2865" s="14"/>
      <c r="G2865" s="15"/>
      <c r="H2865" s="16" t="str">
        <f aca="false">IF(OR($K2865="",$L2865=""),"",ROUND(MAX(0,($L2865-$K2865)-IF($G2865="",0,$G2865))/60,2))</f>
        <v/>
      </c>
      <c r="I2865" s="8"/>
      <c r="J2865" s="8"/>
      <c r="K2865" s="17" t="str">
        <f aca="false">IF($E2865="","",IF($E2865&lt;1,ROUND($E2865*1440,0),INT($E2865/100)*60+MOD($E2865,100)))</f>
        <v/>
      </c>
      <c r="L2865" s="17" t="str">
        <f aca="false">IF($F2865="","",IF($F2865&lt;1,ROUND($F2865*1440,0),INT($F2865/100)*60+MOD($F2865,100)))</f>
        <v/>
      </c>
    </row>
    <row r="2866" customFormat="false" ht="15" hidden="false" customHeight="true" outlineLevel="0" collapsed="false">
      <c r="A2866" s="10"/>
      <c r="B2866" s="8"/>
      <c r="C2866" s="13" t="str">
        <f aca="false">IF($B2866="","",IFERROR(INDEX(직원목록!$B$3:$B$302,MATCH($B2866,직원목록!$A$3:$A$302,0)),"미등록사번"))</f>
        <v/>
      </c>
      <c r="D2866" s="13" t="str">
        <f aca="false">IF($B2866="","",IFERROR(INDEX(직원목록!$C$3:$C$302,MATCH($B2866,직원목록!$A$3:$A$302,0)),""))</f>
        <v/>
      </c>
      <c r="E2866" s="14"/>
      <c r="F2866" s="14"/>
      <c r="G2866" s="15"/>
      <c r="H2866" s="16" t="str">
        <f aca="false">IF(OR($K2866="",$L2866=""),"",ROUND(MAX(0,($L2866-$K2866)-IF($G2866="",0,$G2866))/60,2))</f>
        <v/>
      </c>
      <c r="I2866" s="8"/>
      <c r="J2866" s="8"/>
      <c r="K2866" s="17" t="str">
        <f aca="false">IF($E2866="","",IF($E2866&lt;1,ROUND($E2866*1440,0),INT($E2866/100)*60+MOD($E2866,100)))</f>
        <v/>
      </c>
      <c r="L2866" s="17" t="str">
        <f aca="false">IF($F2866="","",IF($F2866&lt;1,ROUND($F2866*1440,0),INT($F2866/100)*60+MOD($F2866,100)))</f>
        <v/>
      </c>
    </row>
    <row r="2867" customFormat="false" ht="15" hidden="false" customHeight="true" outlineLevel="0" collapsed="false">
      <c r="A2867" s="10"/>
      <c r="B2867" s="8"/>
      <c r="C2867" s="13" t="str">
        <f aca="false">IF($B2867="","",IFERROR(INDEX(직원목록!$B$3:$B$302,MATCH($B2867,직원목록!$A$3:$A$302,0)),"미등록사번"))</f>
        <v/>
      </c>
      <c r="D2867" s="13" t="str">
        <f aca="false">IF($B2867="","",IFERROR(INDEX(직원목록!$C$3:$C$302,MATCH($B2867,직원목록!$A$3:$A$302,0)),""))</f>
        <v/>
      </c>
      <c r="E2867" s="14"/>
      <c r="F2867" s="14"/>
      <c r="G2867" s="15"/>
      <c r="H2867" s="16" t="str">
        <f aca="false">IF(OR($K2867="",$L2867=""),"",ROUND(MAX(0,($L2867-$K2867)-IF($G2867="",0,$G2867))/60,2))</f>
        <v/>
      </c>
      <c r="I2867" s="8"/>
      <c r="J2867" s="8"/>
      <c r="K2867" s="17" t="str">
        <f aca="false">IF($E2867="","",IF($E2867&lt;1,ROUND($E2867*1440,0),INT($E2867/100)*60+MOD($E2867,100)))</f>
        <v/>
      </c>
      <c r="L2867" s="17" t="str">
        <f aca="false">IF($F2867="","",IF($F2867&lt;1,ROUND($F2867*1440,0),INT($F2867/100)*60+MOD($F2867,100)))</f>
        <v/>
      </c>
    </row>
    <row r="2868" customFormat="false" ht="15" hidden="false" customHeight="true" outlineLevel="0" collapsed="false">
      <c r="A2868" s="10"/>
      <c r="B2868" s="8"/>
      <c r="C2868" s="13" t="str">
        <f aca="false">IF($B2868="","",IFERROR(INDEX(직원목록!$B$3:$B$302,MATCH($B2868,직원목록!$A$3:$A$302,0)),"미등록사번"))</f>
        <v/>
      </c>
      <c r="D2868" s="13" t="str">
        <f aca="false">IF($B2868="","",IFERROR(INDEX(직원목록!$C$3:$C$302,MATCH($B2868,직원목록!$A$3:$A$302,0)),""))</f>
        <v/>
      </c>
      <c r="E2868" s="14"/>
      <c r="F2868" s="14"/>
      <c r="G2868" s="15"/>
      <c r="H2868" s="16" t="str">
        <f aca="false">IF(OR($K2868="",$L2868=""),"",ROUND(MAX(0,($L2868-$K2868)-IF($G2868="",0,$G2868))/60,2))</f>
        <v/>
      </c>
      <c r="I2868" s="8"/>
      <c r="J2868" s="8"/>
      <c r="K2868" s="17" t="str">
        <f aca="false">IF($E2868="","",IF($E2868&lt;1,ROUND($E2868*1440,0),INT($E2868/100)*60+MOD($E2868,100)))</f>
        <v/>
      </c>
      <c r="L2868" s="17" t="str">
        <f aca="false">IF($F2868="","",IF($F2868&lt;1,ROUND($F2868*1440,0),INT($F2868/100)*60+MOD($F2868,100)))</f>
        <v/>
      </c>
    </row>
    <row r="2869" customFormat="false" ht="15" hidden="false" customHeight="true" outlineLevel="0" collapsed="false">
      <c r="A2869" s="10"/>
      <c r="B2869" s="8"/>
      <c r="C2869" s="13" t="str">
        <f aca="false">IF($B2869="","",IFERROR(INDEX(직원목록!$B$3:$B$302,MATCH($B2869,직원목록!$A$3:$A$302,0)),"미등록사번"))</f>
        <v/>
      </c>
      <c r="D2869" s="13" t="str">
        <f aca="false">IF($B2869="","",IFERROR(INDEX(직원목록!$C$3:$C$302,MATCH($B2869,직원목록!$A$3:$A$302,0)),""))</f>
        <v/>
      </c>
      <c r="E2869" s="14"/>
      <c r="F2869" s="14"/>
      <c r="G2869" s="15"/>
      <c r="H2869" s="16" t="str">
        <f aca="false">IF(OR($K2869="",$L2869=""),"",ROUND(MAX(0,($L2869-$K2869)-IF($G2869="",0,$G2869))/60,2))</f>
        <v/>
      </c>
      <c r="I2869" s="8"/>
      <c r="J2869" s="8"/>
      <c r="K2869" s="17" t="str">
        <f aca="false">IF($E2869="","",IF($E2869&lt;1,ROUND($E2869*1440,0),INT($E2869/100)*60+MOD($E2869,100)))</f>
        <v/>
      </c>
      <c r="L2869" s="17" t="str">
        <f aca="false">IF($F2869="","",IF($F2869&lt;1,ROUND($F2869*1440,0),INT($F2869/100)*60+MOD($F2869,100)))</f>
        <v/>
      </c>
    </row>
    <row r="2870" customFormat="false" ht="15" hidden="false" customHeight="true" outlineLevel="0" collapsed="false">
      <c r="A2870" s="10"/>
      <c r="B2870" s="8"/>
      <c r="C2870" s="13" t="str">
        <f aca="false">IF($B2870="","",IFERROR(INDEX(직원목록!$B$3:$B$302,MATCH($B2870,직원목록!$A$3:$A$302,0)),"미등록사번"))</f>
        <v/>
      </c>
      <c r="D2870" s="13" t="str">
        <f aca="false">IF($B2870="","",IFERROR(INDEX(직원목록!$C$3:$C$302,MATCH($B2870,직원목록!$A$3:$A$302,0)),""))</f>
        <v/>
      </c>
      <c r="E2870" s="14"/>
      <c r="F2870" s="14"/>
      <c r="G2870" s="15"/>
      <c r="H2870" s="16" t="str">
        <f aca="false">IF(OR($K2870="",$L2870=""),"",ROUND(MAX(0,($L2870-$K2870)-IF($G2870="",0,$G2870))/60,2))</f>
        <v/>
      </c>
      <c r="I2870" s="8"/>
      <c r="J2870" s="8"/>
      <c r="K2870" s="17" t="str">
        <f aca="false">IF($E2870="","",IF($E2870&lt;1,ROUND($E2870*1440,0),INT($E2870/100)*60+MOD($E2870,100)))</f>
        <v/>
      </c>
      <c r="L2870" s="17" t="str">
        <f aca="false">IF($F2870="","",IF($F2870&lt;1,ROUND($F2870*1440,0),INT($F2870/100)*60+MOD($F2870,100)))</f>
        <v/>
      </c>
    </row>
    <row r="2871" customFormat="false" ht="15" hidden="false" customHeight="true" outlineLevel="0" collapsed="false">
      <c r="A2871" s="10"/>
      <c r="B2871" s="8"/>
      <c r="C2871" s="13" t="str">
        <f aca="false">IF($B2871="","",IFERROR(INDEX(직원목록!$B$3:$B$302,MATCH($B2871,직원목록!$A$3:$A$302,0)),"미등록사번"))</f>
        <v/>
      </c>
      <c r="D2871" s="13" t="str">
        <f aca="false">IF($B2871="","",IFERROR(INDEX(직원목록!$C$3:$C$302,MATCH($B2871,직원목록!$A$3:$A$302,0)),""))</f>
        <v/>
      </c>
      <c r="E2871" s="14"/>
      <c r="F2871" s="14"/>
      <c r="G2871" s="15"/>
      <c r="H2871" s="16" t="str">
        <f aca="false">IF(OR($K2871="",$L2871=""),"",ROUND(MAX(0,($L2871-$K2871)-IF($G2871="",0,$G2871))/60,2))</f>
        <v/>
      </c>
      <c r="I2871" s="8"/>
      <c r="J2871" s="8"/>
      <c r="K2871" s="17" t="str">
        <f aca="false">IF($E2871="","",IF($E2871&lt;1,ROUND($E2871*1440,0),INT($E2871/100)*60+MOD($E2871,100)))</f>
        <v/>
      </c>
      <c r="L2871" s="17" t="str">
        <f aca="false">IF($F2871="","",IF($F2871&lt;1,ROUND($F2871*1440,0),INT($F2871/100)*60+MOD($F2871,100)))</f>
        <v/>
      </c>
    </row>
    <row r="2872" customFormat="false" ht="15" hidden="false" customHeight="true" outlineLevel="0" collapsed="false">
      <c r="A2872" s="10"/>
      <c r="B2872" s="8"/>
      <c r="C2872" s="13" t="str">
        <f aca="false">IF($B2872="","",IFERROR(INDEX(직원목록!$B$3:$B$302,MATCH($B2872,직원목록!$A$3:$A$302,0)),"미등록사번"))</f>
        <v/>
      </c>
      <c r="D2872" s="13" t="str">
        <f aca="false">IF($B2872="","",IFERROR(INDEX(직원목록!$C$3:$C$302,MATCH($B2872,직원목록!$A$3:$A$302,0)),""))</f>
        <v/>
      </c>
      <c r="E2872" s="14"/>
      <c r="F2872" s="14"/>
      <c r="G2872" s="15"/>
      <c r="H2872" s="16" t="str">
        <f aca="false">IF(OR($K2872="",$L2872=""),"",ROUND(MAX(0,($L2872-$K2872)-IF($G2872="",0,$G2872))/60,2))</f>
        <v/>
      </c>
      <c r="I2872" s="8"/>
      <c r="J2872" s="8"/>
      <c r="K2872" s="17" t="str">
        <f aca="false">IF($E2872="","",IF($E2872&lt;1,ROUND($E2872*1440,0),INT($E2872/100)*60+MOD($E2872,100)))</f>
        <v/>
      </c>
      <c r="L2872" s="17" t="str">
        <f aca="false">IF($F2872="","",IF($F2872&lt;1,ROUND($F2872*1440,0),INT($F2872/100)*60+MOD($F2872,100)))</f>
        <v/>
      </c>
    </row>
    <row r="2873" customFormat="false" ht="15" hidden="false" customHeight="true" outlineLevel="0" collapsed="false">
      <c r="A2873" s="10"/>
      <c r="B2873" s="8"/>
      <c r="C2873" s="13" t="str">
        <f aca="false">IF($B2873="","",IFERROR(INDEX(직원목록!$B$3:$B$302,MATCH($B2873,직원목록!$A$3:$A$302,0)),"미등록사번"))</f>
        <v/>
      </c>
      <c r="D2873" s="13" t="str">
        <f aca="false">IF($B2873="","",IFERROR(INDEX(직원목록!$C$3:$C$302,MATCH($B2873,직원목록!$A$3:$A$302,0)),""))</f>
        <v/>
      </c>
      <c r="E2873" s="14"/>
      <c r="F2873" s="14"/>
      <c r="G2873" s="15"/>
      <c r="H2873" s="16" t="str">
        <f aca="false">IF(OR($K2873="",$L2873=""),"",ROUND(MAX(0,($L2873-$K2873)-IF($G2873="",0,$G2873))/60,2))</f>
        <v/>
      </c>
      <c r="I2873" s="8"/>
      <c r="J2873" s="8"/>
      <c r="K2873" s="17" t="str">
        <f aca="false">IF($E2873="","",IF($E2873&lt;1,ROUND($E2873*1440,0),INT($E2873/100)*60+MOD($E2873,100)))</f>
        <v/>
      </c>
      <c r="L2873" s="17" t="str">
        <f aca="false">IF($F2873="","",IF($F2873&lt;1,ROUND($F2873*1440,0),INT($F2873/100)*60+MOD($F2873,100)))</f>
        <v/>
      </c>
    </row>
    <row r="2874" customFormat="false" ht="15" hidden="false" customHeight="true" outlineLevel="0" collapsed="false">
      <c r="A2874" s="10"/>
      <c r="B2874" s="8"/>
      <c r="C2874" s="13" t="str">
        <f aca="false">IF($B2874="","",IFERROR(INDEX(직원목록!$B$3:$B$302,MATCH($B2874,직원목록!$A$3:$A$302,0)),"미등록사번"))</f>
        <v/>
      </c>
      <c r="D2874" s="13" t="str">
        <f aca="false">IF($B2874="","",IFERROR(INDEX(직원목록!$C$3:$C$302,MATCH($B2874,직원목록!$A$3:$A$302,0)),""))</f>
        <v/>
      </c>
      <c r="E2874" s="14"/>
      <c r="F2874" s="14"/>
      <c r="G2874" s="15"/>
      <c r="H2874" s="16" t="str">
        <f aca="false">IF(OR($K2874="",$L2874=""),"",ROUND(MAX(0,($L2874-$K2874)-IF($G2874="",0,$G2874))/60,2))</f>
        <v/>
      </c>
      <c r="I2874" s="8"/>
      <c r="J2874" s="8"/>
      <c r="K2874" s="17" t="str">
        <f aca="false">IF($E2874="","",IF($E2874&lt;1,ROUND($E2874*1440,0),INT($E2874/100)*60+MOD($E2874,100)))</f>
        <v/>
      </c>
      <c r="L2874" s="17" t="str">
        <f aca="false">IF($F2874="","",IF($F2874&lt;1,ROUND($F2874*1440,0),INT($F2874/100)*60+MOD($F2874,100)))</f>
        <v/>
      </c>
    </row>
    <row r="2875" customFormat="false" ht="15" hidden="false" customHeight="true" outlineLevel="0" collapsed="false">
      <c r="A2875" s="10"/>
      <c r="B2875" s="8"/>
      <c r="C2875" s="13" t="str">
        <f aca="false">IF($B2875="","",IFERROR(INDEX(직원목록!$B$3:$B$302,MATCH($B2875,직원목록!$A$3:$A$302,0)),"미등록사번"))</f>
        <v/>
      </c>
      <c r="D2875" s="13" t="str">
        <f aca="false">IF($B2875="","",IFERROR(INDEX(직원목록!$C$3:$C$302,MATCH($B2875,직원목록!$A$3:$A$302,0)),""))</f>
        <v/>
      </c>
      <c r="E2875" s="14"/>
      <c r="F2875" s="14"/>
      <c r="G2875" s="15"/>
      <c r="H2875" s="16" t="str">
        <f aca="false">IF(OR($K2875="",$L2875=""),"",ROUND(MAX(0,($L2875-$K2875)-IF($G2875="",0,$G2875))/60,2))</f>
        <v/>
      </c>
      <c r="I2875" s="8"/>
      <c r="J2875" s="8"/>
      <c r="K2875" s="17" t="str">
        <f aca="false">IF($E2875="","",IF($E2875&lt;1,ROUND($E2875*1440,0),INT($E2875/100)*60+MOD($E2875,100)))</f>
        <v/>
      </c>
      <c r="L2875" s="17" t="str">
        <f aca="false">IF($F2875="","",IF($F2875&lt;1,ROUND($F2875*1440,0),INT($F2875/100)*60+MOD($F2875,100)))</f>
        <v/>
      </c>
    </row>
    <row r="2876" customFormat="false" ht="15" hidden="false" customHeight="true" outlineLevel="0" collapsed="false">
      <c r="A2876" s="10"/>
      <c r="B2876" s="8"/>
      <c r="C2876" s="13" t="str">
        <f aca="false">IF($B2876="","",IFERROR(INDEX(직원목록!$B$3:$B$302,MATCH($B2876,직원목록!$A$3:$A$302,0)),"미등록사번"))</f>
        <v/>
      </c>
      <c r="D2876" s="13" t="str">
        <f aca="false">IF($B2876="","",IFERROR(INDEX(직원목록!$C$3:$C$302,MATCH($B2876,직원목록!$A$3:$A$302,0)),""))</f>
        <v/>
      </c>
      <c r="E2876" s="14"/>
      <c r="F2876" s="14"/>
      <c r="G2876" s="15"/>
      <c r="H2876" s="16" t="str">
        <f aca="false">IF(OR($K2876="",$L2876=""),"",ROUND(MAX(0,($L2876-$K2876)-IF($G2876="",0,$G2876))/60,2))</f>
        <v/>
      </c>
      <c r="I2876" s="8"/>
      <c r="J2876" s="8"/>
      <c r="K2876" s="17" t="str">
        <f aca="false">IF($E2876="","",IF($E2876&lt;1,ROUND($E2876*1440,0),INT($E2876/100)*60+MOD($E2876,100)))</f>
        <v/>
      </c>
      <c r="L2876" s="17" t="str">
        <f aca="false">IF($F2876="","",IF($F2876&lt;1,ROUND($F2876*1440,0),INT($F2876/100)*60+MOD($F2876,100)))</f>
        <v/>
      </c>
    </row>
    <row r="2877" customFormat="false" ht="15" hidden="false" customHeight="true" outlineLevel="0" collapsed="false">
      <c r="A2877" s="10"/>
      <c r="B2877" s="8"/>
      <c r="C2877" s="13" t="str">
        <f aca="false">IF($B2877="","",IFERROR(INDEX(직원목록!$B$3:$B$302,MATCH($B2877,직원목록!$A$3:$A$302,0)),"미등록사번"))</f>
        <v/>
      </c>
      <c r="D2877" s="13" t="str">
        <f aca="false">IF($B2877="","",IFERROR(INDEX(직원목록!$C$3:$C$302,MATCH($B2877,직원목록!$A$3:$A$302,0)),""))</f>
        <v/>
      </c>
      <c r="E2877" s="14"/>
      <c r="F2877" s="14"/>
      <c r="G2877" s="15"/>
      <c r="H2877" s="16" t="str">
        <f aca="false">IF(OR($K2877="",$L2877=""),"",ROUND(MAX(0,($L2877-$K2877)-IF($G2877="",0,$G2877))/60,2))</f>
        <v/>
      </c>
      <c r="I2877" s="8"/>
      <c r="J2877" s="8"/>
      <c r="K2877" s="17" t="str">
        <f aca="false">IF($E2877="","",IF($E2877&lt;1,ROUND($E2877*1440,0),INT($E2877/100)*60+MOD($E2877,100)))</f>
        <v/>
      </c>
      <c r="L2877" s="17" t="str">
        <f aca="false">IF($F2877="","",IF($F2877&lt;1,ROUND($F2877*1440,0),INT($F2877/100)*60+MOD($F2877,100)))</f>
        <v/>
      </c>
    </row>
    <row r="2878" customFormat="false" ht="15" hidden="false" customHeight="true" outlineLevel="0" collapsed="false">
      <c r="A2878" s="10"/>
      <c r="B2878" s="8"/>
      <c r="C2878" s="13" t="str">
        <f aca="false">IF($B2878="","",IFERROR(INDEX(직원목록!$B$3:$B$302,MATCH($B2878,직원목록!$A$3:$A$302,0)),"미등록사번"))</f>
        <v/>
      </c>
      <c r="D2878" s="13" t="str">
        <f aca="false">IF($B2878="","",IFERROR(INDEX(직원목록!$C$3:$C$302,MATCH($B2878,직원목록!$A$3:$A$302,0)),""))</f>
        <v/>
      </c>
      <c r="E2878" s="14"/>
      <c r="F2878" s="14"/>
      <c r="G2878" s="15"/>
      <c r="H2878" s="16" t="str">
        <f aca="false">IF(OR($K2878="",$L2878=""),"",ROUND(MAX(0,($L2878-$K2878)-IF($G2878="",0,$G2878))/60,2))</f>
        <v/>
      </c>
      <c r="I2878" s="8"/>
      <c r="J2878" s="8"/>
      <c r="K2878" s="17" t="str">
        <f aca="false">IF($E2878="","",IF($E2878&lt;1,ROUND($E2878*1440,0),INT($E2878/100)*60+MOD($E2878,100)))</f>
        <v/>
      </c>
      <c r="L2878" s="17" t="str">
        <f aca="false">IF($F2878="","",IF($F2878&lt;1,ROUND($F2878*1440,0),INT($F2878/100)*60+MOD($F2878,100)))</f>
        <v/>
      </c>
    </row>
    <row r="2879" customFormat="false" ht="15" hidden="false" customHeight="true" outlineLevel="0" collapsed="false">
      <c r="A2879" s="10"/>
      <c r="B2879" s="8"/>
      <c r="C2879" s="13" t="str">
        <f aca="false">IF($B2879="","",IFERROR(INDEX(직원목록!$B$3:$B$302,MATCH($B2879,직원목록!$A$3:$A$302,0)),"미등록사번"))</f>
        <v/>
      </c>
      <c r="D2879" s="13" t="str">
        <f aca="false">IF($B2879="","",IFERROR(INDEX(직원목록!$C$3:$C$302,MATCH($B2879,직원목록!$A$3:$A$302,0)),""))</f>
        <v/>
      </c>
      <c r="E2879" s="14"/>
      <c r="F2879" s="14"/>
      <c r="G2879" s="15"/>
      <c r="H2879" s="16" t="str">
        <f aca="false">IF(OR($K2879="",$L2879=""),"",ROUND(MAX(0,($L2879-$K2879)-IF($G2879="",0,$G2879))/60,2))</f>
        <v/>
      </c>
      <c r="I2879" s="8"/>
      <c r="J2879" s="8"/>
      <c r="K2879" s="17" t="str">
        <f aca="false">IF($E2879="","",IF($E2879&lt;1,ROUND($E2879*1440,0),INT($E2879/100)*60+MOD($E2879,100)))</f>
        <v/>
      </c>
      <c r="L2879" s="17" t="str">
        <f aca="false">IF($F2879="","",IF($F2879&lt;1,ROUND($F2879*1440,0),INT($F2879/100)*60+MOD($F2879,100)))</f>
        <v/>
      </c>
    </row>
    <row r="2880" customFormat="false" ht="15" hidden="false" customHeight="true" outlineLevel="0" collapsed="false">
      <c r="A2880" s="10"/>
      <c r="B2880" s="8"/>
      <c r="C2880" s="13" t="str">
        <f aca="false">IF($B2880="","",IFERROR(INDEX(직원목록!$B$3:$B$302,MATCH($B2880,직원목록!$A$3:$A$302,0)),"미등록사번"))</f>
        <v/>
      </c>
      <c r="D2880" s="13" t="str">
        <f aca="false">IF($B2880="","",IFERROR(INDEX(직원목록!$C$3:$C$302,MATCH($B2880,직원목록!$A$3:$A$302,0)),""))</f>
        <v/>
      </c>
      <c r="E2880" s="14"/>
      <c r="F2880" s="14"/>
      <c r="G2880" s="15"/>
      <c r="H2880" s="16" t="str">
        <f aca="false">IF(OR($K2880="",$L2880=""),"",ROUND(MAX(0,($L2880-$K2880)-IF($G2880="",0,$G2880))/60,2))</f>
        <v/>
      </c>
      <c r="I2880" s="8"/>
      <c r="J2880" s="8"/>
      <c r="K2880" s="17" t="str">
        <f aca="false">IF($E2880="","",IF($E2880&lt;1,ROUND($E2880*1440,0),INT($E2880/100)*60+MOD($E2880,100)))</f>
        <v/>
      </c>
      <c r="L2880" s="17" t="str">
        <f aca="false">IF($F2880="","",IF($F2880&lt;1,ROUND($F2880*1440,0),INT($F2880/100)*60+MOD($F2880,100)))</f>
        <v/>
      </c>
    </row>
    <row r="2881" customFormat="false" ht="15" hidden="false" customHeight="true" outlineLevel="0" collapsed="false">
      <c r="A2881" s="10"/>
      <c r="B2881" s="8"/>
      <c r="C2881" s="13" t="str">
        <f aca="false">IF($B2881="","",IFERROR(INDEX(직원목록!$B$3:$B$302,MATCH($B2881,직원목록!$A$3:$A$302,0)),"미등록사번"))</f>
        <v/>
      </c>
      <c r="D2881" s="13" t="str">
        <f aca="false">IF($B2881="","",IFERROR(INDEX(직원목록!$C$3:$C$302,MATCH($B2881,직원목록!$A$3:$A$302,0)),""))</f>
        <v/>
      </c>
      <c r="E2881" s="14"/>
      <c r="F2881" s="14"/>
      <c r="G2881" s="15"/>
      <c r="H2881" s="16" t="str">
        <f aca="false">IF(OR($K2881="",$L2881=""),"",ROUND(MAX(0,($L2881-$K2881)-IF($G2881="",0,$G2881))/60,2))</f>
        <v/>
      </c>
      <c r="I2881" s="8"/>
      <c r="J2881" s="8"/>
      <c r="K2881" s="17" t="str">
        <f aca="false">IF($E2881="","",IF($E2881&lt;1,ROUND($E2881*1440,0),INT($E2881/100)*60+MOD($E2881,100)))</f>
        <v/>
      </c>
      <c r="L2881" s="17" t="str">
        <f aca="false">IF($F2881="","",IF($F2881&lt;1,ROUND($F2881*1440,0),INT($F2881/100)*60+MOD($F2881,100)))</f>
        <v/>
      </c>
    </row>
    <row r="2882" customFormat="false" ht="15" hidden="false" customHeight="true" outlineLevel="0" collapsed="false">
      <c r="A2882" s="10"/>
      <c r="B2882" s="8"/>
      <c r="C2882" s="13" t="str">
        <f aca="false">IF($B2882="","",IFERROR(INDEX(직원목록!$B$3:$B$302,MATCH($B2882,직원목록!$A$3:$A$302,0)),"미등록사번"))</f>
        <v/>
      </c>
      <c r="D2882" s="13" t="str">
        <f aca="false">IF($B2882="","",IFERROR(INDEX(직원목록!$C$3:$C$302,MATCH($B2882,직원목록!$A$3:$A$302,0)),""))</f>
        <v/>
      </c>
      <c r="E2882" s="14"/>
      <c r="F2882" s="14"/>
      <c r="G2882" s="15"/>
      <c r="H2882" s="16" t="str">
        <f aca="false">IF(OR($K2882="",$L2882=""),"",ROUND(MAX(0,($L2882-$K2882)-IF($G2882="",0,$G2882))/60,2))</f>
        <v/>
      </c>
      <c r="I2882" s="8"/>
      <c r="J2882" s="8"/>
      <c r="K2882" s="17" t="str">
        <f aca="false">IF($E2882="","",IF($E2882&lt;1,ROUND($E2882*1440,0),INT($E2882/100)*60+MOD($E2882,100)))</f>
        <v/>
      </c>
      <c r="L2882" s="17" t="str">
        <f aca="false">IF($F2882="","",IF($F2882&lt;1,ROUND($F2882*1440,0),INT($F2882/100)*60+MOD($F2882,100)))</f>
        <v/>
      </c>
    </row>
    <row r="2883" customFormat="false" ht="15" hidden="false" customHeight="true" outlineLevel="0" collapsed="false">
      <c r="A2883" s="10"/>
      <c r="B2883" s="8"/>
      <c r="C2883" s="13" t="str">
        <f aca="false">IF($B2883="","",IFERROR(INDEX(직원목록!$B$3:$B$302,MATCH($B2883,직원목록!$A$3:$A$302,0)),"미등록사번"))</f>
        <v/>
      </c>
      <c r="D2883" s="13" t="str">
        <f aca="false">IF($B2883="","",IFERROR(INDEX(직원목록!$C$3:$C$302,MATCH($B2883,직원목록!$A$3:$A$302,0)),""))</f>
        <v/>
      </c>
      <c r="E2883" s="14"/>
      <c r="F2883" s="14"/>
      <c r="G2883" s="15"/>
      <c r="H2883" s="16" t="str">
        <f aca="false">IF(OR($K2883="",$L2883=""),"",ROUND(MAX(0,($L2883-$K2883)-IF($G2883="",0,$G2883))/60,2))</f>
        <v/>
      </c>
      <c r="I2883" s="8"/>
      <c r="J2883" s="8"/>
      <c r="K2883" s="17" t="str">
        <f aca="false">IF($E2883="","",IF($E2883&lt;1,ROUND($E2883*1440,0),INT($E2883/100)*60+MOD($E2883,100)))</f>
        <v/>
      </c>
      <c r="L2883" s="17" t="str">
        <f aca="false">IF($F2883="","",IF($F2883&lt;1,ROUND($F2883*1440,0),INT($F2883/100)*60+MOD($F2883,100)))</f>
        <v/>
      </c>
    </row>
    <row r="2884" customFormat="false" ht="15" hidden="false" customHeight="true" outlineLevel="0" collapsed="false">
      <c r="A2884" s="10"/>
      <c r="B2884" s="8"/>
      <c r="C2884" s="13" t="str">
        <f aca="false">IF($B2884="","",IFERROR(INDEX(직원목록!$B$3:$B$302,MATCH($B2884,직원목록!$A$3:$A$302,0)),"미등록사번"))</f>
        <v/>
      </c>
      <c r="D2884" s="13" t="str">
        <f aca="false">IF($B2884="","",IFERROR(INDEX(직원목록!$C$3:$C$302,MATCH($B2884,직원목록!$A$3:$A$302,0)),""))</f>
        <v/>
      </c>
      <c r="E2884" s="14"/>
      <c r="F2884" s="14"/>
      <c r="G2884" s="15"/>
      <c r="H2884" s="16" t="str">
        <f aca="false">IF(OR($K2884="",$L2884=""),"",ROUND(MAX(0,($L2884-$K2884)-IF($G2884="",0,$G2884))/60,2))</f>
        <v/>
      </c>
      <c r="I2884" s="8"/>
      <c r="J2884" s="8"/>
      <c r="K2884" s="17" t="str">
        <f aca="false">IF($E2884="","",IF($E2884&lt;1,ROUND($E2884*1440,0),INT($E2884/100)*60+MOD($E2884,100)))</f>
        <v/>
      </c>
      <c r="L2884" s="17" t="str">
        <f aca="false">IF($F2884="","",IF($F2884&lt;1,ROUND($F2884*1440,0),INT($F2884/100)*60+MOD($F2884,100)))</f>
        <v/>
      </c>
    </row>
    <row r="2885" customFormat="false" ht="15" hidden="false" customHeight="true" outlineLevel="0" collapsed="false">
      <c r="A2885" s="10"/>
      <c r="B2885" s="8"/>
      <c r="C2885" s="13" t="str">
        <f aca="false">IF($B2885="","",IFERROR(INDEX(직원목록!$B$3:$B$302,MATCH($B2885,직원목록!$A$3:$A$302,0)),"미등록사번"))</f>
        <v/>
      </c>
      <c r="D2885" s="13" t="str">
        <f aca="false">IF($B2885="","",IFERROR(INDEX(직원목록!$C$3:$C$302,MATCH($B2885,직원목록!$A$3:$A$302,0)),""))</f>
        <v/>
      </c>
      <c r="E2885" s="14"/>
      <c r="F2885" s="14"/>
      <c r="G2885" s="15"/>
      <c r="H2885" s="16" t="str">
        <f aca="false">IF(OR($K2885="",$L2885=""),"",ROUND(MAX(0,($L2885-$K2885)-IF($G2885="",0,$G2885))/60,2))</f>
        <v/>
      </c>
      <c r="I2885" s="8"/>
      <c r="J2885" s="8"/>
      <c r="K2885" s="17" t="str">
        <f aca="false">IF($E2885="","",IF($E2885&lt;1,ROUND($E2885*1440,0),INT($E2885/100)*60+MOD($E2885,100)))</f>
        <v/>
      </c>
      <c r="L2885" s="17" t="str">
        <f aca="false">IF($F2885="","",IF($F2885&lt;1,ROUND($F2885*1440,0),INT($F2885/100)*60+MOD($F2885,100)))</f>
        <v/>
      </c>
    </row>
    <row r="2886" customFormat="false" ht="15" hidden="false" customHeight="true" outlineLevel="0" collapsed="false">
      <c r="A2886" s="10"/>
      <c r="B2886" s="8"/>
      <c r="C2886" s="13" t="str">
        <f aca="false">IF($B2886="","",IFERROR(INDEX(직원목록!$B$3:$B$302,MATCH($B2886,직원목록!$A$3:$A$302,0)),"미등록사번"))</f>
        <v/>
      </c>
      <c r="D2886" s="13" t="str">
        <f aca="false">IF($B2886="","",IFERROR(INDEX(직원목록!$C$3:$C$302,MATCH($B2886,직원목록!$A$3:$A$302,0)),""))</f>
        <v/>
      </c>
      <c r="E2886" s="14"/>
      <c r="F2886" s="14"/>
      <c r="G2886" s="15"/>
      <c r="H2886" s="16" t="str">
        <f aca="false">IF(OR($K2886="",$L2886=""),"",ROUND(MAX(0,($L2886-$K2886)-IF($G2886="",0,$G2886))/60,2))</f>
        <v/>
      </c>
      <c r="I2886" s="8"/>
      <c r="J2886" s="8"/>
      <c r="K2886" s="17" t="str">
        <f aca="false">IF($E2886="","",IF($E2886&lt;1,ROUND($E2886*1440,0),INT($E2886/100)*60+MOD($E2886,100)))</f>
        <v/>
      </c>
      <c r="L2886" s="17" t="str">
        <f aca="false">IF($F2886="","",IF($F2886&lt;1,ROUND($F2886*1440,0),INT($F2886/100)*60+MOD($F2886,100)))</f>
        <v/>
      </c>
    </row>
    <row r="2887" customFormat="false" ht="15" hidden="false" customHeight="true" outlineLevel="0" collapsed="false">
      <c r="A2887" s="10"/>
      <c r="B2887" s="8"/>
      <c r="C2887" s="13" t="str">
        <f aca="false">IF($B2887="","",IFERROR(INDEX(직원목록!$B$3:$B$302,MATCH($B2887,직원목록!$A$3:$A$302,0)),"미등록사번"))</f>
        <v/>
      </c>
      <c r="D2887" s="13" t="str">
        <f aca="false">IF($B2887="","",IFERROR(INDEX(직원목록!$C$3:$C$302,MATCH($B2887,직원목록!$A$3:$A$302,0)),""))</f>
        <v/>
      </c>
      <c r="E2887" s="14"/>
      <c r="F2887" s="14"/>
      <c r="G2887" s="15"/>
      <c r="H2887" s="16" t="str">
        <f aca="false">IF(OR($K2887="",$L2887=""),"",ROUND(MAX(0,($L2887-$K2887)-IF($G2887="",0,$G2887))/60,2))</f>
        <v/>
      </c>
      <c r="I2887" s="8"/>
      <c r="J2887" s="8"/>
      <c r="K2887" s="17" t="str">
        <f aca="false">IF($E2887="","",IF($E2887&lt;1,ROUND($E2887*1440,0),INT($E2887/100)*60+MOD($E2887,100)))</f>
        <v/>
      </c>
      <c r="L2887" s="17" t="str">
        <f aca="false">IF($F2887="","",IF($F2887&lt;1,ROUND($F2887*1440,0),INT($F2887/100)*60+MOD($F2887,100)))</f>
        <v/>
      </c>
    </row>
    <row r="2888" customFormat="false" ht="15" hidden="false" customHeight="true" outlineLevel="0" collapsed="false">
      <c r="A2888" s="10"/>
      <c r="B2888" s="8"/>
      <c r="C2888" s="13" t="str">
        <f aca="false">IF($B2888="","",IFERROR(INDEX(직원목록!$B$3:$B$302,MATCH($B2888,직원목록!$A$3:$A$302,0)),"미등록사번"))</f>
        <v/>
      </c>
      <c r="D2888" s="13" t="str">
        <f aca="false">IF($B2888="","",IFERROR(INDEX(직원목록!$C$3:$C$302,MATCH($B2888,직원목록!$A$3:$A$302,0)),""))</f>
        <v/>
      </c>
      <c r="E2888" s="14"/>
      <c r="F2888" s="14"/>
      <c r="G2888" s="15"/>
      <c r="H2888" s="16" t="str">
        <f aca="false">IF(OR($K2888="",$L2888=""),"",ROUND(MAX(0,($L2888-$K2888)-IF($G2888="",0,$G2888))/60,2))</f>
        <v/>
      </c>
      <c r="I2888" s="8"/>
      <c r="J2888" s="8"/>
      <c r="K2888" s="17" t="str">
        <f aca="false">IF($E2888="","",IF($E2888&lt;1,ROUND($E2888*1440,0),INT($E2888/100)*60+MOD($E2888,100)))</f>
        <v/>
      </c>
      <c r="L2888" s="17" t="str">
        <f aca="false">IF($F2888="","",IF($F2888&lt;1,ROUND($F2888*1440,0),INT($F2888/100)*60+MOD($F2888,100)))</f>
        <v/>
      </c>
    </row>
    <row r="2889" customFormat="false" ht="15" hidden="false" customHeight="true" outlineLevel="0" collapsed="false">
      <c r="A2889" s="10"/>
      <c r="B2889" s="8"/>
      <c r="C2889" s="13" t="str">
        <f aca="false">IF($B2889="","",IFERROR(INDEX(직원목록!$B$3:$B$302,MATCH($B2889,직원목록!$A$3:$A$302,0)),"미등록사번"))</f>
        <v/>
      </c>
      <c r="D2889" s="13" t="str">
        <f aca="false">IF($B2889="","",IFERROR(INDEX(직원목록!$C$3:$C$302,MATCH($B2889,직원목록!$A$3:$A$302,0)),""))</f>
        <v/>
      </c>
      <c r="E2889" s="14"/>
      <c r="F2889" s="14"/>
      <c r="G2889" s="15"/>
      <c r="H2889" s="16" t="str">
        <f aca="false">IF(OR($K2889="",$L2889=""),"",ROUND(MAX(0,($L2889-$K2889)-IF($G2889="",0,$G2889))/60,2))</f>
        <v/>
      </c>
      <c r="I2889" s="8"/>
      <c r="J2889" s="8"/>
      <c r="K2889" s="17" t="str">
        <f aca="false">IF($E2889="","",IF($E2889&lt;1,ROUND($E2889*1440,0),INT($E2889/100)*60+MOD($E2889,100)))</f>
        <v/>
      </c>
      <c r="L2889" s="17" t="str">
        <f aca="false">IF($F2889="","",IF($F2889&lt;1,ROUND($F2889*1440,0),INT($F2889/100)*60+MOD($F2889,100)))</f>
        <v/>
      </c>
    </row>
    <row r="2890" customFormat="false" ht="15" hidden="false" customHeight="true" outlineLevel="0" collapsed="false">
      <c r="A2890" s="10"/>
      <c r="B2890" s="8"/>
      <c r="C2890" s="13" t="str">
        <f aca="false">IF($B2890="","",IFERROR(INDEX(직원목록!$B$3:$B$302,MATCH($B2890,직원목록!$A$3:$A$302,0)),"미등록사번"))</f>
        <v/>
      </c>
      <c r="D2890" s="13" t="str">
        <f aca="false">IF($B2890="","",IFERROR(INDEX(직원목록!$C$3:$C$302,MATCH($B2890,직원목록!$A$3:$A$302,0)),""))</f>
        <v/>
      </c>
      <c r="E2890" s="14"/>
      <c r="F2890" s="14"/>
      <c r="G2890" s="15"/>
      <c r="H2890" s="16" t="str">
        <f aca="false">IF(OR($K2890="",$L2890=""),"",ROUND(MAX(0,($L2890-$K2890)-IF($G2890="",0,$G2890))/60,2))</f>
        <v/>
      </c>
      <c r="I2890" s="8"/>
      <c r="J2890" s="8"/>
      <c r="K2890" s="17" t="str">
        <f aca="false">IF($E2890="","",IF($E2890&lt;1,ROUND($E2890*1440,0),INT($E2890/100)*60+MOD($E2890,100)))</f>
        <v/>
      </c>
      <c r="L2890" s="17" t="str">
        <f aca="false">IF($F2890="","",IF($F2890&lt;1,ROUND($F2890*1440,0),INT($F2890/100)*60+MOD($F2890,100)))</f>
        <v/>
      </c>
    </row>
    <row r="2891" customFormat="false" ht="15" hidden="false" customHeight="true" outlineLevel="0" collapsed="false">
      <c r="A2891" s="10"/>
      <c r="B2891" s="8"/>
      <c r="C2891" s="13" t="str">
        <f aca="false">IF($B2891="","",IFERROR(INDEX(직원목록!$B$3:$B$302,MATCH($B2891,직원목록!$A$3:$A$302,0)),"미등록사번"))</f>
        <v/>
      </c>
      <c r="D2891" s="13" t="str">
        <f aca="false">IF($B2891="","",IFERROR(INDEX(직원목록!$C$3:$C$302,MATCH($B2891,직원목록!$A$3:$A$302,0)),""))</f>
        <v/>
      </c>
      <c r="E2891" s="14"/>
      <c r="F2891" s="14"/>
      <c r="G2891" s="15"/>
      <c r="H2891" s="16" t="str">
        <f aca="false">IF(OR($K2891="",$L2891=""),"",ROUND(MAX(0,($L2891-$K2891)-IF($G2891="",0,$G2891))/60,2))</f>
        <v/>
      </c>
      <c r="I2891" s="8"/>
      <c r="J2891" s="8"/>
      <c r="K2891" s="17" t="str">
        <f aca="false">IF($E2891="","",IF($E2891&lt;1,ROUND($E2891*1440,0),INT($E2891/100)*60+MOD($E2891,100)))</f>
        <v/>
      </c>
      <c r="L2891" s="17" t="str">
        <f aca="false">IF($F2891="","",IF($F2891&lt;1,ROUND($F2891*1440,0),INT($F2891/100)*60+MOD($F2891,100)))</f>
        <v/>
      </c>
    </row>
    <row r="2892" customFormat="false" ht="15" hidden="false" customHeight="true" outlineLevel="0" collapsed="false">
      <c r="A2892" s="10"/>
      <c r="B2892" s="8"/>
      <c r="C2892" s="13" t="str">
        <f aca="false">IF($B2892="","",IFERROR(INDEX(직원목록!$B$3:$B$302,MATCH($B2892,직원목록!$A$3:$A$302,0)),"미등록사번"))</f>
        <v/>
      </c>
      <c r="D2892" s="13" t="str">
        <f aca="false">IF($B2892="","",IFERROR(INDEX(직원목록!$C$3:$C$302,MATCH($B2892,직원목록!$A$3:$A$302,0)),""))</f>
        <v/>
      </c>
      <c r="E2892" s="14"/>
      <c r="F2892" s="14"/>
      <c r="G2892" s="15"/>
      <c r="H2892" s="16" t="str">
        <f aca="false">IF(OR($K2892="",$L2892=""),"",ROUND(MAX(0,($L2892-$K2892)-IF($G2892="",0,$G2892))/60,2))</f>
        <v/>
      </c>
      <c r="I2892" s="8"/>
      <c r="J2892" s="8"/>
      <c r="K2892" s="17" t="str">
        <f aca="false">IF($E2892="","",IF($E2892&lt;1,ROUND($E2892*1440,0),INT($E2892/100)*60+MOD($E2892,100)))</f>
        <v/>
      </c>
      <c r="L2892" s="17" t="str">
        <f aca="false">IF($F2892="","",IF($F2892&lt;1,ROUND($F2892*1440,0),INT($F2892/100)*60+MOD($F2892,100)))</f>
        <v/>
      </c>
    </row>
    <row r="2893" customFormat="false" ht="15" hidden="false" customHeight="true" outlineLevel="0" collapsed="false">
      <c r="A2893" s="10"/>
      <c r="B2893" s="8"/>
      <c r="C2893" s="13" t="str">
        <f aca="false">IF($B2893="","",IFERROR(INDEX(직원목록!$B$3:$B$302,MATCH($B2893,직원목록!$A$3:$A$302,0)),"미등록사번"))</f>
        <v/>
      </c>
      <c r="D2893" s="13" t="str">
        <f aca="false">IF($B2893="","",IFERROR(INDEX(직원목록!$C$3:$C$302,MATCH($B2893,직원목록!$A$3:$A$302,0)),""))</f>
        <v/>
      </c>
      <c r="E2893" s="14"/>
      <c r="F2893" s="14"/>
      <c r="G2893" s="15"/>
      <c r="H2893" s="16" t="str">
        <f aca="false">IF(OR($K2893="",$L2893=""),"",ROUND(MAX(0,($L2893-$K2893)-IF($G2893="",0,$G2893))/60,2))</f>
        <v/>
      </c>
      <c r="I2893" s="8"/>
      <c r="J2893" s="8"/>
      <c r="K2893" s="17" t="str">
        <f aca="false">IF($E2893="","",IF($E2893&lt;1,ROUND($E2893*1440,0),INT($E2893/100)*60+MOD($E2893,100)))</f>
        <v/>
      </c>
      <c r="L2893" s="17" t="str">
        <f aca="false">IF($F2893="","",IF($F2893&lt;1,ROUND($F2893*1440,0),INT($F2893/100)*60+MOD($F2893,100)))</f>
        <v/>
      </c>
    </row>
    <row r="2894" customFormat="false" ht="15" hidden="false" customHeight="true" outlineLevel="0" collapsed="false">
      <c r="A2894" s="10"/>
      <c r="B2894" s="8"/>
      <c r="C2894" s="13" t="str">
        <f aca="false">IF($B2894="","",IFERROR(INDEX(직원목록!$B$3:$B$302,MATCH($B2894,직원목록!$A$3:$A$302,0)),"미등록사번"))</f>
        <v/>
      </c>
      <c r="D2894" s="13" t="str">
        <f aca="false">IF($B2894="","",IFERROR(INDEX(직원목록!$C$3:$C$302,MATCH($B2894,직원목록!$A$3:$A$302,0)),""))</f>
        <v/>
      </c>
      <c r="E2894" s="14"/>
      <c r="F2894" s="14"/>
      <c r="G2894" s="15"/>
      <c r="H2894" s="16" t="str">
        <f aca="false">IF(OR($K2894="",$L2894=""),"",ROUND(MAX(0,($L2894-$K2894)-IF($G2894="",0,$G2894))/60,2))</f>
        <v/>
      </c>
      <c r="I2894" s="8"/>
      <c r="J2894" s="8"/>
      <c r="K2894" s="17" t="str">
        <f aca="false">IF($E2894="","",IF($E2894&lt;1,ROUND($E2894*1440,0),INT($E2894/100)*60+MOD($E2894,100)))</f>
        <v/>
      </c>
      <c r="L2894" s="17" t="str">
        <f aca="false">IF($F2894="","",IF($F2894&lt;1,ROUND($F2894*1440,0),INT($F2894/100)*60+MOD($F2894,100)))</f>
        <v/>
      </c>
    </row>
    <row r="2895" customFormat="false" ht="15" hidden="false" customHeight="true" outlineLevel="0" collapsed="false">
      <c r="A2895" s="10"/>
      <c r="B2895" s="8"/>
      <c r="C2895" s="13" t="str">
        <f aca="false">IF($B2895="","",IFERROR(INDEX(직원목록!$B$3:$B$302,MATCH($B2895,직원목록!$A$3:$A$302,0)),"미등록사번"))</f>
        <v/>
      </c>
      <c r="D2895" s="13" t="str">
        <f aca="false">IF($B2895="","",IFERROR(INDEX(직원목록!$C$3:$C$302,MATCH($B2895,직원목록!$A$3:$A$302,0)),""))</f>
        <v/>
      </c>
      <c r="E2895" s="14"/>
      <c r="F2895" s="14"/>
      <c r="G2895" s="15"/>
      <c r="H2895" s="16" t="str">
        <f aca="false">IF(OR($K2895="",$L2895=""),"",ROUND(MAX(0,($L2895-$K2895)-IF($G2895="",0,$G2895))/60,2))</f>
        <v/>
      </c>
      <c r="I2895" s="8"/>
      <c r="J2895" s="8"/>
      <c r="K2895" s="17" t="str">
        <f aca="false">IF($E2895="","",IF($E2895&lt;1,ROUND($E2895*1440,0),INT($E2895/100)*60+MOD($E2895,100)))</f>
        <v/>
      </c>
      <c r="L2895" s="17" t="str">
        <f aca="false">IF($F2895="","",IF($F2895&lt;1,ROUND($F2895*1440,0),INT($F2895/100)*60+MOD($F2895,100)))</f>
        <v/>
      </c>
    </row>
    <row r="2896" customFormat="false" ht="15" hidden="false" customHeight="true" outlineLevel="0" collapsed="false">
      <c r="A2896" s="10"/>
      <c r="B2896" s="8"/>
      <c r="C2896" s="13" t="str">
        <f aca="false">IF($B2896="","",IFERROR(INDEX(직원목록!$B$3:$B$302,MATCH($B2896,직원목록!$A$3:$A$302,0)),"미등록사번"))</f>
        <v/>
      </c>
      <c r="D2896" s="13" t="str">
        <f aca="false">IF($B2896="","",IFERROR(INDEX(직원목록!$C$3:$C$302,MATCH($B2896,직원목록!$A$3:$A$302,0)),""))</f>
        <v/>
      </c>
      <c r="E2896" s="14"/>
      <c r="F2896" s="14"/>
      <c r="G2896" s="15"/>
      <c r="H2896" s="16" t="str">
        <f aca="false">IF(OR($K2896="",$L2896=""),"",ROUND(MAX(0,($L2896-$K2896)-IF($G2896="",0,$G2896))/60,2))</f>
        <v/>
      </c>
      <c r="I2896" s="8"/>
      <c r="J2896" s="8"/>
      <c r="K2896" s="17" t="str">
        <f aca="false">IF($E2896="","",IF($E2896&lt;1,ROUND($E2896*1440,0),INT($E2896/100)*60+MOD($E2896,100)))</f>
        <v/>
      </c>
      <c r="L2896" s="17" t="str">
        <f aca="false">IF($F2896="","",IF($F2896&lt;1,ROUND($F2896*1440,0),INT($F2896/100)*60+MOD($F2896,100)))</f>
        <v/>
      </c>
    </row>
    <row r="2897" customFormat="false" ht="15" hidden="false" customHeight="true" outlineLevel="0" collapsed="false">
      <c r="A2897" s="10"/>
      <c r="B2897" s="8"/>
      <c r="C2897" s="13" t="str">
        <f aca="false">IF($B2897="","",IFERROR(INDEX(직원목록!$B$3:$B$302,MATCH($B2897,직원목록!$A$3:$A$302,0)),"미등록사번"))</f>
        <v/>
      </c>
      <c r="D2897" s="13" t="str">
        <f aca="false">IF($B2897="","",IFERROR(INDEX(직원목록!$C$3:$C$302,MATCH($B2897,직원목록!$A$3:$A$302,0)),""))</f>
        <v/>
      </c>
      <c r="E2897" s="14"/>
      <c r="F2897" s="14"/>
      <c r="G2897" s="15"/>
      <c r="H2897" s="16" t="str">
        <f aca="false">IF(OR($K2897="",$L2897=""),"",ROUND(MAX(0,($L2897-$K2897)-IF($G2897="",0,$G2897))/60,2))</f>
        <v/>
      </c>
      <c r="I2897" s="8"/>
      <c r="J2897" s="8"/>
      <c r="K2897" s="17" t="str">
        <f aca="false">IF($E2897="","",IF($E2897&lt;1,ROUND($E2897*1440,0),INT($E2897/100)*60+MOD($E2897,100)))</f>
        <v/>
      </c>
      <c r="L2897" s="17" t="str">
        <f aca="false">IF($F2897="","",IF($F2897&lt;1,ROUND($F2897*1440,0),INT($F2897/100)*60+MOD($F2897,100)))</f>
        <v/>
      </c>
    </row>
    <row r="2898" customFormat="false" ht="15" hidden="false" customHeight="true" outlineLevel="0" collapsed="false">
      <c r="A2898" s="10"/>
      <c r="B2898" s="8"/>
      <c r="C2898" s="13" t="str">
        <f aca="false">IF($B2898="","",IFERROR(INDEX(직원목록!$B$3:$B$302,MATCH($B2898,직원목록!$A$3:$A$302,0)),"미등록사번"))</f>
        <v/>
      </c>
      <c r="D2898" s="13" t="str">
        <f aca="false">IF($B2898="","",IFERROR(INDEX(직원목록!$C$3:$C$302,MATCH($B2898,직원목록!$A$3:$A$302,0)),""))</f>
        <v/>
      </c>
      <c r="E2898" s="14"/>
      <c r="F2898" s="14"/>
      <c r="G2898" s="15"/>
      <c r="H2898" s="16" t="str">
        <f aca="false">IF(OR($K2898="",$L2898=""),"",ROUND(MAX(0,($L2898-$K2898)-IF($G2898="",0,$G2898))/60,2))</f>
        <v/>
      </c>
      <c r="I2898" s="8"/>
      <c r="J2898" s="8"/>
      <c r="K2898" s="17" t="str">
        <f aca="false">IF($E2898="","",IF($E2898&lt;1,ROUND($E2898*1440,0),INT($E2898/100)*60+MOD($E2898,100)))</f>
        <v/>
      </c>
      <c r="L2898" s="17" t="str">
        <f aca="false">IF($F2898="","",IF($F2898&lt;1,ROUND($F2898*1440,0),INT($F2898/100)*60+MOD($F2898,100)))</f>
        <v/>
      </c>
    </row>
    <row r="2899" customFormat="false" ht="15" hidden="false" customHeight="true" outlineLevel="0" collapsed="false">
      <c r="A2899" s="10"/>
      <c r="B2899" s="8"/>
      <c r="C2899" s="13" t="str">
        <f aca="false">IF($B2899="","",IFERROR(INDEX(직원목록!$B$3:$B$302,MATCH($B2899,직원목록!$A$3:$A$302,0)),"미등록사번"))</f>
        <v/>
      </c>
      <c r="D2899" s="13" t="str">
        <f aca="false">IF($B2899="","",IFERROR(INDEX(직원목록!$C$3:$C$302,MATCH($B2899,직원목록!$A$3:$A$302,0)),""))</f>
        <v/>
      </c>
      <c r="E2899" s="14"/>
      <c r="F2899" s="14"/>
      <c r="G2899" s="15"/>
      <c r="H2899" s="16" t="str">
        <f aca="false">IF(OR($K2899="",$L2899=""),"",ROUND(MAX(0,($L2899-$K2899)-IF($G2899="",0,$G2899))/60,2))</f>
        <v/>
      </c>
      <c r="I2899" s="8"/>
      <c r="J2899" s="8"/>
      <c r="K2899" s="17" t="str">
        <f aca="false">IF($E2899="","",IF($E2899&lt;1,ROUND($E2899*1440,0),INT($E2899/100)*60+MOD($E2899,100)))</f>
        <v/>
      </c>
      <c r="L2899" s="17" t="str">
        <f aca="false">IF($F2899="","",IF($F2899&lt;1,ROUND($F2899*1440,0),INT($F2899/100)*60+MOD($F2899,100)))</f>
        <v/>
      </c>
    </row>
    <row r="2900" customFormat="false" ht="15" hidden="false" customHeight="true" outlineLevel="0" collapsed="false">
      <c r="A2900" s="10"/>
      <c r="B2900" s="8"/>
      <c r="C2900" s="13" t="str">
        <f aca="false">IF($B2900="","",IFERROR(INDEX(직원목록!$B$3:$B$302,MATCH($B2900,직원목록!$A$3:$A$302,0)),"미등록사번"))</f>
        <v/>
      </c>
      <c r="D2900" s="13" t="str">
        <f aca="false">IF($B2900="","",IFERROR(INDEX(직원목록!$C$3:$C$302,MATCH($B2900,직원목록!$A$3:$A$302,0)),""))</f>
        <v/>
      </c>
      <c r="E2900" s="14"/>
      <c r="F2900" s="14"/>
      <c r="G2900" s="15"/>
      <c r="H2900" s="16" t="str">
        <f aca="false">IF(OR($K2900="",$L2900=""),"",ROUND(MAX(0,($L2900-$K2900)-IF($G2900="",0,$G2900))/60,2))</f>
        <v/>
      </c>
      <c r="I2900" s="8"/>
      <c r="J2900" s="8"/>
      <c r="K2900" s="17" t="str">
        <f aca="false">IF($E2900="","",IF($E2900&lt;1,ROUND($E2900*1440,0),INT($E2900/100)*60+MOD($E2900,100)))</f>
        <v/>
      </c>
      <c r="L2900" s="17" t="str">
        <f aca="false">IF($F2900="","",IF($F2900&lt;1,ROUND($F2900*1440,0),INT($F2900/100)*60+MOD($F2900,100)))</f>
        <v/>
      </c>
    </row>
    <row r="2901" customFormat="false" ht="15" hidden="false" customHeight="true" outlineLevel="0" collapsed="false">
      <c r="A2901" s="10"/>
      <c r="B2901" s="8"/>
      <c r="C2901" s="13" t="str">
        <f aca="false">IF($B2901="","",IFERROR(INDEX(직원목록!$B$3:$B$302,MATCH($B2901,직원목록!$A$3:$A$302,0)),"미등록사번"))</f>
        <v/>
      </c>
      <c r="D2901" s="13" t="str">
        <f aca="false">IF($B2901="","",IFERROR(INDEX(직원목록!$C$3:$C$302,MATCH($B2901,직원목록!$A$3:$A$302,0)),""))</f>
        <v/>
      </c>
      <c r="E2901" s="14"/>
      <c r="F2901" s="14"/>
      <c r="G2901" s="15"/>
      <c r="H2901" s="16" t="str">
        <f aca="false">IF(OR($K2901="",$L2901=""),"",ROUND(MAX(0,($L2901-$K2901)-IF($G2901="",0,$G2901))/60,2))</f>
        <v/>
      </c>
      <c r="I2901" s="8"/>
      <c r="J2901" s="8"/>
      <c r="K2901" s="17" t="str">
        <f aca="false">IF($E2901="","",IF($E2901&lt;1,ROUND($E2901*1440,0),INT($E2901/100)*60+MOD($E2901,100)))</f>
        <v/>
      </c>
      <c r="L2901" s="17" t="str">
        <f aca="false">IF($F2901="","",IF($F2901&lt;1,ROUND($F2901*1440,0),INT($F2901/100)*60+MOD($F2901,100)))</f>
        <v/>
      </c>
    </row>
    <row r="2902" customFormat="false" ht="15" hidden="false" customHeight="true" outlineLevel="0" collapsed="false">
      <c r="A2902" s="10"/>
      <c r="B2902" s="8"/>
      <c r="C2902" s="13" t="str">
        <f aca="false">IF($B2902="","",IFERROR(INDEX(직원목록!$B$3:$B$302,MATCH($B2902,직원목록!$A$3:$A$302,0)),"미등록사번"))</f>
        <v/>
      </c>
      <c r="D2902" s="13" t="str">
        <f aca="false">IF($B2902="","",IFERROR(INDEX(직원목록!$C$3:$C$302,MATCH($B2902,직원목록!$A$3:$A$302,0)),""))</f>
        <v/>
      </c>
      <c r="E2902" s="14"/>
      <c r="F2902" s="14"/>
      <c r="G2902" s="15"/>
      <c r="H2902" s="16" t="str">
        <f aca="false">IF(OR($K2902="",$L2902=""),"",ROUND(MAX(0,($L2902-$K2902)-IF($G2902="",0,$G2902))/60,2))</f>
        <v/>
      </c>
      <c r="I2902" s="8"/>
      <c r="J2902" s="8"/>
      <c r="K2902" s="17" t="str">
        <f aca="false">IF($E2902="","",IF($E2902&lt;1,ROUND($E2902*1440,0),INT($E2902/100)*60+MOD($E2902,100)))</f>
        <v/>
      </c>
      <c r="L2902" s="17" t="str">
        <f aca="false">IF($F2902="","",IF($F2902&lt;1,ROUND($F2902*1440,0),INT($F2902/100)*60+MOD($F2902,100)))</f>
        <v/>
      </c>
    </row>
    <row r="2903" customFormat="false" ht="15" hidden="false" customHeight="true" outlineLevel="0" collapsed="false">
      <c r="A2903" s="10"/>
      <c r="B2903" s="8"/>
      <c r="C2903" s="13" t="str">
        <f aca="false">IF($B2903="","",IFERROR(INDEX(직원목록!$B$3:$B$302,MATCH($B2903,직원목록!$A$3:$A$302,0)),"미등록사번"))</f>
        <v/>
      </c>
      <c r="D2903" s="13" t="str">
        <f aca="false">IF($B2903="","",IFERROR(INDEX(직원목록!$C$3:$C$302,MATCH($B2903,직원목록!$A$3:$A$302,0)),""))</f>
        <v/>
      </c>
      <c r="E2903" s="14"/>
      <c r="F2903" s="14"/>
      <c r="G2903" s="15"/>
      <c r="H2903" s="16" t="str">
        <f aca="false">IF(OR($K2903="",$L2903=""),"",ROUND(MAX(0,($L2903-$K2903)-IF($G2903="",0,$G2903))/60,2))</f>
        <v/>
      </c>
      <c r="I2903" s="8"/>
      <c r="J2903" s="8"/>
      <c r="K2903" s="17" t="str">
        <f aca="false">IF($E2903="","",IF($E2903&lt;1,ROUND($E2903*1440,0),INT($E2903/100)*60+MOD($E2903,100)))</f>
        <v/>
      </c>
      <c r="L2903" s="17" t="str">
        <f aca="false">IF($F2903="","",IF($F2903&lt;1,ROUND($F2903*1440,0),INT($F2903/100)*60+MOD($F2903,100)))</f>
        <v/>
      </c>
    </row>
    <row r="2904" customFormat="false" ht="15" hidden="false" customHeight="true" outlineLevel="0" collapsed="false">
      <c r="A2904" s="10"/>
      <c r="B2904" s="8"/>
      <c r="C2904" s="13" t="str">
        <f aca="false">IF($B2904="","",IFERROR(INDEX(직원목록!$B$3:$B$302,MATCH($B2904,직원목록!$A$3:$A$302,0)),"미등록사번"))</f>
        <v/>
      </c>
      <c r="D2904" s="13" t="str">
        <f aca="false">IF($B2904="","",IFERROR(INDEX(직원목록!$C$3:$C$302,MATCH($B2904,직원목록!$A$3:$A$302,0)),""))</f>
        <v/>
      </c>
      <c r="E2904" s="14"/>
      <c r="F2904" s="14"/>
      <c r="G2904" s="15"/>
      <c r="H2904" s="16" t="str">
        <f aca="false">IF(OR($K2904="",$L2904=""),"",ROUND(MAX(0,($L2904-$K2904)-IF($G2904="",0,$G2904))/60,2))</f>
        <v/>
      </c>
      <c r="I2904" s="8"/>
      <c r="J2904" s="8"/>
      <c r="K2904" s="17" t="str">
        <f aca="false">IF($E2904="","",IF($E2904&lt;1,ROUND($E2904*1440,0),INT($E2904/100)*60+MOD($E2904,100)))</f>
        <v/>
      </c>
      <c r="L2904" s="17" t="str">
        <f aca="false">IF($F2904="","",IF($F2904&lt;1,ROUND($F2904*1440,0),INT($F2904/100)*60+MOD($F2904,100)))</f>
        <v/>
      </c>
    </row>
    <row r="2905" customFormat="false" ht="15" hidden="false" customHeight="true" outlineLevel="0" collapsed="false">
      <c r="A2905" s="10"/>
      <c r="B2905" s="8"/>
      <c r="C2905" s="13" t="str">
        <f aca="false">IF($B2905="","",IFERROR(INDEX(직원목록!$B$3:$B$302,MATCH($B2905,직원목록!$A$3:$A$302,0)),"미등록사번"))</f>
        <v/>
      </c>
      <c r="D2905" s="13" t="str">
        <f aca="false">IF($B2905="","",IFERROR(INDEX(직원목록!$C$3:$C$302,MATCH($B2905,직원목록!$A$3:$A$302,0)),""))</f>
        <v/>
      </c>
      <c r="E2905" s="14"/>
      <c r="F2905" s="14"/>
      <c r="G2905" s="15"/>
      <c r="H2905" s="16" t="str">
        <f aca="false">IF(OR($K2905="",$L2905=""),"",ROUND(MAX(0,($L2905-$K2905)-IF($G2905="",0,$G2905))/60,2))</f>
        <v/>
      </c>
      <c r="I2905" s="8"/>
      <c r="J2905" s="8"/>
      <c r="K2905" s="17" t="str">
        <f aca="false">IF($E2905="","",IF($E2905&lt;1,ROUND($E2905*1440,0),INT($E2905/100)*60+MOD($E2905,100)))</f>
        <v/>
      </c>
      <c r="L2905" s="17" t="str">
        <f aca="false">IF($F2905="","",IF($F2905&lt;1,ROUND($F2905*1440,0),INT($F2905/100)*60+MOD($F2905,100)))</f>
        <v/>
      </c>
    </row>
    <row r="2906" customFormat="false" ht="15" hidden="false" customHeight="true" outlineLevel="0" collapsed="false">
      <c r="A2906" s="10"/>
      <c r="B2906" s="8"/>
      <c r="C2906" s="13" t="str">
        <f aca="false">IF($B2906="","",IFERROR(INDEX(직원목록!$B$3:$B$302,MATCH($B2906,직원목록!$A$3:$A$302,0)),"미등록사번"))</f>
        <v/>
      </c>
      <c r="D2906" s="13" t="str">
        <f aca="false">IF($B2906="","",IFERROR(INDEX(직원목록!$C$3:$C$302,MATCH($B2906,직원목록!$A$3:$A$302,0)),""))</f>
        <v/>
      </c>
      <c r="E2906" s="14"/>
      <c r="F2906" s="14"/>
      <c r="G2906" s="15"/>
      <c r="H2906" s="16" t="str">
        <f aca="false">IF(OR($K2906="",$L2906=""),"",ROUND(MAX(0,($L2906-$K2906)-IF($G2906="",0,$G2906))/60,2))</f>
        <v/>
      </c>
      <c r="I2906" s="8"/>
      <c r="J2906" s="8"/>
      <c r="K2906" s="17" t="str">
        <f aca="false">IF($E2906="","",IF($E2906&lt;1,ROUND($E2906*1440,0),INT($E2906/100)*60+MOD($E2906,100)))</f>
        <v/>
      </c>
      <c r="L2906" s="17" t="str">
        <f aca="false">IF($F2906="","",IF($F2906&lt;1,ROUND($F2906*1440,0),INT($F2906/100)*60+MOD($F2906,100)))</f>
        <v/>
      </c>
    </row>
    <row r="2907" customFormat="false" ht="15" hidden="false" customHeight="true" outlineLevel="0" collapsed="false">
      <c r="A2907" s="10"/>
      <c r="B2907" s="8"/>
      <c r="C2907" s="13" t="str">
        <f aca="false">IF($B2907="","",IFERROR(INDEX(직원목록!$B$3:$B$302,MATCH($B2907,직원목록!$A$3:$A$302,0)),"미등록사번"))</f>
        <v/>
      </c>
      <c r="D2907" s="13" t="str">
        <f aca="false">IF($B2907="","",IFERROR(INDEX(직원목록!$C$3:$C$302,MATCH($B2907,직원목록!$A$3:$A$302,0)),""))</f>
        <v/>
      </c>
      <c r="E2907" s="14"/>
      <c r="F2907" s="14"/>
      <c r="G2907" s="15"/>
      <c r="H2907" s="16" t="str">
        <f aca="false">IF(OR($K2907="",$L2907=""),"",ROUND(MAX(0,($L2907-$K2907)-IF($G2907="",0,$G2907))/60,2))</f>
        <v/>
      </c>
      <c r="I2907" s="8"/>
      <c r="J2907" s="8"/>
      <c r="K2907" s="17" t="str">
        <f aca="false">IF($E2907="","",IF($E2907&lt;1,ROUND($E2907*1440,0),INT($E2907/100)*60+MOD($E2907,100)))</f>
        <v/>
      </c>
      <c r="L2907" s="17" t="str">
        <f aca="false">IF($F2907="","",IF($F2907&lt;1,ROUND($F2907*1440,0),INT($F2907/100)*60+MOD($F2907,100)))</f>
        <v/>
      </c>
    </row>
    <row r="2908" customFormat="false" ht="15" hidden="false" customHeight="true" outlineLevel="0" collapsed="false">
      <c r="A2908" s="10"/>
      <c r="B2908" s="8"/>
      <c r="C2908" s="13" t="str">
        <f aca="false">IF($B2908="","",IFERROR(INDEX(직원목록!$B$3:$B$302,MATCH($B2908,직원목록!$A$3:$A$302,0)),"미등록사번"))</f>
        <v/>
      </c>
      <c r="D2908" s="13" t="str">
        <f aca="false">IF($B2908="","",IFERROR(INDEX(직원목록!$C$3:$C$302,MATCH($B2908,직원목록!$A$3:$A$302,0)),""))</f>
        <v/>
      </c>
      <c r="E2908" s="14"/>
      <c r="F2908" s="14"/>
      <c r="G2908" s="15"/>
      <c r="H2908" s="16" t="str">
        <f aca="false">IF(OR($K2908="",$L2908=""),"",ROUND(MAX(0,($L2908-$K2908)-IF($G2908="",0,$G2908))/60,2))</f>
        <v/>
      </c>
      <c r="I2908" s="8"/>
      <c r="J2908" s="8"/>
      <c r="K2908" s="17" t="str">
        <f aca="false">IF($E2908="","",IF($E2908&lt;1,ROUND($E2908*1440,0),INT($E2908/100)*60+MOD($E2908,100)))</f>
        <v/>
      </c>
      <c r="L2908" s="17" t="str">
        <f aca="false">IF($F2908="","",IF($F2908&lt;1,ROUND($F2908*1440,0),INT($F2908/100)*60+MOD($F2908,100)))</f>
        <v/>
      </c>
    </row>
    <row r="2909" customFormat="false" ht="15" hidden="false" customHeight="true" outlineLevel="0" collapsed="false">
      <c r="A2909" s="10"/>
      <c r="B2909" s="8"/>
      <c r="C2909" s="13" t="str">
        <f aca="false">IF($B2909="","",IFERROR(INDEX(직원목록!$B$3:$B$302,MATCH($B2909,직원목록!$A$3:$A$302,0)),"미등록사번"))</f>
        <v/>
      </c>
      <c r="D2909" s="13" t="str">
        <f aca="false">IF($B2909="","",IFERROR(INDEX(직원목록!$C$3:$C$302,MATCH($B2909,직원목록!$A$3:$A$302,0)),""))</f>
        <v/>
      </c>
      <c r="E2909" s="14"/>
      <c r="F2909" s="14"/>
      <c r="G2909" s="15"/>
      <c r="H2909" s="16" t="str">
        <f aca="false">IF(OR($K2909="",$L2909=""),"",ROUND(MAX(0,($L2909-$K2909)-IF($G2909="",0,$G2909))/60,2))</f>
        <v/>
      </c>
      <c r="I2909" s="8"/>
      <c r="J2909" s="8"/>
      <c r="K2909" s="17" t="str">
        <f aca="false">IF($E2909="","",IF($E2909&lt;1,ROUND($E2909*1440,0),INT($E2909/100)*60+MOD($E2909,100)))</f>
        <v/>
      </c>
      <c r="L2909" s="17" t="str">
        <f aca="false">IF($F2909="","",IF($F2909&lt;1,ROUND($F2909*1440,0),INT($F2909/100)*60+MOD($F2909,100)))</f>
        <v/>
      </c>
    </row>
    <row r="2910" customFormat="false" ht="15" hidden="false" customHeight="true" outlineLevel="0" collapsed="false">
      <c r="A2910" s="10"/>
      <c r="B2910" s="8"/>
      <c r="C2910" s="13" t="str">
        <f aca="false">IF($B2910="","",IFERROR(INDEX(직원목록!$B$3:$B$302,MATCH($B2910,직원목록!$A$3:$A$302,0)),"미등록사번"))</f>
        <v/>
      </c>
      <c r="D2910" s="13" t="str">
        <f aca="false">IF($B2910="","",IFERROR(INDEX(직원목록!$C$3:$C$302,MATCH($B2910,직원목록!$A$3:$A$302,0)),""))</f>
        <v/>
      </c>
      <c r="E2910" s="14"/>
      <c r="F2910" s="14"/>
      <c r="G2910" s="15"/>
      <c r="H2910" s="16" t="str">
        <f aca="false">IF(OR($K2910="",$L2910=""),"",ROUND(MAX(0,($L2910-$K2910)-IF($G2910="",0,$G2910))/60,2))</f>
        <v/>
      </c>
      <c r="I2910" s="8"/>
      <c r="J2910" s="8"/>
      <c r="K2910" s="17" t="str">
        <f aca="false">IF($E2910="","",IF($E2910&lt;1,ROUND($E2910*1440,0),INT($E2910/100)*60+MOD($E2910,100)))</f>
        <v/>
      </c>
      <c r="L2910" s="17" t="str">
        <f aca="false">IF($F2910="","",IF($F2910&lt;1,ROUND($F2910*1440,0),INT($F2910/100)*60+MOD($F2910,100)))</f>
        <v/>
      </c>
    </row>
    <row r="2911" customFormat="false" ht="15" hidden="false" customHeight="true" outlineLevel="0" collapsed="false">
      <c r="A2911" s="10"/>
      <c r="B2911" s="8"/>
      <c r="C2911" s="13" t="str">
        <f aca="false">IF($B2911="","",IFERROR(INDEX(직원목록!$B$3:$B$302,MATCH($B2911,직원목록!$A$3:$A$302,0)),"미등록사번"))</f>
        <v/>
      </c>
      <c r="D2911" s="13" t="str">
        <f aca="false">IF($B2911="","",IFERROR(INDEX(직원목록!$C$3:$C$302,MATCH($B2911,직원목록!$A$3:$A$302,0)),""))</f>
        <v/>
      </c>
      <c r="E2911" s="14"/>
      <c r="F2911" s="14"/>
      <c r="G2911" s="15"/>
      <c r="H2911" s="16" t="str">
        <f aca="false">IF(OR($K2911="",$L2911=""),"",ROUND(MAX(0,($L2911-$K2911)-IF($G2911="",0,$G2911))/60,2))</f>
        <v/>
      </c>
      <c r="I2911" s="8"/>
      <c r="J2911" s="8"/>
      <c r="K2911" s="17" t="str">
        <f aca="false">IF($E2911="","",IF($E2911&lt;1,ROUND($E2911*1440,0),INT($E2911/100)*60+MOD($E2911,100)))</f>
        <v/>
      </c>
      <c r="L2911" s="17" t="str">
        <f aca="false">IF($F2911="","",IF($F2911&lt;1,ROUND($F2911*1440,0),INT($F2911/100)*60+MOD($F2911,100)))</f>
        <v/>
      </c>
    </row>
    <row r="2912" customFormat="false" ht="15" hidden="false" customHeight="true" outlineLevel="0" collapsed="false">
      <c r="A2912" s="10"/>
      <c r="B2912" s="8"/>
      <c r="C2912" s="13" t="str">
        <f aca="false">IF($B2912="","",IFERROR(INDEX(직원목록!$B$3:$B$302,MATCH($B2912,직원목록!$A$3:$A$302,0)),"미등록사번"))</f>
        <v/>
      </c>
      <c r="D2912" s="13" t="str">
        <f aca="false">IF($B2912="","",IFERROR(INDEX(직원목록!$C$3:$C$302,MATCH($B2912,직원목록!$A$3:$A$302,0)),""))</f>
        <v/>
      </c>
      <c r="E2912" s="14"/>
      <c r="F2912" s="14"/>
      <c r="G2912" s="15"/>
      <c r="H2912" s="16" t="str">
        <f aca="false">IF(OR($K2912="",$L2912=""),"",ROUND(MAX(0,($L2912-$K2912)-IF($G2912="",0,$G2912))/60,2))</f>
        <v/>
      </c>
      <c r="I2912" s="8"/>
      <c r="J2912" s="8"/>
      <c r="K2912" s="17" t="str">
        <f aca="false">IF($E2912="","",IF($E2912&lt;1,ROUND($E2912*1440,0),INT($E2912/100)*60+MOD($E2912,100)))</f>
        <v/>
      </c>
      <c r="L2912" s="17" t="str">
        <f aca="false">IF($F2912="","",IF($F2912&lt;1,ROUND($F2912*1440,0),INT($F2912/100)*60+MOD($F2912,100)))</f>
        <v/>
      </c>
    </row>
    <row r="2913" customFormat="false" ht="15" hidden="false" customHeight="true" outlineLevel="0" collapsed="false">
      <c r="A2913" s="10"/>
      <c r="B2913" s="8"/>
      <c r="C2913" s="13" t="str">
        <f aca="false">IF($B2913="","",IFERROR(INDEX(직원목록!$B$3:$B$302,MATCH($B2913,직원목록!$A$3:$A$302,0)),"미등록사번"))</f>
        <v/>
      </c>
      <c r="D2913" s="13" t="str">
        <f aca="false">IF($B2913="","",IFERROR(INDEX(직원목록!$C$3:$C$302,MATCH($B2913,직원목록!$A$3:$A$302,0)),""))</f>
        <v/>
      </c>
      <c r="E2913" s="14"/>
      <c r="F2913" s="14"/>
      <c r="G2913" s="15"/>
      <c r="H2913" s="16" t="str">
        <f aca="false">IF(OR($K2913="",$L2913=""),"",ROUND(MAX(0,($L2913-$K2913)-IF($G2913="",0,$G2913))/60,2))</f>
        <v/>
      </c>
      <c r="I2913" s="8"/>
      <c r="J2913" s="8"/>
      <c r="K2913" s="17" t="str">
        <f aca="false">IF($E2913="","",IF($E2913&lt;1,ROUND($E2913*1440,0),INT($E2913/100)*60+MOD($E2913,100)))</f>
        <v/>
      </c>
      <c r="L2913" s="17" t="str">
        <f aca="false">IF($F2913="","",IF($F2913&lt;1,ROUND($F2913*1440,0),INT($F2913/100)*60+MOD($F2913,100)))</f>
        <v/>
      </c>
    </row>
    <row r="2914" customFormat="false" ht="15" hidden="false" customHeight="true" outlineLevel="0" collapsed="false">
      <c r="A2914" s="10"/>
      <c r="B2914" s="8"/>
      <c r="C2914" s="13" t="str">
        <f aca="false">IF($B2914="","",IFERROR(INDEX(직원목록!$B$3:$B$302,MATCH($B2914,직원목록!$A$3:$A$302,0)),"미등록사번"))</f>
        <v/>
      </c>
      <c r="D2914" s="13" t="str">
        <f aca="false">IF($B2914="","",IFERROR(INDEX(직원목록!$C$3:$C$302,MATCH($B2914,직원목록!$A$3:$A$302,0)),""))</f>
        <v/>
      </c>
      <c r="E2914" s="14"/>
      <c r="F2914" s="14"/>
      <c r="G2914" s="15"/>
      <c r="H2914" s="16" t="str">
        <f aca="false">IF(OR($K2914="",$L2914=""),"",ROUND(MAX(0,($L2914-$K2914)-IF($G2914="",0,$G2914))/60,2))</f>
        <v/>
      </c>
      <c r="I2914" s="8"/>
      <c r="J2914" s="8"/>
      <c r="K2914" s="17" t="str">
        <f aca="false">IF($E2914="","",IF($E2914&lt;1,ROUND($E2914*1440,0),INT($E2914/100)*60+MOD($E2914,100)))</f>
        <v/>
      </c>
      <c r="L2914" s="17" t="str">
        <f aca="false">IF($F2914="","",IF($F2914&lt;1,ROUND($F2914*1440,0),INT($F2914/100)*60+MOD($F2914,100)))</f>
        <v/>
      </c>
    </row>
    <row r="2915" customFormat="false" ht="15" hidden="false" customHeight="true" outlineLevel="0" collapsed="false">
      <c r="A2915" s="10"/>
      <c r="B2915" s="8"/>
      <c r="C2915" s="13" t="str">
        <f aca="false">IF($B2915="","",IFERROR(INDEX(직원목록!$B$3:$B$302,MATCH($B2915,직원목록!$A$3:$A$302,0)),"미등록사번"))</f>
        <v/>
      </c>
      <c r="D2915" s="13" t="str">
        <f aca="false">IF($B2915="","",IFERROR(INDEX(직원목록!$C$3:$C$302,MATCH($B2915,직원목록!$A$3:$A$302,0)),""))</f>
        <v/>
      </c>
      <c r="E2915" s="14"/>
      <c r="F2915" s="14"/>
      <c r="G2915" s="15"/>
      <c r="H2915" s="16" t="str">
        <f aca="false">IF(OR($K2915="",$L2915=""),"",ROUND(MAX(0,($L2915-$K2915)-IF($G2915="",0,$G2915))/60,2))</f>
        <v/>
      </c>
      <c r="I2915" s="8"/>
      <c r="J2915" s="8"/>
      <c r="K2915" s="17" t="str">
        <f aca="false">IF($E2915="","",IF($E2915&lt;1,ROUND($E2915*1440,0),INT($E2915/100)*60+MOD($E2915,100)))</f>
        <v/>
      </c>
      <c r="L2915" s="17" t="str">
        <f aca="false">IF($F2915="","",IF($F2915&lt;1,ROUND($F2915*1440,0),INT($F2915/100)*60+MOD($F2915,100)))</f>
        <v/>
      </c>
    </row>
    <row r="2916" customFormat="false" ht="15" hidden="false" customHeight="true" outlineLevel="0" collapsed="false">
      <c r="A2916" s="10"/>
      <c r="B2916" s="8"/>
      <c r="C2916" s="13" t="str">
        <f aca="false">IF($B2916="","",IFERROR(INDEX(직원목록!$B$3:$B$302,MATCH($B2916,직원목록!$A$3:$A$302,0)),"미등록사번"))</f>
        <v/>
      </c>
      <c r="D2916" s="13" t="str">
        <f aca="false">IF($B2916="","",IFERROR(INDEX(직원목록!$C$3:$C$302,MATCH($B2916,직원목록!$A$3:$A$302,0)),""))</f>
        <v/>
      </c>
      <c r="E2916" s="14"/>
      <c r="F2916" s="14"/>
      <c r="G2916" s="15"/>
      <c r="H2916" s="16" t="str">
        <f aca="false">IF(OR($K2916="",$L2916=""),"",ROUND(MAX(0,($L2916-$K2916)-IF($G2916="",0,$G2916))/60,2))</f>
        <v/>
      </c>
      <c r="I2916" s="8"/>
      <c r="J2916" s="8"/>
      <c r="K2916" s="17" t="str">
        <f aca="false">IF($E2916="","",IF($E2916&lt;1,ROUND($E2916*1440,0),INT($E2916/100)*60+MOD($E2916,100)))</f>
        <v/>
      </c>
      <c r="L2916" s="17" t="str">
        <f aca="false">IF($F2916="","",IF($F2916&lt;1,ROUND($F2916*1440,0),INT($F2916/100)*60+MOD($F2916,100)))</f>
        <v/>
      </c>
    </row>
    <row r="2917" customFormat="false" ht="15" hidden="false" customHeight="true" outlineLevel="0" collapsed="false">
      <c r="A2917" s="10"/>
      <c r="B2917" s="8"/>
      <c r="C2917" s="13" t="str">
        <f aca="false">IF($B2917="","",IFERROR(INDEX(직원목록!$B$3:$B$302,MATCH($B2917,직원목록!$A$3:$A$302,0)),"미등록사번"))</f>
        <v/>
      </c>
      <c r="D2917" s="13" t="str">
        <f aca="false">IF($B2917="","",IFERROR(INDEX(직원목록!$C$3:$C$302,MATCH($B2917,직원목록!$A$3:$A$302,0)),""))</f>
        <v/>
      </c>
      <c r="E2917" s="14"/>
      <c r="F2917" s="14"/>
      <c r="G2917" s="15"/>
      <c r="H2917" s="16" t="str">
        <f aca="false">IF(OR($K2917="",$L2917=""),"",ROUND(MAX(0,($L2917-$K2917)-IF($G2917="",0,$G2917))/60,2))</f>
        <v/>
      </c>
      <c r="I2917" s="8"/>
      <c r="J2917" s="8"/>
      <c r="K2917" s="17" t="str">
        <f aca="false">IF($E2917="","",IF($E2917&lt;1,ROUND($E2917*1440,0),INT($E2917/100)*60+MOD($E2917,100)))</f>
        <v/>
      </c>
      <c r="L2917" s="17" t="str">
        <f aca="false">IF($F2917="","",IF($F2917&lt;1,ROUND($F2917*1440,0),INT($F2917/100)*60+MOD($F2917,100)))</f>
        <v/>
      </c>
    </row>
    <row r="2918" customFormat="false" ht="15" hidden="false" customHeight="true" outlineLevel="0" collapsed="false">
      <c r="A2918" s="10"/>
      <c r="B2918" s="8"/>
      <c r="C2918" s="13" t="str">
        <f aca="false">IF($B2918="","",IFERROR(INDEX(직원목록!$B$3:$B$302,MATCH($B2918,직원목록!$A$3:$A$302,0)),"미등록사번"))</f>
        <v/>
      </c>
      <c r="D2918" s="13" t="str">
        <f aca="false">IF($B2918="","",IFERROR(INDEX(직원목록!$C$3:$C$302,MATCH($B2918,직원목록!$A$3:$A$302,0)),""))</f>
        <v/>
      </c>
      <c r="E2918" s="14"/>
      <c r="F2918" s="14"/>
      <c r="G2918" s="15"/>
      <c r="H2918" s="16" t="str">
        <f aca="false">IF(OR($K2918="",$L2918=""),"",ROUND(MAX(0,($L2918-$K2918)-IF($G2918="",0,$G2918))/60,2))</f>
        <v/>
      </c>
      <c r="I2918" s="8"/>
      <c r="J2918" s="8"/>
      <c r="K2918" s="17" t="str">
        <f aca="false">IF($E2918="","",IF($E2918&lt;1,ROUND($E2918*1440,0),INT($E2918/100)*60+MOD($E2918,100)))</f>
        <v/>
      </c>
      <c r="L2918" s="17" t="str">
        <f aca="false">IF($F2918="","",IF($F2918&lt;1,ROUND($F2918*1440,0),INT($F2918/100)*60+MOD($F2918,100)))</f>
        <v/>
      </c>
    </row>
    <row r="2919" customFormat="false" ht="15" hidden="false" customHeight="true" outlineLevel="0" collapsed="false">
      <c r="A2919" s="10"/>
      <c r="B2919" s="8"/>
      <c r="C2919" s="13" t="str">
        <f aca="false">IF($B2919="","",IFERROR(INDEX(직원목록!$B$3:$B$302,MATCH($B2919,직원목록!$A$3:$A$302,0)),"미등록사번"))</f>
        <v/>
      </c>
      <c r="D2919" s="13" t="str">
        <f aca="false">IF($B2919="","",IFERROR(INDEX(직원목록!$C$3:$C$302,MATCH($B2919,직원목록!$A$3:$A$302,0)),""))</f>
        <v/>
      </c>
      <c r="E2919" s="14"/>
      <c r="F2919" s="14"/>
      <c r="G2919" s="15"/>
      <c r="H2919" s="16" t="str">
        <f aca="false">IF(OR($K2919="",$L2919=""),"",ROUND(MAX(0,($L2919-$K2919)-IF($G2919="",0,$G2919))/60,2))</f>
        <v/>
      </c>
      <c r="I2919" s="8"/>
      <c r="J2919" s="8"/>
      <c r="K2919" s="17" t="str">
        <f aca="false">IF($E2919="","",IF($E2919&lt;1,ROUND($E2919*1440,0),INT($E2919/100)*60+MOD($E2919,100)))</f>
        <v/>
      </c>
      <c r="L2919" s="17" t="str">
        <f aca="false">IF($F2919="","",IF($F2919&lt;1,ROUND($F2919*1440,0),INT($F2919/100)*60+MOD($F2919,100)))</f>
        <v/>
      </c>
    </row>
    <row r="2920" customFormat="false" ht="15" hidden="false" customHeight="true" outlineLevel="0" collapsed="false">
      <c r="A2920" s="10"/>
      <c r="B2920" s="8"/>
      <c r="C2920" s="13" t="str">
        <f aca="false">IF($B2920="","",IFERROR(INDEX(직원목록!$B$3:$B$302,MATCH($B2920,직원목록!$A$3:$A$302,0)),"미등록사번"))</f>
        <v/>
      </c>
      <c r="D2920" s="13" t="str">
        <f aca="false">IF($B2920="","",IFERROR(INDEX(직원목록!$C$3:$C$302,MATCH($B2920,직원목록!$A$3:$A$302,0)),""))</f>
        <v/>
      </c>
      <c r="E2920" s="14"/>
      <c r="F2920" s="14"/>
      <c r="G2920" s="15"/>
      <c r="H2920" s="16" t="str">
        <f aca="false">IF(OR($K2920="",$L2920=""),"",ROUND(MAX(0,($L2920-$K2920)-IF($G2920="",0,$G2920))/60,2))</f>
        <v/>
      </c>
      <c r="I2920" s="8"/>
      <c r="J2920" s="8"/>
      <c r="K2920" s="17" t="str">
        <f aca="false">IF($E2920="","",IF($E2920&lt;1,ROUND($E2920*1440,0),INT($E2920/100)*60+MOD($E2920,100)))</f>
        <v/>
      </c>
      <c r="L2920" s="17" t="str">
        <f aca="false">IF($F2920="","",IF($F2920&lt;1,ROUND($F2920*1440,0),INT($F2920/100)*60+MOD($F2920,100)))</f>
        <v/>
      </c>
    </row>
    <row r="2921" customFormat="false" ht="15" hidden="false" customHeight="true" outlineLevel="0" collapsed="false">
      <c r="A2921" s="10"/>
      <c r="B2921" s="8"/>
      <c r="C2921" s="13" t="str">
        <f aca="false">IF($B2921="","",IFERROR(INDEX(직원목록!$B$3:$B$302,MATCH($B2921,직원목록!$A$3:$A$302,0)),"미등록사번"))</f>
        <v/>
      </c>
      <c r="D2921" s="13" t="str">
        <f aca="false">IF($B2921="","",IFERROR(INDEX(직원목록!$C$3:$C$302,MATCH($B2921,직원목록!$A$3:$A$302,0)),""))</f>
        <v/>
      </c>
      <c r="E2921" s="14"/>
      <c r="F2921" s="14"/>
      <c r="G2921" s="15"/>
      <c r="H2921" s="16" t="str">
        <f aca="false">IF(OR($K2921="",$L2921=""),"",ROUND(MAX(0,($L2921-$K2921)-IF($G2921="",0,$G2921))/60,2))</f>
        <v/>
      </c>
      <c r="I2921" s="8"/>
      <c r="J2921" s="8"/>
      <c r="K2921" s="17" t="str">
        <f aca="false">IF($E2921="","",IF($E2921&lt;1,ROUND($E2921*1440,0),INT($E2921/100)*60+MOD($E2921,100)))</f>
        <v/>
      </c>
      <c r="L2921" s="17" t="str">
        <f aca="false">IF($F2921="","",IF($F2921&lt;1,ROUND($F2921*1440,0),INT($F2921/100)*60+MOD($F2921,100)))</f>
        <v/>
      </c>
    </row>
    <row r="2922" customFormat="false" ht="15" hidden="false" customHeight="true" outlineLevel="0" collapsed="false">
      <c r="A2922" s="10"/>
      <c r="B2922" s="8"/>
      <c r="C2922" s="13" t="str">
        <f aca="false">IF($B2922="","",IFERROR(INDEX(직원목록!$B$3:$B$302,MATCH($B2922,직원목록!$A$3:$A$302,0)),"미등록사번"))</f>
        <v/>
      </c>
      <c r="D2922" s="13" t="str">
        <f aca="false">IF($B2922="","",IFERROR(INDEX(직원목록!$C$3:$C$302,MATCH($B2922,직원목록!$A$3:$A$302,0)),""))</f>
        <v/>
      </c>
      <c r="E2922" s="14"/>
      <c r="F2922" s="14"/>
      <c r="G2922" s="15"/>
      <c r="H2922" s="16" t="str">
        <f aca="false">IF(OR($K2922="",$L2922=""),"",ROUND(MAX(0,($L2922-$K2922)-IF($G2922="",0,$G2922))/60,2))</f>
        <v/>
      </c>
      <c r="I2922" s="8"/>
      <c r="J2922" s="8"/>
      <c r="K2922" s="17" t="str">
        <f aca="false">IF($E2922="","",IF($E2922&lt;1,ROUND($E2922*1440,0),INT($E2922/100)*60+MOD($E2922,100)))</f>
        <v/>
      </c>
      <c r="L2922" s="17" t="str">
        <f aca="false">IF($F2922="","",IF($F2922&lt;1,ROUND($F2922*1440,0),INT($F2922/100)*60+MOD($F2922,100)))</f>
        <v/>
      </c>
    </row>
    <row r="2923" customFormat="false" ht="15" hidden="false" customHeight="true" outlineLevel="0" collapsed="false">
      <c r="A2923" s="10"/>
      <c r="B2923" s="8"/>
      <c r="C2923" s="13" t="str">
        <f aca="false">IF($B2923="","",IFERROR(INDEX(직원목록!$B$3:$B$302,MATCH($B2923,직원목록!$A$3:$A$302,0)),"미등록사번"))</f>
        <v/>
      </c>
      <c r="D2923" s="13" t="str">
        <f aca="false">IF($B2923="","",IFERROR(INDEX(직원목록!$C$3:$C$302,MATCH($B2923,직원목록!$A$3:$A$302,0)),""))</f>
        <v/>
      </c>
      <c r="E2923" s="14"/>
      <c r="F2923" s="14"/>
      <c r="G2923" s="15"/>
      <c r="H2923" s="16" t="str">
        <f aca="false">IF(OR($K2923="",$L2923=""),"",ROUND(MAX(0,($L2923-$K2923)-IF($G2923="",0,$G2923))/60,2))</f>
        <v/>
      </c>
      <c r="I2923" s="8"/>
      <c r="J2923" s="8"/>
      <c r="K2923" s="17" t="str">
        <f aca="false">IF($E2923="","",IF($E2923&lt;1,ROUND($E2923*1440,0),INT($E2923/100)*60+MOD($E2923,100)))</f>
        <v/>
      </c>
      <c r="L2923" s="17" t="str">
        <f aca="false">IF($F2923="","",IF($F2923&lt;1,ROUND($F2923*1440,0),INT($F2923/100)*60+MOD($F2923,100)))</f>
        <v/>
      </c>
    </row>
    <row r="2924" customFormat="false" ht="15" hidden="false" customHeight="true" outlineLevel="0" collapsed="false">
      <c r="A2924" s="10"/>
      <c r="B2924" s="8"/>
      <c r="C2924" s="13" t="str">
        <f aca="false">IF($B2924="","",IFERROR(INDEX(직원목록!$B$3:$B$302,MATCH($B2924,직원목록!$A$3:$A$302,0)),"미등록사번"))</f>
        <v/>
      </c>
      <c r="D2924" s="13" t="str">
        <f aca="false">IF($B2924="","",IFERROR(INDEX(직원목록!$C$3:$C$302,MATCH($B2924,직원목록!$A$3:$A$302,0)),""))</f>
        <v/>
      </c>
      <c r="E2924" s="14"/>
      <c r="F2924" s="14"/>
      <c r="G2924" s="15"/>
      <c r="H2924" s="16" t="str">
        <f aca="false">IF(OR($K2924="",$L2924=""),"",ROUND(MAX(0,($L2924-$K2924)-IF($G2924="",0,$G2924))/60,2))</f>
        <v/>
      </c>
      <c r="I2924" s="8"/>
      <c r="J2924" s="8"/>
      <c r="K2924" s="17" t="str">
        <f aca="false">IF($E2924="","",IF($E2924&lt;1,ROUND($E2924*1440,0),INT($E2924/100)*60+MOD($E2924,100)))</f>
        <v/>
      </c>
      <c r="L2924" s="17" t="str">
        <f aca="false">IF($F2924="","",IF($F2924&lt;1,ROUND($F2924*1440,0),INT($F2924/100)*60+MOD($F2924,100)))</f>
        <v/>
      </c>
    </row>
    <row r="2925" customFormat="false" ht="15" hidden="false" customHeight="true" outlineLevel="0" collapsed="false">
      <c r="A2925" s="10"/>
      <c r="B2925" s="8"/>
      <c r="C2925" s="13" t="str">
        <f aca="false">IF($B2925="","",IFERROR(INDEX(직원목록!$B$3:$B$302,MATCH($B2925,직원목록!$A$3:$A$302,0)),"미등록사번"))</f>
        <v/>
      </c>
      <c r="D2925" s="13" t="str">
        <f aca="false">IF($B2925="","",IFERROR(INDEX(직원목록!$C$3:$C$302,MATCH($B2925,직원목록!$A$3:$A$302,0)),""))</f>
        <v/>
      </c>
      <c r="E2925" s="14"/>
      <c r="F2925" s="14"/>
      <c r="G2925" s="15"/>
      <c r="H2925" s="16" t="str">
        <f aca="false">IF(OR($K2925="",$L2925=""),"",ROUND(MAX(0,($L2925-$K2925)-IF($G2925="",0,$G2925))/60,2))</f>
        <v/>
      </c>
      <c r="I2925" s="8"/>
      <c r="J2925" s="8"/>
      <c r="K2925" s="17" t="str">
        <f aca="false">IF($E2925="","",IF($E2925&lt;1,ROUND($E2925*1440,0),INT($E2925/100)*60+MOD($E2925,100)))</f>
        <v/>
      </c>
      <c r="L2925" s="17" t="str">
        <f aca="false">IF($F2925="","",IF($F2925&lt;1,ROUND($F2925*1440,0),INT($F2925/100)*60+MOD($F2925,100)))</f>
        <v/>
      </c>
    </row>
    <row r="2926" customFormat="false" ht="15" hidden="false" customHeight="true" outlineLevel="0" collapsed="false">
      <c r="A2926" s="10"/>
      <c r="B2926" s="8"/>
      <c r="C2926" s="13" t="str">
        <f aca="false">IF($B2926="","",IFERROR(INDEX(직원목록!$B$3:$B$302,MATCH($B2926,직원목록!$A$3:$A$302,0)),"미등록사번"))</f>
        <v/>
      </c>
      <c r="D2926" s="13" t="str">
        <f aca="false">IF($B2926="","",IFERROR(INDEX(직원목록!$C$3:$C$302,MATCH($B2926,직원목록!$A$3:$A$302,0)),""))</f>
        <v/>
      </c>
      <c r="E2926" s="14"/>
      <c r="F2926" s="14"/>
      <c r="G2926" s="15"/>
      <c r="H2926" s="16" t="str">
        <f aca="false">IF(OR($K2926="",$L2926=""),"",ROUND(MAX(0,($L2926-$K2926)-IF($G2926="",0,$G2926))/60,2))</f>
        <v/>
      </c>
      <c r="I2926" s="8"/>
      <c r="J2926" s="8"/>
      <c r="K2926" s="17" t="str">
        <f aca="false">IF($E2926="","",IF($E2926&lt;1,ROUND($E2926*1440,0),INT($E2926/100)*60+MOD($E2926,100)))</f>
        <v/>
      </c>
      <c r="L2926" s="17" t="str">
        <f aca="false">IF($F2926="","",IF($F2926&lt;1,ROUND($F2926*1440,0),INT($F2926/100)*60+MOD($F2926,100)))</f>
        <v/>
      </c>
    </row>
    <row r="2927" customFormat="false" ht="15" hidden="false" customHeight="true" outlineLevel="0" collapsed="false">
      <c r="A2927" s="10"/>
      <c r="B2927" s="8"/>
      <c r="C2927" s="13" t="str">
        <f aca="false">IF($B2927="","",IFERROR(INDEX(직원목록!$B$3:$B$302,MATCH($B2927,직원목록!$A$3:$A$302,0)),"미등록사번"))</f>
        <v/>
      </c>
      <c r="D2927" s="13" t="str">
        <f aca="false">IF($B2927="","",IFERROR(INDEX(직원목록!$C$3:$C$302,MATCH($B2927,직원목록!$A$3:$A$302,0)),""))</f>
        <v/>
      </c>
      <c r="E2927" s="14"/>
      <c r="F2927" s="14"/>
      <c r="G2927" s="15"/>
      <c r="H2927" s="16" t="str">
        <f aca="false">IF(OR($K2927="",$L2927=""),"",ROUND(MAX(0,($L2927-$K2927)-IF($G2927="",0,$G2927))/60,2))</f>
        <v/>
      </c>
      <c r="I2927" s="8"/>
      <c r="J2927" s="8"/>
      <c r="K2927" s="17" t="str">
        <f aca="false">IF($E2927="","",IF($E2927&lt;1,ROUND($E2927*1440,0),INT($E2927/100)*60+MOD($E2927,100)))</f>
        <v/>
      </c>
      <c r="L2927" s="17" t="str">
        <f aca="false">IF($F2927="","",IF($F2927&lt;1,ROUND($F2927*1440,0),INT($F2927/100)*60+MOD($F2927,100)))</f>
        <v/>
      </c>
    </row>
    <row r="2928" customFormat="false" ht="15" hidden="false" customHeight="true" outlineLevel="0" collapsed="false">
      <c r="A2928" s="10"/>
      <c r="B2928" s="8"/>
      <c r="C2928" s="13" t="str">
        <f aca="false">IF($B2928="","",IFERROR(INDEX(직원목록!$B$3:$B$302,MATCH($B2928,직원목록!$A$3:$A$302,0)),"미등록사번"))</f>
        <v/>
      </c>
      <c r="D2928" s="13" t="str">
        <f aca="false">IF($B2928="","",IFERROR(INDEX(직원목록!$C$3:$C$302,MATCH($B2928,직원목록!$A$3:$A$302,0)),""))</f>
        <v/>
      </c>
      <c r="E2928" s="14"/>
      <c r="F2928" s="14"/>
      <c r="G2928" s="15"/>
      <c r="H2928" s="16" t="str">
        <f aca="false">IF(OR($K2928="",$L2928=""),"",ROUND(MAX(0,($L2928-$K2928)-IF($G2928="",0,$G2928))/60,2))</f>
        <v/>
      </c>
      <c r="I2928" s="8"/>
      <c r="J2928" s="8"/>
      <c r="K2928" s="17" t="str">
        <f aca="false">IF($E2928="","",IF($E2928&lt;1,ROUND($E2928*1440,0),INT($E2928/100)*60+MOD($E2928,100)))</f>
        <v/>
      </c>
      <c r="L2928" s="17" t="str">
        <f aca="false">IF($F2928="","",IF($F2928&lt;1,ROUND($F2928*1440,0),INT($F2928/100)*60+MOD($F2928,100)))</f>
        <v/>
      </c>
    </row>
    <row r="2929" customFormat="false" ht="15" hidden="false" customHeight="true" outlineLevel="0" collapsed="false">
      <c r="A2929" s="10"/>
      <c r="B2929" s="8"/>
      <c r="C2929" s="13" t="str">
        <f aca="false">IF($B2929="","",IFERROR(INDEX(직원목록!$B$3:$B$302,MATCH($B2929,직원목록!$A$3:$A$302,0)),"미등록사번"))</f>
        <v/>
      </c>
      <c r="D2929" s="13" t="str">
        <f aca="false">IF($B2929="","",IFERROR(INDEX(직원목록!$C$3:$C$302,MATCH($B2929,직원목록!$A$3:$A$302,0)),""))</f>
        <v/>
      </c>
      <c r="E2929" s="14"/>
      <c r="F2929" s="14"/>
      <c r="G2929" s="15"/>
      <c r="H2929" s="16" t="str">
        <f aca="false">IF(OR($K2929="",$L2929=""),"",ROUND(MAX(0,($L2929-$K2929)-IF($G2929="",0,$G2929))/60,2))</f>
        <v/>
      </c>
      <c r="I2929" s="8"/>
      <c r="J2929" s="8"/>
      <c r="K2929" s="17" t="str">
        <f aca="false">IF($E2929="","",IF($E2929&lt;1,ROUND($E2929*1440,0),INT($E2929/100)*60+MOD($E2929,100)))</f>
        <v/>
      </c>
      <c r="L2929" s="17" t="str">
        <f aca="false">IF($F2929="","",IF($F2929&lt;1,ROUND($F2929*1440,0),INT($F2929/100)*60+MOD($F2929,100)))</f>
        <v/>
      </c>
    </row>
    <row r="2930" customFormat="false" ht="15" hidden="false" customHeight="true" outlineLevel="0" collapsed="false">
      <c r="A2930" s="10"/>
      <c r="B2930" s="8"/>
      <c r="C2930" s="13" t="str">
        <f aca="false">IF($B2930="","",IFERROR(INDEX(직원목록!$B$3:$B$302,MATCH($B2930,직원목록!$A$3:$A$302,0)),"미등록사번"))</f>
        <v/>
      </c>
      <c r="D2930" s="13" t="str">
        <f aca="false">IF($B2930="","",IFERROR(INDEX(직원목록!$C$3:$C$302,MATCH($B2930,직원목록!$A$3:$A$302,0)),""))</f>
        <v/>
      </c>
      <c r="E2930" s="14"/>
      <c r="F2930" s="14"/>
      <c r="G2930" s="15"/>
      <c r="H2930" s="16" t="str">
        <f aca="false">IF(OR($K2930="",$L2930=""),"",ROUND(MAX(0,($L2930-$K2930)-IF($G2930="",0,$G2930))/60,2))</f>
        <v/>
      </c>
      <c r="I2930" s="8"/>
      <c r="J2930" s="8"/>
      <c r="K2930" s="17" t="str">
        <f aca="false">IF($E2930="","",IF($E2930&lt;1,ROUND($E2930*1440,0),INT($E2930/100)*60+MOD($E2930,100)))</f>
        <v/>
      </c>
      <c r="L2930" s="17" t="str">
        <f aca="false">IF($F2930="","",IF($F2930&lt;1,ROUND($F2930*1440,0),INT($F2930/100)*60+MOD($F2930,100)))</f>
        <v/>
      </c>
    </row>
    <row r="2931" customFormat="false" ht="15" hidden="false" customHeight="true" outlineLevel="0" collapsed="false">
      <c r="A2931" s="10"/>
      <c r="B2931" s="8"/>
      <c r="C2931" s="13" t="str">
        <f aca="false">IF($B2931="","",IFERROR(INDEX(직원목록!$B$3:$B$302,MATCH($B2931,직원목록!$A$3:$A$302,0)),"미등록사번"))</f>
        <v/>
      </c>
      <c r="D2931" s="13" t="str">
        <f aca="false">IF($B2931="","",IFERROR(INDEX(직원목록!$C$3:$C$302,MATCH($B2931,직원목록!$A$3:$A$302,0)),""))</f>
        <v/>
      </c>
      <c r="E2931" s="14"/>
      <c r="F2931" s="14"/>
      <c r="G2931" s="15"/>
      <c r="H2931" s="16" t="str">
        <f aca="false">IF(OR($K2931="",$L2931=""),"",ROUND(MAX(0,($L2931-$K2931)-IF($G2931="",0,$G2931))/60,2))</f>
        <v/>
      </c>
      <c r="I2931" s="8"/>
      <c r="J2931" s="8"/>
      <c r="K2931" s="17" t="str">
        <f aca="false">IF($E2931="","",IF($E2931&lt;1,ROUND($E2931*1440,0),INT($E2931/100)*60+MOD($E2931,100)))</f>
        <v/>
      </c>
      <c r="L2931" s="17" t="str">
        <f aca="false">IF($F2931="","",IF($F2931&lt;1,ROUND($F2931*1440,0),INT($F2931/100)*60+MOD($F2931,100)))</f>
        <v/>
      </c>
    </row>
    <row r="2932" customFormat="false" ht="15" hidden="false" customHeight="true" outlineLevel="0" collapsed="false">
      <c r="A2932" s="10"/>
      <c r="B2932" s="8"/>
      <c r="C2932" s="13" t="str">
        <f aca="false">IF($B2932="","",IFERROR(INDEX(직원목록!$B$3:$B$302,MATCH($B2932,직원목록!$A$3:$A$302,0)),"미등록사번"))</f>
        <v/>
      </c>
      <c r="D2932" s="13" t="str">
        <f aca="false">IF($B2932="","",IFERROR(INDEX(직원목록!$C$3:$C$302,MATCH($B2932,직원목록!$A$3:$A$302,0)),""))</f>
        <v/>
      </c>
      <c r="E2932" s="14"/>
      <c r="F2932" s="14"/>
      <c r="G2932" s="15"/>
      <c r="H2932" s="16" t="str">
        <f aca="false">IF(OR($K2932="",$L2932=""),"",ROUND(MAX(0,($L2932-$K2932)-IF($G2932="",0,$G2932))/60,2))</f>
        <v/>
      </c>
      <c r="I2932" s="8"/>
      <c r="J2932" s="8"/>
      <c r="K2932" s="17" t="str">
        <f aca="false">IF($E2932="","",IF($E2932&lt;1,ROUND($E2932*1440,0),INT($E2932/100)*60+MOD($E2932,100)))</f>
        <v/>
      </c>
      <c r="L2932" s="17" t="str">
        <f aca="false">IF($F2932="","",IF($F2932&lt;1,ROUND($F2932*1440,0),INT($F2932/100)*60+MOD($F2932,100)))</f>
        <v/>
      </c>
    </row>
    <row r="2933" customFormat="false" ht="15" hidden="false" customHeight="true" outlineLevel="0" collapsed="false">
      <c r="A2933" s="10"/>
      <c r="B2933" s="8"/>
      <c r="C2933" s="13" t="str">
        <f aca="false">IF($B2933="","",IFERROR(INDEX(직원목록!$B$3:$B$302,MATCH($B2933,직원목록!$A$3:$A$302,0)),"미등록사번"))</f>
        <v/>
      </c>
      <c r="D2933" s="13" t="str">
        <f aca="false">IF($B2933="","",IFERROR(INDEX(직원목록!$C$3:$C$302,MATCH($B2933,직원목록!$A$3:$A$302,0)),""))</f>
        <v/>
      </c>
      <c r="E2933" s="14"/>
      <c r="F2933" s="14"/>
      <c r="G2933" s="15"/>
      <c r="H2933" s="16" t="str">
        <f aca="false">IF(OR($K2933="",$L2933=""),"",ROUND(MAX(0,($L2933-$K2933)-IF($G2933="",0,$G2933))/60,2))</f>
        <v/>
      </c>
      <c r="I2933" s="8"/>
      <c r="J2933" s="8"/>
      <c r="K2933" s="17" t="str">
        <f aca="false">IF($E2933="","",IF($E2933&lt;1,ROUND($E2933*1440,0),INT($E2933/100)*60+MOD($E2933,100)))</f>
        <v/>
      </c>
      <c r="L2933" s="17" t="str">
        <f aca="false">IF($F2933="","",IF($F2933&lt;1,ROUND($F2933*1440,0),INT($F2933/100)*60+MOD($F2933,100)))</f>
        <v/>
      </c>
    </row>
    <row r="2934" customFormat="false" ht="15" hidden="false" customHeight="true" outlineLevel="0" collapsed="false">
      <c r="A2934" s="10"/>
      <c r="B2934" s="8"/>
      <c r="C2934" s="13" t="str">
        <f aca="false">IF($B2934="","",IFERROR(INDEX(직원목록!$B$3:$B$302,MATCH($B2934,직원목록!$A$3:$A$302,0)),"미등록사번"))</f>
        <v/>
      </c>
      <c r="D2934" s="13" t="str">
        <f aca="false">IF($B2934="","",IFERROR(INDEX(직원목록!$C$3:$C$302,MATCH($B2934,직원목록!$A$3:$A$302,0)),""))</f>
        <v/>
      </c>
      <c r="E2934" s="14"/>
      <c r="F2934" s="14"/>
      <c r="G2934" s="15"/>
      <c r="H2934" s="16" t="str">
        <f aca="false">IF(OR($K2934="",$L2934=""),"",ROUND(MAX(0,($L2934-$K2934)-IF($G2934="",0,$G2934))/60,2))</f>
        <v/>
      </c>
      <c r="I2934" s="8"/>
      <c r="J2934" s="8"/>
      <c r="K2934" s="17" t="str">
        <f aca="false">IF($E2934="","",IF($E2934&lt;1,ROUND($E2934*1440,0),INT($E2934/100)*60+MOD($E2934,100)))</f>
        <v/>
      </c>
      <c r="L2934" s="17" t="str">
        <f aca="false">IF($F2934="","",IF($F2934&lt;1,ROUND($F2934*1440,0),INT($F2934/100)*60+MOD($F2934,100)))</f>
        <v/>
      </c>
    </row>
    <row r="2935" customFormat="false" ht="15" hidden="false" customHeight="true" outlineLevel="0" collapsed="false">
      <c r="A2935" s="10"/>
      <c r="B2935" s="8"/>
      <c r="C2935" s="13" t="str">
        <f aca="false">IF($B2935="","",IFERROR(INDEX(직원목록!$B$3:$B$302,MATCH($B2935,직원목록!$A$3:$A$302,0)),"미등록사번"))</f>
        <v/>
      </c>
      <c r="D2935" s="13" t="str">
        <f aca="false">IF($B2935="","",IFERROR(INDEX(직원목록!$C$3:$C$302,MATCH($B2935,직원목록!$A$3:$A$302,0)),""))</f>
        <v/>
      </c>
      <c r="E2935" s="14"/>
      <c r="F2935" s="14"/>
      <c r="G2935" s="15"/>
      <c r="H2935" s="16" t="str">
        <f aca="false">IF(OR($K2935="",$L2935=""),"",ROUND(MAX(0,($L2935-$K2935)-IF($G2935="",0,$G2935))/60,2))</f>
        <v/>
      </c>
      <c r="I2935" s="8"/>
      <c r="J2935" s="8"/>
      <c r="K2935" s="17" t="str">
        <f aca="false">IF($E2935="","",IF($E2935&lt;1,ROUND($E2935*1440,0),INT($E2935/100)*60+MOD($E2935,100)))</f>
        <v/>
      </c>
      <c r="L2935" s="17" t="str">
        <f aca="false">IF($F2935="","",IF($F2935&lt;1,ROUND($F2935*1440,0),INT($F2935/100)*60+MOD($F2935,100)))</f>
        <v/>
      </c>
    </row>
    <row r="2936" customFormat="false" ht="15" hidden="false" customHeight="true" outlineLevel="0" collapsed="false">
      <c r="A2936" s="10"/>
      <c r="B2936" s="8"/>
      <c r="C2936" s="13" t="str">
        <f aca="false">IF($B2936="","",IFERROR(INDEX(직원목록!$B$3:$B$302,MATCH($B2936,직원목록!$A$3:$A$302,0)),"미등록사번"))</f>
        <v/>
      </c>
      <c r="D2936" s="13" t="str">
        <f aca="false">IF($B2936="","",IFERROR(INDEX(직원목록!$C$3:$C$302,MATCH($B2936,직원목록!$A$3:$A$302,0)),""))</f>
        <v/>
      </c>
      <c r="E2936" s="14"/>
      <c r="F2936" s="14"/>
      <c r="G2936" s="15"/>
      <c r="H2936" s="16" t="str">
        <f aca="false">IF(OR($K2936="",$L2936=""),"",ROUND(MAX(0,($L2936-$K2936)-IF($G2936="",0,$G2936))/60,2))</f>
        <v/>
      </c>
      <c r="I2936" s="8"/>
      <c r="J2936" s="8"/>
      <c r="K2936" s="17" t="str">
        <f aca="false">IF($E2936="","",IF($E2936&lt;1,ROUND($E2936*1440,0),INT($E2936/100)*60+MOD($E2936,100)))</f>
        <v/>
      </c>
      <c r="L2936" s="17" t="str">
        <f aca="false">IF($F2936="","",IF($F2936&lt;1,ROUND($F2936*1440,0),INT($F2936/100)*60+MOD($F2936,100)))</f>
        <v/>
      </c>
    </row>
    <row r="2937" customFormat="false" ht="15" hidden="false" customHeight="true" outlineLevel="0" collapsed="false">
      <c r="A2937" s="10"/>
      <c r="B2937" s="8"/>
      <c r="C2937" s="13" t="str">
        <f aca="false">IF($B2937="","",IFERROR(INDEX(직원목록!$B$3:$B$302,MATCH($B2937,직원목록!$A$3:$A$302,0)),"미등록사번"))</f>
        <v/>
      </c>
      <c r="D2937" s="13" t="str">
        <f aca="false">IF($B2937="","",IFERROR(INDEX(직원목록!$C$3:$C$302,MATCH($B2937,직원목록!$A$3:$A$302,0)),""))</f>
        <v/>
      </c>
      <c r="E2937" s="14"/>
      <c r="F2937" s="14"/>
      <c r="G2937" s="15"/>
      <c r="H2937" s="16" t="str">
        <f aca="false">IF(OR($K2937="",$L2937=""),"",ROUND(MAX(0,($L2937-$K2937)-IF($G2937="",0,$G2937))/60,2))</f>
        <v/>
      </c>
      <c r="I2937" s="8"/>
      <c r="J2937" s="8"/>
      <c r="K2937" s="17" t="str">
        <f aca="false">IF($E2937="","",IF($E2937&lt;1,ROUND($E2937*1440,0),INT($E2937/100)*60+MOD($E2937,100)))</f>
        <v/>
      </c>
      <c r="L2937" s="17" t="str">
        <f aca="false">IF($F2937="","",IF($F2937&lt;1,ROUND($F2937*1440,0),INT($F2937/100)*60+MOD($F2937,100)))</f>
        <v/>
      </c>
    </row>
    <row r="2938" customFormat="false" ht="15" hidden="false" customHeight="true" outlineLevel="0" collapsed="false">
      <c r="A2938" s="10"/>
      <c r="B2938" s="8"/>
      <c r="C2938" s="13" t="str">
        <f aca="false">IF($B2938="","",IFERROR(INDEX(직원목록!$B$3:$B$302,MATCH($B2938,직원목록!$A$3:$A$302,0)),"미등록사번"))</f>
        <v/>
      </c>
      <c r="D2938" s="13" t="str">
        <f aca="false">IF($B2938="","",IFERROR(INDEX(직원목록!$C$3:$C$302,MATCH($B2938,직원목록!$A$3:$A$302,0)),""))</f>
        <v/>
      </c>
      <c r="E2938" s="14"/>
      <c r="F2938" s="14"/>
      <c r="G2938" s="15"/>
      <c r="H2938" s="16" t="str">
        <f aca="false">IF(OR($K2938="",$L2938=""),"",ROUND(MAX(0,($L2938-$K2938)-IF($G2938="",0,$G2938))/60,2))</f>
        <v/>
      </c>
      <c r="I2938" s="8"/>
      <c r="J2938" s="8"/>
      <c r="K2938" s="17" t="str">
        <f aca="false">IF($E2938="","",IF($E2938&lt;1,ROUND($E2938*1440,0),INT($E2938/100)*60+MOD($E2938,100)))</f>
        <v/>
      </c>
      <c r="L2938" s="17" t="str">
        <f aca="false">IF($F2938="","",IF($F2938&lt;1,ROUND($F2938*1440,0),INT($F2938/100)*60+MOD($F2938,100)))</f>
        <v/>
      </c>
    </row>
    <row r="2939" customFormat="false" ht="15" hidden="false" customHeight="true" outlineLevel="0" collapsed="false">
      <c r="A2939" s="10"/>
      <c r="B2939" s="8"/>
      <c r="C2939" s="13" t="str">
        <f aca="false">IF($B2939="","",IFERROR(INDEX(직원목록!$B$3:$B$302,MATCH($B2939,직원목록!$A$3:$A$302,0)),"미등록사번"))</f>
        <v/>
      </c>
      <c r="D2939" s="13" t="str">
        <f aca="false">IF($B2939="","",IFERROR(INDEX(직원목록!$C$3:$C$302,MATCH($B2939,직원목록!$A$3:$A$302,0)),""))</f>
        <v/>
      </c>
      <c r="E2939" s="14"/>
      <c r="F2939" s="14"/>
      <c r="G2939" s="15"/>
      <c r="H2939" s="16" t="str">
        <f aca="false">IF(OR($K2939="",$L2939=""),"",ROUND(MAX(0,($L2939-$K2939)-IF($G2939="",0,$G2939))/60,2))</f>
        <v/>
      </c>
      <c r="I2939" s="8"/>
      <c r="J2939" s="8"/>
      <c r="K2939" s="17" t="str">
        <f aca="false">IF($E2939="","",IF($E2939&lt;1,ROUND($E2939*1440,0),INT($E2939/100)*60+MOD($E2939,100)))</f>
        <v/>
      </c>
      <c r="L2939" s="17" t="str">
        <f aca="false">IF($F2939="","",IF($F2939&lt;1,ROUND($F2939*1440,0),INT($F2939/100)*60+MOD($F2939,100)))</f>
        <v/>
      </c>
    </row>
    <row r="2940" customFormat="false" ht="15" hidden="false" customHeight="true" outlineLevel="0" collapsed="false">
      <c r="A2940" s="10"/>
      <c r="B2940" s="8"/>
      <c r="C2940" s="13" t="str">
        <f aca="false">IF($B2940="","",IFERROR(INDEX(직원목록!$B$3:$B$302,MATCH($B2940,직원목록!$A$3:$A$302,0)),"미등록사번"))</f>
        <v/>
      </c>
      <c r="D2940" s="13" t="str">
        <f aca="false">IF($B2940="","",IFERROR(INDEX(직원목록!$C$3:$C$302,MATCH($B2940,직원목록!$A$3:$A$302,0)),""))</f>
        <v/>
      </c>
      <c r="E2940" s="14"/>
      <c r="F2940" s="14"/>
      <c r="G2940" s="15"/>
      <c r="H2940" s="16" t="str">
        <f aca="false">IF(OR($K2940="",$L2940=""),"",ROUND(MAX(0,($L2940-$K2940)-IF($G2940="",0,$G2940))/60,2))</f>
        <v/>
      </c>
      <c r="I2940" s="8"/>
      <c r="J2940" s="8"/>
      <c r="K2940" s="17" t="str">
        <f aca="false">IF($E2940="","",IF($E2940&lt;1,ROUND($E2940*1440,0),INT($E2940/100)*60+MOD($E2940,100)))</f>
        <v/>
      </c>
      <c r="L2940" s="17" t="str">
        <f aca="false">IF($F2940="","",IF($F2940&lt;1,ROUND($F2940*1440,0),INT($F2940/100)*60+MOD($F2940,100)))</f>
        <v/>
      </c>
    </row>
    <row r="2941" customFormat="false" ht="15" hidden="false" customHeight="true" outlineLevel="0" collapsed="false">
      <c r="A2941" s="10"/>
      <c r="B2941" s="8"/>
      <c r="C2941" s="13" t="str">
        <f aca="false">IF($B2941="","",IFERROR(INDEX(직원목록!$B$3:$B$302,MATCH($B2941,직원목록!$A$3:$A$302,0)),"미등록사번"))</f>
        <v/>
      </c>
      <c r="D2941" s="13" t="str">
        <f aca="false">IF($B2941="","",IFERROR(INDEX(직원목록!$C$3:$C$302,MATCH($B2941,직원목록!$A$3:$A$302,0)),""))</f>
        <v/>
      </c>
      <c r="E2941" s="14"/>
      <c r="F2941" s="14"/>
      <c r="G2941" s="15"/>
      <c r="H2941" s="16" t="str">
        <f aca="false">IF(OR($K2941="",$L2941=""),"",ROUND(MAX(0,($L2941-$K2941)-IF($G2941="",0,$G2941))/60,2))</f>
        <v/>
      </c>
      <c r="I2941" s="8"/>
      <c r="J2941" s="8"/>
      <c r="K2941" s="17" t="str">
        <f aca="false">IF($E2941="","",IF($E2941&lt;1,ROUND($E2941*1440,0),INT($E2941/100)*60+MOD($E2941,100)))</f>
        <v/>
      </c>
      <c r="L2941" s="17" t="str">
        <f aca="false">IF($F2941="","",IF($F2941&lt;1,ROUND($F2941*1440,0),INT($F2941/100)*60+MOD($F2941,100)))</f>
        <v/>
      </c>
    </row>
    <row r="2942" customFormat="false" ht="15" hidden="false" customHeight="true" outlineLevel="0" collapsed="false">
      <c r="A2942" s="10"/>
      <c r="B2942" s="8"/>
      <c r="C2942" s="13" t="str">
        <f aca="false">IF($B2942="","",IFERROR(INDEX(직원목록!$B$3:$B$302,MATCH($B2942,직원목록!$A$3:$A$302,0)),"미등록사번"))</f>
        <v/>
      </c>
      <c r="D2942" s="13" t="str">
        <f aca="false">IF($B2942="","",IFERROR(INDEX(직원목록!$C$3:$C$302,MATCH($B2942,직원목록!$A$3:$A$302,0)),""))</f>
        <v/>
      </c>
      <c r="E2942" s="14"/>
      <c r="F2942" s="14"/>
      <c r="G2942" s="15"/>
      <c r="H2942" s="16" t="str">
        <f aca="false">IF(OR($K2942="",$L2942=""),"",ROUND(MAX(0,($L2942-$K2942)-IF($G2942="",0,$G2942))/60,2))</f>
        <v/>
      </c>
      <c r="I2942" s="8"/>
      <c r="J2942" s="8"/>
      <c r="K2942" s="17" t="str">
        <f aca="false">IF($E2942="","",IF($E2942&lt;1,ROUND($E2942*1440,0),INT($E2942/100)*60+MOD($E2942,100)))</f>
        <v/>
      </c>
      <c r="L2942" s="17" t="str">
        <f aca="false">IF($F2942="","",IF($F2942&lt;1,ROUND($F2942*1440,0),INT($F2942/100)*60+MOD($F2942,100)))</f>
        <v/>
      </c>
    </row>
    <row r="2943" customFormat="false" ht="15" hidden="false" customHeight="true" outlineLevel="0" collapsed="false">
      <c r="A2943" s="10"/>
      <c r="B2943" s="8"/>
      <c r="C2943" s="13" t="str">
        <f aca="false">IF($B2943="","",IFERROR(INDEX(직원목록!$B$3:$B$302,MATCH($B2943,직원목록!$A$3:$A$302,0)),"미등록사번"))</f>
        <v/>
      </c>
      <c r="D2943" s="13" t="str">
        <f aca="false">IF($B2943="","",IFERROR(INDEX(직원목록!$C$3:$C$302,MATCH($B2943,직원목록!$A$3:$A$302,0)),""))</f>
        <v/>
      </c>
      <c r="E2943" s="14"/>
      <c r="F2943" s="14"/>
      <c r="G2943" s="15"/>
      <c r="H2943" s="16" t="str">
        <f aca="false">IF(OR($K2943="",$L2943=""),"",ROUND(MAX(0,($L2943-$K2943)-IF($G2943="",0,$G2943))/60,2))</f>
        <v/>
      </c>
      <c r="I2943" s="8"/>
      <c r="J2943" s="8"/>
      <c r="K2943" s="17" t="str">
        <f aca="false">IF($E2943="","",IF($E2943&lt;1,ROUND($E2943*1440,0),INT($E2943/100)*60+MOD($E2943,100)))</f>
        <v/>
      </c>
      <c r="L2943" s="17" t="str">
        <f aca="false">IF($F2943="","",IF($F2943&lt;1,ROUND($F2943*1440,0),INT($F2943/100)*60+MOD($F2943,100)))</f>
        <v/>
      </c>
    </row>
    <row r="2944" customFormat="false" ht="15" hidden="false" customHeight="true" outlineLevel="0" collapsed="false">
      <c r="A2944" s="10"/>
      <c r="B2944" s="8"/>
      <c r="C2944" s="13" t="str">
        <f aca="false">IF($B2944="","",IFERROR(INDEX(직원목록!$B$3:$B$302,MATCH($B2944,직원목록!$A$3:$A$302,0)),"미등록사번"))</f>
        <v/>
      </c>
      <c r="D2944" s="13" t="str">
        <f aca="false">IF($B2944="","",IFERROR(INDEX(직원목록!$C$3:$C$302,MATCH($B2944,직원목록!$A$3:$A$302,0)),""))</f>
        <v/>
      </c>
      <c r="E2944" s="14"/>
      <c r="F2944" s="14"/>
      <c r="G2944" s="15"/>
      <c r="H2944" s="16" t="str">
        <f aca="false">IF(OR($K2944="",$L2944=""),"",ROUND(MAX(0,($L2944-$K2944)-IF($G2944="",0,$G2944))/60,2))</f>
        <v/>
      </c>
      <c r="I2944" s="8"/>
      <c r="J2944" s="8"/>
      <c r="K2944" s="17" t="str">
        <f aca="false">IF($E2944="","",IF($E2944&lt;1,ROUND($E2944*1440,0),INT($E2944/100)*60+MOD($E2944,100)))</f>
        <v/>
      </c>
      <c r="L2944" s="17" t="str">
        <f aca="false">IF($F2944="","",IF($F2944&lt;1,ROUND($F2944*1440,0),INT($F2944/100)*60+MOD($F2944,100)))</f>
        <v/>
      </c>
    </row>
    <row r="2945" customFormat="false" ht="15" hidden="false" customHeight="true" outlineLevel="0" collapsed="false">
      <c r="A2945" s="10"/>
      <c r="B2945" s="8"/>
      <c r="C2945" s="13" t="str">
        <f aca="false">IF($B2945="","",IFERROR(INDEX(직원목록!$B$3:$B$302,MATCH($B2945,직원목록!$A$3:$A$302,0)),"미등록사번"))</f>
        <v/>
      </c>
      <c r="D2945" s="13" t="str">
        <f aca="false">IF($B2945="","",IFERROR(INDEX(직원목록!$C$3:$C$302,MATCH($B2945,직원목록!$A$3:$A$302,0)),""))</f>
        <v/>
      </c>
      <c r="E2945" s="14"/>
      <c r="F2945" s="14"/>
      <c r="G2945" s="15"/>
      <c r="H2945" s="16" t="str">
        <f aca="false">IF(OR($K2945="",$L2945=""),"",ROUND(MAX(0,($L2945-$K2945)-IF($G2945="",0,$G2945))/60,2))</f>
        <v/>
      </c>
      <c r="I2945" s="8"/>
      <c r="J2945" s="8"/>
      <c r="K2945" s="17" t="str">
        <f aca="false">IF($E2945="","",IF($E2945&lt;1,ROUND($E2945*1440,0),INT($E2945/100)*60+MOD($E2945,100)))</f>
        <v/>
      </c>
      <c r="L2945" s="17" t="str">
        <f aca="false">IF($F2945="","",IF($F2945&lt;1,ROUND($F2945*1440,0),INT($F2945/100)*60+MOD($F2945,100)))</f>
        <v/>
      </c>
    </row>
    <row r="2946" customFormat="false" ht="15" hidden="false" customHeight="true" outlineLevel="0" collapsed="false">
      <c r="A2946" s="10"/>
      <c r="B2946" s="8"/>
      <c r="C2946" s="13" t="str">
        <f aca="false">IF($B2946="","",IFERROR(INDEX(직원목록!$B$3:$B$302,MATCH($B2946,직원목록!$A$3:$A$302,0)),"미등록사번"))</f>
        <v/>
      </c>
      <c r="D2946" s="13" t="str">
        <f aca="false">IF($B2946="","",IFERROR(INDEX(직원목록!$C$3:$C$302,MATCH($B2946,직원목록!$A$3:$A$302,0)),""))</f>
        <v/>
      </c>
      <c r="E2946" s="14"/>
      <c r="F2946" s="14"/>
      <c r="G2946" s="15"/>
      <c r="H2946" s="16" t="str">
        <f aca="false">IF(OR($K2946="",$L2946=""),"",ROUND(MAX(0,($L2946-$K2946)-IF($G2946="",0,$G2946))/60,2))</f>
        <v/>
      </c>
      <c r="I2946" s="8"/>
      <c r="J2946" s="8"/>
      <c r="K2946" s="17" t="str">
        <f aca="false">IF($E2946="","",IF($E2946&lt;1,ROUND($E2946*1440,0),INT($E2946/100)*60+MOD($E2946,100)))</f>
        <v/>
      </c>
      <c r="L2946" s="17" t="str">
        <f aca="false">IF($F2946="","",IF($F2946&lt;1,ROUND($F2946*1440,0),INT($F2946/100)*60+MOD($F2946,100)))</f>
        <v/>
      </c>
    </row>
    <row r="2947" customFormat="false" ht="15" hidden="false" customHeight="true" outlineLevel="0" collapsed="false">
      <c r="A2947" s="10"/>
      <c r="B2947" s="8"/>
      <c r="C2947" s="13" t="str">
        <f aca="false">IF($B2947="","",IFERROR(INDEX(직원목록!$B$3:$B$302,MATCH($B2947,직원목록!$A$3:$A$302,0)),"미등록사번"))</f>
        <v/>
      </c>
      <c r="D2947" s="13" t="str">
        <f aca="false">IF($B2947="","",IFERROR(INDEX(직원목록!$C$3:$C$302,MATCH($B2947,직원목록!$A$3:$A$302,0)),""))</f>
        <v/>
      </c>
      <c r="E2947" s="14"/>
      <c r="F2947" s="14"/>
      <c r="G2947" s="15"/>
      <c r="H2947" s="16" t="str">
        <f aca="false">IF(OR($K2947="",$L2947=""),"",ROUND(MAX(0,($L2947-$K2947)-IF($G2947="",0,$G2947))/60,2))</f>
        <v/>
      </c>
      <c r="I2947" s="8"/>
      <c r="J2947" s="8"/>
      <c r="K2947" s="17" t="str">
        <f aca="false">IF($E2947="","",IF($E2947&lt;1,ROUND($E2947*1440,0),INT($E2947/100)*60+MOD($E2947,100)))</f>
        <v/>
      </c>
      <c r="L2947" s="17" t="str">
        <f aca="false">IF($F2947="","",IF($F2947&lt;1,ROUND($F2947*1440,0),INT($F2947/100)*60+MOD($F2947,100)))</f>
        <v/>
      </c>
    </row>
    <row r="2948" customFormat="false" ht="15" hidden="false" customHeight="true" outlineLevel="0" collapsed="false">
      <c r="A2948" s="10"/>
      <c r="B2948" s="8"/>
      <c r="C2948" s="13" t="str">
        <f aca="false">IF($B2948="","",IFERROR(INDEX(직원목록!$B$3:$B$302,MATCH($B2948,직원목록!$A$3:$A$302,0)),"미등록사번"))</f>
        <v/>
      </c>
      <c r="D2948" s="13" t="str">
        <f aca="false">IF($B2948="","",IFERROR(INDEX(직원목록!$C$3:$C$302,MATCH($B2948,직원목록!$A$3:$A$302,0)),""))</f>
        <v/>
      </c>
      <c r="E2948" s="14"/>
      <c r="F2948" s="14"/>
      <c r="G2948" s="15"/>
      <c r="H2948" s="16" t="str">
        <f aca="false">IF(OR($K2948="",$L2948=""),"",ROUND(MAX(0,($L2948-$K2948)-IF($G2948="",0,$G2948))/60,2))</f>
        <v/>
      </c>
      <c r="I2948" s="8"/>
      <c r="J2948" s="8"/>
      <c r="K2948" s="17" t="str">
        <f aca="false">IF($E2948="","",IF($E2948&lt;1,ROUND($E2948*1440,0),INT($E2948/100)*60+MOD($E2948,100)))</f>
        <v/>
      </c>
      <c r="L2948" s="17" t="str">
        <f aca="false">IF($F2948="","",IF($F2948&lt;1,ROUND($F2948*1440,0),INT($F2948/100)*60+MOD($F2948,100)))</f>
        <v/>
      </c>
    </row>
    <row r="2949" customFormat="false" ht="15" hidden="false" customHeight="true" outlineLevel="0" collapsed="false">
      <c r="A2949" s="10"/>
      <c r="B2949" s="8"/>
      <c r="C2949" s="13" t="str">
        <f aca="false">IF($B2949="","",IFERROR(INDEX(직원목록!$B$3:$B$302,MATCH($B2949,직원목록!$A$3:$A$302,0)),"미등록사번"))</f>
        <v/>
      </c>
      <c r="D2949" s="13" t="str">
        <f aca="false">IF($B2949="","",IFERROR(INDEX(직원목록!$C$3:$C$302,MATCH($B2949,직원목록!$A$3:$A$302,0)),""))</f>
        <v/>
      </c>
      <c r="E2949" s="14"/>
      <c r="F2949" s="14"/>
      <c r="G2949" s="15"/>
      <c r="H2949" s="16" t="str">
        <f aca="false">IF(OR($K2949="",$L2949=""),"",ROUND(MAX(0,($L2949-$K2949)-IF($G2949="",0,$G2949))/60,2))</f>
        <v/>
      </c>
      <c r="I2949" s="8"/>
      <c r="J2949" s="8"/>
      <c r="K2949" s="17" t="str">
        <f aca="false">IF($E2949="","",IF($E2949&lt;1,ROUND($E2949*1440,0),INT($E2949/100)*60+MOD($E2949,100)))</f>
        <v/>
      </c>
      <c r="L2949" s="17" t="str">
        <f aca="false">IF($F2949="","",IF($F2949&lt;1,ROUND($F2949*1440,0),INT($F2949/100)*60+MOD($F2949,100)))</f>
        <v/>
      </c>
    </row>
    <row r="2950" customFormat="false" ht="15" hidden="false" customHeight="true" outlineLevel="0" collapsed="false">
      <c r="A2950" s="10"/>
      <c r="B2950" s="8"/>
      <c r="C2950" s="13" t="str">
        <f aca="false">IF($B2950="","",IFERROR(INDEX(직원목록!$B$3:$B$302,MATCH($B2950,직원목록!$A$3:$A$302,0)),"미등록사번"))</f>
        <v/>
      </c>
      <c r="D2950" s="13" t="str">
        <f aca="false">IF($B2950="","",IFERROR(INDEX(직원목록!$C$3:$C$302,MATCH($B2950,직원목록!$A$3:$A$302,0)),""))</f>
        <v/>
      </c>
      <c r="E2950" s="14"/>
      <c r="F2950" s="14"/>
      <c r="G2950" s="15"/>
      <c r="H2950" s="16" t="str">
        <f aca="false">IF(OR($K2950="",$L2950=""),"",ROUND(MAX(0,($L2950-$K2950)-IF($G2950="",0,$G2950))/60,2))</f>
        <v/>
      </c>
      <c r="I2950" s="8"/>
      <c r="J2950" s="8"/>
      <c r="K2950" s="17" t="str">
        <f aca="false">IF($E2950="","",IF($E2950&lt;1,ROUND($E2950*1440,0),INT($E2950/100)*60+MOD($E2950,100)))</f>
        <v/>
      </c>
      <c r="L2950" s="17" t="str">
        <f aca="false">IF($F2950="","",IF($F2950&lt;1,ROUND($F2950*1440,0),INT($F2950/100)*60+MOD($F2950,100)))</f>
        <v/>
      </c>
    </row>
    <row r="2951" customFormat="false" ht="15" hidden="false" customHeight="true" outlineLevel="0" collapsed="false">
      <c r="A2951" s="10"/>
      <c r="B2951" s="8"/>
      <c r="C2951" s="13" t="str">
        <f aca="false">IF($B2951="","",IFERROR(INDEX(직원목록!$B$3:$B$302,MATCH($B2951,직원목록!$A$3:$A$302,0)),"미등록사번"))</f>
        <v/>
      </c>
      <c r="D2951" s="13" t="str">
        <f aca="false">IF($B2951="","",IFERROR(INDEX(직원목록!$C$3:$C$302,MATCH($B2951,직원목록!$A$3:$A$302,0)),""))</f>
        <v/>
      </c>
      <c r="E2951" s="14"/>
      <c r="F2951" s="14"/>
      <c r="G2951" s="15"/>
      <c r="H2951" s="16" t="str">
        <f aca="false">IF(OR($K2951="",$L2951=""),"",ROUND(MAX(0,($L2951-$K2951)-IF($G2951="",0,$G2951))/60,2))</f>
        <v/>
      </c>
      <c r="I2951" s="8"/>
      <c r="J2951" s="8"/>
      <c r="K2951" s="17" t="str">
        <f aca="false">IF($E2951="","",IF($E2951&lt;1,ROUND($E2951*1440,0),INT($E2951/100)*60+MOD($E2951,100)))</f>
        <v/>
      </c>
      <c r="L2951" s="17" t="str">
        <f aca="false">IF($F2951="","",IF($F2951&lt;1,ROUND($F2951*1440,0),INT($F2951/100)*60+MOD($F2951,100)))</f>
        <v/>
      </c>
    </row>
    <row r="2952" customFormat="false" ht="15" hidden="false" customHeight="true" outlineLevel="0" collapsed="false">
      <c r="A2952" s="10"/>
      <c r="B2952" s="8"/>
      <c r="C2952" s="13" t="str">
        <f aca="false">IF($B2952="","",IFERROR(INDEX(직원목록!$B$3:$B$302,MATCH($B2952,직원목록!$A$3:$A$302,0)),"미등록사번"))</f>
        <v/>
      </c>
      <c r="D2952" s="13" t="str">
        <f aca="false">IF($B2952="","",IFERROR(INDEX(직원목록!$C$3:$C$302,MATCH($B2952,직원목록!$A$3:$A$302,0)),""))</f>
        <v/>
      </c>
      <c r="E2952" s="14"/>
      <c r="F2952" s="14"/>
      <c r="G2952" s="15"/>
      <c r="H2952" s="16" t="str">
        <f aca="false">IF(OR($K2952="",$L2952=""),"",ROUND(MAX(0,($L2952-$K2952)-IF($G2952="",0,$G2952))/60,2))</f>
        <v/>
      </c>
      <c r="I2952" s="8"/>
      <c r="J2952" s="8"/>
      <c r="K2952" s="17" t="str">
        <f aca="false">IF($E2952="","",IF($E2952&lt;1,ROUND($E2952*1440,0),INT($E2952/100)*60+MOD($E2952,100)))</f>
        <v/>
      </c>
      <c r="L2952" s="17" t="str">
        <f aca="false">IF($F2952="","",IF($F2952&lt;1,ROUND($F2952*1440,0),INT($F2952/100)*60+MOD($F2952,100)))</f>
        <v/>
      </c>
    </row>
    <row r="2953" customFormat="false" ht="15" hidden="false" customHeight="true" outlineLevel="0" collapsed="false">
      <c r="A2953" s="10"/>
      <c r="B2953" s="8"/>
      <c r="C2953" s="13" t="str">
        <f aca="false">IF($B2953="","",IFERROR(INDEX(직원목록!$B$3:$B$302,MATCH($B2953,직원목록!$A$3:$A$302,0)),"미등록사번"))</f>
        <v/>
      </c>
      <c r="D2953" s="13" t="str">
        <f aca="false">IF($B2953="","",IFERROR(INDEX(직원목록!$C$3:$C$302,MATCH($B2953,직원목록!$A$3:$A$302,0)),""))</f>
        <v/>
      </c>
      <c r="E2953" s="14"/>
      <c r="F2953" s="14"/>
      <c r="G2953" s="15"/>
      <c r="H2953" s="16" t="str">
        <f aca="false">IF(OR($K2953="",$L2953=""),"",ROUND(MAX(0,($L2953-$K2953)-IF($G2953="",0,$G2953))/60,2))</f>
        <v/>
      </c>
      <c r="I2953" s="8"/>
      <c r="J2953" s="8"/>
      <c r="K2953" s="17" t="str">
        <f aca="false">IF($E2953="","",IF($E2953&lt;1,ROUND($E2953*1440,0),INT($E2953/100)*60+MOD($E2953,100)))</f>
        <v/>
      </c>
      <c r="L2953" s="17" t="str">
        <f aca="false">IF($F2953="","",IF($F2953&lt;1,ROUND($F2953*1440,0),INT($F2953/100)*60+MOD($F2953,100)))</f>
        <v/>
      </c>
    </row>
    <row r="2954" customFormat="false" ht="15" hidden="false" customHeight="true" outlineLevel="0" collapsed="false">
      <c r="A2954" s="10"/>
      <c r="B2954" s="8"/>
      <c r="C2954" s="13" t="str">
        <f aca="false">IF($B2954="","",IFERROR(INDEX(직원목록!$B$3:$B$302,MATCH($B2954,직원목록!$A$3:$A$302,0)),"미등록사번"))</f>
        <v/>
      </c>
      <c r="D2954" s="13" t="str">
        <f aca="false">IF($B2954="","",IFERROR(INDEX(직원목록!$C$3:$C$302,MATCH($B2954,직원목록!$A$3:$A$302,0)),""))</f>
        <v/>
      </c>
      <c r="E2954" s="14"/>
      <c r="F2954" s="14"/>
      <c r="G2954" s="15"/>
      <c r="H2954" s="16" t="str">
        <f aca="false">IF(OR($K2954="",$L2954=""),"",ROUND(MAX(0,($L2954-$K2954)-IF($G2954="",0,$G2954))/60,2))</f>
        <v/>
      </c>
      <c r="I2954" s="8"/>
      <c r="J2954" s="8"/>
      <c r="K2954" s="17" t="str">
        <f aca="false">IF($E2954="","",IF($E2954&lt;1,ROUND($E2954*1440,0),INT($E2954/100)*60+MOD($E2954,100)))</f>
        <v/>
      </c>
      <c r="L2954" s="17" t="str">
        <f aca="false">IF($F2954="","",IF($F2954&lt;1,ROUND($F2954*1440,0),INT($F2954/100)*60+MOD($F2954,100)))</f>
        <v/>
      </c>
    </row>
    <row r="2955" customFormat="false" ht="15" hidden="false" customHeight="true" outlineLevel="0" collapsed="false">
      <c r="A2955" s="10"/>
      <c r="B2955" s="8"/>
      <c r="C2955" s="13" t="str">
        <f aca="false">IF($B2955="","",IFERROR(INDEX(직원목록!$B$3:$B$302,MATCH($B2955,직원목록!$A$3:$A$302,0)),"미등록사번"))</f>
        <v/>
      </c>
      <c r="D2955" s="13" t="str">
        <f aca="false">IF($B2955="","",IFERROR(INDEX(직원목록!$C$3:$C$302,MATCH($B2955,직원목록!$A$3:$A$302,0)),""))</f>
        <v/>
      </c>
      <c r="E2955" s="14"/>
      <c r="F2955" s="14"/>
      <c r="G2955" s="15"/>
      <c r="H2955" s="16" t="str">
        <f aca="false">IF(OR($K2955="",$L2955=""),"",ROUND(MAX(0,($L2955-$K2955)-IF($G2955="",0,$G2955))/60,2))</f>
        <v/>
      </c>
      <c r="I2955" s="8"/>
      <c r="J2955" s="8"/>
      <c r="K2955" s="17" t="str">
        <f aca="false">IF($E2955="","",IF($E2955&lt;1,ROUND($E2955*1440,0),INT($E2955/100)*60+MOD($E2955,100)))</f>
        <v/>
      </c>
      <c r="L2955" s="17" t="str">
        <f aca="false">IF($F2955="","",IF($F2955&lt;1,ROUND($F2955*1440,0),INT($F2955/100)*60+MOD($F2955,100)))</f>
        <v/>
      </c>
    </row>
    <row r="2956" customFormat="false" ht="15" hidden="false" customHeight="true" outlineLevel="0" collapsed="false">
      <c r="A2956" s="10"/>
      <c r="B2956" s="8"/>
      <c r="C2956" s="13" t="str">
        <f aca="false">IF($B2956="","",IFERROR(INDEX(직원목록!$B$3:$B$302,MATCH($B2956,직원목록!$A$3:$A$302,0)),"미등록사번"))</f>
        <v/>
      </c>
      <c r="D2956" s="13" t="str">
        <f aca="false">IF($B2956="","",IFERROR(INDEX(직원목록!$C$3:$C$302,MATCH($B2956,직원목록!$A$3:$A$302,0)),""))</f>
        <v/>
      </c>
      <c r="E2956" s="14"/>
      <c r="F2956" s="14"/>
      <c r="G2956" s="15"/>
      <c r="H2956" s="16" t="str">
        <f aca="false">IF(OR($K2956="",$L2956=""),"",ROUND(MAX(0,($L2956-$K2956)-IF($G2956="",0,$G2956))/60,2))</f>
        <v/>
      </c>
      <c r="I2956" s="8"/>
      <c r="J2956" s="8"/>
      <c r="K2956" s="17" t="str">
        <f aca="false">IF($E2956="","",IF($E2956&lt;1,ROUND($E2956*1440,0),INT($E2956/100)*60+MOD($E2956,100)))</f>
        <v/>
      </c>
      <c r="L2956" s="17" t="str">
        <f aca="false">IF($F2956="","",IF($F2956&lt;1,ROUND($F2956*1440,0),INT($F2956/100)*60+MOD($F2956,100)))</f>
        <v/>
      </c>
    </row>
    <row r="2957" customFormat="false" ht="15" hidden="false" customHeight="true" outlineLevel="0" collapsed="false">
      <c r="A2957" s="10"/>
      <c r="B2957" s="8"/>
      <c r="C2957" s="13" t="str">
        <f aca="false">IF($B2957="","",IFERROR(INDEX(직원목록!$B$3:$B$302,MATCH($B2957,직원목록!$A$3:$A$302,0)),"미등록사번"))</f>
        <v/>
      </c>
      <c r="D2957" s="13" t="str">
        <f aca="false">IF($B2957="","",IFERROR(INDEX(직원목록!$C$3:$C$302,MATCH($B2957,직원목록!$A$3:$A$302,0)),""))</f>
        <v/>
      </c>
      <c r="E2957" s="14"/>
      <c r="F2957" s="14"/>
      <c r="G2957" s="15"/>
      <c r="H2957" s="16" t="str">
        <f aca="false">IF(OR($K2957="",$L2957=""),"",ROUND(MAX(0,($L2957-$K2957)-IF($G2957="",0,$G2957))/60,2))</f>
        <v/>
      </c>
      <c r="I2957" s="8"/>
      <c r="J2957" s="8"/>
      <c r="K2957" s="17" t="str">
        <f aca="false">IF($E2957="","",IF($E2957&lt;1,ROUND($E2957*1440,0),INT($E2957/100)*60+MOD($E2957,100)))</f>
        <v/>
      </c>
      <c r="L2957" s="17" t="str">
        <f aca="false">IF($F2957="","",IF($F2957&lt;1,ROUND($F2957*1440,0),INT($F2957/100)*60+MOD($F2957,100)))</f>
        <v/>
      </c>
    </row>
    <row r="2958" customFormat="false" ht="15" hidden="false" customHeight="true" outlineLevel="0" collapsed="false">
      <c r="A2958" s="10"/>
      <c r="B2958" s="8"/>
      <c r="C2958" s="13" t="str">
        <f aca="false">IF($B2958="","",IFERROR(INDEX(직원목록!$B$3:$B$302,MATCH($B2958,직원목록!$A$3:$A$302,0)),"미등록사번"))</f>
        <v/>
      </c>
      <c r="D2958" s="13" t="str">
        <f aca="false">IF($B2958="","",IFERROR(INDEX(직원목록!$C$3:$C$302,MATCH($B2958,직원목록!$A$3:$A$302,0)),""))</f>
        <v/>
      </c>
      <c r="E2958" s="14"/>
      <c r="F2958" s="14"/>
      <c r="G2958" s="15"/>
      <c r="H2958" s="16" t="str">
        <f aca="false">IF(OR($K2958="",$L2958=""),"",ROUND(MAX(0,($L2958-$K2958)-IF($G2958="",0,$G2958))/60,2))</f>
        <v/>
      </c>
      <c r="I2958" s="8"/>
      <c r="J2958" s="8"/>
      <c r="K2958" s="17" t="str">
        <f aca="false">IF($E2958="","",IF($E2958&lt;1,ROUND($E2958*1440,0),INT($E2958/100)*60+MOD($E2958,100)))</f>
        <v/>
      </c>
      <c r="L2958" s="17" t="str">
        <f aca="false">IF($F2958="","",IF($F2958&lt;1,ROUND($F2958*1440,0),INT($F2958/100)*60+MOD($F2958,100)))</f>
        <v/>
      </c>
    </row>
    <row r="2959" customFormat="false" ht="15" hidden="false" customHeight="true" outlineLevel="0" collapsed="false">
      <c r="A2959" s="10"/>
      <c r="B2959" s="8"/>
      <c r="C2959" s="13" t="str">
        <f aca="false">IF($B2959="","",IFERROR(INDEX(직원목록!$B$3:$B$302,MATCH($B2959,직원목록!$A$3:$A$302,0)),"미등록사번"))</f>
        <v/>
      </c>
      <c r="D2959" s="13" t="str">
        <f aca="false">IF($B2959="","",IFERROR(INDEX(직원목록!$C$3:$C$302,MATCH($B2959,직원목록!$A$3:$A$302,0)),""))</f>
        <v/>
      </c>
      <c r="E2959" s="14"/>
      <c r="F2959" s="14"/>
      <c r="G2959" s="15"/>
      <c r="H2959" s="16" t="str">
        <f aca="false">IF(OR($K2959="",$L2959=""),"",ROUND(MAX(0,($L2959-$K2959)-IF($G2959="",0,$G2959))/60,2))</f>
        <v/>
      </c>
      <c r="I2959" s="8"/>
      <c r="J2959" s="8"/>
      <c r="K2959" s="17" t="str">
        <f aca="false">IF($E2959="","",IF($E2959&lt;1,ROUND($E2959*1440,0),INT($E2959/100)*60+MOD($E2959,100)))</f>
        <v/>
      </c>
      <c r="L2959" s="17" t="str">
        <f aca="false">IF($F2959="","",IF($F2959&lt;1,ROUND($F2959*1440,0),INT($F2959/100)*60+MOD($F2959,100)))</f>
        <v/>
      </c>
    </row>
    <row r="2960" customFormat="false" ht="15" hidden="false" customHeight="true" outlineLevel="0" collapsed="false">
      <c r="A2960" s="10"/>
      <c r="B2960" s="8"/>
      <c r="C2960" s="13" t="str">
        <f aca="false">IF($B2960="","",IFERROR(INDEX(직원목록!$B$3:$B$302,MATCH($B2960,직원목록!$A$3:$A$302,0)),"미등록사번"))</f>
        <v/>
      </c>
      <c r="D2960" s="13" t="str">
        <f aca="false">IF($B2960="","",IFERROR(INDEX(직원목록!$C$3:$C$302,MATCH($B2960,직원목록!$A$3:$A$302,0)),""))</f>
        <v/>
      </c>
      <c r="E2960" s="14"/>
      <c r="F2960" s="14"/>
      <c r="G2960" s="15"/>
      <c r="H2960" s="16" t="str">
        <f aca="false">IF(OR($K2960="",$L2960=""),"",ROUND(MAX(0,($L2960-$K2960)-IF($G2960="",0,$G2960))/60,2))</f>
        <v/>
      </c>
      <c r="I2960" s="8"/>
      <c r="J2960" s="8"/>
      <c r="K2960" s="17" t="str">
        <f aca="false">IF($E2960="","",IF($E2960&lt;1,ROUND($E2960*1440,0),INT($E2960/100)*60+MOD($E2960,100)))</f>
        <v/>
      </c>
      <c r="L2960" s="17" t="str">
        <f aca="false">IF($F2960="","",IF($F2960&lt;1,ROUND($F2960*1440,0),INT($F2960/100)*60+MOD($F2960,100)))</f>
        <v/>
      </c>
    </row>
    <row r="2961" customFormat="false" ht="15" hidden="false" customHeight="true" outlineLevel="0" collapsed="false">
      <c r="A2961" s="10"/>
      <c r="B2961" s="8"/>
      <c r="C2961" s="13" t="str">
        <f aca="false">IF($B2961="","",IFERROR(INDEX(직원목록!$B$3:$B$302,MATCH($B2961,직원목록!$A$3:$A$302,0)),"미등록사번"))</f>
        <v/>
      </c>
      <c r="D2961" s="13" t="str">
        <f aca="false">IF($B2961="","",IFERROR(INDEX(직원목록!$C$3:$C$302,MATCH($B2961,직원목록!$A$3:$A$302,0)),""))</f>
        <v/>
      </c>
      <c r="E2961" s="14"/>
      <c r="F2961" s="14"/>
      <c r="G2961" s="15"/>
      <c r="H2961" s="16" t="str">
        <f aca="false">IF(OR($K2961="",$L2961=""),"",ROUND(MAX(0,($L2961-$K2961)-IF($G2961="",0,$G2961))/60,2))</f>
        <v/>
      </c>
      <c r="I2961" s="8"/>
      <c r="J2961" s="8"/>
      <c r="K2961" s="17" t="str">
        <f aca="false">IF($E2961="","",IF($E2961&lt;1,ROUND($E2961*1440,0),INT($E2961/100)*60+MOD($E2961,100)))</f>
        <v/>
      </c>
      <c r="L2961" s="17" t="str">
        <f aca="false">IF($F2961="","",IF($F2961&lt;1,ROUND($F2961*1440,0),INT($F2961/100)*60+MOD($F2961,100)))</f>
        <v/>
      </c>
    </row>
    <row r="2962" customFormat="false" ht="15" hidden="false" customHeight="true" outlineLevel="0" collapsed="false">
      <c r="A2962" s="10"/>
      <c r="B2962" s="8"/>
      <c r="C2962" s="13" t="str">
        <f aca="false">IF($B2962="","",IFERROR(INDEX(직원목록!$B$3:$B$302,MATCH($B2962,직원목록!$A$3:$A$302,0)),"미등록사번"))</f>
        <v/>
      </c>
      <c r="D2962" s="13" t="str">
        <f aca="false">IF($B2962="","",IFERROR(INDEX(직원목록!$C$3:$C$302,MATCH($B2962,직원목록!$A$3:$A$302,0)),""))</f>
        <v/>
      </c>
      <c r="E2962" s="14"/>
      <c r="F2962" s="14"/>
      <c r="G2962" s="15"/>
      <c r="H2962" s="16" t="str">
        <f aca="false">IF(OR($K2962="",$L2962=""),"",ROUND(MAX(0,($L2962-$K2962)-IF($G2962="",0,$G2962))/60,2))</f>
        <v/>
      </c>
      <c r="I2962" s="8"/>
      <c r="J2962" s="8"/>
      <c r="K2962" s="17" t="str">
        <f aca="false">IF($E2962="","",IF($E2962&lt;1,ROUND($E2962*1440,0),INT($E2962/100)*60+MOD($E2962,100)))</f>
        <v/>
      </c>
      <c r="L2962" s="17" t="str">
        <f aca="false">IF($F2962="","",IF($F2962&lt;1,ROUND($F2962*1440,0),INT($F2962/100)*60+MOD($F2962,100)))</f>
        <v/>
      </c>
    </row>
    <row r="2963" customFormat="false" ht="15" hidden="false" customHeight="true" outlineLevel="0" collapsed="false">
      <c r="A2963" s="10"/>
      <c r="B2963" s="8"/>
      <c r="C2963" s="13" t="str">
        <f aca="false">IF($B2963="","",IFERROR(INDEX(직원목록!$B$3:$B$302,MATCH($B2963,직원목록!$A$3:$A$302,0)),"미등록사번"))</f>
        <v/>
      </c>
      <c r="D2963" s="13" t="str">
        <f aca="false">IF($B2963="","",IFERROR(INDEX(직원목록!$C$3:$C$302,MATCH($B2963,직원목록!$A$3:$A$302,0)),""))</f>
        <v/>
      </c>
      <c r="E2963" s="14"/>
      <c r="F2963" s="14"/>
      <c r="G2963" s="15"/>
      <c r="H2963" s="16" t="str">
        <f aca="false">IF(OR($K2963="",$L2963=""),"",ROUND(MAX(0,($L2963-$K2963)-IF($G2963="",0,$G2963))/60,2))</f>
        <v/>
      </c>
      <c r="I2963" s="8"/>
      <c r="J2963" s="8"/>
      <c r="K2963" s="17" t="str">
        <f aca="false">IF($E2963="","",IF($E2963&lt;1,ROUND($E2963*1440,0),INT($E2963/100)*60+MOD($E2963,100)))</f>
        <v/>
      </c>
      <c r="L2963" s="17" t="str">
        <f aca="false">IF($F2963="","",IF($F2963&lt;1,ROUND($F2963*1440,0),INT($F2963/100)*60+MOD($F2963,100)))</f>
        <v/>
      </c>
    </row>
    <row r="2964" customFormat="false" ht="15" hidden="false" customHeight="true" outlineLevel="0" collapsed="false">
      <c r="A2964" s="10"/>
      <c r="B2964" s="8"/>
      <c r="C2964" s="13" t="str">
        <f aca="false">IF($B2964="","",IFERROR(INDEX(직원목록!$B$3:$B$302,MATCH($B2964,직원목록!$A$3:$A$302,0)),"미등록사번"))</f>
        <v/>
      </c>
      <c r="D2964" s="13" t="str">
        <f aca="false">IF($B2964="","",IFERROR(INDEX(직원목록!$C$3:$C$302,MATCH($B2964,직원목록!$A$3:$A$302,0)),""))</f>
        <v/>
      </c>
      <c r="E2964" s="14"/>
      <c r="F2964" s="14"/>
      <c r="G2964" s="15"/>
      <c r="H2964" s="16" t="str">
        <f aca="false">IF(OR($K2964="",$L2964=""),"",ROUND(MAX(0,($L2964-$K2964)-IF($G2964="",0,$G2964))/60,2))</f>
        <v/>
      </c>
      <c r="I2964" s="8"/>
      <c r="J2964" s="8"/>
      <c r="K2964" s="17" t="str">
        <f aca="false">IF($E2964="","",IF($E2964&lt;1,ROUND($E2964*1440,0),INT($E2964/100)*60+MOD($E2964,100)))</f>
        <v/>
      </c>
      <c r="L2964" s="17" t="str">
        <f aca="false">IF($F2964="","",IF($F2964&lt;1,ROUND($F2964*1440,0),INT($F2964/100)*60+MOD($F2964,100)))</f>
        <v/>
      </c>
    </row>
    <row r="2965" customFormat="false" ht="15" hidden="false" customHeight="true" outlineLevel="0" collapsed="false">
      <c r="A2965" s="10"/>
      <c r="B2965" s="8"/>
      <c r="C2965" s="13" t="str">
        <f aca="false">IF($B2965="","",IFERROR(INDEX(직원목록!$B$3:$B$302,MATCH($B2965,직원목록!$A$3:$A$302,0)),"미등록사번"))</f>
        <v/>
      </c>
      <c r="D2965" s="13" t="str">
        <f aca="false">IF($B2965="","",IFERROR(INDEX(직원목록!$C$3:$C$302,MATCH($B2965,직원목록!$A$3:$A$302,0)),""))</f>
        <v/>
      </c>
      <c r="E2965" s="14"/>
      <c r="F2965" s="14"/>
      <c r="G2965" s="15"/>
      <c r="H2965" s="16" t="str">
        <f aca="false">IF(OR($K2965="",$L2965=""),"",ROUND(MAX(0,($L2965-$K2965)-IF($G2965="",0,$G2965))/60,2))</f>
        <v/>
      </c>
      <c r="I2965" s="8"/>
      <c r="J2965" s="8"/>
      <c r="K2965" s="17" t="str">
        <f aca="false">IF($E2965="","",IF($E2965&lt;1,ROUND($E2965*1440,0),INT($E2965/100)*60+MOD($E2965,100)))</f>
        <v/>
      </c>
      <c r="L2965" s="17" t="str">
        <f aca="false">IF($F2965="","",IF($F2965&lt;1,ROUND($F2965*1440,0),INT($F2965/100)*60+MOD($F2965,100)))</f>
        <v/>
      </c>
    </row>
    <row r="2966" customFormat="false" ht="15" hidden="false" customHeight="true" outlineLevel="0" collapsed="false">
      <c r="A2966" s="10"/>
      <c r="B2966" s="8"/>
      <c r="C2966" s="13" t="str">
        <f aca="false">IF($B2966="","",IFERROR(INDEX(직원목록!$B$3:$B$302,MATCH($B2966,직원목록!$A$3:$A$302,0)),"미등록사번"))</f>
        <v/>
      </c>
      <c r="D2966" s="13" t="str">
        <f aca="false">IF($B2966="","",IFERROR(INDEX(직원목록!$C$3:$C$302,MATCH($B2966,직원목록!$A$3:$A$302,0)),""))</f>
        <v/>
      </c>
      <c r="E2966" s="14"/>
      <c r="F2966" s="14"/>
      <c r="G2966" s="15"/>
      <c r="H2966" s="16" t="str">
        <f aca="false">IF(OR($K2966="",$L2966=""),"",ROUND(MAX(0,($L2966-$K2966)-IF($G2966="",0,$G2966))/60,2))</f>
        <v/>
      </c>
      <c r="I2966" s="8"/>
      <c r="J2966" s="8"/>
      <c r="K2966" s="17" t="str">
        <f aca="false">IF($E2966="","",IF($E2966&lt;1,ROUND($E2966*1440,0),INT($E2966/100)*60+MOD($E2966,100)))</f>
        <v/>
      </c>
      <c r="L2966" s="17" t="str">
        <f aca="false">IF($F2966="","",IF($F2966&lt;1,ROUND($F2966*1440,0),INT($F2966/100)*60+MOD($F2966,100)))</f>
        <v/>
      </c>
    </row>
    <row r="2967" customFormat="false" ht="15" hidden="false" customHeight="true" outlineLevel="0" collapsed="false">
      <c r="A2967" s="10"/>
      <c r="B2967" s="8"/>
      <c r="C2967" s="13" t="str">
        <f aca="false">IF($B2967="","",IFERROR(INDEX(직원목록!$B$3:$B$302,MATCH($B2967,직원목록!$A$3:$A$302,0)),"미등록사번"))</f>
        <v/>
      </c>
      <c r="D2967" s="13" t="str">
        <f aca="false">IF($B2967="","",IFERROR(INDEX(직원목록!$C$3:$C$302,MATCH($B2967,직원목록!$A$3:$A$302,0)),""))</f>
        <v/>
      </c>
      <c r="E2967" s="14"/>
      <c r="F2967" s="14"/>
      <c r="G2967" s="15"/>
      <c r="H2967" s="16" t="str">
        <f aca="false">IF(OR($K2967="",$L2967=""),"",ROUND(MAX(0,($L2967-$K2967)-IF($G2967="",0,$G2967))/60,2))</f>
        <v/>
      </c>
      <c r="I2967" s="8"/>
      <c r="J2967" s="8"/>
      <c r="K2967" s="17" t="str">
        <f aca="false">IF($E2967="","",IF($E2967&lt;1,ROUND($E2967*1440,0),INT($E2967/100)*60+MOD($E2967,100)))</f>
        <v/>
      </c>
      <c r="L2967" s="17" t="str">
        <f aca="false">IF($F2967="","",IF($F2967&lt;1,ROUND($F2967*1440,0),INT($F2967/100)*60+MOD($F2967,100)))</f>
        <v/>
      </c>
    </row>
    <row r="2968" customFormat="false" ht="15" hidden="false" customHeight="true" outlineLevel="0" collapsed="false">
      <c r="A2968" s="10"/>
      <c r="B2968" s="8"/>
      <c r="C2968" s="13" t="str">
        <f aca="false">IF($B2968="","",IFERROR(INDEX(직원목록!$B$3:$B$302,MATCH($B2968,직원목록!$A$3:$A$302,0)),"미등록사번"))</f>
        <v/>
      </c>
      <c r="D2968" s="13" t="str">
        <f aca="false">IF($B2968="","",IFERROR(INDEX(직원목록!$C$3:$C$302,MATCH($B2968,직원목록!$A$3:$A$302,0)),""))</f>
        <v/>
      </c>
      <c r="E2968" s="14"/>
      <c r="F2968" s="14"/>
      <c r="G2968" s="15"/>
      <c r="H2968" s="16" t="str">
        <f aca="false">IF(OR($K2968="",$L2968=""),"",ROUND(MAX(0,($L2968-$K2968)-IF($G2968="",0,$G2968))/60,2))</f>
        <v/>
      </c>
      <c r="I2968" s="8"/>
      <c r="J2968" s="8"/>
      <c r="K2968" s="17" t="str">
        <f aca="false">IF($E2968="","",IF($E2968&lt;1,ROUND($E2968*1440,0),INT($E2968/100)*60+MOD($E2968,100)))</f>
        <v/>
      </c>
      <c r="L2968" s="17" t="str">
        <f aca="false">IF($F2968="","",IF($F2968&lt;1,ROUND($F2968*1440,0),INT($F2968/100)*60+MOD($F2968,100)))</f>
        <v/>
      </c>
    </row>
    <row r="2969" customFormat="false" ht="15" hidden="false" customHeight="true" outlineLevel="0" collapsed="false">
      <c r="A2969" s="10"/>
      <c r="B2969" s="8"/>
      <c r="C2969" s="13" t="str">
        <f aca="false">IF($B2969="","",IFERROR(INDEX(직원목록!$B$3:$B$302,MATCH($B2969,직원목록!$A$3:$A$302,0)),"미등록사번"))</f>
        <v/>
      </c>
      <c r="D2969" s="13" t="str">
        <f aca="false">IF($B2969="","",IFERROR(INDEX(직원목록!$C$3:$C$302,MATCH($B2969,직원목록!$A$3:$A$302,0)),""))</f>
        <v/>
      </c>
      <c r="E2969" s="14"/>
      <c r="F2969" s="14"/>
      <c r="G2969" s="15"/>
      <c r="H2969" s="16" t="str">
        <f aca="false">IF(OR($K2969="",$L2969=""),"",ROUND(MAX(0,($L2969-$K2969)-IF($G2969="",0,$G2969))/60,2))</f>
        <v/>
      </c>
      <c r="I2969" s="8"/>
      <c r="J2969" s="8"/>
      <c r="K2969" s="17" t="str">
        <f aca="false">IF($E2969="","",IF($E2969&lt;1,ROUND($E2969*1440,0),INT($E2969/100)*60+MOD($E2969,100)))</f>
        <v/>
      </c>
      <c r="L2969" s="17" t="str">
        <f aca="false">IF($F2969="","",IF($F2969&lt;1,ROUND($F2969*1440,0),INT($F2969/100)*60+MOD($F2969,100)))</f>
        <v/>
      </c>
    </row>
    <row r="2970" customFormat="false" ht="15" hidden="false" customHeight="true" outlineLevel="0" collapsed="false">
      <c r="A2970" s="10"/>
      <c r="B2970" s="8"/>
      <c r="C2970" s="13" t="str">
        <f aca="false">IF($B2970="","",IFERROR(INDEX(직원목록!$B$3:$B$302,MATCH($B2970,직원목록!$A$3:$A$302,0)),"미등록사번"))</f>
        <v/>
      </c>
      <c r="D2970" s="13" t="str">
        <f aca="false">IF($B2970="","",IFERROR(INDEX(직원목록!$C$3:$C$302,MATCH($B2970,직원목록!$A$3:$A$302,0)),""))</f>
        <v/>
      </c>
      <c r="E2970" s="14"/>
      <c r="F2970" s="14"/>
      <c r="G2970" s="15"/>
      <c r="H2970" s="16" t="str">
        <f aca="false">IF(OR($K2970="",$L2970=""),"",ROUND(MAX(0,($L2970-$K2970)-IF($G2970="",0,$G2970))/60,2))</f>
        <v/>
      </c>
      <c r="I2970" s="8"/>
      <c r="J2970" s="8"/>
      <c r="K2970" s="17" t="str">
        <f aca="false">IF($E2970="","",IF($E2970&lt;1,ROUND($E2970*1440,0),INT($E2970/100)*60+MOD($E2970,100)))</f>
        <v/>
      </c>
      <c r="L2970" s="17" t="str">
        <f aca="false">IF($F2970="","",IF($F2970&lt;1,ROUND($F2970*1440,0),INT($F2970/100)*60+MOD($F2970,100)))</f>
        <v/>
      </c>
    </row>
    <row r="2971" customFormat="false" ht="15" hidden="false" customHeight="true" outlineLevel="0" collapsed="false">
      <c r="A2971" s="10"/>
      <c r="B2971" s="8"/>
      <c r="C2971" s="13" t="str">
        <f aca="false">IF($B2971="","",IFERROR(INDEX(직원목록!$B$3:$B$302,MATCH($B2971,직원목록!$A$3:$A$302,0)),"미등록사번"))</f>
        <v/>
      </c>
      <c r="D2971" s="13" t="str">
        <f aca="false">IF($B2971="","",IFERROR(INDEX(직원목록!$C$3:$C$302,MATCH($B2971,직원목록!$A$3:$A$302,0)),""))</f>
        <v/>
      </c>
      <c r="E2971" s="14"/>
      <c r="F2971" s="14"/>
      <c r="G2971" s="15"/>
      <c r="H2971" s="16" t="str">
        <f aca="false">IF(OR($K2971="",$L2971=""),"",ROUND(MAX(0,($L2971-$K2971)-IF($G2971="",0,$G2971))/60,2))</f>
        <v/>
      </c>
      <c r="I2971" s="8"/>
      <c r="J2971" s="8"/>
      <c r="K2971" s="17" t="str">
        <f aca="false">IF($E2971="","",IF($E2971&lt;1,ROUND($E2971*1440,0),INT($E2971/100)*60+MOD($E2971,100)))</f>
        <v/>
      </c>
      <c r="L2971" s="17" t="str">
        <f aca="false">IF($F2971="","",IF($F2971&lt;1,ROUND($F2971*1440,0),INT($F2971/100)*60+MOD($F2971,100)))</f>
        <v/>
      </c>
    </row>
    <row r="2972" customFormat="false" ht="15" hidden="false" customHeight="true" outlineLevel="0" collapsed="false">
      <c r="A2972" s="10"/>
      <c r="B2972" s="8"/>
      <c r="C2972" s="13" t="str">
        <f aca="false">IF($B2972="","",IFERROR(INDEX(직원목록!$B$3:$B$302,MATCH($B2972,직원목록!$A$3:$A$302,0)),"미등록사번"))</f>
        <v/>
      </c>
      <c r="D2972" s="13" t="str">
        <f aca="false">IF($B2972="","",IFERROR(INDEX(직원목록!$C$3:$C$302,MATCH($B2972,직원목록!$A$3:$A$302,0)),""))</f>
        <v/>
      </c>
      <c r="E2972" s="14"/>
      <c r="F2972" s="14"/>
      <c r="G2972" s="15"/>
      <c r="H2972" s="16" t="str">
        <f aca="false">IF(OR($K2972="",$L2972=""),"",ROUND(MAX(0,($L2972-$K2972)-IF($G2972="",0,$G2972))/60,2))</f>
        <v/>
      </c>
      <c r="I2972" s="8"/>
      <c r="J2972" s="8"/>
      <c r="K2972" s="17" t="str">
        <f aca="false">IF($E2972="","",IF($E2972&lt;1,ROUND($E2972*1440,0),INT($E2972/100)*60+MOD($E2972,100)))</f>
        <v/>
      </c>
      <c r="L2972" s="17" t="str">
        <f aca="false">IF($F2972="","",IF($F2972&lt;1,ROUND($F2972*1440,0),INT($F2972/100)*60+MOD($F2972,100)))</f>
        <v/>
      </c>
    </row>
    <row r="2973" customFormat="false" ht="15" hidden="false" customHeight="true" outlineLevel="0" collapsed="false">
      <c r="A2973" s="10"/>
      <c r="B2973" s="8"/>
      <c r="C2973" s="13" t="str">
        <f aca="false">IF($B2973="","",IFERROR(INDEX(직원목록!$B$3:$B$302,MATCH($B2973,직원목록!$A$3:$A$302,0)),"미등록사번"))</f>
        <v/>
      </c>
      <c r="D2973" s="13" t="str">
        <f aca="false">IF($B2973="","",IFERROR(INDEX(직원목록!$C$3:$C$302,MATCH($B2973,직원목록!$A$3:$A$302,0)),""))</f>
        <v/>
      </c>
      <c r="E2973" s="14"/>
      <c r="F2973" s="14"/>
      <c r="G2973" s="15"/>
      <c r="H2973" s="16" t="str">
        <f aca="false">IF(OR($K2973="",$L2973=""),"",ROUND(MAX(0,($L2973-$K2973)-IF($G2973="",0,$G2973))/60,2))</f>
        <v/>
      </c>
      <c r="I2973" s="8"/>
      <c r="J2973" s="8"/>
      <c r="K2973" s="17" t="str">
        <f aca="false">IF($E2973="","",IF($E2973&lt;1,ROUND($E2973*1440,0),INT($E2973/100)*60+MOD($E2973,100)))</f>
        <v/>
      </c>
      <c r="L2973" s="17" t="str">
        <f aca="false">IF($F2973="","",IF($F2973&lt;1,ROUND($F2973*1440,0),INT($F2973/100)*60+MOD($F2973,100)))</f>
        <v/>
      </c>
    </row>
    <row r="2974" customFormat="false" ht="15" hidden="false" customHeight="true" outlineLevel="0" collapsed="false">
      <c r="A2974" s="10"/>
      <c r="B2974" s="8"/>
      <c r="C2974" s="13" t="str">
        <f aca="false">IF($B2974="","",IFERROR(INDEX(직원목록!$B$3:$B$302,MATCH($B2974,직원목록!$A$3:$A$302,0)),"미등록사번"))</f>
        <v/>
      </c>
      <c r="D2974" s="13" t="str">
        <f aca="false">IF($B2974="","",IFERROR(INDEX(직원목록!$C$3:$C$302,MATCH($B2974,직원목록!$A$3:$A$302,0)),""))</f>
        <v/>
      </c>
      <c r="E2974" s="14"/>
      <c r="F2974" s="14"/>
      <c r="G2974" s="15"/>
      <c r="H2974" s="16" t="str">
        <f aca="false">IF(OR($K2974="",$L2974=""),"",ROUND(MAX(0,($L2974-$K2974)-IF($G2974="",0,$G2974))/60,2))</f>
        <v/>
      </c>
      <c r="I2974" s="8"/>
      <c r="J2974" s="8"/>
      <c r="K2974" s="17" t="str">
        <f aca="false">IF($E2974="","",IF($E2974&lt;1,ROUND($E2974*1440,0),INT($E2974/100)*60+MOD($E2974,100)))</f>
        <v/>
      </c>
      <c r="L2974" s="17" t="str">
        <f aca="false">IF($F2974="","",IF($F2974&lt;1,ROUND($F2974*1440,0),INT($F2974/100)*60+MOD($F2974,100)))</f>
        <v/>
      </c>
    </row>
    <row r="2975" customFormat="false" ht="15" hidden="false" customHeight="true" outlineLevel="0" collapsed="false">
      <c r="A2975" s="10"/>
      <c r="B2975" s="8"/>
      <c r="C2975" s="13" t="str">
        <f aca="false">IF($B2975="","",IFERROR(INDEX(직원목록!$B$3:$B$302,MATCH($B2975,직원목록!$A$3:$A$302,0)),"미등록사번"))</f>
        <v/>
      </c>
      <c r="D2975" s="13" t="str">
        <f aca="false">IF($B2975="","",IFERROR(INDEX(직원목록!$C$3:$C$302,MATCH($B2975,직원목록!$A$3:$A$302,0)),""))</f>
        <v/>
      </c>
      <c r="E2975" s="14"/>
      <c r="F2975" s="14"/>
      <c r="G2975" s="15"/>
      <c r="H2975" s="16" t="str">
        <f aca="false">IF(OR($K2975="",$L2975=""),"",ROUND(MAX(0,($L2975-$K2975)-IF($G2975="",0,$G2975))/60,2))</f>
        <v/>
      </c>
      <c r="I2975" s="8"/>
      <c r="J2975" s="8"/>
      <c r="K2975" s="17" t="str">
        <f aca="false">IF($E2975="","",IF($E2975&lt;1,ROUND($E2975*1440,0),INT($E2975/100)*60+MOD($E2975,100)))</f>
        <v/>
      </c>
      <c r="L2975" s="17" t="str">
        <f aca="false">IF($F2975="","",IF($F2975&lt;1,ROUND($F2975*1440,0),INT($F2975/100)*60+MOD($F2975,100)))</f>
        <v/>
      </c>
    </row>
    <row r="2976" customFormat="false" ht="15" hidden="false" customHeight="true" outlineLevel="0" collapsed="false">
      <c r="A2976" s="10"/>
      <c r="B2976" s="8"/>
      <c r="C2976" s="13" t="str">
        <f aca="false">IF($B2976="","",IFERROR(INDEX(직원목록!$B$3:$B$302,MATCH($B2976,직원목록!$A$3:$A$302,0)),"미등록사번"))</f>
        <v/>
      </c>
      <c r="D2976" s="13" t="str">
        <f aca="false">IF($B2976="","",IFERROR(INDEX(직원목록!$C$3:$C$302,MATCH($B2976,직원목록!$A$3:$A$302,0)),""))</f>
        <v/>
      </c>
      <c r="E2976" s="14"/>
      <c r="F2976" s="14"/>
      <c r="G2976" s="15"/>
      <c r="H2976" s="16" t="str">
        <f aca="false">IF(OR($K2976="",$L2976=""),"",ROUND(MAX(0,($L2976-$K2976)-IF($G2976="",0,$G2976))/60,2))</f>
        <v/>
      </c>
      <c r="I2976" s="8"/>
      <c r="J2976" s="8"/>
      <c r="K2976" s="17" t="str">
        <f aca="false">IF($E2976="","",IF($E2976&lt;1,ROUND($E2976*1440,0),INT($E2976/100)*60+MOD($E2976,100)))</f>
        <v/>
      </c>
      <c r="L2976" s="17" t="str">
        <f aca="false">IF($F2976="","",IF($F2976&lt;1,ROUND($F2976*1440,0),INT($F2976/100)*60+MOD($F2976,100)))</f>
        <v/>
      </c>
    </row>
    <row r="2977" customFormat="false" ht="15" hidden="false" customHeight="true" outlineLevel="0" collapsed="false">
      <c r="A2977" s="10"/>
      <c r="B2977" s="8"/>
      <c r="C2977" s="13" t="str">
        <f aca="false">IF($B2977="","",IFERROR(INDEX(직원목록!$B$3:$B$302,MATCH($B2977,직원목록!$A$3:$A$302,0)),"미등록사번"))</f>
        <v/>
      </c>
      <c r="D2977" s="13" t="str">
        <f aca="false">IF($B2977="","",IFERROR(INDEX(직원목록!$C$3:$C$302,MATCH($B2977,직원목록!$A$3:$A$302,0)),""))</f>
        <v/>
      </c>
      <c r="E2977" s="14"/>
      <c r="F2977" s="14"/>
      <c r="G2977" s="15"/>
      <c r="H2977" s="16" t="str">
        <f aca="false">IF(OR($K2977="",$L2977=""),"",ROUND(MAX(0,($L2977-$K2977)-IF($G2977="",0,$G2977))/60,2))</f>
        <v/>
      </c>
      <c r="I2977" s="8"/>
      <c r="J2977" s="8"/>
      <c r="K2977" s="17" t="str">
        <f aca="false">IF($E2977="","",IF($E2977&lt;1,ROUND($E2977*1440,0),INT($E2977/100)*60+MOD($E2977,100)))</f>
        <v/>
      </c>
      <c r="L2977" s="17" t="str">
        <f aca="false">IF($F2977="","",IF($F2977&lt;1,ROUND($F2977*1440,0),INT($F2977/100)*60+MOD($F2977,100)))</f>
        <v/>
      </c>
    </row>
    <row r="2978" customFormat="false" ht="15" hidden="false" customHeight="true" outlineLevel="0" collapsed="false">
      <c r="A2978" s="10"/>
      <c r="B2978" s="8"/>
      <c r="C2978" s="13" t="str">
        <f aca="false">IF($B2978="","",IFERROR(INDEX(직원목록!$B$3:$B$302,MATCH($B2978,직원목록!$A$3:$A$302,0)),"미등록사번"))</f>
        <v/>
      </c>
      <c r="D2978" s="13" t="str">
        <f aca="false">IF($B2978="","",IFERROR(INDEX(직원목록!$C$3:$C$302,MATCH($B2978,직원목록!$A$3:$A$302,0)),""))</f>
        <v/>
      </c>
      <c r="E2978" s="14"/>
      <c r="F2978" s="14"/>
      <c r="G2978" s="15"/>
      <c r="H2978" s="16" t="str">
        <f aca="false">IF(OR($K2978="",$L2978=""),"",ROUND(MAX(0,($L2978-$K2978)-IF($G2978="",0,$G2978))/60,2))</f>
        <v/>
      </c>
      <c r="I2978" s="8"/>
      <c r="J2978" s="8"/>
      <c r="K2978" s="17" t="str">
        <f aca="false">IF($E2978="","",IF($E2978&lt;1,ROUND($E2978*1440,0),INT($E2978/100)*60+MOD($E2978,100)))</f>
        <v/>
      </c>
      <c r="L2978" s="17" t="str">
        <f aca="false">IF($F2978="","",IF($F2978&lt;1,ROUND($F2978*1440,0),INT($F2978/100)*60+MOD($F2978,100)))</f>
        <v/>
      </c>
    </row>
    <row r="2979" customFormat="false" ht="15" hidden="false" customHeight="true" outlineLevel="0" collapsed="false">
      <c r="A2979" s="10"/>
      <c r="B2979" s="8"/>
      <c r="C2979" s="13" t="str">
        <f aca="false">IF($B2979="","",IFERROR(INDEX(직원목록!$B$3:$B$302,MATCH($B2979,직원목록!$A$3:$A$302,0)),"미등록사번"))</f>
        <v/>
      </c>
      <c r="D2979" s="13" t="str">
        <f aca="false">IF($B2979="","",IFERROR(INDEX(직원목록!$C$3:$C$302,MATCH($B2979,직원목록!$A$3:$A$302,0)),""))</f>
        <v/>
      </c>
      <c r="E2979" s="14"/>
      <c r="F2979" s="14"/>
      <c r="G2979" s="15"/>
      <c r="H2979" s="16" t="str">
        <f aca="false">IF(OR($K2979="",$L2979=""),"",ROUND(MAX(0,($L2979-$K2979)-IF($G2979="",0,$G2979))/60,2))</f>
        <v/>
      </c>
      <c r="I2979" s="8"/>
      <c r="J2979" s="8"/>
      <c r="K2979" s="17" t="str">
        <f aca="false">IF($E2979="","",IF($E2979&lt;1,ROUND($E2979*1440,0),INT($E2979/100)*60+MOD($E2979,100)))</f>
        <v/>
      </c>
      <c r="L2979" s="17" t="str">
        <f aca="false">IF($F2979="","",IF($F2979&lt;1,ROUND($F2979*1440,0),INT($F2979/100)*60+MOD($F2979,100)))</f>
        <v/>
      </c>
    </row>
    <row r="2980" customFormat="false" ht="15" hidden="false" customHeight="true" outlineLevel="0" collapsed="false">
      <c r="A2980" s="10"/>
      <c r="B2980" s="8"/>
      <c r="C2980" s="13" t="str">
        <f aca="false">IF($B2980="","",IFERROR(INDEX(직원목록!$B$3:$B$302,MATCH($B2980,직원목록!$A$3:$A$302,0)),"미등록사번"))</f>
        <v/>
      </c>
      <c r="D2980" s="13" t="str">
        <f aca="false">IF($B2980="","",IFERROR(INDEX(직원목록!$C$3:$C$302,MATCH($B2980,직원목록!$A$3:$A$302,0)),""))</f>
        <v/>
      </c>
      <c r="E2980" s="14"/>
      <c r="F2980" s="14"/>
      <c r="G2980" s="15"/>
      <c r="H2980" s="16" t="str">
        <f aca="false">IF(OR($K2980="",$L2980=""),"",ROUND(MAX(0,($L2980-$K2980)-IF($G2980="",0,$G2980))/60,2))</f>
        <v/>
      </c>
      <c r="I2980" s="8"/>
      <c r="J2980" s="8"/>
      <c r="K2980" s="17" t="str">
        <f aca="false">IF($E2980="","",IF($E2980&lt;1,ROUND($E2980*1440,0),INT($E2980/100)*60+MOD($E2980,100)))</f>
        <v/>
      </c>
      <c r="L2980" s="17" t="str">
        <f aca="false">IF($F2980="","",IF($F2980&lt;1,ROUND($F2980*1440,0),INT($F2980/100)*60+MOD($F2980,100)))</f>
        <v/>
      </c>
    </row>
    <row r="2981" customFormat="false" ht="15" hidden="false" customHeight="true" outlineLevel="0" collapsed="false">
      <c r="A2981" s="10"/>
      <c r="B2981" s="8"/>
      <c r="C2981" s="13" t="str">
        <f aca="false">IF($B2981="","",IFERROR(INDEX(직원목록!$B$3:$B$302,MATCH($B2981,직원목록!$A$3:$A$302,0)),"미등록사번"))</f>
        <v/>
      </c>
      <c r="D2981" s="13" t="str">
        <f aca="false">IF($B2981="","",IFERROR(INDEX(직원목록!$C$3:$C$302,MATCH($B2981,직원목록!$A$3:$A$302,0)),""))</f>
        <v/>
      </c>
      <c r="E2981" s="14"/>
      <c r="F2981" s="14"/>
      <c r="G2981" s="15"/>
      <c r="H2981" s="16" t="str">
        <f aca="false">IF(OR($K2981="",$L2981=""),"",ROUND(MAX(0,($L2981-$K2981)-IF($G2981="",0,$G2981))/60,2))</f>
        <v/>
      </c>
      <c r="I2981" s="8"/>
      <c r="J2981" s="8"/>
      <c r="K2981" s="17" t="str">
        <f aca="false">IF($E2981="","",IF($E2981&lt;1,ROUND($E2981*1440,0),INT($E2981/100)*60+MOD($E2981,100)))</f>
        <v/>
      </c>
      <c r="L2981" s="17" t="str">
        <f aca="false">IF($F2981="","",IF($F2981&lt;1,ROUND($F2981*1440,0),INT($F2981/100)*60+MOD($F2981,100)))</f>
        <v/>
      </c>
    </row>
    <row r="2982" customFormat="false" ht="15" hidden="false" customHeight="true" outlineLevel="0" collapsed="false">
      <c r="A2982" s="10"/>
      <c r="B2982" s="8"/>
      <c r="C2982" s="13" t="str">
        <f aca="false">IF($B2982="","",IFERROR(INDEX(직원목록!$B$3:$B$302,MATCH($B2982,직원목록!$A$3:$A$302,0)),"미등록사번"))</f>
        <v/>
      </c>
      <c r="D2982" s="13" t="str">
        <f aca="false">IF($B2982="","",IFERROR(INDEX(직원목록!$C$3:$C$302,MATCH($B2982,직원목록!$A$3:$A$302,0)),""))</f>
        <v/>
      </c>
      <c r="E2982" s="14"/>
      <c r="F2982" s="14"/>
      <c r="G2982" s="15"/>
      <c r="H2982" s="16" t="str">
        <f aca="false">IF(OR($K2982="",$L2982=""),"",ROUND(MAX(0,($L2982-$K2982)-IF($G2982="",0,$G2982))/60,2))</f>
        <v/>
      </c>
      <c r="I2982" s="8"/>
      <c r="J2982" s="8"/>
      <c r="K2982" s="17" t="str">
        <f aca="false">IF($E2982="","",IF($E2982&lt;1,ROUND($E2982*1440,0),INT($E2982/100)*60+MOD($E2982,100)))</f>
        <v/>
      </c>
      <c r="L2982" s="17" t="str">
        <f aca="false">IF($F2982="","",IF($F2982&lt;1,ROUND($F2982*1440,0),INT($F2982/100)*60+MOD($F2982,100)))</f>
        <v/>
      </c>
    </row>
    <row r="2983" customFormat="false" ht="15" hidden="false" customHeight="true" outlineLevel="0" collapsed="false">
      <c r="A2983" s="10"/>
      <c r="B2983" s="8"/>
      <c r="C2983" s="13" t="str">
        <f aca="false">IF($B2983="","",IFERROR(INDEX(직원목록!$B$3:$B$302,MATCH($B2983,직원목록!$A$3:$A$302,0)),"미등록사번"))</f>
        <v/>
      </c>
      <c r="D2983" s="13" t="str">
        <f aca="false">IF($B2983="","",IFERROR(INDEX(직원목록!$C$3:$C$302,MATCH($B2983,직원목록!$A$3:$A$302,0)),""))</f>
        <v/>
      </c>
      <c r="E2983" s="14"/>
      <c r="F2983" s="14"/>
      <c r="G2983" s="15"/>
      <c r="H2983" s="16" t="str">
        <f aca="false">IF(OR($K2983="",$L2983=""),"",ROUND(MAX(0,($L2983-$K2983)-IF($G2983="",0,$G2983))/60,2))</f>
        <v/>
      </c>
      <c r="I2983" s="8"/>
      <c r="J2983" s="8"/>
      <c r="K2983" s="17" t="str">
        <f aca="false">IF($E2983="","",IF($E2983&lt;1,ROUND($E2983*1440,0),INT($E2983/100)*60+MOD($E2983,100)))</f>
        <v/>
      </c>
      <c r="L2983" s="17" t="str">
        <f aca="false">IF($F2983="","",IF($F2983&lt;1,ROUND($F2983*1440,0),INT($F2983/100)*60+MOD($F2983,100)))</f>
        <v/>
      </c>
    </row>
    <row r="2984" customFormat="false" ht="15" hidden="false" customHeight="true" outlineLevel="0" collapsed="false">
      <c r="A2984" s="10"/>
      <c r="B2984" s="8"/>
      <c r="C2984" s="13" t="str">
        <f aca="false">IF($B2984="","",IFERROR(INDEX(직원목록!$B$3:$B$302,MATCH($B2984,직원목록!$A$3:$A$302,0)),"미등록사번"))</f>
        <v/>
      </c>
      <c r="D2984" s="13" t="str">
        <f aca="false">IF($B2984="","",IFERROR(INDEX(직원목록!$C$3:$C$302,MATCH($B2984,직원목록!$A$3:$A$302,0)),""))</f>
        <v/>
      </c>
      <c r="E2984" s="14"/>
      <c r="F2984" s="14"/>
      <c r="G2984" s="15"/>
      <c r="H2984" s="16" t="str">
        <f aca="false">IF(OR($K2984="",$L2984=""),"",ROUND(MAX(0,($L2984-$K2984)-IF($G2984="",0,$G2984))/60,2))</f>
        <v/>
      </c>
      <c r="I2984" s="8"/>
      <c r="J2984" s="8"/>
      <c r="K2984" s="17" t="str">
        <f aca="false">IF($E2984="","",IF($E2984&lt;1,ROUND($E2984*1440,0),INT($E2984/100)*60+MOD($E2984,100)))</f>
        <v/>
      </c>
      <c r="L2984" s="17" t="str">
        <f aca="false">IF($F2984="","",IF($F2984&lt;1,ROUND($F2984*1440,0),INT($F2984/100)*60+MOD($F2984,100)))</f>
        <v/>
      </c>
    </row>
    <row r="2985" customFormat="false" ht="15" hidden="false" customHeight="true" outlineLevel="0" collapsed="false">
      <c r="A2985" s="10"/>
      <c r="B2985" s="8"/>
      <c r="C2985" s="13" t="str">
        <f aca="false">IF($B2985="","",IFERROR(INDEX(직원목록!$B$3:$B$302,MATCH($B2985,직원목록!$A$3:$A$302,0)),"미등록사번"))</f>
        <v/>
      </c>
      <c r="D2985" s="13" t="str">
        <f aca="false">IF($B2985="","",IFERROR(INDEX(직원목록!$C$3:$C$302,MATCH($B2985,직원목록!$A$3:$A$302,0)),""))</f>
        <v/>
      </c>
      <c r="E2985" s="14"/>
      <c r="F2985" s="14"/>
      <c r="G2985" s="15"/>
      <c r="H2985" s="16" t="str">
        <f aca="false">IF(OR($K2985="",$L2985=""),"",ROUND(MAX(0,($L2985-$K2985)-IF($G2985="",0,$G2985))/60,2))</f>
        <v/>
      </c>
      <c r="I2985" s="8"/>
      <c r="J2985" s="8"/>
      <c r="K2985" s="17" t="str">
        <f aca="false">IF($E2985="","",IF($E2985&lt;1,ROUND($E2985*1440,0),INT($E2985/100)*60+MOD($E2985,100)))</f>
        <v/>
      </c>
      <c r="L2985" s="17" t="str">
        <f aca="false">IF($F2985="","",IF($F2985&lt;1,ROUND($F2985*1440,0),INT($F2985/100)*60+MOD($F2985,100)))</f>
        <v/>
      </c>
    </row>
    <row r="2986" customFormat="false" ht="15" hidden="false" customHeight="true" outlineLevel="0" collapsed="false">
      <c r="A2986" s="10"/>
      <c r="B2986" s="8"/>
      <c r="C2986" s="13" t="str">
        <f aca="false">IF($B2986="","",IFERROR(INDEX(직원목록!$B$3:$B$302,MATCH($B2986,직원목록!$A$3:$A$302,0)),"미등록사번"))</f>
        <v/>
      </c>
      <c r="D2986" s="13" t="str">
        <f aca="false">IF($B2986="","",IFERROR(INDEX(직원목록!$C$3:$C$302,MATCH($B2986,직원목록!$A$3:$A$302,0)),""))</f>
        <v/>
      </c>
      <c r="E2986" s="14"/>
      <c r="F2986" s="14"/>
      <c r="G2986" s="15"/>
      <c r="H2986" s="16" t="str">
        <f aca="false">IF(OR($K2986="",$L2986=""),"",ROUND(MAX(0,($L2986-$K2986)-IF($G2986="",0,$G2986))/60,2))</f>
        <v/>
      </c>
      <c r="I2986" s="8"/>
      <c r="J2986" s="8"/>
      <c r="K2986" s="17" t="str">
        <f aca="false">IF($E2986="","",IF($E2986&lt;1,ROUND($E2986*1440,0),INT($E2986/100)*60+MOD($E2986,100)))</f>
        <v/>
      </c>
      <c r="L2986" s="17" t="str">
        <f aca="false">IF($F2986="","",IF($F2986&lt;1,ROUND($F2986*1440,0),INT($F2986/100)*60+MOD($F2986,100)))</f>
        <v/>
      </c>
    </row>
    <row r="2987" customFormat="false" ht="15" hidden="false" customHeight="true" outlineLevel="0" collapsed="false">
      <c r="A2987" s="10"/>
      <c r="B2987" s="8"/>
      <c r="C2987" s="13" t="str">
        <f aca="false">IF($B2987="","",IFERROR(INDEX(직원목록!$B$3:$B$302,MATCH($B2987,직원목록!$A$3:$A$302,0)),"미등록사번"))</f>
        <v/>
      </c>
      <c r="D2987" s="13" t="str">
        <f aca="false">IF($B2987="","",IFERROR(INDEX(직원목록!$C$3:$C$302,MATCH($B2987,직원목록!$A$3:$A$302,0)),""))</f>
        <v/>
      </c>
      <c r="E2987" s="14"/>
      <c r="F2987" s="14"/>
      <c r="G2987" s="15"/>
      <c r="H2987" s="16" t="str">
        <f aca="false">IF(OR($K2987="",$L2987=""),"",ROUND(MAX(0,($L2987-$K2987)-IF($G2987="",0,$G2987))/60,2))</f>
        <v/>
      </c>
      <c r="I2987" s="8"/>
      <c r="J2987" s="8"/>
      <c r="K2987" s="17" t="str">
        <f aca="false">IF($E2987="","",IF($E2987&lt;1,ROUND($E2987*1440,0),INT($E2987/100)*60+MOD($E2987,100)))</f>
        <v/>
      </c>
      <c r="L2987" s="17" t="str">
        <f aca="false">IF($F2987="","",IF($F2987&lt;1,ROUND($F2987*1440,0),INT($F2987/100)*60+MOD($F2987,100)))</f>
        <v/>
      </c>
    </row>
    <row r="2988" customFormat="false" ht="15" hidden="false" customHeight="true" outlineLevel="0" collapsed="false">
      <c r="A2988" s="10"/>
      <c r="B2988" s="8"/>
      <c r="C2988" s="13" t="str">
        <f aca="false">IF($B2988="","",IFERROR(INDEX(직원목록!$B$3:$B$302,MATCH($B2988,직원목록!$A$3:$A$302,0)),"미등록사번"))</f>
        <v/>
      </c>
      <c r="D2988" s="13" t="str">
        <f aca="false">IF($B2988="","",IFERROR(INDEX(직원목록!$C$3:$C$302,MATCH($B2988,직원목록!$A$3:$A$302,0)),""))</f>
        <v/>
      </c>
      <c r="E2988" s="14"/>
      <c r="F2988" s="14"/>
      <c r="G2988" s="15"/>
      <c r="H2988" s="16" t="str">
        <f aca="false">IF(OR($K2988="",$L2988=""),"",ROUND(MAX(0,($L2988-$K2988)-IF($G2988="",0,$G2988))/60,2))</f>
        <v/>
      </c>
      <c r="I2988" s="8"/>
      <c r="J2988" s="8"/>
      <c r="K2988" s="17" t="str">
        <f aca="false">IF($E2988="","",IF($E2988&lt;1,ROUND($E2988*1440,0),INT($E2988/100)*60+MOD($E2988,100)))</f>
        <v/>
      </c>
      <c r="L2988" s="17" t="str">
        <f aca="false">IF($F2988="","",IF($F2988&lt;1,ROUND($F2988*1440,0),INT($F2988/100)*60+MOD($F2988,100)))</f>
        <v/>
      </c>
    </row>
    <row r="2989" customFormat="false" ht="15" hidden="false" customHeight="true" outlineLevel="0" collapsed="false">
      <c r="A2989" s="10"/>
      <c r="B2989" s="8"/>
      <c r="C2989" s="13" t="str">
        <f aca="false">IF($B2989="","",IFERROR(INDEX(직원목록!$B$3:$B$302,MATCH($B2989,직원목록!$A$3:$A$302,0)),"미등록사번"))</f>
        <v/>
      </c>
      <c r="D2989" s="13" t="str">
        <f aca="false">IF($B2989="","",IFERROR(INDEX(직원목록!$C$3:$C$302,MATCH($B2989,직원목록!$A$3:$A$302,0)),""))</f>
        <v/>
      </c>
      <c r="E2989" s="14"/>
      <c r="F2989" s="14"/>
      <c r="G2989" s="15"/>
      <c r="H2989" s="16" t="str">
        <f aca="false">IF(OR($K2989="",$L2989=""),"",ROUND(MAX(0,($L2989-$K2989)-IF($G2989="",0,$G2989))/60,2))</f>
        <v/>
      </c>
      <c r="I2989" s="8"/>
      <c r="J2989" s="8"/>
      <c r="K2989" s="17" t="str">
        <f aca="false">IF($E2989="","",IF($E2989&lt;1,ROUND($E2989*1440,0),INT($E2989/100)*60+MOD($E2989,100)))</f>
        <v/>
      </c>
      <c r="L2989" s="17" t="str">
        <f aca="false">IF($F2989="","",IF($F2989&lt;1,ROUND($F2989*1440,0),INT($F2989/100)*60+MOD($F2989,100)))</f>
        <v/>
      </c>
    </row>
    <row r="2990" customFormat="false" ht="15" hidden="false" customHeight="true" outlineLevel="0" collapsed="false">
      <c r="A2990" s="10"/>
      <c r="B2990" s="8"/>
      <c r="C2990" s="13" t="str">
        <f aca="false">IF($B2990="","",IFERROR(INDEX(직원목록!$B$3:$B$302,MATCH($B2990,직원목록!$A$3:$A$302,0)),"미등록사번"))</f>
        <v/>
      </c>
      <c r="D2990" s="13" t="str">
        <f aca="false">IF($B2990="","",IFERROR(INDEX(직원목록!$C$3:$C$302,MATCH($B2990,직원목록!$A$3:$A$302,0)),""))</f>
        <v/>
      </c>
      <c r="E2990" s="14"/>
      <c r="F2990" s="14"/>
      <c r="G2990" s="15"/>
      <c r="H2990" s="16" t="str">
        <f aca="false">IF(OR($K2990="",$L2990=""),"",ROUND(MAX(0,($L2990-$K2990)-IF($G2990="",0,$G2990))/60,2))</f>
        <v/>
      </c>
      <c r="I2990" s="8"/>
      <c r="J2990" s="8"/>
      <c r="K2990" s="17" t="str">
        <f aca="false">IF($E2990="","",IF($E2990&lt;1,ROUND($E2990*1440,0),INT($E2990/100)*60+MOD($E2990,100)))</f>
        <v/>
      </c>
      <c r="L2990" s="17" t="str">
        <f aca="false">IF($F2990="","",IF($F2990&lt;1,ROUND($F2990*1440,0),INT($F2990/100)*60+MOD($F2990,100)))</f>
        <v/>
      </c>
    </row>
    <row r="2991" customFormat="false" ht="15" hidden="false" customHeight="true" outlineLevel="0" collapsed="false">
      <c r="A2991" s="10"/>
      <c r="B2991" s="8"/>
      <c r="C2991" s="13" t="str">
        <f aca="false">IF($B2991="","",IFERROR(INDEX(직원목록!$B$3:$B$302,MATCH($B2991,직원목록!$A$3:$A$302,0)),"미등록사번"))</f>
        <v/>
      </c>
      <c r="D2991" s="13" t="str">
        <f aca="false">IF($B2991="","",IFERROR(INDEX(직원목록!$C$3:$C$302,MATCH($B2991,직원목록!$A$3:$A$302,0)),""))</f>
        <v/>
      </c>
      <c r="E2991" s="14"/>
      <c r="F2991" s="14"/>
      <c r="G2991" s="15"/>
      <c r="H2991" s="16" t="str">
        <f aca="false">IF(OR($K2991="",$L2991=""),"",ROUND(MAX(0,($L2991-$K2991)-IF($G2991="",0,$G2991))/60,2))</f>
        <v/>
      </c>
      <c r="I2991" s="8"/>
      <c r="J2991" s="8"/>
      <c r="K2991" s="17" t="str">
        <f aca="false">IF($E2991="","",IF($E2991&lt;1,ROUND($E2991*1440,0),INT($E2991/100)*60+MOD($E2991,100)))</f>
        <v/>
      </c>
      <c r="L2991" s="17" t="str">
        <f aca="false">IF($F2991="","",IF($F2991&lt;1,ROUND($F2991*1440,0),INT($F2991/100)*60+MOD($F2991,100)))</f>
        <v/>
      </c>
    </row>
    <row r="2992" customFormat="false" ht="15" hidden="false" customHeight="true" outlineLevel="0" collapsed="false">
      <c r="A2992" s="10"/>
      <c r="B2992" s="8"/>
      <c r="C2992" s="13" t="str">
        <f aca="false">IF($B2992="","",IFERROR(INDEX(직원목록!$B$3:$B$302,MATCH($B2992,직원목록!$A$3:$A$302,0)),"미등록사번"))</f>
        <v/>
      </c>
      <c r="D2992" s="13" t="str">
        <f aca="false">IF($B2992="","",IFERROR(INDEX(직원목록!$C$3:$C$302,MATCH($B2992,직원목록!$A$3:$A$302,0)),""))</f>
        <v/>
      </c>
      <c r="E2992" s="14"/>
      <c r="F2992" s="14"/>
      <c r="G2992" s="15"/>
      <c r="H2992" s="16" t="str">
        <f aca="false">IF(OR($K2992="",$L2992=""),"",ROUND(MAX(0,($L2992-$K2992)-IF($G2992="",0,$G2992))/60,2))</f>
        <v/>
      </c>
      <c r="I2992" s="8"/>
      <c r="J2992" s="8"/>
      <c r="K2992" s="17" t="str">
        <f aca="false">IF($E2992="","",IF($E2992&lt;1,ROUND($E2992*1440,0),INT($E2992/100)*60+MOD($E2992,100)))</f>
        <v/>
      </c>
      <c r="L2992" s="17" t="str">
        <f aca="false">IF($F2992="","",IF($F2992&lt;1,ROUND($F2992*1440,0),INT($F2992/100)*60+MOD($F2992,100)))</f>
        <v/>
      </c>
    </row>
    <row r="2993" customFormat="false" ht="15" hidden="false" customHeight="true" outlineLevel="0" collapsed="false">
      <c r="A2993" s="10"/>
      <c r="B2993" s="8"/>
      <c r="C2993" s="13" t="str">
        <f aca="false">IF($B2993="","",IFERROR(INDEX(직원목록!$B$3:$B$302,MATCH($B2993,직원목록!$A$3:$A$302,0)),"미등록사번"))</f>
        <v/>
      </c>
      <c r="D2993" s="13" t="str">
        <f aca="false">IF($B2993="","",IFERROR(INDEX(직원목록!$C$3:$C$302,MATCH($B2993,직원목록!$A$3:$A$302,0)),""))</f>
        <v/>
      </c>
      <c r="E2993" s="14"/>
      <c r="F2993" s="14"/>
      <c r="G2993" s="15"/>
      <c r="H2993" s="16" t="str">
        <f aca="false">IF(OR($K2993="",$L2993=""),"",ROUND(MAX(0,($L2993-$K2993)-IF($G2993="",0,$G2993))/60,2))</f>
        <v/>
      </c>
      <c r="I2993" s="8"/>
      <c r="J2993" s="8"/>
      <c r="K2993" s="17" t="str">
        <f aca="false">IF($E2993="","",IF($E2993&lt;1,ROUND($E2993*1440,0),INT($E2993/100)*60+MOD($E2993,100)))</f>
        <v/>
      </c>
      <c r="L2993" s="17" t="str">
        <f aca="false">IF($F2993="","",IF($F2993&lt;1,ROUND($F2993*1440,0),INT($F2993/100)*60+MOD($F2993,100)))</f>
        <v/>
      </c>
    </row>
    <row r="2994" customFormat="false" ht="15" hidden="false" customHeight="true" outlineLevel="0" collapsed="false">
      <c r="A2994" s="10"/>
      <c r="B2994" s="8"/>
      <c r="C2994" s="13" t="str">
        <f aca="false">IF($B2994="","",IFERROR(INDEX(직원목록!$B$3:$B$302,MATCH($B2994,직원목록!$A$3:$A$302,0)),"미등록사번"))</f>
        <v/>
      </c>
      <c r="D2994" s="13" t="str">
        <f aca="false">IF($B2994="","",IFERROR(INDEX(직원목록!$C$3:$C$302,MATCH($B2994,직원목록!$A$3:$A$302,0)),""))</f>
        <v/>
      </c>
      <c r="E2994" s="14"/>
      <c r="F2994" s="14"/>
      <c r="G2994" s="15"/>
      <c r="H2994" s="16" t="str">
        <f aca="false">IF(OR($K2994="",$L2994=""),"",ROUND(MAX(0,($L2994-$K2994)-IF($G2994="",0,$G2994))/60,2))</f>
        <v/>
      </c>
      <c r="I2994" s="8"/>
      <c r="J2994" s="8"/>
      <c r="K2994" s="17" t="str">
        <f aca="false">IF($E2994="","",IF($E2994&lt;1,ROUND($E2994*1440,0),INT($E2994/100)*60+MOD($E2994,100)))</f>
        <v/>
      </c>
      <c r="L2994" s="17" t="str">
        <f aca="false">IF($F2994="","",IF($F2994&lt;1,ROUND($F2994*1440,0),INT($F2994/100)*60+MOD($F2994,100)))</f>
        <v/>
      </c>
    </row>
    <row r="2995" customFormat="false" ht="15" hidden="false" customHeight="true" outlineLevel="0" collapsed="false">
      <c r="A2995" s="10"/>
      <c r="B2995" s="8"/>
      <c r="C2995" s="13" t="str">
        <f aca="false">IF($B2995="","",IFERROR(INDEX(직원목록!$B$3:$B$302,MATCH($B2995,직원목록!$A$3:$A$302,0)),"미등록사번"))</f>
        <v/>
      </c>
      <c r="D2995" s="13" t="str">
        <f aca="false">IF($B2995="","",IFERROR(INDEX(직원목록!$C$3:$C$302,MATCH($B2995,직원목록!$A$3:$A$302,0)),""))</f>
        <v/>
      </c>
      <c r="E2995" s="14"/>
      <c r="F2995" s="14"/>
      <c r="G2995" s="15"/>
      <c r="H2995" s="16" t="str">
        <f aca="false">IF(OR($K2995="",$L2995=""),"",ROUND(MAX(0,($L2995-$K2995)-IF($G2995="",0,$G2995))/60,2))</f>
        <v/>
      </c>
      <c r="I2995" s="8"/>
      <c r="J2995" s="8"/>
      <c r="K2995" s="17" t="str">
        <f aca="false">IF($E2995="","",IF($E2995&lt;1,ROUND($E2995*1440,0),INT($E2995/100)*60+MOD($E2995,100)))</f>
        <v/>
      </c>
      <c r="L2995" s="17" t="str">
        <f aca="false">IF($F2995="","",IF($F2995&lt;1,ROUND($F2995*1440,0),INT($F2995/100)*60+MOD($F2995,100)))</f>
        <v/>
      </c>
    </row>
    <row r="2996" customFormat="false" ht="15" hidden="false" customHeight="true" outlineLevel="0" collapsed="false">
      <c r="A2996" s="10"/>
      <c r="B2996" s="8"/>
      <c r="C2996" s="13" t="str">
        <f aca="false">IF($B2996="","",IFERROR(INDEX(직원목록!$B$3:$B$302,MATCH($B2996,직원목록!$A$3:$A$302,0)),"미등록사번"))</f>
        <v/>
      </c>
      <c r="D2996" s="13" t="str">
        <f aca="false">IF($B2996="","",IFERROR(INDEX(직원목록!$C$3:$C$302,MATCH($B2996,직원목록!$A$3:$A$302,0)),""))</f>
        <v/>
      </c>
      <c r="E2996" s="14"/>
      <c r="F2996" s="14"/>
      <c r="G2996" s="15"/>
      <c r="H2996" s="16" t="str">
        <f aca="false">IF(OR($K2996="",$L2996=""),"",ROUND(MAX(0,($L2996-$K2996)-IF($G2996="",0,$G2996))/60,2))</f>
        <v/>
      </c>
      <c r="I2996" s="8"/>
      <c r="J2996" s="8"/>
      <c r="K2996" s="17" t="str">
        <f aca="false">IF($E2996="","",IF($E2996&lt;1,ROUND($E2996*1440,0),INT($E2996/100)*60+MOD($E2996,100)))</f>
        <v/>
      </c>
      <c r="L2996" s="17" t="str">
        <f aca="false">IF($F2996="","",IF($F2996&lt;1,ROUND($F2996*1440,0),INT($F2996/100)*60+MOD($F2996,100)))</f>
        <v/>
      </c>
    </row>
    <row r="2997" customFormat="false" ht="15" hidden="false" customHeight="true" outlineLevel="0" collapsed="false">
      <c r="A2997" s="10"/>
      <c r="B2997" s="8"/>
      <c r="C2997" s="13" t="str">
        <f aca="false">IF($B2997="","",IFERROR(INDEX(직원목록!$B$3:$B$302,MATCH($B2997,직원목록!$A$3:$A$302,0)),"미등록사번"))</f>
        <v/>
      </c>
      <c r="D2997" s="13" t="str">
        <f aca="false">IF($B2997="","",IFERROR(INDEX(직원목록!$C$3:$C$302,MATCH($B2997,직원목록!$A$3:$A$302,0)),""))</f>
        <v/>
      </c>
      <c r="E2997" s="14"/>
      <c r="F2997" s="14"/>
      <c r="G2997" s="15"/>
      <c r="H2997" s="16" t="str">
        <f aca="false">IF(OR($K2997="",$L2997=""),"",ROUND(MAX(0,($L2997-$K2997)-IF($G2997="",0,$G2997))/60,2))</f>
        <v/>
      </c>
      <c r="I2997" s="8"/>
      <c r="J2997" s="8"/>
      <c r="K2997" s="17" t="str">
        <f aca="false">IF($E2997="","",IF($E2997&lt;1,ROUND($E2997*1440,0),INT($E2997/100)*60+MOD($E2997,100)))</f>
        <v/>
      </c>
      <c r="L2997" s="17" t="str">
        <f aca="false">IF($F2997="","",IF($F2997&lt;1,ROUND($F2997*1440,0),INT($F2997/100)*60+MOD($F2997,100)))</f>
        <v/>
      </c>
    </row>
    <row r="2998" customFormat="false" ht="15" hidden="false" customHeight="true" outlineLevel="0" collapsed="false">
      <c r="A2998" s="10"/>
      <c r="B2998" s="8"/>
      <c r="C2998" s="13" t="str">
        <f aca="false">IF($B2998="","",IFERROR(INDEX(직원목록!$B$3:$B$302,MATCH($B2998,직원목록!$A$3:$A$302,0)),"미등록사번"))</f>
        <v/>
      </c>
      <c r="D2998" s="13" t="str">
        <f aca="false">IF($B2998="","",IFERROR(INDEX(직원목록!$C$3:$C$302,MATCH($B2998,직원목록!$A$3:$A$302,0)),""))</f>
        <v/>
      </c>
      <c r="E2998" s="14"/>
      <c r="F2998" s="14"/>
      <c r="G2998" s="15"/>
      <c r="H2998" s="16" t="str">
        <f aca="false">IF(OR($K2998="",$L2998=""),"",ROUND(MAX(0,($L2998-$K2998)-IF($G2998="",0,$G2998))/60,2))</f>
        <v/>
      </c>
      <c r="I2998" s="8"/>
      <c r="J2998" s="8"/>
      <c r="K2998" s="17" t="str">
        <f aca="false">IF($E2998="","",IF($E2998&lt;1,ROUND($E2998*1440,0),INT($E2998/100)*60+MOD($E2998,100)))</f>
        <v/>
      </c>
      <c r="L2998" s="17" t="str">
        <f aca="false">IF($F2998="","",IF($F2998&lt;1,ROUND($F2998*1440,0),INT($F2998/100)*60+MOD($F2998,100)))</f>
        <v/>
      </c>
    </row>
    <row r="2999" customFormat="false" ht="15" hidden="false" customHeight="true" outlineLevel="0" collapsed="false">
      <c r="A2999" s="10"/>
      <c r="B2999" s="8"/>
      <c r="C2999" s="13" t="str">
        <f aca="false">IF($B2999="","",IFERROR(INDEX(직원목록!$B$3:$B$302,MATCH($B2999,직원목록!$A$3:$A$302,0)),"미등록사번"))</f>
        <v/>
      </c>
      <c r="D2999" s="13" t="str">
        <f aca="false">IF($B2999="","",IFERROR(INDEX(직원목록!$C$3:$C$302,MATCH($B2999,직원목록!$A$3:$A$302,0)),""))</f>
        <v/>
      </c>
      <c r="E2999" s="14"/>
      <c r="F2999" s="14"/>
      <c r="G2999" s="15"/>
      <c r="H2999" s="16" t="str">
        <f aca="false">IF(OR($K2999="",$L2999=""),"",ROUND(MAX(0,($L2999-$K2999)-IF($G2999="",0,$G2999))/60,2))</f>
        <v/>
      </c>
      <c r="I2999" s="8"/>
      <c r="J2999" s="8"/>
      <c r="K2999" s="17" t="str">
        <f aca="false">IF($E2999="","",IF($E2999&lt;1,ROUND($E2999*1440,0),INT($E2999/100)*60+MOD($E2999,100)))</f>
        <v/>
      </c>
      <c r="L2999" s="17" t="str">
        <f aca="false">IF($F2999="","",IF($F2999&lt;1,ROUND($F2999*1440,0),INT($F2999/100)*60+MOD($F2999,100)))</f>
        <v/>
      </c>
    </row>
    <row r="3000" customFormat="false" ht="15" hidden="false" customHeight="true" outlineLevel="0" collapsed="false">
      <c r="A3000" s="10"/>
      <c r="B3000" s="8"/>
      <c r="C3000" s="13" t="str">
        <f aca="false">IF($B3000="","",IFERROR(INDEX(직원목록!$B$3:$B$302,MATCH($B3000,직원목록!$A$3:$A$302,0)),"미등록사번"))</f>
        <v/>
      </c>
      <c r="D3000" s="13" t="str">
        <f aca="false">IF($B3000="","",IFERROR(INDEX(직원목록!$C$3:$C$302,MATCH($B3000,직원목록!$A$3:$A$302,0)),""))</f>
        <v/>
      </c>
      <c r="E3000" s="14"/>
      <c r="F3000" s="14"/>
      <c r="G3000" s="15"/>
      <c r="H3000" s="16" t="str">
        <f aca="false">IF(OR($K3000="",$L3000=""),"",ROUND(MAX(0,($L3000-$K3000)-IF($G3000="",0,$G3000))/60,2))</f>
        <v/>
      </c>
      <c r="I3000" s="8"/>
      <c r="J3000" s="8"/>
      <c r="K3000" s="17" t="str">
        <f aca="false">IF($E3000="","",IF($E3000&lt;1,ROUND($E3000*1440,0),INT($E3000/100)*60+MOD($E3000,100)))</f>
        <v/>
      </c>
      <c r="L3000" s="17" t="str">
        <f aca="false">IF($F3000="","",IF($F3000&lt;1,ROUND($F3000*1440,0),INT($F3000/100)*60+MOD($F3000,100)))</f>
        <v/>
      </c>
    </row>
    <row r="3001" customFormat="false" ht="15" hidden="false" customHeight="true" outlineLevel="0" collapsed="false">
      <c r="A3001" s="10"/>
      <c r="B3001" s="8"/>
      <c r="C3001" s="13" t="str">
        <f aca="false">IF($B3001="","",IFERROR(INDEX(직원목록!$B$3:$B$302,MATCH($B3001,직원목록!$A$3:$A$302,0)),"미등록사번"))</f>
        <v/>
      </c>
      <c r="D3001" s="13" t="str">
        <f aca="false">IF($B3001="","",IFERROR(INDEX(직원목록!$C$3:$C$302,MATCH($B3001,직원목록!$A$3:$A$302,0)),""))</f>
        <v/>
      </c>
      <c r="E3001" s="14"/>
      <c r="F3001" s="14"/>
      <c r="G3001" s="15"/>
      <c r="H3001" s="16" t="str">
        <f aca="false">IF(OR($K3001="",$L3001=""),"",ROUND(MAX(0,($L3001-$K3001)-IF($G3001="",0,$G3001))/60,2))</f>
        <v/>
      </c>
      <c r="I3001" s="8"/>
      <c r="J3001" s="8"/>
      <c r="K3001" s="17" t="str">
        <f aca="false">IF($E3001="","",IF($E3001&lt;1,ROUND($E3001*1440,0),INT($E3001/100)*60+MOD($E3001,100)))</f>
        <v/>
      </c>
      <c r="L3001" s="17" t="str">
        <f aca="false">IF($F3001="","",IF($F3001&lt;1,ROUND($F3001*1440,0),INT($F3001/100)*60+MOD($F3001,100)))</f>
        <v/>
      </c>
    </row>
    <row r="3002" customFormat="false" ht="15" hidden="false" customHeight="true" outlineLevel="0" collapsed="false">
      <c r="A3002" s="10"/>
      <c r="B3002" s="8"/>
      <c r="C3002" s="13" t="str">
        <f aca="false">IF($B3002="","",IFERROR(INDEX(직원목록!$B$3:$B$302,MATCH($B3002,직원목록!$A$3:$A$302,0)),"미등록사번"))</f>
        <v/>
      </c>
      <c r="D3002" s="13" t="str">
        <f aca="false">IF($B3002="","",IFERROR(INDEX(직원목록!$C$3:$C$302,MATCH($B3002,직원목록!$A$3:$A$302,0)),""))</f>
        <v/>
      </c>
      <c r="E3002" s="14"/>
      <c r="F3002" s="14"/>
      <c r="G3002" s="15"/>
      <c r="H3002" s="16" t="str">
        <f aca="false">IF(OR($K3002="",$L3002=""),"",ROUND(MAX(0,($L3002-$K3002)-IF($G3002="",0,$G3002))/60,2))</f>
        <v/>
      </c>
      <c r="I3002" s="8"/>
      <c r="J3002" s="8"/>
      <c r="K3002" s="17" t="str">
        <f aca="false">IF($E3002="","",IF($E3002&lt;1,ROUND($E3002*1440,0),INT($E3002/100)*60+MOD($E3002,100)))</f>
        <v/>
      </c>
      <c r="L3002" s="17" t="str">
        <f aca="false">IF($F3002="","",IF($F3002&lt;1,ROUND($F3002*1440,0),INT($F3002/100)*60+MOD($F3002,100)))</f>
        <v/>
      </c>
    </row>
    <row r="3004" customFormat="false" ht="15" hidden="false" customHeight="true" outlineLevel="0" collapsed="false">
      <c r="A3004" s="6" t="s">
        <v>55</v>
      </c>
    </row>
  </sheetData>
  <mergeCells count="1">
    <mergeCell ref="A1:L1"/>
  </mergeCells>
  <conditionalFormatting sqref="A3:L3002">
    <cfRule type="expression" priority="2" aboveAverage="0" equalAverage="0" bottom="0" percent="0" rank="0" text="" dxfId="0">
      <formula>OR($I3="결근",$I3="연차")</formula>
    </cfRule>
    <cfRule type="expression" priority="3" aboveAverage="0" equalAverage="0" bottom="0" percent="0" rank="0" text="" dxfId="1">
      <formula>$I3="휴일"</formula>
    </cfRule>
  </conditionalFormatting>
  <dataValidations count="3">
    <dataValidation allowBlank="true" errorStyle="stop" operator="between" showDropDown="false" showErrorMessage="false" showInputMessage="false" sqref="B3:B3002" type="list">
      <formula1>직원목록!$A$3:$A$302</formula1>
      <formula2>0</formula2>
    </dataValidation>
    <dataValidation allowBlank="true" errorStyle="stop" operator="between" showDropDown="false" showErrorMessage="false" showInputMessage="false" sqref="I3:I3002" type="list">
      <formula1>"평일,휴일,연차,반차,결근"</formula1>
      <formula2>0</formula2>
    </dataValidation>
    <dataValidation allowBlank="true" error="콜론(:) 없이 숫자 네 자리로 입력하세요.&#10;오전 9시 → 900&#10;오후 6시 30분 → 1830" errorStyle="stop" errorTitle="시각 입력 형식" operator="between" prompt="예) 1830 = 18시 30분" promptTitle="시각 입력" showDropDown="false" showErrorMessage="true" showInputMessage="true" sqref="E3:F3002" type="whole">
      <formula1>0</formula1>
      <formula2>2359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1" min="10" style="1" width="10"/>
  </cols>
  <sheetData>
    <row r="1" customFormat="false" ht="25.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true" outlineLevel="0" collapsed="false">
      <c r="A3" s="3" t="s">
        <v>57</v>
      </c>
      <c r="B3" s="18" t="n">
        <v>2026</v>
      </c>
      <c r="C3" s="3" t="s">
        <v>58</v>
      </c>
      <c r="D3" s="18" t="n">
        <v>9</v>
      </c>
      <c r="E3" s="6" t="s">
        <v>59</v>
      </c>
    </row>
    <row r="5" customFormat="false" ht="15" hidden="false" customHeight="true" outlineLevel="0" collapsed="false">
      <c r="A5" s="7" t="s">
        <v>24</v>
      </c>
      <c r="B5" s="7" t="s">
        <v>25</v>
      </c>
      <c r="C5" s="7" t="s">
        <v>26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  <c r="I5" s="7" t="s">
        <v>65</v>
      </c>
      <c r="J5" s="7" t="s">
        <v>66</v>
      </c>
      <c r="K5" s="7" t="s">
        <v>67</v>
      </c>
    </row>
    <row r="6" customFormat="false" ht="15" hidden="false" customHeight="true" outlineLevel="0" collapsed="false">
      <c r="A6" s="13" t="str">
        <f aca="false">IF(직원목록!$A3="","",직원목록!$A3)</f>
        <v>E001</v>
      </c>
      <c r="B6" s="13" t="str">
        <f aca="false">IF($A6="","",직원목록!$B3)</f>
        <v>김직원</v>
      </c>
      <c r="C6" s="13" t="str">
        <f aca="false">IF($A6="","",직원목록!$C3)</f>
        <v>생산1팀</v>
      </c>
      <c r="D6" s="19" t="n">
        <f aca="false">IF($A6="","",COUNTIFS(출퇴근기록!$B$3:$B$3002,$A6,출퇴근기록!$H$3:$H$3002,"&gt;0",출퇴근기록!$A$3:$A$3002,"&gt;="&amp;DATE($B$3,$D$3,1),출퇴근기록!$A$3:$A$3002,"&lt;="&amp;EOMONTH(DATE($B$3,$D$3,1),0)))</f>
        <v>9</v>
      </c>
      <c r="E6" s="16" t="n">
        <f aca="false">IF($A6="","",ROUND(SUMIFS(출퇴근기록!$H$3:$H$3002,출퇴근기록!$B$3:$B$3002,$A6,출퇴근기록!$I$3:$I$3002,"평일",출퇴근기록!$A$3:$A$3002,"&gt;="&amp;DATE($B$3,$D$3,1),출퇴근기록!$A$3:$A$3002,"&lt;="&amp;EOMONTH(DATE($B$3,$D$3,1),0)),2))</f>
        <v>76.5</v>
      </c>
      <c r="F6" s="16" t="n">
        <f aca="false">IF($A6="","",ROUND(SUMIFS(출퇴근기록!$H$3:$H$3002,출퇴근기록!$B$3:$B$3002,$A6,출퇴근기록!$I$3:$I$3002,"휴일",출퇴근기록!$A$3:$A$3002,"&gt;="&amp;DATE($B$3,$D$3,1),출퇴근기록!$A$3:$A$3002,"&lt;="&amp;EOMONTH(DATE($B$3,$D$3,1),0)),2))</f>
        <v>0</v>
      </c>
      <c r="G6" s="16" t="n">
        <f aca="false">IF($A6="","",ROUND(SUMIFS(출퇴근기록!$H$3:$H$3002,출퇴근기록!$B$3:$B$3002,$A6,출퇴근기록!$A$3:$A$3002,"&gt;="&amp;DATE($B$3,$D$3,1),출퇴근기록!$A$3:$A$3002,"&lt;="&amp;EOMONTH(DATE($B$3,$D$3,1),0)),2))</f>
        <v>76.5</v>
      </c>
      <c r="H6" s="16" t="n">
        <f aca="false">IF($A6="","",ROUND($D6*IF(직원목록!$F3="",8,직원목록!$F3),2))</f>
        <v>72</v>
      </c>
      <c r="I6" s="16" t="n">
        <f aca="false">IF($A6="","",ROUND($G6-$H6,2))</f>
        <v>4.5</v>
      </c>
      <c r="J6" s="19" t="n">
        <f aca="false">IF($A6="","",COUNTIFS(출퇴근기록!$B$3:$B$3002,$A6,출퇴근기록!$I$3:$I$3002,"연차",출퇴근기록!$A$3:$A$3002,"&gt;="&amp;DATE($B$3,$D$3,1),출퇴근기록!$A$3:$A$3002,"&lt;="&amp;EOMONTH(DATE($B$3,$D$3,1),0)))</f>
        <v>0</v>
      </c>
      <c r="K6" s="19" t="n">
        <f aca="false">IF($A6="","",COUNTIFS(출퇴근기록!$B$3:$B$3002,$A6,출퇴근기록!$I$3:$I$3002,"결근",출퇴근기록!$A$3:$A$3002,"&gt;="&amp;DATE($B$3,$D$3,1),출퇴근기록!$A$3:$A$3002,"&lt;="&amp;EOMONTH(DATE($B$3,$D$3,1),0)))</f>
        <v>0</v>
      </c>
    </row>
    <row r="7" customFormat="false" ht="15" hidden="false" customHeight="true" outlineLevel="0" collapsed="false">
      <c r="A7" s="13" t="str">
        <f aca="false">IF(직원목록!$A4="","",직원목록!$A4)</f>
        <v>E002</v>
      </c>
      <c r="B7" s="13" t="str">
        <f aca="false">IF($A7="","",직원목록!$B4)</f>
        <v>이직원</v>
      </c>
      <c r="C7" s="13" t="str">
        <f aca="false">IF($A7="","",직원목록!$C4)</f>
        <v>생산1팀</v>
      </c>
      <c r="D7" s="19" t="n">
        <f aca="false">IF($A7="","",COUNTIFS(출퇴근기록!$B$3:$B$3002,$A7,출퇴근기록!$H$3:$H$3002,"&gt;0",출퇴근기록!$A$3:$A$3002,"&gt;="&amp;DATE($B$3,$D$3,1),출퇴근기록!$A$3:$A$3002,"&lt;="&amp;EOMONTH(DATE($B$3,$D$3,1),0)))</f>
        <v>3</v>
      </c>
      <c r="E7" s="16" t="n">
        <f aca="false">IF($A7="","",ROUND(SUMIFS(출퇴근기록!$H$3:$H$3002,출퇴근기록!$B$3:$B$3002,$A7,출퇴근기록!$I$3:$I$3002,"평일",출퇴근기록!$A$3:$A$3002,"&gt;="&amp;DATE($B$3,$D$3,1),출퇴근기록!$A$3:$A$3002,"&lt;="&amp;EOMONTH(DATE($B$3,$D$3,1),0)),2))</f>
        <v>16</v>
      </c>
      <c r="F7" s="16" t="n">
        <f aca="false">IF($A7="","",ROUND(SUMIFS(출퇴근기록!$H$3:$H$3002,출퇴근기록!$B$3:$B$3002,$A7,출퇴근기록!$I$3:$I$3002,"휴일",출퇴근기록!$A$3:$A$3002,"&gt;="&amp;DATE($B$3,$D$3,1),출퇴근기록!$A$3:$A$3002,"&lt;="&amp;EOMONTH(DATE($B$3,$D$3,1),0)),2))</f>
        <v>6</v>
      </c>
      <c r="G7" s="16" t="n">
        <f aca="false">IF($A7="","",ROUND(SUMIFS(출퇴근기록!$H$3:$H$3002,출퇴근기록!$B$3:$B$3002,$A7,출퇴근기록!$A$3:$A$3002,"&gt;="&amp;DATE($B$3,$D$3,1),출퇴근기록!$A$3:$A$3002,"&lt;="&amp;EOMONTH(DATE($B$3,$D$3,1),0)),2))</f>
        <v>22</v>
      </c>
      <c r="H7" s="16" t="n">
        <f aca="false">IF($A7="","",ROUND($D7*IF(직원목록!$F4="",8,직원목록!$F4),2))</f>
        <v>24</v>
      </c>
      <c r="I7" s="16" t="n">
        <f aca="false">IF($A7="","",ROUND($G7-$H7,2))</f>
        <v>-2</v>
      </c>
      <c r="J7" s="19" t="n">
        <f aca="false">IF($A7="","",COUNTIFS(출퇴근기록!$B$3:$B$3002,$A7,출퇴근기록!$I$3:$I$3002,"연차",출퇴근기록!$A$3:$A$3002,"&gt;="&amp;DATE($B$3,$D$3,1),출퇴근기록!$A$3:$A$3002,"&lt;="&amp;EOMONTH(DATE($B$3,$D$3,1),0)))</f>
        <v>1</v>
      </c>
      <c r="K7" s="19" t="n">
        <f aca="false">IF($A7="","",COUNTIFS(출퇴근기록!$B$3:$B$3002,$A7,출퇴근기록!$I$3:$I$3002,"결근",출퇴근기록!$A$3:$A$3002,"&gt;="&amp;DATE($B$3,$D$3,1),출퇴근기록!$A$3:$A$3002,"&lt;="&amp;EOMONTH(DATE($B$3,$D$3,1),0)))</f>
        <v>0</v>
      </c>
    </row>
    <row r="8" customFormat="false" ht="15" hidden="false" customHeight="true" outlineLevel="0" collapsed="false">
      <c r="A8" s="13" t="str">
        <f aca="false">IF(직원목록!$A5="","",직원목록!$A5)</f>
        <v>E003</v>
      </c>
      <c r="B8" s="13" t="str">
        <f aca="false">IF($A8="","",직원목록!$B5)</f>
        <v>박직원</v>
      </c>
      <c r="C8" s="13" t="str">
        <f aca="false">IF($A8="","",직원목록!$C5)</f>
        <v>관리팀</v>
      </c>
      <c r="D8" s="19" t="n">
        <f aca="false">IF($A8="","",COUNTIFS(출퇴근기록!$B$3:$B$3002,$A8,출퇴근기록!$H$3:$H$3002,"&gt;0",출퇴근기록!$A$3:$A$3002,"&gt;="&amp;DATE($B$3,$D$3,1),출퇴근기록!$A$3:$A$3002,"&lt;="&amp;EOMONTH(DATE($B$3,$D$3,1),0)))</f>
        <v>2</v>
      </c>
      <c r="E8" s="16" t="n">
        <f aca="false">IF($A8="","",ROUND(SUMIFS(출퇴근기록!$H$3:$H$3002,출퇴근기록!$B$3:$B$3002,$A8,출퇴근기록!$I$3:$I$3002,"평일",출퇴근기록!$A$3:$A$3002,"&gt;="&amp;DATE($B$3,$D$3,1),출퇴근기록!$A$3:$A$3002,"&lt;="&amp;EOMONTH(DATE($B$3,$D$3,1),0)),2))</f>
        <v>16.67</v>
      </c>
      <c r="F8" s="16" t="n">
        <f aca="false">IF($A8="","",ROUND(SUMIFS(출퇴근기록!$H$3:$H$3002,출퇴근기록!$B$3:$B$3002,$A8,출퇴근기록!$I$3:$I$3002,"휴일",출퇴근기록!$A$3:$A$3002,"&gt;="&amp;DATE($B$3,$D$3,1),출퇴근기록!$A$3:$A$3002,"&lt;="&amp;EOMONTH(DATE($B$3,$D$3,1),0)),2))</f>
        <v>0</v>
      </c>
      <c r="G8" s="16" t="n">
        <f aca="false">IF($A8="","",ROUND(SUMIFS(출퇴근기록!$H$3:$H$3002,출퇴근기록!$B$3:$B$3002,$A8,출퇴근기록!$A$3:$A$3002,"&gt;="&amp;DATE($B$3,$D$3,1),출퇴근기록!$A$3:$A$3002,"&lt;="&amp;EOMONTH(DATE($B$3,$D$3,1),0)),2))</f>
        <v>16.67</v>
      </c>
      <c r="H8" s="16" t="n">
        <f aca="false">IF($A8="","",ROUND($D8*IF(직원목록!$F5="",8,직원목록!$F5),2))</f>
        <v>16</v>
      </c>
      <c r="I8" s="16" t="n">
        <f aca="false">IF($A8="","",ROUND($G8-$H8,2))</f>
        <v>0.67</v>
      </c>
      <c r="J8" s="19" t="n">
        <f aca="false">IF($A8="","",COUNTIFS(출퇴근기록!$B$3:$B$3002,$A8,출퇴근기록!$I$3:$I$3002,"연차",출퇴근기록!$A$3:$A$3002,"&gt;="&amp;DATE($B$3,$D$3,1),출퇴근기록!$A$3:$A$3002,"&lt;="&amp;EOMONTH(DATE($B$3,$D$3,1),0)))</f>
        <v>0</v>
      </c>
      <c r="K8" s="19" t="n">
        <f aca="false">IF($A8="","",COUNTIFS(출퇴근기록!$B$3:$B$3002,$A8,출퇴근기록!$I$3:$I$3002,"결근",출퇴근기록!$A$3:$A$3002,"&gt;="&amp;DATE($B$3,$D$3,1),출퇴근기록!$A$3:$A$3002,"&lt;="&amp;EOMONTH(DATE($B$3,$D$3,1),0)))</f>
        <v>0</v>
      </c>
    </row>
    <row r="9" customFormat="false" ht="15" hidden="false" customHeight="true" outlineLevel="0" collapsed="false">
      <c r="A9" s="13" t="str">
        <f aca="false">IF(직원목록!$A6="","",직원목록!$A6)</f>
        <v/>
      </c>
      <c r="B9" s="13" t="str">
        <f aca="false">IF($A9="","",직원목록!$B6)</f>
        <v/>
      </c>
      <c r="C9" s="13" t="str">
        <f aca="false">IF($A9="","",직원목록!$C6)</f>
        <v/>
      </c>
      <c r="D9" s="19" t="str">
        <f aca="false">IF($A9="","",COUNTIFS(출퇴근기록!$B$3:$B$3002,$A9,출퇴근기록!$H$3:$H$3002,"&gt;0",출퇴근기록!$A$3:$A$3002,"&gt;="&amp;DATE($B$3,$D$3,1),출퇴근기록!$A$3:$A$3002,"&lt;="&amp;EOMONTH(DATE($B$3,$D$3,1),0)))</f>
        <v/>
      </c>
      <c r="E9" s="16" t="str">
        <f aca="false">IF($A9="","",ROUND(SUMIFS(출퇴근기록!$H$3:$H$3002,출퇴근기록!$B$3:$B$3002,$A9,출퇴근기록!$I$3:$I$3002,"평일",출퇴근기록!$A$3:$A$3002,"&gt;="&amp;DATE($B$3,$D$3,1),출퇴근기록!$A$3:$A$3002,"&lt;="&amp;EOMONTH(DATE($B$3,$D$3,1),0)),2))</f>
        <v/>
      </c>
      <c r="F9" s="16" t="str">
        <f aca="false">IF($A9="","",ROUND(SUMIFS(출퇴근기록!$H$3:$H$3002,출퇴근기록!$B$3:$B$3002,$A9,출퇴근기록!$I$3:$I$3002,"휴일",출퇴근기록!$A$3:$A$3002,"&gt;="&amp;DATE($B$3,$D$3,1),출퇴근기록!$A$3:$A$3002,"&lt;="&amp;EOMONTH(DATE($B$3,$D$3,1),0)),2))</f>
        <v/>
      </c>
      <c r="G9" s="16" t="str">
        <f aca="false">IF($A9="","",ROUND(SUMIFS(출퇴근기록!$H$3:$H$3002,출퇴근기록!$B$3:$B$3002,$A9,출퇴근기록!$A$3:$A$3002,"&gt;="&amp;DATE($B$3,$D$3,1),출퇴근기록!$A$3:$A$3002,"&lt;="&amp;EOMONTH(DATE($B$3,$D$3,1),0)),2))</f>
        <v/>
      </c>
      <c r="H9" s="16" t="str">
        <f aca="false">IF($A9="","",ROUND($D9*IF(직원목록!$F6="",8,직원목록!$F6),2))</f>
        <v/>
      </c>
      <c r="I9" s="16" t="str">
        <f aca="false">IF($A9="","",ROUND($G9-$H9,2))</f>
        <v/>
      </c>
      <c r="J9" s="19" t="str">
        <f aca="false">IF($A9="","",COUNTIFS(출퇴근기록!$B$3:$B$3002,$A9,출퇴근기록!$I$3:$I$3002,"연차",출퇴근기록!$A$3:$A$3002,"&gt;="&amp;DATE($B$3,$D$3,1),출퇴근기록!$A$3:$A$3002,"&lt;="&amp;EOMONTH(DATE($B$3,$D$3,1),0)))</f>
        <v/>
      </c>
      <c r="K9" s="19" t="str">
        <f aca="false">IF($A9="","",COUNTIFS(출퇴근기록!$B$3:$B$3002,$A9,출퇴근기록!$I$3:$I$3002,"결근",출퇴근기록!$A$3:$A$3002,"&gt;="&amp;DATE($B$3,$D$3,1),출퇴근기록!$A$3:$A$3002,"&lt;="&amp;EOMONTH(DATE($B$3,$D$3,1),0)))</f>
        <v/>
      </c>
    </row>
    <row r="10" customFormat="false" ht="15" hidden="false" customHeight="true" outlineLevel="0" collapsed="false">
      <c r="A10" s="13" t="str">
        <f aca="false">IF(직원목록!$A7="","",직원목록!$A7)</f>
        <v/>
      </c>
      <c r="B10" s="13" t="str">
        <f aca="false">IF($A10="","",직원목록!$B7)</f>
        <v/>
      </c>
      <c r="C10" s="13" t="str">
        <f aca="false">IF($A10="","",직원목록!$C7)</f>
        <v/>
      </c>
      <c r="D10" s="19" t="str">
        <f aca="false">IF($A10="","",COUNTIFS(출퇴근기록!$B$3:$B$3002,$A10,출퇴근기록!$H$3:$H$3002,"&gt;0",출퇴근기록!$A$3:$A$3002,"&gt;="&amp;DATE($B$3,$D$3,1),출퇴근기록!$A$3:$A$3002,"&lt;="&amp;EOMONTH(DATE($B$3,$D$3,1),0)))</f>
        <v/>
      </c>
      <c r="E10" s="16" t="str">
        <f aca="false">IF($A10="","",ROUND(SUMIFS(출퇴근기록!$H$3:$H$3002,출퇴근기록!$B$3:$B$3002,$A10,출퇴근기록!$I$3:$I$3002,"평일",출퇴근기록!$A$3:$A$3002,"&gt;="&amp;DATE($B$3,$D$3,1),출퇴근기록!$A$3:$A$3002,"&lt;="&amp;EOMONTH(DATE($B$3,$D$3,1),0)),2))</f>
        <v/>
      </c>
      <c r="F10" s="16" t="str">
        <f aca="false">IF($A10="","",ROUND(SUMIFS(출퇴근기록!$H$3:$H$3002,출퇴근기록!$B$3:$B$3002,$A10,출퇴근기록!$I$3:$I$3002,"휴일",출퇴근기록!$A$3:$A$3002,"&gt;="&amp;DATE($B$3,$D$3,1),출퇴근기록!$A$3:$A$3002,"&lt;="&amp;EOMONTH(DATE($B$3,$D$3,1),0)),2))</f>
        <v/>
      </c>
      <c r="G10" s="16" t="str">
        <f aca="false">IF($A10="","",ROUND(SUMIFS(출퇴근기록!$H$3:$H$3002,출퇴근기록!$B$3:$B$3002,$A10,출퇴근기록!$A$3:$A$3002,"&gt;="&amp;DATE($B$3,$D$3,1),출퇴근기록!$A$3:$A$3002,"&lt;="&amp;EOMONTH(DATE($B$3,$D$3,1),0)),2))</f>
        <v/>
      </c>
      <c r="H10" s="16" t="str">
        <f aca="false">IF($A10="","",ROUND($D10*IF(직원목록!$F7="",8,직원목록!$F7),2))</f>
        <v/>
      </c>
      <c r="I10" s="16" t="str">
        <f aca="false">IF($A10="","",ROUND($G10-$H10,2))</f>
        <v/>
      </c>
      <c r="J10" s="19" t="str">
        <f aca="false">IF($A10="","",COUNTIFS(출퇴근기록!$B$3:$B$3002,$A10,출퇴근기록!$I$3:$I$3002,"연차",출퇴근기록!$A$3:$A$3002,"&gt;="&amp;DATE($B$3,$D$3,1),출퇴근기록!$A$3:$A$3002,"&lt;="&amp;EOMONTH(DATE($B$3,$D$3,1),0)))</f>
        <v/>
      </c>
      <c r="K10" s="19" t="str">
        <f aca="false">IF($A10="","",COUNTIFS(출퇴근기록!$B$3:$B$3002,$A10,출퇴근기록!$I$3:$I$3002,"결근",출퇴근기록!$A$3:$A$3002,"&gt;="&amp;DATE($B$3,$D$3,1),출퇴근기록!$A$3:$A$3002,"&lt;="&amp;EOMONTH(DATE($B$3,$D$3,1),0)))</f>
        <v/>
      </c>
    </row>
    <row r="11" customFormat="false" ht="15" hidden="false" customHeight="true" outlineLevel="0" collapsed="false">
      <c r="A11" s="13" t="str">
        <f aca="false">IF(직원목록!$A8="","",직원목록!$A8)</f>
        <v/>
      </c>
      <c r="B11" s="13" t="str">
        <f aca="false">IF($A11="","",직원목록!$B8)</f>
        <v/>
      </c>
      <c r="C11" s="13" t="str">
        <f aca="false">IF($A11="","",직원목록!$C8)</f>
        <v/>
      </c>
      <c r="D11" s="19" t="str">
        <f aca="false">IF($A11="","",COUNTIFS(출퇴근기록!$B$3:$B$3002,$A11,출퇴근기록!$H$3:$H$3002,"&gt;0",출퇴근기록!$A$3:$A$3002,"&gt;="&amp;DATE($B$3,$D$3,1),출퇴근기록!$A$3:$A$3002,"&lt;="&amp;EOMONTH(DATE($B$3,$D$3,1),0)))</f>
        <v/>
      </c>
      <c r="E11" s="16" t="str">
        <f aca="false">IF($A11="","",ROUND(SUMIFS(출퇴근기록!$H$3:$H$3002,출퇴근기록!$B$3:$B$3002,$A11,출퇴근기록!$I$3:$I$3002,"평일",출퇴근기록!$A$3:$A$3002,"&gt;="&amp;DATE($B$3,$D$3,1),출퇴근기록!$A$3:$A$3002,"&lt;="&amp;EOMONTH(DATE($B$3,$D$3,1),0)),2))</f>
        <v/>
      </c>
      <c r="F11" s="16" t="str">
        <f aca="false">IF($A11="","",ROUND(SUMIFS(출퇴근기록!$H$3:$H$3002,출퇴근기록!$B$3:$B$3002,$A11,출퇴근기록!$I$3:$I$3002,"휴일",출퇴근기록!$A$3:$A$3002,"&gt;="&amp;DATE($B$3,$D$3,1),출퇴근기록!$A$3:$A$3002,"&lt;="&amp;EOMONTH(DATE($B$3,$D$3,1),0)),2))</f>
        <v/>
      </c>
      <c r="G11" s="16" t="str">
        <f aca="false">IF($A11="","",ROUND(SUMIFS(출퇴근기록!$H$3:$H$3002,출퇴근기록!$B$3:$B$3002,$A11,출퇴근기록!$A$3:$A$3002,"&gt;="&amp;DATE($B$3,$D$3,1),출퇴근기록!$A$3:$A$3002,"&lt;="&amp;EOMONTH(DATE($B$3,$D$3,1),0)),2))</f>
        <v/>
      </c>
      <c r="H11" s="16" t="str">
        <f aca="false">IF($A11="","",ROUND($D11*IF(직원목록!$F8="",8,직원목록!$F8),2))</f>
        <v/>
      </c>
      <c r="I11" s="16" t="str">
        <f aca="false">IF($A11="","",ROUND($G11-$H11,2))</f>
        <v/>
      </c>
      <c r="J11" s="19" t="str">
        <f aca="false">IF($A11="","",COUNTIFS(출퇴근기록!$B$3:$B$3002,$A11,출퇴근기록!$I$3:$I$3002,"연차",출퇴근기록!$A$3:$A$3002,"&gt;="&amp;DATE($B$3,$D$3,1),출퇴근기록!$A$3:$A$3002,"&lt;="&amp;EOMONTH(DATE($B$3,$D$3,1),0)))</f>
        <v/>
      </c>
      <c r="K11" s="19" t="str">
        <f aca="false">IF($A11="","",COUNTIFS(출퇴근기록!$B$3:$B$3002,$A11,출퇴근기록!$I$3:$I$3002,"결근",출퇴근기록!$A$3:$A$3002,"&gt;="&amp;DATE($B$3,$D$3,1),출퇴근기록!$A$3:$A$3002,"&lt;="&amp;EOMONTH(DATE($B$3,$D$3,1),0)))</f>
        <v/>
      </c>
    </row>
    <row r="12" customFormat="false" ht="15" hidden="false" customHeight="true" outlineLevel="0" collapsed="false">
      <c r="A12" s="13" t="str">
        <f aca="false">IF(직원목록!$A9="","",직원목록!$A9)</f>
        <v/>
      </c>
      <c r="B12" s="13" t="str">
        <f aca="false">IF($A12="","",직원목록!$B9)</f>
        <v/>
      </c>
      <c r="C12" s="13" t="str">
        <f aca="false">IF($A12="","",직원목록!$C9)</f>
        <v/>
      </c>
      <c r="D12" s="19" t="str">
        <f aca="false">IF($A12="","",COUNTIFS(출퇴근기록!$B$3:$B$3002,$A12,출퇴근기록!$H$3:$H$3002,"&gt;0",출퇴근기록!$A$3:$A$3002,"&gt;="&amp;DATE($B$3,$D$3,1),출퇴근기록!$A$3:$A$3002,"&lt;="&amp;EOMONTH(DATE($B$3,$D$3,1),0)))</f>
        <v/>
      </c>
      <c r="E12" s="16" t="str">
        <f aca="false">IF($A12="","",ROUND(SUMIFS(출퇴근기록!$H$3:$H$3002,출퇴근기록!$B$3:$B$3002,$A12,출퇴근기록!$I$3:$I$3002,"평일",출퇴근기록!$A$3:$A$3002,"&gt;="&amp;DATE($B$3,$D$3,1),출퇴근기록!$A$3:$A$3002,"&lt;="&amp;EOMONTH(DATE($B$3,$D$3,1),0)),2))</f>
        <v/>
      </c>
      <c r="F12" s="16" t="str">
        <f aca="false">IF($A12="","",ROUND(SUMIFS(출퇴근기록!$H$3:$H$3002,출퇴근기록!$B$3:$B$3002,$A12,출퇴근기록!$I$3:$I$3002,"휴일",출퇴근기록!$A$3:$A$3002,"&gt;="&amp;DATE($B$3,$D$3,1),출퇴근기록!$A$3:$A$3002,"&lt;="&amp;EOMONTH(DATE($B$3,$D$3,1),0)),2))</f>
        <v/>
      </c>
      <c r="G12" s="16" t="str">
        <f aca="false">IF($A12="","",ROUND(SUMIFS(출퇴근기록!$H$3:$H$3002,출퇴근기록!$B$3:$B$3002,$A12,출퇴근기록!$A$3:$A$3002,"&gt;="&amp;DATE($B$3,$D$3,1),출퇴근기록!$A$3:$A$3002,"&lt;="&amp;EOMONTH(DATE($B$3,$D$3,1),0)),2))</f>
        <v/>
      </c>
      <c r="H12" s="16" t="str">
        <f aca="false">IF($A12="","",ROUND($D12*IF(직원목록!$F9="",8,직원목록!$F9),2))</f>
        <v/>
      </c>
      <c r="I12" s="16" t="str">
        <f aca="false">IF($A12="","",ROUND($G12-$H12,2))</f>
        <v/>
      </c>
      <c r="J12" s="19" t="str">
        <f aca="false">IF($A12="","",COUNTIFS(출퇴근기록!$B$3:$B$3002,$A12,출퇴근기록!$I$3:$I$3002,"연차",출퇴근기록!$A$3:$A$3002,"&gt;="&amp;DATE($B$3,$D$3,1),출퇴근기록!$A$3:$A$3002,"&lt;="&amp;EOMONTH(DATE($B$3,$D$3,1),0)))</f>
        <v/>
      </c>
      <c r="K12" s="19" t="str">
        <f aca="false">IF($A12="","",COUNTIFS(출퇴근기록!$B$3:$B$3002,$A12,출퇴근기록!$I$3:$I$3002,"결근",출퇴근기록!$A$3:$A$3002,"&gt;="&amp;DATE($B$3,$D$3,1),출퇴근기록!$A$3:$A$3002,"&lt;="&amp;EOMONTH(DATE($B$3,$D$3,1),0)))</f>
        <v/>
      </c>
    </row>
    <row r="13" customFormat="false" ht="15" hidden="false" customHeight="true" outlineLevel="0" collapsed="false">
      <c r="A13" s="13" t="str">
        <f aca="false">IF(직원목록!$A10="","",직원목록!$A10)</f>
        <v/>
      </c>
      <c r="B13" s="13" t="str">
        <f aca="false">IF($A13="","",직원목록!$B10)</f>
        <v/>
      </c>
      <c r="C13" s="13" t="str">
        <f aca="false">IF($A13="","",직원목록!$C10)</f>
        <v/>
      </c>
      <c r="D13" s="19" t="str">
        <f aca="false">IF($A13="","",COUNTIFS(출퇴근기록!$B$3:$B$3002,$A13,출퇴근기록!$H$3:$H$3002,"&gt;0",출퇴근기록!$A$3:$A$3002,"&gt;="&amp;DATE($B$3,$D$3,1),출퇴근기록!$A$3:$A$3002,"&lt;="&amp;EOMONTH(DATE($B$3,$D$3,1),0)))</f>
        <v/>
      </c>
      <c r="E13" s="16" t="str">
        <f aca="false">IF($A13="","",ROUND(SUMIFS(출퇴근기록!$H$3:$H$3002,출퇴근기록!$B$3:$B$3002,$A13,출퇴근기록!$I$3:$I$3002,"평일",출퇴근기록!$A$3:$A$3002,"&gt;="&amp;DATE($B$3,$D$3,1),출퇴근기록!$A$3:$A$3002,"&lt;="&amp;EOMONTH(DATE($B$3,$D$3,1),0)),2))</f>
        <v/>
      </c>
      <c r="F13" s="16" t="str">
        <f aca="false">IF($A13="","",ROUND(SUMIFS(출퇴근기록!$H$3:$H$3002,출퇴근기록!$B$3:$B$3002,$A13,출퇴근기록!$I$3:$I$3002,"휴일",출퇴근기록!$A$3:$A$3002,"&gt;="&amp;DATE($B$3,$D$3,1),출퇴근기록!$A$3:$A$3002,"&lt;="&amp;EOMONTH(DATE($B$3,$D$3,1),0)),2))</f>
        <v/>
      </c>
      <c r="G13" s="16" t="str">
        <f aca="false">IF($A13="","",ROUND(SUMIFS(출퇴근기록!$H$3:$H$3002,출퇴근기록!$B$3:$B$3002,$A13,출퇴근기록!$A$3:$A$3002,"&gt;="&amp;DATE($B$3,$D$3,1),출퇴근기록!$A$3:$A$3002,"&lt;="&amp;EOMONTH(DATE($B$3,$D$3,1),0)),2))</f>
        <v/>
      </c>
      <c r="H13" s="16" t="str">
        <f aca="false">IF($A13="","",ROUND($D13*IF(직원목록!$F10="",8,직원목록!$F10),2))</f>
        <v/>
      </c>
      <c r="I13" s="16" t="str">
        <f aca="false">IF($A13="","",ROUND($G13-$H13,2))</f>
        <v/>
      </c>
      <c r="J13" s="19" t="str">
        <f aca="false">IF($A13="","",COUNTIFS(출퇴근기록!$B$3:$B$3002,$A13,출퇴근기록!$I$3:$I$3002,"연차",출퇴근기록!$A$3:$A$3002,"&gt;="&amp;DATE($B$3,$D$3,1),출퇴근기록!$A$3:$A$3002,"&lt;="&amp;EOMONTH(DATE($B$3,$D$3,1),0)))</f>
        <v/>
      </c>
      <c r="K13" s="19" t="str">
        <f aca="false">IF($A13="","",COUNTIFS(출퇴근기록!$B$3:$B$3002,$A13,출퇴근기록!$I$3:$I$3002,"결근",출퇴근기록!$A$3:$A$3002,"&gt;="&amp;DATE($B$3,$D$3,1),출퇴근기록!$A$3:$A$3002,"&lt;="&amp;EOMONTH(DATE($B$3,$D$3,1),0)))</f>
        <v/>
      </c>
    </row>
    <row r="14" customFormat="false" ht="15" hidden="false" customHeight="true" outlineLevel="0" collapsed="false">
      <c r="A14" s="13" t="str">
        <f aca="false">IF(직원목록!$A11="","",직원목록!$A11)</f>
        <v/>
      </c>
      <c r="B14" s="13" t="str">
        <f aca="false">IF($A14="","",직원목록!$B11)</f>
        <v/>
      </c>
      <c r="C14" s="13" t="str">
        <f aca="false">IF($A14="","",직원목록!$C11)</f>
        <v/>
      </c>
      <c r="D14" s="19" t="str">
        <f aca="false">IF($A14="","",COUNTIFS(출퇴근기록!$B$3:$B$3002,$A14,출퇴근기록!$H$3:$H$3002,"&gt;0",출퇴근기록!$A$3:$A$3002,"&gt;="&amp;DATE($B$3,$D$3,1),출퇴근기록!$A$3:$A$3002,"&lt;="&amp;EOMONTH(DATE($B$3,$D$3,1),0)))</f>
        <v/>
      </c>
      <c r="E14" s="16" t="str">
        <f aca="false">IF($A14="","",ROUND(SUMIFS(출퇴근기록!$H$3:$H$3002,출퇴근기록!$B$3:$B$3002,$A14,출퇴근기록!$I$3:$I$3002,"평일",출퇴근기록!$A$3:$A$3002,"&gt;="&amp;DATE($B$3,$D$3,1),출퇴근기록!$A$3:$A$3002,"&lt;="&amp;EOMONTH(DATE($B$3,$D$3,1),0)),2))</f>
        <v/>
      </c>
      <c r="F14" s="16" t="str">
        <f aca="false">IF($A14="","",ROUND(SUMIFS(출퇴근기록!$H$3:$H$3002,출퇴근기록!$B$3:$B$3002,$A14,출퇴근기록!$I$3:$I$3002,"휴일",출퇴근기록!$A$3:$A$3002,"&gt;="&amp;DATE($B$3,$D$3,1),출퇴근기록!$A$3:$A$3002,"&lt;="&amp;EOMONTH(DATE($B$3,$D$3,1),0)),2))</f>
        <v/>
      </c>
      <c r="G14" s="16" t="str">
        <f aca="false">IF($A14="","",ROUND(SUMIFS(출퇴근기록!$H$3:$H$3002,출퇴근기록!$B$3:$B$3002,$A14,출퇴근기록!$A$3:$A$3002,"&gt;="&amp;DATE($B$3,$D$3,1),출퇴근기록!$A$3:$A$3002,"&lt;="&amp;EOMONTH(DATE($B$3,$D$3,1),0)),2))</f>
        <v/>
      </c>
      <c r="H14" s="16" t="str">
        <f aca="false">IF($A14="","",ROUND($D14*IF(직원목록!$F11="",8,직원목록!$F11),2))</f>
        <v/>
      </c>
      <c r="I14" s="16" t="str">
        <f aca="false">IF($A14="","",ROUND($G14-$H14,2))</f>
        <v/>
      </c>
      <c r="J14" s="19" t="str">
        <f aca="false">IF($A14="","",COUNTIFS(출퇴근기록!$B$3:$B$3002,$A14,출퇴근기록!$I$3:$I$3002,"연차",출퇴근기록!$A$3:$A$3002,"&gt;="&amp;DATE($B$3,$D$3,1),출퇴근기록!$A$3:$A$3002,"&lt;="&amp;EOMONTH(DATE($B$3,$D$3,1),0)))</f>
        <v/>
      </c>
      <c r="K14" s="19" t="str">
        <f aca="false">IF($A14="","",COUNTIFS(출퇴근기록!$B$3:$B$3002,$A14,출퇴근기록!$I$3:$I$3002,"결근",출퇴근기록!$A$3:$A$3002,"&gt;="&amp;DATE($B$3,$D$3,1),출퇴근기록!$A$3:$A$3002,"&lt;="&amp;EOMONTH(DATE($B$3,$D$3,1),0)))</f>
        <v/>
      </c>
    </row>
    <row r="15" customFormat="false" ht="15" hidden="false" customHeight="true" outlineLevel="0" collapsed="false">
      <c r="A15" s="13" t="str">
        <f aca="false">IF(직원목록!$A12="","",직원목록!$A12)</f>
        <v/>
      </c>
      <c r="B15" s="13" t="str">
        <f aca="false">IF($A15="","",직원목록!$B12)</f>
        <v/>
      </c>
      <c r="C15" s="13" t="str">
        <f aca="false">IF($A15="","",직원목록!$C12)</f>
        <v/>
      </c>
      <c r="D15" s="19" t="str">
        <f aca="false">IF($A15="","",COUNTIFS(출퇴근기록!$B$3:$B$3002,$A15,출퇴근기록!$H$3:$H$3002,"&gt;0",출퇴근기록!$A$3:$A$3002,"&gt;="&amp;DATE($B$3,$D$3,1),출퇴근기록!$A$3:$A$3002,"&lt;="&amp;EOMONTH(DATE($B$3,$D$3,1),0)))</f>
        <v/>
      </c>
      <c r="E15" s="16" t="str">
        <f aca="false">IF($A15="","",ROUND(SUMIFS(출퇴근기록!$H$3:$H$3002,출퇴근기록!$B$3:$B$3002,$A15,출퇴근기록!$I$3:$I$3002,"평일",출퇴근기록!$A$3:$A$3002,"&gt;="&amp;DATE($B$3,$D$3,1),출퇴근기록!$A$3:$A$3002,"&lt;="&amp;EOMONTH(DATE($B$3,$D$3,1),0)),2))</f>
        <v/>
      </c>
      <c r="F15" s="16" t="str">
        <f aca="false">IF($A15="","",ROUND(SUMIFS(출퇴근기록!$H$3:$H$3002,출퇴근기록!$B$3:$B$3002,$A15,출퇴근기록!$I$3:$I$3002,"휴일",출퇴근기록!$A$3:$A$3002,"&gt;="&amp;DATE($B$3,$D$3,1),출퇴근기록!$A$3:$A$3002,"&lt;="&amp;EOMONTH(DATE($B$3,$D$3,1),0)),2))</f>
        <v/>
      </c>
      <c r="G15" s="16" t="str">
        <f aca="false">IF($A15="","",ROUND(SUMIFS(출퇴근기록!$H$3:$H$3002,출퇴근기록!$B$3:$B$3002,$A15,출퇴근기록!$A$3:$A$3002,"&gt;="&amp;DATE($B$3,$D$3,1),출퇴근기록!$A$3:$A$3002,"&lt;="&amp;EOMONTH(DATE($B$3,$D$3,1),0)),2))</f>
        <v/>
      </c>
      <c r="H15" s="16" t="str">
        <f aca="false">IF($A15="","",ROUND($D15*IF(직원목록!$F12="",8,직원목록!$F12),2))</f>
        <v/>
      </c>
      <c r="I15" s="16" t="str">
        <f aca="false">IF($A15="","",ROUND($G15-$H15,2))</f>
        <v/>
      </c>
      <c r="J15" s="19" t="str">
        <f aca="false">IF($A15="","",COUNTIFS(출퇴근기록!$B$3:$B$3002,$A15,출퇴근기록!$I$3:$I$3002,"연차",출퇴근기록!$A$3:$A$3002,"&gt;="&amp;DATE($B$3,$D$3,1),출퇴근기록!$A$3:$A$3002,"&lt;="&amp;EOMONTH(DATE($B$3,$D$3,1),0)))</f>
        <v/>
      </c>
      <c r="K15" s="19" t="str">
        <f aca="false">IF($A15="","",COUNTIFS(출퇴근기록!$B$3:$B$3002,$A15,출퇴근기록!$I$3:$I$3002,"결근",출퇴근기록!$A$3:$A$3002,"&gt;="&amp;DATE($B$3,$D$3,1),출퇴근기록!$A$3:$A$3002,"&lt;="&amp;EOMONTH(DATE($B$3,$D$3,1),0)))</f>
        <v/>
      </c>
    </row>
    <row r="16" customFormat="false" ht="15" hidden="false" customHeight="true" outlineLevel="0" collapsed="false">
      <c r="A16" s="13" t="str">
        <f aca="false">IF(직원목록!$A13="","",직원목록!$A13)</f>
        <v/>
      </c>
      <c r="B16" s="13" t="str">
        <f aca="false">IF($A16="","",직원목록!$B13)</f>
        <v/>
      </c>
      <c r="C16" s="13" t="str">
        <f aca="false">IF($A16="","",직원목록!$C13)</f>
        <v/>
      </c>
      <c r="D16" s="19" t="str">
        <f aca="false">IF($A16="","",COUNTIFS(출퇴근기록!$B$3:$B$3002,$A16,출퇴근기록!$H$3:$H$3002,"&gt;0",출퇴근기록!$A$3:$A$3002,"&gt;="&amp;DATE($B$3,$D$3,1),출퇴근기록!$A$3:$A$3002,"&lt;="&amp;EOMONTH(DATE($B$3,$D$3,1),0)))</f>
        <v/>
      </c>
      <c r="E16" s="16" t="str">
        <f aca="false">IF($A16="","",ROUND(SUMIFS(출퇴근기록!$H$3:$H$3002,출퇴근기록!$B$3:$B$3002,$A16,출퇴근기록!$I$3:$I$3002,"평일",출퇴근기록!$A$3:$A$3002,"&gt;="&amp;DATE($B$3,$D$3,1),출퇴근기록!$A$3:$A$3002,"&lt;="&amp;EOMONTH(DATE($B$3,$D$3,1),0)),2))</f>
        <v/>
      </c>
      <c r="F16" s="16" t="str">
        <f aca="false">IF($A16="","",ROUND(SUMIFS(출퇴근기록!$H$3:$H$3002,출퇴근기록!$B$3:$B$3002,$A16,출퇴근기록!$I$3:$I$3002,"휴일",출퇴근기록!$A$3:$A$3002,"&gt;="&amp;DATE($B$3,$D$3,1),출퇴근기록!$A$3:$A$3002,"&lt;="&amp;EOMONTH(DATE($B$3,$D$3,1),0)),2))</f>
        <v/>
      </c>
      <c r="G16" s="16" t="str">
        <f aca="false">IF($A16="","",ROUND(SUMIFS(출퇴근기록!$H$3:$H$3002,출퇴근기록!$B$3:$B$3002,$A16,출퇴근기록!$A$3:$A$3002,"&gt;="&amp;DATE($B$3,$D$3,1),출퇴근기록!$A$3:$A$3002,"&lt;="&amp;EOMONTH(DATE($B$3,$D$3,1),0)),2))</f>
        <v/>
      </c>
      <c r="H16" s="16" t="str">
        <f aca="false">IF($A16="","",ROUND($D16*IF(직원목록!$F13="",8,직원목록!$F13),2))</f>
        <v/>
      </c>
      <c r="I16" s="16" t="str">
        <f aca="false">IF($A16="","",ROUND($G16-$H16,2))</f>
        <v/>
      </c>
      <c r="J16" s="19" t="str">
        <f aca="false">IF($A16="","",COUNTIFS(출퇴근기록!$B$3:$B$3002,$A16,출퇴근기록!$I$3:$I$3002,"연차",출퇴근기록!$A$3:$A$3002,"&gt;="&amp;DATE($B$3,$D$3,1),출퇴근기록!$A$3:$A$3002,"&lt;="&amp;EOMONTH(DATE($B$3,$D$3,1),0)))</f>
        <v/>
      </c>
      <c r="K16" s="19" t="str">
        <f aca="false">IF($A16="","",COUNTIFS(출퇴근기록!$B$3:$B$3002,$A16,출퇴근기록!$I$3:$I$3002,"결근",출퇴근기록!$A$3:$A$3002,"&gt;="&amp;DATE($B$3,$D$3,1),출퇴근기록!$A$3:$A$3002,"&lt;="&amp;EOMONTH(DATE($B$3,$D$3,1),0)))</f>
        <v/>
      </c>
    </row>
    <row r="17" customFormat="false" ht="15" hidden="false" customHeight="true" outlineLevel="0" collapsed="false">
      <c r="A17" s="13" t="str">
        <f aca="false">IF(직원목록!$A14="","",직원목록!$A14)</f>
        <v/>
      </c>
      <c r="B17" s="13" t="str">
        <f aca="false">IF($A17="","",직원목록!$B14)</f>
        <v/>
      </c>
      <c r="C17" s="13" t="str">
        <f aca="false">IF($A17="","",직원목록!$C14)</f>
        <v/>
      </c>
      <c r="D17" s="19" t="str">
        <f aca="false">IF($A17="","",COUNTIFS(출퇴근기록!$B$3:$B$3002,$A17,출퇴근기록!$H$3:$H$3002,"&gt;0",출퇴근기록!$A$3:$A$3002,"&gt;="&amp;DATE($B$3,$D$3,1),출퇴근기록!$A$3:$A$3002,"&lt;="&amp;EOMONTH(DATE($B$3,$D$3,1),0)))</f>
        <v/>
      </c>
      <c r="E17" s="16" t="str">
        <f aca="false">IF($A17="","",ROUND(SUMIFS(출퇴근기록!$H$3:$H$3002,출퇴근기록!$B$3:$B$3002,$A17,출퇴근기록!$I$3:$I$3002,"평일",출퇴근기록!$A$3:$A$3002,"&gt;="&amp;DATE($B$3,$D$3,1),출퇴근기록!$A$3:$A$3002,"&lt;="&amp;EOMONTH(DATE($B$3,$D$3,1),0)),2))</f>
        <v/>
      </c>
      <c r="F17" s="16" t="str">
        <f aca="false">IF($A17="","",ROUND(SUMIFS(출퇴근기록!$H$3:$H$3002,출퇴근기록!$B$3:$B$3002,$A17,출퇴근기록!$I$3:$I$3002,"휴일",출퇴근기록!$A$3:$A$3002,"&gt;="&amp;DATE($B$3,$D$3,1),출퇴근기록!$A$3:$A$3002,"&lt;="&amp;EOMONTH(DATE($B$3,$D$3,1),0)),2))</f>
        <v/>
      </c>
      <c r="G17" s="16" t="str">
        <f aca="false">IF($A17="","",ROUND(SUMIFS(출퇴근기록!$H$3:$H$3002,출퇴근기록!$B$3:$B$3002,$A17,출퇴근기록!$A$3:$A$3002,"&gt;="&amp;DATE($B$3,$D$3,1),출퇴근기록!$A$3:$A$3002,"&lt;="&amp;EOMONTH(DATE($B$3,$D$3,1),0)),2))</f>
        <v/>
      </c>
      <c r="H17" s="16" t="str">
        <f aca="false">IF($A17="","",ROUND($D17*IF(직원목록!$F14="",8,직원목록!$F14),2))</f>
        <v/>
      </c>
      <c r="I17" s="16" t="str">
        <f aca="false">IF($A17="","",ROUND($G17-$H17,2))</f>
        <v/>
      </c>
      <c r="J17" s="19" t="str">
        <f aca="false">IF($A17="","",COUNTIFS(출퇴근기록!$B$3:$B$3002,$A17,출퇴근기록!$I$3:$I$3002,"연차",출퇴근기록!$A$3:$A$3002,"&gt;="&amp;DATE($B$3,$D$3,1),출퇴근기록!$A$3:$A$3002,"&lt;="&amp;EOMONTH(DATE($B$3,$D$3,1),0)))</f>
        <v/>
      </c>
      <c r="K17" s="19" t="str">
        <f aca="false">IF($A17="","",COUNTIFS(출퇴근기록!$B$3:$B$3002,$A17,출퇴근기록!$I$3:$I$3002,"결근",출퇴근기록!$A$3:$A$3002,"&gt;="&amp;DATE($B$3,$D$3,1),출퇴근기록!$A$3:$A$3002,"&lt;="&amp;EOMONTH(DATE($B$3,$D$3,1),0)))</f>
        <v/>
      </c>
    </row>
    <row r="18" customFormat="false" ht="15" hidden="false" customHeight="true" outlineLevel="0" collapsed="false">
      <c r="A18" s="13" t="str">
        <f aca="false">IF(직원목록!$A15="","",직원목록!$A15)</f>
        <v/>
      </c>
      <c r="B18" s="13" t="str">
        <f aca="false">IF($A18="","",직원목록!$B15)</f>
        <v/>
      </c>
      <c r="C18" s="13" t="str">
        <f aca="false">IF($A18="","",직원목록!$C15)</f>
        <v/>
      </c>
      <c r="D18" s="19" t="str">
        <f aca="false">IF($A18="","",COUNTIFS(출퇴근기록!$B$3:$B$3002,$A18,출퇴근기록!$H$3:$H$3002,"&gt;0",출퇴근기록!$A$3:$A$3002,"&gt;="&amp;DATE($B$3,$D$3,1),출퇴근기록!$A$3:$A$3002,"&lt;="&amp;EOMONTH(DATE($B$3,$D$3,1),0)))</f>
        <v/>
      </c>
      <c r="E18" s="16" t="str">
        <f aca="false">IF($A18="","",ROUND(SUMIFS(출퇴근기록!$H$3:$H$3002,출퇴근기록!$B$3:$B$3002,$A18,출퇴근기록!$I$3:$I$3002,"평일",출퇴근기록!$A$3:$A$3002,"&gt;="&amp;DATE($B$3,$D$3,1),출퇴근기록!$A$3:$A$3002,"&lt;="&amp;EOMONTH(DATE($B$3,$D$3,1),0)),2))</f>
        <v/>
      </c>
      <c r="F18" s="16" t="str">
        <f aca="false">IF($A18="","",ROUND(SUMIFS(출퇴근기록!$H$3:$H$3002,출퇴근기록!$B$3:$B$3002,$A18,출퇴근기록!$I$3:$I$3002,"휴일",출퇴근기록!$A$3:$A$3002,"&gt;="&amp;DATE($B$3,$D$3,1),출퇴근기록!$A$3:$A$3002,"&lt;="&amp;EOMONTH(DATE($B$3,$D$3,1),0)),2))</f>
        <v/>
      </c>
      <c r="G18" s="16" t="str">
        <f aca="false">IF($A18="","",ROUND(SUMIFS(출퇴근기록!$H$3:$H$3002,출퇴근기록!$B$3:$B$3002,$A18,출퇴근기록!$A$3:$A$3002,"&gt;="&amp;DATE($B$3,$D$3,1),출퇴근기록!$A$3:$A$3002,"&lt;="&amp;EOMONTH(DATE($B$3,$D$3,1),0)),2))</f>
        <v/>
      </c>
      <c r="H18" s="16" t="str">
        <f aca="false">IF($A18="","",ROUND($D18*IF(직원목록!$F15="",8,직원목록!$F15),2))</f>
        <v/>
      </c>
      <c r="I18" s="16" t="str">
        <f aca="false">IF($A18="","",ROUND($G18-$H18,2))</f>
        <v/>
      </c>
      <c r="J18" s="19" t="str">
        <f aca="false">IF($A18="","",COUNTIFS(출퇴근기록!$B$3:$B$3002,$A18,출퇴근기록!$I$3:$I$3002,"연차",출퇴근기록!$A$3:$A$3002,"&gt;="&amp;DATE($B$3,$D$3,1),출퇴근기록!$A$3:$A$3002,"&lt;="&amp;EOMONTH(DATE($B$3,$D$3,1),0)))</f>
        <v/>
      </c>
      <c r="K18" s="19" t="str">
        <f aca="false">IF($A18="","",COUNTIFS(출퇴근기록!$B$3:$B$3002,$A18,출퇴근기록!$I$3:$I$3002,"결근",출퇴근기록!$A$3:$A$3002,"&gt;="&amp;DATE($B$3,$D$3,1),출퇴근기록!$A$3:$A$3002,"&lt;="&amp;EOMONTH(DATE($B$3,$D$3,1),0)))</f>
        <v/>
      </c>
    </row>
    <row r="19" customFormat="false" ht="15" hidden="false" customHeight="true" outlineLevel="0" collapsed="false">
      <c r="A19" s="13" t="str">
        <f aca="false">IF(직원목록!$A16="","",직원목록!$A16)</f>
        <v/>
      </c>
      <c r="B19" s="13" t="str">
        <f aca="false">IF($A19="","",직원목록!$B16)</f>
        <v/>
      </c>
      <c r="C19" s="13" t="str">
        <f aca="false">IF($A19="","",직원목록!$C16)</f>
        <v/>
      </c>
      <c r="D19" s="19" t="str">
        <f aca="false">IF($A19="","",COUNTIFS(출퇴근기록!$B$3:$B$3002,$A19,출퇴근기록!$H$3:$H$3002,"&gt;0",출퇴근기록!$A$3:$A$3002,"&gt;="&amp;DATE($B$3,$D$3,1),출퇴근기록!$A$3:$A$3002,"&lt;="&amp;EOMONTH(DATE($B$3,$D$3,1),0)))</f>
        <v/>
      </c>
      <c r="E19" s="16" t="str">
        <f aca="false">IF($A19="","",ROUND(SUMIFS(출퇴근기록!$H$3:$H$3002,출퇴근기록!$B$3:$B$3002,$A19,출퇴근기록!$I$3:$I$3002,"평일",출퇴근기록!$A$3:$A$3002,"&gt;="&amp;DATE($B$3,$D$3,1),출퇴근기록!$A$3:$A$3002,"&lt;="&amp;EOMONTH(DATE($B$3,$D$3,1),0)),2))</f>
        <v/>
      </c>
      <c r="F19" s="16" t="str">
        <f aca="false">IF($A19="","",ROUND(SUMIFS(출퇴근기록!$H$3:$H$3002,출퇴근기록!$B$3:$B$3002,$A19,출퇴근기록!$I$3:$I$3002,"휴일",출퇴근기록!$A$3:$A$3002,"&gt;="&amp;DATE($B$3,$D$3,1),출퇴근기록!$A$3:$A$3002,"&lt;="&amp;EOMONTH(DATE($B$3,$D$3,1),0)),2))</f>
        <v/>
      </c>
      <c r="G19" s="16" t="str">
        <f aca="false">IF($A19="","",ROUND(SUMIFS(출퇴근기록!$H$3:$H$3002,출퇴근기록!$B$3:$B$3002,$A19,출퇴근기록!$A$3:$A$3002,"&gt;="&amp;DATE($B$3,$D$3,1),출퇴근기록!$A$3:$A$3002,"&lt;="&amp;EOMONTH(DATE($B$3,$D$3,1),0)),2))</f>
        <v/>
      </c>
      <c r="H19" s="16" t="str">
        <f aca="false">IF($A19="","",ROUND($D19*IF(직원목록!$F16="",8,직원목록!$F16),2))</f>
        <v/>
      </c>
      <c r="I19" s="16" t="str">
        <f aca="false">IF($A19="","",ROUND($G19-$H19,2))</f>
        <v/>
      </c>
      <c r="J19" s="19" t="str">
        <f aca="false">IF($A19="","",COUNTIFS(출퇴근기록!$B$3:$B$3002,$A19,출퇴근기록!$I$3:$I$3002,"연차",출퇴근기록!$A$3:$A$3002,"&gt;="&amp;DATE($B$3,$D$3,1),출퇴근기록!$A$3:$A$3002,"&lt;="&amp;EOMONTH(DATE($B$3,$D$3,1),0)))</f>
        <v/>
      </c>
      <c r="K19" s="19" t="str">
        <f aca="false">IF($A19="","",COUNTIFS(출퇴근기록!$B$3:$B$3002,$A19,출퇴근기록!$I$3:$I$3002,"결근",출퇴근기록!$A$3:$A$3002,"&gt;="&amp;DATE($B$3,$D$3,1),출퇴근기록!$A$3:$A$3002,"&lt;="&amp;EOMONTH(DATE($B$3,$D$3,1),0)))</f>
        <v/>
      </c>
    </row>
    <row r="20" customFormat="false" ht="15" hidden="false" customHeight="true" outlineLevel="0" collapsed="false">
      <c r="A20" s="13" t="str">
        <f aca="false">IF(직원목록!$A17="","",직원목록!$A17)</f>
        <v/>
      </c>
      <c r="B20" s="13" t="str">
        <f aca="false">IF($A20="","",직원목록!$B17)</f>
        <v/>
      </c>
      <c r="C20" s="13" t="str">
        <f aca="false">IF($A20="","",직원목록!$C17)</f>
        <v/>
      </c>
      <c r="D20" s="19" t="str">
        <f aca="false">IF($A20="","",COUNTIFS(출퇴근기록!$B$3:$B$3002,$A20,출퇴근기록!$H$3:$H$3002,"&gt;0",출퇴근기록!$A$3:$A$3002,"&gt;="&amp;DATE($B$3,$D$3,1),출퇴근기록!$A$3:$A$3002,"&lt;="&amp;EOMONTH(DATE($B$3,$D$3,1),0)))</f>
        <v/>
      </c>
      <c r="E20" s="16" t="str">
        <f aca="false">IF($A20="","",ROUND(SUMIFS(출퇴근기록!$H$3:$H$3002,출퇴근기록!$B$3:$B$3002,$A20,출퇴근기록!$I$3:$I$3002,"평일",출퇴근기록!$A$3:$A$3002,"&gt;="&amp;DATE($B$3,$D$3,1),출퇴근기록!$A$3:$A$3002,"&lt;="&amp;EOMONTH(DATE($B$3,$D$3,1),0)),2))</f>
        <v/>
      </c>
      <c r="F20" s="16" t="str">
        <f aca="false">IF($A20="","",ROUND(SUMIFS(출퇴근기록!$H$3:$H$3002,출퇴근기록!$B$3:$B$3002,$A20,출퇴근기록!$I$3:$I$3002,"휴일",출퇴근기록!$A$3:$A$3002,"&gt;="&amp;DATE($B$3,$D$3,1),출퇴근기록!$A$3:$A$3002,"&lt;="&amp;EOMONTH(DATE($B$3,$D$3,1),0)),2))</f>
        <v/>
      </c>
      <c r="G20" s="16" t="str">
        <f aca="false">IF($A20="","",ROUND(SUMIFS(출퇴근기록!$H$3:$H$3002,출퇴근기록!$B$3:$B$3002,$A20,출퇴근기록!$A$3:$A$3002,"&gt;="&amp;DATE($B$3,$D$3,1),출퇴근기록!$A$3:$A$3002,"&lt;="&amp;EOMONTH(DATE($B$3,$D$3,1),0)),2))</f>
        <v/>
      </c>
      <c r="H20" s="16" t="str">
        <f aca="false">IF($A20="","",ROUND($D20*IF(직원목록!$F17="",8,직원목록!$F17),2))</f>
        <v/>
      </c>
      <c r="I20" s="16" t="str">
        <f aca="false">IF($A20="","",ROUND($G20-$H20,2))</f>
        <v/>
      </c>
      <c r="J20" s="19" t="str">
        <f aca="false">IF($A20="","",COUNTIFS(출퇴근기록!$B$3:$B$3002,$A20,출퇴근기록!$I$3:$I$3002,"연차",출퇴근기록!$A$3:$A$3002,"&gt;="&amp;DATE($B$3,$D$3,1),출퇴근기록!$A$3:$A$3002,"&lt;="&amp;EOMONTH(DATE($B$3,$D$3,1),0)))</f>
        <v/>
      </c>
      <c r="K20" s="19" t="str">
        <f aca="false">IF($A20="","",COUNTIFS(출퇴근기록!$B$3:$B$3002,$A20,출퇴근기록!$I$3:$I$3002,"결근",출퇴근기록!$A$3:$A$3002,"&gt;="&amp;DATE($B$3,$D$3,1),출퇴근기록!$A$3:$A$3002,"&lt;="&amp;EOMONTH(DATE($B$3,$D$3,1),0)))</f>
        <v/>
      </c>
    </row>
    <row r="21" customFormat="false" ht="15" hidden="false" customHeight="true" outlineLevel="0" collapsed="false">
      <c r="A21" s="13" t="str">
        <f aca="false">IF(직원목록!$A18="","",직원목록!$A18)</f>
        <v/>
      </c>
      <c r="B21" s="13" t="str">
        <f aca="false">IF($A21="","",직원목록!$B18)</f>
        <v/>
      </c>
      <c r="C21" s="13" t="str">
        <f aca="false">IF($A21="","",직원목록!$C18)</f>
        <v/>
      </c>
      <c r="D21" s="19" t="str">
        <f aca="false">IF($A21="","",COUNTIFS(출퇴근기록!$B$3:$B$3002,$A21,출퇴근기록!$H$3:$H$3002,"&gt;0",출퇴근기록!$A$3:$A$3002,"&gt;="&amp;DATE($B$3,$D$3,1),출퇴근기록!$A$3:$A$3002,"&lt;="&amp;EOMONTH(DATE($B$3,$D$3,1),0)))</f>
        <v/>
      </c>
      <c r="E21" s="16" t="str">
        <f aca="false">IF($A21="","",ROUND(SUMIFS(출퇴근기록!$H$3:$H$3002,출퇴근기록!$B$3:$B$3002,$A21,출퇴근기록!$I$3:$I$3002,"평일",출퇴근기록!$A$3:$A$3002,"&gt;="&amp;DATE($B$3,$D$3,1),출퇴근기록!$A$3:$A$3002,"&lt;="&amp;EOMONTH(DATE($B$3,$D$3,1),0)),2))</f>
        <v/>
      </c>
      <c r="F21" s="16" t="str">
        <f aca="false">IF($A21="","",ROUND(SUMIFS(출퇴근기록!$H$3:$H$3002,출퇴근기록!$B$3:$B$3002,$A21,출퇴근기록!$I$3:$I$3002,"휴일",출퇴근기록!$A$3:$A$3002,"&gt;="&amp;DATE($B$3,$D$3,1),출퇴근기록!$A$3:$A$3002,"&lt;="&amp;EOMONTH(DATE($B$3,$D$3,1),0)),2))</f>
        <v/>
      </c>
      <c r="G21" s="16" t="str">
        <f aca="false">IF($A21="","",ROUND(SUMIFS(출퇴근기록!$H$3:$H$3002,출퇴근기록!$B$3:$B$3002,$A21,출퇴근기록!$A$3:$A$3002,"&gt;="&amp;DATE($B$3,$D$3,1),출퇴근기록!$A$3:$A$3002,"&lt;="&amp;EOMONTH(DATE($B$3,$D$3,1),0)),2))</f>
        <v/>
      </c>
      <c r="H21" s="16" t="str">
        <f aca="false">IF($A21="","",ROUND($D21*IF(직원목록!$F18="",8,직원목록!$F18),2))</f>
        <v/>
      </c>
      <c r="I21" s="16" t="str">
        <f aca="false">IF($A21="","",ROUND($G21-$H21,2))</f>
        <v/>
      </c>
      <c r="J21" s="19" t="str">
        <f aca="false">IF($A21="","",COUNTIFS(출퇴근기록!$B$3:$B$3002,$A21,출퇴근기록!$I$3:$I$3002,"연차",출퇴근기록!$A$3:$A$3002,"&gt;="&amp;DATE($B$3,$D$3,1),출퇴근기록!$A$3:$A$3002,"&lt;="&amp;EOMONTH(DATE($B$3,$D$3,1),0)))</f>
        <v/>
      </c>
      <c r="K21" s="19" t="str">
        <f aca="false">IF($A21="","",COUNTIFS(출퇴근기록!$B$3:$B$3002,$A21,출퇴근기록!$I$3:$I$3002,"결근",출퇴근기록!$A$3:$A$3002,"&gt;="&amp;DATE($B$3,$D$3,1),출퇴근기록!$A$3:$A$3002,"&lt;="&amp;EOMONTH(DATE($B$3,$D$3,1),0)))</f>
        <v/>
      </c>
    </row>
    <row r="22" customFormat="false" ht="15" hidden="false" customHeight="true" outlineLevel="0" collapsed="false">
      <c r="A22" s="13" t="str">
        <f aca="false">IF(직원목록!$A19="","",직원목록!$A19)</f>
        <v/>
      </c>
      <c r="B22" s="13" t="str">
        <f aca="false">IF($A22="","",직원목록!$B19)</f>
        <v/>
      </c>
      <c r="C22" s="13" t="str">
        <f aca="false">IF($A22="","",직원목록!$C19)</f>
        <v/>
      </c>
      <c r="D22" s="19" t="str">
        <f aca="false">IF($A22="","",COUNTIFS(출퇴근기록!$B$3:$B$3002,$A22,출퇴근기록!$H$3:$H$3002,"&gt;0",출퇴근기록!$A$3:$A$3002,"&gt;="&amp;DATE($B$3,$D$3,1),출퇴근기록!$A$3:$A$3002,"&lt;="&amp;EOMONTH(DATE($B$3,$D$3,1),0)))</f>
        <v/>
      </c>
      <c r="E22" s="16" t="str">
        <f aca="false">IF($A22="","",ROUND(SUMIFS(출퇴근기록!$H$3:$H$3002,출퇴근기록!$B$3:$B$3002,$A22,출퇴근기록!$I$3:$I$3002,"평일",출퇴근기록!$A$3:$A$3002,"&gt;="&amp;DATE($B$3,$D$3,1),출퇴근기록!$A$3:$A$3002,"&lt;="&amp;EOMONTH(DATE($B$3,$D$3,1),0)),2))</f>
        <v/>
      </c>
      <c r="F22" s="16" t="str">
        <f aca="false">IF($A22="","",ROUND(SUMIFS(출퇴근기록!$H$3:$H$3002,출퇴근기록!$B$3:$B$3002,$A22,출퇴근기록!$I$3:$I$3002,"휴일",출퇴근기록!$A$3:$A$3002,"&gt;="&amp;DATE($B$3,$D$3,1),출퇴근기록!$A$3:$A$3002,"&lt;="&amp;EOMONTH(DATE($B$3,$D$3,1),0)),2))</f>
        <v/>
      </c>
      <c r="G22" s="16" t="str">
        <f aca="false">IF($A22="","",ROUND(SUMIFS(출퇴근기록!$H$3:$H$3002,출퇴근기록!$B$3:$B$3002,$A22,출퇴근기록!$A$3:$A$3002,"&gt;="&amp;DATE($B$3,$D$3,1),출퇴근기록!$A$3:$A$3002,"&lt;="&amp;EOMONTH(DATE($B$3,$D$3,1),0)),2))</f>
        <v/>
      </c>
      <c r="H22" s="16" t="str">
        <f aca="false">IF($A22="","",ROUND($D22*IF(직원목록!$F19="",8,직원목록!$F19),2))</f>
        <v/>
      </c>
      <c r="I22" s="16" t="str">
        <f aca="false">IF($A22="","",ROUND($G22-$H22,2))</f>
        <v/>
      </c>
      <c r="J22" s="19" t="str">
        <f aca="false">IF($A22="","",COUNTIFS(출퇴근기록!$B$3:$B$3002,$A22,출퇴근기록!$I$3:$I$3002,"연차",출퇴근기록!$A$3:$A$3002,"&gt;="&amp;DATE($B$3,$D$3,1),출퇴근기록!$A$3:$A$3002,"&lt;="&amp;EOMONTH(DATE($B$3,$D$3,1),0)))</f>
        <v/>
      </c>
      <c r="K22" s="19" t="str">
        <f aca="false">IF($A22="","",COUNTIFS(출퇴근기록!$B$3:$B$3002,$A22,출퇴근기록!$I$3:$I$3002,"결근",출퇴근기록!$A$3:$A$3002,"&gt;="&amp;DATE($B$3,$D$3,1),출퇴근기록!$A$3:$A$3002,"&lt;="&amp;EOMONTH(DATE($B$3,$D$3,1),0)))</f>
        <v/>
      </c>
    </row>
    <row r="23" customFormat="false" ht="15" hidden="false" customHeight="true" outlineLevel="0" collapsed="false">
      <c r="A23" s="13" t="str">
        <f aca="false">IF(직원목록!$A20="","",직원목록!$A20)</f>
        <v/>
      </c>
      <c r="B23" s="13" t="str">
        <f aca="false">IF($A23="","",직원목록!$B20)</f>
        <v/>
      </c>
      <c r="C23" s="13" t="str">
        <f aca="false">IF($A23="","",직원목록!$C20)</f>
        <v/>
      </c>
      <c r="D23" s="19" t="str">
        <f aca="false">IF($A23="","",COUNTIFS(출퇴근기록!$B$3:$B$3002,$A23,출퇴근기록!$H$3:$H$3002,"&gt;0",출퇴근기록!$A$3:$A$3002,"&gt;="&amp;DATE($B$3,$D$3,1),출퇴근기록!$A$3:$A$3002,"&lt;="&amp;EOMONTH(DATE($B$3,$D$3,1),0)))</f>
        <v/>
      </c>
      <c r="E23" s="16" t="str">
        <f aca="false">IF($A23="","",ROUND(SUMIFS(출퇴근기록!$H$3:$H$3002,출퇴근기록!$B$3:$B$3002,$A23,출퇴근기록!$I$3:$I$3002,"평일",출퇴근기록!$A$3:$A$3002,"&gt;="&amp;DATE($B$3,$D$3,1),출퇴근기록!$A$3:$A$3002,"&lt;="&amp;EOMONTH(DATE($B$3,$D$3,1),0)),2))</f>
        <v/>
      </c>
      <c r="F23" s="16" t="str">
        <f aca="false">IF($A23="","",ROUND(SUMIFS(출퇴근기록!$H$3:$H$3002,출퇴근기록!$B$3:$B$3002,$A23,출퇴근기록!$I$3:$I$3002,"휴일",출퇴근기록!$A$3:$A$3002,"&gt;="&amp;DATE($B$3,$D$3,1),출퇴근기록!$A$3:$A$3002,"&lt;="&amp;EOMONTH(DATE($B$3,$D$3,1),0)),2))</f>
        <v/>
      </c>
      <c r="G23" s="16" t="str">
        <f aca="false">IF($A23="","",ROUND(SUMIFS(출퇴근기록!$H$3:$H$3002,출퇴근기록!$B$3:$B$3002,$A23,출퇴근기록!$A$3:$A$3002,"&gt;="&amp;DATE($B$3,$D$3,1),출퇴근기록!$A$3:$A$3002,"&lt;="&amp;EOMONTH(DATE($B$3,$D$3,1),0)),2))</f>
        <v/>
      </c>
      <c r="H23" s="16" t="str">
        <f aca="false">IF($A23="","",ROUND($D23*IF(직원목록!$F20="",8,직원목록!$F20),2))</f>
        <v/>
      </c>
      <c r="I23" s="16" t="str">
        <f aca="false">IF($A23="","",ROUND($G23-$H23,2))</f>
        <v/>
      </c>
      <c r="J23" s="19" t="str">
        <f aca="false">IF($A23="","",COUNTIFS(출퇴근기록!$B$3:$B$3002,$A23,출퇴근기록!$I$3:$I$3002,"연차",출퇴근기록!$A$3:$A$3002,"&gt;="&amp;DATE($B$3,$D$3,1),출퇴근기록!$A$3:$A$3002,"&lt;="&amp;EOMONTH(DATE($B$3,$D$3,1),0)))</f>
        <v/>
      </c>
      <c r="K23" s="19" t="str">
        <f aca="false">IF($A23="","",COUNTIFS(출퇴근기록!$B$3:$B$3002,$A23,출퇴근기록!$I$3:$I$3002,"결근",출퇴근기록!$A$3:$A$3002,"&gt;="&amp;DATE($B$3,$D$3,1),출퇴근기록!$A$3:$A$3002,"&lt;="&amp;EOMONTH(DATE($B$3,$D$3,1),0)))</f>
        <v/>
      </c>
    </row>
    <row r="24" customFormat="false" ht="15" hidden="false" customHeight="true" outlineLevel="0" collapsed="false">
      <c r="A24" s="13" t="str">
        <f aca="false">IF(직원목록!$A21="","",직원목록!$A21)</f>
        <v/>
      </c>
      <c r="B24" s="13" t="str">
        <f aca="false">IF($A24="","",직원목록!$B21)</f>
        <v/>
      </c>
      <c r="C24" s="13" t="str">
        <f aca="false">IF($A24="","",직원목록!$C21)</f>
        <v/>
      </c>
      <c r="D24" s="19" t="str">
        <f aca="false">IF($A24="","",COUNTIFS(출퇴근기록!$B$3:$B$3002,$A24,출퇴근기록!$H$3:$H$3002,"&gt;0",출퇴근기록!$A$3:$A$3002,"&gt;="&amp;DATE($B$3,$D$3,1),출퇴근기록!$A$3:$A$3002,"&lt;="&amp;EOMONTH(DATE($B$3,$D$3,1),0)))</f>
        <v/>
      </c>
      <c r="E24" s="16" t="str">
        <f aca="false">IF($A24="","",ROUND(SUMIFS(출퇴근기록!$H$3:$H$3002,출퇴근기록!$B$3:$B$3002,$A24,출퇴근기록!$I$3:$I$3002,"평일",출퇴근기록!$A$3:$A$3002,"&gt;="&amp;DATE($B$3,$D$3,1),출퇴근기록!$A$3:$A$3002,"&lt;="&amp;EOMONTH(DATE($B$3,$D$3,1),0)),2))</f>
        <v/>
      </c>
      <c r="F24" s="16" t="str">
        <f aca="false">IF($A24="","",ROUND(SUMIFS(출퇴근기록!$H$3:$H$3002,출퇴근기록!$B$3:$B$3002,$A24,출퇴근기록!$I$3:$I$3002,"휴일",출퇴근기록!$A$3:$A$3002,"&gt;="&amp;DATE($B$3,$D$3,1),출퇴근기록!$A$3:$A$3002,"&lt;="&amp;EOMONTH(DATE($B$3,$D$3,1),0)),2))</f>
        <v/>
      </c>
      <c r="G24" s="16" t="str">
        <f aca="false">IF($A24="","",ROUND(SUMIFS(출퇴근기록!$H$3:$H$3002,출퇴근기록!$B$3:$B$3002,$A24,출퇴근기록!$A$3:$A$3002,"&gt;="&amp;DATE($B$3,$D$3,1),출퇴근기록!$A$3:$A$3002,"&lt;="&amp;EOMONTH(DATE($B$3,$D$3,1),0)),2))</f>
        <v/>
      </c>
      <c r="H24" s="16" t="str">
        <f aca="false">IF($A24="","",ROUND($D24*IF(직원목록!$F21="",8,직원목록!$F21),2))</f>
        <v/>
      </c>
      <c r="I24" s="16" t="str">
        <f aca="false">IF($A24="","",ROUND($G24-$H24,2))</f>
        <v/>
      </c>
      <c r="J24" s="19" t="str">
        <f aca="false">IF($A24="","",COUNTIFS(출퇴근기록!$B$3:$B$3002,$A24,출퇴근기록!$I$3:$I$3002,"연차",출퇴근기록!$A$3:$A$3002,"&gt;="&amp;DATE($B$3,$D$3,1),출퇴근기록!$A$3:$A$3002,"&lt;="&amp;EOMONTH(DATE($B$3,$D$3,1),0)))</f>
        <v/>
      </c>
      <c r="K24" s="19" t="str">
        <f aca="false">IF($A24="","",COUNTIFS(출퇴근기록!$B$3:$B$3002,$A24,출퇴근기록!$I$3:$I$3002,"결근",출퇴근기록!$A$3:$A$3002,"&gt;="&amp;DATE($B$3,$D$3,1),출퇴근기록!$A$3:$A$3002,"&lt;="&amp;EOMONTH(DATE($B$3,$D$3,1),0)))</f>
        <v/>
      </c>
    </row>
    <row r="25" customFormat="false" ht="15" hidden="false" customHeight="true" outlineLevel="0" collapsed="false">
      <c r="A25" s="13" t="str">
        <f aca="false">IF(직원목록!$A22="","",직원목록!$A22)</f>
        <v/>
      </c>
      <c r="B25" s="13" t="str">
        <f aca="false">IF($A25="","",직원목록!$B22)</f>
        <v/>
      </c>
      <c r="C25" s="13" t="str">
        <f aca="false">IF($A25="","",직원목록!$C22)</f>
        <v/>
      </c>
      <c r="D25" s="19" t="str">
        <f aca="false">IF($A25="","",COUNTIFS(출퇴근기록!$B$3:$B$3002,$A25,출퇴근기록!$H$3:$H$3002,"&gt;0",출퇴근기록!$A$3:$A$3002,"&gt;="&amp;DATE($B$3,$D$3,1),출퇴근기록!$A$3:$A$3002,"&lt;="&amp;EOMONTH(DATE($B$3,$D$3,1),0)))</f>
        <v/>
      </c>
      <c r="E25" s="16" t="str">
        <f aca="false">IF($A25="","",ROUND(SUMIFS(출퇴근기록!$H$3:$H$3002,출퇴근기록!$B$3:$B$3002,$A25,출퇴근기록!$I$3:$I$3002,"평일",출퇴근기록!$A$3:$A$3002,"&gt;="&amp;DATE($B$3,$D$3,1),출퇴근기록!$A$3:$A$3002,"&lt;="&amp;EOMONTH(DATE($B$3,$D$3,1),0)),2))</f>
        <v/>
      </c>
      <c r="F25" s="16" t="str">
        <f aca="false">IF($A25="","",ROUND(SUMIFS(출퇴근기록!$H$3:$H$3002,출퇴근기록!$B$3:$B$3002,$A25,출퇴근기록!$I$3:$I$3002,"휴일",출퇴근기록!$A$3:$A$3002,"&gt;="&amp;DATE($B$3,$D$3,1),출퇴근기록!$A$3:$A$3002,"&lt;="&amp;EOMONTH(DATE($B$3,$D$3,1),0)),2))</f>
        <v/>
      </c>
      <c r="G25" s="16" t="str">
        <f aca="false">IF($A25="","",ROUND(SUMIFS(출퇴근기록!$H$3:$H$3002,출퇴근기록!$B$3:$B$3002,$A25,출퇴근기록!$A$3:$A$3002,"&gt;="&amp;DATE($B$3,$D$3,1),출퇴근기록!$A$3:$A$3002,"&lt;="&amp;EOMONTH(DATE($B$3,$D$3,1),0)),2))</f>
        <v/>
      </c>
      <c r="H25" s="16" t="str">
        <f aca="false">IF($A25="","",ROUND($D25*IF(직원목록!$F22="",8,직원목록!$F22),2))</f>
        <v/>
      </c>
      <c r="I25" s="16" t="str">
        <f aca="false">IF($A25="","",ROUND($G25-$H25,2))</f>
        <v/>
      </c>
      <c r="J25" s="19" t="str">
        <f aca="false">IF($A25="","",COUNTIFS(출퇴근기록!$B$3:$B$3002,$A25,출퇴근기록!$I$3:$I$3002,"연차",출퇴근기록!$A$3:$A$3002,"&gt;="&amp;DATE($B$3,$D$3,1),출퇴근기록!$A$3:$A$3002,"&lt;="&amp;EOMONTH(DATE($B$3,$D$3,1),0)))</f>
        <v/>
      </c>
      <c r="K25" s="19" t="str">
        <f aca="false">IF($A25="","",COUNTIFS(출퇴근기록!$B$3:$B$3002,$A25,출퇴근기록!$I$3:$I$3002,"결근",출퇴근기록!$A$3:$A$3002,"&gt;="&amp;DATE($B$3,$D$3,1),출퇴근기록!$A$3:$A$3002,"&lt;="&amp;EOMONTH(DATE($B$3,$D$3,1),0)))</f>
        <v/>
      </c>
    </row>
    <row r="26" customFormat="false" ht="15" hidden="false" customHeight="true" outlineLevel="0" collapsed="false">
      <c r="A26" s="13" t="str">
        <f aca="false">IF(직원목록!$A23="","",직원목록!$A23)</f>
        <v/>
      </c>
      <c r="B26" s="13" t="str">
        <f aca="false">IF($A26="","",직원목록!$B23)</f>
        <v/>
      </c>
      <c r="C26" s="13" t="str">
        <f aca="false">IF($A26="","",직원목록!$C23)</f>
        <v/>
      </c>
      <c r="D26" s="19" t="str">
        <f aca="false">IF($A26="","",COUNTIFS(출퇴근기록!$B$3:$B$3002,$A26,출퇴근기록!$H$3:$H$3002,"&gt;0",출퇴근기록!$A$3:$A$3002,"&gt;="&amp;DATE($B$3,$D$3,1),출퇴근기록!$A$3:$A$3002,"&lt;="&amp;EOMONTH(DATE($B$3,$D$3,1),0)))</f>
        <v/>
      </c>
      <c r="E26" s="16" t="str">
        <f aca="false">IF($A26="","",ROUND(SUMIFS(출퇴근기록!$H$3:$H$3002,출퇴근기록!$B$3:$B$3002,$A26,출퇴근기록!$I$3:$I$3002,"평일",출퇴근기록!$A$3:$A$3002,"&gt;="&amp;DATE($B$3,$D$3,1),출퇴근기록!$A$3:$A$3002,"&lt;="&amp;EOMONTH(DATE($B$3,$D$3,1),0)),2))</f>
        <v/>
      </c>
      <c r="F26" s="16" t="str">
        <f aca="false">IF($A26="","",ROUND(SUMIFS(출퇴근기록!$H$3:$H$3002,출퇴근기록!$B$3:$B$3002,$A26,출퇴근기록!$I$3:$I$3002,"휴일",출퇴근기록!$A$3:$A$3002,"&gt;="&amp;DATE($B$3,$D$3,1),출퇴근기록!$A$3:$A$3002,"&lt;="&amp;EOMONTH(DATE($B$3,$D$3,1),0)),2))</f>
        <v/>
      </c>
      <c r="G26" s="16" t="str">
        <f aca="false">IF($A26="","",ROUND(SUMIFS(출퇴근기록!$H$3:$H$3002,출퇴근기록!$B$3:$B$3002,$A26,출퇴근기록!$A$3:$A$3002,"&gt;="&amp;DATE($B$3,$D$3,1),출퇴근기록!$A$3:$A$3002,"&lt;="&amp;EOMONTH(DATE($B$3,$D$3,1),0)),2))</f>
        <v/>
      </c>
      <c r="H26" s="16" t="str">
        <f aca="false">IF($A26="","",ROUND($D26*IF(직원목록!$F23="",8,직원목록!$F23),2))</f>
        <v/>
      </c>
      <c r="I26" s="16" t="str">
        <f aca="false">IF($A26="","",ROUND($G26-$H26,2))</f>
        <v/>
      </c>
      <c r="J26" s="19" t="str">
        <f aca="false">IF($A26="","",COUNTIFS(출퇴근기록!$B$3:$B$3002,$A26,출퇴근기록!$I$3:$I$3002,"연차",출퇴근기록!$A$3:$A$3002,"&gt;="&amp;DATE($B$3,$D$3,1),출퇴근기록!$A$3:$A$3002,"&lt;="&amp;EOMONTH(DATE($B$3,$D$3,1),0)))</f>
        <v/>
      </c>
      <c r="K26" s="19" t="str">
        <f aca="false">IF($A26="","",COUNTIFS(출퇴근기록!$B$3:$B$3002,$A26,출퇴근기록!$I$3:$I$3002,"결근",출퇴근기록!$A$3:$A$3002,"&gt;="&amp;DATE($B$3,$D$3,1),출퇴근기록!$A$3:$A$3002,"&lt;="&amp;EOMONTH(DATE($B$3,$D$3,1),0)))</f>
        <v/>
      </c>
    </row>
    <row r="27" customFormat="false" ht="15" hidden="false" customHeight="true" outlineLevel="0" collapsed="false">
      <c r="A27" s="13" t="str">
        <f aca="false">IF(직원목록!$A24="","",직원목록!$A24)</f>
        <v/>
      </c>
      <c r="B27" s="13" t="str">
        <f aca="false">IF($A27="","",직원목록!$B24)</f>
        <v/>
      </c>
      <c r="C27" s="13" t="str">
        <f aca="false">IF($A27="","",직원목록!$C24)</f>
        <v/>
      </c>
      <c r="D27" s="19" t="str">
        <f aca="false">IF($A27="","",COUNTIFS(출퇴근기록!$B$3:$B$3002,$A27,출퇴근기록!$H$3:$H$3002,"&gt;0",출퇴근기록!$A$3:$A$3002,"&gt;="&amp;DATE($B$3,$D$3,1),출퇴근기록!$A$3:$A$3002,"&lt;="&amp;EOMONTH(DATE($B$3,$D$3,1),0)))</f>
        <v/>
      </c>
      <c r="E27" s="16" t="str">
        <f aca="false">IF($A27="","",ROUND(SUMIFS(출퇴근기록!$H$3:$H$3002,출퇴근기록!$B$3:$B$3002,$A27,출퇴근기록!$I$3:$I$3002,"평일",출퇴근기록!$A$3:$A$3002,"&gt;="&amp;DATE($B$3,$D$3,1),출퇴근기록!$A$3:$A$3002,"&lt;="&amp;EOMONTH(DATE($B$3,$D$3,1),0)),2))</f>
        <v/>
      </c>
      <c r="F27" s="16" t="str">
        <f aca="false">IF($A27="","",ROUND(SUMIFS(출퇴근기록!$H$3:$H$3002,출퇴근기록!$B$3:$B$3002,$A27,출퇴근기록!$I$3:$I$3002,"휴일",출퇴근기록!$A$3:$A$3002,"&gt;="&amp;DATE($B$3,$D$3,1),출퇴근기록!$A$3:$A$3002,"&lt;="&amp;EOMONTH(DATE($B$3,$D$3,1),0)),2))</f>
        <v/>
      </c>
      <c r="G27" s="16" t="str">
        <f aca="false">IF($A27="","",ROUND(SUMIFS(출퇴근기록!$H$3:$H$3002,출퇴근기록!$B$3:$B$3002,$A27,출퇴근기록!$A$3:$A$3002,"&gt;="&amp;DATE($B$3,$D$3,1),출퇴근기록!$A$3:$A$3002,"&lt;="&amp;EOMONTH(DATE($B$3,$D$3,1),0)),2))</f>
        <v/>
      </c>
      <c r="H27" s="16" t="str">
        <f aca="false">IF($A27="","",ROUND($D27*IF(직원목록!$F24="",8,직원목록!$F24),2))</f>
        <v/>
      </c>
      <c r="I27" s="16" t="str">
        <f aca="false">IF($A27="","",ROUND($G27-$H27,2))</f>
        <v/>
      </c>
      <c r="J27" s="19" t="str">
        <f aca="false">IF($A27="","",COUNTIFS(출퇴근기록!$B$3:$B$3002,$A27,출퇴근기록!$I$3:$I$3002,"연차",출퇴근기록!$A$3:$A$3002,"&gt;="&amp;DATE($B$3,$D$3,1),출퇴근기록!$A$3:$A$3002,"&lt;="&amp;EOMONTH(DATE($B$3,$D$3,1),0)))</f>
        <v/>
      </c>
      <c r="K27" s="19" t="str">
        <f aca="false">IF($A27="","",COUNTIFS(출퇴근기록!$B$3:$B$3002,$A27,출퇴근기록!$I$3:$I$3002,"결근",출퇴근기록!$A$3:$A$3002,"&gt;="&amp;DATE($B$3,$D$3,1),출퇴근기록!$A$3:$A$3002,"&lt;="&amp;EOMONTH(DATE($B$3,$D$3,1),0)))</f>
        <v/>
      </c>
    </row>
    <row r="28" customFormat="false" ht="15" hidden="false" customHeight="true" outlineLevel="0" collapsed="false">
      <c r="A28" s="13" t="str">
        <f aca="false">IF(직원목록!$A25="","",직원목록!$A25)</f>
        <v/>
      </c>
      <c r="B28" s="13" t="str">
        <f aca="false">IF($A28="","",직원목록!$B25)</f>
        <v/>
      </c>
      <c r="C28" s="13" t="str">
        <f aca="false">IF($A28="","",직원목록!$C25)</f>
        <v/>
      </c>
      <c r="D28" s="19" t="str">
        <f aca="false">IF($A28="","",COUNTIFS(출퇴근기록!$B$3:$B$3002,$A28,출퇴근기록!$H$3:$H$3002,"&gt;0",출퇴근기록!$A$3:$A$3002,"&gt;="&amp;DATE($B$3,$D$3,1),출퇴근기록!$A$3:$A$3002,"&lt;="&amp;EOMONTH(DATE($B$3,$D$3,1),0)))</f>
        <v/>
      </c>
      <c r="E28" s="16" t="str">
        <f aca="false">IF($A28="","",ROUND(SUMIFS(출퇴근기록!$H$3:$H$3002,출퇴근기록!$B$3:$B$3002,$A28,출퇴근기록!$I$3:$I$3002,"평일",출퇴근기록!$A$3:$A$3002,"&gt;="&amp;DATE($B$3,$D$3,1),출퇴근기록!$A$3:$A$3002,"&lt;="&amp;EOMONTH(DATE($B$3,$D$3,1),0)),2))</f>
        <v/>
      </c>
      <c r="F28" s="16" t="str">
        <f aca="false">IF($A28="","",ROUND(SUMIFS(출퇴근기록!$H$3:$H$3002,출퇴근기록!$B$3:$B$3002,$A28,출퇴근기록!$I$3:$I$3002,"휴일",출퇴근기록!$A$3:$A$3002,"&gt;="&amp;DATE($B$3,$D$3,1),출퇴근기록!$A$3:$A$3002,"&lt;="&amp;EOMONTH(DATE($B$3,$D$3,1),0)),2))</f>
        <v/>
      </c>
      <c r="G28" s="16" t="str">
        <f aca="false">IF($A28="","",ROUND(SUMIFS(출퇴근기록!$H$3:$H$3002,출퇴근기록!$B$3:$B$3002,$A28,출퇴근기록!$A$3:$A$3002,"&gt;="&amp;DATE($B$3,$D$3,1),출퇴근기록!$A$3:$A$3002,"&lt;="&amp;EOMONTH(DATE($B$3,$D$3,1),0)),2))</f>
        <v/>
      </c>
      <c r="H28" s="16" t="str">
        <f aca="false">IF($A28="","",ROUND($D28*IF(직원목록!$F25="",8,직원목록!$F25),2))</f>
        <v/>
      </c>
      <c r="I28" s="16" t="str">
        <f aca="false">IF($A28="","",ROUND($G28-$H28,2))</f>
        <v/>
      </c>
      <c r="J28" s="19" t="str">
        <f aca="false">IF($A28="","",COUNTIFS(출퇴근기록!$B$3:$B$3002,$A28,출퇴근기록!$I$3:$I$3002,"연차",출퇴근기록!$A$3:$A$3002,"&gt;="&amp;DATE($B$3,$D$3,1),출퇴근기록!$A$3:$A$3002,"&lt;="&amp;EOMONTH(DATE($B$3,$D$3,1),0)))</f>
        <v/>
      </c>
      <c r="K28" s="19" t="str">
        <f aca="false">IF($A28="","",COUNTIFS(출퇴근기록!$B$3:$B$3002,$A28,출퇴근기록!$I$3:$I$3002,"결근",출퇴근기록!$A$3:$A$3002,"&gt;="&amp;DATE($B$3,$D$3,1),출퇴근기록!$A$3:$A$3002,"&lt;="&amp;EOMONTH(DATE($B$3,$D$3,1),0)))</f>
        <v/>
      </c>
    </row>
    <row r="29" customFormat="false" ht="15" hidden="false" customHeight="true" outlineLevel="0" collapsed="false">
      <c r="A29" s="13" t="str">
        <f aca="false">IF(직원목록!$A26="","",직원목록!$A26)</f>
        <v/>
      </c>
      <c r="B29" s="13" t="str">
        <f aca="false">IF($A29="","",직원목록!$B26)</f>
        <v/>
      </c>
      <c r="C29" s="13" t="str">
        <f aca="false">IF($A29="","",직원목록!$C26)</f>
        <v/>
      </c>
      <c r="D29" s="19" t="str">
        <f aca="false">IF($A29="","",COUNTIFS(출퇴근기록!$B$3:$B$3002,$A29,출퇴근기록!$H$3:$H$3002,"&gt;0",출퇴근기록!$A$3:$A$3002,"&gt;="&amp;DATE($B$3,$D$3,1),출퇴근기록!$A$3:$A$3002,"&lt;="&amp;EOMONTH(DATE($B$3,$D$3,1),0)))</f>
        <v/>
      </c>
      <c r="E29" s="16" t="str">
        <f aca="false">IF($A29="","",ROUND(SUMIFS(출퇴근기록!$H$3:$H$3002,출퇴근기록!$B$3:$B$3002,$A29,출퇴근기록!$I$3:$I$3002,"평일",출퇴근기록!$A$3:$A$3002,"&gt;="&amp;DATE($B$3,$D$3,1),출퇴근기록!$A$3:$A$3002,"&lt;="&amp;EOMONTH(DATE($B$3,$D$3,1),0)),2))</f>
        <v/>
      </c>
      <c r="F29" s="16" t="str">
        <f aca="false">IF($A29="","",ROUND(SUMIFS(출퇴근기록!$H$3:$H$3002,출퇴근기록!$B$3:$B$3002,$A29,출퇴근기록!$I$3:$I$3002,"휴일",출퇴근기록!$A$3:$A$3002,"&gt;="&amp;DATE($B$3,$D$3,1),출퇴근기록!$A$3:$A$3002,"&lt;="&amp;EOMONTH(DATE($B$3,$D$3,1),0)),2))</f>
        <v/>
      </c>
      <c r="G29" s="16" t="str">
        <f aca="false">IF($A29="","",ROUND(SUMIFS(출퇴근기록!$H$3:$H$3002,출퇴근기록!$B$3:$B$3002,$A29,출퇴근기록!$A$3:$A$3002,"&gt;="&amp;DATE($B$3,$D$3,1),출퇴근기록!$A$3:$A$3002,"&lt;="&amp;EOMONTH(DATE($B$3,$D$3,1),0)),2))</f>
        <v/>
      </c>
      <c r="H29" s="16" t="str">
        <f aca="false">IF($A29="","",ROUND($D29*IF(직원목록!$F26="",8,직원목록!$F26),2))</f>
        <v/>
      </c>
      <c r="I29" s="16" t="str">
        <f aca="false">IF($A29="","",ROUND($G29-$H29,2))</f>
        <v/>
      </c>
      <c r="J29" s="19" t="str">
        <f aca="false">IF($A29="","",COUNTIFS(출퇴근기록!$B$3:$B$3002,$A29,출퇴근기록!$I$3:$I$3002,"연차",출퇴근기록!$A$3:$A$3002,"&gt;="&amp;DATE($B$3,$D$3,1),출퇴근기록!$A$3:$A$3002,"&lt;="&amp;EOMONTH(DATE($B$3,$D$3,1),0)))</f>
        <v/>
      </c>
      <c r="K29" s="19" t="str">
        <f aca="false">IF($A29="","",COUNTIFS(출퇴근기록!$B$3:$B$3002,$A29,출퇴근기록!$I$3:$I$3002,"결근",출퇴근기록!$A$3:$A$3002,"&gt;="&amp;DATE($B$3,$D$3,1),출퇴근기록!$A$3:$A$3002,"&lt;="&amp;EOMONTH(DATE($B$3,$D$3,1),0)))</f>
        <v/>
      </c>
    </row>
    <row r="30" customFormat="false" ht="15" hidden="false" customHeight="true" outlineLevel="0" collapsed="false">
      <c r="A30" s="13" t="str">
        <f aca="false">IF(직원목록!$A27="","",직원목록!$A27)</f>
        <v/>
      </c>
      <c r="B30" s="13" t="str">
        <f aca="false">IF($A30="","",직원목록!$B27)</f>
        <v/>
      </c>
      <c r="C30" s="13" t="str">
        <f aca="false">IF($A30="","",직원목록!$C27)</f>
        <v/>
      </c>
      <c r="D30" s="19" t="str">
        <f aca="false">IF($A30="","",COUNTIFS(출퇴근기록!$B$3:$B$3002,$A30,출퇴근기록!$H$3:$H$3002,"&gt;0",출퇴근기록!$A$3:$A$3002,"&gt;="&amp;DATE($B$3,$D$3,1),출퇴근기록!$A$3:$A$3002,"&lt;="&amp;EOMONTH(DATE($B$3,$D$3,1),0)))</f>
        <v/>
      </c>
      <c r="E30" s="16" t="str">
        <f aca="false">IF($A30="","",ROUND(SUMIFS(출퇴근기록!$H$3:$H$3002,출퇴근기록!$B$3:$B$3002,$A30,출퇴근기록!$I$3:$I$3002,"평일",출퇴근기록!$A$3:$A$3002,"&gt;="&amp;DATE($B$3,$D$3,1),출퇴근기록!$A$3:$A$3002,"&lt;="&amp;EOMONTH(DATE($B$3,$D$3,1),0)),2))</f>
        <v/>
      </c>
      <c r="F30" s="16" t="str">
        <f aca="false">IF($A30="","",ROUND(SUMIFS(출퇴근기록!$H$3:$H$3002,출퇴근기록!$B$3:$B$3002,$A30,출퇴근기록!$I$3:$I$3002,"휴일",출퇴근기록!$A$3:$A$3002,"&gt;="&amp;DATE($B$3,$D$3,1),출퇴근기록!$A$3:$A$3002,"&lt;="&amp;EOMONTH(DATE($B$3,$D$3,1),0)),2))</f>
        <v/>
      </c>
      <c r="G30" s="16" t="str">
        <f aca="false">IF($A30="","",ROUND(SUMIFS(출퇴근기록!$H$3:$H$3002,출퇴근기록!$B$3:$B$3002,$A30,출퇴근기록!$A$3:$A$3002,"&gt;="&amp;DATE($B$3,$D$3,1),출퇴근기록!$A$3:$A$3002,"&lt;="&amp;EOMONTH(DATE($B$3,$D$3,1),0)),2))</f>
        <v/>
      </c>
      <c r="H30" s="16" t="str">
        <f aca="false">IF($A30="","",ROUND($D30*IF(직원목록!$F27="",8,직원목록!$F27),2))</f>
        <v/>
      </c>
      <c r="I30" s="16" t="str">
        <f aca="false">IF($A30="","",ROUND($G30-$H30,2))</f>
        <v/>
      </c>
      <c r="J30" s="19" t="str">
        <f aca="false">IF($A30="","",COUNTIFS(출퇴근기록!$B$3:$B$3002,$A30,출퇴근기록!$I$3:$I$3002,"연차",출퇴근기록!$A$3:$A$3002,"&gt;="&amp;DATE($B$3,$D$3,1),출퇴근기록!$A$3:$A$3002,"&lt;="&amp;EOMONTH(DATE($B$3,$D$3,1),0)))</f>
        <v/>
      </c>
      <c r="K30" s="19" t="str">
        <f aca="false">IF($A30="","",COUNTIFS(출퇴근기록!$B$3:$B$3002,$A30,출퇴근기록!$I$3:$I$3002,"결근",출퇴근기록!$A$3:$A$3002,"&gt;="&amp;DATE($B$3,$D$3,1),출퇴근기록!$A$3:$A$3002,"&lt;="&amp;EOMONTH(DATE($B$3,$D$3,1),0)))</f>
        <v/>
      </c>
    </row>
    <row r="31" customFormat="false" ht="15" hidden="false" customHeight="true" outlineLevel="0" collapsed="false">
      <c r="A31" s="13" t="str">
        <f aca="false">IF(직원목록!$A28="","",직원목록!$A28)</f>
        <v/>
      </c>
      <c r="B31" s="13" t="str">
        <f aca="false">IF($A31="","",직원목록!$B28)</f>
        <v/>
      </c>
      <c r="C31" s="13" t="str">
        <f aca="false">IF($A31="","",직원목록!$C28)</f>
        <v/>
      </c>
      <c r="D31" s="19" t="str">
        <f aca="false">IF($A31="","",COUNTIFS(출퇴근기록!$B$3:$B$3002,$A31,출퇴근기록!$H$3:$H$3002,"&gt;0",출퇴근기록!$A$3:$A$3002,"&gt;="&amp;DATE($B$3,$D$3,1),출퇴근기록!$A$3:$A$3002,"&lt;="&amp;EOMONTH(DATE($B$3,$D$3,1),0)))</f>
        <v/>
      </c>
      <c r="E31" s="16" t="str">
        <f aca="false">IF($A31="","",ROUND(SUMIFS(출퇴근기록!$H$3:$H$3002,출퇴근기록!$B$3:$B$3002,$A31,출퇴근기록!$I$3:$I$3002,"평일",출퇴근기록!$A$3:$A$3002,"&gt;="&amp;DATE($B$3,$D$3,1),출퇴근기록!$A$3:$A$3002,"&lt;="&amp;EOMONTH(DATE($B$3,$D$3,1),0)),2))</f>
        <v/>
      </c>
      <c r="F31" s="16" t="str">
        <f aca="false">IF($A31="","",ROUND(SUMIFS(출퇴근기록!$H$3:$H$3002,출퇴근기록!$B$3:$B$3002,$A31,출퇴근기록!$I$3:$I$3002,"휴일",출퇴근기록!$A$3:$A$3002,"&gt;="&amp;DATE($B$3,$D$3,1),출퇴근기록!$A$3:$A$3002,"&lt;="&amp;EOMONTH(DATE($B$3,$D$3,1),0)),2))</f>
        <v/>
      </c>
      <c r="G31" s="16" t="str">
        <f aca="false">IF($A31="","",ROUND(SUMIFS(출퇴근기록!$H$3:$H$3002,출퇴근기록!$B$3:$B$3002,$A31,출퇴근기록!$A$3:$A$3002,"&gt;="&amp;DATE($B$3,$D$3,1),출퇴근기록!$A$3:$A$3002,"&lt;="&amp;EOMONTH(DATE($B$3,$D$3,1),0)),2))</f>
        <v/>
      </c>
      <c r="H31" s="16" t="str">
        <f aca="false">IF($A31="","",ROUND($D31*IF(직원목록!$F28="",8,직원목록!$F28),2))</f>
        <v/>
      </c>
      <c r="I31" s="16" t="str">
        <f aca="false">IF($A31="","",ROUND($G31-$H31,2))</f>
        <v/>
      </c>
      <c r="J31" s="19" t="str">
        <f aca="false">IF($A31="","",COUNTIFS(출퇴근기록!$B$3:$B$3002,$A31,출퇴근기록!$I$3:$I$3002,"연차",출퇴근기록!$A$3:$A$3002,"&gt;="&amp;DATE($B$3,$D$3,1),출퇴근기록!$A$3:$A$3002,"&lt;="&amp;EOMONTH(DATE($B$3,$D$3,1),0)))</f>
        <v/>
      </c>
      <c r="K31" s="19" t="str">
        <f aca="false">IF($A31="","",COUNTIFS(출퇴근기록!$B$3:$B$3002,$A31,출퇴근기록!$I$3:$I$3002,"결근",출퇴근기록!$A$3:$A$3002,"&gt;="&amp;DATE($B$3,$D$3,1),출퇴근기록!$A$3:$A$3002,"&lt;="&amp;EOMONTH(DATE($B$3,$D$3,1),0)))</f>
        <v/>
      </c>
    </row>
    <row r="32" customFormat="false" ht="15" hidden="false" customHeight="true" outlineLevel="0" collapsed="false">
      <c r="A32" s="13" t="str">
        <f aca="false">IF(직원목록!$A29="","",직원목록!$A29)</f>
        <v/>
      </c>
      <c r="B32" s="13" t="str">
        <f aca="false">IF($A32="","",직원목록!$B29)</f>
        <v/>
      </c>
      <c r="C32" s="13" t="str">
        <f aca="false">IF($A32="","",직원목록!$C29)</f>
        <v/>
      </c>
      <c r="D32" s="19" t="str">
        <f aca="false">IF($A32="","",COUNTIFS(출퇴근기록!$B$3:$B$3002,$A32,출퇴근기록!$H$3:$H$3002,"&gt;0",출퇴근기록!$A$3:$A$3002,"&gt;="&amp;DATE($B$3,$D$3,1),출퇴근기록!$A$3:$A$3002,"&lt;="&amp;EOMONTH(DATE($B$3,$D$3,1),0)))</f>
        <v/>
      </c>
      <c r="E32" s="16" t="str">
        <f aca="false">IF($A32="","",ROUND(SUMIFS(출퇴근기록!$H$3:$H$3002,출퇴근기록!$B$3:$B$3002,$A32,출퇴근기록!$I$3:$I$3002,"평일",출퇴근기록!$A$3:$A$3002,"&gt;="&amp;DATE($B$3,$D$3,1),출퇴근기록!$A$3:$A$3002,"&lt;="&amp;EOMONTH(DATE($B$3,$D$3,1),0)),2))</f>
        <v/>
      </c>
      <c r="F32" s="16" t="str">
        <f aca="false">IF($A32="","",ROUND(SUMIFS(출퇴근기록!$H$3:$H$3002,출퇴근기록!$B$3:$B$3002,$A32,출퇴근기록!$I$3:$I$3002,"휴일",출퇴근기록!$A$3:$A$3002,"&gt;="&amp;DATE($B$3,$D$3,1),출퇴근기록!$A$3:$A$3002,"&lt;="&amp;EOMONTH(DATE($B$3,$D$3,1),0)),2))</f>
        <v/>
      </c>
      <c r="G32" s="16" t="str">
        <f aca="false">IF($A32="","",ROUND(SUMIFS(출퇴근기록!$H$3:$H$3002,출퇴근기록!$B$3:$B$3002,$A32,출퇴근기록!$A$3:$A$3002,"&gt;="&amp;DATE($B$3,$D$3,1),출퇴근기록!$A$3:$A$3002,"&lt;="&amp;EOMONTH(DATE($B$3,$D$3,1),0)),2))</f>
        <v/>
      </c>
      <c r="H32" s="16" t="str">
        <f aca="false">IF($A32="","",ROUND($D32*IF(직원목록!$F29="",8,직원목록!$F29),2))</f>
        <v/>
      </c>
      <c r="I32" s="16" t="str">
        <f aca="false">IF($A32="","",ROUND($G32-$H32,2))</f>
        <v/>
      </c>
      <c r="J32" s="19" t="str">
        <f aca="false">IF($A32="","",COUNTIFS(출퇴근기록!$B$3:$B$3002,$A32,출퇴근기록!$I$3:$I$3002,"연차",출퇴근기록!$A$3:$A$3002,"&gt;="&amp;DATE($B$3,$D$3,1),출퇴근기록!$A$3:$A$3002,"&lt;="&amp;EOMONTH(DATE($B$3,$D$3,1),0)))</f>
        <v/>
      </c>
      <c r="K32" s="19" t="str">
        <f aca="false">IF($A32="","",COUNTIFS(출퇴근기록!$B$3:$B$3002,$A32,출퇴근기록!$I$3:$I$3002,"결근",출퇴근기록!$A$3:$A$3002,"&gt;="&amp;DATE($B$3,$D$3,1),출퇴근기록!$A$3:$A$3002,"&lt;="&amp;EOMONTH(DATE($B$3,$D$3,1),0)))</f>
        <v/>
      </c>
    </row>
    <row r="33" customFormat="false" ht="15" hidden="false" customHeight="true" outlineLevel="0" collapsed="false">
      <c r="A33" s="13" t="str">
        <f aca="false">IF(직원목록!$A30="","",직원목록!$A30)</f>
        <v/>
      </c>
      <c r="B33" s="13" t="str">
        <f aca="false">IF($A33="","",직원목록!$B30)</f>
        <v/>
      </c>
      <c r="C33" s="13" t="str">
        <f aca="false">IF($A33="","",직원목록!$C30)</f>
        <v/>
      </c>
      <c r="D33" s="19" t="str">
        <f aca="false">IF($A33="","",COUNTIFS(출퇴근기록!$B$3:$B$3002,$A33,출퇴근기록!$H$3:$H$3002,"&gt;0",출퇴근기록!$A$3:$A$3002,"&gt;="&amp;DATE($B$3,$D$3,1),출퇴근기록!$A$3:$A$3002,"&lt;="&amp;EOMONTH(DATE($B$3,$D$3,1),0)))</f>
        <v/>
      </c>
      <c r="E33" s="16" t="str">
        <f aca="false">IF($A33="","",ROUND(SUMIFS(출퇴근기록!$H$3:$H$3002,출퇴근기록!$B$3:$B$3002,$A33,출퇴근기록!$I$3:$I$3002,"평일",출퇴근기록!$A$3:$A$3002,"&gt;="&amp;DATE($B$3,$D$3,1),출퇴근기록!$A$3:$A$3002,"&lt;="&amp;EOMONTH(DATE($B$3,$D$3,1),0)),2))</f>
        <v/>
      </c>
      <c r="F33" s="16" t="str">
        <f aca="false">IF($A33="","",ROUND(SUMIFS(출퇴근기록!$H$3:$H$3002,출퇴근기록!$B$3:$B$3002,$A33,출퇴근기록!$I$3:$I$3002,"휴일",출퇴근기록!$A$3:$A$3002,"&gt;="&amp;DATE($B$3,$D$3,1),출퇴근기록!$A$3:$A$3002,"&lt;="&amp;EOMONTH(DATE($B$3,$D$3,1),0)),2))</f>
        <v/>
      </c>
      <c r="G33" s="16" t="str">
        <f aca="false">IF($A33="","",ROUND(SUMIFS(출퇴근기록!$H$3:$H$3002,출퇴근기록!$B$3:$B$3002,$A33,출퇴근기록!$A$3:$A$3002,"&gt;="&amp;DATE($B$3,$D$3,1),출퇴근기록!$A$3:$A$3002,"&lt;="&amp;EOMONTH(DATE($B$3,$D$3,1),0)),2))</f>
        <v/>
      </c>
      <c r="H33" s="16" t="str">
        <f aca="false">IF($A33="","",ROUND($D33*IF(직원목록!$F30="",8,직원목록!$F30),2))</f>
        <v/>
      </c>
      <c r="I33" s="16" t="str">
        <f aca="false">IF($A33="","",ROUND($G33-$H33,2))</f>
        <v/>
      </c>
      <c r="J33" s="19" t="str">
        <f aca="false">IF($A33="","",COUNTIFS(출퇴근기록!$B$3:$B$3002,$A33,출퇴근기록!$I$3:$I$3002,"연차",출퇴근기록!$A$3:$A$3002,"&gt;="&amp;DATE($B$3,$D$3,1),출퇴근기록!$A$3:$A$3002,"&lt;="&amp;EOMONTH(DATE($B$3,$D$3,1),0)))</f>
        <v/>
      </c>
      <c r="K33" s="19" t="str">
        <f aca="false">IF($A33="","",COUNTIFS(출퇴근기록!$B$3:$B$3002,$A33,출퇴근기록!$I$3:$I$3002,"결근",출퇴근기록!$A$3:$A$3002,"&gt;="&amp;DATE($B$3,$D$3,1),출퇴근기록!$A$3:$A$3002,"&lt;="&amp;EOMONTH(DATE($B$3,$D$3,1),0)))</f>
        <v/>
      </c>
    </row>
    <row r="34" customFormat="false" ht="15" hidden="false" customHeight="true" outlineLevel="0" collapsed="false">
      <c r="A34" s="13" t="str">
        <f aca="false">IF(직원목록!$A31="","",직원목록!$A31)</f>
        <v/>
      </c>
      <c r="B34" s="13" t="str">
        <f aca="false">IF($A34="","",직원목록!$B31)</f>
        <v/>
      </c>
      <c r="C34" s="13" t="str">
        <f aca="false">IF($A34="","",직원목록!$C31)</f>
        <v/>
      </c>
      <c r="D34" s="19" t="str">
        <f aca="false">IF($A34="","",COUNTIFS(출퇴근기록!$B$3:$B$3002,$A34,출퇴근기록!$H$3:$H$3002,"&gt;0",출퇴근기록!$A$3:$A$3002,"&gt;="&amp;DATE($B$3,$D$3,1),출퇴근기록!$A$3:$A$3002,"&lt;="&amp;EOMONTH(DATE($B$3,$D$3,1),0)))</f>
        <v/>
      </c>
      <c r="E34" s="16" t="str">
        <f aca="false">IF($A34="","",ROUND(SUMIFS(출퇴근기록!$H$3:$H$3002,출퇴근기록!$B$3:$B$3002,$A34,출퇴근기록!$I$3:$I$3002,"평일",출퇴근기록!$A$3:$A$3002,"&gt;="&amp;DATE($B$3,$D$3,1),출퇴근기록!$A$3:$A$3002,"&lt;="&amp;EOMONTH(DATE($B$3,$D$3,1),0)),2))</f>
        <v/>
      </c>
      <c r="F34" s="16" t="str">
        <f aca="false">IF($A34="","",ROUND(SUMIFS(출퇴근기록!$H$3:$H$3002,출퇴근기록!$B$3:$B$3002,$A34,출퇴근기록!$I$3:$I$3002,"휴일",출퇴근기록!$A$3:$A$3002,"&gt;="&amp;DATE($B$3,$D$3,1),출퇴근기록!$A$3:$A$3002,"&lt;="&amp;EOMONTH(DATE($B$3,$D$3,1),0)),2))</f>
        <v/>
      </c>
      <c r="G34" s="16" t="str">
        <f aca="false">IF($A34="","",ROUND(SUMIFS(출퇴근기록!$H$3:$H$3002,출퇴근기록!$B$3:$B$3002,$A34,출퇴근기록!$A$3:$A$3002,"&gt;="&amp;DATE($B$3,$D$3,1),출퇴근기록!$A$3:$A$3002,"&lt;="&amp;EOMONTH(DATE($B$3,$D$3,1),0)),2))</f>
        <v/>
      </c>
      <c r="H34" s="16" t="str">
        <f aca="false">IF($A34="","",ROUND($D34*IF(직원목록!$F31="",8,직원목록!$F31),2))</f>
        <v/>
      </c>
      <c r="I34" s="16" t="str">
        <f aca="false">IF($A34="","",ROUND($G34-$H34,2))</f>
        <v/>
      </c>
      <c r="J34" s="19" t="str">
        <f aca="false">IF($A34="","",COUNTIFS(출퇴근기록!$B$3:$B$3002,$A34,출퇴근기록!$I$3:$I$3002,"연차",출퇴근기록!$A$3:$A$3002,"&gt;="&amp;DATE($B$3,$D$3,1),출퇴근기록!$A$3:$A$3002,"&lt;="&amp;EOMONTH(DATE($B$3,$D$3,1),0)))</f>
        <v/>
      </c>
      <c r="K34" s="19" t="str">
        <f aca="false">IF($A34="","",COUNTIFS(출퇴근기록!$B$3:$B$3002,$A34,출퇴근기록!$I$3:$I$3002,"결근",출퇴근기록!$A$3:$A$3002,"&gt;="&amp;DATE($B$3,$D$3,1),출퇴근기록!$A$3:$A$3002,"&lt;="&amp;EOMONTH(DATE($B$3,$D$3,1),0)))</f>
        <v/>
      </c>
    </row>
    <row r="35" customFormat="false" ht="15" hidden="false" customHeight="true" outlineLevel="0" collapsed="false">
      <c r="A35" s="13" t="str">
        <f aca="false">IF(직원목록!$A32="","",직원목록!$A32)</f>
        <v/>
      </c>
      <c r="B35" s="13" t="str">
        <f aca="false">IF($A35="","",직원목록!$B32)</f>
        <v/>
      </c>
      <c r="C35" s="13" t="str">
        <f aca="false">IF($A35="","",직원목록!$C32)</f>
        <v/>
      </c>
      <c r="D35" s="19" t="str">
        <f aca="false">IF($A35="","",COUNTIFS(출퇴근기록!$B$3:$B$3002,$A35,출퇴근기록!$H$3:$H$3002,"&gt;0",출퇴근기록!$A$3:$A$3002,"&gt;="&amp;DATE($B$3,$D$3,1),출퇴근기록!$A$3:$A$3002,"&lt;="&amp;EOMONTH(DATE($B$3,$D$3,1),0)))</f>
        <v/>
      </c>
      <c r="E35" s="16" t="str">
        <f aca="false">IF($A35="","",ROUND(SUMIFS(출퇴근기록!$H$3:$H$3002,출퇴근기록!$B$3:$B$3002,$A35,출퇴근기록!$I$3:$I$3002,"평일",출퇴근기록!$A$3:$A$3002,"&gt;="&amp;DATE($B$3,$D$3,1),출퇴근기록!$A$3:$A$3002,"&lt;="&amp;EOMONTH(DATE($B$3,$D$3,1),0)),2))</f>
        <v/>
      </c>
      <c r="F35" s="16" t="str">
        <f aca="false">IF($A35="","",ROUND(SUMIFS(출퇴근기록!$H$3:$H$3002,출퇴근기록!$B$3:$B$3002,$A35,출퇴근기록!$I$3:$I$3002,"휴일",출퇴근기록!$A$3:$A$3002,"&gt;="&amp;DATE($B$3,$D$3,1),출퇴근기록!$A$3:$A$3002,"&lt;="&amp;EOMONTH(DATE($B$3,$D$3,1),0)),2))</f>
        <v/>
      </c>
      <c r="G35" s="16" t="str">
        <f aca="false">IF($A35="","",ROUND(SUMIFS(출퇴근기록!$H$3:$H$3002,출퇴근기록!$B$3:$B$3002,$A35,출퇴근기록!$A$3:$A$3002,"&gt;="&amp;DATE($B$3,$D$3,1),출퇴근기록!$A$3:$A$3002,"&lt;="&amp;EOMONTH(DATE($B$3,$D$3,1),0)),2))</f>
        <v/>
      </c>
      <c r="H35" s="16" t="str">
        <f aca="false">IF($A35="","",ROUND($D35*IF(직원목록!$F32="",8,직원목록!$F32),2))</f>
        <v/>
      </c>
      <c r="I35" s="16" t="str">
        <f aca="false">IF($A35="","",ROUND($G35-$H35,2))</f>
        <v/>
      </c>
      <c r="J35" s="19" t="str">
        <f aca="false">IF($A35="","",COUNTIFS(출퇴근기록!$B$3:$B$3002,$A35,출퇴근기록!$I$3:$I$3002,"연차",출퇴근기록!$A$3:$A$3002,"&gt;="&amp;DATE($B$3,$D$3,1),출퇴근기록!$A$3:$A$3002,"&lt;="&amp;EOMONTH(DATE($B$3,$D$3,1),0)))</f>
        <v/>
      </c>
      <c r="K35" s="19" t="str">
        <f aca="false">IF($A35="","",COUNTIFS(출퇴근기록!$B$3:$B$3002,$A35,출퇴근기록!$I$3:$I$3002,"결근",출퇴근기록!$A$3:$A$3002,"&gt;="&amp;DATE($B$3,$D$3,1),출퇴근기록!$A$3:$A$3002,"&lt;="&amp;EOMONTH(DATE($B$3,$D$3,1),0)))</f>
        <v/>
      </c>
    </row>
    <row r="36" customFormat="false" ht="15" hidden="false" customHeight="true" outlineLevel="0" collapsed="false">
      <c r="A36" s="13" t="str">
        <f aca="false">IF(직원목록!$A33="","",직원목록!$A33)</f>
        <v/>
      </c>
      <c r="B36" s="13" t="str">
        <f aca="false">IF($A36="","",직원목록!$B33)</f>
        <v/>
      </c>
      <c r="C36" s="13" t="str">
        <f aca="false">IF($A36="","",직원목록!$C33)</f>
        <v/>
      </c>
      <c r="D36" s="19" t="str">
        <f aca="false">IF($A36="","",COUNTIFS(출퇴근기록!$B$3:$B$3002,$A36,출퇴근기록!$H$3:$H$3002,"&gt;0",출퇴근기록!$A$3:$A$3002,"&gt;="&amp;DATE($B$3,$D$3,1),출퇴근기록!$A$3:$A$3002,"&lt;="&amp;EOMONTH(DATE($B$3,$D$3,1),0)))</f>
        <v/>
      </c>
      <c r="E36" s="16" t="str">
        <f aca="false">IF($A36="","",ROUND(SUMIFS(출퇴근기록!$H$3:$H$3002,출퇴근기록!$B$3:$B$3002,$A36,출퇴근기록!$I$3:$I$3002,"평일",출퇴근기록!$A$3:$A$3002,"&gt;="&amp;DATE($B$3,$D$3,1),출퇴근기록!$A$3:$A$3002,"&lt;="&amp;EOMONTH(DATE($B$3,$D$3,1),0)),2))</f>
        <v/>
      </c>
      <c r="F36" s="16" t="str">
        <f aca="false">IF($A36="","",ROUND(SUMIFS(출퇴근기록!$H$3:$H$3002,출퇴근기록!$B$3:$B$3002,$A36,출퇴근기록!$I$3:$I$3002,"휴일",출퇴근기록!$A$3:$A$3002,"&gt;="&amp;DATE($B$3,$D$3,1),출퇴근기록!$A$3:$A$3002,"&lt;="&amp;EOMONTH(DATE($B$3,$D$3,1),0)),2))</f>
        <v/>
      </c>
      <c r="G36" s="16" t="str">
        <f aca="false">IF($A36="","",ROUND(SUMIFS(출퇴근기록!$H$3:$H$3002,출퇴근기록!$B$3:$B$3002,$A36,출퇴근기록!$A$3:$A$3002,"&gt;="&amp;DATE($B$3,$D$3,1),출퇴근기록!$A$3:$A$3002,"&lt;="&amp;EOMONTH(DATE($B$3,$D$3,1),0)),2))</f>
        <v/>
      </c>
      <c r="H36" s="16" t="str">
        <f aca="false">IF($A36="","",ROUND($D36*IF(직원목록!$F33="",8,직원목록!$F33),2))</f>
        <v/>
      </c>
      <c r="I36" s="16" t="str">
        <f aca="false">IF($A36="","",ROUND($G36-$H36,2))</f>
        <v/>
      </c>
      <c r="J36" s="19" t="str">
        <f aca="false">IF($A36="","",COUNTIFS(출퇴근기록!$B$3:$B$3002,$A36,출퇴근기록!$I$3:$I$3002,"연차",출퇴근기록!$A$3:$A$3002,"&gt;="&amp;DATE($B$3,$D$3,1),출퇴근기록!$A$3:$A$3002,"&lt;="&amp;EOMONTH(DATE($B$3,$D$3,1),0)))</f>
        <v/>
      </c>
      <c r="K36" s="19" t="str">
        <f aca="false">IF($A36="","",COUNTIFS(출퇴근기록!$B$3:$B$3002,$A36,출퇴근기록!$I$3:$I$3002,"결근",출퇴근기록!$A$3:$A$3002,"&gt;="&amp;DATE($B$3,$D$3,1),출퇴근기록!$A$3:$A$3002,"&lt;="&amp;EOMONTH(DATE($B$3,$D$3,1),0)))</f>
        <v/>
      </c>
    </row>
    <row r="37" customFormat="false" ht="15" hidden="false" customHeight="true" outlineLevel="0" collapsed="false">
      <c r="A37" s="13" t="str">
        <f aca="false">IF(직원목록!$A34="","",직원목록!$A34)</f>
        <v/>
      </c>
      <c r="B37" s="13" t="str">
        <f aca="false">IF($A37="","",직원목록!$B34)</f>
        <v/>
      </c>
      <c r="C37" s="13" t="str">
        <f aca="false">IF($A37="","",직원목록!$C34)</f>
        <v/>
      </c>
      <c r="D37" s="19" t="str">
        <f aca="false">IF($A37="","",COUNTIFS(출퇴근기록!$B$3:$B$3002,$A37,출퇴근기록!$H$3:$H$3002,"&gt;0",출퇴근기록!$A$3:$A$3002,"&gt;="&amp;DATE($B$3,$D$3,1),출퇴근기록!$A$3:$A$3002,"&lt;="&amp;EOMONTH(DATE($B$3,$D$3,1),0)))</f>
        <v/>
      </c>
      <c r="E37" s="16" t="str">
        <f aca="false">IF($A37="","",ROUND(SUMIFS(출퇴근기록!$H$3:$H$3002,출퇴근기록!$B$3:$B$3002,$A37,출퇴근기록!$I$3:$I$3002,"평일",출퇴근기록!$A$3:$A$3002,"&gt;="&amp;DATE($B$3,$D$3,1),출퇴근기록!$A$3:$A$3002,"&lt;="&amp;EOMONTH(DATE($B$3,$D$3,1),0)),2))</f>
        <v/>
      </c>
      <c r="F37" s="16" t="str">
        <f aca="false">IF($A37="","",ROUND(SUMIFS(출퇴근기록!$H$3:$H$3002,출퇴근기록!$B$3:$B$3002,$A37,출퇴근기록!$I$3:$I$3002,"휴일",출퇴근기록!$A$3:$A$3002,"&gt;="&amp;DATE($B$3,$D$3,1),출퇴근기록!$A$3:$A$3002,"&lt;="&amp;EOMONTH(DATE($B$3,$D$3,1),0)),2))</f>
        <v/>
      </c>
      <c r="G37" s="16" t="str">
        <f aca="false">IF($A37="","",ROUND(SUMIFS(출퇴근기록!$H$3:$H$3002,출퇴근기록!$B$3:$B$3002,$A37,출퇴근기록!$A$3:$A$3002,"&gt;="&amp;DATE($B$3,$D$3,1),출퇴근기록!$A$3:$A$3002,"&lt;="&amp;EOMONTH(DATE($B$3,$D$3,1),0)),2))</f>
        <v/>
      </c>
      <c r="H37" s="16" t="str">
        <f aca="false">IF($A37="","",ROUND($D37*IF(직원목록!$F34="",8,직원목록!$F34),2))</f>
        <v/>
      </c>
      <c r="I37" s="16" t="str">
        <f aca="false">IF($A37="","",ROUND($G37-$H37,2))</f>
        <v/>
      </c>
      <c r="J37" s="19" t="str">
        <f aca="false">IF($A37="","",COUNTIFS(출퇴근기록!$B$3:$B$3002,$A37,출퇴근기록!$I$3:$I$3002,"연차",출퇴근기록!$A$3:$A$3002,"&gt;="&amp;DATE($B$3,$D$3,1),출퇴근기록!$A$3:$A$3002,"&lt;="&amp;EOMONTH(DATE($B$3,$D$3,1),0)))</f>
        <v/>
      </c>
      <c r="K37" s="19" t="str">
        <f aca="false">IF($A37="","",COUNTIFS(출퇴근기록!$B$3:$B$3002,$A37,출퇴근기록!$I$3:$I$3002,"결근",출퇴근기록!$A$3:$A$3002,"&gt;="&amp;DATE($B$3,$D$3,1),출퇴근기록!$A$3:$A$3002,"&lt;="&amp;EOMONTH(DATE($B$3,$D$3,1),0)))</f>
        <v/>
      </c>
    </row>
    <row r="38" customFormat="false" ht="15" hidden="false" customHeight="true" outlineLevel="0" collapsed="false">
      <c r="A38" s="13" t="str">
        <f aca="false">IF(직원목록!$A35="","",직원목록!$A35)</f>
        <v/>
      </c>
      <c r="B38" s="13" t="str">
        <f aca="false">IF($A38="","",직원목록!$B35)</f>
        <v/>
      </c>
      <c r="C38" s="13" t="str">
        <f aca="false">IF($A38="","",직원목록!$C35)</f>
        <v/>
      </c>
      <c r="D38" s="19" t="str">
        <f aca="false">IF($A38="","",COUNTIFS(출퇴근기록!$B$3:$B$3002,$A38,출퇴근기록!$H$3:$H$3002,"&gt;0",출퇴근기록!$A$3:$A$3002,"&gt;="&amp;DATE($B$3,$D$3,1),출퇴근기록!$A$3:$A$3002,"&lt;="&amp;EOMONTH(DATE($B$3,$D$3,1),0)))</f>
        <v/>
      </c>
      <c r="E38" s="16" t="str">
        <f aca="false">IF($A38="","",ROUND(SUMIFS(출퇴근기록!$H$3:$H$3002,출퇴근기록!$B$3:$B$3002,$A38,출퇴근기록!$I$3:$I$3002,"평일",출퇴근기록!$A$3:$A$3002,"&gt;="&amp;DATE($B$3,$D$3,1),출퇴근기록!$A$3:$A$3002,"&lt;="&amp;EOMONTH(DATE($B$3,$D$3,1),0)),2))</f>
        <v/>
      </c>
      <c r="F38" s="16" t="str">
        <f aca="false">IF($A38="","",ROUND(SUMIFS(출퇴근기록!$H$3:$H$3002,출퇴근기록!$B$3:$B$3002,$A38,출퇴근기록!$I$3:$I$3002,"휴일",출퇴근기록!$A$3:$A$3002,"&gt;="&amp;DATE($B$3,$D$3,1),출퇴근기록!$A$3:$A$3002,"&lt;="&amp;EOMONTH(DATE($B$3,$D$3,1),0)),2))</f>
        <v/>
      </c>
      <c r="G38" s="16" t="str">
        <f aca="false">IF($A38="","",ROUND(SUMIFS(출퇴근기록!$H$3:$H$3002,출퇴근기록!$B$3:$B$3002,$A38,출퇴근기록!$A$3:$A$3002,"&gt;="&amp;DATE($B$3,$D$3,1),출퇴근기록!$A$3:$A$3002,"&lt;="&amp;EOMONTH(DATE($B$3,$D$3,1),0)),2))</f>
        <v/>
      </c>
      <c r="H38" s="16" t="str">
        <f aca="false">IF($A38="","",ROUND($D38*IF(직원목록!$F35="",8,직원목록!$F35),2))</f>
        <v/>
      </c>
      <c r="I38" s="16" t="str">
        <f aca="false">IF($A38="","",ROUND($G38-$H38,2))</f>
        <v/>
      </c>
      <c r="J38" s="19" t="str">
        <f aca="false">IF($A38="","",COUNTIFS(출퇴근기록!$B$3:$B$3002,$A38,출퇴근기록!$I$3:$I$3002,"연차",출퇴근기록!$A$3:$A$3002,"&gt;="&amp;DATE($B$3,$D$3,1),출퇴근기록!$A$3:$A$3002,"&lt;="&amp;EOMONTH(DATE($B$3,$D$3,1),0)))</f>
        <v/>
      </c>
      <c r="K38" s="19" t="str">
        <f aca="false">IF($A38="","",COUNTIFS(출퇴근기록!$B$3:$B$3002,$A38,출퇴근기록!$I$3:$I$3002,"결근",출퇴근기록!$A$3:$A$3002,"&gt;="&amp;DATE($B$3,$D$3,1),출퇴근기록!$A$3:$A$3002,"&lt;="&amp;EOMONTH(DATE($B$3,$D$3,1),0)))</f>
        <v/>
      </c>
    </row>
    <row r="39" customFormat="false" ht="15" hidden="false" customHeight="true" outlineLevel="0" collapsed="false">
      <c r="A39" s="13" t="str">
        <f aca="false">IF(직원목록!$A36="","",직원목록!$A36)</f>
        <v/>
      </c>
      <c r="B39" s="13" t="str">
        <f aca="false">IF($A39="","",직원목록!$B36)</f>
        <v/>
      </c>
      <c r="C39" s="13" t="str">
        <f aca="false">IF($A39="","",직원목록!$C36)</f>
        <v/>
      </c>
      <c r="D39" s="19" t="str">
        <f aca="false">IF($A39="","",COUNTIFS(출퇴근기록!$B$3:$B$3002,$A39,출퇴근기록!$H$3:$H$3002,"&gt;0",출퇴근기록!$A$3:$A$3002,"&gt;="&amp;DATE($B$3,$D$3,1),출퇴근기록!$A$3:$A$3002,"&lt;="&amp;EOMONTH(DATE($B$3,$D$3,1),0)))</f>
        <v/>
      </c>
      <c r="E39" s="16" t="str">
        <f aca="false">IF($A39="","",ROUND(SUMIFS(출퇴근기록!$H$3:$H$3002,출퇴근기록!$B$3:$B$3002,$A39,출퇴근기록!$I$3:$I$3002,"평일",출퇴근기록!$A$3:$A$3002,"&gt;="&amp;DATE($B$3,$D$3,1),출퇴근기록!$A$3:$A$3002,"&lt;="&amp;EOMONTH(DATE($B$3,$D$3,1),0)),2))</f>
        <v/>
      </c>
      <c r="F39" s="16" t="str">
        <f aca="false">IF($A39="","",ROUND(SUMIFS(출퇴근기록!$H$3:$H$3002,출퇴근기록!$B$3:$B$3002,$A39,출퇴근기록!$I$3:$I$3002,"휴일",출퇴근기록!$A$3:$A$3002,"&gt;="&amp;DATE($B$3,$D$3,1),출퇴근기록!$A$3:$A$3002,"&lt;="&amp;EOMONTH(DATE($B$3,$D$3,1),0)),2))</f>
        <v/>
      </c>
      <c r="G39" s="16" t="str">
        <f aca="false">IF($A39="","",ROUND(SUMIFS(출퇴근기록!$H$3:$H$3002,출퇴근기록!$B$3:$B$3002,$A39,출퇴근기록!$A$3:$A$3002,"&gt;="&amp;DATE($B$3,$D$3,1),출퇴근기록!$A$3:$A$3002,"&lt;="&amp;EOMONTH(DATE($B$3,$D$3,1),0)),2))</f>
        <v/>
      </c>
      <c r="H39" s="16" t="str">
        <f aca="false">IF($A39="","",ROUND($D39*IF(직원목록!$F36="",8,직원목록!$F36),2))</f>
        <v/>
      </c>
      <c r="I39" s="16" t="str">
        <f aca="false">IF($A39="","",ROUND($G39-$H39,2))</f>
        <v/>
      </c>
      <c r="J39" s="19" t="str">
        <f aca="false">IF($A39="","",COUNTIFS(출퇴근기록!$B$3:$B$3002,$A39,출퇴근기록!$I$3:$I$3002,"연차",출퇴근기록!$A$3:$A$3002,"&gt;="&amp;DATE($B$3,$D$3,1),출퇴근기록!$A$3:$A$3002,"&lt;="&amp;EOMONTH(DATE($B$3,$D$3,1),0)))</f>
        <v/>
      </c>
      <c r="K39" s="19" t="str">
        <f aca="false">IF($A39="","",COUNTIFS(출퇴근기록!$B$3:$B$3002,$A39,출퇴근기록!$I$3:$I$3002,"결근",출퇴근기록!$A$3:$A$3002,"&gt;="&amp;DATE($B$3,$D$3,1),출퇴근기록!$A$3:$A$3002,"&lt;="&amp;EOMONTH(DATE($B$3,$D$3,1),0)))</f>
        <v/>
      </c>
    </row>
    <row r="40" customFormat="false" ht="15" hidden="false" customHeight="true" outlineLevel="0" collapsed="false">
      <c r="A40" s="13" t="str">
        <f aca="false">IF(직원목록!$A37="","",직원목록!$A37)</f>
        <v/>
      </c>
      <c r="B40" s="13" t="str">
        <f aca="false">IF($A40="","",직원목록!$B37)</f>
        <v/>
      </c>
      <c r="C40" s="13" t="str">
        <f aca="false">IF($A40="","",직원목록!$C37)</f>
        <v/>
      </c>
      <c r="D40" s="19" t="str">
        <f aca="false">IF($A40="","",COUNTIFS(출퇴근기록!$B$3:$B$3002,$A40,출퇴근기록!$H$3:$H$3002,"&gt;0",출퇴근기록!$A$3:$A$3002,"&gt;="&amp;DATE($B$3,$D$3,1),출퇴근기록!$A$3:$A$3002,"&lt;="&amp;EOMONTH(DATE($B$3,$D$3,1),0)))</f>
        <v/>
      </c>
      <c r="E40" s="16" t="str">
        <f aca="false">IF($A40="","",ROUND(SUMIFS(출퇴근기록!$H$3:$H$3002,출퇴근기록!$B$3:$B$3002,$A40,출퇴근기록!$I$3:$I$3002,"평일",출퇴근기록!$A$3:$A$3002,"&gt;="&amp;DATE($B$3,$D$3,1),출퇴근기록!$A$3:$A$3002,"&lt;="&amp;EOMONTH(DATE($B$3,$D$3,1),0)),2))</f>
        <v/>
      </c>
      <c r="F40" s="16" t="str">
        <f aca="false">IF($A40="","",ROUND(SUMIFS(출퇴근기록!$H$3:$H$3002,출퇴근기록!$B$3:$B$3002,$A40,출퇴근기록!$I$3:$I$3002,"휴일",출퇴근기록!$A$3:$A$3002,"&gt;="&amp;DATE($B$3,$D$3,1),출퇴근기록!$A$3:$A$3002,"&lt;="&amp;EOMONTH(DATE($B$3,$D$3,1),0)),2))</f>
        <v/>
      </c>
      <c r="G40" s="16" t="str">
        <f aca="false">IF($A40="","",ROUND(SUMIFS(출퇴근기록!$H$3:$H$3002,출퇴근기록!$B$3:$B$3002,$A40,출퇴근기록!$A$3:$A$3002,"&gt;="&amp;DATE($B$3,$D$3,1),출퇴근기록!$A$3:$A$3002,"&lt;="&amp;EOMONTH(DATE($B$3,$D$3,1),0)),2))</f>
        <v/>
      </c>
      <c r="H40" s="16" t="str">
        <f aca="false">IF($A40="","",ROUND($D40*IF(직원목록!$F37="",8,직원목록!$F37),2))</f>
        <v/>
      </c>
      <c r="I40" s="16" t="str">
        <f aca="false">IF($A40="","",ROUND($G40-$H40,2))</f>
        <v/>
      </c>
      <c r="J40" s="19" t="str">
        <f aca="false">IF($A40="","",COUNTIFS(출퇴근기록!$B$3:$B$3002,$A40,출퇴근기록!$I$3:$I$3002,"연차",출퇴근기록!$A$3:$A$3002,"&gt;="&amp;DATE($B$3,$D$3,1),출퇴근기록!$A$3:$A$3002,"&lt;="&amp;EOMONTH(DATE($B$3,$D$3,1),0)))</f>
        <v/>
      </c>
      <c r="K40" s="19" t="str">
        <f aca="false">IF($A40="","",COUNTIFS(출퇴근기록!$B$3:$B$3002,$A40,출퇴근기록!$I$3:$I$3002,"결근",출퇴근기록!$A$3:$A$3002,"&gt;="&amp;DATE($B$3,$D$3,1),출퇴근기록!$A$3:$A$3002,"&lt;="&amp;EOMONTH(DATE($B$3,$D$3,1),0)))</f>
        <v/>
      </c>
    </row>
    <row r="41" customFormat="false" ht="15" hidden="false" customHeight="true" outlineLevel="0" collapsed="false">
      <c r="A41" s="13" t="str">
        <f aca="false">IF(직원목록!$A38="","",직원목록!$A38)</f>
        <v/>
      </c>
      <c r="B41" s="13" t="str">
        <f aca="false">IF($A41="","",직원목록!$B38)</f>
        <v/>
      </c>
      <c r="C41" s="13" t="str">
        <f aca="false">IF($A41="","",직원목록!$C38)</f>
        <v/>
      </c>
      <c r="D41" s="19" t="str">
        <f aca="false">IF($A41="","",COUNTIFS(출퇴근기록!$B$3:$B$3002,$A41,출퇴근기록!$H$3:$H$3002,"&gt;0",출퇴근기록!$A$3:$A$3002,"&gt;="&amp;DATE($B$3,$D$3,1),출퇴근기록!$A$3:$A$3002,"&lt;="&amp;EOMONTH(DATE($B$3,$D$3,1),0)))</f>
        <v/>
      </c>
      <c r="E41" s="16" t="str">
        <f aca="false">IF($A41="","",ROUND(SUMIFS(출퇴근기록!$H$3:$H$3002,출퇴근기록!$B$3:$B$3002,$A41,출퇴근기록!$I$3:$I$3002,"평일",출퇴근기록!$A$3:$A$3002,"&gt;="&amp;DATE($B$3,$D$3,1),출퇴근기록!$A$3:$A$3002,"&lt;="&amp;EOMONTH(DATE($B$3,$D$3,1),0)),2))</f>
        <v/>
      </c>
      <c r="F41" s="16" t="str">
        <f aca="false">IF($A41="","",ROUND(SUMIFS(출퇴근기록!$H$3:$H$3002,출퇴근기록!$B$3:$B$3002,$A41,출퇴근기록!$I$3:$I$3002,"휴일",출퇴근기록!$A$3:$A$3002,"&gt;="&amp;DATE($B$3,$D$3,1),출퇴근기록!$A$3:$A$3002,"&lt;="&amp;EOMONTH(DATE($B$3,$D$3,1),0)),2))</f>
        <v/>
      </c>
      <c r="G41" s="16" t="str">
        <f aca="false">IF($A41="","",ROUND(SUMIFS(출퇴근기록!$H$3:$H$3002,출퇴근기록!$B$3:$B$3002,$A41,출퇴근기록!$A$3:$A$3002,"&gt;="&amp;DATE($B$3,$D$3,1),출퇴근기록!$A$3:$A$3002,"&lt;="&amp;EOMONTH(DATE($B$3,$D$3,1),0)),2))</f>
        <v/>
      </c>
      <c r="H41" s="16" t="str">
        <f aca="false">IF($A41="","",ROUND($D41*IF(직원목록!$F38="",8,직원목록!$F38),2))</f>
        <v/>
      </c>
      <c r="I41" s="16" t="str">
        <f aca="false">IF($A41="","",ROUND($G41-$H41,2))</f>
        <v/>
      </c>
      <c r="J41" s="19" t="str">
        <f aca="false">IF($A41="","",COUNTIFS(출퇴근기록!$B$3:$B$3002,$A41,출퇴근기록!$I$3:$I$3002,"연차",출퇴근기록!$A$3:$A$3002,"&gt;="&amp;DATE($B$3,$D$3,1),출퇴근기록!$A$3:$A$3002,"&lt;="&amp;EOMONTH(DATE($B$3,$D$3,1),0)))</f>
        <v/>
      </c>
      <c r="K41" s="19" t="str">
        <f aca="false">IF($A41="","",COUNTIFS(출퇴근기록!$B$3:$B$3002,$A41,출퇴근기록!$I$3:$I$3002,"결근",출퇴근기록!$A$3:$A$3002,"&gt;="&amp;DATE($B$3,$D$3,1),출퇴근기록!$A$3:$A$3002,"&lt;="&amp;EOMONTH(DATE($B$3,$D$3,1),0)))</f>
        <v/>
      </c>
    </row>
    <row r="42" customFormat="false" ht="15" hidden="false" customHeight="true" outlineLevel="0" collapsed="false">
      <c r="A42" s="13" t="str">
        <f aca="false">IF(직원목록!$A39="","",직원목록!$A39)</f>
        <v/>
      </c>
      <c r="B42" s="13" t="str">
        <f aca="false">IF($A42="","",직원목록!$B39)</f>
        <v/>
      </c>
      <c r="C42" s="13" t="str">
        <f aca="false">IF($A42="","",직원목록!$C39)</f>
        <v/>
      </c>
      <c r="D42" s="19" t="str">
        <f aca="false">IF($A42="","",COUNTIFS(출퇴근기록!$B$3:$B$3002,$A42,출퇴근기록!$H$3:$H$3002,"&gt;0",출퇴근기록!$A$3:$A$3002,"&gt;="&amp;DATE($B$3,$D$3,1),출퇴근기록!$A$3:$A$3002,"&lt;="&amp;EOMONTH(DATE($B$3,$D$3,1),0)))</f>
        <v/>
      </c>
      <c r="E42" s="16" t="str">
        <f aca="false">IF($A42="","",ROUND(SUMIFS(출퇴근기록!$H$3:$H$3002,출퇴근기록!$B$3:$B$3002,$A42,출퇴근기록!$I$3:$I$3002,"평일",출퇴근기록!$A$3:$A$3002,"&gt;="&amp;DATE($B$3,$D$3,1),출퇴근기록!$A$3:$A$3002,"&lt;="&amp;EOMONTH(DATE($B$3,$D$3,1),0)),2))</f>
        <v/>
      </c>
      <c r="F42" s="16" t="str">
        <f aca="false">IF($A42="","",ROUND(SUMIFS(출퇴근기록!$H$3:$H$3002,출퇴근기록!$B$3:$B$3002,$A42,출퇴근기록!$I$3:$I$3002,"휴일",출퇴근기록!$A$3:$A$3002,"&gt;="&amp;DATE($B$3,$D$3,1),출퇴근기록!$A$3:$A$3002,"&lt;="&amp;EOMONTH(DATE($B$3,$D$3,1),0)),2))</f>
        <v/>
      </c>
      <c r="G42" s="16" t="str">
        <f aca="false">IF($A42="","",ROUND(SUMIFS(출퇴근기록!$H$3:$H$3002,출퇴근기록!$B$3:$B$3002,$A42,출퇴근기록!$A$3:$A$3002,"&gt;="&amp;DATE($B$3,$D$3,1),출퇴근기록!$A$3:$A$3002,"&lt;="&amp;EOMONTH(DATE($B$3,$D$3,1),0)),2))</f>
        <v/>
      </c>
      <c r="H42" s="16" t="str">
        <f aca="false">IF($A42="","",ROUND($D42*IF(직원목록!$F39="",8,직원목록!$F39),2))</f>
        <v/>
      </c>
      <c r="I42" s="16" t="str">
        <f aca="false">IF($A42="","",ROUND($G42-$H42,2))</f>
        <v/>
      </c>
      <c r="J42" s="19" t="str">
        <f aca="false">IF($A42="","",COUNTIFS(출퇴근기록!$B$3:$B$3002,$A42,출퇴근기록!$I$3:$I$3002,"연차",출퇴근기록!$A$3:$A$3002,"&gt;="&amp;DATE($B$3,$D$3,1),출퇴근기록!$A$3:$A$3002,"&lt;="&amp;EOMONTH(DATE($B$3,$D$3,1),0)))</f>
        <v/>
      </c>
      <c r="K42" s="19" t="str">
        <f aca="false">IF($A42="","",COUNTIFS(출퇴근기록!$B$3:$B$3002,$A42,출퇴근기록!$I$3:$I$3002,"결근",출퇴근기록!$A$3:$A$3002,"&gt;="&amp;DATE($B$3,$D$3,1),출퇴근기록!$A$3:$A$3002,"&lt;="&amp;EOMONTH(DATE($B$3,$D$3,1),0)))</f>
        <v/>
      </c>
    </row>
    <row r="43" customFormat="false" ht="15" hidden="false" customHeight="true" outlineLevel="0" collapsed="false">
      <c r="A43" s="13" t="str">
        <f aca="false">IF(직원목록!$A40="","",직원목록!$A40)</f>
        <v/>
      </c>
      <c r="B43" s="13" t="str">
        <f aca="false">IF($A43="","",직원목록!$B40)</f>
        <v/>
      </c>
      <c r="C43" s="13" t="str">
        <f aca="false">IF($A43="","",직원목록!$C40)</f>
        <v/>
      </c>
      <c r="D43" s="19" t="str">
        <f aca="false">IF($A43="","",COUNTIFS(출퇴근기록!$B$3:$B$3002,$A43,출퇴근기록!$H$3:$H$3002,"&gt;0",출퇴근기록!$A$3:$A$3002,"&gt;="&amp;DATE($B$3,$D$3,1),출퇴근기록!$A$3:$A$3002,"&lt;="&amp;EOMONTH(DATE($B$3,$D$3,1),0)))</f>
        <v/>
      </c>
      <c r="E43" s="16" t="str">
        <f aca="false">IF($A43="","",ROUND(SUMIFS(출퇴근기록!$H$3:$H$3002,출퇴근기록!$B$3:$B$3002,$A43,출퇴근기록!$I$3:$I$3002,"평일",출퇴근기록!$A$3:$A$3002,"&gt;="&amp;DATE($B$3,$D$3,1),출퇴근기록!$A$3:$A$3002,"&lt;="&amp;EOMONTH(DATE($B$3,$D$3,1),0)),2))</f>
        <v/>
      </c>
      <c r="F43" s="16" t="str">
        <f aca="false">IF($A43="","",ROUND(SUMIFS(출퇴근기록!$H$3:$H$3002,출퇴근기록!$B$3:$B$3002,$A43,출퇴근기록!$I$3:$I$3002,"휴일",출퇴근기록!$A$3:$A$3002,"&gt;="&amp;DATE($B$3,$D$3,1),출퇴근기록!$A$3:$A$3002,"&lt;="&amp;EOMONTH(DATE($B$3,$D$3,1),0)),2))</f>
        <v/>
      </c>
      <c r="G43" s="16" t="str">
        <f aca="false">IF($A43="","",ROUND(SUMIFS(출퇴근기록!$H$3:$H$3002,출퇴근기록!$B$3:$B$3002,$A43,출퇴근기록!$A$3:$A$3002,"&gt;="&amp;DATE($B$3,$D$3,1),출퇴근기록!$A$3:$A$3002,"&lt;="&amp;EOMONTH(DATE($B$3,$D$3,1),0)),2))</f>
        <v/>
      </c>
      <c r="H43" s="16" t="str">
        <f aca="false">IF($A43="","",ROUND($D43*IF(직원목록!$F40="",8,직원목록!$F40),2))</f>
        <v/>
      </c>
      <c r="I43" s="16" t="str">
        <f aca="false">IF($A43="","",ROUND($G43-$H43,2))</f>
        <v/>
      </c>
      <c r="J43" s="19" t="str">
        <f aca="false">IF($A43="","",COUNTIFS(출퇴근기록!$B$3:$B$3002,$A43,출퇴근기록!$I$3:$I$3002,"연차",출퇴근기록!$A$3:$A$3002,"&gt;="&amp;DATE($B$3,$D$3,1),출퇴근기록!$A$3:$A$3002,"&lt;="&amp;EOMONTH(DATE($B$3,$D$3,1),0)))</f>
        <v/>
      </c>
      <c r="K43" s="19" t="str">
        <f aca="false">IF($A43="","",COUNTIFS(출퇴근기록!$B$3:$B$3002,$A43,출퇴근기록!$I$3:$I$3002,"결근",출퇴근기록!$A$3:$A$3002,"&gt;="&amp;DATE($B$3,$D$3,1),출퇴근기록!$A$3:$A$3002,"&lt;="&amp;EOMONTH(DATE($B$3,$D$3,1),0)))</f>
        <v/>
      </c>
    </row>
    <row r="44" customFormat="false" ht="15" hidden="false" customHeight="true" outlineLevel="0" collapsed="false">
      <c r="A44" s="13" t="str">
        <f aca="false">IF(직원목록!$A41="","",직원목록!$A41)</f>
        <v/>
      </c>
      <c r="B44" s="13" t="str">
        <f aca="false">IF($A44="","",직원목록!$B41)</f>
        <v/>
      </c>
      <c r="C44" s="13" t="str">
        <f aca="false">IF($A44="","",직원목록!$C41)</f>
        <v/>
      </c>
      <c r="D44" s="19" t="str">
        <f aca="false">IF($A44="","",COUNTIFS(출퇴근기록!$B$3:$B$3002,$A44,출퇴근기록!$H$3:$H$3002,"&gt;0",출퇴근기록!$A$3:$A$3002,"&gt;="&amp;DATE($B$3,$D$3,1),출퇴근기록!$A$3:$A$3002,"&lt;="&amp;EOMONTH(DATE($B$3,$D$3,1),0)))</f>
        <v/>
      </c>
      <c r="E44" s="16" t="str">
        <f aca="false">IF($A44="","",ROUND(SUMIFS(출퇴근기록!$H$3:$H$3002,출퇴근기록!$B$3:$B$3002,$A44,출퇴근기록!$I$3:$I$3002,"평일",출퇴근기록!$A$3:$A$3002,"&gt;="&amp;DATE($B$3,$D$3,1),출퇴근기록!$A$3:$A$3002,"&lt;="&amp;EOMONTH(DATE($B$3,$D$3,1),0)),2))</f>
        <v/>
      </c>
      <c r="F44" s="16" t="str">
        <f aca="false">IF($A44="","",ROUND(SUMIFS(출퇴근기록!$H$3:$H$3002,출퇴근기록!$B$3:$B$3002,$A44,출퇴근기록!$I$3:$I$3002,"휴일",출퇴근기록!$A$3:$A$3002,"&gt;="&amp;DATE($B$3,$D$3,1),출퇴근기록!$A$3:$A$3002,"&lt;="&amp;EOMONTH(DATE($B$3,$D$3,1),0)),2))</f>
        <v/>
      </c>
      <c r="G44" s="16" t="str">
        <f aca="false">IF($A44="","",ROUND(SUMIFS(출퇴근기록!$H$3:$H$3002,출퇴근기록!$B$3:$B$3002,$A44,출퇴근기록!$A$3:$A$3002,"&gt;="&amp;DATE($B$3,$D$3,1),출퇴근기록!$A$3:$A$3002,"&lt;="&amp;EOMONTH(DATE($B$3,$D$3,1),0)),2))</f>
        <v/>
      </c>
      <c r="H44" s="16" t="str">
        <f aca="false">IF($A44="","",ROUND($D44*IF(직원목록!$F41="",8,직원목록!$F41),2))</f>
        <v/>
      </c>
      <c r="I44" s="16" t="str">
        <f aca="false">IF($A44="","",ROUND($G44-$H44,2))</f>
        <v/>
      </c>
      <c r="J44" s="19" t="str">
        <f aca="false">IF($A44="","",COUNTIFS(출퇴근기록!$B$3:$B$3002,$A44,출퇴근기록!$I$3:$I$3002,"연차",출퇴근기록!$A$3:$A$3002,"&gt;="&amp;DATE($B$3,$D$3,1),출퇴근기록!$A$3:$A$3002,"&lt;="&amp;EOMONTH(DATE($B$3,$D$3,1),0)))</f>
        <v/>
      </c>
      <c r="K44" s="19" t="str">
        <f aca="false">IF($A44="","",COUNTIFS(출퇴근기록!$B$3:$B$3002,$A44,출퇴근기록!$I$3:$I$3002,"결근",출퇴근기록!$A$3:$A$3002,"&gt;="&amp;DATE($B$3,$D$3,1),출퇴근기록!$A$3:$A$3002,"&lt;="&amp;EOMONTH(DATE($B$3,$D$3,1),0)))</f>
        <v/>
      </c>
    </row>
    <row r="45" customFormat="false" ht="15" hidden="false" customHeight="true" outlineLevel="0" collapsed="false">
      <c r="A45" s="13" t="str">
        <f aca="false">IF(직원목록!$A42="","",직원목록!$A42)</f>
        <v/>
      </c>
      <c r="B45" s="13" t="str">
        <f aca="false">IF($A45="","",직원목록!$B42)</f>
        <v/>
      </c>
      <c r="C45" s="13" t="str">
        <f aca="false">IF($A45="","",직원목록!$C42)</f>
        <v/>
      </c>
      <c r="D45" s="19" t="str">
        <f aca="false">IF($A45="","",COUNTIFS(출퇴근기록!$B$3:$B$3002,$A45,출퇴근기록!$H$3:$H$3002,"&gt;0",출퇴근기록!$A$3:$A$3002,"&gt;="&amp;DATE($B$3,$D$3,1),출퇴근기록!$A$3:$A$3002,"&lt;="&amp;EOMONTH(DATE($B$3,$D$3,1),0)))</f>
        <v/>
      </c>
      <c r="E45" s="16" t="str">
        <f aca="false">IF($A45="","",ROUND(SUMIFS(출퇴근기록!$H$3:$H$3002,출퇴근기록!$B$3:$B$3002,$A45,출퇴근기록!$I$3:$I$3002,"평일",출퇴근기록!$A$3:$A$3002,"&gt;="&amp;DATE($B$3,$D$3,1),출퇴근기록!$A$3:$A$3002,"&lt;="&amp;EOMONTH(DATE($B$3,$D$3,1),0)),2))</f>
        <v/>
      </c>
      <c r="F45" s="16" t="str">
        <f aca="false">IF($A45="","",ROUND(SUMIFS(출퇴근기록!$H$3:$H$3002,출퇴근기록!$B$3:$B$3002,$A45,출퇴근기록!$I$3:$I$3002,"휴일",출퇴근기록!$A$3:$A$3002,"&gt;="&amp;DATE($B$3,$D$3,1),출퇴근기록!$A$3:$A$3002,"&lt;="&amp;EOMONTH(DATE($B$3,$D$3,1),0)),2))</f>
        <v/>
      </c>
      <c r="G45" s="16" t="str">
        <f aca="false">IF($A45="","",ROUND(SUMIFS(출퇴근기록!$H$3:$H$3002,출퇴근기록!$B$3:$B$3002,$A45,출퇴근기록!$A$3:$A$3002,"&gt;="&amp;DATE($B$3,$D$3,1),출퇴근기록!$A$3:$A$3002,"&lt;="&amp;EOMONTH(DATE($B$3,$D$3,1),0)),2))</f>
        <v/>
      </c>
      <c r="H45" s="16" t="str">
        <f aca="false">IF($A45="","",ROUND($D45*IF(직원목록!$F42="",8,직원목록!$F42),2))</f>
        <v/>
      </c>
      <c r="I45" s="16" t="str">
        <f aca="false">IF($A45="","",ROUND($G45-$H45,2))</f>
        <v/>
      </c>
      <c r="J45" s="19" t="str">
        <f aca="false">IF($A45="","",COUNTIFS(출퇴근기록!$B$3:$B$3002,$A45,출퇴근기록!$I$3:$I$3002,"연차",출퇴근기록!$A$3:$A$3002,"&gt;="&amp;DATE($B$3,$D$3,1),출퇴근기록!$A$3:$A$3002,"&lt;="&amp;EOMONTH(DATE($B$3,$D$3,1),0)))</f>
        <v/>
      </c>
      <c r="K45" s="19" t="str">
        <f aca="false">IF($A45="","",COUNTIFS(출퇴근기록!$B$3:$B$3002,$A45,출퇴근기록!$I$3:$I$3002,"결근",출퇴근기록!$A$3:$A$3002,"&gt;="&amp;DATE($B$3,$D$3,1),출퇴근기록!$A$3:$A$3002,"&lt;="&amp;EOMONTH(DATE($B$3,$D$3,1),0)))</f>
        <v/>
      </c>
    </row>
    <row r="46" customFormat="false" ht="15" hidden="false" customHeight="true" outlineLevel="0" collapsed="false">
      <c r="A46" s="13" t="str">
        <f aca="false">IF(직원목록!$A43="","",직원목록!$A43)</f>
        <v/>
      </c>
      <c r="B46" s="13" t="str">
        <f aca="false">IF($A46="","",직원목록!$B43)</f>
        <v/>
      </c>
      <c r="C46" s="13" t="str">
        <f aca="false">IF($A46="","",직원목록!$C43)</f>
        <v/>
      </c>
      <c r="D46" s="19" t="str">
        <f aca="false">IF($A46="","",COUNTIFS(출퇴근기록!$B$3:$B$3002,$A46,출퇴근기록!$H$3:$H$3002,"&gt;0",출퇴근기록!$A$3:$A$3002,"&gt;="&amp;DATE($B$3,$D$3,1),출퇴근기록!$A$3:$A$3002,"&lt;="&amp;EOMONTH(DATE($B$3,$D$3,1),0)))</f>
        <v/>
      </c>
      <c r="E46" s="16" t="str">
        <f aca="false">IF($A46="","",ROUND(SUMIFS(출퇴근기록!$H$3:$H$3002,출퇴근기록!$B$3:$B$3002,$A46,출퇴근기록!$I$3:$I$3002,"평일",출퇴근기록!$A$3:$A$3002,"&gt;="&amp;DATE($B$3,$D$3,1),출퇴근기록!$A$3:$A$3002,"&lt;="&amp;EOMONTH(DATE($B$3,$D$3,1),0)),2))</f>
        <v/>
      </c>
      <c r="F46" s="16" t="str">
        <f aca="false">IF($A46="","",ROUND(SUMIFS(출퇴근기록!$H$3:$H$3002,출퇴근기록!$B$3:$B$3002,$A46,출퇴근기록!$I$3:$I$3002,"휴일",출퇴근기록!$A$3:$A$3002,"&gt;="&amp;DATE($B$3,$D$3,1),출퇴근기록!$A$3:$A$3002,"&lt;="&amp;EOMONTH(DATE($B$3,$D$3,1),0)),2))</f>
        <v/>
      </c>
      <c r="G46" s="16" t="str">
        <f aca="false">IF($A46="","",ROUND(SUMIFS(출퇴근기록!$H$3:$H$3002,출퇴근기록!$B$3:$B$3002,$A46,출퇴근기록!$A$3:$A$3002,"&gt;="&amp;DATE($B$3,$D$3,1),출퇴근기록!$A$3:$A$3002,"&lt;="&amp;EOMONTH(DATE($B$3,$D$3,1),0)),2))</f>
        <v/>
      </c>
      <c r="H46" s="16" t="str">
        <f aca="false">IF($A46="","",ROUND($D46*IF(직원목록!$F43="",8,직원목록!$F43),2))</f>
        <v/>
      </c>
      <c r="I46" s="16" t="str">
        <f aca="false">IF($A46="","",ROUND($G46-$H46,2))</f>
        <v/>
      </c>
      <c r="J46" s="19" t="str">
        <f aca="false">IF($A46="","",COUNTIFS(출퇴근기록!$B$3:$B$3002,$A46,출퇴근기록!$I$3:$I$3002,"연차",출퇴근기록!$A$3:$A$3002,"&gt;="&amp;DATE($B$3,$D$3,1),출퇴근기록!$A$3:$A$3002,"&lt;="&amp;EOMONTH(DATE($B$3,$D$3,1),0)))</f>
        <v/>
      </c>
      <c r="K46" s="19" t="str">
        <f aca="false">IF($A46="","",COUNTIFS(출퇴근기록!$B$3:$B$3002,$A46,출퇴근기록!$I$3:$I$3002,"결근",출퇴근기록!$A$3:$A$3002,"&gt;="&amp;DATE($B$3,$D$3,1),출퇴근기록!$A$3:$A$3002,"&lt;="&amp;EOMONTH(DATE($B$3,$D$3,1),0)))</f>
        <v/>
      </c>
    </row>
    <row r="47" customFormat="false" ht="15" hidden="false" customHeight="true" outlineLevel="0" collapsed="false">
      <c r="A47" s="13" t="str">
        <f aca="false">IF(직원목록!$A44="","",직원목록!$A44)</f>
        <v/>
      </c>
      <c r="B47" s="13" t="str">
        <f aca="false">IF($A47="","",직원목록!$B44)</f>
        <v/>
      </c>
      <c r="C47" s="13" t="str">
        <f aca="false">IF($A47="","",직원목록!$C44)</f>
        <v/>
      </c>
      <c r="D47" s="19" t="str">
        <f aca="false">IF($A47="","",COUNTIFS(출퇴근기록!$B$3:$B$3002,$A47,출퇴근기록!$H$3:$H$3002,"&gt;0",출퇴근기록!$A$3:$A$3002,"&gt;="&amp;DATE($B$3,$D$3,1),출퇴근기록!$A$3:$A$3002,"&lt;="&amp;EOMONTH(DATE($B$3,$D$3,1),0)))</f>
        <v/>
      </c>
      <c r="E47" s="16" t="str">
        <f aca="false">IF($A47="","",ROUND(SUMIFS(출퇴근기록!$H$3:$H$3002,출퇴근기록!$B$3:$B$3002,$A47,출퇴근기록!$I$3:$I$3002,"평일",출퇴근기록!$A$3:$A$3002,"&gt;="&amp;DATE($B$3,$D$3,1),출퇴근기록!$A$3:$A$3002,"&lt;="&amp;EOMONTH(DATE($B$3,$D$3,1),0)),2))</f>
        <v/>
      </c>
      <c r="F47" s="16" t="str">
        <f aca="false">IF($A47="","",ROUND(SUMIFS(출퇴근기록!$H$3:$H$3002,출퇴근기록!$B$3:$B$3002,$A47,출퇴근기록!$I$3:$I$3002,"휴일",출퇴근기록!$A$3:$A$3002,"&gt;="&amp;DATE($B$3,$D$3,1),출퇴근기록!$A$3:$A$3002,"&lt;="&amp;EOMONTH(DATE($B$3,$D$3,1),0)),2))</f>
        <v/>
      </c>
      <c r="G47" s="16" t="str">
        <f aca="false">IF($A47="","",ROUND(SUMIFS(출퇴근기록!$H$3:$H$3002,출퇴근기록!$B$3:$B$3002,$A47,출퇴근기록!$A$3:$A$3002,"&gt;="&amp;DATE($B$3,$D$3,1),출퇴근기록!$A$3:$A$3002,"&lt;="&amp;EOMONTH(DATE($B$3,$D$3,1),0)),2))</f>
        <v/>
      </c>
      <c r="H47" s="16" t="str">
        <f aca="false">IF($A47="","",ROUND($D47*IF(직원목록!$F44="",8,직원목록!$F44),2))</f>
        <v/>
      </c>
      <c r="I47" s="16" t="str">
        <f aca="false">IF($A47="","",ROUND($G47-$H47,2))</f>
        <v/>
      </c>
      <c r="J47" s="19" t="str">
        <f aca="false">IF($A47="","",COUNTIFS(출퇴근기록!$B$3:$B$3002,$A47,출퇴근기록!$I$3:$I$3002,"연차",출퇴근기록!$A$3:$A$3002,"&gt;="&amp;DATE($B$3,$D$3,1),출퇴근기록!$A$3:$A$3002,"&lt;="&amp;EOMONTH(DATE($B$3,$D$3,1),0)))</f>
        <v/>
      </c>
      <c r="K47" s="19" t="str">
        <f aca="false">IF($A47="","",COUNTIFS(출퇴근기록!$B$3:$B$3002,$A47,출퇴근기록!$I$3:$I$3002,"결근",출퇴근기록!$A$3:$A$3002,"&gt;="&amp;DATE($B$3,$D$3,1),출퇴근기록!$A$3:$A$3002,"&lt;="&amp;EOMONTH(DATE($B$3,$D$3,1),0)))</f>
        <v/>
      </c>
    </row>
    <row r="48" customFormat="false" ht="15" hidden="false" customHeight="true" outlineLevel="0" collapsed="false">
      <c r="A48" s="13" t="str">
        <f aca="false">IF(직원목록!$A45="","",직원목록!$A45)</f>
        <v/>
      </c>
      <c r="B48" s="13" t="str">
        <f aca="false">IF($A48="","",직원목록!$B45)</f>
        <v/>
      </c>
      <c r="C48" s="13" t="str">
        <f aca="false">IF($A48="","",직원목록!$C45)</f>
        <v/>
      </c>
      <c r="D48" s="19" t="str">
        <f aca="false">IF($A48="","",COUNTIFS(출퇴근기록!$B$3:$B$3002,$A48,출퇴근기록!$H$3:$H$3002,"&gt;0",출퇴근기록!$A$3:$A$3002,"&gt;="&amp;DATE($B$3,$D$3,1),출퇴근기록!$A$3:$A$3002,"&lt;="&amp;EOMONTH(DATE($B$3,$D$3,1),0)))</f>
        <v/>
      </c>
      <c r="E48" s="16" t="str">
        <f aca="false">IF($A48="","",ROUND(SUMIFS(출퇴근기록!$H$3:$H$3002,출퇴근기록!$B$3:$B$3002,$A48,출퇴근기록!$I$3:$I$3002,"평일",출퇴근기록!$A$3:$A$3002,"&gt;="&amp;DATE($B$3,$D$3,1),출퇴근기록!$A$3:$A$3002,"&lt;="&amp;EOMONTH(DATE($B$3,$D$3,1),0)),2))</f>
        <v/>
      </c>
      <c r="F48" s="16" t="str">
        <f aca="false">IF($A48="","",ROUND(SUMIFS(출퇴근기록!$H$3:$H$3002,출퇴근기록!$B$3:$B$3002,$A48,출퇴근기록!$I$3:$I$3002,"휴일",출퇴근기록!$A$3:$A$3002,"&gt;="&amp;DATE($B$3,$D$3,1),출퇴근기록!$A$3:$A$3002,"&lt;="&amp;EOMONTH(DATE($B$3,$D$3,1),0)),2))</f>
        <v/>
      </c>
      <c r="G48" s="16" t="str">
        <f aca="false">IF($A48="","",ROUND(SUMIFS(출퇴근기록!$H$3:$H$3002,출퇴근기록!$B$3:$B$3002,$A48,출퇴근기록!$A$3:$A$3002,"&gt;="&amp;DATE($B$3,$D$3,1),출퇴근기록!$A$3:$A$3002,"&lt;="&amp;EOMONTH(DATE($B$3,$D$3,1),0)),2))</f>
        <v/>
      </c>
      <c r="H48" s="16" t="str">
        <f aca="false">IF($A48="","",ROUND($D48*IF(직원목록!$F45="",8,직원목록!$F45),2))</f>
        <v/>
      </c>
      <c r="I48" s="16" t="str">
        <f aca="false">IF($A48="","",ROUND($G48-$H48,2))</f>
        <v/>
      </c>
      <c r="J48" s="19" t="str">
        <f aca="false">IF($A48="","",COUNTIFS(출퇴근기록!$B$3:$B$3002,$A48,출퇴근기록!$I$3:$I$3002,"연차",출퇴근기록!$A$3:$A$3002,"&gt;="&amp;DATE($B$3,$D$3,1),출퇴근기록!$A$3:$A$3002,"&lt;="&amp;EOMONTH(DATE($B$3,$D$3,1),0)))</f>
        <v/>
      </c>
      <c r="K48" s="19" t="str">
        <f aca="false">IF($A48="","",COUNTIFS(출퇴근기록!$B$3:$B$3002,$A48,출퇴근기록!$I$3:$I$3002,"결근",출퇴근기록!$A$3:$A$3002,"&gt;="&amp;DATE($B$3,$D$3,1),출퇴근기록!$A$3:$A$3002,"&lt;="&amp;EOMONTH(DATE($B$3,$D$3,1),0)))</f>
        <v/>
      </c>
    </row>
    <row r="49" customFormat="false" ht="15" hidden="false" customHeight="true" outlineLevel="0" collapsed="false">
      <c r="A49" s="13" t="str">
        <f aca="false">IF(직원목록!$A46="","",직원목록!$A46)</f>
        <v/>
      </c>
      <c r="B49" s="13" t="str">
        <f aca="false">IF($A49="","",직원목록!$B46)</f>
        <v/>
      </c>
      <c r="C49" s="13" t="str">
        <f aca="false">IF($A49="","",직원목록!$C46)</f>
        <v/>
      </c>
      <c r="D49" s="19" t="str">
        <f aca="false">IF($A49="","",COUNTIFS(출퇴근기록!$B$3:$B$3002,$A49,출퇴근기록!$H$3:$H$3002,"&gt;0",출퇴근기록!$A$3:$A$3002,"&gt;="&amp;DATE($B$3,$D$3,1),출퇴근기록!$A$3:$A$3002,"&lt;="&amp;EOMONTH(DATE($B$3,$D$3,1),0)))</f>
        <v/>
      </c>
      <c r="E49" s="16" t="str">
        <f aca="false">IF($A49="","",ROUND(SUMIFS(출퇴근기록!$H$3:$H$3002,출퇴근기록!$B$3:$B$3002,$A49,출퇴근기록!$I$3:$I$3002,"평일",출퇴근기록!$A$3:$A$3002,"&gt;="&amp;DATE($B$3,$D$3,1),출퇴근기록!$A$3:$A$3002,"&lt;="&amp;EOMONTH(DATE($B$3,$D$3,1),0)),2))</f>
        <v/>
      </c>
      <c r="F49" s="16" t="str">
        <f aca="false">IF($A49="","",ROUND(SUMIFS(출퇴근기록!$H$3:$H$3002,출퇴근기록!$B$3:$B$3002,$A49,출퇴근기록!$I$3:$I$3002,"휴일",출퇴근기록!$A$3:$A$3002,"&gt;="&amp;DATE($B$3,$D$3,1),출퇴근기록!$A$3:$A$3002,"&lt;="&amp;EOMONTH(DATE($B$3,$D$3,1),0)),2))</f>
        <v/>
      </c>
      <c r="G49" s="16" t="str">
        <f aca="false">IF($A49="","",ROUND(SUMIFS(출퇴근기록!$H$3:$H$3002,출퇴근기록!$B$3:$B$3002,$A49,출퇴근기록!$A$3:$A$3002,"&gt;="&amp;DATE($B$3,$D$3,1),출퇴근기록!$A$3:$A$3002,"&lt;="&amp;EOMONTH(DATE($B$3,$D$3,1),0)),2))</f>
        <v/>
      </c>
      <c r="H49" s="16" t="str">
        <f aca="false">IF($A49="","",ROUND($D49*IF(직원목록!$F46="",8,직원목록!$F46),2))</f>
        <v/>
      </c>
      <c r="I49" s="16" t="str">
        <f aca="false">IF($A49="","",ROUND($G49-$H49,2))</f>
        <v/>
      </c>
      <c r="J49" s="19" t="str">
        <f aca="false">IF($A49="","",COUNTIFS(출퇴근기록!$B$3:$B$3002,$A49,출퇴근기록!$I$3:$I$3002,"연차",출퇴근기록!$A$3:$A$3002,"&gt;="&amp;DATE($B$3,$D$3,1),출퇴근기록!$A$3:$A$3002,"&lt;="&amp;EOMONTH(DATE($B$3,$D$3,1),0)))</f>
        <v/>
      </c>
      <c r="K49" s="19" t="str">
        <f aca="false">IF($A49="","",COUNTIFS(출퇴근기록!$B$3:$B$3002,$A49,출퇴근기록!$I$3:$I$3002,"결근",출퇴근기록!$A$3:$A$3002,"&gt;="&amp;DATE($B$3,$D$3,1),출퇴근기록!$A$3:$A$3002,"&lt;="&amp;EOMONTH(DATE($B$3,$D$3,1),0)))</f>
        <v/>
      </c>
    </row>
    <row r="50" customFormat="false" ht="15" hidden="false" customHeight="true" outlineLevel="0" collapsed="false">
      <c r="A50" s="13" t="str">
        <f aca="false">IF(직원목록!$A47="","",직원목록!$A47)</f>
        <v/>
      </c>
      <c r="B50" s="13" t="str">
        <f aca="false">IF($A50="","",직원목록!$B47)</f>
        <v/>
      </c>
      <c r="C50" s="13" t="str">
        <f aca="false">IF($A50="","",직원목록!$C47)</f>
        <v/>
      </c>
      <c r="D50" s="19" t="str">
        <f aca="false">IF($A50="","",COUNTIFS(출퇴근기록!$B$3:$B$3002,$A50,출퇴근기록!$H$3:$H$3002,"&gt;0",출퇴근기록!$A$3:$A$3002,"&gt;="&amp;DATE($B$3,$D$3,1),출퇴근기록!$A$3:$A$3002,"&lt;="&amp;EOMONTH(DATE($B$3,$D$3,1),0)))</f>
        <v/>
      </c>
      <c r="E50" s="16" t="str">
        <f aca="false">IF($A50="","",ROUND(SUMIFS(출퇴근기록!$H$3:$H$3002,출퇴근기록!$B$3:$B$3002,$A50,출퇴근기록!$I$3:$I$3002,"평일",출퇴근기록!$A$3:$A$3002,"&gt;="&amp;DATE($B$3,$D$3,1),출퇴근기록!$A$3:$A$3002,"&lt;="&amp;EOMONTH(DATE($B$3,$D$3,1),0)),2))</f>
        <v/>
      </c>
      <c r="F50" s="16" t="str">
        <f aca="false">IF($A50="","",ROUND(SUMIFS(출퇴근기록!$H$3:$H$3002,출퇴근기록!$B$3:$B$3002,$A50,출퇴근기록!$I$3:$I$3002,"휴일",출퇴근기록!$A$3:$A$3002,"&gt;="&amp;DATE($B$3,$D$3,1),출퇴근기록!$A$3:$A$3002,"&lt;="&amp;EOMONTH(DATE($B$3,$D$3,1),0)),2))</f>
        <v/>
      </c>
      <c r="G50" s="16" t="str">
        <f aca="false">IF($A50="","",ROUND(SUMIFS(출퇴근기록!$H$3:$H$3002,출퇴근기록!$B$3:$B$3002,$A50,출퇴근기록!$A$3:$A$3002,"&gt;="&amp;DATE($B$3,$D$3,1),출퇴근기록!$A$3:$A$3002,"&lt;="&amp;EOMONTH(DATE($B$3,$D$3,1),0)),2))</f>
        <v/>
      </c>
      <c r="H50" s="16" t="str">
        <f aca="false">IF($A50="","",ROUND($D50*IF(직원목록!$F47="",8,직원목록!$F47),2))</f>
        <v/>
      </c>
      <c r="I50" s="16" t="str">
        <f aca="false">IF($A50="","",ROUND($G50-$H50,2))</f>
        <v/>
      </c>
      <c r="J50" s="19" t="str">
        <f aca="false">IF($A50="","",COUNTIFS(출퇴근기록!$B$3:$B$3002,$A50,출퇴근기록!$I$3:$I$3002,"연차",출퇴근기록!$A$3:$A$3002,"&gt;="&amp;DATE($B$3,$D$3,1),출퇴근기록!$A$3:$A$3002,"&lt;="&amp;EOMONTH(DATE($B$3,$D$3,1),0)))</f>
        <v/>
      </c>
      <c r="K50" s="19" t="str">
        <f aca="false">IF($A50="","",COUNTIFS(출퇴근기록!$B$3:$B$3002,$A50,출퇴근기록!$I$3:$I$3002,"결근",출퇴근기록!$A$3:$A$3002,"&gt;="&amp;DATE($B$3,$D$3,1),출퇴근기록!$A$3:$A$3002,"&lt;="&amp;EOMONTH(DATE($B$3,$D$3,1),0)))</f>
        <v/>
      </c>
    </row>
    <row r="51" customFormat="false" ht="15" hidden="false" customHeight="true" outlineLevel="0" collapsed="false">
      <c r="A51" s="13" t="str">
        <f aca="false">IF(직원목록!$A48="","",직원목록!$A48)</f>
        <v/>
      </c>
      <c r="B51" s="13" t="str">
        <f aca="false">IF($A51="","",직원목록!$B48)</f>
        <v/>
      </c>
      <c r="C51" s="13" t="str">
        <f aca="false">IF($A51="","",직원목록!$C48)</f>
        <v/>
      </c>
      <c r="D51" s="19" t="str">
        <f aca="false">IF($A51="","",COUNTIFS(출퇴근기록!$B$3:$B$3002,$A51,출퇴근기록!$H$3:$H$3002,"&gt;0",출퇴근기록!$A$3:$A$3002,"&gt;="&amp;DATE($B$3,$D$3,1),출퇴근기록!$A$3:$A$3002,"&lt;="&amp;EOMONTH(DATE($B$3,$D$3,1),0)))</f>
        <v/>
      </c>
      <c r="E51" s="16" t="str">
        <f aca="false">IF($A51="","",ROUND(SUMIFS(출퇴근기록!$H$3:$H$3002,출퇴근기록!$B$3:$B$3002,$A51,출퇴근기록!$I$3:$I$3002,"평일",출퇴근기록!$A$3:$A$3002,"&gt;="&amp;DATE($B$3,$D$3,1),출퇴근기록!$A$3:$A$3002,"&lt;="&amp;EOMONTH(DATE($B$3,$D$3,1),0)),2))</f>
        <v/>
      </c>
      <c r="F51" s="16" t="str">
        <f aca="false">IF($A51="","",ROUND(SUMIFS(출퇴근기록!$H$3:$H$3002,출퇴근기록!$B$3:$B$3002,$A51,출퇴근기록!$I$3:$I$3002,"휴일",출퇴근기록!$A$3:$A$3002,"&gt;="&amp;DATE($B$3,$D$3,1),출퇴근기록!$A$3:$A$3002,"&lt;="&amp;EOMONTH(DATE($B$3,$D$3,1),0)),2))</f>
        <v/>
      </c>
      <c r="G51" s="16" t="str">
        <f aca="false">IF($A51="","",ROUND(SUMIFS(출퇴근기록!$H$3:$H$3002,출퇴근기록!$B$3:$B$3002,$A51,출퇴근기록!$A$3:$A$3002,"&gt;="&amp;DATE($B$3,$D$3,1),출퇴근기록!$A$3:$A$3002,"&lt;="&amp;EOMONTH(DATE($B$3,$D$3,1),0)),2))</f>
        <v/>
      </c>
      <c r="H51" s="16" t="str">
        <f aca="false">IF($A51="","",ROUND($D51*IF(직원목록!$F48="",8,직원목록!$F48),2))</f>
        <v/>
      </c>
      <c r="I51" s="16" t="str">
        <f aca="false">IF($A51="","",ROUND($G51-$H51,2))</f>
        <v/>
      </c>
      <c r="J51" s="19" t="str">
        <f aca="false">IF($A51="","",COUNTIFS(출퇴근기록!$B$3:$B$3002,$A51,출퇴근기록!$I$3:$I$3002,"연차",출퇴근기록!$A$3:$A$3002,"&gt;="&amp;DATE($B$3,$D$3,1),출퇴근기록!$A$3:$A$3002,"&lt;="&amp;EOMONTH(DATE($B$3,$D$3,1),0)))</f>
        <v/>
      </c>
      <c r="K51" s="19" t="str">
        <f aca="false">IF($A51="","",COUNTIFS(출퇴근기록!$B$3:$B$3002,$A51,출퇴근기록!$I$3:$I$3002,"결근",출퇴근기록!$A$3:$A$3002,"&gt;="&amp;DATE($B$3,$D$3,1),출퇴근기록!$A$3:$A$3002,"&lt;="&amp;EOMONTH(DATE($B$3,$D$3,1),0)))</f>
        <v/>
      </c>
    </row>
    <row r="52" customFormat="false" ht="15" hidden="false" customHeight="true" outlineLevel="0" collapsed="false">
      <c r="A52" s="13" t="str">
        <f aca="false">IF(직원목록!$A49="","",직원목록!$A49)</f>
        <v/>
      </c>
      <c r="B52" s="13" t="str">
        <f aca="false">IF($A52="","",직원목록!$B49)</f>
        <v/>
      </c>
      <c r="C52" s="13" t="str">
        <f aca="false">IF($A52="","",직원목록!$C49)</f>
        <v/>
      </c>
      <c r="D52" s="19" t="str">
        <f aca="false">IF($A52="","",COUNTIFS(출퇴근기록!$B$3:$B$3002,$A52,출퇴근기록!$H$3:$H$3002,"&gt;0",출퇴근기록!$A$3:$A$3002,"&gt;="&amp;DATE($B$3,$D$3,1),출퇴근기록!$A$3:$A$3002,"&lt;="&amp;EOMONTH(DATE($B$3,$D$3,1),0)))</f>
        <v/>
      </c>
      <c r="E52" s="16" t="str">
        <f aca="false">IF($A52="","",ROUND(SUMIFS(출퇴근기록!$H$3:$H$3002,출퇴근기록!$B$3:$B$3002,$A52,출퇴근기록!$I$3:$I$3002,"평일",출퇴근기록!$A$3:$A$3002,"&gt;="&amp;DATE($B$3,$D$3,1),출퇴근기록!$A$3:$A$3002,"&lt;="&amp;EOMONTH(DATE($B$3,$D$3,1),0)),2))</f>
        <v/>
      </c>
      <c r="F52" s="16" t="str">
        <f aca="false">IF($A52="","",ROUND(SUMIFS(출퇴근기록!$H$3:$H$3002,출퇴근기록!$B$3:$B$3002,$A52,출퇴근기록!$I$3:$I$3002,"휴일",출퇴근기록!$A$3:$A$3002,"&gt;="&amp;DATE($B$3,$D$3,1),출퇴근기록!$A$3:$A$3002,"&lt;="&amp;EOMONTH(DATE($B$3,$D$3,1),0)),2))</f>
        <v/>
      </c>
      <c r="G52" s="16" t="str">
        <f aca="false">IF($A52="","",ROUND(SUMIFS(출퇴근기록!$H$3:$H$3002,출퇴근기록!$B$3:$B$3002,$A52,출퇴근기록!$A$3:$A$3002,"&gt;="&amp;DATE($B$3,$D$3,1),출퇴근기록!$A$3:$A$3002,"&lt;="&amp;EOMONTH(DATE($B$3,$D$3,1),0)),2))</f>
        <v/>
      </c>
      <c r="H52" s="16" t="str">
        <f aca="false">IF($A52="","",ROUND($D52*IF(직원목록!$F49="",8,직원목록!$F49),2))</f>
        <v/>
      </c>
      <c r="I52" s="16" t="str">
        <f aca="false">IF($A52="","",ROUND($G52-$H52,2))</f>
        <v/>
      </c>
      <c r="J52" s="19" t="str">
        <f aca="false">IF($A52="","",COUNTIFS(출퇴근기록!$B$3:$B$3002,$A52,출퇴근기록!$I$3:$I$3002,"연차",출퇴근기록!$A$3:$A$3002,"&gt;="&amp;DATE($B$3,$D$3,1),출퇴근기록!$A$3:$A$3002,"&lt;="&amp;EOMONTH(DATE($B$3,$D$3,1),0)))</f>
        <v/>
      </c>
      <c r="K52" s="19" t="str">
        <f aca="false">IF($A52="","",COUNTIFS(출퇴근기록!$B$3:$B$3002,$A52,출퇴근기록!$I$3:$I$3002,"결근",출퇴근기록!$A$3:$A$3002,"&gt;="&amp;DATE($B$3,$D$3,1),출퇴근기록!$A$3:$A$3002,"&lt;="&amp;EOMONTH(DATE($B$3,$D$3,1),0)))</f>
        <v/>
      </c>
    </row>
    <row r="53" customFormat="false" ht="15" hidden="false" customHeight="true" outlineLevel="0" collapsed="false">
      <c r="A53" s="13" t="str">
        <f aca="false">IF(직원목록!$A50="","",직원목록!$A50)</f>
        <v/>
      </c>
      <c r="B53" s="13" t="str">
        <f aca="false">IF($A53="","",직원목록!$B50)</f>
        <v/>
      </c>
      <c r="C53" s="13" t="str">
        <f aca="false">IF($A53="","",직원목록!$C50)</f>
        <v/>
      </c>
      <c r="D53" s="19" t="str">
        <f aca="false">IF($A53="","",COUNTIFS(출퇴근기록!$B$3:$B$3002,$A53,출퇴근기록!$H$3:$H$3002,"&gt;0",출퇴근기록!$A$3:$A$3002,"&gt;="&amp;DATE($B$3,$D$3,1),출퇴근기록!$A$3:$A$3002,"&lt;="&amp;EOMONTH(DATE($B$3,$D$3,1),0)))</f>
        <v/>
      </c>
      <c r="E53" s="16" t="str">
        <f aca="false">IF($A53="","",ROUND(SUMIFS(출퇴근기록!$H$3:$H$3002,출퇴근기록!$B$3:$B$3002,$A53,출퇴근기록!$I$3:$I$3002,"평일",출퇴근기록!$A$3:$A$3002,"&gt;="&amp;DATE($B$3,$D$3,1),출퇴근기록!$A$3:$A$3002,"&lt;="&amp;EOMONTH(DATE($B$3,$D$3,1),0)),2))</f>
        <v/>
      </c>
      <c r="F53" s="16" t="str">
        <f aca="false">IF($A53="","",ROUND(SUMIFS(출퇴근기록!$H$3:$H$3002,출퇴근기록!$B$3:$B$3002,$A53,출퇴근기록!$I$3:$I$3002,"휴일",출퇴근기록!$A$3:$A$3002,"&gt;="&amp;DATE($B$3,$D$3,1),출퇴근기록!$A$3:$A$3002,"&lt;="&amp;EOMONTH(DATE($B$3,$D$3,1),0)),2))</f>
        <v/>
      </c>
      <c r="G53" s="16" t="str">
        <f aca="false">IF($A53="","",ROUND(SUMIFS(출퇴근기록!$H$3:$H$3002,출퇴근기록!$B$3:$B$3002,$A53,출퇴근기록!$A$3:$A$3002,"&gt;="&amp;DATE($B$3,$D$3,1),출퇴근기록!$A$3:$A$3002,"&lt;="&amp;EOMONTH(DATE($B$3,$D$3,1),0)),2))</f>
        <v/>
      </c>
      <c r="H53" s="16" t="str">
        <f aca="false">IF($A53="","",ROUND($D53*IF(직원목록!$F50="",8,직원목록!$F50),2))</f>
        <v/>
      </c>
      <c r="I53" s="16" t="str">
        <f aca="false">IF($A53="","",ROUND($G53-$H53,2))</f>
        <v/>
      </c>
      <c r="J53" s="19" t="str">
        <f aca="false">IF($A53="","",COUNTIFS(출퇴근기록!$B$3:$B$3002,$A53,출퇴근기록!$I$3:$I$3002,"연차",출퇴근기록!$A$3:$A$3002,"&gt;="&amp;DATE($B$3,$D$3,1),출퇴근기록!$A$3:$A$3002,"&lt;="&amp;EOMONTH(DATE($B$3,$D$3,1),0)))</f>
        <v/>
      </c>
      <c r="K53" s="19" t="str">
        <f aca="false">IF($A53="","",COUNTIFS(출퇴근기록!$B$3:$B$3002,$A53,출퇴근기록!$I$3:$I$3002,"결근",출퇴근기록!$A$3:$A$3002,"&gt;="&amp;DATE($B$3,$D$3,1),출퇴근기록!$A$3:$A$3002,"&lt;="&amp;EOMONTH(DATE($B$3,$D$3,1),0)))</f>
        <v/>
      </c>
    </row>
    <row r="54" customFormat="false" ht="15" hidden="false" customHeight="true" outlineLevel="0" collapsed="false">
      <c r="A54" s="13" t="str">
        <f aca="false">IF(직원목록!$A51="","",직원목록!$A51)</f>
        <v/>
      </c>
      <c r="B54" s="13" t="str">
        <f aca="false">IF($A54="","",직원목록!$B51)</f>
        <v/>
      </c>
      <c r="C54" s="13" t="str">
        <f aca="false">IF($A54="","",직원목록!$C51)</f>
        <v/>
      </c>
      <c r="D54" s="19" t="str">
        <f aca="false">IF($A54="","",COUNTIFS(출퇴근기록!$B$3:$B$3002,$A54,출퇴근기록!$H$3:$H$3002,"&gt;0",출퇴근기록!$A$3:$A$3002,"&gt;="&amp;DATE($B$3,$D$3,1),출퇴근기록!$A$3:$A$3002,"&lt;="&amp;EOMONTH(DATE($B$3,$D$3,1),0)))</f>
        <v/>
      </c>
      <c r="E54" s="16" t="str">
        <f aca="false">IF($A54="","",ROUND(SUMIFS(출퇴근기록!$H$3:$H$3002,출퇴근기록!$B$3:$B$3002,$A54,출퇴근기록!$I$3:$I$3002,"평일",출퇴근기록!$A$3:$A$3002,"&gt;="&amp;DATE($B$3,$D$3,1),출퇴근기록!$A$3:$A$3002,"&lt;="&amp;EOMONTH(DATE($B$3,$D$3,1),0)),2))</f>
        <v/>
      </c>
      <c r="F54" s="16" t="str">
        <f aca="false">IF($A54="","",ROUND(SUMIFS(출퇴근기록!$H$3:$H$3002,출퇴근기록!$B$3:$B$3002,$A54,출퇴근기록!$I$3:$I$3002,"휴일",출퇴근기록!$A$3:$A$3002,"&gt;="&amp;DATE($B$3,$D$3,1),출퇴근기록!$A$3:$A$3002,"&lt;="&amp;EOMONTH(DATE($B$3,$D$3,1),0)),2))</f>
        <v/>
      </c>
      <c r="G54" s="16" t="str">
        <f aca="false">IF($A54="","",ROUND(SUMIFS(출퇴근기록!$H$3:$H$3002,출퇴근기록!$B$3:$B$3002,$A54,출퇴근기록!$A$3:$A$3002,"&gt;="&amp;DATE($B$3,$D$3,1),출퇴근기록!$A$3:$A$3002,"&lt;="&amp;EOMONTH(DATE($B$3,$D$3,1),0)),2))</f>
        <v/>
      </c>
      <c r="H54" s="16" t="str">
        <f aca="false">IF($A54="","",ROUND($D54*IF(직원목록!$F51="",8,직원목록!$F51),2))</f>
        <v/>
      </c>
      <c r="I54" s="16" t="str">
        <f aca="false">IF($A54="","",ROUND($G54-$H54,2))</f>
        <v/>
      </c>
      <c r="J54" s="19" t="str">
        <f aca="false">IF($A54="","",COUNTIFS(출퇴근기록!$B$3:$B$3002,$A54,출퇴근기록!$I$3:$I$3002,"연차",출퇴근기록!$A$3:$A$3002,"&gt;="&amp;DATE($B$3,$D$3,1),출퇴근기록!$A$3:$A$3002,"&lt;="&amp;EOMONTH(DATE($B$3,$D$3,1),0)))</f>
        <v/>
      </c>
      <c r="K54" s="19" t="str">
        <f aca="false">IF($A54="","",COUNTIFS(출퇴근기록!$B$3:$B$3002,$A54,출퇴근기록!$I$3:$I$3002,"결근",출퇴근기록!$A$3:$A$3002,"&gt;="&amp;DATE($B$3,$D$3,1),출퇴근기록!$A$3:$A$3002,"&lt;="&amp;EOMONTH(DATE($B$3,$D$3,1),0)))</f>
        <v/>
      </c>
    </row>
    <row r="55" customFormat="false" ht="15" hidden="false" customHeight="true" outlineLevel="0" collapsed="false">
      <c r="A55" s="13" t="str">
        <f aca="false">IF(직원목록!$A52="","",직원목록!$A52)</f>
        <v/>
      </c>
      <c r="B55" s="13" t="str">
        <f aca="false">IF($A55="","",직원목록!$B52)</f>
        <v/>
      </c>
      <c r="C55" s="13" t="str">
        <f aca="false">IF($A55="","",직원목록!$C52)</f>
        <v/>
      </c>
      <c r="D55" s="19" t="str">
        <f aca="false">IF($A55="","",COUNTIFS(출퇴근기록!$B$3:$B$3002,$A55,출퇴근기록!$H$3:$H$3002,"&gt;0",출퇴근기록!$A$3:$A$3002,"&gt;="&amp;DATE($B$3,$D$3,1),출퇴근기록!$A$3:$A$3002,"&lt;="&amp;EOMONTH(DATE($B$3,$D$3,1),0)))</f>
        <v/>
      </c>
      <c r="E55" s="16" t="str">
        <f aca="false">IF($A55="","",ROUND(SUMIFS(출퇴근기록!$H$3:$H$3002,출퇴근기록!$B$3:$B$3002,$A55,출퇴근기록!$I$3:$I$3002,"평일",출퇴근기록!$A$3:$A$3002,"&gt;="&amp;DATE($B$3,$D$3,1),출퇴근기록!$A$3:$A$3002,"&lt;="&amp;EOMONTH(DATE($B$3,$D$3,1),0)),2))</f>
        <v/>
      </c>
      <c r="F55" s="16" t="str">
        <f aca="false">IF($A55="","",ROUND(SUMIFS(출퇴근기록!$H$3:$H$3002,출퇴근기록!$B$3:$B$3002,$A55,출퇴근기록!$I$3:$I$3002,"휴일",출퇴근기록!$A$3:$A$3002,"&gt;="&amp;DATE($B$3,$D$3,1),출퇴근기록!$A$3:$A$3002,"&lt;="&amp;EOMONTH(DATE($B$3,$D$3,1),0)),2))</f>
        <v/>
      </c>
      <c r="G55" s="16" t="str">
        <f aca="false">IF($A55="","",ROUND(SUMIFS(출퇴근기록!$H$3:$H$3002,출퇴근기록!$B$3:$B$3002,$A55,출퇴근기록!$A$3:$A$3002,"&gt;="&amp;DATE($B$3,$D$3,1),출퇴근기록!$A$3:$A$3002,"&lt;="&amp;EOMONTH(DATE($B$3,$D$3,1),0)),2))</f>
        <v/>
      </c>
      <c r="H55" s="16" t="str">
        <f aca="false">IF($A55="","",ROUND($D55*IF(직원목록!$F52="",8,직원목록!$F52),2))</f>
        <v/>
      </c>
      <c r="I55" s="16" t="str">
        <f aca="false">IF($A55="","",ROUND($G55-$H55,2))</f>
        <v/>
      </c>
      <c r="J55" s="19" t="str">
        <f aca="false">IF($A55="","",COUNTIFS(출퇴근기록!$B$3:$B$3002,$A55,출퇴근기록!$I$3:$I$3002,"연차",출퇴근기록!$A$3:$A$3002,"&gt;="&amp;DATE($B$3,$D$3,1),출퇴근기록!$A$3:$A$3002,"&lt;="&amp;EOMONTH(DATE($B$3,$D$3,1),0)))</f>
        <v/>
      </c>
      <c r="K55" s="19" t="str">
        <f aca="false">IF($A55="","",COUNTIFS(출퇴근기록!$B$3:$B$3002,$A55,출퇴근기록!$I$3:$I$3002,"결근",출퇴근기록!$A$3:$A$3002,"&gt;="&amp;DATE($B$3,$D$3,1),출퇴근기록!$A$3:$A$3002,"&lt;="&amp;EOMONTH(DATE($B$3,$D$3,1),0)))</f>
        <v/>
      </c>
    </row>
    <row r="56" customFormat="false" ht="15" hidden="false" customHeight="true" outlineLevel="0" collapsed="false">
      <c r="A56" s="13" t="str">
        <f aca="false">IF(직원목록!$A53="","",직원목록!$A53)</f>
        <v/>
      </c>
      <c r="B56" s="13" t="str">
        <f aca="false">IF($A56="","",직원목록!$B53)</f>
        <v/>
      </c>
      <c r="C56" s="13" t="str">
        <f aca="false">IF($A56="","",직원목록!$C53)</f>
        <v/>
      </c>
      <c r="D56" s="19" t="str">
        <f aca="false">IF($A56="","",COUNTIFS(출퇴근기록!$B$3:$B$3002,$A56,출퇴근기록!$H$3:$H$3002,"&gt;0",출퇴근기록!$A$3:$A$3002,"&gt;="&amp;DATE($B$3,$D$3,1),출퇴근기록!$A$3:$A$3002,"&lt;="&amp;EOMONTH(DATE($B$3,$D$3,1),0)))</f>
        <v/>
      </c>
      <c r="E56" s="16" t="str">
        <f aca="false">IF($A56="","",ROUND(SUMIFS(출퇴근기록!$H$3:$H$3002,출퇴근기록!$B$3:$B$3002,$A56,출퇴근기록!$I$3:$I$3002,"평일",출퇴근기록!$A$3:$A$3002,"&gt;="&amp;DATE($B$3,$D$3,1),출퇴근기록!$A$3:$A$3002,"&lt;="&amp;EOMONTH(DATE($B$3,$D$3,1),0)),2))</f>
        <v/>
      </c>
      <c r="F56" s="16" t="str">
        <f aca="false">IF($A56="","",ROUND(SUMIFS(출퇴근기록!$H$3:$H$3002,출퇴근기록!$B$3:$B$3002,$A56,출퇴근기록!$I$3:$I$3002,"휴일",출퇴근기록!$A$3:$A$3002,"&gt;="&amp;DATE($B$3,$D$3,1),출퇴근기록!$A$3:$A$3002,"&lt;="&amp;EOMONTH(DATE($B$3,$D$3,1),0)),2))</f>
        <v/>
      </c>
      <c r="G56" s="16" t="str">
        <f aca="false">IF($A56="","",ROUND(SUMIFS(출퇴근기록!$H$3:$H$3002,출퇴근기록!$B$3:$B$3002,$A56,출퇴근기록!$A$3:$A$3002,"&gt;="&amp;DATE($B$3,$D$3,1),출퇴근기록!$A$3:$A$3002,"&lt;="&amp;EOMONTH(DATE($B$3,$D$3,1),0)),2))</f>
        <v/>
      </c>
      <c r="H56" s="16" t="str">
        <f aca="false">IF($A56="","",ROUND($D56*IF(직원목록!$F53="",8,직원목록!$F53),2))</f>
        <v/>
      </c>
      <c r="I56" s="16" t="str">
        <f aca="false">IF($A56="","",ROUND($G56-$H56,2))</f>
        <v/>
      </c>
      <c r="J56" s="19" t="str">
        <f aca="false">IF($A56="","",COUNTIFS(출퇴근기록!$B$3:$B$3002,$A56,출퇴근기록!$I$3:$I$3002,"연차",출퇴근기록!$A$3:$A$3002,"&gt;="&amp;DATE($B$3,$D$3,1),출퇴근기록!$A$3:$A$3002,"&lt;="&amp;EOMONTH(DATE($B$3,$D$3,1),0)))</f>
        <v/>
      </c>
      <c r="K56" s="19" t="str">
        <f aca="false">IF($A56="","",COUNTIFS(출퇴근기록!$B$3:$B$3002,$A56,출퇴근기록!$I$3:$I$3002,"결근",출퇴근기록!$A$3:$A$3002,"&gt;="&amp;DATE($B$3,$D$3,1),출퇴근기록!$A$3:$A$3002,"&lt;="&amp;EOMONTH(DATE($B$3,$D$3,1),0)))</f>
        <v/>
      </c>
    </row>
    <row r="57" customFormat="false" ht="15" hidden="false" customHeight="true" outlineLevel="0" collapsed="false">
      <c r="A57" s="13" t="str">
        <f aca="false">IF(직원목록!$A54="","",직원목록!$A54)</f>
        <v/>
      </c>
      <c r="B57" s="13" t="str">
        <f aca="false">IF($A57="","",직원목록!$B54)</f>
        <v/>
      </c>
      <c r="C57" s="13" t="str">
        <f aca="false">IF($A57="","",직원목록!$C54)</f>
        <v/>
      </c>
      <c r="D57" s="19" t="str">
        <f aca="false">IF($A57="","",COUNTIFS(출퇴근기록!$B$3:$B$3002,$A57,출퇴근기록!$H$3:$H$3002,"&gt;0",출퇴근기록!$A$3:$A$3002,"&gt;="&amp;DATE($B$3,$D$3,1),출퇴근기록!$A$3:$A$3002,"&lt;="&amp;EOMONTH(DATE($B$3,$D$3,1),0)))</f>
        <v/>
      </c>
      <c r="E57" s="16" t="str">
        <f aca="false">IF($A57="","",ROUND(SUMIFS(출퇴근기록!$H$3:$H$3002,출퇴근기록!$B$3:$B$3002,$A57,출퇴근기록!$I$3:$I$3002,"평일",출퇴근기록!$A$3:$A$3002,"&gt;="&amp;DATE($B$3,$D$3,1),출퇴근기록!$A$3:$A$3002,"&lt;="&amp;EOMONTH(DATE($B$3,$D$3,1),0)),2))</f>
        <v/>
      </c>
      <c r="F57" s="16" t="str">
        <f aca="false">IF($A57="","",ROUND(SUMIFS(출퇴근기록!$H$3:$H$3002,출퇴근기록!$B$3:$B$3002,$A57,출퇴근기록!$I$3:$I$3002,"휴일",출퇴근기록!$A$3:$A$3002,"&gt;="&amp;DATE($B$3,$D$3,1),출퇴근기록!$A$3:$A$3002,"&lt;="&amp;EOMONTH(DATE($B$3,$D$3,1),0)),2))</f>
        <v/>
      </c>
      <c r="G57" s="16" t="str">
        <f aca="false">IF($A57="","",ROUND(SUMIFS(출퇴근기록!$H$3:$H$3002,출퇴근기록!$B$3:$B$3002,$A57,출퇴근기록!$A$3:$A$3002,"&gt;="&amp;DATE($B$3,$D$3,1),출퇴근기록!$A$3:$A$3002,"&lt;="&amp;EOMONTH(DATE($B$3,$D$3,1),0)),2))</f>
        <v/>
      </c>
      <c r="H57" s="16" t="str">
        <f aca="false">IF($A57="","",ROUND($D57*IF(직원목록!$F54="",8,직원목록!$F54),2))</f>
        <v/>
      </c>
      <c r="I57" s="16" t="str">
        <f aca="false">IF($A57="","",ROUND($G57-$H57,2))</f>
        <v/>
      </c>
      <c r="J57" s="19" t="str">
        <f aca="false">IF($A57="","",COUNTIFS(출퇴근기록!$B$3:$B$3002,$A57,출퇴근기록!$I$3:$I$3002,"연차",출퇴근기록!$A$3:$A$3002,"&gt;="&amp;DATE($B$3,$D$3,1),출퇴근기록!$A$3:$A$3002,"&lt;="&amp;EOMONTH(DATE($B$3,$D$3,1),0)))</f>
        <v/>
      </c>
      <c r="K57" s="19" t="str">
        <f aca="false">IF($A57="","",COUNTIFS(출퇴근기록!$B$3:$B$3002,$A57,출퇴근기록!$I$3:$I$3002,"결근",출퇴근기록!$A$3:$A$3002,"&gt;="&amp;DATE($B$3,$D$3,1),출퇴근기록!$A$3:$A$3002,"&lt;="&amp;EOMONTH(DATE($B$3,$D$3,1),0)))</f>
        <v/>
      </c>
    </row>
    <row r="58" customFormat="false" ht="15" hidden="false" customHeight="true" outlineLevel="0" collapsed="false">
      <c r="A58" s="13" t="str">
        <f aca="false">IF(직원목록!$A55="","",직원목록!$A55)</f>
        <v/>
      </c>
      <c r="B58" s="13" t="str">
        <f aca="false">IF($A58="","",직원목록!$B55)</f>
        <v/>
      </c>
      <c r="C58" s="13" t="str">
        <f aca="false">IF($A58="","",직원목록!$C55)</f>
        <v/>
      </c>
      <c r="D58" s="19" t="str">
        <f aca="false">IF($A58="","",COUNTIFS(출퇴근기록!$B$3:$B$3002,$A58,출퇴근기록!$H$3:$H$3002,"&gt;0",출퇴근기록!$A$3:$A$3002,"&gt;="&amp;DATE($B$3,$D$3,1),출퇴근기록!$A$3:$A$3002,"&lt;="&amp;EOMONTH(DATE($B$3,$D$3,1),0)))</f>
        <v/>
      </c>
      <c r="E58" s="16" t="str">
        <f aca="false">IF($A58="","",ROUND(SUMIFS(출퇴근기록!$H$3:$H$3002,출퇴근기록!$B$3:$B$3002,$A58,출퇴근기록!$I$3:$I$3002,"평일",출퇴근기록!$A$3:$A$3002,"&gt;="&amp;DATE($B$3,$D$3,1),출퇴근기록!$A$3:$A$3002,"&lt;="&amp;EOMONTH(DATE($B$3,$D$3,1),0)),2))</f>
        <v/>
      </c>
      <c r="F58" s="16" t="str">
        <f aca="false">IF($A58="","",ROUND(SUMIFS(출퇴근기록!$H$3:$H$3002,출퇴근기록!$B$3:$B$3002,$A58,출퇴근기록!$I$3:$I$3002,"휴일",출퇴근기록!$A$3:$A$3002,"&gt;="&amp;DATE($B$3,$D$3,1),출퇴근기록!$A$3:$A$3002,"&lt;="&amp;EOMONTH(DATE($B$3,$D$3,1),0)),2))</f>
        <v/>
      </c>
      <c r="G58" s="16" t="str">
        <f aca="false">IF($A58="","",ROUND(SUMIFS(출퇴근기록!$H$3:$H$3002,출퇴근기록!$B$3:$B$3002,$A58,출퇴근기록!$A$3:$A$3002,"&gt;="&amp;DATE($B$3,$D$3,1),출퇴근기록!$A$3:$A$3002,"&lt;="&amp;EOMONTH(DATE($B$3,$D$3,1),0)),2))</f>
        <v/>
      </c>
      <c r="H58" s="16" t="str">
        <f aca="false">IF($A58="","",ROUND($D58*IF(직원목록!$F55="",8,직원목록!$F55),2))</f>
        <v/>
      </c>
      <c r="I58" s="16" t="str">
        <f aca="false">IF($A58="","",ROUND($G58-$H58,2))</f>
        <v/>
      </c>
      <c r="J58" s="19" t="str">
        <f aca="false">IF($A58="","",COUNTIFS(출퇴근기록!$B$3:$B$3002,$A58,출퇴근기록!$I$3:$I$3002,"연차",출퇴근기록!$A$3:$A$3002,"&gt;="&amp;DATE($B$3,$D$3,1),출퇴근기록!$A$3:$A$3002,"&lt;="&amp;EOMONTH(DATE($B$3,$D$3,1),0)))</f>
        <v/>
      </c>
      <c r="K58" s="19" t="str">
        <f aca="false">IF($A58="","",COUNTIFS(출퇴근기록!$B$3:$B$3002,$A58,출퇴근기록!$I$3:$I$3002,"결근",출퇴근기록!$A$3:$A$3002,"&gt;="&amp;DATE($B$3,$D$3,1),출퇴근기록!$A$3:$A$3002,"&lt;="&amp;EOMONTH(DATE($B$3,$D$3,1),0)))</f>
        <v/>
      </c>
    </row>
    <row r="59" customFormat="false" ht="15" hidden="false" customHeight="true" outlineLevel="0" collapsed="false">
      <c r="A59" s="13" t="str">
        <f aca="false">IF(직원목록!$A56="","",직원목록!$A56)</f>
        <v/>
      </c>
      <c r="B59" s="13" t="str">
        <f aca="false">IF($A59="","",직원목록!$B56)</f>
        <v/>
      </c>
      <c r="C59" s="13" t="str">
        <f aca="false">IF($A59="","",직원목록!$C56)</f>
        <v/>
      </c>
      <c r="D59" s="19" t="str">
        <f aca="false">IF($A59="","",COUNTIFS(출퇴근기록!$B$3:$B$3002,$A59,출퇴근기록!$H$3:$H$3002,"&gt;0",출퇴근기록!$A$3:$A$3002,"&gt;="&amp;DATE($B$3,$D$3,1),출퇴근기록!$A$3:$A$3002,"&lt;="&amp;EOMONTH(DATE($B$3,$D$3,1),0)))</f>
        <v/>
      </c>
      <c r="E59" s="16" t="str">
        <f aca="false">IF($A59="","",ROUND(SUMIFS(출퇴근기록!$H$3:$H$3002,출퇴근기록!$B$3:$B$3002,$A59,출퇴근기록!$I$3:$I$3002,"평일",출퇴근기록!$A$3:$A$3002,"&gt;="&amp;DATE($B$3,$D$3,1),출퇴근기록!$A$3:$A$3002,"&lt;="&amp;EOMONTH(DATE($B$3,$D$3,1),0)),2))</f>
        <v/>
      </c>
      <c r="F59" s="16" t="str">
        <f aca="false">IF($A59="","",ROUND(SUMIFS(출퇴근기록!$H$3:$H$3002,출퇴근기록!$B$3:$B$3002,$A59,출퇴근기록!$I$3:$I$3002,"휴일",출퇴근기록!$A$3:$A$3002,"&gt;="&amp;DATE($B$3,$D$3,1),출퇴근기록!$A$3:$A$3002,"&lt;="&amp;EOMONTH(DATE($B$3,$D$3,1),0)),2))</f>
        <v/>
      </c>
      <c r="G59" s="16" t="str">
        <f aca="false">IF($A59="","",ROUND(SUMIFS(출퇴근기록!$H$3:$H$3002,출퇴근기록!$B$3:$B$3002,$A59,출퇴근기록!$A$3:$A$3002,"&gt;="&amp;DATE($B$3,$D$3,1),출퇴근기록!$A$3:$A$3002,"&lt;="&amp;EOMONTH(DATE($B$3,$D$3,1),0)),2))</f>
        <v/>
      </c>
      <c r="H59" s="16" t="str">
        <f aca="false">IF($A59="","",ROUND($D59*IF(직원목록!$F56="",8,직원목록!$F56),2))</f>
        <v/>
      </c>
      <c r="I59" s="16" t="str">
        <f aca="false">IF($A59="","",ROUND($G59-$H59,2))</f>
        <v/>
      </c>
      <c r="J59" s="19" t="str">
        <f aca="false">IF($A59="","",COUNTIFS(출퇴근기록!$B$3:$B$3002,$A59,출퇴근기록!$I$3:$I$3002,"연차",출퇴근기록!$A$3:$A$3002,"&gt;="&amp;DATE($B$3,$D$3,1),출퇴근기록!$A$3:$A$3002,"&lt;="&amp;EOMONTH(DATE($B$3,$D$3,1),0)))</f>
        <v/>
      </c>
      <c r="K59" s="19" t="str">
        <f aca="false">IF($A59="","",COUNTIFS(출퇴근기록!$B$3:$B$3002,$A59,출퇴근기록!$I$3:$I$3002,"결근",출퇴근기록!$A$3:$A$3002,"&gt;="&amp;DATE($B$3,$D$3,1),출퇴근기록!$A$3:$A$3002,"&lt;="&amp;EOMONTH(DATE($B$3,$D$3,1),0)))</f>
        <v/>
      </c>
    </row>
    <row r="60" customFormat="false" ht="15" hidden="false" customHeight="true" outlineLevel="0" collapsed="false">
      <c r="A60" s="13" t="str">
        <f aca="false">IF(직원목록!$A57="","",직원목록!$A57)</f>
        <v/>
      </c>
      <c r="B60" s="13" t="str">
        <f aca="false">IF($A60="","",직원목록!$B57)</f>
        <v/>
      </c>
      <c r="C60" s="13" t="str">
        <f aca="false">IF($A60="","",직원목록!$C57)</f>
        <v/>
      </c>
      <c r="D60" s="19" t="str">
        <f aca="false">IF($A60="","",COUNTIFS(출퇴근기록!$B$3:$B$3002,$A60,출퇴근기록!$H$3:$H$3002,"&gt;0",출퇴근기록!$A$3:$A$3002,"&gt;="&amp;DATE($B$3,$D$3,1),출퇴근기록!$A$3:$A$3002,"&lt;="&amp;EOMONTH(DATE($B$3,$D$3,1),0)))</f>
        <v/>
      </c>
      <c r="E60" s="16" t="str">
        <f aca="false">IF($A60="","",ROUND(SUMIFS(출퇴근기록!$H$3:$H$3002,출퇴근기록!$B$3:$B$3002,$A60,출퇴근기록!$I$3:$I$3002,"평일",출퇴근기록!$A$3:$A$3002,"&gt;="&amp;DATE($B$3,$D$3,1),출퇴근기록!$A$3:$A$3002,"&lt;="&amp;EOMONTH(DATE($B$3,$D$3,1),0)),2))</f>
        <v/>
      </c>
      <c r="F60" s="16" t="str">
        <f aca="false">IF($A60="","",ROUND(SUMIFS(출퇴근기록!$H$3:$H$3002,출퇴근기록!$B$3:$B$3002,$A60,출퇴근기록!$I$3:$I$3002,"휴일",출퇴근기록!$A$3:$A$3002,"&gt;="&amp;DATE($B$3,$D$3,1),출퇴근기록!$A$3:$A$3002,"&lt;="&amp;EOMONTH(DATE($B$3,$D$3,1),0)),2))</f>
        <v/>
      </c>
      <c r="G60" s="16" t="str">
        <f aca="false">IF($A60="","",ROUND(SUMIFS(출퇴근기록!$H$3:$H$3002,출퇴근기록!$B$3:$B$3002,$A60,출퇴근기록!$A$3:$A$3002,"&gt;="&amp;DATE($B$3,$D$3,1),출퇴근기록!$A$3:$A$3002,"&lt;="&amp;EOMONTH(DATE($B$3,$D$3,1),0)),2))</f>
        <v/>
      </c>
      <c r="H60" s="16" t="str">
        <f aca="false">IF($A60="","",ROUND($D60*IF(직원목록!$F57="",8,직원목록!$F57),2))</f>
        <v/>
      </c>
      <c r="I60" s="16" t="str">
        <f aca="false">IF($A60="","",ROUND($G60-$H60,2))</f>
        <v/>
      </c>
      <c r="J60" s="19" t="str">
        <f aca="false">IF($A60="","",COUNTIFS(출퇴근기록!$B$3:$B$3002,$A60,출퇴근기록!$I$3:$I$3002,"연차",출퇴근기록!$A$3:$A$3002,"&gt;="&amp;DATE($B$3,$D$3,1),출퇴근기록!$A$3:$A$3002,"&lt;="&amp;EOMONTH(DATE($B$3,$D$3,1),0)))</f>
        <v/>
      </c>
      <c r="K60" s="19" t="str">
        <f aca="false">IF($A60="","",COUNTIFS(출퇴근기록!$B$3:$B$3002,$A60,출퇴근기록!$I$3:$I$3002,"결근",출퇴근기록!$A$3:$A$3002,"&gt;="&amp;DATE($B$3,$D$3,1),출퇴근기록!$A$3:$A$3002,"&lt;="&amp;EOMONTH(DATE($B$3,$D$3,1),0)))</f>
        <v/>
      </c>
    </row>
    <row r="61" customFormat="false" ht="15" hidden="false" customHeight="true" outlineLevel="0" collapsed="false">
      <c r="A61" s="13" t="str">
        <f aca="false">IF(직원목록!$A58="","",직원목록!$A58)</f>
        <v/>
      </c>
      <c r="B61" s="13" t="str">
        <f aca="false">IF($A61="","",직원목록!$B58)</f>
        <v/>
      </c>
      <c r="C61" s="13" t="str">
        <f aca="false">IF($A61="","",직원목록!$C58)</f>
        <v/>
      </c>
      <c r="D61" s="19" t="str">
        <f aca="false">IF($A61="","",COUNTIFS(출퇴근기록!$B$3:$B$3002,$A61,출퇴근기록!$H$3:$H$3002,"&gt;0",출퇴근기록!$A$3:$A$3002,"&gt;="&amp;DATE($B$3,$D$3,1),출퇴근기록!$A$3:$A$3002,"&lt;="&amp;EOMONTH(DATE($B$3,$D$3,1),0)))</f>
        <v/>
      </c>
      <c r="E61" s="16" t="str">
        <f aca="false">IF($A61="","",ROUND(SUMIFS(출퇴근기록!$H$3:$H$3002,출퇴근기록!$B$3:$B$3002,$A61,출퇴근기록!$I$3:$I$3002,"평일",출퇴근기록!$A$3:$A$3002,"&gt;="&amp;DATE($B$3,$D$3,1),출퇴근기록!$A$3:$A$3002,"&lt;="&amp;EOMONTH(DATE($B$3,$D$3,1),0)),2))</f>
        <v/>
      </c>
      <c r="F61" s="16" t="str">
        <f aca="false">IF($A61="","",ROUND(SUMIFS(출퇴근기록!$H$3:$H$3002,출퇴근기록!$B$3:$B$3002,$A61,출퇴근기록!$I$3:$I$3002,"휴일",출퇴근기록!$A$3:$A$3002,"&gt;="&amp;DATE($B$3,$D$3,1),출퇴근기록!$A$3:$A$3002,"&lt;="&amp;EOMONTH(DATE($B$3,$D$3,1),0)),2))</f>
        <v/>
      </c>
      <c r="G61" s="16" t="str">
        <f aca="false">IF($A61="","",ROUND(SUMIFS(출퇴근기록!$H$3:$H$3002,출퇴근기록!$B$3:$B$3002,$A61,출퇴근기록!$A$3:$A$3002,"&gt;="&amp;DATE($B$3,$D$3,1),출퇴근기록!$A$3:$A$3002,"&lt;="&amp;EOMONTH(DATE($B$3,$D$3,1),0)),2))</f>
        <v/>
      </c>
      <c r="H61" s="16" t="str">
        <f aca="false">IF($A61="","",ROUND($D61*IF(직원목록!$F58="",8,직원목록!$F58),2))</f>
        <v/>
      </c>
      <c r="I61" s="16" t="str">
        <f aca="false">IF($A61="","",ROUND($G61-$H61,2))</f>
        <v/>
      </c>
      <c r="J61" s="19" t="str">
        <f aca="false">IF($A61="","",COUNTIFS(출퇴근기록!$B$3:$B$3002,$A61,출퇴근기록!$I$3:$I$3002,"연차",출퇴근기록!$A$3:$A$3002,"&gt;="&amp;DATE($B$3,$D$3,1),출퇴근기록!$A$3:$A$3002,"&lt;="&amp;EOMONTH(DATE($B$3,$D$3,1),0)))</f>
        <v/>
      </c>
      <c r="K61" s="19" t="str">
        <f aca="false">IF($A61="","",COUNTIFS(출퇴근기록!$B$3:$B$3002,$A61,출퇴근기록!$I$3:$I$3002,"결근",출퇴근기록!$A$3:$A$3002,"&gt;="&amp;DATE($B$3,$D$3,1),출퇴근기록!$A$3:$A$3002,"&lt;="&amp;EOMONTH(DATE($B$3,$D$3,1),0)))</f>
        <v/>
      </c>
    </row>
    <row r="62" customFormat="false" ht="15" hidden="false" customHeight="true" outlineLevel="0" collapsed="false">
      <c r="A62" s="13" t="str">
        <f aca="false">IF(직원목록!$A59="","",직원목록!$A59)</f>
        <v/>
      </c>
      <c r="B62" s="13" t="str">
        <f aca="false">IF($A62="","",직원목록!$B59)</f>
        <v/>
      </c>
      <c r="C62" s="13" t="str">
        <f aca="false">IF($A62="","",직원목록!$C59)</f>
        <v/>
      </c>
      <c r="D62" s="19" t="str">
        <f aca="false">IF($A62="","",COUNTIFS(출퇴근기록!$B$3:$B$3002,$A62,출퇴근기록!$H$3:$H$3002,"&gt;0",출퇴근기록!$A$3:$A$3002,"&gt;="&amp;DATE($B$3,$D$3,1),출퇴근기록!$A$3:$A$3002,"&lt;="&amp;EOMONTH(DATE($B$3,$D$3,1),0)))</f>
        <v/>
      </c>
      <c r="E62" s="16" t="str">
        <f aca="false">IF($A62="","",ROUND(SUMIFS(출퇴근기록!$H$3:$H$3002,출퇴근기록!$B$3:$B$3002,$A62,출퇴근기록!$I$3:$I$3002,"평일",출퇴근기록!$A$3:$A$3002,"&gt;="&amp;DATE($B$3,$D$3,1),출퇴근기록!$A$3:$A$3002,"&lt;="&amp;EOMONTH(DATE($B$3,$D$3,1),0)),2))</f>
        <v/>
      </c>
      <c r="F62" s="16" t="str">
        <f aca="false">IF($A62="","",ROUND(SUMIFS(출퇴근기록!$H$3:$H$3002,출퇴근기록!$B$3:$B$3002,$A62,출퇴근기록!$I$3:$I$3002,"휴일",출퇴근기록!$A$3:$A$3002,"&gt;="&amp;DATE($B$3,$D$3,1),출퇴근기록!$A$3:$A$3002,"&lt;="&amp;EOMONTH(DATE($B$3,$D$3,1),0)),2))</f>
        <v/>
      </c>
      <c r="G62" s="16" t="str">
        <f aca="false">IF($A62="","",ROUND(SUMIFS(출퇴근기록!$H$3:$H$3002,출퇴근기록!$B$3:$B$3002,$A62,출퇴근기록!$A$3:$A$3002,"&gt;="&amp;DATE($B$3,$D$3,1),출퇴근기록!$A$3:$A$3002,"&lt;="&amp;EOMONTH(DATE($B$3,$D$3,1),0)),2))</f>
        <v/>
      </c>
      <c r="H62" s="16" t="str">
        <f aca="false">IF($A62="","",ROUND($D62*IF(직원목록!$F59="",8,직원목록!$F59),2))</f>
        <v/>
      </c>
      <c r="I62" s="16" t="str">
        <f aca="false">IF($A62="","",ROUND($G62-$H62,2))</f>
        <v/>
      </c>
      <c r="J62" s="19" t="str">
        <f aca="false">IF($A62="","",COUNTIFS(출퇴근기록!$B$3:$B$3002,$A62,출퇴근기록!$I$3:$I$3002,"연차",출퇴근기록!$A$3:$A$3002,"&gt;="&amp;DATE($B$3,$D$3,1),출퇴근기록!$A$3:$A$3002,"&lt;="&amp;EOMONTH(DATE($B$3,$D$3,1),0)))</f>
        <v/>
      </c>
      <c r="K62" s="19" t="str">
        <f aca="false">IF($A62="","",COUNTIFS(출퇴근기록!$B$3:$B$3002,$A62,출퇴근기록!$I$3:$I$3002,"결근",출퇴근기록!$A$3:$A$3002,"&gt;="&amp;DATE($B$3,$D$3,1),출퇴근기록!$A$3:$A$3002,"&lt;="&amp;EOMONTH(DATE($B$3,$D$3,1),0)))</f>
        <v/>
      </c>
    </row>
    <row r="63" customFormat="false" ht="15" hidden="false" customHeight="true" outlineLevel="0" collapsed="false">
      <c r="A63" s="13" t="str">
        <f aca="false">IF(직원목록!$A60="","",직원목록!$A60)</f>
        <v/>
      </c>
      <c r="B63" s="13" t="str">
        <f aca="false">IF($A63="","",직원목록!$B60)</f>
        <v/>
      </c>
      <c r="C63" s="13" t="str">
        <f aca="false">IF($A63="","",직원목록!$C60)</f>
        <v/>
      </c>
      <c r="D63" s="19" t="str">
        <f aca="false">IF($A63="","",COUNTIFS(출퇴근기록!$B$3:$B$3002,$A63,출퇴근기록!$H$3:$H$3002,"&gt;0",출퇴근기록!$A$3:$A$3002,"&gt;="&amp;DATE($B$3,$D$3,1),출퇴근기록!$A$3:$A$3002,"&lt;="&amp;EOMONTH(DATE($B$3,$D$3,1),0)))</f>
        <v/>
      </c>
      <c r="E63" s="16" t="str">
        <f aca="false">IF($A63="","",ROUND(SUMIFS(출퇴근기록!$H$3:$H$3002,출퇴근기록!$B$3:$B$3002,$A63,출퇴근기록!$I$3:$I$3002,"평일",출퇴근기록!$A$3:$A$3002,"&gt;="&amp;DATE($B$3,$D$3,1),출퇴근기록!$A$3:$A$3002,"&lt;="&amp;EOMONTH(DATE($B$3,$D$3,1),0)),2))</f>
        <v/>
      </c>
      <c r="F63" s="16" t="str">
        <f aca="false">IF($A63="","",ROUND(SUMIFS(출퇴근기록!$H$3:$H$3002,출퇴근기록!$B$3:$B$3002,$A63,출퇴근기록!$I$3:$I$3002,"휴일",출퇴근기록!$A$3:$A$3002,"&gt;="&amp;DATE($B$3,$D$3,1),출퇴근기록!$A$3:$A$3002,"&lt;="&amp;EOMONTH(DATE($B$3,$D$3,1),0)),2))</f>
        <v/>
      </c>
      <c r="G63" s="16" t="str">
        <f aca="false">IF($A63="","",ROUND(SUMIFS(출퇴근기록!$H$3:$H$3002,출퇴근기록!$B$3:$B$3002,$A63,출퇴근기록!$A$3:$A$3002,"&gt;="&amp;DATE($B$3,$D$3,1),출퇴근기록!$A$3:$A$3002,"&lt;="&amp;EOMONTH(DATE($B$3,$D$3,1),0)),2))</f>
        <v/>
      </c>
      <c r="H63" s="16" t="str">
        <f aca="false">IF($A63="","",ROUND($D63*IF(직원목록!$F60="",8,직원목록!$F60),2))</f>
        <v/>
      </c>
      <c r="I63" s="16" t="str">
        <f aca="false">IF($A63="","",ROUND($G63-$H63,2))</f>
        <v/>
      </c>
      <c r="J63" s="19" t="str">
        <f aca="false">IF($A63="","",COUNTIFS(출퇴근기록!$B$3:$B$3002,$A63,출퇴근기록!$I$3:$I$3002,"연차",출퇴근기록!$A$3:$A$3002,"&gt;="&amp;DATE($B$3,$D$3,1),출퇴근기록!$A$3:$A$3002,"&lt;="&amp;EOMONTH(DATE($B$3,$D$3,1),0)))</f>
        <v/>
      </c>
      <c r="K63" s="19" t="str">
        <f aca="false">IF($A63="","",COUNTIFS(출퇴근기록!$B$3:$B$3002,$A63,출퇴근기록!$I$3:$I$3002,"결근",출퇴근기록!$A$3:$A$3002,"&gt;="&amp;DATE($B$3,$D$3,1),출퇴근기록!$A$3:$A$3002,"&lt;="&amp;EOMONTH(DATE($B$3,$D$3,1),0)))</f>
        <v/>
      </c>
    </row>
    <row r="64" customFormat="false" ht="15" hidden="false" customHeight="true" outlineLevel="0" collapsed="false">
      <c r="A64" s="13" t="str">
        <f aca="false">IF(직원목록!$A61="","",직원목록!$A61)</f>
        <v/>
      </c>
      <c r="B64" s="13" t="str">
        <f aca="false">IF($A64="","",직원목록!$B61)</f>
        <v/>
      </c>
      <c r="C64" s="13" t="str">
        <f aca="false">IF($A64="","",직원목록!$C61)</f>
        <v/>
      </c>
      <c r="D64" s="19" t="str">
        <f aca="false">IF($A64="","",COUNTIFS(출퇴근기록!$B$3:$B$3002,$A64,출퇴근기록!$H$3:$H$3002,"&gt;0",출퇴근기록!$A$3:$A$3002,"&gt;="&amp;DATE($B$3,$D$3,1),출퇴근기록!$A$3:$A$3002,"&lt;="&amp;EOMONTH(DATE($B$3,$D$3,1),0)))</f>
        <v/>
      </c>
      <c r="E64" s="16" t="str">
        <f aca="false">IF($A64="","",ROUND(SUMIFS(출퇴근기록!$H$3:$H$3002,출퇴근기록!$B$3:$B$3002,$A64,출퇴근기록!$I$3:$I$3002,"평일",출퇴근기록!$A$3:$A$3002,"&gt;="&amp;DATE($B$3,$D$3,1),출퇴근기록!$A$3:$A$3002,"&lt;="&amp;EOMONTH(DATE($B$3,$D$3,1),0)),2))</f>
        <v/>
      </c>
      <c r="F64" s="16" t="str">
        <f aca="false">IF($A64="","",ROUND(SUMIFS(출퇴근기록!$H$3:$H$3002,출퇴근기록!$B$3:$B$3002,$A64,출퇴근기록!$I$3:$I$3002,"휴일",출퇴근기록!$A$3:$A$3002,"&gt;="&amp;DATE($B$3,$D$3,1),출퇴근기록!$A$3:$A$3002,"&lt;="&amp;EOMONTH(DATE($B$3,$D$3,1),0)),2))</f>
        <v/>
      </c>
      <c r="G64" s="16" t="str">
        <f aca="false">IF($A64="","",ROUND(SUMIFS(출퇴근기록!$H$3:$H$3002,출퇴근기록!$B$3:$B$3002,$A64,출퇴근기록!$A$3:$A$3002,"&gt;="&amp;DATE($B$3,$D$3,1),출퇴근기록!$A$3:$A$3002,"&lt;="&amp;EOMONTH(DATE($B$3,$D$3,1),0)),2))</f>
        <v/>
      </c>
      <c r="H64" s="16" t="str">
        <f aca="false">IF($A64="","",ROUND($D64*IF(직원목록!$F61="",8,직원목록!$F61),2))</f>
        <v/>
      </c>
      <c r="I64" s="16" t="str">
        <f aca="false">IF($A64="","",ROUND($G64-$H64,2))</f>
        <v/>
      </c>
      <c r="J64" s="19" t="str">
        <f aca="false">IF($A64="","",COUNTIFS(출퇴근기록!$B$3:$B$3002,$A64,출퇴근기록!$I$3:$I$3002,"연차",출퇴근기록!$A$3:$A$3002,"&gt;="&amp;DATE($B$3,$D$3,1),출퇴근기록!$A$3:$A$3002,"&lt;="&amp;EOMONTH(DATE($B$3,$D$3,1),0)))</f>
        <v/>
      </c>
      <c r="K64" s="19" t="str">
        <f aca="false">IF($A64="","",COUNTIFS(출퇴근기록!$B$3:$B$3002,$A64,출퇴근기록!$I$3:$I$3002,"결근",출퇴근기록!$A$3:$A$3002,"&gt;="&amp;DATE($B$3,$D$3,1),출퇴근기록!$A$3:$A$3002,"&lt;="&amp;EOMONTH(DATE($B$3,$D$3,1),0)))</f>
        <v/>
      </c>
    </row>
    <row r="65" customFormat="false" ht="15" hidden="false" customHeight="true" outlineLevel="0" collapsed="false">
      <c r="A65" s="13" t="str">
        <f aca="false">IF(직원목록!$A62="","",직원목록!$A62)</f>
        <v/>
      </c>
      <c r="B65" s="13" t="str">
        <f aca="false">IF($A65="","",직원목록!$B62)</f>
        <v/>
      </c>
      <c r="C65" s="13" t="str">
        <f aca="false">IF($A65="","",직원목록!$C62)</f>
        <v/>
      </c>
      <c r="D65" s="19" t="str">
        <f aca="false">IF($A65="","",COUNTIFS(출퇴근기록!$B$3:$B$3002,$A65,출퇴근기록!$H$3:$H$3002,"&gt;0",출퇴근기록!$A$3:$A$3002,"&gt;="&amp;DATE($B$3,$D$3,1),출퇴근기록!$A$3:$A$3002,"&lt;="&amp;EOMONTH(DATE($B$3,$D$3,1),0)))</f>
        <v/>
      </c>
      <c r="E65" s="16" t="str">
        <f aca="false">IF($A65="","",ROUND(SUMIFS(출퇴근기록!$H$3:$H$3002,출퇴근기록!$B$3:$B$3002,$A65,출퇴근기록!$I$3:$I$3002,"평일",출퇴근기록!$A$3:$A$3002,"&gt;="&amp;DATE($B$3,$D$3,1),출퇴근기록!$A$3:$A$3002,"&lt;="&amp;EOMONTH(DATE($B$3,$D$3,1),0)),2))</f>
        <v/>
      </c>
      <c r="F65" s="16" t="str">
        <f aca="false">IF($A65="","",ROUND(SUMIFS(출퇴근기록!$H$3:$H$3002,출퇴근기록!$B$3:$B$3002,$A65,출퇴근기록!$I$3:$I$3002,"휴일",출퇴근기록!$A$3:$A$3002,"&gt;="&amp;DATE($B$3,$D$3,1),출퇴근기록!$A$3:$A$3002,"&lt;="&amp;EOMONTH(DATE($B$3,$D$3,1),0)),2))</f>
        <v/>
      </c>
      <c r="G65" s="16" t="str">
        <f aca="false">IF($A65="","",ROUND(SUMIFS(출퇴근기록!$H$3:$H$3002,출퇴근기록!$B$3:$B$3002,$A65,출퇴근기록!$A$3:$A$3002,"&gt;="&amp;DATE($B$3,$D$3,1),출퇴근기록!$A$3:$A$3002,"&lt;="&amp;EOMONTH(DATE($B$3,$D$3,1),0)),2))</f>
        <v/>
      </c>
      <c r="H65" s="16" t="str">
        <f aca="false">IF($A65="","",ROUND($D65*IF(직원목록!$F62="",8,직원목록!$F62),2))</f>
        <v/>
      </c>
      <c r="I65" s="16" t="str">
        <f aca="false">IF($A65="","",ROUND($G65-$H65,2))</f>
        <v/>
      </c>
      <c r="J65" s="19" t="str">
        <f aca="false">IF($A65="","",COUNTIFS(출퇴근기록!$B$3:$B$3002,$A65,출퇴근기록!$I$3:$I$3002,"연차",출퇴근기록!$A$3:$A$3002,"&gt;="&amp;DATE($B$3,$D$3,1),출퇴근기록!$A$3:$A$3002,"&lt;="&amp;EOMONTH(DATE($B$3,$D$3,1),0)))</f>
        <v/>
      </c>
      <c r="K65" s="19" t="str">
        <f aca="false">IF($A65="","",COUNTIFS(출퇴근기록!$B$3:$B$3002,$A65,출퇴근기록!$I$3:$I$3002,"결근",출퇴근기록!$A$3:$A$3002,"&gt;="&amp;DATE($B$3,$D$3,1),출퇴근기록!$A$3:$A$3002,"&lt;="&amp;EOMONTH(DATE($B$3,$D$3,1),0)))</f>
        <v/>
      </c>
    </row>
    <row r="66" customFormat="false" ht="15" hidden="false" customHeight="true" outlineLevel="0" collapsed="false">
      <c r="A66" s="13" t="str">
        <f aca="false">IF(직원목록!$A63="","",직원목록!$A63)</f>
        <v/>
      </c>
      <c r="B66" s="13" t="str">
        <f aca="false">IF($A66="","",직원목록!$B63)</f>
        <v/>
      </c>
      <c r="C66" s="13" t="str">
        <f aca="false">IF($A66="","",직원목록!$C63)</f>
        <v/>
      </c>
      <c r="D66" s="19" t="str">
        <f aca="false">IF($A66="","",COUNTIFS(출퇴근기록!$B$3:$B$3002,$A66,출퇴근기록!$H$3:$H$3002,"&gt;0",출퇴근기록!$A$3:$A$3002,"&gt;="&amp;DATE($B$3,$D$3,1),출퇴근기록!$A$3:$A$3002,"&lt;="&amp;EOMONTH(DATE($B$3,$D$3,1),0)))</f>
        <v/>
      </c>
      <c r="E66" s="16" t="str">
        <f aca="false">IF($A66="","",ROUND(SUMIFS(출퇴근기록!$H$3:$H$3002,출퇴근기록!$B$3:$B$3002,$A66,출퇴근기록!$I$3:$I$3002,"평일",출퇴근기록!$A$3:$A$3002,"&gt;="&amp;DATE($B$3,$D$3,1),출퇴근기록!$A$3:$A$3002,"&lt;="&amp;EOMONTH(DATE($B$3,$D$3,1),0)),2))</f>
        <v/>
      </c>
      <c r="F66" s="16" t="str">
        <f aca="false">IF($A66="","",ROUND(SUMIFS(출퇴근기록!$H$3:$H$3002,출퇴근기록!$B$3:$B$3002,$A66,출퇴근기록!$I$3:$I$3002,"휴일",출퇴근기록!$A$3:$A$3002,"&gt;="&amp;DATE($B$3,$D$3,1),출퇴근기록!$A$3:$A$3002,"&lt;="&amp;EOMONTH(DATE($B$3,$D$3,1),0)),2))</f>
        <v/>
      </c>
      <c r="G66" s="16" t="str">
        <f aca="false">IF($A66="","",ROUND(SUMIFS(출퇴근기록!$H$3:$H$3002,출퇴근기록!$B$3:$B$3002,$A66,출퇴근기록!$A$3:$A$3002,"&gt;="&amp;DATE($B$3,$D$3,1),출퇴근기록!$A$3:$A$3002,"&lt;="&amp;EOMONTH(DATE($B$3,$D$3,1),0)),2))</f>
        <v/>
      </c>
      <c r="H66" s="16" t="str">
        <f aca="false">IF($A66="","",ROUND($D66*IF(직원목록!$F63="",8,직원목록!$F63),2))</f>
        <v/>
      </c>
      <c r="I66" s="16" t="str">
        <f aca="false">IF($A66="","",ROUND($G66-$H66,2))</f>
        <v/>
      </c>
      <c r="J66" s="19" t="str">
        <f aca="false">IF($A66="","",COUNTIFS(출퇴근기록!$B$3:$B$3002,$A66,출퇴근기록!$I$3:$I$3002,"연차",출퇴근기록!$A$3:$A$3002,"&gt;="&amp;DATE($B$3,$D$3,1),출퇴근기록!$A$3:$A$3002,"&lt;="&amp;EOMONTH(DATE($B$3,$D$3,1),0)))</f>
        <v/>
      </c>
      <c r="K66" s="19" t="str">
        <f aca="false">IF($A66="","",COUNTIFS(출퇴근기록!$B$3:$B$3002,$A66,출퇴근기록!$I$3:$I$3002,"결근",출퇴근기록!$A$3:$A$3002,"&gt;="&amp;DATE($B$3,$D$3,1),출퇴근기록!$A$3:$A$3002,"&lt;="&amp;EOMONTH(DATE($B$3,$D$3,1),0)))</f>
        <v/>
      </c>
    </row>
    <row r="67" customFormat="false" ht="15" hidden="false" customHeight="true" outlineLevel="0" collapsed="false">
      <c r="A67" s="13" t="str">
        <f aca="false">IF(직원목록!$A64="","",직원목록!$A64)</f>
        <v/>
      </c>
      <c r="B67" s="13" t="str">
        <f aca="false">IF($A67="","",직원목록!$B64)</f>
        <v/>
      </c>
      <c r="C67" s="13" t="str">
        <f aca="false">IF($A67="","",직원목록!$C64)</f>
        <v/>
      </c>
      <c r="D67" s="19" t="str">
        <f aca="false">IF($A67="","",COUNTIFS(출퇴근기록!$B$3:$B$3002,$A67,출퇴근기록!$H$3:$H$3002,"&gt;0",출퇴근기록!$A$3:$A$3002,"&gt;="&amp;DATE($B$3,$D$3,1),출퇴근기록!$A$3:$A$3002,"&lt;="&amp;EOMONTH(DATE($B$3,$D$3,1),0)))</f>
        <v/>
      </c>
      <c r="E67" s="16" t="str">
        <f aca="false">IF($A67="","",ROUND(SUMIFS(출퇴근기록!$H$3:$H$3002,출퇴근기록!$B$3:$B$3002,$A67,출퇴근기록!$I$3:$I$3002,"평일",출퇴근기록!$A$3:$A$3002,"&gt;="&amp;DATE($B$3,$D$3,1),출퇴근기록!$A$3:$A$3002,"&lt;="&amp;EOMONTH(DATE($B$3,$D$3,1),0)),2))</f>
        <v/>
      </c>
      <c r="F67" s="16" t="str">
        <f aca="false">IF($A67="","",ROUND(SUMIFS(출퇴근기록!$H$3:$H$3002,출퇴근기록!$B$3:$B$3002,$A67,출퇴근기록!$I$3:$I$3002,"휴일",출퇴근기록!$A$3:$A$3002,"&gt;="&amp;DATE($B$3,$D$3,1),출퇴근기록!$A$3:$A$3002,"&lt;="&amp;EOMONTH(DATE($B$3,$D$3,1),0)),2))</f>
        <v/>
      </c>
      <c r="G67" s="16" t="str">
        <f aca="false">IF($A67="","",ROUND(SUMIFS(출퇴근기록!$H$3:$H$3002,출퇴근기록!$B$3:$B$3002,$A67,출퇴근기록!$A$3:$A$3002,"&gt;="&amp;DATE($B$3,$D$3,1),출퇴근기록!$A$3:$A$3002,"&lt;="&amp;EOMONTH(DATE($B$3,$D$3,1),0)),2))</f>
        <v/>
      </c>
      <c r="H67" s="16" t="str">
        <f aca="false">IF($A67="","",ROUND($D67*IF(직원목록!$F64="",8,직원목록!$F64),2))</f>
        <v/>
      </c>
      <c r="I67" s="16" t="str">
        <f aca="false">IF($A67="","",ROUND($G67-$H67,2))</f>
        <v/>
      </c>
      <c r="J67" s="19" t="str">
        <f aca="false">IF($A67="","",COUNTIFS(출퇴근기록!$B$3:$B$3002,$A67,출퇴근기록!$I$3:$I$3002,"연차",출퇴근기록!$A$3:$A$3002,"&gt;="&amp;DATE($B$3,$D$3,1),출퇴근기록!$A$3:$A$3002,"&lt;="&amp;EOMONTH(DATE($B$3,$D$3,1),0)))</f>
        <v/>
      </c>
      <c r="K67" s="19" t="str">
        <f aca="false">IF($A67="","",COUNTIFS(출퇴근기록!$B$3:$B$3002,$A67,출퇴근기록!$I$3:$I$3002,"결근",출퇴근기록!$A$3:$A$3002,"&gt;="&amp;DATE($B$3,$D$3,1),출퇴근기록!$A$3:$A$3002,"&lt;="&amp;EOMONTH(DATE($B$3,$D$3,1),0)))</f>
        <v/>
      </c>
    </row>
    <row r="68" customFormat="false" ht="15" hidden="false" customHeight="true" outlineLevel="0" collapsed="false">
      <c r="A68" s="13" t="str">
        <f aca="false">IF(직원목록!$A65="","",직원목록!$A65)</f>
        <v/>
      </c>
      <c r="B68" s="13" t="str">
        <f aca="false">IF($A68="","",직원목록!$B65)</f>
        <v/>
      </c>
      <c r="C68" s="13" t="str">
        <f aca="false">IF($A68="","",직원목록!$C65)</f>
        <v/>
      </c>
      <c r="D68" s="19" t="str">
        <f aca="false">IF($A68="","",COUNTIFS(출퇴근기록!$B$3:$B$3002,$A68,출퇴근기록!$H$3:$H$3002,"&gt;0",출퇴근기록!$A$3:$A$3002,"&gt;="&amp;DATE($B$3,$D$3,1),출퇴근기록!$A$3:$A$3002,"&lt;="&amp;EOMONTH(DATE($B$3,$D$3,1),0)))</f>
        <v/>
      </c>
      <c r="E68" s="16" t="str">
        <f aca="false">IF($A68="","",ROUND(SUMIFS(출퇴근기록!$H$3:$H$3002,출퇴근기록!$B$3:$B$3002,$A68,출퇴근기록!$I$3:$I$3002,"평일",출퇴근기록!$A$3:$A$3002,"&gt;="&amp;DATE($B$3,$D$3,1),출퇴근기록!$A$3:$A$3002,"&lt;="&amp;EOMONTH(DATE($B$3,$D$3,1),0)),2))</f>
        <v/>
      </c>
      <c r="F68" s="16" t="str">
        <f aca="false">IF($A68="","",ROUND(SUMIFS(출퇴근기록!$H$3:$H$3002,출퇴근기록!$B$3:$B$3002,$A68,출퇴근기록!$I$3:$I$3002,"휴일",출퇴근기록!$A$3:$A$3002,"&gt;="&amp;DATE($B$3,$D$3,1),출퇴근기록!$A$3:$A$3002,"&lt;="&amp;EOMONTH(DATE($B$3,$D$3,1),0)),2))</f>
        <v/>
      </c>
      <c r="G68" s="16" t="str">
        <f aca="false">IF($A68="","",ROUND(SUMIFS(출퇴근기록!$H$3:$H$3002,출퇴근기록!$B$3:$B$3002,$A68,출퇴근기록!$A$3:$A$3002,"&gt;="&amp;DATE($B$3,$D$3,1),출퇴근기록!$A$3:$A$3002,"&lt;="&amp;EOMONTH(DATE($B$3,$D$3,1),0)),2))</f>
        <v/>
      </c>
      <c r="H68" s="16" t="str">
        <f aca="false">IF($A68="","",ROUND($D68*IF(직원목록!$F65="",8,직원목록!$F65),2))</f>
        <v/>
      </c>
      <c r="I68" s="16" t="str">
        <f aca="false">IF($A68="","",ROUND($G68-$H68,2))</f>
        <v/>
      </c>
      <c r="J68" s="19" t="str">
        <f aca="false">IF($A68="","",COUNTIFS(출퇴근기록!$B$3:$B$3002,$A68,출퇴근기록!$I$3:$I$3002,"연차",출퇴근기록!$A$3:$A$3002,"&gt;="&amp;DATE($B$3,$D$3,1),출퇴근기록!$A$3:$A$3002,"&lt;="&amp;EOMONTH(DATE($B$3,$D$3,1),0)))</f>
        <v/>
      </c>
      <c r="K68" s="19" t="str">
        <f aca="false">IF($A68="","",COUNTIFS(출퇴근기록!$B$3:$B$3002,$A68,출퇴근기록!$I$3:$I$3002,"결근",출퇴근기록!$A$3:$A$3002,"&gt;="&amp;DATE($B$3,$D$3,1),출퇴근기록!$A$3:$A$3002,"&lt;="&amp;EOMONTH(DATE($B$3,$D$3,1),0)))</f>
        <v/>
      </c>
    </row>
    <row r="69" customFormat="false" ht="15" hidden="false" customHeight="true" outlineLevel="0" collapsed="false">
      <c r="A69" s="13" t="str">
        <f aca="false">IF(직원목록!$A66="","",직원목록!$A66)</f>
        <v/>
      </c>
      <c r="B69" s="13" t="str">
        <f aca="false">IF($A69="","",직원목록!$B66)</f>
        <v/>
      </c>
      <c r="C69" s="13" t="str">
        <f aca="false">IF($A69="","",직원목록!$C66)</f>
        <v/>
      </c>
      <c r="D69" s="19" t="str">
        <f aca="false">IF($A69="","",COUNTIFS(출퇴근기록!$B$3:$B$3002,$A69,출퇴근기록!$H$3:$H$3002,"&gt;0",출퇴근기록!$A$3:$A$3002,"&gt;="&amp;DATE($B$3,$D$3,1),출퇴근기록!$A$3:$A$3002,"&lt;="&amp;EOMONTH(DATE($B$3,$D$3,1),0)))</f>
        <v/>
      </c>
      <c r="E69" s="16" t="str">
        <f aca="false">IF($A69="","",ROUND(SUMIFS(출퇴근기록!$H$3:$H$3002,출퇴근기록!$B$3:$B$3002,$A69,출퇴근기록!$I$3:$I$3002,"평일",출퇴근기록!$A$3:$A$3002,"&gt;="&amp;DATE($B$3,$D$3,1),출퇴근기록!$A$3:$A$3002,"&lt;="&amp;EOMONTH(DATE($B$3,$D$3,1),0)),2))</f>
        <v/>
      </c>
      <c r="F69" s="16" t="str">
        <f aca="false">IF($A69="","",ROUND(SUMIFS(출퇴근기록!$H$3:$H$3002,출퇴근기록!$B$3:$B$3002,$A69,출퇴근기록!$I$3:$I$3002,"휴일",출퇴근기록!$A$3:$A$3002,"&gt;="&amp;DATE($B$3,$D$3,1),출퇴근기록!$A$3:$A$3002,"&lt;="&amp;EOMONTH(DATE($B$3,$D$3,1),0)),2))</f>
        <v/>
      </c>
      <c r="G69" s="16" t="str">
        <f aca="false">IF($A69="","",ROUND(SUMIFS(출퇴근기록!$H$3:$H$3002,출퇴근기록!$B$3:$B$3002,$A69,출퇴근기록!$A$3:$A$3002,"&gt;="&amp;DATE($B$3,$D$3,1),출퇴근기록!$A$3:$A$3002,"&lt;="&amp;EOMONTH(DATE($B$3,$D$3,1),0)),2))</f>
        <v/>
      </c>
      <c r="H69" s="16" t="str">
        <f aca="false">IF($A69="","",ROUND($D69*IF(직원목록!$F66="",8,직원목록!$F66),2))</f>
        <v/>
      </c>
      <c r="I69" s="16" t="str">
        <f aca="false">IF($A69="","",ROUND($G69-$H69,2))</f>
        <v/>
      </c>
      <c r="J69" s="19" t="str">
        <f aca="false">IF($A69="","",COUNTIFS(출퇴근기록!$B$3:$B$3002,$A69,출퇴근기록!$I$3:$I$3002,"연차",출퇴근기록!$A$3:$A$3002,"&gt;="&amp;DATE($B$3,$D$3,1),출퇴근기록!$A$3:$A$3002,"&lt;="&amp;EOMONTH(DATE($B$3,$D$3,1),0)))</f>
        <v/>
      </c>
      <c r="K69" s="19" t="str">
        <f aca="false">IF($A69="","",COUNTIFS(출퇴근기록!$B$3:$B$3002,$A69,출퇴근기록!$I$3:$I$3002,"결근",출퇴근기록!$A$3:$A$3002,"&gt;="&amp;DATE($B$3,$D$3,1),출퇴근기록!$A$3:$A$3002,"&lt;="&amp;EOMONTH(DATE($B$3,$D$3,1),0)))</f>
        <v/>
      </c>
    </row>
    <row r="70" customFormat="false" ht="15" hidden="false" customHeight="true" outlineLevel="0" collapsed="false">
      <c r="A70" s="13" t="str">
        <f aca="false">IF(직원목록!$A67="","",직원목록!$A67)</f>
        <v/>
      </c>
      <c r="B70" s="13" t="str">
        <f aca="false">IF($A70="","",직원목록!$B67)</f>
        <v/>
      </c>
      <c r="C70" s="13" t="str">
        <f aca="false">IF($A70="","",직원목록!$C67)</f>
        <v/>
      </c>
      <c r="D70" s="19" t="str">
        <f aca="false">IF($A70="","",COUNTIFS(출퇴근기록!$B$3:$B$3002,$A70,출퇴근기록!$H$3:$H$3002,"&gt;0",출퇴근기록!$A$3:$A$3002,"&gt;="&amp;DATE($B$3,$D$3,1),출퇴근기록!$A$3:$A$3002,"&lt;="&amp;EOMONTH(DATE($B$3,$D$3,1),0)))</f>
        <v/>
      </c>
      <c r="E70" s="16" t="str">
        <f aca="false">IF($A70="","",ROUND(SUMIFS(출퇴근기록!$H$3:$H$3002,출퇴근기록!$B$3:$B$3002,$A70,출퇴근기록!$I$3:$I$3002,"평일",출퇴근기록!$A$3:$A$3002,"&gt;="&amp;DATE($B$3,$D$3,1),출퇴근기록!$A$3:$A$3002,"&lt;="&amp;EOMONTH(DATE($B$3,$D$3,1),0)),2))</f>
        <v/>
      </c>
      <c r="F70" s="16" t="str">
        <f aca="false">IF($A70="","",ROUND(SUMIFS(출퇴근기록!$H$3:$H$3002,출퇴근기록!$B$3:$B$3002,$A70,출퇴근기록!$I$3:$I$3002,"휴일",출퇴근기록!$A$3:$A$3002,"&gt;="&amp;DATE($B$3,$D$3,1),출퇴근기록!$A$3:$A$3002,"&lt;="&amp;EOMONTH(DATE($B$3,$D$3,1),0)),2))</f>
        <v/>
      </c>
      <c r="G70" s="16" t="str">
        <f aca="false">IF($A70="","",ROUND(SUMIFS(출퇴근기록!$H$3:$H$3002,출퇴근기록!$B$3:$B$3002,$A70,출퇴근기록!$A$3:$A$3002,"&gt;="&amp;DATE($B$3,$D$3,1),출퇴근기록!$A$3:$A$3002,"&lt;="&amp;EOMONTH(DATE($B$3,$D$3,1),0)),2))</f>
        <v/>
      </c>
      <c r="H70" s="16" t="str">
        <f aca="false">IF($A70="","",ROUND($D70*IF(직원목록!$F67="",8,직원목록!$F67),2))</f>
        <v/>
      </c>
      <c r="I70" s="16" t="str">
        <f aca="false">IF($A70="","",ROUND($G70-$H70,2))</f>
        <v/>
      </c>
      <c r="J70" s="19" t="str">
        <f aca="false">IF($A70="","",COUNTIFS(출퇴근기록!$B$3:$B$3002,$A70,출퇴근기록!$I$3:$I$3002,"연차",출퇴근기록!$A$3:$A$3002,"&gt;="&amp;DATE($B$3,$D$3,1),출퇴근기록!$A$3:$A$3002,"&lt;="&amp;EOMONTH(DATE($B$3,$D$3,1),0)))</f>
        <v/>
      </c>
      <c r="K70" s="19" t="str">
        <f aca="false">IF($A70="","",COUNTIFS(출퇴근기록!$B$3:$B$3002,$A70,출퇴근기록!$I$3:$I$3002,"결근",출퇴근기록!$A$3:$A$3002,"&gt;="&amp;DATE($B$3,$D$3,1),출퇴근기록!$A$3:$A$3002,"&lt;="&amp;EOMONTH(DATE($B$3,$D$3,1),0)))</f>
        <v/>
      </c>
    </row>
    <row r="71" customFormat="false" ht="15" hidden="false" customHeight="true" outlineLevel="0" collapsed="false">
      <c r="A71" s="13" t="str">
        <f aca="false">IF(직원목록!$A68="","",직원목록!$A68)</f>
        <v/>
      </c>
      <c r="B71" s="13" t="str">
        <f aca="false">IF($A71="","",직원목록!$B68)</f>
        <v/>
      </c>
      <c r="C71" s="13" t="str">
        <f aca="false">IF($A71="","",직원목록!$C68)</f>
        <v/>
      </c>
      <c r="D71" s="19" t="str">
        <f aca="false">IF($A71="","",COUNTIFS(출퇴근기록!$B$3:$B$3002,$A71,출퇴근기록!$H$3:$H$3002,"&gt;0",출퇴근기록!$A$3:$A$3002,"&gt;="&amp;DATE($B$3,$D$3,1),출퇴근기록!$A$3:$A$3002,"&lt;="&amp;EOMONTH(DATE($B$3,$D$3,1),0)))</f>
        <v/>
      </c>
      <c r="E71" s="16" t="str">
        <f aca="false">IF($A71="","",ROUND(SUMIFS(출퇴근기록!$H$3:$H$3002,출퇴근기록!$B$3:$B$3002,$A71,출퇴근기록!$I$3:$I$3002,"평일",출퇴근기록!$A$3:$A$3002,"&gt;="&amp;DATE($B$3,$D$3,1),출퇴근기록!$A$3:$A$3002,"&lt;="&amp;EOMONTH(DATE($B$3,$D$3,1),0)),2))</f>
        <v/>
      </c>
      <c r="F71" s="16" t="str">
        <f aca="false">IF($A71="","",ROUND(SUMIFS(출퇴근기록!$H$3:$H$3002,출퇴근기록!$B$3:$B$3002,$A71,출퇴근기록!$I$3:$I$3002,"휴일",출퇴근기록!$A$3:$A$3002,"&gt;="&amp;DATE($B$3,$D$3,1),출퇴근기록!$A$3:$A$3002,"&lt;="&amp;EOMONTH(DATE($B$3,$D$3,1),0)),2))</f>
        <v/>
      </c>
      <c r="G71" s="16" t="str">
        <f aca="false">IF($A71="","",ROUND(SUMIFS(출퇴근기록!$H$3:$H$3002,출퇴근기록!$B$3:$B$3002,$A71,출퇴근기록!$A$3:$A$3002,"&gt;="&amp;DATE($B$3,$D$3,1),출퇴근기록!$A$3:$A$3002,"&lt;="&amp;EOMONTH(DATE($B$3,$D$3,1),0)),2))</f>
        <v/>
      </c>
      <c r="H71" s="16" t="str">
        <f aca="false">IF($A71="","",ROUND($D71*IF(직원목록!$F68="",8,직원목록!$F68),2))</f>
        <v/>
      </c>
      <c r="I71" s="16" t="str">
        <f aca="false">IF($A71="","",ROUND($G71-$H71,2))</f>
        <v/>
      </c>
      <c r="J71" s="19" t="str">
        <f aca="false">IF($A71="","",COUNTIFS(출퇴근기록!$B$3:$B$3002,$A71,출퇴근기록!$I$3:$I$3002,"연차",출퇴근기록!$A$3:$A$3002,"&gt;="&amp;DATE($B$3,$D$3,1),출퇴근기록!$A$3:$A$3002,"&lt;="&amp;EOMONTH(DATE($B$3,$D$3,1),0)))</f>
        <v/>
      </c>
      <c r="K71" s="19" t="str">
        <f aca="false">IF($A71="","",COUNTIFS(출퇴근기록!$B$3:$B$3002,$A71,출퇴근기록!$I$3:$I$3002,"결근",출퇴근기록!$A$3:$A$3002,"&gt;="&amp;DATE($B$3,$D$3,1),출퇴근기록!$A$3:$A$3002,"&lt;="&amp;EOMONTH(DATE($B$3,$D$3,1),0)))</f>
        <v/>
      </c>
    </row>
    <row r="72" customFormat="false" ht="15" hidden="false" customHeight="true" outlineLevel="0" collapsed="false">
      <c r="A72" s="13" t="str">
        <f aca="false">IF(직원목록!$A69="","",직원목록!$A69)</f>
        <v/>
      </c>
      <c r="B72" s="13" t="str">
        <f aca="false">IF($A72="","",직원목록!$B69)</f>
        <v/>
      </c>
      <c r="C72" s="13" t="str">
        <f aca="false">IF($A72="","",직원목록!$C69)</f>
        <v/>
      </c>
      <c r="D72" s="19" t="str">
        <f aca="false">IF($A72="","",COUNTIFS(출퇴근기록!$B$3:$B$3002,$A72,출퇴근기록!$H$3:$H$3002,"&gt;0",출퇴근기록!$A$3:$A$3002,"&gt;="&amp;DATE($B$3,$D$3,1),출퇴근기록!$A$3:$A$3002,"&lt;="&amp;EOMONTH(DATE($B$3,$D$3,1),0)))</f>
        <v/>
      </c>
      <c r="E72" s="16" t="str">
        <f aca="false">IF($A72="","",ROUND(SUMIFS(출퇴근기록!$H$3:$H$3002,출퇴근기록!$B$3:$B$3002,$A72,출퇴근기록!$I$3:$I$3002,"평일",출퇴근기록!$A$3:$A$3002,"&gt;="&amp;DATE($B$3,$D$3,1),출퇴근기록!$A$3:$A$3002,"&lt;="&amp;EOMONTH(DATE($B$3,$D$3,1),0)),2))</f>
        <v/>
      </c>
      <c r="F72" s="16" t="str">
        <f aca="false">IF($A72="","",ROUND(SUMIFS(출퇴근기록!$H$3:$H$3002,출퇴근기록!$B$3:$B$3002,$A72,출퇴근기록!$I$3:$I$3002,"휴일",출퇴근기록!$A$3:$A$3002,"&gt;="&amp;DATE($B$3,$D$3,1),출퇴근기록!$A$3:$A$3002,"&lt;="&amp;EOMONTH(DATE($B$3,$D$3,1),0)),2))</f>
        <v/>
      </c>
      <c r="G72" s="16" t="str">
        <f aca="false">IF($A72="","",ROUND(SUMIFS(출퇴근기록!$H$3:$H$3002,출퇴근기록!$B$3:$B$3002,$A72,출퇴근기록!$A$3:$A$3002,"&gt;="&amp;DATE($B$3,$D$3,1),출퇴근기록!$A$3:$A$3002,"&lt;="&amp;EOMONTH(DATE($B$3,$D$3,1),0)),2))</f>
        <v/>
      </c>
      <c r="H72" s="16" t="str">
        <f aca="false">IF($A72="","",ROUND($D72*IF(직원목록!$F69="",8,직원목록!$F69),2))</f>
        <v/>
      </c>
      <c r="I72" s="16" t="str">
        <f aca="false">IF($A72="","",ROUND($G72-$H72,2))</f>
        <v/>
      </c>
      <c r="J72" s="19" t="str">
        <f aca="false">IF($A72="","",COUNTIFS(출퇴근기록!$B$3:$B$3002,$A72,출퇴근기록!$I$3:$I$3002,"연차",출퇴근기록!$A$3:$A$3002,"&gt;="&amp;DATE($B$3,$D$3,1),출퇴근기록!$A$3:$A$3002,"&lt;="&amp;EOMONTH(DATE($B$3,$D$3,1),0)))</f>
        <v/>
      </c>
      <c r="K72" s="19" t="str">
        <f aca="false">IF($A72="","",COUNTIFS(출퇴근기록!$B$3:$B$3002,$A72,출퇴근기록!$I$3:$I$3002,"결근",출퇴근기록!$A$3:$A$3002,"&gt;="&amp;DATE($B$3,$D$3,1),출퇴근기록!$A$3:$A$3002,"&lt;="&amp;EOMONTH(DATE($B$3,$D$3,1),0)))</f>
        <v/>
      </c>
    </row>
    <row r="73" customFormat="false" ht="15" hidden="false" customHeight="true" outlineLevel="0" collapsed="false">
      <c r="A73" s="13" t="str">
        <f aca="false">IF(직원목록!$A70="","",직원목록!$A70)</f>
        <v/>
      </c>
      <c r="B73" s="13" t="str">
        <f aca="false">IF($A73="","",직원목록!$B70)</f>
        <v/>
      </c>
      <c r="C73" s="13" t="str">
        <f aca="false">IF($A73="","",직원목록!$C70)</f>
        <v/>
      </c>
      <c r="D73" s="19" t="str">
        <f aca="false">IF($A73="","",COUNTIFS(출퇴근기록!$B$3:$B$3002,$A73,출퇴근기록!$H$3:$H$3002,"&gt;0",출퇴근기록!$A$3:$A$3002,"&gt;="&amp;DATE($B$3,$D$3,1),출퇴근기록!$A$3:$A$3002,"&lt;="&amp;EOMONTH(DATE($B$3,$D$3,1),0)))</f>
        <v/>
      </c>
      <c r="E73" s="16" t="str">
        <f aca="false">IF($A73="","",ROUND(SUMIFS(출퇴근기록!$H$3:$H$3002,출퇴근기록!$B$3:$B$3002,$A73,출퇴근기록!$I$3:$I$3002,"평일",출퇴근기록!$A$3:$A$3002,"&gt;="&amp;DATE($B$3,$D$3,1),출퇴근기록!$A$3:$A$3002,"&lt;="&amp;EOMONTH(DATE($B$3,$D$3,1),0)),2))</f>
        <v/>
      </c>
      <c r="F73" s="16" t="str">
        <f aca="false">IF($A73="","",ROUND(SUMIFS(출퇴근기록!$H$3:$H$3002,출퇴근기록!$B$3:$B$3002,$A73,출퇴근기록!$I$3:$I$3002,"휴일",출퇴근기록!$A$3:$A$3002,"&gt;="&amp;DATE($B$3,$D$3,1),출퇴근기록!$A$3:$A$3002,"&lt;="&amp;EOMONTH(DATE($B$3,$D$3,1),0)),2))</f>
        <v/>
      </c>
      <c r="G73" s="16" t="str">
        <f aca="false">IF($A73="","",ROUND(SUMIFS(출퇴근기록!$H$3:$H$3002,출퇴근기록!$B$3:$B$3002,$A73,출퇴근기록!$A$3:$A$3002,"&gt;="&amp;DATE($B$3,$D$3,1),출퇴근기록!$A$3:$A$3002,"&lt;="&amp;EOMONTH(DATE($B$3,$D$3,1),0)),2))</f>
        <v/>
      </c>
      <c r="H73" s="16" t="str">
        <f aca="false">IF($A73="","",ROUND($D73*IF(직원목록!$F70="",8,직원목록!$F70),2))</f>
        <v/>
      </c>
      <c r="I73" s="16" t="str">
        <f aca="false">IF($A73="","",ROUND($G73-$H73,2))</f>
        <v/>
      </c>
      <c r="J73" s="19" t="str">
        <f aca="false">IF($A73="","",COUNTIFS(출퇴근기록!$B$3:$B$3002,$A73,출퇴근기록!$I$3:$I$3002,"연차",출퇴근기록!$A$3:$A$3002,"&gt;="&amp;DATE($B$3,$D$3,1),출퇴근기록!$A$3:$A$3002,"&lt;="&amp;EOMONTH(DATE($B$3,$D$3,1),0)))</f>
        <v/>
      </c>
      <c r="K73" s="19" t="str">
        <f aca="false">IF($A73="","",COUNTIFS(출퇴근기록!$B$3:$B$3002,$A73,출퇴근기록!$I$3:$I$3002,"결근",출퇴근기록!$A$3:$A$3002,"&gt;="&amp;DATE($B$3,$D$3,1),출퇴근기록!$A$3:$A$3002,"&lt;="&amp;EOMONTH(DATE($B$3,$D$3,1),0)))</f>
        <v/>
      </c>
    </row>
    <row r="74" customFormat="false" ht="15" hidden="false" customHeight="true" outlineLevel="0" collapsed="false">
      <c r="A74" s="13" t="str">
        <f aca="false">IF(직원목록!$A71="","",직원목록!$A71)</f>
        <v/>
      </c>
      <c r="B74" s="13" t="str">
        <f aca="false">IF($A74="","",직원목록!$B71)</f>
        <v/>
      </c>
      <c r="C74" s="13" t="str">
        <f aca="false">IF($A74="","",직원목록!$C71)</f>
        <v/>
      </c>
      <c r="D74" s="19" t="str">
        <f aca="false">IF($A74="","",COUNTIFS(출퇴근기록!$B$3:$B$3002,$A74,출퇴근기록!$H$3:$H$3002,"&gt;0",출퇴근기록!$A$3:$A$3002,"&gt;="&amp;DATE($B$3,$D$3,1),출퇴근기록!$A$3:$A$3002,"&lt;="&amp;EOMONTH(DATE($B$3,$D$3,1),0)))</f>
        <v/>
      </c>
      <c r="E74" s="16" t="str">
        <f aca="false">IF($A74="","",ROUND(SUMIFS(출퇴근기록!$H$3:$H$3002,출퇴근기록!$B$3:$B$3002,$A74,출퇴근기록!$I$3:$I$3002,"평일",출퇴근기록!$A$3:$A$3002,"&gt;="&amp;DATE($B$3,$D$3,1),출퇴근기록!$A$3:$A$3002,"&lt;="&amp;EOMONTH(DATE($B$3,$D$3,1),0)),2))</f>
        <v/>
      </c>
      <c r="F74" s="16" t="str">
        <f aca="false">IF($A74="","",ROUND(SUMIFS(출퇴근기록!$H$3:$H$3002,출퇴근기록!$B$3:$B$3002,$A74,출퇴근기록!$I$3:$I$3002,"휴일",출퇴근기록!$A$3:$A$3002,"&gt;="&amp;DATE($B$3,$D$3,1),출퇴근기록!$A$3:$A$3002,"&lt;="&amp;EOMONTH(DATE($B$3,$D$3,1),0)),2))</f>
        <v/>
      </c>
      <c r="G74" s="16" t="str">
        <f aca="false">IF($A74="","",ROUND(SUMIFS(출퇴근기록!$H$3:$H$3002,출퇴근기록!$B$3:$B$3002,$A74,출퇴근기록!$A$3:$A$3002,"&gt;="&amp;DATE($B$3,$D$3,1),출퇴근기록!$A$3:$A$3002,"&lt;="&amp;EOMONTH(DATE($B$3,$D$3,1),0)),2))</f>
        <v/>
      </c>
      <c r="H74" s="16" t="str">
        <f aca="false">IF($A74="","",ROUND($D74*IF(직원목록!$F71="",8,직원목록!$F71),2))</f>
        <v/>
      </c>
      <c r="I74" s="16" t="str">
        <f aca="false">IF($A74="","",ROUND($G74-$H74,2))</f>
        <v/>
      </c>
      <c r="J74" s="19" t="str">
        <f aca="false">IF($A74="","",COUNTIFS(출퇴근기록!$B$3:$B$3002,$A74,출퇴근기록!$I$3:$I$3002,"연차",출퇴근기록!$A$3:$A$3002,"&gt;="&amp;DATE($B$3,$D$3,1),출퇴근기록!$A$3:$A$3002,"&lt;="&amp;EOMONTH(DATE($B$3,$D$3,1),0)))</f>
        <v/>
      </c>
      <c r="K74" s="19" t="str">
        <f aca="false">IF($A74="","",COUNTIFS(출퇴근기록!$B$3:$B$3002,$A74,출퇴근기록!$I$3:$I$3002,"결근",출퇴근기록!$A$3:$A$3002,"&gt;="&amp;DATE($B$3,$D$3,1),출퇴근기록!$A$3:$A$3002,"&lt;="&amp;EOMONTH(DATE($B$3,$D$3,1),0)))</f>
        <v/>
      </c>
    </row>
    <row r="75" customFormat="false" ht="15" hidden="false" customHeight="true" outlineLevel="0" collapsed="false">
      <c r="A75" s="13" t="str">
        <f aca="false">IF(직원목록!$A72="","",직원목록!$A72)</f>
        <v/>
      </c>
      <c r="B75" s="13" t="str">
        <f aca="false">IF($A75="","",직원목록!$B72)</f>
        <v/>
      </c>
      <c r="C75" s="13" t="str">
        <f aca="false">IF($A75="","",직원목록!$C72)</f>
        <v/>
      </c>
      <c r="D75" s="19" t="str">
        <f aca="false">IF($A75="","",COUNTIFS(출퇴근기록!$B$3:$B$3002,$A75,출퇴근기록!$H$3:$H$3002,"&gt;0",출퇴근기록!$A$3:$A$3002,"&gt;="&amp;DATE($B$3,$D$3,1),출퇴근기록!$A$3:$A$3002,"&lt;="&amp;EOMONTH(DATE($B$3,$D$3,1),0)))</f>
        <v/>
      </c>
      <c r="E75" s="16" t="str">
        <f aca="false">IF($A75="","",ROUND(SUMIFS(출퇴근기록!$H$3:$H$3002,출퇴근기록!$B$3:$B$3002,$A75,출퇴근기록!$I$3:$I$3002,"평일",출퇴근기록!$A$3:$A$3002,"&gt;="&amp;DATE($B$3,$D$3,1),출퇴근기록!$A$3:$A$3002,"&lt;="&amp;EOMONTH(DATE($B$3,$D$3,1),0)),2))</f>
        <v/>
      </c>
      <c r="F75" s="16" t="str">
        <f aca="false">IF($A75="","",ROUND(SUMIFS(출퇴근기록!$H$3:$H$3002,출퇴근기록!$B$3:$B$3002,$A75,출퇴근기록!$I$3:$I$3002,"휴일",출퇴근기록!$A$3:$A$3002,"&gt;="&amp;DATE($B$3,$D$3,1),출퇴근기록!$A$3:$A$3002,"&lt;="&amp;EOMONTH(DATE($B$3,$D$3,1),0)),2))</f>
        <v/>
      </c>
      <c r="G75" s="16" t="str">
        <f aca="false">IF($A75="","",ROUND(SUMIFS(출퇴근기록!$H$3:$H$3002,출퇴근기록!$B$3:$B$3002,$A75,출퇴근기록!$A$3:$A$3002,"&gt;="&amp;DATE($B$3,$D$3,1),출퇴근기록!$A$3:$A$3002,"&lt;="&amp;EOMONTH(DATE($B$3,$D$3,1),0)),2))</f>
        <v/>
      </c>
      <c r="H75" s="16" t="str">
        <f aca="false">IF($A75="","",ROUND($D75*IF(직원목록!$F72="",8,직원목록!$F72),2))</f>
        <v/>
      </c>
      <c r="I75" s="16" t="str">
        <f aca="false">IF($A75="","",ROUND($G75-$H75,2))</f>
        <v/>
      </c>
      <c r="J75" s="19" t="str">
        <f aca="false">IF($A75="","",COUNTIFS(출퇴근기록!$B$3:$B$3002,$A75,출퇴근기록!$I$3:$I$3002,"연차",출퇴근기록!$A$3:$A$3002,"&gt;="&amp;DATE($B$3,$D$3,1),출퇴근기록!$A$3:$A$3002,"&lt;="&amp;EOMONTH(DATE($B$3,$D$3,1),0)))</f>
        <v/>
      </c>
      <c r="K75" s="19" t="str">
        <f aca="false">IF($A75="","",COUNTIFS(출퇴근기록!$B$3:$B$3002,$A75,출퇴근기록!$I$3:$I$3002,"결근",출퇴근기록!$A$3:$A$3002,"&gt;="&amp;DATE($B$3,$D$3,1),출퇴근기록!$A$3:$A$3002,"&lt;="&amp;EOMONTH(DATE($B$3,$D$3,1),0)))</f>
        <v/>
      </c>
    </row>
    <row r="76" customFormat="false" ht="15" hidden="false" customHeight="true" outlineLevel="0" collapsed="false">
      <c r="A76" s="13" t="str">
        <f aca="false">IF(직원목록!$A73="","",직원목록!$A73)</f>
        <v/>
      </c>
      <c r="B76" s="13" t="str">
        <f aca="false">IF($A76="","",직원목록!$B73)</f>
        <v/>
      </c>
      <c r="C76" s="13" t="str">
        <f aca="false">IF($A76="","",직원목록!$C73)</f>
        <v/>
      </c>
      <c r="D76" s="19" t="str">
        <f aca="false">IF($A76="","",COUNTIFS(출퇴근기록!$B$3:$B$3002,$A76,출퇴근기록!$H$3:$H$3002,"&gt;0",출퇴근기록!$A$3:$A$3002,"&gt;="&amp;DATE($B$3,$D$3,1),출퇴근기록!$A$3:$A$3002,"&lt;="&amp;EOMONTH(DATE($B$3,$D$3,1),0)))</f>
        <v/>
      </c>
      <c r="E76" s="16" t="str">
        <f aca="false">IF($A76="","",ROUND(SUMIFS(출퇴근기록!$H$3:$H$3002,출퇴근기록!$B$3:$B$3002,$A76,출퇴근기록!$I$3:$I$3002,"평일",출퇴근기록!$A$3:$A$3002,"&gt;="&amp;DATE($B$3,$D$3,1),출퇴근기록!$A$3:$A$3002,"&lt;="&amp;EOMONTH(DATE($B$3,$D$3,1),0)),2))</f>
        <v/>
      </c>
      <c r="F76" s="16" t="str">
        <f aca="false">IF($A76="","",ROUND(SUMIFS(출퇴근기록!$H$3:$H$3002,출퇴근기록!$B$3:$B$3002,$A76,출퇴근기록!$I$3:$I$3002,"휴일",출퇴근기록!$A$3:$A$3002,"&gt;="&amp;DATE($B$3,$D$3,1),출퇴근기록!$A$3:$A$3002,"&lt;="&amp;EOMONTH(DATE($B$3,$D$3,1),0)),2))</f>
        <v/>
      </c>
      <c r="G76" s="16" t="str">
        <f aca="false">IF($A76="","",ROUND(SUMIFS(출퇴근기록!$H$3:$H$3002,출퇴근기록!$B$3:$B$3002,$A76,출퇴근기록!$A$3:$A$3002,"&gt;="&amp;DATE($B$3,$D$3,1),출퇴근기록!$A$3:$A$3002,"&lt;="&amp;EOMONTH(DATE($B$3,$D$3,1),0)),2))</f>
        <v/>
      </c>
      <c r="H76" s="16" t="str">
        <f aca="false">IF($A76="","",ROUND($D76*IF(직원목록!$F73="",8,직원목록!$F73),2))</f>
        <v/>
      </c>
      <c r="I76" s="16" t="str">
        <f aca="false">IF($A76="","",ROUND($G76-$H76,2))</f>
        <v/>
      </c>
      <c r="J76" s="19" t="str">
        <f aca="false">IF($A76="","",COUNTIFS(출퇴근기록!$B$3:$B$3002,$A76,출퇴근기록!$I$3:$I$3002,"연차",출퇴근기록!$A$3:$A$3002,"&gt;="&amp;DATE($B$3,$D$3,1),출퇴근기록!$A$3:$A$3002,"&lt;="&amp;EOMONTH(DATE($B$3,$D$3,1),0)))</f>
        <v/>
      </c>
      <c r="K76" s="19" t="str">
        <f aca="false">IF($A76="","",COUNTIFS(출퇴근기록!$B$3:$B$3002,$A76,출퇴근기록!$I$3:$I$3002,"결근",출퇴근기록!$A$3:$A$3002,"&gt;="&amp;DATE($B$3,$D$3,1),출퇴근기록!$A$3:$A$3002,"&lt;="&amp;EOMONTH(DATE($B$3,$D$3,1),0)))</f>
        <v/>
      </c>
    </row>
    <row r="77" customFormat="false" ht="15" hidden="false" customHeight="true" outlineLevel="0" collapsed="false">
      <c r="A77" s="13" t="str">
        <f aca="false">IF(직원목록!$A74="","",직원목록!$A74)</f>
        <v/>
      </c>
      <c r="B77" s="13" t="str">
        <f aca="false">IF($A77="","",직원목록!$B74)</f>
        <v/>
      </c>
      <c r="C77" s="13" t="str">
        <f aca="false">IF($A77="","",직원목록!$C74)</f>
        <v/>
      </c>
      <c r="D77" s="19" t="str">
        <f aca="false">IF($A77="","",COUNTIFS(출퇴근기록!$B$3:$B$3002,$A77,출퇴근기록!$H$3:$H$3002,"&gt;0",출퇴근기록!$A$3:$A$3002,"&gt;="&amp;DATE($B$3,$D$3,1),출퇴근기록!$A$3:$A$3002,"&lt;="&amp;EOMONTH(DATE($B$3,$D$3,1),0)))</f>
        <v/>
      </c>
      <c r="E77" s="16" t="str">
        <f aca="false">IF($A77="","",ROUND(SUMIFS(출퇴근기록!$H$3:$H$3002,출퇴근기록!$B$3:$B$3002,$A77,출퇴근기록!$I$3:$I$3002,"평일",출퇴근기록!$A$3:$A$3002,"&gt;="&amp;DATE($B$3,$D$3,1),출퇴근기록!$A$3:$A$3002,"&lt;="&amp;EOMONTH(DATE($B$3,$D$3,1),0)),2))</f>
        <v/>
      </c>
      <c r="F77" s="16" t="str">
        <f aca="false">IF($A77="","",ROUND(SUMIFS(출퇴근기록!$H$3:$H$3002,출퇴근기록!$B$3:$B$3002,$A77,출퇴근기록!$I$3:$I$3002,"휴일",출퇴근기록!$A$3:$A$3002,"&gt;="&amp;DATE($B$3,$D$3,1),출퇴근기록!$A$3:$A$3002,"&lt;="&amp;EOMONTH(DATE($B$3,$D$3,1),0)),2))</f>
        <v/>
      </c>
      <c r="G77" s="16" t="str">
        <f aca="false">IF($A77="","",ROUND(SUMIFS(출퇴근기록!$H$3:$H$3002,출퇴근기록!$B$3:$B$3002,$A77,출퇴근기록!$A$3:$A$3002,"&gt;="&amp;DATE($B$3,$D$3,1),출퇴근기록!$A$3:$A$3002,"&lt;="&amp;EOMONTH(DATE($B$3,$D$3,1),0)),2))</f>
        <v/>
      </c>
      <c r="H77" s="16" t="str">
        <f aca="false">IF($A77="","",ROUND($D77*IF(직원목록!$F74="",8,직원목록!$F74),2))</f>
        <v/>
      </c>
      <c r="I77" s="16" t="str">
        <f aca="false">IF($A77="","",ROUND($G77-$H77,2))</f>
        <v/>
      </c>
      <c r="J77" s="19" t="str">
        <f aca="false">IF($A77="","",COUNTIFS(출퇴근기록!$B$3:$B$3002,$A77,출퇴근기록!$I$3:$I$3002,"연차",출퇴근기록!$A$3:$A$3002,"&gt;="&amp;DATE($B$3,$D$3,1),출퇴근기록!$A$3:$A$3002,"&lt;="&amp;EOMONTH(DATE($B$3,$D$3,1),0)))</f>
        <v/>
      </c>
      <c r="K77" s="19" t="str">
        <f aca="false">IF($A77="","",COUNTIFS(출퇴근기록!$B$3:$B$3002,$A77,출퇴근기록!$I$3:$I$3002,"결근",출퇴근기록!$A$3:$A$3002,"&gt;="&amp;DATE($B$3,$D$3,1),출퇴근기록!$A$3:$A$3002,"&lt;="&amp;EOMONTH(DATE($B$3,$D$3,1),0)))</f>
        <v/>
      </c>
    </row>
    <row r="78" customFormat="false" ht="15" hidden="false" customHeight="true" outlineLevel="0" collapsed="false">
      <c r="A78" s="13" t="str">
        <f aca="false">IF(직원목록!$A75="","",직원목록!$A75)</f>
        <v/>
      </c>
      <c r="B78" s="13" t="str">
        <f aca="false">IF($A78="","",직원목록!$B75)</f>
        <v/>
      </c>
      <c r="C78" s="13" t="str">
        <f aca="false">IF($A78="","",직원목록!$C75)</f>
        <v/>
      </c>
      <c r="D78" s="19" t="str">
        <f aca="false">IF($A78="","",COUNTIFS(출퇴근기록!$B$3:$B$3002,$A78,출퇴근기록!$H$3:$H$3002,"&gt;0",출퇴근기록!$A$3:$A$3002,"&gt;="&amp;DATE($B$3,$D$3,1),출퇴근기록!$A$3:$A$3002,"&lt;="&amp;EOMONTH(DATE($B$3,$D$3,1),0)))</f>
        <v/>
      </c>
      <c r="E78" s="16" t="str">
        <f aca="false">IF($A78="","",ROUND(SUMIFS(출퇴근기록!$H$3:$H$3002,출퇴근기록!$B$3:$B$3002,$A78,출퇴근기록!$I$3:$I$3002,"평일",출퇴근기록!$A$3:$A$3002,"&gt;="&amp;DATE($B$3,$D$3,1),출퇴근기록!$A$3:$A$3002,"&lt;="&amp;EOMONTH(DATE($B$3,$D$3,1),0)),2))</f>
        <v/>
      </c>
      <c r="F78" s="16" t="str">
        <f aca="false">IF($A78="","",ROUND(SUMIFS(출퇴근기록!$H$3:$H$3002,출퇴근기록!$B$3:$B$3002,$A78,출퇴근기록!$I$3:$I$3002,"휴일",출퇴근기록!$A$3:$A$3002,"&gt;="&amp;DATE($B$3,$D$3,1),출퇴근기록!$A$3:$A$3002,"&lt;="&amp;EOMONTH(DATE($B$3,$D$3,1),0)),2))</f>
        <v/>
      </c>
      <c r="G78" s="16" t="str">
        <f aca="false">IF($A78="","",ROUND(SUMIFS(출퇴근기록!$H$3:$H$3002,출퇴근기록!$B$3:$B$3002,$A78,출퇴근기록!$A$3:$A$3002,"&gt;="&amp;DATE($B$3,$D$3,1),출퇴근기록!$A$3:$A$3002,"&lt;="&amp;EOMONTH(DATE($B$3,$D$3,1),0)),2))</f>
        <v/>
      </c>
      <c r="H78" s="16" t="str">
        <f aca="false">IF($A78="","",ROUND($D78*IF(직원목록!$F75="",8,직원목록!$F75),2))</f>
        <v/>
      </c>
      <c r="I78" s="16" t="str">
        <f aca="false">IF($A78="","",ROUND($G78-$H78,2))</f>
        <v/>
      </c>
      <c r="J78" s="19" t="str">
        <f aca="false">IF($A78="","",COUNTIFS(출퇴근기록!$B$3:$B$3002,$A78,출퇴근기록!$I$3:$I$3002,"연차",출퇴근기록!$A$3:$A$3002,"&gt;="&amp;DATE($B$3,$D$3,1),출퇴근기록!$A$3:$A$3002,"&lt;="&amp;EOMONTH(DATE($B$3,$D$3,1),0)))</f>
        <v/>
      </c>
      <c r="K78" s="19" t="str">
        <f aca="false">IF($A78="","",COUNTIFS(출퇴근기록!$B$3:$B$3002,$A78,출퇴근기록!$I$3:$I$3002,"결근",출퇴근기록!$A$3:$A$3002,"&gt;="&amp;DATE($B$3,$D$3,1),출퇴근기록!$A$3:$A$3002,"&lt;="&amp;EOMONTH(DATE($B$3,$D$3,1),0)))</f>
        <v/>
      </c>
    </row>
    <row r="79" customFormat="false" ht="15" hidden="false" customHeight="true" outlineLevel="0" collapsed="false">
      <c r="A79" s="13" t="str">
        <f aca="false">IF(직원목록!$A76="","",직원목록!$A76)</f>
        <v/>
      </c>
      <c r="B79" s="13" t="str">
        <f aca="false">IF($A79="","",직원목록!$B76)</f>
        <v/>
      </c>
      <c r="C79" s="13" t="str">
        <f aca="false">IF($A79="","",직원목록!$C76)</f>
        <v/>
      </c>
      <c r="D79" s="19" t="str">
        <f aca="false">IF($A79="","",COUNTIFS(출퇴근기록!$B$3:$B$3002,$A79,출퇴근기록!$H$3:$H$3002,"&gt;0",출퇴근기록!$A$3:$A$3002,"&gt;="&amp;DATE($B$3,$D$3,1),출퇴근기록!$A$3:$A$3002,"&lt;="&amp;EOMONTH(DATE($B$3,$D$3,1),0)))</f>
        <v/>
      </c>
      <c r="E79" s="16" t="str">
        <f aca="false">IF($A79="","",ROUND(SUMIFS(출퇴근기록!$H$3:$H$3002,출퇴근기록!$B$3:$B$3002,$A79,출퇴근기록!$I$3:$I$3002,"평일",출퇴근기록!$A$3:$A$3002,"&gt;="&amp;DATE($B$3,$D$3,1),출퇴근기록!$A$3:$A$3002,"&lt;="&amp;EOMONTH(DATE($B$3,$D$3,1),0)),2))</f>
        <v/>
      </c>
      <c r="F79" s="16" t="str">
        <f aca="false">IF($A79="","",ROUND(SUMIFS(출퇴근기록!$H$3:$H$3002,출퇴근기록!$B$3:$B$3002,$A79,출퇴근기록!$I$3:$I$3002,"휴일",출퇴근기록!$A$3:$A$3002,"&gt;="&amp;DATE($B$3,$D$3,1),출퇴근기록!$A$3:$A$3002,"&lt;="&amp;EOMONTH(DATE($B$3,$D$3,1),0)),2))</f>
        <v/>
      </c>
      <c r="G79" s="16" t="str">
        <f aca="false">IF($A79="","",ROUND(SUMIFS(출퇴근기록!$H$3:$H$3002,출퇴근기록!$B$3:$B$3002,$A79,출퇴근기록!$A$3:$A$3002,"&gt;="&amp;DATE($B$3,$D$3,1),출퇴근기록!$A$3:$A$3002,"&lt;="&amp;EOMONTH(DATE($B$3,$D$3,1),0)),2))</f>
        <v/>
      </c>
      <c r="H79" s="16" t="str">
        <f aca="false">IF($A79="","",ROUND($D79*IF(직원목록!$F76="",8,직원목록!$F76),2))</f>
        <v/>
      </c>
      <c r="I79" s="16" t="str">
        <f aca="false">IF($A79="","",ROUND($G79-$H79,2))</f>
        <v/>
      </c>
      <c r="J79" s="19" t="str">
        <f aca="false">IF($A79="","",COUNTIFS(출퇴근기록!$B$3:$B$3002,$A79,출퇴근기록!$I$3:$I$3002,"연차",출퇴근기록!$A$3:$A$3002,"&gt;="&amp;DATE($B$3,$D$3,1),출퇴근기록!$A$3:$A$3002,"&lt;="&amp;EOMONTH(DATE($B$3,$D$3,1),0)))</f>
        <v/>
      </c>
      <c r="K79" s="19" t="str">
        <f aca="false">IF($A79="","",COUNTIFS(출퇴근기록!$B$3:$B$3002,$A79,출퇴근기록!$I$3:$I$3002,"결근",출퇴근기록!$A$3:$A$3002,"&gt;="&amp;DATE($B$3,$D$3,1),출퇴근기록!$A$3:$A$3002,"&lt;="&amp;EOMONTH(DATE($B$3,$D$3,1),0)))</f>
        <v/>
      </c>
    </row>
    <row r="80" customFormat="false" ht="15" hidden="false" customHeight="true" outlineLevel="0" collapsed="false">
      <c r="A80" s="13" t="str">
        <f aca="false">IF(직원목록!$A77="","",직원목록!$A77)</f>
        <v/>
      </c>
      <c r="B80" s="13" t="str">
        <f aca="false">IF($A80="","",직원목록!$B77)</f>
        <v/>
      </c>
      <c r="C80" s="13" t="str">
        <f aca="false">IF($A80="","",직원목록!$C77)</f>
        <v/>
      </c>
      <c r="D80" s="19" t="str">
        <f aca="false">IF($A80="","",COUNTIFS(출퇴근기록!$B$3:$B$3002,$A80,출퇴근기록!$H$3:$H$3002,"&gt;0",출퇴근기록!$A$3:$A$3002,"&gt;="&amp;DATE($B$3,$D$3,1),출퇴근기록!$A$3:$A$3002,"&lt;="&amp;EOMONTH(DATE($B$3,$D$3,1),0)))</f>
        <v/>
      </c>
      <c r="E80" s="16" t="str">
        <f aca="false">IF($A80="","",ROUND(SUMIFS(출퇴근기록!$H$3:$H$3002,출퇴근기록!$B$3:$B$3002,$A80,출퇴근기록!$I$3:$I$3002,"평일",출퇴근기록!$A$3:$A$3002,"&gt;="&amp;DATE($B$3,$D$3,1),출퇴근기록!$A$3:$A$3002,"&lt;="&amp;EOMONTH(DATE($B$3,$D$3,1),0)),2))</f>
        <v/>
      </c>
      <c r="F80" s="16" t="str">
        <f aca="false">IF($A80="","",ROUND(SUMIFS(출퇴근기록!$H$3:$H$3002,출퇴근기록!$B$3:$B$3002,$A80,출퇴근기록!$I$3:$I$3002,"휴일",출퇴근기록!$A$3:$A$3002,"&gt;="&amp;DATE($B$3,$D$3,1),출퇴근기록!$A$3:$A$3002,"&lt;="&amp;EOMONTH(DATE($B$3,$D$3,1),0)),2))</f>
        <v/>
      </c>
      <c r="G80" s="16" t="str">
        <f aca="false">IF($A80="","",ROUND(SUMIFS(출퇴근기록!$H$3:$H$3002,출퇴근기록!$B$3:$B$3002,$A80,출퇴근기록!$A$3:$A$3002,"&gt;="&amp;DATE($B$3,$D$3,1),출퇴근기록!$A$3:$A$3002,"&lt;="&amp;EOMONTH(DATE($B$3,$D$3,1),0)),2))</f>
        <v/>
      </c>
      <c r="H80" s="16" t="str">
        <f aca="false">IF($A80="","",ROUND($D80*IF(직원목록!$F77="",8,직원목록!$F77),2))</f>
        <v/>
      </c>
      <c r="I80" s="16" t="str">
        <f aca="false">IF($A80="","",ROUND($G80-$H80,2))</f>
        <v/>
      </c>
      <c r="J80" s="19" t="str">
        <f aca="false">IF($A80="","",COUNTIFS(출퇴근기록!$B$3:$B$3002,$A80,출퇴근기록!$I$3:$I$3002,"연차",출퇴근기록!$A$3:$A$3002,"&gt;="&amp;DATE($B$3,$D$3,1),출퇴근기록!$A$3:$A$3002,"&lt;="&amp;EOMONTH(DATE($B$3,$D$3,1),0)))</f>
        <v/>
      </c>
      <c r="K80" s="19" t="str">
        <f aca="false">IF($A80="","",COUNTIFS(출퇴근기록!$B$3:$B$3002,$A80,출퇴근기록!$I$3:$I$3002,"결근",출퇴근기록!$A$3:$A$3002,"&gt;="&amp;DATE($B$3,$D$3,1),출퇴근기록!$A$3:$A$3002,"&lt;="&amp;EOMONTH(DATE($B$3,$D$3,1),0)))</f>
        <v/>
      </c>
    </row>
    <row r="81" customFormat="false" ht="15" hidden="false" customHeight="true" outlineLevel="0" collapsed="false">
      <c r="A81" s="13" t="str">
        <f aca="false">IF(직원목록!$A78="","",직원목록!$A78)</f>
        <v/>
      </c>
      <c r="B81" s="13" t="str">
        <f aca="false">IF($A81="","",직원목록!$B78)</f>
        <v/>
      </c>
      <c r="C81" s="13" t="str">
        <f aca="false">IF($A81="","",직원목록!$C78)</f>
        <v/>
      </c>
      <c r="D81" s="19" t="str">
        <f aca="false">IF($A81="","",COUNTIFS(출퇴근기록!$B$3:$B$3002,$A81,출퇴근기록!$H$3:$H$3002,"&gt;0",출퇴근기록!$A$3:$A$3002,"&gt;="&amp;DATE($B$3,$D$3,1),출퇴근기록!$A$3:$A$3002,"&lt;="&amp;EOMONTH(DATE($B$3,$D$3,1),0)))</f>
        <v/>
      </c>
      <c r="E81" s="16" t="str">
        <f aca="false">IF($A81="","",ROUND(SUMIFS(출퇴근기록!$H$3:$H$3002,출퇴근기록!$B$3:$B$3002,$A81,출퇴근기록!$I$3:$I$3002,"평일",출퇴근기록!$A$3:$A$3002,"&gt;="&amp;DATE($B$3,$D$3,1),출퇴근기록!$A$3:$A$3002,"&lt;="&amp;EOMONTH(DATE($B$3,$D$3,1),0)),2))</f>
        <v/>
      </c>
      <c r="F81" s="16" t="str">
        <f aca="false">IF($A81="","",ROUND(SUMIFS(출퇴근기록!$H$3:$H$3002,출퇴근기록!$B$3:$B$3002,$A81,출퇴근기록!$I$3:$I$3002,"휴일",출퇴근기록!$A$3:$A$3002,"&gt;="&amp;DATE($B$3,$D$3,1),출퇴근기록!$A$3:$A$3002,"&lt;="&amp;EOMONTH(DATE($B$3,$D$3,1),0)),2))</f>
        <v/>
      </c>
      <c r="G81" s="16" t="str">
        <f aca="false">IF($A81="","",ROUND(SUMIFS(출퇴근기록!$H$3:$H$3002,출퇴근기록!$B$3:$B$3002,$A81,출퇴근기록!$A$3:$A$3002,"&gt;="&amp;DATE($B$3,$D$3,1),출퇴근기록!$A$3:$A$3002,"&lt;="&amp;EOMONTH(DATE($B$3,$D$3,1),0)),2))</f>
        <v/>
      </c>
      <c r="H81" s="16" t="str">
        <f aca="false">IF($A81="","",ROUND($D81*IF(직원목록!$F78="",8,직원목록!$F78),2))</f>
        <v/>
      </c>
      <c r="I81" s="16" t="str">
        <f aca="false">IF($A81="","",ROUND($G81-$H81,2))</f>
        <v/>
      </c>
      <c r="J81" s="19" t="str">
        <f aca="false">IF($A81="","",COUNTIFS(출퇴근기록!$B$3:$B$3002,$A81,출퇴근기록!$I$3:$I$3002,"연차",출퇴근기록!$A$3:$A$3002,"&gt;="&amp;DATE($B$3,$D$3,1),출퇴근기록!$A$3:$A$3002,"&lt;="&amp;EOMONTH(DATE($B$3,$D$3,1),0)))</f>
        <v/>
      </c>
      <c r="K81" s="19" t="str">
        <f aca="false">IF($A81="","",COUNTIFS(출퇴근기록!$B$3:$B$3002,$A81,출퇴근기록!$I$3:$I$3002,"결근",출퇴근기록!$A$3:$A$3002,"&gt;="&amp;DATE($B$3,$D$3,1),출퇴근기록!$A$3:$A$3002,"&lt;="&amp;EOMONTH(DATE($B$3,$D$3,1),0)))</f>
        <v/>
      </c>
    </row>
    <row r="82" customFormat="false" ht="15" hidden="false" customHeight="true" outlineLevel="0" collapsed="false">
      <c r="A82" s="13" t="str">
        <f aca="false">IF(직원목록!$A79="","",직원목록!$A79)</f>
        <v/>
      </c>
      <c r="B82" s="13" t="str">
        <f aca="false">IF($A82="","",직원목록!$B79)</f>
        <v/>
      </c>
      <c r="C82" s="13" t="str">
        <f aca="false">IF($A82="","",직원목록!$C79)</f>
        <v/>
      </c>
      <c r="D82" s="19" t="str">
        <f aca="false">IF($A82="","",COUNTIFS(출퇴근기록!$B$3:$B$3002,$A82,출퇴근기록!$H$3:$H$3002,"&gt;0",출퇴근기록!$A$3:$A$3002,"&gt;="&amp;DATE($B$3,$D$3,1),출퇴근기록!$A$3:$A$3002,"&lt;="&amp;EOMONTH(DATE($B$3,$D$3,1),0)))</f>
        <v/>
      </c>
      <c r="E82" s="16" t="str">
        <f aca="false">IF($A82="","",ROUND(SUMIFS(출퇴근기록!$H$3:$H$3002,출퇴근기록!$B$3:$B$3002,$A82,출퇴근기록!$I$3:$I$3002,"평일",출퇴근기록!$A$3:$A$3002,"&gt;="&amp;DATE($B$3,$D$3,1),출퇴근기록!$A$3:$A$3002,"&lt;="&amp;EOMONTH(DATE($B$3,$D$3,1),0)),2))</f>
        <v/>
      </c>
      <c r="F82" s="16" t="str">
        <f aca="false">IF($A82="","",ROUND(SUMIFS(출퇴근기록!$H$3:$H$3002,출퇴근기록!$B$3:$B$3002,$A82,출퇴근기록!$I$3:$I$3002,"휴일",출퇴근기록!$A$3:$A$3002,"&gt;="&amp;DATE($B$3,$D$3,1),출퇴근기록!$A$3:$A$3002,"&lt;="&amp;EOMONTH(DATE($B$3,$D$3,1),0)),2))</f>
        <v/>
      </c>
      <c r="G82" s="16" t="str">
        <f aca="false">IF($A82="","",ROUND(SUMIFS(출퇴근기록!$H$3:$H$3002,출퇴근기록!$B$3:$B$3002,$A82,출퇴근기록!$A$3:$A$3002,"&gt;="&amp;DATE($B$3,$D$3,1),출퇴근기록!$A$3:$A$3002,"&lt;="&amp;EOMONTH(DATE($B$3,$D$3,1),0)),2))</f>
        <v/>
      </c>
      <c r="H82" s="16" t="str">
        <f aca="false">IF($A82="","",ROUND($D82*IF(직원목록!$F79="",8,직원목록!$F79),2))</f>
        <v/>
      </c>
      <c r="I82" s="16" t="str">
        <f aca="false">IF($A82="","",ROUND($G82-$H82,2))</f>
        <v/>
      </c>
      <c r="J82" s="19" t="str">
        <f aca="false">IF($A82="","",COUNTIFS(출퇴근기록!$B$3:$B$3002,$A82,출퇴근기록!$I$3:$I$3002,"연차",출퇴근기록!$A$3:$A$3002,"&gt;="&amp;DATE($B$3,$D$3,1),출퇴근기록!$A$3:$A$3002,"&lt;="&amp;EOMONTH(DATE($B$3,$D$3,1),0)))</f>
        <v/>
      </c>
      <c r="K82" s="19" t="str">
        <f aca="false">IF($A82="","",COUNTIFS(출퇴근기록!$B$3:$B$3002,$A82,출퇴근기록!$I$3:$I$3002,"결근",출퇴근기록!$A$3:$A$3002,"&gt;="&amp;DATE($B$3,$D$3,1),출퇴근기록!$A$3:$A$3002,"&lt;="&amp;EOMONTH(DATE($B$3,$D$3,1),0)))</f>
        <v/>
      </c>
    </row>
    <row r="83" customFormat="false" ht="15" hidden="false" customHeight="true" outlineLevel="0" collapsed="false">
      <c r="A83" s="13" t="str">
        <f aca="false">IF(직원목록!$A80="","",직원목록!$A80)</f>
        <v/>
      </c>
      <c r="B83" s="13" t="str">
        <f aca="false">IF($A83="","",직원목록!$B80)</f>
        <v/>
      </c>
      <c r="C83" s="13" t="str">
        <f aca="false">IF($A83="","",직원목록!$C80)</f>
        <v/>
      </c>
      <c r="D83" s="19" t="str">
        <f aca="false">IF($A83="","",COUNTIFS(출퇴근기록!$B$3:$B$3002,$A83,출퇴근기록!$H$3:$H$3002,"&gt;0",출퇴근기록!$A$3:$A$3002,"&gt;="&amp;DATE($B$3,$D$3,1),출퇴근기록!$A$3:$A$3002,"&lt;="&amp;EOMONTH(DATE($B$3,$D$3,1),0)))</f>
        <v/>
      </c>
      <c r="E83" s="16" t="str">
        <f aca="false">IF($A83="","",ROUND(SUMIFS(출퇴근기록!$H$3:$H$3002,출퇴근기록!$B$3:$B$3002,$A83,출퇴근기록!$I$3:$I$3002,"평일",출퇴근기록!$A$3:$A$3002,"&gt;="&amp;DATE($B$3,$D$3,1),출퇴근기록!$A$3:$A$3002,"&lt;="&amp;EOMONTH(DATE($B$3,$D$3,1),0)),2))</f>
        <v/>
      </c>
      <c r="F83" s="16" t="str">
        <f aca="false">IF($A83="","",ROUND(SUMIFS(출퇴근기록!$H$3:$H$3002,출퇴근기록!$B$3:$B$3002,$A83,출퇴근기록!$I$3:$I$3002,"휴일",출퇴근기록!$A$3:$A$3002,"&gt;="&amp;DATE($B$3,$D$3,1),출퇴근기록!$A$3:$A$3002,"&lt;="&amp;EOMONTH(DATE($B$3,$D$3,1),0)),2))</f>
        <v/>
      </c>
      <c r="G83" s="16" t="str">
        <f aca="false">IF($A83="","",ROUND(SUMIFS(출퇴근기록!$H$3:$H$3002,출퇴근기록!$B$3:$B$3002,$A83,출퇴근기록!$A$3:$A$3002,"&gt;="&amp;DATE($B$3,$D$3,1),출퇴근기록!$A$3:$A$3002,"&lt;="&amp;EOMONTH(DATE($B$3,$D$3,1),0)),2))</f>
        <v/>
      </c>
      <c r="H83" s="16" t="str">
        <f aca="false">IF($A83="","",ROUND($D83*IF(직원목록!$F80="",8,직원목록!$F80),2))</f>
        <v/>
      </c>
      <c r="I83" s="16" t="str">
        <f aca="false">IF($A83="","",ROUND($G83-$H83,2))</f>
        <v/>
      </c>
      <c r="J83" s="19" t="str">
        <f aca="false">IF($A83="","",COUNTIFS(출퇴근기록!$B$3:$B$3002,$A83,출퇴근기록!$I$3:$I$3002,"연차",출퇴근기록!$A$3:$A$3002,"&gt;="&amp;DATE($B$3,$D$3,1),출퇴근기록!$A$3:$A$3002,"&lt;="&amp;EOMONTH(DATE($B$3,$D$3,1),0)))</f>
        <v/>
      </c>
      <c r="K83" s="19" t="str">
        <f aca="false">IF($A83="","",COUNTIFS(출퇴근기록!$B$3:$B$3002,$A83,출퇴근기록!$I$3:$I$3002,"결근",출퇴근기록!$A$3:$A$3002,"&gt;="&amp;DATE($B$3,$D$3,1),출퇴근기록!$A$3:$A$3002,"&lt;="&amp;EOMONTH(DATE($B$3,$D$3,1),0)))</f>
        <v/>
      </c>
    </row>
    <row r="84" customFormat="false" ht="15" hidden="false" customHeight="true" outlineLevel="0" collapsed="false">
      <c r="A84" s="13" t="str">
        <f aca="false">IF(직원목록!$A81="","",직원목록!$A81)</f>
        <v/>
      </c>
      <c r="B84" s="13" t="str">
        <f aca="false">IF($A84="","",직원목록!$B81)</f>
        <v/>
      </c>
      <c r="C84" s="13" t="str">
        <f aca="false">IF($A84="","",직원목록!$C81)</f>
        <v/>
      </c>
      <c r="D84" s="19" t="str">
        <f aca="false">IF($A84="","",COUNTIFS(출퇴근기록!$B$3:$B$3002,$A84,출퇴근기록!$H$3:$H$3002,"&gt;0",출퇴근기록!$A$3:$A$3002,"&gt;="&amp;DATE($B$3,$D$3,1),출퇴근기록!$A$3:$A$3002,"&lt;="&amp;EOMONTH(DATE($B$3,$D$3,1),0)))</f>
        <v/>
      </c>
      <c r="E84" s="16" t="str">
        <f aca="false">IF($A84="","",ROUND(SUMIFS(출퇴근기록!$H$3:$H$3002,출퇴근기록!$B$3:$B$3002,$A84,출퇴근기록!$I$3:$I$3002,"평일",출퇴근기록!$A$3:$A$3002,"&gt;="&amp;DATE($B$3,$D$3,1),출퇴근기록!$A$3:$A$3002,"&lt;="&amp;EOMONTH(DATE($B$3,$D$3,1),0)),2))</f>
        <v/>
      </c>
      <c r="F84" s="16" t="str">
        <f aca="false">IF($A84="","",ROUND(SUMIFS(출퇴근기록!$H$3:$H$3002,출퇴근기록!$B$3:$B$3002,$A84,출퇴근기록!$I$3:$I$3002,"휴일",출퇴근기록!$A$3:$A$3002,"&gt;="&amp;DATE($B$3,$D$3,1),출퇴근기록!$A$3:$A$3002,"&lt;="&amp;EOMONTH(DATE($B$3,$D$3,1),0)),2))</f>
        <v/>
      </c>
      <c r="G84" s="16" t="str">
        <f aca="false">IF($A84="","",ROUND(SUMIFS(출퇴근기록!$H$3:$H$3002,출퇴근기록!$B$3:$B$3002,$A84,출퇴근기록!$A$3:$A$3002,"&gt;="&amp;DATE($B$3,$D$3,1),출퇴근기록!$A$3:$A$3002,"&lt;="&amp;EOMONTH(DATE($B$3,$D$3,1),0)),2))</f>
        <v/>
      </c>
      <c r="H84" s="16" t="str">
        <f aca="false">IF($A84="","",ROUND($D84*IF(직원목록!$F81="",8,직원목록!$F81),2))</f>
        <v/>
      </c>
      <c r="I84" s="16" t="str">
        <f aca="false">IF($A84="","",ROUND($G84-$H84,2))</f>
        <v/>
      </c>
      <c r="J84" s="19" t="str">
        <f aca="false">IF($A84="","",COUNTIFS(출퇴근기록!$B$3:$B$3002,$A84,출퇴근기록!$I$3:$I$3002,"연차",출퇴근기록!$A$3:$A$3002,"&gt;="&amp;DATE($B$3,$D$3,1),출퇴근기록!$A$3:$A$3002,"&lt;="&amp;EOMONTH(DATE($B$3,$D$3,1),0)))</f>
        <v/>
      </c>
      <c r="K84" s="19" t="str">
        <f aca="false">IF($A84="","",COUNTIFS(출퇴근기록!$B$3:$B$3002,$A84,출퇴근기록!$I$3:$I$3002,"결근",출퇴근기록!$A$3:$A$3002,"&gt;="&amp;DATE($B$3,$D$3,1),출퇴근기록!$A$3:$A$3002,"&lt;="&amp;EOMONTH(DATE($B$3,$D$3,1),0)))</f>
        <v/>
      </c>
    </row>
    <row r="85" customFormat="false" ht="15" hidden="false" customHeight="true" outlineLevel="0" collapsed="false">
      <c r="A85" s="13" t="str">
        <f aca="false">IF(직원목록!$A82="","",직원목록!$A82)</f>
        <v/>
      </c>
      <c r="B85" s="13" t="str">
        <f aca="false">IF($A85="","",직원목록!$B82)</f>
        <v/>
      </c>
      <c r="C85" s="13" t="str">
        <f aca="false">IF($A85="","",직원목록!$C82)</f>
        <v/>
      </c>
      <c r="D85" s="19" t="str">
        <f aca="false">IF($A85="","",COUNTIFS(출퇴근기록!$B$3:$B$3002,$A85,출퇴근기록!$H$3:$H$3002,"&gt;0",출퇴근기록!$A$3:$A$3002,"&gt;="&amp;DATE($B$3,$D$3,1),출퇴근기록!$A$3:$A$3002,"&lt;="&amp;EOMONTH(DATE($B$3,$D$3,1),0)))</f>
        <v/>
      </c>
      <c r="E85" s="16" t="str">
        <f aca="false">IF($A85="","",ROUND(SUMIFS(출퇴근기록!$H$3:$H$3002,출퇴근기록!$B$3:$B$3002,$A85,출퇴근기록!$I$3:$I$3002,"평일",출퇴근기록!$A$3:$A$3002,"&gt;="&amp;DATE($B$3,$D$3,1),출퇴근기록!$A$3:$A$3002,"&lt;="&amp;EOMONTH(DATE($B$3,$D$3,1),0)),2))</f>
        <v/>
      </c>
      <c r="F85" s="16" t="str">
        <f aca="false">IF($A85="","",ROUND(SUMIFS(출퇴근기록!$H$3:$H$3002,출퇴근기록!$B$3:$B$3002,$A85,출퇴근기록!$I$3:$I$3002,"휴일",출퇴근기록!$A$3:$A$3002,"&gt;="&amp;DATE($B$3,$D$3,1),출퇴근기록!$A$3:$A$3002,"&lt;="&amp;EOMONTH(DATE($B$3,$D$3,1),0)),2))</f>
        <v/>
      </c>
      <c r="G85" s="16" t="str">
        <f aca="false">IF($A85="","",ROUND(SUMIFS(출퇴근기록!$H$3:$H$3002,출퇴근기록!$B$3:$B$3002,$A85,출퇴근기록!$A$3:$A$3002,"&gt;="&amp;DATE($B$3,$D$3,1),출퇴근기록!$A$3:$A$3002,"&lt;="&amp;EOMONTH(DATE($B$3,$D$3,1),0)),2))</f>
        <v/>
      </c>
      <c r="H85" s="16" t="str">
        <f aca="false">IF($A85="","",ROUND($D85*IF(직원목록!$F82="",8,직원목록!$F82),2))</f>
        <v/>
      </c>
      <c r="I85" s="16" t="str">
        <f aca="false">IF($A85="","",ROUND($G85-$H85,2))</f>
        <v/>
      </c>
      <c r="J85" s="19" t="str">
        <f aca="false">IF($A85="","",COUNTIFS(출퇴근기록!$B$3:$B$3002,$A85,출퇴근기록!$I$3:$I$3002,"연차",출퇴근기록!$A$3:$A$3002,"&gt;="&amp;DATE($B$3,$D$3,1),출퇴근기록!$A$3:$A$3002,"&lt;="&amp;EOMONTH(DATE($B$3,$D$3,1),0)))</f>
        <v/>
      </c>
      <c r="K85" s="19" t="str">
        <f aca="false">IF($A85="","",COUNTIFS(출퇴근기록!$B$3:$B$3002,$A85,출퇴근기록!$I$3:$I$3002,"결근",출퇴근기록!$A$3:$A$3002,"&gt;="&amp;DATE($B$3,$D$3,1),출퇴근기록!$A$3:$A$3002,"&lt;="&amp;EOMONTH(DATE($B$3,$D$3,1),0)))</f>
        <v/>
      </c>
    </row>
    <row r="86" customFormat="false" ht="15" hidden="false" customHeight="true" outlineLevel="0" collapsed="false">
      <c r="A86" s="13" t="str">
        <f aca="false">IF(직원목록!$A83="","",직원목록!$A83)</f>
        <v/>
      </c>
      <c r="B86" s="13" t="str">
        <f aca="false">IF($A86="","",직원목록!$B83)</f>
        <v/>
      </c>
      <c r="C86" s="13" t="str">
        <f aca="false">IF($A86="","",직원목록!$C83)</f>
        <v/>
      </c>
      <c r="D86" s="19" t="str">
        <f aca="false">IF($A86="","",COUNTIFS(출퇴근기록!$B$3:$B$3002,$A86,출퇴근기록!$H$3:$H$3002,"&gt;0",출퇴근기록!$A$3:$A$3002,"&gt;="&amp;DATE($B$3,$D$3,1),출퇴근기록!$A$3:$A$3002,"&lt;="&amp;EOMONTH(DATE($B$3,$D$3,1),0)))</f>
        <v/>
      </c>
      <c r="E86" s="16" t="str">
        <f aca="false">IF($A86="","",ROUND(SUMIFS(출퇴근기록!$H$3:$H$3002,출퇴근기록!$B$3:$B$3002,$A86,출퇴근기록!$I$3:$I$3002,"평일",출퇴근기록!$A$3:$A$3002,"&gt;="&amp;DATE($B$3,$D$3,1),출퇴근기록!$A$3:$A$3002,"&lt;="&amp;EOMONTH(DATE($B$3,$D$3,1),0)),2))</f>
        <v/>
      </c>
      <c r="F86" s="16" t="str">
        <f aca="false">IF($A86="","",ROUND(SUMIFS(출퇴근기록!$H$3:$H$3002,출퇴근기록!$B$3:$B$3002,$A86,출퇴근기록!$I$3:$I$3002,"휴일",출퇴근기록!$A$3:$A$3002,"&gt;="&amp;DATE($B$3,$D$3,1),출퇴근기록!$A$3:$A$3002,"&lt;="&amp;EOMONTH(DATE($B$3,$D$3,1),0)),2))</f>
        <v/>
      </c>
      <c r="G86" s="16" t="str">
        <f aca="false">IF($A86="","",ROUND(SUMIFS(출퇴근기록!$H$3:$H$3002,출퇴근기록!$B$3:$B$3002,$A86,출퇴근기록!$A$3:$A$3002,"&gt;="&amp;DATE($B$3,$D$3,1),출퇴근기록!$A$3:$A$3002,"&lt;="&amp;EOMONTH(DATE($B$3,$D$3,1),0)),2))</f>
        <v/>
      </c>
      <c r="H86" s="16" t="str">
        <f aca="false">IF($A86="","",ROUND($D86*IF(직원목록!$F83="",8,직원목록!$F83),2))</f>
        <v/>
      </c>
      <c r="I86" s="16" t="str">
        <f aca="false">IF($A86="","",ROUND($G86-$H86,2))</f>
        <v/>
      </c>
      <c r="J86" s="19" t="str">
        <f aca="false">IF($A86="","",COUNTIFS(출퇴근기록!$B$3:$B$3002,$A86,출퇴근기록!$I$3:$I$3002,"연차",출퇴근기록!$A$3:$A$3002,"&gt;="&amp;DATE($B$3,$D$3,1),출퇴근기록!$A$3:$A$3002,"&lt;="&amp;EOMONTH(DATE($B$3,$D$3,1),0)))</f>
        <v/>
      </c>
      <c r="K86" s="19" t="str">
        <f aca="false">IF($A86="","",COUNTIFS(출퇴근기록!$B$3:$B$3002,$A86,출퇴근기록!$I$3:$I$3002,"결근",출퇴근기록!$A$3:$A$3002,"&gt;="&amp;DATE($B$3,$D$3,1),출퇴근기록!$A$3:$A$3002,"&lt;="&amp;EOMONTH(DATE($B$3,$D$3,1),0)))</f>
        <v/>
      </c>
    </row>
    <row r="87" customFormat="false" ht="15" hidden="false" customHeight="true" outlineLevel="0" collapsed="false">
      <c r="A87" s="13" t="str">
        <f aca="false">IF(직원목록!$A84="","",직원목록!$A84)</f>
        <v/>
      </c>
      <c r="B87" s="13" t="str">
        <f aca="false">IF($A87="","",직원목록!$B84)</f>
        <v/>
      </c>
      <c r="C87" s="13" t="str">
        <f aca="false">IF($A87="","",직원목록!$C84)</f>
        <v/>
      </c>
      <c r="D87" s="19" t="str">
        <f aca="false">IF($A87="","",COUNTIFS(출퇴근기록!$B$3:$B$3002,$A87,출퇴근기록!$H$3:$H$3002,"&gt;0",출퇴근기록!$A$3:$A$3002,"&gt;="&amp;DATE($B$3,$D$3,1),출퇴근기록!$A$3:$A$3002,"&lt;="&amp;EOMONTH(DATE($B$3,$D$3,1),0)))</f>
        <v/>
      </c>
      <c r="E87" s="16" t="str">
        <f aca="false">IF($A87="","",ROUND(SUMIFS(출퇴근기록!$H$3:$H$3002,출퇴근기록!$B$3:$B$3002,$A87,출퇴근기록!$I$3:$I$3002,"평일",출퇴근기록!$A$3:$A$3002,"&gt;="&amp;DATE($B$3,$D$3,1),출퇴근기록!$A$3:$A$3002,"&lt;="&amp;EOMONTH(DATE($B$3,$D$3,1),0)),2))</f>
        <v/>
      </c>
      <c r="F87" s="16" t="str">
        <f aca="false">IF($A87="","",ROUND(SUMIFS(출퇴근기록!$H$3:$H$3002,출퇴근기록!$B$3:$B$3002,$A87,출퇴근기록!$I$3:$I$3002,"휴일",출퇴근기록!$A$3:$A$3002,"&gt;="&amp;DATE($B$3,$D$3,1),출퇴근기록!$A$3:$A$3002,"&lt;="&amp;EOMONTH(DATE($B$3,$D$3,1),0)),2))</f>
        <v/>
      </c>
      <c r="G87" s="16" t="str">
        <f aca="false">IF($A87="","",ROUND(SUMIFS(출퇴근기록!$H$3:$H$3002,출퇴근기록!$B$3:$B$3002,$A87,출퇴근기록!$A$3:$A$3002,"&gt;="&amp;DATE($B$3,$D$3,1),출퇴근기록!$A$3:$A$3002,"&lt;="&amp;EOMONTH(DATE($B$3,$D$3,1),0)),2))</f>
        <v/>
      </c>
      <c r="H87" s="16" t="str">
        <f aca="false">IF($A87="","",ROUND($D87*IF(직원목록!$F84="",8,직원목록!$F84),2))</f>
        <v/>
      </c>
      <c r="I87" s="16" t="str">
        <f aca="false">IF($A87="","",ROUND($G87-$H87,2))</f>
        <v/>
      </c>
      <c r="J87" s="19" t="str">
        <f aca="false">IF($A87="","",COUNTIFS(출퇴근기록!$B$3:$B$3002,$A87,출퇴근기록!$I$3:$I$3002,"연차",출퇴근기록!$A$3:$A$3002,"&gt;="&amp;DATE($B$3,$D$3,1),출퇴근기록!$A$3:$A$3002,"&lt;="&amp;EOMONTH(DATE($B$3,$D$3,1),0)))</f>
        <v/>
      </c>
      <c r="K87" s="19" t="str">
        <f aca="false">IF($A87="","",COUNTIFS(출퇴근기록!$B$3:$B$3002,$A87,출퇴근기록!$I$3:$I$3002,"결근",출퇴근기록!$A$3:$A$3002,"&gt;="&amp;DATE($B$3,$D$3,1),출퇴근기록!$A$3:$A$3002,"&lt;="&amp;EOMONTH(DATE($B$3,$D$3,1),0)))</f>
        <v/>
      </c>
    </row>
    <row r="88" customFormat="false" ht="15" hidden="false" customHeight="true" outlineLevel="0" collapsed="false">
      <c r="A88" s="13" t="str">
        <f aca="false">IF(직원목록!$A85="","",직원목록!$A85)</f>
        <v/>
      </c>
      <c r="B88" s="13" t="str">
        <f aca="false">IF($A88="","",직원목록!$B85)</f>
        <v/>
      </c>
      <c r="C88" s="13" t="str">
        <f aca="false">IF($A88="","",직원목록!$C85)</f>
        <v/>
      </c>
      <c r="D88" s="19" t="str">
        <f aca="false">IF($A88="","",COUNTIFS(출퇴근기록!$B$3:$B$3002,$A88,출퇴근기록!$H$3:$H$3002,"&gt;0",출퇴근기록!$A$3:$A$3002,"&gt;="&amp;DATE($B$3,$D$3,1),출퇴근기록!$A$3:$A$3002,"&lt;="&amp;EOMONTH(DATE($B$3,$D$3,1),0)))</f>
        <v/>
      </c>
      <c r="E88" s="16" t="str">
        <f aca="false">IF($A88="","",ROUND(SUMIFS(출퇴근기록!$H$3:$H$3002,출퇴근기록!$B$3:$B$3002,$A88,출퇴근기록!$I$3:$I$3002,"평일",출퇴근기록!$A$3:$A$3002,"&gt;="&amp;DATE($B$3,$D$3,1),출퇴근기록!$A$3:$A$3002,"&lt;="&amp;EOMONTH(DATE($B$3,$D$3,1),0)),2))</f>
        <v/>
      </c>
      <c r="F88" s="16" t="str">
        <f aca="false">IF($A88="","",ROUND(SUMIFS(출퇴근기록!$H$3:$H$3002,출퇴근기록!$B$3:$B$3002,$A88,출퇴근기록!$I$3:$I$3002,"휴일",출퇴근기록!$A$3:$A$3002,"&gt;="&amp;DATE($B$3,$D$3,1),출퇴근기록!$A$3:$A$3002,"&lt;="&amp;EOMONTH(DATE($B$3,$D$3,1),0)),2))</f>
        <v/>
      </c>
      <c r="G88" s="16" t="str">
        <f aca="false">IF($A88="","",ROUND(SUMIFS(출퇴근기록!$H$3:$H$3002,출퇴근기록!$B$3:$B$3002,$A88,출퇴근기록!$A$3:$A$3002,"&gt;="&amp;DATE($B$3,$D$3,1),출퇴근기록!$A$3:$A$3002,"&lt;="&amp;EOMONTH(DATE($B$3,$D$3,1),0)),2))</f>
        <v/>
      </c>
      <c r="H88" s="16" t="str">
        <f aca="false">IF($A88="","",ROUND($D88*IF(직원목록!$F85="",8,직원목록!$F85),2))</f>
        <v/>
      </c>
      <c r="I88" s="16" t="str">
        <f aca="false">IF($A88="","",ROUND($G88-$H88,2))</f>
        <v/>
      </c>
      <c r="J88" s="19" t="str">
        <f aca="false">IF($A88="","",COUNTIFS(출퇴근기록!$B$3:$B$3002,$A88,출퇴근기록!$I$3:$I$3002,"연차",출퇴근기록!$A$3:$A$3002,"&gt;="&amp;DATE($B$3,$D$3,1),출퇴근기록!$A$3:$A$3002,"&lt;="&amp;EOMONTH(DATE($B$3,$D$3,1),0)))</f>
        <v/>
      </c>
      <c r="K88" s="19" t="str">
        <f aca="false">IF($A88="","",COUNTIFS(출퇴근기록!$B$3:$B$3002,$A88,출퇴근기록!$I$3:$I$3002,"결근",출퇴근기록!$A$3:$A$3002,"&gt;="&amp;DATE($B$3,$D$3,1),출퇴근기록!$A$3:$A$3002,"&lt;="&amp;EOMONTH(DATE($B$3,$D$3,1),0)))</f>
        <v/>
      </c>
    </row>
    <row r="89" customFormat="false" ht="15" hidden="false" customHeight="true" outlineLevel="0" collapsed="false">
      <c r="A89" s="13" t="str">
        <f aca="false">IF(직원목록!$A86="","",직원목록!$A86)</f>
        <v/>
      </c>
      <c r="B89" s="13" t="str">
        <f aca="false">IF($A89="","",직원목록!$B86)</f>
        <v/>
      </c>
      <c r="C89" s="13" t="str">
        <f aca="false">IF($A89="","",직원목록!$C86)</f>
        <v/>
      </c>
      <c r="D89" s="19" t="str">
        <f aca="false">IF($A89="","",COUNTIFS(출퇴근기록!$B$3:$B$3002,$A89,출퇴근기록!$H$3:$H$3002,"&gt;0",출퇴근기록!$A$3:$A$3002,"&gt;="&amp;DATE($B$3,$D$3,1),출퇴근기록!$A$3:$A$3002,"&lt;="&amp;EOMONTH(DATE($B$3,$D$3,1),0)))</f>
        <v/>
      </c>
      <c r="E89" s="16" t="str">
        <f aca="false">IF($A89="","",ROUND(SUMIFS(출퇴근기록!$H$3:$H$3002,출퇴근기록!$B$3:$B$3002,$A89,출퇴근기록!$I$3:$I$3002,"평일",출퇴근기록!$A$3:$A$3002,"&gt;="&amp;DATE($B$3,$D$3,1),출퇴근기록!$A$3:$A$3002,"&lt;="&amp;EOMONTH(DATE($B$3,$D$3,1),0)),2))</f>
        <v/>
      </c>
      <c r="F89" s="16" t="str">
        <f aca="false">IF($A89="","",ROUND(SUMIFS(출퇴근기록!$H$3:$H$3002,출퇴근기록!$B$3:$B$3002,$A89,출퇴근기록!$I$3:$I$3002,"휴일",출퇴근기록!$A$3:$A$3002,"&gt;="&amp;DATE($B$3,$D$3,1),출퇴근기록!$A$3:$A$3002,"&lt;="&amp;EOMONTH(DATE($B$3,$D$3,1),0)),2))</f>
        <v/>
      </c>
      <c r="G89" s="16" t="str">
        <f aca="false">IF($A89="","",ROUND(SUMIFS(출퇴근기록!$H$3:$H$3002,출퇴근기록!$B$3:$B$3002,$A89,출퇴근기록!$A$3:$A$3002,"&gt;="&amp;DATE($B$3,$D$3,1),출퇴근기록!$A$3:$A$3002,"&lt;="&amp;EOMONTH(DATE($B$3,$D$3,1),0)),2))</f>
        <v/>
      </c>
      <c r="H89" s="16" t="str">
        <f aca="false">IF($A89="","",ROUND($D89*IF(직원목록!$F86="",8,직원목록!$F86),2))</f>
        <v/>
      </c>
      <c r="I89" s="16" t="str">
        <f aca="false">IF($A89="","",ROUND($G89-$H89,2))</f>
        <v/>
      </c>
      <c r="J89" s="19" t="str">
        <f aca="false">IF($A89="","",COUNTIFS(출퇴근기록!$B$3:$B$3002,$A89,출퇴근기록!$I$3:$I$3002,"연차",출퇴근기록!$A$3:$A$3002,"&gt;="&amp;DATE($B$3,$D$3,1),출퇴근기록!$A$3:$A$3002,"&lt;="&amp;EOMONTH(DATE($B$3,$D$3,1),0)))</f>
        <v/>
      </c>
      <c r="K89" s="19" t="str">
        <f aca="false">IF($A89="","",COUNTIFS(출퇴근기록!$B$3:$B$3002,$A89,출퇴근기록!$I$3:$I$3002,"결근",출퇴근기록!$A$3:$A$3002,"&gt;="&amp;DATE($B$3,$D$3,1),출퇴근기록!$A$3:$A$3002,"&lt;="&amp;EOMONTH(DATE($B$3,$D$3,1),0)))</f>
        <v/>
      </c>
    </row>
    <row r="90" customFormat="false" ht="15" hidden="false" customHeight="true" outlineLevel="0" collapsed="false">
      <c r="A90" s="13" t="str">
        <f aca="false">IF(직원목록!$A87="","",직원목록!$A87)</f>
        <v/>
      </c>
      <c r="B90" s="13" t="str">
        <f aca="false">IF($A90="","",직원목록!$B87)</f>
        <v/>
      </c>
      <c r="C90" s="13" t="str">
        <f aca="false">IF($A90="","",직원목록!$C87)</f>
        <v/>
      </c>
      <c r="D90" s="19" t="str">
        <f aca="false">IF($A90="","",COUNTIFS(출퇴근기록!$B$3:$B$3002,$A90,출퇴근기록!$H$3:$H$3002,"&gt;0",출퇴근기록!$A$3:$A$3002,"&gt;="&amp;DATE($B$3,$D$3,1),출퇴근기록!$A$3:$A$3002,"&lt;="&amp;EOMONTH(DATE($B$3,$D$3,1),0)))</f>
        <v/>
      </c>
      <c r="E90" s="16" t="str">
        <f aca="false">IF($A90="","",ROUND(SUMIFS(출퇴근기록!$H$3:$H$3002,출퇴근기록!$B$3:$B$3002,$A90,출퇴근기록!$I$3:$I$3002,"평일",출퇴근기록!$A$3:$A$3002,"&gt;="&amp;DATE($B$3,$D$3,1),출퇴근기록!$A$3:$A$3002,"&lt;="&amp;EOMONTH(DATE($B$3,$D$3,1),0)),2))</f>
        <v/>
      </c>
      <c r="F90" s="16" t="str">
        <f aca="false">IF($A90="","",ROUND(SUMIFS(출퇴근기록!$H$3:$H$3002,출퇴근기록!$B$3:$B$3002,$A90,출퇴근기록!$I$3:$I$3002,"휴일",출퇴근기록!$A$3:$A$3002,"&gt;="&amp;DATE($B$3,$D$3,1),출퇴근기록!$A$3:$A$3002,"&lt;="&amp;EOMONTH(DATE($B$3,$D$3,1),0)),2))</f>
        <v/>
      </c>
      <c r="G90" s="16" t="str">
        <f aca="false">IF($A90="","",ROUND(SUMIFS(출퇴근기록!$H$3:$H$3002,출퇴근기록!$B$3:$B$3002,$A90,출퇴근기록!$A$3:$A$3002,"&gt;="&amp;DATE($B$3,$D$3,1),출퇴근기록!$A$3:$A$3002,"&lt;="&amp;EOMONTH(DATE($B$3,$D$3,1),0)),2))</f>
        <v/>
      </c>
      <c r="H90" s="16" t="str">
        <f aca="false">IF($A90="","",ROUND($D90*IF(직원목록!$F87="",8,직원목록!$F87),2))</f>
        <v/>
      </c>
      <c r="I90" s="16" t="str">
        <f aca="false">IF($A90="","",ROUND($G90-$H90,2))</f>
        <v/>
      </c>
      <c r="J90" s="19" t="str">
        <f aca="false">IF($A90="","",COUNTIFS(출퇴근기록!$B$3:$B$3002,$A90,출퇴근기록!$I$3:$I$3002,"연차",출퇴근기록!$A$3:$A$3002,"&gt;="&amp;DATE($B$3,$D$3,1),출퇴근기록!$A$3:$A$3002,"&lt;="&amp;EOMONTH(DATE($B$3,$D$3,1),0)))</f>
        <v/>
      </c>
      <c r="K90" s="19" t="str">
        <f aca="false">IF($A90="","",COUNTIFS(출퇴근기록!$B$3:$B$3002,$A90,출퇴근기록!$I$3:$I$3002,"결근",출퇴근기록!$A$3:$A$3002,"&gt;="&amp;DATE($B$3,$D$3,1),출퇴근기록!$A$3:$A$3002,"&lt;="&amp;EOMONTH(DATE($B$3,$D$3,1),0)))</f>
        <v/>
      </c>
    </row>
    <row r="91" customFormat="false" ht="15" hidden="false" customHeight="true" outlineLevel="0" collapsed="false">
      <c r="A91" s="13" t="str">
        <f aca="false">IF(직원목록!$A88="","",직원목록!$A88)</f>
        <v/>
      </c>
      <c r="B91" s="13" t="str">
        <f aca="false">IF($A91="","",직원목록!$B88)</f>
        <v/>
      </c>
      <c r="C91" s="13" t="str">
        <f aca="false">IF($A91="","",직원목록!$C88)</f>
        <v/>
      </c>
      <c r="D91" s="19" t="str">
        <f aca="false">IF($A91="","",COUNTIFS(출퇴근기록!$B$3:$B$3002,$A91,출퇴근기록!$H$3:$H$3002,"&gt;0",출퇴근기록!$A$3:$A$3002,"&gt;="&amp;DATE($B$3,$D$3,1),출퇴근기록!$A$3:$A$3002,"&lt;="&amp;EOMONTH(DATE($B$3,$D$3,1),0)))</f>
        <v/>
      </c>
      <c r="E91" s="16" t="str">
        <f aca="false">IF($A91="","",ROUND(SUMIFS(출퇴근기록!$H$3:$H$3002,출퇴근기록!$B$3:$B$3002,$A91,출퇴근기록!$I$3:$I$3002,"평일",출퇴근기록!$A$3:$A$3002,"&gt;="&amp;DATE($B$3,$D$3,1),출퇴근기록!$A$3:$A$3002,"&lt;="&amp;EOMONTH(DATE($B$3,$D$3,1),0)),2))</f>
        <v/>
      </c>
      <c r="F91" s="16" t="str">
        <f aca="false">IF($A91="","",ROUND(SUMIFS(출퇴근기록!$H$3:$H$3002,출퇴근기록!$B$3:$B$3002,$A91,출퇴근기록!$I$3:$I$3002,"휴일",출퇴근기록!$A$3:$A$3002,"&gt;="&amp;DATE($B$3,$D$3,1),출퇴근기록!$A$3:$A$3002,"&lt;="&amp;EOMONTH(DATE($B$3,$D$3,1),0)),2))</f>
        <v/>
      </c>
      <c r="G91" s="16" t="str">
        <f aca="false">IF($A91="","",ROUND(SUMIFS(출퇴근기록!$H$3:$H$3002,출퇴근기록!$B$3:$B$3002,$A91,출퇴근기록!$A$3:$A$3002,"&gt;="&amp;DATE($B$3,$D$3,1),출퇴근기록!$A$3:$A$3002,"&lt;="&amp;EOMONTH(DATE($B$3,$D$3,1),0)),2))</f>
        <v/>
      </c>
      <c r="H91" s="16" t="str">
        <f aca="false">IF($A91="","",ROUND($D91*IF(직원목록!$F88="",8,직원목록!$F88),2))</f>
        <v/>
      </c>
      <c r="I91" s="16" t="str">
        <f aca="false">IF($A91="","",ROUND($G91-$H91,2))</f>
        <v/>
      </c>
      <c r="J91" s="19" t="str">
        <f aca="false">IF($A91="","",COUNTIFS(출퇴근기록!$B$3:$B$3002,$A91,출퇴근기록!$I$3:$I$3002,"연차",출퇴근기록!$A$3:$A$3002,"&gt;="&amp;DATE($B$3,$D$3,1),출퇴근기록!$A$3:$A$3002,"&lt;="&amp;EOMONTH(DATE($B$3,$D$3,1),0)))</f>
        <v/>
      </c>
      <c r="K91" s="19" t="str">
        <f aca="false">IF($A91="","",COUNTIFS(출퇴근기록!$B$3:$B$3002,$A91,출퇴근기록!$I$3:$I$3002,"결근",출퇴근기록!$A$3:$A$3002,"&gt;="&amp;DATE($B$3,$D$3,1),출퇴근기록!$A$3:$A$3002,"&lt;="&amp;EOMONTH(DATE($B$3,$D$3,1),0)))</f>
        <v/>
      </c>
    </row>
    <row r="92" customFormat="false" ht="15" hidden="false" customHeight="true" outlineLevel="0" collapsed="false">
      <c r="A92" s="13" t="str">
        <f aca="false">IF(직원목록!$A89="","",직원목록!$A89)</f>
        <v/>
      </c>
      <c r="B92" s="13" t="str">
        <f aca="false">IF($A92="","",직원목록!$B89)</f>
        <v/>
      </c>
      <c r="C92" s="13" t="str">
        <f aca="false">IF($A92="","",직원목록!$C89)</f>
        <v/>
      </c>
      <c r="D92" s="19" t="str">
        <f aca="false">IF($A92="","",COUNTIFS(출퇴근기록!$B$3:$B$3002,$A92,출퇴근기록!$H$3:$H$3002,"&gt;0",출퇴근기록!$A$3:$A$3002,"&gt;="&amp;DATE($B$3,$D$3,1),출퇴근기록!$A$3:$A$3002,"&lt;="&amp;EOMONTH(DATE($B$3,$D$3,1),0)))</f>
        <v/>
      </c>
      <c r="E92" s="16" t="str">
        <f aca="false">IF($A92="","",ROUND(SUMIFS(출퇴근기록!$H$3:$H$3002,출퇴근기록!$B$3:$B$3002,$A92,출퇴근기록!$I$3:$I$3002,"평일",출퇴근기록!$A$3:$A$3002,"&gt;="&amp;DATE($B$3,$D$3,1),출퇴근기록!$A$3:$A$3002,"&lt;="&amp;EOMONTH(DATE($B$3,$D$3,1),0)),2))</f>
        <v/>
      </c>
      <c r="F92" s="16" t="str">
        <f aca="false">IF($A92="","",ROUND(SUMIFS(출퇴근기록!$H$3:$H$3002,출퇴근기록!$B$3:$B$3002,$A92,출퇴근기록!$I$3:$I$3002,"휴일",출퇴근기록!$A$3:$A$3002,"&gt;="&amp;DATE($B$3,$D$3,1),출퇴근기록!$A$3:$A$3002,"&lt;="&amp;EOMONTH(DATE($B$3,$D$3,1),0)),2))</f>
        <v/>
      </c>
      <c r="G92" s="16" t="str">
        <f aca="false">IF($A92="","",ROUND(SUMIFS(출퇴근기록!$H$3:$H$3002,출퇴근기록!$B$3:$B$3002,$A92,출퇴근기록!$A$3:$A$3002,"&gt;="&amp;DATE($B$3,$D$3,1),출퇴근기록!$A$3:$A$3002,"&lt;="&amp;EOMONTH(DATE($B$3,$D$3,1),0)),2))</f>
        <v/>
      </c>
      <c r="H92" s="16" t="str">
        <f aca="false">IF($A92="","",ROUND($D92*IF(직원목록!$F89="",8,직원목록!$F89),2))</f>
        <v/>
      </c>
      <c r="I92" s="16" t="str">
        <f aca="false">IF($A92="","",ROUND($G92-$H92,2))</f>
        <v/>
      </c>
      <c r="J92" s="19" t="str">
        <f aca="false">IF($A92="","",COUNTIFS(출퇴근기록!$B$3:$B$3002,$A92,출퇴근기록!$I$3:$I$3002,"연차",출퇴근기록!$A$3:$A$3002,"&gt;="&amp;DATE($B$3,$D$3,1),출퇴근기록!$A$3:$A$3002,"&lt;="&amp;EOMONTH(DATE($B$3,$D$3,1),0)))</f>
        <v/>
      </c>
      <c r="K92" s="19" t="str">
        <f aca="false">IF($A92="","",COUNTIFS(출퇴근기록!$B$3:$B$3002,$A92,출퇴근기록!$I$3:$I$3002,"결근",출퇴근기록!$A$3:$A$3002,"&gt;="&amp;DATE($B$3,$D$3,1),출퇴근기록!$A$3:$A$3002,"&lt;="&amp;EOMONTH(DATE($B$3,$D$3,1),0)))</f>
        <v/>
      </c>
    </row>
    <row r="93" customFormat="false" ht="15" hidden="false" customHeight="true" outlineLevel="0" collapsed="false">
      <c r="A93" s="13" t="str">
        <f aca="false">IF(직원목록!$A90="","",직원목록!$A90)</f>
        <v/>
      </c>
      <c r="B93" s="13" t="str">
        <f aca="false">IF($A93="","",직원목록!$B90)</f>
        <v/>
      </c>
      <c r="C93" s="13" t="str">
        <f aca="false">IF($A93="","",직원목록!$C90)</f>
        <v/>
      </c>
      <c r="D93" s="19" t="str">
        <f aca="false">IF($A93="","",COUNTIFS(출퇴근기록!$B$3:$B$3002,$A93,출퇴근기록!$H$3:$H$3002,"&gt;0",출퇴근기록!$A$3:$A$3002,"&gt;="&amp;DATE($B$3,$D$3,1),출퇴근기록!$A$3:$A$3002,"&lt;="&amp;EOMONTH(DATE($B$3,$D$3,1),0)))</f>
        <v/>
      </c>
      <c r="E93" s="16" t="str">
        <f aca="false">IF($A93="","",ROUND(SUMIFS(출퇴근기록!$H$3:$H$3002,출퇴근기록!$B$3:$B$3002,$A93,출퇴근기록!$I$3:$I$3002,"평일",출퇴근기록!$A$3:$A$3002,"&gt;="&amp;DATE($B$3,$D$3,1),출퇴근기록!$A$3:$A$3002,"&lt;="&amp;EOMONTH(DATE($B$3,$D$3,1),0)),2))</f>
        <v/>
      </c>
      <c r="F93" s="16" t="str">
        <f aca="false">IF($A93="","",ROUND(SUMIFS(출퇴근기록!$H$3:$H$3002,출퇴근기록!$B$3:$B$3002,$A93,출퇴근기록!$I$3:$I$3002,"휴일",출퇴근기록!$A$3:$A$3002,"&gt;="&amp;DATE($B$3,$D$3,1),출퇴근기록!$A$3:$A$3002,"&lt;="&amp;EOMONTH(DATE($B$3,$D$3,1),0)),2))</f>
        <v/>
      </c>
      <c r="G93" s="16" t="str">
        <f aca="false">IF($A93="","",ROUND(SUMIFS(출퇴근기록!$H$3:$H$3002,출퇴근기록!$B$3:$B$3002,$A93,출퇴근기록!$A$3:$A$3002,"&gt;="&amp;DATE($B$3,$D$3,1),출퇴근기록!$A$3:$A$3002,"&lt;="&amp;EOMONTH(DATE($B$3,$D$3,1),0)),2))</f>
        <v/>
      </c>
      <c r="H93" s="16" t="str">
        <f aca="false">IF($A93="","",ROUND($D93*IF(직원목록!$F90="",8,직원목록!$F90),2))</f>
        <v/>
      </c>
      <c r="I93" s="16" t="str">
        <f aca="false">IF($A93="","",ROUND($G93-$H93,2))</f>
        <v/>
      </c>
      <c r="J93" s="19" t="str">
        <f aca="false">IF($A93="","",COUNTIFS(출퇴근기록!$B$3:$B$3002,$A93,출퇴근기록!$I$3:$I$3002,"연차",출퇴근기록!$A$3:$A$3002,"&gt;="&amp;DATE($B$3,$D$3,1),출퇴근기록!$A$3:$A$3002,"&lt;="&amp;EOMONTH(DATE($B$3,$D$3,1),0)))</f>
        <v/>
      </c>
      <c r="K93" s="19" t="str">
        <f aca="false">IF($A93="","",COUNTIFS(출퇴근기록!$B$3:$B$3002,$A93,출퇴근기록!$I$3:$I$3002,"결근",출퇴근기록!$A$3:$A$3002,"&gt;="&amp;DATE($B$3,$D$3,1),출퇴근기록!$A$3:$A$3002,"&lt;="&amp;EOMONTH(DATE($B$3,$D$3,1),0)))</f>
        <v/>
      </c>
    </row>
    <row r="94" customFormat="false" ht="15" hidden="false" customHeight="true" outlineLevel="0" collapsed="false">
      <c r="A94" s="13" t="str">
        <f aca="false">IF(직원목록!$A91="","",직원목록!$A91)</f>
        <v/>
      </c>
      <c r="B94" s="13" t="str">
        <f aca="false">IF($A94="","",직원목록!$B91)</f>
        <v/>
      </c>
      <c r="C94" s="13" t="str">
        <f aca="false">IF($A94="","",직원목록!$C91)</f>
        <v/>
      </c>
      <c r="D94" s="19" t="str">
        <f aca="false">IF($A94="","",COUNTIFS(출퇴근기록!$B$3:$B$3002,$A94,출퇴근기록!$H$3:$H$3002,"&gt;0",출퇴근기록!$A$3:$A$3002,"&gt;="&amp;DATE($B$3,$D$3,1),출퇴근기록!$A$3:$A$3002,"&lt;="&amp;EOMONTH(DATE($B$3,$D$3,1),0)))</f>
        <v/>
      </c>
      <c r="E94" s="16" t="str">
        <f aca="false">IF($A94="","",ROUND(SUMIFS(출퇴근기록!$H$3:$H$3002,출퇴근기록!$B$3:$B$3002,$A94,출퇴근기록!$I$3:$I$3002,"평일",출퇴근기록!$A$3:$A$3002,"&gt;="&amp;DATE($B$3,$D$3,1),출퇴근기록!$A$3:$A$3002,"&lt;="&amp;EOMONTH(DATE($B$3,$D$3,1),0)),2))</f>
        <v/>
      </c>
      <c r="F94" s="16" t="str">
        <f aca="false">IF($A94="","",ROUND(SUMIFS(출퇴근기록!$H$3:$H$3002,출퇴근기록!$B$3:$B$3002,$A94,출퇴근기록!$I$3:$I$3002,"휴일",출퇴근기록!$A$3:$A$3002,"&gt;="&amp;DATE($B$3,$D$3,1),출퇴근기록!$A$3:$A$3002,"&lt;="&amp;EOMONTH(DATE($B$3,$D$3,1),0)),2))</f>
        <v/>
      </c>
      <c r="G94" s="16" t="str">
        <f aca="false">IF($A94="","",ROUND(SUMIFS(출퇴근기록!$H$3:$H$3002,출퇴근기록!$B$3:$B$3002,$A94,출퇴근기록!$A$3:$A$3002,"&gt;="&amp;DATE($B$3,$D$3,1),출퇴근기록!$A$3:$A$3002,"&lt;="&amp;EOMONTH(DATE($B$3,$D$3,1),0)),2))</f>
        <v/>
      </c>
      <c r="H94" s="16" t="str">
        <f aca="false">IF($A94="","",ROUND($D94*IF(직원목록!$F91="",8,직원목록!$F91),2))</f>
        <v/>
      </c>
      <c r="I94" s="16" t="str">
        <f aca="false">IF($A94="","",ROUND($G94-$H94,2))</f>
        <v/>
      </c>
      <c r="J94" s="19" t="str">
        <f aca="false">IF($A94="","",COUNTIFS(출퇴근기록!$B$3:$B$3002,$A94,출퇴근기록!$I$3:$I$3002,"연차",출퇴근기록!$A$3:$A$3002,"&gt;="&amp;DATE($B$3,$D$3,1),출퇴근기록!$A$3:$A$3002,"&lt;="&amp;EOMONTH(DATE($B$3,$D$3,1),0)))</f>
        <v/>
      </c>
      <c r="K94" s="19" t="str">
        <f aca="false">IF($A94="","",COUNTIFS(출퇴근기록!$B$3:$B$3002,$A94,출퇴근기록!$I$3:$I$3002,"결근",출퇴근기록!$A$3:$A$3002,"&gt;="&amp;DATE($B$3,$D$3,1),출퇴근기록!$A$3:$A$3002,"&lt;="&amp;EOMONTH(DATE($B$3,$D$3,1),0)))</f>
        <v/>
      </c>
    </row>
    <row r="95" customFormat="false" ht="15" hidden="false" customHeight="true" outlineLevel="0" collapsed="false">
      <c r="A95" s="13" t="str">
        <f aca="false">IF(직원목록!$A92="","",직원목록!$A92)</f>
        <v/>
      </c>
      <c r="B95" s="13" t="str">
        <f aca="false">IF($A95="","",직원목록!$B92)</f>
        <v/>
      </c>
      <c r="C95" s="13" t="str">
        <f aca="false">IF($A95="","",직원목록!$C92)</f>
        <v/>
      </c>
      <c r="D95" s="19" t="str">
        <f aca="false">IF($A95="","",COUNTIFS(출퇴근기록!$B$3:$B$3002,$A95,출퇴근기록!$H$3:$H$3002,"&gt;0",출퇴근기록!$A$3:$A$3002,"&gt;="&amp;DATE($B$3,$D$3,1),출퇴근기록!$A$3:$A$3002,"&lt;="&amp;EOMONTH(DATE($B$3,$D$3,1),0)))</f>
        <v/>
      </c>
      <c r="E95" s="16" t="str">
        <f aca="false">IF($A95="","",ROUND(SUMIFS(출퇴근기록!$H$3:$H$3002,출퇴근기록!$B$3:$B$3002,$A95,출퇴근기록!$I$3:$I$3002,"평일",출퇴근기록!$A$3:$A$3002,"&gt;="&amp;DATE($B$3,$D$3,1),출퇴근기록!$A$3:$A$3002,"&lt;="&amp;EOMONTH(DATE($B$3,$D$3,1),0)),2))</f>
        <v/>
      </c>
      <c r="F95" s="16" t="str">
        <f aca="false">IF($A95="","",ROUND(SUMIFS(출퇴근기록!$H$3:$H$3002,출퇴근기록!$B$3:$B$3002,$A95,출퇴근기록!$I$3:$I$3002,"휴일",출퇴근기록!$A$3:$A$3002,"&gt;="&amp;DATE($B$3,$D$3,1),출퇴근기록!$A$3:$A$3002,"&lt;="&amp;EOMONTH(DATE($B$3,$D$3,1),0)),2))</f>
        <v/>
      </c>
      <c r="G95" s="16" t="str">
        <f aca="false">IF($A95="","",ROUND(SUMIFS(출퇴근기록!$H$3:$H$3002,출퇴근기록!$B$3:$B$3002,$A95,출퇴근기록!$A$3:$A$3002,"&gt;="&amp;DATE($B$3,$D$3,1),출퇴근기록!$A$3:$A$3002,"&lt;="&amp;EOMONTH(DATE($B$3,$D$3,1),0)),2))</f>
        <v/>
      </c>
      <c r="H95" s="16" t="str">
        <f aca="false">IF($A95="","",ROUND($D95*IF(직원목록!$F92="",8,직원목록!$F92),2))</f>
        <v/>
      </c>
      <c r="I95" s="16" t="str">
        <f aca="false">IF($A95="","",ROUND($G95-$H95,2))</f>
        <v/>
      </c>
      <c r="J95" s="19" t="str">
        <f aca="false">IF($A95="","",COUNTIFS(출퇴근기록!$B$3:$B$3002,$A95,출퇴근기록!$I$3:$I$3002,"연차",출퇴근기록!$A$3:$A$3002,"&gt;="&amp;DATE($B$3,$D$3,1),출퇴근기록!$A$3:$A$3002,"&lt;="&amp;EOMONTH(DATE($B$3,$D$3,1),0)))</f>
        <v/>
      </c>
      <c r="K95" s="19" t="str">
        <f aca="false">IF($A95="","",COUNTIFS(출퇴근기록!$B$3:$B$3002,$A95,출퇴근기록!$I$3:$I$3002,"결근",출퇴근기록!$A$3:$A$3002,"&gt;="&amp;DATE($B$3,$D$3,1),출퇴근기록!$A$3:$A$3002,"&lt;="&amp;EOMONTH(DATE($B$3,$D$3,1),0)))</f>
        <v/>
      </c>
    </row>
    <row r="96" customFormat="false" ht="15" hidden="false" customHeight="true" outlineLevel="0" collapsed="false">
      <c r="A96" s="13" t="str">
        <f aca="false">IF(직원목록!$A93="","",직원목록!$A93)</f>
        <v/>
      </c>
      <c r="B96" s="13" t="str">
        <f aca="false">IF($A96="","",직원목록!$B93)</f>
        <v/>
      </c>
      <c r="C96" s="13" t="str">
        <f aca="false">IF($A96="","",직원목록!$C93)</f>
        <v/>
      </c>
      <c r="D96" s="19" t="str">
        <f aca="false">IF($A96="","",COUNTIFS(출퇴근기록!$B$3:$B$3002,$A96,출퇴근기록!$H$3:$H$3002,"&gt;0",출퇴근기록!$A$3:$A$3002,"&gt;="&amp;DATE($B$3,$D$3,1),출퇴근기록!$A$3:$A$3002,"&lt;="&amp;EOMONTH(DATE($B$3,$D$3,1),0)))</f>
        <v/>
      </c>
      <c r="E96" s="16" t="str">
        <f aca="false">IF($A96="","",ROUND(SUMIFS(출퇴근기록!$H$3:$H$3002,출퇴근기록!$B$3:$B$3002,$A96,출퇴근기록!$I$3:$I$3002,"평일",출퇴근기록!$A$3:$A$3002,"&gt;="&amp;DATE($B$3,$D$3,1),출퇴근기록!$A$3:$A$3002,"&lt;="&amp;EOMONTH(DATE($B$3,$D$3,1),0)),2))</f>
        <v/>
      </c>
      <c r="F96" s="16" t="str">
        <f aca="false">IF($A96="","",ROUND(SUMIFS(출퇴근기록!$H$3:$H$3002,출퇴근기록!$B$3:$B$3002,$A96,출퇴근기록!$I$3:$I$3002,"휴일",출퇴근기록!$A$3:$A$3002,"&gt;="&amp;DATE($B$3,$D$3,1),출퇴근기록!$A$3:$A$3002,"&lt;="&amp;EOMONTH(DATE($B$3,$D$3,1),0)),2))</f>
        <v/>
      </c>
      <c r="G96" s="16" t="str">
        <f aca="false">IF($A96="","",ROUND(SUMIFS(출퇴근기록!$H$3:$H$3002,출퇴근기록!$B$3:$B$3002,$A96,출퇴근기록!$A$3:$A$3002,"&gt;="&amp;DATE($B$3,$D$3,1),출퇴근기록!$A$3:$A$3002,"&lt;="&amp;EOMONTH(DATE($B$3,$D$3,1),0)),2))</f>
        <v/>
      </c>
      <c r="H96" s="16" t="str">
        <f aca="false">IF($A96="","",ROUND($D96*IF(직원목록!$F93="",8,직원목록!$F93),2))</f>
        <v/>
      </c>
      <c r="I96" s="16" t="str">
        <f aca="false">IF($A96="","",ROUND($G96-$H96,2))</f>
        <v/>
      </c>
      <c r="J96" s="19" t="str">
        <f aca="false">IF($A96="","",COUNTIFS(출퇴근기록!$B$3:$B$3002,$A96,출퇴근기록!$I$3:$I$3002,"연차",출퇴근기록!$A$3:$A$3002,"&gt;="&amp;DATE($B$3,$D$3,1),출퇴근기록!$A$3:$A$3002,"&lt;="&amp;EOMONTH(DATE($B$3,$D$3,1),0)))</f>
        <v/>
      </c>
      <c r="K96" s="19" t="str">
        <f aca="false">IF($A96="","",COUNTIFS(출퇴근기록!$B$3:$B$3002,$A96,출퇴근기록!$I$3:$I$3002,"결근",출퇴근기록!$A$3:$A$3002,"&gt;="&amp;DATE($B$3,$D$3,1),출퇴근기록!$A$3:$A$3002,"&lt;="&amp;EOMONTH(DATE($B$3,$D$3,1),0)))</f>
        <v/>
      </c>
    </row>
    <row r="97" customFormat="false" ht="15" hidden="false" customHeight="true" outlineLevel="0" collapsed="false">
      <c r="A97" s="13" t="str">
        <f aca="false">IF(직원목록!$A94="","",직원목록!$A94)</f>
        <v/>
      </c>
      <c r="B97" s="13" t="str">
        <f aca="false">IF($A97="","",직원목록!$B94)</f>
        <v/>
      </c>
      <c r="C97" s="13" t="str">
        <f aca="false">IF($A97="","",직원목록!$C94)</f>
        <v/>
      </c>
      <c r="D97" s="19" t="str">
        <f aca="false">IF($A97="","",COUNTIFS(출퇴근기록!$B$3:$B$3002,$A97,출퇴근기록!$H$3:$H$3002,"&gt;0",출퇴근기록!$A$3:$A$3002,"&gt;="&amp;DATE($B$3,$D$3,1),출퇴근기록!$A$3:$A$3002,"&lt;="&amp;EOMONTH(DATE($B$3,$D$3,1),0)))</f>
        <v/>
      </c>
      <c r="E97" s="16" t="str">
        <f aca="false">IF($A97="","",ROUND(SUMIFS(출퇴근기록!$H$3:$H$3002,출퇴근기록!$B$3:$B$3002,$A97,출퇴근기록!$I$3:$I$3002,"평일",출퇴근기록!$A$3:$A$3002,"&gt;="&amp;DATE($B$3,$D$3,1),출퇴근기록!$A$3:$A$3002,"&lt;="&amp;EOMONTH(DATE($B$3,$D$3,1),0)),2))</f>
        <v/>
      </c>
      <c r="F97" s="16" t="str">
        <f aca="false">IF($A97="","",ROUND(SUMIFS(출퇴근기록!$H$3:$H$3002,출퇴근기록!$B$3:$B$3002,$A97,출퇴근기록!$I$3:$I$3002,"휴일",출퇴근기록!$A$3:$A$3002,"&gt;="&amp;DATE($B$3,$D$3,1),출퇴근기록!$A$3:$A$3002,"&lt;="&amp;EOMONTH(DATE($B$3,$D$3,1),0)),2))</f>
        <v/>
      </c>
      <c r="G97" s="16" t="str">
        <f aca="false">IF($A97="","",ROUND(SUMIFS(출퇴근기록!$H$3:$H$3002,출퇴근기록!$B$3:$B$3002,$A97,출퇴근기록!$A$3:$A$3002,"&gt;="&amp;DATE($B$3,$D$3,1),출퇴근기록!$A$3:$A$3002,"&lt;="&amp;EOMONTH(DATE($B$3,$D$3,1),0)),2))</f>
        <v/>
      </c>
      <c r="H97" s="16" t="str">
        <f aca="false">IF($A97="","",ROUND($D97*IF(직원목록!$F94="",8,직원목록!$F94),2))</f>
        <v/>
      </c>
      <c r="I97" s="16" t="str">
        <f aca="false">IF($A97="","",ROUND($G97-$H97,2))</f>
        <v/>
      </c>
      <c r="J97" s="19" t="str">
        <f aca="false">IF($A97="","",COUNTIFS(출퇴근기록!$B$3:$B$3002,$A97,출퇴근기록!$I$3:$I$3002,"연차",출퇴근기록!$A$3:$A$3002,"&gt;="&amp;DATE($B$3,$D$3,1),출퇴근기록!$A$3:$A$3002,"&lt;="&amp;EOMONTH(DATE($B$3,$D$3,1),0)))</f>
        <v/>
      </c>
      <c r="K97" s="19" t="str">
        <f aca="false">IF($A97="","",COUNTIFS(출퇴근기록!$B$3:$B$3002,$A97,출퇴근기록!$I$3:$I$3002,"결근",출퇴근기록!$A$3:$A$3002,"&gt;="&amp;DATE($B$3,$D$3,1),출퇴근기록!$A$3:$A$3002,"&lt;="&amp;EOMONTH(DATE($B$3,$D$3,1),0)))</f>
        <v/>
      </c>
    </row>
    <row r="98" customFormat="false" ht="15" hidden="false" customHeight="true" outlineLevel="0" collapsed="false">
      <c r="A98" s="13" t="str">
        <f aca="false">IF(직원목록!$A95="","",직원목록!$A95)</f>
        <v/>
      </c>
      <c r="B98" s="13" t="str">
        <f aca="false">IF($A98="","",직원목록!$B95)</f>
        <v/>
      </c>
      <c r="C98" s="13" t="str">
        <f aca="false">IF($A98="","",직원목록!$C95)</f>
        <v/>
      </c>
      <c r="D98" s="19" t="str">
        <f aca="false">IF($A98="","",COUNTIFS(출퇴근기록!$B$3:$B$3002,$A98,출퇴근기록!$H$3:$H$3002,"&gt;0",출퇴근기록!$A$3:$A$3002,"&gt;="&amp;DATE($B$3,$D$3,1),출퇴근기록!$A$3:$A$3002,"&lt;="&amp;EOMONTH(DATE($B$3,$D$3,1),0)))</f>
        <v/>
      </c>
      <c r="E98" s="16" t="str">
        <f aca="false">IF($A98="","",ROUND(SUMIFS(출퇴근기록!$H$3:$H$3002,출퇴근기록!$B$3:$B$3002,$A98,출퇴근기록!$I$3:$I$3002,"평일",출퇴근기록!$A$3:$A$3002,"&gt;="&amp;DATE($B$3,$D$3,1),출퇴근기록!$A$3:$A$3002,"&lt;="&amp;EOMONTH(DATE($B$3,$D$3,1),0)),2))</f>
        <v/>
      </c>
      <c r="F98" s="16" t="str">
        <f aca="false">IF($A98="","",ROUND(SUMIFS(출퇴근기록!$H$3:$H$3002,출퇴근기록!$B$3:$B$3002,$A98,출퇴근기록!$I$3:$I$3002,"휴일",출퇴근기록!$A$3:$A$3002,"&gt;="&amp;DATE($B$3,$D$3,1),출퇴근기록!$A$3:$A$3002,"&lt;="&amp;EOMONTH(DATE($B$3,$D$3,1),0)),2))</f>
        <v/>
      </c>
      <c r="G98" s="16" t="str">
        <f aca="false">IF($A98="","",ROUND(SUMIFS(출퇴근기록!$H$3:$H$3002,출퇴근기록!$B$3:$B$3002,$A98,출퇴근기록!$A$3:$A$3002,"&gt;="&amp;DATE($B$3,$D$3,1),출퇴근기록!$A$3:$A$3002,"&lt;="&amp;EOMONTH(DATE($B$3,$D$3,1),0)),2))</f>
        <v/>
      </c>
      <c r="H98" s="16" t="str">
        <f aca="false">IF($A98="","",ROUND($D98*IF(직원목록!$F95="",8,직원목록!$F95),2))</f>
        <v/>
      </c>
      <c r="I98" s="16" t="str">
        <f aca="false">IF($A98="","",ROUND($G98-$H98,2))</f>
        <v/>
      </c>
      <c r="J98" s="19" t="str">
        <f aca="false">IF($A98="","",COUNTIFS(출퇴근기록!$B$3:$B$3002,$A98,출퇴근기록!$I$3:$I$3002,"연차",출퇴근기록!$A$3:$A$3002,"&gt;="&amp;DATE($B$3,$D$3,1),출퇴근기록!$A$3:$A$3002,"&lt;="&amp;EOMONTH(DATE($B$3,$D$3,1),0)))</f>
        <v/>
      </c>
      <c r="K98" s="19" t="str">
        <f aca="false">IF($A98="","",COUNTIFS(출퇴근기록!$B$3:$B$3002,$A98,출퇴근기록!$I$3:$I$3002,"결근",출퇴근기록!$A$3:$A$3002,"&gt;="&amp;DATE($B$3,$D$3,1),출퇴근기록!$A$3:$A$3002,"&lt;="&amp;EOMONTH(DATE($B$3,$D$3,1),0)))</f>
        <v/>
      </c>
    </row>
    <row r="99" customFormat="false" ht="15" hidden="false" customHeight="true" outlineLevel="0" collapsed="false">
      <c r="A99" s="13" t="str">
        <f aca="false">IF(직원목록!$A96="","",직원목록!$A96)</f>
        <v/>
      </c>
      <c r="B99" s="13" t="str">
        <f aca="false">IF($A99="","",직원목록!$B96)</f>
        <v/>
      </c>
      <c r="C99" s="13" t="str">
        <f aca="false">IF($A99="","",직원목록!$C96)</f>
        <v/>
      </c>
      <c r="D99" s="19" t="str">
        <f aca="false">IF($A99="","",COUNTIFS(출퇴근기록!$B$3:$B$3002,$A99,출퇴근기록!$H$3:$H$3002,"&gt;0",출퇴근기록!$A$3:$A$3002,"&gt;="&amp;DATE($B$3,$D$3,1),출퇴근기록!$A$3:$A$3002,"&lt;="&amp;EOMONTH(DATE($B$3,$D$3,1),0)))</f>
        <v/>
      </c>
      <c r="E99" s="16" t="str">
        <f aca="false">IF($A99="","",ROUND(SUMIFS(출퇴근기록!$H$3:$H$3002,출퇴근기록!$B$3:$B$3002,$A99,출퇴근기록!$I$3:$I$3002,"평일",출퇴근기록!$A$3:$A$3002,"&gt;="&amp;DATE($B$3,$D$3,1),출퇴근기록!$A$3:$A$3002,"&lt;="&amp;EOMONTH(DATE($B$3,$D$3,1),0)),2))</f>
        <v/>
      </c>
      <c r="F99" s="16" t="str">
        <f aca="false">IF($A99="","",ROUND(SUMIFS(출퇴근기록!$H$3:$H$3002,출퇴근기록!$B$3:$B$3002,$A99,출퇴근기록!$I$3:$I$3002,"휴일",출퇴근기록!$A$3:$A$3002,"&gt;="&amp;DATE($B$3,$D$3,1),출퇴근기록!$A$3:$A$3002,"&lt;="&amp;EOMONTH(DATE($B$3,$D$3,1),0)),2))</f>
        <v/>
      </c>
      <c r="G99" s="16" t="str">
        <f aca="false">IF($A99="","",ROUND(SUMIFS(출퇴근기록!$H$3:$H$3002,출퇴근기록!$B$3:$B$3002,$A99,출퇴근기록!$A$3:$A$3002,"&gt;="&amp;DATE($B$3,$D$3,1),출퇴근기록!$A$3:$A$3002,"&lt;="&amp;EOMONTH(DATE($B$3,$D$3,1),0)),2))</f>
        <v/>
      </c>
      <c r="H99" s="16" t="str">
        <f aca="false">IF($A99="","",ROUND($D99*IF(직원목록!$F96="",8,직원목록!$F96),2))</f>
        <v/>
      </c>
      <c r="I99" s="16" t="str">
        <f aca="false">IF($A99="","",ROUND($G99-$H99,2))</f>
        <v/>
      </c>
      <c r="J99" s="19" t="str">
        <f aca="false">IF($A99="","",COUNTIFS(출퇴근기록!$B$3:$B$3002,$A99,출퇴근기록!$I$3:$I$3002,"연차",출퇴근기록!$A$3:$A$3002,"&gt;="&amp;DATE($B$3,$D$3,1),출퇴근기록!$A$3:$A$3002,"&lt;="&amp;EOMONTH(DATE($B$3,$D$3,1),0)))</f>
        <v/>
      </c>
      <c r="K99" s="19" t="str">
        <f aca="false">IF($A99="","",COUNTIFS(출퇴근기록!$B$3:$B$3002,$A99,출퇴근기록!$I$3:$I$3002,"결근",출퇴근기록!$A$3:$A$3002,"&gt;="&amp;DATE($B$3,$D$3,1),출퇴근기록!$A$3:$A$3002,"&lt;="&amp;EOMONTH(DATE($B$3,$D$3,1),0)))</f>
        <v/>
      </c>
    </row>
    <row r="100" customFormat="false" ht="15" hidden="false" customHeight="true" outlineLevel="0" collapsed="false">
      <c r="A100" s="13" t="str">
        <f aca="false">IF(직원목록!$A97="","",직원목록!$A97)</f>
        <v/>
      </c>
      <c r="B100" s="13" t="str">
        <f aca="false">IF($A100="","",직원목록!$B97)</f>
        <v/>
      </c>
      <c r="C100" s="13" t="str">
        <f aca="false">IF($A100="","",직원목록!$C97)</f>
        <v/>
      </c>
      <c r="D100" s="19" t="str">
        <f aca="false">IF($A100="","",COUNTIFS(출퇴근기록!$B$3:$B$3002,$A100,출퇴근기록!$H$3:$H$3002,"&gt;0",출퇴근기록!$A$3:$A$3002,"&gt;="&amp;DATE($B$3,$D$3,1),출퇴근기록!$A$3:$A$3002,"&lt;="&amp;EOMONTH(DATE($B$3,$D$3,1),0)))</f>
        <v/>
      </c>
      <c r="E100" s="16" t="str">
        <f aca="false">IF($A100="","",ROUND(SUMIFS(출퇴근기록!$H$3:$H$3002,출퇴근기록!$B$3:$B$3002,$A100,출퇴근기록!$I$3:$I$3002,"평일",출퇴근기록!$A$3:$A$3002,"&gt;="&amp;DATE($B$3,$D$3,1),출퇴근기록!$A$3:$A$3002,"&lt;="&amp;EOMONTH(DATE($B$3,$D$3,1),0)),2))</f>
        <v/>
      </c>
      <c r="F100" s="16" t="str">
        <f aca="false">IF($A100="","",ROUND(SUMIFS(출퇴근기록!$H$3:$H$3002,출퇴근기록!$B$3:$B$3002,$A100,출퇴근기록!$I$3:$I$3002,"휴일",출퇴근기록!$A$3:$A$3002,"&gt;="&amp;DATE($B$3,$D$3,1),출퇴근기록!$A$3:$A$3002,"&lt;="&amp;EOMONTH(DATE($B$3,$D$3,1),0)),2))</f>
        <v/>
      </c>
      <c r="G100" s="16" t="str">
        <f aca="false">IF($A100="","",ROUND(SUMIFS(출퇴근기록!$H$3:$H$3002,출퇴근기록!$B$3:$B$3002,$A100,출퇴근기록!$A$3:$A$3002,"&gt;="&amp;DATE($B$3,$D$3,1),출퇴근기록!$A$3:$A$3002,"&lt;="&amp;EOMONTH(DATE($B$3,$D$3,1),0)),2))</f>
        <v/>
      </c>
      <c r="H100" s="16" t="str">
        <f aca="false">IF($A100="","",ROUND($D100*IF(직원목록!$F97="",8,직원목록!$F97),2))</f>
        <v/>
      </c>
      <c r="I100" s="16" t="str">
        <f aca="false">IF($A100="","",ROUND($G100-$H100,2))</f>
        <v/>
      </c>
      <c r="J100" s="19" t="str">
        <f aca="false">IF($A100="","",COUNTIFS(출퇴근기록!$B$3:$B$3002,$A100,출퇴근기록!$I$3:$I$3002,"연차",출퇴근기록!$A$3:$A$3002,"&gt;="&amp;DATE($B$3,$D$3,1),출퇴근기록!$A$3:$A$3002,"&lt;="&amp;EOMONTH(DATE($B$3,$D$3,1),0)))</f>
        <v/>
      </c>
      <c r="K100" s="19" t="str">
        <f aca="false">IF($A100="","",COUNTIFS(출퇴근기록!$B$3:$B$3002,$A100,출퇴근기록!$I$3:$I$3002,"결근",출퇴근기록!$A$3:$A$3002,"&gt;="&amp;DATE($B$3,$D$3,1),출퇴근기록!$A$3:$A$3002,"&lt;="&amp;EOMONTH(DATE($B$3,$D$3,1),0)))</f>
        <v/>
      </c>
    </row>
    <row r="101" customFormat="false" ht="15" hidden="false" customHeight="true" outlineLevel="0" collapsed="false">
      <c r="A101" s="13" t="str">
        <f aca="false">IF(직원목록!$A98="","",직원목록!$A98)</f>
        <v/>
      </c>
      <c r="B101" s="13" t="str">
        <f aca="false">IF($A101="","",직원목록!$B98)</f>
        <v/>
      </c>
      <c r="C101" s="13" t="str">
        <f aca="false">IF($A101="","",직원목록!$C98)</f>
        <v/>
      </c>
      <c r="D101" s="19" t="str">
        <f aca="false">IF($A101="","",COUNTIFS(출퇴근기록!$B$3:$B$3002,$A101,출퇴근기록!$H$3:$H$3002,"&gt;0",출퇴근기록!$A$3:$A$3002,"&gt;="&amp;DATE($B$3,$D$3,1),출퇴근기록!$A$3:$A$3002,"&lt;="&amp;EOMONTH(DATE($B$3,$D$3,1),0)))</f>
        <v/>
      </c>
      <c r="E101" s="16" t="str">
        <f aca="false">IF($A101="","",ROUND(SUMIFS(출퇴근기록!$H$3:$H$3002,출퇴근기록!$B$3:$B$3002,$A101,출퇴근기록!$I$3:$I$3002,"평일",출퇴근기록!$A$3:$A$3002,"&gt;="&amp;DATE($B$3,$D$3,1),출퇴근기록!$A$3:$A$3002,"&lt;="&amp;EOMONTH(DATE($B$3,$D$3,1),0)),2))</f>
        <v/>
      </c>
      <c r="F101" s="16" t="str">
        <f aca="false">IF($A101="","",ROUND(SUMIFS(출퇴근기록!$H$3:$H$3002,출퇴근기록!$B$3:$B$3002,$A101,출퇴근기록!$I$3:$I$3002,"휴일",출퇴근기록!$A$3:$A$3002,"&gt;="&amp;DATE($B$3,$D$3,1),출퇴근기록!$A$3:$A$3002,"&lt;="&amp;EOMONTH(DATE($B$3,$D$3,1),0)),2))</f>
        <v/>
      </c>
      <c r="G101" s="16" t="str">
        <f aca="false">IF($A101="","",ROUND(SUMIFS(출퇴근기록!$H$3:$H$3002,출퇴근기록!$B$3:$B$3002,$A101,출퇴근기록!$A$3:$A$3002,"&gt;="&amp;DATE($B$3,$D$3,1),출퇴근기록!$A$3:$A$3002,"&lt;="&amp;EOMONTH(DATE($B$3,$D$3,1),0)),2))</f>
        <v/>
      </c>
      <c r="H101" s="16" t="str">
        <f aca="false">IF($A101="","",ROUND($D101*IF(직원목록!$F98="",8,직원목록!$F98),2))</f>
        <v/>
      </c>
      <c r="I101" s="16" t="str">
        <f aca="false">IF($A101="","",ROUND($G101-$H101,2))</f>
        <v/>
      </c>
      <c r="J101" s="19" t="str">
        <f aca="false">IF($A101="","",COUNTIFS(출퇴근기록!$B$3:$B$3002,$A101,출퇴근기록!$I$3:$I$3002,"연차",출퇴근기록!$A$3:$A$3002,"&gt;="&amp;DATE($B$3,$D$3,1),출퇴근기록!$A$3:$A$3002,"&lt;="&amp;EOMONTH(DATE($B$3,$D$3,1),0)))</f>
        <v/>
      </c>
      <c r="K101" s="19" t="str">
        <f aca="false">IF($A101="","",COUNTIFS(출퇴근기록!$B$3:$B$3002,$A101,출퇴근기록!$I$3:$I$3002,"결근",출퇴근기록!$A$3:$A$3002,"&gt;="&amp;DATE($B$3,$D$3,1),출퇴근기록!$A$3:$A$3002,"&lt;="&amp;EOMONTH(DATE($B$3,$D$3,1),0)))</f>
        <v/>
      </c>
    </row>
    <row r="102" customFormat="false" ht="15" hidden="false" customHeight="true" outlineLevel="0" collapsed="false">
      <c r="A102" s="13" t="str">
        <f aca="false">IF(직원목록!$A99="","",직원목록!$A99)</f>
        <v/>
      </c>
      <c r="B102" s="13" t="str">
        <f aca="false">IF($A102="","",직원목록!$B99)</f>
        <v/>
      </c>
      <c r="C102" s="13" t="str">
        <f aca="false">IF($A102="","",직원목록!$C99)</f>
        <v/>
      </c>
      <c r="D102" s="19" t="str">
        <f aca="false">IF($A102="","",COUNTIFS(출퇴근기록!$B$3:$B$3002,$A102,출퇴근기록!$H$3:$H$3002,"&gt;0",출퇴근기록!$A$3:$A$3002,"&gt;="&amp;DATE($B$3,$D$3,1),출퇴근기록!$A$3:$A$3002,"&lt;="&amp;EOMONTH(DATE($B$3,$D$3,1),0)))</f>
        <v/>
      </c>
      <c r="E102" s="16" t="str">
        <f aca="false">IF($A102="","",ROUND(SUMIFS(출퇴근기록!$H$3:$H$3002,출퇴근기록!$B$3:$B$3002,$A102,출퇴근기록!$I$3:$I$3002,"평일",출퇴근기록!$A$3:$A$3002,"&gt;="&amp;DATE($B$3,$D$3,1),출퇴근기록!$A$3:$A$3002,"&lt;="&amp;EOMONTH(DATE($B$3,$D$3,1),0)),2))</f>
        <v/>
      </c>
      <c r="F102" s="16" t="str">
        <f aca="false">IF($A102="","",ROUND(SUMIFS(출퇴근기록!$H$3:$H$3002,출퇴근기록!$B$3:$B$3002,$A102,출퇴근기록!$I$3:$I$3002,"휴일",출퇴근기록!$A$3:$A$3002,"&gt;="&amp;DATE($B$3,$D$3,1),출퇴근기록!$A$3:$A$3002,"&lt;="&amp;EOMONTH(DATE($B$3,$D$3,1),0)),2))</f>
        <v/>
      </c>
      <c r="G102" s="16" t="str">
        <f aca="false">IF($A102="","",ROUND(SUMIFS(출퇴근기록!$H$3:$H$3002,출퇴근기록!$B$3:$B$3002,$A102,출퇴근기록!$A$3:$A$3002,"&gt;="&amp;DATE($B$3,$D$3,1),출퇴근기록!$A$3:$A$3002,"&lt;="&amp;EOMONTH(DATE($B$3,$D$3,1),0)),2))</f>
        <v/>
      </c>
      <c r="H102" s="16" t="str">
        <f aca="false">IF($A102="","",ROUND($D102*IF(직원목록!$F99="",8,직원목록!$F99),2))</f>
        <v/>
      </c>
      <c r="I102" s="16" t="str">
        <f aca="false">IF($A102="","",ROUND($G102-$H102,2))</f>
        <v/>
      </c>
      <c r="J102" s="19" t="str">
        <f aca="false">IF($A102="","",COUNTIFS(출퇴근기록!$B$3:$B$3002,$A102,출퇴근기록!$I$3:$I$3002,"연차",출퇴근기록!$A$3:$A$3002,"&gt;="&amp;DATE($B$3,$D$3,1),출퇴근기록!$A$3:$A$3002,"&lt;="&amp;EOMONTH(DATE($B$3,$D$3,1),0)))</f>
        <v/>
      </c>
      <c r="K102" s="19" t="str">
        <f aca="false">IF($A102="","",COUNTIFS(출퇴근기록!$B$3:$B$3002,$A102,출퇴근기록!$I$3:$I$3002,"결근",출퇴근기록!$A$3:$A$3002,"&gt;="&amp;DATE($B$3,$D$3,1),출퇴근기록!$A$3:$A$3002,"&lt;="&amp;EOMONTH(DATE($B$3,$D$3,1),0)))</f>
        <v/>
      </c>
    </row>
    <row r="103" customFormat="false" ht="15" hidden="false" customHeight="true" outlineLevel="0" collapsed="false">
      <c r="A103" s="13" t="str">
        <f aca="false">IF(직원목록!$A100="","",직원목록!$A100)</f>
        <v/>
      </c>
      <c r="B103" s="13" t="str">
        <f aca="false">IF($A103="","",직원목록!$B100)</f>
        <v/>
      </c>
      <c r="C103" s="13" t="str">
        <f aca="false">IF($A103="","",직원목록!$C100)</f>
        <v/>
      </c>
      <c r="D103" s="19" t="str">
        <f aca="false">IF($A103="","",COUNTIFS(출퇴근기록!$B$3:$B$3002,$A103,출퇴근기록!$H$3:$H$3002,"&gt;0",출퇴근기록!$A$3:$A$3002,"&gt;="&amp;DATE($B$3,$D$3,1),출퇴근기록!$A$3:$A$3002,"&lt;="&amp;EOMONTH(DATE($B$3,$D$3,1),0)))</f>
        <v/>
      </c>
      <c r="E103" s="16" t="str">
        <f aca="false">IF($A103="","",ROUND(SUMIFS(출퇴근기록!$H$3:$H$3002,출퇴근기록!$B$3:$B$3002,$A103,출퇴근기록!$I$3:$I$3002,"평일",출퇴근기록!$A$3:$A$3002,"&gt;="&amp;DATE($B$3,$D$3,1),출퇴근기록!$A$3:$A$3002,"&lt;="&amp;EOMONTH(DATE($B$3,$D$3,1),0)),2))</f>
        <v/>
      </c>
      <c r="F103" s="16" t="str">
        <f aca="false">IF($A103="","",ROUND(SUMIFS(출퇴근기록!$H$3:$H$3002,출퇴근기록!$B$3:$B$3002,$A103,출퇴근기록!$I$3:$I$3002,"휴일",출퇴근기록!$A$3:$A$3002,"&gt;="&amp;DATE($B$3,$D$3,1),출퇴근기록!$A$3:$A$3002,"&lt;="&amp;EOMONTH(DATE($B$3,$D$3,1),0)),2))</f>
        <v/>
      </c>
      <c r="G103" s="16" t="str">
        <f aca="false">IF($A103="","",ROUND(SUMIFS(출퇴근기록!$H$3:$H$3002,출퇴근기록!$B$3:$B$3002,$A103,출퇴근기록!$A$3:$A$3002,"&gt;="&amp;DATE($B$3,$D$3,1),출퇴근기록!$A$3:$A$3002,"&lt;="&amp;EOMONTH(DATE($B$3,$D$3,1),0)),2))</f>
        <v/>
      </c>
      <c r="H103" s="16" t="str">
        <f aca="false">IF($A103="","",ROUND($D103*IF(직원목록!$F100="",8,직원목록!$F100),2))</f>
        <v/>
      </c>
      <c r="I103" s="16" t="str">
        <f aca="false">IF($A103="","",ROUND($G103-$H103,2))</f>
        <v/>
      </c>
      <c r="J103" s="19" t="str">
        <f aca="false">IF($A103="","",COUNTIFS(출퇴근기록!$B$3:$B$3002,$A103,출퇴근기록!$I$3:$I$3002,"연차",출퇴근기록!$A$3:$A$3002,"&gt;="&amp;DATE($B$3,$D$3,1),출퇴근기록!$A$3:$A$3002,"&lt;="&amp;EOMONTH(DATE($B$3,$D$3,1),0)))</f>
        <v/>
      </c>
      <c r="K103" s="19" t="str">
        <f aca="false">IF($A103="","",COUNTIFS(출퇴근기록!$B$3:$B$3002,$A103,출퇴근기록!$I$3:$I$3002,"결근",출퇴근기록!$A$3:$A$3002,"&gt;="&amp;DATE($B$3,$D$3,1),출퇴근기록!$A$3:$A$3002,"&lt;="&amp;EOMONTH(DATE($B$3,$D$3,1),0)))</f>
        <v/>
      </c>
    </row>
    <row r="104" customFormat="false" ht="15" hidden="false" customHeight="true" outlineLevel="0" collapsed="false">
      <c r="A104" s="13" t="str">
        <f aca="false">IF(직원목록!$A101="","",직원목록!$A101)</f>
        <v/>
      </c>
      <c r="B104" s="13" t="str">
        <f aca="false">IF($A104="","",직원목록!$B101)</f>
        <v/>
      </c>
      <c r="C104" s="13" t="str">
        <f aca="false">IF($A104="","",직원목록!$C101)</f>
        <v/>
      </c>
      <c r="D104" s="19" t="str">
        <f aca="false">IF($A104="","",COUNTIFS(출퇴근기록!$B$3:$B$3002,$A104,출퇴근기록!$H$3:$H$3002,"&gt;0",출퇴근기록!$A$3:$A$3002,"&gt;="&amp;DATE($B$3,$D$3,1),출퇴근기록!$A$3:$A$3002,"&lt;="&amp;EOMONTH(DATE($B$3,$D$3,1),0)))</f>
        <v/>
      </c>
      <c r="E104" s="16" t="str">
        <f aca="false">IF($A104="","",ROUND(SUMIFS(출퇴근기록!$H$3:$H$3002,출퇴근기록!$B$3:$B$3002,$A104,출퇴근기록!$I$3:$I$3002,"평일",출퇴근기록!$A$3:$A$3002,"&gt;="&amp;DATE($B$3,$D$3,1),출퇴근기록!$A$3:$A$3002,"&lt;="&amp;EOMONTH(DATE($B$3,$D$3,1),0)),2))</f>
        <v/>
      </c>
      <c r="F104" s="16" t="str">
        <f aca="false">IF($A104="","",ROUND(SUMIFS(출퇴근기록!$H$3:$H$3002,출퇴근기록!$B$3:$B$3002,$A104,출퇴근기록!$I$3:$I$3002,"휴일",출퇴근기록!$A$3:$A$3002,"&gt;="&amp;DATE($B$3,$D$3,1),출퇴근기록!$A$3:$A$3002,"&lt;="&amp;EOMONTH(DATE($B$3,$D$3,1),0)),2))</f>
        <v/>
      </c>
      <c r="G104" s="16" t="str">
        <f aca="false">IF($A104="","",ROUND(SUMIFS(출퇴근기록!$H$3:$H$3002,출퇴근기록!$B$3:$B$3002,$A104,출퇴근기록!$A$3:$A$3002,"&gt;="&amp;DATE($B$3,$D$3,1),출퇴근기록!$A$3:$A$3002,"&lt;="&amp;EOMONTH(DATE($B$3,$D$3,1),0)),2))</f>
        <v/>
      </c>
      <c r="H104" s="16" t="str">
        <f aca="false">IF($A104="","",ROUND($D104*IF(직원목록!$F101="",8,직원목록!$F101),2))</f>
        <v/>
      </c>
      <c r="I104" s="16" t="str">
        <f aca="false">IF($A104="","",ROUND($G104-$H104,2))</f>
        <v/>
      </c>
      <c r="J104" s="19" t="str">
        <f aca="false">IF($A104="","",COUNTIFS(출퇴근기록!$B$3:$B$3002,$A104,출퇴근기록!$I$3:$I$3002,"연차",출퇴근기록!$A$3:$A$3002,"&gt;="&amp;DATE($B$3,$D$3,1),출퇴근기록!$A$3:$A$3002,"&lt;="&amp;EOMONTH(DATE($B$3,$D$3,1),0)))</f>
        <v/>
      </c>
      <c r="K104" s="19" t="str">
        <f aca="false">IF($A104="","",COUNTIFS(출퇴근기록!$B$3:$B$3002,$A104,출퇴근기록!$I$3:$I$3002,"결근",출퇴근기록!$A$3:$A$3002,"&gt;="&amp;DATE($B$3,$D$3,1),출퇴근기록!$A$3:$A$3002,"&lt;="&amp;EOMONTH(DATE($B$3,$D$3,1),0)))</f>
        <v/>
      </c>
    </row>
    <row r="105" customFormat="false" ht="15" hidden="false" customHeight="true" outlineLevel="0" collapsed="false">
      <c r="A105" s="13" t="str">
        <f aca="false">IF(직원목록!$A102="","",직원목록!$A102)</f>
        <v/>
      </c>
      <c r="B105" s="13" t="str">
        <f aca="false">IF($A105="","",직원목록!$B102)</f>
        <v/>
      </c>
      <c r="C105" s="13" t="str">
        <f aca="false">IF($A105="","",직원목록!$C102)</f>
        <v/>
      </c>
      <c r="D105" s="19" t="str">
        <f aca="false">IF($A105="","",COUNTIFS(출퇴근기록!$B$3:$B$3002,$A105,출퇴근기록!$H$3:$H$3002,"&gt;0",출퇴근기록!$A$3:$A$3002,"&gt;="&amp;DATE($B$3,$D$3,1),출퇴근기록!$A$3:$A$3002,"&lt;="&amp;EOMONTH(DATE($B$3,$D$3,1),0)))</f>
        <v/>
      </c>
      <c r="E105" s="16" t="str">
        <f aca="false">IF($A105="","",ROUND(SUMIFS(출퇴근기록!$H$3:$H$3002,출퇴근기록!$B$3:$B$3002,$A105,출퇴근기록!$I$3:$I$3002,"평일",출퇴근기록!$A$3:$A$3002,"&gt;="&amp;DATE($B$3,$D$3,1),출퇴근기록!$A$3:$A$3002,"&lt;="&amp;EOMONTH(DATE($B$3,$D$3,1),0)),2))</f>
        <v/>
      </c>
      <c r="F105" s="16" t="str">
        <f aca="false">IF($A105="","",ROUND(SUMIFS(출퇴근기록!$H$3:$H$3002,출퇴근기록!$B$3:$B$3002,$A105,출퇴근기록!$I$3:$I$3002,"휴일",출퇴근기록!$A$3:$A$3002,"&gt;="&amp;DATE($B$3,$D$3,1),출퇴근기록!$A$3:$A$3002,"&lt;="&amp;EOMONTH(DATE($B$3,$D$3,1),0)),2))</f>
        <v/>
      </c>
      <c r="G105" s="16" t="str">
        <f aca="false">IF($A105="","",ROUND(SUMIFS(출퇴근기록!$H$3:$H$3002,출퇴근기록!$B$3:$B$3002,$A105,출퇴근기록!$A$3:$A$3002,"&gt;="&amp;DATE($B$3,$D$3,1),출퇴근기록!$A$3:$A$3002,"&lt;="&amp;EOMONTH(DATE($B$3,$D$3,1),0)),2))</f>
        <v/>
      </c>
      <c r="H105" s="16" t="str">
        <f aca="false">IF($A105="","",ROUND($D105*IF(직원목록!$F102="",8,직원목록!$F102),2))</f>
        <v/>
      </c>
      <c r="I105" s="16" t="str">
        <f aca="false">IF($A105="","",ROUND($G105-$H105,2))</f>
        <v/>
      </c>
      <c r="J105" s="19" t="str">
        <f aca="false">IF($A105="","",COUNTIFS(출퇴근기록!$B$3:$B$3002,$A105,출퇴근기록!$I$3:$I$3002,"연차",출퇴근기록!$A$3:$A$3002,"&gt;="&amp;DATE($B$3,$D$3,1),출퇴근기록!$A$3:$A$3002,"&lt;="&amp;EOMONTH(DATE($B$3,$D$3,1),0)))</f>
        <v/>
      </c>
      <c r="K105" s="19" t="str">
        <f aca="false">IF($A105="","",COUNTIFS(출퇴근기록!$B$3:$B$3002,$A105,출퇴근기록!$I$3:$I$3002,"결근",출퇴근기록!$A$3:$A$3002,"&gt;="&amp;DATE($B$3,$D$3,1),출퇴근기록!$A$3:$A$3002,"&lt;="&amp;EOMONTH(DATE($B$3,$D$3,1),0)))</f>
        <v/>
      </c>
    </row>
    <row r="106" customFormat="false" ht="15" hidden="false" customHeight="true" outlineLevel="0" collapsed="false">
      <c r="A106" s="13" t="str">
        <f aca="false">IF(직원목록!$A103="","",직원목록!$A103)</f>
        <v/>
      </c>
      <c r="B106" s="13" t="str">
        <f aca="false">IF($A106="","",직원목록!$B103)</f>
        <v/>
      </c>
      <c r="C106" s="13" t="str">
        <f aca="false">IF($A106="","",직원목록!$C103)</f>
        <v/>
      </c>
      <c r="D106" s="19" t="str">
        <f aca="false">IF($A106="","",COUNTIFS(출퇴근기록!$B$3:$B$3002,$A106,출퇴근기록!$H$3:$H$3002,"&gt;0",출퇴근기록!$A$3:$A$3002,"&gt;="&amp;DATE($B$3,$D$3,1),출퇴근기록!$A$3:$A$3002,"&lt;="&amp;EOMONTH(DATE($B$3,$D$3,1),0)))</f>
        <v/>
      </c>
      <c r="E106" s="16" t="str">
        <f aca="false">IF($A106="","",ROUND(SUMIFS(출퇴근기록!$H$3:$H$3002,출퇴근기록!$B$3:$B$3002,$A106,출퇴근기록!$I$3:$I$3002,"평일",출퇴근기록!$A$3:$A$3002,"&gt;="&amp;DATE($B$3,$D$3,1),출퇴근기록!$A$3:$A$3002,"&lt;="&amp;EOMONTH(DATE($B$3,$D$3,1),0)),2))</f>
        <v/>
      </c>
      <c r="F106" s="16" t="str">
        <f aca="false">IF($A106="","",ROUND(SUMIFS(출퇴근기록!$H$3:$H$3002,출퇴근기록!$B$3:$B$3002,$A106,출퇴근기록!$I$3:$I$3002,"휴일",출퇴근기록!$A$3:$A$3002,"&gt;="&amp;DATE($B$3,$D$3,1),출퇴근기록!$A$3:$A$3002,"&lt;="&amp;EOMONTH(DATE($B$3,$D$3,1),0)),2))</f>
        <v/>
      </c>
      <c r="G106" s="16" t="str">
        <f aca="false">IF($A106="","",ROUND(SUMIFS(출퇴근기록!$H$3:$H$3002,출퇴근기록!$B$3:$B$3002,$A106,출퇴근기록!$A$3:$A$3002,"&gt;="&amp;DATE($B$3,$D$3,1),출퇴근기록!$A$3:$A$3002,"&lt;="&amp;EOMONTH(DATE($B$3,$D$3,1),0)),2))</f>
        <v/>
      </c>
      <c r="H106" s="16" t="str">
        <f aca="false">IF($A106="","",ROUND($D106*IF(직원목록!$F103="",8,직원목록!$F103),2))</f>
        <v/>
      </c>
      <c r="I106" s="16" t="str">
        <f aca="false">IF($A106="","",ROUND($G106-$H106,2))</f>
        <v/>
      </c>
      <c r="J106" s="19" t="str">
        <f aca="false">IF($A106="","",COUNTIFS(출퇴근기록!$B$3:$B$3002,$A106,출퇴근기록!$I$3:$I$3002,"연차",출퇴근기록!$A$3:$A$3002,"&gt;="&amp;DATE($B$3,$D$3,1),출퇴근기록!$A$3:$A$3002,"&lt;="&amp;EOMONTH(DATE($B$3,$D$3,1),0)))</f>
        <v/>
      </c>
      <c r="K106" s="19" t="str">
        <f aca="false">IF($A106="","",COUNTIFS(출퇴근기록!$B$3:$B$3002,$A106,출퇴근기록!$I$3:$I$3002,"결근",출퇴근기록!$A$3:$A$3002,"&gt;="&amp;DATE($B$3,$D$3,1),출퇴근기록!$A$3:$A$3002,"&lt;="&amp;EOMONTH(DATE($B$3,$D$3,1),0)))</f>
        <v/>
      </c>
    </row>
    <row r="107" customFormat="false" ht="15" hidden="false" customHeight="true" outlineLevel="0" collapsed="false">
      <c r="A107" s="13" t="str">
        <f aca="false">IF(직원목록!$A104="","",직원목록!$A104)</f>
        <v/>
      </c>
      <c r="B107" s="13" t="str">
        <f aca="false">IF($A107="","",직원목록!$B104)</f>
        <v/>
      </c>
      <c r="C107" s="13" t="str">
        <f aca="false">IF($A107="","",직원목록!$C104)</f>
        <v/>
      </c>
      <c r="D107" s="19" t="str">
        <f aca="false">IF($A107="","",COUNTIFS(출퇴근기록!$B$3:$B$3002,$A107,출퇴근기록!$H$3:$H$3002,"&gt;0",출퇴근기록!$A$3:$A$3002,"&gt;="&amp;DATE($B$3,$D$3,1),출퇴근기록!$A$3:$A$3002,"&lt;="&amp;EOMONTH(DATE($B$3,$D$3,1),0)))</f>
        <v/>
      </c>
      <c r="E107" s="16" t="str">
        <f aca="false">IF($A107="","",ROUND(SUMIFS(출퇴근기록!$H$3:$H$3002,출퇴근기록!$B$3:$B$3002,$A107,출퇴근기록!$I$3:$I$3002,"평일",출퇴근기록!$A$3:$A$3002,"&gt;="&amp;DATE($B$3,$D$3,1),출퇴근기록!$A$3:$A$3002,"&lt;="&amp;EOMONTH(DATE($B$3,$D$3,1),0)),2))</f>
        <v/>
      </c>
      <c r="F107" s="16" t="str">
        <f aca="false">IF($A107="","",ROUND(SUMIFS(출퇴근기록!$H$3:$H$3002,출퇴근기록!$B$3:$B$3002,$A107,출퇴근기록!$I$3:$I$3002,"휴일",출퇴근기록!$A$3:$A$3002,"&gt;="&amp;DATE($B$3,$D$3,1),출퇴근기록!$A$3:$A$3002,"&lt;="&amp;EOMONTH(DATE($B$3,$D$3,1),0)),2))</f>
        <v/>
      </c>
      <c r="G107" s="16" t="str">
        <f aca="false">IF($A107="","",ROUND(SUMIFS(출퇴근기록!$H$3:$H$3002,출퇴근기록!$B$3:$B$3002,$A107,출퇴근기록!$A$3:$A$3002,"&gt;="&amp;DATE($B$3,$D$3,1),출퇴근기록!$A$3:$A$3002,"&lt;="&amp;EOMONTH(DATE($B$3,$D$3,1),0)),2))</f>
        <v/>
      </c>
      <c r="H107" s="16" t="str">
        <f aca="false">IF($A107="","",ROUND($D107*IF(직원목록!$F104="",8,직원목록!$F104),2))</f>
        <v/>
      </c>
      <c r="I107" s="16" t="str">
        <f aca="false">IF($A107="","",ROUND($G107-$H107,2))</f>
        <v/>
      </c>
      <c r="J107" s="19" t="str">
        <f aca="false">IF($A107="","",COUNTIFS(출퇴근기록!$B$3:$B$3002,$A107,출퇴근기록!$I$3:$I$3002,"연차",출퇴근기록!$A$3:$A$3002,"&gt;="&amp;DATE($B$3,$D$3,1),출퇴근기록!$A$3:$A$3002,"&lt;="&amp;EOMONTH(DATE($B$3,$D$3,1),0)))</f>
        <v/>
      </c>
      <c r="K107" s="19" t="str">
        <f aca="false">IF($A107="","",COUNTIFS(출퇴근기록!$B$3:$B$3002,$A107,출퇴근기록!$I$3:$I$3002,"결근",출퇴근기록!$A$3:$A$3002,"&gt;="&amp;DATE($B$3,$D$3,1),출퇴근기록!$A$3:$A$3002,"&lt;="&amp;EOMONTH(DATE($B$3,$D$3,1),0)))</f>
        <v/>
      </c>
    </row>
    <row r="108" customFormat="false" ht="15" hidden="false" customHeight="true" outlineLevel="0" collapsed="false">
      <c r="A108" s="13" t="str">
        <f aca="false">IF(직원목록!$A105="","",직원목록!$A105)</f>
        <v/>
      </c>
      <c r="B108" s="13" t="str">
        <f aca="false">IF($A108="","",직원목록!$B105)</f>
        <v/>
      </c>
      <c r="C108" s="13" t="str">
        <f aca="false">IF($A108="","",직원목록!$C105)</f>
        <v/>
      </c>
      <c r="D108" s="19" t="str">
        <f aca="false">IF($A108="","",COUNTIFS(출퇴근기록!$B$3:$B$3002,$A108,출퇴근기록!$H$3:$H$3002,"&gt;0",출퇴근기록!$A$3:$A$3002,"&gt;="&amp;DATE($B$3,$D$3,1),출퇴근기록!$A$3:$A$3002,"&lt;="&amp;EOMONTH(DATE($B$3,$D$3,1),0)))</f>
        <v/>
      </c>
      <c r="E108" s="16" t="str">
        <f aca="false">IF($A108="","",ROUND(SUMIFS(출퇴근기록!$H$3:$H$3002,출퇴근기록!$B$3:$B$3002,$A108,출퇴근기록!$I$3:$I$3002,"평일",출퇴근기록!$A$3:$A$3002,"&gt;="&amp;DATE($B$3,$D$3,1),출퇴근기록!$A$3:$A$3002,"&lt;="&amp;EOMONTH(DATE($B$3,$D$3,1),0)),2))</f>
        <v/>
      </c>
      <c r="F108" s="16" t="str">
        <f aca="false">IF($A108="","",ROUND(SUMIFS(출퇴근기록!$H$3:$H$3002,출퇴근기록!$B$3:$B$3002,$A108,출퇴근기록!$I$3:$I$3002,"휴일",출퇴근기록!$A$3:$A$3002,"&gt;="&amp;DATE($B$3,$D$3,1),출퇴근기록!$A$3:$A$3002,"&lt;="&amp;EOMONTH(DATE($B$3,$D$3,1),0)),2))</f>
        <v/>
      </c>
      <c r="G108" s="16" t="str">
        <f aca="false">IF($A108="","",ROUND(SUMIFS(출퇴근기록!$H$3:$H$3002,출퇴근기록!$B$3:$B$3002,$A108,출퇴근기록!$A$3:$A$3002,"&gt;="&amp;DATE($B$3,$D$3,1),출퇴근기록!$A$3:$A$3002,"&lt;="&amp;EOMONTH(DATE($B$3,$D$3,1),0)),2))</f>
        <v/>
      </c>
      <c r="H108" s="16" t="str">
        <f aca="false">IF($A108="","",ROUND($D108*IF(직원목록!$F105="",8,직원목록!$F105),2))</f>
        <v/>
      </c>
      <c r="I108" s="16" t="str">
        <f aca="false">IF($A108="","",ROUND($G108-$H108,2))</f>
        <v/>
      </c>
      <c r="J108" s="19" t="str">
        <f aca="false">IF($A108="","",COUNTIFS(출퇴근기록!$B$3:$B$3002,$A108,출퇴근기록!$I$3:$I$3002,"연차",출퇴근기록!$A$3:$A$3002,"&gt;="&amp;DATE($B$3,$D$3,1),출퇴근기록!$A$3:$A$3002,"&lt;="&amp;EOMONTH(DATE($B$3,$D$3,1),0)))</f>
        <v/>
      </c>
      <c r="K108" s="19" t="str">
        <f aca="false">IF($A108="","",COUNTIFS(출퇴근기록!$B$3:$B$3002,$A108,출퇴근기록!$I$3:$I$3002,"결근",출퇴근기록!$A$3:$A$3002,"&gt;="&amp;DATE($B$3,$D$3,1),출퇴근기록!$A$3:$A$3002,"&lt;="&amp;EOMONTH(DATE($B$3,$D$3,1),0)))</f>
        <v/>
      </c>
    </row>
    <row r="109" customFormat="false" ht="15" hidden="false" customHeight="true" outlineLevel="0" collapsed="false">
      <c r="A109" s="13" t="str">
        <f aca="false">IF(직원목록!$A106="","",직원목록!$A106)</f>
        <v/>
      </c>
      <c r="B109" s="13" t="str">
        <f aca="false">IF($A109="","",직원목록!$B106)</f>
        <v/>
      </c>
      <c r="C109" s="13" t="str">
        <f aca="false">IF($A109="","",직원목록!$C106)</f>
        <v/>
      </c>
      <c r="D109" s="19" t="str">
        <f aca="false">IF($A109="","",COUNTIFS(출퇴근기록!$B$3:$B$3002,$A109,출퇴근기록!$H$3:$H$3002,"&gt;0",출퇴근기록!$A$3:$A$3002,"&gt;="&amp;DATE($B$3,$D$3,1),출퇴근기록!$A$3:$A$3002,"&lt;="&amp;EOMONTH(DATE($B$3,$D$3,1),0)))</f>
        <v/>
      </c>
      <c r="E109" s="16" t="str">
        <f aca="false">IF($A109="","",ROUND(SUMIFS(출퇴근기록!$H$3:$H$3002,출퇴근기록!$B$3:$B$3002,$A109,출퇴근기록!$I$3:$I$3002,"평일",출퇴근기록!$A$3:$A$3002,"&gt;="&amp;DATE($B$3,$D$3,1),출퇴근기록!$A$3:$A$3002,"&lt;="&amp;EOMONTH(DATE($B$3,$D$3,1),0)),2))</f>
        <v/>
      </c>
      <c r="F109" s="16" t="str">
        <f aca="false">IF($A109="","",ROUND(SUMIFS(출퇴근기록!$H$3:$H$3002,출퇴근기록!$B$3:$B$3002,$A109,출퇴근기록!$I$3:$I$3002,"휴일",출퇴근기록!$A$3:$A$3002,"&gt;="&amp;DATE($B$3,$D$3,1),출퇴근기록!$A$3:$A$3002,"&lt;="&amp;EOMONTH(DATE($B$3,$D$3,1),0)),2))</f>
        <v/>
      </c>
      <c r="G109" s="16" t="str">
        <f aca="false">IF($A109="","",ROUND(SUMIFS(출퇴근기록!$H$3:$H$3002,출퇴근기록!$B$3:$B$3002,$A109,출퇴근기록!$A$3:$A$3002,"&gt;="&amp;DATE($B$3,$D$3,1),출퇴근기록!$A$3:$A$3002,"&lt;="&amp;EOMONTH(DATE($B$3,$D$3,1),0)),2))</f>
        <v/>
      </c>
      <c r="H109" s="16" t="str">
        <f aca="false">IF($A109="","",ROUND($D109*IF(직원목록!$F106="",8,직원목록!$F106),2))</f>
        <v/>
      </c>
      <c r="I109" s="16" t="str">
        <f aca="false">IF($A109="","",ROUND($G109-$H109,2))</f>
        <v/>
      </c>
      <c r="J109" s="19" t="str">
        <f aca="false">IF($A109="","",COUNTIFS(출퇴근기록!$B$3:$B$3002,$A109,출퇴근기록!$I$3:$I$3002,"연차",출퇴근기록!$A$3:$A$3002,"&gt;="&amp;DATE($B$3,$D$3,1),출퇴근기록!$A$3:$A$3002,"&lt;="&amp;EOMONTH(DATE($B$3,$D$3,1),0)))</f>
        <v/>
      </c>
      <c r="K109" s="19" t="str">
        <f aca="false">IF($A109="","",COUNTIFS(출퇴근기록!$B$3:$B$3002,$A109,출퇴근기록!$I$3:$I$3002,"결근",출퇴근기록!$A$3:$A$3002,"&gt;="&amp;DATE($B$3,$D$3,1),출퇴근기록!$A$3:$A$3002,"&lt;="&amp;EOMONTH(DATE($B$3,$D$3,1),0)))</f>
        <v/>
      </c>
    </row>
    <row r="110" customFormat="false" ht="15" hidden="false" customHeight="true" outlineLevel="0" collapsed="false">
      <c r="A110" s="13" t="str">
        <f aca="false">IF(직원목록!$A107="","",직원목록!$A107)</f>
        <v/>
      </c>
      <c r="B110" s="13" t="str">
        <f aca="false">IF($A110="","",직원목록!$B107)</f>
        <v/>
      </c>
      <c r="C110" s="13" t="str">
        <f aca="false">IF($A110="","",직원목록!$C107)</f>
        <v/>
      </c>
      <c r="D110" s="19" t="str">
        <f aca="false">IF($A110="","",COUNTIFS(출퇴근기록!$B$3:$B$3002,$A110,출퇴근기록!$H$3:$H$3002,"&gt;0",출퇴근기록!$A$3:$A$3002,"&gt;="&amp;DATE($B$3,$D$3,1),출퇴근기록!$A$3:$A$3002,"&lt;="&amp;EOMONTH(DATE($B$3,$D$3,1),0)))</f>
        <v/>
      </c>
      <c r="E110" s="16" t="str">
        <f aca="false">IF($A110="","",ROUND(SUMIFS(출퇴근기록!$H$3:$H$3002,출퇴근기록!$B$3:$B$3002,$A110,출퇴근기록!$I$3:$I$3002,"평일",출퇴근기록!$A$3:$A$3002,"&gt;="&amp;DATE($B$3,$D$3,1),출퇴근기록!$A$3:$A$3002,"&lt;="&amp;EOMONTH(DATE($B$3,$D$3,1),0)),2))</f>
        <v/>
      </c>
      <c r="F110" s="16" t="str">
        <f aca="false">IF($A110="","",ROUND(SUMIFS(출퇴근기록!$H$3:$H$3002,출퇴근기록!$B$3:$B$3002,$A110,출퇴근기록!$I$3:$I$3002,"휴일",출퇴근기록!$A$3:$A$3002,"&gt;="&amp;DATE($B$3,$D$3,1),출퇴근기록!$A$3:$A$3002,"&lt;="&amp;EOMONTH(DATE($B$3,$D$3,1),0)),2))</f>
        <v/>
      </c>
      <c r="G110" s="16" t="str">
        <f aca="false">IF($A110="","",ROUND(SUMIFS(출퇴근기록!$H$3:$H$3002,출퇴근기록!$B$3:$B$3002,$A110,출퇴근기록!$A$3:$A$3002,"&gt;="&amp;DATE($B$3,$D$3,1),출퇴근기록!$A$3:$A$3002,"&lt;="&amp;EOMONTH(DATE($B$3,$D$3,1),0)),2))</f>
        <v/>
      </c>
      <c r="H110" s="16" t="str">
        <f aca="false">IF($A110="","",ROUND($D110*IF(직원목록!$F107="",8,직원목록!$F107),2))</f>
        <v/>
      </c>
      <c r="I110" s="16" t="str">
        <f aca="false">IF($A110="","",ROUND($G110-$H110,2))</f>
        <v/>
      </c>
      <c r="J110" s="19" t="str">
        <f aca="false">IF($A110="","",COUNTIFS(출퇴근기록!$B$3:$B$3002,$A110,출퇴근기록!$I$3:$I$3002,"연차",출퇴근기록!$A$3:$A$3002,"&gt;="&amp;DATE($B$3,$D$3,1),출퇴근기록!$A$3:$A$3002,"&lt;="&amp;EOMONTH(DATE($B$3,$D$3,1),0)))</f>
        <v/>
      </c>
      <c r="K110" s="19" t="str">
        <f aca="false">IF($A110="","",COUNTIFS(출퇴근기록!$B$3:$B$3002,$A110,출퇴근기록!$I$3:$I$3002,"결근",출퇴근기록!$A$3:$A$3002,"&gt;="&amp;DATE($B$3,$D$3,1),출퇴근기록!$A$3:$A$3002,"&lt;="&amp;EOMONTH(DATE($B$3,$D$3,1),0)))</f>
        <v/>
      </c>
    </row>
    <row r="111" customFormat="false" ht="15" hidden="false" customHeight="true" outlineLevel="0" collapsed="false">
      <c r="A111" s="13" t="str">
        <f aca="false">IF(직원목록!$A108="","",직원목록!$A108)</f>
        <v/>
      </c>
      <c r="B111" s="13" t="str">
        <f aca="false">IF($A111="","",직원목록!$B108)</f>
        <v/>
      </c>
      <c r="C111" s="13" t="str">
        <f aca="false">IF($A111="","",직원목록!$C108)</f>
        <v/>
      </c>
      <c r="D111" s="19" t="str">
        <f aca="false">IF($A111="","",COUNTIFS(출퇴근기록!$B$3:$B$3002,$A111,출퇴근기록!$H$3:$H$3002,"&gt;0",출퇴근기록!$A$3:$A$3002,"&gt;="&amp;DATE($B$3,$D$3,1),출퇴근기록!$A$3:$A$3002,"&lt;="&amp;EOMONTH(DATE($B$3,$D$3,1),0)))</f>
        <v/>
      </c>
      <c r="E111" s="16" t="str">
        <f aca="false">IF($A111="","",ROUND(SUMIFS(출퇴근기록!$H$3:$H$3002,출퇴근기록!$B$3:$B$3002,$A111,출퇴근기록!$I$3:$I$3002,"평일",출퇴근기록!$A$3:$A$3002,"&gt;="&amp;DATE($B$3,$D$3,1),출퇴근기록!$A$3:$A$3002,"&lt;="&amp;EOMONTH(DATE($B$3,$D$3,1),0)),2))</f>
        <v/>
      </c>
      <c r="F111" s="16" t="str">
        <f aca="false">IF($A111="","",ROUND(SUMIFS(출퇴근기록!$H$3:$H$3002,출퇴근기록!$B$3:$B$3002,$A111,출퇴근기록!$I$3:$I$3002,"휴일",출퇴근기록!$A$3:$A$3002,"&gt;="&amp;DATE($B$3,$D$3,1),출퇴근기록!$A$3:$A$3002,"&lt;="&amp;EOMONTH(DATE($B$3,$D$3,1),0)),2))</f>
        <v/>
      </c>
      <c r="G111" s="16" t="str">
        <f aca="false">IF($A111="","",ROUND(SUMIFS(출퇴근기록!$H$3:$H$3002,출퇴근기록!$B$3:$B$3002,$A111,출퇴근기록!$A$3:$A$3002,"&gt;="&amp;DATE($B$3,$D$3,1),출퇴근기록!$A$3:$A$3002,"&lt;="&amp;EOMONTH(DATE($B$3,$D$3,1),0)),2))</f>
        <v/>
      </c>
      <c r="H111" s="16" t="str">
        <f aca="false">IF($A111="","",ROUND($D111*IF(직원목록!$F108="",8,직원목록!$F108),2))</f>
        <v/>
      </c>
      <c r="I111" s="16" t="str">
        <f aca="false">IF($A111="","",ROUND($G111-$H111,2))</f>
        <v/>
      </c>
      <c r="J111" s="19" t="str">
        <f aca="false">IF($A111="","",COUNTIFS(출퇴근기록!$B$3:$B$3002,$A111,출퇴근기록!$I$3:$I$3002,"연차",출퇴근기록!$A$3:$A$3002,"&gt;="&amp;DATE($B$3,$D$3,1),출퇴근기록!$A$3:$A$3002,"&lt;="&amp;EOMONTH(DATE($B$3,$D$3,1),0)))</f>
        <v/>
      </c>
      <c r="K111" s="19" t="str">
        <f aca="false">IF($A111="","",COUNTIFS(출퇴근기록!$B$3:$B$3002,$A111,출퇴근기록!$I$3:$I$3002,"결근",출퇴근기록!$A$3:$A$3002,"&gt;="&amp;DATE($B$3,$D$3,1),출퇴근기록!$A$3:$A$3002,"&lt;="&amp;EOMONTH(DATE($B$3,$D$3,1),0)))</f>
        <v/>
      </c>
    </row>
    <row r="112" customFormat="false" ht="15" hidden="false" customHeight="true" outlineLevel="0" collapsed="false">
      <c r="A112" s="13" t="str">
        <f aca="false">IF(직원목록!$A109="","",직원목록!$A109)</f>
        <v/>
      </c>
      <c r="B112" s="13" t="str">
        <f aca="false">IF($A112="","",직원목록!$B109)</f>
        <v/>
      </c>
      <c r="C112" s="13" t="str">
        <f aca="false">IF($A112="","",직원목록!$C109)</f>
        <v/>
      </c>
      <c r="D112" s="19" t="str">
        <f aca="false">IF($A112="","",COUNTIFS(출퇴근기록!$B$3:$B$3002,$A112,출퇴근기록!$H$3:$H$3002,"&gt;0",출퇴근기록!$A$3:$A$3002,"&gt;="&amp;DATE($B$3,$D$3,1),출퇴근기록!$A$3:$A$3002,"&lt;="&amp;EOMONTH(DATE($B$3,$D$3,1),0)))</f>
        <v/>
      </c>
      <c r="E112" s="16" t="str">
        <f aca="false">IF($A112="","",ROUND(SUMIFS(출퇴근기록!$H$3:$H$3002,출퇴근기록!$B$3:$B$3002,$A112,출퇴근기록!$I$3:$I$3002,"평일",출퇴근기록!$A$3:$A$3002,"&gt;="&amp;DATE($B$3,$D$3,1),출퇴근기록!$A$3:$A$3002,"&lt;="&amp;EOMONTH(DATE($B$3,$D$3,1),0)),2))</f>
        <v/>
      </c>
      <c r="F112" s="16" t="str">
        <f aca="false">IF($A112="","",ROUND(SUMIFS(출퇴근기록!$H$3:$H$3002,출퇴근기록!$B$3:$B$3002,$A112,출퇴근기록!$I$3:$I$3002,"휴일",출퇴근기록!$A$3:$A$3002,"&gt;="&amp;DATE($B$3,$D$3,1),출퇴근기록!$A$3:$A$3002,"&lt;="&amp;EOMONTH(DATE($B$3,$D$3,1),0)),2))</f>
        <v/>
      </c>
      <c r="G112" s="16" t="str">
        <f aca="false">IF($A112="","",ROUND(SUMIFS(출퇴근기록!$H$3:$H$3002,출퇴근기록!$B$3:$B$3002,$A112,출퇴근기록!$A$3:$A$3002,"&gt;="&amp;DATE($B$3,$D$3,1),출퇴근기록!$A$3:$A$3002,"&lt;="&amp;EOMONTH(DATE($B$3,$D$3,1),0)),2))</f>
        <v/>
      </c>
      <c r="H112" s="16" t="str">
        <f aca="false">IF($A112="","",ROUND($D112*IF(직원목록!$F109="",8,직원목록!$F109),2))</f>
        <v/>
      </c>
      <c r="I112" s="16" t="str">
        <f aca="false">IF($A112="","",ROUND($G112-$H112,2))</f>
        <v/>
      </c>
      <c r="J112" s="19" t="str">
        <f aca="false">IF($A112="","",COUNTIFS(출퇴근기록!$B$3:$B$3002,$A112,출퇴근기록!$I$3:$I$3002,"연차",출퇴근기록!$A$3:$A$3002,"&gt;="&amp;DATE($B$3,$D$3,1),출퇴근기록!$A$3:$A$3002,"&lt;="&amp;EOMONTH(DATE($B$3,$D$3,1),0)))</f>
        <v/>
      </c>
      <c r="K112" s="19" t="str">
        <f aca="false">IF($A112="","",COUNTIFS(출퇴근기록!$B$3:$B$3002,$A112,출퇴근기록!$I$3:$I$3002,"결근",출퇴근기록!$A$3:$A$3002,"&gt;="&amp;DATE($B$3,$D$3,1),출퇴근기록!$A$3:$A$3002,"&lt;="&amp;EOMONTH(DATE($B$3,$D$3,1),0)))</f>
        <v/>
      </c>
    </row>
    <row r="113" customFormat="false" ht="15" hidden="false" customHeight="true" outlineLevel="0" collapsed="false">
      <c r="A113" s="13" t="str">
        <f aca="false">IF(직원목록!$A110="","",직원목록!$A110)</f>
        <v/>
      </c>
      <c r="B113" s="13" t="str">
        <f aca="false">IF($A113="","",직원목록!$B110)</f>
        <v/>
      </c>
      <c r="C113" s="13" t="str">
        <f aca="false">IF($A113="","",직원목록!$C110)</f>
        <v/>
      </c>
      <c r="D113" s="19" t="str">
        <f aca="false">IF($A113="","",COUNTIFS(출퇴근기록!$B$3:$B$3002,$A113,출퇴근기록!$H$3:$H$3002,"&gt;0",출퇴근기록!$A$3:$A$3002,"&gt;="&amp;DATE($B$3,$D$3,1),출퇴근기록!$A$3:$A$3002,"&lt;="&amp;EOMONTH(DATE($B$3,$D$3,1),0)))</f>
        <v/>
      </c>
      <c r="E113" s="16" t="str">
        <f aca="false">IF($A113="","",ROUND(SUMIFS(출퇴근기록!$H$3:$H$3002,출퇴근기록!$B$3:$B$3002,$A113,출퇴근기록!$I$3:$I$3002,"평일",출퇴근기록!$A$3:$A$3002,"&gt;="&amp;DATE($B$3,$D$3,1),출퇴근기록!$A$3:$A$3002,"&lt;="&amp;EOMONTH(DATE($B$3,$D$3,1),0)),2))</f>
        <v/>
      </c>
      <c r="F113" s="16" t="str">
        <f aca="false">IF($A113="","",ROUND(SUMIFS(출퇴근기록!$H$3:$H$3002,출퇴근기록!$B$3:$B$3002,$A113,출퇴근기록!$I$3:$I$3002,"휴일",출퇴근기록!$A$3:$A$3002,"&gt;="&amp;DATE($B$3,$D$3,1),출퇴근기록!$A$3:$A$3002,"&lt;="&amp;EOMONTH(DATE($B$3,$D$3,1),0)),2))</f>
        <v/>
      </c>
      <c r="G113" s="16" t="str">
        <f aca="false">IF($A113="","",ROUND(SUMIFS(출퇴근기록!$H$3:$H$3002,출퇴근기록!$B$3:$B$3002,$A113,출퇴근기록!$A$3:$A$3002,"&gt;="&amp;DATE($B$3,$D$3,1),출퇴근기록!$A$3:$A$3002,"&lt;="&amp;EOMONTH(DATE($B$3,$D$3,1),0)),2))</f>
        <v/>
      </c>
      <c r="H113" s="16" t="str">
        <f aca="false">IF($A113="","",ROUND($D113*IF(직원목록!$F110="",8,직원목록!$F110),2))</f>
        <v/>
      </c>
      <c r="I113" s="16" t="str">
        <f aca="false">IF($A113="","",ROUND($G113-$H113,2))</f>
        <v/>
      </c>
      <c r="J113" s="19" t="str">
        <f aca="false">IF($A113="","",COUNTIFS(출퇴근기록!$B$3:$B$3002,$A113,출퇴근기록!$I$3:$I$3002,"연차",출퇴근기록!$A$3:$A$3002,"&gt;="&amp;DATE($B$3,$D$3,1),출퇴근기록!$A$3:$A$3002,"&lt;="&amp;EOMONTH(DATE($B$3,$D$3,1),0)))</f>
        <v/>
      </c>
      <c r="K113" s="19" t="str">
        <f aca="false">IF($A113="","",COUNTIFS(출퇴근기록!$B$3:$B$3002,$A113,출퇴근기록!$I$3:$I$3002,"결근",출퇴근기록!$A$3:$A$3002,"&gt;="&amp;DATE($B$3,$D$3,1),출퇴근기록!$A$3:$A$3002,"&lt;="&amp;EOMONTH(DATE($B$3,$D$3,1),0)))</f>
        <v/>
      </c>
    </row>
    <row r="114" customFormat="false" ht="15" hidden="false" customHeight="true" outlineLevel="0" collapsed="false">
      <c r="A114" s="13" t="str">
        <f aca="false">IF(직원목록!$A111="","",직원목록!$A111)</f>
        <v/>
      </c>
      <c r="B114" s="13" t="str">
        <f aca="false">IF($A114="","",직원목록!$B111)</f>
        <v/>
      </c>
      <c r="C114" s="13" t="str">
        <f aca="false">IF($A114="","",직원목록!$C111)</f>
        <v/>
      </c>
      <c r="D114" s="19" t="str">
        <f aca="false">IF($A114="","",COUNTIFS(출퇴근기록!$B$3:$B$3002,$A114,출퇴근기록!$H$3:$H$3002,"&gt;0",출퇴근기록!$A$3:$A$3002,"&gt;="&amp;DATE($B$3,$D$3,1),출퇴근기록!$A$3:$A$3002,"&lt;="&amp;EOMONTH(DATE($B$3,$D$3,1),0)))</f>
        <v/>
      </c>
      <c r="E114" s="16" t="str">
        <f aca="false">IF($A114="","",ROUND(SUMIFS(출퇴근기록!$H$3:$H$3002,출퇴근기록!$B$3:$B$3002,$A114,출퇴근기록!$I$3:$I$3002,"평일",출퇴근기록!$A$3:$A$3002,"&gt;="&amp;DATE($B$3,$D$3,1),출퇴근기록!$A$3:$A$3002,"&lt;="&amp;EOMONTH(DATE($B$3,$D$3,1),0)),2))</f>
        <v/>
      </c>
      <c r="F114" s="16" t="str">
        <f aca="false">IF($A114="","",ROUND(SUMIFS(출퇴근기록!$H$3:$H$3002,출퇴근기록!$B$3:$B$3002,$A114,출퇴근기록!$I$3:$I$3002,"휴일",출퇴근기록!$A$3:$A$3002,"&gt;="&amp;DATE($B$3,$D$3,1),출퇴근기록!$A$3:$A$3002,"&lt;="&amp;EOMONTH(DATE($B$3,$D$3,1),0)),2))</f>
        <v/>
      </c>
      <c r="G114" s="16" t="str">
        <f aca="false">IF($A114="","",ROUND(SUMIFS(출퇴근기록!$H$3:$H$3002,출퇴근기록!$B$3:$B$3002,$A114,출퇴근기록!$A$3:$A$3002,"&gt;="&amp;DATE($B$3,$D$3,1),출퇴근기록!$A$3:$A$3002,"&lt;="&amp;EOMONTH(DATE($B$3,$D$3,1),0)),2))</f>
        <v/>
      </c>
      <c r="H114" s="16" t="str">
        <f aca="false">IF($A114="","",ROUND($D114*IF(직원목록!$F111="",8,직원목록!$F111),2))</f>
        <v/>
      </c>
      <c r="I114" s="16" t="str">
        <f aca="false">IF($A114="","",ROUND($G114-$H114,2))</f>
        <v/>
      </c>
      <c r="J114" s="19" t="str">
        <f aca="false">IF($A114="","",COUNTIFS(출퇴근기록!$B$3:$B$3002,$A114,출퇴근기록!$I$3:$I$3002,"연차",출퇴근기록!$A$3:$A$3002,"&gt;="&amp;DATE($B$3,$D$3,1),출퇴근기록!$A$3:$A$3002,"&lt;="&amp;EOMONTH(DATE($B$3,$D$3,1),0)))</f>
        <v/>
      </c>
      <c r="K114" s="19" t="str">
        <f aca="false">IF($A114="","",COUNTIFS(출퇴근기록!$B$3:$B$3002,$A114,출퇴근기록!$I$3:$I$3002,"결근",출퇴근기록!$A$3:$A$3002,"&gt;="&amp;DATE($B$3,$D$3,1),출퇴근기록!$A$3:$A$3002,"&lt;="&amp;EOMONTH(DATE($B$3,$D$3,1),0)))</f>
        <v/>
      </c>
    </row>
    <row r="115" customFormat="false" ht="15" hidden="false" customHeight="true" outlineLevel="0" collapsed="false">
      <c r="A115" s="13" t="str">
        <f aca="false">IF(직원목록!$A112="","",직원목록!$A112)</f>
        <v/>
      </c>
      <c r="B115" s="13" t="str">
        <f aca="false">IF($A115="","",직원목록!$B112)</f>
        <v/>
      </c>
      <c r="C115" s="13" t="str">
        <f aca="false">IF($A115="","",직원목록!$C112)</f>
        <v/>
      </c>
      <c r="D115" s="19" t="str">
        <f aca="false">IF($A115="","",COUNTIFS(출퇴근기록!$B$3:$B$3002,$A115,출퇴근기록!$H$3:$H$3002,"&gt;0",출퇴근기록!$A$3:$A$3002,"&gt;="&amp;DATE($B$3,$D$3,1),출퇴근기록!$A$3:$A$3002,"&lt;="&amp;EOMONTH(DATE($B$3,$D$3,1),0)))</f>
        <v/>
      </c>
      <c r="E115" s="16" t="str">
        <f aca="false">IF($A115="","",ROUND(SUMIFS(출퇴근기록!$H$3:$H$3002,출퇴근기록!$B$3:$B$3002,$A115,출퇴근기록!$I$3:$I$3002,"평일",출퇴근기록!$A$3:$A$3002,"&gt;="&amp;DATE($B$3,$D$3,1),출퇴근기록!$A$3:$A$3002,"&lt;="&amp;EOMONTH(DATE($B$3,$D$3,1),0)),2))</f>
        <v/>
      </c>
      <c r="F115" s="16" t="str">
        <f aca="false">IF($A115="","",ROUND(SUMIFS(출퇴근기록!$H$3:$H$3002,출퇴근기록!$B$3:$B$3002,$A115,출퇴근기록!$I$3:$I$3002,"휴일",출퇴근기록!$A$3:$A$3002,"&gt;="&amp;DATE($B$3,$D$3,1),출퇴근기록!$A$3:$A$3002,"&lt;="&amp;EOMONTH(DATE($B$3,$D$3,1),0)),2))</f>
        <v/>
      </c>
      <c r="G115" s="16" t="str">
        <f aca="false">IF($A115="","",ROUND(SUMIFS(출퇴근기록!$H$3:$H$3002,출퇴근기록!$B$3:$B$3002,$A115,출퇴근기록!$A$3:$A$3002,"&gt;="&amp;DATE($B$3,$D$3,1),출퇴근기록!$A$3:$A$3002,"&lt;="&amp;EOMONTH(DATE($B$3,$D$3,1),0)),2))</f>
        <v/>
      </c>
      <c r="H115" s="16" t="str">
        <f aca="false">IF($A115="","",ROUND($D115*IF(직원목록!$F112="",8,직원목록!$F112),2))</f>
        <v/>
      </c>
      <c r="I115" s="16" t="str">
        <f aca="false">IF($A115="","",ROUND($G115-$H115,2))</f>
        <v/>
      </c>
      <c r="J115" s="19" t="str">
        <f aca="false">IF($A115="","",COUNTIFS(출퇴근기록!$B$3:$B$3002,$A115,출퇴근기록!$I$3:$I$3002,"연차",출퇴근기록!$A$3:$A$3002,"&gt;="&amp;DATE($B$3,$D$3,1),출퇴근기록!$A$3:$A$3002,"&lt;="&amp;EOMONTH(DATE($B$3,$D$3,1),0)))</f>
        <v/>
      </c>
      <c r="K115" s="19" t="str">
        <f aca="false">IF($A115="","",COUNTIFS(출퇴근기록!$B$3:$B$3002,$A115,출퇴근기록!$I$3:$I$3002,"결근",출퇴근기록!$A$3:$A$3002,"&gt;="&amp;DATE($B$3,$D$3,1),출퇴근기록!$A$3:$A$3002,"&lt;="&amp;EOMONTH(DATE($B$3,$D$3,1),0)))</f>
        <v/>
      </c>
    </row>
    <row r="116" customFormat="false" ht="15" hidden="false" customHeight="true" outlineLevel="0" collapsed="false">
      <c r="A116" s="13" t="str">
        <f aca="false">IF(직원목록!$A113="","",직원목록!$A113)</f>
        <v/>
      </c>
      <c r="B116" s="13" t="str">
        <f aca="false">IF($A116="","",직원목록!$B113)</f>
        <v/>
      </c>
      <c r="C116" s="13" t="str">
        <f aca="false">IF($A116="","",직원목록!$C113)</f>
        <v/>
      </c>
      <c r="D116" s="19" t="str">
        <f aca="false">IF($A116="","",COUNTIFS(출퇴근기록!$B$3:$B$3002,$A116,출퇴근기록!$H$3:$H$3002,"&gt;0",출퇴근기록!$A$3:$A$3002,"&gt;="&amp;DATE($B$3,$D$3,1),출퇴근기록!$A$3:$A$3002,"&lt;="&amp;EOMONTH(DATE($B$3,$D$3,1),0)))</f>
        <v/>
      </c>
      <c r="E116" s="16" t="str">
        <f aca="false">IF($A116="","",ROUND(SUMIFS(출퇴근기록!$H$3:$H$3002,출퇴근기록!$B$3:$B$3002,$A116,출퇴근기록!$I$3:$I$3002,"평일",출퇴근기록!$A$3:$A$3002,"&gt;="&amp;DATE($B$3,$D$3,1),출퇴근기록!$A$3:$A$3002,"&lt;="&amp;EOMONTH(DATE($B$3,$D$3,1),0)),2))</f>
        <v/>
      </c>
      <c r="F116" s="16" t="str">
        <f aca="false">IF($A116="","",ROUND(SUMIFS(출퇴근기록!$H$3:$H$3002,출퇴근기록!$B$3:$B$3002,$A116,출퇴근기록!$I$3:$I$3002,"휴일",출퇴근기록!$A$3:$A$3002,"&gt;="&amp;DATE($B$3,$D$3,1),출퇴근기록!$A$3:$A$3002,"&lt;="&amp;EOMONTH(DATE($B$3,$D$3,1),0)),2))</f>
        <v/>
      </c>
      <c r="G116" s="16" t="str">
        <f aca="false">IF($A116="","",ROUND(SUMIFS(출퇴근기록!$H$3:$H$3002,출퇴근기록!$B$3:$B$3002,$A116,출퇴근기록!$A$3:$A$3002,"&gt;="&amp;DATE($B$3,$D$3,1),출퇴근기록!$A$3:$A$3002,"&lt;="&amp;EOMONTH(DATE($B$3,$D$3,1),0)),2))</f>
        <v/>
      </c>
      <c r="H116" s="16" t="str">
        <f aca="false">IF($A116="","",ROUND($D116*IF(직원목록!$F113="",8,직원목록!$F113),2))</f>
        <v/>
      </c>
      <c r="I116" s="16" t="str">
        <f aca="false">IF($A116="","",ROUND($G116-$H116,2))</f>
        <v/>
      </c>
      <c r="J116" s="19" t="str">
        <f aca="false">IF($A116="","",COUNTIFS(출퇴근기록!$B$3:$B$3002,$A116,출퇴근기록!$I$3:$I$3002,"연차",출퇴근기록!$A$3:$A$3002,"&gt;="&amp;DATE($B$3,$D$3,1),출퇴근기록!$A$3:$A$3002,"&lt;="&amp;EOMONTH(DATE($B$3,$D$3,1),0)))</f>
        <v/>
      </c>
      <c r="K116" s="19" t="str">
        <f aca="false">IF($A116="","",COUNTIFS(출퇴근기록!$B$3:$B$3002,$A116,출퇴근기록!$I$3:$I$3002,"결근",출퇴근기록!$A$3:$A$3002,"&gt;="&amp;DATE($B$3,$D$3,1),출퇴근기록!$A$3:$A$3002,"&lt;="&amp;EOMONTH(DATE($B$3,$D$3,1),0)))</f>
        <v/>
      </c>
    </row>
    <row r="117" customFormat="false" ht="15" hidden="false" customHeight="true" outlineLevel="0" collapsed="false">
      <c r="A117" s="13" t="str">
        <f aca="false">IF(직원목록!$A114="","",직원목록!$A114)</f>
        <v/>
      </c>
      <c r="B117" s="13" t="str">
        <f aca="false">IF($A117="","",직원목록!$B114)</f>
        <v/>
      </c>
      <c r="C117" s="13" t="str">
        <f aca="false">IF($A117="","",직원목록!$C114)</f>
        <v/>
      </c>
      <c r="D117" s="19" t="str">
        <f aca="false">IF($A117="","",COUNTIFS(출퇴근기록!$B$3:$B$3002,$A117,출퇴근기록!$H$3:$H$3002,"&gt;0",출퇴근기록!$A$3:$A$3002,"&gt;="&amp;DATE($B$3,$D$3,1),출퇴근기록!$A$3:$A$3002,"&lt;="&amp;EOMONTH(DATE($B$3,$D$3,1),0)))</f>
        <v/>
      </c>
      <c r="E117" s="16" t="str">
        <f aca="false">IF($A117="","",ROUND(SUMIFS(출퇴근기록!$H$3:$H$3002,출퇴근기록!$B$3:$B$3002,$A117,출퇴근기록!$I$3:$I$3002,"평일",출퇴근기록!$A$3:$A$3002,"&gt;="&amp;DATE($B$3,$D$3,1),출퇴근기록!$A$3:$A$3002,"&lt;="&amp;EOMONTH(DATE($B$3,$D$3,1),0)),2))</f>
        <v/>
      </c>
      <c r="F117" s="16" t="str">
        <f aca="false">IF($A117="","",ROUND(SUMIFS(출퇴근기록!$H$3:$H$3002,출퇴근기록!$B$3:$B$3002,$A117,출퇴근기록!$I$3:$I$3002,"휴일",출퇴근기록!$A$3:$A$3002,"&gt;="&amp;DATE($B$3,$D$3,1),출퇴근기록!$A$3:$A$3002,"&lt;="&amp;EOMONTH(DATE($B$3,$D$3,1),0)),2))</f>
        <v/>
      </c>
      <c r="G117" s="16" t="str">
        <f aca="false">IF($A117="","",ROUND(SUMIFS(출퇴근기록!$H$3:$H$3002,출퇴근기록!$B$3:$B$3002,$A117,출퇴근기록!$A$3:$A$3002,"&gt;="&amp;DATE($B$3,$D$3,1),출퇴근기록!$A$3:$A$3002,"&lt;="&amp;EOMONTH(DATE($B$3,$D$3,1),0)),2))</f>
        <v/>
      </c>
      <c r="H117" s="16" t="str">
        <f aca="false">IF($A117="","",ROUND($D117*IF(직원목록!$F114="",8,직원목록!$F114),2))</f>
        <v/>
      </c>
      <c r="I117" s="16" t="str">
        <f aca="false">IF($A117="","",ROUND($G117-$H117,2))</f>
        <v/>
      </c>
      <c r="J117" s="19" t="str">
        <f aca="false">IF($A117="","",COUNTIFS(출퇴근기록!$B$3:$B$3002,$A117,출퇴근기록!$I$3:$I$3002,"연차",출퇴근기록!$A$3:$A$3002,"&gt;="&amp;DATE($B$3,$D$3,1),출퇴근기록!$A$3:$A$3002,"&lt;="&amp;EOMONTH(DATE($B$3,$D$3,1),0)))</f>
        <v/>
      </c>
      <c r="K117" s="19" t="str">
        <f aca="false">IF($A117="","",COUNTIFS(출퇴근기록!$B$3:$B$3002,$A117,출퇴근기록!$I$3:$I$3002,"결근",출퇴근기록!$A$3:$A$3002,"&gt;="&amp;DATE($B$3,$D$3,1),출퇴근기록!$A$3:$A$3002,"&lt;="&amp;EOMONTH(DATE($B$3,$D$3,1),0)))</f>
        <v/>
      </c>
    </row>
    <row r="118" customFormat="false" ht="15" hidden="false" customHeight="true" outlineLevel="0" collapsed="false">
      <c r="A118" s="13" t="str">
        <f aca="false">IF(직원목록!$A115="","",직원목록!$A115)</f>
        <v/>
      </c>
      <c r="B118" s="13" t="str">
        <f aca="false">IF($A118="","",직원목록!$B115)</f>
        <v/>
      </c>
      <c r="C118" s="13" t="str">
        <f aca="false">IF($A118="","",직원목록!$C115)</f>
        <v/>
      </c>
      <c r="D118" s="19" t="str">
        <f aca="false">IF($A118="","",COUNTIFS(출퇴근기록!$B$3:$B$3002,$A118,출퇴근기록!$H$3:$H$3002,"&gt;0",출퇴근기록!$A$3:$A$3002,"&gt;="&amp;DATE($B$3,$D$3,1),출퇴근기록!$A$3:$A$3002,"&lt;="&amp;EOMONTH(DATE($B$3,$D$3,1),0)))</f>
        <v/>
      </c>
      <c r="E118" s="16" t="str">
        <f aca="false">IF($A118="","",ROUND(SUMIFS(출퇴근기록!$H$3:$H$3002,출퇴근기록!$B$3:$B$3002,$A118,출퇴근기록!$I$3:$I$3002,"평일",출퇴근기록!$A$3:$A$3002,"&gt;="&amp;DATE($B$3,$D$3,1),출퇴근기록!$A$3:$A$3002,"&lt;="&amp;EOMONTH(DATE($B$3,$D$3,1),0)),2))</f>
        <v/>
      </c>
      <c r="F118" s="16" t="str">
        <f aca="false">IF($A118="","",ROUND(SUMIFS(출퇴근기록!$H$3:$H$3002,출퇴근기록!$B$3:$B$3002,$A118,출퇴근기록!$I$3:$I$3002,"휴일",출퇴근기록!$A$3:$A$3002,"&gt;="&amp;DATE($B$3,$D$3,1),출퇴근기록!$A$3:$A$3002,"&lt;="&amp;EOMONTH(DATE($B$3,$D$3,1),0)),2))</f>
        <v/>
      </c>
      <c r="G118" s="16" t="str">
        <f aca="false">IF($A118="","",ROUND(SUMIFS(출퇴근기록!$H$3:$H$3002,출퇴근기록!$B$3:$B$3002,$A118,출퇴근기록!$A$3:$A$3002,"&gt;="&amp;DATE($B$3,$D$3,1),출퇴근기록!$A$3:$A$3002,"&lt;="&amp;EOMONTH(DATE($B$3,$D$3,1),0)),2))</f>
        <v/>
      </c>
      <c r="H118" s="16" t="str">
        <f aca="false">IF($A118="","",ROUND($D118*IF(직원목록!$F115="",8,직원목록!$F115),2))</f>
        <v/>
      </c>
      <c r="I118" s="16" t="str">
        <f aca="false">IF($A118="","",ROUND($G118-$H118,2))</f>
        <v/>
      </c>
      <c r="J118" s="19" t="str">
        <f aca="false">IF($A118="","",COUNTIFS(출퇴근기록!$B$3:$B$3002,$A118,출퇴근기록!$I$3:$I$3002,"연차",출퇴근기록!$A$3:$A$3002,"&gt;="&amp;DATE($B$3,$D$3,1),출퇴근기록!$A$3:$A$3002,"&lt;="&amp;EOMONTH(DATE($B$3,$D$3,1),0)))</f>
        <v/>
      </c>
      <c r="K118" s="19" t="str">
        <f aca="false">IF($A118="","",COUNTIFS(출퇴근기록!$B$3:$B$3002,$A118,출퇴근기록!$I$3:$I$3002,"결근",출퇴근기록!$A$3:$A$3002,"&gt;="&amp;DATE($B$3,$D$3,1),출퇴근기록!$A$3:$A$3002,"&lt;="&amp;EOMONTH(DATE($B$3,$D$3,1),0)))</f>
        <v/>
      </c>
    </row>
    <row r="119" customFormat="false" ht="15" hidden="false" customHeight="true" outlineLevel="0" collapsed="false">
      <c r="A119" s="13" t="str">
        <f aca="false">IF(직원목록!$A116="","",직원목록!$A116)</f>
        <v/>
      </c>
      <c r="B119" s="13" t="str">
        <f aca="false">IF($A119="","",직원목록!$B116)</f>
        <v/>
      </c>
      <c r="C119" s="13" t="str">
        <f aca="false">IF($A119="","",직원목록!$C116)</f>
        <v/>
      </c>
      <c r="D119" s="19" t="str">
        <f aca="false">IF($A119="","",COUNTIFS(출퇴근기록!$B$3:$B$3002,$A119,출퇴근기록!$H$3:$H$3002,"&gt;0",출퇴근기록!$A$3:$A$3002,"&gt;="&amp;DATE($B$3,$D$3,1),출퇴근기록!$A$3:$A$3002,"&lt;="&amp;EOMONTH(DATE($B$3,$D$3,1),0)))</f>
        <v/>
      </c>
      <c r="E119" s="16" t="str">
        <f aca="false">IF($A119="","",ROUND(SUMIFS(출퇴근기록!$H$3:$H$3002,출퇴근기록!$B$3:$B$3002,$A119,출퇴근기록!$I$3:$I$3002,"평일",출퇴근기록!$A$3:$A$3002,"&gt;="&amp;DATE($B$3,$D$3,1),출퇴근기록!$A$3:$A$3002,"&lt;="&amp;EOMONTH(DATE($B$3,$D$3,1),0)),2))</f>
        <v/>
      </c>
      <c r="F119" s="16" t="str">
        <f aca="false">IF($A119="","",ROUND(SUMIFS(출퇴근기록!$H$3:$H$3002,출퇴근기록!$B$3:$B$3002,$A119,출퇴근기록!$I$3:$I$3002,"휴일",출퇴근기록!$A$3:$A$3002,"&gt;="&amp;DATE($B$3,$D$3,1),출퇴근기록!$A$3:$A$3002,"&lt;="&amp;EOMONTH(DATE($B$3,$D$3,1),0)),2))</f>
        <v/>
      </c>
      <c r="G119" s="16" t="str">
        <f aca="false">IF($A119="","",ROUND(SUMIFS(출퇴근기록!$H$3:$H$3002,출퇴근기록!$B$3:$B$3002,$A119,출퇴근기록!$A$3:$A$3002,"&gt;="&amp;DATE($B$3,$D$3,1),출퇴근기록!$A$3:$A$3002,"&lt;="&amp;EOMONTH(DATE($B$3,$D$3,1),0)),2))</f>
        <v/>
      </c>
      <c r="H119" s="16" t="str">
        <f aca="false">IF($A119="","",ROUND($D119*IF(직원목록!$F116="",8,직원목록!$F116),2))</f>
        <v/>
      </c>
      <c r="I119" s="16" t="str">
        <f aca="false">IF($A119="","",ROUND($G119-$H119,2))</f>
        <v/>
      </c>
      <c r="J119" s="19" t="str">
        <f aca="false">IF($A119="","",COUNTIFS(출퇴근기록!$B$3:$B$3002,$A119,출퇴근기록!$I$3:$I$3002,"연차",출퇴근기록!$A$3:$A$3002,"&gt;="&amp;DATE($B$3,$D$3,1),출퇴근기록!$A$3:$A$3002,"&lt;="&amp;EOMONTH(DATE($B$3,$D$3,1),0)))</f>
        <v/>
      </c>
      <c r="K119" s="19" t="str">
        <f aca="false">IF($A119="","",COUNTIFS(출퇴근기록!$B$3:$B$3002,$A119,출퇴근기록!$I$3:$I$3002,"결근",출퇴근기록!$A$3:$A$3002,"&gt;="&amp;DATE($B$3,$D$3,1),출퇴근기록!$A$3:$A$3002,"&lt;="&amp;EOMONTH(DATE($B$3,$D$3,1),0)))</f>
        <v/>
      </c>
    </row>
    <row r="120" customFormat="false" ht="15" hidden="false" customHeight="true" outlineLevel="0" collapsed="false">
      <c r="A120" s="13" t="str">
        <f aca="false">IF(직원목록!$A117="","",직원목록!$A117)</f>
        <v/>
      </c>
      <c r="B120" s="13" t="str">
        <f aca="false">IF($A120="","",직원목록!$B117)</f>
        <v/>
      </c>
      <c r="C120" s="13" t="str">
        <f aca="false">IF($A120="","",직원목록!$C117)</f>
        <v/>
      </c>
      <c r="D120" s="19" t="str">
        <f aca="false">IF($A120="","",COUNTIFS(출퇴근기록!$B$3:$B$3002,$A120,출퇴근기록!$H$3:$H$3002,"&gt;0",출퇴근기록!$A$3:$A$3002,"&gt;="&amp;DATE($B$3,$D$3,1),출퇴근기록!$A$3:$A$3002,"&lt;="&amp;EOMONTH(DATE($B$3,$D$3,1),0)))</f>
        <v/>
      </c>
      <c r="E120" s="16" t="str">
        <f aca="false">IF($A120="","",ROUND(SUMIFS(출퇴근기록!$H$3:$H$3002,출퇴근기록!$B$3:$B$3002,$A120,출퇴근기록!$I$3:$I$3002,"평일",출퇴근기록!$A$3:$A$3002,"&gt;="&amp;DATE($B$3,$D$3,1),출퇴근기록!$A$3:$A$3002,"&lt;="&amp;EOMONTH(DATE($B$3,$D$3,1),0)),2))</f>
        <v/>
      </c>
      <c r="F120" s="16" t="str">
        <f aca="false">IF($A120="","",ROUND(SUMIFS(출퇴근기록!$H$3:$H$3002,출퇴근기록!$B$3:$B$3002,$A120,출퇴근기록!$I$3:$I$3002,"휴일",출퇴근기록!$A$3:$A$3002,"&gt;="&amp;DATE($B$3,$D$3,1),출퇴근기록!$A$3:$A$3002,"&lt;="&amp;EOMONTH(DATE($B$3,$D$3,1),0)),2))</f>
        <v/>
      </c>
      <c r="G120" s="16" t="str">
        <f aca="false">IF($A120="","",ROUND(SUMIFS(출퇴근기록!$H$3:$H$3002,출퇴근기록!$B$3:$B$3002,$A120,출퇴근기록!$A$3:$A$3002,"&gt;="&amp;DATE($B$3,$D$3,1),출퇴근기록!$A$3:$A$3002,"&lt;="&amp;EOMONTH(DATE($B$3,$D$3,1),0)),2))</f>
        <v/>
      </c>
      <c r="H120" s="16" t="str">
        <f aca="false">IF($A120="","",ROUND($D120*IF(직원목록!$F117="",8,직원목록!$F117),2))</f>
        <v/>
      </c>
      <c r="I120" s="16" t="str">
        <f aca="false">IF($A120="","",ROUND($G120-$H120,2))</f>
        <v/>
      </c>
      <c r="J120" s="19" t="str">
        <f aca="false">IF($A120="","",COUNTIFS(출퇴근기록!$B$3:$B$3002,$A120,출퇴근기록!$I$3:$I$3002,"연차",출퇴근기록!$A$3:$A$3002,"&gt;="&amp;DATE($B$3,$D$3,1),출퇴근기록!$A$3:$A$3002,"&lt;="&amp;EOMONTH(DATE($B$3,$D$3,1),0)))</f>
        <v/>
      </c>
      <c r="K120" s="19" t="str">
        <f aca="false">IF($A120="","",COUNTIFS(출퇴근기록!$B$3:$B$3002,$A120,출퇴근기록!$I$3:$I$3002,"결근",출퇴근기록!$A$3:$A$3002,"&gt;="&amp;DATE($B$3,$D$3,1),출퇴근기록!$A$3:$A$3002,"&lt;="&amp;EOMONTH(DATE($B$3,$D$3,1),0)))</f>
        <v/>
      </c>
    </row>
    <row r="121" customFormat="false" ht="15" hidden="false" customHeight="true" outlineLevel="0" collapsed="false">
      <c r="A121" s="13" t="str">
        <f aca="false">IF(직원목록!$A118="","",직원목록!$A118)</f>
        <v/>
      </c>
      <c r="B121" s="13" t="str">
        <f aca="false">IF($A121="","",직원목록!$B118)</f>
        <v/>
      </c>
      <c r="C121" s="13" t="str">
        <f aca="false">IF($A121="","",직원목록!$C118)</f>
        <v/>
      </c>
      <c r="D121" s="19" t="str">
        <f aca="false">IF($A121="","",COUNTIFS(출퇴근기록!$B$3:$B$3002,$A121,출퇴근기록!$H$3:$H$3002,"&gt;0",출퇴근기록!$A$3:$A$3002,"&gt;="&amp;DATE($B$3,$D$3,1),출퇴근기록!$A$3:$A$3002,"&lt;="&amp;EOMONTH(DATE($B$3,$D$3,1),0)))</f>
        <v/>
      </c>
      <c r="E121" s="16" t="str">
        <f aca="false">IF($A121="","",ROUND(SUMIFS(출퇴근기록!$H$3:$H$3002,출퇴근기록!$B$3:$B$3002,$A121,출퇴근기록!$I$3:$I$3002,"평일",출퇴근기록!$A$3:$A$3002,"&gt;="&amp;DATE($B$3,$D$3,1),출퇴근기록!$A$3:$A$3002,"&lt;="&amp;EOMONTH(DATE($B$3,$D$3,1),0)),2))</f>
        <v/>
      </c>
      <c r="F121" s="16" t="str">
        <f aca="false">IF($A121="","",ROUND(SUMIFS(출퇴근기록!$H$3:$H$3002,출퇴근기록!$B$3:$B$3002,$A121,출퇴근기록!$I$3:$I$3002,"휴일",출퇴근기록!$A$3:$A$3002,"&gt;="&amp;DATE($B$3,$D$3,1),출퇴근기록!$A$3:$A$3002,"&lt;="&amp;EOMONTH(DATE($B$3,$D$3,1),0)),2))</f>
        <v/>
      </c>
      <c r="G121" s="16" t="str">
        <f aca="false">IF($A121="","",ROUND(SUMIFS(출퇴근기록!$H$3:$H$3002,출퇴근기록!$B$3:$B$3002,$A121,출퇴근기록!$A$3:$A$3002,"&gt;="&amp;DATE($B$3,$D$3,1),출퇴근기록!$A$3:$A$3002,"&lt;="&amp;EOMONTH(DATE($B$3,$D$3,1),0)),2))</f>
        <v/>
      </c>
      <c r="H121" s="16" t="str">
        <f aca="false">IF($A121="","",ROUND($D121*IF(직원목록!$F118="",8,직원목록!$F118),2))</f>
        <v/>
      </c>
      <c r="I121" s="16" t="str">
        <f aca="false">IF($A121="","",ROUND($G121-$H121,2))</f>
        <v/>
      </c>
      <c r="J121" s="19" t="str">
        <f aca="false">IF($A121="","",COUNTIFS(출퇴근기록!$B$3:$B$3002,$A121,출퇴근기록!$I$3:$I$3002,"연차",출퇴근기록!$A$3:$A$3002,"&gt;="&amp;DATE($B$3,$D$3,1),출퇴근기록!$A$3:$A$3002,"&lt;="&amp;EOMONTH(DATE($B$3,$D$3,1),0)))</f>
        <v/>
      </c>
      <c r="K121" s="19" t="str">
        <f aca="false">IF($A121="","",COUNTIFS(출퇴근기록!$B$3:$B$3002,$A121,출퇴근기록!$I$3:$I$3002,"결근",출퇴근기록!$A$3:$A$3002,"&gt;="&amp;DATE($B$3,$D$3,1),출퇴근기록!$A$3:$A$3002,"&lt;="&amp;EOMONTH(DATE($B$3,$D$3,1),0)))</f>
        <v/>
      </c>
    </row>
    <row r="122" customFormat="false" ht="15" hidden="false" customHeight="true" outlineLevel="0" collapsed="false">
      <c r="A122" s="13" t="str">
        <f aca="false">IF(직원목록!$A119="","",직원목록!$A119)</f>
        <v/>
      </c>
      <c r="B122" s="13" t="str">
        <f aca="false">IF($A122="","",직원목록!$B119)</f>
        <v/>
      </c>
      <c r="C122" s="13" t="str">
        <f aca="false">IF($A122="","",직원목록!$C119)</f>
        <v/>
      </c>
      <c r="D122" s="19" t="str">
        <f aca="false">IF($A122="","",COUNTIFS(출퇴근기록!$B$3:$B$3002,$A122,출퇴근기록!$H$3:$H$3002,"&gt;0",출퇴근기록!$A$3:$A$3002,"&gt;="&amp;DATE($B$3,$D$3,1),출퇴근기록!$A$3:$A$3002,"&lt;="&amp;EOMONTH(DATE($B$3,$D$3,1),0)))</f>
        <v/>
      </c>
      <c r="E122" s="16" t="str">
        <f aca="false">IF($A122="","",ROUND(SUMIFS(출퇴근기록!$H$3:$H$3002,출퇴근기록!$B$3:$B$3002,$A122,출퇴근기록!$I$3:$I$3002,"평일",출퇴근기록!$A$3:$A$3002,"&gt;="&amp;DATE($B$3,$D$3,1),출퇴근기록!$A$3:$A$3002,"&lt;="&amp;EOMONTH(DATE($B$3,$D$3,1),0)),2))</f>
        <v/>
      </c>
      <c r="F122" s="16" t="str">
        <f aca="false">IF($A122="","",ROUND(SUMIFS(출퇴근기록!$H$3:$H$3002,출퇴근기록!$B$3:$B$3002,$A122,출퇴근기록!$I$3:$I$3002,"휴일",출퇴근기록!$A$3:$A$3002,"&gt;="&amp;DATE($B$3,$D$3,1),출퇴근기록!$A$3:$A$3002,"&lt;="&amp;EOMONTH(DATE($B$3,$D$3,1),0)),2))</f>
        <v/>
      </c>
      <c r="G122" s="16" t="str">
        <f aca="false">IF($A122="","",ROUND(SUMIFS(출퇴근기록!$H$3:$H$3002,출퇴근기록!$B$3:$B$3002,$A122,출퇴근기록!$A$3:$A$3002,"&gt;="&amp;DATE($B$3,$D$3,1),출퇴근기록!$A$3:$A$3002,"&lt;="&amp;EOMONTH(DATE($B$3,$D$3,1),0)),2))</f>
        <v/>
      </c>
      <c r="H122" s="16" t="str">
        <f aca="false">IF($A122="","",ROUND($D122*IF(직원목록!$F119="",8,직원목록!$F119),2))</f>
        <v/>
      </c>
      <c r="I122" s="16" t="str">
        <f aca="false">IF($A122="","",ROUND($G122-$H122,2))</f>
        <v/>
      </c>
      <c r="J122" s="19" t="str">
        <f aca="false">IF($A122="","",COUNTIFS(출퇴근기록!$B$3:$B$3002,$A122,출퇴근기록!$I$3:$I$3002,"연차",출퇴근기록!$A$3:$A$3002,"&gt;="&amp;DATE($B$3,$D$3,1),출퇴근기록!$A$3:$A$3002,"&lt;="&amp;EOMONTH(DATE($B$3,$D$3,1),0)))</f>
        <v/>
      </c>
      <c r="K122" s="19" t="str">
        <f aca="false">IF($A122="","",COUNTIFS(출퇴근기록!$B$3:$B$3002,$A122,출퇴근기록!$I$3:$I$3002,"결근",출퇴근기록!$A$3:$A$3002,"&gt;="&amp;DATE($B$3,$D$3,1),출퇴근기록!$A$3:$A$3002,"&lt;="&amp;EOMONTH(DATE($B$3,$D$3,1),0)))</f>
        <v/>
      </c>
    </row>
    <row r="123" customFormat="false" ht="15" hidden="false" customHeight="true" outlineLevel="0" collapsed="false">
      <c r="A123" s="13" t="str">
        <f aca="false">IF(직원목록!$A120="","",직원목록!$A120)</f>
        <v/>
      </c>
      <c r="B123" s="13" t="str">
        <f aca="false">IF($A123="","",직원목록!$B120)</f>
        <v/>
      </c>
      <c r="C123" s="13" t="str">
        <f aca="false">IF($A123="","",직원목록!$C120)</f>
        <v/>
      </c>
      <c r="D123" s="19" t="str">
        <f aca="false">IF($A123="","",COUNTIFS(출퇴근기록!$B$3:$B$3002,$A123,출퇴근기록!$H$3:$H$3002,"&gt;0",출퇴근기록!$A$3:$A$3002,"&gt;="&amp;DATE($B$3,$D$3,1),출퇴근기록!$A$3:$A$3002,"&lt;="&amp;EOMONTH(DATE($B$3,$D$3,1),0)))</f>
        <v/>
      </c>
      <c r="E123" s="16" t="str">
        <f aca="false">IF($A123="","",ROUND(SUMIFS(출퇴근기록!$H$3:$H$3002,출퇴근기록!$B$3:$B$3002,$A123,출퇴근기록!$I$3:$I$3002,"평일",출퇴근기록!$A$3:$A$3002,"&gt;="&amp;DATE($B$3,$D$3,1),출퇴근기록!$A$3:$A$3002,"&lt;="&amp;EOMONTH(DATE($B$3,$D$3,1),0)),2))</f>
        <v/>
      </c>
      <c r="F123" s="16" t="str">
        <f aca="false">IF($A123="","",ROUND(SUMIFS(출퇴근기록!$H$3:$H$3002,출퇴근기록!$B$3:$B$3002,$A123,출퇴근기록!$I$3:$I$3002,"휴일",출퇴근기록!$A$3:$A$3002,"&gt;="&amp;DATE($B$3,$D$3,1),출퇴근기록!$A$3:$A$3002,"&lt;="&amp;EOMONTH(DATE($B$3,$D$3,1),0)),2))</f>
        <v/>
      </c>
      <c r="G123" s="16" t="str">
        <f aca="false">IF($A123="","",ROUND(SUMIFS(출퇴근기록!$H$3:$H$3002,출퇴근기록!$B$3:$B$3002,$A123,출퇴근기록!$A$3:$A$3002,"&gt;="&amp;DATE($B$3,$D$3,1),출퇴근기록!$A$3:$A$3002,"&lt;="&amp;EOMONTH(DATE($B$3,$D$3,1),0)),2))</f>
        <v/>
      </c>
      <c r="H123" s="16" t="str">
        <f aca="false">IF($A123="","",ROUND($D123*IF(직원목록!$F120="",8,직원목록!$F120),2))</f>
        <v/>
      </c>
      <c r="I123" s="16" t="str">
        <f aca="false">IF($A123="","",ROUND($G123-$H123,2))</f>
        <v/>
      </c>
      <c r="J123" s="19" t="str">
        <f aca="false">IF($A123="","",COUNTIFS(출퇴근기록!$B$3:$B$3002,$A123,출퇴근기록!$I$3:$I$3002,"연차",출퇴근기록!$A$3:$A$3002,"&gt;="&amp;DATE($B$3,$D$3,1),출퇴근기록!$A$3:$A$3002,"&lt;="&amp;EOMONTH(DATE($B$3,$D$3,1),0)))</f>
        <v/>
      </c>
      <c r="K123" s="19" t="str">
        <f aca="false">IF($A123="","",COUNTIFS(출퇴근기록!$B$3:$B$3002,$A123,출퇴근기록!$I$3:$I$3002,"결근",출퇴근기록!$A$3:$A$3002,"&gt;="&amp;DATE($B$3,$D$3,1),출퇴근기록!$A$3:$A$3002,"&lt;="&amp;EOMONTH(DATE($B$3,$D$3,1),0)))</f>
        <v/>
      </c>
    </row>
    <row r="124" customFormat="false" ht="15" hidden="false" customHeight="true" outlineLevel="0" collapsed="false">
      <c r="A124" s="13" t="str">
        <f aca="false">IF(직원목록!$A121="","",직원목록!$A121)</f>
        <v/>
      </c>
      <c r="B124" s="13" t="str">
        <f aca="false">IF($A124="","",직원목록!$B121)</f>
        <v/>
      </c>
      <c r="C124" s="13" t="str">
        <f aca="false">IF($A124="","",직원목록!$C121)</f>
        <v/>
      </c>
      <c r="D124" s="19" t="str">
        <f aca="false">IF($A124="","",COUNTIFS(출퇴근기록!$B$3:$B$3002,$A124,출퇴근기록!$H$3:$H$3002,"&gt;0",출퇴근기록!$A$3:$A$3002,"&gt;="&amp;DATE($B$3,$D$3,1),출퇴근기록!$A$3:$A$3002,"&lt;="&amp;EOMONTH(DATE($B$3,$D$3,1),0)))</f>
        <v/>
      </c>
      <c r="E124" s="16" t="str">
        <f aca="false">IF($A124="","",ROUND(SUMIFS(출퇴근기록!$H$3:$H$3002,출퇴근기록!$B$3:$B$3002,$A124,출퇴근기록!$I$3:$I$3002,"평일",출퇴근기록!$A$3:$A$3002,"&gt;="&amp;DATE($B$3,$D$3,1),출퇴근기록!$A$3:$A$3002,"&lt;="&amp;EOMONTH(DATE($B$3,$D$3,1),0)),2))</f>
        <v/>
      </c>
      <c r="F124" s="16" t="str">
        <f aca="false">IF($A124="","",ROUND(SUMIFS(출퇴근기록!$H$3:$H$3002,출퇴근기록!$B$3:$B$3002,$A124,출퇴근기록!$I$3:$I$3002,"휴일",출퇴근기록!$A$3:$A$3002,"&gt;="&amp;DATE($B$3,$D$3,1),출퇴근기록!$A$3:$A$3002,"&lt;="&amp;EOMONTH(DATE($B$3,$D$3,1),0)),2))</f>
        <v/>
      </c>
      <c r="G124" s="16" t="str">
        <f aca="false">IF($A124="","",ROUND(SUMIFS(출퇴근기록!$H$3:$H$3002,출퇴근기록!$B$3:$B$3002,$A124,출퇴근기록!$A$3:$A$3002,"&gt;="&amp;DATE($B$3,$D$3,1),출퇴근기록!$A$3:$A$3002,"&lt;="&amp;EOMONTH(DATE($B$3,$D$3,1),0)),2))</f>
        <v/>
      </c>
      <c r="H124" s="16" t="str">
        <f aca="false">IF($A124="","",ROUND($D124*IF(직원목록!$F121="",8,직원목록!$F121),2))</f>
        <v/>
      </c>
      <c r="I124" s="16" t="str">
        <f aca="false">IF($A124="","",ROUND($G124-$H124,2))</f>
        <v/>
      </c>
      <c r="J124" s="19" t="str">
        <f aca="false">IF($A124="","",COUNTIFS(출퇴근기록!$B$3:$B$3002,$A124,출퇴근기록!$I$3:$I$3002,"연차",출퇴근기록!$A$3:$A$3002,"&gt;="&amp;DATE($B$3,$D$3,1),출퇴근기록!$A$3:$A$3002,"&lt;="&amp;EOMONTH(DATE($B$3,$D$3,1),0)))</f>
        <v/>
      </c>
      <c r="K124" s="19" t="str">
        <f aca="false">IF($A124="","",COUNTIFS(출퇴근기록!$B$3:$B$3002,$A124,출퇴근기록!$I$3:$I$3002,"결근",출퇴근기록!$A$3:$A$3002,"&gt;="&amp;DATE($B$3,$D$3,1),출퇴근기록!$A$3:$A$3002,"&lt;="&amp;EOMONTH(DATE($B$3,$D$3,1),0)))</f>
        <v/>
      </c>
    </row>
    <row r="125" customFormat="false" ht="15" hidden="false" customHeight="true" outlineLevel="0" collapsed="false">
      <c r="A125" s="13" t="str">
        <f aca="false">IF(직원목록!$A122="","",직원목록!$A122)</f>
        <v/>
      </c>
      <c r="B125" s="13" t="str">
        <f aca="false">IF($A125="","",직원목록!$B122)</f>
        <v/>
      </c>
      <c r="C125" s="13" t="str">
        <f aca="false">IF($A125="","",직원목록!$C122)</f>
        <v/>
      </c>
      <c r="D125" s="19" t="str">
        <f aca="false">IF($A125="","",COUNTIFS(출퇴근기록!$B$3:$B$3002,$A125,출퇴근기록!$H$3:$H$3002,"&gt;0",출퇴근기록!$A$3:$A$3002,"&gt;="&amp;DATE($B$3,$D$3,1),출퇴근기록!$A$3:$A$3002,"&lt;="&amp;EOMONTH(DATE($B$3,$D$3,1),0)))</f>
        <v/>
      </c>
      <c r="E125" s="16" t="str">
        <f aca="false">IF($A125="","",ROUND(SUMIFS(출퇴근기록!$H$3:$H$3002,출퇴근기록!$B$3:$B$3002,$A125,출퇴근기록!$I$3:$I$3002,"평일",출퇴근기록!$A$3:$A$3002,"&gt;="&amp;DATE($B$3,$D$3,1),출퇴근기록!$A$3:$A$3002,"&lt;="&amp;EOMONTH(DATE($B$3,$D$3,1),0)),2))</f>
        <v/>
      </c>
      <c r="F125" s="16" t="str">
        <f aca="false">IF($A125="","",ROUND(SUMIFS(출퇴근기록!$H$3:$H$3002,출퇴근기록!$B$3:$B$3002,$A125,출퇴근기록!$I$3:$I$3002,"휴일",출퇴근기록!$A$3:$A$3002,"&gt;="&amp;DATE($B$3,$D$3,1),출퇴근기록!$A$3:$A$3002,"&lt;="&amp;EOMONTH(DATE($B$3,$D$3,1),0)),2))</f>
        <v/>
      </c>
      <c r="G125" s="16" t="str">
        <f aca="false">IF($A125="","",ROUND(SUMIFS(출퇴근기록!$H$3:$H$3002,출퇴근기록!$B$3:$B$3002,$A125,출퇴근기록!$A$3:$A$3002,"&gt;="&amp;DATE($B$3,$D$3,1),출퇴근기록!$A$3:$A$3002,"&lt;="&amp;EOMONTH(DATE($B$3,$D$3,1),0)),2))</f>
        <v/>
      </c>
      <c r="H125" s="16" t="str">
        <f aca="false">IF($A125="","",ROUND($D125*IF(직원목록!$F122="",8,직원목록!$F122),2))</f>
        <v/>
      </c>
      <c r="I125" s="16" t="str">
        <f aca="false">IF($A125="","",ROUND($G125-$H125,2))</f>
        <v/>
      </c>
      <c r="J125" s="19" t="str">
        <f aca="false">IF($A125="","",COUNTIFS(출퇴근기록!$B$3:$B$3002,$A125,출퇴근기록!$I$3:$I$3002,"연차",출퇴근기록!$A$3:$A$3002,"&gt;="&amp;DATE($B$3,$D$3,1),출퇴근기록!$A$3:$A$3002,"&lt;="&amp;EOMONTH(DATE($B$3,$D$3,1),0)))</f>
        <v/>
      </c>
      <c r="K125" s="19" t="str">
        <f aca="false">IF($A125="","",COUNTIFS(출퇴근기록!$B$3:$B$3002,$A125,출퇴근기록!$I$3:$I$3002,"결근",출퇴근기록!$A$3:$A$3002,"&gt;="&amp;DATE($B$3,$D$3,1),출퇴근기록!$A$3:$A$3002,"&lt;="&amp;EOMONTH(DATE($B$3,$D$3,1),0)))</f>
        <v/>
      </c>
    </row>
    <row r="126" customFormat="false" ht="15" hidden="false" customHeight="true" outlineLevel="0" collapsed="false">
      <c r="A126" s="13" t="str">
        <f aca="false">IF(직원목록!$A123="","",직원목록!$A123)</f>
        <v/>
      </c>
      <c r="B126" s="13" t="str">
        <f aca="false">IF($A126="","",직원목록!$B123)</f>
        <v/>
      </c>
      <c r="C126" s="13" t="str">
        <f aca="false">IF($A126="","",직원목록!$C123)</f>
        <v/>
      </c>
      <c r="D126" s="19" t="str">
        <f aca="false">IF($A126="","",COUNTIFS(출퇴근기록!$B$3:$B$3002,$A126,출퇴근기록!$H$3:$H$3002,"&gt;0",출퇴근기록!$A$3:$A$3002,"&gt;="&amp;DATE($B$3,$D$3,1),출퇴근기록!$A$3:$A$3002,"&lt;="&amp;EOMONTH(DATE($B$3,$D$3,1),0)))</f>
        <v/>
      </c>
      <c r="E126" s="16" t="str">
        <f aca="false">IF($A126="","",ROUND(SUMIFS(출퇴근기록!$H$3:$H$3002,출퇴근기록!$B$3:$B$3002,$A126,출퇴근기록!$I$3:$I$3002,"평일",출퇴근기록!$A$3:$A$3002,"&gt;="&amp;DATE($B$3,$D$3,1),출퇴근기록!$A$3:$A$3002,"&lt;="&amp;EOMONTH(DATE($B$3,$D$3,1),0)),2))</f>
        <v/>
      </c>
      <c r="F126" s="16" t="str">
        <f aca="false">IF($A126="","",ROUND(SUMIFS(출퇴근기록!$H$3:$H$3002,출퇴근기록!$B$3:$B$3002,$A126,출퇴근기록!$I$3:$I$3002,"휴일",출퇴근기록!$A$3:$A$3002,"&gt;="&amp;DATE($B$3,$D$3,1),출퇴근기록!$A$3:$A$3002,"&lt;="&amp;EOMONTH(DATE($B$3,$D$3,1),0)),2))</f>
        <v/>
      </c>
      <c r="G126" s="16" t="str">
        <f aca="false">IF($A126="","",ROUND(SUMIFS(출퇴근기록!$H$3:$H$3002,출퇴근기록!$B$3:$B$3002,$A126,출퇴근기록!$A$3:$A$3002,"&gt;="&amp;DATE($B$3,$D$3,1),출퇴근기록!$A$3:$A$3002,"&lt;="&amp;EOMONTH(DATE($B$3,$D$3,1),0)),2))</f>
        <v/>
      </c>
      <c r="H126" s="16" t="str">
        <f aca="false">IF($A126="","",ROUND($D126*IF(직원목록!$F123="",8,직원목록!$F123),2))</f>
        <v/>
      </c>
      <c r="I126" s="16" t="str">
        <f aca="false">IF($A126="","",ROUND($G126-$H126,2))</f>
        <v/>
      </c>
      <c r="J126" s="19" t="str">
        <f aca="false">IF($A126="","",COUNTIFS(출퇴근기록!$B$3:$B$3002,$A126,출퇴근기록!$I$3:$I$3002,"연차",출퇴근기록!$A$3:$A$3002,"&gt;="&amp;DATE($B$3,$D$3,1),출퇴근기록!$A$3:$A$3002,"&lt;="&amp;EOMONTH(DATE($B$3,$D$3,1),0)))</f>
        <v/>
      </c>
      <c r="K126" s="19" t="str">
        <f aca="false">IF($A126="","",COUNTIFS(출퇴근기록!$B$3:$B$3002,$A126,출퇴근기록!$I$3:$I$3002,"결근",출퇴근기록!$A$3:$A$3002,"&gt;="&amp;DATE($B$3,$D$3,1),출퇴근기록!$A$3:$A$3002,"&lt;="&amp;EOMONTH(DATE($B$3,$D$3,1),0)))</f>
        <v/>
      </c>
    </row>
    <row r="127" customFormat="false" ht="15" hidden="false" customHeight="true" outlineLevel="0" collapsed="false">
      <c r="A127" s="13" t="str">
        <f aca="false">IF(직원목록!$A124="","",직원목록!$A124)</f>
        <v/>
      </c>
      <c r="B127" s="13" t="str">
        <f aca="false">IF($A127="","",직원목록!$B124)</f>
        <v/>
      </c>
      <c r="C127" s="13" t="str">
        <f aca="false">IF($A127="","",직원목록!$C124)</f>
        <v/>
      </c>
      <c r="D127" s="19" t="str">
        <f aca="false">IF($A127="","",COUNTIFS(출퇴근기록!$B$3:$B$3002,$A127,출퇴근기록!$H$3:$H$3002,"&gt;0",출퇴근기록!$A$3:$A$3002,"&gt;="&amp;DATE($B$3,$D$3,1),출퇴근기록!$A$3:$A$3002,"&lt;="&amp;EOMONTH(DATE($B$3,$D$3,1),0)))</f>
        <v/>
      </c>
      <c r="E127" s="16" t="str">
        <f aca="false">IF($A127="","",ROUND(SUMIFS(출퇴근기록!$H$3:$H$3002,출퇴근기록!$B$3:$B$3002,$A127,출퇴근기록!$I$3:$I$3002,"평일",출퇴근기록!$A$3:$A$3002,"&gt;="&amp;DATE($B$3,$D$3,1),출퇴근기록!$A$3:$A$3002,"&lt;="&amp;EOMONTH(DATE($B$3,$D$3,1),0)),2))</f>
        <v/>
      </c>
      <c r="F127" s="16" t="str">
        <f aca="false">IF($A127="","",ROUND(SUMIFS(출퇴근기록!$H$3:$H$3002,출퇴근기록!$B$3:$B$3002,$A127,출퇴근기록!$I$3:$I$3002,"휴일",출퇴근기록!$A$3:$A$3002,"&gt;="&amp;DATE($B$3,$D$3,1),출퇴근기록!$A$3:$A$3002,"&lt;="&amp;EOMONTH(DATE($B$3,$D$3,1),0)),2))</f>
        <v/>
      </c>
      <c r="G127" s="16" t="str">
        <f aca="false">IF($A127="","",ROUND(SUMIFS(출퇴근기록!$H$3:$H$3002,출퇴근기록!$B$3:$B$3002,$A127,출퇴근기록!$A$3:$A$3002,"&gt;="&amp;DATE($B$3,$D$3,1),출퇴근기록!$A$3:$A$3002,"&lt;="&amp;EOMONTH(DATE($B$3,$D$3,1),0)),2))</f>
        <v/>
      </c>
      <c r="H127" s="16" t="str">
        <f aca="false">IF($A127="","",ROUND($D127*IF(직원목록!$F124="",8,직원목록!$F124),2))</f>
        <v/>
      </c>
      <c r="I127" s="16" t="str">
        <f aca="false">IF($A127="","",ROUND($G127-$H127,2))</f>
        <v/>
      </c>
      <c r="J127" s="19" t="str">
        <f aca="false">IF($A127="","",COUNTIFS(출퇴근기록!$B$3:$B$3002,$A127,출퇴근기록!$I$3:$I$3002,"연차",출퇴근기록!$A$3:$A$3002,"&gt;="&amp;DATE($B$3,$D$3,1),출퇴근기록!$A$3:$A$3002,"&lt;="&amp;EOMONTH(DATE($B$3,$D$3,1),0)))</f>
        <v/>
      </c>
      <c r="K127" s="19" t="str">
        <f aca="false">IF($A127="","",COUNTIFS(출퇴근기록!$B$3:$B$3002,$A127,출퇴근기록!$I$3:$I$3002,"결근",출퇴근기록!$A$3:$A$3002,"&gt;="&amp;DATE($B$3,$D$3,1),출퇴근기록!$A$3:$A$3002,"&lt;="&amp;EOMONTH(DATE($B$3,$D$3,1),0)))</f>
        <v/>
      </c>
    </row>
    <row r="128" customFormat="false" ht="15" hidden="false" customHeight="true" outlineLevel="0" collapsed="false">
      <c r="A128" s="13" t="str">
        <f aca="false">IF(직원목록!$A125="","",직원목록!$A125)</f>
        <v/>
      </c>
      <c r="B128" s="13" t="str">
        <f aca="false">IF($A128="","",직원목록!$B125)</f>
        <v/>
      </c>
      <c r="C128" s="13" t="str">
        <f aca="false">IF($A128="","",직원목록!$C125)</f>
        <v/>
      </c>
      <c r="D128" s="19" t="str">
        <f aca="false">IF($A128="","",COUNTIFS(출퇴근기록!$B$3:$B$3002,$A128,출퇴근기록!$H$3:$H$3002,"&gt;0",출퇴근기록!$A$3:$A$3002,"&gt;="&amp;DATE($B$3,$D$3,1),출퇴근기록!$A$3:$A$3002,"&lt;="&amp;EOMONTH(DATE($B$3,$D$3,1),0)))</f>
        <v/>
      </c>
      <c r="E128" s="16" t="str">
        <f aca="false">IF($A128="","",ROUND(SUMIFS(출퇴근기록!$H$3:$H$3002,출퇴근기록!$B$3:$B$3002,$A128,출퇴근기록!$I$3:$I$3002,"평일",출퇴근기록!$A$3:$A$3002,"&gt;="&amp;DATE($B$3,$D$3,1),출퇴근기록!$A$3:$A$3002,"&lt;="&amp;EOMONTH(DATE($B$3,$D$3,1),0)),2))</f>
        <v/>
      </c>
      <c r="F128" s="16" t="str">
        <f aca="false">IF($A128="","",ROUND(SUMIFS(출퇴근기록!$H$3:$H$3002,출퇴근기록!$B$3:$B$3002,$A128,출퇴근기록!$I$3:$I$3002,"휴일",출퇴근기록!$A$3:$A$3002,"&gt;="&amp;DATE($B$3,$D$3,1),출퇴근기록!$A$3:$A$3002,"&lt;="&amp;EOMONTH(DATE($B$3,$D$3,1),0)),2))</f>
        <v/>
      </c>
      <c r="G128" s="16" t="str">
        <f aca="false">IF($A128="","",ROUND(SUMIFS(출퇴근기록!$H$3:$H$3002,출퇴근기록!$B$3:$B$3002,$A128,출퇴근기록!$A$3:$A$3002,"&gt;="&amp;DATE($B$3,$D$3,1),출퇴근기록!$A$3:$A$3002,"&lt;="&amp;EOMONTH(DATE($B$3,$D$3,1),0)),2))</f>
        <v/>
      </c>
      <c r="H128" s="16" t="str">
        <f aca="false">IF($A128="","",ROUND($D128*IF(직원목록!$F125="",8,직원목록!$F125),2))</f>
        <v/>
      </c>
      <c r="I128" s="16" t="str">
        <f aca="false">IF($A128="","",ROUND($G128-$H128,2))</f>
        <v/>
      </c>
      <c r="J128" s="19" t="str">
        <f aca="false">IF($A128="","",COUNTIFS(출퇴근기록!$B$3:$B$3002,$A128,출퇴근기록!$I$3:$I$3002,"연차",출퇴근기록!$A$3:$A$3002,"&gt;="&amp;DATE($B$3,$D$3,1),출퇴근기록!$A$3:$A$3002,"&lt;="&amp;EOMONTH(DATE($B$3,$D$3,1),0)))</f>
        <v/>
      </c>
      <c r="K128" s="19" t="str">
        <f aca="false">IF($A128="","",COUNTIFS(출퇴근기록!$B$3:$B$3002,$A128,출퇴근기록!$I$3:$I$3002,"결근",출퇴근기록!$A$3:$A$3002,"&gt;="&amp;DATE($B$3,$D$3,1),출퇴근기록!$A$3:$A$3002,"&lt;="&amp;EOMONTH(DATE($B$3,$D$3,1),0)))</f>
        <v/>
      </c>
    </row>
    <row r="129" customFormat="false" ht="15" hidden="false" customHeight="true" outlineLevel="0" collapsed="false">
      <c r="A129" s="13" t="str">
        <f aca="false">IF(직원목록!$A126="","",직원목록!$A126)</f>
        <v/>
      </c>
      <c r="B129" s="13" t="str">
        <f aca="false">IF($A129="","",직원목록!$B126)</f>
        <v/>
      </c>
      <c r="C129" s="13" t="str">
        <f aca="false">IF($A129="","",직원목록!$C126)</f>
        <v/>
      </c>
      <c r="D129" s="19" t="str">
        <f aca="false">IF($A129="","",COUNTIFS(출퇴근기록!$B$3:$B$3002,$A129,출퇴근기록!$H$3:$H$3002,"&gt;0",출퇴근기록!$A$3:$A$3002,"&gt;="&amp;DATE($B$3,$D$3,1),출퇴근기록!$A$3:$A$3002,"&lt;="&amp;EOMONTH(DATE($B$3,$D$3,1),0)))</f>
        <v/>
      </c>
      <c r="E129" s="16" t="str">
        <f aca="false">IF($A129="","",ROUND(SUMIFS(출퇴근기록!$H$3:$H$3002,출퇴근기록!$B$3:$B$3002,$A129,출퇴근기록!$I$3:$I$3002,"평일",출퇴근기록!$A$3:$A$3002,"&gt;="&amp;DATE($B$3,$D$3,1),출퇴근기록!$A$3:$A$3002,"&lt;="&amp;EOMONTH(DATE($B$3,$D$3,1),0)),2))</f>
        <v/>
      </c>
      <c r="F129" s="16" t="str">
        <f aca="false">IF($A129="","",ROUND(SUMIFS(출퇴근기록!$H$3:$H$3002,출퇴근기록!$B$3:$B$3002,$A129,출퇴근기록!$I$3:$I$3002,"휴일",출퇴근기록!$A$3:$A$3002,"&gt;="&amp;DATE($B$3,$D$3,1),출퇴근기록!$A$3:$A$3002,"&lt;="&amp;EOMONTH(DATE($B$3,$D$3,1),0)),2))</f>
        <v/>
      </c>
      <c r="G129" s="16" t="str">
        <f aca="false">IF($A129="","",ROUND(SUMIFS(출퇴근기록!$H$3:$H$3002,출퇴근기록!$B$3:$B$3002,$A129,출퇴근기록!$A$3:$A$3002,"&gt;="&amp;DATE($B$3,$D$3,1),출퇴근기록!$A$3:$A$3002,"&lt;="&amp;EOMONTH(DATE($B$3,$D$3,1),0)),2))</f>
        <v/>
      </c>
      <c r="H129" s="16" t="str">
        <f aca="false">IF($A129="","",ROUND($D129*IF(직원목록!$F126="",8,직원목록!$F126),2))</f>
        <v/>
      </c>
      <c r="I129" s="16" t="str">
        <f aca="false">IF($A129="","",ROUND($G129-$H129,2))</f>
        <v/>
      </c>
      <c r="J129" s="19" t="str">
        <f aca="false">IF($A129="","",COUNTIFS(출퇴근기록!$B$3:$B$3002,$A129,출퇴근기록!$I$3:$I$3002,"연차",출퇴근기록!$A$3:$A$3002,"&gt;="&amp;DATE($B$3,$D$3,1),출퇴근기록!$A$3:$A$3002,"&lt;="&amp;EOMONTH(DATE($B$3,$D$3,1),0)))</f>
        <v/>
      </c>
      <c r="K129" s="19" t="str">
        <f aca="false">IF($A129="","",COUNTIFS(출퇴근기록!$B$3:$B$3002,$A129,출퇴근기록!$I$3:$I$3002,"결근",출퇴근기록!$A$3:$A$3002,"&gt;="&amp;DATE($B$3,$D$3,1),출퇴근기록!$A$3:$A$3002,"&lt;="&amp;EOMONTH(DATE($B$3,$D$3,1),0)))</f>
        <v/>
      </c>
    </row>
    <row r="130" customFormat="false" ht="15" hidden="false" customHeight="true" outlineLevel="0" collapsed="false">
      <c r="A130" s="13" t="str">
        <f aca="false">IF(직원목록!$A127="","",직원목록!$A127)</f>
        <v/>
      </c>
      <c r="B130" s="13" t="str">
        <f aca="false">IF($A130="","",직원목록!$B127)</f>
        <v/>
      </c>
      <c r="C130" s="13" t="str">
        <f aca="false">IF($A130="","",직원목록!$C127)</f>
        <v/>
      </c>
      <c r="D130" s="19" t="str">
        <f aca="false">IF($A130="","",COUNTIFS(출퇴근기록!$B$3:$B$3002,$A130,출퇴근기록!$H$3:$H$3002,"&gt;0",출퇴근기록!$A$3:$A$3002,"&gt;="&amp;DATE($B$3,$D$3,1),출퇴근기록!$A$3:$A$3002,"&lt;="&amp;EOMONTH(DATE($B$3,$D$3,1),0)))</f>
        <v/>
      </c>
      <c r="E130" s="16" t="str">
        <f aca="false">IF($A130="","",ROUND(SUMIFS(출퇴근기록!$H$3:$H$3002,출퇴근기록!$B$3:$B$3002,$A130,출퇴근기록!$I$3:$I$3002,"평일",출퇴근기록!$A$3:$A$3002,"&gt;="&amp;DATE($B$3,$D$3,1),출퇴근기록!$A$3:$A$3002,"&lt;="&amp;EOMONTH(DATE($B$3,$D$3,1),0)),2))</f>
        <v/>
      </c>
      <c r="F130" s="16" t="str">
        <f aca="false">IF($A130="","",ROUND(SUMIFS(출퇴근기록!$H$3:$H$3002,출퇴근기록!$B$3:$B$3002,$A130,출퇴근기록!$I$3:$I$3002,"휴일",출퇴근기록!$A$3:$A$3002,"&gt;="&amp;DATE($B$3,$D$3,1),출퇴근기록!$A$3:$A$3002,"&lt;="&amp;EOMONTH(DATE($B$3,$D$3,1),0)),2))</f>
        <v/>
      </c>
      <c r="G130" s="16" t="str">
        <f aca="false">IF($A130="","",ROUND(SUMIFS(출퇴근기록!$H$3:$H$3002,출퇴근기록!$B$3:$B$3002,$A130,출퇴근기록!$A$3:$A$3002,"&gt;="&amp;DATE($B$3,$D$3,1),출퇴근기록!$A$3:$A$3002,"&lt;="&amp;EOMONTH(DATE($B$3,$D$3,1),0)),2))</f>
        <v/>
      </c>
      <c r="H130" s="16" t="str">
        <f aca="false">IF($A130="","",ROUND($D130*IF(직원목록!$F127="",8,직원목록!$F127),2))</f>
        <v/>
      </c>
      <c r="I130" s="16" t="str">
        <f aca="false">IF($A130="","",ROUND($G130-$H130,2))</f>
        <v/>
      </c>
      <c r="J130" s="19" t="str">
        <f aca="false">IF($A130="","",COUNTIFS(출퇴근기록!$B$3:$B$3002,$A130,출퇴근기록!$I$3:$I$3002,"연차",출퇴근기록!$A$3:$A$3002,"&gt;="&amp;DATE($B$3,$D$3,1),출퇴근기록!$A$3:$A$3002,"&lt;="&amp;EOMONTH(DATE($B$3,$D$3,1),0)))</f>
        <v/>
      </c>
      <c r="K130" s="19" t="str">
        <f aca="false">IF($A130="","",COUNTIFS(출퇴근기록!$B$3:$B$3002,$A130,출퇴근기록!$I$3:$I$3002,"결근",출퇴근기록!$A$3:$A$3002,"&gt;="&amp;DATE($B$3,$D$3,1),출퇴근기록!$A$3:$A$3002,"&lt;="&amp;EOMONTH(DATE($B$3,$D$3,1),0)))</f>
        <v/>
      </c>
    </row>
    <row r="131" customFormat="false" ht="15" hidden="false" customHeight="true" outlineLevel="0" collapsed="false">
      <c r="A131" s="13" t="str">
        <f aca="false">IF(직원목록!$A128="","",직원목록!$A128)</f>
        <v/>
      </c>
      <c r="B131" s="13" t="str">
        <f aca="false">IF($A131="","",직원목록!$B128)</f>
        <v/>
      </c>
      <c r="C131" s="13" t="str">
        <f aca="false">IF($A131="","",직원목록!$C128)</f>
        <v/>
      </c>
      <c r="D131" s="19" t="str">
        <f aca="false">IF($A131="","",COUNTIFS(출퇴근기록!$B$3:$B$3002,$A131,출퇴근기록!$H$3:$H$3002,"&gt;0",출퇴근기록!$A$3:$A$3002,"&gt;="&amp;DATE($B$3,$D$3,1),출퇴근기록!$A$3:$A$3002,"&lt;="&amp;EOMONTH(DATE($B$3,$D$3,1),0)))</f>
        <v/>
      </c>
      <c r="E131" s="16" t="str">
        <f aca="false">IF($A131="","",ROUND(SUMIFS(출퇴근기록!$H$3:$H$3002,출퇴근기록!$B$3:$B$3002,$A131,출퇴근기록!$I$3:$I$3002,"평일",출퇴근기록!$A$3:$A$3002,"&gt;="&amp;DATE($B$3,$D$3,1),출퇴근기록!$A$3:$A$3002,"&lt;="&amp;EOMONTH(DATE($B$3,$D$3,1),0)),2))</f>
        <v/>
      </c>
      <c r="F131" s="16" t="str">
        <f aca="false">IF($A131="","",ROUND(SUMIFS(출퇴근기록!$H$3:$H$3002,출퇴근기록!$B$3:$B$3002,$A131,출퇴근기록!$I$3:$I$3002,"휴일",출퇴근기록!$A$3:$A$3002,"&gt;="&amp;DATE($B$3,$D$3,1),출퇴근기록!$A$3:$A$3002,"&lt;="&amp;EOMONTH(DATE($B$3,$D$3,1),0)),2))</f>
        <v/>
      </c>
      <c r="G131" s="16" t="str">
        <f aca="false">IF($A131="","",ROUND(SUMIFS(출퇴근기록!$H$3:$H$3002,출퇴근기록!$B$3:$B$3002,$A131,출퇴근기록!$A$3:$A$3002,"&gt;="&amp;DATE($B$3,$D$3,1),출퇴근기록!$A$3:$A$3002,"&lt;="&amp;EOMONTH(DATE($B$3,$D$3,1),0)),2))</f>
        <v/>
      </c>
      <c r="H131" s="16" t="str">
        <f aca="false">IF($A131="","",ROUND($D131*IF(직원목록!$F128="",8,직원목록!$F128),2))</f>
        <v/>
      </c>
      <c r="I131" s="16" t="str">
        <f aca="false">IF($A131="","",ROUND($G131-$H131,2))</f>
        <v/>
      </c>
      <c r="J131" s="19" t="str">
        <f aca="false">IF($A131="","",COUNTIFS(출퇴근기록!$B$3:$B$3002,$A131,출퇴근기록!$I$3:$I$3002,"연차",출퇴근기록!$A$3:$A$3002,"&gt;="&amp;DATE($B$3,$D$3,1),출퇴근기록!$A$3:$A$3002,"&lt;="&amp;EOMONTH(DATE($B$3,$D$3,1),0)))</f>
        <v/>
      </c>
      <c r="K131" s="19" t="str">
        <f aca="false">IF($A131="","",COUNTIFS(출퇴근기록!$B$3:$B$3002,$A131,출퇴근기록!$I$3:$I$3002,"결근",출퇴근기록!$A$3:$A$3002,"&gt;="&amp;DATE($B$3,$D$3,1),출퇴근기록!$A$3:$A$3002,"&lt;="&amp;EOMONTH(DATE($B$3,$D$3,1),0)))</f>
        <v/>
      </c>
    </row>
    <row r="132" customFormat="false" ht="15" hidden="false" customHeight="true" outlineLevel="0" collapsed="false">
      <c r="A132" s="13" t="str">
        <f aca="false">IF(직원목록!$A129="","",직원목록!$A129)</f>
        <v/>
      </c>
      <c r="B132" s="13" t="str">
        <f aca="false">IF($A132="","",직원목록!$B129)</f>
        <v/>
      </c>
      <c r="C132" s="13" t="str">
        <f aca="false">IF($A132="","",직원목록!$C129)</f>
        <v/>
      </c>
      <c r="D132" s="19" t="str">
        <f aca="false">IF($A132="","",COUNTIFS(출퇴근기록!$B$3:$B$3002,$A132,출퇴근기록!$H$3:$H$3002,"&gt;0",출퇴근기록!$A$3:$A$3002,"&gt;="&amp;DATE($B$3,$D$3,1),출퇴근기록!$A$3:$A$3002,"&lt;="&amp;EOMONTH(DATE($B$3,$D$3,1),0)))</f>
        <v/>
      </c>
      <c r="E132" s="16" t="str">
        <f aca="false">IF($A132="","",ROUND(SUMIFS(출퇴근기록!$H$3:$H$3002,출퇴근기록!$B$3:$B$3002,$A132,출퇴근기록!$I$3:$I$3002,"평일",출퇴근기록!$A$3:$A$3002,"&gt;="&amp;DATE($B$3,$D$3,1),출퇴근기록!$A$3:$A$3002,"&lt;="&amp;EOMONTH(DATE($B$3,$D$3,1),0)),2))</f>
        <v/>
      </c>
      <c r="F132" s="16" t="str">
        <f aca="false">IF($A132="","",ROUND(SUMIFS(출퇴근기록!$H$3:$H$3002,출퇴근기록!$B$3:$B$3002,$A132,출퇴근기록!$I$3:$I$3002,"휴일",출퇴근기록!$A$3:$A$3002,"&gt;="&amp;DATE($B$3,$D$3,1),출퇴근기록!$A$3:$A$3002,"&lt;="&amp;EOMONTH(DATE($B$3,$D$3,1),0)),2))</f>
        <v/>
      </c>
      <c r="G132" s="16" t="str">
        <f aca="false">IF($A132="","",ROUND(SUMIFS(출퇴근기록!$H$3:$H$3002,출퇴근기록!$B$3:$B$3002,$A132,출퇴근기록!$A$3:$A$3002,"&gt;="&amp;DATE($B$3,$D$3,1),출퇴근기록!$A$3:$A$3002,"&lt;="&amp;EOMONTH(DATE($B$3,$D$3,1),0)),2))</f>
        <v/>
      </c>
      <c r="H132" s="16" t="str">
        <f aca="false">IF($A132="","",ROUND($D132*IF(직원목록!$F129="",8,직원목록!$F129),2))</f>
        <v/>
      </c>
      <c r="I132" s="16" t="str">
        <f aca="false">IF($A132="","",ROUND($G132-$H132,2))</f>
        <v/>
      </c>
      <c r="J132" s="19" t="str">
        <f aca="false">IF($A132="","",COUNTIFS(출퇴근기록!$B$3:$B$3002,$A132,출퇴근기록!$I$3:$I$3002,"연차",출퇴근기록!$A$3:$A$3002,"&gt;="&amp;DATE($B$3,$D$3,1),출퇴근기록!$A$3:$A$3002,"&lt;="&amp;EOMONTH(DATE($B$3,$D$3,1),0)))</f>
        <v/>
      </c>
      <c r="K132" s="19" t="str">
        <f aca="false">IF($A132="","",COUNTIFS(출퇴근기록!$B$3:$B$3002,$A132,출퇴근기록!$I$3:$I$3002,"결근",출퇴근기록!$A$3:$A$3002,"&gt;="&amp;DATE($B$3,$D$3,1),출퇴근기록!$A$3:$A$3002,"&lt;="&amp;EOMONTH(DATE($B$3,$D$3,1),0)))</f>
        <v/>
      </c>
    </row>
    <row r="133" customFormat="false" ht="15" hidden="false" customHeight="true" outlineLevel="0" collapsed="false">
      <c r="A133" s="13" t="str">
        <f aca="false">IF(직원목록!$A130="","",직원목록!$A130)</f>
        <v/>
      </c>
      <c r="B133" s="13" t="str">
        <f aca="false">IF($A133="","",직원목록!$B130)</f>
        <v/>
      </c>
      <c r="C133" s="13" t="str">
        <f aca="false">IF($A133="","",직원목록!$C130)</f>
        <v/>
      </c>
      <c r="D133" s="19" t="str">
        <f aca="false">IF($A133="","",COUNTIFS(출퇴근기록!$B$3:$B$3002,$A133,출퇴근기록!$H$3:$H$3002,"&gt;0",출퇴근기록!$A$3:$A$3002,"&gt;="&amp;DATE($B$3,$D$3,1),출퇴근기록!$A$3:$A$3002,"&lt;="&amp;EOMONTH(DATE($B$3,$D$3,1),0)))</f>
        <v/>
      </c>
      <c r="E133" s="16" t="str">
        <f aca="false">IF($A133="","",ROUND(SUMIFS(출퇴근기록!$H$3:$H$3002,출퇴근기록!$B$3:$B$3002,$A133,출퇴근기록!$I$3:$I$3002,"평일",출퇴근기록!$A$3:$A$3002,"&gt;="&amp;DATE($B$3,$D$3,1),출퇴근기록!$A$3:$A$3002,"&lt;="&amp;EOMONTH(DATE($B$3,$D$3,1),0)),2))</f>
        <v/>
      </c>
      <c r="F133" s="16" t="str">
        <f aca="false">IF($A133="","",ROUND(SUMIFS(출퇴근기록!$H$3:$H$3002,출퇴근기록!$B$3:$B$3002,$A133,출퇴근기록!$I$3:$I$3002,"휴일",출퇴근기록!$A$3:$A$3002,"&gt;="&amp;DATE($B$3,$D$3,1),출퇴근기록!$A$3:$A$3002,"&lt;="&amp;EOMONTH(DATE($B$3,$D$3,1),0)),2))</f>
        <v/>
      </c>
      <c r="G133" s="16" t="str">
        <f aca="false">IF($A133="","",ROUND(SUMIFS(출퇴근기록!$H$3:$H$3002,출퇴근기록!$B$3:$B$3002,$A133,출퇴근기록!$A$3:$A$3002,"&gt;="&amp;DATE($B$3,$D$3,1),출퇴근기록!$A$3:$A$3002,"&lt;="&amp;EOMONTH(DATE($B$3,$D$3,1),0)),2))</f>
        <v/>
      </c>
      <c r="H133" s="16" t="str">
        <f aca="false">IF($A133="","",ROUND($D133*IF(직원목록!$F130="",8,직원목록!$F130),2))</f>
        <v/>
      </c>
      <c r="I133" s="16" t="str">
        <f aca="false">IF($A133="","",ROUND($G133-$H133,2))</f>
        <v/>
      </c>
      <c r="J133" s="19" t="str">
        <f aca="false">IF($A133="","",COUNTIFS(출퇴근기록!$B$3:$B$3002,$A133,출퇴근기록!$I$3:$I$3002,"연차",출퇴근기록!$A$3:$A$3002,"&gt;="&amp;DATE($B$3,$D$3,1),출퇴근기록!$A$3:$A$3002,"&lt;="&amp;EOMONTH(DATE($B$3,$D$3,1),0)))</f>
        <v/>
      </c>
      <c r="K133" s="19" t="str">
        <f aca="false">IF($A133="","",COUNTIFS(출퇴근기록!$B$3:$B$3002,$A133,출퇴근기록!$I$3:$I$3002,"결근",출퇴근기록!$A$3:$A$3002,"&gt;="&amp;DATE($B$3,$D$3,1),출퇴근기록!$A$3:$A$3002,"&lt;="&amp;EOMONTH(DATE($B$3,$D$3,1),0)))</f>
        <v/>
      </c>
    </row>
    <row r="134" customFormat="false" ht="15" hidden="false" customHeight="true" outlineLevel="0" collapsed="false">
      <c r="A134" s="13" t="str">
        <f aca="false">IF(직원목록!$A131="","",직원목록!$A131)</f>
        <v/>
      </c>
      <c r="B134" s="13" t="str">
        <f aca="false">IF($A134="","",직원목록!$B131)</f>
        <v/>
      </c>
      <c r="C134" s="13" t="str">
        <f aca="false">IF($A134="","",직원목록!$C131)</f>
        <v/>
      </c>
      <c r="D134" s="19" t="str">
        <f aca="false">IF($A134="","",COUNTIFS(출퇴근기록!$B$3:$B$3002,$A134,출퇴근기록!$H$3:$H$3002,"&gt;0",출퇴근기록!$A$3:$A$3002,"&gt;="&amp;DATE($B$3,$D$3,1),출퇴근기록!$A$3:$A$3002,"&lt;="&amp;EOMONTH(DATE($B$3,$D$3,1),0)))</f>
        <v/>
      </c>
      <c r="E134" s="16" t="str">
        <f aca="false">IF($A134="","",ROUND(SUMIFS(출퇴근기록!$H$3:$H$3002,출퇴근기록!$B$3:$B$3002,$A134,출퇴근기록!$I$3:$I$3002,"평일",출퇴근기록!$A$3:$A$3002,"&gt;="&amp;DATE($B$3,$D$3,1),출퇴근기록!$A$3:$A$3002,"&lt;="&amp;EOMONTH(DATE($B$3,$D$3,1),0)),2))</f>
        <v/>
      </c>
      <c r="F134" s="16" t="str">
        <f aca="false">IF($A134="","",ROUND(SUMIFS(출퇴근기록!$H$3:$H$3002,출퇴근기록!$B$3:$B$3002,$A134,출퇴근기록!$I$3:$I$3002,"휴일",출퇴근기록!$A$3:$A$3002,"&gt;="&amp;DATE($B$3,$D$3,1),출퇴근기록!$A$3:$A$3002,"&lt;="&amp;EOMONTH(DATE($B$3,$D$3,1),0)),2))</f>
        <v/>
      </c>
      <c r="G134" s="16" t="str">
        <f aca="false">IF($A134="","",ROUND(SUMIFS(출퇴근기록!$H$3:$H$3002,출퇴근기록!$B$3:$B$3002,$A134,출퇴근기록!$A$3:$A$3002,"&gt;="&amp;DATE($B$3,$D$3,1),출퇴근기록!$A$3:$A$3002,"&lt;="&amp;EOMONTH(DATE($B$3,$D$3,1),0)),2))</f>
        <v/>
      </c>
      <c r="H134" s="16" t="str">
        <f aca="false">IF($A134="","",ROUND($D134*IF(직원목록!$F131="",8,직원목록!$F131),2))</f>
        <v/>
      </c>
      <c r="I134" s="16" t="str">
        <f aca="false">IF($A134="","",ROUND($G134-$H134,2))</f>
        <v/>
      </c>
      <c r="J134" s="19" t="str">
        <f aca="false">IF($A134="","",COUNTIFS(출퇴근기록!$B$3:$B$3002,$A134,출퇴근기록!$I$3:$I$3002,"연차",출퇴근기록!$A$3:$A$3002,"&gt;="&amp;DATE($B$3,$D$3,1),출퇴근기록!$A$3:$A$3002,"&lt;="&amp;EOMONTH(DATE($B$3,$D$3,1),0)))</f>
        <v/>
      </c>
      <c r="K134" s="19" t="str">
        <f aca="false">IF($A134="","",COUNTIFS(출퇴근기록!$B$3:$B$3002,$A134,출퇴근기록!$I$3:$I$3002,"결근",출퇴근기록!$A$3:$A$3002,"&gt;="&amp;DATE($B$3,$D$3,1),출퇴근기록!$A$3:$A$3002,"&lt;="&amp;EOMONTH(DATE($B$3,$D$3,1),0)))</f>
        <v/>
      </c>
    </row>
    <row r="135" customFormat="false" ht="15" hidden="false" customHeight="true" outlineLevel="0" collapsed="false">
      <c r="A135" s="13" t="str">
        <f aca="false">IF(직원목록!$A132="","",직원목록!$A132)</f>
        <v/>
      </c>
      <c r="B135" s="13" t="str">
        <f aca="false">IF($A135="","",직원목록!$B132)</f>
        <v/>
      </c>
      <c r="C135" s="13" t="str">
        <f aca="false">IF($A135="","",직원목록!$C132)</f>
        <v/>
      </c>
      <c r="D135" s="19" t="str">
        <f aca="false">IF($A135="","",COUNTIFS(출퇴근기록!$B$3:$B$3002,$A135,출퇴근기록!$H$3:$H$3002,"&gt;0",출퇴근기록!$A$3:$A$3002,"&gt;="&amp;DATE($B$3,$D$3,1),출퇴근기록!$A$3:$A$3002,"&lt;="&amp;EOMONTH(DATE($B$3,$D$3,1),0)))</f>
        <v/>
      </c>
      <c r="E135" s="16" t="str">
        <f aca="false">IF($A135="","",ROUND(SUMIFS(출퇴근기록!$H$3:$H$3002,출퇴근기록!$B$3:$B$3002,$A135,출퇴근기록!$I$3:$I$3002,"평일",출퇴근기록!$A$3:$A$3002,"&gt;="&amp;DATE($B$3,$D$3,1),출퇴근기록!$A$3:$A$3002,"&lt;="&amp;EOMONTH(DATE($B$3,$D$3,1),0)),2))</f>
        <v/>
      </c>
      <c r="F135" s="16" t="str">
        <f aca="false">IF($A135="","",ROUND(SUMIFS(출퇴근기록!$H$3:$H$3002,출퇴근기록!$B$3:$B$3002,$A135,출퇴근기록!$I$3:$I$3002,"휴일",출퇴근기록!$A$3:$A$3002,"&gt;="&amp;DATE($B$3,$D$3,1),출퇴근기록!$A$3:$A$3002,"&lt;="&amp;EOMONTH(DATE($B$3,$D$3,1),0)),2))</f>
        <v/>
      </c>
      <c r="G135" s="16" t="str">
        <f aca="false">IF($A135="","",ROUND(SUMIFS(출퇴근기록!$H$3:$H$3002,출퇴근기록!$B$3:$B$3002,$A135,출퇴근기록!$A$3:$A$3002,"&gt;="&amp;DATE($B$3,$D$3,1),출퇴근기록!$A$3:$A$3002,"&lt;="&amp;EOMONTH(DATE($B$3,$D$3,1),0)),2))</f>
        <v/>
      </c>
      <c r="H135" s="16" t="str">
        <f aca="false">IF($A135="","",ROUND($D135*IF(직원목록!$F132="",8,직원목록!$F132),2))</f>
        <v/>
      </c>
      <c r="I135" s="16" t="str">
        <f aca="false">IF($A135="","",ROUND($G135-$H135,2))</f>
        <v/>
      </c>
      <c r="J135" s="19" t="str">
        <f aca="false">IF($A135="","",COUNTIFS(출퇴근기록!$B$3:$B$3002,$A135,출퇴근기록!$I$3:$I$3002,"연차",출퇴근기록!$A$3:$A$3002,"&gt;="&amp;DATE($B$3,$D$3,1),출퇴근기록!$A$3:$A$3002,"&lt;="&amp;EOMONTH(DATE($B$3,$D$3,1),0)))</f>
        <v/>
      </c>
      <c r="K135" s="19" t="str">
        <f aca="false">IF($A135="","",COUNTIFS(출퇴근기록!$B$3:$B$3002,$A135,출퇴근기록!$I$3:$I$3002,"결근",출퇴근기록!$A$3:$A$3002,"&gt;="&amp;DATE($B$3,$D$3,1),출퇴근기록!$A$3:$A$3002,"&lt;="&amp;EOMONTH(DATE($B$3,$D$3,1),0)))</f>
        <v/>
      </c>
    </row>
    <row r="136" customFormat="false" ht="15" hidden="false" customHeight="true" outlineLevel="0" collapsed="false">
      <c r="A136" s="13" t="str">
        <f aca="false">IF(직원목록!$A133="","",직원목록!$A133)</f>
        <v/>
      </c>
      <c r="B136" s="13" t="str">
        <f aca="false">IF($A136="","",직원목록!$B133)</f>
        <v/>
      </c>
      <c r="C136" s="13" t="str">
        <f aca="false">IF($A136="","",직원목록!$C133)</f>
        <v/>
      </c>
      <c r="D136" s="19" t="str">
        <f aca="false">IF($A136="","",COUNTIFS(출퇴근기록!$B$3:$B$3002,$A136,출퇴근기록!$H$3:$H$3002,"&gt;0",출퇴근기록!$A$3:$A$3002,"&gt;="&amp;DATE($B$3,$D$3,1),출퇴근기록!$A$3:$A$3002,"&lt;="&amp;EOMONTH(DATE($B$3,$D$3,1),0)))</f>
        <v/>
      </c>
      <c r="E136" s="16" t="str">
        <f aca="false">IF($A136="","",ROUND(SUMIFS(출퇴근기록!$H$3:$H$3002,출퇴근기록!$B$3:$B$3002,$A136,출퇴근기록!$I$3:$I$3002,"평일",출퇴근기록!$A$3:$A$3002,"&gt;="&amp;DATE($B$3,$D$3,1),출퇴근기록!$A$3:$A$3002,"&lt;="&amp;EOMONTH(DATE($B$3,$D$3,1),0)),2))</f>
        <v/>
      </c>
      <c r="F136" s="16" t="str">
        <f aca="false">IF($A136="","",ROUND(SUMIFS(출퇴근기록!$H$3:$H$3002,출퇴근기록!$B$3:$B$3002,$A136,출퇴근기록!$I$3:$I$3002,"휴일",출퇴근기록!$A$3:$A$3002,"&gt;="&amp;DATE($B$3,$D$3,1),출퇴근기록!$A$3:$A$3002,"&lt;="&amp;EOMONTH(DATE($B$3,$D$3,1),0)),2))</f>
        <v/>
      </c>
      <c r="G136" s="16" t="str">
        <f aca="false">IF($A136="","",ROUND(SUMIFS(출퇴근기록!$H$3:$H$3002,출퇴근기록!$B$3:$B$3002,$A136,출퇴근기록!$A$3:$A$3002,"&gt;="&amp;DATE($B$3,$D$3,1),출퇴근기록!$A$3:$A$3002,"&lt;="&amp;EOMONTH(DATE($B$3,$D$3,1),0)),2))</f>
        <v/>
      </c>
      <c r="H136" s="16" t="str">
        <f aca="false">IF($A136="","",ROUND($D136*IF(직원목록!$F133="",8,직원목록!$F133),2))</f>
        <v/>
      </c>
      <c r="I136" s="16" t="str">
        <f aca="false">IF($A136="","",ROUND($G136-$H136,2))</f>
        <v/>
      </c>
      <c r="J136" s="19" t="str">
        <f aca="false">IF($A136="","",COUNTIFS(출퇴근기록!$B$3:$B$3002,$A136,출퇴근기록!$I$3:$I$3002,"연차",출퇴근기록!$A$3:$A$3002,"&gt;="&amp;DATE($B$3,$D$3,1),출퇴근기록!$A$3:$A$3002,"&lt;="&amp;EOMONTH(DATE($B$3,$D$3,1),0)))</f>
        <v/>
      </c>
      <c r="K136" s="19" t="str">
        <f aca="false">IF($A136="","",COUNTIFS(출퇴근기록!$B$3:$B$3002,$A136,출퇴근기록!$I$3:$I$3002,"결근",출퇴근기록!$A$3:$A$3002,"&gt;="&amp;DATE($B$3,$D$3,1),출퇴근기록!$A$3:$A$3002,"&lt;="&amp;EOMONTH(DATE($B$3,$D$3,1),0)))</f>
        <v/>
      </c>
    </row>
    <row r="137" customFormat="false" ht="15" hidden="false" customHeight="true" outlineLevel="0" collapsed="false">
      <c r="A137" s="13" t="str">
        <f aca="false">IF(직원목록!$A134="","",직원목록!$A134)</f>
        <v/>
      </c>
      <c r="B137" s="13" t="str">
        <f aca="false">IF($A137="","",직원목록!$B134)</f>
        <v/>
      </c>
      <c r="C137" s="13" t="str">
        <f aca="false">IF($A137="","",직원목록!$C134)</f>
        <v/>
      </c>
      <c r="D137" s="19" t="str">
        <f aca="false">IF($A137="","",COUNTIFS(출퇴근기록!$B$3:$B$3002,$A137,출퇴근기록!$H$3:$H$3002,"&gt;0",출퇴근기록!$A$3:$A$3002,"&gt;="&amp;DATE($B$3,$D$3,1),출퇴근기록!$A$3:$A$3002,"&lt;="&amp;EOMONTH(DATE($B$3,$D$3,1),0)))</f>
        <v/>
      </c>
      <c r="E137" s="16" t="str">
        <f aca="false">IF($A137="","",ROUND(SUMIFS(출퇴근기록!$H$3:$H$3002,출퇴근기록!$B$3:$B$3002,$A137,출퇴근기록!$I$3:$I$3002,"평일",출퇴근기록!$A$3:$A$3002,"&gt;="&amp;DATE($B$3,$D$3,1),출퇴근기록!$A$3:$A$3002,"&lt;="&amp;EOMONTH(DATE($B$3,$D$3,1),0)),2))</f>
        <v/>
      </c>
      <c r="F137" s="16" t="str">
        <f aca="false">IF($A137="","",ROUND(SUMIFS(출퇴근기록!$H$3:$H$3002,출퇴근기록!$B$3:$B$3002,$A137,출퇴근기록!$I$3:$I$3002,"휴일",출퇴근기록!$A$3:$A$3002,"&gt;="&amp;DATE($B$3,$D$3,1),출퇴근기록!$A$3:$A$3002,"&lt;="&amp;EOMONTH(DATE($B$3,$D$3,1),0)),2))</f>
        <v/>
      </c>
      <c r="G137" s="16" t="str">
        <f aca="false">IF($A137="","",ROUND(SUMIFS(출퇴근기록!$H$3:$H$3002,출퇴근기록!$B$3:$B$3002,$A137,출퇴근기록!$A$3:$A$3002,"&gt;="&amp;DATE($B$3,$D$3,1),출퇴근기록!$A$3:$A$3002,"&lt;="&amp;EOMONTH(DATE($B$3,$D$3,1),0)),2))</f>
        <v/>
      </c>
      <c r="H137" s="16" t="str">
        <f aca="false">IF($A137="","",ROUND($D137*IF(직원목록!$F134="",8,직원목록!$F134),2))</f>
        <v/>
      </c>
      <c r="I137" s="16" t="str">
        <f aca="false">IF($A137="","",ROUND($G137-$H137,2))</f>
        <v/>
      </c>
      <c r="J137" s="19" t="str">
        <f aca="false">IF($A137="","",COUNTIFS(출퇴근기록!$B$3:$B$3002,$A137,출퇴근기록!$I$3:$I$3002,"연차",출퇴근기록!$A$3:$A$3002,"&gt;="&amp;DATE($B$3,$D$3,1),출퇴근기록!$A$3:$A$3002,"&lt;="&amp;EOMONTH(DATE($B$3,$D$3,1),0)))</f>
        <v/>
      </c>
      <c r="K137" s="19" t="str">
        <f aca="false">IF($A137="","",COUNTIFS(출퇴근기록!$B$3:$B$3002,$A137,출퇴근기록!$I$3:$I$3002,"결근",출퇴근기록!$A$3:$A$3002,"&gt;="&amp;DATE($B$3,$D$3,1),출퇴근기록!$A$3:$A$3002,"&lt;="&amp;EOMONTH(DATE($B$3,$D$3,1),0)))</f>
        <v/>
      </c>
    </row>
    <row r="138" customFormat="false" ht="15" hidden="false" customHeight="true" outlineLevel="0" collapsed="false">
      <c r="A138" s="13" t="str">
        <f aca="false">IF(직원목록!$A135="","",직원목록!$A135)</f>
        <v/>
      </c>
      <c r="B138" s="13" t="str">
        <f aca="false">IF($A138="","",직원목록!$B135)</f>
        <v/>
      </c>
      <c r="C138" s="13" t="str">
        <f aca="false">IF($A138="","",직원목록!$C135)</f>
        <v/>
      </c>
      <c r="D138" s="19" t="str">
        <f aca="false">IF($A138="","",COUNTIFS(출퇴근기록!$B$3:$B$3002,$A138,출퇴근기록!$H$3:$H$3002,"&gt;0",출퇴근기록!$A$3:$A$3002,"&gt;="&amp;DATE($B$3,$D$3,1),출퇴근기록!$A$3:$A$3002,"&lt;="&amp;EOMONTH(DATE($B$3,$D$3,1),0)))</f>
        <v/>
      </c>
      <c r="E138" s="16" t="str">
        <f aca="false">IF($A138="","",ROUND(SUMIFS(출퇴근기록!$H$3:$H$3002,출퇴근기록!$B$3:$B$3002,$A138,출퇴근기록!$I$3:$I$3002,"평일",출퇴근기록!$A$3:$A$3002,"&gt;="&amp;DATE($B$3,$D$3,1),출퇴근기록!$A$3:$A$3002,"&lt;="&amp;EOMONTH(DATE($B$3,$D$3,1),0)),2))</f>
        <v/>
      </c>
      <c r="F138" s="16" t="str">
        <f aca="false">IF($A138="","",ROUND(SUMIFS(출퇴근기록!$H$3:$H$3002,출퇴근기록!$B$3:$B$3002,$A138,출퇴근기록!$I$3:$I$3002,"휴일",출퇴근기록!$A$3:$A$3002,"&gt;="&amp;DATE($B$3,$D$3,1),출퇴근기록!$A$3:$A$3002,"&lt;="&amp;EOMONTH(DATE($B$3,$D$3,1),0)),2))</f>
        <v/>
      </c>
      <c r="G138" s="16" t="str">
        <f aca="false">IF($A138="","",ROUND(SUMIFS(출퇴근기록!$H$3:$H$3002,출퇴근기록!$B$3:$B$3002,$A138,출퇴근기록!$A$3:$A$3002,"&gt;="&amp;DATE($B$3,$D$3,1),출퇴근기록!$A$3:$A$3002,"&lt;="&amp;EOMONTH(DATE($B$3,$D$3,1),0)),2))</f>
        <v/>
      </c>
      <c r="H138" s="16" t="str">
        <f aca="false">IF($A138="","",ROUND($D138*IF(직원목록!$F135="",8,직원목록!$F135),2))</f>
        <v/>
      </c>
      <c r="I138" s="16" t="str">
        <f aca="false">IF($A138="","",ROUND($G138-$H138,2))</f>
        <v/>
      </c>
      <c r="J138" s="19" t="str">
        <f aca="false">IF($A138="","",COUNTIFS(출퇴근기록!$B$3:$B$3002,$A138,출퇴근기록!$I$3:$I$3002,"연차",출퇴근기록!$A$3:$A$3002,"&gt;="&amp;DATE($B$3,$D$3,1),출퇴근기록!$A$3:$A$3002,"&lt;="&amp;EOMONTH(DATE($B$3,$D$3,1),0)))</f>
        <v/>
      </c>
      <c r="K138" s="19" t="str">
        <f aca="false">IF($A138="","",COUNTIFS(출퇴근기록!$B$3:$B$3002,$A138,출퇴근기록!$I$3:$I$3002,"결근",출퇴근기록!$A$3:$A$3002,"&gt;="&amp;DATE($B$3,$D$3,1),출퇴근기록!$A$3:$A$3002,"&lt;="&amp;EOMONTH(DATE($B$3,$D$3,1),0)))</f>
        <v/>
      </c>
    </row>
    <row r="139" customFormat="false" ht="15" hidden="false" customHeight="true" outlineLevel="0" collapsed="false">
      <c r="A139" s="13" t="str">
        <f aca="false">IF(직원목록!$A136="","",직원목록!$A136)</f>
        <v/>
      </c>
      <c r="B139" s="13" t="str">
        <f aca="false">IF($A139="","",직원목록!$B136)</f>
        <v/>
      </c>
      <c r="C139" s="13" t="str">
        <f aca="false">IF($A139="","",직원목록!$C136)</f>
        <v/>
      </c>
      <c r="D139" s="19" t="str">
        <f aca="false">IF($A139="","",COUNTIFS(출퇴근기록!$B$3:$B$3002,$A139,출퇴근기록!$H$3:$H$3002,"&gt;0",출퇴근기록!$A$3:$A$3002,"&gt;="&amp;DATE($B$3,$D$3,1),출퇴근기록!$A$3:$A$3002,"&lt;="&amp;EOMONTH(DATE($B$3,$D$3,1),0)))</f>
        <v/>
      </c>
      <c r="E139" s="16" t="str">
        <f aca="false">IF($A139="","",ROUND(SUMIFS(출퇴근기록!$H$3:$H$3002,출퇴근기록!$B$3:$B$3002,$A139,출퇴근기록!$I$3:$I$3002,"평일",출퇴근기록!$A$3:$A$3002,"&gt;="&amp;DATE($B$3,$D$3,1),출퇴근기록!$A$3:$A$3002,"&lt;="&amp;EOMONTH(DATE($B$3,$D$3,1),0)),2))</f>
        <v/>
      </c>
      <c r="F139" s="16" t="str">
        <f aca="false">IF($A139="","",ROUND(SUMIFS(출퇴근기록!$H$3:$H$3002,출퇴근기록!$B$3:$B$3002,$A139,출퇴근기록!$I$3:$I$3002,"휴일",출퇴근기록!$A$3:$A$3002,"&gt;="&amp;DATE($B$3,$D$3,1),출퇴근기록!$A$3:$A$3002,"&lt;="&amp;EOMONTH(DATE($B$3,$D$3,1),0)),2))</f>
        <v/>
      </c>
      <c r="G139" s="16" t="str">
        <f aca="false">IF($A139="","",ROUND(SUMIFS(출퇴근기록!$H$3:$H$3002,출퇴근기록!$B$3:$B$3002,$A139,출퇴근기록!$A$3:$A$3002,"&gt;="&amp;DATE($B$3,$D$3,1),출퇴근기록!$A$3:$A$3002,"&lt;="&amp;EOMONTH(DATE($B$3,$D$3,1),0)),2))</f>
        <v/>
      </c>
      <c r="H139" s="16" t="str">
        <f aca="false">IF($A139="","",ROUND($D139*IF(직원목록!$F136="",8,직원목록!$F136),2))</f>
        <v/>
      </c>
      <c r="I139" s="16" t="str">
        <f aca="false">IF($A139="","",ROUND($G139-$H139,2))</f>
        <v/>
      </c>
      <c r="J139" s="19" t="str">
        <f aca="false">IF($A139="","",COUNTIFS(출퇴근기록!$B$3:$B$3002,$A139,출퇴근기록!$I$3:$I$3002,"연차",출퇴근기록!$A$3:$A$3002,"&gt;="&amp;DATE($B$3,$D$3,1),출퇴근기록!$A$3:$A$3002,"&lt;="&amp;EOMONTH(DATE($B$3,$D$3,1),0)))</f>
        <v/>
      </c>
      <c r="K139" s="19" t="str">
        <f aca="false">IF($A139="","",COUNTIFS(출퇴근기록!$B$3:$B$3002,$A139,출퇴근기록!$I$3:$I$3002,"결근",출퇴근기록!$A$3:$A$3002,"&gt;="&amp;DATE($B$3,$D$3,1),출퇴근기록!$A$3:$A$3002,"&lt;="&amp;EOMONTH(DATE($B$3,$D$3,1),0)))</f>
        <v/>
      </c>
    </row>
    <row r="140" customFormat="false" ht="15" hidden="false" customHeight="true" outlineLevel="0" collapsed="false">
      <c r="A140" s="13" t="str">
        <f aca="false">IF(직원목록!$A137="","",직원목록!$A137)</f>
        <v/>
      </c>
      <c r="B140" s="13" t="str">
        <f aca="false">IF($A140="","",직원목록!$B137)</f>
        <v/>
      </c>
      <c r="C140" s="13" t="str">
        <f aca="false">IF($A140="","",직원목록!$C137)</f>
        <v/>
      </c>
      <c r="D140" s="19" t="str">
        <f aca="false">IF($A140="","",COUNTIFS(출퇴근기록!$B$3:$B$3002,$A140,출퇴근기록!$H$3:$H$3002,"&gt;0",출퇴근기록!$A$3:$A$3002,"&gt;="&amp;DATE($B$3,$D$3,1),출퇴근기록!$A$3:$A$3002,"&lt;="&amp;EOMONTH(DATE($B$3,$D$3,1),0)))</f>
        <v/>
      </c>
      <c r="E140" s="16" t="str">
        <f aca="false">IF($A140="","",ROUND(SUMIFS(출퇴근기록!$H$3:$H$3002,출퇴근기록!$B$3:$B$3002,$A140,출퇴근기록!$I$3:$I$3002,"평일",출퇴근기록!$A$3:$A$3002,"&gt;="&amp;DATE($B$3,$D$3,1),출퇴근기록!$A$3:$A$3002,"&lt;="&amp;EOMONTH(DATE($B$3,$D$3,1),0)),2))</f>
        <v/>
      </c>
      <c r="F140" s="16" t="str">
        <f aca="false">IF($A140="","",ROUND(SUMIFS(출퇴근기록!$H$3:$H$3002,출퇴근기록!$B$3:$B$3002,$A140,출퇴근기록!$I$3:$I$3002,"휴일",출퇴근기록!$A$3:$A$3002,"&gt;="&amp;DATE($B$3,$D$3,1),출퇴근기록!$A$3:$A$3002,"&lt;="&amp;EOMONTH(DATE($B$3,$D$3,1),0)),2))</f>
        <v/>
      </c>
      <c r="G140" s="16" t="str">
        <f aca="false">IF($A140="","",ROUND(SUMIFS(출퇴근기록!$H$3:$H$3002,출퇴근기록!$B$3:$B$3002,$A140,출퇴근기록!$A$3:$A$3002,"&gt;="&amp;DATE($B$3,$D$3,1),출퇴근기록!$A$3:$A$3002,"&lt;="&amp;EOMONTH(DATE($B$3,$D$3,1),0)),2))</f>
        <v/>
      </c>
      <c r="H140" s="16" t="str">
        <f aca="false">IF($A140="","",ROUND($D140*IF(직원목록!$F137="",8,직원목록!$F137),2))</f>
        <v/>
      </c>
      <c r="I140" s="16" t="str">
        <f aca="false">IF($A140="","",ROUND($G140-$H140,2))</f>
        <v/>
      </c>
      <c r="J140" s="19" t="str">
        <f aca="false">IF($A140="","",COUNTIFS(출퇴근기록!$B$3:$B$3002,$A140,출퇴근기록!$I$3:$I$3002,"연차",출퇴근기록!$A$3:$A$3002,"&gt;="&amp;DATE($B$3,$D$3,1),출퇴근기록!$A$3:$A$3002,"&lt;="&amp;EOMONTH(DATE($B$3,$D$3,1),0)))</f>
        <v/>
      </c>
      <c r="K140" s="19" t="str">
        <f aca="false">IF($A140="","",COUNTIFS(출퇴근기록!$B$3:$B$3002,$A140,출퇴근기록!$I$3:$I$3002,"결근",출퇴근기록!$A$3:$A$3002,"&gt;="&amp;DATE($B$3,$D$3,1),출퇴근기록!$A$3:$A$3002,"&lt;="&amp;EOMONTH(DATE($B$3,$D$3,1),0)))</f>
        <v/>
      </c>
    </row>
    <row r="141" customFormat="false" ht="15" hidden="false" customHeight="true" outlineLevel="0" collapsed="false">
      <c r="A141" s="13" t="str">
        <f aca="false">IF(직원목록!$A138="","",직원목록!$A138)</f>
        <v/>
      </c>
      <c r="B141" s="13" t="str">
        <f aca="false">IF($A141="","",직원목록!$B138)</f>
        <v/>
      </c>
      <c r="C141" s="13" t="str">
        <f aca="false">IF($A141="","",직원목록!$C138)</f>
        <v/>
      </c>
      <c r="D141" s="19" t="str">
        <f aca="false">IF($A141="","",COUNTIFS(출퇴근기록!$B$3:$B$3002,$A141,출퇴근기록!$H$3:$H$3002,"&gt;0",출퇴근기록!$A$3:$A$3002,"&gt;="&amp;DATE($B$3,$D$3,1),출퇴근기록!$A$3:$A$3002,"&lt;="&amp;EOMONTH(DATE($B$3,$D$3,1),0)))</f>
        <v/>
      </c>
      <c r="E141" s="16" t="str">
        <f aca="false">IF($A141="","",ROUND(SUMIFS(출퇴근기록!$H$3:$H$3002,출퇴근기록!$B$3:$B$3002,$A141,출퇴근기록!$I$3:$I$3002,"평일",출퇴근기록!$A$3:$A$3002,"&gt;="&amp;DATE($B$3,$D$3,1),출퇴근기록!$A$3:$A$3002,"&lt;="&amp;EOMONTH(DATE($B$3,$D$3,1),0)),2))</f>
        <v/>
      </c>
      <c r="F141" s="16" t="str">
        <f aca="false">IF($A141="","",ROUND(SUMIFS(출퇴근기록!$H$3:$H$3002,출퇴근기록!$B$3:$B$3002,$A141,출퇴근기록!$I$3:$I$3002,"휴일",출퇴근기록!$A$3:$A$3002,"&gt;="&amp;DATE($B$3,$D$3,1),출퇴근기록!$A$3:$A$3002,"&lt;="&amp;EOMONTH(DATE($B$3,$D$3,1),0)),2))</f>
        <v/>
      </c>
      <c r="G141" s="16" t="str">
        <f aca="false">IF($A141="","",ROUND(SUMIFS(출퇴근기록!$H$3:$H$3002,출퇴근기록!$B$3:$B$3002,$A141,출퇴근기록!$A$3:$A$3002,"&gt;="&amp;DATE($B$3,$D$3,1),출퇴근기록!$A$3:$A$3002,"&lt;="&amp;EOMONTH(DATE($B$3,$D$3,1),0)),2))</f>
        <v/>
      </c>
      <c r="H141" s="16" t="str">
        <f aca="false">IF($A141="","",ROUND($D141*IF(직원목록!$F138="",8,직원목록!$F138),2))</f>
        <v/>
      </c>
      <c r="I141" s="16" t="str">
        <f aca="false">IF($A141="","",ROUND($G141-$H141,2))</f>
        <v/>
      </c>
      <c r="J141" s="19" t="str">
        <f aca="false">IF($A141="","",COUNTIFS(출퇴근기록!$B$3:$B$3002,$A141,출퇴근기록!$I$3:$I$3002,"연차",출퇴근기록!$A$3:$A$3002,"&gt;="&amp;DATE($B$3,$D$3,1),출퇴근기록!$A$3:$A$3002,"&lt;="&amp;EOMONTH(DATE($B$3,$D$3,1),0)))</f>
        <v/>
      </c>
      <c r="K141" s="19" t="str">
        <f aca="false">IF($A141="","",COUNTIFS(출퇴근기록!$B$3:$B$3002,$A141,출퇴근기록!$I$3:$I$3002,"결근",출퇴근기록!$A$3:$A$3002,"&gt;="&amp;DATE($B$3,$D$3,1),출퇴근기록!$A$3:$A$3002,"&lt;="&amp;EOMONTH(DATE($B$3,$D$3,1),0)))</f>
        <v/>
      </c>
    </row>
    <row r="142" customFormat="false" ht="15" hidden="false" customHeight="true" outlineLevel="0" collapsed="false">
      <c r="A142" s="13" t="str">
        <f aca="false">IF(직원목록!$A139="","",직원목록!$A139)</f>
        <v/>
      </c>
      <c r="B142" s="13" t="str">
        <f aca="false">IF($A142="","",직원목록!$B139)</f>
        <v/>
      </c>
      <c r="C142" s="13" t="str">
        <f aca="false">IF($A142="","",직원목록!$C139)</f>
        <v/>
      </c>
      <c r="D142" s="19" t="str">
        <f aca="false">IF($A142="","",COUNTIFS(출퇴근기록!$B$3:$B$3002,$A142,출퇴근기록!$H$3:$H$3002,"&gt;0",출퇴근기록!$A$3:$A$3002,"&gt;="&amp;DATE($B$3,$D$3,1),출퇴근기록!$A$3:$A$3002,"&lt;="&amp;EOMONTH(DATE($B$3,$D$3,1),0)))</f>
        <v/>
      </c>
      <c r="E142" s="16" t="str">
        <f aca="false">IF($A142="","",ROUND(SUMIFS(출퇴근기록!$H$3:$H$3002,출퇴근기록!$B$3:$B$3002,$A142,출퇴근기록!$I$3:$I$3002,"평일",출퇴근기록!$A$3:$A$3002,"&gt;="&amp;DATE($B$3,$D$3,1),출퇴근기록!$A$3:$A$3002,"&lt;="&amp;EOMONTH(DATE($B$3,$D$3,1),0)),2))</f>
        <v/>
      </c>
      <c r="F142" s="16" t="str">
        <f aca="false">IF($A142="","",ROUND(SUMIFS(출퇴근기록!$H$3:$H$3002,출퇴근기록!$B$3:$B$3002,$A142,출퇴근기록!$I$3:$I$3002,"휴일",출퇴근기록!$A$3:$A$3002,"&gt;="&amp;DATE($B$3,$D$3,1),출퇴근기록!$A$3:$A$3002,"&lt;="&amp;EOMONTH(DATE($B$3,$D$3,1),0)),2))</f>
        <v/>
      </c>
      <c r="G142" s="16" t="str">
        <f aca="false">IF($A142="","",ROUND(SUMIFS(출퇴근기록!$H$3:$H$3002,출퇴근기록!$B$3:$B$3002,$A142,출퇴근기록!$A$3:$A$3002,"&gt;="&amp;DATE($B$3,$D$3,1),출퇴근기록!$A$3:$A$3002,"&lt;="&amp;EOMONTH(DATE($B$3,$D$3,1),0)),2))</f>
        <v/>
      </c>
      <c r="H142" s="16" t="str">
        <f aca="false">IF($A142="","",ROUND($D142*IF(직원목록!$F139="",8,직원목록!$F139),2))</f>
        <v/>
      </c>
      <c r="I142" s="16" t="str">
        <f aca="false">IF($A142="","",ROUND($G142-$H142,2))</f>
        <v/>
      </c>
      <c r="J142" s="19" t="str">
        <f aca="false">IF($A142="","",COUNTIFS(출퇴근기록!$B$3:$B$3002,$A142,출퇴근기록!$I$3:$I$3002,"연차",출퇴근기록!$A$3:$A$3002,"&gt;="&amp;DATE($B$3,$D$3,1),출퇴근기록!$A$3:$A$3002,"&lt;="&amp;EOMONTH(DATE($B$3,$D$3,1),0)))</f>
        <v/>
      </c>
      <c r="K142" s="19" t="str">
        <f aca="false">IF($A142="","",COUNTIFS(출퇴근기록!$B$3:$B$3002,$A142,출퇴근기록!$I$3:$I$3002,"결근",출퇴근기록!$A$3:$A$3002,"&gt;="&amp;DATE($B$3,$D$3,1),출퇴근기록!$A$3:$A$3002,"&lt;="&amp;EOMONTH(DATE($B$3,$D$3,1),0)))</f>
        <v/>
      </c>
    </row>
    <row r="143" customFormat="false" ht="15" hidden="false" customHeight="true" outlineLevel="0" collapsed="false">
      <c r="A143" s="13" t="str">
        <f aca="false">IF(직원목록!$A140="","",직원목록!$A140)</f>
        <v/>
      </c>
      <c r="B143" s="13" t="str">
        <f aca="false">IF($A143="","",직원목록!$B140)</f>
        <v/>
      </c>
      <c r="C143" s="13" t="str">
        <f aca="false">IF($A143="","",직원목록!$C140)</f>
        <v/>
      </c>
      <c r="D143" s="19" t="str">
        <f aca="false">IF($A143="","",COUNTIFS(출퇴근기록!$B$3:$B$3002,$A143,출퇴근기록!$H$3:$H$3002,"&gt;0",출퇴근기록!$A$3:$A$3002,"&gt;="&amp;DATE($B$3,$D$3,1),출퇴근기록!$A$3:$A$3002,"&lt;="&amp;EOMONTH(DATE($B$3,$D$3,1),0)))</f>
        <v/>
      </c>
      <c r="E143" s="16" t="str">
        <f aca="false">IF($A143="","",ROUND(SUMIFS(출퇴근기록!$H$3:$H$3002,출퇴근기록!$B$3:$B$3002,$A143,출퇴근기록!$I$3:$I$3002,"평일",출퇴근기록!$A$3:$A$3002,"&gt;="&amp;DATE($B$3,$D$3,1),출퇴근기록!$A$3:$A$3002,"&lt;="&amp;EOMONTH(DATE($B$3,$D$3,1),0)),2))</f>
        <v/>
      </c>
      <c r="F143" s="16" t="str">
        <f aca="false">IF($A143="","",ROUND(SUMIFS(출퇴근기록!$H$3:$H$3002,출퇴근기록!$B$3:$B$3002,$A143,출퇴근기록!$I$3:$I$3002,"휴일",출퇴근기록!$A$3:$A$3002,"&gt;="&amp;DATE($B$3,$D$3,1),출퇴근기록!$A$3:$A$3002,"&lt;="&amp;EOMONTH(DATE($B$3,$D$3,1),0)),2))</f>
        <v/>
      </c>
      <c r="G143" s="16" t="str">
        <f aca="false">IF($A143="","",ROUND(SUMIFS(출퇴근기록!$H$3:$H$3002,출퇴근기록!$B$3:$B$3002,$A143,출퇴근기록!$A$3:$A$3002,"&gt;="&amp;DATE($B$3,$D$3,1),출퇴근기록!$A$3:$A$3002,"&lt;="&amp;EOMONTH(DATE($B$3,$D$3,1),0)),2))</f>
        <v/>
      </c>
      <c r="H143" s="16" t="str">
        <f aca="false">IF($A143="","",ROUND($D143*IF(직원목록!$F140="",8,직원목록!$F140),2))</f>
        <v/>
      </c>
      <c r="I143" s="16" t="str">
        <f aca="false">IF($A143="","",ROUND($G143-$H143,2))</f>
        <v/>
      </c>
      <c r="J143" s="19" t="str">
        <f aca="false">IF($A143="","",COUNTIFS(출퇴근기록!$B$3:$B$3002,$A143,출퇴근기록!$I$3:$I$3002,"연차",출퇴근기록!$A$3:$A$3002,"&gt;="&amp;DATE($B$3,$D$3,1),출퇴근기록!$A$3:$A$3002,"&lt;="&amp;EOMONTH(DATE($B$3,$D$3,1),0)))</f>
        <v/>
      </c>
      <c r="K143" s="19" t="str">
        <f aca="false">IF($A143="","",COUNTIFS(출퇴근기록!$B$3:$B$3002,$A143,출퇴근기록!$I$3:$I$3002,"결근",출퇴근기록!$A$3:$A$3002,"&gt;="&amp;DATE($B$3,$D$3,1),출퇴근기록!$A$3:$A$3002,"&lt;="&amp;EOMONTH(DATE($B$3,$D$3,1),0)))</f>
        <v/>
      </c>
    </row>
    <row r="144" customFormat="false" ht="15" hidden="false" customHeight="true" outlineLevel="0" collapsed="false">
      <c r="A144" s="13" t="str">
        <f aca="false">IF(직원목록!$A141="","",직원목록!$A141)</f>
        <v/>
      </c>
      <c r="B144" s="13" t="str">
        <f aca="false">IF($A144="","",직원목록!$B141)</f>
        <v/>
      </c>
      <c r="C144" s="13" t="str">
        <f aca="false">IF($A144="","",직원목록!$C141)</f>
        <v/>
      </c>
      <c r="D144" s="19" t="str">
        <f aca="false">IF($A144="","",COUNTIFS(출퇴근기록!$B$3:$B$3002,$A144,출퇴근기록!$H$3:$H$3002,"&gt;0",출퇴근기록!$A$3:$A$3002,"&gt;="&amp;DATE($B$3,$D$3,1),출퇴근기록!$A$3:$A$3002,"&lt;="&amp;EOMONTH(DATE($B$3,$D$3,1),0)))</f>
        <v/>
      </c>
      <c r="E144" s="16" t="str">
        <f aca="false">IF($A144="","",ROUND(SUMIFS(출퇴근기록!$H$3:$H$3002,출퇴근기록!$B$3:$B$3002,$A144,출퇴근기록!$I$3:$I$3002,"평일",출퇴근기록!$A$3:$A$3002,"&gt;="&amp;DATE($B$3,$D$3,1),출퇴근기록!$A$3:$A$3002,"&lt;="&amp;EOMONTH(DATE($B$3,$D$3,1),0)),2))</f>
        <v/>
      </c>
      <c r="F144" s="16" t="str">
        <f aca="false">IF($A144="","",ROUND(SUMIFS(출퇴근기록!$H$3:$H$3002,출퇴근기록!$B$3:$B$3002,$A144,출퇴근기록!$I$3:$I$3002,"휴일",출퇴근기록!$A$3:$A$3002,"&gt;="&amp;DATE($B$3,$D$3,1),출퇴근기록!$A$3:$A$3002,"&lt;="&amp;EOMONTH(DATE($B$3,$D$3,1),0)),2))</f>
        <v/>
      </c>
      <c r="G144" s="16" t="str">
        <f aca="false">IF($A144="","",ROUND(SUMIFS(출퇴근기록!$H$3:$H$3002,출퇴근기록!$B$3:$B$3002,$A144,출퇴근기록!$A$3:$A$3002,"&gt;="&amp;DATE($B$3,$D$3,1),출퇴근기록!$A$3:$A$3002,"&lt;="&amp;EOMONTH(DATE($B$3,$D$3,1),0)),2))</f>
        <v/>
      </c>
      <c r="H144" s="16" t="str">
        <f aca="false">IF($A144="","",ROUND($D144*IF(직원목록!$F141="",8,직원목록!$F141),2))</f>
        <v/>
      </c>
      <c r="I144" s="16" t="str">
        <f aca="false">IF($A144="","",ROUND($G144-$H144,2))</f>
        <v/>
      </c>
      <c r="J144" s="19" t="str">
        <f aca="false">IF($A144="","",COUNTIFS(출퇴근기록!$B$3:$B$3002,$A144,출퇴근기록!$I$3:$I$3002,"연차",출퇴근기록!$A$3:$A$3002,"&gt;="&amp;DATE($B$3,$D$3,1),출퇴근기록!$A$3:$A$3002,"&lt;="&amp;EOMONTH(DATE($B$3,$D$3,1),0)))</f>
        <v/>
      </c>
      <c r="K144" s="19" t="str">
        <f aca="false">IF($A144="","",COUNTIFS(출퇴근기록!$B$3:$B$3002,$A144,출퇴근기록!$I$3:$I$3002,"결근",출퇴근기록!$A$3:$A$3002,"&gt;="&amp;DATE($B$3,$D$3,1),출퇴근기록!$A$3:$A$3002,"&lt;="&amp;EOMONTH(DATE($B$3,$D$3,1),0)))</f>
        <v/>
      </c>
    </row>
    <row r="145" customFormat="false" ht="15" hidden="false" customHeight="true" outlineLevel="0" collapsed="false">
      <c r="A145" s="13" t="str">
        <f aca="false">IF(직원목록!$A142="","",직원목록!$A142)</f>
        <v/>
      </c>
      <c r="B145" s="13" t="str">
        <f aca="false">IF($A145="","",직원목록!$B142)</f>
        <v/>
      </c>
      <c r="C145" s="13" t="str">
        <f aca="false">IF($A145="","",직원목록!$C142)</f>
        <v/>
      </c>
      <c r="D145" s="19" t="str">
        <f aca="false">IF($A145="","",COUNTIFS(출퇴근기록!$B$3:$B$3002,$A145,출퇴근기록!$H$3:$H$3002,"&gt;0",출퇴근기록!$A$3:$A$3002,"&gt;="&amp;DATE($B$3,$D$3,1),출퇴근기록!$A$3:$A$3002,"&lt;="&amp;EOMONTH(DATE($B$3,$D$3,1),0)))</f>
        <v/>
      </c>
      <c r="E145" s="16" t="str">
        <f aca="false">IF($A145="","",ROUND(SUMIFS(출퇴근기록!$H$3:$H$3002,출퇴근기록!$B$3:$B$3002,$A145,출퇴근기록!$I$3:$I$3002,"평일",출퇴근기록!$A$3:$A$3002,"&gt;="&amp;DATE($B$3,$D$3,1),출퇴근기록!$A$3:$A$3002,"&lt;="&amp;EOMONTH(DATE($B$3,$D$3,1),0)),2))</f>
        <v/>
      </c>
      <c r="F145" s="16" t="str">
        <f aca="false">IF($A145="","",ROUND(SUMIFS(출퇴근기록!$H$3:$H$3002,출퇴근기록!$B$3:$B$3002,$A145,출퇴근기록!$I$3:$I$3002,"휴일",출퇴근기록!$A$3:$A$3002,"&gt;="&amp;DATE($B$3,$D$3,1),출퇴근기록!$A$3:$A$3002,"&lt;="&amp;EOMONTH(DATE($B$3,$D$3,1),0)),2))</f>
        <v/>
      </c>
      <c r="G145" s="16" t="str">
        <f aca="false">IF($A145="","",ROUND(SUMIFS(출퇴근기록!$H$3:$H$3002,출퇴근기록!$B$3:$B$3002,$A145,출퇴근기록!$A$3:$A$3002,"&gt;="&amp;DATE($B$3,$D$3,1),출퇴근기록!$A$3:$A$3002,"&lt;="&amp;EOMONTH(DATE($B$3,$D$3,1),0)),2))</f>
        <v/>
      </c>
      <c r="H145" s="16" t="str">
        <f aca="false">IF($A145="","",ROUND($D145*IF(직원목록!$F142="",8,직원목록!$F142),2))</f>
        <v/>
      </c>
      <c r="I145" s="16" t="str">
        <f aca="false">IF($A145="","",ROUND($G145-$H145,2))</f>
        <v/>
      </c>
      <c r="J145" s="19" t="str">
        <f aca="false">IF($A145="","",COUNTIFS(출퇴근기록!$B$3:$B$3002,$A145,출퇴근기록!$I$3:$I$3002,"연차",출퇴근기록!$A$3:$A$3002,"&gt;="&amp;DATE($B$3,$D$3,1),출퇴근기록!$A$3:$A$3002,"&lt;="&amp;EOMONTH(DATE($B$3,$D$3,1),0)))</f>
        <v/>
      </c>
      <c r="K145" s="19" t="str">
        <f aca="false">IF($A145="","",COUNTIFS(출퇴근기록!$B$3:$B$3002,$A145,출퇴근기록!$I$3:$I$3002,"결근",출퇴근기록!$A$3:$A$3002,"&gt;="&amp;DATE($B$3,$D$3,1),출퇴근기록!$A$3:$A$3002,"&lt;="&amp;EOMONTH(DATE($B$3,$D$3,1),0)))</f>
        <v/>
      </c>
    </row>
    <row r="146" customFormat="false" ht="15" hidden="false" customHeight="true" outlineLevel="0" collapsed="false">
      <c r="A146" s="13" t="str">
        <f aca="false">IF(직원목록!$A143="","",직원목록!$A143)</f>
        <v/>
      </c>
      <c r="B146" s="13" t="str">
        <f aca="false">IF($A146="","",직원목록!$B143)</f>
        <v/>
      </c>
      <c r="C146" s="13" t="str">
        <f aca="false">IF($A146="","",직원목록!$C143)</f>
        <v/>
      </c>
      <c r="D146" s="19" t="str">
        <f aca="false">IF($A146="","",COUNTIFS(출퇴근기록!$B$3:$B$3002,$A146,출퇴근기록!$H$3:$H$3002,"&gt;0",출퇴근기록!$A$3:$A$3002,"&gt;="&amp;DATE($B$3,$D$3,1),출퇴근기록!$A$3:$A$3002,"&lt;="&amp;EOMONTH(DATE($B$3,$D$3,1),0)))</f>
        <v/>
      </c>
      <c r="E146" s="16" t="str">
        <f aca="false">IF($A146="","",ROUND(SUMIFS(출퇴근기록!$H$3:$H$3002,출퇴근기록!$B$3:$B$3002,$A146,출퇴근기록!$I$3:$I$3002,"평일",출퇴근기록!$A$3:$A$3002,"&gt;="&amp;DATE($B$3,$D$3,1),출퇴근기록!$A$3:$A$3002,"&lt;="&amp;EOMONTH(DATE($B$3,$D$3,1),0)),2))</f>
        <v/>
      </c>
      <c r="F146" s="16" t="str">
        <f aca="false">IF($A146="","",ROUND(SUMIFS(출퇴근기록!$H$3:$H$3002,출퇴근기록!$B$3:$B$3002,$A146,출퇴근기록!$I$3:$I$3002,"휴일",출퇴근기록!$A$3:$A$3002,"&gt;="&amp;DATE($B$3,$D$3,1),출퇴근기록!$A$3:$A$3002,"&lt;="&amp;EOMONTH(DATE($B$3,$D$3,1),0)),2))</f>
        <v/>
      </c>
      <c r="G146" s="16" t="str">
        <f aca="false">IF($A146="","",ROUND(SUMIFS(출퇴근기록!$H$3:$H$3002,출퇴근기록!$B$3:$B$3002,$A146,출퇴근기록!$A$3:$A$3002,"&gt;="&amp;DATE($B$3,$D$3,1),출퇴근기록!$A$3:$A$3002,"&lt;="&amp;EOMONTH(DATE($B$3,$D$3,1),0)),2))</f>
        <v/>
      </c>
      <c r="H146" s="16" t="str">
        <f aca="false">IF($A146="","",ROUND($D146*IF(직원목록!$F143="",8,직원목록!$F143),2))</f>
        <v/>
      </c>
      <c r="I146" s="16" t="str">
        <f aca="false">IF($A146="","",ROUND($G146-$H146,2))</f>
        <v/>
      </c>
      <c r="J146" s="19" t="str">
        <f aca="false">IF($A146="","",COUNTIFS(출퇴근기록!$B$3:$B$3002,$A146,출퇴근기록!$I$3:$I$3002,"연차",출퇴근기록!$A$3:$A$3002,"&gt;="&amp;DATE($B$3,$D$3,1),출퇴근기록!$A$3:$A$3002,"&lt;="&amp;EOMONTH(DATE($B$3,$D$3,1),0)))</f>
        <v/>
      </c>
      <c r="K146" s="19" t="str">
        <f aca="false">IF($A146="","",COUNTIFS(출퇴근기록!$B$3:$B$3002,$A146,출퇴근기록!$I$3:$I$3002,"결근",출퇴근기록!$A$3:$A$3002,"&gt;="&amp;DATE($B$3,$D$3,1),출퇴근기록!$A$3:$A$3002,"&lt;="&amp;EOMONTH(DATE($B$3,$D$3,1),0)))</f>
        <v/>
      </c>
    </row>
    <row r="147" customFormat="false" ht="15" hidden="false" customHeight="true" outlineLevel="0" collapsed="false">
      <c r="A147" s="13" t="str">
        <f aca="false">IF(직원목록!$A144="","",직원목록!$A144)</f>
        <v/>
      </c>
      <c r="B147" s="13" t="str">
        <f aca="false">IF($A147="","",직원목록!$B144)</f>
        <v/>
      </c>
      <c r="C147" s="13" t="str">
        <f aca="false">IF($A147="","",직원목록!$C144)</f>
        <v/>
      </c>
      <c r="D147" s="19" t="str">
        <f aca="false">IF($A147="","",COUNTIFS(출퇴근기록!$B$3:$B$3002,$A147,출퇴근기록!$H$3:$H$3002,"&gt;0",출퇴근기록!$A$3:$A$3002,"&gt;="&amp;DATE($B$3,$D$3,1),출퇴근기록!$A$3:$A$3002,"&lt;="&amp;EOMONTH(DATE($B$3,$D$3,1),0)))</f>
        <v/>
      </c>
      <c r="E147" s="16" t="str">
        <f aca="false">IF($A147="","",ROUND(SUMIFS(출퇴근기록!$H$3:$H$3002,출퇴근기록!$B$3:$B$3002,$A147,출퇴근기록!$I$3:$I$3002,"평일",출퇴근기록!$A$3:$A$3002,"&gt;="&amp;DATE($B$3,$D$3,1),출퇴근기록!$A$3:$A$3002,"&lt;="&amp;EOMONTH(DATE($B$3,$D$3,1),0)),2))</f>
        <v/>
      </c>
      <c r="F147" s="16" t="str">
        <f aca="false">IF($A147="","",ROUND(SUMIFS(출퇴근기록!$H$3:$H$3002,출퇴근기록!$B$3:$B$3002,$A147,출퇴근기록!$I$3:$I$3002,"휴일",출퇴근기록!$A$3:$A$3002,"&gt;="&amp;DATE($B$3,$D$3,1),출퇴근기록!$A$3:$A$3002,"&lt;="&amp;EOMONTH(DATE($B$3,$D$3,1),0)),2))</f>
        <v/>
      </c>
      <c r="G147" s="16" t="str">
        <f aca="false">IF($A147="","",ROUND(SUMIFS(출퇴근기록!$H$3:$H$3002,출퇴근기록!$B$3:$B$3002,$A147,출퇴근기록!$A$3:$A$3002,"&gt;="&amp;DATE($B$3,$D$3,1),출퇴근기록!$A$3:$A$3002,"&lt;="&amp;EOMONTH(DATE($B$3,$D$3,1),0)),2))</f>
        <v/>
      </c>
      <c r="H147" s="16" t="str">
        <f aca="false">IF($A147="","",ROUND($D147*IF(직원목록!$F144="",8,직원목록!$F144),2))</f>
        <v/>
      </c>
      <c r="I147" s="16" t="str">
        <f aca="false">IF($A147="","",ROUND($G147-$H147,2))</f>
        <v/>
      </c>
      <c r="J147" s="19" t="str">
        <f aca="false">IF($A147="","",COUNTIFS(출퇴근기록!$B$3:$B$3002,$A147,출퇴근기록!$I$3:$I$3002,"연차",출퇴근기록!$A$3:$A$3002,"&gt;="&amp;DATE($B$3,$D$3,1),출퇴근기록!$A$3:$A$3002,"&lt;="&amp;EOMONTH(DATE($B$3,$D$3,1),0)))</f>
        <v/>
      </c>
      <c r="K147" s="19" t="str">
        <f aca="false">IF($A147="","",COUNTIFS(출퇴근기록!$B$3:$B$3002,$A147,출퇴근기록!$I$3:$I$3002,"결근",출퇴근기록!$A$3:$A$3002,"&gt;="&amp;DATE($B$3,$D$3,1),출퇴근기록!$A$3:$A$3002,"&lt;="&amp;EOMONTH(DATE($B$3,$D$3,1),0)))</f>
        <v/>
      </c>
    </row>
    <row r="148" customFormat="false" ht="15" hidden="false" customHeight="true" outlineLevel="0" collapsed="false">
      <c r="A148" s="13" t="str">
        <f aca="false">IF(직원목록!$A145="","",직원목록!$A145)</f>
        <v/>
      </c>
      <c r="B148" s="13" t="str">
        <f aca="false">IF($A148="","",직원목록!$B145)</f>
        <v/>
      </c>
      <c r="C148" s="13" t="str">
        <f aca="false">IF($A148="","",직원목록!$C145)</f>
        <v/>
      </c>
      <c r="D148" s="19" t="str">
        <f aca="false">IF($A148="","",COUNTIFS(출퇴근기록!$B$3:$B$3002,$A148,출퇴근기록!$H$3:$H$3002,"&gt;0",출퇴근기록!$A$3:$A$3002,"&gt;="&amp;DATE($B$3,$D$3,1),출퇴근기록!$A$3:$A$3002,"&lt;="&amp;EOMONTH(DATE($B$3,$D$3,1),0)))</f>
        <v/>
      </c>
      <c r="E148" s="16" t="str">
        <f aca="false">IF($A148="","",ROUND(SUMIFS(출퇴근기록!$H$3:$H$3002,출퇴근기록!$B$3:$B$3002,$A148,출퇴근기록!$I$3:$I$3002,"평일",출퇴근기록!$A$3:$A$3002,"&gt;="&amp;DATE($B$3,$D$3,1),출퇴근기록!$A$3:$A$3002,"&lt;="&amp;EOMONTH(DATE($B$3,$D$3,1),0)),2))</f>
        <v/>
      </c>
      <c r="F148" s="16" t="str">
        <f aca="false">IF($A148="","",ROUND(SUMIFS(출퇴근기록!$H$3:$H$3002,출퇴근기록!$B$3:$B$3002,$A148,출퇴근기록!$I$3:$I$3002,"휴일",출퇴근기록!$A$3:$A$3002,"&gt;="&amp;DATE($B$3,$D$3,1),출퇴근기록!$A$3:$A$3002,"&lt;="&amp;EOMONTH(DATE($B$3,$D$3,1),0)),2))</f>
        <v/>
      </c>
      <c r="G148" s="16" t="str">
        <f aca="false">IF($A148="","",ROUND(SUMIFS(출퇴근기록!$H$3:$H$3002,출퇴근기록!$B$3:$B$3002,$A148,출퇴근기록!$A$3:$A$3002,"&gt;="&amp;DATE($B$3,$D$3,1),출퇴근기록!$A$3:$A$3002,"&lt;="&amp;EOMONTH(DATE($B$3,$D$3,1),0)),2))</f>
        <v/>
      </c>
      <c r="H148" s="16" t="str">
        <f aca="false">IF($A148="","",ROUND($D148*IF(직원목록!$F145="",8,직원목록!$F145),2))</f>
        <v/>
      </c>
      <c r="I148" s="16" t="str">
        <f aca="false">IF($A148="","",ROUND($G148-$H148,2))</f>
        <v/>
      </c>
      <c r="J148" s="19" t="str">
        <f aca="false">IF($A148="","",COUNTIFS(출퇴근기록!$B$3:$B$3002,$A148,출퇴근기록!$I$3:$I$3002,"연차",출퇴근기록!$A$3:$A$3002,"&gt;="&amp;DATE($B$3,$D$3,1),출퇴근기록!$A$3:$A$3002,"&lt;="&amp;EOMONTH(DATE($B$3,$D$3,1),0)))</f>
        <v/>
      </c>
      <c r="K148" s="19" t="str">
        <f aca="false">IF($A148="","",COUNTIFS(출퇴근기록!$B$3:$B$3002,$A148,출퇴근기록!$I$3:$I$3002,"결근",출퇴근기록!$A$3:$A$3002,"&gt;="&amp;DATE($B$3,$D$3,1),출퇴근기록!$A$3:$A$3002,"&lt;="&amp;EOMONTH(DATE($B$3,$D$3,1),0)))</f>
        <v/>
      </c>
    </row>
    <row r="149" customFormat="false" ht="15" hidden="false" customHeight="true" outlineLevel="0" collapsed="false">
      <c r="A149" s="13" t="str">
        <f aca="false">IF(직원목록!$A146="","",직원목록!$A146)</f>
        <v/>
      </c>
      <c r="B149" s="13" t="str">
        <f aca="false">IF($A149="","",직원목록!$B146)</f>
        <v/>
      </c>
      <c r="C149" s="13" t="str">
        <f aca="false">IF($A149="","",직원목록!$C146)</f>
        <v/>
      </c>
      <c r="D149" s="19" t="str">
        <f aca="false">IF($A149="","",COUNTIFS(출퇴근기록!$B$3:$B$3002,$A149,출퇴근기록!$H$3:$H$3002,"&gt;0",출퇴근기록!$A$3:$A$3002,"&gt;="&amp;DATE($B$3,$D$3,1),출퇴근기록!$A$3:$A$3002,"&lt;="&amp;EOMONTH(DATE($B$3,$D$3,1),0)))</f>
        <v/>
      </c>
      <c r="E149" s="16" t="str">
        <f aca="false">IF($A149="","",ROUND(SUMIFS(출퇴근기록!$H$3:$H$3002,출퇴근기록!$B$3:$B$3002,$A149,출퇴근기록!$I$3:$I$3002,"평일",출퇴근기록!$A$3:$A$3002,"&gt;="&amp;DATE($B$3,$D$3,1),출퇴근기록!$A$3:$A$3002,"&lt;="&amp;EOMONTH(DATE($B$3,$D$3,1),0)),2))</f>
        <v/>
      </c>
      <c r="F149" s="16" t="str">
        <f aca="false">IF($A149="","",ROUND(SUMIFS(출퇴근기록!$H$3:$H$3002,출퇴근기록!$B$3:$B$3002,$A149,출퇴근기록!$I$3:$I$3002,"휴일",출퇴근기록!$A$3:$A$3002,"&gt;="&amp;DATE($B$3,$D$3,1),출퇴근기록!$A$3:$A$3002,"&lt;="&amp;EOMONTH(DATE($B$3,$D$3,1),0)),2))</f>
        <v/>
      </c>
      <c r="G149" s="16" t="str">
        <f aca="false">IF($A149="","",ROUND(SUMIFS(출퇴근기록!$H$3:$H$3002,출퇴근기록!$B$3:$B$3002,$A149,출퇴근기록!$A$3:$A$3002,"&gt;="&amp;DATE($B$3,$D$3,1),출퇴근기록!$A$3:$A$3002,"&lt;="&amp;EOMONTH(DATE($B$3,$D$3,1),0)),2))</f>
        <v/>
      </c>
      <c r="H149" s="16" t="str">
        <f aca="false">IF($A149="","",ROUND($D149*IF(직원목록!$F146="",8,직원목록!$F146),2))</f>
        <v/>
      </c>
      <c r="I149" s="16" t="str">
        <f aca="false">IF($A149="","",ROUND($G149-$H149,2))</f>
        <v/>
      </c>
      <c r="J149" s="19" t="str">
        <f aca="false">IF($A149="","",COUNTIFS(출퇴근기록!$B$3:$B$3002,$A149,출퇴근기록!$I$3:$I$3002,"연차",출퇴근기록!$A$3:$A$3002,"&gt;="&amp;DATE($B$3,$D$3,1),출퇴근기록!$A$3:$A$3002,"&lt;="&amp;EOMONTH(DATE($B$3,$D$3,1),0)))</f>
        <v/>
      </c>
      <c r="K149" s="19" t="str">
        <f aca="false">IF($A149="","",COUNTIFS(출퇴근기록!$B$3:$B$3002,$A149,출퇴근기록!$I$3:$I$3002,"결근",출퇴근기록!$A$3:$A$3002,"&gt;="&amp;DATE($B$3,$D$3,1),출퇴근기록!$A$3:$A$3002,"&lt;="&amp;EOMONTH(DATE($B$3,$D$3,1),0)))</f>
        <v/>
      </c>
    </row>
    <row r="150" customFormat="false" ht="15" hidden="false" customHeight="true" outlineLevel="0" collapsed="false">
      <c r="A150" s="13" t="str">
        <f aca="false">IF(직원목록!$A147="","",직원목록!$A147)</f>
        <v/>
      </c>
      <c r="B150" s="13" t="str">
        <f aca="false">IF($A150="","",직원목록!$B147)</f>
        <v/>
      </c>
      <c r="C150" s="13" t="str">
        <f aca="false">IF($A150="","",직원목록!$C147)</f>
        <v/>
      </c>
      <c r="D150" s="19" t="str">
        <f aca="false">IF($A150="","",COUNTIFS(출퇴근기록!$B$3:$B$3002,$A150,출퇴근기록!$H$3:$H$3002,"&gt;0",출퇴근기록!$A$3:$A$3002,"&gt;="&amp;DATE($B$3,$D$3,1),출퇴근기록!$A$3:$A$3002,"&lt;="&amp;EOMONTH(DATE($B$3,$D$3,1),0)))</f>
        <v/>
      </c>
      <c r="E150" s="16" t="str">
        <f aca="false">IF($A150="","",ROUND(SUMIFS(출퇴근기록!$H$3:$H$3002,출퇴근기록!$B$3:$B$3002,$A150,출퇴근기록!$I$3:$I$3002,"평일",출퇴근기록!$A$3:$A$3002,"&gt;="&amp;DATE($B$3,$D$3,1),출퇴근기록!$A$3:$A$3002,"&lt;="&amp;EOMONTH(DATE($B$3,$D$3,1),0)),2))</f>
        <v/>
      </c>
      <c r="F150" s="16" t="str">
        <f aca="false">IF($A150="","",ROUND(SUMIFS(출퇴근기록!$H$3:$H$3002,출퇴근기록!$B$3:$B$3002,$A150,출퇴근기록!$I$3:$I$3002,"휴일",출퇴근기록!$A$3:$A$3002,"&gt;="&amp;DATE($B$3,$D$3,1),출퇴근기록!$A$3:$A$3002,"&lt;="&amp;EOMONTH(DATE($B$3,$D$3,1),0)),2))</f>
        <v/>
      </c>
      <c r="G150" s="16" t="str">
        <f aca="false">IF($A150="","",ROUND(SUMIFS(출퇴근기록!$H$3:$H$3002,출퇴근기록!$B$3:$B$3002,$A150,출퇴근기록!$A$3:$A$3002,"&gt;="&amp;DATE($B$3,$D$3,1),출퇴근기록!$A$3:$A$3002,"&lt;="&amp;EOMONTH(DATE($B$3,$D$3,1),0)),2))</f>
        <v/>
      </c>
      <c r="H150" s="16" t="str">
        <f aca="false">IF($A150="","",ROUND($D150*IF(직원목록!$F147="",8,직원목록!$F147),2))</f>
        <v/>
      </c>
      <c r="I150" s="16" t="str">
        <f aca="false">IF($A150="","",ROUND($G150-$H150,2))</f>
        <v/>
      </c>
      <c r="J150" s="19" t="str">
        <f aca="false">IF($A150="","",COUNTIFS(출퇴근기록!$B$3:$B$3002,$A150,출퇴근기록!$I$3:$I$3002,"연차",출퇴근기록!$A$3:$A$3002,"&gt;="&amp;DATE($B$3,$D$3,1),출퇴근기록!$A$3:$A$3002,"&lt;="&amp;EOMONTH(DATE($B$3,$D$3,1),0)))</f>
        <v/>
      </c>
      <c r="K150" s="19" t="str">
        <f aca="false">IF($A150="","",COUNTIFS(출퇴근기록!$B$3:$B$3002,$A150,출퇴근기록!$I$3:$I$3002,"결근",출퇴근기록!$A$3:$A$3002,"&gt;="&amp;DATE($B$3,$D$3,1),출퇴근기록!$A$3:$A$3002,"&lt;="&amp;EOMONTH(DATE($B$3,$D$3,1),0)))</f>
        <v/>
      </c>
    </row>
    <row r="151" customFormat="false" ht="15" hidden="false" customHeight="true" outlineLevel="0" collapsed="false">
      <c r="A151" s="13" t="str">
        <f aca="false">IF(직원목록!$A148="","",직원목록!$A148)</f>
        <v/>
      </c>
      <c r="B151" s="13" t="str">
        <f aca="false">IF($A151="","",직원목록!$B148)</f>
        <v/>
      </c>
      <c r="C151" s="13" t="str">
        <f aca="false">IF($A151="","",직원목록!$C148)</f>
        <v/>
      </c>
      <c r="D151" s="19" t="str">
        <f aca="false">IF($A151="","",COUNTIFS(출퇴근기록!$B$3:$B$3002,$A151,출퇴근기록!$H$3:$H$3002,"&gt;0",출퇴근기록!$A$3:$A$3002,"&gt;="&amp;DATE($B$3,$D$3,1),출퇴근기록!$A$3:$A$3002,"&lt;="&amp;EOMONTH(DATE($B$3,$D$3,1),0)))</f>
        <v/>
      </c>
      <c r="E151" s="16" t="str">
        <f aca="false">IF($A151="","",ROUND(SUMIFS(출퇴근기록!$H$3:$H$3002,출퇴근기록!$B$3:$B$3002,$A151,출퇴근기록!$I$3:$I$3002,"평일",출퇴근기록!$A$3:$A$3002,"&gt;="&amp;DATE($B$3,$D$3,1),출퇴근기록!$A$3:$A$3002,"&lt;="&amp;EOMONTH(DATE($B$3,$D$3,1),0)),2))</f>
        <v/>
      </c>
      <c r="F151" s="16" t="str">
        <f aca="false">IF($A151="","",ROUND(SUMIFS(출퇴근기록!$H$3:$H$3002,출퇴근기록!$B$3:$B$3002,$A151,출퇴근기록!$I$3:$I$3002,"휴일",출퇴근기록!$A$3:$A$3002,"&gt;="&amp;DATE($B$3,$D$3,1),출퇴근기록!$A$3:$A$3002,"&lt;="&amp;EOMONTH(DATE($B$3,$D$3,1),0)),2))</f>
        <v/>
      </c>
      <c r="G151" s="16" t="str">
        <f aca="false">IF($A151="","",ROUND(SUMIFS(출퇴근기록!$H$3:$H$3002,출퇴근기록!$B$3:$B$3002,$A151,출퇴근기록!$A$3:$A$3002,"&gt;="&amp;DATE($B$3,$D$3,1),출퇴근기록!$A$3:$A$3002,"&lt;="&amp;EOMONTH(DATE($B$3,$D$3,1),0)),2))</f>
        <v/>
      </c>
      <c r="H151" s="16" t="str">
        <f aca="false">IF($A151="","",ROUND($D151*IF(직원목록!$F148="",8,직원목록!$F148),2))</f>
        <v/>
      </c>
      <c r="I151" s="16" t="str">
        <f aca="false">IF($A151="","",ROUND($G151-$H151,2))</f>
        <v/>
      </c>
      <c r="J151" s="19" t="str">
        <f aca="false">IF($A151="","",COUNTIFS(출퇴근기록!$B$3:$B$3002,$A151,출퇴근기록!$I$3:$I$3002,"연차",출퇴근기록!$A$3:$A$3002,"&gt;="&amp;DATE($B$3,$D$3,1),출퇴근기록!$A$3:$A$3002,"&lt;="&amp;EOMONTH(DATE($B$3,$D$3,1),0)))</f>
        <v/>
      </c>
      <c r="K151" s="19" t="str">
        <f aca="false">IF($A151="","",COUNTIFS(출퇴근기록!$B$3:$B$3002,$A151,출퇴근기록!$I$3:$I$3002,"결근",출퇴근기록!$A$3:$A$3002,"&gt;="&amp;DATE($B$3,$D$3,1),출퇴근기록!$A$3:$A$3002,"&lt;="&amp;EOMONTH(DATE($B$3,$D$3,1),0)))</f>
        <v/>
      </c>
    </row>
    <row r="152" customFormat="false" ht="15" hidden="false" customHeight="true" outlineLevel="0" collapsed="false">
      <c r="A152" s="13" t="str">
        <f aca="false">IF(직원목록!$A149="","",직원목록!$A149)</f>
        <v/>
      </c>
      <c r="B152" s="13" t="str">
        <f aca="false">IF($A152="","",직원목록!$B149)</f>
        <v/>
      </c>
      <c r="C152" s="13" t="str">
        <f aca="false">IF($A152="","",직원목록!$C149)</f>
        <v/>
      </c>
      <c r="D152" s="19" t="str">
        <f aca="false">IF($A152="","",COUNTIFS(출퇴근기록!$B$3:$B$3002,$A152,출퇴근기록!$H$3:$H$3002,"&gt;0",출퇴근기록!$A$3:$A$3002,"&gt;="&amp;DATE($B$3,$D$3,1),출퇴근기록!$A$3:$A$3002,"&lt;="&amp;EOMONTH(DATE($B$3,$D$3,1),0)))</f>
        <v/>
      </c>
      <c r="E152" s="16" t="str">
        <f aca="false">IF($A152="","",ROUND(SUMIFS(출퇴근기록!$H$3:$H$3002,출퇴근기록!$B$3:$B$3002,$A152,출퇴근기록!$I$3:$I$3002,"평일",출퇴근기록!$A$3:$A$3002,"&gt;="&amp;DATE($B$3,$D$3,1),출퇴근기록!$A$3:$A$3002,"&lt;="&amp;EOMONTH(DATE($B$3,$D$3,1),0)),2))</f>
        <v/>
      </c>
      <c r="F152" s="16" t="str">
        <f aca="false">IF($A152="","",ROUND(SUMIFS(출퇴근기록!$H$3:$H$3002,출퇴근기록!$B$3:$B$3002,$A152,출퇴근기록!$I$3:$I$3002,"휴일",출퇴근기록!$A$3:$A$3002,"&gt;="&amp;DATE($B$3,$D$3,1),출퇴근기록!$A$3:$A$3002,"&lt;="&amp;EOMONTH(DATE($B$3,$D$3,1),0)),2))</f>
        <v/>
      </c>
      <c r="G152" s="16" t="str">
        <f aca="false">IF($A152="","",ROUND(SUMIFS(출퇴근기록!$H$3:$H$3002,출퇴근기록!$B$3:$B$3002,$A152,출퇴근기록!$A$3:$A$3002,"&gt;="&amp;DATE($B$3,$D$3,1),출퇴근기록!$A$3:$A$3002,"&lt;="&amp;EOMONTH(DATE($B$3,$D$3,1),0)),2))</f>
        <v/>
      </c>
      <c r="H152" s="16" t="str">
        <f aca="false">IF($A152="","",ROUND($D152*IF(직원목록!$F149="",8,직원목록!$F149),2))</f>
        <v/>
      </c>
      <c r="I152" s="16" t="str">
        <f aca="false">IF($A152="","",ROUND($G152-$H152,2))</f>
        <v/>
      </c>
      <c r="J152" s="19" t="str">
        <f aca="false">IF($A152="","",COUNTIFS(출퇴근기록!$B$3:$B$3002,$A152,출퇴근기록!$I$3:$I$3002,"연차",출퇴근기록!$A$3:$A$3002,"&gt;="&amp;DATE($B$3,$D$3,1),출퇴근기록!$A$3:$A$3002,"&lt;="&amp;EOMONTH(DATE($B$3,$D$3,1),0)))</f>
        <v/>
      </c>
      <c r="K152" s="19" t="str">
        <f aca="false">IF($A152="","",COUNTIFS(출퇴근기록!$B$3:$B$3002,$A152,출퇴근기록!$I$3:$I$3002,"결근",출퇴근기록!$A$3:$A$3002,"&gt;="&amp;DATE($B$3,$D$3,1),출퇴근기록!$A$3:$A$3002,"&lt;="&amp;EOMONTH(DATE($B$3,$D$3,1),0)))</f>
        <v/>
      </c>
    </row>
    <row r="153" customFormat="false" ht="15" hidden="false" customHeight="true" outlineLevel="0" collapsed="false">
      <c r="A153" s="13" t="str">
        <f aca="false">IF(직원목록!$A150="","",직원목록!$A150)</f>
        <v/>
      </c>
      <c r="B153" s="13" t="str">
        <f aca="false">IF($A153="","",직원목록!$B150)</f>
        <v/>
      </c>
      <c r="C153" s="13" t="str">
        <f aca="false">IF($A153="","",직원목록!$C150)</f>
        <v/>
      </c>
      <c r="D153" s="19" t="str">
        <f aca="false">IF($A153="","",COUNTIFS(출퇴근기록!$B$3:$B$3002,$A153,출퇴근기록!$H$3:$H$3002,"&gt;0",출퇴근기록!$A$3:$A$3002,"&gt;="&amp;DATE($B$3,$D$3,1),출퇴근기록!$A$3:$A$3002,"&lt;="&amp;EOMONTH(DATE($B$3,$D$3,1),0)))</f>
        <v/>
      </c>
      <c r="E153" s="16" t="str">
        <f aca="false">IF($A153="","",ROUND(SUMIFS(출퇴근기록!$H$3:$H$3002,출퇴근기록!$B$3:$B$3002,$A153,출퇴근기록!$I$3:$I$3002,"평일",출퇴근기록!$A$3:$A$3002,"&gt;="&amp;DATE($B$3,$D$3,1),출퇴근기록!$A$3:$A$3002,"&lt;="&amp;EOMONTH(DATE($B$3,$D$3,1),0)),2))</f>
        <v/>
      </c>
      <c r="F153" s="16" t="str">
        <f aca="false">IF($A153="","",ROUND(SUMIFS(출퇴근기록!$H$3:$H$3002,출퇴근기록!$B$3:$B$3002,$A153,출퇴근기록!$I$3:$I$3002,"휴일",출퇴근기록!$A$3:$A$3002,"&gt;="&amp;DATE($B$3,$D$3,1),출퇴근기록!$A$3:$A$3002,"&lt;="&amp;EOMONTH(DATE($B$3,$D$3,1),0)),2))</f>
        <v/>
      </c>
      <c r="G153" s="16" t="str">
        <f aca="false">IF($A153="","",ROUND(SUMIFS(출퇴근기록!$H$3:$H$3002,출퇴근기록!$B$3:$B$3002,$A153,출퇴근기록!$A$3:$A$3002,"&gt;="&amp;DATE($B$3,$D$3,1),출퇴근기록!$A$3:$A$3002,"&lt;="&amp;EOMONTH(DATE($B$3,$D$3,1),0)),2))</f>
        <v/>
      </c>
      <c r="H153" s="16" t="str">
        <f aca="false">IF($A153="","",ROUND($D153*IF(직원목록!$F150="",8,직원목록!$F150),2))</f>
        <v/>
      </c>
      <c r="I153" s="16" t="str">
        <f aca="false">IF($A153="","",ROUND($G153-$H153,2))</f>
        <v/>
      </c>
      <c r="J153" s="19" t="str">
        <f aca="false">IF($A153="","",COUNTIFS(출퇴근기록!$B$3:$B$3002,$A153,출퇴근기록!$I$3:$I$3002,"연차",출퇴근기록!$A$3:$A$3002,"&gt;="&amp;DATE($B$3,$D$3,1),출퇴근기록!$A$3:$A$3002,"&lt;="&amp;EOMONTH(DATE($B$3,$D$3,1),0)))</f>
        <v/>
      </c>
      <c r="K153" s="19" t="str">
        <f aca="false">IF($A153="","",COUNTIFS(출퇴근기록!$B$3:$B$3002,$A153,출퇴근기록!$I$3:$I$3002,"결근",출퇴근기록!$A$3:$A$3002,"&gt;="&amp;DATE($B$3,$D$3,1),출퇴근기록!$A$3:$A$3002,"&lt;="&amp;EOMONTH(DATE($B$3,$D$3,1),0)))</f>
        <v/>
      </c>
    </row>
    <row r="154" customFormat="false" ht="15" hidden="false" customHeight="true" outlineLevel="0" collapsed="false">
      <c r="A154" s="13" t="str">
        <f aca="false">IF(직원목록!$A151="","",직원목록!$A151)</f>
        <v/>
      </c>
      <c r="B154" s="13" t="str">
        <f aca="false">IF($A154="","",직원목록!$B151)</f>
        <v/>
      </c>
      <c r="C154" s="13" t="str">
        <f aca="false">IF($A154="","",직원목록!$C151)</f>
        <v/>
      </c>
      <c r="D154" s="19" t="str">
        <f aca="false">IF($A154="","",COUNTIFS(출퇴근기록!$B$3:$B$3002,$A154,출퇴근기록!$H$3:$H$3002,"&gt;0",출퇴근기록!$A$3:$A$3002,"&gt;="&amp;DATE($B$3,$D$3,1),출퇴근기록!$A$3:$A$3002,"&lt;="&amp;EOMONTH(DATE($B$3,$D$3,1),0)))</f>
        <v/>
      </c>
      <c r="E154" s="16" t="str">
        <f aca="false">IF($A154="","",ROUND(SUMIFS(출퇴근기록!$H$3:$H$3002,출퇴근기록!$B$3:$B$3002,$A154,출퇴근기록!$I$3:$I$3002,"평일",출퇴근기록!$A$3:$A$3002,"&gt;="&amp;DATE($B$3,$D$3,1),출퇴근기록!$A$3:$A$3002,"&lt;="&amp;EOMONTH(DATE($B$3,$D$3,1),0)),2))</f>
        <v/>
      </c>
      <c r="F154" s="16" t="str">
        <f aca="false">IF($A154="","",ROUND(SUMIFS(출퇴근기록!$H$3:$H$3002,출퇴근기록!$B$3:$B$3002,$A154,출퇴근기록!$I$3:$I$3002,"휴일",출퇴근기록!$A$3:$A$3002,"&gt;="&amp;DATE($B$3,$D$3,1),출퇴근기록!$A$3:$A$3002,"&lt;="&amp;EOMONTH(DATE($B$3,$D$3,1),0)),2))</f>
        <v/>
      </c>
      <c r="G154" s="16" t="str">
        <f aca="false">IF($A154="","",ROUND(SUMIFS(출퇴근기록!$H$3:$H$3002,출퇴근기록!$B$3:$B$3002,$A154,출퇴근기록!$A$3:$A$3002,"&gt;="&amp;DATE($B$3,$D$3,1),출퇴근기록!$A$3:$A$3002,"&lt;="&amp;EOMONTH(DATE($B$3,$D$3,1),0)),2))</f>
        <v/>
      </c>
      <c r="H154" s="16" t="str">
        <f aca="false">IF($A154="","",ROUND($D154*IF(직원목록!$F151="",8,직원목록!$F151),2))</f>
        <v/>
      </c>
      <c r="I154" s="16" t="str">
        <f aca="false">IF($A154="","",ROUND($G154-$H154,2))</f>
        <v/>
      </c>
      <c r="J154" s="19" t="str">
        <f aca="false">IF($A154="","",COUNTIFS(출퇴근기록!$B$3:$B$3002,$A154,출퇴근기록!$I$3:$I$3002,"연차",출퇴근기록!$A$3:$A$3002,"&gt;="&amp;DATE($B$3,$D$3,1),출퇴근기록!$A$3:$A$3002,"&lt;="&amp;EOMONTH(DATE($B$3,$D$3,1),0)))</f>
        <v/>
      </c>
      <c r="K154" s="19" t="str">
        <f aca="false">IF($A154="","",COUNTIFS(출퇴근기록!$B$3:$B$3002,$A154,출퇴근기록!$I$3:$I$3002,"결근",출퇴근기록!$A$3:$A$3002,"&gt;="&amp;DATE($B$3,$D$3,1),출퇴근기록!$A$3:$A$3002,"&lt;="&amp;EOMONTH(DATE($B$3,$D$3,1),0)))</f>
        <v/>
      </c>
    </row>
    <row r="155" customFormat="false" ht="15" hidden="false" customHeight="true" outlineLevel="0" collapsed="false">
      <c r="A155" s="13" t="str">
        <f aca="false">IF(직원목록!$A152="","",직원목록!$A152)</f>
        <v/>
      </c>
      <c r="B155" s="13" t="str">
        <f aca="false">IF($A155="","",직원목록!$B152)</f>
        <v/>
      </c>
      <c r="C155" s="13" t="str">
        <f aca="false">IF($A155="","",직원목록!$C152)</f>
        <v/>
      </c>
      <c r="D155" s="19" t="str">
        <f aca="false">IF($A155="","",COUNTIFS(출퇴근기록!$B$3:$B$3002,$A155,출퇴근기록!$H$3:$H$3002,"&gt;0",출퇴근기록!$A$3:$A$3002,"&gt;="&amp;DATE($B$3,$D$3,1),출퇴근기록!$A$3:$A$3002,"&lt;="&amp;EOMONTH(DATE($B$3,$D$3,1),0)))</f>
        <v/>
      </c>
      <c r="E155" s="16" t="str">
        <f aca="false">IF($A155="","",ROUND(SUMIFS(출퇴근기록!$H$3:$H$3002,출퇴근기록!$B$3:$B$3002,$A155,출퇴근기록!$I$3:$I$3002,"평일",출퇴근기록!$A$3:$A$3002,"&gt;="&amp;DATE($B$3,$D$3,1),출퇴근기록!$A$3:$A$3002,"&lt;="&amp;EOMONTH(DATE($B$3,$D$3,1),0)),2))</f>
        <v/>
      </c>
      <c r="F155" s="16" t="str">
        <f aca="false">IF($A155="","",ROUND(SUMIFS(출퇴근기록!$H$3:$H$3002,출퇴근기록!$B$3:$B$3002,$A155,출퇴근기록!$I$3:$I$3002,"휴일",출퇴근기록!$A$3:$A$3002,"&gt;="&amp;DATE($B$3,$D$3,1),출퇴근기록!$A$3:$A$3002,"&lt;="&amp;EOMONTH(DATE($B$3,$D$3,1),0)),2))</f>
        <v/>
      </c>
      <c r="G155" s="16" t="str">
        <f aca="false">IF($A155="","",ROUND(SUMIFS(출퇴근기록!$H$3:$H$3002,출퇴근기록!$B$3:$B$3002,$A155,출퇴근기록!$A$3:$A$3002,"&gt;="&amp;DATE($B$3,$D$3,1),출퇴근기록!$A$3:$A$3002,"&lt;="&amp;EOMONTH(DATE($B$3,$D$3,1),0)),2))</f>
        <v/>
      </c>
      <c r="H155" s="16" t="str">
        <f aca="false">IF($A155="","",ROUND($D155*IF(직원목록!$F152="",8,직원목록!$F152),2))</f>
        <v/>
      </c>
      <c r="I155" s="16" t="str">
        <f aca="false">IF($A155="","",ROUND($G155-$H155,2))</f>
        <v/>
      </c>
      <c r="J155" s="19" t="str">
        <f aca="false">IF($A155="","",COUNTIFS(출퇴근기록!$B$3:$B$3002,$A155,출퇴근기록!$I$3:$I$3002,"연차",출퇴근기록!$A$3:$A$3002,"&gt;="&amp;DATE($B$3,$D$3,1),출퇴근기록!$A$3:$A$3002,"&lt;="&amp;EOMONTH(DATE($B$3,$D$3,1),0)))</f>
        <v/>
      </c>
      <c r="K155" s="19" t="str">
        <f aca="false">IF($A155="","",COUNTIFS(출퇴근기록!$B$3:$B$3002,$A155,출퇴근기록!$I$3:$I$3002,"결근",출퇴근기록!$A$3:$A$3002,"&gt;="&amp;DATE($B$3,$D$3,1),출퇴근기록!$A$3:$A$3002,"&lt;="&amp;EOMONTH(DATE($B$3,$D$3,1),0)))</f>
        <v/>
      </c>
    </row>
    <row r="156" customFormat="false" ht="15" hidden="false" customHeight="true" outlineLevel="0" collapsed="false">
      <c r="A156" s="13" t="str">
        <f aca="false">IF(직원목록!$A153="","",직원목록!$A153)</f>
        <v/>
      </c>
      <c r="B156" s="13" t="str">
        <f aca="false">IF($A156="","",직원목록!$B153)</f>
        <v/>
      </c>
      <c r="C156" s="13" t="str">
        <f aca="false">IF($A156="","",직원목록!$C153)</f>
        <v/>
      </c>
      <c r="D156" s="19" t="str">
        <f aca="false">IF($A156="","",COUNTIFS(출퇴근기록!$B$3:$B$3002,$A156,출퇴근기록!$H$3:$H$3002,"&gt;0",출퇴근기록!$A$3:$A$3002,"&gt;="&amp;DATE($B$3,$D$3,1),출퇴근기록!$A$3:$A$3002,"&lt;="&amp;EOMONTH(DATE($B$3,$D$3,1),0)))</f>
        <v/>
      </c>
      <c r="E156" s="16" t="str">
        <f aca="false">IF($A156="","",ROUND(SUMIFS(출퇴근기록!$H$3:$H$3002,출퇴근기록!$B$3:$B$3002,$A156,출퇴근기록!$I$3:$I$3002,"평일",출퇴근기록!$A$3:$A$3002,"&gt;="&amp;DATE($B$3,$D$3,1),출퇴근기록!$A$3:$A$3002,"&lt;="&amp;EOMONTH(DATE($B$3,$D$3,1),0)),2))</f>
        <v/>
      </c>
      <c r="F156" s="16" t="str">
        <f aca="false">IF($A156="","",ROUND(SUMIFS(출퇴근기록!$H$3:$H$3002,출퇴근기록!$B$3:$B$3002,$A156,출퇴근기록!$I$3:$I$3002,"휴일",출퇴근기록!$A$3:$A$3002,"&gt;="&amp;DATE($B$3,$D$3,1),출퇴근기록!$A$3:$A$3002,"&lt;="&amp;EOMONTH(DATE($B$3,$D$3,1),0)),2))</f>
        <v/>
      </c>
      <c r="G156" s="16" t="str">
        <f aca="false">IF($A156="","",ROUND(SUMIFS(출퇴근기록!$H$3:$H$3002,출퇴근기록!$B$3:$B$3002,$A156,출퇴근기록!$A$3:$A$3002,"&gt;="&amp;DATE($B$3,$D$3,1),출퇴근기록!$A$3:$A$3002,"&lt;="&amp;EOMONTH(DATE($B$3,$D$3,1),0)),2))</f>
        <v/>
      </c>
      <c r="H156" s="16" t="str">
        <f aca="false">IF($A156="","",ROUND($D156*IF(직원목록!$F153="",8,직원목록!$F153),2))</f>
        <v/>
      </c>
      <c r="I156" s="16" t="str">
        <f aca="false">IF($A156="","",ROUND($G156-$H156,2))</f>
        <v/>
      </c>
      <c r="J156" s="19" t="str">
        <f aca="false">IF($A156="","",COUNTIFS(출퇴근기록!$B$3:$B$3002,$A156,출퇴근기록!$I$3:$I$3002,"연차",출퇴근기록!$A$3:$A$3002,"&gt;="&amp;DATE($B$3,$D$3,1),출퇴근기록!$A$3:$A$3002,"&lt;="&amp;EOMONTH(DATE($B$3,$D$3,1),0)))</f>
        <v/>
      </c>
      <c r="K156" s="19" t="str">
        <f aca="false">IF($A156="","",COUNTIFS(출퇴근기록!$B$3:$B$3002,$A156,출퇴근기록!$I$3:$I$3002,"결근",출퇴근기록!$A$3:$A$3002,"&gt;="&amp;DATE($B$3,$D$3,1),출퇴근기록!$A$3:$A$3002,"&lt;="&amp;EOMONTH(DATE($B$3,$D$3,1),0)))</f>
        <v/>
      </c>
    </row>
    <row r="157" customFormat="false" ht="15" hidden="false" customHeight="true" outlineLevel="0" collapsed="false">
      <c r="A157" s="13" t="str">
        <f aca="false">IF(직원목록!$A154="","",직원목록!$A154)</f>
        <v/>
      </c>
      <c r="B157" s="13" t="str">
        <f aca="false">IF($A157="","",직원목록!$B154)</f>
        <v/>
      </c>
      <c r="C157" s="13" t="str">
        <f aca="false">IF($A157="","",직원목록!$C154)</f>
        <v/>
      </c>
      <c r="D157" s="19" t="str">
        <f aca="false">IF($A157="","",COUNTIFS(출퇴근기록!$B$3:$B$3002,$A157,출퇴근기록!$H$3:$H$3002,"&gt;0",출퇴근기록!$A$3:$A$3002,"&gt;="&amp;DATE($B$3,$D$3,1),출퇴근기록!$A$3:$A$3002,"&lt;="&amp;EOMONTH(DATE($B$3,$D$3,1),0)))</f>
        <v/>
      </c>
      <c r="E157" s="16" t="str">
        <f aca="false">IF($A157="","",ROUND(SUMIFS(출퇴근기록!$H$3:$H$3002,출퇴근기록!$B$3:$B$3002,$A157,출퇴근기록!$I$3:$I$3002,"평일",출퇴근기록!$A$3:$A$3002,"&gt;="&amp;DATE($B$3,$D$3,1),출퇴근기록!$A$3:$A$3002,"&lt;="&amp;EOMONTH(DATE($B$3,$D$3,1),0)),2))</f>
        <v/>
      </c>
      <c r="F157" s="16" t="str">
        <f aca="false">IF($A157="","",ROUND(SUMIFS(출퇴근기록!$H$3:$H$3002,출퇴근기록!$B$3:$B$3002,$A157,출퇴근기록!$I$3:$I$3002,"휴일",출퇴근기록!$A$3:$A$3002,"&gt;="&amp;DATE($B$3,$D$3,1),출퇴근기록!$A$3:$A$3002,"&lt;="&amp;EOMONTH(DATE($B$3,$D$3,1),0)),2))</f>
        <v/>
      </c>
      <c r="G157" s="16" t="str">
        <f aca="false">IF($A157="","",ROUND(SUMIFS(출퇴근기록!$H$3:$H$3002,출퇴근기록!$B$3:$B$3002,$A157,출퇴근기록!$A$3:$A$3002,"&gt;="&amp;DATE($B$3,$D$3,1),출퇴근기록!$A$3:$A$3002,"&lt;="&amp;EOMONTH(DATE($B$3,$D$3,1),0)),2))</f>
        <v/>
      </c>
      <c r="H157" s="16" t="str">
        <f aca="false">IF($A157="","",ROUND($D157*IF(직원목록!$F154="",8,직원목록!$F154),2))</f>
        <v/>
      </c>
      <c r="I157" s="16" t="str">
        <f aca="false">IF($A157="","",ROUND($G157-$H157,2))</f>
        <v/>
      </c>
      <c r="J157" s="19" t="str">
        <f aca="false">IF($A157="","",COUNTIFS(출퇴근기록!$B$3:$B$3002,$A157,출퇴근기록!$I$3:$I$3002,"연차",출퇴근기록!$A$3:$A$3002,"&gt;="&amp;DATE($B$3,$D$3,1),출퇴근기록!$A$3:$A$3002,"&lt;="&amp;EOMONTH(DATE($B$3,$D$3,1),0)))</f>
        <v/>
      </c>
      <c r="K157" s="19" t="str">
        <f aca="false">IF($A157="","",COUNTIFS(출퇴근기록!$B$3:$B$3002,$A157,출퇴근기록!$I$3:$I$3002,"결근",출퇴근기록!$A$3:$A$3002,"&gt;="&amp;DATE($B$3,$D$3,1),출퇴근기록!$A$3:$A$3002,"&lt;="&amp;EOMONTH(DATE($B$3,$D$3,1),0)))</f>
        <v/>
      </c>
    </row>
    <row r="158" customFormat="false" ht="15" hidden="false" customHeight="true" outlineLevel="0" collapsed="false">
      <c r="A158" s="13" t="str">
        <f aca="false">IF(직원목록!$A155="","",직원목록!$A155)</f>
        <v/>
      </c>
      <c r="B158" s="13" t="str">
        <f aca="false">IF($A158="","",직원목록!$B155)</f>
        <v/>
      </c>
      <c r="C158" s="13" t="str">
        <f aca="false">IF($A158="","",직원목록!$C155)</f>
        <v/>
      </c>
      <c r="D158" s="19" t="str">
        <f aca="false">IF($A158="","",COUNTIFS(출퇴근기록!$B$3:$B$3002,$A158,출퇴근기록!$H$3:$H$3002,"&gt;0",출퇴근기록!$A$3:$A$3002,"&gt;="&amp;DATE($B$3,$D$3,1),출퇴근기록!$A$3:$A$3002,"&lt;="&amp;EOMONTH(DATE($B$3,$D$3,1),0)))</f>
        <v/>
      </c>
      <c r="E158" s="16" t="str">
        <f aca="false">IF($A158="","",ROUND(SUMIFS(출퇴근기록!$H$3:$H$3002,출퇴근기록!$B$3:$B$3002,$A158,출퇴근기록!$I$3:$I$3002,"평일",출퇴근기록!$A$3:$A$3002,"&gt;="&amp;DATE($B$3,$D$3,1),출퇴근기록!$A$3:$A$3002,"&lt;="&amp;EOMONTH(DATE($B$3,$D$3,1),0)),2))</f>
        <v/>
      </c>
      <c r="F158" s="16" t="str">
        <f aca="false">IF($A158="","",ROUND(SUMIFS(출퇴근기록!$H$3:$H$3002,출퇴근기록!$B$3:$B$3002,$A158,출퇴근기록!$I$3:$I$3002,"휴일",출퇴근기록!$A$3:$A$3002,"&gt;="&amp;DATE($B$3,$D$3,1),출퇴근기록!$A$3:$A$3002,"&lt;="&amp;EOMONTH(DATE($B$3,$D$3,1),0)),2))</f>
        <v/>
      </c>
      <c r="G158" s="16" t="str">
        <f aca="false">IF($A158="","",ROUND(SUMIFS(출퇴근기록!$H$3:$H$3002,출퇴근기록!$B$3:$B$3002,$A158,출퇴근기록!$A$3:$A$3002,"&gt;="&amp;DATE($B$3,$D$3,1),출퇴근기록!$A$3:$A$3002,"&lt;="&amp;EOMONTH(DATE($B$3,$D$3,1),0)),2))</f>
        <v/>
      </c>
      <c r="H158" s="16" t="str">
        <f aca="false">IF($A158="","",ROUND($D158*IF(직원목록!$F155="",8,직원목록!$F155),2))</f>
        <v/>
      </c>
      <c r="I158" s="16" t="str">
        <f aca="false">IF($A158="","",ROUND($G158-$H158,2))</f>
        <v/>
      </c>
      <c r="J158" s="19" t="str">
        <f aca="false">IF($A158="","",COUNTIFS(출퇴근기록!$B$3:$B$3002,$A158,출퇴근기록!$I$3:$I$3002,"연차",출퇴근기록!$A$3:$A$3002,"&gt;="&amp;DATE($B$3,$D$3,1),출퇴근기록!$A$3:$A$3002,"&lt;="&amp;EOMONTH(DATE($B$3,$D$3,1),0)))</f>
        <v/>
      </c>
      <c r="K158" s="19" t="str">
        <f aca="false">IF($A158="","",COUNTIFS(출퇴근기록!$B$3:$B$3002,$A158,출퇴근기록!$I$3:$I$3002,"결근",출퇴근기록!$A$3:$A$3002,"&gt;="&amp;DATE($B$3,$D$3,1),출퇴근기록!$A$3:$A$3002,"&lt;="&amp;EOMONTH(DATE($B$3,$D$3,1),0)))</f>
        <v/>
      </c>
    </row>
    <row r="159" customFormat="false" ht="15" hidden="false" customHeight="true" outlineLevel="0" collapsed="false">
      <c r="A159" s="13" t="str">
        <f aca="false">IF(직원목록!$A156="","",직원목록!$A156)</f>
        <v/>
      </c>
      <c r="B159" s="13" t="str">
        <f aca="false">IF($A159="","",직원목록!$B156)</f>
        <v/>
      </c>
      <c r="C159" s="13" t="str">
        <f aca="false">IF($A159="","",직원목록!$C156)</f>
        <v/>
      </c>
      <c r="D159" s="19" t="str">
        <f aca="false">IF($A159="","",COUNTIFS(출퇴근기록!$B$3:$B$3002,$A159,출퇴근기록!$H$3:$H$3002,"&gt;0",출퇴근기록!$A$3:$A$3002,"&gt;="&amp;DATE($B$3,$D$3,1),출퇴근기록!$A$3:$A$3002,"&lt;="&amp;EOMONTH(DATE($B$3,$D$3,1),0)))</f>
        <v/>
      </c>
      <c r="E159" s="16" t="str">
        <f aca="false">IF($A159="","",ROUND(SUMIFS(출퇴근기록!$H$3:$H$3002,출퇴근기록!$B$3:$B$3002,$A159,출퇴근기록!$I$3:$I$3002,"평일",출퇴근기록!$A$3:$A$3002,"&gt;="&amp;DATE($B$3,$D$3,1),출퇴근기록!$A$3:$A$3002,"&lt;="&amp;EOMONTH(DATE($B$3,$D$3,1),0)),2))</f>
        <v/>
      </c>
      <c r="F159" s="16" t="str">
        <f aca="false">IF($A159="","",ROUND(SUMIFS(출퇴근기록!$H$3:$H$3002,출퇴근기록!$B$3:$B$3002,$A159,출퇴근기록!$I$3:$I$3002,"휴일",출퇴근기록!$A$3:$A$3002,"&gt;="&amp;DATE($B$3,$D$3,1),출퇴근기록!$A$3:$A$3002,"&lt;="&amp;EOMONTH(DATE($B$3,$D$3,1),0)),2))</f>
        <v/>
      </c>
      <c r="G159" s="16" t="str">
        <f aca="false">IF($A159="","",ROUND(SUMIFS(출퇴근기록!$H$3:$H$3002,출퇴근기록!$B$3:$B$3002,$A159,출퇴근기록!$A$3:$A$3002,"&gt;="&amp;DATE($B$3,$D$3,1),출퇴근기록!$A$3:$A$3002,"&lt;="&amp;EOMONTH(DATE($B$3,$D$3,1),0)),2))</f>
        <v/>
      </c>
      <c r="H159" s="16" t="str">
        <f aca="false">IF($A159="","",ROUND($D159*IF(직원목록!$F156="",8,직원목록!$F156),2))</f>
        <v/>
      </c>
      <c r="I159" s="16" t="str">
        <f aca="false">IF($A159="","",ROUND($G159-$H159,2))</f>
        <v/>
      </c>
      <c r="J159" s="19" t="str">
        <f aca="false">IF($A159="","",COUNTIFS(출퇴근기록!$B$3:$B$3002,$A159,출퇴근기록!$I$3:$I$3002,"연차",출퇴근기록!$A$3:$A$3002,"&gt;="&amp;DATE($B$3,$D$3,1),출퇴근기록!$A$3:$A$3002,"&lt;="&amp;EOMONTH(DATE($B$3,$D$3,1),0)))</f>
        <v/>
      </c>
      <c r="K159" s="19" t="str">
        <f aca="false">IF($A159="","",COUNTIFS(출퇴근기록!$B$3:$B$3002,$A159,출퇴근기록!$I$3:$I$3002,"결근",출퇴근기록!$A$3:$A$3002,"&gt;="&amp;DATE($B$3,$D$3,1),출퇴근기록!$A$3:$A$3002,"&lt;="&amp;EOMONTH(DATE($B$3,$D$3,1),0)))</f>
        <v/>
      </c>
    </row>
    <row r="160" customFormat="false" ht="15" hidden="false" customHeight="true" outlineLevel="0" collapsed="false">
      <c r="A160" s="13" t="str">
        <f aca="false">IF(직원목록!$A157="","",직원목록!$A157)</f>
        <v/>
      </c>
      <c r="B160" s="13" t="str">
        <f aca="false">IF($A160="","",직원목록!$B157)</f>
        <v/>
      </c>
      <c r="C160" s="13" t="str">
        <f aca="false">IF($A160="","",직원목록!$C157)</f>
        <v/>
      </c>
      <c r="D160" s="19" t="str">
        <f aca="false">IF($A160="","",COUNTIFS(출퇴근기록!$B$3:$B$3002,$A160,출퇴근기록!$H$3:$H$3002,"&gt;0",출퇴근기록!$A$3:$A$3002,"&gt;="&amp;DATE($B$3,$D$3,1),출퇴근기록!$A$3:$A$3002,"&lt;="&amp;EOMONTH(DATE($B$3,$D$3,1),0)))</f>
        <v/>
      </c>
      <c r="E160" s="16" t="str">
        <f aca="false">IF($A160="","",ROUND(SUMIFS(출퇴근기록!$H$3:$H$3002,출퇴근기록!$B$3:$B$3002,$A160,출퇴근기록!$I$3:$I$3002,"평일",출퇴근기록!$A$3:$A$3002,"&gt;="&amp;DATE($B$3,$D$3,1),출퇴근기록!$A$3:$A$3002,"&lt;="&amp;EOMONTH(DATE($B$3,$D$3,1),0)),2))</f>
        <v/>
      </c>
      <c r="F160" s="16" t="str">
        <f aca="false">IF($A160="","",ROUND(SUMIFS(출퇴근기록!$H$3:$H$3002,출퇴근기록!$B$3:$B$3002,$A160,출퇴근기록!$I$3:$I$3002,"휴일",출퇴근기록!$A$3:$A$3002,"&gt;="&amp;DATE($B$3,$D$3,1),출퇴근기록!$A$3:$A$3002,"&lt;="&amp;EOMONTH(DATE($B$3,$D$3,1),0)),2))</f>
        <v/>
      </c>
      <c r="G160" s="16" t="str">
        <f aca="false">IF($A160="","",ROUND(SUMIFS(출퇴근기록!$H$3:$H$3002,출퇴근기록!$B$3:$B$3002,$A160,출퇴근기록!$A$3:$A$3002,"&gt;="&amp;DATE($B$3,$D$3,1),출퇴근기록!$A$3:$A$3002,"&lt;="&amp;EOMONTH(DATE($B$3,$D$3,1),0)),2))</f>
        <v/>
      </c>
      <c r="H160" s="16" t="str">
        <f aca="false">IF($A160="","",ROUND($D160*IF(직원목록!$F157="",8,직원목록!$F157),2))</f>
        <v/>
      </c>
      <c r="I160" s="16" t="str">
        <f aca="false">IF($A160="","",ROUND($G160-$H160,2))</f>
        <v/>
      </c>
      <c r="J160" s="19" t="str">
        <f aca="false">IF($A160="","",COUNTIFS(출퇴근기록!$B$3:$B$3002,$A160,출퇴근기록!$I$3:$I$3002,"연차",출퇴근기록!$A$3:$A$3002,"&gt;="&amp;DATE($B$3,$D$3,1),출퇴근기록!$A$3:$A$3002,"&lt;="&amp;EOMONTH(DATE($B$3,$D$3,1),0)))</f>
        <v/>
      </c>
      <c r="K160" s="19" t="str">
        <f aca="false">IF($A160="","",COUNTIFS(출퇴근기록!$B$3:$B$3002,$A160,출퇴근기록!$I$3:$I$3002,"결근",출퇴근기록!$A$3:$A$3002,"&gt;="&amp;DATE($B$3,$D$3,1),출퇴근기록!$A$3:$A$3002,"&lt;="&amp;EOMONTH(DATE($B$3,$D$3,1),0)))</f>
        <v/>
      </c>
    </row>
    <row r="161" customFormat="false" ht="15" hidden="false" customHeight="true" outlineLevel="0" collapsed="false">
      <c r="A161" s="13" t="str">
        <f aca="false">IF(직원목록!$A158="","",직원목록!$A158)</f>
        <v/>
      </c>
      <c r="B161" s="13" t="str">
        <f aca="false">IF($A161="","",직원목록!$B158)</f>
        <v/>
      </c>
      <c r="C161" s="13" t="str">
        <f aca="false">IF($A161="","",직원목록!$C158)</f>
        <v/>
      </c>
      <c r="D161" s="19" t="str">
        <f aca="false">IF($A161="","",COUNTIFS(출퇴근기록!$B$3:$B$3002,$A161,출퇴근기록!$H$3:$H$3002,"&gt;0",출퇴근기록!$A$3:$A$3002,"&gt;="&amp;DATE($B$3,$D$3,1),출퇴근기록!$A$3:$A$3002,"&lt;="&amp;EOMONTH(DATE($B$3,$D$3,1),0)))</f>
        <v/>
      </c>
      <c r="E161" s="16" t="str">
        <f aca="false">IF($A161="","",ROUND(SUMIFS(출퇴근기록!$H$3:$H$3002,출퇴근기록!$B$3:$B$3002,$A161,출퇴근기록!$I$3:$I$3002,"평일",출퇴근기록!$A$3:$A$3002,"&gt;="&amp;DATE($B$3,$D$3,1),출퇴근기록!$A$3:$A$3002,"&lt;="&amp;EOMONTH(DATE($B$3,$D$3,1),0)),2))</f>
        <v/>
      </c>
      <c r="F161" s="16" t="str">
        <f aca="false">IF($A161="","",ROUND(SUMIFS(출퇴근기록!$H$3:$H$3002,출퇴근기록!$B$3:$B$3002,$A161,출퇴근기록!$I$3:$I$3002,"휴일",출퇴근기록!$A$3:$A$3002,"&gt;="&amp;DATE($B$3,$D$3,1),출퇴근기록!$A$3:$A$3002,"&lt;="&amp;EOMONTH(DATE($B$3,$D$3,1),0)),2))</f>
        <v/>
      </c>
      <c r="G161" s="16" t="str">
        <f aca="false">IF($A161="","",ROUND(SUMIFS(출퇴근기록!$H$3:$H$3002,출퇴근기록!$B$3:$B$3002,$A161,출퇴근기록!$A$3:$A$3002,"&gt;="&amp;DATE($B$3,$D$3,1),출퇴근기록!$A$3:$A$3002,"&lt;="&amp;EOMONTH(DATE($B$3,$D$3,1),0)),2))</f>
        <v/>
      </c>
      <c r="H161" s="16" t="str">
        <f aca="false">IF($A161="","",ROUND($D161*IF(직원목록!$F158="",8,직원목록!$F158),2))</f>
        <v/>
      </c>
      <c r="I161" s="16" t="str">
        <f aca="false">IF($A161="","",ROUND($G161-$H161,2))</f>
        <v/>
      </c>
      <c r="J161" s="19" t="str">
        <f aca="false">IF($A161="","",COUNTIFS(출퇴근기록!$B$3:$B$3002,$A161,출퇴근기록!$I$3:$I$3002,"연차",출퇴근기록!$A$3:$A$3002,"&gt;="&amp;DATE($B$3,$D$3,1),출퇴근기록!$A$3:$A$3002,"&lt;="&amp;EOMONTH(DATE($B$3,$D$3,1),0)))</f>
        <v/>
      </c>
      <c r="K161" s="19" t="str">
        <f aca="false">IF($A161="","",COUNTIFS(출퇴근기록!$B$3:$B$3002,$A161,출퇴근기록!$I$3:$I$3002,"결근",출퇴근기록!$A$3:$A$3002,"&gt;="&amp;DATE($B$3,$D$3,1),출퇴근기록!$A$3:$A$3002,"&lt;="&amp;EOMONTH(DATE($B$3,$D$3,1),0)))</f>
        <v/>
      </c>
    </row>
    <row r="162" customFormat="false" ht="15" hidden="false" customHeight="true" outlineLevel="0" collapsed="false">
      <c r="A162" s="13" t="str">
        <f aca="false">IF(직원목록!$A159="","",직원목록!$A159)</f>
        <v/>
      </c>
      <c r="B162" s="13" t="str">
        <f aca="false">IF($A162="","",직원목록!$B159)</f>
        <v/>
      </c>
      <c r="C162" s="13" t="str">
        <f aca="false">IF($A162="","",직원목록!$C159)</f>
        <v/>
      </c>
      <c r="D162" s="19" t="str">
        <f aca="false">IF($A162="","",COUNTIFS(출퇴근기록!$B$3:$B$3002,$A162,출퇴근기록!$H$3:$H$3002,"&gt;0",출퇴근기록!$A$3:$A$3002,"&gt;="&amp;DATE($B$3,$D$3,1),출퇴근기록!$A$3:$A$3002,"&lt;="&amp;EOMONTH(DATE($B$3,$D$3,1),0)))</f>
        <v/>
      </c>
      <c r="E162" s="16" t="str">
        <f aca="false">IF($A162="","",ROUND(SUMIFS(출퇴근기록!$H$3:$H$3002,출퇴근기록!$B$3:$B$3002,$A162,출퇴근기록!$I$3:$I$3002,"평일",출퇴근기록!$A$3:$A$3002,"&gt;="&amp;DATE($B$3,$D$3,1),출퇴근기록!$A$3:$A$3002,"&lt;="&amp;EOMONTH(DATE($B$3,$D$3,1),0)),2))</f>
        <v/>
      </c>
      <c r="F162" s="16" t="str">
        <f aca="false">IF($A162="","",ROUND(SUMIFS(출퇴근기록!$H$3:$H$3002,출퇴근기록!$B$3:$B$3002,$A162,출퇴근기록!$I$3:$I$3002,"휴일",출퇴근기록!$A$3:$A$3002,"&gt;="&amp;DATE($B$3,$D$3,1),출퇴근기록!$A$3:$A$3002,"&lt;="&amp;EOMONTH(DATE($B$3,$D$3,1),0)),2))</f>
        <v/>
      </c>
      <c r="G162" s="16" t="str">
        <f aca="false">IF($A162="","",ROUND(SUMIFS(출퇴근기록!$H$3:$H$3002,출퇴근기록!$B$3:$B$3002,$A162,출퇴근기록!$A$3:$A$3002,"&gt;="&amp;DATE($B$3,$D$3,1),출퇴근기록!$A$3:$A$3002,"&lt;="&amp;EOMONTH(DATE($B$3,$D$3,1),0)),2))</f>
        <v/>
      </c>
      <c r="H162" s="16" t="str">
        <f aca="false">IF($A162="","",ROUND($D162*IF(직원목록!$F159="",8,직원목록!$F159),2))</f>
        <v/>
      </c>
      <c r="I162" s="16" t="str">
        <f aca="false">IF($A162="","",ROUND($G162-$H162,2))</f>
        <v/>
      </c>
      <c r="J162" s="19" t="str">
        <f aca="false">IF($A162="","",COUNTIFS(출퇴근기록!$B$3:$B$3002,$A162,출퇴근기록!$I$3:$I$3002,"연차",출퇴근기록!$A$3:$A$3002,"&gt;="&amp;DATE($B$3,$D$3,1),출퇴근기록!$A$3:$A$3002,"&lt;="&amp;EOMONTH(DATE($B$3,$D$3,1),0)))</f>
        <v/>
      </c>
      <c r="K162" s="19" t="str">
        <f aca="false">IF($A162="","",COUNTIFS(출퇴근기록!$B$3:$B$3002,$A162,출퇴근기록!$I$3:$I$3002,"결근",출퇴근기록!$A$3:$A$3002,"&gt;="&amp;DATE($B$3,$D$3,1),출퇴근기록!$A$3:$A$3002,"&lt;="&amp;EOMONTH(DATE($B$3,$D$3,1),0)))</f>
        <v/>
      </c>
    </row>
    <row r="163" customFormat="false" ht="15" hidden="false" customHeight="true" outlineLevel="0" collapsed="false">
      <c r="A163" s="13" t="str">
        <f aca="false">IF(직원목록!$A160="","",직원목록!$A160)</f>
        <v/>
      </c>
      <c r="B163" s="13" t="str">
        <f aca="false">IF($A163="","",직원목록!$B160)</f>
        <v/>
      </c>
      <c r="C163" s="13" t="str">
        <f aca="false">IF($A163="","",직원목록!$C160)</f>
        <v/>
      </c>
      <c r="D163" s="19" t="str">
        <f aca="false">IF($A163="","",COUNTIFS(출퇴근기록!$B$3:$B$3002,$A163,출퇴근기록!$H$3:$H$3002,"&gt;0",출퇴근기록!$A$3:$A$3002,"&gt;="&amp;DATE($B$3,$D$3,1),출퇴근기록!$A$3:$A$3002,"&lt;="&amp;EOMONTH(DATE($B$3,$D$3,1),0)))</f>
        <v/>
      </c>
      <c r="E163" s="16" t="str">
        <f aca="false">IF($A163="","",ROUND(SUMIFS(출퇴근기록!$H$3:$H$3002,출퇴근기록!$B$3:$B$3002,$A163,출퇴근기록!$I$3:$I$3002,"평일",출퇴근기록!$A$3:$A$3002,"&gt;="&amp;DATE($B$3,$D$3,1),출퇴근기록!$A$3:$A$3002,"&lt;="&amp;EOMONTH(DATE($B$3,$D$3,1),0)),2))</f>
        <v/>
      </c>
      <c r="F163" s="16" t="str">
        <f aca="false">IF($A163="","",ROUND(SUMIFS(출퇴근기록!$H$3:$H$3002,출퇴근기록!$B$3:$B$3002,$A163,출퇴근기록!$I$3:$I$3002,"휴일",출퇴근기록!$A$3:$A$3002,"&gt;="&amp;DATE($B$3,$D$3,1),출퇴근기록!$A$3:$A$3002,"&lt;="&amp;EOMONTH(DATE($B$3,$D$3,1),0)),2))</f>
        <v/>
      </c>
      <c r="G163" s="16" t="str">
        <f aca="false">IF($A163="","",ROUND(SUMIFS(출퇴근기록!$H$3:$H$3002,출퇴근기록!$B$3:$B$3002,$A163,출퇴근기록!$A$3:$A$3002,"&gt;="&amp;DATE($B$3,$D$3,1),출퇴근기록!$A$3:$A$3002,"&lt;="&amp;EOMONTH(DATE($B$3,$D$3,1),0)),2))</f>
        <v/>
      </c>
      <c r="H163" s="16" t="str">
        <f aca="false">IF($A163="","",ROUND($D163*IF(직원목록!$F160="",8,직원목록!$F160),2))</f>
        <v/>
      </c>
      <c r="I163" s="16" t="str">
        <f aca="false">IF($A163="","",ROUND($G163-$H163,2))</f>
        <v/>
      </c>
      <c r="J163" s="19" t="str">
        <f aca="false">IF($A163="","",COUNTIFS(출퇴근기록!$B$3:$B$3002,$A163,출퇴근기록!$I$3:$I$3002,"연차",출퇴근기록!$A$3:$A$3002,"&gt;="&amp;DATE($B$3,$D$3,1),출퇴근기록!$A$3:$A$3002,"&lt;="&amp;EOMONTH(DATE($B$3,$D$3,1),0)))</f>
        <v/>
      </c>
      <c r="K163" s="19" t="str">
        <f aca="false">IF($A163="","",COUNTIFS(출퇴근기록!$B$3:$B$3002,$A163,출퇴근기록!$I$3:$I$3002,"결근",출퇴근기록!$A$3:$A$3002,"&gt;="&amp;DATE($B$3,$D$3,1),출퇴근기록!$A$3:$A$3002,"&lt;="&amp;EOMONTH(DATE($B$3,$D$3,1),0)))</f>
        <v/>
      </c>
    </row>
    <row r="164" customFormat="false" ht="15" hidden="false" customHeight="true" outlineLevel="0" collapsed="false">
      <c r="A164" s="13" t="str">
        <f aca="false">IF(직원목록!$A161="","",직원목록!$A161)</f>
        <v/>
      </c>
      <c r="B164" s="13" t="str">
        <f aca="false">IF($A164="","",직원목록!$B161)</f>
        <v/>
      </c>
      <c r="C164" s="13" t="str">
        <f aca="false">IF($A164="","",직원목록!$C161)</f>
        <v/>
      </c>
      <c r="D164" s="19" t="str">
        <f aca="false">IF($A164="","",COUNTIFS(출퇴근기록!$B$3:$B$3002,$A164,출퇴근기록!$H$3:$H$3002,"&gt;0",출퇴근기록!$A$3:$A$3002,"&gt;="&amp;DATE($B$3,$D$3,1),출퇴근기록!$A$3:$A$3002,"&lt;="&amp;EOMONTH(DATE($B$3,$D$3,1),0)))</f>
        <v/>
      </c>
      <c r="E164" s="16" t="str">
        <f aca="false">IF($A164="","",ROUND(SUMIFS(출퇴근기록!$H$3:$H$3002,출퇴근기록!$B$3:$B$3002,$A164,출퇴근기록!$I$3:$I$3002,"평일",출퇴근기록!$A$3:$A$3002,"&gt;="&amp;DATE($B$3,$D$3,1),출퇴근기록!$A$3:$A$3002,"&lt;="&amp;EOMONTH(DATE($B$3,$D$3,1),0)),2))</f>
        <v/>
      </c>
      <c r="F164" s="16" t="str">
        <f aca="false">IF($A164="","",ROUND(SUMIFS(출퇴근기록!$H$3:$H$3002,출퇴근기록!$B$3:$B$3002,$A164,출퇴근기록!$I$3:$I$3002,"휴일",출퇴근기록!$A$3:$A$3002,"&gt;="&amp;DATE($B$3,$D$3,1),출퇴근기록!$A$3:$A$3002,"&lt;="&amp;EOMONTH(DATE($B$3,$D$3,1),0)),2))</f>
        <v/>
      </c>
      <c r="G164" s="16" t="str">
        <f aca="false">IF($A164="","",ROUND(SUMIFS(출퇴근기록!$H$3:$H$3002,출퇴근기록!$B$3:$B$3002,$A164,출퇴근기록!$A$3:$A$3002,"&gt;="&amp;DATE($B$3,$D$3,1),출퇴근기록!$A$3:$A$3002,"&lt;="&amp;EOMONTH(DATE($B$3,$D$3,1),0)),2))</f>
        <v/>
      </c>
      <c r="H164" s="16" t="str">
        <f aca="false">IF($A164="","",ROUND($D164*IF(직원목록!$F161="",8,직원목록!$F161),2))</f>
        <v/>
      </c>
      <c r="I164" s="16" t="str">
        <f aca="false">IF($A164="","",ROUND($G164-$H164,2))</f>
        <v/>
      </c>
      <c r="J164" s="19" t="str">
        <f aca="false">IF($A164="","",COUNTIFS(출퇴근기록!$B$3:$B$3002,$A164,출퇴근기록!$I$3:$I$3002,"연차",출퇴근기록!$A$3:$A$3002,"&gt;="&amp;DATE($B$3,$D$3,1),출퇴근기록!$A$3:$A$3002,"&lt;="&amp;EOMONTH(DATE($B$3,$D$3,1),0)))</f>
        <v/>
      </c>
      <c r="K164" s="19" t="str">
        <f aca="false">IF($A164="","",COUNTIFS(출퇴근기록!$B$3:$B$3002,$A164,출퇴근기록!$I$3:$I$3002,"결근",출퇴근기록!$A$3:$A$3002,"&gt;="&amp;DATE($B$3,$D$3,1),출퇴근기록!$A$3:$A$3002,"&lt;="&amp;EOMONTH(DATE($B$3,$D$3,1),0)))</f>
        <v/>
      </c>
    </row>
    <row r="165" customFormat="false" ht="15" hidden="false" customHeight="true" outlineLevel="0" collapsed="false">
      <c r="A165" s="13" t="str">
        <f aca="false">IF(직원목록!$A162="","",직원목록!$A162)</f>
        <v/>
      </c>
      <c r="B165" s="13" t="str">
        <f aca="false">IF($A165="","",직원목록!$B162)</f>
        <v/>
      </c>
      <c r="C165" s="13" t="str">
        <f aca="false">IF($A165="","",직원목록!$C162)</f>
        <v/>
      </c>
      <c r="D165" s="19" t="str">
        <f aca="false">IF($A165="","",COUNTIFS(출퇴근기록!$B$3:$B$3002,$A165,출퇴근기록!$H$3:$H$3002,"&gt;0",출퇴근기록!$A$3:$A$3002,"&gt;="&amp;DATE($B$3,$D$3,1),출퇴근기록!$A$3:$A$3002,"&lt;="&amp;EOMONTH(DATE($B$3,$D$3,1),0)))</f>
        <v/>
      </c>
      <c r="E165" s="16" t="str">
        <f aca="false">IF($A165="","",ROUND(SUMIFS(출퇴근기록!$H$3:$H$3002,출퇴근기록!$B$3:$B$3002,$A165,출퇴근기록!$I$3:$I$3002,"평일",출퇴근기록!$A$3:$A$3002,"&gt;="&amp;DATE($B$3,$D$3,1),출퇴근기록!$A$3:$A$3002,"&lt;="&amp;EOMONTH(DATE($B$3,$D$3,1),0)),2))</f>
        <v/>
      </c>
      <c r="F165" s="16" t="str">
        <f aca="false">IF($A165="","",ROUND(SUMIFS(출퇴근기록!$H$3:$H$3002,출퇴근기록!$B$3:$B$3002,$A165,출퇴근기록!$I$3:$I$3002,"휴일",출퇴근기록!$A$3:$A$3002,"&gt;="&amp;DATE($B$3,$D$3,1),출퇴근기록!$A$3:$A$3002,"&lt;="&amp;EOMONTH(DATE($B$3,$D$3,1),0)),2))</f>
        <v/>
      </c>
      <c r="G165" s="16" t="str">
        <f aca="false">IF($A165="","",ROUND(SUMIFS(출퇴근기록!$H$3:$H$3002,출퇴근기록!$B$3:$B$3002,$A165,출퇴근기록!$A$3:$A$3002,"&gt;="&amp;DATE($B$3,$D$3,1),출퇴근기록!$A$3:$A$3002,"&lt;="&amp;EOMONTH(DATE($B$3,$D$3,1),0)),2))</f>
        <v/>
      </c>
      <c r="H165" s="16" t="str">
        <f aca="false">IF($A165="","",ROUND($D165*IF(직원목록!$F162="",8,직원목록!$F162),2))</f>
        <v/>
      </c>
      <c r="I165" s="16" t="str">
        <f aca="false">IF($A165="","",ROUND($G165-$H165,2))</f>
        <v/>
      </c>
      <c r="J165" s="19" t="str">
        <f aca="false">IF($A165="","",COUNTIFS(출퇴근기록!$B$3:$B$3002,$A165,출퇴근기록!$I$3:$I$3002,"연차",출퇴근기록!$A$3:$A$3002,"&gt;="&amp;DATE($B$3,$D$3,1),출퇴근기록!$A$3:$A$3002,"&lt;="&amp;EOMONTH(DATE($B$3,$D$3,1),0)))</f>
        <v/>
      </c>
      <c r="K165" s="19" t="str">
        <f aca="false">IF($A165="","",COUNTIFS(출퇴근기록!$B$3:$B$3002,$A165,출퇴근기록!$I$3:$I$3002,"결근",출퇴근기록!$A$3:$A$3002,"&gt;="&amp;DATE($B$3,$D$3,1),출퇴근기록!$A$3:$A$3002,"&lt;="&amp;EOMONTH(DATE($B$3,$D$3,1),0)))</f>
        <v/>
      </c>
    </row>
    <row r="166" customFormat="false" ht="15" hidden="false" customHeight="true" outlineLevel="0" collapsed="false">
      <c r="A166" s="13" t="str">
        <f aca="false">IF(직원목록!$A163="","",직원목록!$A163)</f>
        <v/>
      </c>
      <c r="B166" s="13" t="str">
        <f aca="false">IF($A166="","",직원목록!$B163)</f>
        <v/>
      </c>
      <c r="C166" s="13" t="str">
        <f aca="false">IF($A166="","",직원목록!$C163)</f>
        <v/>
      </c>
      <c r="D166" s="19" t="str">
        <f aca="false">IF($A166="","",COUNTIFS(출퇴근기록!$B$3:$B$3002,$A166,출퇴근기록!$H$3:$H$3002,"&gt;0",출퇴근기록!$A$3:$A$3002,"&gt;="&amp;DATE($B$3,$D$3,1),출퇴근기록!$A$3:$A$3002,"&lt;="&amp;EOMONTH(DATE($B$3,$D$3,1),0)))</f>
        <v/>
      </c>
      <c r="E166" s="16" t="str">
        <f aca="false">IF($A166="","",ROUND(SUMIFS(출퇴근기록!$H$3:$H$3002,출퇴근기록!$B$3:$B$3002,$A166,출퇴근기록!$I$3:$I$3002,"평일",출퇴근기록!$A$3:$A$3002,"&gt;="&amp;DATE($B$3,$D$3,1),출퇴근기록!$A$3:$A$3002,"&lt;="&amp;EOMONTH(DATE($B$3,$D$3,1),0)),2))</f>
        <v/>
      </c>
      <c r="F166" s="16" t="str">
        <f aca="false">IF($A166="","",ROUND(SUMIFS(출퇴근기록!$H$3:$H$3002,출퇴근기록!$B$3:$B$3002,$A166,출퇴근기록!$I$3:$I$3002,"휴일",출퇴근기록!$A$3:$A$3002,"&gt;="&amp;DATE($B$3,$D$3,1),출퇴근기록!$A$3:$A$3002,"&lt;="&amp;EOMONTH(DATE($B$3,$D$3,1),0)),2))</f>
        <v/>
      </c>
      <c r="G166" s="16" t="str">
        <f aca="false">IF($A166="","",ROUND(SUMIFS(출퇴근기록!$H$3:$H$3002,출퇴근기록!$B$3:$B$3002,$A166,출퇴근기록!$A$3:$A$3002,"&gt;="&amp;DATE($B$3,$D$3,1),출퇴근기록!$A$3:$A$3002,"&lt;="&amp;EOMONTH(DATE($B$3,$D$3,1),0)),2))</f>
        <v/>
      </c>
      <c r="H166" s="16" t="str">
        <f aca="false">IF($A166="","",ROUND($D166*IF(직원목록!$F163="",8,직원목록!$F163),2))</f>
        <v/>
      </c>
      <c r="I166" s="16" t="str">
        <f aca="false">IF($A166="","",ROUND($G166-$H166,2))</f>
        <v/>
      </c>
      <c r="J166" s="19" t="str">
        <f aca="false">IF($A166="","",COUNTIFS(출퇴근기록!$B$3:$B$3002,$A166,출퇴근기록!$I$3:$I$3002,"연차",출퇴근기록!$A$3:$A$3002,"&gt;="&amp;DATE($B$3,$D$3,1),출퇴근기록!$A$3:$A$3002,"&lt;="&amp;EOMONTH(DATE($B$3,$D$3,1),0)))</f>
        <v/>
      </c>
      <c r="K166" s="19" t="str">
        <f aca="false">IF($A166="","",COUNTIFS(출퇴근기록!$B$3:$B$3002,$A166,출퇴근기록!$I$3:$I$3002,"결근",출퇴근기록!$A$3:$A$3002,"&gt;="&amp;DATE($B$3,$D$3,1),출퇴근기록!$A$3:$A$3002,"&lt;="&amp;EOMONTH(DATE($B$3,$D$3,1),0)))</f>
        <v/>
      </c>
    </row>
    <row r="167" customFormat="false" ht="15" hidden="false" customHeight="true" outlineLevel="0" collapsed="false">
      <c r="A167" s="13" t="str">
        <f aca="false">IF(직원목록!$A164="","",직원목록!$A164)</f>
        <v/>
      </c>
      <c r="B167" s="13" t="str">
        <f aca="false">IF($A167="","",직원목록!$B164)</f>
        <v/>
      </c>
      <c r="C167" s="13" t="str">
        <f aca="false">IF($A167="","",직원목록!$C164)</f>
        <v/>
      </c>
      <c r="D167" s="19" t="str">
        <f aca="false">IF($A167="","",COUNTIFS(출퇴근기록!$B$3:$B$3002,$A167,출퇴근기록!$H$3:$H$3002,"&gt;0",출퇴근기록!$A$3:$A$3002,"&gt;="&amp;DATE($B$3,$D$3,1),출퇴근기록!$A$3:$A$3002,"&lt;="&amp;EOMONTH(DATE($B$3,$D$3,1),0)))</f>
        <v/>
      </c>
      <c r="E167" s="16" t="str">
        <f aca="false">IF($A167="","",ROUND(SUMIFS(출퇴근기록!$H$3:$H$3002,출퇴근기록!$B$3:$B$3002,$A167,출퇴근기록!$I$3:$I$3002,"평일",출퇴근기록!$A$3:$A$3002,"&gt;="&amp;DATE($B$3,$D$3,1),출퇴근기록!$A$3:$A$3002,"&lt;="&amp;EOMONTH(DATE($B$3,$D$3,1),0)),2))</f>
        <v/>
      </c>
      <c r="F167" s="16" t="str">
        <f aca="false">IF($A167="","",ROUND(SUMIFS(출퇴근기록!$H$3:$H$3002,출퇴근기록!$B$3:$B$3002,$A167,출퇴근기록!$I$3:$I$3002,"휴일",출퇴근기록!$A$3:$A$3002,"&gt;="&amp;DATE($B$3,$D$3,1),출퇴근기록!$A$3:$A$3002,"&lt;="&amp;EOMONTH(DATE($B$3,$D$3,1),0)),2))</f>
        <v/>
      </c>
      <c r="G167" s="16" t="str">
        <f aca="false">IF($A167="","",ROUND(SUMIFS(출퇴근기록!$H$3:$H$3002,출퇴근기록!$B$3:$B$3002,$A167,출퇴근기록!$A$3:$A$3002,"&gt;="&amp;DATE($B$3,$D$3,1),출퇴근기록!$A$3:$A$3002,"&lt;="&amp;EOMONTH(DATE($B$3,$D$3,1),0)),2))</f>
        <v/>
      </c>
      <c r="H167" s="16" t="str">
        <f aca="false">IF($A167="","",ROUND($D167*IF(직원목록!$F164="",8,직원목록!$F164),2))</f>
        <v/>
      </c>
      <c r="I167" s="16" t="str">
        <f aca="false">IF($A167="","",ROUND($G167-$H167,2))</f>
        <v/>
      </c>
      <c r="J167" s="19" t="str">
        <f aca="false">IF($A167="","",COUNTIFS(출퇴근기록!$B$3:$B$3002,$A167,출퇴근기록!$I$3:$I$3002,"연차",출퇴근기록!$A$3:$A$3002,"&gt;="&amp;DATE($B$3,$D$3,1),출퇴근기록!$A$3:$A$3002,"&lt;="&amp;EOMONTH(DATE($B$3,$D$3,1),0)))</f>
        <v/>
      </c>
      <c r="K167" s="19" t="str">
        <f aca="false">IF($A167="","",COUNTIFS(출퇴근기록!$B$3:$B$3002,$A167,출퇴근기록!$I$3:$I$3002,"결근",출퇴근기록!$A$3:$A$3002,"&gt;="&amp;DATE($B$3,$D$3,1),출퇴근기록!$A$3:$A$3002,"&lt;="&amp;EOMONTH(DATE($B$3,$D$3,1),0)))</f>
        <v/>
      </c>
    </row>
    <row r="168" customFormat="false" ht="15" hidden="false" customHeight="true" outlineLevel="0" collapsed="false">
      <c r="A168" s="13" t="str">
        <f aca="false">IF(직원목록!$A165="","",직원목록!$A165)</f>
        <v/>
      </c>
      <c r="B168" s="13" t="str">
        <f aca="false">IF($A168="","",직원목록!$B165)</f>
        <v/>
      </c>
      <c r="C168" s="13" t="str">
        <f aca="false">IF($A168="","",직원목록!$C165)</f>
        <v/>
      </c>
      <c r="D168" s="19" t="str">
        <f aca="false">IF($A168="","",COUNTIFS(출퇴근기록!$B$3:$B$3002,$A168,출퇴근기록!$H$3:$H$3002,"&gt;0",출퇴근기록!$A$3:$A$3002,"&gt;="&amp;DATE($B$3,$D$3,1),출퇴근기록!$A$3:$A$3002,"&lt;="&amp;EOMONTH(DATE($B$3,$D$3,1),0)))</f>
        <v/>
      </c>
      <c r="E168" s="16" t="str">
        <f aca="false">IF($A168="","",ROUND(SUMIFS(출퇴근기록!$H$3:$H$3002,출퇴근기록!$B$3:$B$3002,$A168,출퇴근기록!$I$3:$I$3002,"평일",출퇴근기록!$A$3:$A$3002,"&gt;="&amp;DATE($B$3,$D$3,1),출퇴근기록!$A$3:$A$3002,"&lt;="&amp;EOMONTH(DATE($B$3,$D$3,1),0)),2))</f>
        <v/>
      </c>
      <c r="F168" s="16" t="str">
        <f aca="false">IF($A168="","",ROUND(SUMIFS(출퇴근기록!$H$3:$H$3002,출퇴근기록!$B$3:$B$3002,$A168,출퇴근기록!$I$3:$I$3002,"휴일",출퇴근기록!$A$3:$A$3002,"&gt;="&amp;DATE($B$3,$D$3,1),출퇴근기록!$A$3:$A$3002,"&lt;="&amp;EOMONTH(DATE($B$3,$D$3,1),0)),2))</f>
        <v/>
      </c>
      <c r="G168" s="16" t="str">
        <f aca="false">IF($A168="","",ROUND(SUMIFS(출퇴근기록!$H$3:$H$3002,출퇴근기록!$B$3:$B$3002,$A168,출퇴근기록!$A$3:$A$3002,"&gt;="&amp;DATE($B$3,$D$3,1),출퇴근기록!$A$3:$A$3002,"&lt;="&amp;EOMONTH(DATE($B$3,$D$3,1),0)),2))</f>
        <v/>
      </c>
      <c r="H168" s="16" t="str">
        <f aca="false">IF($A168="","",ROUND($D168*IF(직원목록!$F165="",8,직원목록!$F165),2))</f>
        <v/>
      </c>
      <c r="I168" s="16" t="str">
        <f aca="false">IF($A168="","",ROUND($G168-$H168,2))</f>
        <v/>
      </c>
      <c r="J168" s="19" t="str">
        <f aca="false">IF($A168="","",COUNTIFS(출퇴근기록!$B$3:$B$3002,$A168,출퇴근기록!$I$3:$I$3002,"연차",출퇴근기록!$A$3:$A$3002,"&gt;="&amp;DATE($B$3,$D$3,1),출퇴근기록!$A$3:$A$3002,"&lt;="&amp;EOMONTH(DATE($B$3,$D$3,1),0)))</f>
        <v/>
      </c>
      <c r="K168" s="19" t="str">
        <f aca="false">IF($A168="","",COUNTIFS(출퇴근기록!$B$3:$B$3002,$A168,출퇴근기록!$I$3:$I$3002,"결근",출퇴근기록!$A$3:$A$3002,"&gt;="&amp;DATE($B$3,$D$3,1),출퇴근기록!$A$3:$A$3002,"&lt;="&amp;EOMONTH(DATE($B$3,$D$3,1),0)))</f>
        <v/>
      </c>
    </row>
    <row r="169" customFormat="false" ht="15" hidden="false" customHeight="true" outlineLevel="0" collapsed="false">
      <c r="A169" s="13" t="str">
        <f aca="false">IF(직원목록!$A166="","",직원목록!$A166)</f>
        <v/>
      </c>
      <c r="B169" s="13" t="str">
        <f aca="false">IF($A169="","",직원목록!$B166)</f>
        <v/>
      </c>
      <c r="C169" s="13" t="str">
        <f aca="false">IF($A169="","",직원목록!$C166)</f>
        <v/>
      </c>
      <c r="D169" s="19" t="str">
        <f aca="false">IF($A169="","",COUNTIFS(출퇴근기록!$B$3:$B$3002,$A169,출퇴근기록!$H$3:$H$3002,"&gt;0",출퇴근기록!$A$3:$A$3002,"&gt;="&amp;DATE($B$3,$D$3,1),출퇴근기록!$A$3:$A$3002,"&lt;="&amp;EOMONTH(DATE($B$3,$D$3,1),0)))</f>
        <v/>
      </c>
      <c r="E169" s="16" t="str">
        <f aca="false">IF($A169="","",ROUND(SUMIFS(출퇴근기록!$H$3:$H$3002,출퇴근기록!$B$3:$B$3002,$A169,출퇴근기록!$I$3:$I$3002,"평일",출퇴근기록!$A$3:$A$3002,"&gt;="&amp;DATE($B$3,$D$3,1),출퇴근기록!$A$3:$A$3002,"&lt;="&amp;EOMONTH(DATE($B$3,$D$3,1),0)),2))</f>
        <v/>
      </c>
      <c r="F169" s="16" t="str">
        <f aca="false">IF($A169="","",ROUND(SUMIFS(출퇴근기록!$H$3:$H$3002,출퇴근기록!$B$3:$B$3002,$A169,출퇴근기록!$I$3:$I$3002,"휴일",출퇴근기록!$A$3:$A$3002,"&gt;="&amp;DATE($B$3,$D$3,1),출퇴근기록!$A$3:$A$3002,"&lt;="&amp;EOMONTH(DATE($B$3,$D$3,1),0)),2))</f>
        <v/>
      </c>
      <c r="G169" s="16" t="str">
        <f aca="false">IF($A169="","",ROUND(SUMIFS(출퇴근기록!$H$3:$H$3002,출퇴근기록!$B$3:$B$3002,$A169,출퇴근기록!$A$3:$A$3002,"&gt;="&amp;DATE($B$3,$D$3,1),출퇴근기록!$A$3:$A$3002,"&lt;="&amp;EOMONTH(DATE($B$3,$D$3,1),0)),2))</f>
        <v/>
      </c>
      <c r="H169" s="16" t="str">
        <f aca="false">IF($A169="","",ROUND($D169*IF(직원목록!$F166="",8,직원목록!$F166),2))</f>
        <v/>
      </c>
      <c r="I169" s="16" t="str">
        <f aca="false">IF($A169="","",ROUND($G169-$H169,2))</f>
        <v/>
      </c>
      <c r="J169" s="19" t="str">
        <f aca="false">IF($A169="","",COUNTIFS(출퇴근기록!$B$3:$B$3002,$A169,출퇴근기록!$I$3:$I$3002,"연차",출퇴근기록!$A$3:$A$3002,"&gt;="&amp;DATE($B$3,$D$3,1),출퇴근기록!$A$3:$A$3002,"&lt;="&amp;EOMONTH(DATE($B$3,$D$3,1),0)))</f>
        <v/>
      </c>
      <c r="K169" s="19" t="str">
        <f aca="false">IF($A169="","",COUNTIFS(출퇴근기록!$B$3:$B$3002,$A169,출퇴근기록!$I$3:$I$3002,"결근",출퇴근기록!$A$3:$A$3002,"&gt;="&amp;DATE($B$3,$D$3,1),출퇴근기록!$A$3:$A$3002,"&lt;="&amp;EOMONTH(DATE($B$3,$D$3,1),0)))</f>
        <v/>
      </c>
    </row>
    <row r="170" customFormat="false" ht="15" hidden="false" customHeight="true" outlineLevel="0" collapsed="false">
      <c r="A170" s="13" t="str">
        <f aca="false">IF(직원목록!$A167="","",직원목록!$A167)</f>
        <v/>
      </c>
      <c r="B170" s="13" t="str">
        <f aca="false">IF($A170="","",직원목록!$B167)</f>
        <v/>
      </c>
      <c r="C170" s="13" t="str">
        <f aca="false">IF($A170="","",직원목록!$C167)</f>
        <v/>
      </c>
      <c r="D170" s="19" t="str">
        <f aca="false">IF($A170="","",COUNTIFS(출퇴근기록!$B$3:$B$3002,$A170,출퇴근기록!$H$3:$H$3002,"&gt;0",출퇴근기록!$A$3:$A$3002,"&gt;="&amp;DATE($B$3,$D$3,1),출퇴근기록!$A$3:$A$3002,"&lt;="&amp;EOMONTH(DATE($B$3,$D$3,1),0)))</f>
        <v/>
      </c>
      <c r="E170" s="16" t="str">
        <f aca="false">IF($A170="","",ROUND(SUMIFS(출퇴근기록!$H$3:$H$3002,출퇴근기록!$B$3:$B$3002,$A170,출퇴근기록!$I$3:$I$3002,"평일",출퇴근기록!$A$3:$A$3002,"&gt;="&amp;DATE($B$3,$D$3,1),출퇴근기록!$A$3:$A$3002,"&lt;="&amp;EOMONTH(DATE($B$3,$D$3,1),0)),2))</f>
        <v/>
      </c>
      <c r="F170" s="16" t="str">
        <f aca="false">IF($A170="","",ROUND(SUMIFS(출퇴근기록!$H$3:$H$3002,출퇴근기록!$B$3:$B$3002,$A170,출퇴근기록!$I$3:$I$3002,"휴일",출퇴근기록!$A$3:$A$3002,"&gt;="&amp;DATE($B$3,$D$3,1),출퇴근기록!$A$3:$A$3002,"&lt;="&amp;EOMONTH(DATE($B$3,$D$3,1),0)),2))</f>
        <v/>
      </c>
      <c r="G170" s="16" t="str">
        <f aca="false">IF($A170="","",ROUND(SUMIFS(출퇴근기록!$H$3:$H$3002,출퇴근기록!$B$3:$B$3002,$A170,출퇴근기록!$A$3:$A$3002,"&gt;="&amp;DATE($B$3,$D$3,1),출퇴근기록!$A$3:$A$3002,"&lt;="&amp;EOMONTH(DATE($B$3,$D$3,1),0)),2))</f>
        <v/>
      </c>
      <c r="H170" s="16" t="str">
        <f aca="false">IF($A170="","",ROUND($D170*IF(직원목록!$F167="",8,직원목록!$F167),2))</f>
        <v/>
      </c>
      <c r="I170" s="16" t="str">
        <f aca="false">IF($A170="","",ROUND($G170-$H170,2))</f>
        <v/>
      </c>
      <c r="J170" s="19" t="str">
        <f aca="false">IF($A170="","",COUNTIFS(출퇴근기록!$B$3:$B$3002,$A170,출퇴근기록!$I$3:$I$3002,"연차",출퇴근기록!$A$3:$A$3002,"&gt;="&amp;DATE($B$3,$D$3,1),출퇴근기록!$A$3:$A$3002,"&lt;="&amp;EOMONTH(DATE($B$3,$D$3,1),0)))</f>
        <v/>
      </c>
      <c r="K170" s="19" t="str">
        <f aca="false">IF($A170="","",COUNTIFS(출퇴근기록!$B$3:$B$3002,$A170,출퇴근기록!$I$3:$I$3002,"결근",출퇴근기록!$A$3:$A$3002,"&gt;="&amp;DATE($B$3,$D$3,1),출퇴근기록!$A$3:$A$3002,"&lt;="&amp;EOMONTH(DATE($B$3,$D$3,1),0)))</f>
        <v/>
      </c>
    </row>
    <row r="171" customFormat="false" ht="15" hidden="false" customHeight="true" outlineLevel="0" collapsed="false">
      <c r="A171" s="13" t="str">
        <f aca="false">IF(직원목록!$A168="","",직원목록!$A168)</f>
        <v/>
      </c>
      <c r="B171" s="13" t="str">
        <f aca="false">IF($A171="","",직원목록!$B168)</f>
        <v/>
      </c>
      <c r="C171" s="13" t="str">
        <f aca="false">IF($A171="","",직원목록!$C168)</f>
        <v/>
      </c>
      <c r="D171" s="19" t="str">
        <f aca="false">IF($A171="","",COUNTIFS(출퇴근기록!$B$3:$B$3002,$A171,출퇴근기록!$H$3:$H$3002,"&gt;0",출퇴근기록!$A$3:$A$3002,"&gt;="&amp;DATE($B$3,$D$3,1),출퇴근기록!$A$3:$A$3002,"&lt;="&amp;EOMONTH(DATE($B$3,$D$3,1),0)))</f>
        <v/>
      </c>
      <c r="E171" s="16" t="str">
        <f aca="false">IF($A171="","",ROUND(SUMIFS(출퇴근기록!$H$3:$H$3002,출퇴근기록!$B$3:$B$3002,$A171,출퇴근기록!$I$3:$I$3002,"평일",출퇴근기록!$A$3:$A$3002,"&gt;="&amp;DATE($B$3,$D$3,1),출퇴근기록!$A$3:$A$3002,"&lt;="&amp;EOMONTH(DATE($B$3,$D$3,1),0)),2))</f>
        <v/>
      </c>
      <c r="F171" s="16" t="str">
        <f aca="false">IF($A171="","",ROUND(SUMIFS(출퇴근기록!$H$3:$H$3002,출퇴근기록!$B$3:$B$3002,$A171,출퇴근기록!$I$3:$I$3002,"휴일",출퇴근기록!$A$3:$A$3002,"&gt;="&amp;DATE($B$3,$D$3,1),출퇴근기록!$A$3:$A$3002,"&lt;="&amp;EOMONTH(DATE($B$3,$D$3,1),0)),2))</f>
        <v/>
      </c>
      <c r="G171" s="16" t="str">
        <f aca="false">IF($A171="","",ROUND(SUMIFS(출퇴근기록!$H$3:$H$3002,출퇴근기록!$B$3:$B$3002,$A171,출퇴근기록!$A$3:$A$3002,"&gt;="&amp;DATE($B$3,$D$3,1),출퇴근기록!$A$3:$A$3002,"&lt;="&amp;EOMONTH(DATE($B$3,$D$3,1),0)),2))</f>
        <v/>
      </c>
      <c r="H171" s="16" t="str">
        <f aca="false">IF($A171="","",ROUND($D171*IF(직원목록!$F168="",8,직원목록!$F168),2))</f>
        <v/>
      </c>
      <c r="I171" s="16" t="str">
        <f aca="false">IF($A171="","",ROUND($G171-$H171,2))</f>
        <v/>
      </c>
      <c r="J171" s="19" t="str">
        <f aca="false">IF($A171="","",COUNTIFS(출퇴근기록!$B$3:$B$3002,$A171,출퇴근기록!$I$3:$I$3002,"연차",출퇴근기록!$A$3:$A$3002,"&gt;="&amp;DATE($B$3,$D$3,1),출퇴근기록!$A$3:$A$3002,"&lt;="&amp;EOMONTH(DATE($B$3,$D$3,1),0)))</f>
        <v/>
      </c>
      <c r="K171" s="19" t="str">
        <f aca="false">IF($A171="","",COUNTIFS(출퇴근기록!$B$3:$B$3002,$A171,출퇴근기록!$I$3:$I$3002,"결근",출퇴근기록!$A$3:$A$3002,"&gt;="&amp;DATE($B$3,$D$3,1),출퇴근기록!$A$3:$A$3002,"&lt;="&amp;EOMONTH(DATE($B$3,$D$3,1),0)))</f>
        <v/>
      </c>
    </row>
    <row r="172" customFormat="false" ht="15" hidden="false" customHeight="true" outlineLevel="0" collapsed="false">
      <c r="A172" s="13" t="str">
        <f aca="false">IF(직원목록!$A169="","",직원목록!$A169)</f>
        <v/>
      </c>
      <c r="B172" s="13" t="str">
        <f aca="false">IF($A172="","",직원목록!$B169)</f>
        <v/>
      </c>
      <c r="C172" s="13" t="str">
        <f aca="false">IF($A172="","",직원목록!$C169)</f>
        <v/>
      </c>
      <c r="D172" s="19" t="str">
        <f aca="false">IF($A172="","",COUNTIFS(출퇴근기록!$B$3:$B$3002,$A172,출퇴근기록!$H$3:$H$3002,"&gt;0",출퇴근기록!$A$3:$A$3002,"&gt;="&amp;DATE($B$3,$D$3,1),출퇴근기록!$A$3:$A$3002,"&lt;="&amp;EOMONTH(DATE($B$3,$D$3,1),0)))</f>
        <v/>
      </c>
      <c r="E172" s="16" t="str">
        <f aca="false">IF($A172="","",ROUND(SUMIFS(출퇴근기록!$H$3:$H$3002,출퇴근기록!$B$3:$B$3002,$A172,출퇴근기록!$I$3:$I$3002,"평일",출퇴근기록!$A$3:$A$3002,"&gt;="&amp;DATE($B$3,$D$3,1),출퇴근기록!$A$3:$A$3002,"&lt;="&amp;EOMONTH(DATE($B$3,$D$3,1),0)),2))</f>
        <v/>
      </c>
      <c r="F172" s="16" t="str">
        <f aca="false">IF($A172="","",ROUND(SUMIFS(출퇴근기록!$H$3:$H$3002,출퇴근기록!$B$3:$B$3002,$A172,출퇴근기록!$I$3:$I$3002,"휴일",출퇴근기록!$A$3:$A$3002,"&gt;="&amp;DATE($B$3,$D$3,1),출퇴근기록!$A$3:$A$3002,"&lt;="&amp;EOMONTH(DATE($B$3,$D$3,1),0)),2))</f>
        <v/>
      </c>
      <c r="G172" s="16" t="str">
        <f aca="false">IF($A172="","",ROUND(SUMIFS(출퇴근기록!$H$3:$H$3002,출퇴근기록!$B$3:$B$3002,$A172,출퇴근기록!$A$3:$A$3002,"&gt;="&amp;DATE($B$3,$D$3,1),출퇴근기록!$A$3:$A$3002,"&lt;="&amp;EOMONTH(DATE($B$3,$D$3,1),0)),2))</f>
        <v/>
      </c>
      <c r="H172" s="16" t="str">
        <f aca="false">IF($A172="","",ROUND($D172*IF(직원목록!$F169="",8,직원목록!$F169),2))</f>
        <v/>
      </c>
      <c r="I172" s="16" t="str">
        <f aca="false">IF($A172="","",ROUND($G172-$H172,2))</f>
        <v/>
      </c>
      <c r="J172" s="19" t="str">
        <f aca="false">IF($A172="","",COUNTIFS(출퇴근기록!$B$3:$B$3002,$A172,출퇴근기록!$I$3:$I$3002,"연차",출퇴근기록!$A$3:$A$3002,"&gt;="&amp;DATE($B$3,$D$3,1),출퇴근기록!$A$3:$A$3002,"&lt;="&amp;EOMONTH(DATE($B$3,$D$3,1),0)))</f>
        <v/>
      </c>
      <c r="K172" s="19" t="str">
        <f aca="false">IF($A172="","",COUNTIFS(출퇴근기록!$B$3:$B$3002,$A172,출퇴근기록!$I$3:$I$3002,"결근",출퇴근기록!$A$3:$A$3002,"&gt;="&amp;DATE($B$3,$D$3,1),출퇴근기록!$A$3:$A$3002,"&lt;="&amp;EOMONTH(DATE($B$3,$D$3,1),0)))</f>
        <v/>
      </c>
    </row>
    <row r="173" customFormat="false" ht="15" hidden="false" customHeight="true" outlineLevel="0" collapsed="false">
      <c r="A173" s="13" t="str">
        <f aca="false">IF(직원목록!$A170="","",직원목록!$A170)</f>
        <v/>
      </c>
      <c r="B173" s="13" t="str">
        <f aca="false">IF($A173="","",직원목록!$B170)</f>
        <v/>
      </c>
      <c r="C173" s="13" t="str">
        <f aca="false">IF($A173="","",직원목록!$C170)</f>
        <v/>
      </c>
      <c r="D173" s="19" t="str">
        <f aca="false">IF($A173="","",COUNTIFS(출퇴근기록!$B$3:$B$3002,$A173,출퇴근기록!$H$3:$H$3002,"&gt;0",출퇴근기록!$A$3:$A$3002,"&gt;="&amp;DATE($B$3,$D$3,1),출퇴근기록!$A$3:$A$3002,"&lt;="&amp;EOMONTH(DATE($B$3,$D$3,1),0)))</f>
        <v/>
      </c>
      <c r="E173" s="16" t="str">
        <f aca="false">IF($A173="","",ROUND(SUMIFS(출퇴근기록!$H$3:$H$3002,출퇴근기록!$B$3:$B$3002,$A173,출퇴근기록!$I$3:$I$3002,"평일",출퇴근기록!$A$3:$A$3002,"&gt;="&amp;DATE($B$3,$D$3,1),출퇴근기록!$A$3:$A$3002,"&lt;="&amp;EOMONTH(DATE($B$3,$D$3,1),0)),2))</f>
        <v/>
      </c>
      <c r="F173" s="16" t="str">
        <f aca="false">IF($A173="","",ROUND(SUMIFS(출퇴근기록!$H$3:$H$3002,출퇴근기록!$B$3:$B$3002,$A173,출퇴근기록!$I$3:$I$3002,"휴일",출퇴근기록!$A$3:$A$3002,"&gt;="&amp;DATE($B$3,$D$3,1),출퇴근기록!$A$3:$A$3002,"&lt;="&amp;EOMONTH(DATE($B$3,$D$3,1),0)),2))</f>
        <v/>
      </c>
      <c r="G173" s="16" t="str">
        <f aca="false">IF($A173="","",ROUND(SUMIFS(출퇴근기록!$H$3:$H$3002,출퇴근기록!$B$3:$B$3002,$A173,출퇴근기록!$A$3:$A$3002,"&gt;="&amp;DATE($B$3,$D$3,1),출퇴근기록!$A$3:$A$3002,"&lt;="&amp;EOMONTH(DATE($B$3,$D$3,1),0)),2))</f>
        <v/>
      </c>
      <c r="H173" s="16" t="str">
        <f aca="false">IF($A173="","",ROUND($D173*IF(직원목록!$F170="",8,직원목록!$F170),2))</f>
        <v/>
      </c>
      <c r="I173" s="16" t="str">
        <f aca="false">IF($A173="","",ROUND($G173-$H173,2))</f>
        <v/>
      </c>
      <c r="J173" s="19" t="str">
        <f aca="false">IF($A173="","",COUNTIFS(출퇴근기록!$B$3:$B$3002,$A173,출퇴근기록!$I$3:$I$3002,"연차",출퇴근기록!$A$3:$A$3002,"&gt;="&amp;DATE($B$3,$D$3,1),출퇴근기록!$A$3:$A$3002,"&lt;="&amp;EOMONTH(DATE($B$3,$D$3,1),0)))</f>
        <v/>
      </c>
      <c r="K173" s="19" t="str">
        <f aca="false">IF($A173="","",COUNTIFS(출퇴근기록!$B$3:$B$3002,$A173,출퇴근기록!$I$3:$I$3002,"결근",출퇴근기록!$A$3:$A$3002,"&gt;="&amp;DATE($B$3,$D$3,1),출퇴근기록!$A$3:$A$3002,"&lt;="&amp;EOMONTH(DATE($B$3,$D$3,1),0)))</f>
        <v/>
      </c>
    </row>
    <row r="174" customFormat="false" ht="15" hidden="false" customHeight="true" outlineLevel="0" collapsed="false">
      <c r="A174" s="13" t="str">
        <f aca="false">IF(직원목록!$A171="","",직원목록!$A171)</f>
        <v/>
      </c>
      <c r="B174" s="13" t="str">
        <f aca="false">IF($A174="","",직원목록!$B171)</f>
        <v/>
      </c>
      <c r="C174" s="13" t="str">
        <f aca="false">IF($A174="","",직원목록!$C171)</f>
        <v/>
      </c>
      <c r="D174" s="19" t="str">
        <f aca="false">IF($A174="","",COUNTIFS(출퇴근기록!$B$3:$B$3002,$A174,출퇴근기록!$H$3:$H$3002,"&gt;0",출퇴근기록!$A$3:$A$3002,"&gt;="&amp;DATE($B$3,$D$3,1),출퇴근기록!$A$3:$A$3002,"&lt;="&amp;EOMONTH(DATE($B$3,$D$3,1),0)))</f>
        <v/>
      </c>
      <c r="E174" s="16" t="str">
        <f aca="false">IF($A174="","",ROUND(SUMIFS(출퇴근기록!$H$3:$H$3002,출퇴근기록!$B$3:$B$3002,$A174,출퇴근기록!$I$3:$I$3002,"평일",출퇴근기록!$A$3:$A$3002,"&gt;="&amp;DATE($B$3,$D$3,1),출퇴근기록!$A$3:$A$3002,"&lt;="&amp;EOMONTH(DATE($B$3,$D$3,1),0)),2))</f>
        <v/>
      </c>
      <c r="F174" s="16" t="str">
        <f aca="false">IF($A174="","",ROUND(SUMIFS(출퇴근기록!$H$3:$H$3002,출퇴근기록!$B$3:$B$3002,$A174,출퇴근기록!$I$3:$I$3002,"휴일",출퇴근기록!$A$3:$A$3002,"&gt;="&amp;DATE($B$3,$D$3,1),출퇴근기록!$A$3:$A$3002,"&lt;="&amp;EOMONTH(DATE($B$3,$D$3,1),0)),2))</f>
        <v/>
      </c>
      <c r="G174" s="16" t="str">
        <f aca="false">IF($A174="","",ROUND(SUMIFS(출퇴근기록!$H$3:$H$3002,출퇴근기록!$B$3:$B$3002,$A174,출퇴근기록!$A$3:$A$3002,"&gt;="&amp;DATE($B$3,$D$3,1),출퇴근기록!$A$3:$A$3002,"&lt;="&amp;EOMONTH(DATE($B$3,$D$3,1),0)),2))</f>
        <v/>
      </c>
      <c r="H174" s="16" t="str">
        <f aca="false">IF($A174="","",ROUND($D174*IF(직원목록!$F171="",8,직원목록!$F171),2))</f>
        <v/>
      </c>
      <c r="I174" s="16" t="str">
        <f aca="false">IF($A174="","",ROUND($G174-$H174,2))</f>
        <v/>
      </c>
      <c r="J174" s="19" t="str">
        <f aca="false">IF($A174="","",COUNTIFS(출퇴근기록!$B$3:$B$3002,$A174,출퇴근기록!$I$3:$I$3002,"연차",출퇴근기록!$A$3:$A$3002,"&gt;="&amp;DATE($B$3,$D$3,1),출퇴근기록!$A$3:$A$3002,"&lt;="&amp;EOMONTH(DATE($B$3,$D$3,1),0)))</f>
        <v/>
      </c>
      <c r="K174" s="19" t="str">
        <f aca="false">IF($A174="","",COUNTIFS(출퇴근기록!$B$3:$B$3002,$A174,출퇴근기록!$I$3:$I$3002,"결근",출퇴근기록!$A$3:$A$3002,"&gt;="&amp;DATE($B$3,$D$3,1),출퇴근기록!$A$3:$A$3002,"&lt;="&amp;EOMONTH(DATE($B$3,$D$3,1),0)))</f>
        <v/>
      </c>
    </row>
    <row r="175" customFormat="false" ht="15" hidden="false" customHeight="true" outlineLevel="0" collapsed="false">
      <c r="A175" s="13" t="str">
        <f aca="false">IF(직원목록!$A172="","",직원목록!$A172)</f>
        <v/>
      </c>
      <c r="B175" s="13" t="str">
        <f aca="false">IF($A175="","",직원목록!$B172)</f>
        <v/>
      </c>
      <c r="C175" s="13" t="str">
        <f aca="false">IF($A175="","",직원목록!$C172)</f>
        <v/>
      </c>
      <c r="D175" s="19" t="str">
        <f aca="false">IF($A175="","",COUNTIFS(출퇴근기록!$B$3:$B$3002,$A175,출퇴근기록!$H$3:$H$3002,"&gt;0",출퇴근기록!$A$3:$A$3002,"&gt;="&amp;DATE($B$3,$D$3,1),출퇴근기록!$A$3:$A$3002,"&lt;="&amp;EOMONTH(DATE($B$3,$D$3,1),0)))</f>
        <v/>
      </c>
      <c r="E175" s="16" t="str">
        <f aca="false">IF($A175="","",ROUND(SUMIFS(출퇴근기록!$H$3:$H$3002,출퇴근기록!$B$3:$B$3002,$A175,출퇴근기록!$I$3:$I$3002,"평일",출퇴근기록!$A$3:$A$3002,"&gt;="&amp;DATE($B$3,$D$3,1),출퇴근기록!$A$3:$A$3002,"&lt;="&amp;EOMONTH(DATE($B$3,$D$3,1),0)),2))</f>
        <v/>
      </c>
      <c r="F175" s="16" t="str">
        <f aca="false">IF($A175="","",ROUND(SUMIFS(출퇴근기록!$H$3:$H$3002,출퇴근기록!$B$3:$B$3002,$A175,출퇴근기록!$I$3:$I$3002,"휴일",출퇴근기록!$A$3:$A$3002,"&gt;="&amp;DATE($B$3,$D$3,1),출퇴근기록!$A$3:$A$3002,"&lt;="&amp;EOMONTH(DATE($B$3,$D$3,1),0)),2))</f>
        <v/>
      </c>
      <c r="G175" s="16" t="str">
        <f aca="false">IF($A175="","",ROUND(SUMIFS(출퇴근기록!$H$3:$H$3002,출퇴근기록!$B$3:$B$3002,$A175,출퇴근기록!$A$3:$A$3002,"&gt;="&amp;DATE($B$3,$D$3,1),출퇴근기록!$A$3:$A$3002,"&lt;="&amp;EOMONTH(DATE($B$3,$D$3,1),0)),2))</f>
        <v/>
      </c>
      <c r="H175" s="16" t="str">
        <f aca="false">IF($A175="","",ROUND($D175*IF(직원목록!$F172="",8,직원목록!$F172),2))</f>
        <v/>
      </c>
      <c r="I175" s="16" t="str">
        <f aca="false">IF($A175="","",ROUND($G175-$H175,2))</f>
        <v/>
      </c>
      <c r="J175" s="19" t="str">
        <f aca="false">IF($A175="","",COUNTIFS(출퇴근기록!$B$3:$B$3002,$A175,출퇴근기록!$I$3:$I$3002,"연차",출퇴근기록!$A$3:$A$3002,"&gt;="&amp;DATE($B$3,$D$3,1),출퇴근기록!$A$3:$A$3002,"&lt;="&amp;EOMONTH(DATE($B$3,$D$3,1),0)))</f>
        <v/>
      </c>
      <c r="K175" s="19" t="str">
        <f aca="false">IF($A175="","",COUNTIFS(출퇴근기록!$B$3:$B$3002,$A175,출퇴근기록!$I$3:$I$3002,"결근",출퇴근기록!$A$3:$A$3002,"&gt;="&amp;DATE($B$3,$D$3,1),출퇴근기록!$A$3:$A$3002,"&lt;="&amp;EOMONTH(DATE($B$3,$D$3,1),0)))</f>
        <v/>
      </c>
    </row>
    <row r="176" customFormat="false" ht="15" hidden="false" customHeight="true" outlineLevel="0" collapsed="false">
      <c r="A176" s="13" t="str">
        <f aca="false">IF(직원목록!$A173="","",직원목록!$A173)</f>
        <v/>
      </c>
      <c r="B176" s="13" t="str">
        <f aca="false">IF($A176="","",직원목록!$B173)</f>
        <v/>
      </c>
      <c r="C176" s="13" t="str">
        <f aca="false">IF($A176="","",직원목록!$C173)</f>
        <v/>
      </c>
      <c r="D176" s="19" t="str">
        <f aca="false">IF($A176="","",COUNTIFS(출퇴근기록!$B$3:$B$3002,$A176,출퇴근기록!$H$3:$H$3002,"&gt;0",출퇴근기록!$A$3:$A$3002,"&gt;="&amp;DATE($B$3,$D$3,1),출퇴근기록!$A$3:$A$3002,"&lt;="&amp;EOMONTH(DATE($B$3,$D$3,1),0)))</f>
        <v/>
      </c>
      <c r="E176" s="16" t="str">
        <f aca="false">IF($A176="","",ROUND(SUMIFS(출퇴근기록!$H$3:$H$3002,출퇴근기록!$B$3:$B$3002,$A176,출퇴근기록!$I$3:$I$3002,"평일",출퇴근기록!$A$3:$A$3002,"&gt;="&amp;DATE($B$3,$D$3,1),출퇴근기록!$A$3:$A$3002,"&lt;="&amp;EOMONTH(DATE($B$3,$D$3,1),0)),2))</f>
        <v/>
      </c>
      <c r="F176" s="16" t="str">
        <f aca="false">IF($A176="","",ROUND(SUMIFS(출퇴근기록!$H$3:$H$3002,출퇴근기록!$B$3:$B$3002,$A176,출퇴근기록!$I$3:$I$3002,"휴일",출퇴근기록!$A$3:$A$3002,"&gt;="&amp;DATE($B$3,$D$3,1),출퇴근기록!$A$3:$A$3002,"&lt;="&amp;EOMONTH(DATE($B$3,$D$3,1),0)),2))</f>
        <v/>
      </c>
      <c r="G176" s="16" t="str">
        <f aca="false">IF($A176="","",ROUND(SUMIFS(출퇴근기록!$H$3:$H$3002,출퇴근기록!$B$3:$B$3002,$A176,출퇴근기록!$A$3:$A$3002,"&gt;="&amp;DATE($B$3,$D$3,1),출퇴근기록!$A$3:$A$3002,"&lt;="&amp;EOMONTH(DATE($B$3,$D$3,1),0)),2))</f>
        <v/>
      </c>
      <c r="H176" s="16" t="str">
        <f aca="false">IF($A176="","",ROUND($D176*IF(직원목록!$F173="",8,직원목록!$F173),2))</f>
        <v/>
      </c>
      <c r="I176" s="16" t="str">
        <f aca="false">IF($A176="","",ROUND($G176-$H176,2))</f>
        <v/>
      </c>
      <c r="J176" s="19" t="str">
        <f aca="false">IF($A176="","",COUNTIFS(출퇴근기록!$B$3:$B$3002,$A176,출퇴근기록!$I$3:$I$3002,"연차",출퇴근기록!$A$3:$A$3002,"&gt;="&amp;DATE($B$3,$D$3,1),출퇴근기록!$A$3:$A$3002,"&lt;="&amp;EOMONTH(DATE($B$3,$D$3,1),0)))</f>
        <v/>
      </c>
      <c r="K176" s="19" t="str">
        <f aca="false">IF($A176="","",COUNTIFS(출퇴근기록!$B$3:$B$3002,$A176,출퇴근기록!$I$3:$I$3002,"결근",출퇴근기록!$A$3:$A$3002,"&gt;="&amp;DATE($B$3,$D$3,1),출퇴근기록!$A$3:$A$3002,"&lt;="&amp;EOMONTH(DATE($B$3,$D$3,1),0)))</f>
        <v/>
      </c>
    </row>
    <row r="177" customFormat="false" ht="15" hidden="false" customHeight="true" outlineLevel="0" collapsed="false">
      <c r="A177" s="13" t="str">
        <f aca="false">IF(직원목록!$A174="","",직원목록!$A174)</f>
        <v/>
      </c>
      <c r="B177" s="13" t="str">
        <f aca="false">IF($A177="","",직원목록!$B174)</f>
        <v/>
      </c>
      <c r="C177" s="13" t="str">
        <f aca="false">IF($A177="","",직원목록!$C174)</f>
        <v/>
      </c>
      <c r="D177" s="19" t="str">
        <f aca="false">IF($A177="","",COUNTIFS(출퇴근기록!$B$3:$B$3002,$A177,출퇴근기록!$H$3:$H$3002,"&gt;0",출퇴근기록!$A$3:$A$3002,"&gt;="&amp;DATE($B$3,$D$3,1),출퇴근기록!$A$3:$A$3002,"&lt;="&amp;EOMONTH(DATE($B$3,$D$3,1),0)))</f>
        <v/>
      </c>
      <c r="E177" s="16" t="str">
        <f aca="false">IF($A177="","",ROUND(SUMIFS(출퇴근기록!$H$3:$H$3002,출퇴근기록!$B$3:$B$3002,$A177,출퇴근기록!$I$3:$I$3002,"평일",출퇴근기록!$A$3:$A$3002,"&gt;="&amp;DATE($B$3,$D$3,1),출퇴근기록!$A$3:$A$3002,"&lt;="&amp;EOMONTH(DATE($B$3,$D$3,1),0)),2))</f>
        <v/>
      </c>
      <c r="F177" s="16" t="str">
        <f aca="false">IF($A177="","",ROUND(SUMIFS(출퇴근기록!$H$3:$H$3002,출퇴근기록!$B$3:$B$3002,$A177,출퇴근기록!$I$3:$I$3002,"휴일",출퇴근기록!$A$3:$A$3002,"&gt;="&amp;DATE($B$3,$D$3,1),출퇴근기록!$A$3:$A$3002,"&lt;="&amp;EOMONTH(DATE($B$3,$D$3,1),0)),2))</f>
        <v/>
      </c>
      <c r="G177" s="16" t="str">
        <f aca="false">IF($A177="","",ROUND(SUMIFS(출퇴근기록!$H$3:$H$3002,출퇴근기록!$B$3:$B$3002,$A177,출퇴근기록!$A$3:$A$3002,"&gt;="&amp;DATE($B$3,$D$3,1),출퇴근기록!$A$3:$A$3002,"&lt;="&amp;EOMONTH(DATE($B$3,$D$3,1),0)),2))</f>
        <v/>
      </c>
      <c r="H177" s="16" t="str">
        <f aca="false">IF($A177="","",ROUND($D177*IF(직원목록!$F174="",8,직원목록!$F174),2))</f>
        <v/>
      </c>
      <c r="I177" s="16" t="str">
        <f aca="false">IF($A177="","",ROUND($G177-$H177,2))</f>
        <v/>
      </c>
      <c r="J177" s="19" t="str">
        <f aca="false">IF($A177="","",COUNTIFS(출퇴근기록!$B$3:$B$3002,$A177,출퇴근기록!$I$3:$I$3002,"연차",출퇴근기록!$A$3:$A$3002,"&gt;="&amp;DATE($B$3,$D$3,1),출퇴근기록!$A$3:$A$3002,"&lt;="&amp;EOMONTH(DATE($B$3,$D$3,1),0)))</f>
        <v/>
      </c>
      <c r="K177" s="19" t="str">
        <f aca="false">IF($A177="","",COUNTIFS(출퇴근기록!$B$3:$B$3002,$A177,출퇴근기록!$I$3:$I$3002,"결근",출퇴근기록!$A$3:$A$3002,"&gt;="&amp;DATE($B$3,$D$3,1),출퇴근기록!$A$3:$A$3002,"&lt;="&amp;EOMONTH(DATE($B$3,$D$3,1),0)))</f>
        <v/>
      </c>
    </row>
    <row r="178" customFormat="false" ht="15" hidden="false" customHeight="true" outlineLevel="0" collapsed="false">
      <c r="A178" s="13" t="str">
        <f aca="false">IF(직원목록!$A175="","",직원목록!$A175)</f>
        <v/>
      </c>
      <c r="B178" s="13" t="str">
        <f aca="false">IF($A178="","",직원목록!$B175)</f>
        <v/>
      </c>
      <c r="C178" s="13" t="str">
        <f aca="false">IF($A178="","",직원목록!$C175)</f>
        <v/>
      </c>
      <c r="D178" s="19" t="str">
        <f aca="false">IF($A178="","",COUNTIFS(출퇴근기록!$B$3:$B$3002,$A178,출퇴근기록!$H$3:$H$3002,"&gt;0",출퇴근기록!$A$3:$A$3002,"&gt;="&amp;DATE($B$3,$D$3,1),출퇴근기록!$A$3:$A$3002,"&lt;="&amp;EOMONTH(DATE($B$3,$D$3,1),0)))</f>
        <v/>
      </c>
      <c r="E178" s="16" t="str">
        <f aca="false">IF($A178="","",ROUND(SUMIFS(출퇴근기록!$H$3:$H$3002,출퇴근기록!$B$3:$B$3002,$A178,출퇴근기록!$I$3:$I$3002,"평일",출퇴근기록!$A$3:$A$3002,"&gt;="&amp;DATE($B$3,$D$3,1),출퇴근기록!$A$3:$A$3002,"&lt;="&amp;EOMONTH(DATE($B$3,$D$3,1),0)),2))</f>
        <v/>
      </c>
      <c r="F178" s="16" t="str">
        <f aca="false">IF($A178="","",ROUND(SUMIFS(출퇴근기록!$H$3:$H$3002,출퇴근기록!$B$3:$B$3002,$A178,출퇴근기록!$I$3:$I$3002,"휴일",출퇴근기록!$A$3:$A$3002,"&gt;="&amp;DATE($B$3,$D$3,1),출퇴근기록!$A$3:$A$3002,"&lt;="&amp;EOMONTH(DATE($B$3,$D$3,1),0)),2))</f>
        <v/>
      </c>
      <c r="G178" s="16" t="str">
        <f aca="false">IF($A178="","",ROUND(SUMIFS(출퇴근기록!$H$3:$H$3002,출퇴근기록!$B$3:$B$3002,$A178,출퇴근기록!$A$3:$A$3002,"&gt;="&amp;DATE($B$3,$D$3,1),출퇴근기록!$A$3:$A$3002,"&lt;="&amp;EOMONTH(DATE($B$3,$D$3,1),0)),2))</f>
        <v/>
      </c>
      <c r="H178" s="16" t="str">
        <f aca="false">IF($A178="","",ROUND($D178*IF(직원목록!$F175="",8,직원목록!$F175),2))</f>
        <v/>
      </c>
      <c r="I178" s="16" t="str">
        <f aca="false">IF($A178="","",ROUND($G178-$H178,2))</f>
        <v/>
      </c>
      <c r="J178" s="19" t="str">
        <f aca="false">IF($A178="","",COUNTIFS(출퇴근기록!$B$3:$B$3002,$A178,출퇴근기록!$I$3:$I$3002,"연차",출퇴근기록!$A$3:$A$3002,"&gt;="&amp;DATE($B$3,$D$3,1),출퇴근기록!$A$3:$A$3002,"&lt;="&amp;EOMONTH(DATE($B$3,$D$3,1),0)))</f>
        <v/>
      </c>
      <c r="K178" s="19" t="str">
        <f aca="false">IF($A178="","",COUNTIFS(출퇴근기록!$B$3:$B$3002,$A178,출퇴근기록!$I$3:$I$3002,"결근",출퇴근기록!$A$3:$A$3002,"&gt;="&amp;DATE($B$3,$D$3,1),출퇴근기록!$A$3:$A$3002,"&lt;="&amp;EOMONTH(DATE($B$3,$D$3,1),0)))</f>
        <v/>
      </c>
    </row>
    <row r="179" customFormat="false" ht="15" hidden="false" customHeight="true" outlineLevel="0" collapsed="false">
      <c r="A179" s="13" t="str">
        <f aca="false">IF(직원목록!$A176="","",직원목록!$A176)</f>
        <v/>
      </c>
      <c r="B179" s="13" t="str">
        <f aca="false">IF($A179="","",직원목록!$B176)</f>
        <v/>
      </c>
      <c r="C179" s="13" t="str">
        <f aca="false">IF($A179="","",직원목록!$C176)</f>
        <v/>
      </c>
      <c r="D179" s="19" t="str">
        <f aca="false">IF($A179="","",COUNTIFS(출퇴근기록!$B$3:$B$3002,$A179,출퇴근기록!$H$3:$H$3002,"&gt;0",출퇴근기록!$A$3:$A$3002,"&gt;="&amp;DATE($B$3,$D$3,1),출퇴근기록!$A$3:$A$3002,"&lt;="&amp;EOMONTH(DATE($B$3,$D$3,1),0)))</f>
        <v/>
      </c>
      <c r="E179" s="16" t="str">
        <f aca="false">IF($A179="","",ROUND(SUMIFS(출퇴근기록!$H$3:$H$3002,출퇴근기록!$B$3:$B$3002,$A179,출퇴근기록!$I$3:$I$3002,"평일",출퇴근기록!$A$3:$A$3002,"&gt;="&amp;DATE($B$3,$D$3,1),출퇴근기록!$A$3:$A$3002,"&lt;="&amp;EOMONTH(DATE($B$3,$D$3,1),0)),2))</f>
        <v/>
      </c>
      <c r="F179" s="16" t="str">
        <f aca="false">IF($A179="","",ROUND(SUMIFS(출퇴근기록!$H$3:$H$3002,출퇴근기록!$B$3:$B$3002,$A179,출퇴근기록!$I$3:$I$3002,"휴일",출퇴근기록!$A$3:$A$3002,"&gt;="&amp;DATE($B$3,$D$3,1),출퇴근기록!$A$3:$A$3002,"&lt;="&amp;EOMONTH(DATE($B$3,$D$3,1),0)),2))</f>
        <v/>
      </c>
      <c r="G179" s="16" t="str">
        <f aca="false">IF($A179="","",ROUND(SUMIFS(출퇴근기록!$H$3:$H$3002,출퇴근기록!$B$3:$B$3002,$A179,출퇴근기록!$A$3:$A$3002,"&gt;="&amp;DATE($B$3,$D$3,1),출퇴근기록!$A$3:$A$3002,"&lt;="&amp;EOMONTH(DATE($B$3,$D$3,1),0)),2))</f>
        <v/>
      </c>
      <c r="H179" s="16" t="str">
        <f aca="false">IF($A179="","",ROUND($D179*IF(직원목록!$F176="",8,직원목록!$F176),2))</f>
        <v/>
      </c>
      <c r="I179" s="16" t="str">
        <f aca="false">IF($A179="","",ROUND($G179-$H179,2))</f>
        <v/>
      </c>
      <c r="J179" s="19" t="str">
        <f aca="false">IF($A179="","",COUNTIFS(출퇴근기록!$B$3:$B$3002,$A179,출퇴근기록!$I$3:$I$3002,"연차",출퇴근기록!$A$3:$A$3002,"&gt;="&amp;DATE($B$3,$D$3,1),출퇴근기록!$A$3:$A$3002,"&lt;="&amp;EOMONTH(DATE($B$3,$D$3,1),0)))</f>
        <v/>
      </c>
      <c r="K179" s="19" t="str">
        <f aca="false">IF($A179="","",COUNTIFS(출퇴근기록!$B$3:$B$3002,$A179,출퇴근기록!$I$3:$I$3002,"결근",출퇴근기록!$A$3:$A$3002,"&gt;="&amp;DATE($B$3,$D$3,1),출퇴근기록!$A$3:$A$3002,"&lt;="&amp;EOMONTH(DATE($B$3,$D$3,1),0)))</f>
        <v/>
      </c>
    </row>
    <row r="180" customFormat="false" ht="15" hidden="false" customHeight="true" outlineLevel="0" collapsed="false">
      <c r="A180" s="13" t="str">
        <f aca="false">IF(직원목록!$A177="","",직원목록!$A177)</f>
        <v/>
      </c>
      <c r="B180" s="13" t="str">
        <f aca="false">IF($A180="","",직원목록!$B177)</f>
        <v/>
      </c>
      <c r="C180" s="13" t="str">
        <f aca="false">IF($A180="","",직원목록!$C177)</f>
        <v/>
      </c>
      <c r="D180" s="19" t="str">
        <f aca="false">IF($A180="","",COUNTIFS(출퇴근기록!$B$3:$B$3002,$A180,출퇴근기록!$H$3:$H$3002,"&gt;0",출퇴근기록!$A$3:$A$3002,"&gt;="&amp;DATE($B$3,$D$3,1),출퇴근기록!$A$3:$A$3002,"&lt;="&amp;EOMONTH(DATE($B$3,$D$3,1),0)))</f>
        <v/>
      </c>
      <c r="E180" s="16" t="str">
        <f aca="false">IF($A180="","",ROUND(SUMIFS(출퇴근기록!$H$3:$H$3002,출퇴근기록!$B$3:$B$3002,$A180,출퇴근기록!$I$3:$I$3002,"평일",출퇴근기록!$A$3:$A$3002,"&gt;="&amp;DATE($B$3,$D$3,1),출퇴근기록!$A$3:$A$3002,"&lt;="&amp;EOMONTH(DATE($B$3,$D$3,1),0)),2))</f>
        <v/>
      </c>
      <c r="F180" s="16" t="str">
        <f aca="false">IF($A180="","",ROUND(SUMIFS(출퇴근기록!$H$3:$H$3002,출퇴근기록!$B$3:$B$3002,$A180,출퇴근기록!$I$3:$I$3002,"휴일",출퇴근기록!$A$3:$A$3002,"&gt;="&amp;DATE($B$3,$D$3,1),출퇴근기록!$A$3:$A$3002,"&lt;="&amp;EOMONTH(DATE($B$3,$D$3,1),0)),2))</f>
        <v/>
      </c>
      <c r="G180" s="16" t="str">
        <f aca="false">IF($A180="","",ROUND(SUMIFS(출퇴근기록!$H$3:$H$3002,출퇴근기록!$B$3:$B$3002,$A180,출퇴근기록!$A$3:$A$3002,"&gt;="&amp;DATE($B$3,$D$3,1),출퇴근기록!$A$3:$A$3002,"&lt;="&amp;EOMONTH(DATE($B$3,$D$3,1),0)),2))</f>
        <v/>
      </c>
      <c r="H180" s="16" t="str">
        <f aca="false">IF($A180="","",ROUND($D180*IF(직원목록!$F177="",8,직원목록!$F177),2))</f>
        <v/>
      </c>
      <c r="I180" s="16" t="str">
        <f aca="false">IF($A180="","",ROUND($G180-$H180,2))</f>
        <v/>
      </c>
      <c r="J180" s="19" t="str">
        <f aca="false">IF($A180="","",COUNTIFS(출퇴근기록!$B$3:$B$3002,$A180,출퇴근기록!$I$3:$I$3002,"연차",출퇴근기록!$A$3:$A$3002,"&gt;="&amp;DATE($B$3,$D$3,1),출퇴근기록!$A$3:$A$3002,"&lt;="&amp;EOMONTH(DATE($B$3,$D$3,1),0)))</f>
        <v/>
      </c>
      <c r="K180" s="19" t="str">
        <f aca="false">IF($A180="","",COUNTIFS(출퇴근기록!$B$3:$B$3002,$A180,출퇴근기록!$I$3:$I$3002,"결근",출퇴근기록!$A$3:$A$3002,"&gt;="&amp;DATE($B$3,$D$3,1),출퇴근기록!$A$3:$A$3002,"&lt;="&amp;EOMONTH(DATE($B$3,$D$3,1),0)))</f>
        <v/>
      </c>
    </row>
    <row r="181" customFormat="false" ht="15" hidden="false" customHeight="true" outlineLevel="0" collapsed="false">
      <c r="A181" s="13" t="str">
        <f aca="false">IF(직원목록!$A178="","",직원목록!$A178)</f>
        <v/>
      </c>
      <c r="B181" s="13" t="str">
        <f aca="false">IF($A181="","",직원목록!$B178)</f>
        <v/>
      </c>
      <c r="C181" s="13" t="str">
        <f aca="false">IF($A181="","",직원목록!$C178)</f>
        <v/>
      </c>
      <c r="D181" s="19" t="str">
        <f aca="false">IF($A181="","",COUNTIFS(출퇴근기록!$B$3:$B$3002,$A181,출퇴근기록!$H$3:$H$3002,"&gt;0",출퇴근기록!$A$3:$A$3002,"&gt;="&amp;DATE($B$3,$D$3,1),출퇴근기록!$A$3:$A$3002,"&lt;="&amp;EOMONTH(DATE($B$3,$D$3,1),0)))</f>
        <v/>
      </c>
      <c r="E181" s="16" t="str">
        <f aca="false">IF($A181="","",ROUND(SUMIFS(출퇴근기록!$H$3:$H$3002,출퇴근기록!$B$3:$B$3002,$A181,출퇴근기록!$I$3:$I$3002,"평일",출퇴근기록!$A$3:$A$3002,"&gt;="&amp;DATE($B$3,$D$3,1),출퇴근기록!$A$3:$A$3002,"&lt;="&amp;EOMONTH(DATE($B$3,$D$3,1),0)),2))</f>
        <v/>
      </c>
      <c r="F181" s="16" t="str">
        <f aca="false">IF($A181="","",ROUND(SUMIFS(출퇴근기록!$H$3:$H$3002,출퇴근기록!$B$3:$B$3002,$A181,출퇴근기록!$I$3:$I$3002,"휴일",출퇴근기록!$A$3:$A$3002,"&gt;="&amp;DATE($B$3,$D$3,1),출퇴근기록!$A$3:$A$3002,"&lt;="&amp;EOMONTH(DATE($B$3,$D$3,1),0)),2))</f>
        <v/>
      </c>
      <c r="G181" s="16" t="str">
        <f aca="false">IF($A181="","",ROUND(SUMIFS(출퇴근기록!$H$3:$H$3002,출퇴근기록!$B$3:$B$3002,$A181,출퇴근기록!$A$3:$A$3002,"&gt;="&amp;DATE($B$3,$D$3,1),출퇴근기록!$A$3:$A$3002,"&lt;="&amp;EOMONTH(DATE($B$3,$D$3,1),0)),2))</f>
        <v/>
      </c>
      <c r="H181" s="16" t="str">
        <f aca="false">IF($A181="","",ROUND($D181*IF(직원목록!$F178="",8,직원목록!$F178),2))</f>
        <v/>
      </c>
      <c r="I181" s="16" t="str">
        <f aca="false">IF($A181="","",ROUND($G181-$H181,2))</f>
        <v/>
      </c>
      <c r="J181" s="19" t="str">
        <f aca="false">IF($A181="","",COUNTIFS(출퇴근기록!$B$3:$B$3002,$A181,출퇴근기록!$I$3:$I$3002,"연차",출퇴근기록!$A$3:$A$3002,"&gt;="&amp;DATE($B$3,$D$3,1),출퇴근기록!$A$3:$A$3002,"&lt;="&amp;EOMONTH(DATE($B$3,$D$3,1),0)))</f>
        <v/>
      </c>
      <c r="K181" s="19" t="str">
        <f aca="false">IF($A181="","",COUNTIFS(출퇴근기록!$B$3:$B$3002,$A181,출퇴근기록!$I$3:$I$3002,"결근",출퇴근기록!$A$3:$A$3002,"&gt;="&amp;DATE($B$3,$D$3,1),출퇴근기록!$A$3:$A$3002,"&lt;="&amp;EOMONTH(DATE($B$3,$D$3,1),0)))</f>
        <v/>
      </c>
    </row>
    <row r="182" customFormat="false" ht="15" hidden="false" customHeight="true" outlineLevel="0" collapsed="false">
      <c r="A182" s="13" t="str">
        <f aca="false">IF(직원목록!$A179="","",직원목록!$A179)</f>
        <v/>
      </c>
      <c r="B182" s="13" t="str">
        <f aca="false">IF($A182="","",직원목록!$B179)</f>
        <v/>
      </c>
      <c r="C182" s="13" t="str">
        <f aca="false">IF($A182="","",직원목록!$C179)</f>
        <v/>
      </c>
      <c r="D182" s="19" t="str">
        <f aca="false">IF($A182="","",COUNTIFS(출퇴근기록!$B$3:$B$3002,$A182,출퇴근기록!$H$3:$H$3002,"&gt;0",출퇴근기록!$A$3:$A$3002,"&gt;="&amp;DATE($B$3,$D$3,1),출퇴근기록!$A$3:$A$3002,"&lt;="&amp;EOMONTH(DATE($B$3,$D$3,1),0)))</f>
        <v/>
      </c>
      <c r="E182" s="16" t="str">
        <f aca="false">IF($A182="","",ROUND(SUMIFS(출퇴근기록!$H$3:$H$3002,출퇴근기록!$B$3:$B$3002,$A182,출퇴근기록!$I$3:$I$3002,"평일",출퇴근기록!$A$3:$A$3002,"&gt;="&amp;DATE($B$3,$D$3,1),출퇴근기록!$A$3:$A$3002,"&lt;="&amp;EOMONTH(DATE($B$3,$D$3,1),0)),2))</f>
        <v/>
      </c>
      <c r="F182" s="16" t="str">
        <f aca="false">IF($A182="","",ROUND(SUMIFS(출퇴근기록!$H$3:$H$3002,출퇴근기록!$B$3:$B$3002,$A182,출퇴근기록!$I$3:$I$3002,"휴일",출퇴근기록!$A$3:$A$3002,"&gt;="&amp;DATE($B$3,$D$3,1),출퇴근기록!$A$3:$A$3002,"&lt;="&amp;EOMONTH(DATE($B$3,$D$3,1),0)),2))</f>
        <v/>
      </c>
      <c r="G182" s="16" t="str">
        <f aca="false">IF($A182="","",ROUND(SUMIFS(출퇴근기록!$H$3:$H$3002,출퇴근기록!$B$3:$B$3002,$A182,출퇴근기록!$A$3:$A$3002,"&gt;="&amp;DATE($B$3,$D$3,1),출퇴근기록!$A$3:$A$3002,"&lt;="&amp;EOMONTH(DATE($B$3,$D$3,1),0)),2))</f>
        <v/>
      </c>
      <c r="H182" s="16" t="str">
        <f aca="false">IF($A182="","",ROUND($D182*IF(직원목록!$F179="",8,직원목록!$F179),2))</f>
        <v/>
      </c>
      <c r="I182" s="16" t="str">
        <f aca="false">IF($A182="","",ROUND($G182-$H182,2))</f>
        <v/>
      </c>
      <c r="J182" s="19" t="str">
        <f aca="false">IF($A182="","",COUNTIFS(출퇴근기록!$B$3:$B$3002,$A182,출퇴근기록!$I$3:$I$3002,"연차",출퇴근기록!$A$3:$A$3002,"&gt;="&amp;DATE($B$3,$D$3,1),출퇴근기록!$A$3:$A$3002,"&lt;="&amp;EOMONTH(DATE($B$3,$D$3,1),0)))</f>
        <v/>
      </c>
      <c r="K182" s="19" t="str">
        <f aca="false">IF($A182="","",COUNTIFS(출퇴근기록!$B$3:$B$3002,$A182,출퇴근기록!$I$3:$I$3002,"결근",출퇴근기록!$A$3:$A$3002,"&gt;="&amp;DATE($B$3,$D$3,1),출퇴근기록!$A$3:$A$3002,"&lt;="&amp;EOMONTH(DATE($B$3,$D$3,1),0)))</f>
        <v/>
      </c>
    </row>
    <row r="183" customFormat="false" ht="15" hidden="false" customHeight="true" outlineLevel="0" collapsed="false">
      <c r="A183" s="13" t="str">
        <f aca="false">IF(직원목록!$A180="","",직원목록!$A180)</f>
        <v/>
      </c>
      <c r="B183" s="13" t="str">
        <f aca="false">IF($A183="","",직원목록!$B180)</f>
        <v/>
      </c>
      <c r="C183" s="13" t="str">
        <f aca="false">IF($A183="","",직원목록!$C180)</f>
        <v/>
      </c>
      <c r="D183" s="19" t="str">
        <f aca="false">IF($A183="","",COUNTIFS(출퇴근기록!$B$3:$B$3002,$A183,출퇴근기록!$H$3:$H$3002,"&gt;0",출퇴근기록!$A$3:$A$3002,"&gt;="&amp;DATE($B$3,$D$3,1),출퇴근기록!$A$3:$A$3002,"&lt;="&amp;EOMONTH(DATE($B$3,$D$3,1),0)))</f>
        <v/>
      </c>
      <c r="E183" s="16" t="str">
        <f aca="false">IF($A183="","",ROUND(SUMIFS(출퇴근기록!$H$3:$H$3002,출퇴근기록!$B$3:$B$3002,$A183,출퇴근기록!$I$3:$I$3002,"평일",출퇴근기록!$A$3:$A$3002,"&gt;="&amp;DATE($B$3,$D$3,1),출퇴근기록!$A$3:$A$3002,"&lt;="&amp;EOMONTH(DATE($B$3,$D$3,1),0)),2))</f>
        <v/>
      </c>
      <c r="F183" s="16" t="str">
        <f aca="false">IF($A183="","",ROUND(SUMIFS(출퇴근기록!$H$3:$H$3002,출퇴근기록!$B$3:$B$3002,$A183,출퇴근기록!$I$3:$I$3002,"휴일",출퇴근기록!$A$3:$A$3002,"&gt;="&amp;DATE($B$3,$D$3,1),출퇴근기록!$A$3:$A$3002,"&lt;="&amp;EOMONTH(DATE($B$3,$D$3,1),0)),2))</f>
        <v/>
      </c>
      <c r="G183" s="16" t="str">
        <f aca="false">IF($A183="","",ROUND(SUMIFS(출퇴근기록!$H$3:$H$3002,출퇴근기록!$B$3:$B$3002,$A183,출퇴근기록!$A$3:$A$3002,"&gt;="&amp;DATE($B$3,$D$3,1),출퇴근기록!$A$3:$A$3002,"&lt;="&amp;EOMONTH(DATE($B$3,$D$3,1),0)),2))</f>
        <v/>
      </c>
      <c r="H183" s="16" t="str">
        <f aca="false">IF($A183="","",ROUND($D183*IF(직원목록!$F180="",8,직원목록!$F180),2))</f>
        <v/>
      </c>
      <c r="I183" s="16" t="str">
        <f aca="false">IF($A183="","",ROUND($G183-$H183,2))</f>
        <v/>
      </c>
      <c r="J183" s="19" t="str">
        <f aca="false">IF($A183="","",COUNTIFS(출퇴근기록!$B$3:$B$3002,$A183,출퇴근기록!$I$3:$I$3002,"연차",출퇴근기록!$A$3:$A$3002,"&gt;="&amp;DATE($B$3,$D$3,1),출퇴근기록!$A$3:$A$3002,"&lt;="&amp;EOMONTH(DATE($B$3,$D$3,1),0)))</f>
        <v/>
      </c>
      <c r="K183" s="19" t="str">
        <f aca="false">IF($A183="","",COUNTIFS(출퇴근기록!$B$3:$B$3002,$A183,출퇴근기록!$I$3:$I$3002,"결근",출퇴근기록!$A$3:$A$3002,"&gt;="&amp;DATE($B$3,$D$3,1),출퇴근기록!$A$3:$A$3002,"&lt;="&amp;EOMONTH(DATE($B$3,$D$3,1),0)))</f>
        <v/>
      </c>
    </row>
    <row r="184" customFormat="false" ht="15" hidden="false" customHeight="true" outlineLevel="0" collapsed="false">
      <c r="A184" s="13" t="str">
        <f aca="false">IF(직원목록!$A181="","",직원목록!$A181)</f>
        <v/>
      </c>
      <c r="B184" s="13" t="str">
        <f aca="false">IF($A184="","",직원목록!$B181)</f>
        <v/>
      </c>
      <c r="C184" s="13" t="str">
        <f aca="false">IF($A184="","",직원목록!$C181)</f>
        <v/>
      </c>
      <c r="D184" s="19" t="str">
        <f aca="false">IF($A184="","",COUNTIFS(출퇴근기록!$B$3:$B$3002,$A184,출퇴근기록!$H$3:$H$3002,"&gt;0",출퇴근기록!$A$3:$A$3002,"&gt;="&amp;DATE($B$3,$D$3,1),출퇴근기록!$A$3:$A$3002,"&lt;="&amp;EOMONTH(DATE($B$3,$D$3,1),0)))</f>
        <v/>
      </c>
      <c r="E184" s="16" t="str">
        <f aca="false">IF($A184="","",ROUND(SUMIFS(출퇴근기록!$H$3:$H$3002,출퇴근기록!$B$3:$B$3002,$A184,출퇴근기록!$I$3:$I$3002,"평일",출퇴근기록!$A$3:$A$3002,"&gt;="&amp;DATE($B$3,$D$3,1),출퇴근기록!$A$3:$A$3002,"&lt;="&amp;EOMONTH(DATE($B$3,$D$3,1),0)),2))</f>
        <v/>
      </c>
      <c r="F184" s="16" t="str">
        <f aca="false">IF($A184="","",ROUND(SUMIFS(출퇴근기록!$H$3:$H$3002,출퇴근기록!$B$3:$B$3002,$A184,출퇴근기록!$I$3:$I$3002,"휴일",출퇴근기록!$A$3:$A$3002,"&gt;="&amp;DATE($B$3,$D$3,1),출퇴근기록!$A$3:$A$3002,"&lt;="&amp;EOMONTH(DATE($B$3,$D$3,1),0)),2))</f>
        <v/>
      </c>
      <c r="G184" s="16" t="str">
        <f aca="false">IF($A184="","",ROUND(SUMIFS(출퇴근기록!$H$3:$H$3002,출퇴근기록!$B$3:$B$3002,$A184,출퇴근기록!$A$3:$A$3002,"&gt;="&amp;DATE($B$3,$D$3,1),출퇴근기록!$A$3:$A$3002,"&lt;="&amp;EOMONTH(DATE($B$3,$D$3,1),0)),2))</f>
        <v/>
      </c>
      <c r="H184" s="16" t="str">
        <f aca="false">IF($A184="","",ROUND($D184*IF(직원목록!$F181="",8,직원목록!$F181),2))</f>
        <v/>
      </c>
      <c r="I184" s="16" t="str">
        <f aca="false">IF($A184="","",ROUND($G184-$H184,2))</f>
        <v/>
      </c>
      <c r="J184" s="19" t="str">
        <f aca="false">IF($A184="","",COUNTIFS(출퇴근기록!$B$3:$B$3002,$A184,출퇴근기록!$I$3:$I$3002,"연차",출퇴근기록!$A$3:$A$3002,"&gt;="&amp;DATE($B$3,$D$3,1),출퇴근기록!$A$3:$A$3002,"&lt;="&amp;EOMONTH(DATE($B$3,$D$3,1),0)))</f>
        <v/>
      </c>
      <c r="K184" s="19" t="str">
        <f aca="false">IF($A184="","",COUNTIFS(출퇴근기록!$B$3:$B$3002,$A184,출퇴근기록!$I$3:$I$3002,"결근",출퇴근기록!$A$3:$A$3002,"&gt;="&amp;DATE($B$3,$D$3,1),출퇴근기록!$A$3:$A$3002,"&lt;="&amp;EOMONTH(DATE($B$3,$D$3,1),0)))</f>
        <v/>
      </c>
    </row>
    <row r="185" customFormat="false" ht="15" hidden="false" customHeight="true" outlineLevel="0" collapsed="false">
      <c r="A185" s="13" t="str">
        <f aca="false">IF(직원목록!$A182="","",직원목록!$A182)</f>
        <v/>
      </c>
      <c r="B185" s="13" t="str">
        <f aca="false">IF($A185="","",직원목록!$B182)</f>
        <v/>
      </c>
      <c r="C185" s="13" t="str">
        <f aca="false">IF($A185="","",직원목록!$C182)</f>
        <v/>
      </c>
      <c r="D185" s="19" t="str">
        <f aca="false">IF($A185="","",COUNTIFS(출퇴근기록!$B$3:$B$3002,$A185,출퇴근기록!$H$3:$H$3002,"&gt;0",출퇴근기록!$A$3:$A$3002,"&gt;="&amp;DATE($B$3,$D$3,1),출퇴근기록!$A$3:$A$3002,"&lt;="&amp;EOMONTH(DATE($B$3,$D$3,1),0)))</f>
        <v/>
      </c>
      <c r="E185" s="16" t="str">
        <f aca="false">IF($A185="","",ROUND(SUMIFS(출퇴근기록!$H$3:$H$3002,출퇴근기록!$B$3:$B$3002,$A185,출퇴근기록!$I$3:$I$3002,"평일",출퇴근기록!$A$3:$A$3002,"&gt;="&amp;DATE($B$3,$D$3,1),출퇴근기록!$A$3:$A$3002,"&lt;="&amp;EOMONTH(DATE($B$3,$D$3,1),0)),2))</f>
        <v/>
      </c>
      <c r="F185" s="16" t="str">
        <f aca="false">IF($A185="","",ROUND(SUMIFS(출퇴근기록!$H$3:$H$3002,출퇴근기록!$B$3:$B$3002,$A185,출퇴근기록!$I$3:$I$3002,"휴일",출퇴근기록!$A$3:$A$3002,"&gt;="&amp;DATE($B$3,$D$3,1),출퇴근기록!$A$3:$A$3002,"&lt;="&amp;EOMONTH(DATE($B$3,$D$3,1),0)),2))</f>
        <v/>
      </c>
      <c r="G185" s="16" t="str">
        <f aca="false">IF($A185="","",ROUND(SUMIFS(출퇴근기록!$H$3:$H$3002,출퇴근기록!$B$3:$B$3002,$A185,출퇴근기록!$A$3:$A$3002,"&gt;="&amp;DATE($B$3,$D$3,1),출퇴근기록!$A$3:$A$3002,"&lt;="&amp;EOMONTH(DATE($B$3,$D$3,1),0)),2))</f>
        <v/>
      </c>
      <c r="H185" s="16" t="str">
        <f aca="false">IF($A185="","",ROUND($D185*IF(직원목록!$F182="",8,직원목록!$F182),2))</f>
        <v/>
      </c>
      <c r="I185" s="16" t="str">
        <f aca="false">IF($A185="","",ROUND($G185-$H185,2))</f>
        <v/>
      </c>
      <c r="J185" s="19" t="str">
        <f aca="false">IF($A185="","",COUNTIFS(출퇴근기록!$B$3:$B$3002,$A185,출퇴근기록!$I$3:$I$3002,"연차",출퇴근기록!$A$3:$A$3002,"&gt;="&amp;DATE($B$3,$D$3,1),출퇴근기록!$A$3:$A$3002,"&lt;="&amp;EOMONTH(DATE($B$3,$D$3,1),0)))</f>
        <v/>
      </c>
      <c r="K185" s="19" t="str">
        <f aca="false">IF($A185="","",COUNTIFS(출퇴근기록!$B$3:$B$3002,$A185,출퇴근기록!$I$3:$I$3002,"결근",출퇴근기록!$A$3:$A$3002,"&gt;="&amp;DATE($B$3,$D$3,1),출퇴근기록!$A$3:$A$3002,"&lt;="&amp;EOMONTH(DATE($B$3,$D$3,1),0)))</f>
        <v/>
      </c>
    </row>
    <row r="186" customFormat="false" ht="15" hidden="false" customHeight="true" outlineLevel="0" collapsed="false">
      <c r="A186" s="13" t="str">
        <f aca="false">IF(직원목록!$A183="","",직원목록!$A183)</f>
        <v/>
      </c>
      <c r="B186" s="13" t="str">
        <f aca="false">IF($A186="","",직원목록!$B183)</f>
        <v/>
      </c>
      <c r="C186" s="13" t="str">
        <f aca="false">IF($A186="","",직원목록!$C183)</f>
        <v/>
      </c>
      <c r="D186" s="19" t="str">
        <f aca="false">IF($A186="","",COUNTIFS(출퇴근기록!$B$3:$B$3002,$A186,출퇴근기록!$H$3:$H$3002,"&gt;0",출퇴근기록!$A$3:$A$3002,"&gt;="&amp;DATE($B$3,$D$3,1),출퇴근기록!$A$3:$A$3002,"&lt;="&amp;EOMONTH(DATE($B$3,$D$3,1),0)))</f>
        <v/>
      </c>
      <c r="E186" s="16" t="str">
        <f aca="false">IF($A186="","",ROUND(SUMIFS(출퇴근기록!$H$3:$H$3002,출퇴근기록!$B$3:$B$3002,$A186,출퇴근기록!$I$3:$I$3002,"평일",출퇴근기록!$A$3:$A$3002,"&gt;="&amp;DATE($B$3,$D$3,1),출퇴근기록!$A$3:$A$3002,"&lt;="&amp;EOMONTH(DATE($B$3,$D$3,1),0)),2))</f>
        <v/>
      </c>
      <c r="F186" s="16" t="str">
        <f aca="false">IF($A186="","",ROUND(SUMIFS(출퇴근기록!$H$3:$H$3002,출퇴근기록!$B$3:$B$3002,$A186,출퇴근기록!$I$3:$I$3002,"휴일",출퇴근기록!$A$3:$A$3002,"&gt;="&amp;DATE($B$3,$D$3,1),출퇴근기록!$A$3:$A$3002,"&lt;="&amp;EOMONTH(DATE($B$3,$D$3,1),0)),2))</f>
        <v/>
      </c>
      <c r="G186" s="16" t="str">
        <f aca="false">IF($A186="","",ROUND(SUMIFS(출퇴근기록!$H$3:$H$3002,출퇴근기록!$B$3:$B$3002,$A186,출퇴근기록!$A$3:$A$3002,"&gt;="&amp;DATE($B$3,$D$3,1),출퇴근기록!$A$3:$A$3002,"&lt;="&amp;EOMONTH(DATE($B$3,$D$3,1),0)),2))</f>
        <v/>
      </c>
      <c r="H186" s="16" t="str">
        <f aca="false">IF($A186="","",ROUND($D186*IF(직원목록!$F183="",8,직원목록!$F183),2))</f>
        <v/>
      </c>
      <c r="I186" s="16" t="str">
        <f aca="false">IF($A186="","",ROUND($G186-$H186,2))</f>
        <v/>
      </c>
      <c r="J186" s="19" t="str">
        <f aca="false">IF($A186="","",COUNTIFS(출퇴근기록!$B$3:$B$3002,$A186,출퇴근기록!$I$3:$I$3002,"연차",출퇴근기록!$A$3:$A$3002,"&gt;="&amp;DATE($B$3,$D$3,1),출퇴근기록!$A$3:$A$3002,"&lt;="&amp;EOMONTH(DATE($B$3,$D$3,1),0)))</f>
        <v/>
      </c>
      <c r="K186" s="19" t="str">
        <f aca="false">IF($A186="","",COUNTIFS(출퇴근기록!$B$3:$B$3002,$A186,출퇴근기록!$I$3:$I$3002,"결근",출퇴근기록!$A$3:$A$3002,"&gt;="&amp;DATE($B$3,$D$3,1),출퇴근기록!$A$3:$A$3002,"&lt;="&amp;EOMONTH(DATE($B$3,$D$3,1),0)))</f>
        <v/>
      </c>
    </row>
    <row r="187" customFormat="false" ht="15" hidden="false" customHeight="true" outlineLevel="0" collapsed="false">
      <c r="A187" s="13" t="str">
        <f aca="false">IF(직원목록!$A184="","",직원목록!$A184)</f>
        <v/>
      </c>
      <c r="B187" s="13" t="str">
        <f aca="false">IF($A187="","",직원목록!$B184)</f>
        <v/>
      </c>
      <c r="C187" s="13" t="str">
        <f aca="false">IF($A187="","",직원목록!$C184)</f>
        <v/>
      </c>
      <c r="D187" s="19" t="str">
        <f aca="false">IF($A187="","",COUNTIFS(출퇴근기록!$B$3:$B$3002,$A187,출퇴근기록!$H$3:$H$3002,"&gt;0",출퇴근기록!$A$3:$A$3002,"&gt;="&amp;DATE($B$3,$D$3,1),출퇴근기록!$A$3:$A$3002,"&lt;="&amp;EOMONTH(DATE($B$3,$D$3,1),0)))</f>
        <v/>
      </c>
      <c r="E187" s="16" t="str">
        <f aca="false">IF($A187="","",ROUND(SUMIFS(출퇴근기록!$H$3:$H$3002,출퇴근기록!$B$3:$B$3002,$A187,출퇴근기록!$I$3:$I$3002,"평일",출퇴근기록!$A$3:$A$3002,"&gt;="&amp;DATE($B$3,$D$3,1),출퇴근기록!$A$3:$A$3002,"&lt;="&amp;EOMONTH(DATE($B$3,$D$3,1),0)),2))</f>
        <v/>
      </c>
      <c r="F187" s="16" t="str">
        <f aca="false">IF($A187="","",ROUND(SUMIFS(출퇴근기록!$H$3:$H$3002,출퇴근기록!$B$3:$B$3002,$A187,출퇴근기록!$I$3:$I$3002,"휴일",출퇴근기록!$A$3:$A$3002,"&gt;="&amp;DATE($B$3,$D$3,1),출퇴근기록!$A$3:$A$3002,"&lt;="&amp;EOMONTH(DATE($B$3,$D$3,1),0)),2))</f>
        <v/>
      </c>
      <c r="G187" s="16" t="str">
        <f aca="false">IF($A187="","",ROUND(SUMIFS(출퇴근기록!$H$3:$H$3002,출퇴근기록!$B$3:$B$3002,$A187,출퇴근기록!$A$3:$A$3002,"&gt;="&amp;DATE($B$3,$D$3,1),출퇴근기록!$A$3:$A$3002,"&lt;="&amp;EOMONTH(DATE($B$3,$D$3,1),0)),2))</f>
        <v/>
      </c>
      <c r="H187" s="16" t="str">
        <f aca="false">IF($A187="","",ROUND($D187*IF(직원목록!$F184="",8,직원목록!$F184),2))</f>
        <v/>
      </c>
      <c r="I187" s="16" t="str">
        <f aca="false">IF($A187="","",ROUND($G187-$H187,2))</f>
        <v/>
      </c>
      <c r="J187" s="19" t="str">
        <f aca="false">IF($A187="","",COUNTIFS(출퇴근기록!$B$3:$B$3002,$A187,출퇴근기록!$I$3:$I$3002,"연차",출퇴근기록!$A$3:$A$3002,"&gt;="&amp;DATE($B$3,$D$3,1),출퇴근기록!$A$3:$A$3002,"&lt;="&amp;EOMONTH(DATE($B$3,$D$3,1),0)))</f>
        <v/>
      </c>
      <c r="K187" s="19" t="str">
        <f aca="false">IF($A187="","",COUNTIFS(출퇴근기록!$B$3:$B$3002,$A187,출퇴근기록!$I$3:$I$3002,"결근",출퇴근기록!$A$3:$A$3002,"&gt;="&amp;DATE($B$3,$D$3,1),출퇴근기록!$A$3:$A$3002,"&lt;="&amp;EOMONTH(DATE($B$3,$D$3,1),0)))</f>
        <v/>
      </c>
    </row>
    <row r="188" customFormat="false" ht="15" hidden="false" customHeight="true" outlineLevel="0" collapsed="false">
      <c r="A188" s="13" t="str">
        <f aca="false">IF(직원목록!$A185="","",직원목록!$A185)</f>
        <v/>
      </c>
      <c r="B188" s="13" t="str">
        <f aca="false">IF($A188="","",직원목록!$B185)</f>
        <v/>
      </c>
      <c r="C188" s="13" t="str">
        <f aca="false">IF($A188="","",직원목록!$C185)</f>
        <v/>
      </c>
      <c r="D188" s="19" t="str">
        <f aca="false">IF($A188="","",COUNTIFS(출퇴근기록!$B$3:$B$3002,$A188,출퇴근기록!$H$3:$H$3002,"&gt;0",출퇴근기록!$A$3:$A$3002,"&gt;="&amp;DATE($B$3,$D$3,1),출퇴근기록!$A$3:$A$3002,"&lt;="&amp;EOMONTH(DATE($B$3,$D$3,1),0)))</f>
        <v/>
      </c>
      <c r="E188" s="16" t="str">
        <f aca="false">IF($A188="","",ROUND(SUMIFS(출퇴근기록!$H$3:$H$3002,출퇴근기록!$B$3:$B$3002,$A188,출퇴근기록!$I$3:$I$3002,"평일",출퇴근기록!$A$3:$A$3002,"&gt;="&amp;DATE($B$3,$D$3,1),출퇴근기록!$A$3:$A$3002,"&lt;="&amp;EOMONTH(DATE($B$3,$D$3,1),0)),2))</f>
        <v/>
      </c>
      <c r="F188" s="16" t="str">
        <f aca="false">IF($A188="","",ROUND(SUMIFS(출퇴근기록!$H$3:$H$3002,출퇴근기록!$B$3:$B$3002,$A188,출퇴근기록!$I$3:$I$3002,"휴일",출퇴근기록!$A$3:$A$3002,"&gt;="&amp;DATE($B$3,$D$3,1),출퇴근기록!$A$3:$A$3002,"&lt;="&amp;EOMONTH(DATE($B$3,$D$3,1),0)),2))</f>
        <v/>
      </c>
      <c r="G188" s="16" t="str">
        <f aca="false">IF($A188="","",ROUND(SUMIFS(출퇴근기록!$H$3:$H$3002,출퇴근기록!$B$3:$B$3002,$A188,출퇴근기록!$A$3:$A$3002,"&gt;="&amp;DATE($B$3,$D$3,1),출퇴근기록!$A$3:$A$3002,"&lt;="&amp;EOMONTH(DATE($B$3,$D$3,1),0)),2))</f>
        <v/>
      </c>
      <c r="H188" s="16" t="str">
        <f aca="false">IF($A188="","",ROUND($D188*IF(직원목록!$F185="",8,직원목록!$F185),2))</f>
        <v/>
      </c>
      <c r="I188" s="16" t="str">
        <f aca="false">IF($A188="","",ROUND($G188-$H188,2))</f>
        <v/>
      </c>
      <c r="J188" s="19" t="str">
        <f aca="false">IF($A188="","",COUNTIFS(출퇴근기록!$B$3:$B$3002,$A188,출퇴근기록!$I$3:$I$3002,"연차",출퇴근기록!$A$3:$A$3002,"&gt;="&amp;DATE($B$3,$D$3,1),출퇴근기록!$A$3:$A$3002,"&lt;="&amp;EOMONTH(DATE($B$3,$D$3,1),0)))</f>
        <v/>
      </c>
      <c r="K188" s="19" t="str">
        <f aca="false">IF($A188="","",COUNTIFS(출퇴근기록!$B$3:$B$3002,$A188,출퇴근기록!$I$3:$I$3002,"결근",출퇴근기록!$A$3:$A$3002,"&gt;="&amp;DATE($B$3,$D$3,1),출퇴근기록!$A$3:$A$3002,"&lt;="&amp;EOMONTH(DATE($B$3,$D$3,1),0)))</f>
        <v/>
      </c>
    </row>
    <row r="189" customFormat="false" ht="15" hidden="false" customHeight="true" outlineLevel="0" collapsed="false">
      <c r="A189" s="13" t="str">
        <f aca="false">IF(직원목록!$A186="","",직원목록!$A186)</f>
        <v/>
      </c>
      <c r="B189" s="13" t="str">
        <f aca="false">IF($A189="","",직원목록!$B186)</f>
        <v/>
      </c>
      <c r="C189" s="13" t="str">
        <f aca="false">IF($A189="","",직원목록!$C186)</f>
        <v/>
      </c>
      <c r="D189" s="19" t="str">
        <f aca="false">IF($A189="","",COUNTIFS(출퇴근기록!$B$3:$B$3002,$A189,출퇴근기록!$H$3:$H$3002,"&gt;0",출퇴근기록!$A$3:$A$3002,"&gt;="&amp;DATE($B$3,$D$3,1),출퇴근기록!$A$3:$A$3002,"&lt;="&amp;EOMONTH(DATE($B$3,$D$3,1),0)))</f>
        <v/>
      </c>
      <c r="E189" s="16" t="str">
        <f aca="false">IF($A189="","",ROUND(SUMIFS(출퇴근기록!$H$3:$H$3002,출퇴근기록!$B$3:$B$3002,$A189,출퇴근기록!$I$3:$I$3002,"평일",출퇴근기록!$A$3:$A$3002,"&gt;="&amp;DATE($B$3,$D$3,1),출퇴근기록!$A$3:$A$3002,"&lt;="&amp;EOMONTH(DATE($B$3,$D$3,1),0)),2))</f>
        <v/>
      </c>
      <c r="F189" s="16" t="str">
        <f aca="false">IF($A189="","",ROUND(SUMIFS(출퇴근기록!$H$3:$H$3002,출퇴근기록!$B$3:$B$3002,$A189,출퇴근기록!$I$3:$I$3002,"휴일",출퇴근기록!$A$3:$A$3002,"&gt;="&amp;DATE($B$3,$D$3,1),출퇴근기록!$A$3:$A$3002,"&lt;="&amp;EOMONTH(DATE($B$3,$D$3,1),0)),2))</f>
        <v/>
      </c>
      <c r="G189" s="16" t="str">
        <f aca="false">IF($A189="","",ROUND(SUMIFS(출퇴근기록!$H$3:$H$3002,출퇴근기록!$B$3:$B$3002,$A189,출퇴근기록!$A$3:$A$3002,"&gt;="&amp;DATE($B$3,$D$3,1),출퇴근기록!$A$3:$A$3002,"&lt;="&amp;EOMONTH(DATE($B$3,$D$3,1),0)),2))</f>
        <v/>
      </c>
      <c r="H189" s="16" t="str">
        <f aca="false">IF($A189="","",ROUND($D189*IF(직원목록!$F186="",8,직원목록!$F186),2))</f>
        <v/>
      </c>
      <c r="I189" s="16" t="str">
        <f aca="false">IF($A189="","",ROUND($G189-$H189,2))</f>
        <v/>
      </c>
      <c r="J189" s="19" t="str">
        <f aca="false">IF($A189="","",COUNTIFS(출퇴근기록!$B$3:$B$3002,$A189,출퇴근기록!$I$3:$I$3002,"연차",출퇴근기록!$A$3:$A$3002,"&gt;="&amp;DATE($B$3,$D$3,1),출퇴근기록!$A$3:$A$3002,"&lt;="&amp;EOMONTH(DATE($B$3,$D$3,1),0)))</f>
        <v/>
      </c>
      <c r="K189" s="19" t="str">
        <f aca="false">IF($A189="","",COUNTIFS(출퇴근기록!$B$3:$B$3002,$A189,출퇴근기록!$I$3:$I$3002,"결근",출퇴근기록!$A$3:$A$3002,"&gt;="&amp;DATE($B$3,$D$3,1),출퇴근기록!$A$3:$A$3002,"&lt;="&amp;EOMONTH(DATE($B$3,$D$3,1),0)))</f>
        <v/>
      </c>
    </row>
    <row r="190" customFormat="false" ht="15" hidden="false" customHeight="true" outlineLevel="0" collapsed="false">
      <c r="A190" s="13" t="str">
        <f aca="false">IF(직원목록!$A187="","",직원목록!$A187)</f>
        <v/>
      </c>
      <c r="B190" s="13" t="str">
        <f aca="false">IF($A190="","",직원목록!$B187)</f>
        <v/>
      </c>
      <c r="C190" s="13" t="str">
        <f aca="false">IF($A190="","",직원목록!$C187)</f>
        <v/>
      </c>
      <c r="D190" s="19" t="str">
        <f aca="false">IF($A190="","",COUNTIFS(출퇴근기록!$B$3:$B$3002,$A190,출퇴근기록!$H$3:$H$3002,"&gt;0",출퇴근기록!$A$3:$A$3002,"&gt;="&amp;DATE($B$3,$D$3,1),출퇴근기록!$A$3:$A$3002,"&lt;="&amp;EOMONTH(DATE($B$3,$D$3,1),0)))</f>
        <v/>
      </c>
      <c r="E190" s="16" t="str">
        <f aca="false">IF($A190="","",ROUND(SUMIFS(출퇴근기록!$H$3:$H$3002,출퇴근기록!$B$3:$B$3002,$A190,출퇴근기록!$I$3:$I$3002,"평일",출퇴근기록!$A$3:$A$3002,"&gt;="&amp;DATE($B$3,$D$3,1),출퇴근기록!$A$3:$A$3002,"&lt;="&amp;EOMONTH(DATE($B$3,$D$3,1),0)),2))</f>
        <v/>
      </c>
      <c r="F190" s="16" t="str">
        <f aca="false">IF($A190="","",ROUND(SUMIFS(출퇴근기록!$H$3:$H$3002,출퇴근기록!$B$3:$B$3002,$A190,출퇴근기록!$I$3:$I$3002,"휴일",출퇴근기록!$A$3:$A$3002,"&gt;="&amp;DATE($B$3,$D$3,1),출퇴근기록!$A$3:$A$3002,"&lt;="&amp;EOMONTH(DATE($B$3,$D$3,1),0)),2))</f>
        <v/>
      </c>
      <c r="G190" s="16" t="str">
        <f aca="false">IF($A190="","",ROUND(SUMIFS(출퇴근기록!$H$3:$H$3002,출퇴근기록!$B$3:$B$3002,$A190,출퇴근기록!$A$3:$A$3002,"&gt;="&amp;DATE($B$3,$D$3,1),출퇴근기록!$A$3:$A$3002,"&lt;="&amp;EOMONTH(DATE($B$3,$D$3,1),0)),2))</f>
        <v/>
      </c>
      <c r="H190" s="16" t="str">
        <f aca="false">IF($A190="","",ROUND($D190*IF(직원목록!$F187="",8,직원목록!$F187),2))</f>
        <v/>
      </c>
      <c r="I190" s="16" t="str">
        <f aca="false">IF($A190="","",ROUND($G190-$H190,2))</f>
        <v/>
      </c>
      <c r="J190" s="19" t="str">
        <f aca="false">IF($A190="","",COUNTIFS(출퇴근기록!$B$3:$B$3002,$A190,출퇴근기록!$I$3:$I$3002,"연차",출퇴근기록!$A$3:$A$3002,"&gt;="&amp;DATE($B$3,$D$3,1),출퇴근기록!$A$3:$A$3002,"&lt;="&amp;EOMONTH(DATE($B$3,$D$3,1),0)))</f>
        <v/>
      </c>
      <c r="K190" s="19" t="str">
        <f aca="false">IF($A190="","",COUNTIFS(출퇴근기록!$B$3:$B$3002,$A190,출퇴근기록!$I$3:$I$3002,"결근",출퇴근기록!$A$3:$A$3002,"&gt;="&amp;DATE($B$3,$D$3,1),출퇴근기록!$A$3:$A$3002,"&lt;="&amp;EOMONTH(DATE($B$3,$D$3,1),0)))</f>
        <v/>
      </c>
    </row>
    <row r="191" customFormat="false" ht="15" hidden="false" customHeight="true" outlineLevel="0" collapsed="false">
      <c r="A191" s="13" t="str">
        <f aca="false">IF(직원목록!$A188="","",직원목록!$A188)</f>
        <v/>
      </c>
      <c r="B191" s="13" t="str">
        <f aca="false">IF($A191="","",직원목록!$B188)</f>
        <v/>
      </c>
      <c r="C191" s="13" t="str">
        <f aca="false">IF($A191="","",직원목록!$C188)</f>
        <v/>
      </c>
      <c r="D191" s="19" t="str">
        <f aca="false">IF($A191="","",COUNTIFS(출퇴근기록!$B$3:$B$3002,$A191,출퇴근기록!$H$3:$H$3002,"&gt;0",출퇴근기록!$A$3:$A$3002,"&gt;="&amp;DATE($B$3,$D$3,1),출퇴근기록!$A$3:$A$3002,"&lt;="&amp;EOMONTH(DATE($B$3,$D$3,1),0)))</f>
        <v/>
      </c>
      <c r="E191" s="16" t="str">
        <f aca="false">IF($A191="","",ROUND(SUMIFS(출퇴근기록!$H$3:$H$3002,출퇴근기록!$B$3:$B$3002,$A191,출퇴근기록!$I$3:$I$3002,"평일",출퇴근기록!$A$3:$A$3002,"&gt;="&amp;DATE($B$3,$D$3,1),출퇴근기록!$A$3:$A$3002,"&lt;="&amp;EOMONTH(DATE($B$3,$D$3,1),0)),2))</f>
        <v/>
      </c>
      <c r="F191" s="16" t="str">
        <f aca="false">IF($A191="","",ROUND(SUMIFS(출퇴근기록!$H$3:$H$3002,출퇴근기록!$B$3:$B$3002,$A191,출퇴근기록!$I$3:$I$3002,"휴일",출퇴근기록!$A$3:$A$3002,"&gt;="&amp;DATE($B$3,$D$3,1),출퇴근기록!$A$3:$A$3002,"&lt;="&amp;EOMONTH(DATE($B$3,$D$3,1),0)),2))</f>
        <v/>
      </c>
      <c r="G191" s="16" t="str">
        <f aca="false">IF($A191="","",ROUND(SUMIFS(출퇴근기록!$H$3:$H$3002,출퇴근기록!$B$3:$B$3002,$A191,출퇴근기록!$A$3:$A$3002,"&gt;="&amp;DATE($B$3,$D$3,1),출퇴근기록!$A$3:$A$3002,"&lt;="&amp;EOMONTH(DATE($B$3,$D$3,1),0)),2))</f>
        <v/>
      </c>
      <c r="H191" s="16" t="str">
        <f aca="false">IF($A191="","",ROUND($D191*IF(직원목록!$F188="",8,직원목록!$F188),2))</f>
        <v/>
      </c>
      <c r="I191" s="16" t="str">
        <f aca="false">IF($A191="","",ROUND($G191-$H191,2))</f>
        <v/>
      </c>
      <c r="J191" s="19" t="str">
        <f aca="false">IF($A191="","",COUNTIFS(출퇴근기록!$B$3:$B$3002,$A191,출퇴근기록!$I$3:$I$3002,"연차",출퇴근기록!$A$3:$A$3002,"&gt;="&amp;DATE($B$3,$D$3,1),출퇴근기록!$A$3:$A$3002,"&lt;="&amp;EOMONTH(DATE($B$3,$D$3,1),0)))</f>
        <v/>
      </c>
      <c r="K191" s="19" t="str">
        <f aca="false">IF($A191="","",COUNTIFS(출퇴근기록!$B$3:$B$3002,$A191,출퇴근기록!$I$3:$I$3002,"결근",출퇴근기록!$A$3:$A$3002,"&gt;="&amp;DATE($B$3,$D$3,1),출퇴근기록!$A$3:$A$3002,"&lt;="&amp;EOMONTH(DATE($B$3,$D$3,1),0)))</f>
        <v/>
      </c>
    </row>
    <row r="192" customFormat="false" ht="15" hidden="false" customHeight="true" outlineLevel="0" collapsed="false">
      <c r="A192" s="13" t="str">
        <f aca="false">IF(직원목록!$A189="","",직원목록!$A189)</f>
        <v/>
      </c>
      <c r="B192" s="13" t="str">
        <f aca="false">IF($A192="","",직원목록!$B189)</f>
        <v/>
      </c>
      <c r="C192" s="13" t="str">
        <f aca="false">IF($A192="","",직원목록!$C189)</f>
        <v/>
      </c>
      <c r="D192" s="19" t="str">
        <f aca="false">IF($A192="","",COUNTIFS(출퇴근기록!$B$3:$B$3002,$A192,출퇴근기록!$H$3:$H$3002,"&gt;0",출퇴근기록!$A$3:$A$3002,"&gt;="&amp;DATE($B$3,$D$3,1),출퇴근기록!$A$3:$A$3002,"&lt;="&amp;EOMONTH(DATE($B$3,$D$3,1),0)))</f>
        <v/>
      </c>
      <c r="E192" s="16" t="str">
        <f aca="false">IF($A192="","",ROUND(SUMIFS(출퇴근기록!$H$3:$H$3002,출퇴근기록!$B$3:$B$3002,$A192,출퇴근기록!$I$3:$I$3002,"평일",출퇴근기록!$A$3:$A$3002,"&gt;="&amp;DATE($B$3,$D$3,1),출퇴근기록!$A$3:$A$3002,"&lt;="&amp;EOMONTH(DATE($B$3,$D$3,1),0)),2))</f>
        <v/>
      </c>
      <c r="F192" s="16" t="str">
        <f aca="false">IF($A192="","",ROUND(SUMIFS(출퇴근기록!$H$3:$H$3002,출퇴근기록!$B$3:$B$3002,$A192,출퇴근기록!$I$3:$I$3002,"휴일",출퇴근기록!$A$3:$A$3002,"&gt;="&amp;DATE($B$3,$D$3,1),출퇴근기록!$A$3:$A$3002,"&lt;="&amp;EOMONTH(DATE($B$3,$D$3,1),0)),2))</f>
        <v/>
      </c>
      <c r="G192" s="16" t="str">
        <f aca="false">IF($A192="","",ROUND(SUMIFS(출퇴근기록!$H$3:$H$3002,출퇴근기록!$B$3:$B$3002,$A192,출퇴근기록!$A$3:$A$3002,"&gt;="&amp;DATE($B$3,$D$3,1),출퇴근기록!$A$3:$A$3002,"&lt;="&amp;EOMONTH(DATE($B$3,$D$3,1),0)),2))</f>
        <v/>
      </c>
      <c r="H192" s="16" t="str">
        <f aca="false">IF($A192="","",ROUND($D192*IF(직원목록!$F189="",8,직원목록!$F189),2))</f>
        <v/>
      </c>
      <c r="I192" s="16" t="str">
        <f aca="false">IF($A192="","",ROUND($G192-$H192,2))</f>
        <v/>
      </c>
      <c r="J192" s="19" t="str">
        <f aca="false">IF($A192="","",COUNTIFS(출퇴근기록!$B$3:$B$3002,$A192,출퇴근기록!$I$3:$I$3002,"연차",출퇴근기록!$A$3:$A$3002,"&gt;="&amp;DATE($B$3,$D$3,1),출퇴근기록!$A$3:$A$3002,"&lt;="&amp;EOMONTH(DATE($B$3,$D$3,1),0)))</f>
        <v/>
      </c>
      <c r="K192" s="19" t="str">
        <f aca="false">IF($A192="","",COUNTIFS(출퇴근기록!$B$3:$B$3002,$A192,출퇴근기록!$I$3:$I$3002,"결근",출퇴근기록!$A$3:$A$3002,"&gt;="&amp;DATE($B$3,$D$3,1),출퇴근기록!$A$3:$A$3002,"&lt;="&amp;EOMONTH(DATE($B$3,$D$3,1),0)))</f>
        <v/>
      </c>
    </row>
    <row r="193" customFormat="false" ht="15" hidden="false" customHeight="true" outlineLevel="0" collapsed="false">
      <c r="A193" s="13" t="str">
        <f aca="false">IF(직원목록!$A190="","",직원목록!$A190)</f>
        <v/>
      </c>
      <c r="B193" s="13" t="str">
        <f aca="false">IF($A193="","",직원목록!$B190)</f>
        <v/>
      </c>
      <c r="C193" s="13" t="str">
        <f aca="false">IF($A193="","",직원목록!$C190)</f>
        <v/>
      </c>
      <c r="D193" s="19" t="str">
        <f aca="false">IF($A193="","",COUNTIFS(출퇴근기록!$B$3:$B$3002,$A193,출퇴근기록!$H$3:$H$3002,"&gt;0",출퇴근기록!$A$3:$A$3002,"&gt;="&amp;DATE($B$3,$D$3,1),출퇴근기록!$A$3:$A$3002,"&lt;="&amp;EOMONTH(DATE($B$3,$D$3,1),0)))</f>
        <v/>
      </c>
      <c r="E193" s="16" t="str">
        <f aca="false">IF($A193="","",ROUND(SUMIFS(출퇴근기록!$H$3:$H$3002,출퇴근기록!$B$3:$B$3002,$A193,출퇴근기록!$I$3:$I$3002,"평일",출퇴근기록!$A$3:$A$3002,"&gt;="&amp;DATE($B$3,$D$3,1),출퇴근기록!$A$3:$A$3002,"&lt;="&amp;EOMONTH(DATE($B$3,$D$3,1),0)),2))</f>
        <v/>
      </c>
      <c r="F193" s="16" t="str">
        <f aca="false">IF($A193="","",ROUND(SUMIFS(출퇴근기록!$H$3:$H$3002,출퇴근기록!$B$3:$B$3002,$A193,출퇴근기록!$I$3:$I$3002,"휴일",출퇴근기록!$A$3:$A$3002,"&gt;="&amp;DATE($B$3,$D$3,1),출퇴근기록!$A$3:$A$3002,"&lt;="&amp;EOMONTH(DATE($B$3,$D$3,1),0)),2))</f>
        <v/>
      </c>
      <c r="G193" s="16" t="str">
        <f aca="false">IF($A193="","",ROUND(SUMIFS(출퇴근기록!$H$3:$H$3002,출퇴근기록!$B$3:$B$3002,$A193,출퇴근기록!$A$3:$A$3002,"&gt;="&amp;DATE($B$3,$D$3,1),출퇴근기록!$A$3:$A$3002,"&lt;="&amp;EOMONTH(DATE($B$3,$D$3,1),0)),2))</f>
        <v/>
      </c>
      <c r="H193" s="16" t="str">
        <f aca="false">IF($A193="","",ROUND($D193*IF(직원목록!$F190="",8,직원목록!$F190),2))</f>
        <v/>
      </c>
      <c r="I193" s="16" t="str">
        <f aca="false">IF($A193="","",ROUND($G193-$H193,2))</f>
        <v/>
      </c>
      <c r="J193" s="19" t="str">
        <f aca="false">IF($A193="","",COUNTIFS(출퇴근기록!$B$3:$B$3002,$A193,출퇴근기록!$I$3:$I$3002,"연차",출퇴근기록!$A$3:$A$3002,"&gt;="&amp;DATE($B$3,$D$3,1),출퇴근기록!$A$3:$A$3002,"&lt;="&amp;EOMONTH(DATE($B$3,$D$3,1),0)))</f>
        <v/>
      </c>
      <c r="K193" s="19" t="str">
        <f aca="false">IF($A193="","",COUNTIFS(출퇴근기록!$B$3:$B$3002,$A193,출퇴근기록!$I$3:$I$3002,"결근",출퇴근기록!$A$3:$A$3002,"&gt;="&amp;DATE($B$3,$D$3,1),출퇴근기록!$A$3:$A$3002,"&lt;="&amp;EOMONTH(DATE($B$3,$D$3,1),0)))</f>
        <v/>
      </c>
    </row>
    <row r="194" customFormat="false" ht="15" hidden="false" customHeight="true" outlineLevel="0" collapsed="false">
      <c r="A194" s="13" t="str">
        <f aca="false">IF(직원목록!$A191="","",직원목록!$A191)</f>
        <v/>
      </c>
      <c r="B194" s="13" t="str">
        <f aca="false">IF($A194="","",직원목록!$B191)</f>
        <v/>
      </c>
      <c r="C194" s="13" t="str">
        <f aca="false">IF($A194="","",직원목록!$C191)</f>
        <v/>
      </c>
      <c r="D194" s="19" t="str">
        <f aca="false">IF($A194="","",COUNTIFS(출퇴근기록!$B$3:$B$3002,$A194,출퇴근기록!$H$3:$H$3002,"&gt;0",출퇴근기록!$A$3:$A$3002,"&gt;="&amp;DATE($B$3,$D$3,1),출퇴근기록!$A$3:$A$3002,"&lt;="&amp;EOMONTH(DATE($B$3,$D$3,1),0)))</f>
        <v/>
      </c>
      <c r="E194" s="16" t="str">
        <f aca="false">IF($A194="","",ROUND(SUMIFS(출퇴근기록!$H$3:$H$3002,출퇴근기록!$B$3:$B$3002,$A194,출퇴근기록!$I$3:$I$3002,"평일",출퇴근기록!$A$3:$A$3002,"&gt;="&amp;DATE($B$3,$D$3,1),출퇴근기록!$A$3:$A$3002,"&lt;="&amp;EOMONTH(DATE($B$3,$D$3,1),0)),2))</f>
        <v/>
      </c>
      <c r="F194" s="16" t="str">
        <f aca="false">IF($A194="","",ROUND(SUMIFS(출퇴근기록!$H$3:$H$3002,출퇴근기록!$B$3:$B$3002,$A194,출퇴근기록!$I$3:$I$3002,"휴일",출퇴근기록!$A$3:$A$3002,"&gt;="&amp;DATE($B$3,$D$3,1),출퇴근기록!$A$3:$A$3002,"&lt;="&amp;EOMONTH(DATE($B$3,$D$3,1),0)),2))</f>
        <v/>
      </c>
      <c r="G194" s="16" t="str">
        <f aca="false">IF($A194="","",ROUND(SUMIFS(출퇴근기록!$H$3:$H$3002,출퇴근기록!$B$3:$B$3002,$A194,출퇴근기록!$A$3:$A$3002,"&gt;="&amp;DATE($B$3,$D$3,1),출퇴근기록!$A$3:$A$3002,"&lt;="&amp;EOMONTH(DATE($B$3,$D$3,1),0)),2))</f>
        <v/>
      </c>
      <c r="H194" s="16" t="str">
        <f aca="false">IF($A194="","",ROUND($D194*IF(직원목록!$F191="",8,직원목록!$F191),2))</f>
        <v/>
      </c>
      <c r="I194" s="16" t="str">
        <f aca="false">IF($A194="","",ROUND($G194-$H194,2))</f>
        <v/>
      </c>
      <c r="J194" s="19" t="str">
        <f aca="false">IF($A194="","",COUNTIFS(출퇴근기록!$B$3:$B$3002,$A194,출퇴근기록!$I$3:$I$3002,"연차",출퇴근기록!$A$3:$A$3002,"&gt;="&amp;DATE($B$3,$D$3,1),출퇴근기록!$A$3:$A$3002,"&lt;="&amp;EOMONTH(DATE($B$3,$D$3,1),0)))</f>
        <v/>
      </c>
      <c r="K194" s="19" t="str">
        <f aca="false">IF($A194="","",COUNTIFS(출퇴근기록!$B$3:$B$3002,$A194,출퇴근기록!$I$3:$I$3002,"결근",출퇴근기록!$A$3:$A$3002,"&gt;="&amp;DATE($B$3,$D$3,1),출퇴근기록!$A$3:$A$3002,"&lt;="&amp;EOMONTH(DATE($B$3,$D$3,1),0)))</f>
        <v/>
      </c>
    </row>
    <row r="195" customFormat="false" ht="15" hidden="false" customHeight="true" outlineLevel="0" collapsed="false">
      <c r="A195" s="13" t="str">
        <f aca="false">IF(직원목록!$A192="","",직원목록!$A192)</f>
        <v/>
      </c>
      <c r="B195" s="13" t="str">
        <f aca="false">IF($A195="","",직원목록!$B192)</f>
        <v/>
      </c>
      <c r="C195" s="13" t="str">
        <f aca="false">IF($A195="","",직원목록!$C192)</f>
        <v/>
      </c>
      <c r="D195" s="19" t="str">
        <f aca="false">IF($A195="","",COUNTIFS(출퇴근기록!$B$3:$B$3002,$A195,출퇴근기록!$H$3:$H$3002,"&gt;0",출퇴근기록!$A$3:$A$3002,"&gt;="&amp;DATE($B$3,$D$3,1),출퇴근기록!$A$3:$A$3002,"&lt;="&amp;EOMONTH(DATE($B$3,$D$3,1),0)))</f>
        <v/>
      </c>
      <c r="E195" s="16" t="str">
        <f aca="false">IF($A195="","",ROUND(SUMIFS(출퇴근기록!$H$3:$H$3002,출퇴근기록!$B$3:$B$3002,$A195,출퇴근기록!$I$3:$I$3002,"평일",출퇴근기록!$A$3:$A$3002,"&gt;="&amp;DATE($B$3,$D$3,1),출퇴근기록!$A$3:$A$3002,"&lt;="&amp;EOMONTH(DATE($B$3,$D$3,1),0)),2))</f>
        <v/>
      </c>
      <c r="F195" s="16" t="str">
        <f aca="false">IF($A195="","",ROUND(SUMIFS(출퇴근기록!$H$3:$H$3002,출퇴근기록!$B$3:$B$3002,$A195,출퇴근기록!$I$3:$I$3002,"휴일",출퇴근기록!$A$3:$A$3002,"&gt;="&amp;DATE($B$3,$D$3,1),출퇴근기록!$A$3:$A$3002,"&lt;="&amp;EOMONTH(DATE($B$3,$D$3,1),0)),2))</f>
        <v/>
      </c>
      <c r="G195" s="16" t="str">
        <f aca="false">IF($A195="","",ROUND(SUMIFS(출퇴근기록!$H$3:$H$3002,출퇴근기록!$B$3:$B$3002,$A195,출퇴근기록!$A$3:$A$3002,"&gt;="&amp;DATE($B$3,$D$3,1),출퇴근기록!$A$3:$A$3002,"&lt;="&amp;EOMONTH(DATE($B$3,$D$3,1),0)),2))</f>
        <v/>
      </c>
      <c r="H195" s="16" t="str">
        <f aca="false">IF($A195="","",ROUND($D195*IF(직원목록!$F192="",8,직원목록!$F192),2))</f>
        <v/>
      </c>
      <c r="I195" s="16" t="str">
        <f aca="false">IF($A195="","",ROUND($G195-$H195,2))</f>
        <v/>
      </c>
      <c r="J195" s="19" t="str">
        <f aca="false">IF($A195="","",COUNTIFS(출퇴근기록!$B$3:$B$3002,$A195,출퇴근기록!$I$3:$I$3002,"연차",출퇴근기록!$A$3:$A$3002,"&gt;="&amp;DATE($B$3,$D$3,1),출퇴근기록!$A$3:$A$3002,"&lt;="&amp;EOMONTH(DATE($B$3,$D$3,1),0)))</f>
        <v/>
      </c>
      <c r="K195" s="19" t="str">
        <f aca="false">IF($A195="","",COUNTIFS(출퇴근기록!$B$3:$B$3002,$A195,출퇴근기록!$I$3:$I$3002,"결근",출퇴근기록!$A$3:$A$3002,"&gt;="&amp;DATE($B$3,$D$3,1),출퇴근기록!$A$3:$A$3002,"&lt;="&amp;EOMONTH(DATE($B$3,$D$3,1),0)))</f>
        <v/>
      </c>
    </row>
    <row r="196" customFormat="false" ht="15" hidden="false" customHeight="true" outlineLevel="0" collapsed="false">
      <c r="A196" s="13" t="str">
        <f aca="false">IF(직원목록!$A193="","",직원목록!$A193)</f>
        <v/>
      </c>
      <c r="B196" s="13" t="str">
        <f aca="false">IF($A196="","",직원목록!$B193)</f>
        <v/>
      </c>
      <c r="C196" s="13" t="str">
        <f aca="false">IF($A196="","",직원목록!$C193)</f>
        <v/>
      </c>
      <c r="D196" s="19" t="str">
        <f aca="false">IF($A196="","",COUNTIFS(출퇴근기록!$B$3:$B$3002,$A196,출퇴근기록!$H$3:$H$3002,"&gt;0",출퇴근기록!$A$3:$A$3002,"&gt;="&amp;DATE($B$3,$D$3,1),출퇴근기록!$A$3:$A$3002,"&lt;="&amp;EOMONTH(DATE($B$3,$D$3,1),0)))</f>
        <v/>
      </c>
      <c r="E196" s="16" t="str">
        <f aca="false">IF($A196="","",ROUND(SUMIFS(출퇴근기록!$H$3:$H$3002,출퇴근기록!$B$3:$B$3002,$A196,출퇴근기록!$I$3:$I$3002,"평일",출퇴근기록!$A$3:$A$3002,"&gt;="&amp;DATE($B$3,$D$3,1),출퇴근기록!$A$3:$A$3002,"&lt;="&amp;EOMONTH(DATE($B$3,$D$3,1),0)),2))</f>
        <v/>
      </c>
      <c r="F196" s="16" t="str">
        <f aca="false">IF($A196="","",ROUND(SUMIFS(출퇴근기록!$H$3:$H$3002,출퇴근기록!$B$3:$B$3002,$A196,출퇴근기록!$I$3:$I$3002,"휴일",출퇴근기록!$A$3:$A$3002,"&gt;="&amp;DATE($B$3,$D$3,1),출퇴근기록!$A$3:$A$3002,"&lt;="&amp;EOMONTH(DATE($B$3,$D$3,1),0)),2))</f>
        <v/>
      </c>
      <c r="G196" s="16" t="str">
        <f aca="false">IF($A196="","",ROUND(SUMIFS(출퇴근기록!$H$3:$H$3002,출퇴근기록!$B$3:$B$3002,$A196,출퇴근기록!$A$3:$A$3002,"&gt;="&amp;DATE($B$3,$D$3,1),출퇴근기록!$A$3:$A$3002,"&lt;="&amp;EOMONTH(DATE($B$3,$D$3,1),0)),2))</f>
        <v/>
      </c>
      <c r="H196" s="16" t="str">
        <f aca="false">IF($A196="","",ROUND($D196*IF(직원목록!$F193="",8,직원목록!$F193),2))</f>
        <v/>
      </c>
      <c r="I196" s="16" t="str">
        <f aca="false">IF($A196="","",ROUND($G196-$H196,2))</f>
        <v/>
      </c>
      <c r="J196" s="19" t="str">
        <f aca="false">IF($A196="","",COUNTIFS(출퇴근기록!$B$3:$B$3002,$A196,출퇴근기록!$I$3:$I$3002,"연차",출퇴근기록!$A$3:$A$3002,"&gt;="&amp;DATE($B$3,$D$3,1),출퇴근기록!$A$3:$A$3002,"&lt;="&amp;EOMONTH(DATE($B$3,$D$3,1),0)))</f>
        <v/>
      </c>
      <c r="K196" s="19" t="str">
        <f aca="false">IF($A196="","",COUNTIFS(출퇴근기록!$B$3:$B$3002,$A196,출퇴근기록!$I$3:$I$3002,"결근",출퇴근기록!$A$3:$A$3002,"&gt;="&amp;DATE($B$3,$D$3,1),출퇴근기록!$A$3:$A$3002,"&lt;="&amp;EOMONTH(DATE($B$3,$D$3,1),0)))</f>
        <v/>
      </c>
    </row>
    <row r="197" customFormat="false" ht="15" hidden="false" customHeight="true" outlineLevel="0" collapsed="false">
      <c r="A197" s="13" t="str">
        <f aca="false">IF(직원목록!$A194="","",직원목록!$A194)</f>
        <v/>
      </c>
      <c r="B197" s="13" t="str">
        <f aca="false">IF($A197="","",직원목록!$B194)</f>
        <v/>
      </c>
      <c r="C197" s="13" t="str">
        <f aca="false">IF($A197="","",직원목록!$C194)</f>
        <v/>
      </c>
      <c r="D197" s="19" t="str">
        <f aca="false">IF($A197="","",COUNTIFS(출퇴근기록!$B$3:$B$3002,$A197,출퇴근기록!$H$3:$H$3002,"&gt;0",출퇴근기록!$A$3:$A$3002,"&gt;="&amp;DATE($B$3,$D$3,1),출퇴근기록!$A$3:$A$3002,"&lt;="&amp;EOMONTH(DATE($B$3,$D$3,1),0)))</f>
        <v/>
      </c>
      <c r="E197" s="16" t="str">
        <f aca="false">IF($A197="","",ROUND(SUMIFS(출퇴근기록!$H$3:$H$3002,출퇴근기록!$B$3:$B$3002,$A197,출퇴근기록!$I$3:$I$3002,"평일",출퇴근기록!$A$3:$A$3002,"&gt;="&amp;DATE($B$3,$D$3,1),출퇴근기록!$A$3:$A$3002,"&lt;="&amp;EOMONTH(DATE($B$3,$D$3,1),0)),2))</f>
        <v/>
      </c>
      <c r="F197" s="16" t="str">
        <f aca="false">IF($A197="","",ROUND(SUMIFS(출퇴근기록!$H$3:$H$3002,출퇴근기록!$B$3:$B$3002,$A197,출퇴근기록!$I$3:$I$3002,"휴일",출퇴근기록!$A$3:$A$3002,"&gt;="&amp;DATE($B$3,$D$3,1),출퇴근기록!$A$3:$A$3002,"&lt;="&amp;EOMONTH(DATE($B$3,$D$3,1),0)),2))</f>
        <v/>
      </c>
      <c r="G197" s="16" t="str">
        <f aca="false">IF($A197="","",ROUND(SUMIFS(출퇴근기록!$H$3:$H$3002,출퇴근기록!$B$3:$B$3002,$A197,출퇴근기록!$A$3:$A$3002,"&gt;="&amp;DATE($B$3,$D$3,1),출퇴근기록!$A$3:$A$3002,"&lt;="&amp;EOMONTH(DATE($B$3,$D$3,1),0)),2))</f>
        <v/>
      </c>
      <c r="H197" s="16" t="str">
        <f aca="false">IF($A197="","",ROUND($D197*IF(직원목록!$F194="",8,직원목록!$F194),2))</f>
        <v/>
      </c>
      <c r="I197" s="16" t="str">
        <f aca="false">IF($A197="","",ROUND($G197-$H197,2))</f>
        <v/>
      </c>
      <c r="J197" s="19" t="str">
        <f aca="false">IF($A197="","",COUNTIFS(출퇴근기록!$B$3:$B$3002,$A197,출퇴근기록!$I$3:$I$3002,"연차",출퇴근기록!$A$3:$A$3002,"&gt;="&amp;DATE($B$3,$D$3,1),출퇴근기록!$A$3:$A$3002,"&lt;="&amp;EOMONTH(DATE($B$3,$D$3,1),0)))</f>
        <v/>
      </c>
      <c r="K197" s="19" t="str">
        <f aca="false">IF($A197="","",COUNTIFS(출퇴근기록!$B$3:$B$3002,$A197,출퇴근기록!$I$3:$I$3002,"결근",출퇴근기록!$A$3:$A$3002,"&gt;="&amp;DATE($B$3,$D$3,1),출퇴근기록!$A$3:$A$3002,"&lt;="&amp;EOMONTH(DATE($B$3,$D$3,1),0)))</f>
        <v/>
      </c>
    </row>
    <row r="198" customFormat="false" ht="15" hidden="false" customHeight="true" outlineLevel="0" collapsed="false">
      <c r="A198" s="13" t="str">
        <f aca="false">IF(직원목록!$A195="","",직원목록!$A195)</f>
        <v/>
      </c>
      <c r="B198" s="13" t="str">
        <f aca="false">IF($A198="","",직원목록!$B195)</f>
        <v/>
      </c>
      <c r="C198" s="13" t="str">
        <f aca="false">IF($A198="","",직원목록!$C195)</f>
        <v/>
      </c>
      <c r="D198" s="19" t="str">
        <f aca="false">IF($A198="","",COUNTIFS(출퇴근기록!$B$3:$B$3002,$A198,출퇴근기록!$H$3:$H$3002,"&gt;0",출퇴근기록!$A$3:$A$3002,"&gt;="&amp;DATE($B$3,$D$3,1),출퇴근기록!$A$3:$A$3002,"&lt;="&amp;EOMONTH(DATE($B$3,$D$3,1),0)))</f>
        <v/>
      </c>
      <c r="E198" s="16" t="str">
        <f aca="false">IF($A198="","",ROUND(SUMIFS(출퇴근기록!$H$3:$H$3002,출퇴근기록!$B$3:$B$3002,$A198,출퇴근기록!$I$3:$I$3002,"평일",출퇴근기록!$A$3:$A$3002,"&gt;="&amp;DATE($B$3,$D$3,1),출퇴근기록!$A$3:$A$3002,"&lt;="&amp;EOMONTH(DATE($B$3,$D$3,1),0)),2))</f>
        <v/>
      </c>
      <c r="F198" s="16" t="str">
        <f aca="false">IF($A198="","",ROUND(SUMIFS(출퇴근기록!$H$3:$H$3002,출퇴근기록!$B$3:$B$3002,$A198,출퇴근기록!$I$3:$I$3002,"휴일",출퇴근기록!$A$3:$A$3002,"&gt;="&amp;DATE($B$3,$D$3,1),출퇴근기록!$A$3:$A$3002,"&lt;="&amp;EOMONTH(DATE($B$3,$D$3,1),0)),2))</f>
        <v/>
      </c>
      <c r="G198" s="16" t="str">
        <f aca="false">IF($A198="","",ROUND(SUMIFS(출퇴근기록!$H$3:$H$3002,출퇴근기록!$B$3:$B$3002,$A198,출퇴근기록!$A$3:$A$3002,"&gt;="&amp;DATE($B$3,$D$3,1),출퇴근기록!$A$3:$A$3002,"&lt;="&amp;EOMONTH(DATE($B$3,$D$3,1),0)),2))</f>
        <v/>
      </c>
      <c r="H198" s="16" t="str">
        <f aca="false">IF($A198="","",ROUND($D198*IF(직원목록!$F195="",8,직원목록!$F195),2))</f>
        <v/>
      </c>
      <c r="I198" s="16" t="str">
        <f aca="false">IF($A198="","",ROUND($G198-$H198,2))</f>
        <v/>
      </c>
      <c r="J198" s="19" t="str">
        <f aca="false">IF($A198="","",COUNTIFS(출퇴근기록!$B$3:$B$3002,$A198,출퇴근기록!$I$3:$I$3002,"연차",출퇴근기록!$A$3:$A$3002,"&gt;="&amp;DATE($B$3,$D$3,1),출퇴근기록!$A$3:$A$3002,"&lt;="&amp;EOMONTH(DATE($B$3,$D$3,1),0)))</f>
        <v/>
      </c>
      <c r="K198" s="19" t="str">
        <f aca="false">IF($A198="","",COUNTIFS(출퇴근기록!$B$3:$B$3002,$A198,출퇴근기록!$I$3:$I$3002,"결근",출퇴근기록!$A$3:$A$3002,"&gt;="&amp;DATE($B$3,$D$3,1),출퇴근기록!$A$3:$A$3002,"&lt;="&amp;EOMONTH(DATE($B$3,$D$3,1),0)))</f>
        <v/>
      </c>
    </row>
    <row r="199" customFormat="false" ht="15" hidden="false" customHeight="true" outlineLevel="0" collapsed="false">
      <c r="A199" s="13" t="str">
        <f aca="false">IF(직원목록!$A196="","",직원목록!$A196)</f>
        <v/>
      </c>
      <c r="B199" s="13" t="str">
        <f aca="false">IF($A199="","",직원목록!$B196)</f>
        <v/>
      </c>
      <c r="C199" s="13" t="str">
        <f aca="false">IF($A199="","",직원목록!$C196)</f>
        <v/>
      </c>
      <c r="D199" s="19" t="str">
        <f aca="false">IF($A199="","",COUNTIFS(출퇴근기록!$B$3:$B$3002,$A199,출퇴근기록!$H$3:$H$3002,"&gt;0",출퇴근기록!$A$3:$A$3002,"&gt;="&amp;DATE($B$3,$D$3,1),출퇴근기록!$A$3:$A$3002,"&lt;="&amp;EOMONTH(DATE($B$3,$D$3,1),0)))</f>
        <v/>
      </c>
      <c r="E199" s="16" t="str">
        <f aca="false">IF($A199="","",ROUND(SUMIFS(출퇴근기록!$H$3:$H$3002,출퇴근기록!$B$3:$B$3002,$A199,출퇴근기록!$I$3:$I$3002,"평일",출퇴근기록!$A$3:$A$3002,"&gt;="&amp;DATE($B$3,$D$3,1),출퇴근기록!$A$3:$A$3002,"&lt;="&amp;EOMONTH(DATE($B$3,$D$3,1),0)),2))</f>
        <v/>
      </c>
      <c r="F199" s="16" t="str">
        <f aca="false">IF($A199="","",ROUND(SUMIFS(출퇴근기록!$H$3:$H$3002,출퇴근기록!$B$3:$B$3002,$A199,출퇴근기록!$I$3:$I$3002,"휴일",출퇴근기록!$A$3:$A$3002,"&gt;="&amp;DATE($B$3,$D$3,1),출퇴근기록!$A$3:$A$3002,"&lt;="&amp;EOMONTH(DATE($B$3,$D$3,1),0)),2))</f>
        <v/>
      </c>
      <c r="G199" s="16" t="str">
        <f aca="false">IF($A199="","",ROUND(SUMIFS(출퇴근기록!$H$3:$H$3002,출퇴근기록!$B$3:$B$3002,$A199,출퇴근기록!$A$3:$A$3002,"&gt;="&amp;DATE($B$3,$D$3,1),출퇴근기록!$A$3:$A$3002,"&lt;="&amp;EOMONTH(DATE($B$3,$D$3,1),0)),2))</f>
        <v/>
      </c>
      <c r="H199" s="16" t="str">
        <f aca="false">IF($A199="","",ROUND($D199*IF(직원목록!$F196="",8,직원목록!$F196),2))</f>
        <v/>
      </c>
      <c r="I199" s="16" t="str">
        <f aca="false">IF($A199="","",ROUND($G199-$H199,2))</f>
        <v/>
      </c>
      <c r="J199" s="19" t="str">
        <f aca="false">IF($A199="","",COUNTIFS(출퇴근기록!$B$3:$B$3002,$A199,출퇴근기록!$I$3:$I$3002,"연차",출퇴근기록!$A$3:$A$3002,"&gt;="&amp;DATE($B$3,$D$3,1),출퇴근기록!$A$3:$A$3002,"&lt;="&amp;EOMONTH(DATE($B$3,$D$3,1),0)))</f>
        <v/>
      </c>
      <c r="K199" s="19" t="str">
        <f aca="false">IF($A199="","",COUNTIFS(출퇴근기록!$B$3:$B$3002,$A199,출퇴근기록!$I$3:$I$3002,"결근",출퇴근기록!$A$3:$A$3002,"&gt;="&amp;DATE($B$3,$D$3,1),출퇴근기록!$A$3:$A$3002,"&lt;="&amp;EOMONTH(DATE($B$3,$D$3,1),0)))</f>
        <v/>
      </c>
    </row>
    <row r="200" customFormat="false" ht="15" hidden="false" customHeight="true" outlineLevel="0" collapsed="false">
      <c r="A200" s="13" t="str">
        <f aca="false">IF(직원목록!$A197="","",직원목록!$A197)</f>
        <v/>
      </c>
      <c r="B200" s="13" t="str">
        <f aca="false">IF($A200="","",직원목록!$B197)</f>
        <v/>
      </c>
      <c r="C200" s="13" t="str">
        <f aca="false">IF($A200="","",직원목록!$C197)</f>
        <v/>
      </c>
      <c r="D200" s="19" t="str">
        <f aca="false">IF($A200="","",COUNTIFS(출퇴근기록!$B$3:$B$3002,$A200,출퇴근기록!$H$3:$H$3002,"&gt;0",출퇴근기록!$A$3:$A$3002,"&gt;="&amp;DATE($B$3,$D$3,1),출퇴근기록!$A$3:$A$3002,"&lt;="&amp;EOMONTH(DATE($B$3,$D$3,1),0)))</f>
        <v/>
      </c>
      <c r="E200" s="16" t="str">
        <f aca="false">IF($A200="","",ROUND(SUMIFS(출퇴근기록!$H$3:$H$3002,출퇴근기록!$B$3:$B$3002,$A200,출퇴근기록!$I$3:$I$3002,"평일",출퇴근기록!$A$3:$A$3002,"&gt;="&amp;DATE($B$3,$D$3,1),출퇴근기록!$A$3:$A$3002,"&lt;="&amp;EOMONTH(DATE($B$3,$D$3,1),0)),2))</f>
        <v/>
      </c>
      <c r="F200" s="16" t="str">
        <f aca="false">IF($A200="","",ROUND(SUMIFS(출퇴근기록!$H$3:$H$3002,출퇴근기록!$B$3:$B$3002,$A200,출퇴근기록!$I$3:$I$3002,"휴일",출퇴근기록!$A$3:$A$3002,"&gt;="&amp;DATE($B$3,$D$3,1),출퇴근기록!$A$3:$A$3002,"&lt;="&amp;EOMONTH(DATE($B$3,$D$3,1),0)),2))</f>
        <v/>
      </c>
      <c r="G200" s="16" t="str">
        <f aca="false">IF($A200="","",ROUND(SUMIFS(출퇴근기록!$H$3:$H$3002,출퇴근기록!$B$3:$B$3002,$A200,출퇴근기록!$A$3:$A$3002,"&gt;="&amp;DATE($B$3,$D$3,1),출퇴근기록!$A$3:$A$3002,"&lt;="&amp;EOMONTH(DATE($B$3,$D$3,1),0)),2))</f>
        <v/>
      </c>
      <c r="H200" s="16" t="str">
        <f aca="false">IF($A200="","",ROUND($D200*IF(직원목록!$F197="",8,직원목록!$F197),2))</f>
        <v/>
      </c>
      <c r="I200" s="16" t="str">
        <f aca="false">IF($A200="","",ROUND($G200-$H200,2))</f>
        <v/>
      </c>
      <c r="J200" s="19" t="str">
        <f aca="false">IF($A200="","",COUNTIFS(출퇴근기록!$B$3:$B$3002,$A200,출퇴근기록!$I$3:$I$3002,"연차",출퇴근기록!$A$3:$A$3002,"&gt;="&amp;DATE($B$3,$D$3,1),출퇴근기록!$A$3:$A$3002,"&lt;="&amp;EOMONTH(DATE($B$3,$D$3,1),0)))</f>
        <v/>
      </c>
      <c r="K200" s="19" t="str">
        <f aca="false">IF($A200="","",COUNTIFS(출퇴근기록!$B$3:$B$3002,$A200,출퇴근기록!$I$3:$I$3002,"결근",출퇴근기록!$A$3:$A$3002,"&gt;="&amp;DATE($B$3,$D$3,1),출퇴근기록!$A$3:$A$3002,"&lt;="&amp;EOMONTH(DATE($B$3,$D$3,1),0)))</f>
        <v/>
      </c>
    </row>
    <row r="201" customFormat="false" ht="15" hidden="false" customHeight="true" outlineLevel="0" collapsed="false">
      <c r="A201" s="13" t="str">
        <f aca="false">IF(직원목록!$A198="","",직원목록!$A198)</f>
        <v/>
      </c>
      <c r="B201" s="13" t="str">
        <f aca="false">IF($A201="","",직원목록!$B198)</f>
        <v/>
      </c>
      <c r="C201" s="13" t="str">
        <f aca="false">IF($A201="","",직원목록!$C198)</f>
        <v/>
      </c>
      <c r="D201" s="19" t="str">
        <f aca="false">IF($A201="","",COUNTIFS(출퇴근기록!$B$3:$B$3002,$A201,출퇴근기록!$H$3:$H$3002,"&gt;0",출퇴근기록!$A$3:$A$3002,"&gt;="&amp;DATE($B$3,$D$3,1),출퇴근기록!$A$3:$A$3002,"&lt;="&amp;EOMONTH(DATE($B$3,$D$3,1),0)))</f>
        <v/>
      </c>
      <c r="E201" s="16" t="str">
        <f aca="false">IF($A201="","",ROUND(SUMIFS(출퇴근기록!$H$3:$H$3002,출퇴근기록!$B$3:$B$3002,$A201,출퇴근기록!$I$3:$I$3002,"평일",출퇴근기록!$A$3:$A$3002,"&gt;="&amp;DATE($B$3,$D$3,1),출퇴근기록!$A$3:$A$3002,"&lt;="&amp;EOMONTH(DATE($B$3,$D$3,1),0)),2))</f>
        <v/>
      </c>
      <c r="F201" s="16" t="str">
        <f aca="false">IF($A201="","",ROUND(SUMIFS(출퇴근기록!$H$3:$H$3002,출퇴근기록!$B$3:$B$3002,$A201,출퇴근기록!$I$3:$I$3002,"휴일",출퇴근기록!$A$3:$A$3002,"&gt;="&amp;DATE($B$3,$D$3,1),출퇴근기록!$A$3:$A$3002,"&lt;="&amp;EOMONTH(DATE($B$3,$D$3,1),0)),2))</f>
        <v/>
      </c>
      <c r="G201" s="16" t="str">
        <f aca="false">IF($A201="","",ROUND(SUMIFS(출퇴근기록!$H$3:$H$3002,출퇴근기록!$B$3:$B$3002,$A201,출퇴근기록!$A$3:$A$3002,"&gt;="&amp;DATE($B$3,$D$3,1),출퇴근기록!$A$3:$A$3002,"&lt;="&amp;EOMONTH(DATE($B$3,$D$3,1),0)),2))</f>
        <v/>
      </c>
      <c r="H201" s="16" t="str">
        <f aca="false">IF($A201="","",ROUND($D201*IF(직원목록!$F198="",8,직원목록!$F198),2))</f>
        <v/>
      </c>
      <c r="I201" s="16" t="str">
        <f aca="false">IF($A201="","",ROUND($G201-$H201,2))</f>
        <v/>
      </c>
      <c r="J201" s="19" t="str">
        <f aca="false">IF($A201="","",COUNTIFS(출퇴근기록!$B$3:$B$3002,$A201,출퇴근기록!$I$3:$I$3002,"연차",출퇴근기록!$A$3:$A$3002,"&gt;="&amp;DATE($B$3,$D$3,1),출퇴근기록!$A$3:$A$3002,"&lt;="&amp;EOMONTH(DATE($B$3,$D$3,1),0)))</f>
        <v/>
      </c>
      <c r="K201" s="19" t="str">
        <f aca="false">IF($A201="","",COUNTIFS(출퇴근기록!$B$3:$B$3002,$A201,출퇴근기록!$I$3:$I$3002,"결근",출퇴근기록!$A$3:$A$3002,"&gt;="&amp;DATE($B$3,$D$3,1),출퇴근기록!$A$3:$A$3002,"&lt;="&amp;EOMONTH(DATE($B$3,$D$3,1),0)))</f>
        <v/>
      </c>
    </row>
    <row r="202" customFormat="false" ht="15" hidden="false" customHeight="true" outlineLevel="0" collapsed="false">
      <c r="A202" s="13" t="str">
        <f aca="false">IF(직원목록!$A199="","",직원목록!$A199)</f>
        <v/>
      </c>
      <c r="B202" s="13" t="str">
        <f aca="false">IF($A202="","",직원목록!$B199)</f>
        <v/>
      </c>
      <c r="C202" s="13" t="str">
        <f aca="false">IF($A202="","",직원목록!$C199)</f>
        <v/>
      </c>
      <c r="D202" s="19" t="str">
        <f aca="false">IF($A202="","",COUNTIFS(출퇴근기록!$B$3:$B$3002,$A202,출퇴근기록!$H$3:$H$3002,"&gt;0",출퇴근기록!$A$3:$A$3002,"&gt;="&amp;DATE($B$3,$D$3,1),출퇴근기록!$A$3:$A$3002,"&lt;="&amp;EOMONTH(DATE($B$3,$D$3,1),0)))</f>
        <v/>
      </c>
      <c r="E202" s="16" t="str">
        <f aca="false">IF($A202="","",ROUND(SUMIFS(출퇴근기록!$H$3:$H$3002,출퇴근기록!$B$3:$B$3002,$A202,출퇴근기록!$I$3:$I$3002,"평일",출퇴근기록!$A$3:$A$3002,"&gt;="&amp;DATE($B$3,$D$3,1),출퇴근기록!$A$3:$A$3002,"&lt;="&amp;EOMONTH(DATE($B$3,$D$3,1),0)),2))</f>
        <v/>
      </c>
      <c r="F202" s="16" t="str">
        <f aca="false">IF($A202="","",ROUND(SUMIFS(출퇴근기록!$H$3:$H$3002,출퇴근기록!$B$3:$B$3002,$A202,출퇴근기록!$I$3:$I$3002,"휴일",출퇴근기록!$A$3:$A$3002,"&gt;="&amp;DATE($B$3,$D$3,1),출퇴근기록!$A$3:$A$3002,"&lt;="&amp;EOMONTH(DATE($B$3,$D$3,1),0)),2))</f>
        <v/>
      </c>
      <c r="G202" s="16" t="str">
        <f aca="false">IF($A202="","",ROUND(SUMIFS(출퇴근기록!$H$3:$H$3002,출퇴근기록!$B$3:$B$3002,$A202,출퇴근기록!$A$3:$A$3002,"&gt;="&amp;DATE($B$3,$D$3,1),출퇴근기록!$A$3:$A$3002,"&lt;="&amp;EOMONTH(DATE($B$3,$D$3,1),0)),2))</f>
        <v/>
      </c>
      <c r="H202" s="16" t="str">
        <f aca="false">IF($A202="","",ROUND($D202*IF(직원목록!$F199="",8,직원목록!$F199),2))</f>
        <v/>
      </c>
      <c r="I202" s="16" t="str">
        <f aca="false">IF($A202="","",ROUND($G202-$H202,2))</f>
        <v/>
      </c>
      <c r="J202" s="19" t="str">
        <f aca="false">IF($A202="","",COUNTIFS(출퇴근기록!$B$3:$B$3002,$A202,출퇴근기록!$I$3:$I$3002,"연차",출퇴근기록!$A$3:$A$3002,"&gt;="&amp;DATE($B$3,$D$3,1),출퇴근기록!$A$3:$A$3002,"&lt;="&amp;EOMONTH(DATE($B$3,$D$3,1),0)))</f>
        <v/>
      </c>
      <c r="K202" s="19" t="str">
        <f aca="false">IF($A202="","",COUNTIFS(출퇴근기록!$B$3:$B$3002,$A202,출퇴근기록!$I$3:$I$3002,"결근",출퇴근기록!$A$3:$A$3002,"&gt;="&amp;DATE($B$3,$D$3,1),출퇴근기록!$A$3:$A$3002,"&lt;="&amp;EOMONTH(DATE($B$3,$D$3,1),0)))</f>
        <v/>
      </c>
    </row>
    <row r="203" customFormat="false" ht="15" hidden="false" customHeight="true" outlineLevel="0" collapsed="false">
      <c r="A203" s="13" t="str">
        <f aca="false">IF(직원목록!$A200="","",직원목록!$A200)</f>
        <v/>
      </c>
      <c r="B203" s="13" t="str">
        <f aca="false">IF($A203="","",직원목록!$B200)</f>
        <v/>
      </c>
      <c r="C203" s="13" t="str">
        <f aca="false">IF($A203="","",직원목록!$C200)</f>
        <v/>
      </c>
      <c r="D203" s="19" t="str">
        <f aca="false">IF($A203="","",COUNTIFS(출퇴근기록!$B$3:$B$3002,$A203,출퇴근기록!$H$3:$H$3002,"&gt;0",출퇴근기록!$A$3:$A$3002,"&gt;="&amp;DATE($B$3,$D$3,1),출퇴근기록!$A$3:$A$3002,"&lt;="&amp;EOMONTH(DATE($B$3,$D$3,1),0)))</f>
        <v/>
      </c>
      <c r="E203" s="16" t="str">
        <f aca="false">IF($A203="","",ROUND(SUMIFS(출퇴근기록!$H$3:$H$3002,출퇴근기록!$B$3:$B$3002,$A203,출퇴근기록!$I$3:$I$3002,"평일",출퇴근기록!$A$3:$A$3002,"&gt;="&amp;DATE($B$3,$D$3,1),출퇴근기록!$A$3:$A$3002,"&lt;="&amp;EOMONTH(DATE($B$3,$D$3,1),0)),2))</f>
        <v/>
      </c>
      <c r="F203" s="16" t="str">
        <f aca="false">IF($A203="","",ROUND(SUMIFS(출퇴근기록!$H$3:$H$3002,출퇴근기록!$B$3:$B$3002,$A203,출퇴근기록!$I$3:$I$3002,"휴일",출퇴근기록!$A$3:$A$3002,"&gt;="&amp;DATE($B$3,$D$3,1),출퇴근기록!$A$3:$A$3002,"&lt;="&amp;EOMONTH(DATE($B$3,$D$3,1),0)),2))</f>
        <v/>
      </c>
      <c r="G203" s="16" t="str">
        <f aca="false">IF($A203="","",ROUND(SUMIFS(출퇴근기록!$H$3:$H$3002,출퇴근기록!$B$3:$B$3002,$A203,출퇴근기록!$A$3:$A$3002,"&gt;="&amp;DATE($B$3,$D$3,1),출퇴근기록!$A$3:$A$3002,"&lt;="&amp;EOMONTH(DATE($B$3,$D$3,1),0)),2))</f>
        <v/>
      </c>
      <c r="H203" s="16" t="str">
        <f aca="false">IF($A203="","",ROUND($D203*IF(직원목록!$F200="",8,직원목록!$F200),2))</f>
        <v/>
      </c>
      <c r="I203" s="16" t="str">
        <f aca="false">IF($A203="","",ROUND($G203-$H203,2))</f>
        <v/>
      </c>
      <c r="J203" s="19" t="str">
        <f aca="false">IF($A203="","",COUNTIFS(출퇴근기록!$B$3:$B$3002,$A203,출퇴근기록!$I$3:$I$3002,"연차",출퇴근기록!$A$3:$A$3002,"&gt;="&amp;DATE($B$3,$D$3,1),출퇴근기록!$A$3:$A$3002,"&lt;="&amp;EOMONTH(DATE($B$3,$D$3,1),0)))</f>
        <v/>
      </c>
      <c r="K203" s="19" t="str">
        <f aca="false">IF($A203="","",COUNTIFS(출퇴근기록!$B$3:$B$3002,$A203,출퇴근기록!$I$3:$I$3002,"결근",출퇴근기록!$A$3:$A$3002,"&gt;="&amp;DATE($B$3,$D$3,1),출퇴근기록!$A$3:$A$3002,"&lt;="&amp;EOMONTH(DATE($B$3,$D$3,1),0)))</f>
        <v/>
      </c>
    </row>
    <row r="204" customFormat="false" ht="15" hidden="false" customHeight="true" outlineLevel="0" collapsed="false">
      <c r="A204" s="13" t="str">
        <f aca="false">IF(직원목록!$A201="","",직원목록!$A201)</f>
        <v/>
      </c>
      <c r="B204" s="13" t="str">
        <f aca="false">IF($A204="","",직원목록!$B201)</f>
        <v/>
      </c>
      <c r="C204" s="13" t="str">
        <f aca="false">IF($A204="","",직원목록!$C201)</f>
        <v/>
      </c>
      <c r="D204" s="19" t="str">
        <f aca="false">IF($A204="","",COUNTIFS(출퇴근기록!$B$3:$B$3002,$A204,출퇴근기록!$H$3:$H$3002,"&gt;0",출퇴근기록!$A$3:$A$3002,"&gt;="&amp;DATE($B$3,$D$3,1),출퇴근기록!$A$3:$A$3002,"&lt;="&amp;EOMONTH(DATE($B$3,$D$3,1),0)))</f>
        <v/>
      </c>
      <c r="E204" s="16" t="str">
        <f aca="false">IF($A204="","",ROUND(SUMIFS(출퇴근기록!$H$3:$H$3002,출퇴근기록!$B$3:$B$3002,$A204,출퇴근기록!$I$3:$I$3002,"평일",출퇴근기록!$A$3:$A$3002,"&gt;="&amp;DATE($B$3,$D$3,1),출퇴근기록!$A$3:$A$3002,"&lt;="&amp;EOMONTH(DATE($B$3,$D$3,1),0)),2))</f>
        <v/>
      </c>
      <c r="F204" s="16" t="str">
        <f aca="false">IF($A204="","",ROUND(SUMIFS(출퇴근기록!$H$3:$H$3002,출퇴근기록!$B$3:$B$3002,$A204,출퇴근기록!$I$3:$I$3002,"휴일",출퇴근기록!$A$3:$A$3002,"&gt;="&amp;DATE($B$3,$D$3,1),출퇴근기록!$A$3:$A$3002,"&lt;="&amp;EOMONTH(DATE($B$3,$D$3,1),0)),2))</f>
        <v/>
      </c>
      <c r="G204" s="16" t="str">
        <f aca="false">IF($A204="","",ROUND(SUMIFS(출퇴근기록!$H$3:$H$3002,출퇴근기록!$B$3:$B$3002,$A204,출퇴근기록!$A$3:$A$3002,"&gt;="&amp;DATE($B$3,$D$3,1),출퇴근기록!$A$3:$A$3002,"&lt;="&amp;EOMONTH(DATE($B$3,$D$3,1),0)),2))</f>
        <v/>
      </c>
      <c r="H204" s="16" t="str">
        <f aca="false">IF($A204="","",ROUND($D204*IF(직원목록!$F201="",8,직원목록!$F201),2))</f>
        <v/>
      </c>
      <c r="I204" s="16" t="str">
        <f aca="false">IF($A204="","",ROUND($G204-$H204,2))</f>
        <v/>
      </c>
      <c r="J204" s="19" t="str">
        <f aca="false">IF($A204="","",COUNTIFS(출퇴근기록!$B$3:$B$3002,$A204,출퇴근기록!$I$3:$I$3002,"연차",출퇴근기록!$A$3:$A$3002,"&gt;="&amp;DATE($B$3,$D$3,1),출퇴근기록!$A$3:$A$3002,"&lt;="&amp;EOMONTH(DATE($B$3,$D$3,1),0)))</f>
        <v/>
      </c>
      <c r="K204" s="19" t="str">
        <f aca="false">IF($A204="","",COUNTIFS(출퇴근기록!$B$3:$B$3002,$A204,출퇴근기록!$I$3:$I$3002,"결근",출퇴근기록!$A$3:$A$3002,"&gt;="&amp;DATE($B$3,$D$3,1),출퇴근기록!$A$3:$A$3002,"&lt;="&amp;EOMONTH(DATE($B$3,$D$3,1),0)))</f>
        <v/>
      </c>
    </row>
    <row r="205" customFormat="false" ht="15" hidden="false" customHeight="true" outlineLevel="0" collapsed="false">
      <c r="A205" s="13" t="str">
        <f aca="false">IF(직원목록!$A202="","",직원목록!$A202)</f>
        <v/>
      </c>
      <c r="B205" s="13" t="str">
        <f aca="false">IF($A205="","",직원목록!$B202)</f>
        <v/>
      </c>
      <c r="C205" s="13" t="str">
        <f aca="false">IF($A205="","",직원목록!$C202)</f>
        <v/>
      </c>
      <c r="D205" s="19" t="str">
        <f aca="false">IF($A205="","",COUNTIFS(출퇴근기록!$B$3:$B$3002,$A205,출퇴근기록!$H$3:$H$3002,"&gt;0",출퇴근기록!$A$3:$A$3002,"&gt;="&amp;DATE($B$3,$D$3,1),출퇴근기록!$A$3:$A$3002,"&lt;="&amp;EOMONTH(DATE($B$3,$D$3,1),0)))</f>
        <v/>
      </c>
      <c r="E205" s="16" t="str">
        <f aca="false">IF($A205="","",ROUND(SUMIFS(출퇴근기록!$H$3:$H$3002,출퇴근기록!$B$3:$B$3002,$A205,출퇴근기록!$I$3:$I$3002,"평일",출퇴근기록!$A$3:$A$3002,"&gt;="&amp;DATE($B$3,$D$3,1),출퇴근기록!$A$3:$A$3002,"&lt;="&amp;EOMONTH(DATE($B$3,$D$3,1),0)),2))</f>
        <v/>
      </c>
      <c r="F205" s="16" t="str">
        <f aca="false">IF($A205="","",ROUND(SUMIFS(출퇴근기록!$H$3:$H$3002,출퇴근기록!$B$3:$B$3002,$A205,출퇴근기록!$I$3:$I$3002,"휴일",출퇴근기록!$A$3:$A$3002,"&gt;="&amp;DATE($B$3,$D$3,1),출퇴근기록!$A$3:$A$3002,"&lt;="&amp;EOMONTH(DATE($B$3,$D$3,1),0)),2))</f>
        <v/>
      </c>
      <c r="G205" s="16" t="str">
        <f aca="false">IF($A205="","",ROUND(SUMIFS(출퇴근기록!$H$3:$H$3002,출퇴근기록!$B$3:$B$3002,$A205,출퇴근기록!$A$3:$A$3002,"&gt;="&amp;DATE($B$3,$D$3,1),출퇴근기록!$A$3:$A$3002,"&lt;="&amp;EOMONTH(DATE($B$3,$D$3,1),0)),2))</f>
        <v/>
      </c>
      <c r="H205" s="16" t="str">
        <f aca="false">IF($A205="","",ROUND($D205*IF(직원목록!$F202="",8,직원목록!$F202),2))</f>
        <v/>
      </c>
      <c r="I205" s="16" t="str">
        <f aca="false">IF($A205="","",ROUND($G205-$H205,2))</f>
        <v/>
      </c>
      <c r="J205" s="19" t="str">
        <f aca="false">IF($A205="","",COUNTIFS(출퇴근기록!$B$3:$B$3002,$A205,출퇴근기록!$I$3:$I$3002,"연차",출퇴근기록!$A$3:$A$3002,"&gt;="&amp;DATE($B$3,$D$3,1),출퇴근기록!$A$3:$A$3002,"&lt;="&amp;EOMONTH(DATE($B$3,$D$3,1),0)))</f>
        <v/>
      </c>
      <c r="K205" s="19" t="str">
        <f aca="false">IF($A205="","",COUNTIFS(출퇴근기록!$B$3:$B$3002,$A205,출퇴근기록!$I$3:$I$3002,"결근",출퇴근기록!$A$3:$A$3002,"&gt;="&amp;DATE($B$3,$D$3,1),출퇴근기록!$A$3:$A$3002,"&lt;="&amp;EOMONTH(DATE($B$3,$D$3,1),0)))</f>
        <v/>
      </c>
    </row>
    <row r="206" customFormat="false" ht="15" hidden="false" customHeight="true" outlineLevel="0" collapsed="false">
      <c r="A206" s="13" t="str">
        <f aca="false">IF(직원목록!$A203="","",직원목록!$A203)</f>
        <v/>
      </c>
      <c r="B206" s="13" t="str">
        <f aca="false">IF($A206="","",직원목록!$B203)</f>
        <v/>
      </c>
      <c r="C206" s="13" t="str">
        <f aca="false">IF($A206="","",직원목록!$C203)</f>
        <v/>
      </c>
      <c r="D206" s="19" t="str">
        <f aca="false">IF($A206="","",COUNTIFS(출퇴근기록!$B$3:$B$3002,$A206,출퇴근기록!$H$3:$H$3002,"&gt;0",출퇴근기록!$A$3:$A$3002,"&gt;="&amp;DATE($B$3,$D$3,1),출퇴근기록!$A$3:$A$3002,"&lt;="&amp;EOMONTH(DATE($B$3,$D$3,1),0)))</f>
        <v/>
      </c>
      <c r="E206" s="16" t="str">
        <f aca="false">IF($A206="","",ROUND(SUMIFS(출퇴근기록!$H$3:$H$3002,출퇴근기록!$B$3:$B$3002,$A206,출퇴근기록!$I$3:$I$3002,"평일",출퇴근기록!$A$3:$A$3002,"&gt;="&amp;DATE($B$3,$D$3,1),출퇴근기록!$A$3:$A$3002,"&lt;="&amp;EOMONTH(DATE($B$3,$D$3,1),0)),2))</f>
        <v/>
      </c>
      <c r="F206" s="16" t="str">
        <f aca="false">IF($A206="","",ROUND(SUMIFS(출퇴근기록!$H$3:$H$3002,출퇴근기록!$B$3:$B$3002,$A206,출퇴근기록!$I$3:$I$3002,"휴일",출퇴근기록!$A$3:$A$3002,"&gt;="&amp;DATE($B$3,$D$3,1),출퇴근기록!$A$3:$A$3002,"&lt;="&amp;EOMONTH(DATE($B$3,$D$3,1),0)),2))</f>
        <v/>
      </c>
      <c r="G206" s="16" t="str">
        <f aca="false">IF($A206="","",ROUND(SUMIFS(출퇴근기록!$H$3:$H$3002,출퇴근기록!$B$3:$B$3002,$A206,출퇴근기록!$A$3:$A$3002,"&gt;="&amp;DATE($B$3,$D$3,1),출퇴근기록!$A$3:$A$3002,"&lt;="&amp;EOMONTH(DATE($B$3,$D$3,1),0)),2))</f>
        <v/>
      </c>
      <c r="H206" s="16" t="str">
        <f aca="false">IF($A206="","",ROUND($D206*IF(직원목록!$F203="",8,직원목록!$F203),2))</f>
        <v/>
      </c>
      <c r="I206" s="16" t="str">
        <f aca="false">IF($A206="","",ROUND($G206-$H206,2))</f>
        <v/>
      </c>
      <c r="J206" s="19" t="str">
        <f aca="false">IF($A206="","",COUNTIFS(출퇴근기록!$B$3:$B$3002,$A206,출퇴근기록!$I$3:$I$3002,"연차",출퇴근기록!$A$3:$A$3002,"&gt;="&amp;DATE($B$3,$D$3,1),출퇴근기록!$A$3:$A$3002,"&lt;="&amp;EOMONTH(DATE($B$3,$D$3,1),0)))</f>
        <v/>
      </c>
      <c r="K206" s="19" t="str">
        <f aca="false">IF($A206="","",COUNTIFS(출퇴근기록!$B$3:$B$3002,$A206,출퇴근기록!$I$3:$I$3002,"결근",출퇴근기록!$A$3:$A$3002,"&gt;="&amp;DATE($B$3,$D$3,1),출퇴근기록!$A$3:$A$3002,"&lt;="&amp;EOMONTH(DATE($B$3,$D$3,1),0)))</f>
        <v/>
      </c>
    </row>
    <row r="207" customFormat="false" ht="15" hidden="false" customHeight="true" outlineLevel="0" collapsed="false">
      <c r="A207" s="13" t="str">
        <f aca="false">IF(직원목록!$A204="","",직원목록!$A204)</f>
        <v/>
      </c>
      <c r="B207" s="13" t="str">
        <f aca="false">IF($A207="","",직원목록!$B204)</f>
        <v/>
      </c>
      <c r="C207" s="13" t="str">
        <f aca="false">IF($A207="","",직원목록!$C204)</f>
        <v/>
      </c>
      <c r="D207" s="19" t="str">
        <f aca="false">IF($A207="","",COUNTIFS(출퇴근기록!$B$3:$B$3002,$A207,출퇴근기록!$H$3:$H$3002,"&gt;0",출퇴근기록!$A$3:$A$3002,"&gt;="&amp;DATE($B$3,$D$3,1),출퇴근기록!$A$3:$A$3002,"&lt;="&amp;EOMONTH(DATE($B$3,$D$3,1),0)))</f>
        <v/>
      </c>
      <c r="E207" s="16" t="str">
        <f aca="false">IF($A207="","",ROUND(SUMIFS(출퇴근기록!$H$3:$H$3002,출퇴근기록!$B$3:$B$3002,$A207,출퇴근기록!$I$3:$I$3002,"평일",출퇴근기록!$A$3:$A$3002,"&gt;="&amp;DATE($B$3,$D$3,1),출퇴근기록!$A$3:$A$3002,"&lt;="&amp;EOMONTH(DATE($B$3,$D$3,1),0)),2))</f>
        <v/>
      </c>
      <c r="F207" s="16" t="str">
        <f aca="false">IF($A207="","",ROUND(SUMIFS(출퇴근기록!$H$3:$H$3002,출퇴근기록!$B$3:$B$3002,$A207,출퇴근기록!$I$3:$I$3002,"휴일",출퇴근기록!$A$3:$A$3002,"&gt;="&amp;DATE($B$3,$D$3,1),출퇴근기록!$A$3:$A$3002,"&lt;="&amp;EOMONTH(DATE($B$3,$D$3,1),0)),2))</f>
        <v/>
      </c>
      <c r="G207" s="16" t="str">
        <f aca="false">IF($A207="","",ROUND(SUMIFS(출퇴근기록!$H$3:$H$3002,출퇴근기록!$B$3:$B$3002,$A207,출퇴근기록!$A$3:$A$3002,"&gt;="&amp;DATE($B$3,$D$3,1),출퇴근기록!$A$3:$A$3002,"&lt;="&amp;EOMONTH(DATE($B$3,$D$3,1),0)),2))</f>
        <v/>
      </c>
      <c r="H207" s="16" t="str">
        <f aca="false">IF($A207="","",ROUND($D207*IF(직원목록!$F204="",8,직원목록!$F204),2))</f>
        <v/>
      </c>
      <c r="I207" s="16" t="str">
        <f aca="false">IF($A207="","",ROUND($G207-$H207,2))</f>
        <v/>
      </c>
      <c r="J207" s="19" t="str">
        <f aca="false">IF($A207="","",COUNTIFS(출퇴근기록!$B$3:$B$3002,$A207,출퇴근기록!$I$3:$I$3002,"연차",출퇴근기록!$A$3:$A$3002,"&gt;="&amp;DATE($B$3,$D$3,1),출퇴근기록!$A$3:$A$3002,"&lt;="&amp;EOMONTH(DATE($B$3,$D$3,1),0)))</f>
        <v/>
      </c>
      <c r="K207" s="19" t="str">
        <f aca="false">IF($A207="","",COUNTIFS(출퇴근기록!$B$3:$B$3002,$A207,출퇴근기록!$I$3:$I$3002,"결근",출퇴근기록!$A$3:$A$3002,"&gt;="&amp;DATE($B$3,$D$3,1),출퇴근기록!$A$3:$A$3002,"&lt;="&amp;EOMONTH(DATE($B$3,$D$3,1),0)))</f>
        <v/>
      </c>
    </row>
    <row r="208" customFormat="false" ht="15" hidden="false" customHeight="true" outlineLevel="0" collapsed="false">
      <c r="A208" s="13" t="str">
        <f aca="false">IF(직원목록!$A205="","",직원목록!$A205)</f>
        <v/>
      </c>
      <c r="B208" s="13" t="str">
        <f aca="false">IF($A208="","",직원목록!$B205)</f>
        <v/>
      </c>
      <c r="C208" s="13" t="str">
        <f aca="false">IF($A208="","",직원목록!$C205)</f>
        <v/>
      </c>
      <c r="D208" s="19" t="str">
        <f aca="false">IF($A208="","",COUNTIFS(출퇴근기록!$B$3:$B$3002,$A208,출퇴근기록!$H$3:$H$3002,"&gt;0",출퇴근기록!$A$3:$A$3002,"&gt;="&amp;DATE($B$3,$D$3,1),출퇴근기록!$A$3:$A$3002,"&lt;="&amp;EOMONTH(DATE($B$3,$D$3,1),0)))</f>
        <v/>
      </c>
      <c r="E208" s="16" t="str">
        <f aca="false">IF($A208="","",ROUND(SUMIFS(출퇴근기록!$H$3:$H$3002,출퇴근기록!$B$3:$B$3002,$A208,출퇴근기록!$I$3:$I$3002,"평일",출퇴근기록!$A$3:$A$3002,"&gt;="&amp;DATE($B$3,$D$3,1),출퇴근기록!$A$3:$A$3002,"&lt;="&amp;EOMONTH(DATE($B$3,$D$3,1),0)),2))</f>
        <v/>
      </c>
      <c r="F208" s="16" t="str">
        <f aca="false">IF($A208="","",ROUND(SUMIFS(출퇴근기록!$H$3:$H$3002,출퇴근기록!$B$3:$B$3002,$A208,출퇴근기록!$I$3:$I$3002,"휴일",출퇴근기록!$A$3:$A$3002,"&gt;="&amp;DATE($B$3,$D$3,1),출퇴근기록!$A$3:$A$3002,"&lt;="&amp;EOMONTH(DATE($B$3,$D$3,1),0)),2))</f>
        <v/>
      </c>
      <c r="G208" s="16" t="str">
        <f aca="false">IF($A208="","",ROUND(SUMIFS(출퇴근기록!$H$3:$H$3002,출퇴근기록!$B$3:$B$3002,$A208,출퇴근기록!$A$3:$A$3002,"&gt;="&amp;DATE($B$3,$D$3,1),출퇴근기록!$A$3:$A$3002,"&lt;="&amp;EOMONTH(DATE($B$3,$D$3,1),0)),2))</f>
        <v/>
      </c>
      <c r="H208" s="16" t="str">
        <f aca="false">IF($A208="","",ROUND($D208*IF(직원목록!$F205="",8,직원목록!$F205),2))</f>
        <v/>
      </c>
      <c r="I208" s="16" t="str">
        <f aca="false">IF($A208="","",ROUND($G208-$H208,2))</f>
        <v/>
      </c>
      <c r="J208" s="19" t="str">
        <f aca="false">IF($A208="","",COUNTIFS(출퇴근기록!$B$3:$B$3002,$A208,출퇴근기록!$I$3:$I$3002,"연차",출퇴근기록!$A$3:$A$3002,"&gt;="&amp;DATE($B$3,$D$3,1),출퇴근기록!$A$3:$A$3002,"&lt;="&amp;EOMONTH(DATE($B$3,$D$3,1),0)))</f>
        <v/>
      </c>
      <c r="K208" s="19" t="str">
        <f aca="false">IF($A208="","",COUNTIFS(출퇴근기록!$B$3:$B$3002,$A208,출퇴근기록!$I$3:$I$3002,"결근",출퇴근기록!$A$3:$A$3002,"&gt;="&amp;DATE($B$3,$D$3,1),출퇴근기록!$A$3:$A$3002,"&lt;="&amp;EOMONTH(DATE($B$3,$D$3,1),0)))</f>
        <v/>
      </c>
    </row>
    <row r="209" customFormat="false" ht="15" hidden="false" customHeight="true" outlineLevel="0" collapsed="false">
      <c r="A209" s="13" t="str">
        <f aca="false">IF(직원목록!$A206="","",직원목록!$A206)</f>
        <v/>
      </c>
      <c r="B209" s="13" t="str">
        <f aca="false">IF($A209="","",직원목록!$B206)</f>
        <v/>
      </c>
      <c r="C209" s="13" t="str">
        <f aca="false">IF($A209="","",직원목록!$C206)</f>
        <v/>
      </c>
      <c r="D209" s="19" t="str">
        <f aca="false">IF($A209="","",COUNTIFS(출퇴근기록!$B$3:$B$3002,$A209,출퇴근기록!$H$3:$H$3002,"&gt;0",출퇴근기록!$A$3:$A$3002,"&gt;="&amp;DATE($B$3,$D$3,1),출퇴근기록!$A$3:$A$3002,"&lt;="&amp;EOMONTH(DATE($B$3,$D$3,1),0)))</f>
        <v/>
      </c>
      <c r="E209" s="16" t="str">
        <f aca="false">IF($A209="","",ROUND(SUMIFS(출퇴근기록!$H$3:$H$3002,출퇴근기록!$B$3:$B$3002,$A209,출퇴근기록!$I$3:$I$3002,"평일",출퇴근기록!$A$3:$A$3002,"&gt;="&amp;DATE($B$3,$D$3,1),출퇴근기록!$A$3:$A$3002,"&lt;="&amp;EOMONTH(DATE($B$3,$D$3,1),0)),2))</f>
        <v/>
      </c>
      <c r="F209" s="16" t="str">
        <f aca="false">IF($A209="","",ROUND(SUMIFS(출퇴근기록!$H$3:$H$3002,출퇴근기록!$B$3:$B$3002,$A209,출퇴근기록!$I$3:$I$3002,"휴일",출퇴근기록!$A$3:$A$3002,"&gt;="&amp;DATE($B$3,$D$3,1),출퇴근기록!$A$3:$A$3002,"&lt;="&amp;EOMONTH(DATE($B$3,$D$3,1),0)),2))</f>
        <v/>
      </c>
      <c r="G209" s="16" t="str">
        <f aca="false">IF($A209="","",ROUND(SUMIFS(출퇴근기록!$H$3:$H$3002,출퇴근기록!$B$3:$B$3002,$A209,출퇴근기록!$A$3:$A$3002,"&gt;="&amp;DATE($B$3,$D$3,1),출퇴근기록!$A$3:$A$3002,"&lt;="&amp;EOMONTH(DATE($B$3,$D$3,1),0)),2))</f>
        <v/>
      </c>
      <c r="H209" s="16" t="str">
        <f aca="false">IF($A209="","",ROUND($D209*IF(직원목록!$F206="",8,직원목록!$F206),2))</f>
        <v/>
      </c>
      <c r="I209" s="16" t="str">
        <f aca="false">IF($A209="","",ROUND($G209-$H209,2))</f>
        <v/>
      </c>
      <c r="J209" s="19" t="str">
        <f aca="false">IF($A209="","",COUNTIFS(출퇴근기록!$B$3:$B$3002,$A209,출퇴근기록!$I$3:$I$3002,"연차",출퇴근기록!$A$3:$A$3002,"&gt;="&amp;DATE($B$3,$D$3,1),출퇴근기록!$A$3:$A$3002,"&lt;="&amp;EOMONTH(DATE($B$3,$D$3,1),0)))</f>
        <v/>
      </c>
      <c r="K209" s="19" t="str">
        <f aca="false">IF($A209="","",COUNTIFS(출퇴근기록!$B$3:$B$3002,$A209,출퇴근기록!$I$3:$I$3002,"결근",출퇴근기록!$A$3:$A$3002,"&gt;="&amp;DATE($B$3,$D$3,1),출퇴근기록!$A$3:$A$3002,"&lt;="&amp;EOMONTH(DATE($B$3,$D$3,1),0)))</f>
        <v/>
      </c>
    </row>
    <row r="210" customFormat="false" ht="15" hidden="false" customHeight="true" outlineLevel="0" collapsed="false">
      <c r="A210" s="13" t="str">
        <f aca="false">IF(직원목록!$A207="","",직원목록!$A207)</f>
        <v/>
      </c>
      <c r="B210" s="13" t="str">
        <f aca="false">IF($A210="","",직원목록!$B207)</f>
        <v/>
      </c>
      <c r="C210" s="13" t="str">
        <f aca="false">IF($A210="","",직원목록!$C207)</f>
        <v/>
      </c>
      <c r="D210" s="19" t="str">
        <f aca="false">IF($A210="","",COUNTIFS(출퇴근기록!$B$3:$B$3002,$A210,출퇴근기록!$H$3:$H$3002,"&gt;0",출퇴근기록!$A$3:$A$3002,"&gt;="&amp;DATE($B$3,$D$3,1),출퇴근기록!$A$3:$A$3002,"&lt;="&amp;EOMONTH(DATE($B$3,$D$3,1),0)))</f>
        <v/>
      </c>
      <c r="E210" s="16" t="str">
        <f aca="false">IF($A210="","",ROUND(SUMIFS(출퇴근기록!$H$3:$H$3002,출퇴근기록!$B$3:$B$3002,$A210,출퇴근기록!$I$3:$I$3002,"평일",출퇴근기록!$A$3:$A$3002,"&gt;="&amp;DATE($B$3,$D$3,1),출퇴근기록!$A$3:$A$3002,"&lt;="&amp;EOMONTH(DATE($B$3,$D$3,1),0)),2))</f>
        <v/>
      </c>
      <c r="F210" s="16" t="str">
        <f aca="false">IF($A210="","",ROUND(SUMIFS(출퇴근기록!$H$3:$H$3002,출퇴근기록!$B$3:$B$3002,$A210,출퇴근기록!$I$3:$I$3002,"휴일",출퇴근기록!$A$3:$A$3002,"&gt;="&amp;DATE($B$3,$D$3,1),출퇴근기록!$A$3:$A$3002,"&lt;="&amp;EOMONTH(DATE($B$3,$D$3,1),0)),2))</f>
        <v/>
      </c>
      <c r="G210" s="16" t="str">
        <f aca="false">IF($A210="","",ROUND(SUMIFS(출퇴근기록!$H$3:$H$3002,출퇴근기록!$B$3:$B$3002,$A210,출퇴근기록!$A$3:$A$3002,"&gt;="&amp;DATE($B$3,$D$3,1),출퇴근기록!$A$3:$A$3002,"&lt;="&amp;EOMONTH(DATE($B$3,$D$3,1),0)),2))</f>
        <v/>
      </c>
      <c r="H210" s="16" t="str">
        <f aca="false">IF($A210="","",ROUND($D210*IF(직원목록!$F207="",8,직원목록!$F207),2))</f>
        <v/>
      </c>
      <c r="I210" s="16" t="str">
        <f aca="false">IF($A210="","",ROUND($G210-$H210,2))</f>
        <v/>
      </c>
      <c r="J210" s="19" t="str">
        <f aca="false">IF($A210="","",COUNTIFS(출퇴근기록!$B$3:$B$3002,$A210,출퇴근기록!$I$3:$I$3002,"연차",출퇴근기록!$A$3:$A$3002,"&gt;="&amp;DATE($B$3,$D$3,1),출퇴근기록!$A$3:$A$3002,"&lt;="&amp;EOMONTH(DATE($B$3,$D$3,1),0)))</f>
        <v/>
      </c>
      <c r="K210" s="19" t="str">
        <f aca="false">IF($A210="","",COUNTIFS(출퇴근기록!$B$3:$B$3002,$A210,출퇴근기록!$I$3:$I$3002,"결근",출퇴근기록!$A$3:$A$3002,"&gt;="&amp;DATE($B$3,$D$3,1),출퇴근기록!$A$3:$A$3002,"&lt;="&amp;EOMONTH(DATE($B$3,$D$3,1),0)))</f>
        <v/>
      </c>
    </row>
    <row r="211" customFormat="false" ht="15" hidden="false" customHeight="true" outlineLevel="0" collapsed="false">
      <c r="A211" s="13" t="str">
        <f aca="false">IF(직원목록!$A208="","",직원목록!$A208)</f>
        <v/>
      </c>
      <c r="B211" s="13" t="str">
        <f aca="false">IF($A211="","",직원목록!$B208)</f>
        <v/>
      </c>
      <c r="C211" s="13" t="str">
        <f aca="false">IF($A211="","",직원목록!$C208)</f>
        <v/>
      </c>
      <c r="D211" s="19" t="str">
        <f aca="false">IF($A211="","",COUNTIFS(출퇴근기록!$B$3:$B$3002,$A211,출퇴근기록!$H$3:$H$3002,"&gt;0",출퇴근기록!$A$3:$A$3002,"&gt;="&amp;DATE($B$3,$D$3,1),출퇴근기록!$A$3:$A$3002,"&lt;="&amp;EOMONTH(DATE($B$3,$D$3,1),0)))</f>
        <v/>
      </c>
      <c r="E211" s="16" t="str">
        <f aca="false">IF($A211="","",ROUND(SUMIFS(출퇴근기록!$H$3:$H$3002,출퇴근기록!$B$3:$B$3002,$A211,출퇴근기록!$I$3:$I$3002,"평일",출퇴근기록!$A$3:$A$3002,"&gt;="&amp;DATE($B$3,$D$3,1),출퇴근기록!$A$3:$A$3002,"&lt;="&amp;EOMONTH(DATE($B$3,$D$3,1),0)),2))</f>
        <v/>
      </c>
      <c r="F211" s="16" t="str">
        <f aca="false">IF($A211="","",ROUND(SUMIFS(출퇴근기록!$H$3:$H$3002,출퇴근기록!$B$3:$B$3002,$A211,출퇴근기록!$I$3:$I$3002,"휴일",출퇴근기록!$A$3:$A$3002,"&gt;="&amp;DATE($B$3,$D$3,1),출퇴근기록!$A$3:$A$3002,"&lt;="&amp;EOMONTH(DATE($B$3,$D$3,1),0)),2))</f>
        <v/>
      </c>
      <c r="G211" s="16" t="str">
        <f aca="false">IF($A211="","",ROUND(SUMIFS(출퇴근기록!$H$3:$H$3002,출퇴근기록!$B$3:$B$3002,$A211,출퇴근기록!$A$3:$A$3002,"&gt;="&amp;DATE($B$3,$D$3,1),출퇴근기록!$A$3:$A$3002,"&lt;="&amp;EOMONTH(DATE($B$3,$D$3,1),0)),2))</f>
        <v/>
      </c>
      <c r="H211" s="16" t="str">
        <f aca="false">IF($A211="","",ROUND($D211*IF(직원목록!$F208="",8,직원목록!$F208),2))</f>
        <v/>
      </c>
      <c r="I211" s="16" t="str">
        <f aca="false">IF($A211="","",ROUND($G211-$H211,2))</f>
        <v/>
      </c>
      <c r="J211" s="19" t="str">
        <f aca="false">IF($A211="","",COUNTIFS(출퇴근기록!$B$3:$B$3002,$A211,출퇴근기록!$I$3:$I$3002,"연차",출퇴근기록!$A$3:$A$3002,"&gt;="&amp;DATE($B$3,$D$3,1),출퇴근기록!$A$3:$A$3002,"&lt;="&amp;EOMONTH(DATE($B$3,$D$3,1),0)))</f>
        <v/>
      </c>
      <c r="K211" s="19" t="str">
        <f aca="false">IF($A211="","",COUNTIFS(출퇴근기록!$B$3:$B$3002,$A211,출퇴근기록!$I$3:$I$3002,"결근",출퇴근기록!$A$3:$A$3002,"&gt;="&amp;DATE($B$3,$D$3,1),출퇴근기록!$A$3:$A$3002,"&lt;="&amp;EOMONTH(DATE($B$3,$D$3,1),0)))</f>
        <v/>
      </c>
    </row>
    <row r="212" customFormat="false" ht="15" hidden="false" customHeight="true" outlineLevel="0" collapsed="false">
      <c r="A212" s="13" t="str">
        <f aca="false">IF(직원목록!$A209="","",직원목록!$A209)</f>
        <v/>
      </c>
      <c r="B212" s="13" t="str">
        <f aca="false">IF($A212="","",직원목록!$B209)</f>
        <v/>
      </c>
      <c r="C212" s="13" t="str">
        <f aca="false">IF($A212="","",직원목록!$C209)</f>
        <v/>
      </c>
      <c r="D212" s="19" t="str">
        <f aca="false">IF($A212="","",COUNTIFS(출퇴근기록!$B$3:$B$3002,$A212,출퇴근기록!$H$3:$H$3002,"&gt;0",출퇴근기록!$A$3:$A$3002,"&gt;="&amp;DATE($B$3,$D$3,1),출퇴근기록!$A$3:$A$3002,"&lt;="&amp;EOMONTH(DATE($B$3,$D$3,1),0)))</f>
        <v/>
      </c>
      <c r="E212" s="16" t="str">
        <f aca="false">IF($A212="","",ROUND(SUMIFS(출퇴근기록!$H$3:$H$3002,출퇴근기록!$B$3:$B$3002,$A212,출퇴근기록!$I$3:$I$3002,"평일",출퇴근기록!$A$3:$A$3002,"&gt;="&amp;DATE($B$3,$D$3,1),출퇴근기록!$A$3:$A$3002,"&lt;="&amp;EOMONTH(DATE($B$3,$D$3,1),0)),2))</f>
        <v/>
      </c>
      <c r="F212" s="16" t="str">
        <f aca="false">IF($A212="","",ROUND(SUMIFS(출퇴근기록!$H$3:$H$3002,출퇴근기록!$B$3:$B$3002,$A212,출퇴근기록!$I$3:$I$3002,"휴일",출퇴근기록!$A$3:$A$3002,"&gt;="&amp;DATE($B$3,$D$3,1),출퇴근기록!$A$3:$A$3002,"&lt;="&amp;EOMONTH(DATE($B$3,$D$3,1),0)),2))</f>
        <v/>
      </c>
      <c r="G212" s="16" t="str">
        <f aca="false">IF($A212="","",ROUND(SUMIFS(출퇴근기록!$H$3:$H$3002,출퇴근기록!$B$3:$B$3002,$A212,출퇴근기록!$A$3:$A$3002,"&gt;="&amp;DATE($B$3,$D$3,1),출퇴근기록!$A$3:$A$3002,"&lt;="&amp;EOMONTH(DATE($B$3,$D$3,1),0)),2))</f>
        <v/>
      </c>
      <c r="H212" s="16" t="str">
        <f aca="false">IF($A212="","",ROUND($D212*IF(직원목록!$F209="",8,직원목록!$F209),2))</f>
        <v/>
      </c>
      <c r="I212" s="16" t="str">
        <f aca="false">IF($A212="","",ROUND($G212-$H212,2))</f>
        <v/>
      </c>
      <c r="J212" s="19" t="str">
        <f aca="false">IF($A212="","",COUNTIFS(출퇴근기록!$B$3:$B$3002,$A212,출퇴근기록!$I$3:$I$3002,"연차",출퇴근기록!$A$3:$A$3002,"&gt;="&amp;DATE($B$3,$D$3,1),출퇴근기록!$A$3:$A$3002,"&lt;="&amp;EOMONTH(DATE($B$3,$D$3,1),0)))</f>
        <v/>
      </c>
      <c r="K212" s="19" t="str">
        <f aca="false">IF($A212="","",COUNTIFS(출퇴근기록!$B$3:$B$3002,$A212,출퇴근기록!$I$3:$I$3002,"결근",출퇴근기록!$A$3:$A$3002,"&gt;="&amp;DATE($B$3,$D$3,1),출퇴근기록!$A$3:$A$3002,"&lt;="&amp;EOMONTH(DATE($B$3,$D$3,1),0)))</f>
        <v/>
      </c>
    </row>
    <row r="213" customFormat="false" ht="15" hidden="false" customHeight="true" outlineLevel="0" collapsed="false">
      <c r="A213" s="13" t="str">
        <f aca="false">IF(직원목록!$A210="","",직원목록!$A210)</f>
        <v/>
      </c>
      <c r="B213" s="13" t="str">
        <f aca="false">IF($A213="","",직원목록!$B210)</f>
        <v/>
      </c>
      <c r="C213" s="13" t="str">
        <f aca="false">IF($A213="","",직원목록!$C210)</f>
        <v/>
      </c>
      <c r="D213" s="19" t="str">
        <f aca="false">IF($A213="","",COUNTIFS(출퇴근기록!$B$3:$B$3002,$A213,출퇴근기록!$H$3:$H$3002,"&gt;0",출퇴근기록!$A$3:$A$3002,"&gt;="&amp;DATE($B$3,$D$3,1),출퇴근기록!$A$3:$A$3002,"&lt;="&amp;EOMONTH(DATE($B$3,$D$3,1),0)))</f>
        <v/>
      </c>
      <c r="E213" s="16" t="str">
        <f aca="false">IF($A213="","",ROUND(SUMIFS(출퇴근기록!$H$3:$H$3002,출퇴근기록!$B$3:$B$3002,$A213,출퇴근기록!$I$3:$I$3002,"평일",출퇴근기록!$A$3:$A$3002,"&gt;="&amp;DATE($B$3,$D$3,1),출퇴근기록!$A$3:$A$3002,"&lt;="&amp;EOMONTH(DATE($B$3,$D$3,1),0)),2))</f>
        <v/>
      </c>
      <c r="F213" s="16" t="str">
        <f aca="false">IF($A213="","",ROUND(SUMIFS(출퇴근기록!$H$3:$H$3002,출퇴근기록!$B$3:$B$3002,$A213,출퇴근기록!$I$3:$I$3002,"휴일",출퇴근기록!$A$3:$A$3002,"&gt;="&amp;DATE($B$3,$D$3,1),출퇴근기록!$A$3:$A$3002,"&lt;="&amp;EOMONTH(DATE($B$3,$D$3,1),0)),2))</f>
        <v/>
      </c>
      <c r="G213" s="16" t="str">
        <f aca="false">IF($A213="","",ROUND(SUMIFS(출퇴근기록!$H$3:$H$3002,출퇴근기록!$B$3:$B$3002,$A213,출퇴근기록!$A$3:$A$3002,"&gt;="&amp;DATE($B$3,$D$3,1),출퇴근기록!$A$3:$A$3002,"&lt;="&amp;EOMONTH(DATE($B$3,$D$3,1),0)),2))</f>
        <v/>
      </c>
      <c r="H213" s="16" t="str">
        <f aca="false">IF($A213="","",ROUND($D213*IF(직원목록!$F210="",8,직원목록!$F210),2))</f>
        <v/>
      </c>
      <c r="I213" s="16" t="str">
        <f aca="false">IF($A213="","",ROUND($G213-$H213,2))</f>
        <v/>
      </c>
      <c r="J213" s="19" t="str">
        <f aca="false">IF($A213="","",COUNTIFS(출퇴근기록!$B$3:$B$3002,$A213,출퇴근기록!$I$3:$I$3002,"연차",출퇴근기록!$A$3:$A$3002,"&gt;="&amp;DATE($B$3,$D$3,1),출퇴근기록!$A$3:$A$3002,"&lt;="&amp;EOMONTH(DATE($B$3,$D$3,1),0)))</f>
        <v/>
      </c>
      <c r="K213" s="19" t="str">
        <f aca="false">IF($A213="","",COUNTIFS(출퇴근기록!$B$3:$B$3002,$A213,출퇴근기록!$I$3:$I$3002,"결근",출퇴근기록!$A$3:$A$3002,"&gt;="&amp;DATE($B$3,$D$3,1),출퇴근기록!$A$3:$A$3002,"&lt;="&amp;EOMONTH(DATE($B$3,$D$3,1),0)))</f>
        <v/>
      </c>
    </row>
    <row r="214" customFormat="false" ht="15" hidden="false" customHeight="true" outlineLevel="0" collapsed="false">
      <c r="A214" s="13" t="str">
        <f aca="false">IF(직원목록!$A211="","",직원목록!$A211)</f>
        <v/>
      </c>
      <c r="B214" s="13" t="str">
        <f aca="false">IF($A214="","",직원목록!$B211)</f>
        <v/>
      </c>
      <c r="C214" s="13" t="str">
        <f aca="false">IF($A214="","",직원목록!$C211)</f>
        <v/>
      </c>
      <c r="D214" s="19" t="str">
        <f aca="false">IF($A214="","",COUNTIFS(출퇴근기록!$B$3:$B$3002,$A214,출퇴근기록!$H$3:$H$3002,"&gt;0",출퇴근기록!$A$3:$A$3002,"&gt;="&amp;DATE($B$3,$D$3,1),출퇴근기록!$A$3:$A$3002,"&lt;="&amp;EOMONTH(DATE($B$3,$D$3,1),0)))</f>
        <v/>
      </c>
      <c r="E214" s="16" t="str">
        <f aca="false">IF($A214="","",ROUND(SUMIFS(출퇴근기록!$H$3:$H$3002,출퇴근기록!$B$3:$B$3002,$A214,출퇴근기록!$I$3:$I$3002,"평일",출퇴근기록!$A$3:$A$3002,"&gt;="&amp;DATE($B$3,$D$3,1),출퇴근기록!$A$3:$A$3002,"&lt;="&amp;EOMONTH(DATE($B$3,$D$3,1),0)),2))</f>
        <v/>
      </c>
      <c r="F214" s="16" t="str">
        <f aca="false">IF($A214="","",ROUND(SUMIFS(출퇴근기록!$H$3:$H$3002,출퇴근기록!$B$3:$B$3002,$A214,출퇴근기록!$I$3:$I$3002,"휴일",출퇴근기록!$A$3:$A$3002,"&gt;="&amp;DATE($B$3,$D$3,1),출퇴근기록!$A$3:$A$3002,"&lt;="&amp;EOMONTH(DATE($B$3,$D$3,1),0)),2))</f>
        <v/>
      </c>
      <c r="G214" s="16" t="str">
        <f aca="false">IF($A214="","",ROUND(SUMIFS(출퇴근기록!$H$3:$H$3002,출퇴근기록!$B$3:$B$3002,$A214,출퇴근기록!$A$3:$A$3002,"&gt;="&amp;DATE($B$3,$D$3,1),출퇴근기록!$A$3:$A$3002,"&lt;="&amp;EOMONTH(DATE($B$3,$D$3,1),0)),2))</f>
        <v/>
      </c>
      <c r="H214" s="16" t="str">
        <f aca="false">IF($A214="","",ROUND($D214*IF(직원목록!$F211="",8,직원목록!$F211),2))</f>
        <v/>
      </c>
      <c r="I214" s="16" t="str">
        <f aca="false">IF($A214="","",ROUND($G214-$H214,2))</f>
        <v/>
      </c>
      <c r="J214" s="19" t="str">
        <f aca="false">IF($A214="","",COUNTIFS(출퇴근기록!$B$3:$B$3002,$A214,출퇴근기록!$I$3:$I$3002,"연차",출퇴근기록!$A$3:$A$3002,"&gt;="&amp;DATE($B$3,$D$3,1),출퇴근기록!$A$3:$A$3002,"&lt;="&amp;EOMONTH(DATE($B$3,$D$3,1),0)))</f>
        <v/>
      </c>
      <c r="K214" s="19" t="str">
        <f aca="false">IF($A214="","",COUNTIFS(출퇴근기록!$B$3:$B$3002,$A214,출퇴근기록!$I$3:$I$3002,"결근",출퇴근기록!$A$3:$A$3002,"&gt;="&amp;DATE($B$3,$D$3,1),출퇴근기록!$A$3:$A$3002,"&lt;="&amp;EOMONTH(DATE($B$3,$D$3,1),0)))</f>
        <v/>
      </c>
    </row>
    <row r="215" customFormat="false" ht="15" hidden="false" customHeight="true" outlineLevel="0" collapsed="false">
      <c r="A215" s="13" t="str">
        <f aca="false">IF(직원목록!$A212="","",직원목록!$A212)</f>
        <v/>
      </c>
      <c r="B215" s="13" t="str">
        <f aca="false">IF($A215="","",직원목록!$B212)</f>
        <v/>
      </c>
      <c r="C215" s="13" t="str">
        <f aca="false">IF($A215="","",직원목록!$C212)</f>
        <v/>
      </c>
      <c r="D215" s="19" t="str">
        <f aca="false">IF($A215="","",COUNTIFS(출퇴근기록!$B$3:$B$3002,$A215,출퇴근기록!$H$3:$H$3002,"&gt;0",출퇴근기록!$A$3:$A$3002,"&gt;="&amp;DATE($B$3,$D$3,1),출퇴근기록!$A$3:$A$3002,"&lt;="&amp;EOMONTH(DATE($B$3,$D$3,1),0)))</f>
        <v/>
      </c>
      <c r="E215" s="16" t="str">
        <f aca="false">IF($A215="","",ROUND(SUMIFS(출퇴근기록!$H$3:$H$3002,출퇴근기록!$B$3:$B$3002,$A215,출퇴근기록!$I$3:$I$3002,"평일",출퇴근기록!$A$3:$A$3002,"&gt;="&amp;DATE($B$3,$D$3,1),출퇴근기록!$A$3:$A$3002,"&lt;="&amp;EOMONTH(DATE($B$3,$D$3,1),0)),2))</f>
        <v/>
      </c>
      <c r="F215" s="16" t="str">
        <f aca="false">IF($A215="","",ROUND(SUMIFS(출퇴근기록!$H$3:$H$3002,출퇴근기록!$B$3:$B$3002,$A215,출퇴근기록!$I$3:$I$3002,"휴일",출퇴근기록!$A$3:$A$3002,"&gt;="&amp;DATE($B$3,$D$3,1),출퇴근기록!$A$3:$A$3002,"&lt;="&amp;EOMONTH(DATE($B$3,$D$3,1),0)),2))</f>
        <v/>
      </c>
      <c r="G215" s="16" t="str">
        <f aca="false">IF($A215="","",ROUND(SUMIFS(출퇴근기록!$H$3:$H$3002,출퇴근기록!$B$3:$B$3002,$A215,출퇴근기록!$A$3:$A$3002,"&gt;="&amp;DATE($B$3,$D$3,1),출퇴근기록!$A$3:$A$3002,"&lt;="&amp;EOMONTH(DATE($B$3,$D$3,1),0)),2))</f>
        <v/>
      </c>
      <c r="H215" s="16" t="str">
        <f aca="false">IF($A215="","",ROUND($D215*IF(직원목록!$F212="",8,직원목록!$F212),2))</f>
        <v/>
      </c>
      <c r="I215" s="16" t="str">
        <f aca="false">IF($A215="","",ROUND($G215-$H215,2))</f>
        <v/>
      </c>
      <c r="J215" s="19" t="str">
        <f aca="false">IF($A215="","",COUNTIFS(출퇴근기록!$B$3:$B$3002,$A215,출퇴근기록!$I$3:$I$3002,"연차",출퇴근기록!$A$3:$A$3002,"&gt;="&amp;DATE($B$3,$D$3,1),출퇴근기록!$A$3:$A$3002,"&lt;="&amp;EOMONTH(DATE($B$3,$D$3,1),0)))</f>
        <v/>
      </c>
      <c r="K215" s="19" t="str">
        <f aca="false">IF($A215="","",COUNTIFS(출퇴근기록!$B$3:$B$3002,$A215,출퇴근기록!$I$3:$I$3002,"결근",출퇴근기록!$A$3:$A$3002,"&gt;="&amp;DATE($B$3,$D$3,1),출퇴근기록!$A$3:$A$3002,"&lt;="&amp;EOMONTH(DATE($B$3,$D$3,1),0)))</f>
        <v/>
      </c>
    </row>
    <row r="216" customFormat="false" ht="15" hidden="false" customHeight="true" outlineLevel="0" collapsed="false">
      <c r="A216" s="13" t="str">
        <f aca="false">IF(직원목록!$A213="","",직원목록!$A213)</f>
        <v/>
      </c>
      <c r="B216" s="13" t="str">
        <f aca="false">IF($A216="","",직원목록!$B213)</f>
        <v/>
      </c>
      <c r="C216" s="13" t="str">
        <f aca="false">IF($A216="","",직원목록!$C213)</f>
        <v/>
      </c>
      <c r="D216" s="19" t="str">
        <f aca="false">IF($A216="","",COUNTIFS(출퇴근기록!$B$3:$B$3002,$A216,출퇴근기록!$H$3:$H$3002,"&gt;0",출퇴근기록!$A$3:$A$3002,"&gt;="&amp;DATE($B$3,$D$3,1),출퇴근기록!$A$3:$A$3002,"&lt;="&amp;EOMONTH(DATE($B$3,$D$3,1),0)))</f>
        <v/>
      </c>
      <c r="E216" s="16" t="str">
        <f aca="false">IF($A216="","",ROUND(SUMIFS(출퇴근기록!$H$3:$H$3002,출퇴근기록!$B$3:$B$3002,$A216,출퇴근기록!$I$3:$I$3002,"평일",출퇴근기록!$A$3:$A$3002,"&gt;="&amp;DATE($B$3,$D$3,1),출퇴근기록!$A$3:$A$3002,"&lt;="&amp;EOMONTH(DATE($B$3,$D$3,1),0)),2))</f>
        <v/>
      </c>
      <c r="F216" s="16" t="str">
        <f aca="false">IF($A216="","",ROUND(SUMIFS(출퇴근기록!$H$3:$H$3002,출퇴근기록!$B$3:$B$3002,$A216,출퇴근기록!$I$3:$I$3002,"휴일",출퇴근기록!$A$3:$A$3002,"&gt;="&amp;DATE($B$3,$D$3,1),출퇴근기록!$A$3:$A$3002,"&lt;="&amp;EOMONTH(DATE($B$3,$D$3,1),0)),2))</f>
        <v/>
      </c>
      <c r="G216" s="16" t="str">
        <f aca="false">IF($A216="","",ROUND(SUMIFS(출퇴근기록!$H$3:$H$3002,출퇴근기록!$B$3:$B$3002,$A216,출퇴근기록!$A$3:$A$3002,"&gt;="&amp;DATE($B$3,$D$3,1),출퇴근기록!$A$3:$A$3002,"&lt;="&amp;EOMONTH(DATE($B$3,$D$3,1),0)),2))</f>
        <v/>
      </c>
      <c r="H216" s="16" t="str">
        <f aca="false">IF($A216="","",ROUND($D216*IF(직원목록!$F213="",8,직원목록!$F213),2))</f>
        <v/>
      </c>
      <c r="I216" s="16" t="str">
        <f aca="false">IF($A216="","",ROUND($G216-$H216,2))</f>
        <v/>
      </c>
      <c r="J216" s="19" t="str">
        <f aca="false">IF($A216="","",COUNTIFS(출퇴근기록!$B$3:$B$3002,$A216,출퇴근기록!$I$3:$I$3002,"연차",출퇴근기록!$A$3:$A$3002,"&gt;="&amp;DATE($B$3,$D$3,1),출퇴근기록!$A$3:$A$3002,"&lt;="&amp;EOMONTH(DATE($B$3,$D$3,1),0)))</f>
        <v/>
      </c>
      <c r="K216" s="19" t="str">
        <f aca="false">IF($A216="","",COUNTIFS(출퇴근기록!$B$3:$B$3002,$A216,출퇴근기록!$I$3:$I$3002,"결근",출퇴근기록!$A$3:$A$3002,"&gt;="&amp;DATE($B$3,$D$3,1),출퇴근기록!$A$3:$A$3002,"&lt;="&amp;EOMONTH(DATE($B$3,$D$3,1),0)))</f>
        <v/>
      </c>
    </row>
    <row r="217" customFormat="false" ht="15" hidden="false" customHeight="true" outlineLevel="0" collapsed="false">
      <c r="A217" s="13" t="str">
        <f aca="false">IF(직원목록!$A214="","",직원목록!$A214)</f>
        <v/>
      </c>
      <c r="B217" s="13" t="str">
        <f aca="false">IF($A217="","",직원목록!$B214)</f>
        <v/>
      </c>
      <c r="C217" s="13" t="str">
        <f aca="false">IF($A217="","",직원목록!$C214)</f>
        <v/>
      </c>
      <c r="D217" s="19" t="str">
        <f aca="false">IF($A217="","",COUNTIFS(출퇴근기록!$B$3:$B$3002,$A217,출퇴근기록!$H$3:$H$3002,"&gt;0",출퇴근기록!$A$3:$A$3002,"&gt;="&amp;DATE($B$3,$D$3,1),출퇴근기록!$A$3:$A$3002,"&lt;="&amp;EOMONTH(DATE($B$3,$D$3,1),0)))</f>
        <v/>
      </c>
      <c r="E217" s="16" t="str">
        <f aca="false">IF($A217="","",ROUND(SUMIFS(출퇴근기록!$H$3:$H$3002,출퇴근기록!$B$3:$B$3002,$A217,출퇴근기록!$I$3:$I$3002,"평일",출퇴근기록!$A$3:$A$3002,"&gt;="&amp;DATE($B$3,$D$3,1),출퇴근기록!$A$3:$A$3002,"&lt;="&amp;EOMONTH(DATE($B$3,$D$3,1),0)),2))</f>
        <v/>
      </c>
      <c r="F217" s="16" t="str">
        <f aca="false">IF($A217="","",ROUND(SUMIFS(출퇴근기록!$H$3:$H$3002,출퇴근기록!$B$3:$B$3002,$A217,출퇴근기록!$I$3:$I$3002,"휴일",출퇴근기록!$A$3:$A$3002,"&gt;="&amp;DATE($B$3,$D$3,1),출퇴근기록!$A$3:$A$3002,"&lt;="&amp;EOMONTH(DATE($B$3,$D$3,1),0)),2))</f>
        <v/>
      </c>
      <c r="G217" s="16" t="str">
        <f aca="false">IF($A217="","",ROUND(SUMIFS(출퇴근기록!$H$3:$H$3002,출퇴근기록!$B$3:$B$3002,$A217,출퇴근기록!$A$3:$A$3002,"&gt;="&amp;DATE($B$3,$D$3,1),출퇴근기록!$A$3:$A$3002,"&lt;="&amp;EOMONTH(DATE($B$3,$D$3,1),0)),2))</f>
        <v/>
      </c>
      <c r="H217" s="16" t="str">
        <f aca="false">IF($A217="","",ROUND($D217*IF(직원목록!$F214="",8,직원목록!$F214),2))</f>
        <v/>
      </c>
      <c r="I217" s="16" t="str">
        <f aca="false">IF($A217="","",ROUND($G217-$H217,2))</f>
        <v/>
      </c>
      <c r="J217" s="19" t="str">
        <f aca="false">IF($A217="","",COUNTIFS(출퇴근기록!$B$3:$B$3002,$A217,출퇴근기록!$I$3:$I$3002,"연차",출퇴근기록!$A$3:$A$3002,"&gt;="&amp;DATE($B$3,$D$3,1),출퇴근기록!$A$3:$A$3002,"&lt;="&amp;EOMONTH(DATE($B$3,$D$3,1),0)))</f>
        <v/>
      </c>
      <c r="K217" s="19" t="str">
        <f aca="false">IF($A217="","",COUNTIFS(출퇴근기록!$B$3:$B$3002,$A217,출퇴근기록!$I$3:$I$3002,"결근",출퇴근기록!$A$3:$A$3002,"&gt;="&amp;DATE($B$3,$D$3,1),출퇴근기록!$A$3:$A$3002,"&lt;="&amp;EOMONTH(DATE($B$3,$D$3,1),0)))</f>
        <v/>
      </c>
    </row>
    <row r="218" customFormat="false" ht="15" hidden="false" customHeight="true" outlineLevel="0" collapsed="false">
      <c r="A218" s="13" t="str">
        <f aca="false">IF(직원목록!$A215="","",직원목록!$A215)</f>
        <v/>
      </c>
      <c r="B218" s="13" t="str">
        <f aca="false">IF($A218="","",직원목록!$B215)</f>
        <v/>
      </c>
      <c r="C218" s="13" t="str">
        <f aca="false">IF($A218="","",직원목록!$C215)</f>
        <v/>
      </c>
      <c r="D218" s="19" t="str">
        <f aca="false">IF($A218="","",COUNTIFS(출퇴근기록!$B$3:$B$3002,$A218,출퇴근기록!$H$3:$H$3002,"&gt;0",출퇴근기록!$A$3:$A$3002,"&gt;="&amp;DATE($B$3,$D$3,1),출퇴근기록!$A$3:$A$3002,"&lt;="&amp;EOMONTH(DATE($B$3,$D$3,1),0)))</f>
        <v/>
      </c>
      <c r="E218" s="16" t="str">
        <f aca="false">IF($A218="","",ROUND(SUMIFS(출퇴근기록!$H$3:$H$3002,출퇴근기록!$B$3:$B$3002,$A218,출퇴근기록!$I$3:$I$3002,"평일",출퇴근기록!$A$3:$A$3002,"&gt;="&amp;DATE($B$3,$D$3,1),출퇴근기록!$A$3:$A$3002,"&lt;="&amp;EOMONTH(DATE($B$3,$D$3,1),0)),2))</f>
        <v/>
      </c>
      <c r="F218" s="16" t="str">
        <f aca="false">IF($A218="","",ROUND(SUMIFS(출퇴근기록!$H$3:$H$3002,출퇴근기록!$B$3:$B$3002,$A218,출퇴근기록!$I$3:$I$3002,"휴일",출퇴근기록!$A$3:$A$3002,"&gt;="&amp;DATE($B$3,$D$3,1),출퇴근기록!$A$3:$A$3002,"&lt;="&amp;EOMONTH(DATE($B$3,$D$3,1),0)),2))</f>
        <v/>
      </c>
      <c r="G218" s="16" t="str">
        <f aca="false">IF($A218="","",ROUND(SUMIFS(출퇴근기록!$H$3:$H$3002,출퇴근기록!$B$3:$B$3002,$A218,출퇴근기록!$A$3:$A$3002,"&gt;="&amp;DATE($B$3,$D$3,1),출퇴근기록!$A$3:$A$3002,"&lt;="&amp;EOMONTH(DATE($B$3,$D$3,1),0)),2))</f>
        <v/>
      </c>
      <c r="H218" s="16" t="str">
        <f aca="false">IF($A218="","",ROUND($D218*IF(직원목록!$F215="",8,직원목록!$F215),2))</f>
        <v/>
      </c>
      <c r="I218" s="16" t="str">
        <f aca="false">IF($A218="","",ROUND($G218-$H218,2))</f>
        <v/>
      </c>
      <c r="J218" s="19" t="str">
        <f aca="false">IF($A218="","",COUNTIFS(출퇴근기록!$B$3:$B$3002,$A218,출퇴근기록!$I$3:$I$3002,"연차",출퇴근기록!$A$3:$A$3002,"&gt;="&amp;DATE($B$3,$D$3,1),출퇴근기록!$A$3:$A$3002,"&lt;="&amp;EOMONTH(DATE($B$3,$D$3,1),0)))</f>
        <v/>
      </c>
      <c r="K218" s="19" t="str">
        <f aca="false">IF($A218="","",COUNTIFS(출퇴근기록!$B$3:$B$3002,$A218,출퇴근기록!$I$3:$I$3002,"결근",출퇴근기록!$A$3:$A$3002,"&gt;="&amp;DATE($B$3,$D$3,1),출퇴근기록!$A$3:$A$3002,"&lt;="&amp;EOMONTH(DATE($B$3,$D$3,1),0)))</f>
        <v/>
      </c>
    </row>
    <row r="219" customFormat="false" ht="15" hidden="false" customHeight="true" outlineLevel="0" collapsed="false">
      <c r="A219" s="13" t="str">
        <f aca="false">IF(직원목록!$A216="","",직원목록!$A216)</f>
        <v/>
      </c>
      <c r="B219" s="13" t="str">
        <f aca="false">IF($A219="","",직원목록!$B216)</f>
        <v/>
      </c>
      <c r="C219" s="13" t="str">
        <f aca="false">IF($A219="","",직원목록!$C216)</f>
        <v/>
      </c>
      <c r="D219" s="19" t="str">
        <f aca="false">IF($A219="","",COUNTIFS(출퇴근기록!$B$3:$B$3002,$A219,출퇴근기록!$H$3:$H$3002,"&gt;0",출퇴근기록!$A$3:$A$3002,"&gt;="&amp;DATE($B$3,$D$3,1),출퇴근기록!$A$3:$A$3002,"&lt;="&amp;EOMONTH(DATE($B$3,$D$3,1),0)))</f>
        <v/>
      </c>
      <c r="E219" s="16" t="str">
        <f aca="false">IF($A219="","",ROUND(SUMIFS(출퇴근기록!$H$3:$H$3002,출퇴근기록!$B$3:$B$3002,$A219,출퇴근기록!$I$3:$I$3002,"평일",출퇴근기록!$A$3:$A$3002,"&gt;="&amp;DATE($B$3,$D$3,1),출퇴근기록!$A$3:$A$3002,"&lt;="&amp;EOMONTH(DATE($B$3,$D$3,1),0)),2))</f>
        <v/>
      </c>
      <c r="F219" s="16" t="str">
        <f aca="false">IF($A219="","",ROUND(SUMIFS(출퇴근기록!$H$3:$H$3002,출퇴근기록!$B$3:$B$3002,$A219,출퇴근기록!$I$3:$I$3002,"휴일",출퇴근기록!$A$3:$A$3002,"&gt;="&amp;DATE($B$3,$D$3,1),출퇴근기록!$A$3:$A$3002,"&lt;="&amp;EOMONTH(DATE($B$3,$D$3,1),0)),2))</f>
        <v/>
      </c>
      <c r="G219" s="16" t="str">
        <f aca="false">IF($A219="","",ROUND(SUMIFS(출퇴근기록!$H$3:$H$3002,출퇴근기록!$B$3:$B$3002,$A219,출퇴근기록!$A$3:$A$3002,"&gt;="&amp;DATE($B$3,$D$3,1),출퇴근기록!$A$3:$A$3002,"&lt;="&amp;EOMONTH(DATE($B$3,$D$3,1),0)),2))</f>
        <v/>
      </c>
      <c r="H219" s="16" t="str">
        <f aca="false">IF($A219="","",ROUND($D219*IF(직원목록!$F216="",8,직원목록!$F216),2))</f>
        <v/>
      </c>
      <c r="I219" s="16" t="str">
        <f aca="false">IF($A219="","",ROUND($G219-$H219,2))</f>
        <v/>
      </c>
      <c r="J219" s="19" t="str">
        <f aca="false">IF($A219="","",COUNTIFS(출퇴근기록!$B$3:$B$3002,$A219,출퇴근기록!$I$3:$I$3002,"연차",출퇴근기록!$A$3:$A$3002,"&gt;="&amp;DATE($B$3,$D$3,1),출퇴근기록!$A$3:$A$3002,"&lt;="&amp;EOMONTH(DATE($B$3,$D$3,1),0)))</f>
        <v/>
      </c>
      <c r="K219" s="19" t="str">
        <f aca="false">IF($A219="","",COUNTIFS(출퇴근기록!$B$3:$B$3002,$A219,출퇴근기록!$I$3:$I$3002,"결근",출퇴근기록!$A$3:$A$3002,"&gt;="&amp;DATE($B$3,$D$3,1),출퇴근기록!$A$3:$A$3002,"&lt;="&amp;EOMONTH(DATE($B$3,$D$3,1),0)))</f>
        <v/>
      </c>
    </row>
    <row r="220" customFormat="false" ht="15" hidden="false" customHeight="true" outlineLevel="0" collapsed="false">
      <c r="A220" s="13" t="str">
        <f aca="false">IF(직원목록!$A217="","",직원목록!$A217)</f>
        <v/>
      </c>
      <c r="B220" s="13" t="str">
        <f aca="false">IF($A220="","",직원목록!$B217)</f>
        <v/>
      </c>
      <c r="C220" s="13" t="str">
        <f aca="false">IF($A220="","",직원목록!$C217)</f>
        <v/>
      </c>
      <c r="D220" s="19" t="str">
        <f aca="false">IF($A220="","",COUNTIFS(출퇴근기록!$B$3:$B$3002,$A220,출퇴근기록!$H$3:$H$3002,"&gt;0",출퇴근기록!$A$3:$A$3002,"&gt;="&amp;DATE($B$3,$D$3,1),출퇴근기록!$A$3:$A$3002,"&lt;="&amp;EOMONTH(DATE($B$3,$D$3,1),0)))</f>
        <v/>
      </c>
      <c r="E220" s="16" t="str">
        <f aca="false">IF($A220="","",ROUND(SUMIFS(출퇴근기록!$H$3:$H$3002,출퇴근기록!$B$3:$B$3002,$A220,출퇴근기록!$I$3:$I$3002,"평일",출퇴근기록!$A$3:$A$3002,"&gt;="&amp;DATE($B$3,$D$3,1),출퇴근기록!$A$3:$A$3002,"&lt;="&amp;EOMONTH(DATE($B$3,$D$3,1),0)),2))</f>
        <v/>
      </c>
      <c r="F220" s="16" t="str">
        <f aca="false">IF($A220="","",ROUND(SUMIFS(출퇴근기록!$H$3:$H$3002,출퇴근기록!$B$3:$B$3002,$A220,출퇴근기록!$I$3:$I$3002,"휴일",출퇴근기록!$A$3:$A$3002,"&gt;="&amp;DATE($B$3,$D$3,1),출퇴근기록!$A$3:$A$3002,"&lt;="&amp;EOMONTH(DATE($B$3,$D$3,1),0)),2))</f>
        <v/>
      </c>
      <c r="G220" s="16" t="str">
        <f aca="false">IF($A220="","",ROUND(SUMIFS(출퇴근기록!$H$3:$H$3002,출퇴근기록!$B$3:$B$3002,$A220,출퇴근기록!$A$3:$A$3002,"&gt;="&amp;DATE($B$3,$D$3,1),출퇴근기록!$A$3:$A$3002,"&lt;="&amp;EOMONTH(DATE($B$3,$D$3,1),0)),2))</f>
        <v/>
      </c>
      <c r="H220" s="16" t="str">
        <f aca="false">IF($A220="","",ROUND($D220*IF(직원목록!$F217="",8,직원목록!$F217),2))</f>
        <v/>
      </c>
      <c r="I220" s="16" t="str">
        <f aca="false">IF($A220="","",ROUND($G220-$H220,2))</f>
        <v/>
      </c>
      <c r="J220" s="19" t="str">
        <f aca="false">IF($A220="","",COUNTIFS(출퇴근기록!$B$3:$B$3002,$A220,출퇴근기록!$I$3:$I$3002,"연차",출퇴근기록!$A$3:$A$3002,"&gt;="&amp;DATE($B$3,$D$3,1),출퇴근기록!$A$3:$A$3002,"&lt;="&amp;EOMONTH(DATE($B$3,$D$3,1),0)))</f>
        <v/>
      </c>
      <c r="K220" s="19" t="str">
        <f aca="false">IF($A220="","",COUNTIFS(출퇴근기록!$B$3:$B$3002,$A220,출퇴근기록!$I$3:$I$3002,"결근",출퇴근기록!$A$3:$A$3002,"&gt;="&amp;DATE($B$3,$D$3,1),출퇴근기록!$A$3:$A$3002,"&lt;="&amp;EOMONTH(DATE($B$3,$D$3,1),0)))</f>
        <v/>
      </c>
    </row>
    <row r="221" customFormat="false" ht="15" hidden="false" customHeight="true" outlineLevel="0" collapsed="false">
      <c r="A221" s="13" t="str">
        <f aca="false">IF(직원목록!$A218="","",직원목록!$A218)</f>
        <v/>
      </c>
      <c r="B221" s="13" t="str">
        <f aca="false">IF($A221="","",직원목록!$B218)</f>
        <v/>
      </c>
      <c r="C221" s="13" t="str">
        <f aca="false">IF($A221="","",직원목록!$C218)</f>
        <v/>
      </c>
      <c r="D221" s="19" t="str">
        <f aca="false">IF($A221="","",COUNTIFS(출퇴근기록!$B$3:$B$3002,$A221,출퇴근기록!$H$3:$H$3002,"&gt;0",출퇴근기록!$A$3:$A$3002,"&gt;="&amp;DATE($B$3,$D$3,1),출퇴근기록!$A$3:$A$3002,"&lt;="&amp;EOMONTH(DATE($B$3,$D$3,1),0)))</f>
        <v/>
      </c>
      <c r="E221" s="16" t="str">
        <f aca="false">IF($A221="","",ROUND(SUMIFS(출퇴근기록!$H$3:$H$3002,출퇴근기록!$B$3:$B$3002,$A221,출퇴근기록!$I$3:$I$3002,"평일",출퇴근기록!$A$3:$A$3002,"&gt;="&amp;DATE($B$3,$D$3,1),출퇴근기록!$A$3:$A$3002,"&lt;="&amp;EOMONTH(DATE($B$3,$D$3,1),0)),2))</f>
        <v/>
      </c>
      <c r="F221" s="16" t="str">
        <f aca="false">IF($A221="","",ROUND(SUMIFS(출퇴근기록!$H$3:$H$3002,출퇴근기록!$B$3:$B$3002,$A221,출퇴근기록!$I$3:$I$3002,"휴일",출퇴근기록!$A$3:$A$3002,"&gt;="&amp;DATE($B$3,$D$3,1),출퇴근기록!$A$3:$A$3002,"&lt;="&amp;EOMONTH(DATE($B$3,$D$3,1),0)),2))</f>
        <v/>
      </c>
      <c r="G221" s="16" t="str">
        <f aca="false">IF($A221="","",ROUND(SUMIFS(출퇴근기록!$H$3:$H$3002,출퇴근기록!$B$3:$B$3002,$A221,출퇴근기록!$A$3:$A$3002,"&gt;="&amp;DATE($B$3,$D$3,1),출퇴근기록!$A$3:$A$3002,"&lt;="&amp;EOMONTH(DATE($B$3,$D$3,1),0)),2))</f>
        <v/>
      </c>
      <c r="H221" s="16" t="str">
        <f aca="false">IF($A221="","",ROUND($D221*IF(직원목록!$F218="",8,직원목록!$F218),2))</f>
        <v/>
      </c>
      <c r="I221" s="16" t="str">
        <f aca="false">IF($A221="","",ROUND($G221-$H221,2))</f>
        <v/>
      </c>
      <c r="J221" s="19" t="str">
        <f aca="false">IF($A221="","",COUNTIFS(출퇴근기록!$B$3:$B$3002,$A221,출퇴근기록!$I$3:$I$3002,"연차",출퇴근기록!$A$3:$A$3002,"&gt;="&amp;DATE($B$3,$D$3,1),출퇴근기록!$A$3:$A$3002,"&lt;="&amp;EOMONTH(DATE($B$3,$D$3,1),0)))</f>
        <v/>
      </c>
      <c r="K221" s="19" t="str">
        <f aca="false">IF($A221="","",COUNTIFS(출퇴근기록!$B$3:$B$3002,$A221,출퇴근기록!$I$3:$I$3002,"결근",출퇴근기록!$A$3:$A$3002,"&gt;="&amp;DATE($B$3,$D$3,1),출퇴근기록!$A$3:$A$3002,"&lt;="&amp;EOMONTH(DATE($B$3,$D$3,1),0)))</f>
        <v/>
      </c>
    </row>
    <row r="222" customFormat="false" ht="15" hidden="false" customHeight="true" outlineLevel="0" collapsed="false">
      <c r="A222" s="13" t="str">
        <f aca="false">IF(직원목록!$A219="","",직원목록!$A219)</f>
        <v/>
      </c>
      <c r="B222" s="13" t="str">
        <f aca="false">IF($A222="","",직원목록!$B219)</f>
        <v/>
      </c>
      <c r="C222" s="13" t="str">
        <f aca="false">IF($A222="","",직원목록!$C219)</f>
        <v/>
      </c>
      <c r="D222" s="19" t="str">
        <f aca="false">IF($A222="","",COUNTIFS(출퇴근기록!$B$3:$B$3002,$A222,출퇴근기록!$H$3:$H$3002,"&gt;0",출퇴근기록!$A$3:$A$3002,"&gt;="&amp;DATE($B$3,$D$3,1),출퇴근기록!$A$3:$A$3002,"&lt;="&amp;EOMONTH(DATE($B$3,$D$3,1),0)))</f>
        <v/>
      </c>
      <c r="E222" s="16" t="str">
        <f aca="false">IF($A222="","",ROUND(SUMIFS(출퇴근기록!$H$3:$H$3002,출퇴근기록!$B$3:$B$3002,$A222,출퇴근기록!$I$3:$I$3002,"평일",출퇴근기록!$A$3:$A$3002,"&gt;="&amp;DATE($B$3,$D$3,1),출퇴근기록!$A$3:$A$3002,"&lt;="&amp;EOMONTH(DATE($B$3,$D$3,1),0)),2))</f>
        <v/>
      </c>
      <c r="F222" s="16" t="str">
        <f aca="false">IF($A222="","",ROUND(SUMIFS(출퇴근기록!$H$3:$H$3002,출퇴근기록!$B$3:$B$3002,$A222,출퇴근기록!$I$3:$I$3002,"휴일",출퇴근기록!$A$3:$A$3002,"&gt;="&amp;DATE($B$3,$D$3,1),출퇴근기록!$A$3:$A$3002,"&lt;="&amp;EOMONTH(DATE($B$3,$D$3,1),0)),2))</f>
        <v/>
      </c>
      <c r="G222" s="16" t="str">
        <f aca="false">IF($A222="","",ROUND(SUMIFS(출퇴근기록!$H$3:$H$3002,출퇴근기록!$B$3:$B$3002,$A222,출퇴근기록!$A$3:$A$3002,"&gt;="&amp;DATE($B$3,$D$3,1),출퇴근기록!$A$3:$A$3002,"&lt;="&amp;EOMONTH(DATE($B$3,$D$3,1),0)),2))</f>
        <v/>
      </c>
      <c r="H222" s="16" t="str">
        <f aca="false">IF($A222="","",ROUND($D222*IF(직원목록!$F219="",8,직원목록!$F219),2))</f>
        <v/>
      </c>
      <c r="I222" s="16" t="str">
        <f aca="false">IF($A222="","",ROUND($G222-$H222,2))</f>
        <v/>
      </c>
      <c r="J222" s="19" t="str">
        <f aca="false">IF($A222="","",COUNTIFS(출퇴근기록!$B$3:$B$3002,$A222,출퇴근기록!$I$3:$I$3002,"연차",출퇴근기록!$A$3:$A$3002,"&gt;="&amp;DATE($B$3,$D$3,1),출퇴근기록!$A$3:$A$3002,"&lt;="&amp;EOMONTH(DATE($B$3,$D$3,1),0)))</f>
        <v/>
      </c>
      <c r="K222" s="19" t="str">
        <f aca="false">IF($A222="","",COUNTIFS(출퇴근기록!$B$3:$B$3002,$A222,출퇴근기록!$I$3:$I$3002,"결근",출퇴근기록!$A$3:$A$3002,"&gt;="&amp;DATE($B$3,$D$3,1),출퇴근기록!$A$3:$A$3002,"&lt;="&amp;EOMONTH(DATE($B$3,$D$3,1),0)))</f>
        <v/>
      </c>
    </row>
    <row r="223" customFormat="false" ht="15" hidden="false" customHeight="true" outlineLevel="0" collapsed="false">
      <c r="A223" s="13" t="str">
        <f aca="false">IF(직원목록!$A220="","",직원목록!$A220)</f>
        <v/>
      </c>
      <c r="B223" s="13" t="str">
        <f aca="false">IF($A223="","",직원목록!$B220)</f>
        <v/>
      </c>
      <c r="C223" s="13" t="str">
        <f aca="false">IF($A223="","",직원목록!$C220)</f>
        <v/>
      </c>
      <c r="D223" s="19" t="str">
        <f aca="false">IF($A223="","",COUNTIFS(출퇴근기록!$B$3:$B$3002,$A223,출퇴근기록!$H$3:$H$3002,"&gt;0",출퇴근기록!$A$3:$A$3002,"&gt;="&amp;DATE($B$3,$D$3,1),출퇴근기록!$A$3:$A$3002,"&lt;="&amp;EOMONTH(DATE($B$3,$D$3,1),0)))</f>
        <v/>
      </c>
      <c r="E223" s="16" t="str">
        <f aca="false">IF($A223="","",ROUND(SUMIFS(출퇴근기록!$H$3:$H$3002,출퇴근기록!$B$3:$B$3002,$A223,출퇴근기록!$I$3:$I$3002,"평일",출퇴근기록!$A$3:$A$3002,"&gt;="&amp;DATE($B$3,$D$3,1),출퇴근기록!$A$3:$A$3002,"&lt;="&amp;EOMONTH(DATE($B$3,$D$3,1),0)),2))</f>
        <v/>
      </c>
      <c r="F223" s="16" t="str">
        <f aca="false">IF($A223="","",ROUND(SUMIFS(출퇴근기록!$H$3:$H$3002,출퇴근기록!$B$3:$B$3002,$A223,출퇴근기록!$I$3:$I$3002,"휴일",출퇴근기록!$A$3:$A$3002,"&gt;="&amp;DATE($B$3,$D$3,1),출퇴근기록!$A$3:$A$3002,"&lt;="&amp;EOMONTH(DATE($B$3,$D$3,1),0)),2))</f>
        <v/>
      </c>
      <c r="G223" s="16" t="str">
        <f aca="false">IF($A223="","",ROUND(SUMIFS(출퇴근기록!$H$3:$H$3002,출퇴근기록!$B$3:$B$3002,$A223,출퇴근기록!$A$3:$A$3002,"&gt;="&amp;DATE($B$3,$D$3,1),출퇴근기록!$A$3:$A$3002,"&lt;="&amp;EOMONTH(DATE($B$3,$D$3,1),0)),2))</f>
        <v/>
      </c>
      <c r="H223" s="16" t="str">
        <f aca="false">IF($A223="","",ROUND($D223*IF(직원목록!$F220="",8,직원목록!$F220),2))</f>
        <v/>
      </c>
      <c r="I223" s="16" t="str">
        <f aca="false">IF($A223="","",ROUND($G223-$H223,2))</f>
        <v/>
      </c>
      <c r="J223" s="19" t="str">
        <f aca="false">IF($A223="","",COUNTIFS(출퇴근기록!$B$3:$B$3002,$A223,출퇴근기록!$I$3:$I$3002,"연차",출퇴근기록!$A$3:$A$3002,"&gt;="&amp;DATE($B$3,$D$3,1),출퇴근기록!$A$3:$A$3002,"&lt;="&amp;EOMONTH(DATE($B$3,$D$3,1),0)))</f>
        <v/>
      </c>
      <c r="K223" s="19" t="str">
        <f aca="false">IF($A223="","",COUNTIFS(출퇴근기록!$B$3:$B$3002,$A223,출퇴근기록!$I$3:$I$3002,"결근",출퇴근기록!$A$3:$A$3002,"&gt;="&amp;DATE($B$3,$D$3,1),출퇴근기록!$A$3:$A$3002,"&lt;="&amp;EOMONTH(DATE($B$3,$D$3,1),0)))</f>
        <v/>
      </c>
    </row>
    <row r="224" customFormat="false" ht="15" hidden="false" customHeight="true" outlineLevel="0" collapsed="false">
      <c r="A224" s="13" t="str">
        <f aca="false">IF(직원목록!$A221="","",직원목록!$A221)</f>
        <v/>
      </c>
      <c r="B224" s="13" t="str">
        <f aca="false">IF($A224="","",직원목록!$B221)</f>
        <v/>
      </c>
      <c r="C224" s="13" t="str">
        <f aca="false">IF($A224="","",직원목록!$C221)</f>
        <v/>
      </c>
      <c r="D224" s="19" t="str">
        <f aca="false">IF($A224="","",COUNTIFS(출퇴근기록!$B$3:$B$3002,$A224,출퇴근기록!$H$3:$H$3002,"&gt;0",출퇴근기록!$A$3:$A$3002,"&gt;="&amp;DATE($B$3,$D$3,1),출퇴근기록!$A$3:$A$3002,"&lt;="&amp;EOMONTH(DATE($B$3,$D$3,1),0)))</f>
        <v/>
      </c>
      <c r="E224" s="16" t="str">
        <f aca="false">IF($A224="","",ROUND(SUMIFS(출퇴근기록!$H$3:$H$3002,출퇴근기록!$B$3:$B$3002,$A224,출퇴근기록!$I$3:$I$3002,"평일",출퇴근기록!$A$3:$A$3002,"&gt;="&amp;DATE($B$3,$D$3,1),출퇴근기록!$A$3:$A$3002,"&lt;="&amp;EOMONTH(DATE($B$3,$D$3,1),0)),2))</f>
        <v/>
      </c>
      <c r="F224" s="16" t="str">
        <f aca="false">IF($A224="","",ROUND(SUMIFS(출퇴근기록!$H$3:$H$3002,출퇴근기록!$B$3:$B$3002,$A224,출퇴근기록!$I$3:$I$3002,"휴일",출퇴근기록!$A$3:$A$3002,"&gt;="&amp;DATE($B$3,$D$3,1),출퇴근기록!$A$3:$A$3002,"&lt;="&amp;EOMONTH(DATE($B$3,$D$3,1),0)),2))</f>
        <v/>
      </c>
      <c r="G224" s="16" t="str">
        <f aca="false">IF($A224="","",ROUND(SUMIFS(출퇴근기록!$H$3:$H$3002,출퇴근기록!$B$3:$B$3002,$A224,출퇴근기록!$A$3:$A$3002,"&gt;="&amp;DATE($B$3,$D$3,1),출퇴근기록!$A$3:$A$3002,"&lt;="&amp;EOMONTH(DATE($B$3,$D$3,1),0)),2))</f>
        <v/>
      </c>
      <c r="H224" s="16" t="str">
        <f aca="false">IF($A224="","",ROUND($D224*IF(직원목록!$F221="",8,직원목록!$F221),2))</f>
        <v/>
      </c>
      <c r="I224" s="16" t="str">
        <f aca="false">IF($A224="","",ROUND($G224-$H224,2))</f>
        <v/>
      </c>
      <c r="J224" s="19" t="str">
        <f aca="false">IF($A224="","",COUNTIFS(출퇴근기록!$B$3:$B$3002,$A224,출퇴근기록!$I$3:$I$3002,"연차",출퇴근기록!$A$3:$A$3002,"&gt;="&amp;DATE($B$3,$D$3,1),출퇴근기록!$A$3:$A$3002,"&lt;="&amp;EOMONTH(DATE($B$3,$D$3,1),0)))</f>
        <v/>
      </c>
      <c r="K224" s="19" t="str">
        <f aca="false">IF($A224="","",COUNTIFS(출퇴근기록!$B$3:$B$3002,$A224,출퇴근기록!$I$3:$I$3002,"결근",출퇴근기록!$A$3:$A$3002,"&gt;="&amp;DATE($B$3,$D$3,1),출퇴근기록!$A$3:$A$3002,"&lt;="&amp;EOMONTH(DATE($B$3,$D$3,1),0)))</f>
        <v/>
      </c>
    </row>
    <row r="225" customFormat="false" ht="15" hidden="false" customHeight="true" outlineLevel="0" collapsed="false">
      <c r="A225" s="13" t="str">
        <f aca="false">IF(직원목록!$A222="","",직원목록!$A222)</f>
        <v/>
      </c>
      <c r="B225" s="13" t="str">
        <f aca="false">IF($A225="","",직원목록!$B222)</f>
        <v/>
      </c>
      <c r="C225" s="13" t="str">
        <f aca="false">IF($A225="","",직원목록!$C222)</f>
        <v/>
      </c>
      <c r="D225" s="19" t="str">
        <f aca="false">IF($A225="","",COUNTIFS(출퇴근기록!$B$3:$B$3002,$A225,출퇴근기록!$H$3:$H$3002,"&gt;0",출퇴근기록!$A$3:$A$3002,"&gt;="&amp;DATE($B$3,$D$3,1),출퇴근기록!$A$3:$A$3002,"&lt;="&amp;EOMONTH(DATE($B$3,$D$3,1),0)))</f>
        <v/>
      </c>
      <c r="E225" s="16" t="str">
        <f aca="false">IF($A225="","",ROUND(SUMIFS(출퇴근기록!$H$3:$H$3002,출퇴근기록!$B$3:$B$3002,$A225,출퇴근기록!$I$3:$I$3002,"평일",출퇴근기록!$A$3:$A$3002,"&gt;="&amp;DATE($B$3,$D$3,1),출퇴근기록!$A$3:$A$3002,"&lt;="&amp;EOMONTH(DATE($B$3,$D$3,1),0)),2))</f>
        <v/>
      </c>
      <c r="F225" s="16" t="str">
        <f aca="false">IF($A225="","",ROUND(SUMIFS(출퇴근기록!$H$3:$H$3002,출퇴근기록!$B$3:$B$3002,$A225,출퇴근기록!$I$3:$I$3002,"휴일",출퇴근기록!$A$3:$A$3002,"&gt;="&amp;DATE($B$3,$D$3,1),출퇴근기록!$A$3:$A$3002,"&lt;="&amp;EOMONTH(DATE($B$3,$D$3,1),0)),2))</f>
        <v/>
      </c>
      <c r="G225" s="16" t="str">
        <f aca="false">IF($A225="","",ROUND(SUMIFS(출퇴근기록!$H$3:$H$3002,출퇴근기록!$B$3:$B$3002,$A225,출퇴근기록!$A$3:$A$3002,"&gt;="&amp;DATE($B$3,$D$3,1),출퇴근기록!$A$3:$A$3002,"&lt;="&amp;EOMONTH(DATE($B$3,$D$3,1),0)),2))</f>
        <v/>
      </c>
      <c r="H225" s="16" t="str">
        <f aca="false">IF($A225="","",ROUND($D225*IF(직원목록!$F222="",8,직원목록!$F222),2))</f>
        <v/>
      </c>
      <c r="I225" s="16" t="str">
        <f aca="false">IF($A225="","",ROUND($G225-$H225,2))</f>
        <v/>
      </c>
      <c r="J225" s="19" t="str">
        <f aca="false">IF($A225="","",COUNTIFS(출퇴근기록!$B$3:$B$3002,$A225,출퇴근기록!$I$3:$I$3002,"연차",출퇴근기록!$A$3:$A$3002,"&gt;="&amp;DATE($B$3,$D$3,1),출퇴근기록!$A$3:$A$3002,"&lt;="&amp;EOMONTH(DATE($B$3,$D$3,1),0)))</f>
        <v/>
      </c>
      <c r="K225" s="19" t="str">
        <f aca="false">IF($A225="","",COUNTIFS(출퇴근기록!$B$3:$B$3002,$A225,출퇴근기록!$I$3:$I$3002,"결근",출퇴근기록!$A$3:$A$3002,"&gt;="&amp;DATE($B$3,$D$3,1),출퇴근기록!$A$3:$A$3002,"&lt;="&amp;EOMONTH(DATE($B$3,$D$3,1),0)))</f>
        <v/>
      </c>
    </row>
    <row r="226" customFormat="false" ht="15" hidden="false" customHeight="true" outlineLevel="0" collapsed="false">
      <c r="A226" s="13" t="str">
        <f aca="false">IF(직원목록!$A223="","",직원목록!$A223)</f>
        <v/>
      </c>
      <c r="B226" s="13" t="str">
        <f aca="false">IF($A226="","",직원목록!$B223)</f>
        <v/>
      </c>
      <c r="C226" s="13" t="str">
        <f aca="false">IF($A226="","",직원목록!$C223)</f>
        <v/>
      </c>
      <c r="D226" s="19" t="str">
        <f aca="false">IF($A226="","",COUNTIFS(출퇴근기록!$B$3:$B$3002,$A226,출퇴근기록!$H$3:$H$3002,"&gt;0",출퇴근기록!$A$3:$A$3002,"&gt;="&amp;DATE($B$3,$D$3,1),출퇴근기록!$A$3:$A$3002,"&lt;="&amp;EOMONTH(DATE($B$3,$D$3,1),0)))</f>
        <v/>
      </c>
      <c r="E226" s="16" t="str">
        <f aca="false">IF($A226="","",ROUND(SUMIFS(출퇴근기록!$H$3:$H$3002,출퇴근기록!$B$3:$B$3002,$A226,출퇴근기록!$I$3:$I$3002,"평일",출퇴근기록!$A$3:$A$3002,"&gt;="&amp;DATE($B$3,$D$3,1),출퇴근기록!$A$3:$A$3002,"&lt;="&amp;EOMONTH(DATE($B$3,$D$3,1),0)),2))</f>
        <v/>
      </c>
      <c r="F226" s="16" t="str">
        <f aca="false">IF($A226="","",ROUND(SUMIFS(출퇴근기록!$H$3:$H$3002,출퇴근기록!$B$3:$B$3002,$A226,출퇴근기록!$I$3:$I$3002,"휴일",출퇴근기록!$A$3:$A$3002,"&gt;="&amp;DATE($B$3,$D$3,1),출퇴근기록!$A$3:$A$3002,"&lt;="&amp;EOMONTH(DATE($B$3,$D$3,1),0)),2))</f>
        <v/>
      </c>
      <c r="G226" s="16" t="str">
        <f aca="false">IF($A226="","",ROUND(SUMIFS(출퇴근기록!$H$3:$H$3002,출퇴근기록!$B$3:$B$3002,$A226,출퇴근기록!$A$3:$A$3002,"&gt;="&amp;DATE($B$3,$D$3,1),출퇴근기록!$A$3:$A$3002,"&lt;="&amp;EOMONTH(DATE($B$3,$D$3,1),0)),2))</f>
        <v/>
      </c>
      <c r="H226" s="16" t="str">
        <f aca="false">IF($A226="","",ROUND($D226*IF(직원목록!$F223="",8,직원목록!$F223),2))</f>
        <v/>
      </c>
      <c r="I226" s="16" t="str">
        <f aca="false">IF($A226="","",ROUND($G226-$H226,2))</f>
        <v/>
      </c>
      <c r="J226" s="19" t="str">
        <f aca="false">IF($A226="","",COUNTIFS(출퇴근기록!$B$3:$B$3002,$A226,출퇴근기록!$I$3:$I$3002,"연차",출퇴근기록!$A$3:$A$3002,"&gt;="&amp;DATE($B$3,$D$3,1),출퇴근기록!$A$3:$A$3002,"&lt;="&amp;EOMONTH(DATE($B$3,$D$3,1),0)))</f>
        <v/>
      </c>
      <c r="K226" s="19" t="str">
        <f aca="false">IF($A226="","",COUNTIFS(출퇴근기록!$B$3:$B$3002,$A226,출퇴근기록!$I$3:$I$3002,"결근",출퇴근기록!$A$3:$A$3002,"&gt;="&amp;DATE($B$3,$D$3,1),출퇴근기록!$A$3:$A$3002,"&lt;="&amp;EOMONTH(DATE($B$3,$D$3,1),0)))</f>
        <v/>
      </c>
    </row>
    <row r="227" customFormat="false" ht="15" hidden="false" customHeight="true" outlineLevel="0" collapsed="false">
      <c r="A227" s="13" t="str">
        <f aca="false">IF(직원목록!$A224="","",직원목록!$A224)</f>
        <v/>
      </c>
      <c r="B227" s="13" t="str">
        <f aca="false">IF($A227="","",직원목록!$B224)</f>
        <v/>
      </c>
      <c r="C227" s="13" t="str">
        <f aca="false">IF($A227="","",직원목록!$C224)</f>
        <v/>
      </c>
      <c r="D227" s="19" t="str">
        <f aca="false">IF($A227="","",COUNTIFS(출퇴근기록!$B$3:$B$3002,$A227,출퇴근기록!$H$3:$H$3002,"&gt;0",출퇴근기록!$A$3:$A$3002,"&gt;="&amp;DATE($B$3,$D$3,1),출퇴근기록!$A$3:$A$3002,"&lt;="&amp;EOMONTH(DATE($B$3,$D$3,1),0)))</f>
        <v/>
      </c>
      <c r="E227" s="16" t="str">
        <f aca="false">IF($A227="","",ROUND(SUMIFS(출퇴근기록!$H$3:$H$3002,출퇴근기록!$B$3:$B$3002,$A227,출퇴근기록!$I$3:$I$3002,"평일",출퇴근기록!$A$3:$A$3002,"&gt;="&amp;DATE($B$3,$D$3,1),출퇴근기록!$A$3:$A$3002,"&lt;="&amp;EOMONTH(DATE($B$3,$D$3,1),0)),2))</f>
        <v/>
      </c>
      <c r="F227" s="16" t="str">
        <f aca="false">IF($A227="","",ROUND(SUMIFS(출퇴근기록!$H$3:$H$3002,출퇴근기록!$B$3:$B$3002,$A227,출퇴근기록!$I$3:$I$3002,"휴일",출퇴근기록!$A$3:$A$3002,"&gt;="&amp;DATE($B$3,$D$3,1),출퇴근기록!$A$3:$A$3002,"&lt;="&amp;EOMONTH(DATE($B$3,$D$3,1),0)),2))</f>
        <v/>
      </c>
      <c r="G227" s="16" t="str">
        <f aca="false">IF($A227="","",ROUND(SUMIFS(출퇴근기록!$H$3:$H$3002,출퇴근기록!$B$3:$B$3002,$A227,출퇴근기록!$A$3:$A$3002,"&gt;="&amp;DATE($B$3,$D$3,1),출퇴근기록!$A$3:$A$3002,"&lt;="&amp;EOMONTH(DATE($B$3,$D$3,1),0)),2))</f>
        <v/>
      </c>
      <c r="H227" s="16" t="str">
        <f aca="false">IF($A227="","",ROUND($D227*IF(직원목록!$F224="",8,직원목록!$F224),2))</f>
        <v/>
      </c>
      <c r="I227" s="16" t="str">
        <f aca="false">IF($A227="","",ROUND($G227-$H227,2))</f>
        <v/>
      </c>
      <c r="J227" s="19" t="str">
        <f aca="false">IF($A227="","",COUNTIFS(출퇴근기록!$B$3:$B$3002,$A227,출퇴근기록!$I$3:$I$3002,"연차",출퇴근기록!$A$3:$A$3002,"&gt;="&amp;DATE($B$3,$D$3,1),출퇴근기록!$A$3:$A$3002,"&lt;="&amp;EOMONTH(DATE($B$3,$D$3,1),0)))</f>
        <v/>
      </c>
      <c r="K227" s="19" t="str">
        <f aca="false">IF($A227="","",COUNTIFS(출퇴근기록!$B$3:$B$3002,$A227,출퇴근기록!$I$3:$I$3002,"결근",출퇴근기록!$A$3:$A$3002,"&gt;="&amp;DATE($B$3,$D$3,1),출퇴근기록!$A$3:$A$3002,"&lt;="&amp;EOMONTH(DATE($B$3,$D$3,1),0)))</f>
        <v/>
      </c>
    </row>
    <row r="228" customFormat="false" ht="15" hidden="false" customHeight="true" outlineLevel="0" collapsed="false">
      <c r="A228" s="13" t="str">
        <f aca="false">IF(직원목록!$A225="","",직원목록!$A225)</f>
        <v/>
      </c>
      <c r="B228" s="13" t="str">
        <f aca="false">IF($A228="","",직원목록!$B225)</f>
        <v/>
      </c>
      <c r="C228" s="13" t="str">
        <f aca="false">IF($A228="","",직원목록!$C225)</f>
        <v/>
      </c>
      <c r="D228" s="19" t="str">
        <f aca="false">IF($A228="","",COUNTIFS(출퇴근기록!$B$3:$B$3002,$A228,출퇴근기록!$H$3:$H$3002,"&gt;0",출퇴근기록!$A$3:$A$3002,"&gt;="&amp;DATE($B$3,$D$3,1),출퇴근기록!$A$3:$A$3002,"&lt;="&amp;EOMONTH(DATE($B$3,$D$3,1),0)))</f>
        <v/>
      </c>
      <c r="E228" s="16" t="str">
        <f aca="false">IF($A228="","",ROUND(SUMIFS(출퇴근기록!$H$3:$H$3002,출퇴근기록!$B$3:$B$3002,$A228,출퇴근기록!$I$3:$I$3002,"평일",출퇴근기록!$A$3:$A$3002,"&gt;="&amp;DATE($B$3,$D$3,1),출퇴근기록!$A$3:$A$3002,"&lt;="&amp;EOMONTH(DATE($B$3,$D$3,1),0)),2))</f>
        <v/>
      </c>
      <c r="F228" s="16" t="str">
        <f aca="false">IF($A228="","",ROUND(SUMIFS(출퇴근기록!$H$3:$H$3002,출퇴근기록!$B$3:$B$3002,$A228,출퇴근기록!$I$3:$I$3002,"휴일",출퇴근기록!$A$3:$A$3002,"&gt;="&amp;DATE($B$3,$D$3,1),출퇴근기록!$A$3:$A$3002,"&lt;="&amp;EOMONTH(DATE($B$3,$D$3,1),0)),2))</f>
        <v/>
      </c>
      <c r="G228" s="16" t="str">
        <f aca="false">IF($A228="","",ROUND(SUMIFS(출퇴근기록!$H$3:$H$3002,출퇴근기록!$B$3:$B$3002,$A228,출퇴근기록!$A$3:$A$3002,"&gt;="&amp;DATE($B$3,$D$3,1),출퇴근기록!$A$3:$A$3002,"&lt;="&amp;EOMONTH(DATE($B$3,$D$3,1),0)),2))</f>
        <v/>
      </c>
      <c r="H228" s="16" t="str">
        <f aca="false">IF($A228="","",ROUND($D228*IF(직원목록!$F225="",8,직원목록!$F225),2))</f>
        <v/>
      </c>
      <c r="I228" s="16" t="str">
        <f aca="false">IF($A228="","",ROUND($G228-$H228,2))</f>
        <v/>
      </c>
      <c r="J228" s="19" t="str">
        <f aca="false">IF($A228="","",COUNTIFS(출퇴근기록!$B$3:$B$3002,$A228,출퇴근기록!$I$3:$I$3002,"연차",출퇴근기록!$A$3:$A$3002,"&gt;="&amp;DATE($B$3,$D$3,1),출퇴근기록!$A$3:$A$3002,"&lt;="&amp;EOMONTH(DATE($B$3,$D$3,1),0)))</f>
        <v/>
      </c>
      <c r="K228" s="19" t="str">
        <f aca="false">IF($A228="","",COUNTIFS(출퇴근기록!$B$3:$B$3002,$A228,출퇴근기록!$I$3:$I$3002,"결근",출퇴근기록!$A$3:$A$3002,"&gt;="&amp;DATE($B$3,$D$3,1),출퇴근기록!$A$3:$A$3002,"&lt;="&amp;EOMONTH(DATE($B$3,$D$3,1),0)))</f>
        <v/>
      </c>
    </row>
    <row r="229" customFormat="false" ht="15" hidden="false" customHeight="true" outlineLevel="0" collapsed="false">
      <c r="A229" s="13" t="str">
        <f aca="false">IF(직원목록!$A226="","",직원목록!$A226)</f>
        <v/>
      </c>
      <c r="B229" s="13" t="str">
        <f aca="false">IF($A229="","",직원목록!$B226)</f>
        <v/>
      </c>
      <c r="C229" s="13" t="str">
        <f aca="false">IF($A229="","",직원목록!$C226)</f>
        <v/>
      </c>
      <c r="D229" s="19" t="str">
        <f aca="false">IF($A229="","",COUNTIFS(출퇴근기록!$B$3:$B$3002,$A229,출퇴근기록!$H$3:$H$3002,"&gt;0",출퇴근기록!$A$3:$A$3002,"&gt;="&amp;DATE($B$3,$D$3,1),출퇴근기록!$A$3:$A$3002,"&lt;="&amp;EOMONTH(DATE($B$3,$D$3,1),0)))</f>
        <v/>
      </c>
      <c r="E229" s="16" t="str">
        <f aca="false">IF($A229="","",ROUND(SUMIFS(출퇴근기록!$H$3:$H$3002,출퇴근기록!$B$3:$B$3002,$A229,출퇴근기록!$I$3:$I$3002,"평일",출퇴근기록!$A$3:$A$3002,"&gt;="&amp;DATE($B$3,$D$3,1),출퇴근기록!$A$3:$A$3002,"&lt;="&amp;EOMONTH(DATE($B$3,$D$3,1),0)),2))</f>
        <v/>
      </c>
      <c r="F229" s="16" t="str">
        <f aca="false">IF($A229="","",ROUND(SUMIFS(출퇴근기록!$H$3:$H$3002,출퇴근기록!$B$3:$B$3002,$A229,출퇴근기록!$I$3:$I$3002,"휴일",출퇴근기록!$A$3:$A$3002,"&gt;="&amp;DATE($B$3,$D$3,1),출퇴근기록!$A$3:$A$3002,"&lt;="&amp;EOMONTH(DATE($B$3,$D$3,1),0)),2))</f>
        <v/>
      </c>
      <c r="G229" s="16" t="str">
        <f aca="false">IF($A229="","",ROUND(SUMIFS(출퇴근기록!$H$3:$H$3002,출퇴근기록!$B$3:$B$3002,$A229,출퇴근기록!$A$3:$A$3002,"&gt;="&amp;DATE($B$3,$D$3,1),출퇴근기록!$A$3:$A$3002,"&lt;="&amp;EOMONTH(DATE($B$3,$D$3,1),0)),2))</f>
        <v/>
      </c>
      <c r="H229" s="16" t="str">
        <f aca="false">IF($A229="","",ROUND($D229*IF(직원목록!$F226="",8,직원목록!$F226),2))</f>
        <v/>
      </c>
      <c r="I229" s="16" t="str">
        <f aca="false">IF($A229="","",ROUND($G229-$H229,2))</f>
        <v/>
      </c>
      <c r="J229" s="19" t="str">
        <f aca="false">IF($A229="","",COUNTIFS(출퇴근기록!$B$3:$B$3002,$A229,출퇴근기록!$I$3:$I$3002,"연차",출퇴근기록!$A$3:$A$3002,"&gt;="&amp;DATE($B$3,$D$3,1),출퇴근기록!$A$3:$A$3002,"&lt;="&amp;EOMONTH(DATE($B$3,$D$3,1),0)))</f>
        <v/>
      </c>
      <c r="K229" s="19" t="str">
        <f aca="false">IF($A229="","",COUNTIFS(출퇴근기록!$B$3:$B$3002,$A229,출퇴근기록!$I$3:$I$3002,"결근",출퇴근기록!$A$3:$A$3002,"&gt;="&amp;DATE($B$3,$D$3,1),출퇴근기록!$A$3:$A$3002,"&lt;="&amp;EOMONTH(DATE($B$3,$D$3,1),0)))</f>
        <v/>
      </c>
    </row>
    <row r="230" customFormat="false" ht="15" hidden="false" customHeight="true" outlineLevel="0" collapsed="false">
      <c r="A230" s="13" t="str">
        <f aca="false">IF(직원목록!$A227="","",직원목록!$A227)</f>
        <v/>
      </c>
      <c r="B230" s="13" t="str">
        <f aca="false">IF($A230="","",직원목록!$B227)</f>
        <v/>
      </c>
      <c r="C230" s="13" t="str">
        <f aca="false">IF($A230="","",직원목록!$C227)</f>
        <v/>
      </c>
      <c r="D230" s="19" t="str">
        <f aca="false">IF($A230="","",COUNTIFS(출퇴근기록!$B$3:$B$3002,$A230,출퇴근기록!$H$3:$H$3002,"&gt;0",출퇴근기록!$A$3:$A$3002,"&gt;="&amp;DATE($B$3,$D$3,1),출퇴근기록!$A$3:$A$3002,"&lt;="&amp;EOMONTH(DATE($B$3,$D$3,1),0)))</f>
        <v/>
      </c>
      <c r="E230" s="16" t="str">
        <f aca="false">IF($A230="","",ROUND(SUMIFS(출퇴근기록!$H$3:$H$3002,출퇴근기록!$B$3:$B$3002,$A230,출퇴근기록!$I$3:$I$3002,"평일",출퇴근기록!$A$3:$A$3002,"&gt;="&amp;DATE($B$3,$D$3,1),출퇴근기록!$A$3:$A$3002,"&lt;="&amp;EOMONTH(DATE($B$3,$D$3,1),0)),2))</f>
        <v/>
      </c>
      <c r="F230" s="16" t="str">
        <f aca="false">IF($A230="","",ROUND(SUMIFS(출퇴근기록!$H$3:$H$3002,출퇴근기록!$B$3:$B$3002,$A230,출퇴근기록!$I$3:$I$3002,"휴일",출퇴근기록!$A$3:$A$3002,"&gt;="&amp;DATE($B$3,$D$3,1),출퇴근기록!$A$3:$A$3002,"&lt;="&amp;EOMONTH(DATE($B$3,$D$3,1),0)),2))</f>
        <v/>
      </c>
      <c r="G230" s="16" t="str">
        <f aca="false">IF($A230="","",ROUND(SUMIFS(출퇴근기록!$H$3:$H$3002,출퇴근기록!$B$3:$B$3002,$A230,출퇴근기록!$A$3:$A$3002,"&gt;="&amp;DATE($B$3,$D$3,1),출퇴근기록!$A$3:$A$3002,"&lt;="&amp;EOMONTH(DATE($B$3,$D$3,1),0)),2))</f>
        <v/>
      </c>
      <c r="H230" s="16" t="str">
        <f aca="false">IF($A230="","",ROUND($D230*IF(직원목록!$F227="",8,직원목록!$F227),2))</f>
        <v/>
      </c>
      <c r="I230" s="16" t="str">
        <f aca="false">IF($A230="","",ROUND($G230-$H230,2))</f>
        <v/>
      </c>
      <c r="J230" s="19" t="str">
        <f aca="false">IF($A230="","",COUNTIFS(출퇴근기록!$B$3:$B$3002,$A230,출퇴근기록!$I$3:$I$3002,"연차",출퇴근기록!$A$3:$A$3002,"&gt;="&amp;DATE($B$3,$D$3,1),출퇴근기록!$A$3:$A$3002,"&lt;="&amp;EOMONTH(DATE($B$3,$D$3,1),0)))</f>
        <v/>
      </c>
      <c r="K230" s="19" t="str">
        <f aca="false">IF($A230="","",COUNTIFS(출퇴근기록!$B$3:$B$3002,$A230,출퇴근기록!$I$3:$I$3002,"결근",출퇴근기록!$A$3:$A$3002,"&gt;="&amp;DATE($B$3,$D$3,1),출퇴근기록!$A$3:$A$3002,"&lt;="&amp;EOMONTH(DATE($B$3,$D$3,1),0)))</f>
        <v/>
      </c>
    </row>
    <row r="231" customFormat="false" ht="15" hidden="false" customHeight="true" outlineLevel="0" collapsed="false">
      <c r="A231" s="13" t="str">
        <f aca="false">IF(직원목록!$A228="","",직원목록!$A228)</f>
        <v/>
      </c>
      <c r="B231" s="13" t="str">
        <f aca="false">IF($A231="","",직원목록!$B228)</f>
        <v/>
      </c>
      <c r="C231" s="13" t="str">
        <f aca="false">IF($A231="","",직원목록!$C228)</f>
        <v/>
      </c>
      <c r="D231" s="19" t="str">
        <f aca="false">IF($A231="","",COUNTIFS(출퇴근기록!$B$3:$B$3002,$A231,출퇴근기록!$H$3:$H$3002,"&gt;0",출퇴근기록!$A$3:$A$3002,"&gt;="&amp;DATE($B$3,$D$3,1),출퇴근기록!$A$3:$A$3002,"&lt;="&amp;EOMONTH(DATE($B$3,$D$3,1),0)))</f>
        <v/>
      </c>
      <c r="E231" s="16" t="str">
        <f aca="false">IF($A231="","",ROUND(SUMIFS(출퇴근기록!$H$3:$H$3002,출퇴근기록!$B$3:$B$3002,$A231,출퇴근기록!$I$3:$I$3002,"평일",출퇴근기록!$A$3:$A$3002,"&gt;="&amp;DATE($B$3,$D$3,1),출퇴근기록!$A$3:$A$3002,"&lt;="&amp;EOMONTH(DATE($B$3,$D$3,1),0)),2))</f>
        <v/>
      </c>
      <c r="F231" s="16" t="str">
        <f aca="false">IF($A231="","",ROUND(SUMIFS(출퇴근기록!$H$3:$H$3002,출퇴근기록!$B$3:$B$3002,$A231,출퇴근기록!$I$3:$I$3002,"휴일",출퇴근기록!$A$3:$A$3002,"&gt;="&amp;DATE($B$3,$D$3,1),출퇴근기록!$A$3:$A$3002,"&lt;="&amp;EOMONTH(DATE($B$3,$D$3,1),0)),2))</f>
        <v/>
      </c>
      <c r="G231" s="16" t="str">
        <f aca="false">IF($A231="","",ROUND(SUMIFS(출퇴근기록!$H$3:$H$3002,출퇴근기록!$B$3:$B$3002,$A231,출퇴근기록!$A$3:$A$3002,"&gt;="&amp;DATE($B$3,$D$3,1),출퇴근기록!$A$3:$A$3002,"&lt;="&amp;EOMONTH(DATE($B$3,$D$3,1),0)),2))</f>
        <v/>
      </c>
      <c r="H231" s="16" t="str">
        <f aca="false">IF($A231="","",ROUND($D231*IF(직원목록!$F228="",8,직원목록!$F228),2))</f>
        <v/>
      </c>
      <c r="I231" s="16" t="str">
        <f aca="false">IF($A231="","",ROUND($G231-$H231,2))</f>
        <v/>
      </c>
      <c r="J231" s="19" t="str">
        <f aca="false">IF($A231="","",COUNTIFS(출퇴근기록!$B$3:$B$3002,$A231,출퇴근기록!$I$3:$I$3002,"연차",출퇴근기록!$A$3:$A$3002,"&gt;="&amp;DATE($B$3,$D$3,1),출퇴근기록!$A$3:$A$3002,"&lt;="&amp;EOMONTH(DATE($B$3,$D$3,1),0)))</f>
        <v/>
      </c>
      <c r="K231" s="19" t="str">
        <f aca="false">IF($A231="","",COUNTIFS(출퇴근기록!$B$3:$B$3002,$A231,출퇴근기록!$I$3:$I$3002,"결근",출퇴근기록!$A$3:$A$3002,"&gt;="&amp;DATE($B$3,$D$3,1),출퇴근기록!$A$3:$A$3002,"&lt;="&amp;EOMONTH(DATE($B$3,$D$3,1),0)))</f>
        <v/>
      </c>
    </row>
    <row r="232" customFormat="false" ht="15" hidden="false" customHeight="true" outlineLevel="0" collapsed="false">
      <c r="A232" s="13" t="str">
        <f aca="false">IF(직원목록!$A229="","",직원목록!$A229)</f>
        <v/>
      </c>
      <c r="B232" s="13" t="str">
        <f aca="false">IF($A232="","",직원목록!$B229)</f>
        <v/>
      </c>
      <c r="C232" s="13" t="str">
        <f aca="false">IF($A232="","",직원목록!$C229)</f>
        <v/>
      </c>
      <c r="D232" s="19" t="str">
        <f aca="false">IF($A232="","",COUNTIFS(출퇴근기록!$B$3:$B$3002,$A232,출퇴근기록!$H$3:$H$3002,"&gt;0",출퇴근기록!$A$3:$A$3002,"&gt;="&amp;DATE($B$3,$D$3,1),출퇴근기록!$A$3:$A$3002,"&lt;="&amp;EOMONTH(DATE($B$3,$D$3,1),0)))</f>
        <v/>
      </c>
      <c r="E232" s="16" t="str">
        <f aca="false">IF($A232="","",ROUND(SUMIFS(출퇴근기록!$H$3:$H$3002,출퇴근기록!$B$3:$B$3002,$A232,출퇴근기록!$I$3:$I$3002,"평일",출퇴근기록!$A$3:$A$3002,"&gt;="&amp;DATE($B$3,$D$3,1),출퇴근기록!$A$3:$A$3002,"&lt;="&amp;EOMONTH(DATE($B$3,$D$3,1),0)),2))</f>
        <v/>
      </c>
      <c r="F232" s="16" t="str">
        <f aca="false">IF($A232="","",ROUND(SUMIFS(출퇴근기록!$H$3:$H$3002,출퇴근기록!$B$3:$B$3002,$A232,출퇴근기록!$I$3:$I$3002,"휴일",출퇴근기록!$A$3:$A$3002,"&gt;="&amp;DATE($B$3,$D$3,1),출퇴근기록!$A$3:$A$3002,"&lt;="&amp;EOMONTH(DATE($B$3,$D$3,1),0)),2))</f>
        <v/>
      </c>
      <c r="G232" s="16" t="str">
        <f aca="false">IF($A232="","",ROUND(SUMIFS(출퇴근기록!$H$3:$H$3002,출퇴근기록!$B$3:$B$3002,$A232,출퇴근기록!$A$3:$A$3002,"&gt;="&amp;DATE($B$3,$D$3,1),출퇴근기록!$A$3:$A$3002,"&lt;="&amp;EOMONTH(DATE($B$3,$D$3,1),0)),2))</f>
        <v/>
      </c>
      <c r="H232" s="16" t="str">
        <f aca="false">IF($A232="","",ROUND($D232*IF(직원목록!$F229="",8,직원목록!$F229),2))</f>
        <v/>
      </c>
      <c r="I232" s="16" t="str">
        <f aca="false">IF($A232="","",ROUND($G232-$H232,2))</f>
        <v/>
      </c>
      <c r="J232" s="19" t="str">
        <f aca="false">IF($A232="","",COUNTIFS(출퇴근기록!$B$3:$B$3002,$A232,출퇴근기록!$I$3:$I$3002,"연차",출퇴근기록!$A$3:$A$3002,"&gt;="&amp;DATE($B$3,$D$3,1),출퇴근기록!$A$3:$A$3002,"&lt;="&amp;EOMONTH(DATE($B$3,$D$3,1),0)))</f>
        <v/>
      </c>
      <c r="K232" s="19" t="str">
        <f aca="false">IF($A232="","",COUNTIFS(출퇴근기록!$B$3:$B$3002,$A232,출퇴근기록!$I$3:$I$3002,"결근",출퇴근기록!$A$3:$A$3002,"&gt;="&amp;DATE($B$3,$D$3,1),출퇴근기록!$A$3:$A$3002,"&lt;="&amp;EOMONTH(DATE($B$3,$D$3,1),0)))</f>
        <v/>
      </c>
    </row>
    <row r="233" customFormat="false" ht="15" hidden="false" customHeight="true" outlineLevel="0" collapsed="false">
      <c r="A233" s="13" t="str">
        <f aca="false">IF(직원목록!$A230="","",직원목록!$A230)</f>
        <v/>
      </c>
      <c r="B233" s="13" t="str">
        <f aca="false">IF($A233="","",직원목록!$B230)</f>
        <v/>
      </c>
      <c r="C233" s="13" t="str">
        <f aca="false">IF($A233="","",직원목록!$C230)</f>
        <v/>
      </c>
      <c r="D233" s="19" t="str">
        <f aca="false">IF($A233="","",COUNTIFS(출퇴근기록!$B$3:$B$3002,$A233,출퇴근기록!$H$3:$H$3002,"&gt;0",출퇴근기록!$A$3:$A$3002,"&gt;="&amp;DATE($B$3,$D$3,1),출퇴근기록!$A$3:$A$3002,"&lt;="&amp;EOMONTH(DATE($B$3,$D$3,1),0)))</f>
        <v/>
      </c>
      <c r="E233" s="16" t="str">
        <f aca="false">IF($A233="","",ROUND(SUMIFS(출퇴근기록!$H$3:$H$3002,출퇴근기록!$B$3:$B$3002,$A233,출퇴근기록!$I$3:$I$3002,"평일",출퇴근기록!$A$3:$A$3002,"&gt;="&amp;DATE($B$3,$D$3,1),출퇴근기록!$A$3:$A$3002,"&lt;="&amp;EOMONTH(DATE($B$3,$D$3,1),0)),2))</f>
        <v/>
      </c>
      <c r="F233" s="16" t="str">
        <f aca="false">IF($A233="","",ROUND(SUMIFS(출퇴근기록!$H$3:$H$3002,출퇴근기록!$B$3:$B$3002,$A233,출퇴근기록!$I$3:$I$3002,"휴일",출퇴근기록!$A$3:$A$3002,"&gt;="&amp;DATE($B$3,$D$3,1),출퇴근기록!$A$3:$A$3002,"&lt;="&amp;EOMONTH(DATE($B$3,$D$3,1),0)),2))</f>
        <v/>
      </c>
      <c r="G233" s="16" t="str">
        <f aca="false">IF($A233="","",ROUND(SUMIFS(출퇴근기록!$H$3:$H$3002,출퇴근기록!$B$3:$B$3002,$A233,출퇴근기록!$A$3:$A$3002,"&gt;="&amp;DATE($B$3,$D$3,1),출퇴근기록!$A$3:$A$3002,"&lt;="&amp;EOMONTH(DATE($B$3,$D$3,1),0)),2))</f>
        <v/>
      </c>
      <c r="H233" s="16" t="str">
        <f aca="false">IF($A233="","",ROUND($D233*IF(직원목록!$F230="",8,직원목록!$F230),2))</f>
        <v/>
      </c>
      <c r="I233" s="16" t="str">
        <f aca="false">IF($A233="","",ROUND($G233-$H233,2))</f>
        <v/>
      </c>
      <c r="J233" s="19" t="str">
        <f aca="false">IF($A233="","",COUNTIFS(출퇴근기록!$B$3:$B$3002,$A233,출퇴근기록!$I$3:$I$3002,"연차",출퇴근기록!$A$3:$A$3002,"&gt;="&amp;DATE($B$3,$D$3,1),출퇴근기록!$A$3:$A$3002,"&lt;="&amp;EOMONTH(DATE($B$3,$D$3,1),0)))</f>
        <v/>
      </c>
      <c r="K233" s="19" t="str">
        <f aca="false">IF($A233="","",COUNTIFS(출퇴근기록!$B$3:$B$3002,$A233,출퇴근기록!$I$3:$I$3002,"결근",출퇴근기록!$A$3:$A$3002,"&gt;="&amp;DATE($B$3,$D$3,1),출퇴근기록!$A$3:$A$3002,"&lt;="&amp;EOMONTH(DATE($B$3,$D$3,1),0)))</f>
        <v/>
      </c>
    </row>
    <row r="234" customFormat="false" ht="15" hidden="false" customHeight="true" outlineLevel="0" collapsed="false">
      <c r="A234" s="13" t="str">
        <f aca="false">IF(직원목록!$A231="","",직원목록!$A231)</f>
        <v/>
      </c>
      <c r="B234" s="13" t="str">
        <f aca="false">IF($A234="","",직원목록!$B231)</f>
        <v/>
      </c>
      <c r="C234" s="13" t="str">
        <f aca="false">IF($A234="","",직원목록!$C231)</f>
        <v/>
      </c>
      <c r="D234" s="19" t="str">
        <f aca="false">IF($A234="","",COUNTIFS(출퇴근기록!$B$3:$B$3002,$A234,출퇴근기록!$H$3:$H$3002,"&gt;0",출퇴근기록!$A$3:$A$3002,"&gt;="&amp;DATE($B$3,$D$3,1),출퇴근기록!$A$3:$A$3002,"&lt;="&amp;EOMONTH(DATE($B$3,$D$3,1),0)))</f>
        <v/>
      </c>
      <c r="E234" s="16" t="str">
        <f aca="false">IF($A234="","",ROUND(SUMIFS(출퇴근기록!$H$3:$H$3002,출퇴근기록!$B$3:$B$3002,$A234,출퇴근기록!$I$3:$I$3002,"평일",출퇴근기록!$A$3:$A$3002,"&gt;="&amp;DATE($B$3,$D$3,1),출퇴근기록!$A$3:$A$3002,"&lt;="&amp;EOMONTH(DATE($B$3,$D$3,1),0)),2))</f>
        <v/>
      </c>
      <c r="F234" s="16" t="str">
        <f aca="false">IF($A234="","",ROUND(SUMIFS(출퇴근기록!$H$3:$H$3002,출퇴근기록!$B$3:$B$3002,$A234,출퇴근기록!$I$3:$I$3002,"휴일",출퇴근기록!$A$3:$A$3002,"&gt;="&amp;DATE($B$3,$D$3,1),출퇴근기록!$A$3:$A$3002,"&lt;="&amp;EOMONTH(DATE($B$3,$D$3,1),0)),2))</f>
        <v/>
      </c>
      <c r="G234" s="16" t="str">
        <f aca="false">IF($A234="","",ROUND(SUMIFS(출퇴근기록!$H$3:$H$3002,출퇴근기록!$B$3:$B$3002,$A234,출퇴근기록!$A$3:$A$3002,"&gt;="&amp;DATE($B$3,$D$3,1),출퇴근기록!$A$3:$A$3002,"&lt;="&amp;EOMONTH(DATE($B$3,$D$3,1),0)),2))</f>
        <v/>
      </c>
      <c r="H234" s="16" t="str">
        <f aca="false">IF($A234="","",ROUND($D234*IF(직원목록!$F231="",8,직원목록!$F231),2))</f>
        <v/>
      </c>
      <c r="I234" s="16" t="str">
        <f aca="false">IF($A234="","",ROUND($G234-$H234,2))</f>
        <v/>
      </c>
      <c r="J234" s="19" t="str">
        <f aca="false">IF($A234="","",COUNTIFS(출퇴근기록!$B$3:$B$3002,$A234,출퇴근기록!$I$3:$I$3002,"연차",출퇴근기록!$A$3:$A$3002,"&gt;="&amp;DATE($B$3,$D$3,1),출퇴근기록!$A$3:$A$3002,"&lt;="&amp;EOMONTH(DATE($B$3,$D$3,1),0)))</f>
        <v/>
      </c>
      <c r="K234" s="19" t="str">
        <f aca="false">IF($A234="","",COUNTIFS(출퇴근기록!$B$3:$B$3002,$A234,출퇴근기록!$I$3:$I$3002,"결근",출퇴근기록!$A$3:$A$3002,"&gt;="&amp;DATE($B$3,$D$3,1),출퇴근기록!$A$3:$A$3002,"&lt;="&amp;EOMONTH(DATE($B$3,$D$3,1),0)))</f>
        <v/>
      </c>
    </row>
    <row r="235" customFormat="false" ht="15" hidden="false" customHeight="true" outlineLevel="0" collapsed="false">
      <c r="A235" s="13" t="str">
        <f aca="false">IF(직원목록!$A232="","",직원목록!$A232)</f>
        <v/>
      </c>
      <c r="B235" s="13" t="str">
        <f aca="false">IF($A235="","",직원목록!$B232)</f>
        <v/>
      </c>
      <c r="C235" s="13" t="str">
        <f aca="false">IF($A235="","",직원목록!$C232)</f>
        <v/>
      </c>
      <c r="D235" s="19" t="str">
        <f aca="false">IF($A235="","",COUNTIFS(출퇴근기록!$B$3:$B$3002,$A235,출퇴근기록!$H$3:$H$3002,"&gt;0",출퇴근기록!$A$3:$A$3002,"&gt;="&amp;DATE($B$3,$D$3,1),출퇴근기록!$A$3:$A$3002,"&lt;="&amp;EOMONTH(DATE($B$3,$D$3,1),0)))</f>
        <v/>
      </c>
      <c r="E235" s="16" t="str">
        <f aca="false">IF($A235="","",ROUND(SUMIFS(출퇴근기록!$H$3:$H$3002,출퇴근기록!$B$3:$B$3002,$A235,출퇴근기록!$I$3:$I$3002,"평일",출퇴근기록!$A$3:$A$3002,"&gt;="&amp;DATE($B$3,$D$3,1),출퇴근기록!$A$3:$A$3002,"&lt;="&amp;EOMONTH(DATE($B$3,$D$3,1),0)),2))</f>
        <v/>
      </c>
      <c r="F235" s="16" t="str">
        <f aca="false">IF($A235="","",ROUND(SUMIFS(출퇴근기록!$H$3:$H$3002,출퇴근기록!$B$3:$B$3002,$A235,출퇴근기록!$I$3:$I$3002,"휴일",출퇴근기록!$A$3:$A$3002,"&gt;="&amp;DATE($B$3,$D$3,1),출퇴근기록!$A$3:$A$3002,"&lt;="&amp;EOMONTH(DATE($B$3,$D$3,1),0)),2))</f>
        <v/>
      </c>
      <c r="G235" s="16" t="str">
        <f aca="false">IF($A235="","",ROUND(SUMIFS(출퇴근기록!$H$3:$H$3002,출퇴근기록!$B$3:$B$3002,$A235,출퇴근기록!$A$3:$A$3002,"&gt;="&amp;DATE($B$3,$D$3,1),출퇴근기록!$A$3:$A$3002,"&lt;="&amp;EOMONTH(DATE($B$3,$D$3,1),0)),2))</f>
        <v/>
      </c>
      <c r="H235" s="16" t="str">
        <f aca="false">IF($A235="","",ROUND($D235*IF(직원목록!$F232="",8,직원목록!$F232),2))</f>
        <v/>
      </c>
      <c r="I235" s="16" t="str">
        <f aca="false">IF($A235="","",ROUND($G235-$H235,2))</f>
        <v/>
      </c>
      <c r="J235" s="19" t="str">
        <f aca="false">IF($A235="","",COUNTIFS(출퇴근기록!$B$3:$B$3002,$A235,출퇴근기록!$I$3:$I$3002,"연차",출퇴근기록!$A$3:$A$3002,"&gt;="&amp;DATE($B$3,$D$3,1),출퇴근기록!$A$3:$A$3002,"&lt;="&amp;EOMONTH(DATE($B$3,$D$3,1),0)))</f>
        <v/>
      </c>
      <c r="K235" s="19" t="str">
        <f aca="false">IF($A235="","",COUNTIFS(출퇴근기록!$B$3:$B$3002,$A235,출퇴근기록!$I$3:$I$3002,"결근",출퇴근기록!$A$3:$A$3002,"&gt;="&amp;DATE($B$3,$D$3,1),출퇴근기록!$A$3:$A$3002,"&lt;="&amp;EOMONTH(DATE($B$3,$D$3,1),0)))</f>
        <v/>
      </c>
    </row>
    <row r="236" customFormat="false" ht="15" hidden="false" customHeight="true" outlineLevel="0" collapsed="false">
      <c r="A236" s="13" t="str">
        <f aca="false">IF(직원목록!$A233="","",직원목록!$A233)</f>
        <v/>
      </c>
      <c r="B236" s="13" t="str">
        <f aca="false">IF($A236="","",직원목록!$B233)</f>
        <v/>
      </c>
      <c r="C236" s="13" t="str">
        <f aca="false">IF($A236="","",직원목록!$C233)</f>
        <v/>
      </c>
      <c r="D236" s="19" t="str">
        <f aca="false">IF($A236="","",COUNTIFS(출퇴근기록!$B$3:$B$3002,$A236,출퇴근기록!$H$3:$H$3002,"&gt;0",출퇴근기록!$A$3:$A$3002,"&gt;="&amp;DATE($B$3,$D$3,1),출퇴근기록!$A$3:$A$3002,"&lt;="&amp;EOMONTH(DATE($B$3,$D$3,1),0)))</f>
        <v/>
      </c>
      <c r="E236" s="16" t="str">
        <f aca="false">IF($A236="","",ROUND(SUMIFS(출퇴근기록!$H$3:$H$3002,출퇴근기록!$B$3:$B$3002,$A236,출퇴근기록!$I$3:$I$3002,"평일",출퇴근기록!$A$3:$A$3002,"&gt;="&amp;DATE($B$3,$D$3,1),출퇴근기록!$A$3:$A$3002,"&lt;="&amp;EOMONTH(DATE($B$3,$D$3,1),0)),2))</f>
        <v/>
      </c>
      <c r="F236" s="16" t="str">
        <f aca="false">IF($A236="","",ROUND(SUMIFS(출퇴근기록!$H$3:$H$3002,출퇴근기록!$B$3:$B$3002,$A236,출퇴근기록!$I$3:$I$3002,"휴일",출퇴근기록!$A$3:$A$3002,"&gt;="&amp;DATE($B$3,$D$3,1),출퇴근기록!$A$3:$A$3002,"&lt;="&amp;EOMONTH(DATE($B$3,$D$3,1),0)),2))</f>
        <v/>
      </c>
      <c r="G236" s="16" t="str">
        <f aca="false">IF($A236="","",ROUND(SUMIFS(출퇴근기록!$H$3:$H$3002,출퇴근기록!$B$3:$B$3002,$A236,출퇴근기록!$A$3:$A$3002,"&gt;="&amp;DATE($B$3,$D$3,1),출퇴근기록!$A$3:$A$3002,"&lt;="&amp;EOMONTH(DATE($B$3,$D$3,1),0)),2))</f>
        <v/>
      </c>
      <c r="H236" s="16" t="str">
        <f aca="false">IF($A236="","",ROUND($D236*IF(직원목록!$F233="",8,직원목록!$F233),2))</f>
        <v/>
      </c>
      <c r="I236" s="16" t="str">
        <f aca="false">IF($A236="","",ROUND($G236-$H236,2))</f>
        <v/>
      </c>
      <c r="J236" s="19" t="str">
        <f aca="false">IF($A236="","",COUNTIFS(출퇴근기록!$B$3:$B$3002,$A236,출퇴근기록!$I$3:$I$3002,"연차",출퇴근기록!$A$3:$A$3002,"&gt;="&amp;DATE($B$3,$D$3,1),출퇴근기록!$A$3:$A$3002,"&lt;="&amp;EOMONTH(DATE($B$3,$D$3,1),0)))</f>
        <v/>
      </c>
      <c r="K236" s="19" t="str">
        <f aca="false">IF($A236="","",COUNTIFS(출퇴근기록!$B$3:$B$3002,$A236,출퇴근기록!$I$3:$I$3002,"결근",출퇴근기록!$A$3:$A$3002,"&gt;="&amp;DATE($B$3,$D$3,1),출퇴근기록!$A$3:$A$3002,"&lt;="&amp;EOMONTH(DATE($B$3,$D$3,1),0)))</f>
        <v/>
      </c>
    </row>
    <row r="237" customFormat="false" ht="15" hidden="false" customHeight="true" outlineLevel="0" collapsed="false">
      <c r="A237" s="13" t="str">
        <f aca="false">IF(직원목록!$A234="","",직원목록!$A234)</f>
        <v/>
      </c>
      <c r="B237" s="13" t="str">
        <f aca="false">IF($A237="","",직원목록!$B234)</f>
        <v/>
      </c>
      <c r="C237" s="13" t="str">
        <f aca="false">IF($A237="","",직원목록!$C234)</f>
        <v/>
      </c>
      <c r="D237" s="19" t="str">
        <f aca="false">IF($A237="","",COUNTIFS(출퇴근기록!$B$3:$B$3002,$A237,출퇴근기록!$H$3:$H$3002,"&gt;0",출퇴근기록!$A$3:$A$3002,"&gt;="&amp;DATE($B$3,$D$3,1),출퇴근기록!$A$3:$A$3002,"&lt;="&amp;EOMONTH(DATE($B$3,$D$3,1),0)))</f>
        <v/>
      </c>
      <c r="E237" s="16" t="str">
        <f aca="false">IF($A237="","",ROUND(SUMIFS(출퇴근기록!$H$3:$H$3002,출퇴근기록!$B$3:$B$3002,$A237,출퇴근기록!$I$3:$I$3002,"평일",출퇴근기록!$A$3:$A$3002,"&gt;="&amp;DATE($B$3,$D$3,1),출퇴근기록!$A$3:$A$3002,"&lt;="&amp;EOMONTH(DATE($B$3,$D$3,1),0)),2))</f>
        <v/>
      </c>
      <c r="F237" s="16" t="str">
        <f aca="false">IF($A237="","",ROUND(SUMIFS(출퇴근기록!$H$3:$H$3002,출퇴근기록!$B$3:$B$3002,$A237,출퇴근기록!$I$3:$I$3002,"휴일",출퇴근기록!$A$3:$A$3002,"&gt;="&amp;DATE($B$3,$D$3,1),출퇴근기록!$A$3:$A$3002,"&lt;="&amp;EOMONTH(DATE($B$3,$D$3,1),0)),2))</f>
        <v/>
      </c>
      <c r="G237" s="16" t="str">
        <f aca="false">IF($A237="","",ROUND(SUMIFS(출퇴근기록!$H$3:$H$3002,출퇴근기록!$B$3:$B$3002,$A237,출퇴근기록!$A$3:$A$3002,"&gt;="&amp;DATE($B$3,$D$3,1),출퇴근기록!$A$3:$A$3002,"&lt;="&amp;EOMONTH(DATE($B$3,$D$3,1),0)),2))</f>
        <v/>
      </c>
      <c r="H237" s="16" t="str">
        <f aca="false">IF($A237="","",ROUND($D237*IF(직원목록!$F234="",8,직원목록!$F234),2))</f>
        <v/>
      </c>
      <c r="I237" s="16" t="str">
        <f aca="false">IF($A237="","",ROUND($G237-$H237,2))</f>
        <v/>
      </c>
      <c r="J237" s="19" t="str">
        <f aca="false">IF($A237="","",COUNTIFS(출퇴근기록!$B$3:$B$3002,$A237,출퇴근기록!$I$3:$I$3002,"연차",출퇴근기록!$A$3:$A$3002,"&gt;="&amp;DATE($B$3,$D$3,1),출퇴근기록!$A$3:$A$3002,"&lt;="&amp;EOMONTH(DATE($B$3,$D$3,1),0)))</f>
        <v/>
      </c>
      <c r="K237" s="19" t="str">
        <f aca="false">IF($A237="","",COUNTIFS(출퇴근기록!$B$3:$B$3002,$A237,출퇴근기록!$I$3:$I$3002,"결근",출퇴근기록!$A$3:$A$3002,"&gt;="&amp;DATE($B$3,$D$3,1),출퇴근기록!$A$3:$A$3002,"&lt;="&amp;EOMONTH(DATE($B$3,$D$3,1),0)))</f>
        <v/>
      </c>
    </row>
    <row r="238" customFormat="false" ht="15" hidden="false" customHeight="true" outlineLevel="0" collapsed="false">
      <c r="A238" s="13" t="str">
        <f aca="false">IF(직원목록!$A235="","",직원목록!$A235)</f>
        <v/>
      </c>
      <c r="B238" s="13" t="str">
        <f aca="false">IF($A238="","",직원목록!$B235)</f>
        <v/>
      </c>
      <c r="C238" s="13" t="str">
        <f aca="false">IF($A238="","",직원목록!$C235)</f>
        <v/>
      </c>
      <c r="D238" s="19" t="str">
        <f aca="false">IF($A238="","",COUNTIFS(출퇴근기록!$B$3:$B$3002,$A238,출퇴근기록!$H$3:$H$3002,"&gt;0",출퇴근기록!$A$3:$A$3002,"&gt;="&amp;DATE($B$3,$D$3,1),출퇴근기록!$A$3:$A$3002,"&lt;="&amp;EOMONTH(DATE($B$3,$D$3,1),0)))</f>
        <v/>
      </c>
      <c r="E238" s="16" t="str">
        <f aca="false">IF($A238="","",ROUND(SUMIFS(출퇴근기록!$H$3:$H$3002,출퇴근기록!$B$3:$B$3002,$A238,출퇴근기록!$I$3:$I$3002,"평일",출퇴근기록!$A$3:$A$3002,"&gt;="&amp;DATE($B$3,$D$3,1),출퇴근기록!$A$3:$A$3002,"&lt;="&amp;EOMONTH(DATE($B$3,$D$3,1),0)),2))</f>
        <v/>
      </c>
      <c r="F238" s="16" t="str">
        <f aca="false">IF($A238="","",ROUND(SUMIFS(출퇴근기록!$H$3:$H$3002,출퇴근기록!$B$3:$B$3002,$A238,출퇴근기록!$I$3:$I$3002,"휴일",출퇴근기록!$A$3:$A$3002,"&gt;="&amp;DATE($B$3,$D$3,1),출퇴근기록!$A$3:$A$3002,"&lt;="&amp;EOMONTH(DATE($B$3,$D$3,1),0)),2))</f>
        <v/>
      </c>
      <c r="G238" s="16" t="str">
        <f aca="false">IF($A238="","",ROUND(SUMIFS(출퇴근기록!$H$3:$H$3002,출퇴근기록!$B$3:$B$3002,$A238,출퇴근기록!$A$3:$A$3002,"&gt;="&amp;DATE($B$3,$D$3,1),출퇴근기록!$A$3:$A$3002,"&lt;="&amp;EOMONTH(DATE($B$3,$D$3,1),0)),2))</f>
        <v/>
      </c>
      <c r="H238" s="16" t="str">
        <f aca="false">IF($A238="","",ROUND($D238*IF(직원목록!$F235="",8,직원목록!$F235),2))</f>
        <v/>
      </c>
      <c r="I238" s="16" t="str">
        <f aca="false">IF($A238="","",ROUND($G238-$H238,2))</f>
        <v/>
      </c>
      <c r="J238" s="19" t="str">
        <f aca="false">IF($A238="","",COUNTIFS(출퇴근기록!$B$3:$B$3002,$A238,출퇴근기록!$I$3:$I$3002,"연차",출퇴근기록!$A$3:$A$3002,"&gt;="&amp;DATE($B$3,$D$3,1),출퇴근기록!$A$3:$A$3002,"&lt;="&amp;EOMONTH(DATE($B$3,$D$3,1),0)))</f>
        <v/>
      </c>
      <c r="K238" s="19" t="str">
        <f aca="false">IF($A238="","",COUNTIFS(출퇴근기록!$B$3:$B$3002,$A238,출퇴근기록!$I$3:$I$3002,"결근",출퇴근기록!$A$3:$A$3002,"&gt;="&amp;DATE($B$3,$D$3,1),출퇴근기록!$A$3:$A$3002,"&lt;="&amp;EOMONTH(DATE($B$3,$D$3,1),0)))</f>
        <v/>
      </c>
    </row>
    <row r="239" customFormat="false" ht="15" hidden="false" customHeight="true" outlineLevel="0" collapsed="false">
      <c r="A239" s="13" t="str">
        <f aca="false">IF(직원목록!$A236="","",직원목록!$A236)</f>
        <v/>
      </c>
      <c r="B239" s="13" t="str">
        <f aca="false">IF($A239="","",직원목록!$B236)</f>
        <v/>
      </c>
      <c r="C239" s="13" t="str">
        <f aca="false">IF($A239="","",직원목록!$C236)</f>
        <v/>
      </c>
      <c r="D239" s="19" t="str">
        <f aca="false">IF($A239="","",COUNTIFS(출퇴근기록!$B$3:$B$3002,$A239,출퇴근기록!$H$3:$H$3002,"&gt;0",출퇴근기록!$A$3:$A$3002,"&gt;="&amp;DATE($B$3,$D$3,1),출퇴근기록!$A$3:$A$3002,"&lt;="&amp;EOMONTH(DATE($B$3,$D$3,1),0)))</f>
        <v/>
      </c>
      <c r="E239" s="16" t="str">
        <f aca="false">IF($A239="","",ROUND(SUMIFS(출퇴근기록!$H$3:$H$3002,출퇴근기록!$B$3:$B$3002,$A239,출퇴근기록!$I$3:$I$3002,"평일",출퇴근기록!$A$3:$A$3002,"&gt;="&amp;DATE($B$3,$D$3,1),출퇴근기록!$A$3:$A$3002,"&lt;="&amp;EOMONTH(DATE($B$3,$D$3,1),0)),2))</f>
        <v/>
      </c>
      <c r="F239" s="16" t="str">
        <f aca="false">IF($A239="","",ROUND(SUMIFS(출퇴근기록!$H$3:$H$3002,출퇴근기록!$B$3:$B$3002,$A239,출퇴근기록!$I$3:$I$3002,"휴일",출퇴근기록!$A$3:$A$3002,"&gt;="&amp;DATE($B$3,$D$3,1),출퇴근기록!$A$3:$A$3002,"&lt;="&amp;EOMONTH(DATE($B$3,$D$3,1),0)),2))</f>
        <v/>
      </c>
      <c r="G239" s="16" t="str">
        <f aca="false">IF($A239="","",ROUND(SUMIFS(출퇴근기록!$H$3:$H$3002,출퇴근기록!$B$3:$B$3002,$A239,출퇴근기록!$A$3:$A$3002,"&gt;="&amp;DATE($B$3,$D$3,1),출퇴근기록!$A$3:$A$3002,"&lt;="&amp;EOMONTH(DATE($B$3,$D$3,1),0)),2))</f>
        <v/>
      </c>
      <c r="H239" s="16" t="str">
        <f aca="false">IF($A239="","",ROUND($D239*IF(직원목록!$F236="",8,직원목록!$F236),2))</f>
        <v/>
      </c>
      <c r="I239" s="16" t="str">
        <f aca="false">IF($A239="","",ROUND($G239-$H239,2))</f>
        <v/>
      </c>
      <c r="J239" s="19" t="str">
        <f aca="false">IF($A239="","",COUNTIFS(출퇴근기록!$B$3:$B$3002,$A239,출퇴근기록!$I$3:$I$3002,"연차",출퇴근기록!$A$3:$A$3002,"&gt;="&amp;DATE($B$3,$D$3,1),출퇴근기록!$A$3:$A$3002,"&lt;="&amp;EOMONTH(DATE($B$3,$D$3,1),0)))</f>
        <v/>
      </c>
      <c r="K239" s="19" t="str">
        <f aca="false">IF($A239="","",COUNTIFS(출퇴근기록!$B$3:$B$3002,$A239,출퇴근기록!$I$3:$I$3002,"결근",출퇴근기록!$A$3:$A$3002,"&gt;="&amp;DATE($B$3,$D$3,1),출퇴근기록!$A$3:$A$3002,"&lt;="&amp;EOMONTH(DATE($B$3,$D$3,1),0)))</f>
        <v/>
      </c>
    </row>
    <row r="240" customFormat="false" ht="15" hidden="false" customHeight="true" outlineLevel="0" collapsed="false">
      <c r="A240" s="13" t="str">
        <f aca="false">IF(직원목록!$A237="","",직원목록!$A237)</f>
        <v/>
      </c>
      <c r="B240" s="13" t="str">
        <f aca="false">IF($A240="","",직원목록!$B237)</f>
        <v/>
      </c>
      <c r="C240" s="13" t="str">
        <f aca="false">IF($A240="","",직원목록!$C237)</f>
        <v/>
      </c>
      <c r="D240" s="19" t="str">
        <f aca="false">IF($A240="","",COUNTIFS(출퇴근기록!$B$3:$B$3002,$A240,출퇴근기록!$H$3:$H$3002,"&gt;0",출퇴근기록!$A$3:$A$3002,"&gt;="&amp;DATE($B$3,$D$3,1),출퇴근기록!$A$3:$A$3002,"&lt;="&amp;EOMONTH(DATE($B$3,$D$3,1),0)))</f>
        <v/>
      </c>
      <c r="E240" s="16" t="str">
        <f aca="false">IF($A240="","",ROUND(SUMIFS(출퇴근기록!$H$3:$H$3002,출퇴근기록!$B$3:$B$3002,$A240,출퇴근기록!$I$3:$I$3002,"평일",출퇴근기록!$A$3:$A$3002,"&gt;="&amp;DATE($B$3,$D$3,1),출퇴근기록!$A$3:$A$3002,"&lt;="&amp;EOMONTH(DATE($B$3,$D$3,1),0)),2))</f>
        <v/>
      </c>
      <c r="F240" s="16" t="str">
        <f aca="false">IF($A240="","",ROUND(SUMIFS(출퇴근기록!$H$3:$H$3002,출퇴근기록!$B$3:$B$3002,$A240,출퇴근기록!$I$3:$I$3002,"휴일",출퇴근기록!$A$3:$A$3002,"&gt;="&amp;DATE($B$3,$D$3,1),출퇴근기록!$A$3:$A$3002,"&lt;="&amp;EOMONTH(DATE($B$3,$D$3,1),0)),2))</f>
        <v/>
      </c>
      <c r="G240" s="16" t="str">
        <f aca="false">IF($A240="","",ROUND(SUMIFS(출퇴근기록!$H$3:$H$3002,출퇴근기록!$B$3:$B$3002,$A240,출퇴근기록!$A$3:$A$3002,"&gt;="&amp;DATE($B$3,$D$3,1),출퇴근기록!$A$3:$A$3002,"&lt;="&amp;EOMONTH(DATE($B$3,$D$3,1),0)),2))</f>
        <v/>
      </c>
      <c r="H240" s="16" t="str">
        <f aca="false">IF($A240="","",ROUND($D240*IF(직원목록!$F237="",8,직원목록!$F237),2))</f>
        <v/>
      </c>
      <c r="I240" s="16" t="str">
        <f aca="false">IF($A240="","",ROUND($G240-$H240,2))</f>
        <v/>
      </c>
      <c r="J240" s="19" t="str">
        <f aca="false">IF($A240="","",COUNTIFS(출퇴근기록!$B$3:$B$3002,$A240,출퇴근기록!$I$3:$I$3002,"연차",출퇴근기록!$A$3:$A$3002,"&gt;="&amp;DATE($B$3,$D$3,1),출퇴근기록!$A$3:$A$3002,"&lt;="&amp;EOMONTH(DATE($B$3,$D$3,1),0)))</f>
        <v/>
      </c>
      <c r="K240" s="19" t="str">
        <f aca="false">IF($A240="","",COUNTIFS(출퇴근기록!$B$3:$B$3002,$A240,출퇴근기록!$I$3:$I$3002,"결근",출퇴근기록!$A$3:$A$3002,"&gt;="&amp;DATE($B$3,$D$3,1),출퇴근기록!$A$3:$A$3002,"&lt;="&amp;EOMONTH(DATE($B$3,$D$3,1),0)))</f>
        <v/>
      </c>
    </row>
    <row r="241" customFormat="false" ht="15" hidden="false" customHeight="true" outlineLevel="0" collapsed="false">
      <c r="A241" s="13" t="str">
        <f aca="false">IF(직원목록!$A238="","",직원목록!$A238)</f>
        <v/>
      </c>
      <c r="B241" s="13" t="str">
        <f aca="false">IF($A241="","",직원목록!$B238)</f>
        <v/>
      </c>
      <c r="C241" s="13" t="str">
        <f aca="false">IF($A241="","",직원목록!$C238)</f>
        <v/>
      </c>
      <c r="D241" s="19" t="str">
        <f aca="false">IF($A241="","",COUNTIFS(출퇴근기록!$B$3:$B$3002,$A241,출퇴근기록!$H$3:$H$3002,"&gt;0",출퇴근기록!$A$3:$A$3002,"&gt;="&amp;DATE($B$3,$D$3,1),출퇴근기록!$A$3:$A$3002,"&lt;="&amp;EOMONTH(DATE($B$3,$D$3,1),0)))</f>
        <v/>
      </c>
      <c r="E241" s="16" t="str">
        <f aca="false">IF($A241="","",ROUND(SUMIFS(출퇴근기록!$H$3:$H$3002,출퇴근기록!$B$3:$B$3002,$A241,출퇴근기록!$I$3:$I$3002,"평일",출퇴근기록!$A$3:$A$3002,"&gt;="&amp;DATE($B$3,$D$3,1),출퇴근기록!$A$3:$A$3002,"&lt;="&amp;EOMONTH(DATE($B$3,$D$3,1),0)),2))</f>
        <v/>
      </c>
      <c r="F241" s="16" t="str">
        <f aca="false">IF($A241="","",ROUND(SUMIFS(출퇴근기록!$H$3:$H$3002,출퇴근기록!$B$3:$B$3002,$A241,출퇴근기록!$I$3:$I$3002,"휴일",출퇴근기록!$A$3:$A$3002,"&gt;="&amp;DATE($B$3,$D$3,1),출퇴근기록!$A$3:$A$3002,"&lt;="&amp;EOMONTH(DATE($B$3,$D$3,1),0)),2))</f>
        <v/>
      </c>
      <c r="G241" s="16" t="str">
        <f aca="false">IF($A241="","",ROUND(SUMIFS(출퇴근기록!$H$3:$H$3002,출퇴근기록!$B$3:$B$3002,$A241,출퇴근기록!$A$3:$A$3002,"&gt;="&amp;DATE($B$3,$D$3,1),출퇴근기록!$A$3:$A$3002,"&lt;="&amp;EOMONTH(DATE($B$3,$D$3,1),0)),2))</f>
        <v/>
      </c>
      <c r="H241" s="16" t="str">
        <f aca="false">IF($A241="","",ROUND($D241*IF(직원목록!$F238="",8,직원목록!$F238),2))</f>
        <v/>
      </c>
      <c r="I241" s="16" t="str">
        <f aca="false">IF($A241="","",ROUND($G241-$H241,2))</f>
        <v/>
      </c>
      <c r="J241" s="19" t="str">
        <f aca="false">IF($A241="","",COUNTIFS(출퇴근기록!$B$3:$B$3002,$A241,출퇴근기록!$I$3:$I$3002,"연차",출퇴근기록!$A$3:$A$3002,"&gt;="&amp;DATE($B$3,$D$3,1),출퇴근기록!$A$3:$A$3002,"&lt;="&amp;EOMONTH(DATE($B$3,$D$3,1),0)))</f>
        <v/>
      </c>
      <c r="K241" s="19" t="str">
        <f aca="false">IF($A241="","",COUNTIFS(출퇴근기록!$B$3:$B$3002,$A241,출퇴근기록!$I$3:$I$3002,"결근",출퇴근기록!$A$3:$A$3002,"&gt;="&amp;DATE($B$3,$D$3,1),출퇴근기록!$A$3:$A$3002,"&lt;="&amp;EOMONTH(DATE($B$3,$D$3,1),0)))</f>
        <v/>
      </c>
    </row>
    <row r="242" customFormat="false" ht="15" hidden="false" customHeight="true" outlineLevel="0" collapsed="false">
      <c r="A242" s="13" t="str">
        <f aca="false">IF(직원목록!$A239="","",직원목록!$A239)</f>
        <v/>
      </c>
      <c r="B242" s="13" t="str">
        <f aca="false">IF($A242="","",직원목록!$B239)</f>
        <v/>
      </c>
      <c r="C242" s="13" t="str">
        <f aca="false">IF($A242="","",직원목록!$C239)</f>
        <v/>
      </c>
      <c r="D242" s="19" t="str">
        <f aca="false">IF($A242="","",COUNTIFS(출퇴근기록!$B$3:$B$3002,$A242,출퇴근기록!$H$3:$H$3002,"&gt;0",출퇴근기록!$A$3:$A$3002,"&gt;="&amp;DATE($B$3,$D$3,1),출퇴근기록!$A$3:$A$3002,"&lt;="&amp;EOMONTH(DATE($B$3,$D$3,1),0)))</f>
        <v/>
      </c>
      <c r="E242" s="16" t="str">
        <f aca="false">IF($A242="","",ROUND(SUMIFS(출퇴근기록!$H$3:$H$3002,출퇴근기록!$B$3:$B$3002,$A242,출퇴근기록!$I$3:$I$3002,"평일",출퇴근기록!$A$3:$A$3002,"&gt;="&amp;DATE($B$3,$D$3,1),출퇴근기록!$A$3:$A$3002,"&lt;="&amp;EOMONTH(DATE($B$3,$D$3,1),0)),2))</f>
        <v/>
      </c>
      <c r="F242" s="16" t="str">
        <f aca="false">IF($A242="","",ROUND(SUMIFS(출퇴근기록!$H$3:$H$3002,출퇴근기록!$B$3:$B$3002,$A242,출퇴근기록!$I$3:$I$3002,"휴일",출퇴근기록!$A$3:$A$3002,"&gt;="&amp;DATE($B$3,$D$3,1),출퇴근기록!$A$3:$A$3002,"&lt;="&amp;EOMONTH(DATE($B$3,$D$3,1),0)),2))</f>
        <v/>
      </c>
      <c r="G242" s="16" t="str">
        <f aca="false">IF($A242="","",ROUND(SUMIFS(출퇴근기록!$H$3:$H$3002,출퇴근기록!$B$3:$B$3002,$A242,출퇴근기록!$A$3:$A$3002,"&gt;="&amp;DATE($B$3,$D$3,1),출퇴근기록!$A$3:$A$3002,"&lt;="&amp;EOMONTH(DATE($B$3,$D$3,1),0)),2))</f>
        <v/>
      </c>
      <c r="H242" s="16" t="str">
        <f aca="false">IF($A242="","",ROUND($D242*IF(직원목록!$F239="",8,직원목록!$F239),2))</f>
        <v/>
      </c>
      <c r="I242" s="16" t="str">
        <f aca="false">IF($A242="","",ROUND($G242-$H242,2))</f>
        <v/>
      </c>
      <c r="J242" s="19" t="str">
        <f aca="false">IF($A242="","",COUNTIFS(출퇴근기록!$B$3:$B$3002,$A242,출퇴근기록!$I$3:$I$3002,"연차",출퇴근기록!$A$3:$A$3002,"&gt;="&amp;DATE($B$3,$D$3,1),출퇴근기록!$A$3:$A$3002,"&lt;="&amp;EOMONTH(DATE($B$3,$D$3,1),0)))</f>
        <v/>
      </c>
      <c r="K242" s="19" t="str">
        <f aca="false">IF($A242="","",COUNTIFS(출퇴근기록!$B$3:$B$3002,$A242,출퇴근기록!$I$3:$I$3002,"결근",출퇴근기록!$A$3:$A$3002,"&gt;="&amp;DATE($B$3,$D$3,1),출퇴근기록!$A$3:$A$3002,"&lt;="&amp;EOMONTH(DATE($B$3,$D$3,1),0)))</f>
        <v/>
      </c>
    </row>
    <row r="243" customFormat="false" ht="15" hidden="false" customHeight="true" outlineLevel="0" collapsed="false">
      <c r="A243" s="13" t="str">
        <f aca="false">IF(직원목록!$A240="","",직원목록!$A240)</f>
        <v/>
      </c>
      <c r="B243" s="13" t="str">
        <f aca="false">IF($A243="","",직원목록!$B240)</f>
        <v/>
      </c>
      <c r="C243" s="13" t="str">
        <f aca="false">IF($A243="","",직원목록!$C240)</f>
        <v/>
      </c>
      <c r="D243" s="19" t="str">
        <f aca="false">IF($A243="","",COUNTIFS(출퇴근기록!$B$3:$B$3002,$A243,출퇴근기록!$H$3:$H$3002,"&gt;0",출퇴근기록!$A$3:$A$3002,"&gt;="&amp;DATE($B$3,$D$3,1),출퇴근기록!$A$3:$A$3002,"&lt;="&amp;EOMONTH(DATE($B$3,$D$3,1),0)))</f>
        <v/>
      </c>
      <c r="E243" s="16" t="str">
        <f aca="false">IF($A243="","",ROUND(SUMIFS(출퇴근기록!$H$3:$H$3002,출퇴근기록!$B$3:$B$3002,$A243,출퇴근기록!$I$3:$I$3002,"평일",출퇴근기록!$A$3:$A$3002,"&gt;="&amp;DATE($B$3,$D$3,1),출퇴근기록!$A$3:$A$3002,"&lt;="&amp;EOMONTH(DATE($B$3,$D$3,1),0)),2))</f>
        <v/>
      </c>
      <c r="F243" s="16" t="str">
        <f aca="false">IF($A243="","",ROUND(SUMIFS(출퇴근기록!$H$3:$H$3002,출퇴근기록!$B$3:$B$3002,$A243,출퇴근기록!$I$3:$I$3002,"휴일",출퇴근기록!$A$3:$A$3002,"&gt;="&amp;DATE($B$3,$D$3,1),출퇴근기록!$A$3:$A$3002,"&lt;="&amp;EOMONTH(DATE($B$3,$D$3,1),0)),2))</f>
        <v/>
      </c>
      <c r="G243" s="16" t="str">
        <f aca="false">IF($A243="","",ROUND(SUMIFS(출퇴근기록!$H$3:$H$3002,출퇴근기록!$B$3:$B$3002,$A243,출퇴근기록!$A$3:$A$3002,"&gt;="&amp;DATE($B$3,$D$3,1),출퇴근기록!$A$3:$A$3002,"&lt;="&amp;EOMONTH(DATE($B$3,$D$3,1),0)),2))</f>
        <v/>
      </c>
      <c r="H243" s="16" t="str">
        <f aca="false">IF($A243="","",ROUND($D243*IF(직원목록!$F240="",8,직원목록!$F240),2))</f>
        <v/>
      </c>
      <c r="I243" s="16" t="str">
        <f aca="false">IF($A243="","",ROUND($G243-$H243,2))</f>
        <v/>
      </c>
      <c r="J243" s="19" t="str">
        <f aca="false">IF($A243="","",COUNTIFS(출퇴근기록!$B$3:$B$3002,$A243,출퇴근기록!$I$3:$I$3002,"연차",출퇴근기록!$A$3:$A$3002,"&gt;="&amp;DATE($B$3,$D$3,1),출퇴근기록!$A$3:$A$3002,"&lt;="&amp;EOMONTH(DATE($B$3,$D$3,1),0)))</f>
        <v/>
      </c>
      <c r="K243" s="19" t="str">
        <f aca="false">IF($A243="","",COUNTIFS(출퇴근기록!$B$3:$B$3002,$A243,출퇴근기록!$I$3:$I$3002,"결근",출퇴근기록!$A$3:$A$3002,"&gt;="&amp;DATE($B$3,$D$3,1),출퇴근기록!$A$3:$A$3002,"&lt;="&amp;EOMONTH(DATE($B$3,$D$3,1),0)))</f>
        <v/>
      </c>
    </row>
    <row r="244" customFormat="false" ht="15" hidden="false" customHeight="true" outlineLevel="0" collapsed="false">
      <c r="A244" s="13" t="str">
        <f aca="false">IF(직원목록!$A241="","",직원목록!$A241)</f>
        <v/>
      </c>
      <c r="B244" s="13" t="str">
        <f aca="false">IF($A244="","",직원목록!$B241)</f>
        <v/>
      </c>
      <c r="C244" s="13" t="str">
        <f aca="false">IF($A244="","",직원목록!$C241)</f>
        <v/>
      </c>
      <c r="D244" s="19" t="str">
        <f aca="false">IF($A244="","",COUNTIFS(출퇴근기록!$B$3:$B$3002,$A244,출퇴근기록!$H$3:$H$3002,"&gt;0",출퇴근기록!$A$3:$A$3002,"&gt;="&amp;DATE($B$3,$D$3,1),출퇴근기록!$A$3:$A$3002,"&lt;="&amp;EOMONTH(DATE($B$3,$D$3,1),0)))</f>
        <v/>
      </c>
      <c r="E244" s="16" t="str">
        <f aca="false">IF($A244="","",ROUND(SUMIFS(출퇴근기록!$H$3:$H$3002,출퇴근기록!$B$3:$B$3002,$A244,출퇴근기록!$I$3:$I$3002,"평일",출퇴근기록!$A$3:$A$3002,"&gt;="&amp;DATE($B$3,$D$3,1),출퇴근기록!$A$3:$A$3002,"&lt;="&amp;EOMONTH(DATE($B$3,$D$3,1),0)),2))</f>
        <v/>
      </c>
      <c r="F244" s="16" t="str">
        <f aca="false">IF($A244="","",ROUND(SUMIFS(출퇴근기록!$H$3:$H$3002,출퇴근기록!$B$3:$B$3002,$A244,출퇴근기록!$I$3:$I$3002,"휴일",출퇴근기록!$A$3:$A$3002,"&gt;="&amp;DATE($B$3,$D$3,1),출퇴근기록!$A$3:$A$3002,"&lt;="&amp;EOMONTH(DATE($B$3,$D$3,1),0)),2))</f>
        <v/>
      </c>
      <c r="G244" s="16" t="str">
        <f aca="false">IF($A244="","",ROUND(SUMIFS(출퇴근기록!$H$3:$H$3002,출퇴근기록!$B$3:$B$3002,$A244,출퇴근기록!$A$3:$A$3002,"&gt;="&amp;DATE($B$3,$D$3,1),출퇴근기록!$A$3:$A$3002,"&lt;="&amp;EOMONTH(DATE($B$3,$D$3,1),0)),2))</f>
        <v/>
      </c>
      <c r="H244" s="16" t="str">
        <f aca="false">IF($A244="","",ROUND($D244*IF(직원목록!$F241="",8,직원목록!$F241),2))</f>
        <v/>
      </c>
      <c r="I244" s="16" t="str">
        <f aca="false">IF($A244="","",ROUND($G244-$H244,2))</f>
        <v/>
      </c>
      <c r="J244" s="19" t="str">
        <f aca="false">IF($A244="","",COUNTIFS(출퇴근기록!$B$3:$B$3002,$A244,출퇴근기록!$I$3:$I$3002,"연차",출퇴근기록!$A$3:$A$3002,"&gt;="&amp;DATE($B$3,$D$3,1),출퇴근기록!$A$3:$A$3002,"&lt;="&amp;EOMONTH(DATE($B$3,$D$3,1),0)))</f>
        <v/>
      </c>
      <c r="K244" s="19" t="str">
        <f aca="false">IF($A244="","",COUNTIFS(출퇴근기록!$B$3:$B$3002,$A244,출퇴근기록!$I$3:$I$3002,"결근",출퇴근기록!$A$3:$A$3002,"&gt;="&amp;DATE($B$3,$D$3,1),출퇴근기록!$A$3:$A$3002,"&lt;="&amp;EOMONTH(DATE($B$3,$D$3,1),0)))</f>
        <v/>
      </c>
    </row>
    <row r="245" customFormat="false" ht="15" hidden="false" customHeight="true" outlineLevel="0" collapsed="false">
      <c r="A245" s="13" t="str">
        <f aca="false">IF(직원목록!$A242="","",직원목록!$A242)</f>
        <v/>
      </c>
      <c r="B245" s="13" t="str">
        <f aca="false">IF($A245="","",직원목록!$B242)</f>
        <v/>
      </c>
      <c r="C245" s="13" t="str">
        <f aca="false">IF($A245="","",직원목록!$C242)</f>
        <v/>
      </c>
      <c r="D245" s="19" t="str">
        <f aca="false">IF($A245="","",COUNTIFS(출퇴근기록!$B$3:$B$3002,$A245,출퇴근기록!$H$3:$H$3002,"&gt;0",출퇴근기록!$A$3:$A$3002,"&gt;="&amp;DATE($B$3,$D$3,1),출퇴근기록!$A$3:$A$3002,"&lt;="&amp;EOMONTH(DATE($B$3,$D$3,1),0)))</f>
        <v/>
      </c>
      <c r="E245" s="16" t="str">
        <f aca="false">IF($A245="","",ROUND(SUMIFS(출퇴근기록!$H$3:$H$3002,출퇴근기록!$B$3:$B$3002,$A245,출퇴근기록!$I$3:$I$3002,"평일",출퇴근기록!$A$3:$A$3002,"&gt;="&amp;DATE($B$3,$D$3,1),출퇴근기록!$A$3:$A$3002,"&lt;="&amp;EOMONTH(DATE($B$3,$D$3,1),0)),2))</f>
        <v/>
      </c>
      <c r="F245" s="16" t="str">
        <f aca="false">IF($A245="","",ROUND(SUMIFS(출퇴근기록!$H$3:$H$3002,출퇴근기록!$B$3:$B$3002,$A245,출퇴근기록!$I$3:$I$3002,"휴일",출퇴근기록!$A$3:$A$3002,"&gt;="&amp;DATE($B$3,$D$3,1),출퇴근기록!$A$3:$A$3002,"&lt;="&amp;EOMONTH(DATE($B$3,$D$3,1),0)),2))</f>
        <v/>
      </c>
      <c r="G245" s="16" t="str">
        <f aca="false">IF($A245="","",ROUND(SUMIFS(출퇴근기록!$H$3:$H$3002,출퇴근기록!$B$3:$B$3002,$A245,출퇴근기록!$A$3:$A$3002,"&gt;="&amp;DATE($B$3,$D$3,1),출퇴근기록!$A$3:$A$3002,"&lt;="&amp;EOMONTH(DATE($B$3,$D$3,1),0)),2))</f>
        <v/>
      </c>
      <c r="H245" s="16" t="str">
        <f aca="false">IF($A245="","",ROUND($D245*IF(직원목록!$F242="",8,직원목록!$F242),2))</f>
        <v/>
      </c>
      <c r="I245" s="16" t="str">
        <f aca="false">IF($A245="","",ROUND($G245-$H245,2))</f>
        <v/>
      </c>
      <c r="J245" s="19" t="str">
        <f aca="false">IF($A245="","",COUNTIFS(출퇴근기록!$B$3:$B$3002,$A245,출퇴근기록!$I$3:$I$3002,"연차",출퇴근기록!$A$3:$A$3002,"&gt;="&amp;DATE($B$3,$D$3,1),출퇴근기록!$A$3:$A$3002,"&lt;="&amp;EOMONTH(DATE($B$3,$D$3,1),0)))</f>
        <v/>
      </c>
      <c r="K245" s="19" t="str">
        <f aca="false">IF($A245="","",COUNTIFS(출퇴근기록!$B$3:$B$3002,$A245,출퇴근기록!$I$3:$I$3002,"결근",출퇴근기록!$A$3:$A$3002,"&gt;="&amp;DATE($B$3,$D$3,1),출퇴근기록!$A$3:$A$3002,"&lt;="&amp;EOMONTH(DATE($B$3,$D$3,1),0)))</f>
        <v/>
      </c>
    </row>
    <row r="246" customFormat="false" ht="15" hidden="false" customHeight="true" outlineLevel="0" collapsed="false">
      <c r="A246" s="13" t="str">
        <f aca="false">IF(직원목록!$A243="","",직원목록!$A243)</f>
        <v/>
      </c>
      <c r="B246" s="13" t="str">
        <f aca="false">IF($A246="","",직원목록!$B243)</f>
        <v/>
      </c>
      <c r="C246" s="13" t="str">
        <f aca="false">IF($A246="","",직원목록!$C243)</f>
        <v/>
      </c>
      <c r="D246" s="19" t="str">
        <f aca="false">IF($A246="","",COUNTIFS(출퇴근기록!$B$3:$B$3002,$A246,출퇴근기록!$H$3:$H$3002,"&gt;0",출퇴근기록!$A$3:$A$3002,"&gt;="&amp;DATE($B$3,$D$3,1),출퇴근기록!$A$3:$A$3002,"&lt;="&amp;EOMONTH(DATE($B$3,$D$3,1),0)))</f>
        <v/>
      </c>
      <c r="E246" s="16" t="str">
        <f aca="false">IF($A246="","",ROUND(SUMIFS(출퇴근기록!$H$3:$H$3002,출퇴근기록!$B$3:$B$3002,$A246,출퇴근기록!$I$3:$I$3002,"평일",출퇴근기록!$A$3:$A$3002,"&gt;="&amp;DATE($B$3,$D$3,1),출퇴근기록!$A$3:$A$3002,"&lt;="&amp;EOMONTH(DATE($B$3,$D$3,1),0)),2))</f>
        <v/>
      </c>
      <c r="F246" s="16" t="str">
        <f aca="false">IF($A246="","",ROUND(SUMIFS(출퇴근기록!$H$3:$H$3002,출퇴근기록!$B$3:$B$3002,$A246,출퇴근기록!$I$3:$I$3002,"휴일",출퇴근기록!$A$3:$A$3002,"&gt;="&amp;DATE($B$3,$D$3,1),출퇴근기록!$A$3:$A$3002,"&lt;="&amp;EOMONTH(DATE($B$3,$D$3,1),0)),2))</f>
        <v/>
      </c>
      <c r="G246" s="16" t="str">
        <f aca="false">IF($A246="","",ROUND(SUMIFS(출퇴근기록!$H$3:$H$3002,출퇴근기록!$B$3:$B$3002,$A246,출퇴근기록!$A$3:$A$3002,"&gt;="&amp;DATE($B$3,$D$3,1),출퇴근기록!$A$3:$A$3002,"&lt;="&amp;EOMONTH(DATE($B$3,$D$3,1),0)),2))</f>
        <v/>
      </c>
      <c r="H246" s="16" t="str">
        <f aca="false">IF($A246="","",ROUND($D246*IF(직원목록!$F243="",8,직원목록!$F243),2))</f>
        <v/>
      </c>
      <c r="I246" s="16" t="str">
        <f aca="false">IF($A246="","",ROUND($G246-$H246,2))</f>
        <v/>
      </c>
      <c r="J246" s="19" t="str">
        <f aca="false">IF($A246="","",COUNTIFS(출퇴근기록!$B$3:$B$3002,$A246,출퇴근기록!$I$3:$I$3002,"연차",출퇴근기록!$A$3:$A$3002,"&gt;="&amp;DATE($B$3,$D$3,1),출퇴근기록!$A$3:$A$3002,"&lt;="&amp;EOMONTH(DATE($B$3,$D$3,1),0)))</f>
        <v/>
      </c>
      <c r="K246" s="19" t="str">
        <f aca="false">IF($A246="","",COUNTIFS(출퇴근기록!$B$3:$B$3002,$A246,출퇴근기록!$I$3:$I$3002,"결근",출퇴근기록!$A$3:$A$3002,"&gt;="&amp;DATE($B$3,$D$3,1),출퇴근기록!$A$3:$A$3002,"&lt;="&amp;EOMONTH(DATE($B$3,$D$3,1),0)))</f>
        <v/>
      </c>
    </row>
    <row r="247" customFormat="false" ht="15" hidden="false" customHeight="true" outlineLevel="0" collapsed="false">
      <c r="A247" s="13" t="str">
        <f aca="false">IF(직원목록!$A244="","",직원목록!$A244)</f>
        <v/>
      </c>
      <c r="B247" s="13" t="str">
        <f aca="false">IF($A247="","",직원목록!$B244)</f>
        <v/>
      </c>
      <c r="C247" s="13" t="str">
        <f aca="false">IF($A247="","",직원목록!$C244)</f>
        <v/>
      </c>
      <c r="D247" s="19" t="str">
        <f aca="false">IF($A247="","",COUNTIFS(출퇴근기록!$B$3:$B$3002,$A247,출퇴근기록!$H$3:$H$3002,"&gt;0",출퇴근기록!$A$3:$A$3002,"&gt;="&amp;DATE($B$3,$D$3,1),출퇴근기록!$A$3:$A$3002,"&lt;="&amp;EOMONTH(DATE($B$3,$D$3,1),0)))</f>
        <v/>
      </c>
      <c r="E247" s="16" t="str">
        <f aca="false">IF($A247="","",ROUND(SUMIFS(출퇴근기록!$H$3:$H$3002,출퇴근기록!$B$3:$B$3002,$A247,출퇴근기록!$I$3:$I$3002,"평일",출퇴근기록!$A$3:$A$3002,"&gt;="&amp;DATE($B$3,$D$3,1),출퇴근기록!$A$3:$A$3002,"&lt;="&amp;EOMONTH(DATE($B$3,$D$3,1),0)),2))</f>
        <v/>
      </c>
      <c r="F247" s="16" t="str">
        <f aca="false">IF($A247="","",ROUND(SUMIFS(출퇴근기록!$H$3:$H$3002,출퇴근기록!$B$3:$B$3002,$A247,출퇴근기록!$I$3:$I$3002,"휴일",출퇴근기록!$A$3:$A$3002,"&gt;="&amp;DATE($B$3,$D$3,1),출퇴근기록!$A$3:$A$3002,"&lt;="&amp;EOMONTH(DATE($B$3,$D$3,1),0)),2))</f>
        <v/>
      </c>
      <c r="G247" s="16" t="str">
        <f aca="false">IF($A247="","",ROUND(SUMIFS(출퇴근기록!$H$3:$H$3002,출퇴근기록!$B$3:$B$3002,$A247,출퇴근기록!$A$3:$A$3002,"&gt;="&amp;DATE($B$3,$D$3,1),출퇴근기록!$A$3:$A$3002,"&lt;="&amp;EOMONTH(DATE($B$3,$D$3,1),0)),2))</f>
        <v/>
      </c>
      <c r="H247" s="16" t="str">
        <f aca="false">IF($A247="","",ROUND($D247*IF(직원목록!$F244="",8,직원목록!$F244),2))</f>
        <v/>
      </c>
      <c r="I247" s="16" t="str">
        <f aca="false">IF($A247="","",ROUND($G247-$H247,2))</f>
        <v/>
      </c>
      <c r="J247" s="19" t="str">
        <f aca="false">IF($A247="","",COUNTIFS(출퇴근기록!$B$3:$B$3002,$A247,출퇴근기록!$I$3:$I$3002,"연차",출퇴근기록!$A$3:$A$3002,"&gt;="&amp;DATE($B$3,$D$3,1),출퇴근기록!$A$3:$A$3002,"&lt;="&amp;EOMONTH(DATE($B$3,$D$3,1),0)))</f>
        <v/>
      </c>
      <c r="K247" s="19" t="str">
        <f aca="false">IF($A247="","",COUNTIFS(출퇴근기록!$B$3:$B$3002,$A247,출퇴근기록!$I$3:$I$3002,"결근",출퇴근기록!$A$3:$A$3002,"&gt;="&amp;DATE($B$3,$D$3,1),출퇴근기록!$A$3:$A$3002,"&lt;="&amp;EOMONTH(DATE($B$3,$D$3,1),0)))</f>
        <v/>
      </c>
    </row>
    <row r="248" customFormat="false" ht="15" hidden="false" customHeight="true" outlineLevel="0" collapsed="false">
      <c r="A248" s="13" t="str">
        <f aca="false">IF(직원목록!$A245="","",직원목록!$A245)</f>
        <v/>
      </c>
      <c r="B248" s="13" t="str">
        <f aca="false">IF($A248="","",직원목록!$B245)</f>
        <v/>
      </c>
      <c r="C248" s="13" t="str">
        <f aca="false">IF($A248="","",직원목록!$C245)</f>
        <v/>
      </c>
      <c r="D248" s="19" t="str">
        <f aca="false">IF($A248="","",COUNTIFS(출퇴근기록!$B$3:$B$3002,$A248,출퇴근기록!$H$3:$H$3002,"&gt;0",출퇴근기록!$A$3:$A$3002,"&gt;="&amp;DATE($B$3,$D$3,1),출퇴근기록!$A$3:$A$3002,"&lt;="&amp;EOMONTH(DATE($B$3,$D$3,1),0)))</f>
        <v/>
      </c>
      <c r="E248" s="16" t="str">
        <f aca="false">IF($A248="","",ROUND(SUMIFS(출퇴근기록!$H$3:$H$3002,출퇴근기록!$B$3:$B$3002,$A248,출퇴근기록!$I$3:$I$3002,"평일",출퇴근기록!$A$3:$A$3002,"&gt;="&amp;DATE($B$3,$D$3,1),출퇴근기록!$A$3:$A$3002,"&lt;="&amp;EOMONTH(DATE($B$3,$D$3,1),0)),2))</f>
        <v/>
      </c>
      <c r="F248" s="16" t="str">
        <f aca="false">IF($A248="","",ROUND(SUMIFS(출퇴근기록!$H$3:$H$3002,출퇴근기록!$B$3:$B$3002,$A248,출퇴근기록!$I$3:$I$3002,"휴일",출퇴근기록!$A$3:$A$3002,"&gt;="&amp;DATE($B$3,$D$3,1),출퇴근기록!$A$3:$A$3002,"&lt;="&amp;EOMONTH(DATE($B$3,$D$3,1),0)),2))</f>
        <v/>
      </c>
      <c r="G248" s="16" t="str">
        <f aca="false">IF($A248="","",ROUND(SUMIFS(출퇴근기록!$H$3:$H$3002,출퇴근기록!$B$3:$B$3002,$A248,출퇴근기록!$A$3:$A$3002,"&gt;="&amp;DATE($B$3,$D$3,1),출퇴근기록!$A$3:$A$3002,"&lt;="&amp;EOMONTH(DATE($B$3,$D$3,1),0)),2))</f>
        <v/>
      </c>
      <c r="H248" s="16" t="str">
        <f aca="false">IF($A248="","",ROUND($D248*IF(직원목록!$F245="",8,직원목록!$F245),2))</f>
        <v/>
      </c>
      <c r="I248" s="16" t="str">
        <f aca="false">IF($A248="","",ROUND($G248-$H248,2))</f>
        <v/>
      </c>
      <c r="J248" s="19" t="str">
        <f aca="false">IF($A248="","",COUNTIFS(출퇴근기록!$B$3:$B$3002,$A248,출퇴근기록!$I$3:$I$3002,"연차",출퇴근기록!$A$3:$A$3002,"&gt;="&amp;DATE($B$3,$D$3,1),출퇴근기록!$A$3:$A$3002,"&lt;="&amp;EOMONTH(DATE($B$3,$D$3,1),0)))</f>
        <v/>
      </c>
      <c r="K248" s="19" t="str">
        <f aca="false">IF($A248="","",COUNTIFS(출퇴근기록!$B$3:$B$3002,$A248,출퇴근기록!$I$3:$I$3002,"결근",출퇴근기록!$A$3:$A$3002,"&gt;="&amp;DATE($B$3,$D$3,1),출퇴근기록!$A$3:$A$3002,"&lt;="&amp;EOMONTH(DATE($B$3,$D$3,1),0)))</f>
        <v/>
      </c>
    </row>
    <row r="249" customFormat="false" ht="15" hidden="false" customHeight="true" outlineLevel="0" collapsed="false">
      <c r="A249" s="13" t="str">
        <f aca="false">IF(직원목록!$A246="","",직원목록!$A246)</f>
        <v/>
      </c>
      <c r="B249" s="13" t="str">
        <f aca="false">IF($A249="","",직원목록!$B246)</f>
        <v/>
      </c>
      <c r="C249" s="13" t="str">
        <f aca="false">IF($A249="","",직원목록!$C246)</f>
        <v/>
      </c>
      <c r="D249" s="19" t="str">
        <f aca="false">IF($A249="","",COUNTIFS(출퇴근기록!$B$3:$B$3002,$A249,출퇴근기록!$H$3:$H$3002,"&gt;0",출퇴근기록!$A$3:$A$3002,"&gt;="&amp;DATE($B$3,$D$3,1),출퇴근기록!$A$3:$A$3002,"&lt;="&amp;EOMONTH(DATE($B$3,$D$3,1),0)))</f>
        <v/>
      </c>
      <c r="E249" s="16" t="str">
        <f aca="false">IF($A249="","",ROUND(SUMIFS(출퇴근기록!$H$3:$H$3002,출퇴근기록!$B$3:$B$3002,$A249,출퇴근기록!$I$3:$I$3002,"평일",출퇴근기록!$A$3:$A$3002,"&gt;="&amp;DATE($B$3,$D$3,1),출퇴근기록!$A$3:$A$3002,"&lt;="&amp;EOMONTH(DATE($B$3,$D$3,1),0)),2))</f>
        <v/>
      </c>
      <c r="F249" s="16" t="str">
        <f aca="false">IF($A249="","",ROUND(SUMIFS(출퇴근기록!$H$3:$H$3002,출퇴근기록!$B$3:$B$3002,$A249,출퇴근기록!$I$3:$I$3002,"휴일",출퇴근기록!$A$3:$A$3002,"&gt;="&amp;DATE($B$3,$D$3,1),출퇴근기록!$A$3:$A$3002,"&lt;="&amp;EOMONTH(DATE($B$3,$D$3,1),0)),2))</f>
        <v/>
      </c>
      <c r="G249" s="16" t="str">
        <f aca="false">IF($A249="","",ROUND(SUMIFS(출퇴근기록!$H$3:$H$3002,출퇴근기록!$B$3:$B$3002,$A249,출퇴근기록!$A$3:$A$3002,"&gt;="&amp;DATE($B$3,$D$3,1),출퇴근기록!$A$3:$A$3002,"&lt;="&amp;EOMONTH(DATE($B$3,$D$3,1),0)),2))</f>
        <v/>
      </c>
      <c r="H249" s="16" t="str">
        <f aca="false">IF($A249="","",ROUND($D249*IF(직원목록!$F246="",8,직원목록!$F246),2))</f>
        <v/>
      </c>
      <c r="I249" s="16" t="str">
        <f aca="false">IF($A249="","",ROUND($G249-$H249,2))</f>
        <v/>
      </c>
      <c r="J249" s="19" t="str">
        <f aca="false">IF($A249="","",COUNTIFS(출퇴근기록!$B$3:$B$3002,$A249,출퇴근기록!$I$3:$I$3002,"연차",출퇴근기록!$A$3:$A$3002,"&gt;="&amp;DATE($B$3,$D$3,1),출퇴근기록!$A$3:$A$3002,"&lt;="&amp;EOMONTH(DATE($B$3,$D$3,1),0)))</f>
        <v/>
      </c>
      <c r="K249" s="19" t="str">
        <f aca="false">IF($A249="","",COUNTIFS(출퇴근기록!$B$3:$B$3002,$A249,출퇴근기록!$I$3:$I$3002,"결근",출퇴근기록!$A$3:$A$3002,"&gt;="&amp;DATE($B$3,$D$3,1),출퇴근기록!$A$3:$A$3002,"&lt;="&amp;EOMONTH(DATE($B$3,$D$3,1),0)))</f>
        <v/>
      </c>
    </row>
    <row r="250" customFormat="false" ht="15" hidden="false" customHeight="true" outlineLevel="0" collapsed="false">
      <c r="A250" s="13" t="str">
        <f aca="false">IF(직원목록!$A247="","",직원목록!$A247)</f>
        <v/>
      </c>
      <c r="B250" s="13" t="str">
        <f aca="false">IF($A250="","",직원목록!$B247)</f>
        <v/>
      </c>
      <c r="C250" s="13" t="str">
        <f aca="false">IF($A250="","",직원목록!$C247)</f>
        <v/>
      </c>
      <c r="D250" s="19" t="str">
        <f aca="false">IF($A250="","",COUNTIFS(출퇴근기록!$B$3:$B$3002,$A250,출퇴근기록!$H$3:$H$3002,"&gt;0",출퇴근기록!$A$3:$A$3002,"&gt;="&amp;DATE($B$3,$D$3,1),출퇴근기록!$A$3:$A$3002,"&lt;="&amp;EOMONTH(DATE($B$3,$D$3,1),0)))</f>
        <v/>
      </c>
      <c r="E250" s="16" t="str">
        <f aca="false">IF($A250="","",ROUND(SUMIFS(출퇴근기록!$H$3:$H$3002,출퇴근기록!$B$3:$B$3002,$A250,출퇴근기록!$I$3:$I$3002,"평일",출퇴근기록!$A$3:$A$3002,"&gt;="&amp;DATE($B$3,$D$3,1),출퇴근기록!$A$3:$A$3002,"&lt;="&amp;EOMONTH(DATE($B$3,$D$3,1),0)),2))</f>
        <v/>
      </c>
      <c r="F250" s="16" t="str">
        <f aca="false">IF($A250="","",ROUND(SUMIFS(출퇴근기록!$H$3:$H$3002,출퇴근기록!$B$3:$B$3002,$A250,출퇴근기록!$I$3:$I$3002,"휴일",출퇴근기록!$A$3:$A$3002,"&gt;="&amp;DATE($B$3,$D$3,1),출퇴근기록!$A$3:$A$3002,"&lt;="&amp;EOMONTH(DATE($B$3,$D$3,1),0)),2))</f>
        <v/>
      </c>
      <c r="G250" s="16" t="str">
        <f aca="false">IF($A250="","",ROUND(SUMIFS(출퇴근기록!$H$3:$H$3002,출퇴근기록!$B$3:$B$3002,$A250,출퇴근기록!$A$3:$A$3002,"&gt;="&amp;DATE($B$3,$D$3,1),출퇴근기록!$A$3:$A$3002,"&lt;="&amp;EOMONTH(DATE($B$3,$D$3,1),0)),2))</f>
        <v/>
      </c>
      <c r="H250" s="16" t="str">
        <f aca="false">IF($A250="","",ROUND($D250*IF(직원목록!$F247="",8,직원목록!$F247),2))</f>
        <v/>
      </c>
      <c r="I250" s="16" t="str">
        <f aca="false">IF($A250="","",ROUND($G250-$H250,2))</f>
        <v/>
      </c>
      <c r="J250" s="19" t="str">
        <f aca="false">IF($A250="","",COUNTIFS(출퇴근기록!$B$3:$B$3002,$A250,출퇴근기록!$I$3:$I$3002,"연차",출퇴근기록!$A$3:$A$3002,"&gt;="&amp;DATE($B$3,$D$3,1),출퇴근기록!$A$3:$A$3002,"&lt;="&amp;EOMONTH(DATE($B$3,$D$3,1),0)))</f>
        <v/>
      </c>
      <c r="K250" s="19" t="str">
        <f aca="false">IF($A250="","",COUNTIFS(출퇴근기록!$B$3:$B$3002,$A250,출퇴근기록!$I$3:$I$3002,"결근",출퇴근기록!$A$3:$A$3002,"&gt;="&amp;DATE($B$3,$D$3,1),출퇴근기록!$A$3:$A$3002,"&lt;="&amp;EOMONTH(DATE($B$3,$D$3,1),0)))</f>
        <v/>
      </c>
    </row>
    <row r="251" customFormat="false" ht="15" hidden="false" customHeight="true" outlineLevel="0" collapsed="false">
      <c r="A251" s="13" t="str">
        <f aca="false">IF(직원목록!$A248="","",직원목록!$A248)</f>
        <v/>
      </c>
      <c r="B251" s="13" t="str">
        <f aca="false">IF($A251="","",직원목록!$B248)</f>
        <v/>
      </c>
      <c r="C251" s="13" t="str">
        <f aca="false">IF($A251="","",직원목록!$C248)</f>
        <v/>
      </c>
      <c r="D251" s="19" t="str">
        <f aca="false">IF($A251="","",COUNTIFS(출퇴근기록!$B$3:$B$3002,$A251,출퇴근기록!$H$3:$H$3002,"&gt;0",출퇴근기록!$A$3:$A$3002,"&gt;="&amp;DATE($B$3,$D$3,1),출퇴근기록!$A$3:$A$3002,"&lt;="&amp;EOMONTH(DATE($B$3,$D$3,1),0)))</f>
        <v/>
      </c>
      <c r="E251" s="16" t="str">
        <f aca="false">IF($A251="","",ROUND(SUMIFS(출퇴근기록!$H$3:$H$3002,출퇴근기록!$B$3:$B$3002,$A251,출퇴근기록!$I$3:$I$3002,"평일",출퇴근기록!$A$3:$A$3002,"&gt;="&amp;DATE($B$3,$D$3,1),출퇴근기록!$A$3:$A$3002,"&lt;="&amp;EOMONTH(DATE($B$3,$D$3,1),0)),2))</f>
        <v/>
      </c>
      <c r="F251" s="16" t="str">
        <f aca="false">IF($A251="","",ROUND(SUMIFS(출퇴근기록!$H$3:$H$3002,출퇴근기록!$B$3:$B$3002,$A251,출퇴근기록!$I$3:$I$3002,"휴일",출퇴근기록!$A$3:$A$3002,"&gt;="&amp;DATE($B$3,$D$3,1),출퇴근기록!$A$3:$A$3002,"&lt;="&amp;EOMONTH(DATE($B$3,$D$3,1),0)),2))</f>
        <v/>
      </c>
      <c r="G251" s="16" t="str">
        <f aca="false">IF($A251="","",ROUND(SUMIFS(출퇴근기록!$H$3:$H$3002,출퇴근기록!$B$3:$B$3002,$A251,출퇴근기록!$A$3:$A$3002,"&gt;="&amp;DATE($B$3,$D$3,1),출퇴근기록!$A$3:$A$3002,"&lt;="&amp;EOMONTH(DATE($B$3,$D$3,1),0)),2))</f>
        <v/>
      </c>
      <c r="H251" s="16" t="str">
        <f aca="false">IF($A251="","",ROUND($D251*IF(직원목록!$F248="",8,직원목록!$F248),2))</f>
        <v/>
      </c>
      <c r="I251" s="16" t="str">
        <f aca="false">IF($A251="","",ROUND($G251-$H251,2))</f>
        <v/>
      </c>
      <c r="J251" s="19" t="str">
        <f aca="false">IF($A251="","",COUNTIFS(출퇴근기록!$B$3:$B$3002,$A251,출퇴근기록!$I$3:$I$3002,"연차",출퇴근기록!$A$3:$A$3002,"&gt;="&amp;DATE($B$3,$D$3,1),출퇴근기록!$A$3:$A$3002,"&lt;="&amp;EOMONTH(DATE($B$3,$D$3,1),0)))</f>
        <v/>
      </c>
      <c r="K251" s="19" t="str">
        <f aca="false">IF($A251="","",COUNTIFS(출퇴근기록!$B$3:$B$3002,$A251,출퇴근기록!$I$3:$I$3002,"결근",출퇴근기록!$A$3:$A$3002,"&gt;="&amp;DATE($B$3,$D$3,1),출퇴근기록!$A$3:$A$3002,"&lt;="&amp;EOMONTH(DATE($B$3,$D$3,1),0)))</f>
        <v/>
      </c>
    </row>
    <row r="252" customFormat="false" ht="15" hidden="false" customHeight="true" outlineLevel="0" collapsed="false">
      <c r="A252" s="13" t="str">
        <f aca="false">IF(직원목록!$A249="","",직원목록!$A249)</f>
        <v/>
      </c>
      <c r="B252" s="13" t="str">
        <f aca="false">IF($A252="","",직원목록!$B249)</f>
        <v/>
      </c>
      <c r="C252" s="13" t="str">
        <f aca="false">IF($A252="","",직원목록!$C249)</f>
        <v/>
      </c>
      <c r="D252" s="19" t="str">
        <f aca="false">IF($A252="","",COUNTIFS(출퇴근기록!$B$3:$B$3002,$A252,출퇴근기록!$H$3:$H$3002,"&gt;0",출퇴근기록!$A$3:$A$3002,"&gt;="&amp;DATE($B$3,$D$3,1),출퇴근기록!$A$3:$A$3002,"&lt;="&amp;EOMONTH(DATE($B$3,$D$3,1),0)))</f>
        <v/>
      </c>
      <c r="E252" s="16" t="str">
        <f aca="false">IF($A252="","",ROUND(SUMIFS(출퇴근기록!$H$3:$H$3002,출퇴근기록!$B$3:$B$3002,$A252,출퇴근기록!$I$3:$I$3002,"평일",출퇴근기록!$A$3:$A$3002,"&gt;="&amp;DATE($B$3,$D$3,1),출퇴근기록!$A$3:$A$3002,"&lt;="&amp;EOMONTH(DATE($B$3,$D$3,1),0)),2))</f>
        <v/>
      </c>
      <c r="F252" s="16" t="str">
        <f aca="false">IF($A252="","",ROUND(SUMIFS(출퇴근기록!$H$3:$H$3002,출퇴근기록!$B$3:$B$3002,$A252,출퇴근기록!$I$3:$I$3002,"휴일",출퇴근기록!$A$3:$A$3002,"&gt;="&amp;DATE($B$3,$D$3,1),출퇴근기록!$A$3:$A$3002,"&lt;="&amp;EOMONTH(DATE($B$3,$D$3,1),0)),2))</f>
        <v/>
      </c>
      <c r="G252" s="16" t="str">
        <f aca="false">IF($A252="","",ROUND(SUMIFS(출퇴근기록!$H$3:$H$3002,출퇴근기록!$B$3:$B$3002,$A252,출퇴근기록!$A$3:$A$3002,"&gt;="&amp;DATE($B$3,$D$3,1),출퇴근기록!$A$3:$A$3002,"&lt;="&amp;EOMONTH(DATE($B$3,$D$3,1),0)),2))</f>
        <v/>
      </c>
      <c r="H252" s="16" t="str">
        <f aca="false">IF($A252="","",ROUND($D252*IF(직원목록!$F249="",8,직원목록!$F249),2))</f>
        <v/>
      </c>
      <c r="I252" s="16" t="str">
        <f aca="false">IF($A252="","",ROUND($G252-$H252,2))</f>
        <v/>
      </c>
      <c r="J252" s="19" t="str">
        <f aca="false">IF($A252="","",COUNTIFS(출퇴근기록!$B$3:$B$3002,$A252,출퇴근기록!$I$3:$I$3002,"연차",출퇴근기록!$A$3:$A$3002,"&gt;="&amp;DATE($B$3,$D$3,1),출퇴근기록!$A$3:$A$3002,"&lt;="&amp;EOMONTH(DATE($B$3,$D$3,1),0)))</f>
        <v/>
      </c>
      <c r="K252" s="19" t="str">
        <f aca="false">IF($A252="","",COUNTIFS(출퇴근기록!$B$3:$B$3002,$A252,출퇴근기록!$I$3:$I$3002,"결근",출퇴근기록!$A$3:$A$3002,"&gt;="&amp;DATE($B$3,$D$3,1),출퇴근기록!$A$3:$A$3002,"&lt;="&amp;EOMONTH(DATE($B$3,$D$3,1),0)))</f>
        <v/>
      </c>
    </row>
    <row r="253" customFormat="false" ht="15" hidden="false" customHeight="true" outlineLevel="0" collapsed="false">
      <c r="A253" s="13" t="str">
        <f aca="false">IF(직원목록!$A250="","",직원목록!$A250)</f>
        <v/>
      </c>
      <c r="B253" s="13" t="str">
        <f aca="false">IF($A253="","",직원목록!$B250)</f>
        <v/>
      </c>
      <c r="C253" s="13" t="str">
        <f aca="false">IF($A253="","",직원목록!$C250)</f>
        <v/>
      </c>
      <c r="D253" s="19" t="str">
        <f aca="false">IF($A253="","",COUNTIFS(출퇴근기록!$B$3:$B$3002,$A253,출퇴근기록!$H$3:$H$3002,"&gt;0",출퇴근기록!$A$3:$A$3002,"&gt;="&amp;DATE($B$3,$D$3,1),출퇴근기록!$A$3:$A$3002,"&lt;="&amp;EOMONTH(DATE($B$3,$D$3,1),0)))</f>
        <v/>
      </c>
      <c r="E253" s="16" t="str">
        <f aca="false">IF($A253="","",ROUND(SUMIFS(출퇴근기록!$H$3:$H$3002,출퇴근기록!$B$3:$B$3002,$A253,출퇴근기록!$I$3:$I$3002,"평일",출퇴근기록!$A$3:$A$3002,"&gt;="&amp;DATE($B$3,$D$3,1),출퇴근기록!$A$3:$A$3002,"&lt;="&amp;EOMONTH(DATE($B$3,$D$3,1),0)),2))</f>
        <v/>
      </c>
      <c r="F253" s="16" t="str">
        <f aca="false">IF($A253="","",ROUND(SUMIFS(출퇴근기록!$H$3:$H$3002,출퇴근기록!$B$3:$B$3002,$A253,출퇴근기록!$I$3:$I$3002,"휴일",출퇴근기록!$A$3:$A$3002,"&gt;="&amp;DATE($B$3,$D$3,1),출퇴근기록!$A$3:$A$3002,"&lt;="&amp;EOMONTH(DATE($B$3,$D$3,1),0)),2))</f>
        <v/>
      </c>
      <c r="G253" s="16" t="str">
        <f aca="false">IF($A253="","",ROUND(SUMIFS(출퇴근기록!$H$3:$H$3002,출퇴근기록!$B$3:$B$3002,$A253,출퇴근기록!$A$3:$A$3002,"&gt;="&amp;DATE($B$3,$D$3,1),출퇴근기록!$A$3:$A$3002,"&lt;="&amp;EOMONTH(DATE($B$3,$D$3,1),0)),2))</f>
        <v/>
      </c>
      <c r="H253" s="16" t="str">
        <f aca="false">IF($A253="","",ROUND($D253*IF(직원목록!$F250="",8,직원목록!$F250),2))</f>
        <v/>
      </c>
      <c r="I253" s="16" t="str">
        <f aca="false">IF($A253="","",ROUND($G253-$H253,2))</f>
        <v/>
      </c>
      <c r="J253" s="19" t="str">
        <f aca="false">IF($A253="","",COUNTIFS(출퇴근기록!$B$3:$B$3002,$A253,출퇴근기록!$I$3:$I$3002,"연차",출퇴근기록!$A$3:$A$3002,"&gt;="&amp;DATE($B$3,$D$3,1),출퇴근기록!$A$3:$A$3002,"&lt;="&amp;EOMONTH(DATE($B$3,$D$3,1),0)))</f>
        <v/>
      </c>
      <c r="K253" s="19" t="str">
        <f aca="false">IF($A253="","",COUNTIFS(출퇴근기록!$B$3:$B$3002,$A253,출퇴근기록!$I$3:$I$3002,"결근",출퇴근기록!$A$3:$A$3002,"&gt;="&amp;DATE($B$3,$D$3,1),출퇴근기록!$A$3:$A$3002,"&lt;="&amp;EOMONTH(DATE($B$3,$D$3,1),0)))</f>
        <v/>
      </c>
    </row>
    <row r="254" customFormat="false" ht="15" hidden="false" customHeight="true" outlineLevel="0" collapsed="false">
      <c r="A254" s="13" t="str">
        <f aca="false">IF(직원목록!$A251="","",직원목록!$A251)</f>
        <v/>
      </c>
      <c r="B254" s="13" t="str">
        <f aca="false">IF($A254="","",직원목록!$B251)</f>
        <v/>
      </c>
      <c r="C254" s="13" t="str">
        <f aca="false">IF($A254="","",직원목록!$C251)</f>
        <v/>
      </c>
      <c r="D254" s="19" t="str">
        <f aca="false">IF($A254="","",COUNTIFS(출퇴근기록!$B$3:$B$3002,$A254,출퇴근기록!$H$3:$H$3002,"&gt;0",출퇴근기록!$A$3:$A$3002,"&gt;="&amp;DATE($B$3,$D$3,1),출퇴근기록!$A$3:$A$3002,"&lt;="&amp;EOMONTH(DATE($B$3,$D$3,1),0)))</f>
        <v/>
      </c>
      <c r="E254" s="16" t="str">
        <f aca="false">IF($A254="","",ROUND(SUMIFS(출퇴근기록!$H$3:$H$3002,출퇴근기록!$B$3:$B$3002,$A254,출퇴근기록!$I$3:$I$3002,"평일",출퇴근기록!$A$3:$A$3002,"&gt;="&amp;DATE($B$3,$D$3,1),출퇴근기록!$A$3:$A$3002,"&lt;="&amp;EOMONTH(DATE($B$3,$D$3,1),0)),2))</f>
        <v/>
      </c>
      <c r="F254" s="16" t="str">
        <f aca="false">IF($A254="","",ROUND(SUMIFS(출퇴근기록!$H$3:$H$3002,출퇴근기록!$B$3:$B$3002,$A254,출퇴근기록!$I$3:$I$3002,"휴일",출퇴근기록!$A$3:$A$3002,"&gt;="&amp;DATE($B$3,$D$3,1),출퇴근기록!$A$3:$A$3002,"&lt;="&amp;EOMONTH(DATE($B$3,$D$3,1),0)),2))</f>
        <v/>
      </c>
      <c r="G254" s="16" t="str">
        <f aca="false">IF($A254="","",ROUND(SUMIFS(출퇴근기록!$H$3:$H$3002,출퇴근기록!$B$3:$B$3002,$A254,출퇴근기록!$A$3:$A$3002,"&gt;="&amp;DATE($B$3,$D$3,1),출퇴근기록!$A$3:$A$3002,"&lt;="&amp;EOMONTH(DATE($B$3,$D$3,1),0)),2))</f>
        <v/>
      </c>
      <c r="H254" s="16" t="str">
        <f aca="false">IF($A254="","",ROUND($D254*IF(직원목록!$F251="",8,직원목록!$F251),2))</f>
        <v/>
      </c>
      <c r="I254" s="16" t="str">
        <f aca="false">IF($A254="","",ROUND($G254-$H254,2))</f>
        <v/>
      </c>
      <c r="J254" s="19" t="str">
        <f aca="false">IF($A254="","",COUNTIFS(출퇴근기록!$B$3:$B$3002,$A254,출퇴근기록!$I$3:$I$3002,"연차",출퇴근기록!$A$3:$A$3002,"&gt;="&amp;DATE($B$3,$D$3,1),출퇴근기록!$A$3:$A$3002,"&lt;="&amp;EOMONTH(DATE($B$3,$D$3,1),0)))</f>
        <v/>
      </c>
      <c r="K254" s="19" t="str">
        <f aca="false">IF($A254="","",COUNTIFS(출퇴근기록!$B$3:$B$3002,$A254,출퇴근기록!$I$3:$I$3002,"결근",출퇴근기록!$A$3:$A$3002,"&gt;="&amp;DATE($B$3,$D$3,1),출퇴근기록!$A$3:$A$3002,"&lt;="&amp;EOMONTH(DATE($B$3,$D$3,1),0)))</f>
        <v/>
      </c>
    </row>
    <row r="255" customFormat="false" ht="15" hidden="false" customHeight="true" outlineLevel="0" collapsed="false">
      <c r="A255" s="13" t="str">
        <f aca="false">IF(직원목록!$A252="","",직원목록!$A252)</f>
        <v/>
      </c>
      <c r="B255" s="13" t="str">
        <f aca="false">IF($A255="","",직원목록!$B252)</f>
        <v/>
      </c>
      <c r="C255" s="13" t="str">
        <f aca="false">IF($A255="","",직원목록!$C252)</f>
        <v/>
      </c>
      <c r="D255" s="19" t="str">
        <f aca="false">IF($A255="","",COUNTIFS(출퇴근기록!$B$3:$B$3002,$A255,출퇴근기록!$H$3:$H$3002,"&gt;0",출퇴근기록!$A$3:$A$3002,"&gt;="&amp;DATE($B$3,$D$3,1),출퇴근기록!$A$3:$A$3002,"&lt;="&amp;EOMONTH(DATE($B$3,$D$3,1),0)))</f>
        <v/>
      </c>
      <c r="E255" s="16" t="str">
        <f aca="false">IF($A255="","",ROUND(SUMIFS(출퇴근기록!$H$3:$H$3002,출퇴근기록!$B$3:$B$3002,$A255,출퇴근기록!$I$3:$I$3002,"평일",출퇴근기록!$A$3:$A$3002,"&gt;="&amp;DATE($B$3,$D$3,1),출퇴근기록!$A$3:$A$3002,"&lt;="&amp;EOMONTH(DATE($B$3,$D$3,1),0)),2))</f>
        <v/>
      </c>
      <c r="F255" s="16" t="str">
        <f aca="false">IF($A255="","",ROUND(SUMIFS(출퇴근기록!$H$3:$H$3002,출퇴근기록!$B$3:$B$3002,$A255,출퇴근기록!$I$3:$I$3002,"휴일",출퇴근기록!$A$3:$A$3002,"&gt;="&amp;DATE($B$3,$D$3,1),출퇴근기록!$A$3:$A$3002,"&lt;="&amp;EOMONTH(DATE($B$3,$D$3,1),0)),2))</f>
        <v/>
      </c>
      <c r="G255" s="16" t="str">
        <f aca="false">IF($A255="","",ROUND(SUMIFS(출퇴근기록!$H$3:$H$3002,출퇴근기록!$B$3:$B$3002,$A255,출퇴근기록!$A$3:$A$3002,"&gt;="&amp;DATE($B$3,$D$3,1),출퇴근기록!$A$3:$A$3002,"&lt;="&amp;EOMONTH(DATE($B$3,$D$3,1),0)),2))</f>
        <v/>
      </c>
      <c r="H255" s="16" t="str">
        <f aca="false">IF($A255="","",ROUND($D255*IF(직원목록!$F252="",8,직원목록!$F252),2))</f>
        <v/>
      </c>
      <c r="I255" s="16" t="str">
        <f aca="false">IF($A255="","",ROUND($G255-$H255,2))</f>
        <v/>
      </c>
      <c r="J255" s="19" t="str">
        <f aca="false">IF($A255="","",COUNTIFS(출퇴근기록!$B$3:$B$3002,$A255,출퇴근기록!$I$3:$I$3002,"연차",출퇴근기록!$A$3:$A$3002,"&gt;="&amp;DATE($B$3,$D$3,1),출퇴근기록!$A$3:$A$3002,"&lt;="&amp;EOMONTH(DATE($B$3,$D$3,1),0)))</f>
        <v/>
      </c>
      <c r="K255" s="19" t="str">
        <f aca="false">IF($A255="","",COUNTIFS(출퇴근기록!$B$3:$B$3002,$A255,출퇴근기록!$I$3:$I$3002,"결근",출퇴근기록!$A$3:$A$3002,"&gt;="&amp;DATE($B$3,$D$3,1),출퇴근기록!$A$3:$A$3002,"&lt;="&amp;EOMONTH(DATE($B$3,$D$3,1),0)))</f>
        <v/>
      </c>
    </row>
    <row r="256" customFormat="false" ht="15" hidden="false" customHeight="true" outlineLevel="0" collapsed="false">
      <c r="A256" s="13" t="str">
        <f aca="false">IF(직원목록!$A253="","",직원목록!$A253)</f>
        <v/>
      </c>
      <c r="B256" s="13" t="str">
        <f aca="false">IF($A256="","",직원목록!$B253)</f>
        <v/>
      </c>
      <c r="C256" s="13" t="str">
        <f aca="false">IF($A256="","",직원목록!$C253)</f>
        <v/>
      </c>
      <c r="D256" s="19" t="str">
        <f aca="false">IF($A256="","",COUNTIFS(출퇴근기록!$B$3:$B$3002,$A256,출퇴근기록!$H$3:$H$3002,"&gt;0",출퇴근기록!$A$3:$A$3002,"&gt;="&amp;DATE($B$3,$D$3,1),출퇴근기록!$A$3:$A$3002,"&lt;="&amp;EOMONTH(DATE($B$3,$D$3,1),0)))</f>
        <v/>
      </c>
      <c r="E256" s="16" t="str">
        <f aca="false">IF($A256="","",ROUND(SUMIFS(출퇴근기록!$H$3:$H$3002,출퇴근기록!$B$3:$B$3002,$A256,출퇴근기록!$I$3:$I$3002,"평일",출퇴근기록!$A$3:$A$3002,"&gt;="&amp;DATE($B$3,$D$3,1),출퇴근기록!$A$3:$A$3002,"&lt;="&amp;EOMONTH(DATE($B$3,$D$3,1),0)),2))</f>
        <v/>
      </c>
      <c r="F256" s="16" t="str">
        <f aca="false">IF($A256="","",ROUND(SUMIFS(출퇴근기록!$H$3:$H$3002,출퇴근기록!$B$3:$B$3002,$A256,출퇴근기록!$I$3:$I$3002,"휴일",출퇴근기록!$A$3:$A$3002,"&gt;="&amp;DATE($B$3,$D$3,1),출퇴근기록!$A$3:$A$3002,"&lt;="&amp;EOMONTH(DATE($B$3,$D$3,1),0)),2))</f>
        <v/>
      </c>
      <c r="G256" s="16" t="str">
        <f aca="false">IF($A256="","",ROUND(SUMIFS(출퇴근기록!$H$3:$H$3002,출퇴근기록!$B$3:$B$3002,$A256,출퇴근기록!$A$3:$A$3002,"&gt;="&amp;DATE($B$3,$D$3,1),출퇴근기록!$A$3:$A$3002,"&lt;="&amp;EOMONTH(DATE($B$3,$D$3,1),0)),2))</f>
        <v/>
      </c>
      <c r="H256" s="16" t="str">
        <f aca="false">IF($A256="","",ROUND($D256*IF(직원목록!$F253="",8,직원목록!$F253),2))</f>
        <v/>
      </c>
      <c r="I256" s="16" t="str">
        <f aca="false">IF($A256="","",ROUND($G256-$H256,2))</f>
        <v/>
      </c>
      <c r="J256" s="19" t="str">
        <f aca="false">IF($A256="","",COUNTIFS(출퇴근기록!$B$3:$B$3002,$A256,출퇴근기록!$I$3:$I$3002,"연차",출퇴근기록!$A$3:$A$3002,"&gt;="&amp;DATE($B$3,$D$3,1),출퇴근기록!$A$3:$A$3002,"&lt;="&amp;EOMONTH(DATE($B$3,$D$3,1),0)))</f>
        <v/>
      </c>
      <c r="K256" s="19" t="str">
        <f aca="false">IF($A256="","",COUNTIFS(출퇴근기록!$B$3:$B$3002,$A256,출퇴근기록!$I$3:$I$3002,"결근",출퇴근기록!$A$3:$A$3002,"&gt;="&amp;DATE($B$3,$D$3,1),출퇴근기록!$A$3:$A$3002,"&lt;="&amp;EOMONTH(DATE($B$3,$D$3,1),0)))</f>
        <v/>
      </c>
    </row>
    <row r="257" customFormat="false" ht="15" hidden="false" customHeight="true" outlineLevel="0" collapsed="false">
      <c r="A257" s="13" t="str">
        <f aca="false">IF(직원목록!$A254="","",직원목록!$A254)</f>
        <v/>
      </c>
      <c r="B257" s="13" t="str">
        <f aca="false">IF($A257="","",직원목록!$B254)</f>
        <v/>
      </c>
      <c r="C257" s="13" t="str">
        <f aca="false">IF($A257="","",직원목록!$C254)</f>
        <v/>
      </c>
      <c r="D257" s="19" t="str">
        <f aca="false">IF($A257="","",COUNTIFS(출퇴근기록!$B$3:$B$3002,$A257,출퇴근기록!$H$3:$H$3002,"&gt;0",출퇴근기록!$A$3:$A$3002,"&gt;="&amp;DATE($B$3,$D$3,1),출퇴근기록!$A$3:$A$3002,"&lt;="&amp;EOMONTH(DATE($B$3,$D$3,1),0)))</f>
        <v/>
      </c>
      <c r="E257" s="16" t="str">
        <f aca="false">IF($A257="","",ROUND(SUMIFS(출퇴근기록!$H$3:$H$3002,출퇴근기록!$B$3:$B$3002,$A257,출퇴근기록!$I$3:$I$3002,"평일",출퇴근기록!$A$3:$A$3002,"&gt;="&amp;DATE($B$3,$D$3,1),출퇴근기록!$A$3:$A$3002,"&lt;="&amp;EOMONTH(DATE($B$3,$D$3,1),0)),2))</f>
        <v/>
      </c>
      <c r="F257" s="16" t="str">
        <f aca="false">IF($A257="","",ROUND(SUMIFS(출퇴근기록!$H$3:$H$3002,출퇴근기록!$B$3:$B$3002,$A257,출퇴근기록!$I$3:$I$3002,"휴일",출퇴근기록!$A$3:$A$3002,"&gt;="&amp;DATE($B$3,$D$3,1),출퇴근기록!$A$3:$A$3002,"&lt;="&amp;EOMONTH(DATE($B$3,$D$3,1),0)),2))</f>
        <v/>
      </c>
      <c r="G257" s="16" t="str">
        <f aca="false">IF($A257="","",ROUND(SUMIFS(출퇴근기록!$H$3:$H$3002,출퇴근기록!$B$3:$B$3002,$A257,출퇴근기록!$A$3:$A$3002,"&gt;="&amp;DATE($B$3,$D$3,1),출퇴근기록!$A$3:$A$3002,"&lt;="&amp;EOMONTH(DATE($B$3,$D$3,1),0)),2))</f>
        <v/>
      </c>
      <c r="H257" s="16" t="str">
        <f aca="false">IF($A257="","",ROUND($D257*IF(직원목록!$F254="",8,직원목록!$F254),2))</f>
        <v/>
      </c>
      <c r="I257" s="16" t="str">
        <f aca="false">IF($A257="","",ROUND($G257-$H257,2))</f>
        <v/>
      </c>
      <c r="J257" s="19" t="str">
        <f aca="false">IF($A257="","",COUNTIFS(출퇴근기록!$B$3:$B$3002,$A257,출퇴근기록!$I$3:$I$3002,"연차",출퇴근기록!$A$3:$A$3002,"&gt;="&amp;DATE($B$3,$D$3,1),출퇴근기록!$A$3:$A$3002,"&lt;="&amp;EOMONTH(DATE($B$3,$D$3,1),0)))</f>
        <v/>
      </c>
      <c r="K257" s="19" t="str">
        <f aca="false">IF($A257="","",COUNTIFS(출퇴근기록!$B$3:$B$3002,$A257,출퇴근기록!$I$3:$I$3002,"결근",출퇴근기록!$A$3:$A$3002,"&gt;="&amp;DATE($B$3,$D$3,1),출퇴근기록!$A$3:$A$3002,"&lt;="&amp;EOMONTH(DATE($B$3,$D$3,1),0)))</f>
        <v/>
      </c>
    </row>
    <row r="258" customFormat="false" ht="15" hidden="false" customHeight="true" outlineLevel="0" collapsed="false">
      <c r="A258" s="13" t="str">
        <f aca="false">IF(직원목록!$A255="","",직원목록!$A255)</f>
        <v/>
      </c>
      <c r="B258" s="13" t="str">
        <f aca="false">IF($A258="","",직원목록!$B255)</f>
        <v/>
      </c>
      <c r="C258" s="13" t="str">
        <f aca="false">IF($A258="","",직원목록!$C255)</f>
        <v/>
      </c>
      <c r="D258" s="19" t="str">
        <f aca="false">IF($A258="","",COUNTIFS(출퇴근기록!$B$3:$B$3002,$A258,출퇴근기록!$H$3:$H$3002,"&gt;0",출퇴근기록!$A$3:$A$3002,"&gt;="&amp;DATE($B$3,$D$3,1),출퇴근기록!$A$3:$A$3002,"&lt;="&amp;EOMONTH(DATE($B$3,$D$3,1),0)))</f>
        <v/>
      </c>
      <c r="E258" s="16" t="str">
        <f aca="false">IF($A258="","",ROUND(SUMIFS(출퇴근기록!$H$3:$H$3002,출퇴근기록!$B$3:$B$3002,$A258,출퇴근기록!$I$3:$I$3002,"평일",출퇴근기록!$A$3:$A$3002,"&gt;="&amp;DATE($B$3,$D$3,1),출퇴근기록!$A$3:$A$3002,"&lt;="&amp;EOMONTH(DATE($B$3,$D$3,1),0)),2))</f>
        <v/>
      </c>
      <c r="F258" s="16" t="str">
        <f aca="false">IF($A258="","",ROUND(SUMIFS(출퇴근기록!$H$3:$H$3002,출퇴근기록!$B$3:$B$3002,$A258,출퇴근기록!$I$3:$I$3002,"휴일",출퇴근기록!$A$3:$A$3002,"&gt;="&amp;DATE($B$3,$D$3,1),출퇴근기록!$A$3:$A$3002,"&lt;="&amp;EOMONTH(DATE($B$3,$D$3,1),0)),2))</f>
        <v/>
      </c>
      <c r="G258" s="16" t="str">
        <f aca="false">IF($A258="","",ROUND(SUMIFS(출퇴근기록!$H$3:$H$3002,출퇴근기록!$B$3:$B$3002,$A258,출퇴근기록!$A$3:$A$3002,"&gt;="&amp;DATE($B$3,$D$3,1),출퇴근기록!$A$3:$A$3002,"&lt;="&amp;EOMONTH(DATE($B$3,$D$3,1),0)),2))</f>
        <v/>
      </c>
      <c r="H258" s="16" t="str">
        <f aca="false">IF($A258="","",ROUND($D258*IF(직원목록!$F255="",8,직원목록!$F255),2))</f>
        <v/>
      </c>
      <c r="I258" s="16" t="str">
        <f aca="false">IF($A258="","",ROUND($G258-$H258,2))</f>
        <v/>
      </c>
      <c r="J258" s="19" t="str">
        <f aca="false">IF($A258="","",COUNTIFS(출퇴근기록!$B$3:$B$3002,$A258,출퇴근기록!$I$3:$I$3002,"연차",출퇴근기록!$A$3:$A$3002,"&gt;="&amp;DATE($B$3,$D$3,1),출퇴근기록!$A$3:$A$3002,"&lt;="&amp;EOMONTH(DATE($B$3,$D$3,1),0)))</f>
        <v/>
      </c>
      <c r="K258" s="19" t="str">
        <f aca="false">IF($A258="","",COUNTIFS(출퇴근기록!$B$3:$B$3002,$A258,출퇴근기록!$I$3:$I$3002,"결근",출퇴근기록!$A$3:$A$3002,"&gt;="&amp;DATE($B$3,$D$3,1),출퇴근기록!$A$3:$A$3002,"&lt;="&amp;EOMONTH(DATE($B$3,$D$3,1),0)))</f>
        <v/>
      </c>
    </row>
    <row r="259" customFormat="false" ht="15" hidden="false" customHeight="true" outlineLevel="0" collapsed="false">
      <c r="A259" s="13" t="str">
        <f aca="false">IF(직원목록!$A256="","",직원목록!$A256)</f>
        <v/>
      </c>
      <c r="B259" s="13" t="str">
        <f aca="false">IF($A259="","",직원목록!$B256)</f>
        <v/>
      </c>
      <c r="C259" s="13" t="str">
        <f aca="false">IF($A259="","",직원목록!$C256)</f>
        <v/>
      </c>
      <c r="D259" s="19" t="str">
        <f aca="false">IF($A259="","",COUNTIFS(출퇴근기록!$B$3:$B$3002,$A259,출퇴근기록!$H$3:$H$3002,"&gt;0",출퇴근기록!$A$3:$A$3002,"&gt;="&amp;DATE($B$3,$D$3,1),출퇴근기록!$A$3:$A$3002,"&lt;="&amp;EOMONTH(DATE($B$3,$D$3,1),0)))</f>
        <v/>
      </c>
      <c r="E259" s="16" t="str">
        <f aca="false">IF($A259="","",ROUND(SUMIFS(출퇴근기록!$H$3:$H$3002,출퇴근기록!$B$3:$B$3002,$A259,출퇴근기록!$I$3:$I$3002,"평일",출퇴근기록!$A$3:$A$3002,"&gt;="&amp;DATE($B$3,$D$3,1),출퇴근기록!$A$3:$A$3002,"&lt;="&amp;EOMONTH(DATE($B$3,$D$3,1),0)),2))</f>
        <v/>
      </c>
      <c r="F259" s="16" t="str">
        <f aca="false">IF($A259="","",ROUND(SUMIFS(출퇴근기록!$H$3:$H$3002,출퇴근기록!$B$3:$B$3002,$A259,출퇴근기록!$I$3:$I$3002,"휴일",출퇴근기록!$A$3:$A$3002,"&gt;="&amp;DATE($B$3,$D$3,1),출퇴근기록!$A$3:$A$3002,"&lt;="&amp;EOMONTH(DATE($B$3,$D$3,1),0)),2))</f>
        <v/>
      </c>
      <c r="G259" s="16" t="str">
        <f aca="false">IF($A259="","",ROUND(SUMIFS(출퇴근기록!$H$3:$H$3002,출퇴근기록!$B$3:$B$3002,$A259,출퇴근기록!$A$3:$A$3002,"&gt;="&amp;DATE($B$3,$D$3,1),출퇴근기록!$A$3:$A$3002,"&lt;="&amp;EOMONTH(DATE($B$3,$D$3,1),0)),2))</f>
        <v/>
      </c>
      <c r="H259" s="16" t="str">
        <f aca="false">IF($A259="","",ROUND($D259*IF(직원목록!$F256="",8,직원목록!$F256),2))</f>
        <v/>
      </c>
      <c r="I259" s="16" t="str">
        <f aca="false">IF($A259="","",ROUND($G259-$H259,2))</f>
        <v/>
      </c>
      <c r="J259" s="19" t="str">
        <f aca="false">IF($A259="","",COUNTIFS(출퇴근기록!$B$3:$B$3002,$A259,출퇴근기록!$I$3:$I$3002,"연차",출퇴근기록!$A$3:$A$3002,"&gt;="&amp;DATE($B$3,$D$3,1),출퇴근기록!$A$3:$A$3002,"&lt;="&amp;EOMONTH(DATE($B$3,$D$3,1),0)))</f>
        <v/>
      </c>
      <c r="K259" s="19" t="str">
        <f aca="false">IF($A259="","",COUNTIFS(출퇴근기록!$B$3:$B$3002,$A259,출퇴근기록!$I$3:$I$3002,"결근",출퇴근기록!$A$3:$A$3002,"&gt;="&amp;DATE($B$3,$D$3,1),출퇴근기록!$A$3:$A$3002,"&lt;="&amp;EOMONTH(DATE($B$3,$D$3,1),0)))</f>
        <v/>
      </c>
    </row>
    <row r="260" customFormat="false" ht="15" hidden="false" customHeight="true" outlineLevel="0" collapsed="false">
      <c r="A260" s="13" t="str">
        <f aca="false">IF(직원목록!$A257="","",직원목록!$A257)</f>
        <v/>
      </c>
      <c r="B260" s="13" t="str">
        <f aca="false">IF($A260="","",직원목록!$B257)</f>
        <v/>
      </c>
      <c r="C260" s="13" t="str">
        <f aca="false">IF($A260="","",직원목록!$C257)</f>
        <v/>
      </c>
      <c r="D260" s="19" t="str">
        <f aca="false">IF($A260="","",COUNTIFS(출퇴근기록!$B$3:$B$3002,$A260,출퇴근기록!$H$3:$H$3002,"&gt;0",출퇴근기록!$A$3:$A$3002,"&gt;="&amp;DATE($B$3,$D$3,1),출퇴근기록!$A$3:$A$3002,"&lt;="&amp;EOMONTH(DATE($B$3,$D$3,1),0)))</f>
        <v/>
      </c>
      <c r="E260" s="16" t="str">
        <f aca="false">IF($A260="","",ROUND(SUMIFS(출퇴근기록!$H$3:$H$3002,출퇴근기록!$B$3:$B$3002,$A260,출퇴근기록!$I$3:$I$3002,"평일",출퇴근기록!$A$3:$A$3002,"&gt;="&amp;DATE($B$3,$D$3,1),출퇴근기록!$A$3:$A$3002,"&lt;="&amp;EOMONTH(DATE($B$3,$D$3,1),0)),2))</f>
        <v/>
      </c>
      <c r="F260" s="16" t="str">
        <f aca="false">IF($A260="","",ROUND(SUMIFS(출퇴근기록!$H$3:$H$3002,출퇴근기록!$B$3:$B$3002,$A260,출퇴근기록!$I$3:$I$3002,"휴일",출퇴근기록!$A$3:$A$3002,"&gt;="&amp;DATE($B$3,$D$3,1),출퇴근기록!$A$3:$A$3002,"&lt;="&amp;EOMONTH(DATE($B$3,$D$3,1),0)),2))</f>
        <v/>
      </c>
      <c r="G260" s="16" t="str">
        <f aca="false">IF($A260="","",ROUND(SUMIFS(출퇴근기록!$H$3:$H$3002,출퇴근기록!$B$3:$B$3002,$A260,출퇴근기록!$A$3:$A$3002,"&gt;="&amp;DATE($B$3,$D$3,1),출퇴근기록!$A$3:$A$3002,"&lt;="&amp;EOMONTH(DATE($B$3,$D$3,1),0)),2))</f>
        <v/>
      </c>
      <c r="H260" s="16" t="str">
        <f aca="false">IF($A260="","",ROUND($D260*IF(직원목록!$F257="",8,직원목록!$F257),2))</f>
        <v/>
      </c>
      <c r="I260" s="16" t="str">
        <f aca="false">IF($A260="","",ROUND($G260-$H260,2))</f>
        <v/>
      </c>
      <c r="J260" s="19" t="str">
        <f aca="false">IF($A260="","",COUNTIFS(출퇴근기록!$B$3:$B$3002,$A260,출퇴근기록!$I$3:$I$3002,"연차",출퇴근기록!$A$3:$A$3002,"&gt;="&amp;DATE($B$3,$D$3,1),출퇴근기록!$A$3:$A$3002,"&lt;="&amp;EOMONTH(DATE($B$3,$D$3,1),0)))</f>
        <v/>
      </c>
      <c r="K260" s="19" t="str">
        <f aca="false">IF($A260="","",COUNTIFS(출퇴근기록!$B$3:$B$3002,$A260,출퇴근기록!$I$3:$I$3002,"결근",출퇴근기록!$A$3:$A$3002,"&gt;="&amp;DATE($B$3,$D$3,1),출퇴근기록!$A$3:$A$3002,"&lt;="&amp;EOMONTH(DATE($B$3,$D$3,1),0)))</f>
        <v/>
      </c>
    </row>
    <row r="261" customFormat="false" ht="15" hidden="false" customHeight="true" outlineLevel="0" collapsed="false">
      <c r="A261" s="13" t="str">
        <f aca="false">IF(직원목록!$A258="","",직원목록!$A258)</f>
        <v/>
      </c>
      <c r="B261" s="13" t="str">
        <f aca="false">IF($A261="","",직원목록!$B258)</f>
        <v/>
      </c>
      <c r="C261" s="13" t="str">
        <f aca="false">IF($A261="","",직원목록!$C258)</f>
        <v/>
      </c>
      <c r="D261" s="19" t="str">
        <f aca="false">IF($A261="","",COUNTIFS(출퇴근기록!$B$3:$B$3002,$A261,출퇴근기록!$H$3:$H$3002,"&gt;0",출퇴근기록!$A$3:$A$3002,"&gt;="&amp;DATE($B$3,$D$3,1),출퇴근기록!$A$3:$A$3002,"&lt;="&amp;EOMONTH(DATE($B$3,$D$3,1),0)))</f>
        <v/>
      </c>
      <c r="E261" s="16" t="str">
        <f aca="false">IF($A261="","",ROUND(SUMIFS(출퇴근기록!$H$3:$H$3002,출퇴근기록!$B$3:$B$3002,$A261,출퇴근기록!$I$3:$I$3002,"평일",출퇴근기록!$A$3:$A$3002,"&gt;="&amp;DATE($B$3,$D$3,1),출퇴근기록!$A$3:$A$3002,"&lt;="&amp;EOMONTH(DATE($B$3,$D$3,1),0)),2))</f>
        <v/>
      </c>
      <c r="F261" s="16" t="str">
        <f aca="false">IF($A261="","",ROUND(SUMIFS(출퇴근기록!$H$3:$H$3002,출퇴근기록!$B$3:$B$3002,$A261,출퇴근기록!$I$3:$I$3002,"휴일",출퇴근기록!$A$3:$A$3002,"&gt;="&amp;DATE($B$3,$D$3,1),출퇴근기록!$A$3:$A$3002,"&lt;="&amp;EOMONTH(DATE($B$3,$D$3,1),0)),2))</f>
        <v/>
      </c>
      <c r="G261" s="16" t="str">
        <f aca="false">IF($A261="","",ROUND(SUMIFS(출퇴근기록!$H$3:$H$3002,출퇴근기록!$B$3:$B$3002,$A261,출퇴근기록!$A$3:$A$3002,"&gt;="&amp;DATE($B$3,$D$3,1),출퇴근기록!$A$3:$A$3002,"&lt;="&amp;EOMONTH(DATE($B$3,$D$3,1),0)),2))</f>
        <v/>
      </c>
      <c r="H261" s="16" t="str">
        <f aca="false">IF($A261="","",ROUND($D261*IF(직원목록!$F258="",8,직원목록!$F258),2))</f>
        <v/>
      </c>
      <c r="I261" s="16" t="str">
        <f aca="false">IF($A261="","",ROUND($G261-$H261,2))</f>
        <v/>
      </c>
      <c r="J261" s="19" t="str">
        <f aca="false">IF($A261="","",COUNTIFS(출퇴근기록!$B$3:$B$3002,$A261,출퇴근기록!$I$3:$I$3002,"연차",출퇴근기록!$A$3:$A$3002,"&gt;="&amp;DATE($B$3,$D$3,1),출퇴근기록!$A$3:$A$3002,"&lt;="&amp;EOMONTH(DATE($B$3,$D$3,1),0)))</f>
        <v/>
      </c>
      <c r="K261" s="19" t="str">
        <f aca="false">IF($A261="","",COUNTIFS(출퇴근기록!$B$3:$B$3002,$A261,출퇴근기록!$I$3:$I$3002,"결근",출퇴근기록!$A$3:$A$3002,"&gt;="&amp;DATE($B$3,$D$3,1),출퇴근기록!$A$3:$A$3002,"&lt;="&amp;EOMONTH(DATE($B$3,$D$3,1),0)))</f>
        <v/>
      </c>
    </row>
    <row r="262" customFormat="false" ht="15" hidden="false" customHeight="true" outlineLevel="0" collapsed="false">
      <c r="A262" s="13" t="str">
        <f aca="false">IF(직원목록!$A259="","",직원목록!$A259)</f>
        <v/>
      </c>
      <c r="B262" s="13" t="str">
        <f aca="false">IF($A262="","",직원목록!$B259)</f>
        <v/>
      </c>
      <c r="C262" s="13" t="str">
        <f aca="false">IF($A262="","",직원목록!$C259)</f>
        <v/>
      </c>
      <c r="D262" s="19" t="str">
        <f aca="false">IF($A262="","",COUNTIFS(출퇴근기록!$B$3:$B$3002,$A262,출퇴근기록!$H$3:$H$3002,"&gt;0",출퇴근기록!$A$3:$A$3002,"&gt;="&amp;DATE($B$3,$D$3,1),출퇴근기록!$A$3:$A$3002,"&lt;="&amp;EOMONTH(DATE($B$3,$D$3,1),0)))</f>
        <v/>
      </c>
      <c r="E262" s="16" t="str">
        <f aca="false">IF($A262="","",ROUND(SUMIFS(출퇴근기록!$H$3:$H$3002,출퇴근기록!$B$3:$B$3002,$A262,출퇴근기록!$I$3:$I$3002,"평일",출퇴근기록!$A$3:$A$3002,"&gt;="&amp;DATE($B$3,$D$3,1),출퇴근기록!$A$3:$A$3002,"&lt;="&amp;EOMONTH(DATE($B$3,$D$3,1),0)),2))</f>
        <v/>
      </c>
      <c r="F262" s="16" t="str">
        <f aca="false">IF($A262="","",ROUND(SUMIFS(출퇴근기록!$H$3:$H$3002,출퇴근기록!$B$3:$B$3002,$A262,출퇴근기록!$I$3:$I$3002,"휴일",출퇴근기록!$A$3:$A$3002,"&gt;="&amp;DATE($B$3,$D$3,1),출퇴근기록!$A$3:$A$3002,"&lt;="&amp;EOMONTH(DATE($B$3,$D$3,1),0)),2))</f>
        <v/>
      </c>
      <c r="G262" s="16" t="str">
        <f aca="false">IF($A262="","",ROUND(SUMIFS(출퇴근기록!$H$3:$H$3002,출퇴근기록!$B$3:$B$3002,$A262,출퇴근기록!$A$3:$A$3002,"&gt;="&amp;DATE($B$3,$D$3,1),출퇴근기록!$A$3:$A$3002,"&lt;="&amp;EOMONTH(DATE($B$3,$D$3,1),0)),2))</f>
        <v/>
      </c>
      <c r="H262" s="16" t="str">
        <f aca="false">IF($A262="","",ROUND($D262*IF(직원목록!$F259="",8,직원목록!$F259),2))</f>
        <v/>
      </c>
      <c r="I262" s="16" t="str">
        <f aca="false">IF($A262="","",ROUND($G262-$H262,2))</f>
        <v/>
      </c>
      <c r="J262" s="19" t="str">
        <f aca="false">IF($A262="","",COUNTIFS(출퇴근기록!$B$3:$B$3002,$A262,출퇴근기록!$I$3:$I$3002,"연차",출퇴근기록!$A$3:$A$3002,"&gt;="&amp;DATE($B$3,$D$3,1),출퇴근기록!$A$3:$A$3002,"&lt;="&amp;EOMONTH(DATE($B$3,$D$3,1),0)))</f>
        <v/>
      </c>
      <c r="K262" s="19" t="str">
        <f aca="false">IF($A262="","",COUNTIFS(출퇴근기록!$B$3:$B$3002,$A262,출퇴근기록!$I$3:$I$3002,"결근",출퇴근기록!$A$3:$A$3002,"&gt;="&amp;DATE($B$3,$D$3,1),출퇴근기록!$A$3:$A$3002,"&lt;="&amp;EOMONTH(DATE($B$3,$D$3,1),0)))</f>
        <v/>
      </c>
    </row>
    <row r="263" customFormat="false" ht="15" hidden="false" customHeight="true" outlineLevel="0" collapsed="false">
      <c r="A263" s="13" t="str">
        <f aca="false">IF(직원목록!$A260="","",직원목록!$A260)</f>
        <v/>
      </c>
      <c r="B263" s="13" t="str">
        <f aca="false">IF($A263="","",직원목록!$B260)</f>
        <v/>
      </c>
      <c r="C263" s="13" t="str">
        <f aca="false">IF($A263="","",직원목록!$C260)</f>
        <v/>
      </c>
      <c r="D263" s="19" t="str">
        <f aca="false">IF($A263="","",COUNTIFS(출퇴근기록!$B$3:$B$3002,$A263,출퇴근기록!$H$3:$H$3002,"&gt;0",출퇴근기록!$A$3:$A$3002,"&gt;="&amp;DATE($B$3,$D$3,1),출퇴근기록!$A$3:$A$3002,"&lt;="&amp;EOMONTH(DATE($B$3,$D$3,1),0)))</f>
        <v/>
      </c>
      <c r="E263" s="16" t="str">
        <f aca="false">IF($A263="","",ROUND(SUMIFS(출퇴근기록!$H$3:$H$3002,출퇴근기록!$B$3:$B$3002,$A263,출퇴근기록!$I$3:$I$3002,"평일",출퇴근기록!$A$3:$A$3002,"&gt;="&amp;DATE($B$3,$D$3,1),출퇴근기록!$A$3:$A$3002,"&lt;="&amp;EOMONTH(DATE($B$3,$D$3,1),0)),2))</f>
        <v/>
      </c>
      <c r="F263" s="16" t="str">
        <f aca="false">IF($A263="","",ROUND(SUMIFS(출퇴근기록!$H$3:$H$3002,출퇴근기록!$B$3:$B$3002,$A263,출퇴근기록!$I$3:$I$3002,"휴일",출퇴근기록!$A$3:$A$3002,"&gt;="&amp;DATE($B$3,$D$3,1),출퇴근기록!$A$3:$A$3002,"&lt;="&amp;EOMONTH(DATE($B$3,$D$3,1),0)),2))</f>
        <v/>
      </c>
      <c r="G263" s="16" t="str">
        <f aca="false">IF($A263="","",ROUND(SUMIFS(출퇴근기록!$H$3:$H$3002,출퇴근기록!$B$3:$B$3002,$A263,출퇴근기록!$A$3:$A$3002,"&gt;="&amp;DATE($B$3,$D$3,1),출퇴근기록!$A$3:$A$3002,"&lt;="&amp;EOMONTH(DATE($B$3,$D$3,1),0)),2))</f>
        <v/>
      </c>
      <c r="H263" s="16" t="str">
        <f aca="false">IF($A263="","",ROUND($D263*IF(직원목록!$F260="",8,직원목록!$F260),2))</f>
        <v/>
      </c>
      <c r="I263" s="16" t="str">
        <f aca="false">IF($A263="","",ROUND($G263-$H263,2))</f>
        <v/>
      </c>
      <c r="J263" s="19" t="str">
        <f aca="false">IF($A263="","",COUNTIFS(출퇴근기록!$B$3:$B$3002,$A263,출퇴근기록!$I$3:$I$3002,"연차",출퇴근기록!$A$3:$A$3002,"&gt;="&amp;DATE($B$3,$D$3,1),출퇴근기록!$A$3:$A$3002,"&lt;="&amp;EOMONTH(DATE($B$3,$D$3,1),0)))</f>
        <v/>
      </c>
      <c r="K263" s="19" t="str">
        <f aca="false">IF($A263="","",COUNTIFS(출퇴근기록!$B$3:$B$3002,$A263,출퇴근기록!$I$3:$I$3002,"결근",출퇴근기록!$A$3:$A$3002,"&gt;="&amp;DATE($B$3,$D$3,1),출퇴근기록!$A$3:$A$3002,"&lt;="&amp;EOMONTH(DATE($B$3,$D$3,1),0)))</f>
        <v/>
      </c>
    </row>
    <row r="264" customFormat="false" ht="15" hidden="false" customHeight="true" outlineLevel="0" collapsed="false">
      <c r="A264" s="13" t="str">
        <f aca="false">IF(직원목록!$A261="","",직원목록!$A261)</f>
        <v/>
      </c>
      <c r="B264" s="13" t="str">
        <f aca="false">IF($A264="","",직원목록!$B261)</f>
        <v/>
      </c>
      <c r="C264" s="13" t="str">
        <f aca="false">IF($A264="","",직원목록!$C261)</f>
        <v/>
      </c>
      <c r="D264" s="19" t="str">
        <f aca="false">IF($A264="","",COUNTIFS(출퇴근기록!$B$3:$B$3002,$A264,출퇴근기록!$H$3:$H$3002,"&gt;0",출퇴근기록!$A$3:$A$3002,"&gt;="&amp;DATE($B$3,$D$3,1),출퇴근기록!$A$3:$A$3002,"&lt;="&amp;EOMONTH(DATE($B$3,$D$3,1),0)))</f>
        <v/>
      </c>
      <c r="E264" s="16" t="str">
        <f aca="false">IF($A264="","",ROUND(SUMIFS(출퇴근기록!$H$3:$H$3002,출퇴근기록!$B$3:$B$3002,$A264,출퇴근기록!$I$3:$I$3002,"평일",출퇴근기록!$A$3:$A$3002,"&gt;="&amp;DATE($B$3,$D$3,1),출퇴근기록!$A$3:$A$3002,"&lt;="&amp;EOMONTH(DATE($B$3,$D$3,1),0)),2))</f>
        <v/>
      </c>
      <c r="F264" s="16" t="str">
        <f aca="false">IF($A264="","",ROUND(SUMIFS(출퇴근기록!$H$3:$H$3002,출퇴근기록!$B$3:$B$3002,$A264,출퇴근기록!$I$3:$I$3002,"휴일",출퇴근기록!$A$3:$A$3002,"&gt;="&amp;DATE($B$3,$D$3,1),출퇴근기록!$A$3:$A$3002,"&lt;="&amp;EOMONTH(DATE($B$3,$D$3,1),0)),2))</f>
        <v/>
      </c>
      <c r="G264" s="16" t="str">
        <f aca="false">IF($A264="","",ROUND(SUMIFS(출퇴근기록!$H$3:$H$3002,출퇴근기록!$B$3:$B$3002,$A264,출퇴근기록!$A$3:$A$3002,"&gt;="&amp;DATE($B$3,$D$3,1),출퇴근기록!$A$3:$A$3002,"&lt;="&amp;EOMONTH(DATE($B$3,$D$3,1),0)),2))</f>
        <v/>
      </c>
      <c r="H264" s="16" t="str">
        <f aca="false">IF($A264="","",ROUND($D264*IF(직원목록!$F261="",8,직원목록!$F261),2))</f>
        <v/>
      </c>
      <c r="I264" s="16" t="str">
        <f aca="false">IF($A264="","",ROUND($G264-$H264,2))</f>
        <v/>
      </c>
      <c r="J264" s="19" t="str">
        <f aca="false">IF($A264="","",COUNTIFS(출퇴근기록!$B$3:$B$3002,$A264,출퇴근기록!$I$3:$I$3002,"연차",출퇴근기록!$A$3:$A$3002,"&gt;="&amp;DATE($B$3,$D$3,1),출퇴근기록!$A$3:$A$3002,"&lt;="&amp;EOMONTH(DATE($B$3,$D$3,1),0)))</f>
        <v/>
      </c>
      <c r="K264" s="19" t="str">
        <f aca="false">IF($A264="","",COUNTIFS(출퇴근기록!$B$3:$B$3002,$A264,출퇴근기록!$I$3:$I$3002,"결근",출퇴근기록!$A$3:$A$3002,"&gt;="&amp;DATE($B$3,$D$3,1),출퇴근기록!$A$3:$A$3002,"&lt;="&amp;EOMONTH(DATE($B$3,$D$3,1),0)))</f>
        <v/>
      </c>
    </row>
    <row r="265" customFormat="false" ht="15" hidden="false" customHeight="true" outlineLevel="0" collapsed="false">
      <c r="A265" s="13" t="str">
        <f aca="false">IF(직원목록!$A262="","",직원목록!$A262)</f>
        <v/>
      </c>
      <c r="B265" s="13" t="str">
        <f aca="false">IF($A265="","",직원목록!$B262)</f>
        <v/>
      </c>
      <c r="C265" s="13" t="str">
        <f aca="false">IF($A265="","",직원목록!$C262)</f>
        <v/>
      </c>
      <c r="D265" s="19" t="str">
        <f aca="false">IF($A265="","",COUNTIFS(출퇴근기록!$B$3:$B$3002,$A265,출퇴근기록!$H$3:$H$3002,"&gt;0",출퇴근기록!$A$3:$A$3002,"&gt;="&amp;DATE($B$3,$D$3,1),출퇴근기록!$A$3:$A$3002,"&lt;="&amp;EOMONTH(DATE($B$3,$D$3,1),0)))</f>
        <v/>
      </c>
      <c r="E265" s="16" t="str">
        <f aca="false">IF($A265="","",ROUND(SUMIFS(출퇴근기록!$H$3:$H$3002,출퇴근기록!$B$3:$B$3002,$A265,출퇴근기록!$I$3:$I$3002,"평일",출퇴근기록!$A$3:$A$3002,"&gt;="&amp;DATE($B$3,$D$3,1),출퇴근기록!$A$3:$A$3002,"&lt;="&amp;EOMONTH(DATE($B$3,$D$3,1),0)),2))</f>
        <v/>
      </c>
      <c r="F265" s="16" t="str">
        <f aca="false">IF($A265="","",ROUND(SUMIFS(출퇴근기록!$H$3:$H$3002,출퇴근기록!$B$3:$B$3002,$A265,출퇴근기록!$I$3:$I$3002,"휴일",출퇴근기록!$A$3:$A$3002,"&gt;="&amp;DATE($B$3,$D$3,1),출퇴근기록!$A$3:$A$3002,"&lt;="&amp;EOMONTH(DATE($B$3,$D$3,1),0)),2))</f>
        <v/>
      </c>
      <c r="G265" s="16" t="str">
        <f aca="false">IF($A265="","",ROUND(SUMIFS(출퇴근기록!$H$3:$H$3002,출퇴근기록!$B$3:$B$3002,$A265,출퇴근기록!$A$3:$A$3002,"&gt;="&amp;DATE($B$3,$D$3,1),출퇴근기록!$A$3:$A$3002,"&lt;="&amp;EOMONTH(DATE($B$3,$D$3,1),0)),2))</f>
        <v/>
      </c>
      <c r="H265" s="16" t="str">
        <f aca="false">IF($A265="","",ROUND($D265*IF(직원목록!$F262="",8,직원목록!$F262),2))</f>
        <v/>
      </c>
      <c r="I265" s="16" t="str">
        <f aca="false">IF($A265="","",ROUND($G265-$H265,2))</f>
        <v/>
      </c>
      <c r="J265" s="19" t="str">
        <f aca="false">IF($A265="","",COUNTIFS(출퇴근기록!$B$3:$B$3002,$A265,출퇴근기록!$I$3:$I$3002,"연차",출퇴근기록!$A$3:$A$3002,"&gt;="&amp;DATE($B$3,$D$3,1),출퇴근기록!$A$3:$A$3002,"&lt;="&amp;EOMONTH(DATE($B$3,$D$3,1),0)))</f>
        <v/>
      </c>
      <c r="K265" s="19" t="str">
        <f aca="false">IF($A265="","",COUNTIFS(출퇴근기록!$B$3:$B$3002,$A265,출퇴근기록!$I$3:$I$3002,"결근",출퇴근기록!$A$3:$A$3002,"&gt;="&amp;DATE($B$3,$D$3,1),출퇴근기록!$A$3:$A$3002,"&lt;="&amp;EOMONTH(DATE($B$3,$D$3,1),0)))</f>
        <v/>
      </c>
    </row>
    <row r="266" customFormat="false" ht="15" hidden="false" customHeight="true" outlineLevel="0" collapsed="false">
      <c r="A266" s="13" t="str">
        <f aca="false">IF(직원목록!$A263="","",직원목록!$A263)</f>
        <v/>
      </c>
      <c r="B266" s="13" t="str">
        <f aca="false">IF($A266="","",직원목록!$B263)</f>
        <v/>
      </c>
      <c r="C266" s="13" t="str">
        <f aca="false">IF($A266="","",직원목록!$C263)</f>
        <v/>
      </c>
      <c r="D266" s="19" t="str">
        <f aca="false">IF($A266="","",COUNTIFS(출퇴근기록!$B$3:$B$3002,$A266,출퇴근기록!$H$3:$H$3002,"&gt;0",출퇴근기록!$A$3:$A$3002,"&gt;="&amp;DATE($B$3,$D$3,1),출퇴근기록!$A$3:$A$3002,"&lt;="&amp;EOMONTH(DATE($B$3,$D$3,1),0)))</f>
        <v/>
      </c>
      <c r="E266" s="16" t="str">
        <f aca="false">IF($A266="","",ROUND(SUMIFS(출퇴근기록!$H$3:$H$3002,출퇴근기록!$B$3:$B$3002,$A266,출퇴근기록!$I$3:$I$3002,"평일",출퇴근기록!$A$3:$A$3002,"&gt;="&amp;DATE($B$3,$D$3,1),출퇴근기록!$A$3:$A$3002,"&lt;="&amp;EOMONTH(DATE($B$3,$D$3,1),0)),2))</f>
        <v/>
      </c>
      <c r="F266" s="16" t="str">
        <f aca="false">IF($A266="","",ROUND(SUMIFS(출퇴근기록!$H$3:$H$3002,출퇴근기록!$B$3:$B$3002,$A266,출퇴근기록!$I$3:$I$3002,"휴일",출퇴근기록!$A$3:$A$3002,"&gt;="&amp;DATE($B$3,$D$3,1),출퇴근기록!$A$3:$A$3002,"&lt;="&amp;EOMONTH(DATE($B$3,$D$3,1),0)),2))</f>
        <v/>
      </c>
      <c r="G266" s="16" t="str">
        <f aca="false">IF($A266="","",ROUND(SUMIFS(출퇴근기록!$H$3:$H$3002,출퇴근기록!$B$3:$B$3002,$A266,출퇴근기록!$A$3:$A$3002,"&gt;="&amp;DATE($B$3,$D$3,1),출퇴근기록!$A$3:$A$3002,"&lt;="&amp;EOMONTH(DATE($B$3,$D$3,1),0)),2))</f>
        <v/>
      </c>
      <c r="H266" s="16" t="str">
        <f aca="false">IF($A266="","",ROUND($D266*IF(직원목록!$F263="",8,직원목록!$F263),2))</f>
        <v/>
      </c>
      <c r="I266" s="16" t="str">
        <f aca="false">IF($A266="","",ROUND($G266-$H266,2))</f>
        <v/>
      </c>
      <c r="J266" s="19" t="str">
        <f aca="false">IF($A266="","",COUNTIFS(출퇴근기록!$B$3:$B$3002,$A266,출퇴근기록!$I$3:$I$3002,"연차",출퇴근기록!$A$3:$A$3002,"&gt;="&amp;DATE($B$3,$D$3,1),출퇴근기록!$A$3:$A$3002,"&lt;="&amp;EOMONTH(DATE($B$3,$D$3,1),0)))</f>
        <v/>
      </c>
      <c r="K266" s="19" t="str">
        <f aca="false">IF($A266="","",COUNTIFS(출퇴근기록!$B$3:$B$3002,$A266,출퇴근기록!$I$3:$I$3002,"결근",출퇴근기록!$A$3:$A$3002,"&gt;="&amp;DATE($B$3,$D$3,1),출퇴근기록!$A$3:$A$3002,"&lt;="&amp;EOMONTH(DATE($B$3,$D$3,1),0)))</f>
        <v/>
      </c>
    </row>
    <row r="267" customFormat="false" ht="15" hidden="false" customHeight="true" outlineLevel="0" collapsed="false">
      <c r="A267" s="13" t="str">
        <f aca="false">IF(직원목록!$A264="","",직원목록!$A264)</f>
        <v/>
      </c>
      <c r="B267" s="13" t="str">
        <f aca="false">IF($A267="","",직원목록!$B264)</f>
        <v/>
      </c>
      <c r="C267" s="13" t="str">
        <f aca="false">IF($A267="","",직원목록!$C264)</f>
        <v/>
      </c>
      <c r="D267" s="19" t="str">
        <f aca="false">IF($A267="","",COUNTIFS(출퇴근기록!$B$3:$B$3002,$A267,출퇴근기록!$H$3:$H$3002,"&gt;0",출퇴근기록!$A$3:$A$3002,"&gt;="&amp;DATE($B$3,$D$3,1),출퇴근기록!$A$3:$A$3002,"&lt;="&amp;EOMONTH(DATE($B$3,$D$3,1),0)))</f>
        <v/>
      </c>
      <c r="E267" s="16" t="str">
        <f aca="false">IF($A267="","",ROUND(SUMIFS(출퇴근기록!$H$3:$H$3002,출퇴근기록!$B$3:$B$3002,$A267,출퇴근기록!$I$3:$I$3002,"평일",출퇴근기록!$A$3:$A$3002,"&gt;="&amp;DATE($B$3,$D$3,1),출퇴근기록!$A$3:$A$3002,"&lt;="&amp;EOMONTH(DATE($B$3,$D$3,1),0)),2))</f>
        <v/>
      </c>
      <c r="F267" s="16" t="str">
        <f aca="false">IF($A267="","",ROUND(SUMIFS(출퇴근기록!$H$3:$H$3002,출퇴근기록!$B$3:$B$3002,$A267,출퇴근기록!$I$3:$I$3002,"휴일",출퇴근기록!$A$3:$A$3002,"&gt;="&amp;DATE($B$3,$D$3,1),출퇴근기록!$A$3:$A$3002,"&lt;="&amp;EOMONTH(DATE($B$3,$D$3,1),0)),2))</f>
        <v/>
      </c>
      <c r="G267" s="16" t="str">
        <f aca="false">IF($A267="","",ROUND(SUMIFS(출퇴근기록!$H$3:$H$3002,출퇴근기록!$B$3:$B$3002,$A267,출퇴근기록!$A$3:$A$3002,"&gt;="&amp;DATE($B$3,$D$3,1),출퇴근기록!$A$3:$A$3002,"&lt;="&amp;EOMONTH(DATE($B$3,$D$3,1),0)),2))</f>
        <v/>
      </c>
      <c r="H267" s="16" t="str">
        <f aca="false">IF($A267="","",ROUND($D267*IF(직원목록!$F264="",8,직원목록!$F264),2))</f>
        <v/>
      </c>
      <c r="I267" s="16" t="str">
        <f aca="false">IF($A267="","",ROUND($G267-$H267,2))</f>
        <v/>
      </c>
      <c r="J267" s="19" t="str">
        <f aca="false">IF($A267="","",COUNTIFS(출퇴근기록!$B$3:$B$3002,$A267,출퇴근기록!$I$3:$I$3002,"연차",출퇴근기록!$A$3:$A$3002,"&gt;="&amp;DATE($B$3,$D$3,1),출퇴근기록!$A$3:$A$3002,"&lt;="&amp;EOMONTH(DATE($B$3,$D$3,1),0)))</f>
        <v/>
      </c>
      <c r="K267" s="19" t="str">
        <f aca="false">IF($A267="","",COUNTIFS(출퇴근기록!$B$3:$B$3002,$A267,출퇴근기록!$I$3:$I$3002,"결근",출퇴근기록!$A$3:$A$3002,"&gt;="&amp;DATE($B$3,$D$3,1),출퇴근기록!$A$3:$A$3002,"&lt;="&amp;EOMONTH(DATE($B$3,$D$3,1),0)))</f>
        <v/>
      </c>
    </row>
    <row r="268" customFormat="false" ht="15" hidden="false" customHeight="true" outlineLevel="0" collapsed="false">
      <c r="A268" s="13" t="str">
        <f aca="false">IF(직원목록!$A265="","",직원목록!$A265)</f>
        <v/>
      </c>
      <c r="B268" s="13" t="str">
        <f aca="false">IF($A268="","",직원목록!$B265)</f>
        <v/>
      </c>
      <c r="C268" s="13" t="str">
        <f aca="false">IF($A268="","",직원목록!$C265)</f>
        <v/>
      </c>
      <c r="D268" s="19" t="str">
        <f aca="false">IF($A268="","",COUNTIFS(출퇴근기록!$B$3:$B$3002,$A268,출퇴근기록!$H$3:$H$3002,"&gt;0",출퇴근기록!$A$3:$A$3002,"&gt;="&amp;DATE($B$3,$D$3,1),출퇴근기록!$A$3:$A$3002,"&lt;="&amp;EOMONTH(DATE($B$3,$D$3,1),0)))</f>
        <v/>
      </c>
      <c r="E268" s="16" t="str">
        <f aca="false">IF($A268="","",ROUND(SUMIFS(출퇴근기록!$H$3:$H$3002,출퇴근기록!$B$3:$B$3002,$A268,출퇴근기록!$I$3:$I$3002,"평일",출퇴근기록!$A$3:$A$3002,"&gt;="&amp;DATE($B$3,$D$3,1),출퇴근기록!$A$3:$A$3002,"&lt;="&amp;EOMONTH(DATE($B$3,$D$3,1),0)),2))</f>
        <v/>
      </c>
      <c r="F268" s="16" t="str">
        <f aca="false">IF($A268="","",ROUND(SUMIFS(출퇴근기록!$H$3:$H$3002,출퇴근기록!$B$3:$B$3002,$A268,출퇴근기록!$I$3:$I$3002,"휴일",출퇴근기록!$A$3:$A$3002,"&gt;="&amp;DATE($B$3,$D$3,1),출퇴근기록!$A$3:$A$3002,"&lt;="&amp;EOMONTH(DATE($B$3,$D$3,1),0)),2))</f>
        <v/>
      </c>
      <c r="G268" s="16" t="str">
        <f aca="false">IF($A268="","",ROUND(SUMIFS(출퇴근기록!$H$3:$H$3002,출퇴근기록!$B$3:$B$3002,$A268,출퇴근기록!$A$3:$A$3002,"&gt;="&amp;DATE($B$3,$D$3,1),출퇴근기록!$A$3:$A$3002,"&lt;="&amp;EOMONTH(DATE($B$3,$D$3,1),0)),2))</f>
        <v/>
      </c>
      <c r="H268" s="16" t="str">
        <f aca="false">IF($A268="","",ROUND($D268*IF(직원목록!$F265="",8,직원목록!$F265),2))</f>
        <v/>
      </c>
      <c r="I268" s="16" t="str">
        <f aca="false">IF($A268="","",ROUND($G268-$H268,2))</f>
        <v/>
      </c>
      <c r="J268" s="19" t="str">
        <f aca="false">IF($A268="","",COUNTIFS(출퇴근기록!$B$3:$B$3002,$A268,출퇴근기록!$I$3:$I$3002,"연차",출퇴근기록!$A$3:$A$3002,"&gt;="&amp;DATE($B$3,$D$3,1),출퇴근기록!$A$3:$A$3002,"&lt;="&amp;EOMONTH(DATE($B$3,$D$3,1),0)))</f>
        <v/>
      </c>
      <c r="K268" s="19" t="str">
        <f aca="false">IF($A268="","",COUNTIFS(출퇴근기록!$B$3:$B$3002,$A268,출퇴근기록!$I$3:$I$3002,"결근",출퇴근기록!$A$3:$A$3002,"&gt;="&amp;DATE($B$3,$D$3,1),출퇴근기록!$A$3:$A$3002,"&lt;="&amp;EOMONTH(DATE($B$3,$D$3,1),0)))</f>
        <v/>
      </c>
    </row>
    <row r="269" customFormat="false" ht="15" hidden="false" customHeight="true" outlineLevel="0" collapsed="false">
      <c r="A269" s="13" t="str">
        <f aca="false">IF(직원목록!$A266="","",직원목록!$A266)</f>
        <v/>
      </c>
      <c r="B269" s="13" t="str">
        <f aca="false">IF($A269="","",직원목록!$B266)</f>
        <v/>
      </c>
      <c r="C269" s="13" t="str">
        <f aca="false">IF($A269="","",직원목록!$C266)</f>
        <v/>
      </c>
      <c r="D269" s="19" t="str">
        <f aca="false">IF($A269="","",COUNTIFS(출퇴근기록!$B$3:$B$3002,$A269,출퇴근기록!$H$3:$H$3002,"&gt;0",출퇴근기록!$A$3:$A$3002,"&gt;="&amp;DATE($B$3,$D$3,1),출퇴근기록!$A$3:$A$3002,"&lt;="&amp;EOMONTH(DATE($B$3,$D$3,1),0)))</f>
        <v/>
      </c>
      <c r="E269" s="16" t="str">
        <f aca="false">IF($A269="","",ROUND(SUMIFS(출퇴근기록!$H$3:$H$3002,출퇴근기록!$B$3:$B$3002,$A269,출퇴근기록!$I$3:$I$3002,"평일",출퇴근기록!$A$3:$A$3002,"&gt;="&amp;DATE($B$3,$D$3,1),출퇴근기록!$A$3:$A$3002,"&lt;="&amp;EOMONTH(DATE($B$3,$D$3,1),0)),2))</f>
        <v/>
      </c>
      <c r="F269" s="16" t="str">
        <f aca="false">IF($A269="","",ROUND(SUMIFS(출퇴근기록!$H$3:$H$3002,출퇴근기록!$B$3:$B$3002,$A269,출퇴근기록!$I$3:$I$3002,"휴일",출퇴근기록!$A$3:$A$3002,"&gt;="&amp;DATE($B$3,$D$3,1),출퇴근기록!$A$3:$A$3002,"&lt;="&amp;EOMONTH(DATE($B$3,$D$3,1),0)),2))</f>
        <v/>
      </c>
      <c r="G269" s="16" t="str">
        <f aca="false">IF($A269="","",ROUND(SUMIFS(출퇴근기록!$H$3:$H$3002,출퇴근기록!$B$3:$B$3002,$A269,출퇴근기록!$A$3:$A$3002,"&gt;="&amp;DATE($B$3,$D$3,1),출퇴근기록!$A$3:$A$3002,"&lt;="&amp;EOMONTH(DATE($B$3,$D$3,1),0)),2))</f>
        <v/>
      </c>
      <c r="H269" s="16" t="str">
        <f aca="false">IF($A269="","",ROUND($D269*IF(직원목록!$F266="",8,직원목록!$F266),2))</f>
        <v/>
      </c>
      <c r="I269" s="16" t="str">
        <f aca="false">IF($A269="","",ROUND($G269-$H269,2))</f>
        <v/>
      </c>
      <c r="J269" s="19" t="str">
        <f aca="false">IF($A269="","",COUNTIFS(출퇴근기록!$B$3:$B$3002,$A269,출퇴근기록!$I$3:$I$3002,"연차",출퇴근기록!$A$3:$A$3002,"&gt;="&amp;DATE($B$3,$D$3,1),출퇴근기록!$A$3:$A$3002,"&lt;="&amp;EOMONTH(DATE($B$3,$D$3,1),0)))</f>
        <v/>
      </c>
      <c r="K269" s="19" t="str">
        <f aca="false">IF($A269="","",COUNTIFS(출퇴근기록!$B$3:$B$3002,$A269,출퇴근기록!$I$3:$I$3002,"결근",출퇴근기록!$A$3:$A$3002,"&gt;="&amp;DATE($B$3,$D$3,1),출퇴근기록!$A$3:$A$3002,"&lt;="&amp;EOMONTH(DATE($B$3,$D$3,1),0)))</f>
        <v/>
      </c>
    </row>
    <row r="270" customFormat="false" ht="15" hidden="false" customHeight="true" outlineLevel="0" collapsed="false">
      <c r="A270" s="13" t="str">
        <f aca="false">IF(직원목록!$A267="","",직원목록!$A267)</f>
        <v/>
      </c>
      <c r="B270" s="13" t="str">
        <f aca="false">IF($A270="","",직원목록!$B267)</f>
        <v/>
      </c>
      <c r="C270" s="13" t="str">
        <f aca="false">IF($A270="","",직원목록!$C267)</f>
        <v/>
      </c>
      <c r="D270" s="19" t="str">
        <f aca="false">IF($A270="","",COUNTIFS(출퇴근기록!$B$3:$B$3002,$A270,출퇴근기록!$H$3:$H$3002,"&gt;0",출퇴근기록!$A$3:$A$3002,"&gt;="&amp;DATE($B$3,$D$3,1),출퇴근기록!$A$3:$A$3002,"&lt;="&amp;EOMONTH(DATE($B$3,$D$3,1),0)))</f>
        <v/>
      </c>
      <c r="E270" s="16" t="str">
        <f aca="false">IF($A270="","",ROUND(SUMIFS(출퇴근기록!$H$3:$H$3002,출퇴근기록!$B$3:$B$3002,$A270,출퇴근기록!$I$3:$I$3002,"평일",출퇴근기록!$A$3:$A$3002,"&gt;="&amp;DATE($B$3,$D$3,1),출퇴근기록!$A$3:$A$3002,"&lt;="&amp;EOMONTH(DATE($B$3,$D$3,1),0)),2))</f>
        <v/>
      </c>
      <c r="F270" s="16" t="str">
        <f aca="false">IF($A270="","",ROUND(SUMIFS(출퇴근기록!$H$3:$H$3002,출퇴근기록!$B$3:$B$3002,$A270,출퇴근기록!$I$3:$I$3002,"휴일",출퇴근기록!$A$3:$A$3002,"&gt;="&amp;DATE($B$3,$D$3,1),출퇴근기록!$A$3:$A$3002,"&lt;="&amp;EOMONTH(DATE($B$3,$D$3,1),0)),2))</f>
        <v/>
      </c>
      <c r="G270" s="16" t="str">
        <f aca="false">IF($A270="","",ROUND(SUMIFS(출퇴근기록!$H$3:$H$3002,출퇴근기록!$B$3:$B$3002,$A270,출퇴근기록!$A$3:$A$3002,"&gt;="&amp;DATE($B$3,$D$3,1),출퇴근기록!$A$3:$A$3002,"&lt;="&amp;EOMONTH(DATE($B$3,$D$3,1),0)),2))</f>
        <v/>
      </c>
      <c r="H270" s="16" t="str">
        <f aca="false">IF($A270="","",ROUND($D270*IF(직원목록!$F267="",8,직원목록!$F267),2))</f>
        <v/>
      </c>
      <c r="I270" s="16" t="str">
        <f aca="false">IF($A270="","",ROUND($G270-$H270,2))</f>
        <v/>
      </c>
      <c r="J270" s="19" t="str">
        <f aca="false">IF($A270="","",COUNTIFS(출퇴근기록!$B$3:$B$3002,$A270,출퇴근기록!$I$3:$I$3002,"연차",출퇴근기록!$A$3:$A$3002,"&gt;="&amp;DATE($B$3,$D$3,1),출퇴근기록!$A$3:$A$3002,"&lt;="&amp;EOMONTH(DATE($B$3,$D$3,1),0)))</f>
        <v/>
      </c>
      <c r="K270" s="19" t="str">
        <f aca="false">IF($A270="","",COUNTIFS(출퇴근기록!$B$3:$B$3002,$A270,출퇴근기록!$I$3:$I$3002,"결근",출퇴근기록!$A$3:$A$3002,"&gt;="&amp;DATE($B$3,$D$3,1),출퇴근기록!$A$3:$A$3002,"&lt;="&amp;EOMONTH(DATE($B$3,$D$3,1),0)))</f>
        <v/>
      </c>
    </row>
    <row r="271" customFormat="false" ht="15" hidden="false" customHeight="true" outlineLevel="0" collapsed="false">
      <c r="A271" s="13" t="str">
        <f aca="false">IF(직원목록!$A268="","",직원목록!$A268)</f>
        <v/>
      </c>
      <c r="B271" s="13" t="str">
        <f aca="false">IF($A271="","",직원목록!$B268)</f>
        <v/>
      </c>
      <c r="C271" s="13" t="str">
        <f aca="false">IF($A271="","",직원목록!$C268)</f>
        <v/>
      </c>
      <c r="D271" s="19" t="str">
        <f aca="false">IF($A271="","",COUNTIFS(출퇴근기록!$B$3:$B$3002,$A271,출퇴근기록!$H$3:$H$3002,"&gt;0",출퇴근기록!$A$3:$A$3002,"&gt;="&amp;DATE($B$3,$D$3,1),출퇴근기록!$A$3:$A$3002,"&lt;="&amp;EOMONTH(DATE($B$3,$D$3,1),0)))</f>
        <v/>
      </c>
      <c r="E271" s="16" t="str">
        <f aca="false">IF($A271="","",ROUND(SUMIFS(출퇴근기록!$H$3:$H$3002,출퇴근기록!$B$3:$B$3002,$A271,출퇴근기록!$I$3:$I$3002,"평일",출퇴근기록!$A$3:$A$3002,"&gt;="&amp;DATE($B$3,$D$3,1),출퇴근기록!$A$3:$A$3002,"&lt;="&amp;EOMONTH(DATE($B$3,$D$3,1),0)),2))</f>
        <v/>
      </c>
      <c r="F271" s="16" t="str">
        <f aca="false">IF($A271="","",ROUND(SUMIFS(출퇴근기록!$H$3:$H$3002,출퇴근기록!$B$3:$B$3002,$A271,출퇴근기록!$I$3:$I$3002,"휴일",출퇴근기록!$A$3:$A$3002,"&gt;="&amp;DATE($B$3,$D$3,1),출퇴근기록!$A$3:$A$3002,"&lt;="&amp;EOMONTH(DATE($B$3,$D$3,1),0)),2))</f>
        <v/>
      </c>
      <c r="G271" s="16" t="str">
        <f aca="false">IF($A271="","",ROUND(SUMIFS(출퇴근기록!$H$3:$H$3002,출퇴근기록!$B$3:$B$3002,$A271,출퇴근기록!$A$3:$A$3002,"&gt;="&amp;DATE($B$3,$D$3,1),출퇴근기록!$A$3:$A$3002,"&lt;="&amp;EOMONTH(DATE($B$3,$D$3,1),0)),2))</f>
        <v/>
      </c>
      <c r="H271" s="16" t="str">
        <f aca="false">IF($A271="","",ROUND($D271*IF(직원목록!$F268="",8,직원목록!$F268),2))</f>
        <v/>
      </c>
      <c r="I271" s="16" t="str">
        <f aca="false">IF($A271="","",ROUND($G271-$H271,2))</f>
        <v/>
      </c>
      <c r="J271" s="19" t="str">
        <f aca="false">IF($A271="","",COUNTIFS(출퇴근기록!$B$3:$B$3002,$A271,출퇴근기록!$I$3:$I$3002,"연차",출퇴근기록!$A$3:$A$3002,"&gt;="&amp;DATE($B$3,$D$3,1),출퇴근기록!$A$3:$A$3002,"&lt;="&amp;EOMONTH(DATE($B$3,$D$3,1),0)))</f>
        <v/>
      </c>
      <c r="K271" s="19" t="str">
        <f aca="false">IF($A271="","",COUNTIFS(출퇴근기록!$B$3:$B$3002,$A271,출퇴근기록!$I$3:$I$3002,"결근",출퇴근기록!$A$3:$A$3002,"&gt;="&amp;DATE($B$3,$D$3,1),출퇴근기록!$A$3:$A$3002,"&lt;="&amp;EOMONTH(DATE($B$3,$D$3,1),0)))</f>
        <v/>
      </c>
    </row>
    <row r="272" customFormat="false" ht="15" hidden="false" customHeight="true" outlineLevel="0" collapsed="false">
      <c r="A272" s="13" t="str">
        <f aca="false">IF(직원목록!$A269="","",직원목록!$A269)</f>
        <v/>
      </c>
      <c r="B272" s="13" t="str">
        <f aca="false">IF($A272="","",직원목록!$B269)</f>
        <v/>
      </c>
      <c r="C272" s="13" t="str">
        <f aca="false">IF($A272="","",직원목록!$C269)</f>
        <v/>
      </c>
      <c r="D272" s="19" t="str">
        <f aca="false">IF($A272="","",COUNTIFS(출퇴근기록!$B$3:$B$3002,$A272,출퇴근기록!$H$3:$H$3002,"&gt;0",출퇴근기록!$A$3:$A$3002,"&gt;="&amp;DATE($B$3,$D$3,1),출퇴근기록!$A$3:$A$3002,"&lt;="&amp;EOMONTH(DATE($B$3,$D$3,1),0)))</f>
        <v/>
      </c>
      <c r="E272" s="16" t="str">
        <f aca="false">IF($A272="","",ROUND(SUMIFS(출퇴근기록!$H$3:$H$3002,출퇴근기록!$B$3:$B$3002,$A272,출퇴근기록!$I$3:$I$3002,"평일",출퇴근기록!$A$3:$A$3002,"&gt;="&amp;DATE($B$3,$D$3,1),출퇴근기록!$A$3:$A$3002,"&lt;="&amp;EOMONTH(DATE($B$3,$D$3,1),0)),2))</f>
        <v/>
      </c>
      <c r="F272" s="16" t="str">
        <f aca="false">IF($A272="","",ROUND(SUMIFS(출퇴근기록!$H$3:$H$3002,출퇴근기록!$B$3:$B$3002,$A272,출퇴근기록!$I$3:$I$3002,"휴일",출퇴근기록!$A$3:$A$3002,"&gt;="&amp;DATE($B$3,$D$3,1),출퇴근기록!$A$3:$A$3002,"&lt;="&amp;EOMONTH(DATE($B$3,$D$3,1),0)),2))</f>
        <v/>
      </c>
      <c r="G272" s="16" t="str">
        <f aca="false">IF($A272="","",ROUND(SUMIFS(출퇴근기록!$H$3:$H$3002,출퇴근기록!$B$3:$B$3002,$A272,출퇴근기록!$A$3:$A$3002,"&gt;="&amp;DATE($B$3,$D$3,1),출퇴근기록!$A$3:$A$3002,"&lt;="&amp;EOMONTH(DATE($B$3,$D$3,1),0)),2))</f>
        <v/>
      </c>
      <c r="H272" s="16" t="str">
        <f aca="false">IF($A272="","",ROUND($D272*IF(직원목록!$F269="",8,직원목록!$F269),2))</f>
        <v/>
      </c>
      <c r="I272" s="16" t="str">
        <f aca="false">IF($A272="","",ROUND($G272-$H272,2))</f>
        <v/>
      </c>
      <c r="J272" s="19" t="str">
        <f aca="false">IF($A272="","",COUNTIFS(출퇴근기록!$B$3:$B$3002,$A272,출퇴근기록!$I$3:$I$3002,"연차",출퇴근기록!$A$3:$A$3002,"&gt;="&amp;DATE($B$3,$D$3,1),출퇴근기록!$A$3:$A$3002,"&lt;="&amp;EOMONTH(DATE($B$3,$D$3,1),0)))</f>
        <v/>
      </c>
      <c r="K272" s="19" t="str">
        <f aca="false">IF($A272="","",COUNTIFS(출퇴근기록!$B$3:$B$3002,$A272,출퇴근기록!$I$3:$I$3002,"결근",출퇴근기록!$A$3:$A$3002,"&gt;="&amp;DATE($B$3,$D$3,1),출퇴근기록!$A$3:$A$3002,"&lt;="&amp;EOMONTH(DATE($B$3,$D$3,1),0)))</f>
        <v/>
      </c>
    </row>
    <row r="273" customFormat="false" ht="15" hidden="false" customHeight="true" outlineLevel="0" collapsed="false">
      <c r="A273" s="13" t="str">
        <f aca="false">IF(직원목록!$A270="","",직원목록!$A270)</f>
        <v/>
      </c>
      <c r="B273" s="13" t="str">
        <f aca="false">IF($A273="","",직원목록!$B270)</f>
        <v/>
      </c>
      <c r="C273" s="13" t="str">
        <f aca="false">IF($A273="","",직원목록!$C270)</f>
        <v/>
      </c>
      <c r="D273" s="19" t="str">
        <f aca="false">IF($A273="","",COUNTIFS(출퇴근기록!$B$3:$B$3002,$A273,출퇴근기록!$H$3:$H$3002,"&gt;0",출퇴근기록!$A$3:$A$3002,"&gt;="&amp;DATE($B$3,$D$3,1),출퇴근기록!$A$3:$A$3002,"&lt;="&amp;EOMONTH(DATE($B$3,$D$3,1),0)))</f>
        <v/>
      </c>
      <c r="E273" s="16" t="str">
        <f aca="false">IF($A273="","",ROUND(SUMIFS(출퇴근기록!$H$3:$H$3002,출퇴근기록!$B$3:$B$3002,$A273,출퇴근기록!$I$3:$I$3002,"평일",출퇴근기록!$A$3:$A$3002,"&gt;="&amp;DATE($B$3,$D$3,1),출퇴근기록!$A$3:$A$3002,"&lt;="&amp;EOMONTH(DATE($B$3,$D$3,1),0)),2))</f>
        <v/>
      </c>
      <c r="F273" s="16" t="str">
        <f aca="false">IF($A273="","",ROUND(SUMIFS(출퇴근기록!$H$3:$H$3002,출퇴근기록!$B$3:$B$3002,$A273,출퇴근기록!$I$3:$I$3002,"휴일",출퇴근기록!$A$3:$A$3002,"&gt;="&amp;DATE($B$3,$D$3,1),출퇴근기록!$A$3:$A$3002,"&lt;="&amp;EOMONTH(DATE($B$3,$D$3,1),0)),2))</f>
        <v/>
      </c>
      <c r="G273" s="16" t="str">
        <f aca="false">IF($A273="","",ROUND(SUMIFS(출퇴근기록!$H$3:$H$3002,출퇴근기록!$B$3:$B$3002,$A273,출퇴근기록!$A$3:$A$3002,"&gt;="&amp;DATE($B$3,$D$3,1),출퇴근기록!$A$3:$A$3002,"&lt;="&amp;EOMONTH(DATE($B$3,$D$3,1),0)),2))</f>
        <v/>
      </c>
      <c r="H273" s="16" t="str">
        <f aca="false">IF($A273="","",ROUND($D273*IF(직원목록!$F270="",8,직원목록!$F270),2))</f>
        <v/>
      </c>
      <c r="I273" s="16" t="str">
        <f aca="false">IF($A273="","",ROUND($G273-$H273,2))</f>
        <v/>
      </c>
      <c r="J273" s="19" t="str">
        <f aca="false">IF($A273="","",COUNTIFS(출퇴근기록!$B$3:$B$3002,$A273,출퇴근기록!$I$3:$I$3002,"연차",출퇴근기록!$A$3:$A$3002,"&gt;="&amp;DATE($B$3,$D$3,1),출퇴근기록!$A$3:$A$3002,"&lt;="&amp;EOMONTH(DATE($B$3,$D$3,1),0)))</f>
        <v/>
      </c>
      <c r="K273" s="19" t="str">
        <f aca="false">IF($A273="","",COUNTIFS(출퇴근기록!$B$3:$B$3002,$A273,출퇴근기록!$I$3:$I$3002,"결근",출퇴근기록!$A$3:$A$3002,"&gt;="&amp;DATE($B$3,$D$3,1),출퇴근기록!$A$3:$A$3002,"&lt;="&amp;EOMONTH(DATE($B$3,$D$3,1),0)))</f>
        <v/>
      </c>
    </row>
    <row r="274" customFormat="false" ht="15" hidden="false" customHeight="true" outlineLevel="0" collapsed="false">
      <c r="A274" s="13" t="str">
        <f aca="false">IF(직원목록!$A271="","",직원목록!$A271)</f>
        <v/>
      </c>
      <c r="B274" s="13" t="str">
        <f aca="false">IF($A274="","",직원목록!$B271)</f>
        <v/>
      </c>
      <c r="C274" s="13" t="str">
        <f aca="false">IF($A274="","",직원목록!$C271)</f>
        <v/>
      </c>
      <c r="D274" s="19" t="str">
        <f aca="false">IF($A274="","",COUNTIFS(출퇴근기록!$B$3:$B$3002,$A274,출퇴근기록!$H$3:$H$3002,"&gt;0",출퇴근기록!$A$3:$A$3002,"&gt;="&amp;DATE($B$3,$D$3,1),출퇴근기록!$A$3:$A$3002,"&lt;="&amp;EOMONTH(DATE($B$3,$D$3,1),0)))</f>
        <v/>
      </c>
      <c r="E274" s="16" t="str">
        <f aca="false">IF($A274="","",ROUND(SUMIFS(출퇴근기록!$H$3:$H$3002,출퇴근기록!$B$3:$B$3002,$A274,출퇴근기록!$I$3:$I$3002,"평일",출퇴근기록!$A$3:$A$3002,"&gt;="&amp;DATE($B$3,$D$3,1),출퇴근기록!$A$3:$A$3002,"&lt;="&amp;EOMONTH(DATE($B$3,$D$3,1),0)),2))</f>
        <v/>
      </c>
      <c r="F274" s="16" t="str">
        <f aca="false">IF($A274="","",ROUND(SUMIFS(출퇴근기록!$H$3:$H$3002,출퇴근기록!$B$3:$B$3002,$A274,출퇴근기록!$I$3:$I$3002,"휴일",출퇴근기록!$A$3:$A$3002,"&gt;="&amp;DATE($B$3,$D$3,1),출퇴근기록!$A$3:$A$3002,"&lt;="&amp;EOMONTH(DATE($B$3,$D$3,1),0)),2))</f>
        <v/>
      </c>
      <c r="G274" s="16" t="str">
        <f aca="false">IF($A274="","",ROUND(SUMIFS(출퇴근기록!$H$3:$H$3002,출퇴근기록!$B$3:$B$3002,$A274,출퇴근기록!$A$3:$A$3002,"&gt;="&amp;DATE($B$3,$D$3,1),출퇴근기록!$A$3:$A$3002,"&lt;="&amp;EOMONTH(DATE($B$3,$D$3,1),0)),2))</f>
        <v/>
      </c>
      <c r="H274" s="16" t="str">
        <f aca="false">IF($A274="","",ROUND($D274*IF(직원목록!$F271="",8,직원목록!$F271),2))</f>
        <v/>
      </c>
      <c r="I274" s="16" t="str">
        <f aca="false">IF($A274="","",ROUND($G274-$H274,2))</f>
        <v/>
      </c>
      <c r="J274" s="19" t="str">
        <f aca="false">IF($A274="","",COUNTIFS(출퇴근기록!$B$3:$B$3002,$A274,출퇴근기록!$I$3:$I$3002,"연차",출퇴근기록!$A$3:$A$3002,"&gt;="&amp;DATE($B$3,$D$3,1),출퇴근기록!$A$3:$A$3002,"&lt;="&amp;EOMONTH(DATE($B$3,$D$3,1),0)))</f>
        <v/>
      </c>
      <c r="K274" s="19" t="str">
        <f aca="false">IF($A274="","",COUNTIFS(출퇴근기록!$B$3:$B$3002,$A274,출퇴근기록!$I$3:$I$3002,"결근",출퇴근기록!$A$3:$A$3002,"&gt;="&amp;DATE($B$3,$D$3,1),출퇴근기록!$A$3:$A$3002,"&lt;="&amp;EOMONTH(DATE($B$3,$D$3,1),0)))</f>
        <v/>
      </c>
    </row>
    <row r="275" customFormat="false" ht="15" hidden="false" customHeight="true" outlineLevel="0" collapsed="false">
      <c r="A275" s="13" t="str">
        <f aca="false">IF(직원목록!$A272="","",직원목록!$A272)</f>
        <v/>
      </c>
      <c r="B275" s="13" t="str">
        <f aca="false">IF($A275="","",직원목록!$B272)</f>
        <v/>
      </c>
      <c r="C275" s="13" t="str">
        <f aca="false">IF($A275="","",직원목록!$C272)</f>
        <v/>
      </c>
      <c r="D275" s="19" t="str">
        <f aca="false">IF($A275="","",COUNTIFS(출퇴근기록!$B$3:$B$3002,$A275,출퇴근기록!$H$3:$H$3002,"&gt;0",출퇴근기록!$A$3:$A$3002,"&gt;="&amp;DATE($B$3,$D$3,1),출퇴근기록!$A$3:$A$3002,"&lt;="&amp;EOMONTH(DATE($B$3,$D$3,1),0)))</f>
        <v/>
      </c>
      <c r="E275" s="16" t="str">
        <f aca="false">IF($A275="","",ROUND(SUMIFS(출퇴근기록!$H$3:$H$3002,출퇴근기록!$B$3:$B$3002,$A275,출퇴근기록!$I$3:$I$3002,"평일",출퇴근기록!$A$3:$A$3002,"&gt;="&amp;DATE($B$3,$D$3,1),출퇴근기록!$A$3:$A$3002,"&lt;="&amp;EOMONTH(DATE($B$3,$D$3,1),0)),2))</f>
        <v/>
      </c>
      <c r="F275" s="16" t="str">
        <f aca="false">IF($A275="","",ROUND(SUMIFS(출퇴근기록!$H$3:$H$3002,출퇴근기록!$B$3:$B$3002,$A275,출퇴근기록!$I$3:$I$3002,"휴일",출퇴근기록!$A$3:$A$3002,"&gt;="&amp;DATE($B$3,$D$3,1),출퇴근기록!$A$3:$A$3002,"&lt;="&amp;EOMONTH(DATE($B$3,$D$3,1),0)),2))</f>
        <v/>
      </c>
      <c r="G275" s="16" t="str">
        <f aca="false">IF($A275="","",ROUND(SUMIFS(출퇴근기록!$H$3:$H$3002,출퇴근기록!$B$3:$B$3002,$A275,출퇴근기록!$A$3:$A$3002,"&gt;="&amp;DATE($B$3,$D$3,1),출퇴근기록!$A$3:$A$3002,"&lt;="&amp;EOMONTH(DATE($B$3,$D$3,1),0)),2))</f>
        <v/>
      </c>
      <c r="H275" s="16" t="str">
        <f aca="false">IF($A275="","",ROUND($D275*IF(직원목록!$F272="",8,직원목록!$F272),2))</f>
        <v/>
      </c>
      <c r="I275" s="16" t="str">
        <f aca="false">IF($A275="","",ROUND($G275-$H275,2))</f>
        <v/>
      </c>
      <c r="J275" s="19" t="str">
        <f aca="false">IF($A275="","",COUNTIFS(출퇴근기록!$B$3:$B$3002,$A275,출퇴근기록!$I$3:$I$3002,"연차",출퇴근기록!$A$3:$A$3002,"&gt;="&amp;DATE($B$3,$D$3,1),출퇴근기록!$A$3:$A$3002,"&lt;="&amp;EOMONTH(DATE($B$3,$D$3,1),0)))</f>
        <v/>
      </c>
      <c r="K275" s="19" t="str">
        <f aca="false">IF($A275="","",COUNTIFS(출퇴근기록!$B$3:$B$3002,$A275,출퇴근기록!$I$3:$I$3002,"결근",출퇴근기록!$A$3:$A$3002,"&gt;="&amp;DATE($B$3,$D$3,1),출퇴근기록!$A$3:$A$3002,"&lt;="&amp;EOMONTH(DATE($B$3,$D$3,1),0)))</f>
        <v/>
      </c>
    </row>
    <row r="276" customFormat="false" ht="15" hidden="false" customHeight="true" outlineLevel="0" collapsed="false">
      <c r="A276" s="13" t="str">
        <f aca="false">IF(직원목록!$A273="","",직원목록!$A273)</f>
        <v/>
      </c>
      <c r="B276" s="13" t="str">
        <f aca="false">IF($A276="","",직원목록!$B273)</f>
        <v/>
      </c>
      <c r="C276" s="13" t="str">
        <f aca="false">IF($A276="","",직원목록!$C273)</f>
        <v/>
      </c>
      <c r="D276" s="19" t="str">
        <f aca="false">IF($A276="","",COUNTIFS(출퇴근기록!$B$3:$B$3002,$A276,출퇴근기록!$H$3:$H$3002,"&gt;0",출퇴근기록!$A$3:$A$3002,"&gt;="&amp;DATE($B$3,$D$3,1),출퇴근기록!$A$3:$A$3002,"&lt;="&amp;EOMONTH(DATE($B$3,$D$3,1),0)))</f>
        <v/>
      </c>
      <c r="E276" s="16" t="str">
        <f aca="false">IF($A276="","",ROUND(SUMIFS(출퇴근기록!$H$3:$H$3002,출퇴근기록!$B$3:$B$3002,$A276,출퇴근기록!$I$3:$I$3002,"평일",출퇴근기록!$A$3:$A$3002,"&gt;="&amp;DATE($B$3,$D$3,1),출퇴근기록!$A$3:$A$3002,"&lt;="&amp;EOMONTH(DATE($B$3,$D$3,1),0)),2))</f>
        <v/>
      </c>
      <c r="F276" s="16" t="str">
        <f aca="false">IF($A276="","",ROUND(SUMIFS(출퇴근기록!$H$3:$H$3002,출퇴근기록!$B$3:$B$3002,$A276,출퇴근기록!$I$3:$I$3002,"휴일",출퇴근기록!$A$3:$A$3002,"&gt;="&amp;DATE($B$3,$D$3,1),출퇴근기록!$A$3:$A$3002,"&lt;="&amp;EOMONTH(DATE($B$3,$D$3,1),0)),2))</f>
        <v/>
      </c>
      <c r="G276" s="16" t="str">
        <f aca="false">IF($A276="","",ROUND(SUMIFS(출퇴근기록!$H$3:$H$3002,출퇴근기록!$B$3:$B$3002,$A276,출퇴근기록!$A$3:$A$3002,"&gt;="&amp;DATE($B$3,$D$3,1),출퇴근기록!$A$3:$A$3002,"&lt;="&amp;EOMONTH(DATE($B$3,$D$3,1),0)),2))</f>
        <v/>
      </c>
      <c r="H276" s="16" t="str">
        <f aca="false">IF($A276="","",ROUND($D276*IF(직원목록!$F273="",8,직원목록!$F273),2))</f>
        <v/>
      </c>
      <c r="I276" s="16" t="str">
        <f aca="false">IF($A276="","",ROUND($G276-$H276,2))</f>
        <v/>
      </c>
      <c r="J276" s="19" t="str">
        <f aca="false">IF($A276="","",COUNTIFS(출퇴근기록!$B$3:$B$3002,$A276,출퇴근기록!$I$3:$I$3002,"연차",출퇴근기록!$A$3:$A$3002,"&gt;="&amp;DATE($B$3,$D$3,1),출퇴근기록!$A$3:$A$3002,"&lt;="&amp;EOMONTH(DATE($B$3,$D$3,1),0)))</f>
        <v/>
      </c>
      <c r="K276" s="19" t="str">
        <f aca="false">IF($A276="","",COUNTIFS(출퇴근기록!$B$3:$B$3002,$A276,출퇴근기록!$I$3:$I$3002,"결근",출퇴근기록!$A$3:$A$3002,"&gt;="&amp;DATE($B$3,$D$3,1),출퇴근기록!$A$3:$A$3002,"&lt;="&amp;EOMONTH(DATE($B$3,$D$3,1),0)))</f>
        <v/>
      </c>
    </row>
    <row r="277" customFormat="false" ht="15" hidden="false" customHeight="true" outlineLevel="0" collapsed="false">
      <c r="A277" s="13" t="str">
        <f aca="false">IF(직원목록!$A274="","",직원목록!$A274)</f>
        <v/>
      </c>
      <c r="B277" s="13" t="str">
        <f aca="false">IF($A277="","",직원목록!$B274)</f>
        <v/>
      </c>
      <c r="C277" s="13" t="str">
        <f aca="false">IF($A277="","",직원목록!$C274)</f>
        <v/>
      </c>
      <c r="D277" s="19" t="str">
        <f aca="false">IF($A277="","",COUNTIFS(출퇴근기록!$B$3:$B$3002,$A277,출퇴근기록!$H$3:$H$3002,"&gt;0",출퇴근기록!$A$3:$A$3002,"&gt;="&amp;DATE($B$3,$D$3,1),출퇴근기록!$A$3:$A$3002,"&lt;="&amp;EOMONTH(DATE($B$3,$D$3,1),0)))</f>
        <v/>
      </c>
      <c r="E277" s="16" t="str">
        <f aca="false">IF($A277="","",ROUND(SUMIFS(출퇴근기록!$H$3:$H$3002,출퇴근기록!$B$3:$B$3002,$A277,출퇴근기록!$I$3:$I$3002,"평일",출퇴근기록!$A$3:$A$3002,"&gt;="&amp;DATE($B$3,$D$3,1),출퇴근기록!$A$3:$A$3002,"&lt;="&amp;EOMONTH(DATE($B$3,$D$3,1),0)),2))</f>
        <v/>
      </c>
      <c r="F277" s="16" t="str">
        <f aca="false">IF($A277="","",ROUND(SUMIFS(출퇴근기록!$H$3:$H$3002,출퇴근기록!$B$3:$B$3002,$A277,출퇴근기록!$I$3:$I$3002,"휴일",출퇴근기록!$A$3:$A$3002,"&gt;="&amp;DATE($B$3,$D$3,1),출퇴근기록!$A$3:$A$3002,"&lt;="&amp;EOMONTH(DATE($B$3,$D$3,1),0)),2))</f>
        <v/>
      </c>
      <c r="G277" s="16" t="str">
        <f aca="false">IF($A277="","",ROUND(SUMIFS(출퇴근기록!$H$3:$H$3002,출퇴근기록!$B$3:$B$3002,$A277,출퇴근기록!$A$3:$A$3002,"&gt;="&amp;DATE($B$3,$D$3,1),출퇴근기록!$A$3:$A$3002,"&lt;="&amp;EOMONTH(DATE($B$3,$D$3,1),0)),2))</f>
        <v/>
      </c>
      <c r="H277" s="16" t="str">
        <f aca="false">IF($A277="","",ROUND($D277*IF(직원목록!$F274="",8,직원목록!$F274),2))</f>
        <v/>
      </c>
      <c r="I277" s="16" t="str">
        <f aca="false">IF($A277="","",ROUND($G277-$H277,2))</f>
        <v/>
      </c>
      <c r="J277" s="19" t="str">
        <f aca="false">IF($A277="","",COUNTIFS(출퇴근기록!$B$3:$B$3002,$A277,출퇴근기록!$I$3:$I$3002,"연차",출퇴근기록!$A$3:$A$3002,"&gt;="&amp;DATE($B$3,$D$3,1),출퇴근기록!$A$3:$A$3002,"&lt;="&amp;EOMONTH(DATE($B$3,$D$3,1),0)))</f>
        <v/>
      </c>
      <c r="K277" s="19" t="str">
        <f aca="false">IF($A277="","",COUNTIFS(출퇴근기록!$B$3:$B$3002,$A277,출퇴근기록!$I$3:$I$3002,"결근",출퇴근기록!$A$3:$A$3002,"&gt;="&amp;DATE($B$3,$D$3,1),출퇴근기록!$A$3:$A$3002,"&lt;="&amp;EOMONTH(DATE($B$3,$D$3,1),0)))</f>
        <v/>
      </c>
    </row>
    <row r="278" customFormat="false" ht="15" hidden="false" customHeight="true" outlineLevel="0" collapsed="false">
      <c r="A278" s="13" t="str">
        <f aca="false">IF(직원목록!$A275="","",직원목록!$A275)</f>
        <v/>
      </c>
      <c r="B278" s="13" t="str">
        <f aca="false">IF($A278="","",직원목록!$B275)</f>
        <v/>
      </c>
      <c r="C278" s="13" t="str">
        <f aca="false">IF($A278="","",직원목록!$C275)</f>
        <v/>
      </c>
      <c r="D278" s="19" t="str">
        <f aca="false">IF($A278="","",COUNTIFS(출퇴근기록!$B$3:$B$3002,$A278,출퇴근기록!$H$3:$H$3002,"&gt;0",출퇴근기록!$A$3:$A$3002,"&gt;="&amp;DATE($B$3,$D$3,1),출퇴근기록!$A$3:$A$3002,"&lt;="&amp;EOMONTH(DATE($B$3,$D$3,1),0)))</f>
        <v/>
      </c>
      <c r="E278" s="16" t="str">
        <f aca="false">IF($A278="","",ROUND(SUMIFS(출퇴근기록!$H$3:$H$3002,출퇴근기록!$B$3:$B$3002,$A278,출퇴근기록!$I$3:$I$3002,"평일",출퇴근기록!$A$3:$A$3002,"&gt;="&amp;DATE($B$3,$D$3,1),출퇴근기록!$A$3:$A$3002,"&lt;="&amp;EOMONTH(DATE($B$3,$D$3,1),0)),2))</f>
        <v/>
      </c>
      <c r="F278" s="16" t="str">
        <f aca="false">IF($A278="","",ROUND(SUMIFS(출퇴근기록!$H$3:$H$3002,출퇴근기록!$B$3:$B$3002,$A278,출퇴근기록!$I$3:$I$3002,"휴일",출퇴근기록!$A$3:$A$3002,"&gt;="&amp;DATE($B$3,$D$3,1),출퇴근기록!$A$3:$A$3002,"&lt;="&amp;EOMONTH(DATE($B$3,$D$3,1),0)),2))</f>
        <v/>
      </c>
      <c r="G278" s="16" t="str">
        <f aca="false">IF($A278="","",ROUND(SUMIFS(출퇴근기록!$H$3:$H$3002,출퇴근기록!$B$3:$B$3002,$A278,출퇴근기록!$A$3:$A$3002,"&gt;="&amp;DATE($B$3,$D$3,1),출퇴근기록!$A$3:$A$3002,"&lt;="&amp;EOMONTH(DATE($B$3,$D$3,1),0)),2))</f>
        <v/>
      </c>
      <c r="H278" s="16" t="str">
        <f aca="false">IF($A278="","",ROUND($D278*IF(직원목록!$F275="",8,직원목록!$F275),2))</f>
        <v/>
      </c>
      <c r="I278" s="16" t="str">
        <f aca="false">IF($A278="","",ROUND($G278-$H278,2))</f>
        <v/>
      </c>
      <c r="J278" s="19" t="str">
        <f aca="false">IF($A278="","",COUNTIFS(출퇴근기록!$B$3:$B$3002,$A278,출퇴근기록!$I$3:$I$3002,"연차",출퇴근기록!$A$3:$A$3002,"&gt;="&amp;DATE($B$3,$D$3,1),출퇴근기록!$A$3:$A$3002,"&lt;="&amp;EOMONTH(DATE($B$3,$D$3,1),0)))</f>
        <v/>
      </c>
      <c r="K278" s="19" t="str">
        <f aca="false">IF($A278="","",COUNTIFS(출퇴근기록!$B$3:$B$3002,$A278,출퇴근기록!$I$3:$I$3002,"결근",출퇴근기록!$A$3:$A$3002,"&gt;="&amp;DATE($B$3,$D$3,1),출퇴근기록!$A$3:$A$3002,"&lt;="&amp;EOMONTH(DATE($B$3,$D$3,1),0)))</f>
        <v/>
      </c>
    </row>
    <row r="279" customFormat="false" ht="15" hidden="false" customHeight="true" outlineLevel="0" collapsed="false">
      <c r="A279" s="13" t="str">
        <f aca="false">IF(직원목록!$A276="","",직원목록!$A276)</f>
        <v/>
      </c>
      <c r="B279" s="13" t="str">
        <f aca="false">IF($A279="","",직원목록!$B276)</f>
        <v/>
      </c>
      <c r="C279" s="13" t="str">
        <f aca="false">IF($A279="","",직원목록!$C276)</f>
        <v/>
      </c>
      <c r="D279" s="19" t="str">
        <f aca="false">IF($A279="","",COUNTIFS(출퇴근기록!$B$3:$B$3002,$A279,출퇴근기록!$H$3:$H$3002,"&gt;0",출퇴근기록!$A$3:$A$3002,"&gt;="&amp;DATE($B$3,$D$3,1),출퇴근기록!$A$3:$A$3002,"&lt;="&amp;EOMONTH(DATE($B$3,$D$3,1),0)))</f>
        <v/>
      </c>
      <c r="E279" s="16" t="str">
        <f aca="false">IF($A279="","",ROUND(SUMIFS(출퇴근기록!$H$3:$H$3002,출퇴근기록!$B$3:$B$3002,$A279,출퇴근기록!$I$3:$I$3002,"평일",출퇴근기록!$A$3:$A$3002,"&gt;="&amp;DATE($B$3,$D$3,1),출퇴근기록!$A$3:$A$3002,"&lt;="&amp;EOMONTH(DATE($B$3,$D$3,1),0)),2))</f>
        <v/>
      </c>
      <c r="F279" s="16" t="str">
        <f aca="false">IF($A279="","",ROUND(SUMIFS(출퇴근기록!$H$3:$H$3002,출퇴근기록!$B$3:$B$3002,$A279,출퇴근기록!$I$3:$I$3002,"휴일",출퇴근기록!$A$3:$A$3002,"&gt;="&amp;DATE($B$3,$D$3,1),출퇴근기록!$A$3:$A$3002,"&lt;="&amp;EOMONTH(DATE($B$3,$D$3,1),0)),2))</f>
        <v/>
      </c>
      <c r="G279" s="16" t="str">
        <f aca="false">IF($A279="","",ROUND(SUMIFS(출퇴근기록!$H$3:$H$3002,출퇴근기록!$B$3:$B$3002,$A279,출퇴근기록!$A$3:$A$3002,"&gt;="&amp;DATE($B$3,$D$3,1),출퇴근기록!$A$3:$A$3002,"&lt;="&amp;EOMONTH(DATE($B$3,$D$3,1),0)),2))</f>
        <v/>
      </c>
      <c r="H279" s="16" t="str">
        <f aca="false">IF($A279="","",ROUND($D279*IF(직원목록!$F276="",8,직원목록!$F276),2))</f>
        <v/>
      </c>
      <c r="I279" s="16" t="str">
        <f aca="false">IF($A279="","",ROUND($G279-$H279,2))</f>
        <v/>
      </c>
      <c r="J279" s="19" t="str">
        <f aca="false">IF($A279="","",COUNTIFS(출퇴근기록!$B$3:$B$3002,$A279,출퇴근기록!$I$3:$I$3002,"연차",출퇴근기록!$A$3:$A$3002,"&gt;="&amp;DATE($B$3,$D$3,1),출퇴근기록!$A$3:$A$3002,"&lt;="&amp;EOMONTH(DATE($B$3,$D$3,1),0)))</f>
        <v/>
      </c>
      <c r="K279" s="19" t="str">
        <f aca="false">IF($A279="","",COUNTIFS(출퇴근기록!$B$3:$B$3002,$A279,출퇴근기록!$I$3:$I$3002,"결근",출퇴근기록!$A$3:$A$3002,"&gt;="&amp;DATE($B$3,$D$3,1),출퇴근기록!$A$3:$A$3002,"&lt;="&amp;EOMONTH(DATE($B$3,$D$3,1),0)))</f>
        <v/>
      </c>
    </row>
    <row r="280" customFormat="false" ht="15" hidden="false" customHeight="true" outlineLevel="0" collapsed="false">
      <c r="A280" s="13" t="str">
        <f aca="false">IF(직원목록!$A277="","",직원목록!$A277)</f>
        <v/>
      </c>
      <c r="B280" s="13" t="str">
        <f aca="false">IF($A280="","",직원목록!$B277)</f>
        <v/>
      </c>
      <c r="C280" s="13" t="str">
        <f aca="false">IF($A280="","",직원목록!$C277)</f>
        <v/>
      </c>
      <c r="D280" s="19" t="str">
        <f aca="false">IF($A280="","",COUNTIFS(출퇴근기록!$B$3:$B$3002,$A280,출퇴근기록!$H$3:$H$3002,"&gt;0",출퇴근기록!$A$3:$A$3002,"&gt;="&amp;DATE($B$3,$D$3,1),출퇴근기록!$A$3:$A$3002,"&lt;="&amp;EOMONTH(DATE($B$3,$D$3,1),0)))</f>
        <v/>
      </c>
      <c r="E280" s="16" t="str">
        <f aca="false">IF($A280="","",ROUND(SUMIFS(출퇴근기록!$H$3:$H$3002,출퇴근기록!$B$3:$B$3002,$A280,출퇴근기록!$I$3:$I$3002,"평일",출퇴근기록!$A$3:$A$3002,"&gt;="&amp;DATE($B$3,$D$3,1),출퇴근기록!$A$3:$A$3002,"&lt;="&amp;EOMONTH(DATE($B$3,$D$3,1),0)),2))</f>
        <v/>
      </c>
      <c r="F280" s="16" t="str">
        <f aca="false">IF($A280="","",ROUND(SUMIFS(출퇴근기록!$H$3:$H$3002,출퇴근기록!$B$3:$B$3002,$A280,출퇴근기록!$I$3:$I$3002,"휴일",출퇴근기록!$A$3:$A$3002,"&gt;="&amp;DATE($B$3,$D$3,1),출퇴근기록!$A$3:$A$3002,"&lt;="&amp;EOMONTH(DATE($B$3,$D$3,1),0)),2))</f>
        <v/>
      </c>
      <c r="G280" s="16" t="str">
        <f aca="false">IF($A280="","",ROUND(SUMIFS(출퇴근기록!$H$3:$H$3002,출퇴근기록!$B$3:$B$3002,$A280,출퇴근기록!$A$3:$A$3002,"&gt;="&amp;DATE($B$3,$D$3,1),출퇴근기록!$A$3:$A$3002,"&lt;="&amp;EOMONTH(DATE($B$3,$D$3,1),0)),2))</f>
        <v/>
      </c>
      <c r="H280" s="16" t="str">
        <f aca="false">IF($A280="","",ROUND($D280*IF(직원목록!$F277="",8,직원목록!$F277),2))</f>
        <v/>
      </c>
      <c r="I280" s="16" t="str">
        <f aca="false">IF($A280="","",ROUND($G280-$H280,2))</f>
        <v/>
      </c>
      <c r="J280" s="19" t="str">
        <f aca="false">IF($A280="","",COUNTIFS(출퇴근기록!$B$3:$B$3002,$A280,출퇴근기록!$I$3:$I$3002,"연차",출퇴근기록!$A$3:$A$3002,"&gt;="&amp;DATE($B$3,$D$3,1),출퇴근기록!$A$3:$A$3002,"&lt;="&amp;EOMONTH(DATE($B$3,$D$3,1),0)))</f>
        <v/>
      </c>
      <c r="K280" s="19" t="str">
        <f aca="false">IF($A280="","",COUNTIFS(출퇴근기록!$B$3:$B$3002,$A280,출퇴근기록!$I$3:$I$3002,"결근",출퇴근기록!$A$3:$A$3002,"&gt;="&amp;DATE($B$3,$D$3,1),출퇴근기록!$A$3:$A$3002,"&lt;="&amp;EOMONTH(DATE($B$3,$D$3,1),0)))</f>
        <v/>
      </c>
    </row>
    <row r="281" customFormat="false" ht="15" hidden="false" customHeight="true" outlineLevel="0" collapsed="false">
      <c r="A281" s="13" t="str">
        <f aca="false">IF(직원목록!$A278="","",직원목록!$A278)</f>
        <v/>
      </c>
      <c r="B281" s="13" t="str">
        <f aca="false">IF($A281="","",직원목록!$B278)</f>
        <v/>
      </c>
      <c r="C281" s="13" t="str">
        <f aca="false">IF($A281="","",직원목록!$C278)</f>
        <v/>
      </c>
      <c r="D281" s="19" t="str">
        <f aca="false">IF($A281="","",COUNTIFS(출퇴근기록!$B$3:$B$3002,$A281,출퇴근기록!$H$3:$H$3002,"&gt;0",출퇴근기록!$A$3:$A$3002,"&gt;="&amp;DATE($B$3,$D$3,1),출퇴근기록!$A$3:$A$3002,"&lt;="&amp;EOMONTH(DATE($B$3,$D$3,1),0)))</f>
        <v/>
      </c>
      <c r="E281" s="16" t="str">
        <f aca="false">IF($A281="","",ROUND(SUMIFS(출퇴근기록!$H$3:$H$3002,출퇴근기록!$B$3:$B$3002,$A281,출퇴근기록!$I$3:$I$3002,"평일",출퇴근기록!$A$3:$A$3002,"&gt;="&amp;DATE($B$3,$D$3,1),출퇴근기록!$A$3:$A$3002,"&lt;="&amp;EOMONTH(DATE($B$3,$D$3,1),0)),2))</f>
        <v/>
      </c>
      <c r="F281" s="16" t="str">
        <f aca="false">IF($A281="","",ROUND(SUMIFS(출퇴근기록!$H$3:$H$3002,출퇴근기록!$B$3:$B$3002,$A281,출퇴근기록!$I$3:$I$3002,"휴일",출퇴근기록!$A$3:$A$3002,"&gt;="&amp;DATE($B$3,$D$3,1),출퇴근기록!$A$3:$A$3002,"&lt;="&amp;EOMONTH(DATE($B$3,$D$3,1),0)),2))</f>
        <v/>
      </c>
      <c r="G281" s="16" t="str">
        <f aca="false">IF($A281="","",ROUND(SUMIFS(출퇴근기록!$H$3:$H$3002,출퇴근기록!$B$3:$B$3002,$A281,출퇴근기록!$A$3:$A$3002,"&gt;="&amp;DATE($B$3,$D$3,1),출퇴근기록!$A$3:$A$3002,"&lt;="&amp;EOMONTH(DATE($B$3,$D$3,1),0)),2))</f>
        <v/>
      </c>
      <c r="H281" s="16" t="str">
        <f aca="false">IF($A281="","",ROUND($D281*IF(직원목록!$F278="",8,직원목록!$F278),2))</f>
        <v/>
      </c>
      <c r="I281" s="16" t="str">
        <f aca="false">IF($A281="","",ROUND($G281-$H281,2))</f>
        <v/>
      </c>
      <c r="J281" s="19" t="str">
        <f aca="false">IF($A281="","",COUNTIFS(출퇴근기록!$B$3:$B$3002,$A281,출퇴근기록!$I$3:$I$3002,"연차",출퇴근기록!$A$3:$A$3002,"&gt;="&amp;DATE($B$3,$D$3,1),출퇴근기록!$A$3:$A$3002,"&lt;="&amp;EOMONTH(DATE($B$3,$D$3,1),0)))</f>
        <v/>
      </c>
      <c r="K281" s="19" t="str">
        <f aca="false">IF($A281="","",COUNTIFS(출퇴근기록!$B$3:$B$3002,$A281,출퇴근기록!$I$3:$I$3002,"결근",출퇴근기록!$A$3:$A$3002,"&gt;="&amp;DATE($B$3,$D$3,1),출퇴근기록!$A$3:$A$3002,"&lt;="&amp;EOMONTH(DATE($B$3,$D$3,1),0)))</f>
        <v/>
      </c>
    </row>
    <row r="282" customFormat="false" ht="15" hidden="false" customHeight="true" outlineLevel="0" collapsed="false">
      <c r="A282" s="13" t="str">
        <f aca="false">IF(직원목록!$A279="","",직원목록!$A279)</f>
        <v/>
      </c>
      <c r="B282" s="13" t="str">
        <f aca="false">IF($A282="","",직원목록!$B279)</f>
        <v/>
      </c>
      <c r="C282" s="13" t="str">
        <f aca="false">IF($A282="","",직원목록!$C279)</f>
        <v/>
      </c>
      <c r="D282" s="19" t="str">
        <f aca="false">IF($A282="","",COUNTIFS(출퇴근기록!$B$3:$B$3002,$A282,출퇴근기록!$H$3:$H$3002,"&gt;0",출퇴근기록!$A$3:$A$3002,"&gt;="&amp;DATE($B$3,$D$3,1),출퇴근기록!$A$3:$A$3002,"&lt;="&amp;EOMONTH(DATE($B$3,$D$3,1),0)))</f>
        <v/>
      </c>
      <c r="E282" s="16" t="str">
        <f aca="false">IF($A282="","",ROUND(SUMIFS(출퇴근기록!$H$3:$H$3002,출퇴근기록!$B$3:$B$3002,$A282,출퇴근기록!$I$3:$I$3002,"평일",출퇴근기록!$A$3:$A$3002,"&gt;="&amp;DATE($B$3,$D$3,1),출퇴근기록!$A$3:$A$3002,"&lt;="&amp;EOMONTH(DATE($B$3,$D$3,1),0)),2))</f>
        <v/>
      </c>
      <c r="F282" s="16" t="str">
        <f aca="false">IF($A282="","",ROUND(SUMIFS(출퇴근기록!$H$3:$H$3002,출퇴근기록!$B$3:$B$3002,$A282,출퇴근기록!$I$3:$I$3002,"휴일",출퇴근기록!$A$3:$A$3002,"&gt;="&amp;DATE($B$3,$D$3,1),출퇴근기록!$A$3:$A$3002,"&lt;="&amp;EOMONTH(DATE($B$3,$D$3,1),0)),2))</f>
        <v/>
      </c>
      <c r="G282" s="16" t="str">
        <f aca="false">IF($A282="","",ROUND(SUMIFS(출퇴근기록!$H$3:$H$3002,출퇴근기록!$B$3:$B$3002,$A282,출퇴근기록!$A$3:$A$3002,"&gt;="&amp;DATE($B$3,$D$3,1),출퇴근기록!$A$3:$A$3002,"&lt;="&amp;EOMONTH(DATE($B$3,$D$3,1),0)),2))</f>
        <v/>
      </c>
      <c r="H282" s="16" t="str">
        <f aca="false">IF($A282="","",ROUND($D282*IF(직원목록!$F279="",8,직원목록!$F279),2))</f>
        <v/>
      </c>
      <c r="I282" s="16" t="str">
        <f aca="false">IF($A282="","",ROUND($G282-$H282,2))</f>
        <v/>
      </c>
      <c r="J282" s="19" t="str">
        <f aca="false">IF($A282="","",COUNTIFS(출퇴근기록!$B$3:$B$3002,$A282,출퇴근기록!$I$3:$I$3002,"연차",출퇴근기록!$A$3:$A$3002,"&gt;="&amp;DATE($B$3,$D$3,1),출퇴근기록!$A$3:$A$3002,"&lt;="&amp;EOMONTH(DATE($B$3,$D$3,1),0)))</f>
        <v/>
      </c>
      <c r="K282" s="19" t="str">
        <f aca="false">IF($A282="","",COUNTIFS(출퇴근기록!$B$3:$B$3002,$A282,출퇴근기록!$I$3:$I$3002,"결근",출퇴근기록!$A$3:$A$3002,"&gt;="&amp;DATE($B$3,$D$3,1),출퇴근기록!$A$3:$A$3002,"&lt;="&amp;EOMONTH(DATE($B$3,$D$3,1),0)))</f>
        <v/>
      </c>
    </row>
    <row r="283" customFormat="false" ht="15" hidden="false" customHeight="true" outlineLevel="0" collapsed="false">
      <c r="A283" s="13" t="str">
        <f aca="false">IF(직원목록!$A280="","",직원목록!$A280)</f>
        <v/>
      </c>
      <c r="B283" s="13" t="str">
        <f aca="false">IF($A283="","",직원목록!$B280)</f>
        <v/>
      </c>
      <c r="C283" s="13" t="str">
        <f aca="false">IF($A283="","",직원목록!$C280)</f>
        <v/>
      </c>
      <c r="D283" s="19" t="str">
        <f aca="false">IF($A283="","",COUNTIFS(출퇴근기록!$B$3:$B$3002,$A283,출퇴근기록!$H$3:$H$3002,"&gt;0",출퇴근기록!$A$3:$A$3002,"&gt;="&amp;DATE($B$3,$D$3,1),출퇴근기록!$A$3:$A$3002,"&lt;="&amp;EOMONTH(DATE($B$3,$D$3,1),0)))</f>
        <v/>
      </c>
      <c r="E283" s="16" t="str">
        <f aca="false">IF($A283="","",ROUND(SUMIFS(출퇴근기록!$H$3:$H$3002,출퇴근기록!$B$3:$B$3002,$A283,출퇴근기록!$I$3:$I$3002,"평일",출퇴근기록!$A$3:$A$3002,"&gt;="&amp;DATE($B$3,$D$3,1),출퇴근기록!$A$3:$A$3002,"&lt;="&amp;EOMONTH(DATE($B$3,$D$3,1),0)),2))</f>
        <v/>
      </c>
      <c r="F283" s="16" t="str">
        <f aca="false">IF($A283="","",ROUND(SUMIFS(출퇴근기록!$H$3:$H$3002,출퇴근기록!$B$3:$B$3002,$A283,출퇴근기록!$I$3:$I$3002,"휴일",출퇴근기록!$A$3:$A$3002,"&gt;="&amp;DATE($B$3,$D$3,1),출퇴근기록!$A$3:$A$3002,"&lt;="&amp;EOMONTH(DATE($B$3,$D$3,1),0)),2))</f>
        <v/>
      </c>
      <c r="G283" s="16" t="str">
        <f aca="false">IF($A283="","",ROUND(SUMIFS(출퇴근기록!$H$3:$H$3002,출퇴근기록!$B$3:$B$3002,$A283,출퇴근기록!$A$3:$A$3002,"&gt;="&amp;DATE($B$3,$D$3,1),출퇴근기록!$A$3:$A$3002,"&lt;="&amp;EOMONTH(DATE($B$3,$D$3,1),0)),2))</f>
        <v/>
      </c>
      <c r="H283" s="16" t="str">
        <f aca="false">IF($A283="","",ROUND($D283*IF(직원목록!$F280="",8,직원목록!$F280),2))</f>
        <v/>
      </c>
      <c r="I283" s="16" t="str">
        <f aca="false">IF($A283="","",ROUND($G283-$H283,2))</f>
        <v/>
      </c>
      <c r="J283" s="19" t="str">
        <f aca="false">IF($A283="","",COUNTIFS(출퇴근기록!$B$3:$B$3002,$A283,출퇴근기록!$I$3:$I$3002,"연차",출퇴근기록!$A$3:$A$3002,"&gt;="&amp;DATE($B$3,$D$3,1),출퇴근기록!$A$3:$A$3002,"&lt;="&amp;EOMONTH(DATE($B$3,$D$3,1),0)))</f>
        <v/>
      </c>
      <c r="K283" s="19" t="str">
        <f aca="false">IF($A283="","",COUNTIFS(출퇴근기록!$B$3:$B$3002,$A283,출퇴근기록!$I$3:$I$3002,"결근",출퇴근기록!$A$3:$A$3002,"&gt;="&amp;DATE($B$3,$D$3,1),출퇴근기록!$A$3:$A$3002,"&lt;="&amp;EOMONTH(DATE($B$3,$D$3,1),0)))</f>
        <v/>
      </c>
    </row>
    <row r="284" customFormat="false" ht="15" hidden="false" customHeight="true" outlineLevel="0" collapsed="false">
      <c r="A284" s="13" t="str">
        <f aca="false">IF(직원목록!$A281="","",직원목록!$A281)</f>
        <v/>
      </c>
      <c r="B284" s="13" t="str">
        <f aca="false">IF($A284="","",직원목록!$B281)</f>
        <v/>
      </c>
      <c r="C284" s="13" t="str">
        <f aca="false">IF($A284="","",직원목록!$C281)</f>
        <v/>
      </c>
      <c r="D284" s="19" t="str">
        <f aca="false">IF($A284="","",COUNTIFS(출퇴근기록!$B$3:$B$3002,$A284,출퇴근기록!$H$3:$H$3002,"&gt;0",출퇴근기록!$A$3:$A$3002,"&gt;="&amp;DATE($B$3,$D$3,1),출퇴근기록!$A$3:$A$3002,"&lt;="&amp;EOMONTH(DATE($B$3,$D$3,1),0)))</f>
        <v/>
      </c>
      <c r="E284" s="16" t="str">
        <f aca="false">IF($A284="","",ROUND(SUMIFS(출퇴근기록!$H$3:$H$3002,출퇴근기록!$B$3:$B$3002,$A284,출퇴근기록!$I$3:$I$3002,"평일",출퇴근기록!$A$3:$A$3002,"&gt;="&amp;DATE($B$3,$D$3,1),출퇴근기록!$A$3:$A$3002,"&lt;="&amp;EOMONTH(DATE($B$3,$D$3,1),0)),2))</f>
        <v/>
      </c>
      <c r="F284" s="16" t="str">
        <f aca="false">IF($A284="","",ROUND(SUMIFS(출퇴근기록!$H$3:$H$3002,출퇴근기록!$B$3:$B$3002,$A284,출퇴근기록!$I$3:$I$3002,"휴일",출퇴근기록!$A$3:$A$3002,"&gt;="&amp;DATE($B$3,$D$3,1),출퇴근기록!$A$3:$A$3002,"&lt;="&amp;EOMONTH(DATE($B$3,$D$3,1),0)),2))</f>
        <v/>
      </c>
      <c r="G284" s="16" t="str">
        <f aca="false">IF($A284="","",ROUND(SUMIFS(출퇴근기록!$H$3:$H$3002,출퇴근기록!$B$3:$B$3002,$A284,출퇴근기록!$A$3:$A$3002,"&gt;="&amp;DATE($B$3,$D$3,1),출퇴근기록!$A$3:$A$3002,"&lt;="&amp;EOMONTH(DATE($B$3,$D$3,1),0)),2))</f>
        <v/>
      </c>
      <c r="H284" s="16" t="str">
        <f aca="false">IF($A284="","",ROUND($D284*IF(직원목록!$F281="",8,직원목록!$F281),2))</f>
        <v/>
      </c>
      <c r="I284" s="16" t="str">
        <f aca="false">IF($A284="","",ROUND($G284-$H284,2))</f>
        <v/>
      </c>
      <c r="J284" s="19" t="str">
        <f aca="false">IF($A284="","",COUNTIFS(출퇴근기록!$B$3:$B$3002,$A284,출퇴근기록!$I$3:$I$3002,"연차",출퇴근기록!$A$3:$A$3002,"&gt;="&amp;DATE($B$3,$D$3,1),출퇴근기록!$A$3:$A$3002,"&lt;="&amp;EOMONTH(DATE($B$3,$D$3,1),0)))</f>
        <v/>
      </c>
      <c r="K284" s="19" t="str">
        <f aca="false">IF($A284="","",COUNTIFS(출퇴근기록!$B$3:$B$3002,$A284,출퇴근기록!$I$3:$I$3002,"결근",출퇴근기록!$A$3:$A$3002,"&gt;="&amp;DATE($B$3,$D$3,1),출퇴근기록!$A$3:$A$3002,"&lt;="&amp;EOMONTH(DATE($B$3,$D$3,1),0)))</f>
        <v/>
      </c>
    </row>
    <row r="285" customFormat="false" ht="15" hidden="false" customHeight="true" outlineLevel="0" collapsed="false">
      <c r="A285" s="13" t="str">
        <f aca="false">IF(직원목록!$A282="","",직원목록!$A282)</f>
        <v/>
      </c>
      <c r="B285" s="13" t="str">
        <f aca="false">IF($A285="","",직원목록!$B282)</f>
        <v/>
      </c>
      <c r="C285" s="13" t="str">
        <f aca="false">IF($A285="","",직원목록!$C282)</f>
        <v/>
      </c>
      <c r="D285" s="19" t="str">
        <f aca="false">IF($A285="","",COUNTIFS(출퇴근기록!$B$3:$B$3002,$A285,출퇴근기록!$H$3:$H$3002,"&gt;0",출퇴근기록!$A$3:$A$3002,"&gt;="&amp;DATE($B$3,$D$3,1),출퇴근기록!$A$3:$A$3002,"&lt;="&amp;EOMONTH(DATE($B$3,$D$3,1),0)))</f>
        <v/>
      </c>
      <c r="E285" s="16" t="str">
        <f aca="false">IF($A285="","",ROUND(SUMIFS(출퇴근기록!$H$3:$H$3002,출퇴근기록!$B$3:$B$3002,$A285,출퇴근기록!$I$3:$I$3002,"평일",출퇴근기록!$A$3:$A$3002,"&gt;="&amp;DATE($B$3,$D$3,1),출퇴근기록!$A$3:$A$3002,"&lt;="&amp;EOMONTH(DATE($B$3,$D$3,1),0)),2))</f>
        <v/>
      </c>
      <c r="F285" s="16" t="str">
        <f aca="false">IF($A285="","",ROUND(SUMIFS(출퇴근기록!$H$3:$H$3002,출퇴근기록!$B$3:$B$3002,$A285,출퇴근기록!$I$3:$I$3002,"휴일",출퇴근기록!$A$3:$A$3002,"&gt;="&amp;DATE($B$3,$D$3,1),출퇴근기록!$A$3:$A$3002,"&lt;="&amp;EOMONTH(DATE($B$3,$D$3,1),0)),2))</f>
        <v/>
      </c>
      <c r="G285" s="16" t="str">
        <f aca="false">IF($A285="","",ROUND(SUMIFS(출퇴근기록!$H$3:$H$3002,출퇴근기록!$B$3:$B$3002,$A285,출퇴근기록!$A$3:$A$3002,"&gt;="&amp;DATE($B$3,$D$3,1),출퇴근기록!$A$3:$A$3002,"&lt;="&amp;EOMONTH(DATE($B$3,$D$3,1),0)),2))</f>
        <v/>
      </c>
      <c r="H285" s="16" t="str">
        <f aca="false">IF($A285="","",ROUND($D285*IF(직원목록!$F282="",8,직원목록!$F282),2))</f>
        <v/>
      </c>
      <c r="I285" s="16" t="str">
        <f aca="false">IF($A285="","",ROUND($G285-$H285,2))</f>
        <v/>
      </c>
      <c r="J285" s="19" t="str">
        <f aca="false">IF($A285="","",COUNTIFS(출퇴근기록!$B$3:$B$3002,$A285,출퇴근기록!$I$3:$I$3002,"연차",출퇴근기록!$A$3:$A$3002,"&gt;="&amp;DATE($B$3,$D$3,1),출퇴근기록!$A$3:$A$3002,"&lt;="&amp;EOMONTH(DATE($B$3,$D$3,1),0)))</f>
        <v/>
      </c>
      <c r="K285" s="19" t="str">
        <f aca="false">IF($A285="","",COUNTIFS(출퇴근기록!$B$3:$B$3002,$A285,출퇴근기록!$I$3:$I$3002,"결근",출퇴근기록!$A$3:$A$3002,"&gt;="&amp;DATE($B$3,$D$3,1),출퇴근기록!$A$3:$A$3002,"&lt;="&amp;EOMONTH(DATE($B$3,$D$3,1),0)))</f>
        <v/>
      </c>
    </row>
    <row r="286" customFormat="false" ht="15" hidden="false" customHeight="true" outlineLevel="0" collapsed="false">
      <c r="A286" s="13" t="str">
        <f aca="false">IF(직원목록!$A283="","",직원목록!$A283)</f>
        <v/>
      </c>
      <c r="B286" s="13" t="str">
        <f aca="false">IF($A286="","",직원목록!$B283)</f>
        <v/>
      </c>
      <c r="C286" s="13" t="str">
        <f aca="false">IF($A286="","",직원목록!$C283)</f>
        <v/>
      </c>
      <c r="D286" s="19" t="str">
        <f aca="false">IF($A286="","",COUNTIFS(출퇴근기록!$B$3:$B$3002,$A286,출퇴근기록!$H$3:$H$3002,"&gt;0",출퇴근기록!$A$3:$A$3002,"&gt;="&amp;DATE($B$3,$D$3,1),출퇴근기록!$A$3:$A$3002,"&lt;="&amp;EOMONTH(DATE($B$3,$D$3,1),0)))</f>
        <v/>
      </c>
      <c r="E286" s="16" t="str">
        <f aca="false">IF($A286="","",ROUND(SUMIFS(출퇴근기록!$H$3:$H$3002,출퇴근기록!$B$3:$B$3002,$A286,출퇴근기록!$I$3:$I$3002,"평일",출퇴근기록!$A$3:$A$3002,"&gt;="&amp;DATE($B$3,$D$3,1),출퇴근기록!$A$3:$A$3002,"&lt;="&amp;EOMONTH(DATE($B$3,$D$3,1),0)),2))</f>
        <v/>
      </c>
      <c r="F286" s="16" t="str">
        <f aca="false">IF($A286="","",ROUND(SUMIFS(출퇴근기록!$H$3:$H$3002,출퇴근기록!$B$3:$B$3002,$A286,출퇴근기록!$I$3:$I$3002,"휴일",출퇴근기록!$A$3:$A$3002,"&gt;="&amp;DATE($B$3,$D$3,1),출퇴근기록!$A$3:$A$3002,"&lt;="&amp;EOMONTH(DATE($B$3,$D$3,1),0)),2))</f>
        <v/>
      </c>
      <c r="G286" s="16" t="str">
        <f aca="false">IF($A286="","",ROUND(SUMIFS(출퇴근기록!$H$3:$H$3002,출퇴근기록!$B$3:$B$3002,$A286,출퇴근기록!$A$3:$A$3002,"&gt;="&amp;DATE($B$3,$D$3,1),출퇴근기록!$A$3:$A$3002,"&lt;="&amp;EOMONTH(DATE($B$3,$D$3,1),0)),2))</f>
        <v/>
      </c>
      <c r="H286" s="16" t="str">
        <f aca="false">IF($A286="","",ROUND($D286*IF(직원목록!$F283="",8,직원목록!$F283),2))</f>
        <v/>
      </c>
      <c r="I286" s="16" t="str">
        <f aca="false">IF($A286="","",ROUND($G286-$H286,2))</f>
        <v/>
      </c>
      <c r="J286" s="19" t="str">
        <f aca="false">IF($A286="","",COUNTIFS(출퇴근기록!$B$3:$B$3002,$A286,출퇴근기록!$I$3:$I$3002,"연차",출퇴근기록!$A$3:$A$3002,"&gt;="&amp;DATE($B$3,$D$3,1),출퇴근기록!$A$3:$A$3002,"&lt;="&amp;EOMONTH(DATE($B$3,$D$3,1),0)))</f>
        <v/>
      </c>
      <c r="K286" s="19" t="str">
        <f aca="false">IF($A286="","",COUNTIFS(출퇴근기록!$B$3:$B$3002,$A286,출퇴근기록!$I$3:$I$3002,"결근",출퇴근기록!$A$3:$A$3002,"&gt;="&amp;DATE($B$3,$D$3,1),출퇴근기록!$A$3:$A$3002,"&lt;="&amp;EOMONTH(DATE($B$3,$D$3,1),0)))</f>
        <v/>
      </c>
    </row>
    <row r="287" customFormat="false" ht="15" hidden="false" customHeight="true" outlineLevel="0" collapsed="false">
      <c r="A287" s="13" t="str">
        <f aca="false">IF(직원목록!$A284="","",직원목록!$A284)</f>
        <v/>
      </c>
      <c r="B287" s="13" t="str">
        <f aca="false">IF($A287="","",직원목록!$B284)</f>
        <v/>
      </c>
      <c r="C287" s="13" t="str">
        <f aca="false">IF($A287="","",직원목록!$C284)</f>
        <v/>
      </c>
      <c r="D287" s="19" t="str">
        <f aca="false">IF($A287="","",COUNTIFS(출퇴근기록!$B$3:$B$3002,$A287,출퇴근기록!$H$3:$H$3002,"&gt;0",출퇴근기록!$A$3:$A$3002,"&gt;="&amp;DATE($B$3,$D$3,1),출퇴근기록!$A$3:$A$3002,"&lt;="&amp;EOMONTH(DATE($B$3,$D$3,1),0)))</f>
        <v/>
      </c>
      <c r="E287" s="16" t="str">
        <f aca="false">IF($A287="","",ROUND(SUMIFS(출퇴근기록!$H$3:$H$3002,출퇴근기록!$B$3:$B$3002,$A287,출퇴근기록!$I$3:$I$3002,"평일",출퇴근기록!$A$3:$A$3002,"&gt;="&amp;DATE($B$3,$D$3,1),출퇴근기록!$A$3:$A$3002,"&lt;="&amp;EOMONTH(DATE($B$3,$D$3,1),0)),2))</f>
        <v/>
      </c>
      <c r="F287" s="16" t="str">
        <f aca="false">IF($A287="","",ROUND(SUMIFS(출퇴근기록!$H$3:$H$3002,출퇴근기록!$B$3:$B$3002,$A287,출퇴근기록!$I$3:$I$3002,"휴일",출퇴근기록!$A$3:$A$3002,"&gt;="&amp;DATE($B$3,$D$3,1),출퇴근기록!$A$3:$A$3002,"&lt;="&amp;EOMONTH(DATE($B$3,$D$3,1),0)),2))</f>
        <v/>
      </c>
      <c r="G287" s="16" t="str">
        <f aca="false">IF($A287="","",ROUND(SUMIFS(출퇴근기록!$H$3:$H$3002,출퇴근기록!$B$3:$B$3002,$A287,출퇴근기록!$A$3:$A$3002,"&gt;="&amp;DATE($B$3,$D$3,1),출퇴근기록!$A$3:$A$3002,"&lt;="&amp;EOMONTH(DATE($B$3,$D$3,1),0)),2))</f>
        <v/>
      </c>
      <c r="H287" s="16" t="str">
        <f aca="false">IF($A287="","",ROUND($D287*IF(직원목록!$F284="",8,직원목록!$F284),2))</f>
        <v/>
      </c>
      <c r="I287" s="16" t="str">
        <f aca="false">IF($A287="","",ROUND($G287-$H287,2))</f>
        <v/>
      </c>
      <c r="J287" s="19" t="str">
        <f aca="false">IF($A287="","",COUNTIFS(출퇴근기록!$B$3:$B$3002,$A287,출퇴근기록!$I$3:$I$3002,"연차",출퇴근기록!$A$3:$A$3002,"&gt;="&amp;DATE($B$3,$D$3,1),출퇴근기록!$A$3:$A$3002,"&lt;="&amp;EOMONTH(DATE($B$3,$D$3,1),0)))</f>
        <v/>
      </c>
      <c r="K287" s="19" t="str">
        <f aca="false">IF($A287="","",COUNTIFS(출퇴근기록!$B$3:$B$3002,$A287,출퇴근기록!$I$3:$I$3002,"결근",출퇴근기록!$A$3:$A$3002,"&gt;="&amp;DATE($B$3,$D$3,1),출퇴근기록!$A$3:$A$3002,"&lt;="&amp;EOMONTH(DATE($B$3,$D$3,1),0)))</f>
        <v/>
      </c>
    </row>
    <row r="288" customFormat="false" ht="15" hidden="false" customHeight="true" outlineLevel="0" collapsed="false">
      <c r="A288" s="13" t="str">
        <f aca="false">IF(직원목록!$A285="","",직원목록!$A285)</f>
        <v/>
      </c>
      <c r="B288" s="13" t="str">
        <f aca="false">IF($A288="","",직원목록!$B285)</f>
        <v/>
      </c>
      <c r="C288" s="13" t="str">
        <f aca="false">IF($A288="","",직원목록!$C285)</f>
        <v/>
      </c>
      <c r="D288" s="19" t="str">
        <f aca="false">IF($A288="","",COUNTIFS(출퇴근기록!$B$3:$B$3002,$A288,출퇴근기록!$H$3:$H$3002,"&gt;0",출퇴근기록!$A$3:$A$3002,"&gt;="&amp;DATE($B$3,$D$3,1),출퇴근기록!$A$3:$A$3002,"&lt;="&amp;EOMONTH(DATE($B$3,$D$3,1),0)))</f>
        <v/>
      </c>
      <c r="E288" s="16" t="str">
        <f aca="false">IF($A288="","",ROUND(SUMIFS(출퇴근기록!$H$3:$H$3002,출퇴근기록!$B$3:$B$3002,$A288,출퇴근기록!$I$3:$I$3002,"평일",출퇴근기록!$A$3:$A$3002,"&gt;="&amp;DATE($B$3,$D$3,1),출퇴근기록!$A$3:$A$3002,"&lt;="&amp;EOMONTH(DATE($B$3,$D$3,1),0)),2))</f>
        <v/>
      </c>
      <c r="F288" s="16" t="str">
        <f aca="false">IF($A288="","",ROUND(SUMIFS(출퇴근기록!$H$3:$H$3002,출퇴근기록!$B$3:$B$3002,$A288,출퇴근기록!$I$3:$I$3002,"휴일",출퇴근기록!$A$3:$A$3002,"&gt;="&amp;DATE($B$3,$D$3,1),출퇴근기록!$A$3:$A$3002,"&lt;="&amp;EOMONTH(DATE($B$3,$D$3,1),0)),2))</f>
        <v/>
      </c>
      <c r="G288" s="16" t="str">
        <f aca="false">IF($A288="","",ROUND(SUMIFS(출퇴근기록!$H$3:$H$3002,출퇴근기록!$B$3:$B$3002,$A288,출퇴근기록!$A$3:$A$3002,"&gt;="&amp;DATE($B$3,$D$3,1),출퇴근기록!$A$3:$A$3002,"&lt;="&amp;EOMONTH(DATE($B$3,$D$3,1),0)),2))</f>
        <v/>
      </c>
      <c r="H288" s="16" t="str">
        <f aca="false">IF($A288="","",ROUND($D288*IF(직원목록!$F285="",8,직원목록!$F285),2))</f>
        <v/>
      </c>
      <c r="I288" s="16" t="str">
        <f aca="false">IF($A288="","",ROUND($G288-$H288,2))</f>
        <v/>
      </c>
      <c r="J288" s="19" t="str">
        <f aca="false">IF($A288="","",COUNTIFS(출퇴근기록!$B$3:$B$3002,$A288,출퇴근기록!$I$3:$I$3002,"연차",출퇴근기록!$A$3:$A$3002,"&gt;="&amp;DATE($B$3,$D$3,1),출퇴근기록!$A$3:$A$3002,"&lt;="&amp;EOMONTH(DATE($B$3,$D$3,1),0)))</f>
        <v/>
      </c>
      <c r="K288" s="19" t="str">
        <f aca="false">IF($A288="","",COUNTIFS(출퇴근기록!$B$3:$B$3002,$A288,출퇴근기록!$I$3:$I$3002,"결근",출퇴근기록!$A$3:$A$3002,"&gt;="&amp;DATE($B$3,$D$3,1),출퇴근기록!$A$3:$A$3002,"&lt;="&amp;EOMONTH(DATE($B$3,$D$3,1),0)))</f>
        <v/>
      </c>
    </row>
    <row r="289" customFormat="false" ht="15" hidden="false" customHeight="true" outlineLevel="0" collapsed="false">
      <c r="A289" s="13" t="str">
        <f aca="false">IF(직원목록!$A286="","",직원목록!$A286)</f>
        <v/>
      </c>
      <c r="B289" s="13" t="str">
        <f aca="false">IF($A289="","",직원목록!$B286)</f>
        <v/>
      </c>
      <c r="C289" s="13" t="str">
        <f aca="false">IF($A289="","",직원목록!$C286)</f>
        <v/>
      </c>
      <c r="D289" s="19" t="str">
        <f aca="false">IF($A289="","",COUNTIFS(출퇴근기록!$B$3:$B$3002,$A289,출퇴근기록!$H$3:$H$3002,"&gt;0",출퇴근기록!$A$3:$A$3002,"&gt;="&amp;DATE($B$3,$D$3,1),출퇴근기록!$A$3:$A$3002,"&lt;="&amp;EOMONTH(DATE($B$3,$D$3,1),0)))</f>
        <v/>
      </c>
      <c r="E289" s="16" t="str">
        <f aca="false">IF($A289="","",ROUND(SUMIFS(출퇴근기록!$H$3:$H$3002,출퇴근기록!$B$3:$B$3002,$A289,출퇴근기록!$I$3:$I$3002,"평일",출퇴근기록!$A$3:$A$3002,"&gt;="&amp;DATE($B$3,$D$3,1),출퇴근기록!$A$3:$A$3002,"&lt;="&amp;EOMONTH(DATE($B$3,$D$3,1),0)),2))</f>
        <v/>
      </c>
      <c r="F289" s="16" t="str">
        <f aca="false">IF($A289="","",ROUND(SUMIFS(출퇴근기록!$H$3:$H$3002,출퇴근기록!$B$3:$B$3002,$A289,출퇴근기록!$I$3:$I$3002,"휴일",출퇴근기록!$A$3:$A$3002,"&gt;="&amp;DATE($B$3,$D$3,1),출퇴근기록!$A$3:$A$3002,"&lt;="&amp;EOMONTH(DATE($B$3,$D$3,1),0)),2))</f>
        <v/>
      </c>
      <c r="G289" s="16" t="str">
        <f aca="false">IF($A289="","",ROUND(SUMIFS(출퇴근기록!$H$3:$H$3002,출퇴근기록!$B$3:$B$3002,$A289,출퇴근기록!$A$3:$A$3002,"&gt;="&amp;DATE($B$3,$D$3,1),출퇴근기록!$A$3:$A$3002,"&lt;="&amp;EOMONTH(DATE($B$3,$D$3,1),0)),2))</f>
        <v/>
      </c>
      <c r="H289" s="16" t="str">
        <f aca="false">IF($A289="","",ROUND($D289*IF(직원목록!$F286="",8,직원목록!$F286),2))</f>
        <v/>
      </c>
      <c r="I289" s="16" t="str">
        <f aca="false">IF($A289="","",ROUND($G289-$H289,2))</f>
        <v/>
      </c>
      <c r="J289" s="19" t="str">
        <f aca="false">IF($A289="","",COUNTIFS(출퇴근기록!$B$3:$B$3002,$A289,출퇴근기록!$I$3:$I$3002,"연차",출퇴근기록!$A$3:$A$3002,"&gt;="&amp;DATE($B$3,$D$3,1),출퇴근기록!$A$3:$A$3002,"&lt;="&amp;EOMONTH(DATE($B$3,$D$3,1),0)))</f>
        <v/>
      </c>
      <c r="K289" s="19" t="str">
        <f aca="false">IF($A289="","",COUNTIFS(출퇴근기록!$B$3:$B$3002,$A289,출퇴근기록!$I$3:$I$3002,"결근",출퇴근기록!$A$3:$A$3002,"&gt;="&amp;DATE($B$3,$D$3,1),출퇴근기록!$A$3:$A$3002,"&lt;="&amp;EOMONTH(DATE($B$3,$D$3,1),0)))</f>
        <v/>
      </c>
    </row>
    <row r="290" customFormat="false" ht="15" hidden="false" customHeight="true" outlineLevel="0" collapsed="false">
      <c r="A290" s="13" t="str">
        <f aca="false">IF(직원목록!$A287="","",직원목록!$A287)</f>
        <v/>
      </c>
      <c r="B290" s="13" t="str">
        <f aca="false">IF($A290="","",직원목록!$B287)</f>
        <v/>
      </c>
      <c r="C290" s="13" t="str">
        <f aca="false">IF($A290="","",직원목록!$C287)</f>
        <v/>
      </c>
      <c r="D290" s="19" t="str">
        <f aca="false">IF($A290="","",COUNTIFS(출퇴근기록!$B$3:$B$3002,$A290,출퇴근기록!$H$3:$H$3002,"&gt;0",출퇴근기록!$A$3:$A$3002,"&gt;="&amp;DATE($B$3,$D$3,1),출퇴근기록!$A$3:$A$3002,"&lt;="&amp;EOMONTH(DATE($B$3,$D$3,1),0)))</f>
        <v/>
      </c>
      <c r="E290" s="16" t="str">
        <f aca="false">IF($A290="","",ROUND(SUMIFS(출퇴근기록!$H$3:$H$3002,출퇴근기록!$B$3:$B$3002,$A290,출퇴근기록!$I$3:$I$3002,"평일",출퇴근기록!$A$3:$A$3002,"&gt;="&amp;DATE($B$3,$D$3,1),출퇴근기록!$A$3:$A$3002,"&lt;="&amp;EOMONTH(DATE($B$3,$D$3,1),0)),2))</f>
        <v/>
      </c>
      <c r="F290" s="16" t="str">
        <f aca="false">IF($A290="","",ROUND(SUMIFS(출퇴근기록!$H$3:$H$3002,출퇴근기록!$B$3:$B$3002,$A290,출퇴근기록!$I$3:$I$3002,"휴일",출퇴근기록!$A$3:$A$3002,"&gt;="&amp;DATE($B$3,$D$3,1),출퇴근기록!$A$3:$A$3002,"&lt;="&amp;EOMONTH(DATE($B$3,$D$3,1),0)),2))</f>
        <v/>
      </c>
      <c r="G290" s="16" t="str">
        <f aca="false">IF($A290="","",ROUND(SUMIFS(출퇴근기록!$H$3:$H$3002,출퇴근기록!$B$3:$B$3002,$A290,출퇴근기록!$A$3:$A$3002,"&gt;="&amp;DATE($B$3,$D$3,1),출퇴근기록!$A$3:$A$3002,"&lt;="&amp;EOMONTH(DATE($B$3,$D$3,1),0)),2))</f>
        <v/>
      </c>
      <c r="H290" s="16" t="str">
        <f aca="false">IF($A290="","",ROUND($D290*IF(직원목록!$F287="",8,직원목록!$F287),2))</f>
        <v/>
      </c>
      <c r="I290" s="16" t="str">
        <f aca="false">IF($A290="","",ROUND($G290-$H290,2))</f>
        <v/>
      </c>
      <c r="J290" s="19" t="str">
        <f aca="false">IF($A290="","",COUNTIFS(출퇴근기록!$B$3:$B$3002,$A290,출퇴근기록!$I$3:$I$3002,"연차",출퇴근기록!$A$3:$A$3002,"&gt;="&amp;DATE($B$3,$D$3,1),출퇴근기록!$A$3:$A$3002,"&lt;="&amp;EOMONTH(DATE($B$3,$D$3,1),0)))</f>
        <v/>
      </c>
      <c r="K290" s="19" t="str">
        <f aca="false">IF($A290="","",COUNTIFS(출퇴근기록!$B$3:$B$3002,$A290,출퇴근기록!$I$3:$I$3002,"결근",출퇴근기록!$A$3:$A$3002,"&gt;="&amp;DATE($B$3,$D$3,1),출퇴근기록!$A$3:$A$3002,"&lt;="&amp;EOMONTH(DATE($B$3,$D$3,1),0)))</f>
        <v/>
      </c>
    </row>
    <row r="291" customFormat="false" ht="15" hidden="false" customHeight="true" outlineLevel="0" collapsed="false">
      <c r="A291" s="13" t="str">
        <f aca="false">IF(직원목록!$A288="","",직원목록!$A288)</f>
        <v/>
      </c>
      <c r="B291" s="13" t="str">
        <f aca="false">IF($A291="","",직원목록!$B288)</f>
        <v/>
      </c>
      <c r="C291" s="13" t="str">
        <f aca="false">IF($A291="","",직원목록!$C288)</f>
        <v/>
      </c>
      <c r="D291" s="19" t="str">
        <f aca="false">IF($A291="","",COUNTIFS(출퇴근기록!$B$3:$B$3002,$A291,출퇴근기록!$H$3:$H$3002,"&gt;0",출퇴근기록!$A$3:$A$3002,"&gt;="&amp;DATE($B$3,$D$3,1),출퇴근기록!$A$3:$A$3002,"&lt;="&amp;EOMONTH(DATE($B$3,$D$3,1),0)))</f>
        <v/>
      </c>
      <c r="E291" s="16" t="str">
        <f aca="false">IF($A291="","",ROUND(SUMIFS(출퇴근기록!$H$3:$H$3002,출퇴근기록!$B$3:$B$3002,$A291,출퇴근기록!$I$3:$I$3002,"평일",출퇴근기록!$A$3:$A$3002,"&gt;="&amp;DATE($B$3,$D$3,1),출퇴근기록!$A$3:$A$3002,"&lt;="&amp;EOMONTH(DATE($B$3,$D$3,1),0)),2))</f>
        <v/>
      </c>
      <c r="F291" s="16" t="str">
        <f aca="false">IF($A291="","",ROUND(SUMIFS(출퇴근기록!$H$3:$H$3002,출퇴근기록!$B$3:$B$3002,$A291,출퇴근기록!$I$3:$I$3002,"휴일",출퇴근기록!$A$3:$A$3002,"&gt;="&amp;DATE($B$3,$D$3,1),출퇴근기록!$A$3:$A$3002,"&lt;="&amp;EOMONTH(DATE($B$3,$D$3,1),0)),2))</f>
        <v/>
      </c>
      <c r="G291" s="16" t="str">
        <f aca="false">IF($A291="","",ROUND(SUMIFS(출퇴근기록!$H$3:$H$3002,출퇴근기록!$B$3:$B$3002,$A291,출퇴근기록!$A$3:$A$3002,"&gt;="&amp;DATE($B$3,$D$3,1),출퇴근기록!$A$3:$A$3002,"&lt;="&amp;EOMONTH(DATE($B$3,$D$3,1),0)),2))</f>
        <v/>
      </c>
      <c r="H291" s="16" t="str">
        <f aca="false">IF($A291="","",ROUND($D291*IF(직원목록!$F288="",8,직원목록!$F288),2))</f>
        <v/>
      </c>
      <c r="I291" s="16" t="str">
        <f aca="false">IF($A291="","",ROUND($G291-$H291,2))</f>
        <v/>
      </c>
      <c r="J291" s="19" t="str">
        <f aca="false">IF($A291="","",COUNTIFS(출퇴근기록!$B$3:$B$3002,$A291,출퇴근기록!$I$3:$I$3002,"연차",출퇴근기록!$A$3:$A$3002,"&gt;="&amp;DATE($B$3,$D$3,1),출퇴근기록!$A$3:$A$3002,"&lt;="&amp;EOMONTH(DATE($B$3,$D$3,1),0)))</f>
        <v/>
      </c>
      <c r="K291" s="19" t="str">
        <f aca="false">IF($A291="","",COUNTIFS(출퇴근기록!$B$3:$B$3002,$A291,출퇴근기록!$I$3:$I$3002,"결근",출퇴근기록!$A$3:$A$3002,"&gt;="&amp;DATE($B$3,$D$3,1),출퇴근기록!$A$3:$A$3002,"&lt;="&amp;EOMONTH(DATE($B$3,$D$3,1),0)))</f>
        <v/>
      </c>
    </row>
    <row r="292" customFormat="false" ht="15" hidden="false" customHeight="true" outlineLevel="0" collapsed="false">
      <c r="A292" s="13" t="str">
        <f aca="false">IF(직원목록!$A289="","",직원목록!$A289)</f>
        <v/>
      </c>
      <c r="B292" s="13" t="str">
        <f aca="false">IF($A292="","",직원목록!$B289)</f>
        <v/>
      </c>
      <c r="C292" s="13" t="str">
        <f aca="false">IF($A292="","",직원목록!$C289)</f>
        <v/>
      </c>
      <c r="D292" s="19" t="str">
        <f aca="false">IF($A292="","",COUNTIFS(출퇴근기록!$B$3:$B$3002,$A292,출퇴근기록!$H$3:$H$3002,"&gt;0",출퇴근기록!$A$3:$A$3002,"&gt;="&amp;DATE($B$3,$D$3,1),출퇴근기록!$A$3:$A$3002,"&lt;="&amp;EOMONTH(DATE($B$3,$D$3,1),0)))</f>
        <v/>
      </c>
      <c r="E292" s="16" t="str">
        <f aca="false">IF($A292="","",ROUND(SUMIFS(출퇴근기록!$H$3:$H$3002,출퇴근기록!$B$3:$B$3002,$A292,출퇴근기록!$I$3:$I$3002,"평일",출퇴근기록!$A$3:$A$3002,"&gt;="&amp;DATE($B$3,$D$3,1),출퇴근기록!$A$3:$A$3002,"&lt;="&amp;EOMONTH(DATE($B$3,$D$3,1),0)),2))</f>
        <v/>
      </c>
      <c r="F292" s="16" t="str">
        <f aca="false">IF($A292="","",ROUND(SUMIFS(출퇴근기록!$H$3:$H$3002,출퇴근기록!$B$3:$B$3002,$A292,출퇴근기록!$I$3:$I$3002,"휴일",출퇴근기록!$A$3:$A$3002,"&gt;="&amp;DATE($B$3,$D$3,1),출퇴근기록!$A$3:$A$3002,"&lt;="&amp;EOMONTH(DATE($B$3,$D$3,1),0)),2))</f>
        <v/>
      </c>
      <c r="G292" s="16" t="str">
        <f aca="false">IF($A292="","",ROUND(SUMIFS(출퇴근기록!$H$3:$H$3002,출퇴근기록!$B$3:$B$3002,$A292,출퇴근기록!$A$3:$A$3002,"&gt;="&amp;DATE($B$3,$D$3,1),출퇴근기록!$A$3:$A$3002,"&lt;="&amp;EOMONTH(DATE($B$3,$D$3,1),0)),2))</f>
        <v/>
      </c>
      <c r="H292" s="16" t="str">
        <f aca="false">IF($A292="","",ROUND($D292*IF(직원목록!$F289="",8,직원목록!$F289),2))</f>
        <v/>
      </c>
      <c r="I292" s="16" t="str">
        <f aca="false">IF($A292="","",ROUND($G292-$H292,2))</f>
        <v/>
      </c>
      <c r="J292" s="19" t="str">
        <f aca="false">IF($A292="","",COUNTIFS(출퇴근기록!$B$3:$B$3002,$A292,출퇴근기록!$I$3:$I$3002,"연차",출퇴근기록!$A$3:$A$3002,"&gt;="&amp;DATE($B$3,$D$3,1),출퇴근기록!$A$3:$A$3002,"&lt;="&amp;EOMONTH(DATE($B$3,$D$3,1),0)))</f>
        <v/>
      </c>
      <c r="K292" s="19" t="str">
        <f aca="false">IF($A292="","",COUNTIFS(출퇴근기록!$B$3:$B$3002,$A292,출퇴근기록!$I$3:$I$3002,"결근",출퇴근기록!$A$3:$A$3002,"&gt;="&amp;DATE($B$3,$D$3,1),출퇴근기록!$A$3:$A$3002,"&lt;="&amp;EOMONTH(DATE($B$3,$D$3,1),0)))</f>
        <v/>
      </c>
    </row>
    <row r="293" customFormat="false" ht="15" hidden="false" customHeight="true" outlineLevel="0" collapsed="false">
      <c r="A293" s="13" t="str">
        <f aca="false">IF(직원목록!$A290="","",직원목록!$A290)</f>
        <v/>
      </c>
      <c r="B293" s="13" t="str">
        <f aca="false">IF($A293="","",직원목록!$B290)</f>
        <v/>
      </c>
      <c r="C293" s="13" t="str">
        <f aca="false">IF($A293="","",직원목록!$C290)</f>
        <v/>
      </c>
      <c r="D293" s="19" t="str">
        <f aca="false">IF($A293="","",COUNTIFS(출퇴근기록!$B$3:$B$3002,$A293,출퇴근기록!$H$3:$H$3002,"&gt;0",출퇴근기록!$A$3:$A$3002,"&gt;="&amp;DATE($B$3,$D$3,1),출퇴근기록!$A$3:$A$3002,"&lt;="&amp;EOMONTH(DATE($B$3,$D$3,1),0)))</f>
        <v/>
      </c>
      <c r="E293" s="16" t="str">
        <f aca="false">IF($A293="","",ROUND(SUMIFS(출퇴근기록!$H$3:$H$3002,출퇴근기록!$B$3:$B$3002,$A293,출퇴근기록!$I$3:$I$3002,"평일",출퇴근기록!$A$3:$A$3002,"&gt;="&amp;DATE($B$3,$D$3,1),출퇴근기록!$A$3:$A$3002,"&lt;="&amp;EOMONTH(DATE($B$3,$D$3,1),0)),2))</f>
        <v/>
      </c>
      <c r="F293" s="16" t="str">
        <f aca="false">IF($A293="","",ROUND(SUMIFS(출퇴근기록!$H$3:$H$3002,출퇴근기록!$B$3:$B$3002,$A293,출퇴근기록!$I$3:$I$3002,"휴일",출퇴근기록!$A$3:$A$3002,"&gt;="&amp;DATE($B$3,$D$3,1),출퇴근기록!$A$3:$A$3002,"&lt;="&amp;EOMONTH(DATE($B$3,$D$3,1),0)),2))</f>
        <v/>
      </c>
      <c r="G293" s="16" t="str">
        <f aca="false">IF($A293="","",ROUND(SUMIFS(출퇴근기록!$H$3:$H$3002,출퇴근기록!$B$3:$B$3002,$A293,출퇴근기록!$A$3:$A$3002,"&gt;="&amp;DATE($B$3,$D$3,1),출퇴근기록!$A$3:$A$3002,"&lt;="&amp;EOMONTH(DATE($B$3,$D$3,1),0)),2))</f>
        <v/>
      </c>
      <c r="H293" s="16" t="str">
        <f aca="false">IF($A293="","",ROUND($D293*IF(직원목록!$F290="",8,직원목록!$F290),2))</f>
        <v/>
      </c>
      <c r="I293" s="16" t="str">
        <f aca="false">IF($A293="","",ROUND($G293-$H293,2))</f>
        <v/>
      </c>
      <c r="J293" s="19" t="str">
        <f aca="false">IF($A293="","",COUNTIFS(출퇴근기록!$B$3:$B$3002,$A293,출퇴근기록!$I$3:$I$3002,"연차",출퇴근기록!$A$3:$A$3002,"&gt;="&amp;DATE($B$3,$D$3,1),출퇴근기록!$A$3:$A$3002,"&lt;="&amp;EOMONTH(DATE($B$3,$D$3,1),0)))</f>
        <v/>
      </c>
      <c r="K293" s="19" t="str">
        <f aca="false">IF($A293="","",COUNTIFS(출퇴근기록!$B$3:$B$3002,$A293,출퇴근기록!$I$3:$I$3002,"결근",출퇴근기록!$A$3:$A$3002,"&gt;="&amp;DATE($B$3,$D$3,1),출퇴근기록!$A$3:$A$3002,"&lt;="&amp;EOMONTH(DATE($B$3,$D$3,1),0)))</f>
        <v/>
      </c>
    </row>
    <row r="294" customFormat="false" ht="15" hidden="false" customHeight="true" outlineLevel="0" collapsed="false">
      <c r="A294" s="13" t="str">
        <f aca="false">IF(직원목록!$A291="","",직원목록!$A291)</f>
        <v/>
      </c>
      <c r="B294" s="13" t="str">
        <f aca="false">IF($A294="","",직원목록!$B291)</f>
        <v/>
      </c>
      <c r="C294" s="13" t="str">
        <f aca="false">IF($A294="","",직원목록!$C291)</f>
        <v/>
      </c>
      <c r="D294" s="19" t="str">
        <f aca="false">IF($A294="","",COUNTIFS(출퇴근기록!$B$3:$B$3002,$A294,출퇴근기록!$H$3:$H$3002,"&gt;0",출퇴근기록!$A$3:$A$3002,"&gt;="&amp;DATE($B$3,$D$3,1),출퇴근기록!$A$3:$A$3002,"&lt;="&amp;EOMONTH(DATE($B$3,$D$3,1),0)))</f>
        <v/>
      </c>
      <c r="E294" s="16" t="str">
        <f aca="false">IF($A294="","",ROUND(SUMIFS(출퇴근기록!$H$3:$H$3002,출퇴근기록!$B$3:$B$3002,$A294,출퇴근기록!$I$3:$I$3002,"평일",출퇴근기록!$A$3:$A$3002,"&gt;="&amp;DATE($B$3,$D$3,1),출퇴근기록!$A$3:$A$3002,"&lt;="&amp;EOMONTH(DATE($B$3,$D$3,1),0)),2))</f>
        <v/>
      </c>
      <c r="F294" s="16" t="str">
        <f aca="false">IF($A294="","",ROUND(SUMIFS(출퇴근기록!$H$3:$H$3002,출퇴근기록!$B$3:$B$3002,$A294,출퇴근기록!$I$3:$I$3002,"휴일",출퇴근기록!$A$3:$A$3002,"&gt;="&amp;DATE($B$3,$D$3,1),출퇴근기록!$A$3:$A$3002,"&lt;="&amp;EOMONTH(DATE($B$3,$D$3,1),0)),2))</f>
        <v/>
      </c>
      <c r="G294" s="16" t="str">
        <f aca="false">IF($A294="","",ROUND(SUMIFS(출퇴근기록!$H$3:$H$3002,출퇴근기록!$B$3:$B$3002,$A294,출퇴근기록!$A$3:$A$3002,"&gt;="&amp;DATE($B$3,$D$3,1),출퇴근기록!$A$3:$A$3002,"&lt;="&amp;EOMONTH(DATE($B$3,$D$3,1),0)),2))</f>
        <v/>
      </c>
      <c r="H294" s="16" t="str">
        <f aca="false">IF($A294="","",ROUND($D294*IF(직원목록!$F291="",8,직원목록!$F291),2))</f>
        <v/>
      </c>
      <c r="I294" s="16" t="str">
        <f aca="false">IF($A294="","",ROUND($G294-$H294,2))</f>
        <v/>
      </c>
      <c r="J294" s="19" t="str">
        <f aca="false">IF($A294="","",COUNTIFS(출퇴근기록!$B$3:$B$3002,$A294,출퇴근기록!$I$3:$I$3002,"연차",출퇴근기록!$A$3:$A$3002,"&gt;="&amp;DATE($B$3,$D$3,1),출퇴근기록!$A$3:$A$3002,"&lt;="&amp;EOMONTH(DATE($B$3,$D$3,1),0)))</f>
        <v/>
      </c>
      <c r="K294" s="19" t="str">
        <f aca="false">IF($A294="","",COUNTIFS(출퇴근기록!$B$3:$B$3002,$A294,출퇴근기록!$I$3:$I$3002,"결근",출퇴근기록!$A$3:$A$3002,"&gt;="&amp;DATE($B$3,$D$3,1),출퇴근기록!$A$3:$A$3002,"&lt;="&amp;EOMONTH(DATE($B$3,$D$3,1),0)))</f>
        <v/>
      </c>
    </row>
    <row r="295" customFormat="false" ht="15" hidden="false" customHeight="true" outlineLevel="0" collapsed="false">
      <c r="A295" s="13" t="str">
        <f aca="false">IF(직원목록!$A292="","",직원목록!$A292)</f>
        <v/>
      </c>
      <c r="B295" s="13" t="str">
        <f aca="false">IF($A295="","",직원목록!$B292)</f>
        <v/>
      </c>
      <c r="C295" s="13" t="str">
        <f aca="false">IF($A295="","",직원목록!$C292)</f>
        <v/>
      </c>
      <c r="D295" s="19" t="str">
        <f aca="false">IF($A295="","",COUNTIFS(출퇴근기록!$B$3:$B$3002,$A295,출퇴근기록!$H$3:$H$3002,"&gt;0",출퇴근기록!$A$3:$A$3002,"&gt;="&amp;DATE($B$3,$D$3,1),출퇴근기록!$A$3:$A$3002,"&lt;="&amp;EOMONTH(DATE($B$3,$D$3,1),0)))</f>
        <v/>
      </c>
      <c r="E295" s="16" t="str">
        <f aca="false">IF($A295="","",ROUND(SUMIFS(출퇴근기록!$H$3:$H$3002,출퇴근기록!$B$3:$B$3002,$A295,출퇴근기록!$I$3:$I$3002,"평일",출퇴근기록!$A$3:$A$3002,"&gt;="&amp;DATE($B$3,$D$3,1),출퇴근기록!$A$3:$A$3002,"&lt;="&amp;EOMONTH(DATE($B$3,$D$3,1),0)),2))</f>
        <v/>
      </c>
      <c r="F295" s="16" t="str">
        <f aca="false">IF($A295="","",ROUND(SUMIFS(출퇴근기록!$H$3:$H$3002,출퇴근기록!$B$3:$B$3002,$A295,출퇴근기록!$I$3:$I$3002,"휴일",출퇴근기록!$A$3:$A$3002,"&gt;="&amp;DATE($B$3,$D$3,1),출퇴근기록!$A$3:$A$3002,"&lt;="&amp;EOMONTH(DATE($B$3,$D$3,1),0)),2))</f>
        <v/>
      </c>
      <c r="G295" s="16" t="str">
        <f aca="false">IF($A295="","",ROUND(SUMIFS(출퇴근기록!$H$3:$H$3002,출퇴근기록!$B$3:$B$3002,$A295,출퇴근기록!$A$3:$A$3002,"&gt;="&amp;DATE($B$3,$D$3,1),출퇴근기록!$A$3:$A$3002,"&lt;="&amp;EOMONTH(DATE($B$3,$D$3,1),0)),2))</f>
        <v/>
      </c>
      <c r="H295" s="16" t="str">
        <f aca="false">IF($A295="","",ROUND($D295*IF(직원목록!$F292="",8,직원목록!$F292),2))</f>
        <v/>
      </c>
      <c r="I295" s="16" t="str">
        <f aca="false">IF($A295="","",ROUND($G295-$H295,2))</f>
        <v/>
      </c>
      <c r="J295" s="19" t="str">
        <f aca="false">IF($A295="","",COUNTIFS(출퇴근기록!$B$3:$B$3002,$A295,출퇴근기록!$I$3:$I$3002,"연차",출퇴근기록!$A$3:$A$3002,"&gt;="&amp;DATE($B$3,$D$3,1),출퇴근기록!$A$3:$A$3002,"&lt;="&amp;EOMONTH(DATE($B$3,$D$3,1),0)))</f>
        <v/>
      </c>
      <c r="K295" s="19" t="str">
        <f aca="false">IF($A295="","",COUNTIFS(출퇴근기록!$B$3:$B$3002,$A295,출퇴근기록!$I$3:$I$3002,"결근",출퇴근기록!$A$3:$A$3002,"&gt;="&amp;DATE($B$3,$D$3,1),출퇴근기록!$A$3:$A$3002,"&lt;="&amp;EOMONTH(DATE($B$3,$D$3,1),0)))</f>
        <v/>
      </c>
    </row>
    <row r="296" customFormat="false" ht="15" hidden="false" customHeight="true" outlineLevel="0" collapsed="false">
      <c r="A296" s="13" t="str">
        <f aca="false">IF(직원목록!$A293="","",직원목록!$A293)</f>
        <v/>
      </c>
      <c r="B296" s="13" t="str">
        <f aca="false">IF($A296="","",직원목록!$B293)</f>
        <v/>
      </c>
      <c r="C296" s="13" t="str">
        <f aca="false">IF($A296="","",직원목록!$C293)</f>
        <v/>
      </c>
      <c r="D296" s="19" t="str">
        <f aca="false">IF($A296="","",COUNTIFS(출퇴근기록!$B$3:$B$3002,$A296,출퇴근기록!$H$3:$H$3002,"&gt;0",출퇴근기록!$A$3:$A$3002,"&gt;="&amp;DATE($B$3,$D$3,1),출퇴근기록!$A$3:$A$3002,"&lt;="&amp;EOMONTH(DATE($B$3,$D$3,1),0)))</f>
        <v/>
      </c>
      <c r="E296" s="16" t="str">
        <f aca="false">IF($A296="","",ROUND(SUMIFS(출퇴근기록!$H$3:$H$3002,출퇴근기록!$B$3:$B$3002,$A296,출퇴근기록!$I$3:$I$3002,"평일",출퇴근기록!$A$3:$A$3002,"&gt;="&amp;DATE($B$3,$D$3,1),출퇴근기록!$A$3:$A$3002,"&lt;="&amp;EOMONTH(DATE($B$3,$D$3,1),0)),2))</f>
        <v/>
      </c>
      <c r="F296" s="16" t="str">
        <f aca="false">IF($A296="","",ROUND(SUMIFS(출퇴근기록!$H$3:$H$3002,출퇴근기록!$B$3:$B$3002,$A296,출퇴근기록!$I$3:$I$3002,"휴일",출퇴근기록!$A$3:$A$3002,"&gt;="&amp;DATE($B$3,$D$3,1),출퇴근기록!$A$3:$A$3002,"&lt;="&amp;EOMONTH(DATE($B$3,$D$3,1),0)),2))</f>
        <v/>
      </c>
      <c r="G296" s="16" t="str">
        <f aca="false">IF($A296="","",ROUND(SUMIFS(출퇴근기록!$H$3:$H$3002,출퇴근기록!$B$3:$B$3002,$A296,출퇴근기록!$A$3:$A$3002,"&gt;="&amp;DATE($B$3,$D$3,1),출퇴근기록!$A$3:$A$3002,"&lt;="&amp;EOMONTH(DATE($B$3,$D$3,1),0)),2))</f>
        <v/>
      </c>
      <c r="H296" s="16" t="str">
        <f aca="false">IF($A296="","",ROUND($D296*IF(직원목록!$F293="",8,직원목록!$F293),2))</f>
        <v/>
      </c>
      <c r="I296" s="16" t="str">
        <f aca="false">IF($A296="","",ROUND($G296-$H296,2))</f>
        <v/>
      </c>
      <c r="J296" s="19" t="str">
        <f aca="false">IF($A296="","",COUNTIFS(출퇴근기록!$B$3:$B$3002,$A296,출퇴근기록!$I$3:$I$3002,"연차",출퇴근기록!$A$3:$A$3002,"&gt;="&amp;DATE($B$3,$D$3,1),출퇴근기록!$A$3:$A$3002,"&lt;="&amp;EOMONTH(DATE($B$3,$D$3,1),0)))</f>
        <v/>
      </c>
      <c r="K296" s="19" t="str">
        <f aca="false">IF($A296="","",COUNTIFS(출퇴근기록!$B$3:$B$3002,$A296,출퇴근기록!$I$3:$I$3002,"결근",출퇴근기록!$A$3:$A$3002,"&gt;="&amp;DATE($B$3,$D$3,1),출퇴근기록!$A$3:$A$3002,"&lt;="&amp;EOMONTH(DATE($B$3,$D$3,1),0)))</f>
        <v/>
      </c>
    </row>
    <row r="297" customFormat="false" ht="15" hidden="false" customHeight="true" outlineLevel="0" collapsed="false">
      <c r="A297" s="13" t="str">
        <f aca="false">IF(직원목록!$A294="","",직원목록!$A294)</f>
        <v/>
      </c>
      <c r="B297" s="13" t="str">
        <f aca="false">IF($A297="","",직원목록!$B294)</f>
        <v/>
      </c>
      <c r="C297" s="13" t="str">
        <f aca="false">IF($A297="","",직원목록!$C294)</f>
        <v/>
      </c>
      <c r="D297" s="19" t="str">
        <f aca="false">IF($A297="","",COUNTIFS(출퇴근기록!$B$3:$B$3002,$A297,출퇴근기록!$H$3:$H$3002,"&gt;0",출퇴근기록!$A$3:$A$3002,"&gt;="&amp;DATE($B$3,$D$3,1),출퇴근기록!$A$3:$A$3002,"&lt;="&amp;EOMONTH(DATE($B$3,$D$3,1),0)))</f>
        <v/>
      </c>
      <c r="E297" s="16" t="str">
        <f aca="false">IF($A297="","",ROUND(SUMIFS(출퇴근기록!$H$3:$H$3002,출퇴근기록!$B$3:$B$3002,$A297,출퇴근기록!$I$3:$I$3002,"평일",출퇴근기록!$A$3:$A$3002,"&gt;="&amp;DATE($B$3,$D$3,1),출퇴근기록!$A$3:$A$3002,"&lt;="&amp;EOMONTH(DATE($B$3,$D$3,1),0)),2))</f>
        <v/>
      </c>
      <c r="F297" s="16" t="str">
        <f aca="false">IF($A297="","",ROUND(SUMIFS(출퇴근기록!$H$3:$H$3002,출퇴근기록!$B$3:$B$3002,$A297,출퇴근기록!$I$3:$I$3002,"휴일",출퇴근기록!$A$3:$A$3002,"&gt;="&amp;DATE($B$3,$D$3,1),출퇴근기록!$A$3:$A$3002,"&lt;="&amp;EOMONTH(DATE($B$3,$D$3,1),0)),2))</f>
        <v/>
      </c>
      <c r="G297" s="16" t="str">
        <f aca="false">IF($A297="","",ROUND(SUMIFS(출퇴근기록!$H$3:$H$3002,출퇴근기록!$B$3:$B$3002,$A297,출퇴근기록!$A$3:$A$3002,"&gt;="&amp;DATE($B$3,$D$3,1),출퇴근기록!$A$3:$A$3002,"&lt;="&amp;EOMONTH(DATE($B$3,$D$3,1),0)),2))</f>
        <v/>
      </c>
      <c r="H297" s="16" t="str">
        <f aca="false">IF($A297="","",ROUND($D297*IF(직원목록!$F294="",8,직원목록!$F294),2))</f>
        <v/>
      </c>
      <c r="I297" s="16" t="str">
        <f aca="false">IF($A297="","",ROUND($G297-$H297,2))</f>
        <v/>
      </c>
      <c r="J297" s="19" t="str">
        <f aca="false">IF($A297="","",COUNTIFS(출퇴근기록!$B$3:$B$3002,$A297,출퇴근기록!$I$3:$I$3002,"연차",출퇴근기록!$A$3:$A$3002,"&gt;="&amp;DATE($B$3,$D$3,1),출퇴근기록!$A$3:$A$3002,"&lt;="&amp;EOMONTH(DATE($B$3,$D$3,1),0)))</f>
        <v/>
      </c>
      <c r="K297" s="19" t="str">
        <f aca="false">IF($A297="","",COUNTIFS(출퇴근기록!$B$3:$B$3002,$A297,출퇴근기록!$I$3:$I$3002,"결근",출퇴근기록!$A$3:$A$3002,"&gt;="&amp;DATE($B$3,$D$3,1),출퇴근기록!$A$3:$A$3002,"&lt;="&amp;EOMONTH(DATE($B$3,$D$3,1),0)))</f>
        <v/>
      </c>
    </row>
    <row r="298" customFormat="false" ht="15" hidden="false" customHeight="true" outlineLevel="0" collapsed="false">
      <c r="A298" s="13" t="str">
        <f aca="false">IF(직원목록!$A295="","",직원목록!$A295)</f>
        <v/>
      </c>
      <c r="B298" s="13" t="str">
        <f aca="false">IF($A298="","",직원목록!$B295)</f>
        <v/>
      </c>
      <c r="C298" s="13" t="str">
        <f aca="false">IF($A298="","",직원목록!$C295)</f>
        <v/>
      </c>
      <c r="D298" s="19" t="str">
        <f aca="false">IF($A298="","",COUNTIFS(출퇴근기록!$B$3:$B$3002,$A298,출퇴근기록!$H$3:$H$3002,"&gt;0",출퇴근기록!$A$3:$A$3002,"&gt;="&amp;DATE($B$3,$D$3,1),출퇴근기록!$A$3:$A$3002,"&lt;="&amp;EOMONTH(DATE($B$3,$D$3,1),0)))</f>
        <v/>
      </c>
      <c r="E298" s="16" t="str">
        <f aca="false">IF($A298="","",ROUND(SUMIFS(출퇴근기록!$H$3:$H$3002,출퇴근기록!$B$3:$B$3002,$A298,출퇴근기록!$I$3:$I$3002,"평일",출퇴근기록!$A$3:$A$3002,"&gt;="&amp;DATE($B$3,$D$3,1),출퇴근기록!$A$3:$A$3002,"&lt;="&amp;EOMONTH(DATE($B$3,$D$3,1),0)),2))</f>
        <v/>
      </c>
      <c r="F298" s="16" t="str">
        <f aca="false">IF($A298="","",ROUND(SUMIFS(출퇴근기록!$H$3:$H$3002,출퇴근기록!$B$3:$B$3002,$A298,출퇴근기록!$I$3:$I$3002,"휴일",출퇴근기록!$A$3:$A$3002,"&gt;="&amp;DATE($B$3,$D$3,1),출퇴근기록!$A$3:$A$3002,"&lt;="&amp;EOMONTH(DATE($B$3,$D$3,1),0)),2))</f>
        <v/>
      </c>
      <c r="G298" s="16" t="str">
        <f aca="false">IF($A298="","",ROUND(SUMIFS(출퇴근기록!$H$3:$H$3002,출퇴근기록!$B$3:$B$3002,$A298,출퇴근기록!$A$3:$A$3002,"&gt;="&amp;DATE($B$3,$D$3,1),출퇴근기록!$A$3:$A$3002,"&lt;="&amp;EOMONTH(DATE($B$3,$D$3,1),0)),2))</f>
        <v/>
      </c>
      <c r="H298" s="16" t="str">
        <f aca="false">IF($A298="","",ROUND($D298*IF(직원목록!$F295="",8,직원목록!$F295),2))</f>
        <v/>
      </c>
      <c r="I298" s="16" t="str">
        <f aca="false">IF($A298="","",ROUND($G298-$H298,2))</f>
        <v/>
      </c>
      <c r="J298" s="19" t="str">
        <f aca="false">IF($A298="","",COUNTIFS(출퇴근기록!$B$3:$B$3002,$A298,출퇴근기록!$I$3:$I$3002,"연차",출퇴근기록!$A$3:$A$3002,"&gt;="&amp;DATE($B$3,$D$3,1),출퇴근기록!$A$3:$A$3002,"&lt;="&amp;EOMONTH(DATE($B$3,$D$3,1),0)))</f>
        <v/>
      </c>
      <c r="K298" s="19" t="str">
        <f aca="false">IF($A298="","",COUNTIFS(출퇴근기록!$B$3:$B$3002,$A298,출퇴근기록!$I$3:$I$3002,"결근",출퇴근기록!$A$3:$A$3002,"&gt;="&amp;DATE($B$3,$D$3,1),출퇴근기록!$A$3:$A$3002,"&lt;="&amp;EOMONTH(DATE($B$3,$D$3,1),0)))</f>
        <v/>
      </c>
    </row>
    <row r="299" customFormat="false" ht="15" hidden="false" customHeight="true" outlineLevel="0" collapsed="false">
      <c r="A299" s="13" t="str">
        <f aca="false">IF(직원목록!$A296="","",직원목록!$A296)</f>
        <v/>
      </c>
      <c r="B299" s="13" t="str">
        <f aca="false">IF($A299="","",직원목록!$B296)</f>
        <v/>
      </c>
      <c r="C299" s="13" t="str">
        <f aca="false">IF($A299="","",직원목록!$C296)</f>
        <v/>
      </c>
      <c r="D299" s="19" t="str">
        <f aca="false">IF($A299="","",COUNTIFS(출퇴근기록!$B$3:$B$3002,$A299,출퇴근기록!$H$3:$H$3002,"&gt;0",출퇴근기록!$A$3:$A$3002,"&gt;="&amp;DATE($B$3,$D$3,1),출퇴근기록!$A$3:$A$3002,"&lt;="&amp;EOMONTH(DATE($B$3,$D$3,1),0)))</f>
        <v/>
      </c>
      <c r="E299" s="16" t="str">
        <f aca="false">IF($A299="","",ROUND(SUMIFS(출퇴근기록!$H$3:$H$3002,출퇴근기록!$B$3:$B$3002,$A299,출퇴근기록!$I$3:$I$3002,"평일",출퇴근기록!$A$3:$A$3002,"&gt;="&amp;DATE($B$3,$D$3,1),출퇴근기록!$A$3:$A$3002,"&lt;="&amp;EOMONTH(DATE($B$3,$D$3,1),0)),2))</f>
        <v/>
      </c>
      <c r="F299" s="16" t="str">
        <f aca="false">IF($A299="","",ROUND(SUMIFS(출퇴근기록!$H$3:$H$3002,출퇴근기록!$B$3:$B$3002,$A299,출퇴근기록!$I$3:$I$3002,"휴일",출퇴근기록!$A$3:$A$3002,"&gt;="&amp;DATE($B$3,$D$3,1),출퇴근기록!$A$3:$A$3002,"&lt;="&amp;EOMONTH(DATE($B$3,$D$3,1),0)),2))</f>
        <v/>
      </c>
      <c r="G299" s="16" t="str">
        <f aca="false">IF($A299="","",ROUND(SUMIFS(출퇴근기록!$H$3:$H$3002,출퇴근기록!$B$3:$B$3002,$A299,출퇴근기록!$A$3:$A$3002,"&gt;="&amp;DATE($B$3,$D$3,1),출퇴근기록!$A$3:$A$3002,"&lt;="&amp;EOMONTH(DATE($B$3,$D$3,1),0)),2))</f>
        <v/>
      </c>
      <c r="H299" s="16" t="str">
        <f aca="false">IF($A299="","",ROUND($D299*IF(직원목록!$F296="",8,직원목록!$F296),2))</f>
        <v/>
      </c>
      <c r="I299" s="16" t="str">
        <f aca="false">IF($A299="","",ROUND($G299-$H299,2))</f>
        <v/>
      </c>
      <c r="J299" s="19" t="str">
        <f aca="false">IF($A299="","",COUNTIFS(출퇴근기록!$B$3:$B$3002,$A299,출퇴근기록!$I$3:$I$3002,"연차",출퇴근기록!$A$3:$A$3002,"&gt;="&amp;DATE($B$3,$D$3,1),출퇴근기록!$A$3:$A$3002,"&lt;="&amp;EOMONTH(DATE($B$3,$D$3,1),0)))</f>
        <v/>
      </c>
      <c r="K299" s="19" t="str">
        <f aca="false">IF($A299="","",COUNTIFS(출퇴근기록!$B$3:$B$3002,$A299,출퇴근기록!$I$3:$I$3002,"결근",출퇴근기록!$A$3:$A$3002,"&gt;="&amp;DATE($B$3,$D$3,1),출퇴근기록!$A$3:$A$3002,"&lt;="&amp;EOMONTH(DATE($B$3,$D$3,1),0)))</f>
        <v/>
      </c>
    </row>
    <row r="300" customFormat="false" ht="15" hidden="false" customHeight="true" outlineLevel="0" collapsed="false">
      <c r="A300" s="13" t="str">
        <f aca="false">IF(직원목록!$A297="","",직원목록!$A297)</f>
        <v/>
      </c>
      <c r="B300" s="13" t="str">
        <f aca="false">IF($A300="","",직원목록!$B297)</f>
        <v/>
      </c>
      <c r="C300" s="13" t="str">
        <f aca="false">IF($A300="","",직원목록!$C297)</f>
        <v/>
      </c>
      <c r="D300" s="19" t="str">
        <f aca="false">IF($A300="","",COUNTIFS(출퇴근기록!$B$3:$B$3002,$A300,출퇴근기록!$H$3:$H$3002,"&gt;0",출퇴근기록!$A$3:$A$3002,"&gt;="&amp;DATE($B$3,$D$3,1),출퇴근기록!$A$3:$A$3002,"&lt;="&amp;EOMONTH(DATE($B$3,$D$3,1),0)))</f>
        <v/>
      </c>
      <c r="E300" s="16" t="str">
        <f aca="false">IF($A300="","",ROUND(SUMIFS(출퇴근기록!$H$3:$H$3002,출퇴근기록!$B$3:$B$3002,$A300,출퇴근기록!$I$3:$I$3002,"평일",출퇴근기록!$A$3:$A$3002,"&gt;="&amp;DATE($B$3,$D$3,1),출퇴근기록!$A$3:$A$3002,"&lt;="&amp;EOMONTH(DATE($B$3,$D$3,1),0)),2))</f>
        <v/>
      </c>
      <c r="F300" s="16" t="str">
        <f aca="false">IF($A300="","",ROUND(SUMIFS(출퇴근기록!$H$3:$H$3002,출퇴근기록!$B$3:$B$3002,$A300,출퇴근기록!$I$3:$I$3002,"휴일",출퇴근기록!$A$3:$A$3002,"&gt;="&amp;DATE($B$3,$D$3,1),출퇴근기록!$A$3:$A$3002,"&lt;="&amp;EOMONTH(DATE($B$3,$D$3,1),0)),2))</f>
        <v/>
      </c>
      <c r="G300" s="16" t="str">
        <f aca="false">IF($A300="","",ROUND(SUMIFS(출퇴근기록!$H$3:$H$3002,출퇴근기록!$B$3:$B$3002,$A300,출퇴근기록!$A$3:$A$3002,"&gt;="&amp;DATE($B$3,$D$3,1),출퇴근기록!$A$3:$A$3002,"&lt;="&amp;EOMONTH(DATE($B$3,$D$3,1),0)),2))</f>
        <v/>
      </c>
      <c r="H300" s="16" t="str">
        <f aca="false">IF($A300="","",ROUND($D300*IF(직원목록!$F297="",8,직원목록!$F297),2))</f>
        <v/>
      </c>
      <c r="I300" s="16" t="str">
        <f aca="false">IF($A300="","",ROUND($G300-$H300,2))</f>
        <v/>
      </c>
      <c r="J300" s="19" t="str">
        <f aca="false">IF($A300="","",COUNTIFS(출퇴근기록!$B$3:$B$3002,$A300,출퇴근기록!$I$3:$I$3002,"연차",출퇴근기록!$A$3:$A$3002,"&gt;="&amp;DATE($B$3,$D$3,1),출퇴근기록!$A$3:$A$3002,"&lt;="&amp;EOMONTH(DATE($B$3,$D$3,1),0)))</f>
        <v/>
      </c>
      <c r="K300" s="19" t="str">
        <f aca="false">IF($A300="","",COUNTIFS(출퇴근기록!$B$3:$B$3002,$A300,출퇴근기록!$I$3:$I$3002,"결근",출퇴근기록!$A$3:$A$3002,"&gt;="&amp;DATE($B$3,$D$3,1),출퇴근기록!$A$3:$A$3002,"&lt;="&amp;EOMONTH(DATE($B$3,$D$3,1),0)))</f>
        <v/>
      </c>
    </row>
    <row r="301" customFormat="false" ht="15" hidden="false" customHeight="true" outlineLevel="0" collapsed="false">
      <c r="A301" s="13" t="str">
        <f aca="false">IF(직원목록!$A298="","",직원목록!$A298)</f>
        <v/>
      </c>
      <c r="B301" s="13" t="str">
        <f aca="false">IF($A301="","",직원목록!$B298)</f>
        <v/>
      </c>
      <c r="C301" s="13" t="str">
        <f aca="false">IF($A301="","",직원목록!$C298)</f>
        <v/>
      </c>
      <c r="D301" s="19" t="str">
        <f aca="false">IF($A301="","",COUNTIFS(출퇴근기록!$B$3:$B$3002,$A301,출퇴근기록!$H$3:$H$3002,"&gt;0",출퇴근기록!$A$3:$A$3002,"&gt;="&amp;DATE($B$3,$D$3,1),출퇴근기록!$A$3:$A$3002,"&lt;="&amp;EOMONTH(DATE($B$3,$D$3,1),0)))</f>
        <v/>
      </c>
      <c r="E301" s="16" t="str">
        <f aca="false">IF($A301="","",ROUND(SUMIFS(출퇴근기록!$H$3:$H$3002,출퇴근기록!$B$3:$B$3002,$A301,출퇴근기록!$I$3:$I$3002,"평일",출퇴근기록!$A$3:$A$3002,"&gt;="&amp;DATE($B$3,$D$3,1),출퇴근기록!$A$3:$A$3002,"&lt;="&amp;EOMONTH(DATE($B$3,$D$3,1),0)),2))</f>
        <v/>
      </c>
      <c r="F301" s="16" t="str">
        <f aca="false">IF($A301="","",ROUND(SUMIFS(출퇴근기록!$H$3:$H$3002,출퇴근기록!$B$3:$B$3002,$A301,출퇴근기록!$I$3:$I$3002,"휴일",출퇴근기록!$A$3:$A$3002,"&gt;="&amp;DATE($B$3,$D$3,1),출퇴근기록!$A$3:$A$3002,"&lt;="&amp;EOMONTH(DATE($B$3,$D$3,1),0)),2))</f>
        <v/>
      </c>
      <c r="G301" s="16" t="str">
        <f aca="false">IF($A301="","",ROUND(SUMIFS(출퇴근기록!$H$3:$H$3002,출퇴근기록!$B$3:$B$3002,$A301,출퇴근기록!$A$3:$A$3002,"&gt;="&amp;DATE($B$3,$D$3,1),출퇴근기록!$A$3:$A$3002,"&lt;="&amp;EOMONTH(DATE($B$3,$D$3,1),0)),2))</f>
        <v/>
      </c>
      <c r="H301" s="16" t="str">
        <f aca="false">IF($A301="","",ROUND($D301*IF(직원목록!$F298="",8,직원목록!$F298),2))</f>
        <v/>
      </c>
      <c r="I301" s="16" t="str">
        <f aca="false">IF($A301="","",ROUND($G301-$H301,2))</f>
        <v/>
      </c>
      <c r="J301" s="19" t="str">
        <f aca="false">IF($A301="","",COUNTIFS(출퇴근기록!$B$3:$B$3002,$A301,출퇴근기록!$I$3:$I$3002,"연차",출퇴근기록!$A$3:$A$3002,"&gt;="&amp;DATE($B$3,$D$3,1),출퇴근기록!$A$3:$A$3002,"&lt;="&amp;EOMONTH(DATE($B$3,$D$3,1),0)))</f>
        <v/>
      </c>
      <c r="K301" s="19" t="str">
        <f aca="false">IF($A301="","",COUNTIFS(출퇴근기록!$B$3:$B$3002,$A301,출퇴근기록!$I$3:$I$3002,"결근",출퇴근기록!$A$3:$A$3002,"&gt;="&amp;DATE($B$3,$D$3,1),출퇴근기록!$A$3:$A$3002,"&lt;="&amp;EOMONTH(DATE($B$3,$D$3,1),0)))</f>
        <v/>
      </c>
    </row>
    <row r="302" customFormat="false" ht="15" hidden="false" customHeight="true" outlineLevel="0" collapsed="false">
      <c r="A302" s="13" t="str">
        <f aca="false">IF(직원목록!$A299="","",직원목록!$A299)</f>
        <v/>
      </c>
      <c r="B302" s="13" t="str">
        <f aca="false">IF($A302="","",직원목록!$B299)</f>
        <v/>
      </c>
      <c r="C302" s="13" t="str">
        <f aca="false">IF($A302="","",직원목록!$C299)</f>
        <v/>
      </c>
      <c r="D302" s="19" t="str">
        <f aca="false">IF($A302="","",COUNTIFS(출퇴근기록!$B$3:$B$3002,$A302,출퇴근기록!$H$3:$H$3002,"&gt;0",출퇴근기록!$A$3:$A$3002,"&gt;="&amp;DATE($B$3,$D$3,1),출퇴근기록!$A$3:$A$3002,"&lt;="&amp;EOMONTH(DATE($B$3,$D$3,1),0)))</f>
        <v/>
      </c>
      <c r="E302" s="16" t="str">
        <f aca="false">IF($A302="","",ROUND(SUMIFS(출퇴근기록!$H$3:$H$3002,출퇴근기록!$B$3:$B$3002,$A302,출퇴근기록!$I$3:$I$3002,"평일",출퇴근기록!$A$3:$A$3002,"&gt;="&amp;DATE($B$3,$D$3,1),출퇴근기록!$A$3:$A$3002,"&lt;="&amp;EOMONTH(DATE($B$3,$D$3,1),0)),2))</f>
        <v/>
      </c>
      <c r="F302" s="16" t="str">
        <f aca="false">IF($A302="","",ROUND(SUMIFS(출퇴근기록!$H$3:$H$3002,출퇴근기록!$B$3:$B$3002,$A302,출퇴근기록!$I$3:$I$3002,"휴일",출퇴근기록!$A$3:$A$3002,"&gt;="&amp;DATE($B$3,$D$3,1),출퇴근기록!$A$3:$A$3002,"&lt;="&amp;EOMONTH(DATE($B$3,$D$3,1),0)),2))</f>
        <v/>
      </c>
      <c r="G302" s="16" t="str">
        <f aca="false">IF($A302="","",ROUND(SUMIFS(출퇴근기록!$H$3:$H$3002,출퇴근기록!$B$3:$B$3002,$A302,출퇴근기록!$A$3:$A$3002,"&gt;="&amp;DATE($B$3,$D$3,1),출퇴근기록!$A$3:$A$3002,"&lt;="&amp;EOMONTH(DATE($B$3,$D$3,1),0)),2))</f>
        <v/>
      </c>
      <c r="H302" s="16" t="str">
        <f aca="false">IF($A302="","",ROUND($D302*IF(직원목록!$F299="",8,직원목록!$F299),2))</f>
        <v/>
      </c>
      <c r="I302" s="16" t="str">
        <f aca="false">IF($A302="","",ROUND($G302-$H302,2))</f>
        <v/>
      </c>
      <c r="J302" s="19" t="str">
        <f aca="false">IF($A302="","",COUNTIFS(출퇴근기록!$B$3:$B$3002,$A302,출퇴근기록!$I$3:$I$3002,"연차",출퇴근기록!$A$3:$A$3002,"&gt;="&amp;DATE($B$3,$D$3,1),출퇴근기록!$A$3:$A$3002,"&lt;="&amp;EOMONTH(DATE($B$3,$D$3,1),0)))</f>
        <v/>
      </c>
      <c r="K302" s="19" t="str">
        <f aca="false">IF($A302="","",COUNTIFS(출퇴근기록!$B$3:$B$3002,$A302,출퇴근기록!$I$3:$I$3002,"결근",출퇴근기록!$A$3:$A$3002,"&gt;="&amp;DATE($B$3,$D$3,1),출퇴근기록!$A$3:$A$3002,"&lt;="&amp;EOMONTH(DATE($B$3,$D$3,1),0)))</f>
        <v/>
      </c>
    </row>
    <row r="303" customFormat="false" ht="15" hidden="false" customHeight="true" outlineLevel="0" collapsed="false">
      <c r="A303" s="13" t="str">
        <f aca="false">IF(직원목록!$A300="","",직원목록!$A300)</f>
        <v/>
      </c>
      <c r="B303" s="13" t="str">
        <f aca="false">IF($A303="","",직원목록!$B300)</f>
        <v/>
      </c>
      <c r="C303" s="13" t="str">
        <f aca="false">IF($A303="","",직원목록!$C300)</f>
        <v/>
      </c>
      <c r="D303" s="19" t="str">
        <f aca="false">IF($A303="","",COUNTIFS(출퇴근기록!$B$3:$B$3002,$A303,출퇴근기록!$H$3:$H$3002,"&gt;0",출퇴근기록!$A$3:$A$3002,"&gt;="&amp;DATE($B$3,$D$3,1),출퇴근기록!$A$3:$A$3002,"&lt;="&amp;EOMONTH(DATE($B$3,$D$3,1),0)))</f>
        <v/>
      </c>
      <c r="E303" s="16" t="str">
        <f aca="false">IF($A303="","",ROUND(SUMIFS(출퇴근기록!$H$3:$H$3002,출퇴근기록!$B$3:$B$3002,$A303,출퇴근기록!$I$3:$I$3002,"평일",출퇴근기록!$A$3:$A$3002,"&gt;="&amp;DATE($B$3,$D$3,1),출퇴근기록!$A$3:$A$3002,"&lt;="&amp;EOMONTH(DATE($B$3,$D$3,1),0)),2))</f>
        <v/>
      </c>
      <c r="F303" s="16" t="str">
        <f aca="false">IF($A303="","",ROUND(SUMIFS(출퇴근기록!$H$3:$H$3002,출퇴근기록!$B$3:$B$3002,$A303,출퇴근기록!$I$3:$I$3002,"휴일",출퇴근기록!$A$3:$A$3002,"&gt;="&amp;DATE($B$3,$D$3,1),출퇴근기록!$A$3:$A$3002,"&lt;="&amp;EOMONTH(DATE($B$3,$D$3,1),0)),2))</f>
        <v/>
      </c>
      <c r="G303" s="16" t="str">
        <f aca="false">IF($A303="","",ROUND(SUMIFS(출퇴근기록!$H$3:$H$3002,출퇴근기록!$B$3:$B$3002,$A303,출퇴근기록!$A$3:$A$3002,"&gt;="&amp;DATE($B$3,$D$3,1),출퇴근기록!$A$3:$A$3002,"&lt;="&amp;EOMONTH(DATE($B$3,$D$3,1),0)),2))</f>
        <v/>
      </c>
      <c r="H303" s="16" t="str">
        <f aca="false">IF($A303="","",ROUND($D303*IF(직원목록!$F300="",8,직원목록!$F300),2))</f>
        <v/>
      </c>
      <c r="I303" s="16" t="str">
        <f aca="false">IF($A303="","",ROUND($G303-$H303,2))</f>
        <v/>
      </c>
      <c r="J303" s="19" t="str">
        <f aca="false">IF($A303="","",COUNTIFS(출퇴근기록!$B$3:$B$3002,$A303,출퇴근기록!$I$3:$I$3002,"연차",출퇴근기록!$A$3:$A$3002,"&gt;="&amp;DATE($B$3,$D$3,1),출퇴근기록!$A$3:$A$3002,"&lt;="&amp;EOMONTH(DATE($B$3,$D$3,1),0)))</f>
        <v/>
      </c>
      <c r="K303" s="19" t="str">
        <f aca="false">IF($A303="","",COUNTIFS(출퇴근기록!$B$3:$B$3002,$A303,출퇴근기록!$I$3:$I$3002,"결근",출퇴근기록!$A$3:$A$3002,"&gt;="&amp;DATE($B$3,$D$3,1),출퇴근기록!$A$3:$A$3002,"&lt;="&amp;EOMONTH(DATE($B$3,$D$3,1),0)))</f>
        <v/>
      </c>
    </row>
    <row r="304" customFormat="false" ht="15" hidden="false" customHeight="true" outlineLevel="0" collapsed="false">
      <c r="A304" s="13" t="str">
        <f aca="false">IF(직원목록!$A301="","",직원목록!$A301)</f>
        <v/>
      </c>
      <c r="B304" s="13" t="str">
        <f aca="false">IF($A304="","",직원목록!$B301)</f>
        <v/>
      </c>
      <c r="C304" s="13" t="str">
        <f aca="false">IF($A304="","",직원목록!$C301)</f>
        <v/>
      </c>
      <c r="D304" s="19" t="str">
        <f aca="false">IF($A304="","",COUNTIFS(출퇴근기록!$B$3:$B$3002,$A304,출퇴근기록!$H$3:$H$3002,"&gt;0",출퇴근기록!$A$3:$A$3002,"&gt;="&amp;DATE($B$3,$D$3,1),출퇴근기록!$A$3:$A$3002,"&lt;="&amp;EOMONTH(DATE($B$3,$D$3,1),0)))</f>
        <v/>
      </c>
      <c r="E304" s="16" t="str">
        <f aca="false">IF($A304="","",ROUND(SUMIFS(출퇴근기록!$H$3:$H$3002,출퇴근기록!$B$3:$B$3002,$A304,출퇴근기록!$I$3:$I$3002,"평일",출퇴근기록!$A$3:$A$3002,"&gt;="&amp;DATE($B$3,$D$3,1),출퇴근기록!$A$3:$A$3002,"&lt;="&amp;EOMONTH(DATE($B$3,$D$3,1),0)),2))</f>
        <v/>
      </c>
      <c r="F304" s="16" t="str">
        <f aca="false">IF($A304="","",ROUND(SUMIFS(출퇴근기록!$H$3:$H$3002,출퇴근기록!$B$3:$B$3002,$A304,출퇴근기록!$I$3:$I$3002,"휴일",출퇴근기록!$A$3:$A$3002,"&gt;="&amp;DATE($B$3,$D$3,1),출퇴근기록!$A$3:$A$3002,"&lt;="&amp;EOMONTH(DATE($B$3,$D$3,1),0)),2))</f>
        <v/>
      </c>
      <c r="G304" s="16" t="str">
        <f aca="false">IF($A304="","",ROUND(SUMIFS(출퇴근기록!$H$3:$H$3002,출퇴근기록!$B$3:$B$3002,$A304,출퇴근기록!$A$3:$A$3002,"&gt;="&amp;DATE($B$3,$D$3,1),출퇴근기록!$A$3:$A$3002,"&lt;="&amp;EOMONTH(DATE($B$3,$D$3,1),0)),2))</f>
        <v/>
      </c>
      <c r="H304" s="16" t="str">
        <f aca="false">IF($A304="","",ROUND($D304*IF(직원목록!$F301="",8,직원목록!$F301),2))</f>
        <v/>
      </c>
      <c r="I304" s="16" t="str">
        <f aca="false">IF($A304="","",ROUND($G304-$H304,2))</f>
        <v/>
      </c>
      <c r="J304" s="19" t="str">
        <f aca="false">IF($A304="","",COUNTIFS(출퇴근기록!$B$3:$B$3002,$A304,출퇴근기록!$I$3:$I$3002,"연차",출퇴근기록!$A$3:$A$3002,"&gt;="&amp;DATE($B$3,$D$3,1),출퇴근기록!$A$3:$A$3002,"&lt;="&amp;EOMONTH(DATE($B$3,$D$3,1),0)))</f>
        <v/>
      </c>
      <c r="K304" s="19" t="str">
        <f aca="false">IF($A304="","",COUNTIFS(출퇴근기록!$B$3:$B$3002,$A304,출퇴근기록!$I$3:$I$3002,"결근",출퇴근기록!$A$3:$A$3002,"&gt;="&amp;DATE($B$3,$D$3,1),출퇴근기록!$A$3:$A$3002,"&lt;="&amp;EOMONTH(DATE($B$3,$D$3,1),0)))</f>
        <v/>
      </c>
    </row>
    <row r="305" customFormat="false" ht="15" hidden="false" customHeight="true" outlineLevel="0" collapsed="false">
      <c r="A305" s="13" t="str">
        <f aca="false">IF(직원목록!$A302="","",직원목록!$A302)</f>
        <v/>
      </c>
      <c r="B305" s="13" t="str">
        <f aca="false">IF($A305="","",직원목록!$B302)</f>
        <v/>
      </c>
      <c r="C305" s="13" t="str">
        <f aca="false">IF($A305="","",직원목록!$C302)</f>
        <v/>
      </c>
      <c r="D305" s="19" t="str">
        <f aca="false">IF($A305="","",COUNTIFS(출퇴근기록!$B$3:$B$3002,$A305,출퇴근기록!$H$3:$H$3002,"&gt;0",출퇴근기록!$A$3:$A$3002,"&gt;="&amp;DATE($B$3,$D$3,1),출퇴근기록!$A$3:$A$3002,"&lt;="&amp;EOMONTH(DATE($B$3,$D$3,1),0)))</f>
        <v/>
      </c>
      <c r="E305" s="16" t="str">
        <f aca="false">IF($A305="","",ROUND(SUMIFS(출퇴근기록!$H$3:$H$3002,출퇴근기록!$B$3:$B$3002,$A305,출퇴근기록!$I$3:$I$3002,"평일",출퇴근기록!$A$3:$A$3002,"&gt;="&amp;DATE($B$3,$D$3,1),출퇴근기록!$A$3:$A$3002,"&lt;="&amp;EOMONTH(DATE($B$3,$D$3,1),0)),2))</f>
        <v/>
      </c>
      <c r="F305" s="16" t="str">
        <f aca="false">IF($A305="","",ROUND(SUMIFS(출퇴근기록!$H$3:$H$3002,출퇴근기록!$B$3:$B$3002,$A305,출퇴근기록!$I$3:$I$3002,"휴일",출퇴근기록!$A$3:$A$3002,"&gt;="&amp;DATE($B$3,$D$3,1),출퇴근기록!$A$3:$A$3002,"&lt;="&amp;EOMONTH(DATE($B$3,$D$3,1),0)),2))</f>
        <v/>
      </c>
      <c r="G305" s="16" t="str">
        <f aca="false">IF($A305="","",ROUND(SUMIFS(출퇴근기록!$H$3:$H$3002,출퇴근기록!$B$3:$B$3002,$A305,출퇴근기록!$A$3:$A$3002,"&gt;="&amp;DATE($B$3,$D$3,1),출퇴근기록!$A$3:$A$3002,"&lt;="&amp;EOMONTH(DATE($B$3,$D$3,1),0)),2))</f>
        <v/>
      </c>
      <c r="H305" s="16" t="str">
        <f aca="false">IF($A305="","",ROUND($D305*IF(직원목록!$F302="",8,직원목록!$F302),2))</f>
        <v/>
      </c>
      <c r="I305" s="16" t="str">
        <f aca="false">IF($A305="","",ROUND($G305-$H305,2))</f>
        <v/>
      </c>
      <c r="J305" s="19" t="str">
        <f aca="false">IF($A305="","",COUNTIFS(출퇴근기록!$B$3:$B$3002,$A305,출퇴근기록!$I$3:$I$3002,"연차",출퇴근기록!$A$3:$A$3002,"&gt;="&amp;DATE($B$3,$D$3,1),출퇴근기록!$A$3:$A$3002,"&lt;="&amp;EOMONTH(DATE($B$3,$D$3,1),0)))</f>
        <v/>
      </c>
      <c r="K305" s="19" t="str">
        <f aca="false">IF($A305="","",COUNTIFS(출퇴근기록!$B$3:$B$3002,$A305,출퇴근기록!$I$3:$I$3002,"결근",출퇴근기록!$A$3:$A$3002,"&gt;="&amp;DATE($B$3,$D$3,1),출퇴근기록!$A$3:$A$3002,"&lt;="&amp;EOMONTH(DATE($B$3,$D$3,1),0)))</f>
        <v/>
      </c>
    </row>
    <row r="307" customFormat="false" ht="15" hidden="false" customHeight="true" outlineLevel="0" collapsed="false">
      <c r="C307" s="20" t="s">
        <v>68</v>
      </c>
      <c r="D307" s="21" t="n">
        <f aca="false">SUM(D6:D305)</f>
        <v>14</v>
      </c>
      <c r="E307" s="22" t="n">
        <f aca="false">SUM(E6:E305)</f>
        <v>109.17</v>
      </c>
      <c r="F307" s="22" t="n">
        <f aca="false">SUM(F6:F305)</f>
        <v>6</v>
      </c>
      <c r="G307" s="22" t="n">
        <f aca="false">SUM(G6:G305)</f>
        <v>115.17</v>
      </c>
      <c r="H307" s="22" t="n">
        <f aca="false">SUM(H6:H305)</f>
        <v>112</v>
      </c>
      <c r="I307" s="22" t="n">
        <f aca="false">SUM(I6:I305)</f>
        <v>3.17</v>
      </c>
      <c r="J307" s="21" t="n">
        <f aca="false">SUM(J6:J305)</f>
        <v>1</v>
      </c>
      <c r="K307" s="21" t="n">
        <f aca="false">SUM(K6:K305)</f>
        <v>0</v>
      </c>
    </row>
    <row r="309" customFormat="false" ht="15" hidden="false" customHeight="true" outlineLevel="0" collapsed="false">
      <c r="A309" s="6" t="s">
        <v>69</v>
      </c>
    </row>
  </sheetData>
  <mergeCells count="1">
    <mergeCell ref="A1:K1"/>
  </mergeCells>
  <conditionalFormatting sqref="A6:K305">
    <cfRule type="expression" priority="2" aboveAverage="0" equalAverage="0" bottom="0" percent="0" rank="0" text="" dxfId="1">
      <formula>AND($A6&lt;&gt;"",$I6&gt;0)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4" min="3" style="1" width="11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26"/>
  </cols>
  <sheetData>
    <row r="1" customFormat="false" ht="25.5" hidden="false" customHeight="true" outlineLevel="0" collapsed="false">
      <c r="A1" s="2" t="s">
        <v>70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24</v>
      </c>
      <c r="B3" s="18" t="s">
        <v>31</v>
      </c>
      <c r="C3" s="23" t="str">
        <f aca="false">IFERROR(INDEX(직원목록!$B$3:$B$302,MATCH($B$3,직원목록!$A$3:$A$302,0)),"")</f>
        <v>김직원</v>
      </c>
      <c r="E3" s="3" t="s">
        <v>71</v>
      </c>
      <c r="F3" s="18" t="n">
        <v>2026</v>
      </c>
      <c r="G3" s="3" t="s">
        <v>72</v>
      </c>
      <c r="H3" s="18" t="n">
        <v>9</v>
      </c>
    </row>
    <row r="5" customFormat="false" ht="15" hidden="false" customHeight="true" outlineLevel="0" collapsed="false">
      <c r="A5" s="7" t="s">
        <v>73</v>
      </c>
      <c r="B5" s="7" t="s">
        <v>74</v>
      </c>
      <c r="C5" s="7" t="s">
        <v>75</v>
      </c>
      <c r="D5" s="7" t="s">
        <v>76</v>
      </c>
      <c r="E5" s="7" t="s">
        <v>49</v>
      </c>
      <c r="F5" s="7" t="s">
        <v>77</v>
      </c>
      <c r="G5" s="7" t="s">
        <v>51</v>
      </c>
      <c r="H5" s="7" t="s">
        <v>52</v>
      </c>
    </row>
    <row r="6" customFormat="false" ht="15" hidden="false" customHeight="true" outlineLevel="0" collapsed="false">
      <c r="A6" s="17" t="n">
        <f aca="false">IF(MONTH(DATE($F$3,$H$3,1))&lt;&gt;$H$3,"",1)</f>
        <v>1</v>
      </c>
      <c r="B6" s="17" t="str">
        <f aca="false">IF($A6="","",CHOOSE(WEEKDAY(DATE($F$3,$H$3,1)),"일","월","화","수","목","금","토"))</f>
        <v>화</v>
      </c>
      <c r="C6" s="24" t="n">
        <f aca="false">IF($A6="","",IFERROR(IF(INDEX(출퇴근기록!$E$3:$E$3002,MATCH(1,INDEX((출퇴근기록!$A$3:$A$3002=DATE($F$3,$H$3,1))*(출퇴근기록!$B$3:$B$3002=$B$3),0),0))="","",INDEX(출퇴근기록!$E$3:$E$3002,MATCH(1,INDEX((출퇴근기록!$A$3:$A$3002=DATE($F$3,$H$3,1))*(출퇴근기록!$B$3:$B$3002=$B$3),0),0))),""))</f>
        <v>900</v>
      </c>
      <c r="D6" s="24" t="n">
        <f aca="false">IF($A6="","",IFERROR(IF(INDEX(출퇴근기록!$F$3:$F$3002,MATCH(1,INDEX((출퇴근기록!$A$3:$A$3002=DATE($F$3,$H$3,1))*(출퇴근기록!$B$3:$B$3002=$B$3),0),0))="","",INDEX(출퇴근기록!$F$3:$F$3002,MATCH(1,INDEX((출퇴근기록!$A$3:$A$3002=DATE($F$3,$H$3,1))*(출퇴근기록!$B$3:$B$3002=$B$3),0),0))),""))</f>
        <v>1800</v>
      </c>
      <c r="E6" s="17" t="n">
        <f aca="false">IF($A6="","",IFERROR(IF(INDEX(출퇴근기록!$G$3:$G$3002,MATCH(1,INDEX((출퇴근기록!$A$3:$A$3002=DATE($F$3,$H$3,1))*(출퇴근기록!$B$3:$B$3002=$B$3),0),0))="","",INDEX(출퇴근기록!$G$3:$G$3002,MATCH(1,INDEX((출퇴근기록!$A$3:$A$3002=DATE($F$3,$H$3,1))*(출퇴근기록!$B$3:$B$3002=$B$3),0),0))),""))</f>
        <v>60</v>
      </c>
      <c r="F6" s="16" t="n">
        <f aca="false">IF($A6="","",IFERROR(IF(INDEX(출퇴근기록!$H$3:$H$3002,MATCH(1,INDEX((출퇴근기록!$A$3:$A$3002=DATE($F$3,$H$3,1))*(출퇴근기록!$B$3:$B$3002=$B$3),0),0))="","",INDEX(출퇴근기록!$H$3:$H$3002,MATCH(1,INDEX((출퇴근기록!$A$3:$A$3002=DATE($F$3,$H$3,1))*(출퇴근기록!$B$3:$B$3002=$B$3),0),0))),""))</f>
        <v>8</v>
      </c>
      <c r="G6" s="17" t="str">
        <f aca="false">IF($A6="","",IFERROR(IF(INDEX(출퇴근기록!$I$3:$I$3002,MATCH(1,INDEX((출퇴근기록!$A$3:$A$3002=DATE($F$3,$H$3,1))*(출퇴근기록!$B$3:$B$3002=$B$3),0),0))="","",INDEX(출퇴근기록!$I$3:$I$3002,MATCH(1,INDEX((출퇴근기록!$A$3:$A$3002=DATE($F$3,$H$3,1))*(출퇴근기록!$B$3:$B$3002=$B$3),0),0))),""))</f>
        <v>평일</v>
      </c>
      <c r="H6" s="13" t="str">
        <f aca="false">IF($A6="","",IFERROR(IF(INDEX(출퇴근기록!$J$3:$J$3002,MATCH(1,INDEX((출퇴근기록!$A$3:$A$3002=DATE($F$3,$H$3,1))*(출퇴근기록!$B$3:$B$3002=$B$3),0),0))="","",INDEX(출퇴근기록!$J$3:$J$3002,MATCH(1,INDEX((출퇴근기록!$A$3:$A$3002=DATE($F$3,$H$3,1))*(출퇴근기록!$B$3:$B$3002=$B$3),0),0))),""))</f>
        <v>← 예시 행입니다. 지우고 쓰세요.</v>
      </c>
    </row>
    <row r="7" customFormat="false" ht="15" hidden="false" customHeight="true" outlineLevel="0" collapsed="false">
      <c r="A7" s="17" t="n">
        <f aca="false">IF(MONTH(DATE($F$3,$H$3,2))&lt;&gt;$H$3,"",2)</f>
        <v>2</v>
      </c>
      <c r="B7" s="17" t="str">
        <f aca="false">IF($A7="","",CHOOSE(WEEKDAY(DATE($F$3,$H$3,2)),"일","월","화","수","목","금","토"))</f>
        <v>수</v>
      </c>
      <c r="C7" s="24" t="n">
        <f aca="false">IF($A7="","",IFERROR(IF(INDEX(출퇴근기록!$E$3:$E$3002,MATCH(1,INDEX((출퇴근기록!$A$3:$A$3002=DATE($F$3,$H$3,2))*(출퇴근기록!$B$3:$B$3002=$B$3),0),0))="","",INDEX(출퇴근기록!$E$3:$E$3002,MATCH(1,INDEX((출퇴근기록!$A$3:$A$3002=DATE($F$3,$H$3,2))*(출퇴근기록!$B$3:$B$3002=$B$3),0),0))),""))</f>
        <v>900</v>
      </c>
      <c r="D7" s="24" t="n">
        <f aca="false">IF($A7="","",IFERROR(IF(INDEX(출퇴근기록!$F$3:$F$3002,MATCH(1,INDEX((출퇴근기록!$A$3:$A$3002=DATE($F$3,$H$3,2))*(출퇴근기록!$B$3:$B$3002=$B$3),0),0))="","",INDEX(출퇴근기록!$F$3:$F$3002,MATCH(1,INDEX((출퇴근기록!$A$3:$A$3002=DATE($F$3,$H$3,2))*(출퇴근기록!$B$3:$B$3002=$B$3),0),0))),""))</f>
        <v>1930</v>
      </c>
      <c r="E7" s="17" t="n">
        <f aca="false">IF($A7="","",IFERROR(IF(INDEX(출퇴근기록!$G$3:$G$3002,MATCH(1,INDEX((출퇴근기록!$A$3:$A$3002=DATE($F$3,$H$3,2))*(출퇴근기록!$B$3:$B$3002=$B$3),0),0))="","",INDEX(출퇴근기록!$G$3:$G$3002,MATCH(1,INDEX((출퇴근기록!$A$3:$A$3002=DATE($F$3,$H$3,2))*(출퇴근기록!$B$3:$B$3002=$B$3),0),0))),""))</f>
        <v>60</v>
      </c>
      <c r="F7" s="16" t="n">
        <f aca="false">IF($A7="","",IFERROR(IF(INDEX(출퇴근기록!$H$3:$H$3002,MATCH(1,INDEX((출퇴근기록!$A$3:$A$3002=DATE($F$3,$H$3,2))*(출퇴근기록!$B$3:$B$3002=$B$3),0),0))="","",INDEX(출퇴근기록!$H$3:$H$3002,MATCH(1,INDEX((출퇴근기록!$A$3:$A$3002=DATE($F$3,$H$3,2))*(출퇴근기록!$B$3:$B$3002=$B$3),0),0))),""))</f>
        <v>9.5</v>
      </c>
      <c r="G7" s="17" t="str">
        <f aca="false">IF($A7="","",IFERROR(IF(INDEX(출퇴근기록!$I$3:$I$3002,MATCH(1,INDEX((출퇴근기록!$A$3:$A$3002=DATE($F$3,$H$3,2))*(출퇴근기록!$B$3:$B$3002=$B$3),0),0))="","",INDEX(출퇴근기록!$I$3:$I$3002,MATCH(1,INDEX((출퇴근기록!$A$3:$A$3002=DATE($F$3,$H$3,2))*(출퇴근기록!$B$3:$B$3002=$B$3),0),0))),""))</f>
        <v>평일</v>
      </c>
      <c r="H7" s="13" t="str">
        <f aca="false">IF($A7="","",IFERROR(IF(INDEX(출퇴근기록!$J$3:$J$3002,MATCH(1,INDEX((출퇴근기록!$A$3:$A$3002=DATE($F$3,$H$3,2))*(출퇴근기록!$B$3:$B$3002=$B$3),0),0))="","",INDEX(출퇴근기록!$J$3:$J$3002,MATCH(1,INDEX((출퇴근기록!$A$3:$A$3002=DATE($F$3,$H$3,2))*(출퇴근기록!$B$3:$B$3002=$B$3),0),0))),""))</f>
        <v/>
      </c>
    </row>
    <row r="8" customFormat="false" ht="15" hidden="false" customHeight="true" outlineLevel="0" collapsed="false">
      <c r="A8" s="17" t="n">
        <f aca="false">IF(MONTH(DATE($F$3,$H$3,3))&lt;&gt;$H$3,"",3)</f>
        <v>3</v>
      </c>
      <c r="B8" s="17" t="str">
        <f aca="false">IF($A8="","",CHOOSE(WEEKDAY(DATE($F$3,$H$3,3)),"일","월","화","수","목","금","토"))</f>
        <v>목</v>
      </c>
      <c r="C8" s="24" t="n">
        <f aca="false">IF($A8="","",IFERROR(IF(INDEX(출퇴근기록!$E$3:$E$3002,MATCH(1,INDEX((출퇴근기록!$A$3:$A$3002=DATE($F$3,$H$3,3))*(출퇴근기록!$B$3:$B$3002=$B$3),0),0))="","",INDEX(출퇴근기록!$E$3:$E$3002,MATCH(1,INDEX((출퇴근기록!$A$3:$A$3002=DATE($F$3,$H$3,3))*(출퇴근기록!$B$3:$B$3002=$B$3),0),0))),""))</f>
        <v>900</v>
      </c>
      <c r="D8" s="24" t="n">
        <f aca="false">IF($A8="","",IFERROR(IF(INDEX(출퇴근기록!$F$3:$F$3002,MATCH(1,INDEX((출퇴근기록!$A$3:$A$3002=DATE($F$3,$H$3,3))*(출퇴근기록!$B$3:$B$3002=$B$3),0),0))="","",INDEX(출퇴근기록!$F$3:$F$3002,MATCH(1,INDEX((출퇴근기록!$A$3:$A$3002=DATE($F$3,$H$3,3))*(출퇴근기록!$B$3:$B$3002=$B$3),0),0))),""))</f>
        <v>2030</v>
      </c>
      <c r="E8" s="17" t="n">
        <f aca="false">IF($A8="","",IFERROR(IF(INDEX(출퇴근기록!$G$3:$G$3002,MATCH(1,INDEX((출퇴근기록!$A$3:$A$3002=DATE($F$3,$H$3,3))*(출퇴근기록!$B$3:$B$3002=$B$3),0),0))="","",INDEX(출퇴근기록!$G$3:$G$3002,MATCH(1,INDEX((출퇴근기록!$A$3:$A$3002=DATE($F$3,$H$3,3))*(출퇴근기록!$B$3:$B$3002=$B$3),0),0))),""))</f>
        <v>60</v>
      </c>
      <c r="F8" s="16" t="n">
        <f aca="false">IF($A8="","",IFERROR(IF(INDEX(출퇴근기록!$H$3:$H$3002,MATCH(1,INDEX((출퇴근기록!$A$3:$A$3002=DATE($F$3,$H$3,3))*(출퇴근기록!$B$3:$B$3002=$B$3),0),0))="","",INDEX(출퇴근기록!$H$3:$H$3002,MATCH(1,INDEX((출퇴근기록!$A$3:$A$3002=DATE($F$3,$H$3,3))*(출퇴근기록!$B$3:$B$3002=$B$3),0),0))),""))</f>
        <v>10.5</v>
      </c>
      <c r="G8" s="17" t="str">
        <f aca="false">IF($A8="","",IFERROR(IF(INDEX(출퇴근기록!$I$3:$I$3002,MATCH(1,INDEX((출퇴근기록!$A$3:$A$3002=DATE($F$3,$H$3,3))*(출퇴근기록!$B$3:$B$3002=$B$3),0),0))="","",INDEX(출퇴근기록!$I$3:$I$3002,MATCH(1,INDEX((출퇴근기록!$A$3:$A$3002=DATE($F$3,$H$3,3))*(출퇴근기록!$B$3:$B$3002=$B$3),0),0))),""))</f>
        <v>평일</v>
      </c>
      <c r="H8" s="13" t="str">
        <f aca="false">IF($A8="","",IFERROR(IF(INDEX(출퇴근기록!$J$3:$J$3002,MATCH(1,INDEX((출퇴근기록!$A$3:$A$3002=DATE($F$3,$H$3,3))*(출퇴근기록!$B$3:$B$3002=$B$3),0),0))="","",INDEX(출퇴근기록!$J$3:$J$3002,MATCH(1,INDEX((출퇴근기록!$A$3:$A$3002=DATE($F$3,$H$3,3))*(출퇴근기록!$B$3:$B$3002=$B$3),0),0))),""))</f>
        <v/>
      </c>
    </row>
    <row r="9" customFormat="false" ht="15" hidden="false" customHeight="true" outlineLevel="0" collapsed="false">
      <c r="A9" s="17" t="n">
        <f aca="false">IF(MONTH(DATE($F$3,$H$3,4))&lt;&gt;$H$3,"",4)</f>
        <v>4</v>
      </c>
      <c r="B9" s="17" t="str">
        <f aca="false">IF($A9="","",CHOOSE(WEEKDAY(DATE($F$3,$H$3,4)),"일","월","화","수","목","금","토"))</f>
        <v>금</v>
      </c>
      <c r="C9" s="24" t="n">
        <f aca="false">IF($A9="","",IFERROR(IF(INDEX(출퇴근기록!$E$3:$E$3002,MATCH(1,INDEX((출퇴근기록!$A$3:$A$3002=DATE($F$3,$H$3,4))*(출퇴근기록!$B$3:$B$3002=$B$3),0),0))="","",INDEX(출퇴근기록!$E$3:$E$3002,MATCH(1,INDEX((출퇴근기록!$A$3:$A$3002=DATE($F$3,$H$3,4))*(출퇴근기록!$B$3:$B$3002=$B$3),0),0))),""))</f>
        <v>900</v>
      </c>
      <c r="D9" s="24" t="n">
        <f aca="false">IF($A9="","",IFERROR(IF(INDEX(출퇴근기록!$F$3:$F$3002,MATCH(1,INDEX((출퇴근기록!$A$3:$A$3002=DATE($F$3,$H$3,4))*(출퇴근기록!$B$3:$B$3002=$B$3),0),0))="","",INDEX(출퇴근기록!$F$3:$F$3002,MATCH(1,INDEX((출퇴근기록!$A$3:$A$3002=DATE($F$3,$H$3,4))*(출퇴근기록!$B$3:$B$3002=$B$3),0),0))),""))</f>
        <v>1800</v>
      </c>
      <c r="E9" s="17" t="n">
        <f aca="false">IF($A9="","",IFERROR(IF(INDEX(출퇴근기록!$G$3:$G$3002,MATCH(1,INDEX((출퇴근기록!$A$3:$A$3002=DATE($F$3,$H$3,4))*(출퇴근기록!$B$3:$B$3002=$B$3),0),0))="","",INDEX(출퇴근기록!$G$3:$G$3002,MATCH(1,INDEX((출퇴근기록!$A$3:$A$3002=DATE($F$3,$H$3,4))*(출퇴근기록!$B$3:$B$3002=$B$3),0),0))),""))</f>
        <v>60</v>
      </c>
      <c r="F9" s="16" t="n">
        <f aca="false">IF($A9="","",IFERROR(IF(INDEX(출퇴근기록!$H$3:$H$3002,MATCH(1,INDEX((출퇴근기록!$A$3:$A$3002=DATE($F$3,$H$3,4))*(출퇴근기록!$B$3:$B$3002=$B$3),0),0))="","",INDEX(출퇴근기록!$H$3:$H$3002,MATCH(1,INDEX((출퇴근기록!$A$3:$A$3002=DATE($F$3,$H$3,4))*(출퇴근기록!$B$3:$B$3002=$B$3),0),0))),""))</f>
        <v>8</v>
      </c>
      <c r="G9" s="17" t="str">
        <f aca="false">IF($A9="","",IFERROR(IF(INDEX(출퇴근기록!$I$3:$I$3002,MATCH(1,INDEX((출퇴근기록!$A$3:$A$3002=DATE($F$3,$H$3,4))*(출퇴근기록!$B$3:$B$3002=$B$3),0),0))="","",INDEX(출퇴근기록!$I$3:$I$3002,MATCH(1,INDEX((출퇴근기록!$A$3:$A$3002=DATE($F$3,$H$3,4))*(출퇴근기록!$B$3:$B$3002=$B$3),0),0))),""))</f>
        <v>평일</v>
      </c>
      <c r="H9" s="13" t="str">
        <f aca="false">IF($A9="","",IFERROR(IF(INDEX(출퇴근기록!$J$3:$J$3002,MATCH(1,INDEX((출퇴근기록!$A$3:$A$3002=DATE($F$3,$H$3,4))*(출퇴근기록!$B$3:$B$3002=$B$3),0),0))="","",INDEX(출퇴근기록!$J$3:$J$3002,MATCH(1,INDEX((출퇴근기록!$A$3:$A$3002=DATE($F$3,$H$3,4))*(출퇴근기록!$B$3:$B$3002=$B$3),0),0))),""))</f>
        <v/>
      </c>
    </row>
    <row r="10" customFormat="false" ht="15" hidden="false" customHeight="true" outlineLevel="0" collapsed="false">
      <c r="A10" s="17" t="n">
        <f aca="false">IF(MONTH(DATE($F$3,$H$3,5))&lt;&gt;$H$3,"",5)</f>
        <v>5</v>
      </c>
      <c r="B10" s="17" t="str">
        <f aca="false">IF($A10="","",CHOOSE(WEEKDAY(DATE($F$3,$H$3,5)),"일","월","화","수","목","금","토"))</f>
        <v>토</v>
      </c>
      <c r="C10" s="24" t="str">
        <f aca="false">IF($A10="","",IFERROR(IF(INDEX(출퇴근기록!$E$3:$E$3002,MATCH(1,INDEX((출퇴근기록!$A$3:$A$3002=DATE($F$3,$H$3,5))*(출퇴근기록!$B$3:$B$3002=$B$3),0),0))="","",INDEX(출퇴근기록!$E$3:$E$3002,MATCH(1,INDEX((출퇴근기록!$A$3:$A$3002=DATE($F$3,$H$3,5))*(출퇴근기록!$B$3:$B$3002=$B$3),0),0))),""))</f>
        <v/>
      </c>
      <c r="D10" s="24" t="str">
        <f aca="false">IF($A10="","",IFERROR(IF(INDEX(출퇴근기록!$F$3:$F$3002,MATCH(1,INDEX((출퇴근기록!$A$3:$A$3002=DATE($F$3,$H$3,5))*(출퇴근기록!$B$3:$B$3002=$B$3),0),0))="","",INDEX(출퇴근기록!$F$3:$F$3002,MATCH(1,INDEX((출퇴근기록!$A$3:$A$3002=DATE($F$3,$H$3,5))*(출퇴근기록!$B$3:$B$3002=$B$3),0),0))),""))</f>
        <v/>
      </c>
      <c r="E10" s="17" t="str">
        <f aca="false">IF($A10="","",IFERROR(IF(INDEX(출퇴근기록!$G$3:$G$3002,MATCH(1,INDEX((출퇴근기록!$A$3:$A$3002=DATE($F$3,$H$3,5))*(출퇴근기록!$B$3:$B$3002=$B$3),0),0))="","",INDEX(출퇴근기록!$G$3:$G$3002,MATCH(1,INDEX((출퇴근기록!$A$3:$A$3002=DATE($F$3,$H$3,5))*(출퇴근기록!$B$3:$B$3002=$B$3),0),0))),""))</f>
        <v/>
      </c>
      <c r="F10" s="16" t="str">
        <f aca="false">IF($A10="","",IFERROR(IF(INDEX(출퇴근기록!$H$3:$H$3002,MATCH(1,INDEX((출퇴근기록!$A$3:$A$3002=DATE($F$3,$H$3,5))*(출퇴근기록!$B$3:$B$3002=$B$3),0),0))="","",INDEX(출퇴근기록!$H$3:$H$3002,MATCH(1,INDEX((출퇴근기록!$A$3:$A$3002=DATE($F$3,$H$3,5))*(출퇴근기록!$B$3:$B$3002=$B$3),0),0))),""))</f>
        <v/>
      </c>
      <c r="G10" s="17" t="str">
        <f aca="false">IF($A10="","",IFERROR(IF(INDEX(출퇴근기록!$I$3:$I$3002,MATCH(1,INDEX((출퇴근기록!$A$3:$A$3002=DATE($F$3,$H$3,5))*(출퇴근기록!$B$3:$B$3002=$B$3),0),0))="","",INDEX(출퇴근기록!$I$3:$I$3002,MATCH(1,INDEX((출퇴근기록!$A$3:$A$3002=DATE($F$3,$H$3,5))*(출퇴근기록!$B$3:$B$3002=$B$3),0),0))),""))</f>
        <v/>
      </c>
      <c r="H10" s="13" t="str">
        <f aca="false">IF($A10="","",IFERROR(IF(INDEX(출퇴근기록!$J$3:$J$3002,MATCH(1,INDEX((출퇴근기록!$A$3:$A$3002=DATE($F$3,$H$3,5))*(출퇴근기록!$B$3:$B$3002=$B$3),0),0))="","",INDEX(출퇴근기록!$J$3:$J$3002,MATCH(1,INDEX((출퇴근기록!$A$3:$A$3002=DATE($F$3,$H$3,5))*(출퇴근기록!$B$3:$B$3002=$B$3),0),0))),""))</f>
        <v/>
      </c>
    </row>
    <row r="11" customFormat="false" ht="15" hidden="false" customHeight="true" outlineLevel="0" collapsed="false">
      <c r="A11" s="17" t="n">
        <f aca="false">IF(MONTH(DATE($F$3,$H$3,6))&lt;&gt;$H$3,"",6)</f>
        <v>6</v>
      </c>
      <c r="B11" s="17" t="str">
        <f aca="false">IF($A11="","",CHOOSE(WEEKDAY(DATE($F$3,$H$3,6)),"일","월","화","수","목","금","토"))</f>
        <v>일</v>
      </c>
      <c r="C11" s="24" t="str">
        <f aca="false">IF($A11="","",IFERROR(IF(INDEX(출퇴근기록!$E$3:$E$3002,MATCH(1,INDEX((출퇴근기록!$A$3:$A$3002=DATE($F$3,$H$3,6))*(출퇴근기록!$B$3:$B$3002=$B$3),0),0))="","",INDEX(출퇴근기록!$E$3:$E$3002,MATCH(1,INDEX((출퇴근기록!$A$3:$A$3002=DATE($F$3,$H$3,6))*(출퇴근기록!$B$3:$B$3002=$B$3),0),0))),""))</f>
        <v/>
      </c>
      <c r="D11" s="24" t="str">
        <f aca="false">IF($A11="","",IFERROR(IF(INDEX(출퇴근기록!$F$3:$F$3002,MATCH(1,INDEX((출퇴근기록!$A$3:$A$3002=DATE($F$3,$H$3,6))*(출퇴근기록!$B$3:$B$3002=$B$3),0),0))="","",INDEX(출퇴근기록!$F$3:$F$3002,MATCH(1,INDEX((출퇴근기록!$A$3:$A$3002=DATE($F$3,$H$3,6))*(출퇴근기록!$B$3:$B$3002=$B$3),0),0))),""))</f>
        <v/>
      </c>
      <c r="E11" s="17" t="str">
        <f aca="false">IF($A11="","",IFERROR(IF(INDEX(출퇴근기록!$G$3:$G$3002,MATCH(1,INDEX((출퇴근기록!$A$3:$A$3002=DATE($F$3,$H$3,6))*(출퇴근기록!$B$3:$B$3002=$B$3),0),0))="","",INDEX(출퇴근기록!$G$3:$G$3002,MATCH(1,INDEX((출퇴근기록!$A$3:$A$3002=DATE($F$3,$H$3,6))*(출퇴근기록!$B$3:$B$3002=$B$3),0),0))),""))</f>
        <v/>
      </c>
      <c r="F11" s="16" t="str">
        <f aca="false">IF($A11="","",IFERROR(IF(INDEX(출퇴근기록!$H$3:$H$3002,MATCH(1,INDEX((출퇴근기록!$A$3:$A$3002=DATE($F$3,$H$3,6))*(출퇴근기록!$B$3:$B$3002=$B$3),0),0))="","",INDEX(출퇴근기록!$H$3:$H$3002,MATCH(1,INDEX((출퇴근기록!$A$3:$A$3002=DATE($F$3,$H$3,6))*(출퇴근기록!$B$3:$B$3002=$B$3),0),0))),""))</f>
        <v/>
      </c>
      <c r="G11" s="17" t="str">
        <f aca="false">IF($A11="","",IFERROR(IF(INDEX(출퇴근기록!$I$3:$I$3002,MATCH(1,INDEX((출퇴근기록!$A$3:$A$3002=DATE($F$3,$H$3,6))*(출퇴근기록!$B$3:$B$3002=$B$3),0),0))="","",INDEX(출퇴근기록!$I$3:$I$3002,MATCH(1,INDEX((출퇴근기록!$A$3:$A$3002=DATE($F$3,$H$3,6))*(출퇴근기록!$B$3:$B$3002=$B$3),0),0))),""))</f>
        <v/>
      </c>
      <c r="H11" s="13" t="str">
        <f aca="false">IF($A11="","",IFERROR(IF(INDEX(출퇴근기록!$J$3:$J$3002,MATCH(1,INDEX((출퇴근기록!$A$3:$A$3002=DATE($F$3,$H$3,6))*(출퇴근기록!$B$3:$B$3002=$B$3),0),0))="","",INDEX(출퇴근기록!$J$3:$J$3002,MATCH(1,INDEX((출퇴근기록!$A$3:$A$3002=DATE($F$3,$H$3,6))*(출퇴근기록!$B$3:$B$3002=$B$3),0),0))),""))</f>
        <v/>
      </c>
    </row>
    <row r="12" customFormat="false" ht="15" hidden="false" customHeight="true" outlineLevel="0" collapsed="false">
      <c r="A12" s="17" t="n">
        <f aca="false">IF(MONTH(DATE($F$3,$H$3,7))&lt;&gt;$H$3,"",7)</f>
        <v>7</v>
      </c>
      <c r="B12" s="17" t="str">
        <f aca="false">IF($A12="","",CHOOSE(WEEKDAY(DATE($F$3,$H$3,7)),"일","월","화","수","목","금","토"))</f>
        <v>월</v>
      </c>
      <c r="C12" s="24" t="n">
        <f aca="false">IF($A12="","",IFERROR(IF(INDEX(출퇴근기록!$E$3:$E$3002,MATCH(1,INDEX((출퇴근기록!$A$3:$A$3002=DATE($F$3,$H$3,7))*(출퇴근기록!$B$3:$B$3002=$B$3),0),0))="","",INDEX(출퇴근기록!$E$3:$E$3002,MATCH(1,INDEX((출퇴근기록!$A$3:$A$3002=DATE($F$3,$H$3,7))*(출퇴근기록!$B$3:$B$3002=$B$3),0),0))),""))</f>
        <v>900</v>
      </c>
      <c r="D12" s="24" t="n">
        <f aca="false">IF($A12="","",IFERROR(IF(INDEX(출퇴근기록!$F$3:$F$3002,MATCH(1,INDEX((출퇴근기록!$A$3:$A$3002=DATE($F$3,$H$3,7))*(출퇴근기록!$B$3:$B$3002=$B$3),0),0))="","",INDEX(출퇴근기록!$F$3:$F$3002,MATCH(1,INDEX((출퇴근기록!$A$3:$A$3002=DATE($F$3,$H$3,7))*(출퇴근기록!$B$3:$B$3002=$B$3),0),0))),""))</f>
        <v>1800</v>
      </c>
      <c r="E12" s="17" t="n">
        <f aca="false">IF($A12="","",IFERROR(IF(INDEX(출퇴근기록!$G$3:$G$3002,MATCH(1,INDEX((출퇴근기록!$A$3:$A$3002=DATE($F$3,$H$3,7))*(출퇴근기록!$B$3:$B$3002=$B$3),0),0))="","",INDEX(출퇴근기록!$G$3:$G$3002,MATCH(1,INDEX((출퇴근기록!$A$3:$A$3002=DATE($F$3,$H$3,7))*(출퇴근기록!$B$3:$B$3002=$B$3),0),0))),""))</f>
        <v>60</v>
      </c>
      <c r="F12" s="16" t="n">
        <f aca="false">IF($A12="","",IFERROR(IF(INDEX(출퇴근기록!$H$3:$H$3002,MATCH(1,INDEX((출퇴근기록!$A$3:$A$3002=DATE($F$3,$H$3,7))*(출퇴근기록!$B$3:$B$3002=$B$3),0),0))="","",INDEX(출퇴근기록!$H$3:$H$3002,MATCH(1,INDEX((출퇴근기록!$A$3:$A$3002=DATE($F$3,$H$3,7))*(출퇴근기록!$B$3:$B$3002=$B$3),0),0))),""))</f>
        <v>8</v>
      </c>
      <c r="G12" s="17" t="str">
        <f aca="false">IF($A12="","",IFERROR(IF(INDEX(출퇴근기록!$I$3:$I$3002,MATCH(1,INDEX((출퇴근기록!$A$3:$A$3002=DATE($F$3,$H$3,7))*(출퇴근기록!$B$3:$B$3002=$B$3),0),0))="","",INDEX(출퇴근기록!$I$3:$I$3002,MATCH(1,INDEX((출퇴근기록!$A$3:$A$3002=DATE($F$3,$H$3,7))*(출퇴근기록!$B$3:$B$3002=$B$3),0),0))),""))</f>
        <v>평일</v>
      </c>
      <c r="H12" s="13" t="str">
        <f aca="false">IF($A12="","",IFERROR(IF(INDEX(출퇴근기록!$J$3:$J$3002,MATCH(1,INDEX((출퇴근기록!$A$3:$A$3002=DATE($F$3,$H$3,7))*(출퇴근기록!$B$3:$B$3002=$B$3),0),0))="","",INDEX(출퇴근기록!$J$3:$J$3002,MATCH(1,INDEX((출퇴근기록!$A$3:$A$3002=DATE($F$3,$H$3,7))*(출퇴근기록!$B$3:$B$3002=$B$3),0),0))),""))</f>
        <v/>
      </c>
    </row>
    <row r="13" customFormat="false" ht="15" hidden="false" customHeight="true" outlineLevel="0" collapsed="false">
      <c r="A13" s="17" t="n">
        <f aca="false">IF(MONTH(DATE($F$3,$H$3,8))&lt;&gt;$H$3,"",8)</f>
        <v>8</v>
      </c>
      <c r="B13" s="17" t="str">
        <f aca="false">IF($A13="","",CHOOSE(WEEKDAY(DATE($F$3,$H$3,8)),"일","월","화","수","목","금","토"))</f>
        <v>화</v>
      </c>
      <c r="C13" s="24" t="n">
        <f aca="false">IF($A13="","",IFERROR(IF(INDEX(출퇴근기록!$E$3:$E$3002,MATCH(1,INDEX((출퇴근기록!$A$3:$A$3002=DATE($F$3,$H$3,8))*(출퇴근기록!$B$3:$B$3002=$B$3),0),0))="","",INDEX(출퇴근기록!$E$3:$E$3002,MATCH(1,INDEX((출퇴근기록!$A$3:$A$3002=DATE($F$3,$H$3,8))*(출퇴근기록!$B$3:$B$3002=$B$3),0),0))),""))</f>
        <v>900</v>
      </c>
      <c r="D13" s="24" t="n">
        <f aca="false">IF($A13="","",IFERROR(IF(INDEX(출퇴근기록!$F$3:$F$3002,MATCH(1,INDEX((출퇴근기록!$A$3:$A$3002=DATE($F$3,$H$3,8))*(출퇴근기록!$B$3:$B$3002=$B$3),0),0))="","",INDEX(출퇴근기록!$F$3:$F$3002,MATCH(1,INDEX((출퇴근기록!$A$3:$A$3002=DATE($F$3,$H$3,8))*(출퇴근기록!$B$3:$B$3002=$B$3),0),0))),""))</f>
        <v>1900</v>
      </c>
      <c r="E13" s="17" t="n">
        <f aca="false">IF($A13="","",IFERROR(IF(INDEX(출퇴근기록!$G$3:$G$3002,MATCH(1,INDEX((출퇴근기록!$A$3:$A$3002=DATE($F$3,$H$3,8))*(출퇴근기록!$B$3:$B$3002=$B$3),0),0))="","",INDEX(출퇴근기록!$G$3:$G$3002,MATCH(1,INDEX((출퇴근기록!$A$3:$A$3002=DATE($F$3,$H$3,8))*(출퇴근기록!$B$3:$B$3002=$B$3),0),0))),""))</f>
        <v>60</v>
      </c>
      <c r="F13" s="16" t="n">
        <f aca="false">IF($A13="","",IFERROR(IF(INDEX(출퇴근기록!$H$3:$H$3002,MATCH(1,INDEX((출퇴근기록!$A$3:$A$3002=DATE($F$3,$H$3,8))*(출퇴근기록!$B$3:$B$3002=$B$3),0),0))="","",INDEX(출퇴근기록!$H$3:$H$3002,MATCH(1,INDEX((출퇴근기록!$A$3:$A$3002=DATE($F$3,$H$3,8))*(출퇴근기록!$B$3:$B$3002=$B$3),0),0))),""))</f>
        <v>9</v>
      </c>
      <c r="G13" s="17" t="str">
        <f aca="false">IF($A13="","",IFERROR(IF(INDEX(출퇴근기록!$I$3:$I$3002,MATCH(1,INDEX((출퇴근기록!$A$3:$A$3002=DATE($F$3,$H$3,8))*(출퇴근기록!$B$3:$B$3002=$B$3),0),0))="","",INDEX(출퇴근기록!$I$3:$I$3002,MATCH(1,INDEX((출퇴근기록!$A$3:$A$3002=DATE($F$3,$H$3,8))*(출퇴근기록!$B$3:$B$3002=$B$3),0),0))),""))</f>
        <v>평일</v>
      </c>
      <c r="H13" s="13" t="str">
        <f aca="false">IF($A13="","",IFERROR(IF(INDEX(출퇴근기록!$J$3:$J$3002,MATCH(1,INDEX((출퇴근기록!$A$3:$A$3002=DATE($F$3,$H$3,8))*(출퇴근기록!$B$3:$B$3002=$B$3),0),0))="","",INDEX(출퇴근기록!$J$3:$J$3002,MATCH(1,INDEX((출퇴근기록!$A$3:$A$3002=DATE($F$3,$H$3,8))*(출퇴근기록!$B$3:$B$3002=$B$3),0),0))),""))</f>
        <v/>
      </c>
    </row>
    <row r="14" customFormat="false" ht="15" hidden="false" customHeight="true" outlineLevel="0" collapsed="false">
      <c r="A14" s="17" t="n">
        <f aca="false">IF(MONTH(DATE($F$3,$H$3,9))&lt;&gt;$H$3,"",9)</f>
        <v>9</v>
      </c>
      <c r="B14" s="17" t="str">
        <f aca="false">IF($A14="","",CHOOSE(WEEKDAY(DATE($F$3,$H$3,9)),"일","월","화","수","목","금","토"))</f>
        <v>수</v>
      </c>
      <c r="C14" s="24" t="n">
        <f aca="false">IF($A14="","",IFERROR(IF(INDEX(출퇴근기록!$E$3:$E$3002,MATCH(1,INDEX((출퇴근기록!$A$3:$A$3002=DATE($F$3,$H$3,9))*(출퇴근기록!$B$3:$B$3002=$B$3),0),0))="","",INDEX(출퇴근기록!$E$3:$E$3002,MATCH(1,INDEX((출퇴근기록!$A$3:$A$3002=DATE($F$3,$H$3,9))*(출퇴근기록!$B$3:$B$3002=$B$3),0),0))),""))</f>
        <v>900</v>
      </c>
      <c r="D14" s="24" t="n">
        <f aca="false">IF($A14="","",IFERROR(IF(INDEX(출퇴근기록!$F$3:$F$3002,MATCH(1,INDEX((출퇴근기록!$A$3:$A$3002=DATE($F$3,$H$3,9))*(출퇴근기록!$B$3:$B$3002=$B$3),0),0))="","",INDEX(출퇴근기록!$F$3:$F$3002,MATCH(1,INDEX((출퇴근기록!$A$3:$A$3002=DATE($F$3,$H$3,9))*(출퇴근기록!$B$3:$B$3002=$B$3),0),0))),""))</f>
        <v>1800</v>
      </c>
      <c r="E14" s="17" t="n">
        <f aca="false">IF($A14="","",IFERROR(IF(INDEX(출퇴근기록!$G$3:$G$3002,MATCH(1,INDEX((출퇴근기록!$A$3:$A$3002=DATE($F$3,$H$3,9))*(출퇴근기록!$B$3:$B$3002=$B$3),0),0))="","",INDEX(출퇴근기록!$G$3:$G$3002,MATCH(1,INDEX((출퇴근기록!$A$3:$A$3002=DATE($F$3,$H$3,9))*(출퇴근기록!$B$3:$B$3002=$B$3),0),0))),""))</f>
        <v>60</v>
      </c>
      <c r="F14" s="16" t="n">
        <f aca="false">IF($A14="","",IFERROR(IF(INDEX(출퇴근기록!$H$3:$H$3002,MATCH(1,INDEX((출퇴근기록!$A$3:$A$3002=DATE($F$3,$H$3,9))*(출퇴근기록!$B$3:$B$3002=$B$3),0),0))="","",INDEX(출퇴근기록!$H$3:$H$3002,MATCH(1,INDEX((출퇴근기록!$A$3:$A$3002=DATE($F$3,$H$3,9))*(출퇴근기록!$B$3:$B$3002=$B$3),0),0))),""))</f>
        <v>8</v>
      </c>
      <c r="G14" s="17" t="str">
        <f aca="false">IF($A14="","",IFERROR(IF(INDEX(출퇴근기록!$I$3:$I$3002,MATCH(1,INDEX((출퇴근기록!$A$3:$A$3002=DATE($F$3,$H$3,9))*(출퇴근기록!$B$3:$B$3002=$B$3),0),0))="","",INDEX(출퇴근기록!$I$3:$I$3002,MATCH(1,INDEX((출퇴근기록!$A$3:$A$3002=DATE($F$3,$H$3,9))*(출퇴근기록!$B$3:$B$3002=$B$3),0),0))),""))</f>
        <v>평일</v>
      </c>
      <c r="H14" s="13" t="str">
        <f aca="false">IF($A14="","",IFERROR(IF(INDEX(출퇴근기록!$J$3:$J$3002,MATCH(1,INDEX((출퇴근기록!$A$3:$A$3002=DATE($F$3,$H$3,9))*(출퇴근기록!$B$3:$B$3002=$B$3),0),0))="","",INDEX(출퇴근기록!$J$3:$J$3002,MATCH(1,INDEX((출퇴근기록!$A$3:$A$3002=DATE($F$3,$H$3,9))*(출퇴근기록!$B$3:$B$3002=$B$3),0),0))),""))</f>
        <v/>
      </c>
    </row>
    <row r="15" customFormat="false" ht="15" hidden="false" customHeight="true" outlineLevel="0" collapsed="false">
      <c r="A15" s="17" t="n">
        <f aca="false">IF(MONTH(DATE($F$3,$H$3,10))&lt;&gt;$H$3,"",10)</f>
        <v>10</v>
      </c>
      <c r="B15" s="17" t="str">
        <f aca="false">IF($A15="","",CHOOSE(WEEKDAY(DATE($F$3,$H$3,10)),"일","월","화","수","목","금","토"))</f>
        <v>목</v>
      </c>
      <c r="C15" s="24" t="n">
        <f aca="false">IF($A15="","",IFERROR(IF(INDEX(출퇴근기록!$E$3:$E$3002,MATCH(1,INDEX((출퇴근기록!$A$3:$A$3002=DATE($F$3,$H$3,10))*(출퇴근기록!$B$3:$B$3002=$B$3),0),0))="","",INDEX(출퇴근기록!$E$3:$E$3002,MATCH(1,INDEX((출퇴근기록!$A$3:$A$3002=DATE($F$3,$H$3,10))*(출퇴근기록!$B$3:$B$3002=$B$3),0),0))),""))</f>
        <v>900</v>
      </c>
      <c r="D15" s="24" t="n">
        <f aca="false">IF($A15="","",IFERROR(IF(INDEX(출퇴근기록!$F$3:$F$3002,MATCH(1,INDEX((출퇴근기록!$A$3:$A$3002=DATE($F$3,$H$3,10))*(출퇴근기록!$B$3:$B$3002=$B$3),0),0))="","",INDEX(출퇴근기록!$F$3:$F$3002,MATCH(1,INDEX((출퇴근기록!$A$3:$A$3002=DATE($F$3,$H$3,10))*(출퇴근기록!$B$3:$B$3002=$B$3),0),0))),""))</f>
        <v>1800</v>
      </c>
      <c r="E15" s="17" t="n">
        <f aca="false">IF($A15="","",IFERROR(IF(INDEX(출퇴근기록!$G$3:$G$3002,MATCH(1,INDEX((출퇴근기록!$A$3:$A$3002=DATE($F$3,$H$3,10))*(출퇴근기록!$B$3:$B$3002=$B$3),0),0))="","",INDEX(출퇴근기록!$G$3:$G$3002,MATCH(1,INDEX((출퇴근기록!$A$3:$A$3002=DATE($F$3,$H$3,10))*(출퇴근기록!$B$3:$B$3002=$B$3),0),0))),""))</f>
        <v>60</v>
      </c>
      <c r="F15" s="16" t="n">
        <f aca="false">IF($A15="","",IFERROR(IF(INDEX(출퇴근기록!$H$3:$H$3002,MATCH(1,INDEX((출퇴근기록!$A$3:$A$3002=DATE($F$3,$H$3,10))*(출퇴근기록!$B$3:$B$3002=$B$3),0),0))="","",INDEX(출퇴근기록!$H$3:$H$3002,MATCH(1,INDEX((출퇴근기록!$A$3:$A$3002=DATE($F$3,$H$3,10))*(출퇴근기록!$B$3:$B$3002=$B$3),0),0))),""))</f>
        <v>8</v>
      </c>
      <c r="G15" s="17" t="str">
        <f aca="false">IF($A15="","",IFERROR(IF(INDEX(출퇴근기록!$I$3:$I$3002,MATCH(1,INDEX((출퇴근기록!$A$3:$A$3002=DATE($F$3,$H$3,10))*(출퇴근기록!$B$3:$B$3002=$B$3),0),0))="","",INDEX(출퇴근기록!$I$3:$I$3002,MATCH(1,INDEX((출퇴근기록!$A$3:$A$3002=DATE($F$3,$H$3,10))*(출퇴근기록!$B$3:$B$3002=$B$3),0),0))),""))</f>
        <v>평일</v>
      </c>
      <c r="H15" s="13" t="str">
        <f aca="false">IF($A15="","",IFERROR(IF(INDEX(출퇴근기록!$J$3:$J$3002,MATCH(1,INDEX((출퇴근기록!$A$3:$A$3002=DATE($F$3,$H$3,10))*(출퇴근기록!$B$3:$B$3002=$B$3),0),0))="","",INDEX(출퇴근기록!$J$3:$J$3002,MATCH(1,INDEX((출퇴근기록!$A$3:$A$3002=DATE($F$3,$H$3,10))*(출퇴근기록!$B$3:$B$3002=$B$3),0),0))),""))</f>
        <v/>
      </c>
    </row>
    <row r="16" customFormat="false" ht="15" hidden="false" customHeight="true" outlineLevel="0" collapsed="false">
      <c r="A16" s="17" t="n">
        <f aca="false">IF(MONTH(DATE($F$3,$H$3,11))&lt;&gt;$H$3,"",11)</f>
        <v>11</v>
      </c>
      <c r="B16" s="17" t="str">
        <f aca="false">IF($A16="","",CHOOSE(WEEKDAY(DATE($F$3,$H$3,11)),"일","월","화","수","목","금","토"))</f>
        <v>금</v>
      </c>
      <c r="C16" s="24" t="n">
        <f aca="false">IF($A16="","",IFERROR(IF(INDEX(출퇴근기록!$E$3:$E$3002,MATCH(1,INDEX((출퇴근기록!$A$3:$A$3002=DATE($F$3,$H$3,11))*(출퇴근기록!$B$3:$B$3002=$B$3),0),0))="","",INDEX(출퇴근기록!$E$3:$E$3002,MATCH(1,INDEX((출퇴근기록!$A$3:$A$3002=DATE($F$3,$H$3,11))*(출퇴근기록!$B$3:$B$3002=$B$3),0),0))),""))</f>
        <v>900</v>
      </c>
      <c r="D16" s="24" t="n">
        <f aca="false">IF($A16="","",IFERROR(IF(INDEX(출퇴근기록!$F$3:$F$3002,MATCH(1,INDEX((출퇴근기록!$A$3:$A$3002=DATE($F$3,$H$3,11))*(출퇴근기록!$B$3:$B$3002=$B$3),0),0))="","",INDEX(출퇴근기록!$F$3:$F$3002,MATCH(1,INDEX((출퇴근기록!$A$3:$A$3002=DATE($F$3,$H$3,11))*(출퇴근기록!$B$3:$B$3002=$B$3),0),0))),""))</f>
        <v>1730</v>
      </c>
      <c r="E16" s="17" t="n">
        <f aca="false">IF($A16="","",IFERROR(IF(INDEX(출퇴근기록!$G$3:$G$3002,MATCH(1,INDEX((출퇴근기록!$A$3:$A$3002=DATE($F$3,$H$3,11))*(출퇴근기록!$B$3:$B$3002=$B$3),0),0))="","",INDEX(출퇴근기록!$G$3:$G$3002,MATCH(1,INDEX((출퇴근기록!$A$3:$A$3002=DATE($F$3,$H$3,11))*(출퇴근기록!$B$3:$B$3002=$B$3),0),0))),""))</f>
        <v>60</v>
      </c>
      <c r="F16" s="16" t="n">
        <f aca="false">IF($A16="","",IFERROR(IF(INDEX(출퇴근기록!$H$3:$H$3002,MATCH(1,INDEX((출퇴근기록!$A$3:$A$3002=DATE($F$3,$H$3,11))*(출퇴근기록!$B$3:$B$3002=$B$3),0),0))="","",INDEX(출퇴근기록!$H$3:$H$3002,MATCH(1,INDEX((출퇴근기록!$A$3:$A$3002=DATE($F$3,$H$3,11))*(출퇴근기록!$B$3:$B$3002=$B$3),0),0))),""))</f>
        <v>7.5</v>
      </c>
      <c r="G16" s="17" t="str">
        <f aca="false">IF($A16="","",IFERROR(IF(INDEX(출퇴근기록!$I$3:$I$3002,MATCH(1,INDEX((출퇴근기록!$A$3:$A$3002=DATE($F$3,$H$3,11))*(출퇴근기록!$B$3:$B$3002=$B$3),0),0))="","",INDEX(출퇴근기록!$I$3:$I$3002,MATCH(1,INDEX((출퇴근기록!$A$3:$A$3002=DATE($F$3,$H$3,11))*(출퇴근기록!$B$3:$B$3002=$B$3),0),0))),""))</f>
        <v>평일</v>
      </c>
      <c r="H16" s="13" t="str">
        <f aca="false">IF($A16="","",IFERROR(IF(INDEX(출퇴근기록!$J$3:$J$3002,MATCH(1,INDEX((출퇴근기록!$A$3:$A$3002=DATE($F$3,$H$3,11))*(출퇴근기록!$B$3:$B$3002=$B$3),0),0))="","",INDEX(출퇴근기록!$J$3:$J$3002,MATCH(1,INDEX((출퇴근기록!$A$3:$A$3002=DATE($F$3,$H$3,11))*(출퇴근기록!$B$3:$B$3002=$B$3),0),0))),""))</f>
        <v/>
      </c>
    </row>
    <row r="17" customFormat="false" ht="15" hidden="false" customHeight="true" outlineLevel="0" collapsed="false">
      <c r="A17" s="17" t="n">
        <f aca="false">IF(MONTH(DATE($F$3,$H$3,12))&lt;&gt;$H$3,"",12)</f>
        <v>12</v>
      </c>
      <c r="B17" s="17" t="str">
        <f aca="false">IF($A17="","",CHOOSE(WEEKDAY(DATE($F$3,$H$3,12)),"일","월","화","수","목","금","토"))</f>
        <v>토</v>
      </c>
      <c r="C17" s="24" t="str">
        <f aca="false">IF($A17="","",IFERROR(IF(INDEX(출퇴근기록!$E$3:$E$3002,MATCH(1,INDEX((출퇴근기록!$A$3:$A$3002=DATE($F$3,$H$3,12))*(출퇴근기록!$B$3:$B$3002=$B$3),0),0))="","",INDEX(출퇴근기록!$E$3:$E$3002,MATCH(1,INDEX((출퇴근기록!$A$3:$A$3002=DATE($F$3,$H$3,12))*(출퇴근기록!$B$3:$B$3002=$B$3),0),0))),""))</f>
        <v/>
      </c>
      <c r="D17" s="24" t="str">
        <f aca="false">IF($A17="","",IFERROR(IF(INDEX(출퇴근기록!$F$3:$F$3002,MATCH(1,INDEX((출퇴근기록!$A$3:$A$3002=DATE($F$3,$H$3,12))*(출퇴근기록!$B$3:$B$3002=$B$3),0),0))="","",INDEX(출퇴근기록!$F$3:$F$3002,MATCH(1,INDEX((출퇴근기록!$A$3:$A$3002=DATE($F$3,$H$3,12))*(출퇴근기록!$B$3:$B$3002=$B$3),0),0))),""))</f>
        <v/>
      </c>
      <c r="E17" s="17" t="str">
        <f aca="false">IF($A17="","",IFERROR(IF(INDEX(출퇴근기록!$G$3:$G$3002,MATCH(1,INDEX((출퇴근기록!$A$3:$A$3002=DATE($F$3,$H$3,12))*(출퇴근기록!$B$3:$B$3002=$B$3),0),0))="","",INDEX(출퇴근기록!$G$3:$G$3002,MATCH(1,INDEX((출퇴근기록!$A$3:$A$3002=DATE($F$3,$H$3,12))*(출퇴근기록!$B$3:$B$3002=$B$3),0),0))),""))</f>
        <v/>
      </c>
      <c r="F17" s="16" t="str">
        <f aca="false">IF($A17="","",IFERROR(IF(INDEX(출퇴근기록!$H$3:$H$3002,MATCH(1,INDEX((출퇴근기록!$A$3:$A$3002=DATE($F$3,$H$3,12))*(출퇴근기록!$B$3:$B$3002=$B$3),0),0))="","",INDEX(출퇴근기록!$H$3:$H$3002,MATCH(1,INDEX((출퇴근기록!$A$3:$A$3002=DATE($F$3,$H$3,12))*(출퇴근기록!$B$3:$B$3002=$B$3),0),0))),""))</f>
        <v/>
      </c>
      <c r="G17" s="17" t="str">
        <f aca="false">IF($A17="","",IFERROR(IF(INDEX(출퇴근기록!$I$3:$I$3002,MATCH(1,INDEX((출퇴근기록!$A$3:$A$3002=DATE($F$3,$H$3,12))*(출퇴근기록!$B$3:$B$3002=$B$3),0),0))="","",INDEX(출퇴근기록!$I$3:$I$3002,MATCH(1,INDEX((출퇴근기록!$A$3:$A$3002=DATE($F$3,$H$3,12))*(출퇴근기록!$B$3:$B$3002=$B$3),0),0))),""))</f>
        <v/>
      </c>
      <c r="H17" s="13" t="str">
        <f aca="false">IF($A17="","",IFERROR(IF(INDEX(출퇴근기록!$J$3:$J$3002,MATCH(1,INDEX((출퇴근기록!$A$3:$A$3002=DATE($F$3,$H$3,12))*(출퇴근기록!$B$3:$B$3002=$B$3),0),0))="","",INDEX(출퇴근기록!$J$3:$J$3002,MATCH(1,INDEX((출퇴근기록!$A$3:$A$3002=DATE($F$3,$H$3,12))*(출퇴근기록!$B$3:$B$3002=$B$3),0),0))),""))</f>
        <v/>
      </c>
    </row>
    <row r="18" customFormat="false" ht="15" hidden="false" customHeight="true" outlineLevel="0" collapsed="false">
      <c r="A18" s="17" t="n">
        <f aca="false">IF(MONTH(DATE($F$3,$H$3,13))&lt;&gt;$H$3,"",13)</f>
        <v>13</v>
      </c>
      <c r="B18" s="17" t="str">
        <f aca="false">IF($A18="","",CHOOSE(WEEKDAY(DATE($F$3,$H$3,13)),"일","월","화","수","목","금","토"))</f>
        <v>일</v>
      </c>
      <c r="C18" s="24" t="str">
        <f aca="false">IF($A18="","",IFERROR(IF(INDEX(출퇴근기록!$E$3:$E$3002,MATCH(1,INDEX((출퇴근기록!$A$3:$A$3002=DATE($F$3,$H$3,13))*(출퇴근기록!$B$3:$B$3002=$B$3),0),0))="","",INDEX(출퇴근기록!$E$3:$E$3002,MATCH(1,INDEX((출퇴근기록!$A$3:$A$3002=DATE($F$3,$H$3,13))*(출퇴근기록!$B$3:$B$3002=$B$3),0),0))),""))</f>
        <v/>
      </c>
      <c r="D18" s="24" t="str">
        <f aca="false">IF($A18="","",IFERROR(IF(INDEX(출퇴근기록!$F$3:$F$3002,MATCH(1,INDEX((출퇴근기록!$A$3:$A$3002=DATE($F$3,$H$3,13))*(출퇴근기록!$B$3:$B$3002=$B$3),0),0))="","",INDEX(출퇴근기록!$F$3:$F$3002,MATCH(1,INDEX((출퇴근기록!$A$3:$A$3002=DATE($F$3,$H$3,13))*(출퇴근기록!$B$3:$B$3002=$B$3),0),0))),""))</f>
        <v/>
      </c>
      <c r="E18" s="17" t="str">
        <f aca="false">IF($A18="","",IFERROR(IF(INDEX(출퇴근기록!$G$3:$G$3002,MATCH(1,INDEX((출퇴근기록!$A$3:$A$3002=DATE($F$3,$H$3,13))*(출퇴근기록!$B$3:$B$3002=$B$3),0),0))="","",INDEX(출퇴근기록!$G$3:$G$3002,MATCH(1,INDEX((출퇴근기록!$A$3:$A$3002=DATE($F$3,$H$3,13))*(출퇴근기록!$B$3:$B$3002=$B$3),0),0))),""))</f>
        <v/>
      </c>
      <c r="F18" s="16" t="str">
        <f aca="false">IF($A18="","",IFERROR(IF(INDEX(출퇴근기록!$H$3:$H$3002,MATCH(1,INDEX((출퇴근기록!$A$3:$A$3002=DATE($F$3,$H$3,13))*(출퇴근기록!$B$3:$B$3002=$B$3),0),0))="","",INDEX(출퇴근기록!$H$3:$H$3002,MATCH(1,INDEX((출퇴근기록!$A$3:$A$3002=DATE($F$3,$H$3,13))*(출퇴근기록!$B$3:$B$3002=$B$3),0),0))),""))</f>
        <v/>
      </c>
      <c r="G18" s="17" t="str">
        <f aca="false">IF($A18="","",IFERROR(IF(INDEX(출퇴근기록!$I$3:$I$3002,MATCH(1,INDEX((출퇴근기록!$A$3:$A$3002=DATE($F$3,$H$3,13))*(출퇴근기록!$B$3:$B$3002=$B$3),0),0))="","",INDEX(출퇴근기록!$I$3:$I$3002,MATCH(1,INDEX((출퇴근기록!$A$3:$A$3002=DATE($F$3,$H$3,13))*(출퇴근기록!$B$3:$B$3002=$B$3),0),0))),""))</f>
        <v/>
      </c>
      <c r="H18" s="13" t="str">
        <f aca="false">IF($A18="","",IFERROR(IF(INDEX(출퇴근기록!$J$3:$J$3002,MATCH(1,INDEX((출퇴근기록!$A$3:$A$3002=DATE($F$3,$H$3,13))*(출퇴근기록!$B$3:$B$3002=$B$3),0),0))="","",INDEX(출퇴근기록!$J$3:$J$3002,MATCH(1,INDEX((출퇴근기록!$A$3:$A$3002=DATE($F$3,$H$3,13))*(출퇴근기록!$B$3:$B$3002=$B$3),0),0))),""))</f>
        <v/>
      </c>
    </row>
    <row r="19" customFormat="false" ht="15" hidden="false" customHeight="true" outlineLevel="0" collapsed="false">
      <c r="A19" s="17" t="n">
        <f aca="false">IF(MONTH(DATE($F$3,$H$3,14))&lt;&gt;$H$3,"",14)</f>
        <v>14</v>
      </c>
      <c r="B19" s="17" t="str">
        <f aca="false">IF($A19="","",CHOOSE(WEEKDAY(DATE($F$3,$H$3,14)),"일","월","화","수","목","금","토"))</f>
        <v>월</v>
      </c>
      <c r="C19" s="24" t="str">
        <f aca="false">IF($A19="","",IFERROR(IF(INDEX(출퇴근기록!$E$3:$E$3002,MATCH(1,INDEX((출퇴근기록!$A$3:$A$3002=DATE($F$3,$H$3,14))*(출퇴근기록!$B$3:$B$3002=$B$3),0),0))="","",INDEX(출퇴근기록!$E$3:$E$3002,MATCH(1,INDEX((출퇴근기록!$A$3:$A$3002=DATE($F$3,$H$3,14))*(출퇴근기록!$B$3:$B$3002=$B$3),0),0))),""))</f>
        <v/>
      </c>
      <c r="D19" s="24" t="str">
        <f aca="false">IF($A19="","",IFERROR(IF(INDEX(출퇴근기록!$F$3:$F$3002,MATCH(1,INDEX((출퇴근기록!$A$3:$A$3002=DATE($F$3,$H$3,14))*(출퇴근기록!$B$3:$B$3002=$B$3),0),0))="","",INDEX(출퇴근기록!$F$3:$F$3002,MATCH(1,INDEX((출퇴근기록!$A$3:$A$3002=DATE($F$3,$H$3,14))*(출퇴근기록!$B$3:$B$3002=$B$3),0),0))),""))</f>
        <v/>
      </c>
      <c r="E19" s="17" t="str">
        <f aca="false">IF($A19="","",IFERROR(IF(INDEX(출퇴근기록!$G$3:$G$3002,MATCH(1,INDEX((출퇴근기록!$A$3:$A$3002=DATE($F$3,$H$3,14))*(출퇴근기록!$B$3:$B$3002=$B$3),0),0))="","",INDEX(출퇴근기록!$G$3:$G$3002,MATCH(1,INDEX((출퇴근기록!$A$3:$A$3002=DATE($F$3,$H$3,14))*(출퇴근기록!$B$3:$B$3002=$B$3),0),0))),""))</f>
        <v/>
      </c>
      <c r="F19" s="16" t="str">
        <f aca="false">IF($A19="","",IFERROR(IF(INDEX(출퇴근기록!$H$3:$H$3002,MATCH(1,INDEX((출퇴근기록!$A$3:$A$3002=DATE($F$3,$H$3,14))*(출퇴근기록!$B$3:$B$3002=$B$3),0),0))="","",INDEX(출퇴근기록!$H$3:$H$3002,MATCH(1,INDEX((출퇴근기록!$A$3:$A$3002=DATE($F$3,$H$3,14))*(출퇴근기록!$B$3:$B$3002=$B$3),0),0))),""))</f>
        <v/>
      </c>
      <c r="G19" s="17" t="str">
        <f aca="false">IF($A19="","",IFERROR(IF(INDEX(출퇴근기록!$I$3:$I$3002,MATCH(1,INDEX((출퇴근기록!$A$3:$A$3002=DATE($F$3,$H$3,14))*(출퇴근기록!$B$3:$B$3002=$B$3),0),0))="","",INDEX(출퇴근기록!$I$3:$I$3002,MATCH(1,INDEX((출퇴근기록!$A$3:$A$3002=DATE($F$3,$H$3,14))*(출퇴근기록!$B$3:$B$3002=$B$3),0),0))),""))</f>
        <v/>
      </c>
      <c r="H19" s="13" t="str">
        <f aca="false">IF($A19="","",IFERROR(IF(INDEX(출퇴근기록!$J$3:$J$3002,MATCH(1,INDEX((출퇴근기록!$A$3:$A$3002=DATE($F$3,$H$3,14))*(출퇴근기록!$B$3:$B$3002=$B$3),0),0))="","",INDEX(출퇴근기록!$J$3:$J$3002,MATCH(1,INDEX((출퇴근기록!$A$3:$A$3002=DATE($F$3,$H$3,14))*(출퇴근기록!$B$3:$B$3002=$B$3),0),0))),""))</f>
        <v/>
      </c>
    </row>
    <row r="20" customFormat="false" ht="15" hidden="false" customHeight="true" outlineLevel="0" collapsed="false">
      <c r="A20" s="17" t="n">
        <f aca="false">IF(MONTH(DATE($F$3,$H$3,15))&lt;&gt;$H$3,"",15)</f>
        <v>15</v>
      </c>
      <c r="B20" s="17" t="str">
        <f aca="false">IF($A20="","",CHOOSE(WEEKDAY(DATE($F$3,$H$3,15)),"일","월","화","수","목","금","토"))</f>
        <v>화</v>
      </c>
      <c r="C20" s="24" t="str">
        <f aca="false">IF($A20="","",IFERROR(IF(INDEX(출퇴근기록!$E$3:$E$3002,MATCH(1,INDEX((출퇴근기록!$A$3:$A$3002=DATE($F$3,$H$3,15))*(출퇴근기록!$B$3:$B$3002=$B$3),0),0))="","",INDEX(출퇴근기록!$E$3:$E$3002,MATCH(1,INDEX((출퇴근기록!$A$3:$A$3002=DATE($F$3,$H$3,15))*(출퇴근기록!$B$3:$B$3002=$B$3),0),0))),""))</f>
        <v/>
      </c>
      <c r="D20" s="24" t="str">
        <f aca="false">IF($A20="","",IFERROR(IF(INDEX(출퇴근기록!$F$3:$F$3002,MATCH(1,INDEX((출퇴근기록!$A$3:$A$3002=DATE($F$3,$H$3,15))*(출퇴근기록!$B$3:$B$3002=$B$3),0),0))="","",INDEX(출퇴근기록!$F$3:$F$3002,MATCH(1,INDEX((출퇴근기록!$A$3:$A$3002=DATE($F$3,$H$3,15))*(출퇴근기록!$B$3:$B$3002=$B$3),0),0))),""))</f>
        <v/>
      </c>
      <c r="E20" s="17" t="str">
        <f aca="false">IF($A20="","",IFERROR(IF(INDEX(출퇴근기록!$G$3:$G$3002,MATCH(1,INDEX((출퇴근기록!$A$3:$A$3002=DATE($F$3,$H$3,15))*(출퇴근기록!$B$3:$B$3002=$B$3),0),0))="","",INDEX(출퇴근기록!$G$3:$G$3002,MATCH(1,INDEX((출퇴근기록!$A$3:$A$3002=DATE($F$3,$H$3,15))*(출퇴근기록!$B$3:$B$3002=$B$3),0),0))),""))</f>
        <v/>
      </c>
      <c r="F20" s="16" t="str">
        <f aca="false">IF($A20="","",IFERROR(IF(INDEX(출퇴근기록!$H$3:$H$3002,MATCH(1,INDEX((출퇴근기록!$A$3:$A$3002=DATE($F$3,$H$3,15))*(출퇴근기록!$B$3:$B$3002=$B$3),0),0))="","",INDEX(출퇴근기록!$H$3:$H$3002,MATCH(1,INDEX((출퇴근기록!$A$3:$A$3002=DATE($F$3,$H$3,15))*(출퇴근기록!$B$3:$B$3002=$B$3),0),0))),""))</f>
        <v/>
      </c>
      <c r="G20" s="17" t="str">
        <f aca="false">IF($A20="","",IFERROR(IF(INDEX(출퇴근기록!$I$3:$I$3002,MATCH(1,INDEX((출퇴근기록!$A$3:$A$3002=DATE($F$3,$H$3,15))*(출퇴근기록!$B$3:$B$3002=$B$3),0),0))="","",INDEX(출퇴근기록!$I$3:$I$3002,MATCH(1,INDEX((출퇴근기록!$A$3:$A$3002=DATE($F$3,$H$3,15))*(출퇴근기록!$B$3:$B$3002=$B$3),0),0))),""))</f>
        <v/>
      </c>
      <c r="H20" s="13" t="str">
        <f aca="false">IF($A20="","",IFERROR(IF(INDEX(출퇴근기록!$J$3:$J$3002,MATCH(1,INDEX((출퇴근기록!$A$3:$A$3002=DATE($F$3,$H$3,15))*(출퇴근기록!$B$3:$B$3002=$B$3),0),0))="","",INDEX(출퇴근기록!$J$3:$J$3002,MATCH(1,INDEX((출퇴근기록!$A$3:$A$3002=DATE($F$3,$H$3,15))*(출퇴근기록!$B$3:$B$3002=$B$3),0),0))),""))</f>
        <v/>
      </c>
    </row>
    <row r="21" customFormat="false" ht="15" hidden="false" customHeight="true" outlineLevel="0" collapsed="false">
      <c r="A21" s="17" t="n">
        <f aca="false">IF(MONTH(DATE($F$3,$H$3,16))&lt;&gt;$H$3,"",16)</f>
        <v>16</v>
      </c>
      <c r="B21" s="17" t="str">
        <f aca="false">IF($A21="","",CHOOSE(WEEKDAY(DATE($F$3,$H$3,16)),"일","월","화","수","목","금","토"))</f>
        <v>수</v>
      </c>
      <c r="C21" s="24" t="str">
        <f aca="false">IF($A21="","",IFERROR(IF(INDEX(출퇴근기록!$E$3:$E$3002,MATCH(1,INDEX((출퇴근기록!$A$3:$A$3002=DATE($F$3,$H$3,16))*(출퇴근기록!$B$3:$B$3002=$B$3),0),0))="","",INDEX(출퇴근기록!$E$3:$E$3002,MATCH(1,INDEX((출퇴근기록!$A$3:$A$3002=DATE($F$3,$H$3,16))*(출퇴근기록!$B$3:$B$3002=$B$3),0),0))),""))</f>
        <v/>
      </c>
      <c r="D21" s="24" t="str">
        <f aca="false">IF($A21="","",IFERROR(IF(INDEX(출퇴근기록!$F$3:$F$3002,MATCH(1,INDEX((출퇴근기록!$A$3:$A$3002=DATE($F$3,$H$3,16))*(출퇴근기록!$B$3:$B$3002=$B$3),0),0))="","",INDEX(출퇴근기록!$F$3:$F$3002,MATCH(1,INDEX((출퇴근기록!$A$3:$A$3002=DATE($F$3,$H$3,16))*(출퇴근기록!$B$3:$B$3002=$B$3),0),0))),""))</f>
        <v/>
      </c>
      <c r="E21" s="17" t="str">
        <f aca="false">IF($A21="","",IFERROR(IF(INDEX(출퇴근기록!$G$3:$G$3002,MATCH(1,INDEX((출퇴근기록!$A$3:$A$3002=DATE($F$3,$H$3,16))*(출퇴근기록!$B$3:$B$3002=$B$3),0),0))="","",INDEX(출퇴근기록!$G$3:$G$3002,MATCH(1,INDEX((출퇴근기록!$A$3:$A$3002=DATE($F$3,$H$3,16))*(출퇴근기록!$B$3:$B$3002=$B$3),0),0))),""))</f>
        <v/>
      </c>
      <c r="F21" s="16" t="str">
        <f aca="false">IF($A21="","",IFERROR(IF(INDEX(출퇴근기록!$H$3:$H$3002,MATCH(1,INDEX((출퇴근기록!$A$3:$A$3002=DATE($F$3,$H$3,16))*(출퇴근기록!$B$3:$B$3002=$B$3),0),0))="","",INDEX(출퇴근기록!$H$3:$H$3002,MATCH(1,INDEX((출퇴근기록!$A$3:$A$3002=DATE($F$3,$H$3,16))*(출퇴근기록!$B$3:$B$3002=$B$3),0),0))),""))</f>
        <v/>
      </c>
      <c r="G21" s="17" t="str">
        <f aca="false">IF($A21="","",IFERROR(IF(INDEX(출퇴근기록!$I$3:$I$3002,MATCH(1,INDEX((출퇴근기록!$A$3:$A$3002=DATE($F$3,$H$3,16))*(출퇴근기록!$B$3:$B$3002=$B$3),0),0))="","",INDEX(출퇴근기록!$I$3:$I$3002,MATCH(1,INDEX((출퇴근기록!$A$3:$A$3002=DATE($F$3,$H$3,16))*(출퇴근기록!$B$3:$B$3002=$B$3),0),0))),""))</f>
        <v/>
      </c>
      <c r="H21" s="13" t="str">
        <f aca="false">IF($A21="","",IFERROR(IF(INDEX(출퇴근기록!$J$3:$J$3002,MATCH(1,INDEX((출퇴근기록!$A$3:$A$3002=DATE($F$3,$H$3,16))*(출퇴근기록!$B$3:$B$3002=$B$3),0),0))="","",INDEX(출퇴근기록!$J$3:$J$3002,MATCH(1,INDEX((출퇴근기록!$A$3:$A$3002=DATE($F$3,$H$3,16))*(출퇴근기록!$B$3:$B$3002=$B$3),0),0))),""))</f>
        <v/>
      </c>
    </row>
    <row r="22" customFormat="false" ht="15" hidden="false" customHeight="true" outlineLevel="0" collapsed="false">
      <c r="A22" s="17" t="n">
        <f aca="false">IF(MONTH(DATE($F$3,$H$3,17))&lt;&gt;$H$3,"",17)</f>
        <v>17</v>
      </c>
      <c r="B22" s="17" t="str">
        <f aca="false">IF($A22="","",CHOOSE(WEEKDAY(DATE($F$3,$H$3,17)),"일","월","화","수","목","금","토"))</f>
        <v>목</v>
      </c>
      <c r="C22" s="24" t="str">
        <f aca="false">IF($A22="","",IFERROR(IF(INDEX(출퇴근기록!$E$3:$E$3002,MATCH(1,INDEX((출퇴근기록!$A$3:$A$3002=DATE($F$3,$H$3,17))*(출퇴근기록!$B$3:$B$3002=$B$3),0),0))="","",INDEX(출퇴근기록!$E$3:$E$3002,MATCH(1,INDEX((출퇴근기록!$A$3:$A$3002=DATE($F$3,$H$3,17))*(출퇴근기록!$B$3:$B$3002=$B$3),0),0))),""))</f>
        <v/>
      </c>
      <c r="D22" s="24" t="str">
        <f aca="false">IF($A22="","",IFERROR(IF(INDEX(출퇴근기록!$F$3:$F$3002,MATCH(1,INDEX((출퇴근기록!$A$3:$A$3002=DATE($F$3,$H$3,17))*(출퇴근기록!$B$3:$B$3002=$B$3),0),0))="","",INDEX(출퇴근기록!$F$3:$F$3002,MATCH(1,INDEX((출퇴근기록!$A$3:$A$3002=DATE($F$3,$H$3,17))*(출퇴근기록!$B$3:$B$3002=$B$3),0),0))),""))</f>
        <v/>
      </c>
      <c r="E22" s="17" t="str">
        <f aca="false">IF($A22="","",IFERROR(IF(INDEX(출퇴근기록!$G$3:$G$3002,MATCH(1,INDEX((출퇴근기록!$A$3:$A$3002=DATE($F$3,$H$3,17))*(출퇴근기록!$B$3:$B$3002=$B$3),0),0))="","",INDEX(출퇴근기록!$G$3:$G$3002,MATCH(1,INDEX((출퇴근기록!$A$3:$A$3002=DATE($F$3,$H$3,17))*(출퇴근기록!$B$3:$B$3002=$B$3),0),0))),""))</f>
        <v/>
      </c>
      <c r="F22" s="16" t="str">
        <f aca="false">IF($A22="","",IFERROR(IF(INDEX(출퇴근기록!$H$3:$H$3002,MATCH(1,INDEX((출퇴근기록!$A$3:$A$3002=DATE($F$3,$H$3,17))*(출퇴근기록!$B$3:$B$3002=$B$3),0),0))="","",INDEX(출퇴근기록!$H$3:$H$3002,MATCH(1,INDEX((출퇴근기록!$A$3:$A$3002=DATE($F$3,$H$3,17))*(출퇴근기록!$B$3:$B$3002=$B$3),0),0))),""))</f>
        <v/>
      </c>
      <c r="G22" s="17" t="str">
        <f aca="false">IF($A22="","",IFERROR(IF(INDEX(출퇴근기록!$I$3:$I$3002,MATCH(1,INDEX((출퇴근기록!$A$3:$A$3002=DATE($F$3,$H$3,17))*(출퇴근기록!$B$3:$B$3002=$B$3),0),0))="","",INDEX(출퇴근기록!$I$3:$I$3002,MATCH(1,INDEX((출퇴근기록!$A$3:$A$3002=DATE($F$3,$H$3,17))*(출퇴근기록!$B$3:$B$3002=$B$3),0),0))),""))</f>
        <v/>
      </c>
      <c r="H22" s="13" t="str">
        <f aca="false">IF($A22="","",IFERROR(IF(INDEX(출퇴근기록!$J$3:$J$3002,MATCH(1,INDEX((출퇴근기록!$A$3:$A$3002=DATE($F$3,$H$3,17))*(출퇴근기록!$B$3:$B$3002=$B$3),0),0))="","",INDEX(출퇴근기록!$J$3:$J$3002,MATCH(1,INDEX((출퇴근기록!$A$3:$A$3002=DATE($F$3,$H$3,17))*(출퇴근기록!$B$3:$B$3002=$B$3),0),0))),""))</f>
        <v/>
      </c>
    </row>
    <row r="23" customFormat="false" ht="15" hidden="false" customHeight="true" outlineLevel="0" collapsed="false">
      <c r="A23" s="17" t="n">
        <f aca="false">IF(MONTH(DATE($F$3,$H$3,18))&lt;&gt;$H$3,"",18)</f>
        <v>18</v>
      </c>
      <c r="B23" s="17" t="str">
        <f aca="false">IF($A23="","",CHOOSE(WEEKDAY(DATE($F$3,$H$3,18)),"일","월","화","수","목","금","토"))</f>
        <v>금</v>
      </c>
      <c r="C23" s="24" t="str">
        <f aca="false">IF($A23="","",IFERROR(IF(INDEX(출퇴근기록!$E$3:$E$3002,MATCH(1,INDEX((출퇴근기록!$A$3:$A$3002=DATE($F$3,$H$3,18))*(출퇴근기록!$B$3:$B$3002=$B$3),0),0))="","",INDEX(출퇴근기록!$E$3:$E$3002,MATCH(1,INDEX((출퇴근기록!$A$3:$A$3002=DATE($F$3,$H$3,18))*(출퇴근기록!$B$3:$B$3002=$B$3),0),0))),""))</f>
        <v/>
      </c>
      <c r="D23" s="24" t="str">
        <f aca="false">IF($A23="","",IFERROR(IF(INDEX(출퇴근기록!$F$3:$F$3002,MATCH(1,INDEX((출퇴근기록!$A$3:$A$3002=DATE($F$3,$H$3,18))*(출퇴근기록!$B$3:$B$3002=$B$3),0),0))="","",INDEX(출퇴근기록!$F$3:$F$3002,MATCH(1,INDEX((출퇴근기록!$A$3:$A$3002=DATE($F$3,$H$3,18))*(출퇴근기록!$B$3:$B$3002=$B$3),0),0))),""))</f>
        <v/>
      </c>
      <c r="E23" s="17" t="str">
        <f aca="false">IF($A23="","",IFERROR(IF(INDEX(출퇴근기록!$G$3:$G$3002,MATCH(1,INDEX((출퇴근기록!$A$3:$A$3002=DATE($F$3,$H$3,18))*(출퇴근기록!$B$3:$B$3002=$B$3),0),0))="","",INDEX(출퇴근기록!$G$3:$G$3002,MATCH(1,INDEX((출퇴근기록!$A$3:$A$3002=DATE($F$3,$H$3,18))*(출퇴근기록!$B$3:$B$3002=$B$3),0),0))),""))</f>
        <v/>
      </c>
      <c r="F23" s="16" t="str">
        <f aca="false">IF($A23="","",IFERROR(IF(INDEX(출퇴근기록!$H$3:$H$3002,MATCH(1,INDEX((출퇴근기록!$A$3:$A$3002=DATE($F$3,$H$3,18))*(출퇴근기록!$B$3:$B$3002=$B$3),0),0))="","",INDEX(출퇴근기록!$H$3:$H$3002,MATCH(1,INDEX((출퇴근기록!$A$3:$A$3002=DATE($F$3,$H$3,18))*(출퇴근기록!$B$3:$B$3002=$B$3),0),0))),""))</f>
        <v/>
      </c>
      <c r="G23" s="17" t="str">
        <f aca="false">IF($A23="","",IFERROR(IF(INDEX(출퇴근기록!$I$3:$I$3002,MATCH(1,INDEX((출퇴근기록!$A$3:$A$3002=DATE($F$3,$H$3,18))*(출퇴근기록!$B$3:$B$3002=$B$3),0),0))="","",INDEX(출퇴근기록!$I$3:$I$3002,MATCH(1,INDEX((출퇴근기록!$A$3:$A$3002=DATE($F$3,$H$3,18))*(출퇴근기록!$B$3:$B$3002=$B$3),0),0))),""))</f>
        <v/>
      </c>
      <c r="H23" s="13" t="str">
        <f aca="false">IF($A23="","",IFERROR(IF(INDEX(출퇴근기록!$J$3:$J$3002,MATCH(1,INDEX((출퇴근기록!$A$3:$A$3002=DATE($F$3,$H$3,18))*(출퇴근기록!$B$3:$B$3002=$B$3),0),0))="","",INDEX(출퇴근기록!$J$3:$J$3002,MATCH(1,INDEX((출퇴근기록!$A$3:$A$3002=DATE($F$3,$H$3,18))*(출퇴근기록!$B$3:$B$3002=$B$3),0),0))),""))</f>
        <v/>
      </c>
    </row>
    <row r="24" customFormat="false" ht="15" hidden="false" customHeight="true" outlineLevel="0" collapsed="false">
      <c r="A24" s="17" t="n">
        <f aca="false">IF(MONTH(DATE($F$3,$H$3,19))&lt;&gt;$H$3,"",19)</f>
        <v>19</v>
      </c>
      <c r="B24" s="17" t="str">
        <f aca="false">IF($A24="","",CHOOSE(WEEKDAY(DATE($F$3,$H$3,19)),"일","월","화","수","목","금","토"))</f>
        <v>토</v>
      </c>
      <c r="C24" s="24" t="str">
        <f aca="false">IF($A24="","",IFERROR(IF(INDEX(출퇴근기록!$E$3:$E$3002,MATCH(1,INDEX((출퇴근기록!$A$3:$A$3002=DATE($F$3,$H$3,19))*(출퇴근기록!$B$3:$B$3002=$B$3),0),0))="","",INDEX(출퇴근기록!$E$3:$E$3002,MATCH(1,INDEX((출퇴근기록!$A$3:$A$3002=DATE($F$3,$H$3,19))*(출퇴근기록!$B$3:$B$3002=$B$3),0),0))),""))</f>
        <v/>
      </c>
      <c r="D24" s="24" t="str">
        <f aca="false">IF($A24="","",IFERROR(IF(INDEX(출퇴근기록!$F$3:$F$3002,MATCH(1,INDEX((출퇴근기록!$A$3:$A$3002=DATE($F$3,$H$3,19))*(출퇴근기록!$B$3:$B$3002=$B$3),0),0))="","",INDEX(출퇴근기록!$F$3:$F$3002,MATCH(1,INDEX((출퇴근기록!$A$3:$A$3002=DATE($F$3,$H$3,19))*(출퇴근기록!$B$3:$B$3002=$B$3),0),0))),""))</f>
        <v/>
      </c>
      <c r="E24" s="17" t="str">
        <f aca="false">IF($A24="","",IFERROR(IF(INDEX(출퇴근기록!$G$3:$G$3002,MATCH(1,INDEX((출퇴근기록!$A$3:$A$3002=DATE($F$3,$H$3,19))*(출퇴근기록!$B$3:$B$3002=$B$3),0),0))="","",INDEX(출퇴근기록!$G$3:$G$3002,MATCH(1,INDEX((출퇴근기록!$A$3:$A$3002=DATE($F$3,$H$3,19))*(출퇴근기록!$B$3:$B$3002=$B$3),0),0))),""))</f>
        <v/>
      </c>
      <c r="F24" s="16" t="str">
        <f aca="false">IF($A24="","",IFERROR(IF(INDEX(출퇴근기록!$H$3:$H$3002,MATCH(1,INDEX((출퇴근기록!$A$3:$A$3002=DATE($F$3,$H$3,19))*(출퇴근기록!$B$3:$B$3002=$B$3),0),0))="","",INDEX(출퇴근기록!$H$3:$H$3002,MATCH(1,INDEX((출퇴근기록!$A$3:$A$3002=DATE($F$3,$H$3,19))*(출퇴근기록!$B$3:$B$3002=$B$3),0),0))),""))</f>
        <v/>
      </c>
      <c r="G24" s="17" t="str">
        <f aca="false">IF($A24="","",IFERROR(IF(INDEX(출퇴근기록!$I$3:$I$3002,MATCH(1,INDEX((출퇴근기록!$A$3:$A$3002=DATE($F$3,$H$3,19))*(출퇴근기록!$B$3:$B$3002=$B$3),0),0))="","",INDEX(출퇴근기록!$I$3:$I$3002,MATCH(1,INDEX((출퇴근기록!$A$3:$A$3002=DATE($F$3,$H$3,19))*(출퇴근기록!$B$3:$B$3002=$B$3),0),0))),""))</f>
        <v/>
      </c>
      <c r="H24" s="13" t="str">
        <f aca="false">IF($A24="","",IFERROR(IF(INDEX(출퇴근기록!$J$3:$J$3002,MATCH(1,INDEX((출퇴근기록!$A$3:$A$3002=DATE($F$3,$H$3,19))*(출퇴근기록!$B$3:$B$3002=$B$3),0),0))="","",INDEX(출퇴근기록!$J$3:$J$3002,MATCH(1,INDEX((출퇴근기록!$A$3:$A$3002=DATE($F$3,$H$3,19))*(출퇴근기록!$B$3:$B$3002=$B$3),0),0))),""))</f>
        <v/>
      </c>
    </row>
    <row r="25" customFormat="false" ht="15" hidden="false" customHeight="true" outlineLevel="0" collapsed="false">
      <c r="A25" s="17" t="n">
        <f aca="false">IF(MONTH(DATE($F$3,$H$3,20))&lt;&gt;$H$3,"",20)</f>
        <v>20</v>
      </c>
      <c r="B25" s="17" t="str">
        <f aca="false">IF($A25="","",CHOOSE(WEEKDAY(DATE($F$3,$H$3,20)),"일","월","화","수","목","금","토"))</f>
        <v>일</v>
      </c>
      <c r="C25" s="24" t="str">
        <f aca="false">IF($A25="","",IFERROR(IF(INDEX(출퇴근기록!$E$3:$E$3002,MATCH(1,INDEX((출퇴근기록!$A$3:$A$3002=DATE($F$3,$H$3,20))*(출퇴근기록!$B$3:$B$3002=$B$3),0),0))="","",INDEX(출퇴근기록!$E$3:$E$3002,MATCH(1,INDEX((출퇴근기록!$A$3:$A$3002=DATE($F$3,$H$3,20))*(출퇴근기록!$B$3:$B$3002=$B$3),0),0))),""))</f>
        <v/>
      </c>
      <c r="D25" s="24" t="str">
        <f aca="false">IF($A25="","",IFERROR(IF(INDEX(출퇴근기록!$F$3:$F$3002,MATCH(1,INDEX((출퇴근기록!$A$3:$A$3002=DATE($F$3,$H$3,20))*(출퇴근기록!$B$3:$B$3002=$B$3),0),0))="","",INDEX(출퇴근기록!$F$3:$F$3002,MATCH(1,INDEX((출퇴근기록!$A$3:$A$3002=DATE($F$3,$H$3,20))*(출퇴근기록!$B$3:$B$3002=$B$3),0),0))),""))</f>
        <v/>
      </c>
      <c r="E25" s="17" t="str">
        <f aca="false">IF($A25="","",IFERROR(IF(INDEX(출퇴근기록!$G$3:$G$3002,MATCH(1,INDEX((출퇴근기록!$A$3:$A$3002=DATE($F$3,$H$3,20))*(출퇴근기록!$B$3:$B$3002=$B$3),0),0))="","",INDEX(출퇴근기록!$G$3:$G$3002,MATCH(1,INDEX((출퇴근기록!$A$3:$A$3002=DATE($F$3,$H$3,20))*(출퇴근기록!$B$3:$B$3002=$B$3),0),0))),""))</f>
        <v/>
      </c>
      <c r="F25" s="16" t="str">
        <f aca="false">IF($A25="","",IFERROR(IF(INDEX(출퇴근기록!$H$3:$H$3002,MATCH(1,INDEX((출퇴근기록!$A$3:$A$3002=DATE($F$3,$H$3,20))*(출퇴근기록!$B$3:$B$3002=$B$3),0),0))="","",INDEX(출퇴근기록!$H$3:$H$3002,MATCH(1,INDEX((출퇴근기록!$A$3:$A$3002=DATE($F$3,$H$3,20))*(출퇴근기록!$B$3:$B$3002=$B$3),0),0))),""))</f>
        <v/>
      </c>
      <c r="G25" s="17" t="str">
        <f aca="false">IF($A25="","",IFERROR(IF(INDEX(출퇴근기록!$I$3:$I$3002,MATCH(1,INDEX((출퇴근기록!$A$3:$A$3002=DATE($F$3,$H$3,20))*(출퇴근기록!$B$3:$B$3002=$B$3),0),0))="","",INDEX(출퇴근기록!$I$3:$I$3002,MATCH(1,INDEX((출퇴근기록!$A$3:$A$3002=DATE($F$3,$H$3,20))*(출퇴근기록!$B$3:$B$3002=$B$3),0),0))),""))</f>
        <v/>
      </c>
      <c r="H25" s="13" t="str">
        <f aca="false">IF($A25="","",IFERROR(IF(INDEX(출퇴근기록!$J$3:$J$3002,MATCH(1,INDEX((출퇴근기록!$A$3:$A$3002=DATE($F$3,$H$3,20))*(출퇴근기록!$B$3:$B$3002=$B$3),0),0))="","",INDEX(출퇴근기록!$J$3:$J$3002,MATCH(1,INDEX((출퇴근기록!$A$3:$A$3002=DATE($F$3,$H$3,20))*(출퇴근기록!$B$3:$B$3002=$B$3),0),0))),""))</f>
        <v/>
      </c>
    </row>
    <row r="26" customFormat="false" ht="15" hidden="false" customHeight="true" outlineLevel="0" collapsed="false">
      <c r="A26" s="17" t="n">
        <f aca="false">IF(MONTH(DATE($F$3,$H$3,21))&lt;&gt;$H$3,"",21)</f>
        <v>21</v>
      </c>
      <c r="B26" s="17" t="str">
        <f aca="false">IF($A26="","",CHOOSE(WEEKDAY(DATE($F$3,$H$3,21)),"일","월","화","수","목","금","토"))</f>
        <v>월</v>
      </c>
      <c r="C26" s="24" t="str">
        <f aca="false">IF($A26="","",IFERROR(IF(INDEX(출퇴근기록!$E$3:$E$3002,MATCH(1,INDEX((출퇴근기록!$A$3:$A$3002=DATE($F$3,$H$3,21))*(출퇴근기록!$B$3:$B$3002=$B$3),0),0))="","",INDEX(출퇴근기록!$E$3:$E$3002,MATCH(1,INDEX((출퇴근기록!$A$3:$A$3002=DATE($F$3,$H$3,21))*(출퇴근기록!$B$3:$B$3002=$B$3),0),0))),""))</f>
        <v/>
      </c>
      <c r="D26" s="24" t="str">
        <f aca="false">IF($A26="","",IFERROR(IF(INDEX(출퇴근기록!$F$3:$F$3002,MATCH(1,INDEX((출퇴근기록!$A$3:$A$3002=DATE($F$3,$H$3,21))*(출퇴근기록!$B$3:$B$3002=$B$3),0),0))="","",INDEX(출퇴근기록!$F$3:$F$3002,MATCH(1,INDEX((출퇴근기록!$A$3:$A$3002=DATE($F$3,$H$3,21))*(출퇴근기록!$B$3:$B$3002=$B$3),0),0))),""))</f>
        <v/>
      </c>
      <c r="E26" s="17" t="str">
        <f aca="false">IF($A26="","",IFERROR(IF(INDEX(출퇴근기록!$G$3:$G$3002,MATCH(1,INDEX((출퇴근기록!$A$3:$A$3002=DATE($F$3,$H$3,21))*(출퇴근기록!$B$3:$B$3002=$B$3),0),0))="","",INDEX(출퇴근기록!$G$3:$G$3002,MATCH(1,INDEX((출퇴근기록!$A$3:$A$3002=DATE($F$3,$H$3,21))*(출퇴근기록!$B$3:$B$3002=$B$3),0),0))),""))</f>
        <v/>
      </c>
      <c r="F26" s="16" t="str">
        <f aca="false">IF($A26="","",IFERROR(IF(INDEX(출퇴근기록!$H$3:$H$3002,MATCH(1,INDEX((출퇴근기록!$A$3:$A$3002=DATE($F$3,$H$3,21))*(출퇴근기록!$B$3:$B$3002=$B$3),0),0))="","",INDEX(출퇴근기록!$H$3:$H$3002,MATCH(1,INDEX((출퇴근기록!$A$3:$A$3002=DATE($F$3,$H$3,21))*(출퇴근기록!$B$3:$B$3002=$B$3),0),0))),""))</f>
        <v/>
      </c>
      <c r="G26" s="17" t="str">
        <f aca="false">IF($A26="","",IFERROR(IF(INDEX(출퇴근기록!$I$3:$I$3002,MATCH(1,INDEX((출퇴근기록!$A$3:$A$3002=DATE($F$3,$H$3,21))*(출퇴근기록!$B$3:$B$3002=$B$3),0),0))="","",INDEX(출퇴근기록!$I$3:$I$3002,MATCH(1,INDEX((출퇴근기록!$A$3:$A$3002=DATE($F$3,$H$3,21))*(출퇴근기록!$B$3:$B$3002=$B$3),0),0))),""))</f>
        <v/>
      </c>
      <c r="H26" s="13" t="str">
        <f aca="false">IF($A26="","",IFERROR(IF(INDEX(출퇴근기록!$J$3:$J$3002,MATCH(1,INDEX((출퇴근기록!$A$3:$A$3002=DATE($F$3,$H$3,21))*(출퇴근기록!$B$3:$B$3002=$B$3),0),0))="","",INDEX(출퇴근기록!$J$3:$J$3002,MATCH(1,INDEX((출퇴근기록!$A$3:$A$3002=DATE($F$3,$H$3,21))*(출퇴근기록!$B$3:$B$3002=$B$3),0),0))),""))</f>
        <v/>
      </c>
    </row>
    <row r="27" customFormat="false" ht="15" hidden="false" customHeight="true" outlineLevel="0" collapsed="false">
      <c r="A27" s="17" t="n">
        <f aca="false">IF(MONTH(DATE($F$3,$H$3,22))&lt;&gt;$H$3,"",22)</f>
        <v>22</v>
      </c>
      <c r="B27" s="17" t="str">
        <f aca="false">IF($A27="","",CHOOSE(WEEKDAY(DATE($F$3,$H$3,22)),"일","월","화","수","목","금","토"))</f>
        <v>화</v>
      </c>
      <c r="C27" s="24" t="str">
        <f aca="false">IF($A27="","",IFERROR(IF(INDEX(출퇴근기록!$E$3:$E$3002,MATCH(1,INDEX((출퇴근기록!$A$3:$A$3002=DATE($F$3,$H$3,22))*(출퇴근기록!$B$3:$B$3002=$B$3),0),0))="","",INDEX(출퇴근기록!$E$3:$E$3002,MATCH(1,INDEX((출퇴근기록!$A$3:$A$3002=DATE($F$3,$H$3,22))*(출퇴근기록!$B$3:$B$3002=$B$3),0),0))),""))</f>
        <v/>
      </c>
      <c r="D27" s="24" t="str">
        <f aca="false">IF($A27="","",IFERROR(IF(INDEX(출퇴근기록!$F$3:$F$3002,MATCH(1,INDEX((출퇴근기록!$A$3:$A$3002=DATE($F$3,$H$3,22))*(출퇴근기록!$B$3:$B$3002=$B$3),0),0))="","",INDEX(출퇴근기록!$F$3:$F$3002,MATCH(1,INDEX((출퇴근기록!$A$3:$A$3002=DATE($F$3,$H$3,22))*(출퇴근기록!$B$3:$B$3002=$B$3),0),0))),""))</f>
        <v/>
      </c>
      <c r="E27" s="17" t="str">
        <f aca="false">IF($A27="","",IFERROR(IF(INDEX(출퇴근기록!$G$3:$G$3002,MATCH(1,INDEX((출퇴근기록!$A$3:$A$3002=DATE($F$3,$H$3,22))*(출퇴근기록!$B$3:$B$3002=$B$3),0),0))="","",INDEX(출퇴근기록!$G$3:$G$3002,MATCH(1,INDEX((출퇴근기록!$A$3:$A$3002=DATE($F$3,$H$3,22))*(출퇴근기록!$B$3:$B$3002=$B$3),0),0))),""))</f>
        <v/>
      </c>
      <c r="F27" s="16" t="str">
        <f aca="false">IF($A27="","",IFERROR(IF(INDEX(출퇴근기록!$H$3:$H$3002,MATCH(1,INDEX((출퇴근기록!$A$3:$A$3002=DATE($F$3,$H$3,22))*(출퇴근기록!$B$3:$B$3002=$B$3),0),0))="","",INDEX(출퇴근기록!$H$3:$H$3002,MATCH(1,INDEX((출퇴근기록!$A$3:$A$3002=DATE($F$3,$H$3,22))*(출퇴근기록!$B$3:$B$3002=$B$3),0),0))),""))</f>
        <v/>
      </c>
      <c r="G27" s="17" t="str">
        <f aca="false">IF($A27="","",IFERROR(IF(INDEX(출퇴근기록!$I$3:$I$3002,MATCH(1,INDEX((출퇴근기록!$A$3:$A$3002=DATE($F$3,$H$3,22))*(출퇴근기록!$B$3:$B$3002=$B$3),0),0))="","",INDEX(출퇴근기록!$I$3:$I$3002,MATCH(1,INDEX((출퇴근기록!$A$3:$A$3002=DATE($F$3,$H$3,22))*(출퇴근기록!$B$3:$B$3002=$B$3),0),0))),""))</f>
        <v/>
      </c>
      <c r="H27" s="13" t="str">
        <f aca="false">IF($A27="","",IFERROR(IF(INDEX(출퇴근기록!$J$3:$J$3002,MATCH(1,INDEX((출퇴근기록!$A$3:$A$3002=DATE($F$3,$H$3,22))*(출퇴근기록!$B$3:$B$3002=$B$3),0),0))="","",INDEX(출퇴근기록!$J$3:$J$3002,MATCH(1,INDEX((출퇴근기록!$A$3:$A$3002=DATE($F$3,$H$3,22))*(출퇴근기록!$B$3:$B$3002=$B$3),0),0))),""))</f>
        <v/>
      </c>
    </row>
    <row r="28" customFormat="false" ht="15" hidden="false" customHeight="true" outlineLevel="0" collapsed="false">
      <c r="A28" s="17" t="n">
        <f aca="false">IF(MONTH(DATE($F$3,$H$3,23))&lt;&gt;$H$3,"",23)</f>
        <v>23</v>
      </c>
      <c r="B28" s="17" t="str">
        <f aca="false">IF($A28="","",CHOOSE(WEEKDAY(DATE($F$3,$H$3,23)),"일","월","화","수","목","금","토"))</f>
        <v>수</v>
      </c>
      <c r="C28" s="24" t="str">
        <f aca="false">IF($A28="","",IFERROR(IF(INDEX(출퇴근기록!$E$3:$E$3002,MATCH(1,INDEX((출퇴근기록!$A$3:$A$3002=DATE($F$3,$H$3,23))*(출퇴근기록!$B$3:$B$3002=$B$3),0),0))="","",INDEX(출퇴근기록!$E$3:$E$3002,MATCH(1,INDEX((출퇴근기록!$A$3:$A$3002=DATE($F$3,$H$3,23))*(출퇴근기록!$B$3:$B$3002=$B$3),0),0))),""))</f>
        <v/>
      </c>
      <c r="D28" s="24" t="str">
        <f aca="false">IF($A28="","",IFERROR(IF(INDEX(출퇴근기록!$F$3:$F$3002,MATCH(1,INDEX((출퇴근기록!$A$3:$A$3002=DATE($F$3,$H$3,23))*(출퇴근기록!$B$3:$B$3002=$B$3),0),0))="","",INDEX(출퇴근기록!$F$3:$F$3002,MATCH(1,INDEX((출퇴근기록!$A$3:$A$3002=DATE($F$3,$H$3,23))*(출퇴근기록!$B$3:$B$3002=$B$3),0),0))),""))</f>
        <v/>
      </c>
      <c r="E28" s="17" t="str">
        <f aca="false">IF($A28="","",IFERROR(IF(INDEX(출퇴근기록!$G$3:$G$3002,MATCH(1,INDEX((출퇴근기록!$A$3:$A$3002=DATE($F$3,$H$3,23))*(출퇴근기록!$B$3:$B$3002=$B$3),0),0))="","",INDEX(출퇴근기록!$G$3:$G$3002,MATCH(1,INDEX((출퇴근기록!$A$3:$A$3002=DATE($F$3,$H$3,23))*(출퇴근기록!$B$3:$B$3002=$B$3),0),0))),""))</f>
        <v/>
      </c>
      <c r="F28" s="16" t="str">
        <f aca="false">IF($A28="","",IFERROR(IF(INDEX(출퇴근기록!$H$3:$H$3002,MATCH(1,INDEX((출퇴근기록!$A$3:$A$3002=DATE($F$3,$H$3,23))*(출퇴근기록!$B$3:$B$3002=$B$3),0),0))="","",INDEX(출퇴근기록!$H$3:$H$3002,MATCH(1,INDEX((출퇴근기록!$A$3:$A$3002=DATE($F$3,$H$3,23))*(출퇴근기록!$B$3:$B$3002=$B$3),0),0))),""))</f>
        <v/>
      </c>
      <c r="G28" s="17" t="str">
        <f aca="false">IF($A28="","",IFERROR(IF(INDEX(출퇴근기록!$I$3:$I$3002,MATCH(1,INDEX((출퇴근기록!$A$3:$A$3002=DATE($F$3,$H$3,23))*(출퇴근기록!$B$3:$B$3002=$B$3),0),0))="","",INDEX(출퇴근기록!$I$3:$I$3002,MATCH(1,INDEX((출퇴근기록!$A$3:$A$3002=DATE($F$3,$H$3,23))*(출퇴근기록!$B$3:$B$3002=$B$3),0),0))),""))</f>
        <v/>
      </c>
      <c r="H28" s="13" t="str">
        <f aca="false">IF($A28="","",IFERROR(IF(INDEX(출퇴근기록!$J$3:$J$3002,MATCH(1,INDEX((출퇴근기록!$A$3:$A$3002=DATE($F$3,$H$3,23))*(출퇴근기록!$B$3:$B$3002=$B$3),0),0))="","",INDEX(출퇴근기록!$J$3:$J$3002,MATCH(1,INDEX((출퇴근기록!$A$3:$A$3002=DATE($F$3,$H$3,23))*(출퇴근기록!$B$3:$B$3002=$B$3),0),0))),""))</f>
        <v/>
      </c>
    </row>
    <row r="29" customFormat="false" ht="15" hidden="false" customHeight="true" outlineLevel="0" collapsed="false">
      <c r="A29" s="17" t="n">
        <f aca="false">IF(MONTH(DATE($F$3,$H$3,24))&lt;&gt;$H$3,"",24)</f>
        <v>24</v>
      </c>
      <c r="B29" s="17" t="str">
        <f aca="false">IF($A29="","",CHOOSE(WEEKDAY(DATE($F$3,$H$3,24)),"일","월","화","수","목","금","토"))</f>
        <v>목</v>
      </c>
      <c r="C29" s="24" t="str">
        <f aca="false">IF($A29="","",IFERROR(IF(INDEX(출퇴근기록!$E$3:$E$3002,MATCH(1,INDEX((출퇴근기록!$A$3:$A$3002=DATE($F$3,$H$3,24))*(출퇴근기록!$B$3:$B$3002=$B$3),0),0))="","",INDEX(출퇴근기록!$E$3:$E$3002,MATCH(1,INDEX((출퇴근기록!$A$3:$A$3002=DATE($F$3,$H$3,24))*(출퇴근기록!$B$3:$B$3002=$B$3),0),0))),""))</f>
        <v/>
      </c>
      <c r="D29" s="24" t="str">
        <f aca="false">IF($A29="","",IFERROR(IF(INDEX(출퇴근기록!$F$3:$F$3002,MATCH(1,INDEX((출퇴근기록!$A$3:$A$3002=DATE($F$3,$H$3,24))*(출퇴근기록!$B$3:$B$3002=$B$3),0),0))="","",INDEX(출퇴근기록!$F$3:$F$3002,MATCH(1,INDEX((출퇴근기록!$A$3:$A$3002=DATE($F$3,$H$3,24))*(출퇴근기록!$B$3:$B$3002=$B$3),0),0))),""))</f>
        <v/>
      </c>
      <c r="E29" s="17" t="str">
        <f aca="false">IF($A29="","",IFERROR(IF(INDEX(출퇴근기록!$G$3:$G$3002,MATCH(1,INDEX((출퇴근기록!$A$3:$A$3002=DATE($F$3,$H$3,24))*(출퇴근기록!$B$3:$B$3002=$B$3),0),0))="","",INDEX(출퇴근기록!$G$3:$G$3002,MATCH(1,INDEX((출퇴근기록!$A$3:$A$3002=DATE($F$3,$H$3,24))*(출퇴근기록!$B$3:$B$3002=$B$3),0),0))),""))</f>
        <v/>
      </c>
      <c r="F29" s="16" t="str">
        <f aca="false">IF($A29="","",IFERROR(IF(INDEX(출퇴근기록!$H$3:$H$3002,MATCH(1,INDEX((출퇴근기록!$A$3:$A$3002=DATE($F$3,$H$3,24))*(출퇴근기록!$B$3:$B$3002=$B$3),0),0))="","",INDEX(출퇴근기록!$H$3:$H$3002,MATCH(1,INDEX((출퇴근기록!$A$3:$A$3002=DATE($F$3,$H$3,24))*(출퇴근기록!$B$3:$B$3002=$B$3),0),0))),""))</f>
        <v/>
      </c>
      <c r="G29" s="17" t="str">
        <f aca="false">IF($A29="","",IFERROR(IF(INDEX(출퇴근기록!$I$3:$I$3002,MATCH(1,INDEX((출퇴근기록!$A$3:$A$3002=DATE($F$3,$H$3,24))*(출퇴근기록!$B$3:$B$3002=$B$3),0),0))="","",INDEX(출퇴근기록!$I$3:$I$3002,MATCH(1,INDEX((출퇴근기록!$A$3:$A$3002=DATE($F$3,$H$3,24))*(출퇴근기록!$B$3:$B$3002=$B$3),0),0))),""))</f>
        <v/>
      </c>
      <c r="H29" s="13" t="str">
        <f aca="false">IF($A29="","",IFERROR(IF(INDEX(출퇴근기록!$J$3:$J$3002,MATCH(1,INDEX((출퇴근기록!$A$3:$A$3002=DATE($F$3,$H$3,24))*(출퇴근기록!$B$3:$B$3002=$B$3),0),0))="","",INDEX(출퇴근기록!$J$3:$J$3002,MATCH(1,INDEX((출퇴근기록!$A$3:$A$3002=DATE($F$3,$H$3,24))*(출퇴근기록!$B$3:$B$3002=$B$3),0),0))),""))</f>
        <v/>
      </c>
    </row>
    <row r="30" customFormat="false" ht="15" hidden="false" customHeight="true" outlineLevel="0" collapsed="false">
      <c r="A30" s="17" t="n">
        <f aca="false">IF(MONTH(DATE($F$3,$H$3,25))&lt;&gt;$H$3,"",25)</f>
        <v>25</v>
      </c>
      <c r="B30" s="17" t="str">
        <f aca="false">IF($A30="","",CHOOSE(WEEKDAY(DATE($F$3,$H$3,25)),"일","월","화","수","목","금","토"))</f>
        <v>금</v>
      </c>
      <c r="C30" s="24" t="str">
        <f aca="false">IF($A30="","",IFERROR(IF(INDEX(출퇴근기록!$E$3:$E$3002,MATCH(1,INDEX((출퇴근기록!$A$3:$A$3002=DATE($F$3,$H$3,25))*(출퇴근기록!$B$3:$B$3002=$B$3),0),0))="","",INDEX(출퇴근기록!$E$3:$E$3002,MATCH(1,INDEX((출퇴근기록!$A$3:$A$3002=DATE($F$3,$H$3,25))*(출퇴근기록!$B$3:$B$3002=$B$3),0),0))),""))</f>
        <v/>
      </c>
      <c r="D30" s="24" t="str">
        <f aca="false">IF($A30="","",IFERROR(IF(INDEX(출퇴근기록!$F$3:$F$3002,MATCH(1,INDEX((출퇴근기록!$A$3:$A$3002=DATE($F$3,$H$3,25))*(출퇴근기록!$B$3:$B$3002=$B$3),0),0))="","",INDEX(출퇴근기록!$F$3:$F$3002,MATCH(1,INDEX((출퇴근기록!$A$3:$A$3002=DATE($F$3,$H$3,25))*(출퇴근기록!$B$3:$B$3002=$B$3),0),0))),""))</f>
        <v/>
      </c>
      <c r="E30" s="17" t="str">
        <f aca="false">IF($A30="","",IFERROR(IF(INDEX(출퇴근기록!$G$3:$G$3002,MATCH(1,INDEX((출퇴근기록!$A$3:$A$3002=DATE($F$3,$H$3,25))*(출퇴근기록!$B$3:$B$3002=$B$3),0),0))="","",INDEX(출퇴근기록!$G$3:$G$3002,MATCH(1,INDEX((출퇴근기록!$A$3:$A$3002=DATE($F$3,$H$3,25))*(출퇴근기록!$B$3:$B$3002=$B$3),0),0))),""))</f>
        <v/>
      </c>
      <c r="F30" s="16" t="str">
        <f aca="false">IF($A30="","",IFERROR(IF(INDEX(출퇴근기록!$H$3:$H$3002,MATCH(1,INDEX((출퇴근기록!$A$3:$A$3002=DATE($F$3,$H$3,25))*(출퇴근기록!$B$3:$B$3002=$B$3),0),0))="","",INDEX(출퇴근기록!$H$3:$H$3002,MATCH(1,INDEX((출퇴근기록!$A$3:$A$3002=DATE($F$3,$H$3,25))*(출퇴근기록!$B$3:$B$3002=$B$3),0),0))),""))</f>
        <v/>
      </c>
      <c r="G30" s="17" t="str">
        <f aca="false">IF($A30="","",IFERROR(IF(INDEX(출퇴근기록!$I$3:$I$3002,MATCH(1,INDEX((출퇴근기록!$A$3:$A$3002=DATE($F$3,$H$3,25))*(출퇴근기록!$B$3:$B$3002=$B$3),0),0))="","",INDEX(출퇴근기록!$I$3:$I$3002,MATCH(1,INDEX((출퇴근기록!$A$3:$A$3002=DATE($F$3,$H$3,25))*(출퇴근기록!$B$3:$B$3002=$B$3),0),0))),""))</f>
        <v/>
      </c>
      <c r="H30" s="13" t="str">
        <f aca="false">IF($A30="","",IFERROR(IF(INDEX(출퇴근기록!$J$3:$J$3002,MATCH(1,INDEX((출퇴근기록!$A$3:$A$3002=DATE($F$3,$H$3,25))*(출퇴근기록!$B$3:$B$3002=$B$3),0),0))="","",INDEX(출퇴근기록!$J$3:$J$3002,MATCH(1,INDEX((출퇴근기록!$A$3:$A$3002=DATE($F$3,$H$3,25))*(출퇴근기록!$B$3:$B$3002=$B$3),0),0))),""))</f>
        <v/>
      </c>
    </row>
    <row r="31" customFormat="false" ht="15" hidden="false" customHeight="true" outlineLevel="0" collapsed="false">
      <c r="A31" s="17" t="n">
        <f aca="false">IF(MONTH(DATE($F$3,$H$3,26))&lt;&gt;$H$3,"",26)</f>
        <v>26</v>
      </c>
      <c r="B31" s="17" t="str">
        <f aca="false">IF($A31="","",CHOOSE(WEEKDAY(DATE($F$3,$H$3,26)),"일","월","화","수","목","금","토"))</f>
        <v>토</v>
      </c>
      <c r="C31" s="24" t="str">
        <f aca="false">IF($A31="","",IFERROR(IF(INDEX(출퇴근기록!$E$3:$E$3002,MATCH(1,INDEX((출퇴근기록!$A$3:$A$3002=DATE($F$3,$H$3,26))*(출퇴근기록!$B$3:$B$3002=$B$3),0),0))="","",INDEX(출퇴근기록!$E$3:$E$3002,MATCH(1,INDEX((출퇴근기록!$A$3:$A$3002=DATE($F$3,$H$3,26))*(출퇴근기록!$B$3:$B$3002=$B$3),0),0))),""))</f>
        <v/>
      </c>
      <c r="D31" s="24" t="str">
        <f aca="false">IF($A31="","",IFERROR(IF(INDEX(출퇴근기록!$F$3:$F$3002,MATCH(1,INDEX((출퇴근기록!$A$3:$A$3002=DATE($F$3,$H$3,26))*(출퇴근기록!$B$3:$B$3002=$B$3),0),0))="","",INDEX(출퇴근기록!$F$3:$F$3002,MATCH(1,INDEX((출퇴근기록!$A$3:$A$3002=DATE($F$3,$H$3,26))*(출퇴근기록!$B$3:$B$3002=$B$3),0),0))),""))</f>
        <v/>
      </c>
      <c r="E31" s="17" t="str">
        <f aca="false">IF($A31="","",IFERROR(IF(INDEX(출퇴근기록!$G$3:$G$3002,MATCH(1,INDEX((출퇴근기록!$A$3:$A$3002=DATE($F$3,$H$3,26))*(출퇴근기록!$B$3:$B$3002=$B$3),0),0))="","",INDEX(출퇴근기록!$G$3:$G$3002,MATCH(1,INDEX((출퇴근기록!$A$3:$A$3002=DATE($F$3,$H$3,26))*(출퇴근기록!$B$3:$B$3002=$B$3),0),0))),""))</f>
        <v/>
      </c>
      <c r="F31" s="16" t="str">
        <f aca="false">IF($A31="","",IFERROR(IF(INDEX(출퇴근기록!$H$3:$H$3002,MATCH(1,INDEX((출퇴근기록!$A$3:$A$3002=DATE($F$3,$H$3,26))*(출퇴근기록!$B$3:$B$3002=$B$3),0),0))="","",INDEX(출퇴근기록!$H$3:$H$3002,MATCH(1,INDEX((출퇴근기록!$A$3:$A$3002=DATE($F$3,$H$3,26))*(출퇴근기록!$B$3:$B$3002=$B$3),0),0))),""))</f>
        <v/>
      </c>
      <c r="G31" s="17" t="str">
        <f aca="false">IF($A31="","",IFERROR(IF(INDEX(출퇴근기록!$I$3:$I$3002,MATCH(1,INDEX((출퇴근기록!$A$3:$A$3002=DATE($F$3,$H$3,26))*(출퇴근기록!$B$3:$B$3002=$B$3),0),0))="","",INDEX(출퇴근기록!$I$3:$I$3002,MATCH(1,INDEX((출퇴근기록!$A$3:$A$3002=DATE($F$3,$H$3,26))*(출퇴근기록!$B$3:$B$3002=$B$3),0),0))),""))</f>
        <v/>
      </c>
      <c r="H31" s="13" t="str">
        <f aca="false">IF($A31="","",IFERROR(IF(INDEX(출퇴근기록!$J$3:$J$3002,MATCH(1,INDEX((출퇴근기록!$A$3:$A$3002=DATE($F$3,$H$3,26))*(출퇴근기록!$B$3:$B$3002=$B$3),0),0))="","",INDEX(출퇴근기록!$J$3:$J$3002,MATCH(1,INDEX((출퇴근기록!$A$3:$A$3002=DATE($F$3,$H$3,26))*(출퇴근기록!$B$3:$B$3002=$B$3),0),0))),""))</f>
        <v/>
      </c>
    </row>
    <row r="32" customFormat="false" ht="15" hidden="false" customHeight="true" outlineLevel="0" collapsed="false">
      <c r="A32" s="17" t="n">
        <f aca="false">IF(MONTH(DATE($F$3,$H$3,27))&lt;&gt;$H$3,"",27)</f>
        <v>27</v>
      </c>
      <c r="B32" s="17" t="str">
        <f aca="false">IF($A32="","",CHOOSE(WEEKDAY(DATE($F$3,$H$3,27)),"일","월","화","수","목","금","토"))</f>
        <v>일</v>
      </c>
      <c r="C32" s="24" t="str">
        <f aca="false">IF($A32="","",IFERROR(IF(INDEX(출퇴근기록!$E$3:$E$3002,MATCH(1,INDEX((출퇴근기록!$A$3:$A$3002=DATE($F$3,$H$3,27))*(출퇴근기록!$B$3:$B$3002=$B$3),0),0))="","",INDEX(출퇴근기록!$E$3:$E$3002,MATCH(1,INDEX((출퇴근기록!$A$3:$A$3002=DATE($F$3,$H$3,27))*(출퇴근기록!$B$3:$B$3002=$B$3),0),0))),""))</f>
        <v/>
      </c>
      <c r="D32" s="24" t="str">
        <f aca="false">IF($A32="","",IFERROR(IF(INDEX(출퇴근기록!$F$3:$F$3002,MATCH(1,INDEX((출퇴근기록!$A$3:$A$3002=DATE($F$3,$H$3,27))*(출퇴근기록!$B$3:$B$3002=$B$3),0),0))="","",INDEX(출퇴근기록!$F$3:$F$3002,MATCH(1,INDEX((출퇴근기록!$A$3:$A$3002=DATE($F$3,$H$3,27))*(출퇴근기록!$B$3:$B$3002=$B$3),0),0))),""))</f>
        <v/>
      </c>
      <c r="E32" s="17" t="str">
        <f aca="false">IF($A32="","",IFERROR(IF(INDEX(출퇴근기록!$G$3:$G$3002,MATCH(1,INDEX((출퇴근기록!$A$3:$A$3002=DATE($F$3,$H$3,27))*(출퇴근기록!$B$3:$B$3002=$B$3),0),0))="","",INDEX(출퇴근기록!$G$3:$G$3002,MATCH(1,INDEX((출퇴근기록!$A$3:$A$3002=DATE($F$3,$H$3,27))*(출퇴근기록!$B$3:$B$3002=$B$3),0),0))),""))</f>
        <v/>
      </c>
      <c r="F32" s="16" t="str">
        <f aca="false">IF($A32="","",IFERROR(IF(INDEX(출퇴근기록!$H$3:$H$3002,MATCH(1,INDEX((출퇴근기록!$A$3:$A$3002=DATE($F$3,$H$3,27))*(출퇴근기록!$B$3:$B$3002=$B$3),0),0))="","",INDEX(출퇴근기록!$H$3:$H$3002,MATCH(1,INDEX((출퇴근기록!$A$3:$A$3002=DATE($F$3,$H$3,27))*(출퇴근기록!$B$3:$B$3002=$B$3),0),0))),""))</f>
        <v/>
      </c>
      <c r="G32" s="17" t="str">
        <f aca="false">IF($A32="","",IFERROR(IF(INDEX(출퇴근기록!$I$3:$I$3002,MATCH(1,INDEX((출퇴근기록!$A$3:$A$3002=DATE($F$3,$H$3,27))*(출퇴근기록!$B$3:$B$3002=$B$3),0),0))="","",INDEX(출퇴근기록!$I$3:$I$3002,MATCH(1,INDEX((출퇴근기록!$A$3:$A$3002=DATE($F$3,$H$3,27))*(출퇴근기록!$B$3:$B$3002=$B$3),0),0))),""))</f>
        <v/>
      </c>
      <c r="H32" s="13" t="str">
        <f aca="false">IF($A32="","",IFERROR(IF(INDEX(출퇴근기록!$J$3:$J$3002,MATCH(1,INDEX((출퇴근기록!$A$3:$A$3002=DATE($F$3,$H$3,27))*(출퇴근기록!$B$3:$B$3002=$B$3),0),0))="","",INDEX(출퇴근기록!$J$3:$J$3002,MATCH(1,INDEX((출퇴근기록!$A$3:$A$3002=DATE($F$3,$H$3,27))*(출퇴근기록!$B$3:$B$3002=$B$3),0),0))),""))</f>
        <v/>
      </c>
    </row>
    <row r="33" customFormat="false" ht="15" hidden="false" customHeight="true" outlineLevel="0" collapsed="false">
      <c r="A33" s="17" t="n">
        <f aca="false">IF(MONTH(DATE($F$3,$H$3,28))&lt;&gt;$H$3,"",28)</f>
        <v>28</v>
      </c>
      <c r="B33" s="17" t="str">
        <f aca="false">IF($A33="","",CHOOSE(WEEKDAY(DATE($F$3,$H$3,28)),"일","월","화","수","목","금","토"))</f>
        <v>월</v>
      </c>
      <c r="C33" s="24" t="str">
        <f aca="false">IF($A33="","",IFERROR(IF(INDEX(출퇴근기록!$E$3:$E$3002,MATCH(1,INDEX((출퇴근기록!$A$3:$A$3002=DATE($F$3,$H$3,28))*(출퇴근기록!$B$3:$B$3002=$B$3),0),0))="","",INDEX(출퇴근기록!$E$3:$E$3002,MATCH(1,INDEX((출퇴근기록!$A$3:$A$3002=DATE($F$3,$H$3,28))*(출퇴근기록!$B$3:$B$3002=$B$3),0),0))),""))</f>
        <v/>
      </c>
      <c r="D33" s="24" t="str">
        <f aca="false">IF($A33="","",IFERROR(IF(INDEX(출퇴근기록!$F$3:$F$3002,MATCH(1,INDEX((출퇴근기록!$A$3:$A$3002=DATE($F$3,$H$3,28))*(출퇴근기록!$B$3:$B$3002=$B$3),0),0))="","",INDEX(출퇴근기록!$F$3:$F$3002,MATCH(1,INDEX((출퇴근기록!$A$3:$A$3002=DATE($F$3,$H$3,28))*(출퇴근기록!$B$3:$B$3002=$B$3),0),0))),""))</f>
        <v/>
      </c>
      <c r="E33" s="17" t="str">
        <f aca="false">IF($A33="","",IFERROR(IF(INDEX(출퇴근기록!$G$3:$G$3002,MATCH(1,INDEX((출퇴근기록!$A$3:$A$3002=DATE($F$3,$H$3,28))*(출퇴근기록!$B$3:$B$3002=$B$3),0),0))="","",INDEX(출퇴근기록!$G$3:$G$3002,MATCH(1,INDEX((출퇴근기록!$A$3:$A$3002=DATE($F$3,$H$3,28))*(출퇴근기록!$B$3:$B$3002=$B$3),0),0))),""))</f>
        <v/>
      </c>
      <c r="F33" s="16" t="str">
        <f aca="false">IF($A33="","",IFERROR(IF(INDEX(출퇴근기록!$H$3:$H$3002,MATCH(1,INDEX((출퇴근기록!$A$3:$A$3002=DATE($F$3,$H$3,28))*(출퇴근기록!$B$3:$B$3002=$B$3),0),0))="","",INDEX(출퇴근기록!$H$3:$H$3002,MATCH(1,INDEX((출퇴근기록!$A$3:$A$3002=DATE($F$3,$H$3,28))*(출퇴근기록!$B$3:$B$3002=$B$3),0),0))),""))</f>
        <v/>
      </c>
      <c r="G33" s="17" t="str">
        <f aca="false">IF($A33="","",IFERROR(IF(INDEX(출퇴근기록!$I$3:$I$3002,MATCH(1,INDEX((출퇴근기록!$A$3:$A$3002=DATE($F$3,$H$3,28))*(출퇴근기록!$B$3:$B$3002=$B$3),0),0))="","",INDEX(출퇴근기록!$I$3:$I$3002,MATCH(1,INDEX((출퇴근기록!$A$3:$A$3002=DATE($F$3,$H$3,28))*(출퇴근기록!$B$3:$B$3002=$B$3),0),0))),""))</f>
        <v/>
      </c>
      <c r="H33" s="13" t="str">
        <f aca="false">IF($A33="","",IFERROR(IF(INDEX(출퇴근기록!$J$3:$J$3002,MATCH(1,INDEX((출퇴근기록!$A$3:$A$3002=DATE($F$3,$H$3,28))*(출퇴근기록!$B$3:$B$3002=$B$3),0),0))="","",INDEX(출퇴근기록!$J$3:$J$3002,MATCH(1,INDEX((출퇴근기록!$A$3:$A$3002=DATE($F$3,$H$3,28))*(출퇴근기록!$B$3:$B$3002=$B$3),0),0))),""))</f>
        <v/>
      </c>
    </row>
    <row r="34" customFormat="false" ht="15" hidden="false" customHeight="true" outlineLevel="0" collapsed="false">
      <c r="A34" s="17" t="n">
        <f aca="false">IF(MONTH(DATE($F$3,$H$3,29))&lt;&gt;$H$3,"",29)</f>
        <v>29</v>
      </c>
      <c r="B34" s="17" t="str">
        <f aca="false">IF($A34="","",CHOOSE(WEEKDAY(DATE($F$3,$H$3,29)),"일","월","화","수","목","금","토"))</f>
        <v>화</v>
      </c>
      <c r="C34" s="24" t="str">
        <f aca="false">IF($A34="","",IFERROR(IF(INDEX(출퇴근기록!$E$3:$E$3002,MATCH(1,INDEX((출퇴근기록!$A$3:$A$3002=DATE($F$3,$H$3,29))*(출퇴근기록!$B$3:$B$3002=$B$3),0),0))="","",INDEX(출퇴근기록!$E$3:$E$3002,MATCH(1,INDEX((출퇴근기록!$A$3:$A$3002=DATE($F$3,$H$3,29))*(출퇴근기록!$B$3:$B$3002=$B$3),0),0))),""))</f>
        <v/>
      </c>
      <c r="D34" s="24" t="str">
        <f aca="false">IF($A34="","",IFERROR(IF(INDEX(출퇴근기록!$F$3:$F$3002,MATCH(1,INDEX((출퇴근기록!$A$3:$A$3002=DATE($F$3,$H$3,29))*(출퇴근기록!$B$3:$B$3002=$B$3),0),0))="","",INDEX(출퇴근기록!$F$3:$F$3002,MATCH(1,INDEX((출퇴근기록!$A$3:$A$3002=DATE($F$3,$H$3,29))*(출퇴근기록!$B$3:$B$3002=$B$3),0),0))),""))</f>
        <v/>
      </c>
      <c r="E34" s="17" t="str">
        <f aca="false">IF($A34="","",IFERROR(IF(INDEX(출퇴근기록!$G$3:$G$3002,MATCH(1,INDEX((출퇴근기록!$A$3:$A$3002=DATE($F$3,$H$3,29))*(출퇴근기록!$B$3:$B$3002=$B$3),0),0))="","",INDEX(출퇴근기록!$G$3:$G$3002,MATCH(1,INDEX((출퇴근기록!$A$3:$A$3002=DATE($F$3,$H$3,29))*(출퇴근기록!$B$3:$B$3002=$B$3),0),0))),""))</f>
        <v/>
      </c>
      <c r="F34" s="16" t="str">
        <f aca="false">IF($A34="","",IFERROR(IF(INDEX(출퇴근기록!$H$3:$H$3002,MATCH(1,INDEX((출퇴근기록!$A$3:$A$3002=DATE($F$3,$H$3,29))*(출퇴근기록!$B$3:$B$3002=$B$3),0),0))="","",INDEX(출퇴근기록!$H$3:$H$3002,MATCH(1,INDEX((출퇴근기록!$A$3:$A$3002=DATE($F$3,$H$3,29))*(출퇴근기록!$B$3:$B$3002=$B$3),0),0))),""))</f>
        <v/>
      </c>
      <c r="G34" s="17" t="str">
        <f aca="false">IF($A34="","",IFERROR(IF(INDEX(출퇴근기록!$I$3:$I$3002,MATCH(1,INDEX((출퇴근기록!$A$3:$A$3002=DATE($F$3,$H$3,29))*(출퇴근기록!$B$3:$B$3002=$B$3),0),0))="","",INDEX(출퇴근기록!$I$3:$I$3002,MATCH(1,INDEX((출퇴근기록!$A$3:$A$3002=DATE($F$3,$H$3,29))*(출퇴근기록!$B$3:$B$3002=$B$3),0),0))),""))</f>
        <v/>
      </c>
      <c r="H34" s="13" t="str">
        <f aca="false">IF($A34="","",IFERROR(IF(INDEX(출퇴근기록!$J$3:$J$3002,MATCH(1,INDEX((출퇴근기록!$A$3:$A$3002=DATE($F$3,$H$3,29))*(출퇴근기록!$B$3:$B$3002=$B$3),0),0))="","",INDEX(출퇴근기록!$J$3:$J$3002,MATCH(1,INDEX((출퇴근기록!$A$3:$A$3002=DATE($F$3,$H$3,29))*(출퇴근기록!$B$3:$B$3002=$B$3),0),0))),""))</f>
        <v/>
      </c>
    </row>
    <row r="35" customFormat="false" ht="15" hidden="false" customHeight="true" outlineLevel="0" collapsed="false">
      <c r="A35" s="17" t="n">
        <f aca="false">IF(MONTH(DATE($F$3,$H$3,30))&lt;&gt;$H$3,"",30)</f>
        <v>30</v>
      </c>
      <c r="B35" s="17" t="str">
        <f aca="false">IF($A35="","",CHOOSE(WEEKDAY(DATE($F$3,$H$3,30)),"일","월","화","수","목","금","토"))</f>
        <v>수</v>
      </c>
      <c r="C35" s="24" t="str">
        <f aca="false">IF($A35="","",IFERROR(IF(INDEX(출퇴근기록!$E$3:$E$3002,MATCH(1,INDEX((출퇴근기록!$A$3:$A$3002=DATE($F$3,$H$3,30))*(출퇴근기록!$B$3:$B$3002=$B$3),0),0))="","",INDEX(출퇴근기록!$E$3:$E$3002,MATCH(1,INDEX((출퇴근기록!$A$3:$A$3002=DATE($F$3,$H$3,30))*(출퇴근기록!$B$3:$B$3002=$B$3),0),0))),""))</f>
        <v/>
      </c>
      <c r="D35" s="24" t="str">
        <f aca="false">IF($A35="","",IFERROR(IF(INDEX(출퇴근기록!$F$3:$F$3002,MATCH(1,INDEX((출퇴근기록!$A$3:$A$3002=DATE($F$3,$H$3,30))*(출퇴근기록!$B$3:$B$3002=$B$3),0),0))="","",INDEX(출퇴근기록!$F$3:$F$3002,MATCH(1,INDEX((출퇴근기록!$A$3:$A$3002=DATE($F$3,$H$3,30))*(출퇴근기록!$B$3:$B$3002=$B$3),0),0))),""))</f>
        <v/>
      </c>
      <c r="E35" s="17" t="str">
        <f aca="false">IF($A35="","",IFERROR(IF(INDEX(출퇴근기록!$G$3:$G$3002,MATCH(1,INDEX((출퇴근기록!$A$3:$A$3002=DATE($F$3,$H$3,30))*(출퇴근기록!$B$3:$B$3002=$B$3),0),0))="","",INDEX(출퇴근기록!$G$3:$G$3002,MATCH(1,INDEX((출퇴근기록!$A$3:$A$3002=DATE($F$3,$H$3,30))*(출퇴근기록!$B$3:$B$3002=$B$3),0),0))),""))</f>
        <v/>
      </c>
      <c r="F35" s="16" t="str">
        <f aca="false">IF($A35="","",IFERROR(IF(INDEX(출퇴근기록!$H$3:$H$3002,MATCH(1,INDEX((출퇴근기록!$A$3:$A$3002=DATE($F$3,$H$3,30))*(출퇴근기록!$B$3:$B$3002=$B$3),0),0))="","",INDEX(출퇴근기록!$H$3:$H$3002,MATCH(1,INDEX((출퇴근기록!$A$3:$A$3002=DATE($F$3,$H$3,30))*(출퇴근기록!$B$3:$B$3002=$B$3),0),0))),""))</f>
        <v/>
      </c>
      <c r="G35" s="17" t="str">
        <f aca="false">IF($A35="","",IFERROR(IF(INDEX(출퇴근기록!$I$3:$I$3002,MATCH(1,INDEX((출퇴근기록!$A$3:$A$3002=DATE($F$3,$H$3,30))*(출퇴근기록!$B$3:$B$3002=$B$3),0),0))="","",INDEX(출퇴근기록!$I$3:$I$3002,MATCH(1,INDEX((출퇴근기록!$A$3:$A$3002=DATE($F$3,$H$3,30))*(출퇴근기록!$B$3:$B$3002=$B$3),0),0))),""))</f>
        <v/>
      </c>
      <c r="H35" s="13" t="str">
        <f aca="false">IF($A35="","",IFERROR(IF(INDEX(출퇴근기록!$J$3:$J$3002,MATCH(1,INDEX((출퇴근기록!$A$3:$A$3002=DATE($F$3,$H$3,30))*(출퇴근기록!$B$3:$B$3002=$B$3),0),0))="","",INDEX(출퇴근기록!$J$3:$J$3002,MATCH(1,INDEX((출퇴근기록!$A$3:$A$3002=DATE($F$3,$H$3,30))*(출퇴근기록!$B$3:$B$3002=$B$3),0),0))),""))</f>
        <v/>
      </c>
    </row>
    <row r="36" customFormat="false" ht="15" hidden="false" customHeight="true" outlineLevel="0" collapsed="false">
      <c r="A36" s="17" t="str">
        <f aca="false">IF(MONTH(DATE($F$3,$H$3,31))&lt;&gt;$H$3,"",31)</f>
        <v/>
      </c>
      <c r="B36" s="17" t="str">
        <f aca="false">IF($A36="","",CHOOSE(WEEKDAY(DATE($F$3,$H$3,31)),"일","월","화","수","목","금","토"))</f>
        <v/>
      </c>
      <c r="C36" s="24" t="str">
        <f aca="false">IF($A36="","",IFERROR(IF(INDEX(출퇴근기록!$E$3:$E$3002,MATCH(1,INDEX((출퇴근기록!$A$3:$A$3002=DATE($F$3,$H$3,31))*(출퇴근기록!$B$3:$B$3002=$B$3),0),0))="","",INDEX(출퇴근기록!$E$3:$E$3002,MATCH(1,INDEX((출퇴근기록!$A$3:$A$3002=DATE($F$3,$H$3,31))*(출퇴근기록!$B$3:$B$3002=$B$3),0),0))),""))</f>
        <v/>
      </c>
      <c r="D36" s="24" t="str">
        <f aca="false">IF($A36="","",IFERROR(IF(INDEX(출퇴근기록!$F$3:$F$3002,MATCH(1,INDEX((출퇴근기록!$A$3:$A$3002=DATE($F$3,$H$3,31))*(출퇴근기록!$B$3:$B$3002=$B$3),0),0))="","",INDEX(출퇴근기록!$F$3:$F$3002,MATCH(1,INDEX((출퇴근기록!$A$3:$A$3002=DATE($F$3,$H$3,31))*(출퇴근기록!$B$3:$B$3002=$B$3),0),0))),""))</f>
        <v/>
      </c>
      <c r="E36" s="17" t="str">
        <f aca="false">IF($A36="","",IFERROR(IF(INDEX(출퇴근기록!$G$3:$G$3002,MATCH(1,INDEX((출퇴근기록!$A$3:$A$3002=DATE($F$3,$H$3,31))*(출퇴근기록!$B$3:$B$3002=$B$3),0),0))="","",INDEX(출퇴근기록!$G$3:$G$3002,MATCH(1,INDEX((출퇴근기록!$A$3:$A$3002=DATE($F$3,$H$3,31))*(출퇴근기록!$B$3:$B$3002=$B$3),0),0))),""))</f>
        <v/>
      </c>
      <c r="F36" s="16" t="str">
        <f aca="false">IF($A36="","",IFERROR(IF(INDEX(출퇴근기록!$H$3:$H$3002,MATCH(1,INDEX((출퇴근기록!$A$3:$A$3002=DATE($F$3,$H$3,31))*(출퇴근기록!$B$3:$B$3002=$B$3),0),0))="","",INDEX(출퇴근기록!$H$3:$H$3002,MATCH(1,INDEX((출퇴근기록!$A$3:$A$3002=DATE($F$3,$H$3,31))*(출퇴근기록!$B$3:$B$3002=$B$3),0),0))),""))</f>
        <v/>
      </c>
      <c r="G36" s="17" t="str">
        <f aca="false">IF($A36="","",IFERROR(IF(INDEX(출퇴근기록!$I$3:$I$3002,MATCH(1,INDEX((출퇴근기록!$A$3:$A$3002=DATE($F$3,$H$3,31))*(출퇴근기록!$B$3:$B$3002=$B$3),0),0))="","",INDEX(출퇴근기록!$I$3:$I$3002,MATCH(1,INDEX((출퇴근기록!$A$3:$A$3002=DATE($F$3,$H$3,31))*(출퇴근기록!$B$3:$B$3002=$B$3),0),0))),""))</f>
        <v/>
      </c>
      <c r="H36" s="13" t="str">
        <f aca="false">IF($A36="","",IFERROR(IF(INDEX(출퇴근기록!$J$3:$J$3002,MATCH(1,INDEX((출퇴근기록!$A$3:$A$3002=DATE($F$3,$H$3,31))*(출퇴근기록!$B$3:$B$3002=$B$3),0),0))="","",INDEX(출퇴근기록!$J$3:$J$3002,MATCH(1,INDEX((출퇴근기록!$A$3:$A$3002=DATE($F$3,$H$3,31))*(출퇴근기록!$B$3:$B$3002=$B$3),0),0))),""))</f>
        <v/>
      </c>
    </row>
    <row r="38" customFormat="false" ht="15" hidden="false" customHeight="true" outlineLevel="0" collapsed="false">
      <c r="E38" s="25" t="s">
        <v>68</v>
      </c>
      <c r="F38" s="26" t="n">
        <f aca="false">ROUND(SUM(F6:F36),2)</f>
        <v>76.5</v>
      </c>
    </row>
    <row r="40" customFormat="false" ht="15" hidden="false" customHeight="true" outlineLevel="0" collapsed="false">
      <c r="A40" s="6" t="s">
        <v>78</v>
      </c>
    </row>
  </sheetData>
  <mergeCells count="1">
    <mergeCell ref="A1:H1"/>
  </mergeCells>
  <conditionalFormatting sqref="A6:H36">
    <cfRule type="expression" priority="2" aboveAverage="0" equalAverage="0" bottom="0" percent="0" rank="0" text="" dxfId="0">
      <formula>OR($B6="일",$B6="토")</formula>
    </cfRule>
  </conditionalFormatting>
  <dataValidations count="1">
    <dataValidation allowBlank="true" errorStyle="stop" operator="between" showDropDown="false" showErrorMessage="false" showInputMessage="false" sqref="B3" type="list">
      <formula1>직원목록!$A$3:$A$302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5" min="4" style="1" width="15"/>
    <col collapsed="false" customWidth="true" hidden="false" outlineLevel="0" max="6" min="6" style="1" width="13"/>
  </cols>
  <sheetData>
    <row r="1" customFormat="false" ht="25.5" hidden="false" customHeight="true" outlineLevel="0" collapsed="false">
      <c r="A1" s="2" t="s">
        <v>79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80</v>
      </c>
      <c r="B3" s="27" t="n">
        <v>46266</v>
      </c>
      <c r="C3" s="6" t="s">
        <v>81</v>
      </c>
    </row>
    <row r="5" customFormat="false" ht="15" hidden="false" customHeight="true" outlineLevel="0" collapsed="false">
      <c r="A5" s="7" t="s">
        <v>82</v>
      </c>
      <c r="B5" s="7" t="s">
        <v>74</v>
      </c>
      <c r="C5" s="7" t="s">
        <v>83</v>
      </c>
      <c r="D5" s="7" t="s">
        <v>63</v>
      </c>
      <c r="E5" s="7" t="s">
        <v>84</v>
      </c>
      <c r="F5" s="7" t="s">
        <v>85</v>
      </c>
    </row>
    <row r="6" customFormat="false" ht="15" hidden="false" customHeight="true" outlineLevel="0" collapsed="false">
      <c r="A6" s="28" t="n">
        <f aca="false">$B$3+0</f>
        <v>46266</v>
      </c>
      <c r="B6" s="17" t="str">
        <f aca="false">CHOOSE(WEEKDAY($A6),"일","월","화","수","목","금","토")</f>
        <v>화</v>
      </c>
      <c r="C6" s="17" t="n">
        <f aca="false">COUNTIFS(출퇴근기록!$A$3:$A$3002,$A6,출퇴근기록!$H$3:$H$3002,"&gt;0")</f>
        <v>3</v>
      </c>
      <c r="D6" s="16" t="n">
        <f aca="false">ROUND(SUMIFS(출퇴근기록!$H$3:$H$3002,출퇴근기록!$A$3:$A$3002,$A6),2)</f>
        <v>24.67</v>
      </c>
      <c r="E6" s="16" t="n">
        <f aca="false">IF($C6=0,0,ROUND($D6/$C6,2))</f>
        <v>8.22</v>
      </c>
      <c r="F6" s="17" t="n">
        <f aca="false">COUNTIFS(출퇴근기록!$A$3:$A$3002,$A6,출퇴근기록!$I$3:$I$3002,"연차")+COUNTIFS(출퇴근기록!$A$3:$A$3002,$A6,출퇴근기록!$I$3:$I$3002,"결근")</f>
        <v>0</v>
      </c>
    </row>
    <row r="7" customFormat="false" ht="15" hidden="false" customHeight="true" outlineLevel="0" collapsed="false">
      <c r="A7" s="28" t="n">
        <f aca="false">$B$3+1</f>
        <v>46267</v>
      </c>
      <c r="B7" s="17" t="str">
        <f aca="false">CHOOSE(WEEKDAY($A7),"일","월","화","수","목","금","토")</f>
        <v>수</v>
      </c>
      <c r="C7" s="17" t="n">
        <f aca="false">COUNTIFS(출퇴근기록!$A$3:$A$3002,$A7,출퇴근기록!$H$3:$H$3002,"&gt;0")</f>
        <v>3</v>
      </c>
      <c r="D7" s="16" t="n">
        <f aca="false">ROUND(SUMIFS(출퇴근기록!$H$3:$H$3002,출퇴근기록!$A$3:$A$3002,$A7),2)</f>
        <v>25.5</v>
      </c>
      <c r="E7" s="16" t="n">
        <f aca="false">IF($C7=0,0,ROUND($D7/$C7,2))</f>
        <v>8.5</v>
      </c>
      <c r="F7" s="17" t="n">
        <f aca="false">COUNTIFS(출퇴근기록!$A$3:$A$3002,$A7,출퇴근기록!$I$3:$I$3002,"연차")+COUNTIFS(출퇴근기록!$A$3:$A$3002,$A7,출퇴근기록!$I$3:$I$3002,"결근")</f>
        <v>0</v>
      </c>
    </row>
    <row r="8" customFormat="false" ht="15" hidden="false" customHeight="true" outlineLevel="0" collapsed="false">
      <c r="A8" s="28" t="n">
        <f aca="false">$B$3+2</f>
        <v>46268</v>
      </c>
      <c r="B8" s="17" t="str">
        <f aca="false">CHOOSE(WEEKDAY($A8),"일","월","화","수","목","금","토")</f>
        <v>목</v>
      </c>
      <c r="C8" s="17" t="n">
        <f aca="false">COUNTIFS(출퇴근기록!$A$3:$A$3002,$A8,출퇴근기록!$H$3:$H$3002,"&gt;0")</f>
        <v>1</v>
      </c>
      <c r="D8" s="16" t="n">
        <f aca="false">ROUND(SUMIFS(출퇴근기록!$H$3:$H$3002,출퇴근기록!$A$3:$A$3002,$A8),2)</f>
        <v>10.5</v>
      </c>
      <c r="E8" s="16" t="n">
        <f aca="false">IF($C8=0,0,ROUND($D8/$C8,2))</f>
        <v>10.5</v>
      </c>
      <c r="F8" s="17" t="n">
        <f aca="false">COUNTIFS(출퇴근기록!$A$3:$A$3002,$A8,출퇴근기록!$I$3:$I$3002,"연차")+COUNTIFS(출퇴근기록!$A$3:$A$3002,$A8,출퇴근기록!$I$3:$I$3002,"결근")</f>
        <v>1</v>
      </c>
    </row>
    <row r="9" customFormat="false" ht="15" hidden="false" customHeight="true" outlineLevel="0" collapsed="false">
      <c r="A9" s="28" t="n">
        <f aca="false">$B$3+3</f>
        <v>46269</v>
      </c>
      <c r="B9" s="17" t="str">
        <f aca="false">CHOOSE(WEEKDAY($A9),"일","월","화","수","목","금","토")</f>
        <v>금</v>
      </c>
      <c r="C9" s="17" t="n">
        <f aca="false">COUNTIFS(출퇴근기록!$A$3:$A$3002,$A9,출퇴근기록!$H$3:$H$3002,"&gt;0")</f>
        <v>1</v>
      </c>
      <c r="D9" s="16" t="n">
        <f aca="false">ROUND(SUMIFS(출퇴근기록!$H$3:$H$3002,출퇴근기록!$A$3:$A$3002,$A9),2)</f>
        <v>8</v>
      </c>
      <c r="E9" s="16" t="n">
        <f aca="false">IF($C9=0,0,ROUND($D9/$C9,2))</f>
        <v>8</v>
      </c>
      <c r="F9" s="17" t="n">
        <f aca="false">COUNTIFS(출퇴근기록!$A$3:$A$3002,$A9,출퇴근기록!$I$3:$I$3002,"연차")+COUNTIFS(출퇴근기록!$A$3:$A$3002,$A9,출퇴근기록!$I$3:$I$3002,"결근")</f>
        <v>0</v>
      </c>
    </row>
    <row r="10" customFormat="false" ht="15" hidden="false" customHeight="true" outlineLevel="0" collapsed="false">
      <c r="A10" s="28" t="n">
        <f aca="false">$B$3+4</f>
        <v>46270</v>
      </c>
      <c r="B10" s="17" t="str">
        <f aca="false">CHOOSE(WEEKDAY($A10),"일","월","화","수","목","금","토")</f>
        <v>토</v>
      </c>
      <c r="C10" s="17" t="n">
        <f aca="false">COUNTIFS(출퇴근기록!$A$3:$A$3002,$A10,출퇴근기록!$H$3:$H$3002,"&gt;0")</f>
        <v>0</v>
      </c>
      <c r="D10" s="16" t="n">
        <f aca="false">ROUND(SUMIFS(출퇴근기록!$H$3:$H$3002,출퇴근기록!$A$3:$A$3002,$A10),2)</f>
        <v>0</v>
      </c>
      <c r="E10" s="16" t="n">
        <f aca="false">IF($C10=0,0,ROUND($D10/$C10,2))</f>
        <v>0</v>
      </c>
      <c r="F10" s="17" t="n">
        <f aca="false">COUNTIFS(출퇴근기록!$A$3:$A$3002,$A10,출퇴근기록!$I$3:$I$3002,"연차")+COUNTIFS(출퇴근기록!$A$3:$A$3002,$A10,출퇴근기록!$I$3:$I$3002,"결근")</f>
        <v>0</v>
      </c>
    </row>
    <row r="11" customFormat="false" ht="15" hidden="false" customHeight="true" outlineLevel="0" collapsed="false">
      <c r="A11" s="28" t="n">
        <f aca="false">$B$3+5</f>
        <v>46271</v>
      </c>
      <c r="B11" s="17" t="str">
        <f aca="false">CHOOSE(WEEKDAY($A11),"일","월","화","수","목","금","토")</f>
        <v>일</v>
      </c>
      <c r="C11" s="17" t="n">
        <f aca="false">COUNTIFS(출퇴근기록!$A$3:$A$3002,$A11,출퇴근기록!$H$3:$H$3002,"&gt;0")</f>
        <v>0</v>
      </c>
      <c r="D11" s="16" t="n">
        <f aca="false">ROUND(SUMIFS(출퇴근기록!$H$3:$H$3002,출퇴근기록!$A$3:$A$3002,$A11),2)</f>
        <v>0</v>
      </c>
      <c r="E11" s="16" t="n">
        <f aca="false">IF($C11=0,0,ROUND($D11/$C11,2))</f>
        <v>0</v>
      </c>
      <c r="F11" s="17" t="n">
        <f aca="false">COUNTIFS(출퇴근기록!$A$3:$A$3002,$A11,출퇴근기록!$I$3:$I$3002,"연차")+COUNTIFS(출퇴근기록!$A$3:$A$3002,$A11,출퇴근기록!$I$3:$I$3002,"결근")</f>
        <v>0</v>
      </c>
    </row>
    <row r="12" customFormat="false" ht="15" hidden="false" customHeight="true" outlineLevel="0" collapsed="false">
      <c r="A12" s="28" t="n">
        <f aca="false">$B$3+6</f>
        <v>46272</v>
      </c>
      <c r="B12" s="17" t="str">
        <f aca="false">CHOOSE(WEEKDAY($A12),"일","월","화","수","목","금","토")</f>
        <v>월</v>
      </c>
      <c r="C12" s="17" t="n">
        <f aca="false">COUNTIFS(출퇴근기록!$A$3:$A$3002,$A12,출퇴근기록!$H$3:$H$3002,"&gt;0")</f>
        <v>1</v>
      </c>
      <c r="D12" s="16" t="n">
        <f aca="false">ROUND(SUMIFS(출퇴근기록!$H$3:$H$3002,출퇴근기록!$A$3:$A$3002,$A12),2)</f>
        <v>8</v>
      </c>
      <c r="E12" s="16" t="n">
        <f aca="false">IF($C12=0,0,ROUND($D12/$C12,2))</f>
        <v>8</v>
      </c>
      <c r="F12" s="17" t="n">
        <f aca="false">COUNTIFS(출퇴근기록!$A$3:$A$3002,$A12,출퇴근기록!$I$3:$I$3002,"연차")+COUNTIFS(출퇴근기록!$A$3:$A$3002,$A12,출퇴근기록!$I$3:$I$3002,"결근")</f>
        <v>0</v>
      </c>
    </row>
    <row r="13" customFormat="false" ht="15" hidden="false" customHeight="true" outlineLevel="0" collapsed="false">
      <c r="A13" s="28" t="n">
        <f aca="false">$B$3+7</f>
        <v>46273</v>
      </c>
      <c r="B13" s="17" t="str">
        <f aca="false">CHOOSE(WEEKDAY($A13),"일","월","화","수","목","금","토")</f>
        <v>화</v>
      </c>
      <c r="C13" s="17" t="n">
        <f aca="false">COUNTIFS(출퇴근기록!$A$3:$A$3002,$A13,출퇴근기록!$H$3:$H$3002,"&gt;0")</f>
        <v>1</v>
      </c>
      <c r="D13" s="16" t="n">
        <f aca="false">ROUND(SUMIFS(출퇴근기록!$H$3:$H$3002,출퇴근기록!$A$3:$A$3002,$A13),2)</f>
        <v>9</v>
      </c>
      <c r="E13" s="16" t="n">
        <f aca="false">IF($C13=0,0,ROUND($D13/$C13,2))</f>
        <v>9</v>
      </c>
      <c r="F13" s="17" t="n">
        <f aca="false">COUNTIFS(출퇴근기록!$A$3:$A$3002,$A13,출퇴근기록!$I$3:$I$3002,"연차")+COUNTIFS(출퇴근기록!$A$3:$A$3002,$A13,출퇴근기록!$I$3:$I$3002,"결근")</f>
        <v>0</v>
      </c>
    </row>
    <row r="14" customFormat="false" ht="15" hidden="false" customHeight="true" outlineLevel="0" collapsed="false">
      <c r="A14" s="28" t="n">
        <f aca="false">$B$3+8</f>
        <v>46274</v>
      </c>
      <c r="B14" s="17" t="str">
        <f aca="false">CHOOSE(WEEKDAY($A14),"일","월","화","수","목","금","토")</f>
        <v>수</v>
      </c>
      <c r="C14" s="17" t="n">
        <f aca="false">COUNTIFS(출퇴근기록!$A$3:$A$3002,$A14,출퇴근기록!$H$3:$H$3002,"&gt;0")</f>
        <v>1</v>
      </c>
      <c r="D14" s="16" t="n">
        <f aca="false">ROUND(SUMIFS(출퇴근기록!$H$3:$H$3002,출퇴근기록!$A$3:$A$3002,$A14),2)</f>
        <v>8</v>
      </c>
      <c r="E14" s="16" t="n">
        <f aca="false">IF($C14=0,0,ROUND($D14/$C14,2))</f>
        <v>8</v>
      </c>
      <c r="F14" s="17" t="n">
        <f aca="false">COUNTIFS(출퇴근기록!$A$3:$A$3002,$A14,출퇴근기록!$I$3:$I$3002,"연차")+COUNTIFS(출퇴근기록!$A$3:$A$3002,$A14,출퇴근기록!$I$3:$I$3002,"결근")</f>
        <v>0</v>
      </c>
    </row>
    <row r="15" customFormat="false" ht="15" hidden="false" customHeight="true" outlineLevel="0" collapsed="false">
      <c r="A15" s="28" t="n">
        <f aca="false">$B$3+9</f>
        <v>46275</v>
      </c>
      <c r="B15" s="17" t="str">
        <f aca="false">CHOOSE(WEEKDAY($A15),"일","월","화","수","목","금","토")</f>
        <v>목</v>
      </c>
      <c r="C15" s="17" t="n">
        <f aca="false">COUNTIFS(출퇴근기록!$A$3:$A$3002,$A15,출퇴근기록!$H$3:$H$3002,"&gt;0")</f>
        <v>1</v>
      </c>
      <c r="D15" s="16" t="n">
        <f aca="false">ROUND(SUMIFS(출퇴근기록!$H$3:$H$3002,출퇴근기록!$A$3:$A$3002,$A15),2)</f>
        <v>8</v>
      </c>
      <c r="E15" s="16" t="n">
        <f aca="false">IF($C15=0,0,ROUND($D15/$C15,2))</f>
        <v>8</v>
      </c>
      <c r="F15" s="17" t="n">
        <f aca="false">COUNTIFS(출퇴근기록!$A$3:$A$3002,$A15,출퇴근기록!$I$3:$I$3002,"연차")+COUNTIFS(출퇴근기록!$A$3:$A$3002,$A15,출퇴근기록!$I$3:$I$3002,"결근")</f>
        <v>0</v>
      </c>
    </row>
    <row r="16" customFormat="false" ht="15" hidden="false" customHeight="true" outlineLevel="0" collapsed="false">
      <c r="A16" s="28" t="n">
        <f aca="false">$B$3+10</f>
        <v>46276</v>
      </c>
      <c r="B16" s="17" t="str">
        <f aca="false">CHOOSE(WEEKDAY($A16),"일","월","화","수","목","금","토")</f>
        <v>금</v>
      </c>
      <c r="C16" s="17" t="n">
        <f aca="false">COUNTIFS(출퇴근기록!$A$3:$A$3002,$A16,출퇴근기록!$H$3:$H$3002,"&gt;0")</f>
        <v>1</v>
      </c>
      <c r="D16" s="16" t="n">
        <f aca="false">ROUND(SUMIFS(출퇴근기록!$H$3:$H$3002,출퇴근기록!$A$3:$A$3002,$A16),2)</f>
        <v>7.5</v>
      </c>
      <c r="E16" s="16" t="n">
        <f aca="false">IF($C16=0,0,ROUND($D16/$C16,2))</f>
        <v>7.5</v>
      </c>
      <c r="F16" s="17" t="n">
        <f aca="false">COUNTIFS(출퇴근기록!$A$3:$A$3002,$A16,출퇴근기록!$I$3:$I$3002,"연차")+COUNTIFS(출퇴근기록!$A$3:$A$3002,$A16,출퇴근기록!$I$3:$I$3002,"결근")</f>
        <v>0</v>
      </c>
    </row>
    <row r="17" customFormat="false" ht="15" hidden="false" customHeight="true" outlineLevel="0" collapsed="false">
      <c r="A17" s="28" t="n">
        <f aca="false">$B$3+11</f>
        <v>46277</v>
      </c>
      <c r="B17" s="17" t="str">
        <f aca="false">CHOOSE(WEEKDAY($A17),"일","월","화","수","목","금","토")</f>
        <v>토</v>
      </c>
      <c r="C17" s="17" t="n">
        <f aca="false">COUNTIFS(출퇴근기록!$A$3:$A$3002,$A17,출퇴근기록!$H$3:$H$3002,"&gt;0")</f>
        <v>1</v>
      </c>
      <c r="D17" s="16" t="n">
        <f aca="false">ROUND(SUMIFS(출퇴근기록!$H$3:$H$3002,출퇴근기록!$A$3:$A$3002,$A17),2)</f>
        <v>6</v>
      </c>
      <c r="E17" s="16" t="n">
        <f aca="false">IF($C17=0,0,ROUND($D17/$C17,2))</f>
        <v>6</v>
      </c>
      <c r="F17" s="17" t="n">
        <f aca="false">COUNTIFS(출퇴근기록!$A$3:$A$3002,$A17,출퇴근기록!$I$3:$I$3002,"연차")+COUNTIFS(출퇴근기록!$A$3:$A$3002,$A17,출퇴근기록!$I$3:$I$3002,"결근")</f>
        <v>0</v>
      </c>
    </row>
    <row r="18" customFormat="false" ht="15" hidden="false" customHeight="true" outlineLevel="0" collapsed="false">
      <c r="A18" s="28" t="n">
        <f aca="false">$B$3+12</f>
        <v>46278</v>
      </c>
      <c r="B18" s="17" t="str">
        <f aca="false">CHOOSE(WEEKDAY($A18),"일","월","화","수","목","금","토")</f>
        <v>일</v>
      </c>
      <c r="C18" s="17" t="n">
        <f aca="false">COUNTIFS(출퇴근기록!$A$3:$A$3002,$A18,출퇴근기록!$H$3:$H$3002,"&gt;0")</f>
        <v>0</v>
      </c>
      <c r="D18" s="16" t="n">
        <f aca="false">ROUND(SUMIFS(출퇴근기록!$H$3:$H$3002,출퇴근기록!$A$3:$A$3002,$A18),2)</f>
        <v>0</v>
      </c>
      <c r="E18" s="16" t="n">
        <f aca="false">IF($C18=0,0,ROUND($D18/$C18,2))</f>
        <v>0</v>
      </c>
      <c r="F18" s="17" t="n">
        <f aca="false">COUNTIFS(출퇴근기록!$A$3:$A$3002,$A18,출퇴근기록!$I$3:$I$3002,"연차")+COUNTIFS(출퇴근기록!$A$3:$A$3002,$A18,출퇴근기록!$I$3:$I$3002,"결근")</f>
        <v>0</v>
      </c>
    </row>
    <row r="19" customFormat="false" ht="15" hidden="false" customHeight="true" outlineLevel="0" collapsed="false">
      <c r="A19" s="28" t="n">
        <f aca="false">$B$3+13</f>
        <v>46279</v>
      </c>
      <c r="B19" s="17" t="str">
        <f aca="false">CHOOSE(WEEKDAY($A19),"일","월","화","수","목","금","토")</f>
        <v>월</v>
      </c>
      <c r="C19" s="17" t="n">
        <f aca="false">COUNTIFS(출퇴근기록!$A$3:$A$3002,$A19,출퇴근기록!$H$3:$H$3002,"&gt;0")</f>
        <v>0</v>
      </c>
      <c r="D19" s="16" t="n">
        <f aca="false">ROUND(SUMIFS(출퇴근기록!$H$3:$H$3002,출퇴근기록!$A$3:$A$3002,$A19),2)</f>
        <v>0</v>
      </c>
      <c r="E19" s="16" t="n">
        <f aca="false">IF($C19=0,0,ROUND($D19/$C19,2))</f>
        <v>0</v>
      </c>
      <c r="F19" s="17" t="n">
        <f aca="false">COUNTIFS(출퇴근기록!$A$3:$A$3002,$A19,출퇴근기록!$I$3:$I$3002,"연차")+COUNTIFS(출퇴근기록!$A$3:$A$3002,$A19,출퇴근기록!$I$3:$I$3002,"결근")</f>
        <v>0</v>
      </c>
    </row>
    <row r="20" customFormat="false" ht="15" hidden="false" customHeight="true" outlineLevel="0" collapsed="false">
      <c r="A20" s="28" t="n">
        <f aca="false">$B$3+14</f>
        <v>46280</v>
      </c>
      <c r="B20" s="17" t="str">
        <f aca="false">CHOOSE(WEEKDAY($A20),"일","월","화","수","목","금","토")</f>
        <v>화</v>
      </c>
      <c r="C20" s="17" t="n">
        <f aca="false">COUNTIFS(출퇴근기록!$A$3:$A$3002,$A20,출퇴근기록!$H$3:$H$3002,"&gt;0")</f>
        <v>0</v>
      </c>
      <c r="D20" s="16" t="n">
        <f aca="false">ROUND(SUMIFS(출퇴근기록!$H$3:$H$3002,출퇴근기록!$A$3:$A$3002,$A20),2)</f>
        <v>0</v>
      </c>
      <c r="E20" s="16" t="n">
        <f aca="false">IF($C20=0,0,ROUND($D20/$C20,2))</f>
        <v>0</v>
      </c>
      <c r="F20" s="17" t="n">
        <f aca="false">COUNTIFS(출퇴근기록!$A$3:$A$3002,$A20,출퇴근기록!$I$3:$I$3002,"연차")+COUNTIFS(출퇴근기록!$A$3:$A$3002,$A20,출퇴근기록!$I$3:$I$3002,"결근")</f>
        <v>0</v>
      </c>
    </row>
    <row r="21" customFormat="false" ht="15" hidden="false" customHeight="true" outlineLevel="0" collapsed="false">
      <c r="A21" s="28" t="n">
        <f aca="false">$B$3+15</f>
        <v>46281</v>
      </c>
      <c r="B21" s="17" t="str">
        <f aca="false">CHOOSE(WEEKDAY($A21),"일","월","화","수","목","금","토")</f>
        <v>수</v>
      </c>
      <c r="C21" s="17" t="n">
        <f aca="false">COUNTIFS(출퇴근기록!$A$3:$A$3002,$A21,출퇴근기록!$H$3:$H$3002,"&gt;0")</f>
        <v>0</v>
      </c>
      <c r="D21" s="16" t="n">
        <f aca="false">ROUND(SUMIFS(출퇴근기록!$H$3:$H$3002,출퇴근기록!$A$3:$A$3002,$A21),2)</f>
        <v>0</v>
      </c>
      <c r="E21" s="16" t="n">
        <f aca="false">IF($C21=0,0,ROUND($D21/$C21,2))</f>
        <v>0</v>
      </c>
      <c r="F21" s="17" t="n">
        <f aca="false">COUNTIFS(출퇴근기록!$A$3:$A$3002,$A21,출퇴근기록!$I$3:$I$3002,"연차")+COUNTIFS(출퇴근기록!$A$3:$A$3002,$A21,출퇴근기록!$I$3:$I$3002,"결근")</f>
        <v>0</v>
      </c>
    </row>
    <row r="22" customFormat="false" ht="15" hidden="false" customHeight="true" outlineLevel="0" collapsed="false">
      <c r="A22" s="28" t="n">
        <f aca="false">$B$3+16</f>
        <v>46282</v>
      </c>
      <c r="B22" s="17" t="str">
        <f aca="false">CHOOSE(WEEKDAY($A22),"일","월","화","수","목","금","토")</f>
        <v>목</v>
      </c>
      <c r="C22" s="17" t="n">
        <f aca="false">COUNTIFS(출퇴근기록!$A$3:$A$3002,$A22,출퇴근기록!$H$3:$H$3002,"&gt;0")</f>
        <v>0</v>
      </c>
      <c r="D22" s="16" t="n">
        <f aca="false">ROUND(SUMIFS(출퇴근기록!$H$3:$H$3002,출퇴근기록!$A$3:$A$3002,$A22),2)</f>
        <v>0</v>
      </c>
      <c r="E22" s="16" t="n">
        <f aca="false">IF($C22=0,0,ROUND($D22/$C22,2))</f>
        <v>0</v>
      </c>
      <c r="F22" s="17" t="n">
        <f aca="false">COUNTIFS(출퇴근기록!$A$3:$A$3002,$A22,출퇴근기록!$I$3:$I$3002,"연차")+COUNTIFS(출퇴근기록!$A$3:$A$3002,$A22,출퇴근기록!$I$3:$I$3002,"결근")</f>
        <v>0</v>
      </c>
    </row>
    <row r="23" customFormat="false" ht="15" hidden="false" customHeight="true" outlineLevel="0" collapsed="false">
      <c r="A23" s="28" t="n">
        <f aca="false">$B$3+17</f>
        <v>46283</v>
      </c>
      <c r="B23" s="17" t="str">
        <f aca="false">CHOOSE(WEEKDAY($A23),"일","월","화","수","목","금","토")</f>
        <v>금</v>
      </c>
      <c r="C23" s="17" t="n">
        <f aca="false">COUNTIFS(출퇴근기록!$A$3:$A$3002,$A23,출퇴근기록!$H$3:$H$3002,"&gt;0")</f>
        <v>0</v>
      </c>
      <c r="D23" s="16" t="n">
        <f aca="false">ROUND(SUMIFS(출퇴근기록!$H$3:$H$3002,출퇴근기록!$A$3:$A$3002,$A23),2)</f>
        <v>0</v>
      </c>
      <c r="E23" s="16" t="n">
        <f aca="false">IF($C23=0,0,ROUND($D23/$C23,2))</f>
        <v>0</v>
      </c>
      <c r="F23" s="17" t="n">
        <f aca="false">COUNTIFS(출퇴근기록!$A$3:$A$3002,$A23,출퇴근기록!$I$3:$I$3002,"연차")+COUNTIFS(출퇴근기록!$A$3:$A$3002,$A23,출퇴근기록!$I$3:$I$3002,"결근")</f>
        <v>0</v>
      </c>
    </row>
    <row r="24" customFormat="false" ht="15" hidden="false" customHeight="true" outlineLevel="0" collapsed="false">
      <c r="A24" s="28" t="n">
        <f aca="false">$B$3+18</f>
        <v>46284</v>
      </c>
      <c r="B24" s="17" t="str">
        <f aca="false">CHOOSE(WEEKDAY($A24),"일","월","화","수","목","금","토")</f>
        <v>토</v>
      </c>
      <c r="C24" s="17" t="n">
        <f aca="false">COUNTIFS(출퇴근기록!$A$3:$A$3002,$A24,출퇴근기록!$H$3:$H$3002,"&gt;0")</f>
        <v>0</v>
      </c>
      <c r="D24" s="16" t="n">
        <f aca="false">ROUND(SUMIFS(출퇴근기록!$H$3:$H$3002,출퇴근기록!$A$3:$A$3002,$A24),2)</f>
        <v>0</v>
      </c>
      <c r="E24" s="16" t="n">
        <f aca="false">IF($C24=0,0,ROUND($D24/$C24,2))</f>
        <v>0</v>
      </c>
      <c r="F24" s="17" t="n">
        <f aca="false">COUNTIFS(출퇴근기록!$A$3:$A$3002,$A24,출퇴근기록!$I$3:$I$3002,"연차")+COUNTIFS(출퇴근기록!$A$3:$A$3002,$A24,출퇴근기록!$I$3:$I$3002,"결근")</f>
        <v>0</v>
      </c>
    </row>
    <row r="25" customFormat="false" ht="15" hidden="false" customHeight="true" outlineLevel="0" collapsed="false">
      <c r="A25" s="28" t="n">
        <f aca="false">$B$3+19</f>
        <v>46285</v>
      </c>
      <c r="B25" s="17" t="str">
        <f aca="false">CHOOSE(WEEKDAY($A25),"일","월","화","수","목","금","토")</f>
        <v>일</v>
      </c>
      <c r="C25" s="17" t="n">
        <f aca="false">COUNTIFS(출퇴근기록!$A$3:$A$3002,$A25,출퇴근기록!$H$3:$H$3002,"&gt;0")</f>
        <v>0</v>
      </c>
      <c r="D25" s="16" t="n">
        <f aca="false">ROUND(SUMIFS(출퇴근기록!$H$3:$H$3002,출퇴근기록!$A$3:$A$3002,$A25),2)</f>
        <v>0</v>
      </c>
      <c r="E25" s="16" t="n">
        <f aca="false">IF($C25=0,0,ROUND($D25/$C25,2))</f>
        <v>0</v>
      </c>
      <c r="F25" s="17" t="n">
        <f aca="false">COUNTIFS(출퇴근기록!$A$3:$A$3002,$A25,출퇴근기록!$I$3:$I$3002,"연차")+COUNTIFS(출퇴근기록!$A$3:$A$3002,$A25,출퇴근기록!$I$3:$I$3002,"결근")</f>
        <v>0</v>
      </c>
    </row>
    <row r="26" customFormat="false" ht="15" hidden="false" customHeight="true" outlineLevel="0" collapsed="false">
      <c r="A26" s="28" t="n">
        <f aca="false">$B$3+20</f>
        <v>46286</v>
      </c>
      <c r="B26" s="17" t="str">
        <f aca="false">CHOOSE(WEEKDAY($A26),"일","월","화","수","목","금","토")</f>
        <v>월</v>
      </c>
      <c r="C26" s="17" t="n">
        <f aca="false">COUNTIFS(출퇴근기록!$A$3:$A$3002,$A26,출퇴근기록!$H$3:$H$3002,"&gt;0")</f>
        <v>0</v>
      </c>
      <c r="D26" s="16" t="n">
        <f aca="false">ROUND(SUMIFS(출퇴근기록!$H$3:$H$3002,출퇴근기록!$A$3:$A$3002,$A26),2)</f>
        <v>0</v>
      </c>
      <c r="E26" s="16" t="n">
        <f aca="false">IF($C26=0,0,ROUND($D26/$C26,2))</f>
        <v>0</v>
      </c>
      <c r="F26" s="17" t="n">
        <f aca="false">COUNTIFS(출퇴근기록!$A$3:$A$3002,$A26,출퇴근기록!$I$3:$I$3002,"연차")+COUNTIFS(출퇴근기록!$A$3:$A$3002,$A26,출퇴근기록!$I$3:$I$3002,"결근")</f>
        <v>0</v>
      </c>
    </row>
    <row r="27" customFormat="false" ht="15" hidden="false" customHeight="true" outlineLevel="0" collapsed="false">
      <c r="A27" s="28" t="n">
        <f aca="false">$B$3+21</f>
        <v>46287</v>
      </c>
      <c r="B27" s="17" t="str">
        <f aca="false">CHOOSE(WEEKDAY($A27),"일","월","화","수","목","금","토")</f>
        <v>화</v>
      </c>
      <c r="C27" s="17" t="n">
        <f aca="false">COUNTIFS(출퇴근기록!$A$3:$A$3002,$A27,출퇴근기록!$H$3:$H$3002,"&gt;0")</f>
        <v>0</v>
      </c>
      <c r="D27" s="16" t="n">
        <f aca="false">ROUND(SUMIFS(출퇴근기록!$H$3:$H$3002,출퇴근기록!$A$3:$A$3002,$A27),2)</f>
        <v>0</v>
      </c>
      <c r="E27" s="16" t="n">
        <f aca="false">IF($C27=0,0,ROUND($D27/$C27,2))</f>
        <v>0</v>
      </c>
      <c r="F27" s="17" t="n">
        <f aca="false">COUNTIFS(출퇴근기록!$A$3:$A$3002,$A27,출퇴근기록!$I$3:$I$3002,"연차")+COUNTIFS(출퇴근기록!$A$3:$A$3002,$A27,출퇴근기록!$I$3:$I$3002,"결근")</f>
        <v>0</v>
      </c>
    </row>
    <row r="28" customFormat="false" ht="15" hidden="false" customHeight="true" outlineLevel="0" collapsed="false">
      <c r="A28" s="28" t="n">
        <f aca="false">$B$3+22</f>
        <v>46288</v>
      </c>
      <c r="B28" s="17" t="str">
        <f aca="false">CHOOSE(WEEKDAY($A28),"일","월","화","수","목","금","토")</f>
        <v>수</v>
      </c>
      <c r="C28" s="17" t="n">
        <f aca="false">COUNTIFS(출퇴근기록!$A$3:$A$3002,$A28,출퇴근기록!$H$3:$H$3002,"&gt;0")</f>
        <v>0</v>
      </c>
      <c r="D28" s="16" t="n">
        <f aca="false">ROUND(SUMIFS(출퇴근기록!$H$3:$H$3002,출퇴근기록!$A$3:$A$3002,$A28),2)</f>
        <v>0</v>
      </c>
      <c r="E28" s="16" t="n">
        <f aca="false">IF($C28=0,0,ROUND($D28/$C28,2))</f>
        <v>0</v>
      </c>
      <c r="F28" s="17" t="n">
        <f aca="false">COUNTIFS(출퇴근기록!$A$3:$A$3002,$A28,출퇴근기록!$I$3:$I$3002,"연차")+COUNTIFS(출퇴근기록!$A$3:$A$3002,$A28,출퇴근기록!$I$3:$I$3002,"결근")</f>
        <v>0</v>
      </c>
    </row>
    <row r="29" customFormat="false" ht="15" hidden="false" customHeight="true" outlineLevel="0" collapsed="false">
      <c r="A29" s="28" t="n">
        <f aca="false">$B$3+23</f>
        <v>46289</v>
      </c>
      <c r="B29" s="17" t="str">
        <f aca="false">CHOOSE(WEEKDAY($A29),"일","월","화","수","목","금","토")</f>
        <v>목</v>
      </c>
      <c r="C29" s="17" t="n">
        <f aca="false">COUNTIFS(출퇴근기록!$A$3:$A$3002,$A29,출퇴근기록!$H$3:$H$3002,"&gt;0")</f>
        <v>0</v>
      </c>
      <c r="D29" s="16" t="n">
        <f aca="false">ROUND(SUMIFS(출퇴근기록!$H$3:$H$3002,출퇴근기록!$A$3:$A$3002,$A29),2)</f>
        <v>0</v>
      </c>
      <c r="E29" s="16" t="n">
        <f aca="false">IF($C29=0,0,ROUND($D29/$C29,2))</f>
        <v>0</v>
      </c>
      <c r="F29" s="17" t="n">
        <f aca="false">COUNTIFS(출퇴근기록!$A$3:$A$3002,$A29,출퇴근기록!$I$3:$I$3002,"연차")+COUNTIFS(출퇴근기록!$A$3:$A$3002,$A29,출퇴근기록!$I$3:$I$3002,"결근")</f>
        <v>0</v>
      </c>
    </row>
    <row r="30" customFormat="false" ht="15" hidden="false" customHeight="true" outlineLevel="0" collapsed="false">
      <c r="A30" s="28" t="n">
        <f aca="false">$B$3+24</f>
        <v>46290</v>
      </c>
      <c r="B30" s="17" t="str">
        <f aca="false">CHOOSE(WEEKDAY($A30),"일","월","화","수","목","금","토")</f>
        <v>금</v>
      </c>
      <c r="C30" s="17" t="n">
        <f aca="false">COUNTIFS(출퇴근기록!$A$3:$A$3002,$A30,출퇴근기록!$H$3:$H$3002,"&gt;0")</f>
        <v>0</v>
      </c>
      <c r="D30" s="16" t="n">
        <f aca="false">ROUND(SUMIFS(출퇴근기록!$H$3:$H$3002,출퇴근기록!$A$3:$A$3002,$A30),2)</f>
        <v>0</v>
      </c>
      <c r="E30" s="16" t="n">
        <f aca="false">IF($C30=0,0,ROUND($D30/$C30,2))</f>
        <v>0</v>
      </c>
      <c r="F30" s="17" t="n">
        <f aca="false">COUNTIFS(출퇴근기록!$A$3:$A$3002,$A30,출퇴근기록!$I$3:$I$3002,"연차")+COUNTIFS(출퇴근기록!$A$3:$A$3002,$A30,출퇴근기록!$I$3:$I$3002,"결근")</f>
        <v>0</v>
      </c>
    </row>
    <row r="31" customFormat="false" ht="15" hidden="false" customHeight="true" outlineLevel="0" collapsed="false">
      <c r="A31" s="28" t="n">
        <f aca="false">$B$3+25</f>
        <v>46291</v>
      </c>
      <c r="B31" s="17" t="str">
        <f aca="false">CHOOSE(WEEKDAY($A31),"일","월","화","수","목","금","토")</f>
        <v>토</v>
      </c>
      <c r="C31" s="17" t="n">
        <f aca="false">COUNTIFS(출퇴근기록!$A$3:$A$3002,$A31,출퇴근기록!$H$3:$H$3002,"&gt;0")</f>
        <v>0</v>
      </c>
      <c r="D31" s="16" t="n">
        <f aca="false">ROUND(SUMIFS(출퇴근기록!$H$3:$H$3002,출퇴근기록!$A$3:$A$3002,$A31),2)</f>
        <v>0</v>
      </c>
      <c r="E31" s="16" t="n">
        <f aca="false">IF($C31=0,0,ROUND($D31/$C31,2))</f>
        <v>0</v>
      </c>
      <c r="F31" s="17" t="n">
        <f aca="false">COUNTIFS(출퇴근기록!$A$3:$A$3002,$A31,출퇴근기록!$I$3:$I$3002,"연차")+COUNTIFS(출퇴근기록!$A$3:$A$3002,$A31,출퇴근기록!$I$3:$I$3002,"결근")</f>
        <v>0</v>
      </c>
    </row>
    <row r="32" customFormat="false" ht="15" hidden="false" customHeight="true" outlineLevel="0" collapsed="false">
      <c r="A32" s="28" t="n">
        <f aca="false">$B$3+26</f>
        <v>46292</v>
      </c>
      <c r="B32" s="17" t="str">
        <f aca="false">CHOOSE(WEEKDAY($A32),"일","월","화","수","목","금","토")</f>
        <v>일</v>
      </c>
      <c r="C32" s="17" t="n">
        <f aca="false">COUNTIFS(출퇴근기록!$A$3:$A$3002,$A32,출퇴근기록!$H$3:$H$3002,"&gt;0")</f>
        <v>0</v>
      </c>
      <c r="D32" s="16" t="n">
        <f aca="false">ROUND(SUMIFS(출퇴근기록!$H$3:$H$3002,출퇴근기록!$A$3:$A$3002,$A32),2)</f>
        <v>0</v>
      </c>
      <c r="E32" s="16" t="n">
        <f aca="false">IF($C32=0,0,ROUND($D32/$C32,2))</f>
        <v>0</v>
      </c>
      <c r="F32" s="17" t="n">
        <f aca="false">COUNTIFS(출퇴근기록!$A$3:$A$3002,$A32,출퇴근기록!$I$3:$I$3002,"연차")+COUNTIFS(출퇴근기록!$A$3:$A$3002,$A32,출퇴근기록!$I$3:$I$3002,"결근")</f>
        <v>0</v>
      </c>
    </row>
    <row r="33" customFormat="false" ht="15" hidden="false" customHeight="true" outlineLevel="0" collapsed="false">
      <c r="A33" s="28" t="n">
        <f aca="false">$B$3+27</f>
        <v>46293</v>
      </c>
      <c r="B33" s="17" t="str">
        <f aca="false">CHOOSE(WEEKDAY($A33),"일","월","화","수","목","금","토")</f>
        <v>월</v>
      </c>
      <c r="C33" s="17" t="n">
        <f aca="false">COUNTIFS(출퇴근기록!$A$3:$A$3002,$A33,출퇴근기록!$H$3:$H$3002,"&gt;0")</f>
        <v>0</v>
      </c>
      <c r="D33" s="16" t="n">
        <f aca="false">ROUND(SUMIFS(출퇴근기록!$H$3:$H$3002,출퇴근기록!$A$3:$A$3002,$A33),2)</f>
        <v>0</v>
      </c>
      <c r="E33" s="16" t="n">
        <f aca="false">IF($C33=0,0,ROUND($D33/$C33,2))</f>
        <v>0</v>
      </c>
      <c r="F33" s="17" t="n">
        <f aca="false">COUNTIFS(출퇴근기록!$A$3:$A$3002,$A33,출퇴근기록!$I$3:$I$3002,"연차")+COUNTIFS(출퇴근기록!$A$3:$A$3002,$A33,출퇴근기록!$I$3:$I$3002,"결근")</f>
        <v>0</v>
      </c>
    </row>
    <row r="34" customFormat="false" ht="15" hidden="false" customHeight="true" outlineLevel="0" collapsed="false">
      <c r="A34" s="28" t="n">
        <f aca="false">$B$3+28</f>
        <v>46294</v>
      </c>
      <c r="B34" s="17" t="str">
        <f aca="false">CHOOSE(WEEKDAY($A34),"일","월","화","수","목","금","토")</f>
        <v>화</v>
      </c>
      <c r="C34" s="17" t="n">
        <f aca="false">COUNTIFS(출퇴근기록!$A$3:$A$3002,$A34,출퇴근기록!$H$3:$H$3002,"&gt;0")</f>
        <v>0</v>
      </c>
      <c r="D34" s="16" t="n">
        <f aca="false">ROUND(SUMIFS(출퇴근기록!$H$3:$H$3002,출퇴근기록!$A$3:$A$3002,$A34),2)</f>
        <v>0</v>
      </c>
      <c r="E34" s="16" t="n">
        <f aca="false">IF($C34=0,0,ROUND($D34/$C34,2))</f>
        <v>0</v>
      </c>
      <c r="F34" s="17" t="n">
        <f aca="false">COUNTIFS(출퇴근기록!$A$3:$A$3002,$A34,출퇴근기록!$I$3:$I$3002,"연차")+COUNTIFS(출퇴근기록!$A$3:$A$3002,$A34,출퇴근기록!$I$3:$I$3002,"결근")</f>
        <v>0</v>
      </c>
    </row>
    <row r="35" customFormat="false" ht="15" hidden="false" customHeight="true" outlineLevel="0" collapsed="false">
      <c r="A35" s="28" t="n">
        <f aca="false">$B$3+29</f>
        <v>46295</v>
      </c>
      <c r="B35" s="17" t="str">
        <f aca="false">CHOOSE(WEEKDAY($A35),"일","월","화","수","목","금","토")</f>
        <v>수</v>
      </c>
      <c r="C35" s="17" t="n">
        <f aca="false">COUNTIFS(출퇴근기록!$A$3:$A$3002,$A35,출퇴근기록!$H$3:$H$3002,"&gt;0")</f>
        <v>0</v>
      </c>
      <c r="D35" s="16" t="n">
        <f aca="false">ROUND(SUMIFS(출퇴근기록!$H$3:$H$3002,출퇴근기록!$A$3:$A$3002,$A35),2)</f>
        <v>0</v>
      </c>
      <c r="E35" s="16" t="n">
        <f aca="false">IF($C35=0,0,ROUND($D35/$C35,2))</f>
        <v>0</v>
      </c>
      <c r="F35" s="17" t="n">
        <f aca="false">COUNTIFS(출퇴근기록!$A$3:$A$3002,$A35,출퇴근기록!$I$3:$I$3002,"연차")+COUNTIFS(출퇴근기록!$A$3:$A$3002,$A35,출퇴근기록!$I$3:$I$3002,"결근")</f>
        <v>0</v>
      </c>
    </row>
    <row r="36" customFormat="false" ht="15" hidden="false" customHeight="true" outlineLevel="0" collapsed="false">
      <c r="A36" s="28" t="n">
        <f aca="false">$B$3+30</f>
        <v>46296</v>
      </c>
      <c r="B36" s="17" t="str">
        <f aca="false">CHOOSE(WEEKDAY($A36),"일","월","화","수","목","금","토")</f>
        <v>목</v>
      </c>
      <c r="C36" s="17" t="n">
        <f aca="false">COUNTIFS(출퇴근기록!$A$3:$A$3002,$A36,출퇴근기록!$H$3:$H$3002,"&gt;0")</f>
        <v>0</v>
      </c>
      <c r="D36" s="16" t="n">
        <f aca="false">ROUND(SUMIFS(출퇴근기록!$H$3:$H$3002,출퇴근기록!$A$3:$A$3002,$A36),2)</f>
        <v>0</v>
      </c>
      <c r="E36" s="16" t="n">
        <f aca="false">IF($C36=0,0,ROUND($D36/$C36,2))</f>
        <v>0</v>
      </c>
      <c r="F36" s="17" t="n">
        <f aca="false">COUNTIFS(출퇴근기록!$A$3:$A$3002,$A36,출퇴근기록!$I$3:$I$3002,"연차")+COUNTIFS(출퇴근기록!$A$3:$A$3002,$A36,출퇴근기록!$I$3:$I$3002,"결근")</f>
        <v>0</v>
      </c>
    </row>
    <row r="38" customFormat="false" ht="15" hidden="false" customHeight="true" outlineLevel="0" collapsed="false">
      <c r="B38" s="20" t="s">
        <v>68</v>
      </c>
      <c r="C38" s="21" t="n">
        <f aca="false">SUM(C6:C36)</f>
        <v>14</v>
      </c>
      <c r="D38" s="22" t="n">
        <f aca="false">SUM(D6:D36)</f>
        <v>115.17</v>
      </c>
      <c r="F38" s="21" t="n">
        <f aca="false">SUM(F6:F36)</f>
        <v>1</v>
      </c>
    </row>
  </sheetData>
  <mergeCells count="1">
    <mergeCell ref="A1:F1"/>
  </mergeCells>
  <conditionalFormatting sqref="A6:F36">
    <cfRule type="expression" priority="2" aboveAverage="0" equalAverage="0" bottom="0" percent="0" rank="0" text="" dxfId="0">
      <formula>OR($B6="일",$B6="토")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2026-09-14T08:52:07Z</dcterms:created>
  <dc:creator>openpyxl</dc:creator>
  <dc:description/>
  <dc:language>en-US</dc:language>
  <cp:lastModifiedBy/>
  <dcterms:modified xsi:type="dcterms:W3CDTF">2026-09-14T08:58:13Z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