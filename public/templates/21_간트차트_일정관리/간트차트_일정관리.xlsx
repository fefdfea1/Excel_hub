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담당자목록" sheetId="2" state="visible" r:id="rId4"/>
    <sheet name="작업목록" sheetId="3" state="visible" r:id="rId5"/>
    <sheet name="간트차트_일" sheetId="4" state="visible" r:id="rId6"/>
    <sheet name="간트차트_주" sheetId="5" state="visible" r:id="rId7"/>
    <sheet name="담당자별현황" sheetId="6" state="visible" r:id="rId8"/>
    <sheet name="지연현황" sheetId="7" state="visible" r:id="rId9"/>
  </sheets>
  <definedNames>
    <definedName function="false" hidden="false" localSheetId="3" name="_xlnm.Print_Area" vbProcedure="false">간트차트_일!$A$1:$BL$105</definedName>
    <definedName function="false" hidden="false" localSheetId="4" name="_xlnm.Print_Area" vbProcedure="false">간트차트_주!$A$1:$AD$105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<sst xmlns="http://schemas.openxmlformats.org/spreadsheetml/2006/main" count="104" uniqueCount="81">
  <si>
    <t xml:space="preserve">간트차트 일정관리</t>
  </si>
  <si>
    <t xml:space="preserve">핵심</t>
  </si>
  <si>
    <t xml:space="preserve">시작일과 종료일만 넣으면 달력 위에 막대가 자동으로 그려집니다.</t>
  </si>
  <si>
    <t xml:space="preserve">입력 규칙</t>
  </si>
  <si>
    <t xml:space="preserve">파란색 글씨 칸만 입력하세요. 검은색은 자동 계산입니다.</t>
  </si>
  <si>
    <t xml:space="preserve">① 담당자목록</t>
  </si>
  <si>
    <t xml:space="preserve">담당자와 소속을 등록합니다.</t>
  </si>
  <si>
    <t xml:space="preserve">② 작업목록</t>
  </si>
  <si>
    <t xml:space="preserve">작업명·담당자·시작일·종료일·진행률을 넣습니다. 여기가 유일한 입력 시트입니다.</t>
  </si>
  <si>
    <t xml:space="preserve">③ 간트차트(일)</t>
  </si>
  <si>
    <t xml:space="preserve">기준일부터 60일간을 하루 한 칸으로 보여줍니다. 상세 일정용입니다.</t>
  </si>
  <si>
    <t xml:space="preserve">④ 간트차트(주)</t>
  </si>
  <si>
    <t xml:space="preserve">기준일부터 26주간을 한 주 한 칸으로 보여줍니다. 전체 흐름용입니다.</t>
  </si>
  <si>
    <t xml:space="preserve">⑤ 담당자별현황</t>
  </si>
  <si>
    <t xml:space="preserve">담당자별 작업 수와 진행 상황입니다.</t>
  </si>
  <si>
    <t xml:space="preserve">⑥ 지연현황</t>
  </si>
  <si>
    <t xml:space="preserve">종료일이 지났는데 100%가 아닌 작업만 모아 보여줍니다.</t>
  </si>
  <si>
    <t xml:space="preserve">막대 색 구분</t>
  </si>
  <si>
    <t xml:space="preserve">완료(100%)는 회색, 진행 중은 파랑, 지연은 빨강으로 칠해집니다.</t>
  </si>
  <si>
    <t xml:space="preserve">오늘 표시</t>
  </si>
  <si>
    <t xml:space="preserve">오늘 날짜 칸은 세로로 노란 선이 들어갑니다.</t>
  </si>
  <si>
    <t xml:space="preserve">※ 작업 100건, 일 단위 60일 / 주 단위 26주까지 표시됩니다.</t>
  </si>
  <si>
    <t xml:space="preserve">※ 기준일을 바꾸면 차트가 그 날짜부터 다시 그려집니다.</t>
  </si>
  <si>
    <t xml:space="preserve">담당자목록</t>
  </si>
  <si>
    <t xml:space="preserve">담당자</t>
  </si>
  <si>
    <t xml:space="preserve">소속</t>
  </si>
  <si>
    <t xml:space="preserve">연락처</t>
  </si>
  <si>
    <t xml:space="preserve">비고</t>
  </si>
  <si>
    <t xml:space="preserve">김담당</t>
  </si>
  <si>
    <t xml:space="preserve">기획팀</t>
  </si>
  <si>
    <t xml:space="preserve">010-0000-0001</t>
  </si>
  <si>
    <t xml:space="preserve">이담당</t>
  </si>
  <si>
    <t xml:space="preserve">개발팀</t>
  </si>
  <si>
    <t xml:space="preserve">010-0000-0002</t>
  </si>
  <si>
    <t xml:space="preserve">박담당</t>
  </si>
  <si>
    <t xml:space="preserve">디자인팀</t>
  </si>
  <si>
    <t xml:space="preserve">010-0000-0003</t>
  </si>
  <si>
    <t xml:space="preserve">작업목록  (여기가 유일한 입력 시트입니다)</t>
  </si>
  <si>
    <r>
      <rPr>
        <b val="true"/>
        <sz val="10"/>
        <color rgb="FFFFFFFF"/>
        <rFont val="맑은 고딕"/>
        <family val="0"/>
        <charset val="1"/>
      </rPr>
      <t xml:space="preserve">No(</t>
    </r>
    <r>
      <rPr>
        <b val="true"/>
        <sz val="10"/>
        <color rgb="FFFFFFFF"/>
        <rFont val="Noto Sans CJK SC"/>
        <family val="2"/>
        <charset val="1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</si>
  <si>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구분</t>
  </si>
  <si>
    <t xml:space="preserve">작업명</t>
  </si>
  <si>
    <t xml:space="preserve">시작일</t>
  </si>
  <si>
    <t xml:space="preserve">종료일</t>
  </si>
  <si>
    <t xml:space="preserve">기간(일,자동)</t>
  </si>
  <si>
    <t xml:space="preserve">진행률</t>
  </si>
  <si>
    <t xml:space="preserve">상태(자동)</t>
  </si>
  <si>
    <t xml:space="preserve">남은일수(자동)</t>
  </si>
  <si>
    <t xml:space="preserve">기획</t>
  </si>
  <si>
    <t xml:space="preserve">요구사항 정리</t>
  </si>
  <si>
    <t xml:space="preserve">설계</t>
  </si>
  <si>
    <t xml:space="preserve">화면 설계</t>
  </si>
  <si>
    <t xml:space="preserve">개발</t>
  </si>
  <si>
    <t xml:space="preserve">백엔드 구축</t>
  </si>
  <si>
    <t xml:space="preserve">프론트 구축</t>
  </si>
  <si>
    <t xml:space="preserve">검수</t>
  </si>
  <si>
    <t xml:space="preserve">통합 테스트</t>
  </si>
  <si>
    <t xml:space="preserve">※ 진행률은 0~1 사이로 넣으세요. 60%면 0.6 또는 60% 입력.</t>
  </si>
  <si>
    <t xml:space="preserve">간트차트 (일 단위 · 60일)</t>
  </si>
  <si>
    <t xml:space="preserve">기준일</t>
  </si>
  <si>
    <t xml:space="preserve">← 이 날짜부터 그려집니다</t>
  </si>
  <si>
    <t xml:space="preserve">시작</t>
  </si>
  <si>
    <t xml:space="preserve">종료</t>
  </si>
  <si>
    <t xml:space="preserve">※ 파랑=진행/예정, 회색=완료, 빨강=지연, 노랑 세로줄=오늘</t>
  </si>
  <si>
    <t xml:space="preserve">간트차트 (주 단위 · 26주)</t>
  </si>
  <si>
    <t xml:space="preserve">※ 한 칸이 7일입니다. 기준일이 속한 주부터 그려집니다.</t>
  </si>
  <si>
    <t xml:space="preserve">담당자별현황</t>
  </si>
  <si>
    <t xml:space="preserve">작업 수</t>
  </si>
  <si>
    <t xml:space="preserve">완료</t>
  </si>
  <si>
    <t xml:space="preserve">진행중</t>
  </si>
  <si>
    <t xml:space="preserve">지연</t>
  </si>
  <si>
    <t xml:space="preserve">평균 진행률</t>
  </si>
  <si>
    <t xml:space="preserve">합계</t>
  </si>
  <si>
    <t xml:space="preserve">지연현황  (종료일이 지났는데 안 끝난 작업)</t>
  </si>
  <si>
    <t xml:space="preserve">지연 작업 수</t>
  </si>
  <si>
    <t xml:space="preserve">오늘</t>
  </si>
  <si>
    <t xml:space="preserve">순번</t>
  </si>
  <si>
    <t xml:space="preserve">지연일수</t>
  </si>
  <si>
    <t xml:space="preserve">대상(자동)</t>
  </si>
  <si>
    <t xml:space="preserve">순번(자동)</t>
  </si>
  <si>
    <t xml:space="preserve">키(자동)</t>
  </si>
  <si>
    <t xml:space="preserve">※ 지연일수가 큰 순서가 아니라 작업목록 순서대로 나옵니다. 50건까지 표시됩니다.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</si>
</sst>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yyyy\-mm\-dd"/>
    <numFmt numFmtId="167" formatCode="#,##0"/>
    <numFmt numFmtId="168" formatCode="0%"/>
    <numFmt numFmtId="169" formatCode="0"/>
    <numFmt numFmtId="170" formatCode="mm/dd"/>
    <numFmt numFmtId="171" formatCode="d"/>
    <numFmt numFmtId="172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8"/>
      <name val="맑은 고딕"/>
      <family val="0"/>
      <charset val="1"/>
    </font>
    <font>
      <b val="true"/>
      <sz val="8"/>
      <color rgb="FFFFFFFF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1"/>
      <name val="맑은 고딕"/>
      <family val="0"/>
      <charset val="1"/>
    </font>
    <font>
      <sz val="9"/>
      <color rgb="FF808080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  <fill>
      <patternFill patternType="solid">
        <fgColor rgb="FFFCE4E4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CE4E4"/>
        </patternFill>
      </fill>
    </dxf>
    <dxf>
      <fill>
        <patternFill>
          <bgColor rgb="FFF2F2F2"/>
        </patternFill>
      </fill>
    </dxf>
    <dxf>
      <fill>
        <patternFill>
          <bgColor rgb="FFF4A9A9"/>
        </patternFill>
      </fill>
    </dxf>
    <dxf>
      <fill>
        <patternFill>
          <bgColor rgb="FFD0CECE"/>
        </patternFill>
      </fill>
    </dxf>
    <dxf>
      <fill>
        <patternFill>
          <bgColor rgb="FF9DC3E6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DC3E6"/>
      <rgbColor rgb="FFF4A9A9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1" customFormat="false" ht="15" hidden="false" customHeight="true" outlineLevel="0" collapsed="false">
      <c r="B11" s="3" t="s">
        <v>15</v>
      </c>
      <c r="C11" s="4" t="s">
        <v>16</v>
      </c>
    </row>
    <row r="12" customFormat="false" ht="15" hidden="false" customHeight="true" outlineLevel="0" collapsed="false">
      <c r="B12" s="3" t="s">
        <v>17</v>
      </c>
      <c r="C12" s="4" t="s">
        <v>18</v>
      </c>
    </row>
    <row r="13" customFormat="false" ht="15" hidden="false" customHeight="true" outlineLevel="0" collapsed="false">
      <c r="B13" s="3" t="s">
        <v>19</v>
      </c>
      <c r="C13" s="4" t="s">
        <v>20</v>
      </c>
    </row>
    <row r="15" customFormat="false" ht="15" hidden="false" customHeight="true" outlineLevel="0" collapsed="false">
      <c r="B15" s="5" t="s">
        <v>21</v>
      </c>
    </row>
    <row r="16" customFormat="false" ht="15" hidden="false" customHeight="true" outlineLevel="0" collapsed="false">
      <c r="B16" s="5" t="s">
        <v>22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7"/>
    <col collapsed="false" customWidth="true" hidden="false" outlineLevel="0" max="4" min="4" style="1" width="24"/>
  </cols>
  <sheetData>
    <row r="1" customFormat="false" ht="25.5" hidden="false" customHeight="true" outlineLevel="0" collapsed="false">
      <c r="A1" s="2" t="s">
        <v>23</v>
      </c>
      <c r="B1" s="2"/>
      <c r="C1" s="2"/>
      <c r="D1" s="2"/>
    </row>
    <row r="2" customFormat="false" ht="15" hidden="false" customHeight="true" outlineLevel="0" collapsed="false">
      <c r="A2" s="6" t="s">
        <v>24</v>
      </c>
      <c r="B2" s="6" t="s">
        <v>25</v>
      </c>
      <c r="C2" s="6" t="s">
        <v>26</v>
      </c>
      <c r="D2" s="6" t="s">
        <v>27</v>
      </c>
    </row>
    <row r="3" customFormat="false" ht="15" hidden="false" customHeight="true" outlineLevel="0" collapsed="false">
      <c r="A3" s="7" t="s">
        <v>28</v>
      </c>
      <c r="B3" s="7" t="s">
        <v>29</v>
      </c>
      <c r="C3" s="8" t="s">
        <v>30</v>
      </c>
      <c r="D3" s="7"/>
    </row>
    <row r="4" customFormat="false" ht="15" hidden="false" customHeight="true" outlineLevel="0" collapsed="false">
      <c r="A4" s="7" t="s">
        <v>31</v>
      </c>
      <c r="B4" s="7" t="s">
        <v>32</v>
      </c>
      <c r="C4" s="8" t="s">
        <v>33</v>
      </c>
      <c r="D4" s="7"/>
    </row>
    <row r="5" customFormat="false" ht="15" hidden="false" customHeight="true" outlineLevel="0" collapsed="false">
      <c r="A5" s="7" t="s">
        <v>34</v>
      </c>
      <c r="B5" s="7" t="s">
        <v>35</v>
      </c>
      <c r="C5" s="8" t="s">
        <v>36</v>
      </c>
      <c r="D5" s="7"/>
    </row>
    <row r="6" customFormat="false" ht="15" hidden="false" customHeight="true" outlineLevel="0" collapsed="false">
      <c r="A6" s="7"/>
      <c r="B6" s="7"/>
      <c r="C6" s="7"/>
      <c r="D6" s="7"/>
    </row>
    <row r="7" customFormat="false" ht="15" hidden="false" customHeight="true" outlineLevel="0" collapsed="false">
      <c r="A7" s="7"/>
      <c r="B7" s="7"/>
      <c r="C7" s="7"/>
      <c r="D7" s="7"/>
    </row>
    <row r="8" customFormat="false" ht="15" hidden="false" customHeight="true" outlineLevel="0" collapsed="false">
      <c r="A8" s="7"/>
      <c r="B8" s="7"/>
      <c r="C8" s="7"/>
      <c r="D8" s="7"/>
    </row>
    <row r="9" customFormat="false" ht="15" hidden="false" customHeight="true" outlineLevel="0" collapsed="false">
      <c r="A9" s="7"/>
      <c r="B9" s="7"/>
      <c r="C9" s="7"/>
      <c r="D9" s="7"/>
    </row>
    <row r="10" customFormat="false" ht="15" hidden="false" customHeight="true" outlineLevel="0" collapsed="false">
      <c r="A10" s="7"/>
      <c r="B10" s="7"/>
      <c r="C10" s="7"/>
      <c r="D10" s="7"/>
    </row>
    <row r="11" customFormat="false" ht="15" hidden="false" customHeight="true" outlineLevel="0" collapsed="false">
      <c r="A11" s="7"/>
      <c r="B11" s="7"/>
      <c r="C11" s="7"/>
      <c r="D11" s="7"/>
    </row>
    <row r="12" customFormat="false" ht="15" hidden="false" customHeight="true" outlineLevel="0" collapsed="false">
      <c r="A12" s="7"/>
      <c r="B12" s="7"/>
      <c r="C12" s="7"/>
      <c r="D12" s="7"/>
    </row>
    <row r="13" customFormat="false" ht="15" hidden="false" customHeight="true" outlineLevel="0" collapsed="false">
      <c r="A13" s="7"/>
      <c r="B13" s="7"/>
      <c r="C13" s="7"/>
      <c r="D13" s="7"/>
    </row>
    <row r="14" customFormat="false" ht="15" hidden="false" customHeight="true" outlineLevel="0" collapsed="false">
      <c r="A14" s="7"/>
      <c r="B14" s="7"/>
      <c r="C14" s="7"/>
      <c r="D14" s="7"/>
    </row>
    <row r="15" customFormat="false" ht="15" hidden="false" customHeight="true" outlineLevel="0" collapsed="false">
      <c r="A15" s="7"/>
      <c r="B15" s="7"/>
      <c r="C15" s="7"/>
      <c r="D15" s="7"/>
    </row>
    <row r="16" customFormat="false" ht="15" hidden="false" customHeight="true" outlineLevel="0" collapsed="false">
      <c r="A16" s="7"/>
      <c r="B16" s="7"/>
      <c r="C16" s="7"/>
      <c r="D16" s="7"/>
    </row>
    <row r="17" customFormat="false" ht="15" hidden="false" customHeight="true" outlineLevel="0" collapsed="false">
      <c r="A17" s="7"/>
      <c r="B17" s="7"/>
      <c r="C17" s="7"/>
      <c r="D17" s="7"/>
    </row>
    <row r="18" customFormat="false" ht="15" hidden="false" customHeight="true" outlineLevel="0" collapsed="false">
      <c r="A18" s="7"/>
      <c r="B18" s="7"/>
      <c r="C18" s="7"/>
      <c r="D18" s="7"/>
    </row>
    <row r="19" customFormat="false" ht="15" hidden="false" customHeight="true" outlineLevel="0" collapsed="false">
      <c r="A19" s="7"/>
      <c r="B19" s="7"/>
      <c r="C19" s="7"/>
      <c r="D19" s="7"/>
    </row>
    <row r="20" customFormat="false" ht="15" hidden="false" customHeight="true" outlineLevel="0" collapsed="false">
      <c r="A20" s="7"/>
      <c r="B20" s="7"/>
      <c r="C20" s="7"/>
      <c r="D20" s="7"/>
    </row>
    <row r="21" customFormat="false" ht="15" hidden="false" customHeight="true" outlineLevel="0" collapsed="false">
      <c r="A21" s="7"/>
      <c r="B21" s="7"/>
      <c r="C21" s="7"/>
      <c r="D21" s="7"/>
    </row>
    <row r="22" customFormat="false" ht="15" hidden="false" customHeight="true" outlineLevel="0" collapsed="false">
      <c r="A22" s="7"/>
      <c r="B22" s="7"/>
      <c r="C22" s="7"/>
      <c r="D22" s="7"/>
    </row>
    <row r="23" customFormat="false" ht="15" hidden="false" customHeight="true" outlineLevel="0" collapsed="false">
      <c r="A23" s="7"/>
      <c r="B23" s="7"/>
      <c r="C23" s="7"/>
      <c r="D23" s="7"/>
    </row>
    <row r="24" customFormat="false" ht="15" hidden="false" customHeight="true" outlineLevel="0" collapsed="false">
      <c r="A24" s="7"/>
      <c r="B24" s="7"/>
      <c r="C24" s="7"/>
      <c r="D24" s="7"/>
    </row>
    <row r="25" customFormat="false" ht="15" hidden="false" customHeight="true" outlineLevel="0" collapsed="false">
      <c r="A25" s="7"/>
      <c r="B25" s="7"/>
      <c r="C25" s="7"/>
      <c r="D25" s="7"/>
    </row>
    <row r="26" customFormat="false" ht="15" hidden="false" customHeight="true" outlineLevel="0" collapsed="false">
      <c r="A26" s="7"/>
      <c r="B26" s="7"/>
      <c r="C26" s="7"/>
      <c r="D26" s="7"/>
    </row>
    <row r="27" customFormat="false" ht="15" hidden="false" customHeight="true" outlineLevel="0" collapsed="false">
      <c r="A27" s="7"/>
      <c r="B27" s="7"/>
      <c r="C27" s="7"/>
      <c r="D27" s="7"/>
    </row>
    <row r="28" customFormat="false" ht="15" hidden="false" customHeight="true" outlineLevel="0" collapsed="false">
      <c r="A28" s="7"/>
      <c r="B28" s="7"/>
      <c r="C28" s="7"/>
      <c r="D28" s="7"/>
    </row>
    <row r="29" customFormat="false" ht="15" hidden="false" customHeight="true" outlineLevel="0" collapsed="false">
      <c r="A29" s="7"/>
      <c r="B29" s="7"/>
      <c r="C29" s="7"/>
      <c r="D29" s="7"/>
    </row>
    <row r="30" customFormat="false" ht="15" hidden="false" customHeight="true" outlineLevel="0" collapsed="false">
      <c r="A30" s="7"/>
      <c r="B30" s="7"/>
      <c r="C30" s="7"/>
      <c r="D30" s="7"/>
    </row>
    <row r="31" customFormat="false" ht="15" hidden="false" customHeight="true" outlineLevel="0" collapsed="false">
      <c r="A31" s="7"/>
      <c r="B31" s="7"/>
      <c r="C31" s="7"/>
      <c r="D31" s="7"/>
    </row>
    <row r="32" customFormat="false" ht="15" hidden="false" customHeight="true" outlineLevel="0" collapsed="false">
      <c r="A32" s="7"/>
      <c r="B32" s="7"/>
      <c r="C32" s="7"/>
      <c r="D32" s="7"/>
    </row>
    <row r="33" customFormat="false" ht="15" hidden="false" customHeight="true" outlineLevel="0" collapsed="false">
      <c r="A33" s="7"/>
      <c r="B33" s="7"/>
      <c r="C33" s="7"/>
      <c r="D33" s="7"/>
    </row>
    <row r="34" customFormat="false" ht="15" hidden="false" customHeight="true" outlineLevel="0" collapsed="false">
      <c r="A34" s="7"/>
      <c r="B34" s="7"/>
      <c r="C34" s="7"/>
      <c r="D34" s="7"/>
    </row>
    <row r="35" customFormat="false" ht="15" hidden="false" customHeight="true" outlineLevel="0" collapsed="false">
      <c r="A35" s="7"/>
      <c r="B35" s="7"/>
      <c r="C35" s="7"/>
      <c r="D35" s="7"/>
    </row>
    <row r="36" customFormat="false" ht="15" hidden="false" customHeight="true" outlineLevel="0" collapsed="false">
      <c r="A36" s="7"/>
      <c r="B36" s="7"/>
      <c r="C36" s="7"/>
      <c r="D36" s="7"/>
    </row>
    <row r="37" customFormat="false" ht="15" hidden="false" customHeight="true" outlineLevel="0" collapsed="false">
      <c r="A37" s="7"/>
      <c r="B37" s="7"/>
      <c r="C37" s="7"/>
      <c r="D37" s="7"/>
    </row>
    <row r="38" customFormat="false" ht="15" hidden="false" customHeight="true" outlineLevel="0" collapsed="false">
      <c r="A38" s="7"/>
      <c r="B38" s="7"/>
      <c r="C38" s="7"/>
      <c r="D38" s="7"/>
    </row>
    <row r="39" customFormat="false" ht="15" hidden="false" customHeight="true" outlineLevel="0" collapsed="false">
      <c r="A39" s="7"/>
      <c r="B39" s="7"/>
      <c r="C39" s="7"/>
      <c r="D39" s="7"/>
    </row>
    <row r="40" customFormat="false" ht="15" hidden="false" customHeight="true" outlineLevel="0" collapsed="false">
      <c r="A40" s="7"/>
      <c r="B40" s="7"/>
      <c r="C40" s="7"/>
      <c r="D40" s="7"/>
    </row>
    <row r="41" customFormat="false" ht="15" hidden="false" customHeight="true" outlineLevel="0" collapsed="false">
      <c r="A41" s="7"/>
      <c r="B41" s="7"/>
      <c r="C41" s="7"/>
      <c r="D41" s="7"/>
    </row>
    <row r="42" customFormat="false" ht="15" hidden="false" customHeight="true" outlineLevel="0" collapsed="false">
      <c r="A42" s="7"/>
      <c r="B42" s="7"/>
      <c r="C42" s="7"/>
      <c r="D42" s="7"/>
    </row>
    <row r="43" customFormat="false" ht="15" hidden="false" customHeight="true" outlineLevel="0" collapsed="false">
      <c r="A43" s="7"/>
      <c r="B43" s="7"/>
      <c r="C43" s="7"/>
      <c r="D43" s="7"/>
    </row>
    <row r="44" customFormat="false" ht="15" hidden="false" customHeight="true" outlineLevel="0" collapsed="false">
      <c r="A44" s="7"/>
      <c r="B44" s="7"/>
      <c r="C44" s="7"/>
      <c r="D44" s="7"/>
    </row>
    <row r="45" customFormat="false" ht="15" hidden="false" customHeight="true" outlineLevel="0" collapsed="false">
      <c r="A45" s="7"/>
      <c r="B45" s="7"/>
      <c r="C45" s="7"/>
      <c r="D45" s="7"/>
    </row>
    <row r="46" customFormat="false" ht="15" hidden="false" customHeight="true" outlineLevel="0" collapsed="false">
      <c r="A46" s="7"/>
      <c r="B46" s="7"/>
      <c r="C46" s="7"/>
      <c r="D46" s="7"/>
    </row>
    <row r="47" customFormat="false" ht="15" hidden="false" customHeight="true" outlineLevel="0" collapsed="false">
      <c r="A47" s="7"/>
      <c r="B47" s="7"/>
      <c r="C47" s="7"/>
      <c r="D47" s="7"/>
    </row>
    <row r="48" customFormat="false" ht="15" hidden="false" customHeight="true" outlineLevel="0" collapsed="false">
      <c r="A48" s="7"/>
      <c r="B48" s="7"/>
      <c r="C48" s="7"/>
      <c r="D48" s="7"/>
    </row>
    <row r="49" customFormat="false" ht="15" hidden="false" customHeight="true" outlineLevel="0" collapsed="false">
      <c r="A49" s="7"/>
      <c r="B49" s="7"/>
      <c r="C49" s="7"/>
      <c r="D49" s="7"/>
    </row>
    <row r="50" customFormat="false" ht="15" hidden="false" customHeight="true" outlineLevel="0" collapsed="false">
      <c r="A50" s="7"/>
      <c r="B50" s="7"/>
      <c r="C50" s="7"/>
      <c r="D50" s="7"/>
    </row>
    <row r="51" customFormat="false" ht="15" hidden="false" customHeight="true" outlineLevel="0" collapsed="false">
      <c r="A51" s="7"/>
      <c r="B51" s="7"/>
      <c r="C51" s="7"/>
      <c r="D51" s="7"/>
    </row>
    <row r="52" customFormat="false" ht="15" hidden="false" customHeight="true" outlineLevel="0" collapsed="false">
      <c r="A52" s="7"/>
      <c r="B52" s="7"/>
      <c r="C52" s="7"/>
      <c r="D52" s="7"/>
    </row>
    <row r="53" customFormat="false" ht="15" hidden="false" customHeight="true" outlineLevel="0" collapsed="false">
      <c r="A53" s="7"/>
      <c r="B53" s="7"/>
      <c r="C53" s="7"/>
      <c r="D53" s="7"/>
    </row>
    <row r="54" customFormat="false" ht="15" hidden="false" customHeight="true" outlineLevel="0" collapsed="false">
      <c r="A54" s="7"/>
      <c r="B54" s="7"/>
      <c r="C54" s="7"/>
      <c r="D54" s="7"/>
    </row>
    <row r="55" customFormat="false" ht="15" hidden="false" customHeight="true" outlineLevel="0" collapsed="false">
      <c r="A55" s="7"/>
      <c r="B55" s="7"/>
      <c r="C55" s="7"/>
      <c r="D55" s="7"/>
    </row>
    <row r="56" customFormat="false" ht="15" hidden="false" customHeight="true" outlineLevel="0" collapsed="false">
      <c r="A56" s="7"/>
      <c r="B56" s="7"/>
      <c r="C56" s="7"/>
      <c r="D56" s="7"/>
    </row>
    <row r="57" customFormat="false" ht="15" hidden="false" customHeight="true" outlineLevel="0" collapsed="false">
      <c r="A57" s="7"/>
      <c r="B57" s="7"/>
      <c r="C57" s="7"/>
      <c r="D57" s="7"/>
    </row>
    <row r="58" customFormat="false" ht="15" hidden="false" customHeight="true" outlineLevel="0" collapsed="false">
      <c r="A58" s="7"/>
      <c r="B58" s="7"/>
      <c r="C58" s="7"/>
      <c r="D58" s="7"/>
    </row>
    <row r="59" customFormat="false" ht="15" hidden="false" customHeight="true" outlineLevel="0" collapsed="false">
      <c r="A59" s="7"/>
      <c r="B59" s="7"/>
      <c r="C59" s="7"/>
      <c r="D59" s="7"/>
    </row>
    <row r="60" customFormat="false" ht="15" hidden="false" customHeight="true" outlineLevel="0" collapsed="false">
      <c r="A60" s="7"/>
      <c r="B60" s="7"/>
      <c r="C60" s="7"/>
      <c r="D60" s="7"/>
    </row>
    <row r="61" customFormat="false" ht="15" hidden="false" customHeight="true" outlineLevel="0" collapsed="false">
      <c r="A61" s="7"/>
      <c r="B61" s="7"/>
      <c r="C61" s="7"/>
      <c r="D61" s="7"/>
    </row>
    <row r="62" customFormat="false" ht="15" hidden="false" customHeight="true" outlineLevel="0" collapsed="false">
      <c r="A62" s="7"/>
      <c r="B62" s="7"/>
      <c r="C62" s="7"/>
      <c r="D62" s="7"/>
    </row>
    <row r="63" customFormat="false" ht="15" hidden="false" customHeight="true" outlineLevel="0" collapsed="false">
      <c r="A63" s="7"/>
      <c r="B63" s="7"/>
      <c r="C63" s="7"/>
      <c r="D63" s="7"/>
    </row>
    <row r="64" customFormat="false" ht="15" hidden="false" customHeight="true" outlineLevel="0" collapsed="false">
      <c r="A64" s="7"/>
      <c r="B64" s="7"/>
      <c r="C64" s="7"/>
      <c r="D64" s="7"/>
    </row>
    <row r="65" customFormat="false" ht="15" hidden="false" customHeight="true" outlineLevel="0" collapsed="false">
      <c r="A65" s="7"/>
      <c r="B65" s="7"/>
      <c r="C65" s="7"/>
      <c r="D65" s="7"/>
    </row>
    <row r="66" customFormat="false" ht="15" hidden="false" customHeight="true" outlineLevel="0" collapsed="false">
      <c r="A66" s="7"/>
      <c r="B66" s="7"/>
      <c r="C66" s="7"/>
      <c r="D66" s="7"/>
    </row>
    <row r="67" customFormat="false" ht="15" hidden="false" customHeight="true" outlineLevel="0" collapsed="false">
      <c r="A67" s="7"/>
      <c r="B67" s="7"/>
      <c r="C67" s="7"/>
      <c r="D67" s="7"/>
    </row>
    <row r="68" customFormat="false" ht="15" hidden="false" customHeight="true" outlineLevel="0" collapsed="false">
      <c r="A68" s="7"/>
      <c r="B68" s="7"/>
      <c r="C68" s="7"/>
      <c r="D68" s="7"/>
    </row>
    <row r="69" customFormat="false" ht="15" hidden="false" customHeight="true" outlineLevel="0" collapsed="false">
      <c r="A69" s="7"/>
      <c r="B69" s="7"/>
      <c r="C69" s="7"/>
      <c r="D69" s="7"/>
    </row>
    <row r="70" customFormat="false" ht="15" hidden="false" customHeight="true" outlineLevel="0" collapsed="false">
      <c r="A70" s="7"/>
      <c r="B70" s="7"/>
      <c r="C70" s="7"/>
      <c r="D70" s="7"/>
    </row>
    <row r="71" customFormat="false" ht="15" hidden="false" customHeight="true" outlineLevel="0" collapsed="false">
      <c r="A71" s="7"/>
      <c r="B71" s="7"/>
      <c r="C71" s="7"/>
      <c r="D71" s="7"/>
    </row>
    <row r="72" customFormat="false" ht="15" hidden="false" customHeight="true" outlineLevel="0" collapsed="false">
      <c r="A72" s="7"/>
      <c r="B72" s="7"/>
      <c r="C72" s="7"/>
      <c r="D72" s="7"/>
    </row>
    <row r="73" customFormat="false" ht="15" hidden="false" customHeight="true" outlineLevel="0" collapsed="false">
      <c r="A73" s="7"/>
      <c r="B73" s="7"/>
      <c r="C73" s="7"/>
      <c r="D73" s="7"/>
    </row>
    <row r="74" customFormat="false" ht="15" hidden="false" customHeight="true" outlineLevel="0" collapsed="false">
      <c r="A74" s="7"/>
      <c r="B74" s="7"/>
      <c r="C74" s="7"/>
      <c r="D74" s="7"/>
    </row>
    <row r="75" customFormat="false" ht="15" hidden="false" customHeight="true" outlineLevel="0" collapsed="false">
      <c r="A75" s="7"/>
      <c r="B75" s="7"/>
      <c r="C75" s="7"/>
      <c r="D75" s="7"/>
    </row>
    <row r="76" customFormat="false" ht="15" hidden="false" customHeight="true" outlineLevel="0" collapsed="false">
      <c r="A76" s="7"/>
      <c r="B76" s="7"/>
      <c r="C76" s="7"/>
      <c r="D76" s="7"/>
    </row>
    <row r="77" customFormat="false" ht="15" hidden="false" customHeight="true" outlineLevel="0" collapsed="false">
      <c r="A77" s="7"/>
      <c r="B77" s="7"/>
      <c r="C77" s="7"/>
      <c r="D77" s="7"/>
    </row>
    <row r="78" customFormat="false" ht="15" hidden="false" customHeight="true" outlineLevel="0" collapsed="false">
      <c r="A78" s="7"/>
      <c r="B78" s="7"/>
      <c r="C78" s="7"/>
      <c r="D78" s="7"/>
    </row>
    <row r="79" customFormat="false" ht="15" hidden="false" customHeight="true" outlineLevel="0" collapsed="false">
      <c r="A79" s="7"/>
      <c r="B79" s="7"/>
      <c r="C79" s="7"/>
      <c r="D79" s="7"/>
    </row>
    <row r="80" customFormat="false" ht="15" hidden="false" customHeight="true" outlineLevel="0" collapsed="false">
      <c r="A80" s="7"/>
      <c r="B80" s="7"/>
      <c r="C80" s="7"/>
      <c r="D80" s="7"/>
    </row>
    <row r="81" customFormat="false" ht="15" hidden="false" customHeight="true" outlineLevel="0" collapsed="false">
      <c r="A81" s="7"/>
      <c r="B81" s="7"/>
      <c r="C81" s="7"/>
      <c r="D81" s="7"/>
    </row>
    <row r="82" customFormat="false" ht="15" hidden="false" customHeight="true" outlineLevel="0" collapsed="false">
      <c r="A82" s="7"/>
      <c r="B82" s="7"/>
      <c r="C82" s="7"/>
      <c r="D82" s="7"/>
    </row>
    <row r="83" customFormat="false" ht="15" hidden="false" customHeight="true" outlineLevel="0" collapsed="false">
      <c r="A83" s="7"/>
      <c r="B83" s="7"/>
      <c r="C83" s="7"/>
      <c r="D83" s="7"/>
    </row>
    <row r="84" customFormat="false" ht="15" hidden="false" customHeight="true" outlineLevel="0" collapsed="false">
      <c r="A84" s="7"/>
      <c r="B84" s="7"/>
      <c r="C84" s="7"/>
      <c r="D84" s="7"/>
    </row>
    <row r="85" customFormat="false" ht="15" hidden="false" customHeight="true" outlineLevel="0" collapsed="false">
      <c r="A85" s="7"/>
      <c r="B85" s="7"/>
      <c r="C85" s="7"/>
      <c r="D85" s="7"/>
    </row>
    <row r="86" customFormat="false" ht="15" hidden="false" customHeight="true" outlineLevel="0" collapsed="false">
      <c r="A86" s="7"/>
      <c r="B86" s="7"/>
      <c r="C86" s="7"/>
      <c r="D86" s="7"/>
    </row>
    <row r="87" customFormat="false" ht="15" hidden="false" customHeight="true" outlineLevel="0" collapsed="false">
      <c r="A87" s="7"/>
      <c r="B87" s="7"/>
      <c r="C87" s="7"/>
      <c r="D87" s="7"/>
    </row>
    <row r="88" customFormat="false" ht="15" hidden="false" customHeight="true" outlineLevel="0" collapsed="false">
      <c r="A88" s="7"/>
      <c r="B88" s="7"/>
      <c r="C88" s="7"/>
      <c r="D88" s="7"/>
    </row>
    <row r="89" customFormat="false" ht="15" hidden="false" customHeight="true" outlineLevel="0" collapsed="false">
      <c r="A89" s="7"/>
      <c r="B89" s="7"/>
      <c r="C89" s="7"/>
      <c r="D89" s="7"/>
    </row>
    <row r="90" customFormat="false" ht="15" hidden="false" customHeight="true" outlineLevel="0" collapsed="false">
      <c r="A90" s="7"/>
      <c r="B90" s="7"/>
      <c r="C90" s="7"/>
      <c r="D90" s="7"/>
    </row>
    <row r="91" customFormat="false" ht="15" hidden="false" customHeight="true" outlineLevel="0" collapsed="false">
      <c r="A91" s="7"/>
      <c r="B91" s="7"/>
      <c r="C91" s="7"/>
      <c r="D91" s="7"/>
    </row>
    <row r="92" customFormat="false" ht="15" hidden="false" customHeight="true" outlineLevel="0" collapsed="false">
      <c r="A92" s="7"/>
      <c r="B92" s="7"/>
      <c r="C92" s="7"/>
      <c r="D92" s="7"/>
    </row>
    <row r="93" customFormat="false" ht="15" hidden="false" customHeight="true" outlineLevel="0" collapsed="false">
      <c r="A93" s="7"/>
      <c r="B93" s="7"/>
      <c r="C93" s="7"/>
      <c r="D93" s="7"/>
    </row>
    <row r="94" customFormat="false" ht="15" hidden="false" customHeight="true" outlineLevel="0" collapsed="false">
      <c r="A94" s="7"/>
      <c r="B94" s="7"/>
      <c r="C94" s="7"/>
      <c r="D94" s="7"/>
    </row>
    <row r="95" customFormat="false" ht="15" hidden="false" customHeight="true" outlineLevel="0" collapsed="false">
      <c r="A95" s="7"/>
      <c r="B95" s="7"/>
      <c r="C95" s="7"/>
      <c r="D95" s="7"/>
    </row>
    <row r="96" customFormat="false" ht="15" hidden="false" customHeight="true" outlineLevel="0" collapsed="false">
      <c r="A96" s="7"/>
      <c r="B96" s="7"/>
      <c r="C96" s="7"/>
      <c r="D96" s="7"/>
    </row>
    <row r="97" customFormat="false" ht="15" hidden="false" customHeight="true" outlineLevel="0" collapsed="false">
      <c r="A97" s="7"/>
      <c r="B97" s="7"/>
      <c r="C97" s="7"/>
      <c r="D97" s="7"/>
    </row>
    <row r="98" customFormat="false" ht="15" hidden="false" customHeight="true" outlineLevel="0" collapsed="false">
      <c r="A98" s="7"/>
      <c r="B98" s="7"/>
      <c r="C98" s="7"/>
      <c r="D98" s="7"/>
    </row>
    <row r="99" customFormat="false" ht="15" hidden="false" customHeight="true" outlineLevel="0" collapsed="false">
      <c r="A99" s="7"/>
      <c r="B99" s="7"/>
      <c r="C99" s="7"/>
      <c r="D99" s="7"/>
    </row>
    <row r="100" customFormat="false" ht="15" hidden="false" customHeight="true" outlineLevel="0" collapsed="false">
      <c r="A100" s="7"/>
      <c r="B100" s="7"/>
      <c r="C100" s="7"/>
      <c r="D100" s="7"/>
    </row>
    <row r="101" customFormat="false" ht="15" hidden="false" customHeight="true" outlineLevel="0" collapsed="false">
      <c r="A101" s="7"/>
      <c r="B101" s="7"/>
      <c r="C101" s="7"/>
      <c r="D101" s="7"/>
    </row>
    <row r="102" customFormat="false" ht="15" hidden="false" customHeight="true" outlineLevel="0" collapsed="false">
      <c r="A102" s="7"/>
      <c r="B102" s="7"/>
      <c r="C102" s="7"/>
      <c r="D102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32"/>
    <col collapsed="false" customWidth="true" hidden="false" outlineLevel="0" max="4" min="4" style="1" width="16"/>
    <col collapsed="false" customWidth="true" hidden="false" outlineLevel="0" max="6" min="5" style="1" width="13"/>
    <col collapsed="false" customWidth="true" hidden="false" outlineLevel="0" max="7" min="7" style="1" width="15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24"/>
  </cols>
  <sheetData>
    <row r="1" customFormat="false" ht="25.5" hidden="false" customHeight="true" outlineLevel="0" collapsed="false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9" t="s">
        <v>38</v>
      </c>
      <c r="B2" s="6" t="s">
        <v>39</v>
      </c>
      <c r="C2" s="6" t="s">
        <v>40</v>
      </c>
      <c r="D2" s="6" t="s">
        <v>24</v>
      </c>
      <c r="E2" s="6" t="s">
        <v>41</v>
      </c>
      <c r="F2" s="6" t="s">
        <v>42</v>
      </c>
      <c r="G2" s="10" t="s">
        <v>43</v>
      </c>
      <c r="H2" s="6" t="s">
        <v>44</v>
      </c>
      <c r="I2" s="10" t="s">
        <v>45</v>
      </c>
      <c r="J2" s="10" t="s">
        <v>46</v>
      </c>
      <c r="K2" s="6" t="s">
        <v>27</v>
      </c>
    </row>
    <row r="3" customFormat="false" ht="15" hidden="false" customHeight="true" outlineLevel="0" collapsed="false">
      <c r="A3" s="11" t="n">
        <f aca="false">IF($C3="","",ROW()-2)</f>
        <v>1</v>
      </c>
      <c r="B3" s="7" t="s">
        <v>47</v>
      </c>
      <c r="C3" s="7" t="s">
        <v>48</v>
      </c>
      <c r="D3" s="7" t="s">
        <v>28</v>
      </c>
      <c r="E3" s="12" t="n">
        <v>46266</v>
      </c>
      <c r="F3" s="12" t="n">
        <v>46275</v>
      </c>
      <c r="G3" s="13" t="n">
        <f aca="false">IF(OR($E3="",$F3=""),"",$F3-$E3+1)</f>
        <v>10</v>
      </c>
      <c r="H3" s="14" t="n">
        <v>1</v>
      </c>
      <c r="I3" s="11" t="str">
        <f aca="true">IF($C3="","",IF($H3&gt;=1,"완료",IF($F3="","미정",IF($F3&lt;TODAY(),"지연",IF($E3&gt;TODAY(),"예정","진행중")))))</f>
        <v>완료</v>
      </c>
      <c r="J3" s="15" t="str">
        <f aca="true">IF(OR($C3="",$F3=""),"",IF($H3&gt;=1,"-",$F3-TODAY()))</f>
        <v>-</v>
      </c>
      <c r="K3" s="7"/>
    </row>
    <row r="4" customFormat="false" ht="15" hidden="false" customHeight="true" outlineLevel="0" collapsed="false">
      <c r="A4" s="11" t="n">
        <f aca="false">IF($C4="","",ROW()-2)</f>
        <v>2</v>
      </c>
      <c r="B4" s="7" t="s">
        <v>49</v>
      </c>
      <c r="C4" s="7" t="s">
        <v>50</v>
      </c>
      <c r="D4" s="7" t="s">
        <v>34</v>
      </c>
      <c r="E4" s="12" t="n">
        <v>46273</v>
      </c>
      <c r="F4" s="12" t="n">
        <v>46285</v>
      </c>
      <c r="G4" s="13" t="n">
        <f aca="false">IF(OR($E4="",$F4=""),"",$F4-$E4+1)</f>
        <v>13</v>
      </c>
      <c r="H4" s="14" t="n">
        <v>0.6</v>
      </c>
      <c r="I4" s="11" t="str">
        <f aca="true">IF($C4="","",IF($H4&gt;=1,"완료",IF($F4="","미정",IF($F4&lt;TODAY(),"지연",IF($E4&gt;TODAY(),"예정","진행중")))))</f>
        <v>진행중</v>
      </c>
      <c r="J4" s="15" t="n">
        <f aca="true">IF(OR($C4="",$F4=""),"",IF($H4&gt;=1,"-",$F4-TODAY()))</f>
        <v>6</v>
      </c>
      <c r="K4" s="7"/>
    </row>
    <row r="5" customFormat="false" ht="15" hidden="false" customHeight="true" outlineLevel="0" collapsed="false">
      <c r="A5" s="11" t="n">
        <f aca="false">IF($C5="","",ROW()-2)</f>
        <v>3</v>
      </c>
      <c r="B5" s="7" t="s">
        <v>51</v>
      </c>
      <c r="C5" s="7" t="s">
        <v>52</v>
      </c>
      <c r="D5" s="7" t="s">
        <v>31</v>
      </c>
      <c r="E5" s="12" t="n">
        <v>46280</v>
      </c>
      <c r="F5" s="12" t="n">
        <v>46310</v>
      </c>
      <c r="G5" s="13" t="n">
        <f aca="false">IF(OR($E5="",$F5=""),"",$F5-$E5+1)</f>
        <v>31</v>
      </c>
      <c r="H5" s="14" t="n">
        <v>0.2</v>
      </c>
      <c r="I5" s="11" t="str">
        <f aca="true">IF($C5="","",IF($H5&gt;=1,"완료",IF($F5="","미정",IF($F5&lt;TODAY(),"지연",IF($E5&gt;TODAY(),"예정","진행중")))))</f>
        <v>예정</v>
      </c>
      <c r="J5" s="15" t="n">
        <f aca="true">IF(OR($C5="",$F5=""),"",IF($H5&gt;=1,"-",$F5-TODAY()))</f>
        <v>31</v>
      </c>
      <c r="K5" s="7"/>
    </row>
    <row r="6" customFormat="false" ht="15" hidden="false" customHeight="true" outlineLevel="0" collapsed="false">
      <c r="A6" s="11" t="n">
        <f aca="false">IF($C6="","",ROW()-2)</f>
        <v>4</v>
      </c>
      <c r="B6" s="7" t="s">
        <v>51</v>
      </c>
      <c r="C6" s="7" t="s">
        <v>53</v>
      </c>
      <c r="D6" s="7" t="s">
        <v>31</v>
      </c>
      <c r="E6" s="12" t="n">
        <v>46290</v>
      </c>
      <c r="F6" s="12" t="n">
        <v>46320</v>
      </c>
      <c r="G6" s="13" t="n">
        <f aca="false">IF(OR($E6="",$F6=""),"",$F6-$E6+1)</f>
        <v>31</v>
      </c>
      <c r="H6" s="14" t="n">
        <v>0</v>
      </c>
      <c r="I6" s="11" t="str">
        <f aca="true">IF($C6="","",IF($H6&gt;=1,"완료",IF($F6="","미정",IF($F6&lt;TODAY(),"지연",IF($E6&gt;TODAY(),"예정","진행중")))))</f>
        <v>예정</v>
      </c>
      <c r="J6" s="15" t="n">
        <f aca="true">IF(OR($C6="",$F6=""),"",IF($H6&gt;=1,"-",$F6-TODAY()))</f>
        <v>41</v>
      </c>
      <c r="K6" s="7"/>
    </row>
    <row r="7" customFormat="false" ht="15" hidden="false" customHeight="true" outlineLevel="0" collapsed="false">
      <c r="A7" s="11" t="n">
        <f aca="false">IF($C7="","",ROW()-2)</f>
        <v>5</v>
      </c>
      <c r="B7" s="7" t="s">
        <v>54</v>
      </c>
      <c r="C7" s="7" t="s">
        <v>55</v>
      </c>
      <c r="D7" s="7" t="s">
        <v>28</v>
      </c>
      <c r="E7" s="12" t="n">
        <v>46315</v>
      </c>
      <c r="F7" s="12" t="n">
        <v>46325</v>
      </c>
      <c r="G7" s="13" t="n">
        <f aca="false">IF(OR($E7="",$F7=""),"",$F7-$E7+1)</f>
        <v>11</v>
      </c>
      <c r="H7" s="14" t="n">
        <v>0</v>
      </c>
      <c r="I7" s="11" t="str">
        <f aca="true">IF($C7="","",IF($H7&gt;=1,"완료",IF($F7="","미정",IF($F7&lt;TODAY(),"지연",IF($E7&gt;TODAY(),"예정","진행중")))))</f>
        <v>예정</v>
      </c>
      <c r="J7" s="15" t="n">
        <f aca="true">IF(OR($C7="",$F7=""),"",IF($H7&gt;=1,"-",$F7-TODAY()))</f>
        <v>46</v>
      </c>
      <c r="K7" s="7"/>
    </row>
    <row r="8" customFormat="false" ht="15" hidden="false" customHeight="true" outlineLevel="0" collapsed="false">
      <c r="A8" s="11" t="n">
        <f aca="false">IF($C8="","",ROW()-2)</f>
        <v>6</v>
      </c>
      <c r="B8" s="7" t="inlineStr">
        <is>
          <t>검수</t>
        </is>
      </c>
      <c r="C8" s="7" t="inlineStr">
        <is>
          <t>테스트 시나리오 작성</t>
        </is>
      </c>
      <c r="D8" s="7" t="inlineStr">
        <is>
          <t>박담당</t>
        </is>
      </c>
      <c r="E8" s="12" t="n">
        <v>46254</v>
      </c>
      <c r="F8" s="12" t="n">
        <v>46270</v>
      </c>
      <c r="G8" s="13" t="n">
        <f aca="false">IF(OR($E8="",$F8=""),"",$F8-$E8+1)</f>
        <v>17</v>
      </c>
      <c r="H8" s="14" t="n">
        <v>0.7</v>
      </c>
      <c r="I8" s="11" t="str">
        <f aca="true">IF($C8="","",IF($H8&gt;=1,"완료",IF($F8="","미정",IF($F8&lt;TODAY(),"지연",IF($E8&gt;TODAY(),"예정","진행중")))))</f>
        <v>지연</v>
      </c>
      <c r="J8" s="15" t="n">
        <f aca="true">IF(OR($C8="",$F8=""),"",IF($H8&gt;=1,"-",$F8-TODAY()))</f>
        <v>-9</v>
      </c>
      <c r="K8" s="7" t="inlineStr">
        <is>
          <t>기한이 지났습니다</t>
        </is>
      </c>
    </row>
    <row r="9" customFormat="false" ht="15" hidden="false" customHeight="true" outlineLevel="0" collapsed="false">
      <c r="A9" s="11" t="str">
        <f aca="false">IF($C9="","",ROW()-2)</f>
        <v/>
      </c>
      <c r="B9" s="7"/>
      <c r="C9" s="7"/>
      <c r="D9" s="7"/>
      <c r="E9" s="12"/>
      <c r="F9" s="12"/>
      <c r="G9" s="13" t="str">
        <f aca="false">IF(OR($E9="",$F9=""),"",$F9-$E9+1)</f>
        <v/>
      </c>
      <c r="H9" s="14"/>
      <c r="I9" s="11" t="str">
        <f aca="true">IF($C9="","",IF($H9&gt;=1,"완료",IF($F9="","미정",IF($F9&lt;TODAY(),"지연",IF($E9&gt;TODAY(),"예정","진행중")))))</f>
        <v/>
      </c>
      <c r="J9" s="15" t="str">
        <f aca="true">IF(OR($C9="",$F9=""),"",IF($H9&gt;=1,"-",$F9-TODAY()))</f>
        <v/>
      </c>
      <c r="K9" s="7"/>
    </row>
    <row r="10" customFormat="false" ht="15" hidden="false" customHeight="true" outlineLevel="0" collapsed="false">
      <c r="A10" s="11" t="str">
        <f aca="false">IF($C10="","",ROW()-2)</f>
        <v/>
      </c>
      <c r="B10" s="7"/>
      <c r="C10" s="7"/>
      <c r="D10" s="7"/>
      <c r="E10" s="12"/>
      <c r="F10" s="12"/>
      <c r="G10" s="13" t="str">
        <f aca="false">IF(OR($E10="",$F10=""),"",$F10-$E10+1)</f>
        <v/>
      </c>
      <c r="H10" s="14"/>
      <c r="I10" s="11" t="str">
        <f aca="true">IF($C10="","",IF($H10&gt;=1,"완료",IF($F10="","미정",IF($F10&lt;TODAY(),"지연",IF($E10&gt;TODAY(),"예정","진행중")))))</f>
        <v/>
      </c>
      <c r="J10" s="15" t="str">
        <f aca="true">IF(OR($C10="",$F10=""),"",IF($H10&gt;=1,"-",$F10-TODAY()))</f>
        <v/>
      </c>
      <c r="K10" s="7"/>
    </row>
    <row r="11" customFormat="false" ht="15" hidden="false" customHeight="true" outlineLevel="0" collapsed="false">
      <c r="A11" s="11" t="str">
        <f aca="false">IF($C11="","",ROW()-2)</f>
        <v/>
      </c>
      <c r="B11" s="7"/>
      <c r="C11" s="7"/>
      <c r="D11" s="7"/>
      <c r="E11" s="12"/>
      <c r="F11" s="12"/>
      <c r="G11" s="13" t="str">
        <f aca="false">IF(OR($E11="",$F11=""),"",$F11-$E11+1)</f>
        <v/>
      </c>
      <c r="H11" s="14"/>
      <c r="I11" s="11" t="str">
        <f aca="true">IF($C11="","",IF($H11&gt;=1,"완료",IF($F11="","미정",IF($F11&lt;TODAY(),"지연",IF($E11&gt;TODAY(),"예정","진행중")))))</f>
        <v/>
      </c>
      <c r="J11" s="15" t="str">
        <f aca="true">IF(OR($C11="",$F11=""),"",IF($H11&gt;=1,"-",$F11-TODAY()))</f>
        <v/>
      </c>
      <c r="K11" s="7"/>
    </row>
    <row r="12" customFormat="false" ht="15" hidden="false" customHeight="true" outlineLevel="0" collapsed="false">
      <c r="A12" s="11" t="str">
        <f aca="false">IF($C12="","",ROW()-2)</f>
        <v/>
      </c>
      <c r="B12" s="7"/>
      <c r="C12" s="7"/>
      <c r="D12" s="7"/>
      <c r="E12" s="12"/>
      <c r="F12" s="12"/>
      <c r="G12" s="13" t="str">
        <f aca="false">IF(OR($E12="",$F12=""),"",$F12-$E12+1)</f>
        <v/>
      </c>
      <c r="H12" s="14"/>
      <c r="I12" s="11" t="str">
        <f aca="true">IF($C12="","",IF($H12&gt;=1,"완료",IF($F12="","미정",IF($F12&lt;TODAY(),"지연",IF($E12&gt;TODAY(),"예정","진행중")))))</f>
        <v/>
      </c>
      <c r="J12" s="15" t="str">
        <f aca="true">IF(OR($C12="",$F12=""),"",IF($H12&gt;=1,"-",$F12-TODAY()))</f>
        <v/>
      </c>
      <c r="K12" s="7"/>
    </row>
    <row r="13" customFormat="false" ht="15" hidden="false" customHeight="true" outlineLevel="0" collapsed="false">
      <c r="A13" s="11" t="str">
        <f aca="false">IF($C13="","",ROW()-2)</f>
        <v/>
      </c>
      <c r="B13" s="7"/>
      <c r="C13" s="7"/>
      <c r="D13" s="7"/>
      <c r="E13" s="12"/>
      <c r="F13" s="12"/>
      <c r="G13" s="13" t="str">
        <f aca="false">IF(OR($E13="",$F13=""),"",$F13-$E13+1)</f>
        <v/>
      </c>
      <c r="H13" s="14"/>
      <c r="I13" s="11" t="str">
        <f aca="true">IF($C13="","",IF($H13&gt;=1,"완료",IF($F13="","미정",IF($F13&lt;TODAY(),"지연",IF($E13&gt;TODAY(),"예정","진행중")))))</f>
        <v/>
      </c>
      <c r="J13" s="15" t="str">
        <f aca="true">IF(OR($C13="",$F13=""),"",IF($H13&gt;=1,"-",$F13-TODAY()))</f>
        <v/>
      </c>
      <c r="K13" s="7"/>
    </row>
    <row r="14" customFormat="false" ht="15" hidden="false" customHeight="true" outlineLevel="0" collapsed="false">
      <c r="A14" s="11" t="str">
        <f aca="false">IF($C14="","",ROW()-2)</f>
        <v/>
      </c>
      <c r="B14" s="7"/>
      <c r="C14" s="7"/>
      <c r="D14" s="7"/>
      <c r="E14" s="12"/>
      <c r="F14" s="12"/>
      <c r="G14" s="13" t="str">
        <f aca="false">IF(OR($E14="",$F14=""),"",$F14-$E14+1)</f>
        <v/>
      </c>
      <c r="H14" s="14"/>
      <c r="I14" s="11" t="str">
        <f aca="true">IF($C14="","",IF($H14&gt;=1,"완료",IF($F14="","미정",IF($F14&lt;TODAY(),"지연",IF($E14&gt;TODAY(),"예정","진행중")))))</f>
        <v/>
      </c>
      <c r="J14" s="15" t="str">
        <f aca="true">IF(OR($C14="",$F14=""),"",IF($H14&gt;=1,"-",$F14-TODAY()))</f>
        <v/>
      </c>
      <c r="K14" s="7"/>
    </row>
    <row r="15" customFormat="false" ht="15" hidden="false" customHeight="true" outlineLevel="0" collapsed="false">
      <c r="A15" s="11" t="str">
        <f aca="false">IF($C15="","",ROW()-2)</f>
        <v/>
      </c>
      <c r="B15" s="7"/>
      <c r="C15" s="7"/>
      <c r="D15" s="7"/>
      <c r="E15" s="12"/>
      <c r="F15" s="12"/>
      <c r="G15" s="13" t="str">
        <f aca="false">IF(OR($E15="",$F15=""),"",$F15-$E15+1)</f>
        <v/>
      </c>
      <c r="H15" s="14"/>
      <c r="I15" s="11" t="str">
        <f aca="true">IF($C15="","",IF($H15&gt;=1,"완료",IF($F15="","미정",IF($F15&lt;TODAY(),"지연",IF($E15&gt;TODAY(),"예정","진행중")))))</f>
        <v/>
      </c>
      <c r="J15" s="15" t="str">
        <f aca="true">IF(OR($C15="",$F15=""),"",IF($H15&gt;=1,"-",$F15-TODAY()))</f>
        <v/>
      </c>
      <c r="K15" s="7"/>
    </row>
    <row r="16" customFormat="false" ht="15" hidden="false" customHeight="true" outlineLevel="0" collapsed="false">
      <c r="A16" s="11" t="str">
        <f aca="false">IF($C16="","",ROW()-2)</f>
        <v/>
      </c>
      <c r="B16" s="7"/>
      <c r="C16" s="7"/>
      <c r="D16" s="7"/>
      <c r="E16" s="12"/>
      <c r="F16" s="12"/>
      <c r="G16" s="13" t="str">
        <f aca="false">IF(OR($E16="",$F16=""),"",$F16-$E16+1)</f>
        <v/>
      </c>
      <c r="H16" s="14"/>
      <c r="I16" s="11" t="str">
        <f aca="true">IF($C16="","",IF($H16&gt;=1,"완료",IF($F16="","미정",IF($F16&lt;TODAY(),"지연",IF($E16&gt;TODAY(),"예정","진행중")))))</f>
        <v/>
      </c>
      <c r="J16" s="15" t="str">
        <f aca="true">IF(OR($C16="",$F16=""),"",IF($H16&gt;=1,"-",$F16-TODAY()))</f>
        <v/>
      </c>
      <c r="K16" s="7"/>
    </row>
    <row r="17" customFormat="false" ht="15" hidden="false" customHeight="true" outlineLevel="0" collapsed="false">
      <c r="A17" s="11" t="str">
        <f aca="false">IF($C17="","",ROW()-2)</f>
        <v/>
      </c>
      <c r="B17" s="7"/>
      <c r="C17" s="7"/>
      <c r="D17" s="7"/>
      <c r="E17" s="12"/>
      <c r="F17" s="12"/>
      <c r="G17" s="13" t="str">
        <f aca="false">IF(OR($E17="",$F17=""),"",$F17-$E17+1)</f>
        <v/>
      </c>
      <c r="H17" s="14"/>
      <c r="I17" s="11" t="str">
        <f aca="true">IF($C17="","",IF($H17&gt;=1,"완료",IF($F17="","미정",IF($F17&lt;TODAY(),"지연",IF($E17&gt;TODAY(),"예정","진행중")))))</f>
        <v/>
      </c>
      <c r="J17" s="15" t="str">
        <f aca="true">IF(OR($C17="",$F17=""),"",IF($H17&gt;=1,"-",$F17-TODAY()))</f>
        <v/>
      </c>
      <c r="K17" s="7"/>
    </row>
    <row r="18" customFormat="false" ht="15" hidden="false" customHeight="true" outlineLevel="0" collapsed="false">
      <c r="A18" s="11" t="str">
        <f aca="false">IF($C18="","",ROW()-2)</f>
        <v/>
      </c>
      <c r="B18" s="7"/>
      <c r="C18" s="7"/>
      <c r="D18" s="7"/>
      <c r="E18" s="12"/>
      <c r="F18" s="12"/>
      <c r="G18" s="13" t="str">
        <f aca="false">IF(OR($E18="",$F18=""),"",$F18-$E18+1)</f>
        <v/>
      </c>
      <c r="H18" s="14"/>
      <c r="I18" s="11" t="str">
        <f aca="true">IF($C18="","",IF($H18&gt;=1,"완료",IF($F18="","미정",IF($F18&lt;TODAY(),"지연",IF($E18&gt;TODAY(),"예정","진행중")))))</f>
        <v/>
      </c>
      <c r="J18" s="15" t="str">
        <f aca="true">IF(OR($C18="",$F18=""),"",IF($H18&gt;=1,"-",$F18-TODAY()))</f>
        <v/>
      </c>
      <c r="K18" s="7"/>
    </row>
    <row r="19" customFormat="false" ht="15" hidden="false" customHeight="true" outlineLevel="0" collapsed="false">
      <c r="A19" s="11" t="str">
        <f aca="false">IF($C19="","",ROW()-2)</f>
        <v/>
      </c>
      <c r="B19" s="7"/>
      <c r="C19" s="7"/>
      <c r="D19" s="7"/>
      <c r="E19" s="12"/>
      <c r="F19" s="12"/>
      <c r="G19" s="13" t="str">
        <f aca="false">IF(OR($E19="",$F19=""),"",$F19-$E19+1)</f>
        <v/>
      </c>
      <c r="H19" s="14"/>
      <c r="I19" s="11" t="str">
        <f aca="true">IF($C19="","",IF($H19&gt;=1,"완료",IF($F19="","미정",IF($F19&lt;TODAY(),"지연",IF($E19&gt;TODAY(),"예정","진행중")))))</f>
        <v/>
      </c>
      <c r="J19" s="15" t="str">
        <f aca="true">IF(OR($C19="",$F19=""),"",IF($H19&gt;=1,"-",$F19-TODAY()))</f>
        <v/>
      </c>
      <c r="K19" s="7"/>
    </row>
    <row r="20" customFormat="false" ht="15" hidden="false" customHeight="true" outlineLevel="0" collapsed="false">
      <c r="A20" s="11" t="str">
        <f aca="false">IF($C20="","",ROW()-2)</f>
        <v/>
      </c>
      <c r="B20" s="7"/>
      <c r="C20" s="7"/>
      <c r="D20" s="7"/>
      <c r="E20" s="12"/>
      <c r="F20" s="12"/>
      <c r="G20" s="13" t="str">
        <f aca="false">IF(OR($E20="",$F20=""),"",$F20-$E20+1)</f>
        <v/>
      </c>
      <c r="H20" s="14"/>
      <c r="I20" s="11" t="str">
        <f aca="true">IF($C20="","",IF($H20&gt;=1,"완료",IF($F20="","미정",IF($F20&lt;TODAY(),"지연",IF($E20&gt;TODAY(),"예정","진행중")))))</f>
        <v/>
      </c>
      <c r="J20" s="15" t="str">
        <f aca="true">IF(OR($C20="",$F20=""),"",IF($H20&gt;=1,"-",$F20-TODAY()))</f>
        <v/>
      </c>
      <c r="K20" s="7"/>
    </row>
    <row r="21" customFormat="false" ht="15" hidden="false" customHeight="true" outlineLevel="0" collapsed="false">
      <c r="A21" s="11" t="str">
        <f aca="false">IF($C21="","",ROW()-2)</f>
        <v/>
      </c>
      <c r="B21" s="7"/>
      <c r="C21" s="7"/>
      <c r="D21" s="7"/>
      <c r="E21" s="12"/>
      <c r="F21" s="12"/>
      <c r="G21" s="13" t="str">
        <f aca="false">IF(OR($E21="",$F21=""),"",$F21-$E21+1)</f>
        <v/>
      </c>
      <c r="H21" s="14"/>
      <c r="I21" s="11" t="str">
        <f aca="true">IF($C21="","",IF($H21&gt;=1,"완료",IF($F21="","미정",IF($F21&lt;TODAY(),"지연",IF($E21&gt;TODAY(),"예정","진행중")))))</f>
        <v/>
      </c>
      <c r="J21" s="15" t="str">
        <f aca="true">IF(OR($C21="",$F21=""),"",IF($H21&gt;=1,"-",$F21-TODAY()))</f>
        <v/>
      </c>
      <c r="K21" s="7"/>
    </row>
    <row r="22" customFormat="false" ht="15" hidden="false" customHeight="true" outlineLevel="0" collapsed="false">
      <c r="A22" s="11" t="str">
        <f aca="false">IF($C22="","",ROW()-2)</f>
        <v/>
      </c>
      <c r="B22" s="7"/>
      <c r="C22" s="7"/>
      <c r="D22" s="7"/>
      <c r="E22" s="12"/>
      <c r="F22" s="12"/>
      <c r="G22" s="13" t="str">
        <f aca="false">IF(OR($E22="",$F22=""),"",$F22-$E22+1)</f>
        <v/>
      </c>
      <c r="H22" s="14"/>
      <c r="I22" s="11" t="str">
        <f aca="true">IF($C22="","",IF($H22&gt;=1,"완료",IF($F22="","미정",IF($F22&lt;TODAY(),"지연",IF($E22&gt;TODAY(),"예정","진행중")))))</f>
        <v/>
      </c>
      <c r="J22" s="15" t="str">
        <f aca="true">IF(OR($C22="",$F22=""),"",IF($H22&gt;=1,"-",$F22-TODAY()))</f>
        <v/>
      </c>
      <c r="K22" s="7"/>
    </row>
    <row r="23" customFormat="false" ht="15" hidden="false" customHeight="true" outlineLevel="0" collapsed="false">
      <c r="A23" s="11" t="str">
        <f aca="false">IF($C23="","",ROW()-2)</f>
        <v/>
      </c>
      <c r="B23" s="7"/>
      <c r="C23" s="7"/>
      <c r="D23" s="7"/>
      <c r="E23" s="12"/>
      <c r="F23" s="12"/>
      <c r="G23" s="13" t="str">
        <f aca="false">IF(OR($E23="",$F23=""),"",$F23-$E23+1)</f>
        <v/>
      </c>
      <c r="H23" s="14"/>
      <c r="I23" s="11" t="str">
        <f aca="true">IF($C23="","",IF($H23&gt;=1,"완료",IF($F23="","미정",IF($F23&lt;TODAY(),"지연",IF($E23&gt;TODAY(),"예정","진행중")))))</f>
        <v/>
      </c>
      <c r="J23" s="15" t="str">
        <f aca="true">IF(OR($C23="",$F23=""),"",IF($H23&gt;=1,"-",$F23-TODAY()))</f>
        <v/>
      </c>
      <c r="K23" s="7"/>
    </row>
    <row r="24" customFormat="false" ht="15" hidden="false" customHeight="true" outlineLevel="0" collapsed="false">
      <c r="A24" s="11" t="str">
        <f aca="false">IF($C24="","",ROW()-2)</f>
        <v/>
      </c>
      <c r="B24" s="7"/>
      <c r="C24" s="7"/>
      <c r="D24" s="7"/>
      <c r="E24" s="12"/>
      <c r="F24" s="12"/>
      <c r="G24" s="13" t="str">
        <f aca="false">IF(OR($E24="",$F24=""),"",$F24-$E24+1)</f>
        <v/>
      </c>
      <c r="H24" s="14"/>
      <c r="I24" s="11" t="str">
        <f aca="true">IF($C24="","",IF($H24&gt;=1,"완료",IF($F24="","미정",IF($F24&lt;TODAY(),"지연",IF($E24&gt;TODAY(),"예정","진행중")))))</f>
        <v/>
      </c>
      <c r="J24" s="15" t="str">
        <f aca="true">IF(OR($C24="",$F24=""),"",IF($H24&gt;=1,"-",$F24-TODAY()))</f>
        <v/>
      </c>
      <c r="K24" s="7"/>
    </row>
    <row r="25" customFormat="false" ht="15" hidden="false" customHeight="true" outlineLevel="0" collapsed="false">
      <c r="A25" s="11" t="str">
        <f aca="false">IF($C25="","",ROW()-2)</f>
        <v/>
      </c>
      <c r="B25" s="7"/>
      <c r="C25" s="7"/>
      <c r="D25" s="7"/>
      <c r="E25" s="12"/>
      <c r="F25" s="12"/>
      <c r="G25" s="13" t="str">
        <f aca="false">IF(OR($E25="",$F25=""),"",$F25-$E25+1)</f>
        <v/>
      </c>
      <c r="H25" s="14"/>
      <c r="I25" s="11" t="str">
        <f aca="true">IF($C25="","",IF($H25&gt;=1,"완료",IF($F25="","미정",IF($F25&lt;TODAY(),"지연",IF($E25&gt;TODAY(),"예정","진행중")))))</f>
        <v/>
      </c>
      <c r="J25" s="15" t="str">
        <f aca="true">IF(OR($C25="",$F25=""),"",IF($H25&gt;=1,"-",$F25-TODAY()))</f>
        <v/>
      </c>
      <c r="K25" s="7"/>
    </row>
    <row r="26" customFormat="false" ht="15" hidden="false" customHeight="true" outlineLevel="0" collapsed="false">
      <c r="A26" s="11" t="str">
        <f aca="false">IF($C26="","",ROW()-2)</f>
        <v/>
      </c>
      <c r="B26" s="7"/>
      <c r="C26" s="7"/>
      <c r="D26" s="7"/>
      <c r="E26" s="12"/>
      <c r="F26" s="12"/>
      <c r="G26" s="13" t="str">
        <f aca="false">IF(OR($E26="",$F26=""),"",$F26-$E26+1)</f>
        <v/>
      </c>
      <c r="H26" s="14"/>
      <c r="I26" s="11" t="str">
        <f aca="true">IF($C26="","",IF($H26&gt;=1,"완료",IF($F26="","미정",IF($F26&lt;TODAY(),"지연",IF($E26&gt;TODAY(),"예정","진행중")))))</f>
        <v/>
      </c>
      <c r="J26" s="15" t="str">
        <f aca="true">IF(OR($C26="",$F26=""),"",IF($H26&gt;=1,"-",$F26-TODAY()))</f>
        <v/>
      </c>
      <c r="K26" s="7"/>
    </row>
    <row r="27" customFormat="false" ht="15" hidden="false" customHeight="true" outlineLevel="0" collapsed="false">
      <c r="A27" s="11" t="str">
        <f aca="false">IF($C27="","",ROW()-2)</f>
        <v/>
      </c>
      <c r="B27" s="7"/>
      <c r="C27" s="7"/>
      <c r="D27" s="7"/>
      <c r="E27" s="12"/>
      <c r="F27" s="12"/>
      <c r="G27" s="13" t="str">
        <f aca="false">IF(OR($E27="",$F27=""),"",$F27-$E27+1)</f>
        <v/>
      </c>
      <c r="H27" s="14"/>
      <c r="I27" s="11" t="str">
        <f aca="true">IF($C27="","",IF($H27&gt;=1,"완료",IF($F27="","미정",IF($F27&lt;TODAY(),"지연",IF($E27&gt;TODAY(),"예정","진행중")))))</f>
        <v/>
      </c>
      <c r="J27" s="15" t="str">
        <f aca="true">IF(OR($C27="",$F27=""),"",IF($H27&gt;=1,"-",$F27-TODAY()))</f>
        <v/>
      </c>
      <c r="K27" s="7"/>
    </row>
    <row r="28" customFormat="false" ht="15" hidden="false" customHeight="true" outlineLevel="0" collapsed="false">
      <c r="A28" s="11" t="str">
        <f aca="false">IF($C28="","",ROW()-2)</f>
        <v/>
      </c>
      <c r="B28" s="7"/>
      <c r="C28" s="7"/>
      <c r="D28" s="7"/>
      <c r="E28" s="12"/>
      <c r="F28" s="12"/>
      <c r="G28" s="13" t="str">
        <f aca="false">IF(OR($E28="",$F28=""),"",$F28-$E28+1)</f>
        <v/>
      </c>
      <c r="H28" s="14"/>
      <c r="I28" s="11" t="str">
        <f aca="true">IF($C28="","",IF($H28&gt;=1,"완료",IF($F28="","미정",IF($F28&lt;TODAY(),"지연",IF($E28&gt;TODAY(),"예정","진행중")))))</f>
        <v/>
      </c>
      <c r="J28" s="15" t="str">
        <f aca="true">IF(OR($C28="",$F28=""),"",IF($H28&gt;=1,"-",$F28-TODAY()))</f>
        <v/>
      </c>
      <c r="K28" s="7"/>
    </row>
    <row r="29" customFormat="false" ht="15" hidden="false" customHeight="true" outlineLevel="0" collapsed="false">
      <c r="A29" s="11" t="str">
        <f aca="false">IF($C29="","",ROW()-2)</f>
        <v/>
      </c>
      <c r="B29" s="7"/>
      <c r="C29" s="7"/>
      <c r="D29" s="7"/>
      <c r="E29" s="12"/>
      <c r="F29" s="12"/>
      <c r="G29" s="13" t="str">
        <f aca="false">IF(OR($E29="",$F29=""),"",$F29-$E29+1)</f>
        <v/>
      </c>
      <c r="H29" s="14"/>
      <c r="I29" s="11" t="str">
        <f aca="true">IF($C29="","",IF($H29&gt;=1,"완료",IF($F29="","미정",IF($F29&lt;TODAY(),"지연",IF($E29&gt;TODAY(),"예정","진행중")))))</f>
        <v/>
      </c>
      <c r="J29" s="15" t="str">
        <f aca="true">IF(OR($C29="",$F29=""),"",IF($H29&gt;=1,"-",$F29-TODAY()))</f>
        <v/>
      </c>
      <c r="K29" s="7"/>
    </row>
    <row r="30" customFormat="false" ht="15" hidden="false" customHeight="true" outlineLevel="0" collapsed="false">
      <c r="A30" s="11" t="str">
        <f aca="false">IF($C30="","",ROW()-2)</f>
        <v/>
      </c>
      <c r="B30" s="7"/>
      <c r="C30" s="7"/>
      <c r="D30" s="7"/>
      <c r="E30" s="12"/>
      <c r="F30" s="12"/>
      <c r="G30" s="13" t="str">
        <f aca="false">IF(OR($E30="",$F30=""),"",$F30-$E30+1)</f>
        <v/>
      </c>
      <c r="H30" s="14"/>
      <c r="I30" s="11" t="str">
        <f aca="true">IF($C30="","",IF($H30&gt;=1,"완료",IF($F30="","미정",IF($F30&lt;TODAY(),"지연",IF($E30&gt;TODAY(),"예정","진행중")))))</f>
        <v/>
      </c>
      <c r="J30" s="15" t="str">
        <f aca="true">IF(OR($C30="",$F30=""),"",IF($H30&gt;=1,"-",$F30-TODAY()))</f>
        <v/>
      </c>
      <c r="K30" s="7"/>
    </row>
    <row r="31" customFormat="false" ht="15" hidden="false" customHeight="true" outlineLevel="0" collapsed="false">
      <c r="A31" s="11" t="str">
        <f aca="false">IF($C31="","",ROW()-2)</f>
        <v/>
      </c>
      <c r="B31" s="7"/>
      <c r="C31" s="7"/>
      <c r="D31" s="7"/>
      <c r="E31" s="12"/>
      <c r="F31" s="12"/>
      <c r="G31" s="13" t="str">
        <f aca="false">IF(OR($E31="",$F31=""),"",$F31-$E31+1)</f>
        <v/>
      </c>
      <c r="H31" s="14"/>
      <c r="I31" s="11" t="str">
        <f aca="true">IF($C31="","",IF($H31&gt;=1,"완료",IF($F31="","미정",IF($F31&lt;TODAY(),"지연",IF($E31&gt;TODAY(),"예정","진행중")))))</f>
        <v/>
      </c>
      <c r="J31" s="15" t="str">
        <f aca="true">IF(OR($C31="",$F31=""),"",IF($H31&gt;=1,"-",$F31-TODAY()))</f>
        <v/>
      </c>
      <c r="K31" s="7"/>
    </row>
    <row r="32" customFormat="false" ht="15" hidden="false" customHeight="true" outlineLevel="0" collapsed="false">
      <c r="A32" s="11" t="str">
        <f aca="false">IF($C32="","",ROW()-2)</f>
        <v/>
      </c>
      <c r="B32" s="7"/>
      <c r="C32" s="7"/>
      <c r="D32" s="7"/>
      <c r="E32" s="12"/>
      <c r="F32" s="12"/>
      <c r="G32" s="13" t="str">
        <f aca="false">IF(OR($E32="",$F32=""),"",$F32-$E32+1)</f>
        <v/>
      </c>
      <c r="H32" s="14"/>
      <c r="I32" s="11" t="str">
        <f aca="true">IF($C32="","",IF($H32&gt;=1,"완료",IF($F32="","미정",IF($F32&lt;TODAY(),"지연",IF($E32&gt;TODAY(),"예정","진행중")))))</f>
        <v/>
      </c>
      <c r="J32" s="15" t="str">
        <f aca="true">IF(OR($C32="",$F32=""),"",IF($H32&gt;=1,"-",$F32-TODAY()))</f>
        <v/>
      </c>
      <c r="K32" s="7"/>
    </row>
    <row r="33" customFormat="false" ht="15" hidden="false" customHeight="true" outlineLevel="0" collapsed="false">
      <c r="A33" s="11" t="str">
        <f aca="false">IF($C33="","",ROW()-2)</f>
        <v/>
      </c>
      <c r="B33" s="7"/>
      <c r="C33" s="7"/>
      <c r="D33" s="7"/>
      <c r="E33" s="12"/>
      <c r="F33" s="12"/>
      <c r="G33" s="13" t="str">
        <f aca="false">IF(OR($E33="",$F33=""),"",$F33-$E33+1)</f>
        <v/>
      </c>
      <c r="H33" s="14"/>
      <c r="I33" s="11" t="str">
        <f aca="true">IF($C33="","",IF($H33&gt;=1,"완료",IF($F33="","미정",IF($F33&lt;TODAY(),"지연",IF($E33&gt;TODAY(),"예정","진행중")))))</f>
        <v/>
      </c>
      <c r="J33" s="15" t="str">
        <f aca="true">IF(OR($C33="",$F33=""),"",IF($H33&gt;=1,"-",$F33-TODAY()))</f>
        <v/>
      </c>
      <c r="K33" s="7"/>
    </row>
    <row r="34" customFormat="false" ht="15" hidden="false" customHeight="true" outlineLevel="0" collapsed="false">
      <c r="A34" s="11" t="str">
        <f aca="false">IF($C34="","",ROW()-2)</f>
        <v/>
      </c>
      <c r="B34" s="7"/>
      <c r="C34" s="7"/>
      <c r="D34" s="7"/>
      <c r="E34" s="12"/>
      <c r="F34" s="12"/>
      <c r="G34" s="13" t="str">
        <f aca="false">IF(OR($E34="",$F34=""),"",$F34-$E34+1)</f>
        <v/>
      </c>
      <c r="H34" s="14"/>
      <c r="I34" s="11" t="str">
        <f aca="true">IF($C34="","",IF($H34&gt;=1,"완료",IF($F34="","미정",IF($F34&lt;TODAY(),"지연",IF($E34&gt;TODAY(),"예정","진행중")))))</f>
        <v/>
      </c>
      <c r="J34" s="15" t="str">
        <f aca="true">IF(OR($C34="",$F34=""),"",IF($H34&gt;=1,"-",$F34-TODAY()))</f>
        <v/>
      </c>
      <c r="K34" s="7"/>
    </row>
    <row r="35" customFormat="false" ht="15" hidden="false" customHeight="true" outlineLevel="0" collapsed="false">
      <c r="A35" s="11" t="str">
        <f aca="false">IF($C35="","",ROW()-2)</f>
        <v/>
      </c>
      <c r="B35" s="7"/>
      <c r="C35" s="7"/>
      <c r="D35" s="7"/>
      <c r="E35" s="12"/>
      <c r="F35" s="12"/>
      <c r="G35" s="13" t="str">
        <f aca="false">IF(OR($E35="",$F35=""),"",$F35-$E35+1)</f>
        <v/>
      </c>
      <c r="H35" s="14"/>
      <c r="I35" s="11" t="str">
        <f aca="true">IF($C35="","",IF($H35&gt;=1,"완료",IF($F35="","미정",IF($F35&lt;TODAY(),"지연",IF($E35&gt;TODAY(),"예정","진행중")))))</f>
        <v/>
      </c>
      <c r="J35" s="15" t="str">
        <f aca="true">IF(OR($C35="",$F35=""),"",IF($H35&gt;=1,"-",$F35-TODAY()))</f>
        <v/>
      </c>
      <c r="K35" s="7"/>
    </row>
    <row r="36" customFormat="false" ht="15" hidden="false" customHeight="true" outlineLevel="0" collapsed="false">
      <c r="A36" s="11" t="str">
        <f aca="false">IF($C36="","",ROW()-2)</f>
        <v/>
      </c>
      <c r="B36" s="7"/>
      <c r="C36" s="7"/>
      <c r="D36" s="7"/>
      <c r="E36" s="12"/>
      <c r="F36" s="12"/>
      <c r="G36" s="13" t="str">
        <f aca="false">IF(OR($E36="",$F36=""),"",$F36-$E36+1)</f>
        <v/>
      </c>
      <c r="H36" s="14"/>
      <c r="I36" s="11" t="str">
        <f aca="true">IF($C36="","",IF($H36&gt;=1,"완료",IF($F36="","미정",IF($F36&lt;TODAY(),"지연",IF($E36&gt;TODAY(),"예정","진행중")))))</f>
        <v/>
      </c>
      <c r="J36" s="15" t="str">
        <f aca="true">IF(OR($C36="",$F36=""),"",IF($H36&gt;=1,"-",$F36-TODAY()))</f>
        <v/>
      </c>
      <c r="K36" s="7"/>
    </row>
    <row r="37" customFormat="false" ht="15" hidden="false" customHeight="true" outlineLevel="0" collapsed="false">
      <c r="A37" s="11" t="str">
        <f aca="false">IF($C37="","",ROW()-2)</f>
        <v/>
      </c>
      <c r="B37" s="7"/>
      <c r="C37" s="7"/>
      <c r="D37" s="7"/>
      <c r="E37" s="12"/>
      <c r="F37" s="12"/>
      <c r="G37" s="13" t="str">
        <f aca="false">IF(OR($E37="",$F37=""),"",$F37-$E37+1)</f>
        <v/>
      </c>
      <c r="H37" s="14"/>
      <c r="I37" s="11" t="str">
        <f aca="true">IF($C37="","",IF($H37&gt;=1,"완료",IF($F37="","미정",IF($F37&lt;TODAY(),"지연",IF($E37&gt;TODAY(),"예정","진행중")))))</f>
        <v/>
      </c>
      <c r="J37" s="15" t="str">
        <f aca="true">IF(OR($C37="",$F37=""),"",IF($H37&gt;=1,"-",$F37-TODAY()))</f>
        <v/>
      </c>
      <c r="K37" s="7"/>
    </row>
    <row r="38" customFormat="false" ht="15" hidden="false" customHeight="true" outlineLevel="0" collapsed="false">
      <c r="A38" s="11" t="str">
        <f aca="false">IF($C38="","",ROW()-2)</f>
        <v/>
      </c>
      <c r="B38" s="7"/>
      <c r="C38" s="7"/>
      <c r="D38" s="7"/>
      <c r="E38" s="12"/>
      <c r="F38" s="12"/>
      <c r="G38" s="13" t="str">
        <f aca="false">IF(OR($E38="",$F38=""),"",$F38-$E38+1)</f>
        <v/>
      </c>
      <c r="H38" s="14"/>
      <c r="I38" s="11" t="str">
        <f aca="true">IF($C38="","",IF($H38&gt;=1,"완료",IF($F38="","미정",IF($F38&lt;TODAY(),"지연",IF($E38&gt;TODAY(),"예정","진행중")))))</f>
        <v/>
      </c>
      <c r="J38" s="15" t="str">
        <f aca="true">IF(OR($C38="",$F38=""),"",IF($H38&gt;=1,"-",$F38-TODAY()))</f>
        <v/>
      </c>
      <c r="K38" s="7"/>
    </row>
    <row r="39" customFormat="false" ht="15" hidden="false" customHeight="true" outlineLevel="0" collapsed="false">
      <c r="A39" s="11" t="str">
        <f aca="false">IF($C39="","",ROW()-2)</f>
        <v/>
      </c>
      <c r="B39" s="7"/>
      <c r="C39" s="7"/>
      <c r="D39" s="7"/>
      <c r="E39" s="12"/>
      <c r="F39" s="12"/>
      <c r="G39" s="13" t="str">
        <f aca="false">IF(OR($E39="",$F39=""),"",$F39-$E39+1)</f>
        <v/>
      </c>
      <c r="H39" s="14"/>
      <c r="I39" s="11" t="str">
        <f aca="true">IF($C39="","",IF($H39&gt;=1,"완료",IF($F39="","미정",IF($F39&lt;TODAY(),"지연",IF($E39&gt;TODAY(),"예정","진행중")))))</f>
        <v/>
      </c>
      <c r="J39" s="15" t="str">
        <f aca="true">IF(OR($C39="",$F39=""),"",IF($H39&gt;=1,"-",$F39-TODAY()))</f>
        <v/>
      </c>
      <c r="K39" s="7"/>
    </row>
    <row r="40" customFormat="false" ht="15" hidden="false" customHeight="true" outlineLevel="0" collapsed="false">
      <c r="A40" s="11" t="str">
        <f aca="false">IF($C40="","",ROW()-2)</f>
        <v/>
      </c>
      <c r="B40" s="7"/>
      <c r="C40" s="7"/>
      <c r="D40" s="7"/>
      <c r="E40" s="12"/>
      <c r="F40" s="12"/>
      <c r="G40" s="13" t="str">
        <f aca="false">IF(OR($E40="",$F40=""),"",$F40-$E40+1)</f>
        <v/>
      </c>
      <c r="H40" s="14"/>
      <c r="I40" s="11" t="str">
        <f aca="true">IF($C40="","",IF($H40&gt;=1,"완료",IF($F40="","미정",IF($F40&lt;TODAY(),"지연",IF($E40&gt;TODAY(),"예정","진행중")))))</f>
        <v/>
      </c>
      <c r="J40" s="15" t="str">
        <f aca="true">IF(OR($C40="",$F40=""),"",IF($H40&gt;=1,"-",$F40-TODAY()))</f>
        <v/>
      </c>
      <c r="K40" s="7"/>
    </row>
    <row r="41" customFormat="false" ht="15" hidden="false" customHeight="true" outlineLevel="0" collapsed="false">
      <c r="A41" s="11" t="str">
        <f aca="false">IF($C41="","",ROW()-2)</f>
        <v/>
      </c>
      <c r="B41" s="7"/>
      <c r="C41" s="7"/>
      <c r="D41" s="7"/>
      <c r="E41" s="12"/>
      <c r="F41" s="12"/>
      <c r="G41" s="13" t="str">
        <f aca="false">IF(OR($E41="",$F41=""),"",$F41-$E41+1)</f>
        <v/>
      </c>
      <c r="H41" s="14"/>
      <c r="I41" s="11" t="str">
        <f aca="true">IF($C41="","",IF($H41&gt;=1,"완료",IF($F41="","미정",IF($F41&lt;TODAY(),"지연",IF($E41&gt;TODAY(),"예정","진행중")))))</f>
        <v/>
      </c>
      <c r="J41" s="15" t="str">
        <f aca="true">IF(OR($C41="",$F41=""),"",IF($H41&gt;=1,"-",$F41-TODAY()))</f>
        <v/>
      </c>
      <c r="K41" s="7"/>
    </row>
    <row r="42" customFormat="false" ht="15" hidden="false" customHeight="true" outlineLevel="0" collapsed="false">
      <c r="A42" s="11" t="str">
        <f aca="false">IF($C42="","",ROW()-2)</f>
        <v/>
      </c>
      <c r="B42" s="7"/>
      <c r="C42" s="7"/>
      <c r="D42" s="7"/>
      <c r="E42" s="12"/>
      <c r="F42" s="12"/>
      <c r="G42" s="13" t="str">
        <f aca="false">IF(OR($E42="",$F42=""),"",$F42-$E42+1)</f>
        <v/>
      </c>
      <c r="H42" s="14"/>
      <c r="I42" s="11" t="str">
        <f aca="true">IF($C42="","",IF($H42&gt;=1,"완료",IF($F42="","미정",IF($F42&lt;TODAY(),"지연",IF($E42&gt;TODAY(),"예정","진행중")))))</f>
        <v/>
      </c>
      <c r="J42" s="15" t="str">
        <f aca="true">IF(OR($C42="",$F42=""),"",IF($H42&gt;=1,"-",$F42-TODAY()))</f>
        <v/>
      </c>
      <c r="K42" s="7"/>
    </row>
    <row r="43" customFormat="false" ht="15" hidden="false" customHeight="true" outlineLevel="0" collapsed="false">
      <c r="A43" s="11" t="str">
        <f aca="false">IF($C43="","",ROW()-2)</f>
        <v/>
      </c>
      <c r="B43" s="7"/>
      <c r="C43" s="7"/>
      <c r="D43" s="7"/>
      <c r="E43" s="12"/>
      <c r="F43" s="12"/>
      <c r="G43" s="13" t="str">
        <f aca="false">IF(OR($E43="",$F43=""),"",$F43-$E43+1)</f>
        <v/>
      </c>
      <c r="H43" s="14"/>
      <c r="I43" s="11" t="str">
        <f aca="true">IF($C43="","",IF($H43&gt;=1,"완료",IF($F43="","미정",IF($F43&lt;TODAY(),"지연",IF($E43&gt;TODAY(),"예정","진행중")))))</f>
        <v/>
      </c>
      <c r="J43" s="15" t="str">
        <f aca="true">IF(OR($C43="",$F43=""),"",IF($H43&gt;=1,"-",$F43-TODAY()))</f>
        <v/>
      </c>
      <c r="K43" s="7"/>
    </row>
    <row r="44" customFormat="false" ht="15" hidden="false" customHeight="true" outlineLevel="0" collapsed="false">
      <c r="A44" s="11" t="str">
        <f aca="false">IF($C44="","",ROW()-2)</f>
        <v/>
      </c>
      <c r="B44" s="7"/>
      <c r="C44" s="7"/>
      <c r="D44" s="7"/>
      <c r="E44" s="12"/>
      <c r="F44" s="12"/>
      <c r="G44" s="13" t="str">
        <f aca="false">IF(OR($E44="",$F44=""),"",$F44-$E44+1)</f>
        <v/>
      </c>
      <c r="H44" s="14"/>
      <c r="I44" s="11" t="str">
        <f aca="true">IF($C44="","",IF($H44&gt;=1,"완료",IF($F44="","미정",IF($F44&lt;TODAY(),"지연",IF($E44&gt;TODAY(),"예정","진행중")))))</f>
        <v/>
      </c>
      <c r="J44" s="15" t="str">
        <f aca="true">IF(OR($C44="",$F44=""),"",IF($H44&gt;=1,"-",$F44-TODAY()))</f>
        <v/>
      </c>
      <c r="K44" s="7"/>
    </row>
    <row r="45" customFormat="false" ht="15" hidden="false" customHeight="true" outlineLevel="0" collapsed="false">
      <c r="A45" s="11" t="str">
        <f aca="false">IF($C45="","",ROW()-2)</f>
        <v/>
      </c>
      <c r="B45" s="7"/>
      <c r="C45" s="7"/>
      <c r="D45" s="7"/>
      <c r="E45" s="12"/>
      <c r="F45" s="12"/>
      <c r="G45" s="13" t="str">
        <f aca="false">IF(OR($E45="",$F45=""),"",$F45-$E45+1)</f>
        <v/>
      </c>
      <c r="H45" s="14"/>
      <c r="I45" s="11" t="str">
        <f aca="true">IF($C45="","",IF($H45&gt;=1,"완료",IF($F45="","미정",IF($F45&lt;TODAY(),"지연",IF($E45&gt;TODAY(),"예정","진행중")))))</f>
        <v/>
      </c>
      <c r="J45" s="15" t="str">
        <f aca="true">IF(OR($C45="",$F45=""),"",IF($H45&gt;=1,"-",$F45-TODAY()))</f>
        <v/>
      </c>
      <c r="K45" s="7"/>
    </row>
    <row r="46" customFormat="false" ht="15" hidden="false" customHeight="true" outlineLevel="0" collapsed="false">
      <c r="A46" s="11" t="str">
        <f aca="false">IF($C46="","",ROW()-2)</f>
        <v/>
      </c>
      <c r="B46" s="7"/>
      <c r="C46" s="7"/>
      <c r="D46" s="7"/>
      <c r="E46" s="12"/>
      <c r="F46" s="12"/>
      <c r="G46" s="13" t="str">
        <f aca="false">IF(OR($E46="",$F46=""),"",$F46-$E46+1)</f>
        <v/>
      </c>
      <c r="H46" s="14"/>
      <c r="I46" s="11" t="str">
        <f aca="true">IF($C46="","",IF($H46&gt;=1,"완료",IF($F46="","미정",IF($F46&lt;TODAY(),"지연",IF($E46&gt;TODAY(),"예정","진행중")))))</f>
        <v/>
      </c>
      <c r="J46" s="15" t="str">
        <f aca="true">IF(OR($C46="",$F46=""),"",IF($H46&gt;=1,"-",$F46-TODAY()))</f>
        <v/>
      </c>
      <c r="K46" s="7"/>
    </row>
    <row r="47" customFormat="false" ht="15" hidden="false" customHeight="true" outlineLevel="0" collapsed="false">
      <c r="A47" s="11" t="str">
        <f aca="false">IF($C47="","",ROW()-2)</f>
        <v/>
      </c>
      <c r="B47" s="7"/>
      <c r="C47" s="7"/>
      <c r="D47" s="7"/>
      <c r="E47" s="12"/>
      <c r="F47" s="12"/>
      <c r="G47" s="13" t="str">
        <f aca="false">IF(OR($E47="",$F47=""),"",$F47-$E47+1)</f>
        <v/>
      </c>
      <c r="H47" s="14"/>
      <c r="I47" s="11" t="str">
        <f aca="true">IF($C47="","",IF($H47&gt;=1,"완료",IF($F47="","미정",IF($F47&lt;TODAY(),"지연",IF($E47&gt;TODAY(),"예정","진행중")))))</f>
        <v/>
      </c>
      <c r="J47" s="15" t="str">
        <f aca="true">IF(OR($C47="",$F47=""),"",IF($H47&gt;=1,"-",$F47-TODAY()))</f>
        <v/>
      </c>
      <c r="K47" s="7"/>
    </row>
    <row r="48" customFormat="false" ht="15" hidden="false" customHeight="true" outlineLevel="0" collapsed="false">
      <c r="A48" s="11" t="str">
        <f aca="false">IF($C48="","",ROW()-2)</f>
        <v/>
      </c>
      <c r="B48" s="7"/>
      <c r="C48" s="7"/>
      <c r="D48" s="7"/>
      <c r="E48" s="12"/>
      <c r="F48" s="12"/>
      <c r="G48" s="13" t="str">
        <f aca="false">IF(OR($E48="",$F48=""),"",$F48-$E48+1)</f>
        <v/>
      </c>
      <c r="H48" s="14"/>
      <c r="I48" s="11" t="str">
        <f aca="true">IF($C48="","",IF($H48&gt;=1,"완료",IF($F48="","미정",IF($F48&lt;TODAY(),"지연",IF($E48&gt;TODAY(),"예정","진행중")))))</f>
        <v/>
      </c>
      <c r="J48" s="15" t="str">
        <f aca="true">IF(OR($C48="",$F48=""),"",IF($H48&gt;=1,"-",$F48-TODAY()))</f>
        <v/>
      </c>
      <c r="K48" s="7"/>
    </row>
    <row r="49" customFormat="false" ht="15" hidden="false" customHeight="true" outlineLevel="0" collapsed="false">
      <c r="A49" s="11" t="str">
        <f aca="false">IF($C49="","",ROW()-2)</f>
        <v/>
      </c>
      <c r="B49" s="7"/>
      <c r="C49" s="7"/>
      <c r="D49" s="7"/>
      <c r="E49" s="12"/>
      <c r="F49" s="12"/>
      <c r="G49" s="13" t="str">
        <f aca="false">IF(OR($E49="",$F49=""),"",$F49-$E49+1)</f>
        <v/>
      </c>
      <c r="H49" s="14"/>
      <c r="I49" s="11" t="str">
        <f aca="true">IF($C49="","",IF($H49&gt;=1,"완료",IF($F49="","미정",IF($F49&lt;TODAY(),"지연",IF($E49&gt;TODAY(),"예정","진행중")))))</f>
        <v/>
      </c>
      <c r="J49" s="15" t="str">
        <f aca="true">IF(OR($C49="",$F49=""),"",IF($H49&gt;=1,"-",$F49-TODAY()))</f>
        <v/>
      </c>
      <c r="K49" s="7"/>
    </row>
    <row r="50" customFormat="false" ht="15" hidden="false" customHeight="true" outlineLevel="0" collapsed="false">
      <c r="A50" s="11" t="str">
        <f aca="false">IF($C50="","",ROW()-2)</f>
        <v/>
      </c>
      <c r="B50" s="7"/>
      <c r="C50" s="7"/>
      <c r="D50" s="7"/>
      <c r="E50" s="12"/>
      <c r="F50" s="12"/>
      <c r="G50" s="13" t="str">
        <f aca="false">IF(OR($E50="",$F50=""),"",$F50-$E50+1)</f>
        <v/>
      </c>
      <c r="H50" s="14"/>
      <c r="I50" s="11" t="str">
        <f aca="true">IF($C50="","",IF($H50&gt;=1,"완료",IF($F50="","미정",IF($F50&lt;TODAY(),"지연",IF($E50&gt;TODAY(),"예정","진행중")))))</f>
        <v/>
      </c>
      <c r="J50" s="15" t="str">
        <f aca="true">IF(OR($C50="",$F50=""),"",IF($H50&gt;=1,"-",$F50-TODAY()))</f>
        <v/>
      </c>
      <c r="K50" s="7"/>
    </row>
    <row r="51" customFormat="false" ht="15" hidden="false" customHeight="true" outlineLevel="0" collapsed="false">
      <c r="A51" s="11" t="str">
        <f aca="false">IF($C51="","",ROW()-2)</f>
        <v/>
      </c>
      <c r="B51" s="7"/>
      <c r="C51" s="7"/>
      <c r="D51" s="7"/>
      <c r="E51" s="12"/>
      <c r="F51" s="12"/>
      <c r="G51" s="13" t="str">
        <f aca="false">IF(OR($E51="",$F51=""),"",$F51-$E51+1)</f>
        <v/>
      </c>
      <c r="H51" s="14"/>
      <c r="I51" s="11" t="str">
        <f aca="true">IF($C51="","",IF($H51&gt;=1,"완료",IF($F51="","미정",IF($F51&lt;TODAY(),"지연",IF($E51&gt;TODAY(),"예정","진행중")))))</f>
        <v/>
      </c>
      <c r="J51" s="15" t="str">
        <f aca="true">IF(OR($C51="",$F51=""),"",IF($H51&gt;=1,"-",$F51-TODAY()))</f>
        <v/>
      </c>
      <c r="K51" s="7"/>
    </row>
    <row r="52" customFormat="false" ht="15" hidden="false" customHeight="true" outlineLevel="0" collapsed="false">
      <c r="A52" s="11" t="str">
        <f aca="false">IF($C52="","",ROW()-2)</f>
        <v/>
      </c>
      <c r="B52" s="7"/>
      <c r="C52" s="7"/>
      <c r="D52" s="7"/>
      <c r="E52" s="12"/>
      <c r="F52" s="12"/>
      <c r="G52" s="13" t="str">
        <f aca="false">IF(OR($E52="",$F52=""),"",$F52-$E52+1)</f>
        <v/>
      </c>
      <c r="H52" s="14"/>
      <c r="I52" s="11" t="str">
        <f aca="true">IF($C52="","",IF($H52&gt;=1,"완료",IF($F52="","미정",IF($F52&lt;TODAY(),"지연",IF($E52&gt;TODAY(),"예정","진행중")))))</f>
        <v/>
      </c>
      <c r="J52" s="15" t="str">
        <f aca="true">IF(OR($C52="",$F52=""),"",IF($H52&gt;=1,"-",$F52-TODAY()))</f>
        <v/>
      </c>
      <c r="K52" s="7"/>
    </row>
    <row r="53" customFormat="false" ht="15" hidden="false" customHeight="true" outlineLevel="0" collapsed="false">
      <c r="A53" s="11" t="str">
        <f aca="false">IF($C53="","",ROW()-2)</f>
        <v/>
      </c>
      <c r="B53" s="7"/>
      <c r="C53" s="7"/>
      <c r="D53" s="7"/>
      <c r="E53" s="12"/>
      <c r="F53" s="12"/>
      <c r="G53" s="13" t="str">
        <f aca="false">IF(OR($E53="",$F53=""),"",$F53-$E53+1)</f>
        <v/>
      </c>
      <c r="H53" s="14"/>
      <c r="I53" s="11" t="str">
        <f aca="true">IF($C53="","",IF($H53&gt;=1,"완료",IF($F53="","미정",IF($F53&lt;TODAY(),"지연",IF($E53&gt;TODAY(),"예정","진행중")))))</f>
        <v/>
      </c>
      <c r="J53" s="15" t="str">
        <f aca="true">IF(OR($C53="",$F53=""),"",IF($H53&gt;=1,"-",$F53-TODAY()))</f>
        <v/>
      </c>
      <c r="K53" s="7"/>
    </row>
    <row r="54" customFormat="false" ht="15" hidden="false" customHeight="true" outlineLevel="0" collapsed="false">
      <c r="A54" s="11" t="str">
        <f aca="false">IF($C54="","",ROW()-2)</f>
        <v/>
      </c>
      <c r="B54" s="7"/>
      <c r="C54" s="7"/>
      <c r="D54" s="7"/>
      <c r="E54" s="12"/>
      <c r="F54" s="12"/>
      <c r="G54" s="13" t="str">
        <f aca="false">IF(OR($E54="",$F54=""),"",$F54-$E54+1)</f>
        <v/>
      </c>
      <c r="H54" s="14"/>
      <c r="I54" s="11" t="str">
        <f aca="true">IF($C54="","",IF($H54&gt;=1,"완료",IF($F54="","미정",IF($F54&lt;TODAY(),"지연",IF($E54&gt;TODAY(),"예정","진행중")))))</f>
        <v/>
      </c>
      <c r="J54" s="15" t="str">
        <f aca="true">IF(OR($C54="",$F54=""),"",IF($H54&gt;=1,"-",$F54-TODAY()))</f>
        <v/>
      </c>
      <c r="K54" s="7"/>
    </row>
    <row r="55" customFormat="false" ht="15" hidden="false" customHeight="true" outlineLevel="0" collapsed="false">
      <c r="A55" s="11" t="str">
        <f aca="false">IF($C55="","",ROW()-2)</f>
        <v/>
      </c>
      <c r="B55" s="7"/>
      <c r="C55" s="7"/>
      <c r="D55" s="7"/>
      <c r="E55" s="12"/>
      <c r="F55" s="12"/>
      <c r="G55" s="13" t="str">
        <f aca="false">IF(OR($E55="",$F55=""),"",$F55-$E55+1)</f>
        <v/>
      </c>
      <c r="H55" s="14"/>
      <c r="I55" s="11" t="str">
        <f aca="true">IF($C55="","",IF($H55&gt;=1,"완료",IF($F55="","미정",IF($F55&lt;TODAY(),"지연",IF($E55&gt;TODAY(),"예정","진행중")))))</f>
        <v/>
      </c>
      <c r="J55" s="15" t="str">
        <f aca="true">IF(OR($C55="",$F55=""),"",IF($H55&gt;=1,"-",$F55-TODAY()))</f>
        <v/>
      </c>
      <c r="K55" s="7"/>
    </row>
    <row r="56" customFormat="false" ht="15" hidden="false" customHeight="true" outlineLevel="0" collapsed="false">
      <c r="A56" s="11" t="str">
        <f aca="false">IF($C56="","",ROW()-2)</f>
        <v/>
      </c>
      <c r="B56" s="7"/>
      <c r="C56" s="7"/>
      <c r="D56" s="7"/>
      <c r="E56" s="12"/>
      <c r="F56" s="12"/>
      <c r="G56" s="13" t="str">
        <f aca="false">IF(OR($E56="",$F56=""),"",$F56-$E56+1)</f>
        <v/>
      </c>
      <c r="H56" s="14"/>
      <c r="I56" s="11" t="str">
        <f aca="true">IF($C56="","",IF($H56&gt;=1,"완료",IF($F56="","미정",IF($F56&lt;TODAY(),"지연",IF($E56&gt;TODAY(),"예정","진행중")))))</f>
        <v/>
      </c>
      <c r="J56" s="15" t="str">
        <f aca="true">IF(OR($C56="",$F56=""),"",IF($H56&gt;=1,"-",$F56-TODAY()))</f>
        <v/>
      </c>
      <c r="K56" s="7"/>
    </row>
    <row r="57" customFormat="false" ht="15" hidden="false" customHeight="true" outlineLevel="0" collapsed="false">
      <c r="A57" s="11" t="str">
        <f aca="false">IF($C57="","",ROW()-2)</f>
        <v/>
      </c>
      <c r="B57" s="7"/>
      <c r="C57" s="7"/>
      <c r="D57" s="7"/>
      <c r="E57" s="12"/>
      <c r="F57" s="12"/>
      <c r="G57" s="13" t="str">
        <f aca="false">IF(OR($E57="",$F57=""),"",$F57-$E57+1)</f>
        <v/>
      </c>
      <c r="H57" s="14"/>
      <c r="I57" s="11" t="str">
        <f aca="true">IF($C57="","",IF($H57&gt;=1,"완료",IF($F57="","미정",IF($F57&lt;TODAY(),"지연",IF($E57&gt;TODAY(),"예정","진행중")))))</f>
        <v/>
      </c>
      <c r="J57" s="15" t="str">
        <f aca="true">IF(OR($C57="",$F57=""),"",IF($H57&gt;=1,"-",$F57-TODAY()))</f>
        <v/>
      </c>
      <c r="K57" s="7"/>
    </row>
    <row r="58" customFormat="false" ht="15" hidden="false" customHeight="true" outlineLevel="0" collapsed="false">
      <c r="A58" s="11" t="str">
        <f aca="false">IF($C58="","",ROW()-2)</f>
        <v/>
      </c>
      <c r="B58" s="7"/>
      <c r="C58" s="7"/>
      <c r="D58" s="7"/>
      <c r="E58" s="12"/>
      <c r="F58" s="12"/>
      <c r="G58" s="13" t="str">
        <f aca="false">IF(OR($E58="",$F58=""),"",$F58-$E58+1)</f>
        <v/>
      </c>
      <c r="H58" s="14"/>
      <c r="I58" s="11" t="str">
        <f aca="true">IF($C58="","",IF($H58&gt;=1,"완료",IF($F58="","미정",IF($F58&lt;TODAY(),"지연",IF($E58&gt;TODAY(),"예정","진행중")))))</f>
        <v/>
      </c>
      <c r="J58" s="15" t="str">
        <f aca="true">IF(OR($C58="",$F58=""),"",IF($H58&gt;=1,"-",$F58-TODAY()))</f>
        <v/>
      </c>
      <c r="K58" s="7"/>
    </row>
    <row r="59" customFormat="false" ht="15" hidden="false" customHeight="true" outlineLevel="0" collapsed="false">
      <c r="A59" s="11" t="str">
        <f aca="false">IF($C59="","",ROW()-2)</f>
        <v/>
      </c>
      <c r="B59" s="7"/>
      <c r="C59" s="7"/>
      <c r="D59" s="7"/>
      <c r="E59" s="12"/>
      <c r="F59" s="12"/>
      <c r="G59" s="13" t="str">
        <f aca="false">IF(OR($E59="",$F59=""),"",$F59-$E59+1)</f>
        <v/>
      </c>
      <c r="H59" s="14"/>
      <c r="I59" s="11" t="str">
        <f aca="true">IF($C59="","",IF($H59&gt;=1,"완료",IF($F59="","미정",IF($F59&lt;TODAY(),"지연",IF($E59&gt;TODAY(),"예정","진행중")))))</f>
        <v/>
      </c>
      <c r="J59" s="15" t="str">
        <f aca="true">IF(OR($C59="",$F59=""),"",IF($H59&gt;=1,"-",$F59-TODAY()))</f>
        <v/>
      </c>
      <c r="K59" s="7"/>
    </row>
    <row r="60" customFormat="false" ht="15" hidden="false" customHeight="true" outlineLevel="0" collapsed="false">
      <c r="A60" s="11" t="str">
        <f aca="false">IF($C60="","",ROW()-2)</f>
        <v/>
      </c>
      <c r="B60" s="7"/>
      <c r="C60" s="7"/>
      <c r="D60" s="7"/>
      <c r="E60" s="12"/>
      <c r="F60" s="12"/>
      <c r="G60" s="13" t="str">
        <f aca="false">IF(OR($E60="",$F60=""),"",$F60-$E60+1)</f>
        <v/>
      </c>
      <c r="H60" s="14"/>
      <c r="I60" s="11" t="str">
        <f aca="true">IF($C60="","",IF($H60&gt;=1,"완료",IF($F60="","미정",IF($F60&lt;TODAY(),"지연",IF($E60&gt;TODAY(),"예정","진행중")))))</f>
        <v/>
      </c>
      <c r="J60" s="15" t="str">
        <f aca="true">IF(OR($C60="",$F60=""),"",IF($H60&gt;=1,"-",$F60-TODAY()))</f>
        <v/>
      </c>
      <c r="K60" s="7"/>
    </row>
    <row r="61" customFormat="false" ht="15" hidden="false" customHeight="true" outlineLevel="0" collapsed="false">
      <c r="A61" s="11" t="str">
        <f aca="false">IF($C61="","",ROW()-2)</f>
        <v/>
      </c>
      <c r="B61" s="7"/>
      <c r="C61" s="7"/>
      <c r="D61" s="7"/>
      <c r="E61" s="12"/>
      <c r="F61" s="12"/>
      <c r="G61" s="13" t="str">
        <f aca="false">IF(OR($E61="",$F61=""),"",$F61-$E61+1)</f>
        <v/>
      </c>
      <c r="H61" s="14"/>
      <c r="I61" s="11" t="str">
        <f aca="true">IF($C61="","",IF($H61&gt;=1,"완료",IF($F61="","미정",IF($F61&lt;TODAY(),"지연",IF($E61&gt;TODAY(),"예정","진행중")))))</f>
        <v/>
      </c>
      <c r="J61" s="15" t="str">
        <f aca="true">IF(OR($C61="",$F61=""),"",IF($H61&gt;=1,"-",$F61-TODAY()))</f>
        <v/>
      </c>
      <c r="K61" s="7"/>
    </row>
    <row r="62" customFormat="false" ht="15" hidden="false" customHeight="true" outlineLevel="0" collapsed="false">
      <c r="A62" s="11" t="str">
        <f aca="false">IF($C62="","",ROW()-2)</f>
        <v/>
      </c>
      <c r="B62" s="7"/>
      <c r="C62" s="7"/>
      <c r="D62" s="7"/>
      <c r="E62" s="12"/>
      <c r="F62" s="12"/>
      <c r="G62" s="13" t="str">
        <f aca="false">IF(OR($E62="",$F62=""),"",$F62-$E62+1)</f>
        <v/>
      </c>
      <c r="H62" s="14"/>
      <c r="I62" s="11" t="str">
        <f aca="true">IF($C62="","",IF($H62&gt;=1,"완료",IF($F62="","미정",IF($F62&lt;TODAY(),"지연",IF($E62&gt;TODAY(),"예정","진행중")))))</f>
        <v/>
      </c>
      <c r="J62" s="15" t="str">
        <f aca="true">IF(OR($C62="",$F62=""),"",IF($H62&gt;=1,"-",$F62-TODAY()))</f>
        <v/>
      </c>
      <c r="K62" s="7"/>
    </row>
    <row r="63" customFormat="false" ht="15" hidden="false" customHeight="true" outlineLevel="0" collapsed="false">
      <c r="A63" s="11" t="str">
        <f aca="false">IF($C63="","",ROW()-2)</f>
        <v/>
      </c>
      <c r="B63" s="7"/>
      <c r="C63" s="7"/>
      <c r="D63" s="7"/>
      <c r="E63" s="12"/>
      <c r="F63" s="12"/>
      <c r="G63" s="13" t="str">
        <f aca="false">IF(OR($E63="",$F63=""),"",$F63-$E63+1)</f>
        <v/>
      </c>
      <c r="H63" s="14"/>
      <c r="I63" s="11" t="str">
        <f aca="true">IF($C63="","",IF($H63&gt;=1,"완료",IF($F63="","미정",IF($F63&lt;TODAY(),"지연",IF($E63&gt;TODAY(),"예정","진행중")))))</f>
        <v/>
      </c>
      <c r="J63" s="15" t="str">
        <f aca="true">IF(OR($C63="",$F63=""),"",IF($H63&gt;=1,"-",$F63-TODAY()))</f>
        <v/>
      </c>
      <c r="K63" s="7"/>
    </row>
    <row r="64" customFormat="false" ht="15" hidden="false" customHeight="true" outlineLevel="0" collapsed="false">
      <c r="A64" s="11" t="str">
        <f aca="false">IF($C64="","",ROW()-2)</f>
        <v/>
      </c>
      <c r="B64" s="7"/>
      <c r="C64" s="7"/>
      <c r="D64" s="7"/>
      <c r="E64" s="12"/>
      <c r="F64" s="12"/>
      <c r="G64" s="13" t="str">
        <f aca="false">IF(OR($E64="",$F64=""),"",$F64-$E64+1)</f>
        <v/>
      </c>
      <c r="H64" s="14"/>
      <c r="I64" s="11" t="str">
        <f aca="true">IF($C64="","",IF($H64&gt;=1,"완료",IF($F64="","미정",IF($F64&lt;TODAY(),"지연",IF($E64&gt;TODAY(),"예정","진행중")))))</f>
        <v/>
      </c>
      <c r="J64" s="15" t="str">
        <f aca="true">IF(OR($C64="",$F64=""),"",IF($H64&gt;=1,"-",$F64-TODAY()))</f>
        <v/>
      </c>
      <c r="K64" s="7"/>
    </row>
    <row r="65" customFormat="false" ht="15" hidden="false" customHeight="true" outlineLevel="0" collapsed="false">
      <c r="A65" s="11" t="str">
        <f aca="false">IF($C65="","",ROW()-2)</f>
        <v/>
      </c>
      <c r="B65" s="7"/>
      <c r="C65" s="7"/>
      <c r="D65" s="7"/>
      <c r="E65" s="12"/>
      <c r="F65" s="12"/>
      <c r="G65" s="13" t="str">
        <f aca="false">IF(OR($E65="",$F65=""),"",$F65-$E65+1)</f>
        <v/>
      </c>
      <c r="H65" s="14"/>
      <c r="I65" s="11" t="str">
        <f aca="true">IF($C65="","",IF($H65&gt;=1,"완료",IF($F65="","미정",IF($F65&lt;TODAY(),"지연",IF($E65&gt;TODAY(),"예정","진행중")))))</f>
        <v/>
      </c>
      <c r="J65" s="15" t="str">
        <f aca="true">IF(OR($C65="",$F65=""),"",IF($H65&gt;=1,"-",$F65-TODAY()))</f>
        <v/>
      </c>
      <c r="K65" s="7"/>
    </row>
    <row r="66" customFormat="false" ht="15" hidden="false" customHeight="true" outlineLevel="0" collapsed="false">
      <c r="A66" s="11" t="str">
        <f aca="false">IF($C66="","",ROW()-2)</f>
        <v/>
      </c>
      <c r="B66" s="7"/>
      <c r="C66" s="7"/>
      <c r="D66" s="7"/>
      <c r="E66" s="12"/>
      <c r="F66" s="12"/>
      <c r="G66" s="13" t="str">
        <f aca="false">IF(OR($E66="",$F66=""),"",$F66-$E66+1)</f>
        <v/>
      </c>
      <c r="H66" s="14"/>
      <c r="I66" s="11" t="str">
        <f aca="true">IF($C66="","",IF($H66&gt;=1,"완료",IF($F66="","미정",IF($F66&lt;TODAY(),"지연",IF($E66&gt;TODAY(),"예정","진행중")))))</f>
        <v/>
      </c>
      <c r="J66" s="15" t="str">
        <f aca="true">IF(OR($C66="",$F66=""),"",IF($H66&gt;=1,"-",$F66-TODAY()))</f>
        <v/>
      </c>
      <c r="K66" s="7"/>
    </row>
    <row r="67" customFormat="false" ht="15" hidden="false" customHeight="true" outlineLevel="0" collapsed="false">
      <c r="A67" s="11" t="str">
        <f aca="false">IF($C67="","",ROW()-2)</f>
        <v/>
      </c>
      <c r="B67" s="7"/>
      <c r="C67" s="7"/>
      <c r="D67" s="7"/>
      <c r="E67" s="12"/>
      <c r="F67" s="12"/>
      <c r="G67" s="13" t="str">
        <f aca="false">IF(OR($E67="",$F67=""),"",$F67-$E67+1)</f>
        <v/>
      </c>
      <c r="H67" s="14"/>
      <c r="I67" s="11" t="str">
        <f aca="true">IF($C67="","",IF($H67&gt;=1,"완료",IF($F67="","미정",IF($F67&lt;TODAY(),"지연",IF($E67&gt;TODAY(),"예정","진행중")))))</f>
        <v/>
      </c>
      <c r="J67" s="15" t="str">
        <f aca="true">IF(OR($C67="",$F67=""),"",IF($H67&gt;=1,"-",$F67-TODAY()))</f>
        <v/>
      </c>
      <c r="K67" s="7"/>
    </row>
    <row r="68" customFormat="false" ht="15" hidden="false" customHeight="true" outlineLevel="0" collapsed="false">
      <c r="A68" s="11" t="str">
        <f aca="false">IF($C68="","",ROW()-2)</f>
        <v/>
      </c>
      <c r="B68" s="7"/>
      <c r="C68" s="7"/>
      <c r="D68" s="7"/>
      <c r="E68" s="12"/>
      <c r="F68" s="12"/>
      <c r="G68" s="13" t="str">
        <f aca="false">IF(OR($E68="",$F68=""),"",$F68-$E68+1)</f>
        <v/>
      </c>
      <c r="H68" s="14"/>
      <c r="I68" s="11" t="str">
        <f aca="true">IF($C68="","",IF($H68&gt;=1,"완료",IF($F68="","미정",IF($F68&lt;TODAY(),"지연",IF($E68&gt;TODAY(),"예정","진행중")))))</f>
        <v/>
      </c>
      <c r="J68" s="15" t="str">
        <f aca="true">IF(OR($C68="",$F68=""),"",IF($H68&gt;=1,"-",$F68-TODAY()))</f>
        <v/>
      </c>
      <c r="K68" s="7"/>
    </row>
    <row r="69" customFormat="false" ht="15" hidden="false" customHeight="true" outlineLevel="0" collapsed="false">
      <c r="A69" s="11" t="str">
        <f aca="false">IF($C69="","",ROW()-2)</f>
        <v/>
      </c>
      <c r="B69" s="7"/>
      <c r="C69" s="7"/>
      <c r="D69" s="7"/>
      <c r="E69" s="12"/>
      <c r="F69" s="12"/>
      <c r="G69" s="13" t="str">
        <f aca="false">IF(OR($E69="",$F69=""),"",$F69-$E69+1)</f>
        <v/>
      </c>
      <c r="H69" s="14"/>
      <c r="I69" s="11" t="str">
        <f aca="true">IF($C69="","",IF($H69&gt;=1,"완료",IF($F69="","미정",IF($F69&lt;TODAY(),"지연",IF($E69&gt;TODAY(),"예정","진행중")))))</f>
        <v/>
      </c>
      <c r="J69" s="15" t="str">
        <f aca="true">IF(OR($C69="",$F69=""),"",IF($H69&gt;=1,"-",$F69-TODAY()))</f>
        <v/>
      </c>
      <c r="K69" s="7"/>
    </row>
    <row r="70" customFormat="false" ht="15" hidden="false" customHeight="true" outlineLevel="0" collapsed="false">
      <c r="A70" s="11" t="str">
        <f aca="false">IF($C70="","",ROW()-2)</f>
        <v/>
      </c>
      <c r="B70" s="7"/>
      <c r="C70" s="7"/>
      <c r="D70" s="7"/>
      <c r="E70" s="12"/>
      <c r="F70" s="12"/>
      <c r="G70" s="13" t="str">
        <f aca="false">IF(OR($E70="",$F70=""),"",$F70-$E70+1)</f>
        <v/>
      </c>
      <c r="H70" s="14"/>
      <c r="I70" s="11" t="str">
        <f aca="true">IF($C70="","",IF($H70&gt;=1,"완료",IF($F70="","미정",IF($F70&lt;TODAY(),"지연",IF($E70&gt;TODAY(),"예정","진행중")))))</f>
        <v/>
      </c>
      <c r="J70" s="15" t="str">
        <f aca="true">IF(OR($C70="",$F70=""),"",IF($H70&gt;=1,"-",$F70-TODAY()))</f>
        <v/>
      </c>
      <c r="K70" s="7"/>
    </row>
    <row r="71" customFormat="false" ht="15" hidden="false" customHeight="true" outlineLevel="0" collapsed="false">
      <c r="A71" s="11" t="str">
        <f aca="false">IF($C71="","",ROW()-2)</f>
        <v/>
      </c>
      <c r="B71" s="7"/>
      <c r="C71" s="7"/>
      <c r="D71" s="7"/>
      <c r="E71" s="12"/>
      <c r="F71" s="12"/>
      <c r="G71" s="13" t="str">
        <f aca="false">IF(OR($E71="",$F71=""),"",$F71-$E71+1)</f>
        <v/>
      </c>
      <c r="H71" s="14"/>
      <c r="I71" s="11" t="str">
        <f aca="true">IF($C71="","",IF($H71&gt;=1,"완료",IF($F71="","미정",IF($F71&lt;TODAY(),"지연",IF($E71&gt;TODAY(),"예정","진행중")))))</f>
        <v/>
      </c>
      <c r="J71" s="15" t="str">
        <f aca="true">IF(OR($C71="",$F71=""),"",IF($H71&gt;=1,"-",$F71-TODAY()))</f>
        <v/>
      </c>
      <c r="K71" s="7"/>
    </row>
    <row r="72" customFormat="false" ht="15" hidden="false" customHeight="true" outlineLevel="0" collapsed="false">
      <c r="A72" s="11" t="str">
        <f aca="false">IF($C72="","",ROW()-2)</f>
        <v/>
      </c>
      <c r="B72" s="7"/>
      <c r="C72" s="7"/>
      <c r="D72" s="7"/>
      <c r="E72" s="12"/>
      <c r="F72" s="12"/>
      <c r="G72" s="13" t="str">
        <f aca="false">IF(OR($E72="",$F72=""),"",$F72-$E72+1)</f>
        <v/>
      </c>
      <c r="H72" s="14"/>
      <c r="I72" s="11" t="str">
        <f aca="true">IF($C72="","",IF($H72&gt;=1,"완료",IF($F72="","미정",IF($F72&lt;TODAY(),"지연",IF($E72&gt;TODAY(),"예정","진행중")))))</f>
        <v/>
      </c>
      <c r="J72" s="15" t="str">
        <f aca="true">IF(OR($C72="",$F72=""),"",IF($H72&gt;=1,"-",$F72-TODAY()))</f>
        <v/>
      </c>
      <c r="K72" s="7"/>
    </row>
    <row r="73" customFormat="false" ht="15" hidden="false" customHeight="true" outlineLevel="0" collapsed="false">
      <c r="A73" s="11" t="str">
        <f aca="false">IF($C73="","",ROW()-2)</f>
        <v/>
      </c>
      <c r="B73" s="7"/>
      <c r="C73" s="7"/>
      <c r="D73" s="7"/>
      <c r="E73" s="12"/>
      <c r="F73" s="12"/>
      <c r="G73" s="13" t="str">
        <f aca="false">IF(OR($E73="",$F73=""),"",$F73-$E73+1)</f>
        <v/>
      </c>
      <c r="H73" s="14"/>
      <c r="I73" s="11" t="str">
        <f aca="true">IF($C73="","",IF($H73&gt;=1,"완료",IF($F73="","미정",IF($F73&lt;TODAY(),"지연",IF($E73&gt;TODAY(),"예정","진행중")))))</f>
        <v/>
      </c>
      <c r="J73" s="15" t="str">
        <f aca="true">IF(OR($C73="",$F73=""),"",IF($H73&gt;=1,"-",$F73-TODAY()))</f>
        <v/>
      </c>
      <c r="K73" s="7"/>
    </row>
    <row r="74" customFormat="false" ht="15" hidden="false" customHeight="true" outlineLevel="0" collapsed="false">
      <c r="A74" s="11" t="str">
        <f aca="false">IF($C74="","",ROW()-2)</f>
        <v/>
      </c>
      <c r="B74" s="7"/>
      <c r="C74" s="7"/>
      <c r="D74" s="7"/>
      <c r="E74" s="12"/>
      <c r="F74" s="12"/>
      <c r="G74" s="13" t="str">
        <f aca="false">IF(OR($E74="",$F74=""),"",$F74-$E74+1)</f>
        <v/>
      </c>
      <c r="H74" s="14"/>
      <c r="I74" s="11" t="str">
        <f aca="true">IF($C74="","",IF($H74&gt;=1,"완료",IF($F74="","미정",IF($F74&lt;TODAY(),"지연",IF($E74&gt;TODAY(),"예정","진행중")))))</f>
        <v/>
      </c>
      <c r="J74" s="15" t="str">
        <f aca="true">IF(OR($C74="",$F74=""),"",IF($H74&gt;=1,"-",$F74-TODAY()))</f>
        <v/>
      </c>
      <c r="K74" s="7"/>
    </row>
    <row r="75" customFormat="false" ht="15" hidden="false" customHeight="true" outlineLevel="0" collapsed="false">
      <c r="A75" s="11" t="str">
        <f aca="false">IF($C75="","",ROW()-2)</f>
        <v/>
      </c>
      <c r="B75" s="7"/>
      <c r="C75" s="7"/>
      <c r="D75" s="7"/>
      <c r="E75" s="12"/>
      <c r="F75" s="12"/>
      <c r="G75" s="13" t="str">
        <f aca="false">IF(OR($E75="",$F75=""),"",$F75-$E75+1)</f>
        <v/>
      </c>
      <c r="H75" s="14"/>
      <c r="I75" s="11" t="str">
        <f aca="true">IF($C75="","",IF($H75&gt;=1,"완료",IF($F75="","미정",IF($F75&lt;TODAY(),"지연",IF($E75&gt;TODAY(),"예정","진행중")))))</f>
        <v/>
      </c>
      <c r="J75" s="15" t="str">
        <f aca="true">IF(OR($C75="",$F75=""),"",IF($H75&gt;=1,"-",$F75-TODAY()))</f>
        <v/>
      </c>
      <c r="K75" s="7"/>
    </row>
    <row r="76" customFormat="false" ht="15" hidden="false" customHeight="true" outlineLevel="0" collapsed="false">
      <c r="A76" s="11" t="str">
        <f aca="false">IF($C76="","",ROW()-2)</f>
        <v/>
      </c>
      <c r="B76" s="7"/>
      <c r="C76" s="7"/>
      <c r="D76" s="7"/>
      <c r="E76" s="12"/>
      <c r="F76" s="12"/>
      <c r="G76" s="13" t="str">
        <f aca="false">IF(OR($E76="",$F76=""),"",$F76-$E76+1)</f>
        <v/>
      </c>
      <c r="H76" s="14"/>
      <c r="I76" s="11" t="str">
        <f aca="true">IF($C76="","",IF($H76&gt;=1,"완료",IF($F76="","미정",IF($F76&lt;TODAY(),"지연",IF($E76&gt;TODAY(),"예정","진행중")))))</f>
        <v/>
      </c>
      <c r="J76" s="15" t="str">
        <f aca="true">IF(OR($C76="",$F76=""),"",IF($H76&gt;=1,"-",$F76-TODAY()))</f>
        <v/>
      </c>
      <c r="K76" s="7"/>
    </row>
    <row r="77" customFormat="false" ht="15" hidden="false" customHeight="true" outlineLevel="0" collapsed="false">
      <c r="A77" s="11" t="str">
        <f aca="false">IF($C77="","",ROW()-2)</f>
        <v/>
      </c>
      <c r="B77" s="7"/>
      <c r="C77" s="7"/>
      <c r="D77" s="7"/>
      <c r="E77" s="12"/>
      <c r="F77" s="12"/>
      <c r="G77" s="13" t="str">
        <f aca="false">IF(OR($E77="",$F77=""),"",$F77-$E77+1)</f>
        <v/>
      </c>
      <c r="H77" s="14"/>
      <c r="I77" s="11" t="str">
        <f aca="true">IF($C77="","",IF($H77&gt;=1,"완료",IF($F77="","미정",IF($F77&lt;TODAY(),"지연",IF($E77&gt;TODAY(),"예정","진행중")))))</f>
        <v/>
      </c>
      <c r="J77" s="15" t="str">
        <f aca="true">IF(OR($C77="",$F77=""),"",IF($H77&gt;=1,"-",$F77-TODAY()))</f>
        <v/>
      </c>
      <c r="K77" s="7"/>
    </row>
    <row r="78" customFormat="false" ht="15" hidden="false" customHeight="true" outlineLevel="0" collapsed="false">
      <c r="A78" s="11" t="str">
        <f aca="false">IF($C78="","",ROW()-2)</f>
        <v/>
      </c>
      <c r="B78" s="7"/>
      <c r="C78" s="7"/>
      <c r="D78" s="7"/>
      <c r="E78" s="12"/>
      <c r="F78" s="12"/>
      <c r="G78" s="13" t="str">
        <f aca="false">IF(OR($E78="",$F78=""),"",$F78-$E78+1)</f>
        <v/>
      </c>
      <c r="H78" s="14"/>
      <c r="I78" s="11" t="str">
        <f aca="true">IF($C78="","",IF($H78&gt;=1,"완료",IF($F78="","미정",IF($F78&lt;TODAY(),"지연",IF($E78&gt;TODAY(),"예정","진행중")))))</f>
        <v/>
      </c>
      <c r="J78" s="15" t="str">
        <f aca="true">IF(OR($C78="",$F78=""),"",IF($H78&gt;=1,"-",$F78-TODAY()))</f>
        <v/>
      </c>
      <c r="K78" s="7"/>
    </row>
    <row r="79" customFormat="false" ht="15" hidden="false" customHeight="true" outlineLevel="0" collapsed="false">
      <c r="A79" s="11" t="str">
        <f aca="false">IF($C79="","",ROW()-2)</f>
        <v/>
      </c>
      <c r="B79" s="7"/>
      <c r="C79" s="7"/>
      <c r="D79" s="7"/>
      <c r="E79" s="12"/>
      <c r="F79" s="12"/>
      <c r="G79" s="13" t="str">
        <f aca="false">IF(OR($E79="",$F79=""),"",$F79-$E79+1)</f>
        <v/>
      </c>
      <c r="H79" s="14"/>
      <c r="I79" s="11" t="str">
        <f aca="true">IF($C79="","",IF($H79&gt;=1,"완료",IF($F79="","미정",IF($F79&lt;TODAY(),"지연",IF($E79&gt;TODAY(),"예정","진행중")))))</f>
        <v/>
      </c>
      <c r="J79" s="15" t="str">
        <f aca="true">IF(OR($C79="",$F79=""),"",IF($H79&gt;=1,"-",$F79-TODAY()))</f>
        <v/>
      </c>
      <c r="K79" s="7"/>
    </row>
    <row r="80" customFormat="false" ht="15" hidden="false" customHeight="true" outlineLevel="0" collapsed="false">
      <c r="A80" s="11" t="str">
        <f aca="false">IF($C80="","",ROW()-2)</f>
        <v/>
      </c>
      <c r="B80" s="7"/>
      <c r="C80" s="7"/>
      <c r="D80" s="7"/>
      <c r="E80" s="12"/>
      <c r="F80" s="12"/>
      <c r="G80" s="13" t="str">
        <f aca="false">IF(OR($E80="",$F80=""),"",$F80-$E80+1)</f>
        <v/>
      </c>
      <c r="H80" s="14"/>
      <c r="I80" s="11" t="str">
        <f aca="true">IF($C80="","",IF($H80&gt;=1,"완료",IF($F80="","미정",IF($F80&lt;TODAY(),"지연",IF($E80&gt;TODAY(),"예정","진행중")))))</f>
        <v/>
      </c>
      <c r="J80" s="15" t="str">
        <f aca="true">IF(OR($C80="",$F80=""),"",IF($H80&gt;=1,"-",$F80-TODAY()))</f>
        <v/>
      </c>
      <c r="K80" s="7"/>
    </row>
    <row r="81" customFormat="false" ht="15" hidden="false" customHeight="true" outlineLevel="0" collapsed="false">
      <c r="A81" s="11" t="str">
        <f aca="false">IF($C81="","",ROW()-2)</f>
        <v/>
      </c>
      <c r="B81" s="7"/>
      <c r="C81" s="7"/>
      <c r="D81" s="7"/>
      <c r="E81" s="12"/>
      <c r="F81" s="12"/>
      <c r="G81" s="13" t="str">
        <f aca="false">IF(OR($E81="",$F81=""),"",$F81-$E81+1)</f>
        <v/>
      </c>
      <c r="H81" s="14"/>
      <c r="I81" s="11" t="str">
        <f aca="true">IF($C81="","",IF($H81&gt;=1,"완료",IF($F81="","미정",IF($F81&lt;TODAY(),"지연",IF($E81&gt;TODAY(),"예정","진행중")))))</f>
        <v/>
      </c>
      <c r="J81" s="15" t="str">
        <f aca="true">IF(OR($C81="",$F81=""),"",IF($H81&gt;=1,"-",$F81-TODAY()))</f>
        <v/>
      </c>
      <c r="K81" s="7"/>
    </row>
    <row r="82" customFormat="false" ht="15" hidden="false" customHeight="true" outlineLevel="0" collapsed="false">
      <c r="A82" s="11" t="str">
        <f aca="false">IF($C82="","",ROW()-2)</f>
        <v/>
      </c>
      <c r="B82" s="7"/>
      <c r="C82" s="7"/>
      <c r="D82" s="7"/>
      <c r="E82" s="12"/>
      <c r="F82" s="12"/>
      <c r="G82" s="13" t="str">
        <f aca="false">IF(OR($E82="",$F82=""),"",$F82-$E82+1)</f>
        <v/>
      </c>
      <c r="H82" s="14"/>
      <c r="I82" s="11" t="str">
        <f aca="true">IF($C82="","",IF($H82&gt;=1,"완료",IF($F82="","미정",IF($F82&lt;TODAY(),"지연",IF($E82&gt;TODAY(),"예정","진행중")))))</f>
        <v/>
      </c>
      <c r="J82" s="15" t="str">
        <f aca="true">IF(OR($C82="",$F82=""),"",IF($H82&gt;=1,"-",$F82-TODAY()))</f>
        <v/>
      </c>
      <c r="K82" s="7"/>
    </row>
    <row r="83" customFormat="false" ht="15" hidden="false" customHeight="true" outlineLevel="0" collapsed="false">
      <c r="A83" s="11" t="str">
        <f aca="false">IF($C83="","",ROW()-2)</f>
        <v/>
      </c>
      <c r="B83" s="7"/>
      <c r="C83" s="7"/>
      <c r="D83" s="7"/>
      <c r="E83" s="12"/>
      <c r="F83" s="12"/>
      <c r="G83" s="13" t="str">
        <f aca="false">IF(OR($E83="",$F83=""),"",$F83-$E83+1)</f>
        <v/>
      </c>
      <c r="H83" s="14"/>
      <c r="I83" s="11" t="str">
        <f aca="true">IF($C83="","",IF($H83&gt;=1,"완료",IF($F83="","미정",IF($F83&lt;TODAY(),"지연",IF($E83&gt;TODAY(),"예정","진행중")))))</f>
        <v/>
      </c>
      <c r="J83" s="15" t="str">
        <f aca="true">IF(OR($C83="",$F83=""),"",IF($H83&gt;=1,"-",$F83-TODAY()))</f>
        <v/>
      </c>
      <c r="K83" s="7"/>
    </row>
    <row r="84" customFormat="false" ht="15" hidden="false" customHeight="true" outlineLevel="0" collapsed="false">
      <c r="A84" s="11" t="str">
        <f aca="false">IF($C84="","",ROW()-2)</f>
        <v/>
      </c>
      <c r="B84" s="7"/>
      <c r="C84" s="7"/>
      <c r="D84" s="7"/>
      <c r="E84" s="12"/>
      <c r="F84" s="12"/>
      <c r="G84" s="13" t="str">
        <f aca="false">IF(OR($E84="",$F84=""),"",$F84-$E84+1)</f>
        <v/>
      </c>
      <c r="H84" s="14"/>
      <c r="I84" s="11" t="str">
        <f aca="true">IF($C84="","",IF($H84&gt;=1,"완료",IF($F84="","미정",IF($F84&lt;TODAY(),"지연",IF($E84&gt;TODAY(),"예정","진행중")))))</f>
        <v/>
      </c>
      <c r="J84" s="15" t="str">
        <f aca="true">IF(OR($C84="",$F84=""),"",IF($H84&gt;=1,"-",$F84-TODAY()))</f>
        <v/>
      </c>
      <c r="K84" s="7"/>
    </row>
    <row r="85" customFormat="false" ht="15" hidden="false" customHeight="true" outlineLevel="0" collapsed="false">
      <c r="A85" s="11" t="str">
        <f aca="false">IF($C85="","",ROW()-2)</f>
        <v/>
      </c>
      <c r="B85" s="7"/>
      <c r="C85" s="7"/>
      <c r="D85" s="7"/>
      <c r="E85" s="12"/>
      <c r="F85" s="12"/>
      <c r="G85" s="13" t="str">
        <f aca="false">IF(OR($E85="",$F85=""),"",$F85-$E85+1)</f>
        <v/>
      </c>
      <c r="H85" s="14"/>
      <c r="I85" s="11" t="str">
        <f aca="true">IF($C85="","",IF($H85&gt;=1,"완료",IF($F85="","미정",IF($F85&lt;TODAY(),"지연",IF($E85&gt;TODAY(),"예정","진행중")))))</f>
        <v/>
      </c>
      <c r="J85" s="15" t="str">
        <f aca="true">IF(OR($C85="",$F85=""),"",IF($H85&gt;=1,"-",$F85-TODAY()))</f>
        <v/>
      </c>
      <c r="K85" s="7"/>
    </row>
    <row r="86" customFormat="false" ht="15" hidden="false" customHeight="true" outlineLevel="0" collapsed="false">
      <c r="A86" s="11" t="str">
        <f aca="false">IF($C86="","",ROW()-2)</f>
        <v/>
      </c>
      <c r="B86" s="7"/>
      <c r="C86" s="7"/>
      <c r="D86" s="7"/>
      <c r="E86" s="12"/>
      <c r="F86" s="12"/>
      <c r="G86" s="13" t="str">
        <f aca="false">IF(OR($E86="",$F86=""),"",$F86-$E86+1)</f>
        <v/>
      </c>
      <c r="H86" s="14"/>
      <c r="I86" s="11" t="str">
        <f aca="true">IF($C86="","",IF($H86&gt;=1,"완료",IF($F86="","미정",IF($F86&lt;TODAY(),"지연",IF($E86&gt;TODAY(),"예정","진행중")))))</f>
        <v/>
      </c>
      <c r="J86" s="15" t="str">
        <f aca="true">IF(OR($C86="",$F86=""),"",IF($H86&gt;=1,"-",$F86-TODAY()))</f>
        <v/>
      </c>
      <c r="K86" s="7"/>
    </row>
    <row r="87" customFormat="false" ht="15" hidden="false" customHeight="true" outlineLevel="0" collapsed="false">
      <c r="A87" s="11" t="str">
        <f aca="false">IF($C87="","",ROW()-2)</f>
        <v/>
      </c>
      <c r="B87" s="7"/>
      <c r="C87" s="7"/>
      <c r="D87" s="7"/>
      <c r="E87" s="12"/>
      <c r="F87" s="12"/>
      <c r="G87" s="13" t="str">
        <f aca="false">IF(OR($E87="",$F87=""),"",$F87-$E87+1)</f>
        <v/>
      </c>
      <c r="H87" s="14"/>
      <c r="I87" s="11" t="str">
        <f aca="true">IF($C87="","",IF($H87&gt;=1,"완료",IF($F87="","미정",IF($F87&lt;TODAY(),"지연",IF($E87&gt;TODAY(),"예정","진행중")))))</f>
        <v/>
      </c>
      <c r="J87" s="15" t="str">
        <f aca="true">IF(OR($C87="",$F87=""),"",IF($H87&gt;=1,"-",$F87-TODAY()))</f>
        <v/>
      </c>
      <c r="K87" s="7"/>
    </row>
    <row r="88" customFormat="false" ht="15" hidden="false" customHeight="true" outlineLevel="0" collapsed="false">
      <c r="A88" s="11" t="str">
        <f aca="false">IF($C88="","",ROW()-2)</f>
        <v/>
      </c>
      <c r="B88" s="7"/>
      <c r="C88" s="7"/>
      <c r="D88" s="7"/>
      <c r="E88" s="12"/>
      <c r="F88" s="12"/>
      <c r="G88" s="13" t="str">
        <f aca="false">IF(OR($E88="",$F88=""),"",$F88-$E88+1)</f>
        <v/>
      </c>
      <c r="H88" s="14"/>
      <c r="I88" s="11" t="str">
        <f aca="true">IF($C88="","",IF($H88&gt;=1,"완료",IF($F88="","미정",IF($F88&lt;TODAY(),"지연",IF($E88&gt;TODAY(),"예정","진행중")))))</f>
        <v/>
      </c>
      <c r="J88" s="15" t="str">
        <f aca="true">IF(OR($C88="",$F88=""),"",IF($H88&gt;=1,"-",$F88-TODAY()))</f>
        <v/>
      </c>
      <c r="K88" s="7"/>
    </row>
    <row r="89" customFormat="false" ht="15" hidden="false" customHeight="true" outlineLevel="0" collapsed="false">
      <c r="A89" s="11" t="str">
        <f aca="false">IF($C89="","",ROW()-2)</f>
        <v/>
      </c>
      <c r="B89" s="7"/>
      <c r="C89" s="7"/>
      <c r="D89" s="7"/>
      <c r="E89" s="12"/>
      <c r="F89" s="12"/>
      <c r="G89" s="13" t="str">
        <f aca="false">IF(OR($E89="",$F89=""),"",$F89-$E89+1)</f>
        <v/>
      </c>
      <c r="H89" s="14"/>
      <c r="I89" s="11" t="str">
        <f aca="true">IF($C89="","",IF($H89&gt;=1,"완료",IF($F89="","미정",IF($F89&lt;TODAY(),"지연",IF($E89&gt;TODAY(),"예정","진행중")))))</f>
        <v/>
      </c>
      <c r="J89" s="15" t="str">
        <f aca="true">IF(OR($C89="",$F89=""),"",IF($H89&gt;=1,"-",$F89-TODAY()))</f>
        <v/>
      </c>
      <c r="K89" s="7"/>
    </row>
    <row r="90" customFormat="false" ht="15" hidden="false" customHeight="true" outlineLevel="0" collapsed="false">
      <c r="A90" s="11" t="str">
        <f aca="false">IF($C90="","",ROW()-2)</f>
        <v/>
      </c>
      <c r="B90" s="7"/>
      <c r="C90" s="7"/>
      <c r="D90" s="7"/>
      <c r="E90" s="12"/>
      <c r="F90" s="12"/>
      <c r="G90" s="13" t="str">
        <f aca="false">IF(OR($E90="",$F90=""),"",$F90-$E90+1)</f>
        <v/>
      </c>
      <c r="H90" s="14"/>
      <c r="I90" s="11" t="str">
        <f aca="true">IF($C90="","",IF($H90&gt;=1,"완료",IF($F90="","미정",IF($F90&lt;TODAY(),"지연",IF($E90&gt;TODAY(),"예정","진행중")))))</f>
        <v/>
      </c>
      <c r="J90" s="15" t="str">
        <f aca="true">IF(OR($C90="",$F90=""),"",IF($H90&gt;=1,"-",$F90-TODAY()))</f>
        <v/>
      </c>
      <c r="K90" s="7"/>
    </row>
    <row r="91" customFormat="false" ht="15" hidden="false" customHeight="true" outlineLevel="0" collapsed="false">
      <c r="A91" s="11" t="str">
        <f aca="false">IF($C91="","",ROW()-2)</f>
        <v/>
      </c>
      <c r="B91" s="7"/>
      <c r="C91" s="7"/>
      <c r="D91" s="7"/>
      <c r="E91" s="12"/>
      <c r="F91" s="12"/>
      <c r="G91" s="13" t="str">
        <f aca="false">IF(OR($E91="",$F91=""),"",$F91-$E91+1)</f>
        <v/>
      </c>
      <c r="H91" s="14"/>
      <c r="I91" s="11" t="str">
        <f aca="true">IF($C91="","",IF($H91&gt;=1,"완료",IF($F91="","미정",IF($F91&lt;TODAY(),"지연",IF($E91&gt;TODAY(),"예정","진행중")))))</f>
        <v/>
      </c>
      <c r="J91" s="15" t="str">
        <f aca="true">IF(OR($C91="",$F91=""),"",IF($H91&gt;=1,"-",$F91-TODAY()))</f>
        <v/>
      </c>
      <c r="K91" s="7"/>
    </row>
    <row r="92" customFormat="false" ht="15" hidden="false" customHeight="true" outlineLevel="0" collapsed="false">
      <c r="A92" s="11" t="str">
        <f aca="false">IF($C92="","",ROW()-2)</f>
        <v/>
      </c>
      <c r="B92" s="7"/>
      <c r="C92" s="7"/>
      <c r="D92" s="7"/>
      <c r="E92" s="12"/>
      <c r="F92" s="12"/>
      <c r="G92" s="13" t="str">
        <f aca="false">IF(OR($E92="",$F92=""),"",$F92-$E92+1)</f>
        <v/>
      </c>
      <c r="H92" s="14"/>
      <c r="I92" s="11" t="str">
        <f aca="true">IF($C92="","",IF($H92&gt;=1,"완료",IF($F92="","미정",IF($F92&lt;TODAY(),"지연",IF($E92&gt;TODAY(),"예정","진행중")))))</f>
        <v/>
      </c>
      <c r="J92" s="15" t="str">
        <f aca="true">IF(OR($C92="",$F92=""),"",IF($H92&gt;=1,"-",$F92-TODAY()))</f>
        <v/>
      </c>
      <c r="K92" s="7"/>
    </row>
    <row r="93" customFormat="false" ht="15" hidden="false" customHeight="true" outlineLevel="0" collapsed="false">
      <c r="A93" s="11" t="str">
        <f aca="false">IF($C93="","",ROW()-2)</f>
        <v/>
      </c>
      <c r="B93" s="7"/>
      <c r="C93" s="7"/>
      <c r="D93" s="7"/>
      <c r="E93" s="12"/>
      <c r="F93" s="12"/>
      <c r="G93" s="13" t="str">
        <f aca="false">IF(OR($E93="",$F93=""),"",$F93-$E93+1)</f>
        <v/>
      </c>
      <c r="H93" s="14"/>
      <c r="I93" s="11" t="str">
        <f aca="true">IF($C93="","",IF($H93&gt;=1,"완료",IF($F93="","미정",IF($F93&lt;TODAY(),"지연",IF($E93&gt;TODAY(),"예정","진행중")))))</f>
        <v/>
      </c>
      <c r="J93" s="15" t="str">
        <f aca="true">IF(OR($C93="",$F93=""),"",IF($H93&gt;=1,"-",$F93-TODAY()))</f>
        <v/>
      </c>
      <c r="K93" s="7"/>
    </row>
    <row r="94" customFormat="false" ht="15" hidden="false" customHeight="true" outlineLevel="0" collapsed="false">
      <c r="A94" s="11" t="str">
        <f aca="false">IF($C94="","",ROW()-2)</f>
        <v/>
      </c>
      <c r="B94" s="7"/>
      <c r="C94" s="7"/>
      <c r="D94" s="7"/>
      <c r="E94" s="12"/>
      <c r="F94" s="12"/>
      <c r="G94" s="13" t="str">
        <f aca="false">IF(OR($E94="",$F94=""),"",$F94-$E94+1)</f>
        <v/>
      </c>
      <c r="H94" s="14"/>
      <c r="I94" s="11" t="str">
        <f aca="true">IF($C94="","",IF($H94&gt;=1,"완료",IF($F94="","미정",IF($F94&lt;TODAY(),"지연",IF($E94&gt;TODAY(),"예정","진행중")))))</f>
        <v/>
      </c>
      <c r="J94" s="15" t="str">
        <f aca="true">IF(OR($C94="",$F94=""),"",IF($H94&gt;=1,"-",$F94-TODAY()))</f>
        <v/>
      </c>
      <c r="K94" s="7"/>
    </row>
    <row r="95" customFormat="false" ht="15" hidden="false" customHeight="true" outlineLevel="0" collapsed="false">
      <c r="A95" s="11" t="str">
        <f aca="false">IF($C95="","",ROW()-2)</f>
        <v/>
      </c>
      <c r="B95" s="7"/>
      <c r="C95" s="7"/>
      <c r="D95" s="7"/>
      <c r="E95" s="12"/>
      <c r="F95" s="12"/>
      <c r="G95" s="13" t="str">
        <f aca="false">IF(OR($E95="",$F95=""),"",$F95-$E95+1)</f>
        <v/>
      </c>
      <c r="H95" s="14"/>
      <c r="I95" s="11" t="str">
        <f aca="true">IF($C95="","",IF($H95&gt;=1,"완료",IF($F95="","미정",IF($F95&lt;TODAY(),"지연",IF($E95&gt;TODAY(),"예정","진행중")))))</f>
        <v/>
      </c>
      <c r="J95" s="15" t="str">
        <f aca="true">IF(OR($C95="",$F95=""),"",IF($H95&gt;=1,"-",$F95-TODAY()))</f>
        <v/>
      </c>
      <c r="K95" s="7"/>
    </row>
    <row r="96" customFormat="false" ht="15" hidden="false" customHeight="true" outlineLevel="0" collapsed="false">
      <c r="A96" s="11" t="str">
        <f aca="false">IF($C96="","",ROW()-2)</f>
        <v/>
      </c>
      <c r="B96" s="7"/>
      <c r="C96" s="7"/>
      <c r="D96" s="7"/>
      <c r="E96" s="12"/>
      <c r="F96" s="12"/>
      <c r="G96" s="13" t="str">
        <f aca="false">IF(OR($E96="",$F96=""),"",$F96-$E96+1)</f>
        <v/>
      </c>
      <c r="H96" s="14"/>
      <c r="I96" s="11" t="str">
        <f aca="true">IF($C96="","",IF($H96&gt;=1,"완료",IF($F96="","미정",IF($F96&lt;TODAY(),"지연",IF($E96&gt;TODAY(),"예정","진행중")))))</f>
        <v/>
      </c>
      <c r="J96" s="15" t="str">
        <f aca="true">IF(OR($C96="",$F96=""),"",IF($H96&gt;=1,"-",$F96-TODAY()))</f>
        <v/>
      </c>
      <c r="K96" s="7"/>
    </row>
    <row r="97" customFormat="false" ht="15" hidden="false" customHeight="true" outlineLevel="0" collapsed="false">
      <c r="A97" s="11" t="str">
        <f aca="false">IF($C97="","",ROW()-2)</f>
        <v/>
      </c>
      <c r="B97" s="7"/>
      <c r="C97" s="7"/>
      <c r="D97" s="7"/>
      <c r="E97" s="12"/>
      <c r="F97" s="12"/>
      <c r="G97" s="13" t="str">
        <f aca="false">IF(OR($E97="",$F97=""),"",$F97-$E97+1)</f>
        <v/>
      </c>
      <c r="H97" s="14"/>
      <c r="I97" s="11" t="str">
        <f aca="true">IF($C97="","",IF($H97&gt;=1,"완료",IF($F97="","미정",IF($F97&lt;TODAY(),"지연",IF($E97&gt;TODAY(),"예정","진행중")))))</f>
        <v/>
      </c>
      <c r="J97" s="15" t="str">
        <f aca="true">IF(OR($C97="",$F97=""),"",IF($H97&gt;=1,"-",$F97-TODAY()))</f>
        <v/>
      </c>
      <c r="K97" s="7"/>
    </row>
    <row r="98" customFormat="false" ht="15" hidden="false" customHeight="true" outlineLevel="0" collapsed="false">
      <c r="A98" s="11" t="str">
        <f aca="false">IF($C98="","",ROW()-2)</f>
        <v/>
      </c>
      <c r="B98" s="7"/>
      <c r="C98" s="7"/>
      <c r="D98" s="7"/>
      <c r="E98" s="12"/>
      <c r="F98" s="12"/>
      <c r="G98" s="13" t="str">
        <f aca="false">IF(OR($E98="",$F98=""),"",$F98-$E98+1)</f>
        <v/>
      </c>
      <c r="H98" s="14"/>
      <c r="I98" s="11" t="str">
        <f aca="true">IF($C98="","",IF($H98&gt;=1,"완료",IF($F98="","미정",IF($F98&lt;TODAY(),"지연",IF($E98&gt;TODAY(),"예정","진행중")))))</f>
        <v/>
      </c>
      <c r="J98" s="15" t="str">
        <f aca="true">IF(OR($C98="",$F98=""),"",IF($H98&gt;=1,"-",$F98-TODAY()))</f>
        <v/>
      </c>
      <c r="K98" s="7"/>
    </row>
    <row r="99" customFormat="false" ht="15" hidden="false" customHeight="true" outlineLevel="0" collapsed="false">
      <c r="A99" s="11" t="str">
        <f aca="false">IF($C99="","",ROW()-2)</f>
        <v/>
      </c>
      <c r="B99" s="7"/>
      <c r="C99" s="7"/>
      <c r="D99" s="7"/>
      <c r="E99" s="12"/>
      <c r="F99" s="12"/>
      <c r="G99" s="13" t="str">
        <f aca="false">IF(OR($E99="",$F99=""),"",$F99-$E99+1)</f>
        <v/>
      </c>
      <c r="H99" s="14"/>
      <c r="I99" s="11" t="str">
        <f aca="true">IF($C99="","",IF($H99&gt;=1,"완료",IF($F99="","미정",IF($F99&lt;TODAY(),"지연",IF($E99&gt;TODAY(),"예정","진행중")))))</f>
        <v/>
      </c>
      <c r="J99" s="15" t="str">
        <f aca="true">IF(OR($C99="",$F99=""),"",IF($H99&gt;=1,"-",$F99-TODAY()))</f>
        <v/>
      </c>
      <c r="K99" s="7"/>
    </row>
    <row r="100" customFormat="false" ht="15" hidden="false" customHeight="true" outlineLevel="0" collapsed="false">
      <c r="A100" s="11" t="str">
        <f aca="false">IF($C100="","",ROW()-2)</f>
        <v/>
      </c>
      <c r="B100" s="7"/>
      <c r="C100" s="7"/>
      <c r="D100" s="7"/>
      <c r="E100" s="12"/>
      <c r="F100" s="12"/>
      <c r="G100" s="13" t="str">
        <f aca="false">IF(OR($E100="",$F100=""),"",$F100-$E100+1)</f>
        <v/>
      </c>
      <c r="H100" s="14"/>
      <c r="I100" s="11" t="str">
        <f aca="true">IF($C100="","",IF($H100&gt;=1,"완료",IF($F100="","미정",IF($F100&lt;TODAY(),"지연",IF($E100&gt;TODAY(),"예정","진행중")))))</f>
        <v/>
      </c>
      <c r="J100" s="15" t="str">
        <f aca="true">IF(OR($C100="",$F100=""),"",IF($H100&gt;=1,"-",$F100-TODAY()))</f>
        <v/>
      </c>
      <c r="K100" s="7"/>
    </row>
    <row r="101" customFormat="false" ht="15" hidden="false" customHeight="true" outlineLevel="0" collapsed="false">
      <c r="A101" s="11" t="str">
        <f aca="false">IF($C101="","",ROW()-2)</f>
        <v/>
      </c>
      <c r="B101" s="7"/>
      <c r="C101" s="7"/>
      <c r="D101" s="7"/>
      <c r="E101" s="12"/>
      <c r="F101" s="12"/>
      <c r="G101" s="13" t="str">
        <f aca="false">IF(OR($E101="",$F101=""),"",$F101-$E101+1)</f>
        <v/>
      </c>
      <c r="H101" s="14"/>
      <c r="I101" s="11" t="str">
        <f aca="true">IF($C101="","",IF($H101&gt;=1,"완료",IF($F101="","미정",IF($F101&lt;TODAY(),"지연",IF($E101&gt;TODAY(),"예정","진행중")))))</f>
        <v/>
      </c>
      <c r="J101" s="15" t="str">
        <f aca="true">IF(OR($C101="",$F101=""),"",IF($H101&gt;=1,"-",$F101-TODAY()))</f>
        <v/>
      </c>
      <c r="K101" s="7"/>
    </row>
    <row r="102" customFormat="false" ht="15" hidden="false" customHeight="true" outlineLevel="0" collapsed="false">
      <c r="A102" s="11" t="str">
        <f aca="false">IF($C102="","",ROW()-2)</f>
        <v/>
      </c>
      <c r="B102" s="7"/>
      <c r="C102" s="7"/>
      <c r="D102" s="7"/>
      <c r="E102" s="12"/>
      <c r="F102" s="12"/>
      <c r="G102" s="13" t="str">
        <f aca="false">IF(OR($E102="",$F102=""),"",$F102-$E102+1)</f>
        <v/>
      </c>
      <c r="H102" s="14"/>
      <c r="I102" s="11" t="str">
        <f aca="true">IF($C102="","",IF($H102&gt;=1,"완료",IF($F102="","미정",IF($F102&lt;TODAY(),"지연",IF($E102&gt;TODAY(),"예정","진행중")))))</f>
        <v/>
      </c>
      <c r="J102" s="15" t="str">
        <f aca="true">IF(OR($C102="",$F102=""),"",IF($H102&gt;=1,"-",$F102-TODAY()))</f>
        <v/>
      </c>
      <c r="K102" s="7"/>
    </row>
    <row r="104" customFormat="false" ht="15" hidden="false" customHeight="true" outlineLevel="0" collapsed="false">
      <c r="A104" s="5" t="s">
        <v>56</v>
      </c>
    </row>
  </sheetData>
  <mergeCells count="1">
    <mergeCell ref="A1:K1"/>
  </mergeCells>
  <conditionalFormatting sqref="A3:K102">
    <cfRule type="expression" priority="2" aboveAverage="0" equalAverage="0" bottom="0" percent="0" rank="0" text="" dxfId="0">
      <formula>$I3="지연"</formula>
    </cfRule>
    <cfRule type="expression" priority="3" aboveAverage="0" equalAverage="0" bottom="0" percent="0" rank="0" text="" dxfId="1">
      <formula>$I3="완료"</formula>
    </cfRule>
  </conditionalFormatting>
  <dataValidations count="2">
    <dataValidation allowBlank="true" errorStyle="stop" operator="between" showDropDown="false" showErrorMessage="false" showInputMessage="false" sqref="D3:D102" type="list">
      <formula1>담당자목록!$A$3:$A$102</formula1>
      <formula2>0</formula2>
    </dataValidation>
    <dataValidation allowBlank="true" errorStyle="stop" operator="between" showDropDown="false" showErrorMessage="false" showInputMessage="false" sqref="B3:B102" type="list">
      <formula1>"기획,설계,개발,디자인,검수,배포,기타"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64" min="5" style="1" width="9"/>
  </cols>
  <sheetData>
    <row r="1" customFormat="false" ht="25.5" hidden="false" customHeight="true" outlineLevel="0" collapsed="false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3" customFormat="false" ht="15" hidden="false" customHeight="true" outlineLevel="0" collapsed="false">
      <c r="A3" s="3" t="s">
        <v>58</v>
      </c>
      <c r="B3" s="16" t="n">
        <v>46266</v>
      </c>
      <c r="D3" s="5" t="s">
        <v>59</v>
      </c>
    </row>
    <row r="4" customFormat="false" ht="15" hidden="false" customHeight="true" outlineLevel="0" collapsed="false">
      <c r="E4" s="17" t="n">
        <f aca="false">$B$3+0</f>
        <v>46266</v>
      </c>
      <c r="F4" s="17" t="n">
        <f aca="false">$B$3+1</f>
        <v>46267</v>
      </c>
      <c r="G4" s="17" t="n">
        <f aca="false">$B$3+2</f>
        <v>46268</v>
      </c>
      <c r="H4" s="17" t="n">
        <f aca="false">$B$3+3</f>
        <v>46269</v>
      </c>
      <c r="I4" s="17" t="n">
        <f aca="false">$B$3+4</f>
        <v>46270</v>
      </c>
      <c r="J4" s="17" t="n">
        <f aca="false">$B$3+5</f>
        <v>46271</v>
      </c>
      <c r="K4" s="17" t="n">
        <f aca="false">$B$3+6</f>
        <v>46272</v>
      </c>
      <c r="L4" s="17" t="n">
        <f aca="false">$B$3+7</f>
        <v>46273</v>
      </c>
      <c r="M4" s="17" t="n">
        <f aca="false">$B$3+8</f>
        <v>46274</v>
      </c>
      <c r="N4" s="17" t="n">
        <f aca="false">$B$3+9</f>
        <v>46275</v>
      </c>
      <c r="O4" s="17" t="n">
        <f aca="false">$B$3+10</f>
        <v>46276</v>
      </c>
      <c r="P4" s="17" t="n">
        <f aca="false">$B$3+11</f>
        <v>46277</v>
      </c>
      <c r="Q4" s="17" t="n">
        <f aca="false">$B$3+12</f>
        <v>46278</v>
      </c>
      <c r="R4" s="17" t="n">
        <f aca="false">$B$3+13</f>
        <v>46279</v>
      </c>
      <c r="S4" s="17" t="n">
        <f aca="false">$B$3+14</f>
        <v>46280</v>
      </c>
      <c r="T4" s="17" t="n">
        <f aca="false">$B$3+15</f>
        <v>46281</v>
      </c>
      <c r="U4" s="17" t="n">
        <f aca="false">$B$3+16</f>
        <v>46282</v>
      </c>
      <c r="V4" s="17" t="n">
        <f aca="false">$B$3+17</f>
        <v>46283</v>
      </c>
      <c r="W4" s="17" t="n">
        <f aca="false">$B$3+18</f>
        <v>46284</v>
      </c>
      <c r="X4" s="17" t="n">
        <f aca="false">$B$3+19</f>
        <v>46285</v>
      </c>
      <c r="Y4" s="17" t="n">
        <f aca="false">$B$3+20</f>
        <v>46286</v>
      </c>
      <c r="Z4" s="17" t="n">
        <f aca="false">$B$3+21</f>
        <v>46287</v>
      </c>
      <c r="AA4" s="17" t="n">
        <f aca="false">$B$3+22</f>
        <v>46288</v>
      </c>
      <c r="AB4" s="17" t="n">
        <f aca="false">$B$3+23</f>
        <v>46289</v>
      </c>
      <c r="AC4" s="17" t="n">
        <f aca="false">$B$3+24</f>
        <v>46290</v>
      </c>
      <c r="AD4" s="17" t="n">
        <f aca="false">$B$3+25</f>
        <v>46291</v>
      </c>
      <c r="AE4" s="17" t="n">
        <f aca="false">$B$3+26</f>
        <v>46292</v>
      </c>
      <c r="AF4" s="17" t="n">
        <f aca="false">$B$3+27</f>
        <v>46293</v>
      </c>
      <c r="AG4" s="17" t="n">
        <f aca="false">$B$3+28</f>
        <v>46294</v>
      </c>
      <c r="AH4" s="17" t="n">
        <f aca="false">$B$3+29</f>
        <v>46295</v>
      </c>
      <c r="AI4" s="17" t="n">
        <f aca="false">$B$3+30</f>
        <v>46296</v>
      </c>
      <c r="AJ4" s="17" t="n">
        <f aca="false">$B$3+31</f>
        <v>46297</v>
      </c>
      <c r="AK4" s="17" t="n">
        <f aca="false">$B$3+32</f>
        <v>46298</v>
      </c>
      <c r="AL4" s="17" t="n">
        <f aca="false">$B$3+33</f>
        <v>46299</v>
      </c>
      <c r="AM4" s="17" t="n">
        <f aca="false">$B$3+34</f>
        <v>46300</v>
      </c>
      <c r="AN4" s="17" t="n">
        <f aca="false">$B$3+35</f>
        <v>46301</v>
      </c>
      <c r="AO4" s="17" t="n">
        <f aca="false">$B$3+36</f>
        <v>46302</v>
      </c>
      <c r="AP4" s="17" t="n">
        <f aca="false">$B$3+37</f>
        <v>46303</v>
      </c>
      <c r="AQ4" s="17" t="n">
        <f aca="false">$B$3+38</f>
        <v>46304</v>
      </c>
      <c r="AR4" s="17" t="n">
        <f aca="false">$B$3+39</f>
        <v>46305</v>
      </c>
      <c r="AS4" s="17" t="n">
        <f aca="false">$B$3+40</f>
        <v>46306</v>
      </c>
      <c r="AT4" s="17" t="n">
        <f aca="false">$B$3+41</f>
        <v>46307</v>
      </c>
      <c r="AU4" s="17" t="n">
        <f aca="false">$B$3+42</f>
        <v>46308</v>
      </c>
      <c r="AV4" s="17" t="n">
        <f aca="false">$B$3+43</f>
        <v>46309</v>
      </c>
      <c r="AW4" s="17" t="n">
        <f aca="false">$B$3+44</f>
        <v>46310</v>
      </c>
      <c r="AX4" s="17" t="n">
        <f aca="false">$B$3+45</f>
        <v>46311</v>
      </c>
      <c r="AY4" s="17" t="n">
        <f aca="false">$B$3+46</f>
        <v>46312</v>
      </c>
      <c r="AZ4" s="17" t="n">
        <f aca="false">$B$3+47</f>
        <v>46313</v>
      </c>
      <c r="BA4" s="17" t="n">
        <f aca="false">$B$3+48</f>
        <v>46314</v>
      </c>
      <c r="BB4" s="17" t="n">
        <f aca="false">$B$3+49</f>
        <v>46315</v>
      </c>
      <c r="BC4" s="17" t="n">
        <f aca="false">$B$3+50</f>
        <v>46316</v>
      </c>
      <c r="BD4" s="17" t="n">
        <f aca="false">$B$3+51</f>
        <v>46317</v>
      </c>
      <c r="BE4" s="17" t="n">
        <f aca="false">$B$3+52</f>
        <v>46318</v>
      </c>
      <c r="BF4" s="17" t="n">
        <f aca="false">$B$3+53</f>
        <v>46319</v>
      </c>
      <c r="BG4" s="17" t="n">
        <f aca="false">$B$3+54</f>
        <v>46320</v>
      </c>
      <c r="BH4" s="17" t="n">
        <f aca="false">$B$3+55</f>
        <v>46321</v>
      </c>
      <c r="BI4" s="17" t="n">
        <f aca="false">$B$3+56</f>
        <v>46322</v>
      </c>
      <c r="BJ4" s="17" t="n">
        <f aca="false">$B$3+57</f>
        <v>46323</v>
      </c>
      <c r="BK4" s="17" t="n">
        <f aca="false">$B$3+58</f>
        <v>46324</v>
      </c>
      <c r="BL4" s="17" t="n">
        <f aca="false">$B$3+59</f>
        <v>46325</v>
      </c>
    </row>
    <row r="5" customFormat="false" ht="15" hidden="false" customHeight="true" outlineLevel="0" collapsed="false">
      <c r="A5" s="18" t="s">
        <v>40</v>
      </c>
      <c r="B5" s="18" t="s">
        <v>24</v>
      </c>
      <c r="C5" s="18" t="s">
        <v>60</v>
      </c>
      <c r="D5" s="18" t="s">
        <v>61</v>
      </c>
      <c r="E5" s="19" t="n">
        <f aca="false">$B$3+0</f>
        <v>46266</v>
      </c>
      <c r="F5" s="19" t="n">
        <f aca="false">$B$3+1</f>
        <v>46267</v>
      </c>
      <c r="G5" s="19" t="n">
        <f aca="false">$B$3+2</f>
        <v>46268</v>
      </c>
      <c r="H5" s="19" t="n">
        <f aca="false">$B$3+3</f>
        <v>46269</v>
      </c>
      <c r="I5" s="19" t="n">
        <f aca="false">$B$3+4</f>
        <v>46270</v>
      </c>
      <c r="J5" s="19" t="n">
        <f aca="false">$B$3+5</f>
        <v>46271</v>
      </c>
      <c r="K5" s="19" t="n">
        <f aca="false">$B$3+6</f>
        <v>46272</v>
      </c>
      <c r="L5" s="19" t="n">
        <f aca="false">$B$3+7</f>
        <v>46273</v>
      </c>
      <c r="M5" s="19" t="n">
        <f aca="false">$B$3+8</f>
        <v>46274</v>
      </c>
      <c r="N5" s="19" t="n">
        <f aca="false">$B$3+9</f>
        <v>46275</v>
      </c>
      <c r="O5" s="19" t="n">
        <f aca="false">$B$3+10</f>
        <v>46276</v>
      </c>
      <c r="P5" s="19" t="n">
        <f aca="false">$B$3+11</f>
        <v>46277</v>
      </c>
      <c r="Q5" s="19" t="n">
        <f aca="false">$B$3+12</f>
        <v>46278</v>
      </c>
      <c r="R5" s="19" t="n">
        <f aca="false">$B$3+13</f>
        <v>46279</v>
      </c>
      <c r="S5" s="19" t="n">
        <f aca="false">$B$3+14</f>
        <v>46280</v>
      </c>
      <c r="T5" s="19" t="n">
        <f aca="false">$B$3+15</f>
        <v>46281</v>
      </c>
      <c r="U5" s="19" t="n">
        <f aca="false">$B$3+16</f>
        <v>46282</v>
      </c>
      <c r="V5" s="19" t="n">
        <f aca="false">$B$3+17</f>
        <v>46283</v>
      </c>
      <c r="W5" s="19" t="n">
        <f aca="false">$B$3+18</f>
        <v>46284</v>
      </c>
      <c r="X5" s="19" t="n">
        <f aca="false">$B$3+19</f>
        <v>46285</v>
      </c>
      <c r="Y5" s="19" t="n">
        <f aca="false">$B$3+20</f>
        <v>46286</v>
      </c>
      <c r="Z5" s="19" t="n">
        <f aca="false">$B$3+21</f>
        <v>46287</v>
      </c>
      <c r="AA5" s="19" t="n">
        <f aca="false">$B$3+22</f>
        <v>46288</v>
      </c>
      <c r="AB5" s="19" t="n">
        <f aca="false">$B$3+23</f>
        <v>46289</v>
      </c>
      <c r="AC5" s="19" t="n">
        <f aca="false">$B$3+24</f>
        <v>46290</v>
      </c>
      <c r="AD5" s="19" t="n">
        <f aca="false">$B$3+25</f>
        <v>46291</v>
      </c>
      <c r="AE5" s="19" t="n">
        <f aca="false">$B$3+26</f>
        <v>46292</v>
      </c>
      <c r="AF5" s="19" t="n">
        <f aca="false">$B$3+27</f>
        <v>46293</v>
      </c>
      <c r="AG5" s="19" t="n">
        <f aca="false">$B$3+28</f>
        <v>46294</v>
      </c>
      <c r="AH5" s="19" t="n">
        <f aca="false">$B$3+29</f>
        <v>46295</v>
      </c>
      <c r="AI5" s="19" t="n">
        <f aca="false">$B$3+30</f>
        <v>46296</v>
      </c>
      <c r="AJ5" s="19" t="n">
        <f aca="false">$B$3+31</f>
        <v>46297</v>
      </c>
      <c r="AK5" s="19" t="n">
        <f aca="false">$B$3+32</f>
        <v>46298</v>
      </c>
      <c r="AL5" s="19" t="n">
        <f aca="false">$B$3+33</f>
        <v>46299</v>
      </c>
      <c r="AM5" s="19" t="n">
        <f aca="false">$B$3+34</f>
        <v>46300</v>
      </c>
      <c r="AN5" s="19" t="n">
        <f aca="false">$B$3+35</f>
        <v>46301</v>
      </c>
      <c r="AO5" s="19" t="n">
        <f aca="false">$B$3+36</f>
        <v>46302</v>
      </c>
      <c r="AP5" s="19" t="n">
        <f aca="false">$B$3+37</f>
        <v>46303</v>
      </c>
      <c r="AQ5" s="19" t="n">
        <f aca="false">$B$3+38</f>
        <v>46304</v>
      </c>
      <c r="AR5" s="19" t="n">
        <f aca="false">$B$3+39</f>
        <v>46305</v>
      </c>
      <c r="AS5" s="19" t="n">
        <f aca="false">$B$3+40</f>
        <v>46306</v>
      </c>
      <c r="AT5" s="19" t="n">
        <f aca="false">$B$3+41</f>
        <v>46307</v>
      </c>
      <c r="AU5" s="19" t="n">
        <f aca="false">$B$3+42</f>
        <v>46308</v>
      </c>
      <c r="AV5" s="19" t="n">
        <f aca="false">$B$3+43</f>
        <v>46309</v>
      </c>
      <c r="AW5" s="19" t="n">
        <f aca="false">$B$3+44</f>
        <v>46310</v>
      </c>
      <c r="AX5" s="19" t="n">
        <f aca="false">$B$3+45</f>
        <v>46311</v>
      </c>
      <c r="AY5" s="19" t="n">
        <f aca="false">$B$3+46</f>
        <v>46312</v>
      </c>
      <c r="AZ5" s="19" t="n">
        <f aca="false">$B$3+47</f>
        <v>46313</v>
      </c>
      <c r="BA5" s="19" t="n">
        <f aca="false">$B$3+48</f>
        <v>46314</v>
      </c>
      <c r="BB5" s="19" t="n">
        <f aca="false">$B$3+49</f>
        <v>46315</v>
      </c>
      <c r="BC5" s="19" t="n">
        <f aca="false">$B$3+50</f>
        <v>46316</v>
      </c>
      <c r="BD5" s="19" t="n">
        <f aca="false">$B$3+51</f>
        <v>46317</v>
      </c>
      <c r="BE5" s="19" t="n">
        <f aca="false">$B$3+52</f>
        <v>46318</v>
      </c>
      <c r="BF5" s="19" t="n">
        <f aca="false">$B$3+53</f>
        <v>46319</v>
      </c>
      <c r="BG5" s="19" t="n">
        <f aca="false">$B$3+54</f>
        <v>46320</v>
      </c>
      <c r="BH5" s="19" t="n">
        <f aca="false">$B$3+55</f>
        <v>46321</v>
      </c>
      <c r="BI5" s="19" t="n">
        <f aca="false">$B$3+56</f>
        <v>46322</v>
      </c>
      <c r="BJ5" s="19" t="n">
        <f aca="false">$B$3+57</f>
        <v>46323</v>
      </c>
      <c r="BK5" s="19" t="n">
        <f aca="false">$B$3+58</f>
        <v>46324</v>
      </c>
      <c r="BL5" s="19" t="n">
        <f aca="false">$B$3+59</f>
        <v>46325</v>
      </c>
    </row>
    <row r="6" customFormat="false" ht="15" hidden="false" customHeight="true" outlineLevel="0" collapsed="false">
      <c r="A6" s="20" t="str">
        <f aca="false">IF(작업목록!$C3="","",작업목록!$C3)</f>
        <v>요구사항 정리</v>
      </c>
      <c r="B6" s="20" t="str">
        <f aca="false">IF($A6="","",작업목록!$D3)</f>
        <v>김담당</v>
      </c>
      <c r="C6" s="21" t="n">
        <f aca="false">IF($A6="","",작업목록!$E3)</f>
        <v>46266</v>
      </c>
      <c r="D6" s="21" t="n">
        <f aca="false">IF($A6="","",작업목록!$F3)</f>
        <v>46275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</row>
    <row r="7" customFormat="false" ht="15" hidden="false" customHeight="true" outlineLevel="0" collapsed="false">
      <c r="A7" s="20" t="str">
        <f aca="false">IF(작업목록!$C4="","",작업목록!$C4)</f>
        <v>화면 설계</v>
      </c>
      <c r="B7" s="20" t="str">
        <f aca="false">IF($A7="","",작업목록!$D4)</f>
        <v>박담당</v>
      </c>
      <c r="C7" s="21" t="n">
        <f aca="false">IF($A7="","",작업목록!$E4)</f>
        <v>46273</v>
      </c>
      <c r="D7" s="21" t="n">
        <f aca="false">IF($A7="","",작업목록!$F4)</f>
        <v>46285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</row>
    <row r="8" customFormat="false" ht="15" hidden="false" customHeight="true" outlineLevel="0" collapsed="false">
      <c r="A8" s="20" t="str">
        <f aca="false">IF(작업목록!$C5="","",작업목록!$C5)</f>
        <v>백엔드 구축</v>
      </c>
      <c r="B8" s="20" t="str">
        <f aca="false">IF($A8="","",작업목록!$D5)</f>
        <v>이담당</v>
      </c>
      <c r="C8" s="21" t="n">
        <f aca="false">IF($A8="","",작업목록!$E5)</f>
        <v>46280</v>
      </c>
      <c r="D8" s="21" t="n">
        <f aca="false">IF($A8="","",작업목록!$F5)</f>
        <v>46310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</row>
    <row r="9" customFormat="false" ht="15" hidden="false" customHeight="true" outlineLevel="0" collapsed="false">
      <c r="A9" s="20" t="str">
        <f aca="false">IF(작업목록!$C6="","",작업목록!$C6)</f>
        <v>프론트 구축</v>
      </c>
      <c r="B9" s="20" t="str">
        <f aca="false">IF($A9="","",작업목록!$D6)</f>
        <v>이담당</v>
      </c>
      <c r="C9" s="21" t="n">
        <f aca="false">IF($A9="","",작업목록!$E6)</f>
        <v>46290</v>
      </c>
      <c r="D9" s="21" t="n">
        <f aca="false">IF($A9="","",작업목록!$F6)</f>
        <v>46320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</row>
    <row r="10" customFormat="false" ht="15" hidden="false" customHeight="true" outlineLevel="0" collapsed="false">
      <c r="A10" s="20" t="str">
        <f aca="false">IF(작업목록!$C7="","",작업목록!$C7)</f>
        <v>통합 테스트</v>
      </c>
      <c r="B10" s="20" t="str">
        <f aca="false">IF($A10="","",작업목록!$D7)</f>
        <v>김담당</v>
      </c>
      <c r="C10" s="21" t="n">
        <f aca="false">IF($A10="","",작업목록!$E7)</f>
        <v>46315</v>
      </c>
      <c r="D10" s="21" t="n">
        <f aca="false">IF($A10="","",작업목록!$F7)</f>
        <v>46325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</row>
    <row r="11" customFormat="false" ht="15" hidden="false" customHeight="true" outlineLevel="0" collapsed="false">
      <c r="A11" s="20" t="str">
        <f aca="false">IF(작업목록!$C8="","",작업목록!$C8)</f>
        <v>테스트 시나리오 작성</v>
      </c>
      <c r="B11" s="20" t="str">
        <f aca="false">IF($A11="","",작업목록!$D8)</f>
        <v>박담당</v>
      </c>
      <c r="C11" s="21" t="n">
        <f aca="false">IF($A11="","",작업목록!$E8)</f>
        <v>46254</v>
      </c>
      <c r="D11" s="21" t="n">
        <f aca="false">IF($A11="","",작업목록!$F8)</f>
        <v>46270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</row>
    <row r="12" customFormat="false" ht="15" hidden="false" customHeight="true" outlineLevel="0" collapsed="false">
      <c r="A12" s="20" t="str">
        <f aca="false">IF(작업목록!$C9="","",작업목록!$C9)</f>
        <v/>
      </c>
      <c r="B12" s="20" t="str">
        <f aca="false">IF($A12="","",작업목록!$D9)</f>
        <v/>
      </c>
      <c r="C12" s="21" t="str">
        <f aca="false">IF($A12="","",작업목록!$E9)</f>
        <v/>
      </c>
      <c r="D12" s="21" t="str">
        <f aca="false">IF($A12="","",작업목록!$F9)</f>
        <v/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</row>
    <row r="13" customFormat="false" ht="15" hidden="false" customHeight="true" outlineLevel="0" collapsed="false">
      <c r="A13" s="20" t="str">
        <f aca="false">IF(작업목록!$C10="","",작업목록!$C10)</f>
        <v/>
      </c>
      <c r="B13" s="20" t="str">
        <f aca="false">IF($A13="","",작업목록!$D10)</f>
        <v/>
      </c>
      <c r="C13" s="21" t="str">
        <f aca="false">IF($A13="","",작업목록!$E10)</f>
        <v/>
      </c>
      <c r="D13" s="21" t="str">
        <f aca="false">IF($A13="","",작업목록!$F10)</f>
        <v/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</row>
    <row r="14" customFormat="false" ht="15" hidden="false" customHeight="true" outlineLevel="0" collapsed="false">
      <c r="A14" s="20" t="str">
        <f aca="false">IF(작업목록!$C11="","",작업목록!$C11)</f>
        <v/>
      </c>
      <c r="B14" s="20" t="str">
        <f aca="false">IF($A14="","",작업목록!$D11)</f>
        <v/>
      </c>
      <c r="C14" s="21" t="str">
        <f aca="false">IF($A14="","",작업목록!$E11)</f>
        <v/>
      </c>
      <c r="D14" s="21" t="str">
        <f aca="false">IF($A14="","",작업목록!$F11)</f>
        <v/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</row>
    <row r="15" customFormat="false" ht="15" hidden="false" customHeight="true" outlineLevel="0" collapsed="false">
      <c r="A15" s="20" t="str">
        <f aca="false">IF(작업목록!$C12="","",작업목록!$C12)</f>
        <v/>
      </c>
      <c r="B15" s="20" t="str">
        <f aca="false">IF($A15="","",작업목록!$D12)</f>
        <v/>
      </c>
      <c r="C15" s="21" t="str">
        <f aca="false">IF($A15="","",작업목록!$E12)</f>
        <v/>
      </c>
      <c r="D15" s="21" t="str">
        <f aca="false">IF($A15="","",작업목록!$F12)</f>
        <v/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</row>
    <row r="16" customFormat="false" ht="15" hidden="false" customHeight="true" outlineLevel="0" collapsed="false">
      <c r="A16" s="20" t="str">
        <f aca="false">IF(작업목록!$C13="","",작업목록!$C13)</f>
        <v/>
      </c>
      <c r="B16" s="20" t="str">
        <f aca="false">IF($A16="","",작업목록!$D13)</f>
        <v/>
      </c>
      <c r="C16" s="21" t="str">
        <f aca="false">IF($A16="","",작업목록!$E13)</f>
        <v/>
      </c>
      <c r="D16" s="21" t="str">
        <f aca="false">IF($A16="","",작업목록!$F13)</f>
        <v/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</row>
    <row r="17" customFormat="false" ht="15" hidden="false" customHeight="true" outlineLevel="0" collapsed="false">
      <c r="A17" s="20" t="str">
        <f aca="false">IF(작업목록!$C14="","",작업목록!$C14)</f>
        <v/>
      </c>
      <c r="B17" s="20" t="str">
        <f aca="false">IF($A17="","",작업목록!$D14)</f>
        <v/>
      </c>
      <c r="C17" s="21" t="str">
        <f aca="false">IF($A17="","",작업목록!$E14)</f>
        <v/>
      </c>
      <c r="D17" s="21" t="str">
        <f aca="false">IF($A17="","",작업목록!$F14)</f>
        <v/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</row>
    <row r="18" customFormat="false" ht="15" hidden="false" customHeight="true" outlineLevel="0" collapsed="false">
      <c r="A18" s="20" t="str">
        <f aca="false">IF(작업목록!$C15="","",작업목록!$C15)</f>
        <v/>
      </c>
      <c r="B18" s="20" t="str">
        <f aca="false">IF($A18="","",작업목록!$D15)</f>
        <v/>
      </c>
      <c r="C18" s="21" t="str">
        <f aca="false">IF($A18="","",작업목록!$E15)</f>
        <v/>
      </c>
      <c r="D18" s="21" t="str">
        <f aca="false">IF($A18="","",작업목록!$F15)</f>
        <v/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</row>
    <row r="19" customFormat="false" ht="15" hidden="false" customHeight="true" outlineLevel="0" collapsed="false">
      <c r="A19" s="20" t="str">
        <f aca="false">IF(작업목록!$C16="","",작업목록!$C16)</f>
        <v/>
      </c>
      <c r="B19" s="20" t="str">
        <f aca="false">IF($A19="","",작업목록!$D16)</f>
        <v/>
      </c>
      <c r="C19" s="21" t="str">
        <f aca="false">IF($A19="","",작업목록!$E16)</f>
        <v/>
      </c>
      <c r="D19" s="21" t="str">
        <f aca="false">IF($A19="","",작업목록!$F16)</f>
        <v/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</row>
    <row r="20" customFormat="false" ht="15" hidden="false" customHeight="true" outlineLevel="0" collapsed="false">
      <c r="A20" s="20" t="str">
        <f aca="false">IF(작업목록!$C17="","",작업목록!$C17)</f>
        <v/>
      </c>
      <c r="B20" s="20" t="str">
        <f aca="false">IF($A20="","",작업목록!$D17)</f>
        <v/>
      </c>
      <c r="C20" s="21" t="str">
        <f aca="false">IF($A20="","",작업목록!$E17)</f>
        <v/>
      </c>
      <c r="D20" s="21" t="str">
        <f aca="false">IF($A20="","",작업목록!$F17)</f>
        <v/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</row>
    <row r="21" customFormat="false" ht="15" hidden="false" customHeight="true" outlineLevel="0" collapsed="false">
      <c r="A21" s="20" t="str">
        <f aca="false">IF(작업목록!$C18="","",작업목록!$C18)</f>
        <v/>
      </c>
      <c r="B21" s="20" t="str">
        <f aca="false">IF($A21="","",작업목록!$D18)</f>
        <v/>
      </c>
      <c r="C21" s="21" t="str">
        <f aca="false">IF($A21="","",작업목록!$E18)</f>
        <v/>
      </c>
      <c r="D21" s="21" t="str">
        <f aca="false">IF($A21="","",작업목록!$F18)</f>
        <v/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</row>
    <row r="22" customFormat="false" ht="15" hidden="false" customHeight="true" outlineLevel="0" collapsed="false">
      <c r="A22" s="20" t="str">
        <f aca="false">IF(작업목록!$C19="","",작업목록!$C19)</f>
        <v/>
      </c>
      <c r="B22" s="20" t="str">
        <f aca="false">IF($A22="","",작업목록!$D19)</f>
        <v/>
      </c>
      <c r="C22" s="21" t="str">
        <f aca="false">IF($A22="","",작업목록!$E19)</f>
        <v/>
      </c>
      <c r="D22" s="21" t="str">
        <f aca="false">IF($A22="","",작업목록!$F19)</f>
        <v/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</row>
    <row r="23" customFormat="false" ht="15" hidden="false" customHeight="true" outlineLevel="0" collapsed="false">
      <c r="A23" s="20" t="str">
        <f aca="false">IF(작업목록!$C20="","",작업목록!$C20)</f>
        <v/>
      </c>
      <c r="B23" s="20" t="str">
        <f aca="false">IF($A23="","",작업목록!$D20)</f>
        <v/>
      </c>
      <c r="C23" s="21" t="str">
        <f aca="false">IF($A23="","",작업목록!$E20)</f>
        <v/>
      </c>
      <c r="D23" s="21" t="str">
        <f aca="false">IF($A23="","",작업목록!$F20)</f>
        <v/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</row>
    <row r="24" customFormat="false" ht="15" hidden="false" customHeight="true" outlineLevel="0" collapsed="false">
      <c r="A24" s="20" t="str">
        <f aca="false">IF(작업목록!$C21="","",작업목록!$C21)</f>
        <v/>
      </c>
      <c r="B24" s="20" t="str">
        <f aca="false">IF($A24="","",작업목록!$D21)</f>
        <v/>
      </c>
      <c r="C24" s="21" t="str">
        <f aca="false">IF($A24="","",작업목록!$E21)</f>
        <v/>
      </c>
      <c r="D24" s="21" t="str">
        <f aca="false">IF($A24="","",작업목록!$F21)</f>
        <v/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</row>
    <row r="25" customFormat="false" ht="15" hidden="false" customHeight="true" outlineLevel="0" collapsed="false">
      <c r="A25" s="20" t="str">
        <f aca="false">IF(작업목록!$C22="","",작업목록!$C22)</f>
        <v/>
      </c>
      <c r="B25" s="20" t="str">
        <f aca="false">IF($A25="","",작업목록!$D22)</f>
        <v/>
      </c>
      <c r="C25" s="21" t="str">
        <f aca="false">IF($A25="","",작업목록!$E22)</f>
        <v/>
      </c>
      <c r="D25" s="21" t="str">
        <f aca="false">IF($A25="","",작업목록!$F22)</f>
        <v/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</row>
    <row r="26" customFormat="false" ht="15" hidden="false" customHeight="true" outlineLevel="0" collapsed="false">
      <c r="A26" s="20" t="str">
        <f aca="false">IF(작업목록!$C23="","",작업목록!$C23)</f>
        <v/>
      </c>
      <c r="B26" s="20" t="str">
        <f aca="false">IF($A26="","",작업목록!$D23)</f>
        <v/>
      </c>
      <c r="C26" s="21" t="str">
        <f aca="false">IF($A26="","",작업목록!$E23)</f>
        <v/>
      </c>
      <c r="D26" s="21" t="str">
        <f aca="false">IF($A26="","",작업목록!$F23)</f>
        <v/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</row>
    <row r="27" customFormat="false" ht="15" hidden="false" customHeight="true" outlineLevel="0" collapsed="false">
      <c r="A27" s="20" t="str">
        <f aca="false">IF(작업목록!$C24="","",작업목록!$C24)</f>
        <v/>
      </c>
      <c r="B27" s="20" t="str">
        <f aca="false">IF($A27="","",작업목록!$D24)</f>
        <v/>
      </c>
      <c r="C27" s="21" t="str">
        <f aca="false">IF($A27="","",작업목록!$E24)</f>
        <v/>
      </c>
      <c r="D27" s="21" t="str">
        <f aca="false">IF($A27="","",작업목록!$F24)</f>
        <v/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</row>
    <row r="28" customFormat="false" ht="15" hidden="false" customHeight="true" outlineLevel="0" collapsed="false">
      <c r="A28" s="20" t="str">
        <f aca="false">IF(작업목록!$C25="","",작업목록!$C25)</f>
        <v/>
      </c>
      <c r="B28" s="20" t="str">
        <f aca="false">IF($A28="","",작업목록!$D25)</f>
        <v/>
      </c>
      <c r="C28" s="21" t="str">
        <f aca="false">IF($A28="","",작업목록!$E25)</f>
        <v/>
      </c>
      <c r="D28" s="21" t="str">
        <f aca="false">IF($A28="","",작업목록!$F25)</f>
        <v/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</row>
    <row r="29" customFormat="false" ht="15" hidden="false" customHeight="true" outlineLevel="0" collapsed="false">
      <c r="A29" s="20" t="str">
        <f aca="false">IF(작업목록!$C26="","",작업목록!$C26)</f>
        <v/>
      </c>
      <c r="B29" s="20" t="str">
        <f aca="false">IF($A29="","",작업목록!$D26)</f>
        <v/>
      </c>
      <c r="C29" s="21" t="str">
        <f aca="false">IF($A29="","",작업목록!$E26)</f>
        <v/>
      </c>
      <c r="D29" s="21" t="str">
        <f aca="false">IF($A29="","",작업목록!$F26)</f>
        <v/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</row>
    <row r="30" customFormat="false" ht="15" hidden="false" customHeight="true" outlineLevel="0" collapsed="false">
      <c r="A30" s="20" t="str">
        <f aca="false">IF(작업목록!$C27="","",작업목록!$C27)</f>
        <v/>
      </c>
      <c r="B30" s="20" t="str">
        <f aca="false">IF($A30="","",작업목록!$D27)</f>
        <v/>
      </c>
      <c r="C30" s="21" t="str">
        <f aca="false">IF($A30="","",작업목록!$E27)</f>
        <v/>
      </c>
      <c r="D30" s="21" t="str">
        <f aca="false">IF($A30="","",작업목록!$F27)</f>
        <v/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</row>
    <row r="31" customFormat="false" ht="15" hidden="false" customHeight="true" outlineLevel="0" collapsed="false">
      <c r="A31" s="20" t="str">
        <f aca="false">IF(작업목록!$C28="","",작업목록!$C28)</f>
        <v/>
      </c>
      <c r="B31" s="20" t="str">
        <f aca="false">IF($A31="","",작업목록!$D28)</f>
        <v/>
      </c>
      <c r="C31" s="21" t="str">
        <f aca="false">IF($A31="","",작업목록!$E28)</f>
        <v/>
      </c>
      <c r="D31" s="21" t="str">
        <f aca="false">IF($A31="","",작업목록!$F28)</f>
        <v/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</row>
    <row r="32" customFormat="false" ht="15" hidden="false" customHeight="true" outlineLevel="0" collapsed="false">
      <c r="A32" s="20" t="str">
        <f aca="false">IF(작업목록!$C29="","",작업목록!$C29)</f>
        <v/>
      </c>
      <c r="B32" s="20" t="str">
        <f aca="false">IF($A32="","",작업목록!$D29)</f>
        <v/>
      </c>
      <c r="C32" s="21" t="str">
        <f aca="false">IF($A32="","",작업목록!$E29)</f>
        <v/>
      </c>
      <c r="D32" s="21" t="str">
        <f aca="false">IF($A32="","",작업목록!$F29)</f>
        <v/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</row>
    <row r="33" customFormat="false" ht="15" hidden="false" customHeight="true" outlineLevel="0" collapsed="false">
      <c r="A33" s="20" t="str">
        <f aca="false">IF(작업목록!$C30="","",작업목록!$C30)</f>
        <v/>
      </c>
      <c r="B33" s="20" t="str">
        <f aca="false">IF($A33="","",작업목록!$D30)</f>
        <v/>
      </c>
      <c r="C33" s="21" t="str">
        <f aca="false">IF($A33="","",작업목록!$E30)</f>
        <v/>
      </c>
      <c r="D33" s="21" t="str">
        <f aca="false">IF($A33="","",작업목록!$F30)</f>
        <v/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</row>
    <row r="34" customFormat="false" ht="15" hidden="false" customHeight="true" outlineLevel="0" collapsed="false">
      <c r="A34" s="20" t="str">
        <f aca="false">IF(작업목록!$C31="","",작업목록!$C31)</f>
        <v/>
      </c>
      <c r="B34" s="20" t="str">
        <f aca="false">IF($A34="","",작업목록!$D31)</f>
        <v/>
      </c>
      <c r="C34" s="21" t="str">
        <f aca="false">IF($A34="","",작업목록!$E31)</f>
        <v/>
      </c>
      <c r="D34" s="21" t="str">
        <f aca="false">IF($A34="","",작업목록!$F31)</f>
        <v/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</row>
    <row r="35" customFormat="false" ht="15" hidden="false" customHeight="true" outlineLevel="0" collapsed="false">
      <c r="A35" s="20" t="str">
        <f aca="false">IF(작업목록!$C32="","",작업목록!$C32)</f>
        <v/>
      </c>
      <c r="B35" s="20" t="str">
        <f aca="false">IF($A35="","",작업목록!$D32)</f>
        <v/>
      </c>
      <c r="C35" s="21" t="str">
        <f aca="false">IF($A35="","",작업목록!$E32)</f>
        <v/>
      </c>
      <c r="D35" s="21" t="str">
        <f aca="false">IF($A35="","",작업목록!$F32)</f>
        <v/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</row>
    <row r="36" customFormat="false" ht="15" hidden="false" customHeight="true" outlineLevel="0" collapsed="false">
      <c r="A36" s="20" t="str">
        <f aca="false">IF(작업목록!$C33="","",작업목록!$C33)</f>
        <v/>
      </c>
      <c r="B36" s="20" t="str">
        <f aca="false">IF($A36="","",작업목록!$D33)</f>
        <v/>
      </c>
      <c r="C36" s="21" t="str">
        <f aca="false">IF($A36="","",작업목록!$E33)</f>
        <v/>
      </c>
      <c r="D36" s="21" t="str">
        <f aca="false">IF($A36="","",작업목록!$F33)</f>
        <v/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</row>
    <row r="37" customFormat="false" ht="15" hidden="false" customHeight="true" outlineLevel="0" collapsed="false">
      <c r="A37" s="20" t="str">
        <f aca="false">IF(작업목록!$C34="","",작업목록!$C34)</f>
        <v/>
      </c>
      <c r="B37" s="20" t="str">
        <f aca="false">IF($A37="","",작업목록!$D34)</f>
        <v/>
      </c>
      <c r="C37" s="21" t="str">
        <f aca="false">IF($A37="","",작업목록!$E34)</f>
        <v/>
      </c>
      <c r="D37" s="21" t="str">
        <f aca="false">IF($A37="","",작업목록!$F34)</f>
        <v/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</row>
    <row r="38" customFormat="false" ht="15" hidden="false" customHeight="true" outlineLevel="0" collapsed="false">
      <c r="A38" s="20" t="str">
        <f aca="false">IF(작업목록!$C35="","",작업목록!$C35)</f>
        <v/>
      </c>
      <c r="B38" s="20" t="str">
        <f aca="false">IF($A38="","",작업목록!$D35)</f>
        <v/>
      </c>
      <c r="C38" s="21" t="str">
        <f aca="false">IF($A38="","",작업목록!$E35)</f>
        <v/>
      </c>
      <c r="D38" s="21" t="str">
        <f aca="false">IF($A38="","",작업목록!$F35)</f>
        <v/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</row>
    <row r="39" customFormat="false" ht="15" hidden="false" customHeight="true" outlineLevel="0" collapsed="false">
      <c r="A39" s="20" t="str">
        <f aca="false">IF(작업목록!$C36="","",작업목록!$C36)</f>
        <v/>
      </c>
      <c r="B39" s="20" t="str">
        <f aca="false">IF($A39="","",작업목록!$D36)</f>
        <v/>
      </c>
      <c r="C39" s="21" t="str">
        <f aca="false">IF($A39="","",작업목록!$E36)</f>
        <v/>
      </c>
      <c r="D39" s="21" t="str">
        <f aca="false">IF($A39="","",작업목록!$F36)</f>
        <v/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</row>
    <row r="40" customFormat="false" ht="15" hidden="false" customHeight="true" outlineLevel="0" collapsed="false">
      <c r="A40" s="20" t="str">
        <f aca="false">IF(작업목록!$C37="","",작업목록!$C37)</f>
        <v/>
      </c>
      <c r="B40" s="20" t="str">
        <f aca="false">IF($A40="","",작업목록!$D37)</f>
        <v/>
      </c>
      <c r="C40" s="21" t="str">
        <f aca="false">IF($A40="","",작업목록!$E37)</f>
        <v/>
      </c>
      <c r="D40" s="21" t="str">
        <f aca="false">IF($A40="","",작업목록!$F37)</f>
        <v/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</row>
    <row r="41" customFormat="false" ht="15" hidden="false" customHeight="true" outlineLevel="0" collapsed="false">
      <c r="A41" s="20" t="str">
        <f aca="false">IF(작업목록!$C38="","",작업목록!$C38)</f>
        <v/>
      </c>
      <c r="B41" s="20" t="str">
        <f aca="false">IF($A41="","",작업목록!$D38)</f>
        <v/>
      </c>
      <c r="C41" s="21" t="str">
        <f aca="false">IF($A41="","",작업목록!$E38)</f>
        <v/>
      </c>
      <c r="D41" s="21" t="str">
        <f aca="false">IF($A41="","",작업목록!$F38)</f>
        <v/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</row>
    <row r="42" customFormat="false" ht="15" hidden="false" customHeight="true" outlineLevel="0" collapsed="false">
      <c r="A42" s="20" t="str">
        <f aca="false">IF(작업목록!$C39="","",작업목록!$C39)</f>
        <v/>
      </c>
      <c r="B42" s="20" t="str">
        <f aca="false">IF($A42="","",작업목록!$D39)</f>
        <v/>
      </c>
      <c r="C42" s="21" t="str">
        <f aca="false">IF($A42="","",작업목록!$E39)</f>
        <v/>
      </c>
      <c r="D42" s="21" t="str">
        <f aca="false">IF($A42="","",작업목록!$F39)</f>
        <v/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</row>
    <row r="43" customFormat="false" ht="15" hidden="false" customHeight="true" outlineLevel="0" collapsed="false">
      <c r="A43" s="20" t="str">
        <f aca="false">IF(작업목록!$C40="","",작업목록!$C40)</f>
        <v/>
      </c>
      <c r="B43" s="20" t="str">
        <f aca="false">IF($A43="","",작업목록!$D40)</f>
        <v/>
      </c>
      <c r="C43" s="21" t="str">
        <f aca="false">IF($A43="","",작업목록!$E40)</f>
        <v/>
      </c>
      <c r="D43" s="21" t="str">
        <f aca="false">IF($A43="","",작업목록!$F40)</f>
        <v/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</row>
    <row r="44" customFormat="false" ht="15" hidden="false" customHeight="true" outlineLevel="0" collapsed="false">
      <c r="A44" s="20" t="str">
        <f aca="false">IF(작업목록!$C41="","",작업목록!$C41)</f>
        <v/>
      </c>
      <c r="B44" s="20" t="str">
        <f aca="false">IF($A44="","",작업목록!$D41)</f>
        <v/>
      </c>
      <c r="C44" s="21" t="str">
        <f aca="false">IF($A44="","",작업목록!$E41)</f>
        <v/>
      </c>
      <c r="D44" s="21" t="str">
        <f aca="false">IF($A44="","",작업목록!$F41)</f>
        <v/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</row>
    <row r="45" customFormat="false" ht="15" hidden="false" customHeight="true" outlineLevel="0" collapsed="false">
      <c r="A45" s="20" t="str">
        <f aca="false">IF(작업목록!$C42="","",작업목록!$C42)</f>
        <v/>
      </c>
      <c r="B45" s="20" t="str">
        <f aca="false">IF($A45="","",작업목록!$D42)</f>
        <v/>
      </c>
      <c r="C45" s="21" t="str">
        <f aca="false">IF($A45="","",작업목록!$E42)</f>
        <v/>
      </c>
      <c r="D45" s="21" t="str">
        <f aca="false">IF($A45="","",작업목록!$F42)</f>
        <v/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</row>
    <row r="46" customFormat="false" ht="15" hidden="false" customHeight="true" outlineLevel="0" collapsed="false">
      <c r="A46" s="20" t="str">
        <f aca="false">IF(작업목록!$C43="","",작업목록!$C43)</f>
        <v/>
      </c>
      <c r="B46" s="20" t="str">
        <f aca="false">IF($A46="","",작업목록!$D43)</f>
        <v/>
      </c>
      <c r="C46" s="21" t="str">
        <f aca="false">IF($A46="","",작업목록!$E43)</f>
        <v/>
      </c>
      <c r="D46" s="21" t="str">
        <f aca="false">IF($A46="","",작업목록!$F43)</f>
        <v/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</row>
    <row r="47" customFormat="false" ht="15" hidden="false" customHeight="true" outlineLevel="0" collapsed="false">
      <c r="A47" s="20" t="str">
        <f aca="false">IF(작업목록!$C44="","",작업목록!$C44)</f>
        <v/>
      </c>
      <c r="B47" s="20" t="str">
        <f aca="false">IF($A47="","",작업목록!$D44)</f>
        <v/>
      </c>
      <c r="C47" s="21" t="str">
        <f aca="false">IF($A47="","",작업목록!$E44)</f>
        <v/>
      </c>
      <c r="D47" s="21" t="str">
        <f aca="false">IF($A47="","",작업목록!$F44)</f>
        <v/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</row>
    <row r="48" customFormat="false" ht="15" hidden="false" customHeight="true" outlineLevel="0" collapsed="false">
      <c r="A48" s="20" t="str">
        <f aca="false">IF(작업목록!$C45="","",작업목록!$C45)</f>
        <v/>
      </c>
      <c r="B48" s="20" t="str">
        <f aca="false">IF($A48="","",작업목록!$D45)</f>
        <v/>
      </c>
      <c r="C48" s="21" t="str">
        <f aca="false">IF($A48="","",작업목록!$E45)</f>
        <v/>
      </c>
      <c r="D48" s="21" t="str">
        <f aca="false">IF($A48="","",작업목록!$F45)</f>
        <v/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</row>
    <row r="49" customFormat="false" ht="15" hidden="false" customHeight="true" outlineLevel="0" collapsed="false">
      <c r="A49" s="20" t="str">
        <f aca="false">IF(작업목록!$C46="","",작업목록!$C46)</f>
        <v/>
      </c>
      <c r="B49" s="20" t="str">
        <f aca="false">IF($A49="","",작업목록!$D46)</f>
        <v/>
      </c>
      <c r="C49" s="21" t="str">
        <f aca="false">IF($A49="","",작업목록!$E46)</f>
        <v/>
      </c>
      <c r="D49" s="21" t="str">
        <f aca="false">IF($A49="","",작업목록!$F46)</f>
        <v/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</row>
    <row r="50" customFormat="false" ht="15" hidden="false" customHeight="true" outlineLevel="0" collapsed="false">
      <c r="A50" s="20" t="str">
        <f aca="false">IF(작업목록!$C47="","",작업목록!$C47)</f>
        <v/>
      </c>
      <c r="B50" s="20" t="str">
        <f aca="false">IF($A50="","",작업목록!$D47)</f>
        <v/>
      </c>
      <c r="C50" s="21" t="str">
        <f aca="false">IF($A50="","",작업목록!$E47)</f>
        <v/>
      </c>
      <c r="D50" s="21" t="str">
        <f aca="false">IF($A50="","",작업목록!$F47)</f>
        <v/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</row>
    <row r="51" customFormat="false" ht="15" hidden="false" customHeight="true" outlineLevel="0" collapsed="false">
      <c r="A51" s="20" t="str">
        <f aca="false">IF(작업목록!$C48="","",작업목록!$C48)</f>
        <v/>
      </c>
      <c r="B51" s="20" t="str">
        <f aca="false">IF($A51="","",작업목록!$D48)</f>
        <v/>
      </c>
      <c r="C51" s="21" t="str">
        <f aca="false">IF($A51="","",작업목록!$E48)</f>
        <v/>
      </c>
      <c r="D51" s="21" t="str">
        <f aca="false">IF($A51="","",작업목록!$F48)</f>
        <v/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</row>
    <row r="52" customFormat="false" ht="15" hidden="false" customHeight="true" outlineLevel="0" collapsed="false">
      <c r="A52" s="20" t="str">
        <f aca="false">IF(작업목록!$C49="","",작업목록!$C49)</f>
        <v/>
      </c>
      <c r="B52" s="20" t="str">
        <f aca="false">IF($A52="","",작업목록!$D49)</f>
        <v/>
      </c>
      <c r="C52" s="21" t="str">
        <f aca="false">IF($A52="","",작업목록!$E49)</f>
        <v/>
      </c>
      <c r="D52" s="21" t="str">
        <f aca="false">IF($A52="","",작업목록!$F49)</f>
        <v/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</row>
    <row r="53" customFormat="false" ht="15" hidden="false" customHeight="true" outlineLevel="0" collapsed="false">
      <c r="A53" s="20" t="str">
        <f aca="false">IF(작업목록!$C50="","",작업목록!$C50)</f>
        <v/>
      </c>
      <c r="B53" s="20" t="str">
        <f aca="false">IF($A53="","",작업목록!$D50)</f>
        <v/>
      </c>
      <c r="C53" s="21" t="str">
        <f aca="false">IF($A53="","",작업목록!$E50)</f>
        <v/>
      </c>
      <c r="D53" s="21" t="str">
        <f aca="false">IF($A53="","",작업목록!$F50)</f>
        <v/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</row>
    <row r="54" customFormat="false" ht="15" hidden="false" customHeight="true" outlineLevel="0" collapsed="false">
      <c r="A54" s="20" t="str">
        <f aca="false">IF(작업목록!$C51="","",작업목록!$C51)</f>
        <v/>
      </c>
      <c r="B54" s="20" t="str">
        <f aca="false">IF($A54="","",작업목록!$D51)</f>
        <v/>
      </c>
      <c r="C54" s="21" t="str">
        <f aca="false">IF($A54="","",작업목록!$E51)</f>
        <v/>
      </c>
      <c r="D54" s="21" t="str">
        <f aca="false">IF($A54="","",작업목록!$F51)</f>
        <v/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</row>
    <row r="55" customFormat="false" ht="15" hidden="false" customHeight="true" outlineLevel="0" collapsed="false">
      <c r="A55" s="20" t="str">
        <f aca="false">IF(작업목록!$C52="","",작업목록!$C52)</f>
        <v/>
      </c>
      <c r="B55" s="20" t="str">
        <f aca="false">IF($A55="","",작업목록!$D52)</f>
        <v/>
      </c>
      <c r="C55" s="21" t="str">
        <f aca="false">IF($A55="","",작업목록!$E52)</f>
        <v/>
      </c>
      <c r="D55" s="21" t="str">
        <f aca="false">IF($A55="","",작업목록!$F52)</f>
        <v/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</row>
    <row r="56" customFormat="false" ht="15" hidden="false" customHeight="true" outlineLevel="0" collapsed="false">
      <c r="A56" s="20" t="str">
        <f aca="false">IF(작업목록!$C53="","",작업목록!$C53)</f>
        <v/>
      </c>
      <c r="B56" s="20" t="str">
        <f aca="false">IF($A56="","",작업목록!$D53)</f>
        <v/>
      </c>
      <c r="C56" s="21" t="str">
        <f aca="false">IF($A56="","",작업목록!$E53)</f>
        <v/>
      </c>
      <c r="D56" s="21" t="str">
        <f aca="false">IF($A56="","",작업목록!$F53)</f>
        <v/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</row>
    <row r="57" customFormat="false" ht="15" hidden="false" customHeight="true" outlineLevel="0" collapsed="false">
      <c r="A57" s="20" t="str">
        <f aca="false">IF(작업목록!$C54="","",작업목록!$C54)</f>
        <v/>
      </c>
      <c r="B57" s="20" t="str">
        <f aca="false">IF($A57="","",작업목록!$D54)</f>
        <v/>
      </c>
      <c r="C57" s="21" t="str">
        <f aca="false">IF($A57="","",작업목록!$E54)</f>
        <v/>
      </c>
      <c r="D57" s="21" t="str">
        <f aca="false">IF($A57="","",작업목록!$F54)</f>
        <v/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</row>
    <row r="58" customFormat="false" ht="15" hidden="false" customHeight="true" outlineLevel="0" collapsed="false">
      <c r="A58" s="20" t="str">
        <f aca="false">IF(작업목록!$C55="","",작업목록!$C55)</f>
        <v/>
      </c>
      <c r="B58" s="20" t="str">
        <f aca="false">IF($A58="","",작업목록!$D55)</f>
        <v/>
      </c>
      <c r="C58" s="21" t="str">
        <f aca="false">IF($A58="","",작업목록!$E55)</f>
        <v/>
      </c>
      <c r="D58" s="21" t="str">
        <f aca="false">IF($A58="","",작업목록!$F55)</f>
        <v/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</row>
    <row r="59" customFormat="false" ht="15" hidden="false" customHeight="true" outlineLevel="0" collapsed="false">
      <c r="A59" s="20" t="str">
        <f aca="false">IF(작업목록!$C56="","",작업목록!$C56)</f>
        <v/>
      </c>
      <c r="B59" s="20" t="str">
        <f aca="false">IF($A59="","",작업목록!$D56)</f>
        <v/>
      </c>
      <c r="C59" s="21" t="str">
        <f aca="false">IF($A59="","",작업목록!$E56)</f>
        <v/>
      </c>
      <c r="D59" s="21" t="str">
        <f aca="false">IF($A59="","",작업목록!$F56)</f>
        <v/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</row>
    <row r="60" customFormat="false" ht="15" hidden="false" customHeight="true" outlineLevel="0" collapsed="false">
      <c r="A60" s="20" t="str">
        <f aca="false">IF(작업목록!$C57="","",작업목록!$C57)</f>
        <v/>
      </c>
      <c r="B60" s="20" t="str">
        <f aca="false">IF($A60="","",작업목록!$D57)</f>
        <v/>
      </c>
      <c r="C60" s="21" t="str">
        <f aca="false">IF($A60="","",작업목록!$E57)</f>
        <v/>
      </c>
      <c r="D60" s="21" t="str">
        <f aca="false">IF($A60="","",작업목록!$F57)</f>
        <v/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</row>
    <row r="61" customFormat="false" ht="15" hidden="false" customHeight="true" outlineLevel="0" collapsed="false">
      <c r="A61" s="20" t="str">
        <f aca="false">IF(작업목록!$C58="","",작업목록!$C58)</f>
        <v/>
      </c>
      <c r="B61" s="20" t="str">
        <f aca="false">IF($A61="","",작업목록!$D58)</f>
        <v/>
      </c>
      <c r="C61" s="21" t="str">
        <f aca="false">IF($A61="","",작업목록!$E58)</f>
        <v/>
      </c>
      <c r="D61" s="21" t="str">
        <f aca="false">IF($A61="","",작업목록!$F58)</f>
        <v/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</row>
    <row r="62" customFormat="false" ht="15" hidden="false" customHeight="true" outlineLevel="0" collapsed="false">
      <c r="A62" s="20" t="str">
        <f aca="false">IF(작업목록!$C59="","",작업목록!$C59)</f>
        <v/>
      </c>
      <c r="B62" s="20" t="str">
        <f aca="false">IF($A62="","",작업목록!$D59)</f>
        <v/>
      </c>
      <c r="C62" s="21" t="str">
        <f aca="false">IF($A62="","",작업목록!$E59)</f>
        <v/>
      </c>
      <c r="D62" s="21" t="str">
        <f aca="false">IF($A62="","",작업목록!$F59)</f>
        <v/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</row>
    <row r="63" customFormat="false" ht="15" hidden="false" customHeight="true" outlineLevel="0" collapsed="false">
      <c r="A63" s="20" t="str">
        <f aca="false">IF(작업목록!$C60="","",작업목록!$C60)</f>
        <v/>
      </c>
      <c r="B63" s="20" t="str">
        <f aca="false">IF($A63="","",작업목록!$D60)</f>
        <v/>
      </c>
      <c r="C63" s="21" t="str">
        <f aca="false">IF($A63="","",작업목록!$E60)</f>
        <v/>
      </c>
      <c r="D63" s="21" t="str">
        <f aca="false">IF($A63="","",작업목록!$F60)</f>
        <v/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</row>
    <row r="64" customFormat="false" ht="15" hidden="false" customHeight="true" outlineLevel="0" collapsed="false">
      <c r="A64" s="20" t="str">
        <f aca="false">IF(작업목록!$C61="","",작업목록!$C61)</f>
        <v/>
      </c>
      <c r="B64" s="20" t="str">
        <f aca="false">IF($A64="","",작업목록!$D61)</f>
        <v/>
      </c>
      <c r="C64" s="21" t="str">
        <f aca="false">IF($A64="","",작업목록!$E61)</f>
        <v/>
      </c>
      <c r="D64" s="21" t="str">
        <f aca="false">IF($A64="","",작업목록!$F61)</f>
        <v/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</row>
    <row r="65" customFormat="false" ht="15" hidden="false" customHeight="true" outlineLevel="0" collapsed="false">
      <c r="A65" s="20" t="str">
        <f aca="false">IF(작업목록!$C62="","",작업목록!$C62)</f>
        <v/>
      </c>
      <c r="B65" s="20" t="str">
        <f aca="false">IF($A65="","",작업목록!$D62)</f>
        <v/>
      </c>
      <c r="C65" s="21" t="str">
        <f aca="false">IF($A65="","",작업목록!$E62)</f>
        <v/>
      </c>
      <c r="D65" s="21" t="str">
        <f aca="false">IF($A65="","",작업목록!$F62)</f>
        <v/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</row>
    <row r="66" customFormat="false" ht="15" hidden="false" customHeight="true" outlineLevel="0" collapsed="false">
      <c r="A66" s="20" t="str">
        <f aca="false">IF(작업목록!$C63="","",작업목록!$C63)</f>
        <v/>
      </c>
      <c r="B66" s="20" t="str">
        <f aca="false">IF($A66="","",작업목록!$D63)</f>
        <v/>
      </c>
      <c r="C66" s="21" t="str">
        <f aca="false">IF($A66="","",작업목록!$E63)</f>
        <v/>
      </c>
      <c r="D66" s="21" t="str">
        <f aca="false">IF($A66="","",작업목록!$F63)</f>
        <v/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</row>
    <row r="67" customFormat="false" ht="15" hidden="false" customHeight="true" outlineLevel="0" collapsed="false">
      <c r="A67" s="20" t="str">
        <f aca="false">IF(작업목록!$C64="","",작업목록!$C64)</f>
        <v/>
      </c>
      <c r="B67" s="20" t="str">
        <f aca="false">IF($A67="","",작업목록!$D64)</f>
        <v/>
      </c>
      <c r="C67" s="21" t="str">
        <f aca="false">IF($A67="","",작업목록!$E64)</f>
        <v/>
      </c>
      <c r="D67" s="21" t="str">
        <f aca="false">IF($A67="","",작업목록!$F64)</f>
        <v/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</row>
    <row r="68" customFormat="false" ht="15" hidden="false" customHeight="true" outlineLevel="0" collapsed="false">
      <c r="A68" s="20" t="str">
        <f aca="false">IF(작업목록!$C65="","",작업목록!$C65)</f>
        <v/>
      </c>
      <c r="B68" s="20" t="str">
        <f aca="false">IF($A68="","",작업목록!$D65)</f>
        <v/>
      </c>
      <c r="C68" s="21" t="str">
        <f aca="false">IF($A68="","",작업목록!$E65)</f>
        <v/>
      </c>
      <c r="D68" s="21" t="str">
        <f aca="false">IF($A68="","",작업목록!$F65)</f>
        <v/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</row>
    <row r="69" customFormat="false" ht="15" hidden="false" customHeight="true" outlineLevel="0" collapsed="false">
      <c r="A69" s="20" t="str">
        <f aca="false">IF(작업목록!$C66="","",작업목록!$C66)</f>
        <v/>
      </c>
      <c r="B69" s="20" t="str">
        <f aca="false">IF($A69="","",작업목록!$D66)</f>
        <v/>
      </c>
      <c r="C69" s="21" t="str">
        <f aca="false">IF($A69="","",작업목록!$E66)</f>
        <v/>
      </c>
      <c r="D69" s="21" t="str">
        <f aca="false">IF($A69="","",작업목록!$F66)</f>
        <v/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</row>
    <row r="70" customFormat="false" ht="15" hidden="false" customHeight="true" outlineLevel="0" collapsed="false">
      <c r="A70" s="20" t="str">
        <f aca="false">IF(작업목록!$C67="","",작업목록!$C67)</f>
        <v/>
      </c>
      <c r="B70" s="20" t="str">
        <f aca="false">IF($A70="","",작업목록!$D67)</f>
        <v/>
      </c>
      <c r="C70" s="21" t="str">
        <f aca="false">IF($A70="","",작업목록!$E67)</f>
        <v/>
      </c>
      <c r="D70" s="21" t="str">
        <f aca="false">IF($A70="","",작업목록!$F67)</f>
        <v/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</row>
    <row r="71" customFormat="false" ht="15" hidden="false" customHeight="true" outlineLevel="0" collapsed="false">
      <c r="A71" s="20" t="str">
        <f aca="false">IF(작업목록!$C68="","",작업목록!$C68)</f>
        <v/>
      </c>
      <c r="B71" s="20" t="str">
        <f aca="false">IF($A71="","",작업목록!$D68)</f>
        <v/>
      </c>
      <c r="C71" s="21" t="str">
        <f aca="false">IF($A71="","",작업목록!$E68)</f>
        <v/>
      </c>
      <c r="D71" s="21" t="str">
        <f aca="false">IF($A71="","",작업목록!$F68)</f>
        <v/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</row>
    <row r="72" customFormat="false" ht="15" hidden="false" customHeight="true" outlineLevel="0" collapsed="false">
      <c r="A72" s="20" t="str">
        <f aca="false">IF(작업목록!$C69="","",작업목록!$C69)</f>
        <v/>
      </c>
      <c r="B72" s="20" t="str">
        <f aca="false">IF($A72="","",작업목록!$D69)</f>
        <v/>
      </c>
      <c r="C72" s="21" t="str">
        <f aca="false">IF($A72="","",작업목록!$E69)</f>
        <v/>
      </c>
      <c r="D72" s="21" t="str">
        <f aca="false">IF($A72="","",작업목록!$F69)</f>
        <v/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</row>
    <row r="73" customFormat="false" ht="15" hidden="false" customHeight="true" outlineLevel="0" collapsed="false">
      <c r="A73" s="20" t="str">
        <f aca="false">IF(작업목록!$C70="","",작업목록!$C70)</f>
        <v/>
      </c>
      <c r="B73" s="20" t="str">
        <f aca="false">IF($A73="","",작업목록!$D70)</f>
        <v/>
      </c>
      <c r="C73" s="21" t="str">
        <f aca="false">IF($A73="","",작업목록!$E70)</f>
        <v/>
      </c>
      <c r="D73" s="21" t="str">
        <f aca="false">IF($A73="","",작업목록!$F70)</f>
        <v/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</row>
    <row r="74" customFormat="false" ht="15" hidden="false" customHeight="true" outlineLevel="0" collapsed="false">
      <c r="A74" s="20" t="str">
        <f aca="false">IF(작업목록!$C71="","",작업목록!$C71)</f>
        <v/>
      </c>
      <c r="B74" s="20" t="str">
        <f aca="false">IF($A74="","",작업목록!$D71)</f>
        <v/>
      </c>
      <c r="C74" s="21" t="str">
        <f aca="false">IF($A74="","",작업목록!$E71)</f>
        <v/>
      </c>
      <c r="D74" s="21" t="str">
        <f aca="false">IF($A74="","",작업목록!$F71)</f>
        <v/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</row>
    <row r="75" customFormat="false" ht="15" hidden="false" customHeight="true" outlineLevel="0" collapsed="false">
      <c r="A75" s="20" t="str">
        <f aca="false">IF(작업목록!$C72="","",작업목록!$C72)</f>
        <v/>
      </c>
      <c r="B75" s="20" t="str">
        <f aca="false">IF($A75="","",작업목록!$D72)</f>
        <v/>
      </c>
      <c r="C75" s="21" t="str">
        <f aca="false">IF($A75="","",작업목록!$E72)</f>
        <v/>
      </c>
      <c r="D75" s="21" t="str">
        <f aca="false">IF($A75="","",작업목록!$F72)</f>
        <v/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</row>
    <row r="76" customFormat="false" ht="15" hidden="false" customHeight="true" outlineLevel="0" collapsed="false">
      <c r="A76" s="20" t="str">
        <f aca="false">IF(작업목록!$C73="","",작업목록!$C73)</f>
        <v/>
      </c>
      <c r="B76" s="20" t="str">
        <f aca="false">IF($A76="","",작업목록!$D73)</f>
        <v/>
      </c>
      <c r="C76" s="21" t="str">
        <f aca="false">IF($A76="","",작업목록!$E73)</f>
        <v/>
      </c>
      <c r="D76" s="21" t="str">
        <f aca="false">IF($A76="","",작업목록!$F73)</f>
        <v/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</row>
    <row r="77" customFormat="false" ht="15" hidden="false" customHeight="true" outlineLevel="0" collapsed="false">
      <c r="A77" s="20" t="str">
        <f aca="false">IF(작업목록!$C74="","",작업목록!$C74)</f>
        <v/>
      </c>
      <c r="B77" s="20" t="str">
        <f aca="false">IF($A77="","",작업목록!$D74)</f>
        <v/>
      </c>
      <c r="C77" s="21" t="str">
        <f aca="false">IF($A77="","",작업목록!$E74)</f>
        <v/>
      </c>
      <c r="D77" s="21" t="str">
        <f aca="false">IF($A77="","",작업목록!$F74)</f>
        <v/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</row>
    <row r="78" customFormat="false" ht="15" hidden="false" customHeight="true" outlineLevel="0" collapsed="false">
      <c r="A78" s="20" t="str">
        <f aca="false">IF(작업목록!$C75="","",작업목록!$C75)</f>
        <v/>
      </c>
      <c r="B78" s="20" t="str">
        <f aca="false">IF($A78="","",작업목록!$D75)</f>
        <v/>
      </c>
      <c r="C78" s="21" t="str">
        <f aca="false">IF($A78="","",작업목록!$E75)</f>
        <v/>
      </c>
      <c r="D78" s="21" t="str">
        <f aca="false">IF($A78="","",작업목록!$F75)</f>
        <v/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</row>
    <row r="79" customFormat="false" ht="15" hidden="false" customHeight="true" outlineLevel="0" collapsed="false">
      <c r="A79" s="20" t="str">
        <f aca="false">IF(작업목록!$C76="","",작업목록!$C76)</f>
        <v/>
      </c>
      <c r="B79" s="20" t="str">
        <f aca="false">IF($A79="","",작업목록!$D76)</f>
        <v/>
      </c>
      <c r="C79" s="21" t="str">
        <f aca="false">IF($A79="","",작업목록!$E76)</f>
        <v/>
      </c>
      <c r="D79" s="21" t="str">
        <f aca="false">IF($A79="","",작업목록!$F76)</f>
        <v/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</row>
    <row r="80" customFormat="false" ht="15" hidden="false" customHeight="true" outlineLevel="0" collapsed="false">
      <c r="A80" s="20" t="str">
        <f aca="false">IF(작업목록!$C77="","",작업목록!$C77)</f>
        <v/>
      </c>
      <c r="B80" s="20" t="str">
        <f aca="false">IF($A80="","",작업목록!$D77)</f>
        <v/>
      </c>
      <c r="C80" s="21" t="str">
        <f aca="false">IF($A80="","",작업목록!$E77)</f>
        <v/>
      </c>
      <c r="D80" s="21" t="str">
        <f aca="false">IF($A80="","",작업목록!$F77)</f>
        <v/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</row>
    <row r="81" customFormat="false" ht="15" hidden="false" customHeight="true" outlineLevel="0" collapsed="false">
      <c r="A81" s="20" t="str">
        <f aca="false">IF(작업목록!$C78="","",작업목록!$C78)</f>
        <v/>
      </c>
      <c r="B81" s="20" t="str">
        <f aca="false">IF($A81="","",작업목록!$D78)</f>
        <v/>
      </c>
      <c r="C81" s="21" t="str">
        <f aca="false">IF($A81="","",작업목록!$E78)</f>
        <v/>
      </c>
      <c r="D81" s="21" t="str">
        <f aca="false">IF($A81="","",작업목록!$F78)</f>
        <v/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</row>
    <row r="82" customFormat="false" ht="15" hidden="false" customHeight="true" outlineLevel="0" collapsed="false">
      <c r="A82" s="20" t="str">
        <f aca="false">IF(작업목록!$C79="","",작업목록!$C79)</f>
        <v/>
      </c>
      <c r="B82" s="20" t="str">
        <f aca="false">IF($A82="","",작업목록!$D79)</f>
        <v/>
      </c>
      <c r="C82" s="21" t="str">
        <f aca="false">IF($A82="","",작업목록!$E79)</f>
        <v/>
      </c>
      <c r="D82" s="21" t="str">
        <f aca="false">IF($A82="","",작업목록!$F79)</f>
        <v/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</row>
    <row r="83" customFormat="false" ht="15" hidden="false" customHeight="true" outlineLevel="0" collapsed="false">
      <c r="A83" s="20" t="str">
        <f aca="false">IF(작업목록!$C80="","",작업목록!$C80)</f>
        <v/>
      </c>
      <c r="B83" s="20" t="str">
        <f aca="false">IF($A83="","",작업목록!$D80)</f>
        <v/>
      </c>
      <c r="C83" s="21" t="str">
        <f aca="false">IF($A83="","",작업목록!$E80)</f>
        <v/>
      </c>
      <c r="D83" s="21" t="str">
        <f aca="false">IF($A83="","",작업목록!$F80)</f>
        <v/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</row>
    <row r="84" customFormat="false" ht="15" hidden="false" customHeight="true" outlineLevel="0" collapsed="false">
      <c r="A84" s="20" t="str">
        <f aca="false">IF(작업목록!$C81="","",작업목록!$C81)</f>
        <v/>
      </c>
      <c r="B84" s="20" t="str">
        <f aca="false">IF($A84="","",작업목록!$D81)</f>
        <v/>
      </c>
      <c r="C84" s="21" t="str">
        <f aca="false">IF($A84="","",작업목록!$E81)</f>
        <v/>
      </c>
      <c r="D84" s="21" t="str">
        <f aca="false">IF($A84="","",작업목록!$F81)</f>
        <v/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</row>
    <row r="85" customFormat="false" ht="15" hidden="false" customHeight="true" outlineLevel="0" collapsed="false">
      <c r="A85" s="20" t="str">
        <f aca="false">IF(작업목록!$C82="","",작업목록!$C82)</f>
        <v/>
      </c>
      <c r="B85" s="20" t="str">
        <f aca="false">IF($A85="","",작업목록!$D82)</f>
        <v/>
      </c>
      <c r="C85" s="21" t="str">
        <f aca="false">IF($A85="","",작업목록!$E82)</f>
        <v/>
      </c>
      <c r="D85" s="21" t="str">
        <f aca="false">IF($A85="","",작업목록!$F82)</f>
        <v/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</row>
    <row r="86" customFormat="false" ht="15" hidden="false" customHeight="true" outlineLevel="0" collapsed="false">
      <c r="A86" s="20" t="str">
        <f aca="false">IF(작업목록!$C83="","",작업목록!$C83)</f>
        <v/>
      </c>
      <c r="B86" s="20" t="str">
        <f aca="false">IF($A86="","",작업목록!$D83)</f>
        <v/>
      </c>
      <c r="C86" s="21" t="str">
        <f aca="false">IF($A86="","",작업목록!$E83)</f>
        <v/>
      </c>
      <c r="D86" s="21" t="str">
        <f aca="false">IF($A86="","",작업목록!$F83)</f>
        <v/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</row>
    <row r="87" customFormat="false" ht="15" hidden="false" customHeight="true" outlineLevel="0" collapsed="false">
      <c r="A87" s="20" t="str">
        <f aca="false">IF(작업목록!$C84="","",작업목록!$C84)</f>
        <v/>
      </c>
      <c r="B87" s="20" t="str">
        <f aca="false">IF($A87="","",작업목록!$D84)</f>
        <v/>
      </c>
      <c r="C87" s="21" t="str">
        <f aca="false">IF($A87="","",작업목록!$E84)</f>
        <v/>
      </c>
      <c r="D87" s="21" t="str">
        <f aca="false">IF($A87="","",작업목록!$F84)</f>
        <v/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</row>
    <row r="88" customFormat="false" ht="15" hidden="false" customHeight="true" outlineLevel="0" collapsed="false">
      <c r="A88" s="20" t="str">
        <f aca="false">IF(작업목록!$C85="","",작업목록!$C85)</f>
        <v/>
      </c>
      <c r="B88" s="20" t="str">
        <f aca="false">IF($A88="","",작업목록!$D85)</f>
        <v/>
      </c>
      <c r="C88" s="21" t="str">
        <f aca="false">IF($A88="","",작업목록!$E85)</f>
        <v/>
      </c>
      <c r="D88" s="21" t="str">
        <f aca="false">IF($A88="","",작업목록!$F85)</f>
        <v/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</row>
    <row r="89" customFormat="false" ht="15" hidden="false" customHeight="true" outlineLevel="0" collapsed="false">
      <c r="A89" s="20" t="str">
        <f aca="false">IF(작업목록!$C86="","",작업목록!$C86)</f>
        <v/>
      </c>
      <c r="B89" s="20" t="str">
        <f aca="false">IF($A89="","",작업목록!$D86)</f>
        <v/>
      </c>
      <c r="C89" s="21" t="str">
        <f aca="false">IF($A89="","",작업목록!$E86)</f>
        <v/>
      </c>
      <c r="D89" s="21" t="str">
        <f aca="false">IF($A89="","",작업목록!$F86)</f>
        <v/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</row>
    <row r="90" customFormat="false" ht="15" hidden="false" customHeight="true" outlineLevel="0" collapsed="false">
      <c r="A90" s="20" t="str">
        <f aca="false">IF(작업목록!$C87="","",작업목록!$C87)</f>
        <v/>
      </c>
      <c r="B90" s="20" t="str">
        <f aca="false">IF($A90="","",작업목록!$D87)</f>
        <v/>
      </c>
      <c r="C90" s="21" t="str">
        <f aca="false">IF($A90="","",작업목록!$E87)</f>
        <v/>
      </c>
      <c r="D90" s="21" t="str">
        <f aca="false">IF($A90="","",작업목록!$F87)</f>
        <v/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</row>
    <row r="91" customFormat="false" ht="15" hidden="false" customHeight="true" outlineLevel="0" collapsed="false">
      <c r="A91" s="20" t="str">
        <f aca="false">IF(작업목록!$C88="","",작업목록!$C88)</f>
        <v/>
      </c>
      <c r="B91" s="20" t="str">
        <f aca="false">IF($A91="","",작업목록!$D88)</f>
        <v/>
      </c>
      <c r="C91" s="21" t="str">
        <f aca="false">IF($A91="","",작업목록!$E88)</f>
        <v/>
      </c>
      <c r="D91" s="21" t="str">
        <f aca="false">IF($A91="","",작업목록!$F88)</f>
        <v/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</row>
    <row r="92" customFormat="false" ht="15" hidden="false" customHeight="true" outlineLevel="0" collapsed="false">
      <c r="A92" s="20" t="str">
        <f aca="false">IF(작업목록!$C89="","",작업목록!$C89)</f>
        <v/>
      </c>
      <c r="B92" s="20" t="str">
        <f aca="false">IF($A92="","",작업목록!$D89)</f>
        <v/>
      </c>
      <c r="C92" s="21" t="str">
        <f aca="false">IF($A92="","",작업목록!$E89)</f>
        <v/>
      </c>
      <c r="D92" s="21" t="str">
        <f aca="false">IF($A92="","",작업목록!$F89)</f>
        <v/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</row>
    <row r="93" customFormat="false" ht="15" hidden="false" customHeight="true" outlineLevel="0" collapsed="false">
      <c r="A93" s="20" t="str">
        <f aca="false">IF(작업목록!$C90="","",작업목록!$C90)</f>
        <v/>
      </c>
      <c r="B93" s="20" t="str">
        <f aca="false">IF($A93="","",작업목록!$D90)</f>
        <v/>
      </c>
      <c r="C93" s="21" t="str">
        <f aca="false">IF($A93="","",작업목록!$E90)</f>
        <v/>
      </c>
      <c r="D93" s="21" t="str">
        <f aca="false">IF($A93="","",작업목록!$F90)</f>
        <v/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</row>
    <row r="94" customFormat="false" ht="15" hidden="false" customHeight="true" outlineLevel="0" collapsed="false">
      <c r="A94" s="20" t="str">
        <f aca="false">IF(작업목록!$C91="","",작업목록!$C91)</f>
        <v/>
      </c>
      <c r="B94" s="20" t="str">
        <f aca="false">IF($A94="","",작업목록!$D91)</f>
        <v/>
      </c>
      <c r="C94" s="21" t="str">
        <f aca="false">IF($A94="","",작업목록!$E91)</f>
        <v/>
      </c>
      <c r="D94" s="21" t="str">
        <f aca="false">IF($A94="","",작업목록!$F91)</f>
        <v/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</row>
    <row r="95" customFormat="false" ht="15" hidden="false" customHeight="true" outlineLevel="0" collapsed="false">
      <c r="A95" s="20" t="str">
        <f aca="false">IF(작업목록!$C92="","",작업목록!$C92)</f>
        <v/>
      </c>
      <c r="B95" s="20" t="str">
        <f aca="false">IF($A95="","",작업목록!$D92)</f>
        <v/>
      </c>
      <c r="C95" s="21" t="str">
        <f aca="false">IF($A95="","",작업목록!$E92)</f>
        <v/>
      </c>
      <c r="D95" s="21" t="str">
        <f aca="false">IF($A95="","",작업목록!$F92)</f>
        <v/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</row>
    <row r="96" customFormat="false" ht="15" hidden="false" customHeight="true" outlineLevel="0" collapsed="false">
      <c r="A96" s="20" t="str">
        <f aca="false">IF(작업목록!$C93="","",작업목록!$C93)</f>
        <v/>
      </c>
      <c r="B96" s="20" t="str">
        <f aca="false">IF($A96="","",작업목록!$D93)</f>
        <v/>
      </c>
      <c r="C96" s="21" t="str">
        <f aca="false">IF($A96="","",작업목록!$E93)</f>
        <v/>
      </c>
      <c r="D96" s="21" t="str">
        <f aca="false">IF($A96="","",작업목록!$F93)</f>
        <v/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</row>
    <row r="97" customFormat="false" ht="15" hidden="false" customHeight="true" outlineLevel="0" collapsed="false">
      <c r="A97" s="20" t="str">
        <f aca="false">IF(작업목록!$C94="","",작업목록!$C94)</f>
        <v/>
      </c>
      <c r="B97" s="20" t="str">
        <f aca="false">IF($A97="","",작업목록!$D94)</f>
        <v/>
      </c>
      <c r="C97" s="21" t="str">
        <f aca="false">IF($A97="","",작업목록!$E94)</f>
        <v/>
      </c>
      <c r="D97" s="21" t="str">
        <f aca="false">IF($A97="","",작업목록!$F94)</f>
        <v/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</row>
    <row r="98" customFormat="false" ht="15" hidden="false" customHeight="true" outlineLevel="0" collapsed="false">
      <c r="A98" s="20" t="str">
        <f aca="false">IF(작업목록!$C95="","",작업목록!$C95)</f>
        <v/>
      </c>
      <c r="B98" s="20" t="str">
        <f aca="false">IF($A98="","",작업목록!$D95)</f>
        <v/>
      </c>
      <c r="C98" s="21" t="str">
        <f aca="false">IF($A98="","",작업목록!$E95)</f>
        <v/>
      </c>
      <c r="D98" s="21" t="str">
        <f aca="false">IF($A98="","",작업목록!$F95)</f>
        <v/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</row>
    <row r="99" customFormat="false" ht="15" hidden="false" customHeight="true" outlineLevel="0" collapsed="false">
      <c r="A99" s="20" t="str">
        <f aca="false">IF(작업목록!$C96="","",작업목록!$C96)</f>
        <v/>
      </c>
      <c r="B99" s="20" t="str">
        <f aca="false">IF($A99="","",작업목록!$D96)</f>
        <v/>
      </c>
      <c r="C99" s="21" t="str">
        <f aca="false">IF($A99="","",작업목록!$E96)</f>
        <v/>
      </c>
      <c r="D99" s="21" t="str">
        <f aca="false">IF($A99="","",작업목록!$F96)</f>
        <v/>
      </c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</row>
    <row r="100" customFormat="false" ht="15" hidden="false" customHeight="true" outlineLevel="0" collapsed="false">
      <c r="A100" s="20" t="str">
        <f aca="false">IF(작업목록!$C97="","",작업목록!$C97)</f>
        <v/>
      </c>
      <c r="B100" s="20" t="str">
        <f aca="false">IF($A100="","",작업목록!$D97)</f>
        <v/>
      </c>
      <c r="C100" s="21" t="str">
        <f aca="false">IF($A100="","",작업목록!$E97)</f>
        <v/>
      </c>
      <c r="D100" s="21" t="str">
        <f aca="false">IF($A100="","",작업목록!$F97)</f>
        <v/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</row>
    <row r="101" customFormat="false" ht="15" hidden="false" customHeight="true" outlineLevel="0" collapsed="false">
      <c r="A101" s="20" t="str">
        <f aca="false">IF(작업목록!$C98="","",작업목록!$C98)</f>
        <v/>
      </c>
      <c r="B101" s="20" t="str">
        <f aca="false">IF($A101="","",작업목록!$D98)</f>
        <v/>
      </c>
      <c r="C101" s="21" t="str">
        <f aca="false">IF($A101="","",작업목록!$E98)</f>
        <v/>
      </c>
      <c r="D101" s="21" t="str">
        <f aca="false">IF($A101="","",작업목록!$F98)</f>
        <v/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</row>
    <row r="102" customFormat="false" ht="15" hidden="false" customHeight="true" outlineLevel="0" collapsed="false">
      <c r="A102" s="20" t="str">
        <f aca="false">IF(작업목록!$C99="","",작업목록!$C99)</f>
        <v/>
      </c>
      <c r="B102" s="20" t="str">
        <f aca="false">IF($A102="","",작업목록!$D99)</f>
        <v/>
      </c>
      <c r="C102" s="21" t="str">
        <f aca="false">IF($A102="","",작업목록!$E99)</f>
        <v/>
      </c>
      <c r="D102" s="21" t="str">
        <f aca="false">IF($A102="","",작업목록!$F99)</f>
        <v/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</row>
    <row r="103" customFormat="false" ht="15" hidden="false" customHeight="true" outlineLevel="0" collapsed="false">
      <c r="A103" s="20" t="str">
        <f aca="false">IF(작업목록!$C100="","",작업목록!$C100)</f>
        <v/>
      </c>
      <c r="B103" s="20" t="str">
        <f aca="false">IF($A103="","",작업목록!$D100)</f>
        <v/>
      </c>
      <c r="C103" s="21" t="str">
        <f aca="false">IF($A103="","",작업목록!$E100)</f>
        <v/>
      </c>
      <c r="D103" s="21" t="str">
        <f aca="false">IF($A103="","",작업목록!$F100)</f>
        <v/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</row>
    <row r="104" customFormat="false" ht="15" hidden="false" customHeight="true" outlineLevel="0" collapsed="false">
      <c r="A104" s="20" t="str">
        <f aca="false">IF(작업목록!$C101="","",작업목록!$C101)</f>
        <v/>
      </c>
      <c r="B104" s="20" t="str">
        <f aca="false">IF($A104="","",작업목록!$D101)</f>
        <v/>
      </c>
      <c r="C104" s="21" t="str">
        <f aca="false">IF($A104="","",작업목록!$E101)</f>
        <v/>
      </c>
      <c r="D104" s="21" t="str">
        <f aca="false">IF($A104="","",작업목록!$F101)</f>
        <v/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</row>
    <row r="105" customFormat="false" ht="15" hidden="false" customHeight="true" outlineLevel="0" collapsed="false">
      <c r="A105" s="20" t="str">
        <f aca="false">IF(작업목록!$C102="","",작업목록!$C102)</f>
        <v/>
      </c>
      <c r="B105" s="20" t="str">
        <f aca="false">IF($A105="","",작업목록!$D102)</f>
        <v/>
      </c>
      <c r="C105" s="21" t="str">
        <f aca="false">IF($A105="","",작업목록!$E102)</f>
        <v/>
      </c>
      <c r="D105" s="21" t="str">
        <f aca="false">IF($A105="","",작업목록!$F102)</f>
        <v/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</row>
    <row r="107" customFormat="false" ht="15" hidden="false" customHeight="true" outlineLevel="0" collapsed="false">
      <c r="A107" s="5" t="s">
        <v>62</v>
      </c>
    </row>
  </sheetData>
  <mergeCells count="1">
    <mergeCell ref="A1:BL1"/>
  </mergeCells>
  <conditionalFormatting sqref="E6:BL105">
    <cfRule type="expression" priority="2" aboveAverage="0" equalAverage="0" bottom="0" percent="0" rank="0" text="" dxfId="2">
      <formula>AND($A6&lt;&gt;"",$C6&lt;&gt;"",$D6&lt;&gt;"",E$5+0&gt;=$C6,E$5&lt;=$D6,INDEX(작업목록!$I$3:$I$102,ROW()-5)="지연")</formula>
    </cfRule>
    <cfRule type="expression" priority="3" aboveAverage="0" equalAverage="0" bottom="0" percent="0" rank="0" text="" dxfId="3">
      <formula>AND($A6&lt;&gt;"",$C6&lt;&gt;"",$D6&lt;&gt;"",E$5+0&gt;=$C6,E$5&lt;=$D6,INDEX(작업목록!$H$3:$H$102,ROW()-5)&gt;=1)</formula>
    </cfRule>
    <cfRule type="expression" priority="4" aboveAverage="0" equalAverage="0" bottom="0" percent="0" rank="0" text="" dxfId="4">
      <formula>AND($A6&lt;&gt;"",$C6&lt;&gt;"",$D6&lt;&gt;"",E$5+0&gt;=$C6,E$5&lt;=$D6)</formula>
    </cfRule>
    <cfRule type="expression" priority="5" aboveAverage="0" equalAverage="0" bottom="0" percent="0" rank="0" text="" dxfId="5">
      <formula>AND(E$5&lt;=TODAY(),E$5+0&gt;=TODAY())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30" min="5" style="1" width="9"/>
  </cols>
  <sheetData>
    <row r="1" customFormat="false" ht="25.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3" customFormat="false" ht="15" hidden="false" customHeight="true" outlineLevel="0" collapsed="false">
      <c r="A3" s="3" t="s">
        <v>58</v>
      </c>
      <c r="B3" s="16" t="n">
        <v>46266</v>
      </c>
      <c r="D3" s="5" t="s">
        <v>59</v>
      </c>
    </row>
    <row r="4" customFormat="false" ht="15" hidden="false" customHeight="true" outlineLevel="0" collapsed="false">
      <c r="E4" s="17" t="n">
        <f aca="false">$B$3+0</f>
        <v>46266</v>
      </c>
      <c r="F4" s="17" t="n">
        <f aca="false">$B$3+7</f>
        <v>46273</v>
      </c>
      <c r="G4" s="17" t="n">
        <f aca="false">$B$3+14</f>
        <v>46280</v>
      </c>
      <c r="H4" s="17" t="n">
        <f aca="false">$B$3+21</f>
        <v>46287</v>
      </c>
      <c r="I4" s="17" t="n">
        <f aca="false">$B$3+28</f>
        <v>46294</v>
      </c>
      <c r="J4" s="17" t="n">
        <f aca="false">$B$3+35</f>
        <v>46301</v>
      </c>
      <c r="K4" s="17" t="n">
        <f aca="false">$B$3+42</f>
        <v>46308</v>
      </c>
      <c r="L4" s="17" t="n">
        <f aca="false">$B$3+49</f>
        <v>46315</v>
      </c>
      <c r="M4" s="17" t="n">
        <f aca="false">$B$3+56</f>
        <v>46322</v>
      </c>
      <c r="N4" s="17" t="n">
        <f aca="false">$B$3+63</f>
        <v>46329</v>
      </c>
      <c r="O4" s="17" t="n">
        <f aca="false">$B$3+70</f>
        <v>46336</v>
      </c>
      <c r="P4" s="17" t="n">
        <f aca="false">$B$3+77</f>
        <v>46343</v>
      </c>
      <c r="Q4" s="17" t="n">
        <f aca="false">$B$3+84</f>
        <v>46350</v>
      </c>
      <c r="R4" s="17" t="n">
        <f aca="false">$B$3+91</f>
        <v>46357</v>
      </c>
      <c r="S4" s="17" t="n">
        <f aca="false">$B$3+98</f>
        <v>46364</v>
      </c>
      <c r="T4" s="17" t="n">
        <f aca="false">$B$3+105</f>
        <v>46371</v>
      </c>
      <c r="U4" s="17" t="n">
        <f aca="false">$B$3+112</f>
        <v>46378</v>
      </c>
      <c r="V4" s="17" t="n">
        <f aca="false">$B$3+119</f>
        <v>46385</v>
      </c>
      <c r="W4" s="17" t="n">
        <f aca="false">$B$3+126</f>
        <v>46392</v>
      </c>
      <c r="X4" s="17" t="n">
        <f aca="false">$B$3+133</f>
        <v>46399</v>
      </c>
      <c r="Y4" s="17" t="n">
        <f aca="false">$B$3+140</f>
        <v>46406</v>
      </c>
      <c r="Z4" s="17" t="n">
        <f aca="false">$B$3+147</f>
        <v>46413</v>
      </c>
      <c r="AA4" s="17" t="n">
        <f aca="false">$B$3+154</f>
        <v>46420</v>
      </c>
      <c r="AB4" s="17" t="n">
        <f aca="false">$B$3+161</f>
        <v>46427</v>
      </c>
      <c r="AC4" s="17" t="n">
        <f aca="false">$B$3+168</f>
        <v>46434</v>
      </c>
      <c r="AD4" s="17" t="n">
        <f aca="false">$B$3+175</f>
        <v>46441</v>
      </c>
    </row>
    <row r="5" customFormat="false" ht="15" hidden="false" customHeight="true" outlineLevel="0" collapsed="false">
      <c r="A5" s="18" t="s">
        <v>40</v>
      </c>
      <c r="B5" s="18" t="s">
        <v>24</v>
      </c>
      <c r="C5" s="18" t="s">
        <v>60</v>
      </c>
      <c r="D5" s="18" t="s">
        <v>61</v>
      </c>
      <c r="E5" s="23" t="n">
        <f aca="false">$B$3+0</f>
        <v>46266</v>
      </c>
      <c r="F5" s="23" t="n">
        <f aca="false">$B$3+7</f>
        <v>46273</v>
      </c>
      <c r="G5" s="23" t="n">
        <f aca="false">$B$3+14</f>
        <v>46280</v>
      </c>
      <c r="H5" s="23" t="n">
        <f aca="false">$B$3+21</f>
        <v>46287</v>
      </c>
      <c r="I5" s="23" t="n">
        <f aca="false">$B$3+28</f>
        <v>46294</v>
      </c>
      <c r="J5" s="23" t="n">
        <f aca="false">$B$3+35</f>
        <v>46301</v>
      </c>
      <c r="K5" s="23" t="n">
        <f aca="false">$B$3+42</f>
        <v>46308</v>
      </c>
      <c r="L5" s="23" t="n">
        <f aca="false">$B$3+49</f>
        <v>46315</v>
      </c>
      <c r="M5" s="23" t="n">
        <f aca="false">$B$3+56</f>
        <v>46322</v>
      </c>
      <c r="N5" s="23" t="n">
        <f aca="false">$B$3+63</f>
        <v>46329</v>
      </c>
      <c r="O5" s="23" t="n">
        <f aca="false">$B$3+70</f>
        <v>46336</v>
      </c>
      <c r="P5" s="23" t="n">
        <f aca="false">$B$3+77</f>
        <v>46343</v>
      </c>
      <c r="Q5" s="23" t="n">
        <f aca="false">$B$3+84</f>
        <v>46350</v>
      </c>
      <c r="R5" s="23" t="n">
        <f aca="false">$B$3+91</f>
        <v>46357</v>
      </c>
      <c r="S5" s="23" t="n">
        <f aca="false">$B$3+98</f>
        <v>46364</v>
      </c>
      <c r="T5" s="23" t="n">
        <f aca="false">$B$3+105</f>
        <v>46371</v>
      </c>
      <c r="U5" s="23" t="n">
        <f aca="false">$B$3+112</f>
        <v>46378</v>
      </c>
      <c r="V5" s="23" t="n">
        <f aca="false">$B$3+119</f>
        <v>46385</v>
      </c>
      <c r="W5" s="23" t="n">
        <f aca="false">$B$3+126</f>
        <v>46392</v>
      </c>
      <c r="X5" s="23" t="n">
        <f aca="false">$B$3+133</f>
        <v>46399</v>
      </c>
      <c r="Y5" s="23" t="n">
        <f aca="false">$B$3+140</f>
        <v>46406</v>
      </c>
      <c r="Z5" s="23" t="n">
        <f aca="false">$B$3+147</f>
        <v>46413</v>
      </c>
      <c r="AA5" s="23" t="n">
        <f aca="false">$B$3+154</f>
        <v>46420</v>
      </c>
      <c r="AB5" s="23" t="n">
        <f aca="false">$B$3+161</f>
        <v>46427</v>
      </c>
      <c r="AC5" s="23" t="n">
        <f aca="false">$B$3+168</f>
        <v>46434</v>
      </c>
      <c r="AD5" s="23" t="n">
        <f aca="false">$B$3+175</f>
        <v>46441</v>
      </c>
    </row>
    <row r="6" customFormat="false" ht="15" hidden="false" customHeight="true" outlineLevel="0" collapsed="false">
      <c r="A6" s="20" t="str">
        <f aca="false">IF(작업목록!$C3="","",작업목록!$C3)</f>
        <v>요구사항 정리</v>
      </c>
      <c r="B6" s="20" t="str">
        <f aca="false">IF($A6="","",작업목록!$D3)</f>
        <v>김담당</v>
      </c>
      <c r="C6" s="21" t="n">
        <f aca="false">IF($A6="","",작업목록!$E3)</f>
        <v>46266</v>
      </c>
      <c r="D6" s="21" t="n">
        <f aca="false">IF($A6="","",작업목록!$F3)</f>
        <v>46275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customFormat="false" ht="15" hidden="false" customHeight="true" outlineLevel="0" collapsed="false">
      <c r="A7" s="20" t="str">
        <f aca="false">IF(작업목록!$C4="","",작업목록!$C4)</f>
        <v>화면 설계</v>
      </c>
      <c r="B7" s="20" t="str">
        <f aca="false">IF($A7="","",작업목록!$D4)</f>
        <v>박담당</v>
      </c>
      <c r="C7" s="21" t="n">
        <f aca="false">IF($A7="","",작업목록!$E4)</f>
        <v>46273</v>
      </c>
      <c r="D7" s="21" t="n">
        <f aca="false">IF($A7="","",작업목록!$F4)</f>
        <v>46285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customFormat="false" ht="15" hidden="false" customHeight="true" outlineLevel="0" collapsed="false">
      <c r="A8" s="20" t="str">
        <f aca="false">IF(작업목록!$C5="","",작업목록!$C5)</f>
        <v>백엔드 구축</v>
      </c>
      <c r="B8" s="20" t="str">
        <f aca="false">IF($A8="","",작업목록!$D5)</f>
        <v>이담당</v>
      </c>
      <c r="C8" s="21" t="n">
        <f aca="false">IF($A8="","",작업목록!$E5)</f>
        <v>46280</v>
      </c>
      <c r="D8" s="21" t="n">
        <f aca="false">IF($A8="","",작업목록!$F5)</f>
        <v>46310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customFormat="false" ht="15" hidden="false" customHeight="true" outlineLevel="0" collapsed="false">
      <c r="A9" s="20" t="str">
        <f aca="false">IF(작업목록!$C6="","",작업목록!$C6)</f>
        <v>프론트 구축</v>
      </c>
      <c r="B9" s="20" t="str">
        <f aca="false">IF($A9="","",작업목록!$D6)</f>
        <v>이담당</v>
      </c>
      <c r="C9" s="21" t="n">
        <f aca="false">IF($A9="","",작업목록!$E6)</f>
        <v>46290</v>
      </c>
      <c r="D9" s="21" t="n">
        <f aca="false">IF($A9="","",작업목록!$F6)</f>
        <v>46320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customFormat="false" ht="15" hidden="false" customHeight="true" outlineLevel="0" collapsed="false">
      <c r="A10" s="20" t="str">
        <f aca="false">IF(작업목록!$C7="","",작업목록!$C7)</f>
        <v>통합 테스트</v>
      </c>
      <c r="B10" s="20" t="str">
        <f aca="false">IF($A10="","",작업목록!$D7)</f>
        <v>김담당</v>
      </c>
      <c r="C10" s="21" t="n">
        <f aca="false">IF($A10="","",작업목록!$E7)</f>
        <v>46315</v>
      </c>
      <c r="D10" s="21" t="n">
        <f aca="false">IF($A10="","",작업목록!$F7)</f>
        <v>46325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customFormat="false" ht="15" hidden="false" customHeight="true" outlineLevel="0" collapsed="false">
      <c r="A11" s="20" t="str">
        <f aca="false">IF(작업목록!$C8="","",작업목록!$C8)</f>
        <v>테스트 시나리오 작성</v>
      </c>
      <c r="B11" s="20" t="str">
        <f aca="false">IF($A11="","",작업목록!$D8)</f>
        <v>박담당</v>
      </c>
      <c r="C11" s="21" t="n">
        <f aca="false">IF($A11="","",작업목록!$E8)</f>
        <v>46254</v>
      </c>
      <c r="D11" s="21" t="n">
        <f aca="false">IF($A11="","",작업목록!$F8)</f>
        <v>46270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customFormat="false" ht="15" hidden="false" customHeight="true" outlineLevel="0" collapsed="false">
      <c r="A12" s="20" t="str">
        <f aca="false">IF(작업목록!$C9="","",작업목록!$C9)</f>
        <v/>
      </c>
      <c r="B12" s="20" t="str">
        <f aca="false">IF($A12="","",작업목록!$D9)</f>
        <v/>
      </c>
      <c r="C12" s="21" t="str">
        <f aca="false">IF($A12="","",작업목록!$E9)</f>
        <v/>
      </c>
      <c r="D12" s="21" t="str">
        <f aca="false">IF($A12="","",작업목록!$F9)</f>
        <v/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customFormat="false" ht="15" hidden="false" customHeight="true" outlineLevel="0" collapsed="false">
      <c r="A13" s="20" t="str">
        <f aca="false">IF(작업목록!$C10="","",작업목록!$C10)</f>
        <v/>
      </c>
      <c r="B13" s="20" t="str">
        <f aca="false">IF($A13="","",작업목록!$D10)</f>
        <v/>
      </c>
      <c r="C13" s="21" t="str">
        <f aca="false">IF($A13="","",작업목록!$E10)</f>
        <v/>
      </c>
      <c r="D13" s="21" t="str">
        <f aca="false">IF($A13="","",작업목록!$F10)</f>
        <v/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customFormat="false" ht="15" hidden="false" customHeight="true" outlineLevel="0" collapsed="false">
      <c r="A14" s="20" t="str">
        <f aca="false">IF(작업목록!$C11="","",작업목록!$C11)</f>
        <v/>
      </c>
      <c r="B14" s="20" t="str">
        <f aca="false">IF($A14="","",작업목록!$D11)</f>
        <v/>
      </c>
      <c r="C14" s="21" t="str">
        <f aca="false">IF($A14="","",작업목록!$E11)</f>
        <v/>
      </c>
      <c r="D14" s="21" t="str">
        <f aca="false">IF($A14="","",작업목록!$F11)</f>
        <v/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customFormat="false" ht="15" hidden="false" customHeight="true" outlineLevel="0" collapsed="false">
      <c r="A15" s="20" t="str">
        <f aca="false">IF(작업목록!$C12="","",작업목록!$C12)</f>
        <v/>
      </c>
      <c r="B15" s="20" t="str">
        <f aca="false">IF($A15="","",작업목록!$D12)</f>
        <v/>
      </c>
      <c r="C15" s="21" t="str">
        <f aca="false">IF($A15="","",작업목록!$E12)</f>
        <v/>
      </c>
      <c r="D15" s="21" t="str">
        <f aca="false">IF($A15="","",작업목록!$F12)</f>
        <v/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customFormat="false" ht="15" hidden="false" customHeight="true" outlineLevel="0" collapsed="false">
      <c r="A16" s="20" t="str">
        <f aca="false">IF(작업목록!$C13="","",작업목록!$C13)</f>
        <v/>
      </c>
      <c r="B16" s="20" t="str">
        <f aca="false">IF($A16="","",작업목록!$D13)</f>
        <v/>
      </c>
      <c r="C16" s="21" t="str">
        <f aca="false">IF($A16="","",작업목록!$E13)</f>
        <v/>
      </c>
      <c r="D16" s="21" t="str">
        <f aca="false">IF($A16="","",작업목록!$F13)</f>
        <v/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customFormat="false" ht="15" hidden="false" customHeight="true" outlineLevel="0" collapsed="false">
      <c r="A17" s="20" t="str">
        <f aca="false">IF(작업목록!$C14="","",작업목록!$C14)</f>
        <v/>
      </c>
      <c r="B17" s="20" t="str">
        <f aca="false">IF($A17="","",작업목록!$D14)</f>
        <v/>
      </c>
      <c r="C17" s="21" t="str">
        <f aca="false">IF($A17="","",작업목록!$E14)</f>
        <v/>
      </c>
      <c r="D17" s="21" t="str">
        <f aca="false">IF($A17="","",작업목록!$F14)</f>
        <v/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customFormat="false" ht="15" hidden="false" customHeight="true" outlineLevel="0" collapsed="false">
      <c r="A18" s="20" t="str">
        <f aca="false">IF(작업목록!$C15="","",작업목록!$C15)</f>
        <v/>
      </c>
      <c r="B18" s="20" t="str">
        <f aca="false">IF($A18="","",작업목록!$D15)</f>
        <v/>
      </c>
      <c r="C18" s="21" t="str">
        <f aca="false">IF($A18="","",작업목록!$E15)</f>
        <v/>
      </c>
      <c r="D18" s="21" t="str">
        <f aca="false">IF($A18="","",작업목록!$F15)</f>
        <v/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customFormat="false" ht="15" hidden="false" customHeight="true" outlineLevel="0" collapsed="false">
      <c r="A19" s="20" t="str">
        <f aca="false">IF(작업목록!$C16="","",작업목록!$C16)</f>
        <v/>
      </c>
      <c r="B19" s="20" t="str">
        <f aca="false">IF($A19="","",작업목록!$D16)</f>
        <v/>
      </c>
      <c r="C19" s="21" t="str">
        <f aca="false">IF($A19="","",작업목록!$E16)</f>
        <v/>
      </c>
      <c r="D19" s="21" t="str">
        <f aca="false">IF($A19="","",작업목록!$F16)</f>
        <v/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customFormat="false" ht="15" hidden="false" customHeight="true" outlineLevel="0" collapsed="false">
      <c r="A20" s="20" t="str">
        <f aca="false">IF(작업목록!$C17="","",작업목록!$C17)</f>
        <v/>
      </c>
      <c r="B20" s="20" t="str">
        <f aca="false">IF($A20="","",작업목록!$D17)</f>
        <v/>
      </c>
      <c r="C20" s="21" t="str">
        <f aca="false">IF($A20="","",작업목록!$E17)</f>
        <v/>
      </c>
      <c r="D20" s="21" t="str">
        <f aca="false">IF($A20="","",작업목록!$F17)</f>
        <v/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customFormat="false" ht="15" hidden="false" customHeight="true" outlineLevel="0" collapsed="false">
      <c r="A21" s="20" t="str">
        <f aca="false">IF(작업목록!$C18="","",작업목록!$C18)</f>
        <v/>
      </c>
      <c r="B21" s="20" t="str">
        <f aca="false">IF($A21="","",작업목록!$D18)</f>
        <v/>
      </c>
      <c r="C21" s="21" t="str">
        <f aca="false">IF($A21="","",작업목록!$E18)</f>
        <v/>
      </c>
      <c r="D21" s="21" t="str">
        <f aca="false">IF($A21="","",작업목록!$F18)</f>
        <v/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customFormat="false" ht="15" hidden="false" customHeight="true" outlineLevel="0" collapsed="false">
      <c r="A22" s="20" t="str">
        <f aca="false">IF(작업목록!$C19="","",작업목록!$C19)</f>
        <v/>
      </c>
      <c r="B22" s="20" t="str">
        <f aca="false">IF($A22="","",작업목록!$D19)</f>
        <v/>
      </c>
      <c r="C22" s="21" t="str">
        <f aca="false">IF($A22="","",작업목록!$E19)</f>
        <v/>
      </c>
      <c r="D22" s="21" t="str">
        <f aca="false">IF($A22="","",작업목록!$F19)</f>
        <v/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customFormat="false" ht="15" hidden="false" customHeight="true" outlineLevel="0" collapsed="false">
      <c r="A23" s="20" t="str">
        <f aca="false">IF(작업목록!$C20="","",작업목록!$C20)</f>
        <v/>
      </c>
      <c r="B23" s="20" t="str">
        <f aca="false">IF($A23="","",작업목록!$D20)</f>
        <v/>
      </c>
      <c r="C23" s="21" t="str">
        <f aca="false">IF($A23="","",작업목록!$E20)</f>
        <v/>
      </c>
      <c r="D23" s="21" t="str">
        <f aca="false">IF($A23="","",작업목록!$F20)</f>
        <v/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customFormat="false" ht="15" hidden="false" customHeight="true" outlineLevel="0" collapsed="false">
      <c r="A24" s="20" t="str">
        <f aca="false">IF(작업목록!$C21="","",작업목록!$C21)</f>
        <v/>
      </c>
      <c r="B24" s="20" t="str">
        <f aca="false">IF($A24="","",작업목록!$D21)</f>
        <v/>
      </c>
      <c r="C24" s="21" t="str">
        <f aca="false">IF($A24="","",작업목록!$E21)</f>
        <v/>
      </c>
      <c r="D24" s="21" t="str">
        <f aca="false">IF($A24="","",작업목록!$F21)</f>
        <v/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customFormat="false" ht="15" hidden="false" customHeight="true" outlineLevel="0" collapsed="false">
      <c r="A25" s="20" t="str">
        <f aca="false">IF(작업목록!$C22="","",작업목록!$C22)</f>
        <v/>
      </c>
      <c r="B25" s="20" t="str">
        <f aca="false">IF($A25="","",작업목록!$D22)</f>
        <v/>
      </c>
      <c r="C25" s="21" t="str">
        <f aca="false">IF($A25="","",작업목록!$E22)</f>
        <v/>
      </c>
      <c r="D25" s="21" t="str">
        <f aca="false">IF($A25="","",작업목록!$F22)</f>
        <v/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customFormat="false" ht="15" hidden="false" customHeight="true" outlineLevel="0" collapsed="false">
      <c r="A26" s="20" t="str">
        <f aca="false">IF(작업목록!$C23="","",작업목록!$C23)</f>
        <v/>
      </c>
      <c r="B26" s="20" t="str">
        <f aca="false">IF($A26="","",작업목록!$D23)</f>
        <v/>
      </c>
      <c r="C26" s="21" t="str">
        <f aca="false">IF($A26="","",작업목록!$E23)</f>
        <v/>
      </c>
      <c r="D26" s="21" t="str">
        <f aca="false">IF($A26="","",작업목록!$F23)</f>
        <v/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customFormat="false" ht="15" hidden="false" customHeight="true" outlineLevel="0" collapsed="false">
      <c r="A27" s="20" t="str">
        <f aca="false">IF(작업목록!$C24="","",작업목록!$C24)</f>
        <v/>
      </c>
      <c r="B27" s="20" t="str">
        <f aca="false">IF($A27="","",작업목록!$D24)</f>
        <v/>
      </c>
      <c r="C27" s="21" t="str">
        <f aca="false">IF($A27="","",작업목록!$E24)</f>
        <v/>
      </c>
      <c r="D27" s="21" t="str">
        <f aca="false">IF($A27="","",작업목록!$F24)</f>
        <v/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customFormat="false" ht="15" hidden="false" customHeight="true" outlineLevel="0" collapsed="false">
      <c r="A28" s="20" t="str">
        <f aca="false">IF(작업목록!$C25="","",작업목록!$C25)</f>
        <v/>
      </c>
      <c r="B28" s="20" t="str">
        <f aca="false">IF($A28="","",작업목록!$D25)</f>
        <v/>
      </c>
      <c r="C28" s="21" t="str">
        <f aca="false">IF($A28="","",작업목록!$E25)</f>
        <v/>
      </c>
      <c r="D28" s="21" t="str">
        <f aca="false">IF($A28="","",작업목록!$F25)</f>
        <v/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customFormat="false" ht="15" hidden="false" customHeight="true" outlineLevel="0" collapsed="false">
      <c r="A29" s="20" t="str">
        <f aca="false">IF(작업목록!$C26="","",작업목록!$C26)</f>
        <v/>
      </c>
      <c r="B29" s="20" t="str">
        <f aca="false">IF($A29="","",작업목록!$D26)</f>
        <v/>
      </c>
      <c r="C29" s="21" t="str">
        <f aca="false">IF($A29="","",작업목록!$E26)</f>
        <v/>
      </c>
      <c r="D29" s="21" t="str">
        <f aca="false">IF($A29="","",작업목록!$F26)</f>
        <v/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customFormat="false" ht="15" hidden="false" customHeight="true" outlineLevel="0" collapsed="false">
      <c r="A30" s="20" t="str">
        <f aca="false">IF(작업목록!$C27="","",작업목록!$C27)</f>
        <v/>
      </c>
      <c r="B30" s="20" t="str">
        <f aca="false">IF($A30="","",작업목록!$D27)</f>
        <v/>
      </c>
      <c r="C30" s="21" t="str">
        <f aca="false">IF($A30="","",작업목록!$E27)</f>
        <v/>
      </c>
      <c r="D30" s="21" t="str">
        <f aca="false">IF($A30="","",작업목록!$F27)</f>
        <v/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customFormat="false" ht="15" hidden="false" customHeight="true" outlineLevel="0" collapsed="false">
      <c r="A31" s="20" t="str">
        <f aca="false">IF(작업목록!$C28="","",작업목록!$C28)</f>
        <v/>
      </c>
      <c r="B31" s="20" t="str">
        <f aca="false">IF($A31="","",작업목록!$D28)</f>
        <v/>
      </c>
      <c r="C31" s="21" t="str">
        <f aca="false">IF($A31="","",작업목록!$E28)</f>
        <v/>
      </c>
      <c r="D31" s="21" t="str">
        <f aca="false">IF($A31="","",작업목록!$F28)</f>
        <v/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customFormat="false" ht="15" hidden="false" customHeight="true" outlineLevel="0" collapsed="false">
      <c r="A32" s="20" t="str">
        <f aca="false">IF(작업목록!$C29="","",작업목록!$C29)</f>
        <v/>
      </c>
      <c r="B32" s="20" t="str">
        <f aca="false">IF($A32="","",작업목록!$D29)</f>
        <v/>
      </c>
      <c r="C32" s="21" t="str">
        <f aca="false">IF($A32="","",작업목록!$E29)</f>
        <v/>
      </c>
      <c r="D32" s="21" t="str">
        <f aca="false">IF($A32="","",작업목록!$F29)</f>
        <v/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customFormat="false" ht="15" hidden="false" customHeight="true" outlineLevel="0" collapsed="false">
      <c r="A33" s="20" t="str">
        <f aca="false">IF(작업목록!$C30="","",작업목록!$C30)</f>
        <v/>
      </c>
      <c r="B33" s="20" t="str">
        <f aca="false">IF($A33="","",작업목록!$D30)</f>
        <v/>
      </c>
      <c r="C33" s="21" t="str">
        <f aca="false">IF($A33="","",작업목록!$E30)</f>
        <v/>
      </c>
      <c r="D33" s="21" t="str">
        <f aca="false">IF($A33="","",작업목록!$F30)</f>
        <v/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customFormat="false" ht="15" hidden="false" customHeight="true" outlineLevel="0" collapsed="false">
      <c r="A34" s="20" t="str">
        <f aca="false">IF(작업목록!$C31="","",작업목록!$C31)</f>
        <v/>
      </c>
      <c r="B34" s="20" t="str">
        <f aca="false">IF($A34="","",작업목록!$D31)</f>
        <v/>
      </c>
      <c r="C34" s="21" t="str">
        <f aca="false">IF($A34="","",작업목록!$E31)</f>
        <v/>
      </c>
      <c r="D34" s="21" t="str">
        <f aca="false">IF($A34="","",작업목록!$F31)</f>
        <v/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customFormat="false" ht="15" hidden="false" customHeight="true" outlineLevel="0" collapsed="false">
      <c r="A35" s="20" t="str">
        <f aca="false">IF(작업목록!$C32="","",작업목록!$C32)</f>
        <v/>
      </c>
      <c r="B35" s="20" t="str">
        <f aca="false">IF($A35="","",작업목록!$D32)</f>
        <v/>
      </c>
      <c r="C35" s="21" t="str">
        <f aca="false">IF($A35="","",작업목록!$E32)</f>
        <v/>
      </c>
      <c r="D35" s="21" t="str">
        <f aca="false">IF($A35="","",작업목록!$F32)</f>
        <v/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customFormat="false" ht="15" hidden="false" customHeight="true" outlineLevel="0" collapsed="false">
      <c r="A36" s="20" t="str">
        <f aca="false">IF(작업목록!$C33="","",작업목록!$C33)</f>
        <v/>
      </c>
      <c r="B36" s="20" t="str">
        <f aca="false">IF($A36="","",작업목록!$D33)</f>
        <v/>
      </c>
      <c r="C36" s="21" t="str">
        <f aca="false">IF($A36="","",작업목록!$E33)</f>
        <v/>
      </c>
      <c r="D36" s="21" t="str">
        <f aca="false">IF($A36="","",작업목록!$F33)</f>
        <v/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customFormat="false" ht="15" hidden="false" customHeight="true" outlineLevel="0" collapsed="false">
      <c r="A37" s="20" t="str">
        <f aca="false">IF(작업목록!$C34="","",작업목록!$C34)</f>
        <v/>
      </c>
      <c r="B37" s="20" t="str">
        <f aca="false">IF($A37="","",작업목록!$D34)</f>
        <v/>
      </c>
      <c r="C37" s="21" t="str">
        <f aca="false">IF($A37="","",작업목록!$E34)</f>
        <v/>
      </c>
      <c r="D37" s="21" t="str">
        <f aca="false">IF($A37="","",작업목록!$F34)</f>
        <v/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customFormat="false" ht="15" hidden="false" customHeight="true" outlineLevel="0" collapsed="false">
      <c r="A38" s="20" t="str">
        <f aca="false">IF(작업목록!$C35="","",작업목록!$C35)</f>
        <v/>
      </c>
      <c r="B38" s="20" t="str">
        <f aca="false">IF($A38="","",작업목록!$D35)</f>
        <v/>
      </c>
      <c r="C38" s="21" t="str">
        <f aca="false">IF($A38="","",작업목록!$E35)</f>
        <v/>
      </c>
      <c r="D38" s="21" t="str">
        <f aca="false">IF($A38="","",작업목록!$F35)</f>
        <v/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customFormat="false" ht="15" hidden="false" customHeight="true" outlineLevel="0" collapsed="false">
      <c r="A39" s="20" t="str">
        <f aca="false">IF(작업목록!$C36="","",작업목록!$C36)</f>
        <v/>
      </c>
      <c r="B39" s="20" t="str">
        <f aca="false">IF($A39="","",작업목록!$D36)</f>
        <v/>
      </c>
      <c r="C39" s="21" t="str">
        <f aca="false">IF($A39="","",작업목록!$E36)</f>
        <v/>
      </c>
      <c r="D39" s="21" t="str">
        <f aca="false">IF($A39="","",작업목록!$F36)</f>
        <v/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customFormat="false" ht="15" hidden="false" customHeight="true" outlineLevel="0" collapsed="false">
      <c r="A40" s="20" t="str">
        <f aca="false">IF(작업목록!$C37="","",작업목록!$C37)</f>
        <v/>
      </c>
      <c r="B40" s="20" t="str">
        <f aca="false">IF($A40="","",작업목록!$D37)</f>
        <v/>
      </c>
      <c r="C40" s="21" t="str">
        <f aca="false">IF($A40="","",작업목록!$E37)</f>
        <v/>
      </c>
      <c r="D40" s="21" t="str">
        <f aca="false">IF($A40="","",작업목록!$F37)</f>
        <v/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customFormat="false" ht="15" hidden="false" customHeight="true" outlineLevel="0" collapsed="false">
      <c r="A41" s="20" t="str">
        <f aca="false">IF(작업목록!$C38="","",작업목록!$C38)</f>
        <v/>
      </c>
      <c r="B41" s="20" t="str">
        <f aca="false">IF($A41="","",작업목록!$D38)</f>
        <v/>
      </c>
      <c r="C41" s="21" t="str">
        <f aca="false">IF($A41="","",작업목록!$E38)</f>
        <v/>
      </c>
      <c r="D41" s="21" t="str">
        <f aca="false">IF($A41="","",작업목록!$F38)</f>
        <v/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customFormat="false" ht="15" hidden="false" customHeight="true" outlineLevel="0" collapsed="false">
      <c r="A42" s="20" t="str">
        <f aca="false">IF(작업목록!$C39="","",작업목록!$C39)</f>
        <v/>
      </c>
      <c r="B42" s="20" t="str">
        <f aca="false">IF($A42="","",작업목록!$D39)</f>
        <v/>
      </c>
      <c r="C42" s="21" t="str">
        <f aca="false">IF($A42="","",작업목록!$E39)</f>
        <v/>
      </c>
      <c r="D42" s="21" t="str">
        <f aca="false">IF($A42="","",작업목록!$F39)</f>
        <v/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customFormat="false" ht="15" hidden="false" customHeight="true" outlineLevel="0" collapsed="false">
      <c r="A43" s="20" t="str">
        <f aca="false">IF(작업목록!$C40="","",작업목록!$C40)</f>
        <v/>
      </c>
      <c r="B43" s="20" t="str">
        <f aca="false">IF($A43="","",작업목록!$D40)</f>
        <v/>
      </c>
      <c r="C43" s="21" t="str">
        <f aca="false">IF($A43="","",작업목록!$E40)</f>
        <v/>
      </c>
      <c r="D43" s="21" t="str">
        <f aca="false">IF($A43="","",작업목록!$F40)</f>
        <v/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customFormat="false" ht="15" hidden="false" customHeight="true" outlineLevel="0" collapsed="false">
      <c r="A44" s="20" t="str">
        <f aca="false">IF(작업목록!$C41="","",작업목록!$C41)</f>
        <v/>
      </c>
      <c r="B44" s="20" t="str">
        <f aca="false">IF($A44="","",작업목록!$D41)</f>
        <v/>
      </c>
      <c r="C44" s="21" t="str">
        <f aca="false">IF($A44="","",작업목록!$E41)</f>
        <v/>
      </c>
      <c r="D44" s="21" t="str">
        <f aca="false">IF($A44="","",작업목록!$F41)</f>
        <v/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customFormat="false" ht="15" hidden="false" customHeight="true" outlineLevel="0" collapsed="false">
      <c r="A45" s="20" t="str">
        <f aca="false">IF(작업목록!$C42="","",작업목록!$C42)</f>
        <v/>
      </c>
      <c r="B45" s="20" t="str">
        <f aca="false">IF($A45="","",작업목록!$D42)</f>
        <v/>
      </c>
      <c r="C45" s="21" t="str">
        <f aca="false">IF($A45="","",작업목록!$E42)</f>
        <v/>
      </c>
      <c r="D45" s="21" t="str">
        <f aca="false">IF($A45="","",작업목록!$F42)</f>
        <v/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customFormat="false" ht="15" hidden="false" customHeight="true" outlineLevel="0" collapsed="false">
      <c r="A46" s="20" t="str">
        <f aca="false">IF(작업목록!$C43="","",작업목록!$C43)</f>
        <v/>
      </c>
      <c r="B46" s="20" t="str">
        <f aca="false">IF($A46="","",작업목록!$D43)</f>
        <v/>
      </c>
      <c r="C46" s="21" t="str">
        <f aca="false">IF($A46="","",작업목록!$E43)</f>
        <v/>
      </c>
      <c r="D46" s="21" t="str">
        <f aca="false">IF($A46="","",작업목록!$F43)</f>
        <v/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customFormat="false" ht="15" hidden="false" customHeight="true" outlineLevel="0" collapsed="false">
      <c r="A47" s="20" t="str">
        <f aca="false">IF(작업목록!$C44="","",작업목록!$C44)</f>
        <v/>
      </c>
      <c r="B47" s="20" t="str">
        <f aca="false">IF($A47="","",작업목록!$D44)</f>
        <v/>
      </c>
      <c r="C47" s="21" t="str">
        <f aca="false">IF($A47="","",작업목록!$E44)</f>
        <v/>
      </c>
      <c r="D47" s="21" t="str">
        <f aca="false">IF($A47="","",작업목록!$F44)</f>
        <v/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customFormat="false" ht="15" hidden="false" customHeight="true" outlineLevel="0" collapsed="false">
      <c r="A48" s="20" t="str">
        <f aca="false">IF(작업목록!$C45="","",작업목록!$C45)</f>
        <v/>
      </c>
      <c r="B48" s="20" t="str">
        <f aca="false">IF($A48="","",작업목록!$D45)</f>
        <v/>
      </c>
      <c r="C48" s="21" t="str">
        <f aca="false">IF($A48="","",작업목록!$E45)</f>
        <v/>
      </c>
      <c r="D48" s="21" t="str">
        <f aca="false">IF($A48="","",작업목록!$F45)</f>
        <v/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customFormat="false" ht="15" hidden="false" customHeight="true" outlineLevel="0" collapsed="false">
      <c r="A49" s="20" t="str">
        <f aca="false">IF(작업목록!$C46="","",작업목록!$C46)</f>
        <v/>
      </c>
      <c r="B49" s="20" t="str">
        <f aca="false">IF($A49="","",작업목록!$D46)</f>
        <v/>
      </c>
      <c r="C49" s="21" t="str">
        <f aca="false">IF($A49="","",작업목록!$E46)</f>
        <v/>
      </c>
      <c r="D49" s="21" t="str">
        <f aca="false">IF($A49="","",작업목록!$F46)</f>
        <v/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customFormat="false" ht="15" hidden="false" customHeight="true" outlineLevel="0" collapsed="false">
      <c r="A50" s="20" t="str">
        <f aca="false">IF(작업목록!$C47="","",작업목록!$C47)</f>
        <v/>
      </c>
      <c r="B50" s="20" t="str">
        <f aca="false">IF($A50="","",작업목록!$D47)</f>
        <v/>
      </c>
      <c r="C50" s="21" t="str">
        <f aca="false">IF($A50="","",작업목록!$E47)</f>
        <v/>
      </c>
      <c r="D50" s="21" t="str">
        <f aca="false">IF($A50="","",작업목록!$F47)</f>
        <v/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customFormat="false" ht="15" hidden="false" customHeight="true" outlineLevel="0" collapsed="false">
      <c r="A51" s="20" t="str">
        <f aca="false">IF(작업목록!$C48="","",작업목록!$C48)</f>
        <v/>
      </c>
      <c r="B51" s="20" t="str">
        <f aca="false">IF($A51="","",작업목록!$D48)</f>
        <v/>
      </c>
      <c r="C51" s="21" t="str">
        <f aca="false">IF($A51="","",작업목록!$E48)</f>
        <v/>
      </c>
      <c r="D51" s="21" t="str">
        <f aca="false">IF($A51="","",작업목록!$F48)</f>
        <v/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customFormat="false" ht="15" hidden="false" customHeight="true" outlineLevel="0" collapsed="false">
      <c r="A52" s="20" t="str">
        <f aca="false">IF(작업목록!$C49="","",작업목록!$C49)</f>
        <v/>
      </c>
      <c r="B52" s="20" t="str">
        <f aca="false">IF($A52="","",작업목록!$D49)</f>
        <v/>
      </c>
      <c r="C52" s="21" t="str">
        <f aca="false">IF($A52="","",작업목록!$E49)</f>
        <v/>
      </c>
      <c r="D52" s="21" t="str">
        <f aca="false">IF($A52="","",작업목록!$F49)</f>
        <v/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customFormat="false" ht="15" hidden="false" customHeight="true" outlineLevel="0" collapsed="false">
      <c r="A53" s="20" t="str">
        <f aca="false">IF(작업목록!$C50="","",작업목록!$C50)</f>
        <v/>
      </c>
      <c r="B53" s="20" t="str">
        <f aca="false">IF($A53="","",작업목록!$D50)</f>
        <v/>
      </c>
      <c r="C53" s="21" t="str">
        <f aca="false">IF($A53="","",작업목록!$E50)</f>
        <v/>
      </c>
      <c r="D53" s="21" t="str">
        <f aca="false">IF($A53="","",작업목록!$F50)</f>
        <v/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customFormat="false" ht="15" hidden="false" customHeight="true" outlineLevel="0" collapsed="false">
      <c r="A54" s="20" t="str">
        <f aca="false">IF(작업목록!$C51="","",작업목록!$C51)</f>
        <v/>
      </c>
      <c r="B54" s="20" t="str">
        <f aca="false">IF($A54="","",작업목록!$D51)</f>
        <v/>
      </c>
      <c r="C54" s="21" t="str">
        <f aca="false">IF($A54="","",작업목록!$E51)</f>
        <v/>
      </c>
      <c r="D54" s="21" t="str">
        <f aca="false">IF($A54="","",작업목록!$F51)</f>
        <v/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customFormat="false" ht="15" hidden="false" customHeight="true" outlineLevel="0" collapsed="false">
      <c r="A55" s="20" t="str">
        <f aca="false">IF(작업목록!$C52="","",작업목록!$C52)</f>
        <v/>
      </c>
      <c r="B55" s="20" t="str">
        <f aca="false">IF($A55="","",작업목록!$D52)</f>
        <v/>
      </c>
      <c r="C55" s="21" t="str">
        <f aca="false">IF($A55="","",작업목록!$E52)</f>
        <v/>
      </c>
      <c r="D55" s="21" t="str">
        <f aca="false">IF($A55="","",작업목록!$F52)</f>
        <v/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customFormat="false" ht="15" hidden="false" customHeight="true" outlineLevel="0" collapsed="false">
      <c r="A56" s="20" t="str">
        <f aca="false">IF(작업목록!$C53="","",작업목록!$C53)</f>
        <v/>
      </c>
      <c r="B56" s="20" t="str">
        <f aca="false">IF($A56="","",작업목록!$D53)</f>
        <v/>
      </c>
      <c r="C56" s="21" t="str">
        <f aca="false">IF($A56="","",작업목록!$E53)</f>
        <v/>
      </c>
      <c r="D56" s="21" t="str">
        <f aca="false">IF($A56="","",작업목록!$F53)</f>
        <v/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customFormat="false" ht="15" hidden="false" customHeight="true" outlineLevel="0" collapsed="false">
      <c r="A57" s="20" t="str">
        <f aca="false">IF(작업목록!$C54="","",작업목록!$C54)</f>
        <v/>
      </c>
      <c r="B57" s="20" t="str">
        <f aca="false">IF($A57="","",작업목록!$D54)</f>
        <v/>
      </c>
      <c r="C57" s="21" t="str">
        <f aca="false">IF($A57="","",작업목록!$E54)</f>
        <v/>
      </c>
      <c r="D57" s="21" t="str">
        <f aca="false">IF($A57="","",작업목록!$F54)</f>
        <v/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customFormat="false" ht="15" hidden="false" customHeight="true" outlineLevel="0" collapsed="false">
      <c r="A58" s="20" t="str">
        <f aca="false">IF(작업목록!$C55="","",작업목록!$C55)</f>
        <v/>
      </c>
      <c r="B58" s="20" t="str">
        <f aca="false">IF($A58="","",작업목록!$D55)</f>
        <v/>
      </c>
      <c r="C58" s="21" t="str">
        <f aca="false">IF($A58="","",작업목록!$E55)</f>
        <v/>
      </c>
      <c r="D58" s="21" t="str">
        <f aca="false">IF($A58="","",작업목록!$F55)</f>
        <v/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customFormat="false" ht="15" hidden="false" customHeight="true" outlineLevel="0" collapsed="false">
      <c r="A59" s="20" t="str">
        <f aca="false">IF(작업목록!$C56="","",작업목록!$C56)</f>
        <v/>
      </c>
      <c r="B59" s="20" t="str">
        <f aca="false">IF($A59="","",작업목록!$D56)</f>
        <v/>
      </c>
      <c r="C59" s="21" t="str">
        <f aca="false">IF($A59="","",작업목록!$E56)</f>
        <v/>
      </c>
      <c r="D59" s="21" t="str">
        <f aca="false">IF($A59="","",작업목록!$F56)</f>
        <v/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customFormat="false" ht="15" hidden="false" customHeight="true" outlineLevel="0" collapsed="false">
      <c r="A60" s="20" t="str">
        <f aca="false">IF(작업목록!$C57="","",작업목록!$C57)</f>
        <v/>
      </c>
      <c r="B60" s="20" t="str">
        <f aca="false">IF($A60="","",작업목록!$D57)</f>
        <v/>
      </c>
      <c r="C60" s="21" t="str">
        <f aca="false">IF($A60="","",작업목록!$E57)</f>
        <v/>
      </c>
      <c r="D60" s="21" t="str">
        <f aca="false">IF($A60="","",작업목록!$F57)</f>
        <v/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customFormat="false" ht="15" hidden="false" customHeight="true" outlineLevel="0" collapsed="false">
      <c r="A61" s="20" t="str">
        <f aca="false">IF(작업목록!$C58="","",작업목록!$C58)</f>
        <v/>
      </c>
      <c r="B61" s="20" t="str">
        <f aca="false">IF($A61="","",작업목록!$D58)</f>
        <v/>
      </c>
      <c r="C61" s="21" t="str">
        <f aca="false">IF($A61="","",작업목록!$E58)</f>
        <v/>
      </c>
      <c r="D61" s="21" t="str">
        <f aca="false">IF($A61="","",작업목록!$F58)</f>
        <v/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customFormat="false" ht="15" hidden="false" customHeight="true" outlineLevel="0" collapsed="false">
      <c r="A62" s="20" t="str">
        <f aca="false">IF(작업목록!$C59="","",작업목록!$C59)</f>
        <v/>
      </c>
      <c r="B62" s="20" t="str">
        <f aca="false">IF($A62="","",작업목록!$D59)</f>
        <v/>
      </c>
      <c r="C62" s="21" t="str">
        <f aca="false">IF($A62="","",작업목록!$E59)</f>
        <v/>
      </c>
      <c r="D62" s="21" t="str">
        <f aca="false">IF($A62="","",작업목록!$F59)</f>
        <v/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customFormat="false" ht="15" hidden="false" customHeight="true" outlineLevel="0" collapsed="false">
      <c r="A63" s="20" t="str">
        <f aca="false">IF(작업목록!$C60="","",작업목록!$C60)</f>
        <v/>
      </c>
      <c r="B63" s="20" t="str">
        <f aca="false">IF($A63="","",작업목록!$D60)</f>
        <v/>
      </c>
      <c r="C63" s="21" t="str">
        <f aca="false">IF($A63="","",작업목록!$E60)</f>
        <v/>
      </c>
      <c r="D63" s="21" t="str">
        <f aca="false">IF($A63="","",작업목록!$F60)</f>
        <v/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customFormat="false" ht="15" hidden="false" customHeight="true" outlineLevel="0" collapsed="false">
      <c r="A64" s="20" t="str">
        <f aca="false">IF(작업목록!$C61="","",작업목록!$C61)</f>
        <v/>
      </c>
      <c r="B64" s="20" t="str">
        <f aca="false">IF($A64="","",작업목록!$D61)</f>
        <v/>
      </c>
      <c r="C64" s="21" t="str">
        <f aca="false">IF($A64="","",작업목록!$E61)</f>
        <v/>
      </c>
      <c r="D64" s="21" t="str">
        <f aca="false">IF($A64="","",작업목록!$F61)</f>
        <v/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customFormat="false" ht="15" hidden="false" customHeight="true" outlineLevel="0" collapsed="false">
      <c r="A65" s="20" t="str">
        <f aca="false">IF(작업목록!$C62="","",작업목록!$C62)</f>
        <v/>
      </c>
      <c r="B65" s="20" t="str">
        <f aca="false">IF($A65="","",작업목록!$D62)</f>
        <v/>
      </c>
      <c r="C65" s="21" t="str">
        <f aca="false">IF($A65="","",작업목록!$E62)</f>
        <v/>
      </c>
      <c r="D65" s="21" t="str">
        <f aca="false">IF($A65="","",작업목록!$F62)</f>
        <v/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customFormat="false" ht="15" hidden="false" customHeight="true" outlineLevel="0" collapsed="false">
      <c r="A66" s="20" t="str">
        <f aca="false">IF(작업목록!$C63="","",작업목록!$C63)</f>
        <v/>
      </c>
      <c r="B66" s="20" t="str">
        <f aca="false">IF($A66="","",작업목록!$D63)</f>
        <v/>
      </c>
      <c r="C66" s="21" t="str">
        <f aca="false">IF($A66="","",작업목록!$E63)</f>
        <v/>
      </c>
      <c r="D66" s="21" t="str">
        <f aca="false">IF($A66="","",작업목록!$F63)</f>
        <v/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customFormat="false" ht="15" hidden="false" customHeight="true" outlineLevel="0" collapsed="false">
      <c r="A67" s="20" t="str">
        <f aca="false">IF(작업목록!$C64="","",작업목록!$C64)</f>
        <v/>
      </c>
      <c r="B67" s="20" t="str">
        <f aca="false">IF($A67="","",작업목록!$D64)</f>
        <v/>
      </c>
      <c r="C67" s="21" t="str">
        <f aca="false">IF($A67="","",작업목록!$E64)</f>
        <v/>
      </c>
      <c r="D67" s="21" t="str">
        <f aca="false">IF($A67="","",작업목록!$F64)</f>
        <v/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customFormat="false" ht="15" hidden="false" customHeight="true" outlineLevel="0" collapsed="false">
      <c r="A68" s="20" t="str">
        <f aca="false">IF(작업목록!$C65="","",작업목록!$C65)</f>
        <v/>
      </c>
      <c r="B68" s="20" t="str">
        <f aca="false">IF($A68="","",작업목록!$D65)</f>
        <v/>
      </c>
      <c r="C68" s="21" t="str">
        <f aca="false">IF($A68="","",작업목록!$E65)</f>
        <v/>
      </c>
      <c r="D68" s="21" t="str">
        <f aca="false">IF($A68="","",작업목록!$F65)</f>
        <v/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customFormat="false" ht="15" hidden="false" customHeight="true" outlineLevel="0" collapsed="false">
      <c r="A69" s="20" t="str">
        <f aca="false">IF(작업목록!$C66="","",작업목록!$C66)</f>
        <v/>
      </c>
      <c r="B69" s="20" t="str">
        <f aca="false">IF($A69="","",작업목록!$D66)</f>
        <v/>
      </c>
      <c r="C69" s="21" t="str">
        <f aca="false">IF($A69="","",작업목록!$E66)</f>
        <v/>
      </c>
      <c r="D69" s="21" t="str">
        <f aca="false">IF($A69="","",작업목록!$F66)</f>
        <v/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customFormat="false" ht="15" hidden="false" customHeight="true" outlineLevel="0" collapsed="false">
      <c r="A70" s="20" t="str">
        <f aca="false">IF(작업목록!$C67="","",작업목록!$C67)</f>
        <v/>
      </c>
      <c r="B70" s="20" t="str">
        <f aca="false">IF($A70="","",작업목록!$D67)</f>
        <v/>
      </c>
      <c r="C70" s="21" t="str">
        <f aca="false">IF($A70="","",작업목록!$E67)</f>
        <v/>
      </c>
      <c r="D70" s="21" t="str">
        <f aca="false">IF($A70="","",작업목록!$F67)</f>
        <v/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customFormat="false" ht="15" hidden="false" customHeight="true" outlineLevel="0" collapsed="false">
      <c r="A71" s="20" t="str">
        <f aca="false">IF(작업목록!$C68="","",작업목록!$C68)</f>
        <v/>
      </c>
      <c r="B71" s="20" t="str">
        <f aca="false">IF($A71="","",작업목록!$D68)</f>
        <v/>
      </c>
      <c r="C71" s="21" t="str">
        <f aca="false">IF($A71="","",작업목록!$E68)</f>
        <v/>
      </c>
      <c r="D71" s="21" t="str">
        <f aca="false">IF($A71="","",작업목록!$F68)</f>
        <v/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customFormat="false" ht="15" hidden="false" customHeight="true" outlineLevel="0" collapsed="false">
      <c r="A72" s="20" t="str">
        <f aca="false">IF(작업목록!$C69="","",작업목록!$C69)</f>
        <v/>
      </c>
      <c r="B72" s="20" t="str">
        <f aca="false">IF($A72="","",작업목록!$D69)</f>
        <v/>
      </c>
      <c r="C72" s="21" t="str">
        <f aca="false">IF($A72="","",작업목록!$E69)</f>
        <v/>
      </c>
      <c r="D72" s="21" t="str">
        <f aca="false">IF($A72="","",작업목록!$F69)</f>
        <v/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customFormat="false" ht="15" hidden="false" customHeight="true" outlineLevel="0" collapsed="false">
      <c r="A73" s="20" t="str">
        <f aca="false">IF(작업목록!$C70="","",작업목록!$C70)</f>
        <v/>
      </c>
      <c r="B73" s="20" t="str">
        <f aca="false">IF($A73="","",작업목록!$D70)</f>
        <v/>
      </c>
      <c r="C73" s="21" t="str">
        <f aca="false">IF($A73="","",작업목록!$E70)</f>
        <v/>
      </c>
      <c r="D73" s="21" t="str">
        <f aca="false">IF($A73="","",작업목록!$F70)</f>
        <v/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customFormat="false" ht="15" hidden="false" customHeight="true" outlineLevel="0" collapsed="false">
      <c r="A74" s="20" t="str">
        <f aca="false">IF(작업목록!$C71="","",작업목록!$C71)</f>
        <v/>
      </c>
      <c r="B74" s="20" t="str">
        <f aca="false">IF($A74="","",작업목록!$D71)</f>
        <v/>
      </c>
      <c r="C74" s="21" t="str">
        <f aca="false">IF($A74="","",작업목록!$E71)</f>
        <v/>
      </c>
      <c r="D74" s="21" t="str">
        <f aca="false">IF($A74="","",작업목록!$F71)</f>
        <v/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customFormat="false" ht="15" hidden="false" customHeight="true" outlineLevel="0" collapsed="false">
      <c r="A75" s="20" t="str">
        <f aca="false">IF(작업목록!$C72="","",작업목록!$C72)</f>
        <v/>
      </c>
      <c r="B75" s="20" t="str">
        <f aca="false">IF($A75="","",작업목록!$D72)</f>
        <v/>
      </c>
      <c r="C75" s="21" t="str">
        <f aca="false">IF($A75="","",작업목록!$E72)</f>
        <v/>
      </c>
      <c r="D75" s="21" t="str">
        <f aca="false">IF($A75="","",작업목록!$F72)</f>
        <v/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customFormat="false" ht="15" hidden="false" customHeight="true" outlineLevel="0" collapsed="false">
      <c r="A76" s="20" t="str">
        <f aca="false">IF(작업목록!$C73="","",작업목록!$C73)</f>
        <v/>
      </c>
      <c r="B76" s="20" t="str">
        <f aca="false">IF($A76="","",작업목록!$D73)</f>
        <v/>
      </c>
      <c r="C76" s="21" t="str">
        <f aca="false">IF($A76="","",작업목록!$E73)</f>
        <v/>
      </c>
      <c r="D76" s="21" t="str">
        <f aca="false">IF($A76="","",작업목록!$F73)</f>
        <v/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customFormat="false" ht="15" hidden="false" customHeight="true" outlineLevel="0" collapsed="false">
      <c r="A77" s="20" t="str">
        <f aca="false">IF(작업목록!$C74="","",작업목록!$C74)</f>
        <v/>
      </c>
      <c r="B77" s="20" t="str">
        <f aca="false">IF($A77="","",작업목록!$D74)</f>
        <v/>
      </c>
      <c r="C77" s="21" t="str">
        <f aca="false">IF($A77="","",작업목록!$E74)</f>
        <v/>
      </c>
      <c r="D77" s="21" t="str">
        <f aca="false">IF($A77="","",작업목록!$F74)</f>
        <v/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customFormat="false" ht="15" hidden="false" customHeight="true" outlineLevel="0" collapsed="false">
      <c r="A78" s="20" t="str">
        <f aca="false">IF(작업목록!$C75="","",작업목록!$C75)</f>
        <v/>
      </c>
      <c r="B78" s="20" t="str">
        <f aca="false">IF($A78="","",작업목록!$D75)</f>
        <v/>
      </c>
      <c r="C78" s="21" t="str">
        <f aca="false">IF($A78="","",작업목록!$E75)</f>
        <v/>
      </c>
      <c r="D78" s="21" t="str">
        <f aca="false">IF($A78="","",작업목록!$F75)</f>
        <v/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customFormat="false" ht="15" hidden="false" customHeight="true" outlineLevel="0" collapsed="false">
      <c r="A79" s="20" t="str">
        <f aca="false">IF(작업목록!$C76="","",작업목록!$C76)</f>
        <v/>
      </c>
      <c r="B79" s="20" t="str">
        <f aca="false">IF($A79="","",작업목록!$D76)</f>
        <v/>
      </c>
      <c r="C79" s="21" t="str">
        <f aca="false">IF($A79="","",작업목록!$E76)</f>
        <v/>
      </c>
      <c r="D79" s="21" t="str">
        <f aca="false">IF($A79="","",작업목록!$F76)</f>
        <v/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customFormat="false" ht="15" hidden="false" customHeight="true" outlineLevel="0" collapsed="false">
      <c r="A80" s="20" t="str">
        <f aca="false">IF(작업목록!$C77="","",작업목록!$C77)</f>
        <v/>
      </c>
      <c r="B80" s="20" t="str">
        <f aca="false">IF($A80="","",작업목록!$D77)</f>
        <v/>
      </c>
      <c r="C80" s="21" t="str">
        <f aca="false">IF($A80="","",작업목록!$E77)</f>
        <v/>
      </c>
      <c r="D80" s="21" t="str">
        <f aca="false">IF($A80="","",작업목록!$F77)</f>
        <v/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customFormat="false" ht="15" hidden="false" customHeight="true" outlineLevel="0" collapsed="false">
      <c r="A81" s="20" t="str">
        <f aca="false">IF(작업목록!$C78="","",작업목록!$C78)</f>
        <v/>
      </c>
      <c r="B81" s="20" t="str">
        <f aca="false">IF($A81="","",작업목록!$D78)</f>
        <v/>
      </c>
      <c r="C81" s="21" t="str">
        <f aca="false">IF($A81="","",작업목록!$E78)</f>
        <v/>
      </c>
      <c r="D81" s="21" t="str">
        <f aca="false">IF($A81="","",작업목록!$F78)</f>
        <v/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customFormat="false" ht="15" hidden="false" customHeight="true" outlineLevel="0" collapsed="false">
      <c r="A82" s="20" t="str">
        <f aca="false">IF(작업목록!$C79="","",작업목록!$C79)</f>
        <v/>
      </c>
      <c r="B82" s="20" t="str">
        <f aca="false">IF($A82="","",작업목록!$D79)</f>
        <v/>
      </c>
      <c r="C82" s="21" t="str">
        <f aca="false">IF($A82="","",작업목록!$E79)</f>
        <v/>
      </c>
      <c r="D82" s="21" t="str">
        <f aca="false">IF($A82="","",작업목록!$F79)</f>
        <v/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customFormat="false" ht="15" hidden="false" customHeight="true" outlineLevel="0" collapsed="false">
      <c r="A83" s="20" t="str">
        <f aca="false">IF(작업목록!$C80="","",작업목록!$C80)</f>
        <v/>
      </c>
      <c r="B83" s="20" t="str">
        <f aca="false">IF($A83="","",작업목록!$D80)</f>
        <v/>
      </c>
      <c r="C83" s="21" t="str">
        <f aca="false">IF($A83="","",작업목록!$E80)</f>
        <v/>
      </c>
      <c r="D83" s="21" t="str">
        <f aca="false">IF($A83="","",작업목록!$F80)</f>
        <v/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customFormat="false" ht="15" hidden="false" customHeight="true" outlineLevel="0" collapsed="false">
      <c r="A84" s="20" t="str">
        <f aca="false">IF(작업목록!$C81="","",작업목록!$C81)</f>
        <v/>
      </c>
      <c r="B84" s="20" t="str">
        <f aca="false">IF($A84="","",작업목록!$D81)</f>
        <v/>
      </c>
      <c r="C84" s="21" t="str">
        <f aca="false">IF($A84="","",작업목록!$E81)</f>
        <v/>
      </c>
      <c r="D84" s="21" t="str">
        <f aca="false">IF($A84="","",작업목록!$F81)</f>
        <v/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customFormat="false" ht="15" hidden="false" customHeight="true" outlineLevel="0" collapsed="false">
      <c r="A85" s="20" t="str">
        <f aca="false">IF(작업목록!$C82="","",작업목록!$C82)</f>
        <v/>
      </c>
      <c r="B85" s="20" t="str">
        <f aca="false">IF($A85="","",작업목록!$D82)</f>
        <v/>
      </c>
      <c r="C85" s="21" t="str">
        <f aca="false">IF($A85="","",작업목록!$E82)</f>
        <v/>
      </c>
      <c r="D85" s="21" t="str">
        <f aca="false">IF($A85="","",작업목록!$F82)</f>
        <v/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customFormat="false" ht="15" hidden="false" customHeight="true" outlineLevel="0" collapsed="false">
      <c r="A86" s="20" t="str">
        <f aca="false">IF(작업목록!$C83="","",작업목록!$C83)</f>
        <v/>
      </c>
      <c r="B86" s="20" t="str">
        <f aca="false">IF($A86="","",작업목록!$D83)</f>
        <v/>
      </c>
      <c r="C86" s="21" t="str">
        <f aca="false">IF($A86="","",작업목록!$E83)</f>
        <v/>
      </c>
      <c r="D86" s="21" t="str">
        <f aca="false">IF($A86="","",작업목록!$F83)</f>
        <v/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customFormat="false" ht="15" hidden="false" customHeight="true" outlineLevel="0" collapsed="false">
      <c r="A87" s="20" t="str">
        <f aca="false">IF(작업목록!$C84="","",작업목록!$C84)</f>
        <v/>
      </c>
      <c r="B87" s="20" t="str">
        <f aca="false">IF($A87="","",작업목록!$D84)</f>
        <v/>
      </c>
      <c r="C87" s="21" t="str">
        <f aca="false">IF($A87="","",작업목록!$E84)</f>
        <v/>
      </c>
      <c r="D87" s="21" t="str">
        <f aca="false">IF($A87="","",작업목록!$F84)</f>
        <v/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customFormat="false" ht="15" hidden="false" customHeight="true" outlineLevel="0" collapsed="false">
      <c r="A88" s="20" t="str">
        <f aca="false">IF(작업목록!$C85="","",작업목록!$C85)</f>
        <v/>
      </c>
      <c r="B88" s="20" t="str">
        <f aca="false">IF($A88="","",작업목록!$D85)</f>
        <v/>
      </c>
      <c r="C88" s="21" t="str">
        <f aca="false">IF($A88="","",작업목록!$E85)</f>
        <v/>
      </c>
      <c r="D88" s="21" t="str">
        <f aca="false">IF($A88="","",작업목록!$F85)</f>
        <v/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customFormat="false" ht="15" hidden="false" customHeight="true" outlineLevel="0" collapsed="false">
      <c r="A89" s="20" t="str">
        <f aca="false">IF(작업목록!$C86="","",작업목록!$C86)</f>
        <v/>
      </c>
      <c r="B89" s="20" t="str">
        <f aca="false">IF($A89="","",작업목록!$D86)</f>
        <v/>
      </c>
      <c r="C89" s="21" t="str">
        <f aca="false">IF($A89="","",작업목록!$E86)</f>
        <v/>
      </c>
      <c r="D89" s="21" t="str">
        <f aca="false">IF($A89="","",작업목록!$F86)</f>
        <v/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customFormat="false" ht="15" hidden="false" customHeight="true" outlineLevel="0" collapsed="false">
      <c r="A90" s="20" t="str">
        <f aca="false">IF(작업목록!$C87="","",작업목록!$C87)</f>
        <v/>
      </c>
      <c r="B90" s="20" t="str">
        <f aca="false">IF($A90="","",작업목록!$D87)</f>
        <v/>
      </c>
      <c r="C90" s="21" t="str">
        <f aca="false">IF($A90="","",작업목록!$E87)</f>
        <v/>
      </c>
      <c r="D90" s="21" t="str">
        <f aca="false">IF($A90="","",작업목록!$F87)</f>
        <v/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customFormat="false" ht="15" hidden="false" customHeight="true" outlineLevel="0" collapsed="false">
      <c r="A91" s="20" t="str">
        <f aca="false">IF(작업목록!$C88="","",작업목록!$C88)</f>
        <v/>
      </c>
      <c r="B91" s="20" t="str">
        <f aca="false">IF($A91="","",작업목록!$D88)</f>
        <v/>
      </c>
      <c r="C91" s="21" t="str">
        <f aca="false">IF($A91="","",작업목록!$E88)</f>
        <v/>
      </c>
      <c r="D91" s="21" t="str">
        <f aca="false">IF($A91="","",작업목록!$F88)</f>
        <v/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customFormat="false" ht="15" hidden="false" customHeight="true" outlineLevel="0" collapsed="false">
      <c r="A92" s="20" t="str">
        <f aca="false">IF(작업목록!$C89="","",작업목록!$C89)</f>
        <v/>
      </c>
      <c r="B92" s="20" t="str">
        <f aca="false">IF($A92="","",작업목록!$D89)</f>
        <v/>
      </c>
      <c r="C92" s="21" t="str">
        <f aca="false">IF($A92="","",작업목록!$E89)</f>
        <v/>
      </c>
      <c r="D92" s="21" t="str">
        <f aca="false">IF($A92="","",작업목록!$F89)</f>
        <v/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customFormat="false" ht="15" hidden="false" customHeight="true" outlineLevel="0" collapsed="false">
      <c r="A93" s="20" t="str">
        <f aca="false">IF(작업목록!$C90="","",작업목록!$C90)</f>
        <v/>
      </c>
      <c r="B93" s="20" t="str">
        <f aca="false">IF($A93="","",작업목록!$D90)</f>
        <v/>
      </c>
      <c r="C93" s="21" t="str">
        <f aca="false">IF($A93="","",작업목록!$E90)</f>
        <v/>
      </c>
      <c r="D93" s="21" t="str">
        <f aca="false">IF($A93="","",작업목록!$F90)</f>
        <v/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customFormat="false" ht="15" hidden="false" customHeight="true" outlineLevel="0" collapsed="false">
      <c r="A94" s="20" t="str">
        <f aca="false">IF(작업목록!$C91="","",작업목록!$C91)</f>
        <v/>
      </c>
      <c r="B94" s="20" t="str">
        <f aca="false">IF($A94="","",작업목록!$D91)</f>
        <v/>
      </c>
      <c r="C94" s="21" t="str">
        <f aca="false">IF($A94="","",작업목록!$E91)</f>
        <v/>
      </c>
      <c r="D94" s="21" t="str">
        <f aca="false">IF($A94="","",작업목록!$F91)</f>
        <v/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customFormat="false" ht="15" hidden="false" customHeight="true" outlineLevel="0" collapsed="false">
      <c r="A95" s="20" t="str">
        <f aca="false">IF(작업목록!$C92="","",작업목록!$C92)</f>
        <v/>
      </c>
      <c r="B95" s="20" t="str">
        <f aca="false">IF($A95="","",작업목록!$D92)</f>
        <v/>
      </c>
      <c r="C95" s="21" t="str">
        <f aca="false">IF($A95="","",작업목록!$E92)</f>
        <v/>
      </c>
      <c r="D95" s="21" t="str">
        <f aca="false">IF($A95="","",작업목록!$F92)</f>
        <v/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customFormat="false" ht="15" hidden="false" customHeight="true" outlineLevel="0" collapsed="false">
      <c r="A96" s="20" t="str">
        <f aca="false">IF(작업목록!$C93="","",작업목록!$C93)</f>
        <v/>
      </c>
      <c r="B96" s="20" t="str">
        <f aca="false">IF($A96="","",작업목록!$D93)</f>
        <v/>
      </c>
      <c r="C96" s="21" t="str">
        <f aca="false">IF($A96="","",작업목록!$E93)</f>
        <v/>
      </c>
      <c r="D96" s="21" t="str">
        <f aca="false">IF($A96="","",작업목록!$F93)</f>
        <v/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customFormat="false" ht="15" hidden="false" customHeight="true" outlineLevel="0" collapsed="false">
      <c r="A97" s="20" t="str">
        <f aca="false">IF(작업목록!$C94="","",작업목록!$C94)</f>
        <v/>
      </c>
      <c r="B97" s="20" t="str">
        <f aca="false">IF($A97="","",작업목록!$D94)</f>
        <v/>
      </c>
      <c r="C97" s="21" t="str">
        <f aca="false">IF($A97="","",작업목록!$E94)</f>
        <v/>
      </c>
      <c r="D97" s="21" t="str">
        <f aca="false">IF($A97="","",작업목록!$F94)</f>
        <v/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customFormat="false" ht="15" hidden="false" customHeight="true" outlineLevel="0" collapsed="false">
      <c r="A98" s="20" t="str">
        <f aca="false">IF(작업목록!$C95="","",작업목록!$C95)</f>
        <v/>
      </c>
      <c r="B98" s="20" t="str">
        <f aca="false">IF($A98="","",작업목록!$D95)</f>
        <v/>
      </c>
      <c r="C98" s="21" t="str">
        <f aca="false">IF($A98="","",작업목록!$E95)</f>
        <v/>
      </c>
      <c r="D98" s="21" t="str">
        <f aca="false">IF($A98="","",작업목록!$F95)</f>
        <v/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customFormat="false" ht="15" hidden="false" customHeight="true" outlineLevel="0" collapsed="false">
      <c r="A99" s="20" t="str">
        <f aca="false">IF(작업목록!$C96="","",작업목록!$C96)</f>
        <v/>
      </c>
      <c r="B99" s="20" t="str">
        <f aca="false">IF($A99="","",작업목록!$D96)</f>
        <v/>
      </c>
      <c r="C99" s="21" t="str">
        <f aca="false">IF($A99="","",작업목록!$E96)</f>
        <v/>
      </c>
      <c r="D99" s="21" t="str">
        <f aca="false">IF($A99="","",작업목록!$F96)</f>
        <v/>
      </c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customFormat="false" ht="15" hidden="false" customHeight="true" outlineLevel="0" collapsed="false">
      <c r="A100" s="20" t="str">
        <f aca="false">IF(작업목록!$C97="","",작업목록!$C97)</f>
        <v/>
      </c>
      <c r="B100" s="20" t="str">
        <f aca="false">IF($A100="","",작업목록!$D97)</f>
        <v/>
      </c>
      <c r="C100" s="21" t="str">
        <f aca="false">IF($A100="","",작업목록!$E97)</f>
        <v/>
      </c>
      <c r="D100" s="21" t="str">
        <f aca="false">IF($A100="","",작업목록!$F97)</f>
        <v/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customFormat="false" ht="15" hidden="false" customHeight="true" outlineLevel="0" collapsed="false">
      <c r="A101" s="20" t="str">
        <f aca="false">IF(작업목록!$C98="","",작업목록!$C98)</f>
        <v/>
      </c>
      <c r="B101" s="20" t="str">
        <f aca="false">IF($A101="","",작업목록!$D98)</f>
        <v/>
      </c>
      <c r="C101" s="21" t="str">
        <f aca="false">IF($A101="","",작업목록!$E98)</f>
        <v/>
      </c>
      <c r="D101" s="21" t="str">
        <f aca="false">IF($A101="","",작업목록!$F98)</f>
        <v/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customFormat="false" ht="15" hidden="false" customHeight="true" outlineLevel="0" collapsed="false">
      <c r="A102" s="20" t="str">
        <f aca="false">IF(작업목록!$C99="","",작업목록!$C99)</f>
        <v/>
      </c>
      <c r="B102" s="20" t="str">
        <f aca="false">IF($A102="","",작업목록!$D99)</f>
        <v/>
      </c>
      <c r="C102" s="21" t="str">
        <f aca="false">IF($A102="","",작업목록!$E99)</f>
        <v/>
      </c>
      <c r="D102" s="21" t="str">
        <f aca="false">IF($A102="","",작업목록!$F99)</f>
        <v/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customFormat="false" ht="15" hidden="false" customHeight="true" outlineLevel="0" collapsed="false">
      <c r="A103" s="20" t="str">
        <f aca="false">IF(작업목록!$C100="","",작업목록!$C100)</f>
        <v/>
      </c>
      <c r="B103" s="20" t="str">
        <f aca="false">IF($A103="","",작업목록!$D100)</f>
        <v/>
      </c>
      <c r="C103" s="21" t="str">
        <f aca="false">IF($A103="","",작업목록!$E100)</f>
        <v/>
      </c>
      <c r="D103" s="21" t="str">
        <f aca="false">IF($A103="","",작업목록!$F100)</f>
        <v/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customFormat="false" ht="15" hidden="false" customHeight="true" outlineLevel="0" collapsed="false">
      <c r="A104" s="20" t="str">
        <f aca="false">IF(작업목록!$C101="","",작업목록!$C101)</f>
        <v/>
      </c>
      <c r="B104" s="20" t="str">
        <f aca="false">IF($A104="","",작업목록!$D101)</f>
        <v/>
      </c>
      <c r="C104" s="21" t="str">
        <f aca="false">IF($A104="","",작업목록!$E101)</f>
        <v/>
      </c>
      <c r="D104" s="21" t="str">
        <f aca="false">IF($A104="","",작업목록!$F101)</f>
        <v/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customFormat="false" ht="15" hidden="false" customHeight="true" outlineLevel="0" collapsed="false">
      <c r="A105" s="20" t="str">
        <f aca="false">IF(작업목록!$C102="","",작업목록!$C102)</f>
        <v/>
      </c>
      <c r="B105" s="20" t="str">
        <f aca="false">IF($A105="","",작업목록!$D102)</f>
        <v/>
      </c>
      <c r="C105" s="21" t="str">
        <f aca="false">IF($A105="","",작업목록!$E102)</f>
        <v/>
      </c>
      <c r="D105" s="21" t="str">
        <f aca="false">IF($A105="","",작업목록!$F102)</f>
        <v/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7" customFormat="false" ht="15" hidden="false" customHeight="true" outlineLevel="0" collapsed="false">
      <c r="A107" s="5" t="s">
        <v>64</v>
      </c>
    </row>
  </sheetData>
  <mergeCells count="1">
    <mergeCell ref="A1:AD1"/>
  </mergeCells>
  <conditionalFormatting sqref="E6:AD105">
    <cfRule type="expression" priority="2" aboveAverage="0" equalAverage="0" bottom="0" percent="0" rank="0" text="" dxfId="2">
      <formula>AND($A6&lt;&gt;"",$C6&lt;&gt;"",$D6&lt;&gt;"",E$5+6&gt;=$C6,E$5&lt;=$D6,INDEX(작업목록!$I$3:$I$102,ROW()-5)="지연")</formula>
    </cfRule>
    <cfRule type="expression" priority="3" aboveAverage="0" equalAverage="0" bottom="0" percent="0" rank="0" text="" dxfId="3">
      <formula>AND($A6&lt;&gt;"",$C6&lt;&gt;"",$D6&lt;&gt;"",E$5+6&gt;=$C6,E$5&lt;=$D6,INDEX(작업목록!$H$3:$H$102,ROW()-5)&gt;=1)</formula>
    </cfRule>
    <cfRule type="expression" priority="4" aboveAverage="0" equalAverage="0" bottom="0" percent="0" rank="0" text="" dxfId="4">
      <formula>AND($A6&lt;&gt;"",$C6&lt;&gt;"",$D6&lt;&gt;"",E$5+6&gt;=$C6,E$5&lt;=$D6)</formula>
    </cfRule>
    <cfRule type="expression" priority="5" aboveAverage="0" equalAverage="0" bottom="0" percent="0" rank="0" text="" dxfId="5">
      <formula>AND(E$5&lt;=TODAY(),E$5+6&gt;=TODAY())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4"/>
  </cols>
  <sheetData>
    <row r="1" customFormat="false" ht="25.5" hidden="false" customHeight="true" outlineLevel="0" collapsed="false">
      <c r="A1" s="2" t="s">
        <v>65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6" t="s">
        <v>24</v>
      </c>
      <c r="B3" s="6" t="s">
        <v>25</v>
      </c>
      <c r="C3" s="6" t="s">
        <v>66</v>
      </c>
      <c r="D3" s="6" t="s">
        <v>67</v>
      </c>
      <c r="E3" s="6" t="s">
        <v>68</v>
      </c>
      <c r="F3" s="6" t="s">
        <v>69</v>
      </c>
      <c r="G3" s="6" t="s">
        <v>70</v>
      </c>
    </row>
    <row r="4" customFormat="false" ht="15" hidden="false" customHeight="true" outlineLevel="0" collapsed="false">
      <c r="A4" s="11" t="str">
        <f aca="false">IF(담당자목록!$A3="","",담당자목록!$A3)</f>
        <v>김담당</v>
      </c>
      <c r="B4" s="11" t="str">
        <f aca="false">IF($A4="","",담당자목록!$B3)</f>
        <v>기획팀</v>
      </c>
      <c r="C4" s="24" t="n">
        <f aca="false">IF($A4="","",COUNTIFS(작업목록!$D$3:$D$102,$A4))</f>
        <v>2</v>
      </c>
      <c r="D4" s="24" t="n">
        <f aca="false">IF($A4="","",COUNTIFS(작업목록!$D$3:$D$102,$A4,작업목록!$I$3:$I$102,"완료"))</f>
        <v>1</v>
      </c>
      <c r="E4" s="24" t="n">
        <f aca="false">IF($A4="","",COUNTIFS(작업목록!$D$3:$D$102,$A4,작업목록!$I$3:$I$102,"진행중"))</f>
        <v>0</v>
      </c>
      <c r="F4" s="24" t="n">
        <f aca="false">IF($A4="","",COUNTIFS(작업목록!$D$3:$D$102,$A4,작업목록!$I$3:$I$102,"지연"))</f>
        <v>0</v>
      </c>
      <c r="G4" s="25" t="n">
        <f aca="false">IF($A4="","",IF($C4=0,"",ROUND(SUMIFS(작업목록!$H$3:$H$102,작업목록!$D$3:$D$102,$A4)/$C4,3)))</f>
        <v>0.5</v>
      </c>
    </row>
    <row r="5" customFormat="false" ht="15" hidden="false" customHeight="true" outlineLevel="0" collapsed="false">
      <c r="A5" s="11" t="str">
        <f aca="false">IF(담당자목록!$A4="","",담당자목록!$A4)</f>
        <v>이담당</v>
      </c>
      <c r="B5" s="11" t="str">
        <f aca="false">IF($A5="","",담당자목록!$B4)</f>
        <v>개발팀</v>
      </c>
      <c r="C5" s="24" t="n">
        <f aca="false">IF($A5="","",COUNTIFS(작업목록!$D$3:$D$102,$A5))</f>
        <v>2</v>
      </c>
      <c r="D5" s="24" t="n">
        <f aca="false">IF($A5="","",COUNTIFS(작업목록!$D$3:$D$102,$A5,작업목록!$I$3:$I$102,"완료"))</f>
        <v>0</v>
      </c>
      <c r="E5" s="24" t="n">
        <f aca="false">IF($A5="","",COUNTIFS(작업목록!$D$3:$D$102,$A5,작업목록!$I$3:$I$102,"진행중"))</f>
        <v>0</v>
      </c>
      <c r="F5" s="24" t="n">
        <f aca="false">IF($A5="","",COUNTIFS(작업목록!$D$3:$D$102,$A5,작업목록!$I$3:$I$102,"지연"))</f>
        <v>0</v>
      </c>
      <c r="G5" s="25" t="n">
        <f aca="false">IF($A5="","",IF($C5=0,"",ROUND(SUMIFS(작업목록!$H$3:$H$102,작업목록!$D$3:$D$102,$A5)/$C5,3)))</f>
        <v>0.1</v>
      </c>
    </row>
    <row r="6" customFormat="false" ht="15" hidden="false" customHeight="true" outlineLevel="0" collapsed="false">
      <c r="A6" s="11" t="str">
        <f aca="false">IF(담당자목록!$A5="","",담당자목록!$A5)</f>
        <v>박담당</v>
      </c>
      <c r="B6" s="11" t="str">
        <f aca="false">IF($A6="","",담당자목록!$B5)</f>
        <v>디자인팀</v>
      </c>
      <c r="C6" s="24" t="n">
        <f aca="false">IF($A6="","",COUNTIFS(작업목록!$D$3:$D$102,$A6))</f>
        <v>2</v>
      </c>
      <c r="D6" s="24" t="n">
        <f aca="false">IF($A6="","",COUNTIFS(작업목록!$D$3:$D$102,$A6,작업목록!$I$3:$I$102,"완료"))</f>
        <v>0</v>
      </c>
      <c r="E6" s="24" t="n">
        <f aca="false">IF($A6="","",COUNTIFS(작업목록!$D$3:$D$102,$A6,작업목록!$I$3:$I$102,"진행중"))</f>
        <v>1</v>
      </c>
      <c r="F6" s="24" t="n">
        <f aca="false">IF($A6="","",COUNTIFS(작업목록!$D$3:$D$102,$A6,작업목록!$I$3:$I$102,"지연"))</f>
        <v>1</v>
      </c>
      <c r="G6" s="25" t="n">
        <f aca="false">IF($A6="","",IF($C6=0,"",ROUND(SUMIFS(작업목록!$H$3:$H$102,작업목록!$D$3:$D$102,$A6)/$C6,3)))</f>
        <v>0.65</v>
      </c>
    </row>
    <row r="7" customFormat="false" ht="15" hidden="false" customHeight="true" outlineLevel="0" collapsed="false">
      <c r="A7" s="11" t="str">
        <f aca="false">IF(담당자목록!$A6="","",담당자목록!$A6)</f>
        <v/>
      </c>
      <c r="B7" s="11" t="str">
        <f aca="false">IF($A7="","",담당자목록!$B6)</f>
        <v/>
      </c>
      <c r="C7" s="24" t="str">
        <f aca="false">IF($A7="","",COUNTIFS(작업목록!$D$3:$D$102,$A7))</f>
        <v/>
      </c>
      <c r="D7" s="24" t="str">
        <f aca="false">IF($A7="","",COUNTIFS(작업목록!$D$3:$D$102,$A7,작업목록!$I$3:$I$102,"완료"))</f>
        <v/>
      </c>
      <c r="E7" s="24" t="str">
        <f aca="false">IF($A7="","",COUNTIFS(작업목록!$D$3:$D$102,$A7,작업목록!$I$3:$I$102,"진행중"))</f>
        <v/>
      </c>
      <c r="F7" s="24" t="str">
        <f aca="false">IF($A7="","",COUNTIFS(작업목록!$D$3:$D$102,$A7,작업목록!$I$3:$I$102,"지연"))</f>
        <v/>
      </c>
      <c r="G7" s="25" t="str">
        <f aca="false">IF($A7="","",IF($C7=0,"",ROUND(SUMIFS(작업목록!$H$3:$H$102,작업목록!$D$3:$D$102,$A7)/$C7,3)))</f>
        <v/>
      </c>
    </row>
    <row r="8" customFormat="false" ht="15" hidden="false" customHeight="true" outlineLevel="0" collapsed="false">
      <c r="A8" s="11" t="str">
        <f aca="false">IF(담당자목록!$A7="","",담당자목록!$A7)</f>
        <v/>
      </c>
      <c r="B8" s="11" t="str">
        <f aca="false">IF($A8="","",담당자목록!$B7)</f>
        <v/>
      </c>
      <c r="C8" s="24" t="str">
        <f aca="false">IF($A8="","",COUNTIFS(작업목록!$D$3:$D$102,$A8))</f>
        <v/>
      </c>
      <c r="D8" s="24" t="str">
        <f aca="false">IF($A8="","",COUNTIFS(작업목록!$D$3:$D$102,$A8,작업목록!$I$3:$I$102,"완료"))</f>
        <v/>
      </c>
      <c r="E8" s="24" t="str">
        <f aca="false">IF($A8="","",COUNTIFS(작업목록!$D$3:$D$102,$A8,작업목록!$I$3:$I$102,"진행중"))</f>
        <v/>
      </c>
      <c r="F8" s="24" t="str">
        <f aca="false">IF($A8="","",COUNTIFS(작업목록!$D$3:$D$102,$A8,작업목록!$I$3:$I$102,"지연"))</f>
        <v/>
      </c>
      <c r="G8" s="25" t="str">
        <f aca="false">IF($A8="","",IF($C8=0,"",ROUND(SUMIFS(작업목록!$H$3:$H$102,작업목록!$D$3:$D$102,$A8)/$C8,3)))</f>
        <v/>
      </c>
    </row>
    <row r="9" customFormat="false" ht="15" hidden="false" customHeight="true" outlineLevel="0" collapsed="false">
      <c r="A9" s="11" t="str">
        <f aca="false">IF(담당자목록!$A8="","",담당자목록!$A8)</f>
        <v/>
      </c>
      <c r="B9" s="11" t="str">
        <f aca="false">IF($A9="","",담당자목록!$B8)</f>
        <v/>
      </c>
      <c r="C9" s="24" t="str">
        <f aca="false">IF($A9="","",COUNTIFS(작업목록!$D$3:$D$102,$A9))</f>
        <v/>
      </c>
      <c r="D9" s="24" t="str">
        <f aca="false">IF($A9="","",COUNTIFS(작업목록!$D$3:$D$102,$A9,작업목록!$I$3:$I$102,"완료"))</f>
        <v/>
      </c>
      <c r="E9" s="24" t="str">
        <f aca="false">IF($A9="","",COUNTIFS(작업목록!$D$3:$D$102,$A9,작업목록!$I$3:$I$102,"진행중"))</f>
        <v/>
      </c>
      <c r="F9" s="24" t="str">
        <f aca="false">IF($A9="","",COUNTIFS(작업목록!$D$3:$D$102,$A9,작업목록!$I$3:$I$102,"지연"))</f>
        <v/>
      </c>
      <c r="G9" s="25" t="str">
        <f aca="false">IF($A9="","",IF($C9=0,"",ROUND(SUMIFS(작업목록!$H$3:$H$102,작업목록!$D$3:$D$102,$A9)/$C9,3)))</f>
        <v/>
      </c>
    </row>
    <row r="10" customFormat="false" ht="15" hidden="false" customHeight="true" outlineLevel="0" collapsed="false">
      <c r="A10" s="11" t="str">
        <f aca="false">IF(담당자목록!$A9="","",담당자목록!$A9)</f>
        <v/>
      </c>
      <c r="B10" s="11" t="str">
        <f aca="false">IF($A10="","",담당자목록!$B9)</f>
        <v/>
      </c>
      <c r="C10" s="24" t="str">
        <f aca="false">IF($A10="","",COUNTIFS(작업목록!$D$3:$D$102,$A10))</f>
        <v/>
      </c>
      <c r="D10" s="24" t="str">
        <f aca="false">IF($A10="","",COUNTIFS(작업목록!$D$3:$D$102,$A10,작업목록!$I$3:$I$102,"완료"))</f>
        <v/>
      </c>
      <c r="E10" s="24" t="str">
        <f aca="false">IF($A10="","",COUNTIFS(작업목록!$D$3:$D$102,$A10,작업목록!$I$3:$I$102,"진행중"))</f>
        <v/>
      </c>
      <c r="F10" s="24" t="str">
        <f aca="false">IF($A10="","",COUNTIFS(작업목록!$D$3:$D$102,$A10,작업목록!$I$3:$I$102,"지연"))</f>
        <v/>
      </c>
      <c r="G10" s="25" t="str">
        <f aca="false">IF($A10="","",IF($C10=0,"",ROUND(SUMIFS(작업목록!$H$3:$H$102,작업목록!$D$3:$D$102,$A10)/$C10,3)))</f>
        <v/>
      </c>
    </row>
    <row r="11" customFormat="false" ht="15" hidden="false" customHeight="true" outlineLevel="0" collapsed="false">
      <c r="A11" s="11" t="str">
        <f aca="false">IF(담당자목록!$A10="","",담당자목록!$A10)</f>
        <v/>
      </c>
      <c r="B11" s="11" t="str">
        <f aca="false">IF($A11="","",담당자목록!$B10)</f>
        <v/>
      </c>
      <c r="C11" s="24" t="str">
        <f aca="false">IF($A11="","",COUNTIFS(작업목록!$D$3:$D$102,$A11))</f>
        <v/>
      </c>
      <c r="D11" s="24" t="str">
        <f aca="false">IF($A11="","",COUNTIFS(작업목록!$D$3:$D$102,$A11,작업목록!$I$3:$I$102,"완료"))</f>
        <v/>
      </c>
      <c r="E11" s="24" t="str">
        <f aca="false">IF($A11="","",COUNTIFS(작업목록!$D$3:$D$102,$A11,작업목록!$I$3:$I$102,"진행중"))</f>
        <v/>
      </c>
      <c r="F11" s="24" t="str">
        <f aca="false">IF($A11="","",COUNTIFS(작업목록!$D$3:$D$102,$A11,작업목록!$I$3:$I$102,"지연"))</f>
        <v/>
      </c>
      <c r="G11" s="25" t="str">
        <f aca="false">IF($A11="","",IF($C11=0,"",ROUND(SUMIFS(작업목록!$H$3:$H$102,작업목록!$D$3:$D$102,$A11)/$C11,3)))</f>
        <v/>
      </c>
    </row>
    <row r="12" customFormat="false" ht="15" hidden="false" customHeight="true" outlineLevel="0" collapsed="false">
      <c r="A12" s="11" t="str">
        <f aca="false">IF(담당자목록!$A11="","",담당자목록!$A11)</f>
        <v/>
      </c>
      <c r="B12" s="11" t="str">
        <f aca="false">IF($A12="","",담당자목록!$B11)</f>
        <v/>
      </c>
      <c r="C12" s="24" t="str">
        <f aca="false">IF($A12="","",COUNTIFS(작업목록!$D$3:$D$102,$A12))</f>
        <v/>
      </c>
      <c r="D12" s="24" t="str">
        <f aca="false">IF($A12="","",COUNTIFS(작업목록!$D$3:$D$102,$A12,작업목록!$I$3:$I$102,"완료"))</f>
        <v/>
      </c>
      <c r="E12" s="24" t="str">
        <f aca="false">IF($A12="","",COUNTIFS(작업목록!$D$3:$D$102,$A12,작업목록!$I$3:$I$102,"진행중"))</f>
        <v/>
      </c>
      <c r="F12" s="24" t="str">
        <f aca="false">IF($A12="","",COUNTIFS(작업목록!$D$3:$D$102,$A12,작업목록!$I$3:$I$102,"지연"))</f>
        <v/>
      </c>
      <c r="G12" s="25" t="str">
        <f aca="false">IF($A12="","",IF($C12=0,"",ROUND(SUMIFS(작업목록!$H$3:$H$102,작업목록!$D$3:$D$102,$A12)/$C12,3)))</f>
        <v/>
      </c>
    </row>
    <row r="13" customFormat="false" ht="15" hidden="false" customHeight="true" outlineLevel="0" collapsed="false">
      <c r="A13" s="11" t="str">
        <f aca="false">IF(담당자목록!$A12="","",담당자목록!$A12)</f>
        <v/>
      </c>
      <c r="B13" s="11" t="str">
        <f aca="false">IF($A13="","",담당자목록!$B12)</f>
        <v/>
      </c>
      <c r="C13" s="24" t="str">
        <f aca="false">IF($A13="","",COUNTIFS(작업목록!$D$3:$D$102,$A13))</f>
        <v/>
      </c>
      <c r="D13" s="24" t="str">
        <f aca="false">IF($A13="","",COUNTIFS(작업목록!$D$3:$D$102,$A13,작업목록!$I$3:$I$102,"완료"))</f>
        <v/>
      </c>
      <c r="E13" s="24" t="str">
        <f aca="false">IF($A13="","",COUNTIFS(작업목록!$D$3:$D$102,$A13,작업목록!$I$3:$I$102,"진행중"))</f>
        <v/>
      </c>
      <c r="F13" s="24" t="str">
        <f aca="false">IF($A13="","",COUNTIFS(작업목록!$D$3:$D$102,$A13,작업목록!$I$3:$I$102,"지연"))</f>
        <v/>
      </c>
      <c r="G13" s="25" t="str">
        <f aca="false">IF($A13="","",IF($C13=0,"",ROUND(SUMIFS(작업목록!$H$3:$H$102,작업목록!$D$3:$D$102,$A13)/$C13,3)))</f>
        <v/>
      </c>
    </row>
    <row r="14" customFormat="false" ht="15" hidden="false" customHeight="true" outlineLevel="0" collapsed="false">
      <c r="A14" s="11" t="str">
        <f aca="false">IF(담당자목록!$A13="","",담당자목록!$A13)</f>
        <v/>
      </c>
      <c r="B14" s="11" t="str">
        <f aca="false">IF($A14="","",담당자목록!$B13)</f>
        <v/>
      </c>
      <c r="C14" s="24" t="str">
        <f aca="false">IF($A14="","",COUNTIFS(작업목록!$D$3:$D$102,$A14))</f>
        <v/>
      </c>
      <c r="D14" s="24" t="str">
        <f aca="false">IF($A14="","",COUNTIFS(작업목록!$D$3:$D$102,$A14,작업목록!$I$3:$I$102,"완료"))</f>
        <v/>
      </c>
      <c r="E14" s="24" t="str">
        <f aca="false">IF($A14="","",COUNTIFS(작업목록!$D$3:$D$102,$A14,작업목록!$I$3:$I$102,"진행중"))</f>
        <v/>
      </c>
      <c r="F14" s="24" t="str">
        <f aca="false">IF($A14="","",COUNTIFS(작업목록!$D$3:$D$102,$A14,작업목록!$I$3:$I$102,"지연"))</f>
        <v/>
      </c>
      <c r="G14" s="25" t="str">
        <f aca="false">IF($A14="","",IF($C14=0,"",ROUND(SUMIFS(작업목록!$H$3:$H$102,작업목록!$D$3:$D$102,$A14)/$C14,3)))</f>
        <v/>
      </c>
    </row>
    <row r="15" customFormat="false" ht="15" hidden="false" customHeight="true" outlineLevel="0" collapsed="false">
      <c r="A15" s="11" t="str">
        <f aca="false">IF(담당자목록!$A14="","",담당자목록!$A14)</f>
        <v/>
      </c>
      <c r="B15" s="11" t="str">
        <f aca="false">IF($A15="","",담당자목록!$B14)</f>
        <v/>
      </c>
      <c r="C15" s="24" t="str">
        <f aca="false">IF($A15="","",COUNTIFS(작업목록!$D$3:$D$102,$A15))</f>
        <v/>
      </c>
      <c r="D15" s="24" t="str">
        <f aca="false">IF($A15="","",COUNTIFS(작업목록!$D$3:$D$102,$A15,작업목록!$I$3:$I$102,"완료"))</f>
        <v/>
      </c>
      <c r="E15" s="24" t="str">
        <f aca="false">IF($A15="","",COUNTIFS(작업목록!$D$3:$D$102,$A15,작업목록!$I$3:$I$102,"진행중"))</f>
        <v/>
      </c>
      <c r="F15" s="24" t="str">
        <f aca="false">IF($A15="","",COUNTIFS(작업목록!$D$3:$D$102,$A15,작업목록!$I$3:$I$102,"지연"))</f>
        <v/>
      </c>
      <c r="G15" s="25" t="str">
        <f aca="false">IF($A15="","",IF($C15=0,"",ROUND(SUMIFS(작업목록!$H$3:$H$102,작업목록!$D$3:$D$102,$A15)/$C15,3)))</f>
        <v/>
      </c>
    </row>
    <row r="16" customFormat="false" ht="15" hidden="false" customHeight="true" outlineLevel="0" collapsed="false">
      <c r="A16" s="11" t="str">
        <f aca="false">IF(담당자목록!$A15="","",담당자목록!$A15)</f>
        <v/>
      </c>
      <c r="B16" s="11" t="str">
        <f aca="false">IF($A16="","",담당자목록!$B15)</f>
        <v/>
      </c>
      <c r="C16" s="24" t="str">
        <f aca="false">IF($A16="","",COUNTIFS(작업목록!$D$3:$D$102,$A16))</f>
        <v/>
      </c>
      <c r="D16" s="24" t="str">
        <f aca="false">IF($A16="","",COUNTIFS(작업목록!$D$3:$D$102,$A16,작업목록!$I$3:$I$102,"완료"))</f>
        <v/>
      </c>
      <c r="E16" s="24" t="str">
        <f aca="false">IF($A16="","",COUNTIFS(작업목록!$D$3:$D$102,$A16,작업목록!$I$3:$I$102,"진행중"))</f>
        <v/>
      </c>
      <c r="F16" s="24" t="str">
        <f aca="false">IF($A16="","",COUNTIFS(작업목록!$D$3:$D$102,$A16,작업목록!$I$3:$I$102,"지연"))</f>
        <v/>
      </c>
      <c r="G16" s="25" t="str">
        <f aca="false">IF($A16="","",IF($C16=0,"",ROUND(SUMIFS(작업목록!$H$3:$H$102,작업목록!$D$3:$D$102,$A16)/$C16,3)))</f>
        <v/>
      </c>
    </row>
    <row r="17" customFormat="false" ht="15" hidden="false" customHeight="true" outlineLevel="0" collapsed="false">
      <c r="A17" s="11" t="str">
        <f aca="false">IF(담당자목록!$A16="","",담당자목록!$A16)</f>
        <v/>
      </c>
      <c r="B17" s="11" t="str">
        <f aca="false">IF($A17="","",담당자목록!$B16)</f>
        <v/>
      </c>
      <c r="C17" s="24" t="str">
        <f aca="false">IF($A17="","",COUNTIFS(작업목록!$D$3:$D$102,$A17))</f>
        <v/>
      </c>
      <c r="D17" s="24" t="str">
        <f aca="false">IF($A17="","",COUNTIFS(작업목록!$D$3:$D$102,$A17,작업목록!$I$3:$I$102,"완료"))</f>
        <v/>
      </c>
      <c r="E17" s="24" t="str">
        <f aca="false">IF($A17="","",COUNTIFS(작업목록!$D$3:$D$102,$A17,작업목록!$I$3:$I$102,"진행중"))</f>
        <v/>
      </c>
      <c r="F17" s="24" t="str">
        <f aca="false">IF($A17="","",COUNTIFS(작업목록!$D$3:$D$102,$A17,작업목록!$I$3:$I$102,"지연"))</f>
        <v/>
      </c>
      <c r="G17" s="25" t="str">
        <f aca="false">IF($A17="","",IF($C17=0,"",ROUND(SUMIFS(작업목록!$H$3:$H$102,작업목록!$D$3:$D$102,$A17)/$C17,3)))</f>
        <v/>
      </c>
    </row>
    <row r="18" customFormat="false" ht="15" hidden="false" customHeight="true" outlineLevel="0" collapsed="false">
      <c r="A18" s="11" t="str">
        <f aca="false">IF(담당자목록!$A17="","",담당자목록!$A17)</f>
        <v/>
      </c>
      <c r="B18" s="11" t="str">
        <f aca="false">IF($A18="","",담당자목록!$B17)</f>
        <v/>
      </c>
      <c r="C18" s="24" t="str">
        <f aca="false">IF($A18="","",COUNTIFS(작업목록!$D$3:$D$102,$A18))</f>
        <v/>
      </c>
      <c r="D18" s="24" t="str">
        <f aca="false">IF($A18="","",COUNTIFS(작업목록!$D$3:$D$102,$A18,작업목록!$I$3:$I$102,"완료"))</f>
        <v/>
      </c>
      <c r="E18" s="24" t="str">
        <f aca="false">IF($A18="","",COUNTIFS(작업목록!$D$3:$D$102,$A18,작업목록!$I$3:$I$102,"진행중"))</f>
        <v/>
      </c>
      <c r="F18" s="24" t="str">
        <f aca="false">IF($A18="","",COUNTIFS(작업목록!$D$3:$D$102,$A18,작업목록!$I$3:$I$102,"지연"))</f>
        <v/>
      </c>
      <c r="G18" s="25" t="str">
        <f aca="false">IF($A18="","",IF($C18=0,"",ROUND(SUMIFS(작업목록!$H$3:$H$102,작업목록!$D$3:$D$102,$A18)/$C18,3)))</f>
        <v/>
      </c>
    </row>
    <row r="19" customFormat="false" ht="15" hidden="false" customHeight="true" outlineLevel="0" collapsed="false">
      <c r="A19" s="11" t="str">
        <f aca="false">IF(담당자목록!$A18="","",담당자목록!$A18)</f>
        <v/>
      </c>
      <c r="B19" s="11" t="str">
        <f aca="false">IF($A19="","",담당자목록!$B18)</f>
        <v/>
      </c>
      <c r="C19" s="24" t="str">
        <f aca="false">IF($A19="","",COUNTIFS(작업목록!$D$3:$D$102,$A19))</f>
        <v/>
      </c>
      <c r="D19" s="24" t="str">
        <f aca="false">IF($A19="","",COUNTIFS(작업목록!$D$3:$D$102,$A19,작업목록!$I$3:$I$102,"완료"))</f>
        <v/>
      </c>
      <c r="E19" s="24" t="str">
        <f aca="false">IF($A19="","",COUNTIFS(작업목록!$D$3:$D$102,$A19,작업목록!$I$3:$I$102,"진행중"))</f>
        <v/>
      </c>
      <c r="F19" s="24" t="str">
        <f aca="false">IF($A19="","",COUNTIFS(작업목록!$D$3:$D$102,$A19,작업목록!$I$3:$I$102,"지연"))</f>
        <v/>
      </c>
      <c r="G19" s="25" t="str">
        <f aca="false">IF($A19="","",IF($C19=0,"",ROUND(SUMIFS(작업목록!$H$3:$H$102,작업목록!$D$3:$D$102,$A19)/$C19,3)))</f>
        <v/>
      </c>
    </row>
    <row r="20" customFormat="false" ht="15" hidden="false" customHeight="true" outlineLevel="0" collapsed="false">
      <c r="A20" s="11" t="str">
        <f aca="false">IF(담당자목록!$A19="","",담당자목록!$A19)</f>
        <v/>
      </c>
      <c r="B20" s="11" t="str">
        <f aca="false">IF($A20="","",담당자목록!$B19)</f>
        <v/>
      </c>
      <c r="C20" s="24" t="str">
        <f aca="false">IF($A20="","",COUNTIFS(작업목록!$D$3:$D$102,$A20))</f>
        <v/>
      </c>
      <c r="D20" s="24" t="str">
        <f aca="false">IF($A20="","",COUNTIFS(작업목록!$D$3:$D$102,$A20,작업목록!$I$3:$I$102,"완료"))</f>
        <v/>
      </c>
      <c r="E20" s="24" t="str">
        <f aca="false">IF($A20="","",COUNTIFS(작업목록!$D$3:$D$102,$A20,작업목록!$I$3:$I$102,"진행중"))</f>
        <v/>
      </c>
      <c r="F20" s="24" t="str">
        <f aca="false">IF($A20="","",COUNTIFS(작업목록!$D$3:$D$102,$A20,작업목록!$I$3:$I$102,"지연"))</f>
        <v/>
      </c>
      <c r="G20" s="25" t="str">
        <f aca="false">IF($A20="","",IF($C20=0,"",ROUND(SUMIFS(작업목록!$H$3:$H$102,작업목록!$D$3:$D$102,$A20)/$C20,3)))</f>
        <v/>
      </c>
    </row>
    <row r="21" customFormat="false" ht="15" hidden="false" customHeight="true" outlineLevel="0" collapsed="false">
      <c r="A21" s="11" t="str">
        <f aca="false">IF(담당자목록!$A20="","",담당자목록!$A20)</f>
        <v/>
      </c>
      <c r="B21" s="11" t="str">
        <f aca="false">IF($A21="","",담당자목록!$B20)</f>
        <v/>
      </c>
      <c r="C21" s="24" t="str">
        <f aca="false">IF($A21="","",COUNTIFS(작업목록!$D$3:$D$102,$A21))</f>
        <v/>
      </c>
      <c r="D21" s="24" t="str">
        <f aca="false">IF($A21="","",COUNTIFS(작업목록!$D$3:$D$102,$A21,작업목록!$I$3:$I$102,"완료"))</f>
        <v/>
      </c>
      <c r="E21" s="24" t="str">
        <f aca="false">IF($A21="","",COUNTIFS(작업목록!$D$3:$D$102,$A21,작업목록!$I$3:$I$102,"진행중"))</f>
        <v/>
      </c>
      <c r="F21" s="24" t="str">
        <f aca="false">IF($A21="","",COUNTIFS(작업목록!$D$3:$D$102,$A21,작업목록!$I$3:$I$102,"지연"))</f>
        <v/>
      </c>
      <c r="G21" s="25" t="str">
        <f aca="false">IF($A21="","",IF($C21=0,"",ROUND(SUMIFS(작업목록!$H$3:$H$102,작업목록!$D$3:$D$102,$A21)/$C21,3)))</f>
        <v/>
      </c>
    </row>
    <row r="22" customFormat="false" ht="15" hidden="false" customHeight="true" outlineLevel="0" collapsed="false">
      <c r="A22" s="11" t="str">
        <f aca="false">IF(담당자목록!$A21="","",담당자목록!$A21)</f>
        <v/>
      </c>
      <c r="B22" s="11" t="str">
        <f aca="false">IF($A22="","",담당자목록!$B21)</f>
        <v/>
      </c>
      <c r="C22" s="24" t="str">
        <f aca="false">IF($A22="","",COUNTIFS(작업목록!$D$3:$D$102,$A22))</f>
        <v/>
      </c>
      <c r="D22" s="24" t="str">
        <f aca="false">IF($A22="","",COUNTIFS(작업목록!$D$3:$D$102,$A22,작업목록!$I$3:$I$102,"완료"))</f>
        <v/>
      </c>
      <c r="E22" s="24" t="str">
        <f aca="false">IF($A22="","",COUNTIFS(작업목록!$D$3:$D$102,$A22,작업목록!$I$3:$I$102,"진행중"))</f>
        <v/>
      </c>
      <c r="F22" s="24" t="str">
        <f aca="false">IF($A22="","",COUNTIFS(작업목록!$D$3:$D$102,$A22,작업목록!$I$3:$I$102,"지연"))</f>
        <v/>
      </c>
      <c r="G22" s="25" t="str">
        <f aca="false">IF($A22="","",IF($C22=0,"",ROUND(SUMIFS(작업목록!$H$3:$H$102,작업목록!$D$3:$D$102,$A22)/$C22,3)))</f>
        <v/>
      </c>
    </row>
    <row r="23" customFormat="false" ht="15" hidden="false" customHeight="true" outlineLevel="0" collapsed="false">
      <c r="A23" s="11" t="str">
        <f aca="false">IF(담당자목록!$A22="","",담당자목록!$A22)</f>
        <v/>
      </c>
      <c r="B23" s="11" t="str">
        <f aca="false">IF($A23="","",담당자목록!$B22)</f>
        <v/>
      </c>
      <c r="C23" s="24" t="str">
        <f aca="false">IF($A23="","",COUNTIFS(작업목록!$D$3:$D$102,$A23))</f>
        <v/>
      </c>
      <c r="D23" s="24" t="str">
        <f aca="false">IF($A23="","",COUNTIFS(작업목록!$D$3:$D$102,$A23,작업목록!$I$3:$I$102,"완료"))</f>
        <v/>
      </c>
      <c r="E23" s="24" t="str">
        <f aca="false">IF($A23="","",COUNTIFS(작업목록!$D$3:$D$102,$A23,작업목록!$I$3:$I$102,"진행중"))</f>
        <v/>
      </c>
      <c r="F23" s="24" t="str">
        <f aca="false">IF($A23="","",COUNTIFS(작업목록!$D$3:$D$102,$A23,작업목록!$I$3:$I$102,"지연"))</f>
        <v/>
      </c>
      <c r="G23" s="25" t="str">
        <f aca="false">IF($A23="","",IF($C23=0,"",ROUND(SUMIFS(작업목록!$H$3:$H$102,작업목록!$D$3:$D$102,$A23)/$C23,3)))</f>
        <v/>
      </c>
    </row>
    <row r="24" customFormat="false" ht="15" hidden="false" customHeight="true" outlineLevel="0" collapsed="false">
      <c r="A24" s="11" t="str">
        <f aca="false">IF(담당자목록!$A23="","",담당자목록!$A23)</f>
        <v/>
      </c>
      <c r="B24" s="11" t="str">
        <f aca="false">IF($A24="","",담당자목록!$B23)</f>
        <v/>
      </c>
      <c r="C24" s="24" t="str">
        <f aca="false">IF($A24="","",COUNTIFS(작업목록!$D$3:$D$102,$A24))</f>
        <v/>
      </c>
      <c r="D24" s="24" t="str">
        <f aca="false">IF($A24="","",COUNTIFS(작업목록!$D$3:$D$102,$A24,작업목록!$I$3:$I$102,"완료"))</f>
        <v/>
      </c>
      <c r="E24" s="24" t="str">
        <f aca="false">IF($A24="","",COUNTIFS(작업목록!$D$3:$D$102,$A24,작업목록!$I$3:$I$102,"진행중"))</f>
        <v/>
      </c>
      <c r="F24" s="24" t="str">
        <f aca="false">IF($A24="","",COUNTIFS(작업목록!$D$3:$D$102,$A24,작업목록!$I$3:$I$102,"지연"))</f>
        <v/>
      </c>
      <c r="G24" s="25" t="str">
        <f aca="false">IF($A24="","",IF($C24=0,"",ROUND(SUMIFS(작업목록!$H$3:$H$102,작업목록!$D$3:$D$102,$A24)/$C24,3)))</f>
        <v/>
      </c>
    </row>
    <row r="25" customFormat="false" ht="15" hidden="false" customHeight="true" outlineLevel="0" collapsed="false">
      <c r="A25" s="11" t="str">
        <f aca="false">IF(담당자목록!$A24="","",담당자목록!$A24)</f>
        <v/>
      </c>
      <c r="B25" s="11" t="str">
        <f aca="false">IF($A25="","",담당자목록!$B24)</f>
        <v/>
      </c>
      <c r="C25" s="24" t="str">
        <f aca="false">IF($A25="","",COUNTIFS(작업목록!$D$3:$D$102,$A25))</f>
        <v/>
      </c>
      <c r="D25" s="24" t="str">
        <f aca="false">IF($A25="","",COUNTIFS(작업목록!$D$3:$D$102,$A25,작업목록!$I$3:$I$102,"완료"))</f>
        <v/>
      </c>
      <c r="E25" s="24" t="str">
        <f aca="false">IF($A25="","",COUNTIFS(작업목록!$D$3:$D$102,$A25,작업목록!$I$3:$I$102,"진행중"))</f>
        <v/>
      </c>
      <c r="F25" s="24" t="str">
        <f aca="false">IF($A25="","",COUNTIFS(작업목록!$D$3:$D$102,$A25,작업목록!$I$3:$I$102,"지연"))</f>
        <v/>
      </c>
      <c r="G25" s="25" t="str">
        <f aca="false">IF($A25="","",IF($C25=0,"",ROUND(SUMIFS(작업목록!$H$3:$H$102,작업목록!$D$3:$D$102,$A25)/$C25,3)))</f>
        <v/>
      </c>
    </row>
    <row r="26" customFormat="false" ht="15" hidden="false" customHeight="true" outlineLevel="0" collapsed="false">
      <c r="A26" s="11" t="str">
        <f aca="false">IF(담당자목록!$A25="","",담당자목록!$A25)</f>
        <v/>
      </c>
      <c r="B26" s="11" t="str">
        <f aca="false">IF($A26="","",담당자목록!$B25)</f>
        <v/>
      </c>
      <c r="C26" s="24" t="str">
        <f aca="false">IF($A26="","",COUNTIFS(작업목록!$D$3:$D$102,$A26))</f>
        <v/>
      </c>
      <c r="D26" s="24" t="str">
        <f aca="false">IF($A26="","",COUNTIFS(작업목록!$D$3:$D$102,$A26,작업목록!$I$3:$I$102,"완료"))</f>
        <v/>
      </c>
      <c r="E26" s="24" t="str">
        <f aca="false">IF($A26="","",COUNTIFS(작업목록!$D$3:$D$102,$A26,작업목록!$I$3:$I$102,"진행중"))</f>
        <v/>
      </c>
      <c r="F26" s="24" t="str">
        <f aca="false">IF($A26="","",COUNTIFS(작업목록!$D$3:$D$102,$A26,작업목록!$I$3:$I$102,"지연"))</f>
        <v/>
      </c>
      <c r="G26" s="25" t="str">
        <f aca="false">IF($A26="","",IF($C26=0,"",ROUND(SUMIFS(작업목록!$H$3:$H$102,작업목록!$D$3:$D$102,$A26)/$C26,3)))</f>
        <v/>
      </c>
    </row>
    <row r="27" customFormat="false" ht="15" hidden="false" customHeight="true" outlineLevel="0" collapsed="false">
      <c r="A27" s="11" t="str">
        <f aca="false">IF(담당자목록!$A26="","",담당자목록!$A26)</f>
        <v/>
      </c>
      <c r="B27" s="11" t="str">
        <f aca="false">IF($A27="","",담당자목록!$B26)</f>
        <v/>
      </c>
      <c r="C27" s="24" t="str">
        <f aca="false">IF($A27="","",COUNTIFS(작업목록!$D$3:$D$102,$A27))</f>
        <v/>
      </c>
      <c r="D27" s="24" t="str">
        <f aca="false">IF($A27="","",COUNTIFS(작업목록!$D$3:$D$102,$A27,작업목록!$I$3:$I$102,"완료"))</f>
        <v/>
      </c>
      <c r="E27" s="24" t="str">
        <f aca="false">IF($A27="","",COUNTIFS(작업목록!$D$3:$D$102,$A27,작업목록!$I$3:$I$102,"진행중"))</f>
        <v/>
      </c>
      <c r="F27" s="24" t="str">
        <f aca="false">IF($A27="","",COUNTIFS(작업목록!$D$3:$D$102,$A27,작업목록!$I$3:$I$102,"지연"))</f>
        <v/>
      </c>
      <c r="G27" s="25" t="str">
        <f aca="false">IF($A27="","",IF($C27=0,"",ROUND(SUMIFS(작업목록!$H$3:$H$102,작업목록!$D$3:$D$102,$A27)/$C27,3)))</f>
        <v/>
      </c>
    </row>
    <row r="28" customFormat="false" ht="15" hidden="false" customHeight="true" outlineLevel="0" collapsed="false">
      <c r="A28" s="11" t="str">
        <f aca="false">IF(담당자목록!$A27="","",담당자목록!$A27)</f>
        <v/>
      </c>
      <c r="B28" s="11" t="str">
        <f aca="false">IF($A28="","",담당자목록!$B27)</f>
        <v/>
      </c>
      <c r="C28" s="24" t="str">
        <f aca="false">IF($A28="","",COUNTIFS(작업목록!$D$3:$D$102,$A28))</f>
        <v/>
      </c>
      <c r="D28" s="24" t="str">
        <f aca="false">IF($A28="","",COUNTIFS(작업목록!$D$3:$D$102,$A28,작업목록!$I$3:$I$102,"완료"))</f>
        <v/>
      </c>
      <c r="E28" s="24" t="str">
        <f aca="false">IF($A28="","",COUNTIFS(작업목록!$D$3:$D$102,$A28,작업목록!$I$3:$I$102,"진행중"))</f>
        <v/>
      </c>
      <c r="F28" s="24" t="str">
        <f aca="false">IF($A28="","",COUNTIFS(작업목록!$D$3:$D$102,$A28,작업목록!$I$3:$I$102,"지연"))</f>
        <v/>
      </c>
      <c r="G28" s="25" t="str">
        <f aca="false">IF($A28="","",IF($C28=0,"",ROUND(SUMIFS(작업목록!$H$3:$H$102,작업목록!$D$3:$D$102,$A28)/$C28,3)))</f>
        <v/>
      </c>
    </row>
    <row r="29" customFormat="false" ht="15" hidden="false" customHeight="true" outlineLevel="0" collapsed="false">
      <c r="A29" s="11" t="str">
        <f aca="false">IF(담당자목록!$A28="","",담당자목록!$A28)</f>
        <v/>
      </c>
      <c r="B29" s="11" t="str">
        <f aca="false">IF($A29="","",담당자목록!$B28)</f>
        <v/>
      </c>
      <c r="C29" s="24" t="str">
        <f aca="false">IF($A29="","",COUNTIFS(작업목록!$D$3:$D$102,$A29))</f>
        <v/>
      </c>
      <c r="D29" s="24" t="str">
        <f aca="false">IF($A29="","",COUNTIFS(작업목록!$D$3:$D$102,$A29,작업목록!$I$3:$I$102,"완료"))</f>
        <v/>
      </c>
      <c r="E29" s="24" t="str">
        <f aca="false">IF($A29="","",COUNTIFS(작업목록!$D$3:$D$102,$A29,작업목록!$I$3:$I$102,"진행중"))</f>
        <v/>
      </c>
      <c r="F29" s="24" t="str">
        <f aca="false">IF($A29="","",COUNTIFS(작업목록!$D$3:$D$102,$A29,작업목록!$I$3:$I$102,"지연"))</f>
        <v/>
      </c>
      <c r="G29" s="25" t="str">
        <f aca="false">IF($A29="","",IF($C29=0,"",ROUND(SUMIFS(작업목록!$H$3:$H$102,작업목록!$D$3:$D$102,$A29)/$C29,3)))</f>
        <v/>
      </c>
    </row>
    <row r="30" customFormat="false" ht="15" hidden="false" customHeight="true" outlineLevel="0" collapsed="false">
      <c r="A30" s="11" t="str">
        <f aca="false">IF(담당자목록!$A29="","",담당자목록!$A29)</f>
        <v/>
      </c>
      <c r="B30" s="11" t="str">
        <f aca="false">IF($A30="","",담당자목록!$B29)</f>
        <v/>
      </c>
      <c r="C30" s="24" t="str">
        <f aca="false">IF($A30="","",COUNTIFS(작업목록!$D$3:$D$102,$A30))</f>
        <v/>
      </c>
      <c r="D30" s="24" t="str">
        <f aca="false">IF($A30="","",COUNTIFS(작업목록!$D$3:$D$102,$A30,작업목록!$I$3:$I$102,"완료"))</f>
        <v/>
      </c>
      <c r="E30" s="24" t="str">
        <f aca="false">IF($A30="","",COUNTIFS(작업목록!$D$3:$D$102,$A30,작업목록!$I$3:$I$102,"진행중"))</f>
        <v/>
      </c>
      <c r="F30" s="24" t="str">
        <f aca="false">IF($A30="","",COUNTIFS(작업목록!$D$3:$D$102,$A30,작업목록!$I$3:$I$102,"지연"))</f>
        <v/>
      </c>
      <c r="G30" s="25" t="str">
        <f aca="false">IF($A30="","",IF($C30=0,"",ROUND(SUMIFS(작업목록!$H$3:$H$102,작업목록!$D$3:$D$102,$A30)/$C30,3)))</f>
        <v/>
      </c>
    </row>
    <row r="31" customFormat="false" ht="15" hidden="false" customHeight="true" outlineLevel="0" collapsed="false">
      <c r="A31" s="11" t="str">
        <f aca="false">IF(담당자목록!$A30="","",담당자목록!$A30)</f>
        <v/>
      </c>
      <c r="B31" s="11" t="str">
        <f aca="false">IF($A31="","",담당자목록!$B30)</f>
        <v/>
      </c>
      <c r="C31" s="24" t="str">
        <f aca="false">IF($A31="","",COUNTIFS(작업목록!$D$3:$D$102,$A31))</f>
        <v/>
      </c>
      <c r="D31" s="24" t="str">
        <f aca="false">IF($A31="","",COUNTIFS(작업목록!$D$3:$D$102,$A31,작업목록!$I$3:$I$102,"완료"))</f>
        <v/>
      </c>
      <c r="E31" s="24" t="str">
        <f aca="false">IF($A31="","",COUNTIFS(작업목록!$D$3:$D$102,$A31,작업목록!$I$3:$I$102,"진행중"))</f>
        <v/>
      </c>
      <c r="F31" s="24" t="str">
        <f aca="false">IF($A31="","",COUNTIFS(작업목록!$D$3:$D$102,$A31,작업목록!$I$3:$I$102,"지연"))</f>
        <v/>
      </c>
      <c r="G31" s="25" t="str">
        <f aca="false">IF($A31="","",IF($C31=0,"",ROUND(SUMIFS(작업목록!$H$3:$H$102,작업목록!$D$3:$D$102,$A31)/$C31,3)))</f>
        <v/>
      </c>
    </row>
    <row r="32" customFormat="false" ht="15" hidden="false" customHeight="true" outlineLevel="0" collapsed="false">
      <c r="A32" s="11" t="str">
        <f aca="false">IF(담당자목록!$A31="","",담당자목록!$A31)</f>
        <v/>
      </c>
      <c r="B32" s="11" t="str">
        <f aca="false">IF($A32="","",담당자목록!$B31)</f>
        <v/>
      </c>
      <c r="C32" s="24" t="str">
        <f aca="false">IF($A32="","",COUNTIFS(작업목록!$D$3:$D$102,$A32))</f>
        <v/>
      </c>
      <c r="D32" s="24" t="str">
        <f aca="false">IF($A32="","",COUNTIFS(작업목록!$D$3:$D$102,$A32,작업목록!$I$3:$I$102,"완료"))</f>
        <v/>
      </c>
      <c r="E32" s="24" t="str">
        <f aca="false">IF($A32="","",COUNTIFS(작업목록!$D$3:$D$102,$A32,작업목록!$I$3:$I$102,"진행중"))</f>
        <v/>
      </c>
      <c r="F32" s="24" t="str">
        <f aca="false">IF($A32="","",COUNTIFS(작업목록!$D$3:$D$102,$A32,작업목록!$I$3:$I$102,"지연"))</f>
        <v/>
      </c>
      <c r="G32" s="25" t="str">
        <f aca="false">IF($A32="","",IF($C32=0,"",ROUND(SUMIFS(작업목록!$H$3:$H$102,작업목록!$D$3:$D$102,$A32)/$C32,3)))</f>
        <v/>
      </c>
    </row>
    <row r="33" customFormat="false" ht="15" hidden="false" customHeight="true" outlineLevel="0" collapsed="false">
      <c r="A33" s="11" t="str">
        <f aca="false">IF(담당자목록!$A32="","",담당자목록!$A32)</f>
        <v/>
      </c>
      <c r="B33" s="11" t="str">
        <f aca="false">IF($A33="","",담당자목록!$B32)</f>
        <v/>
      </c>
      <c r="C33" s="24" t="str">
        <f aca="false">IF($A33="","",COUNTIFS(작업목록!$D$3:$D$102,$A33))</f>
        <v/>
      </c>
      <c r="D33" s="24" t="str">
        <f aca="false">IF($A33="","",COUNTIFS(작업목록!$D$3:$D$102,$A33,작업목록!$I$3:$I$102,"완료"))</f>
        <v/>
      </c>
      <c r="E33" s="24" t="str">
        <f aca="false">IF($A33="","",COUNTIFS(작업목록!$D$3:$D$102,$A33,작업목록!$I$3:$I$102,"진행중"))</f>
        <v/>
      </c>
      <c r="F33" s="24" t="str">
        <f aca="false">IF($A33="","",COUNTIFS(작업목록!$D$3:$D$102,$A33,작업목록!$I$3:$I$102,"지연"))</f>
        <v/>
      </c>
      <c r="G33" s="25" t="str">
        <f aca="false">IF($A33="","",IF($C33=0,"",ROUND(SUMIFS(작업목록!$H$3:$H$102,작업목록!$D$3:$D$102,$A33)/$C33,3)))</f>
        <v/>
      </c>
    </row>
    <row r="34" customFormat="false" ht="15" hidden="false" customHeight="true" outlineLevel="0" collapsed="false">
      <c r="A34" s="11" t="str">
        <f aca="false">IF(담당자목록!$A33="","",담당자목록!$A33)</f>
        <v/>
      </c>
      <c r="B34" s="11" t="str">
        <f aca="false">IF($A34="","",담당자목록!$B33)</f>
        <v/>
      </c>
      <c r="C34" s="24" t="str">
        <f aca="false">IF($A34="","",COUNTIFS(작업목록!$D$3:$D$102,$A34))</f>
        <v/>
      </c>
      <c r="D34" s="24" t="str">
        <f aca="false">IF($A34="","",COUNTIFS(작업목록!$D$3:$D$102,$A34,작업목록!$I$3:$I$102,"완료"))</f>
        <v/>
      </c>
      <c r="E34" s="24" t="str">
        <f aca="false">IF($A34="","",COUNTIFS(작업목록!$D$3:$D$102,$A34,작업목록!$I$3:$I$102,"진행중"))</f>
        <v/>
      </c>
      <c r="F34" s="24" t="str">
        <f aca="false">IF($A34="","",COUNTIFS(작업목록!$D$3:$D$102,$A34,작업목록!$I$3:$I$102,"지연"))</f>
        <v/>
      </c>
      <c r="G34" s="25" t="str">
        <f aca="false">IF($A34="","",IF($C34=0,"",ROUND(SUMIFS(작업목록!$H$3:$H$102,작업목록!$D$3:$D$102,$A34)/$C34,3)))</f>
        <v/>
      </c>
    </row>
    <row r="35" customFormat="false" ht="15" hidden="false" customHeight="true" outlineLevel="0" collapsed="false">
      <c r="A35" s="11" t="str">
        <f aca="false">IF(담당자목록!$A34="","",담당자목록!$A34)</f>
        <v/>
      </c>
      <c r="B35" s="11" t="str">
        <f aca="false">IF($A35="","",담당자목록!$B34)</f>
        <v/>
      </c>
      <c r="C35" s="24" t="str">
        <f aca="false">IF($A35="","",COUNTIFS(작업목록!$D$3:$D$102,$A35))</f>
        <v/>
      </c>
      <c r="D35" s="24" t="str">
        <f aca="false">IF($A35="","",COUNTIFS(작업목록!$D$3:$D$102,$A35,작업목록!$I$3:$I$102,"완료"))</f>
        <v/>
      </c>
      <c r="E35" s="24" t="str">
        <f aca="false">IF($A35="","",COUNTIFS(작업목록!$D$3:$D$102,$A35,작업목록!$I$3:$I$102,"진행중"))</f>
        <v/>
      </c>
      <c r="F35" s="24" t="str">
        <f aca="false">IF($A35="","",COUNTIFS(작업목록!$D$3:$D$102,$A35,작업목록!$I$3:$I$102,"지연"))</f>
        <v/>
      </c>
      <c r="G35" s="25" t="str">
        <f aca="false">IF($A35="","",IF($C35=0,"",ROUND(SUMIFS(작업목록!$H$3:$H$102,작업목록!$D$3:$D$102,$A35)/$C35,3)))</f>
        <v/>
      </c>
    </row>
    <row r="36" customFormat="false" ht="15" hidden="false" customHeight="true" outlineLevel="0" collapsed="false">
      <c r="A36" s="11" t="str">
        <f aca="false">IF(담당자목록!$A35="","",담당자목록!$A35)</f>
        <v/>
      </c>
      <c r="B36" s="11" t="str">
        <f aca="false">IF($A36="","",담당자목록!$B35)</f>
        <v/>
      </c>
      <c r="C36" s="24" t="str">
        <f aca="false">IF($A36="","",COUNTIFS(작업목록!$D$3:$D$102,$A36))</f>
        <v/>
      </c>
      <c r="D36" s="24" t="str">
        <f aca="false">IF($A36="","",COUNTIFS(작업목록!$D$3:$D$102,$A36,작업목록!$I$3:$I$102,"완료"))</f>
        <v/>
      </c>
      <c r="E36" s="24" t="str">
        <f aca="false">IF($A36="","",COUNTIFS(작업목록!$D$3:$D$102,$A36,작업목록!$I$3:$I$102,"진행중"))</f>
        <v/>
      </c>
      <c r="F36" s="24" t="str">
        <f aca="false">IF($A36="","",COUNTIFS(작업목록!$D$3:$D$102,$A36,작업목록!$I$3:$I$102,"지연"))</f>
        <v/>
      </c>
      <c r="G36" s="25" t="str">
        <f aca="false">IF($A36="","",IF($C36=0,"",ROUND(SUMIFS(작업목록!$H$3:$H$102,작업목록!$D$3:$D$102,$A36)/$C36,3)))</f>
        <v/>
      </c>
    </row>
    <row r="37" customFormat="false" ht="15" hidden="false" customHeight="true" outlineLevel="0" collapsed="false">
      <c r="A37" s="11" t="str">
        <f aca="false">IF(담당자목록!$A36="","",담당자목록!$A36)</f>
        <v/>
      </c>
      <c r="B37" s="11" t="str">
        <f aca="false">IF($A37="","",담당자목록!$B36)</f>
        <v/>
      </c>
      <c r="C37" s="24" t="str">
        <f aca="false">IF($A37="","",COUNTIFS(작업목록!$D$3:$D$102,$A37))</f>
        <v/>
      </c>
      <c r="D37" s="24" t="str">
        <f aca="false">IF($A37="","",COUNTIFS(작업목록!$D$3:$D$102,$A37,작업목록!$I$3:$I$102,"완료"))</f>
        <v/>
      </c>
      <c r="E37" s="24" t="str">
        <f aca="false">IF($A37="","",COUNTIFS(작업목록!$D$3:$D$102,$A37,작업목록!$I$3:$I$102,"진행중"))</f>
        <v/>
      </c>
      <c r="F37" s="24" t="str">
        <f aca="false">IF($A37="","",COUNTIFS(작업목록!$D$3:$D$102,$A37,작업목록!$I$3:$I$102,"지연"))</f>
        <v/>
      </c>
      <c r="G37" s="25" t="str">
        <f aca="false">IF($A37="","",IF($C37=0,"",ROUND(SUMIFS(작업목록!$H$3:$H$102,작업목록!$D$3:$D$102,$A37)/$C37,3)))</f>
        <v/>
      </c>
    </row>
    <row r="38" customFormat="false" ht="15" hidden="false" customHeight="true" outlineLevel="0" collapsed="false">
      <c r="A38" s="11" t="str">
        <f aca="false">IF(담당자목록!$A37="","",담당자목록!$A37)</f>
        <v/>
      </c>
      <c r="B38" s="11" t="str">
        <f aca="false">IF($A38="","",담당자목록!$B37)</f>
        <v/>
      </c>
      <c r="C38" s="24" t="str">
        <f aca="false">IF($A38="","",COUNTIFS(작업목록!$D$3:$D$102,$A38))</f>
        <v/>
      </c>
      <c r="D38" s="24" t="str">
        <f aca="false">IF($A38="","",COUNTIFS(작업목록!$D$3:$D$102,$A38,작업목록!$I$3:$I$102,"완료"))</f>
        <v/>
      </c>
      <c r="E38" s="24" t="str">
        <f aca="false">IF($A38="","",COUNTIFS(작업목록!$D$3:$D$102,$A38,작업목록!$I$3:$I$102,"진행중"))</f>
        <v/>
      </c>
      <c r="F38" s="24" t="str">
        <f aca="false">IF($A38="","",COUNTIFS(작업목록!$D$3:$D$102,$A38,작업목록!$I$3:$I$102,"지연"))</f>
        <v/>
      </c>
      <c r="G38" s="25" t="str">
        <f aca="false">IF($A38="","",IF($C38=0,"",ROUND(SUMIFS(작업목록!$H$3:$H$102,작업목록!$D$3:$D$102,$A38)/$C38,3)))</f>
        <v/>
      </c>
    </row>
    <row r="39" customFormat="false" ht="15" hidden="false" customHeight="true" outlineLevel="0" collapsed="false">
      <c r="A39" s="11" t="str">
        <f aca="false">IF(담당자목록!$A38="","",담당자목록!$A38)</f>
        <v/>
      </c>
      <c r="B39" s="11" t="str">
        <f aca="false">IF($A39="","",담당자목록!$B38)</f>
        <v/>
      </c>
      <c r="C39" s="24" t="str">
        <f aca="false">IF($A39="","",COUNTIFS(작업목록!$D$3:$D$102,$A39))</f>
        <v/>
      </c>
      <c r="D39" s="24" t="str">
        <f aca="false">IF($A39="","",COUNTIFS(작업목록!$D$3:$D$102,$A39,작업목록!$I$3:$I$102,"완료"))</f>
        <v/>
      </c>
      <c r="E39" s="24" t="str">
        <f aca="false">IF($A39="","",COUNTIFS(작업목록!$D$3:$D$102,$A39,작업목록!$I$3:$I$102,"진행중"))</f>
        <v/>
      </c>
      <c r="F39" s="24" t="str">
        <f aca="false">IF($A39="","",COUNTIFS(작업목록!$D$3:$D$102,$A39,작업목록!$I$3:$I$102,"지연"))</f>
        <v/>
      </c>
      <c r="G39" s="25" t="str">
        <f aca="false">IF($A39="","",IF($C39=0,"",ROUND(SUMIFS(작업목록!$H$3:$H$102,작업목록!$D$3:$D$102,$A39)/$C39,3)))</f>
        <v/>
      </c>
    </row>
    <row r="40" customFormat="false" ht="15" hidden="false" customHeight="true" outlineLevel="0" collapsed="false">
      <c r="A40" s="11" t="str">
        <f aca="false">IF(담당자목록!$A39="","",담당자목록!$A39)</f>
        <v/>
      </c>
      <c r="B40" s="11" t="str">
        <f aca="false">IF($A40="","",담당자목록!$B39)</f>
        <v/>
      </c>
      <c r="C40" s="24" t="str">
        <f aca="false">IF($A40="","",COUNTIFS(작업목록!$D$3:$D$102,$A40))</f>
        <v/>
      </c>
      <c r="D40" s="24" t="str">
        <f aca="false">IF($A40="","",COUNTIFS(작업목록!$D$3:$D$102,$A40,작업목록!$I$3:$I$102,"완료"))</f>
        <v/>
      </c>
      <c r="E40" s="24" t="str">
        <f aca="false">IF($A40="","",COUNTIFS(작업목록!$D$3:$D$102,$A40,작업목록!$I$3:$I$102,"진행중"))</f>
        <v/>
      </c>
      <c r="F40" s="24" t="str">
        <f aca="false">IF($A40="","",COUNTIFS(작업목록!$D$3:$D$102,$A40,작업목록!$I$3:$I$102,"지연"))</f>
        <v/>
      </c>
      <c r="G40" s="25" t="str">
        <f aca="false">IF($A40="","",IF($C40=0,"",ROUND(SUMIFS(작업목록!$H$3:$H$102,작업목록!$D$3:$D$102,$A40)/$C40,3)))</f>
        <v/>
      </c>
    </row>
    <row r="41" customFormat="false" ht="15" hidden="false" customHeight="true" outlineLevel="0" collapsed="false">
      <c r="A41" s="11" t="str">
        <f aca="false">IF(담당자목록!$A40="","",담당자목록!$A40)</f>
        <v/>
      </c>
      <c r="B41" s="11" t="str">
        <f aca="false">IF($A41="","",담당자목록!$B40)</f>
        <v/>
      </c>
      <c r="C41" s="24" t="str">
        <f aca="false">IF($A41="","",COUNTIFS(작업목록!$D$3:$D$102,$A41))</f>
        <v/>
      </c>
      <c r="D41" s="24" t="str">
        <f aca="false">IF($A41="","",COUNTIFS(작업목록!$D$3:$D$102,$A41,작업목록!$I$3:$I$102,"완료"))</f>
        <v/>
      </c>
      <c r="E41" s="24" t="str">
        <f aca="false">IF($A41="","",COUNTIFS(작업목록!$D$3:$D$102,$A41,작업목록!$I$3:$I$102,"진행중"))</f>
        <v/>
      </c>
      <c r="F41" s="24" t="str">
        <f aca="false">IF($A41="","",COUNTIFS(작업목록!$D$3:$D$102,$A41,작업목록!$I$3:$I$102,"지연"))</f>
        <v/>
      </c>
      <c r="G41" s="25" t="str">
        <f aca="false">IF($A41="","",IF($C41=0,"",ROUND(SUMIFS(작업목록!$H$3:$H$102,작업목록!$D$3:$D$102,$A41)/$C41,3)))</f>
        <v/>
      </c>
    </row>
    <row r="42" customFormat="false" ht="15" hidden="false" customHeight="true" outlineLevel="0" collapsed="false">
      <c r="A42" s="11" t="str">
        <f aca="false">IF(담당자목록!$A41="","",담당자목록!$A41)</f>
        <v/>
      </c>
      <c r="B42" s="11" t="str">
        <f aca="false">IF($A42="","",담당자목록!$B41)</f>
        <v/>
      </c>
      <c r="C42" s="24" t="str">
        <f aca="false">IF($A42="","",COUNTIFS(작업목록!$D$3:$D$102,$A42))</f>
        <v/>
      </c>
      <c r="D42" s="24" t="str">
        <f aca="false">IF($A42="","",COUNTIFS(작업목록!$D$3:$D$102,$A42,작업목록!$I$3:$I$102,"완료"))</f>
        <v/>
      </c>
      <c r="E42" s="24" t="str">
        <f aca="false">IF($A42="","",COUNTIFS(작업목록!$D$3:$D$102,$A42,작업목록!$I$3:$I$102,"진행중"))</f>
        <v/>
      </c>
      <c r="F42" s="24" t="str">
        <f aca="false">IF($A42="","",COUNTIFS(작업목록!$D$3:$D$102,$A42,작업목록!$I$3:$I$102,"지연"))</f>
        <v/>
      </c>
      <c r="G42" s="25" t="str">
        <f aca="false">IF($A42="","",IF($C42=0,"",ROUND(SUMIFS(작업목록!$H$3:$H$102,작업목록!$D$3:$D$102,$A42)/$C42,3)))</f>
        <v/>
      </c>
    </row>
    <row r="43" customFormat="false" ht="15" hidden="false" customHeight="true" outlineLevel="0" collapsed="false">
      <c r="A43" s="11" t="str">
        <f aca="false">IF(담당자목록!$A42="","",담당자목록!$A42)</f>
        <v/>
      </c>
      <c r="B43" s="11" t="str">
        <f aca="false">IF($A43="","",담당자목록!$B42)</f>
        <v/>
      </c>
      <c r="C43" s="24" t="str">
        <f aca="false">IF($A43="","",COUNTIFS(작업목록!$D$3:$D$102,$A43))</f>
        <v/>
      </c>
      <c r="D43" s="24" t="str">
        <f aca="false">IF($A43="","",COUNTIFS(작업목록!$D$3:$D$102,$A43,작업목록!$I$3:$I$102,"완료"))</f>
        <v/>
      </c>
      <c r="E43" s="24" t="str">
        <f aca="false">IF($A43="","",COUNTIFS(작업목록!$D$3:$D$102,$A43,작업목록!$I$3:$I$102,"진행중"))</f>
        <v/>
      </c>
      <c r="F43" s="24" t="str">
        <f aca="false">IF($A43="","",COUNTIFS(작업목록!$D$3:$D$102,$A43,작업목록!$I$3:$I$102,"지연"))</f>
        <v/>
      </c>
      <c r="G43" s="25" t="str">
        <f aca="false">IF($A43="","",IF($C43=0,"",ROUND(SUMIFS(작업목록!$H$3:$H$102,작업목록!$D$3:$D$102,$A43)/$C43,3)))</f>
        <v/>
      </c>
    </row>
    <row r="44" customFormat="false" ht="15" hidden="false" customHeight="true" outlineLevel="0" collapsed="false">
      <c r="A44" s="11" t="str">
        <f aca="false">IF(담당자목록!$A43="","",담당자목록!$A43)</f>
        <v/>
      </c>
      <c r="B44" s="11" t="str">
        <f aca="false">IF($A44="","",담당자목록!$B43)</f>
        <v/>
      </c>
      <c r="C44" s="24" t="str">
        <f aca="false">IF($A44="","",COUNTIFS(작업목록!$D$3:$D$102,$A44))</f>
        <v/>
      </c>
      <c r="D44" s="24" t="str">
        <f aca="false">IF($A44="","",COUNTIFS(작업목록!$D$3:$D$102,$A44,작업목록!$I$3:$I$102,"완료"))</f>
        <v/>
      </c>
      <c r="E44" s="24" t="str">
        <f aca="false">IF($A44="","",COUNTIFS(작업목록!$D$3:$D$102,$A44,작업목록!$I$3:$I$102,"진행중"))</f>
        <v/>
      </c>
      <c r="F44" s="24" t="str">
        <f aca="false">IF($A44="","",COUNTIFS(작업목록!$D$3:$D$102,$A44,작업목록!$I$3:$I$102,"지연"))</f>
        <v/>
      </c>
      <c r="G44" s="25" t="str">
        <f aca="false">IF($A44="","",IF($C44=0,"",ROUND(SUMIFS(작업목록!$H$3:$H$102,작업목록!$D$3:$D$102,$A44)/$C44,3)))</f>
        <v/>
      </c>
    </row>
    <row r="45" customFormat="false" ht="15" hidden="false" customHeight="true" outlineLevel="0" collapsed="false">
      <c r="A45" s="11" t="str">
        <f aca="false">IF(담당자목록!$A44="","",담당자목록!$A44)</f>
        <v/>
      </c>
      <c r="B45" s="11" t="str">
        <f aca="false">IF($A45="","",담당자목록!$B44)</f>
        <v/>
      </c>
      <c r="C45" s="24" t="str">
        <f aca="false">IF($A45="","",COUNTIFS(작업목록!$D$3:$D$102,$A45))</f>
        <v/>
      </c>
      <c r="D45" s="24" t="str">
        <f aca="false">IF($A45="","",COUNTIFS(작업목록!$D$3:$D$102,$A45,작업목록!$I$3:$I$102,"완료"))</f>
        <v/>
      </c>
      <c r="E45" s="24" t="str">
        <f aca="false">IF($A45="","",COUNTIFS(작업목록!$D$3:$D$102,$A45,작업목록!$I$3:$I$102,"진행중"))</f>
        <v/>
      </c>
      <c r="F45" s="24" t="str">
        <f aca="false">IF($A45="","",COUNTIFS(작업목록!$D$3:$D$102,$A45,작업목록!$I$3:$I$102,"지연"))</f>
        <v/>
      </c>
      <c r="G45" s="25" t="str">
        <f aca="false">IF($A45="","",IF($C45=0,"",ROUND(SUMIFS(작업목록!$H$3:$H$102,작업목록!$D$3:$D$102,$A45)/$C45,3)))</f>
        <v/>
      </c>
    </row>
    <row r="46" customFormat="false" ht="15" hidden="false" customHeight="true" outlineLevel="0" collapsed="false">
      <c r="A46" s="11" t="str">
        <f aca="false">IF(담당자목록!$A45="","",담당자목록!$A45)</f>
        <v/>
      </c>
      <c r="B46" s="11" t="str">
        <f aca="false">IF($A46="","",담당자목록!$B45)</f>
        <v/>
      </c>
      <c r="C46" s="24" t="str">
        <f aca="false">IF($A46="","",COUNTIFS(작업목록!$D$3:$D$102,$A46))</f>
        <v/>
      </c>
      <c r="D46" s="24" t="str">
        <f aca="false">IF($A46="","",COUNTIFS(작업목록!$D$3:$D$102,$A46,작업목록!$I$3:$I$102,"완료"))</f>
        <v/>
      </c>
      <c r="E46" s="24" t="str">
        <f aca="false">IF($A46="","",COUNTIFS(작업목록!$D$3:$D$102,$A46,작업목록!$I$3:$I$102,"진행중"))</f>
        <v/>
      </c>
      <c r="F46" s="24" t="str">
        <f aca="false">IF($A46="","",COUNTIFS(작업목록!$D$3:$D$102,$A46,작업목록!$I$3:$I$102,"지연"))</f>
        <v/>
      </c>
      <c r="G46" s="25" t="str">
        <f aca="false">IF($A46="","",IF($C46=0,"",ROUND(SUMIFS(작업목록!$H$3:$H$102,작업목록!$D$3:$D$102,$A46)/$C46,3)))</f>
        <v/>
      </c>
    </row>
    <row r="47" customFormat="false" ht="15" hidden="false" customHeight="true" outlineLevel="0" collapsed="false">
      <c r="A47" s="11" t="str">
        <f aca="false">IF(담당자목록!$A46="","",담당자목록!$A46)</f>
        <v/>
      </c>
      <c r="B47" s="11" t="str">
        <f aca="false">IF($A47="","",담당자목록!$B46)</f>
        <v/>
      </c>
      <c r="C47" s="24" t="str">
        <f aca="false">IF($A47="","",COUNTIFS(작업목록!$D$3:$D$102,$A47))</f>
        <v/>
      </c>
      <c r="D47" s="24" t="str">
        <f aca="false">IF($A47="","",COUNTIFS(작업목록!$D$3:$D$102,$A47,작업목록!$I$3:$I$102,"완료"))</f>
        <v/>
      </c>
      <c r="E47" s="24" t="str">
        <f aca="false">IF($A47="","",COUNTIFS(작업목록!$D$3:$D$102,$A47,작업목록!$I$3:$I$102,"진행중"))</f>
        <v/>
      </c>
      <c r="F47" s="24" t="str">
        <f aca="false">IF($A47="","",COUNTIFS(작업목록!$D$3:$D$102,$A47,작업목록!$I$3:$I$102,"지연"))</f>
        <v/>
      </c>
      <c r="G47" s="25" t="str">
        <f aca="false">IF($A47="","",IF($C47=0,"",ROUND(SUMIFS(작업목록!$H$3:$H$102,작업목록!$D$3:$D$102,$A47)/$C47,3)))</f>
        <v/>
      </c>
    </row>
    <row r="48" customFormat="false" ht="15" hidden="false" customHeight="true" outlineLevel="0" collapsed="false">
      <c r="A48" s="11" t="str">
        <f aca="false">IF(담당자목록!$A47="","",담당자목록!$A47)</f>
        <v/>
      </c>
      <c r="B48" s="11" t="str">
        <f aca="false">IF($A48="","",담당자목록!$B47)</f>
        <v/>
      </c>
      <c r="C48" s="24" t="str">
        <f aca="false">IF($A48="","",COUNTIFS(작업목록!$D$3:$D$102,$A48))</f>
        <v/>
      </c>
      <c r="D48" s="24" t="str">
        <f aca="false">IF($A48="","",COUNTIFS(작업목록!$D$3:$D$102,$A48,작업목록!$I$3:$I$102,"완료"))</f>
        <v/>
      </c>
      <c r="E48" s="24" t="str">
        <f aca="false">IF($A48="","",COUNTIFS(작업목록!$D$3:$D$102,$A48,작업목록!$I$3:$I$102,"진행중"))</f>
        <v/>
      </c>
      <c r="F48" s="24" t="str">
        <f aca="false">IF($A48="","",COUNTIFS(작업목록!$D$3:$D$102,$A48,작업목록!$I$3:$I$102,"지연"))</f>
        <v/>
      </c>
      <c r="G48" s="25" t="str">
        <f aca="false">IF($A48="","",IF($C48=0,"",ROUND(SUMIFS(작업목록!$H$3:$H$102,작업목록!$D$3:$D$102,$A48)/$C48,3)))</f>
        <v/>
      </c>
    </row>
    <row r="49" customFormat="false" ht="15" hidden="false" customHeight="true" outlineLevel="0" collapsed="false">
      <c r="A49" s="11" t="str">
        <f aca="false">IF(담당자목록!$A48="","",담당자목록!$A48)</f>
        <v/>
      </c>
      <c r="B49" s="11" t="str">
        <f aca="false">IF($A49="","",담당자목록!$B48)</f>
        <v/>
      </c>
      <c r="C49" s="24" t="str">
        <f aca="false">IF($A49="","",COUNTIFS(작업목록!$D$3:$D$102,$A49))</f>
        <v/>
      </c>
      <c r="D49" s="24" t="str">
        <f aca="false">IF($A49="","",COUNTIFS(작업목록!$D$3:$D$102,$A49,작업목록!$I$3:$I$102,"완료"))</f>
        <v/>
      </c>
      <c r="E49" s="24" t="str">
        <f aca="false">IF($A49="","",COUNTIFS(작업목록!$D$3:$D$102,$A49,작업목록!$I$3:$I$102,"진행중"))</f>
        <v/>
      </c>
      <c r="F49" s="24" t="str">
        <f aca="false">IF($A49="","",COUNTIFS(작업목록!$D$3:$D$102,$A49,작업목록!$I$3:$I$102,"지연"))</f>
        <v/>
      </c>
      <c r="G49" s="25" t="str">
        <f aca="false">IF($A49="","",IF($C49=0,"",ROUND(SUMIFS(작업목록!$H$3:$H$102,작업목록!$D$3:$D$102,$A49)/$C49,3)))</f>
        <v/>
      </c>
    </row>
    <row r="50" customFormat="false" ht="15" hidden="false" customHeight="true" outlineLevel="0" collapsed="false">
      <c r="A50" s="11" t="str">
        <f aca="false">IF(담당자목록!$A49="","",담당자목록!$A49)</f>
        <v/>
      </c>
      <c r="B50" s="11" t="str">
        <f aca="false">IF($A50="","",담당자목록!$B49)</f>
        <v/>
      </c>
      <c r="C50" s="24" t="str">
        <f aca="false">IF($A50="","",COUNTIFS(작업목록!$D$3:$D$102,$A50))</f>
        <v/>
      </c>
      <c r="D50" s="24" t="str">
        <f aca="false">IF($A50="","",COUNTIFS(작업목록!$D$3:$D$102,$A50,작업목록!$I$3:$I$102,"완료"))</f>
        <v/>
      </c>
      <c r="E50" s="24" t="str">
        <f aca="false">IF($A50="","",COUNTIFS(작업목록!$D$3:$D$102,$A50,작업목록!$I$3:$I$102,"진행중"))</f>
        <v/>
      </c>
      <c r="F50" s="24" t="str">
        <f aca="false">IF($A50="","",COUNTIFS(작업목록!$D$3:$D$102,$A50,작업목록!$I$3:$I$102,"지연"))</f>
        <v/>
      </c>
      <c r="G50" s="25" t="str">
        <f aca="false">IF($A50="","",IF($C50=0,"",ROUND(SUMIFS(작업목록!$H$3:$H$102,작업목록!$D$3:$D$102,$A50)/$C50,3)))</f>
        <v/>
      </c>
    </row>
    <row r="51" customFormat="false" ht="15" hidden="false" customHeight="true" outlineLevel="0" collapsed="false">
      <c r="A51" s="11" t="str">
        <f aca="false">IF(담당자목록!$A50="","",담당자목록!$A50)</f>
        <v/>
      </c>
      <c r="B51" s="11" t="str">
        <f aca="false">IF($A51="","",담당자목록!$B50)</f>
        <v/>
      </c>
      <c r="C51" s="24" t="str">
        <f aca="false">IF($A51="","",COUNTIFS(작업목록!$D$3:$D$102,$A51))</f>
        <v/>
      </c>
      <c r="D51" s="24" t="str">
        <f aca="false">IF($A51="","",COUNTIFS(작업목록!$D$3:$D$102,$A51,작업목록!$I$3:$I$102,"완료"))</f>
        <v/>
      </c>
      <c r="E51" s="24" t="str">
        <f aca="false">IF($A51="","",COUNTIFS(작업목록!$D$3:$D$102,$A51,작업목록!$I$3:$I$102,"진행중"))</f>
        <v/>
      </c>
      <c r="F51" s="24" t="str">
        <f aca="false">IF($A51="","",COUNTIFS(작업목록!$D$3:$D$102,$A51,작업목록!$I$3:$I$102,"지연"))</f>
        <v/>
      </c>
      <c r="G51" s="25" t="str">
        <f aca="false">IF($A51="","",IF($C51=0,"",ROUND(SUMIFS(작업목록!$H$3:$H$102,작업목록!$D$3:$D$102,$A51)/$C51,3)))</f>
        <v/>
      </c>
    </row>
    <row r="52" customFormat="false" ht="15" hidden="false" customHeight="true" outlineLevel="0" collapsed="false">
      <c r="A52" s="11" t="str">
        <f aca="false">IF(담당자목록!$A51="","",담당자목록!$A51)</f>
        <v/>
      </c>
      <c r="B52" s="11" t="str">
        <f aca="false">IF($A52="","",담당자목록!$B51)</f>
        <v/>
      </c>
      <c r="C52" s="24" t="str">
        <f aca="false">IF($A52="","",COUNTIFS(작업목록!$D$3:$D$102,$A52))</f>
        <v/>
      </c>
      <c r="D52" s="24" t="str">
        <f aca="false">IF($A52="","",COUNTIFS(작업목록!$D$3:$D$102,$A52,작업목록!$I$3:$I$102,"완료"))</f>
        <v/>
      </c>
      <c r="E52" s="24" t="str">
        <f aca="false">IF($A52="","",COUNTIFS(작업목록!$D$3:$D$102,$A52,작업목록!$I$3:$I$102,"진행중"))</f>
        <v/>
      </c>
      <c r="F52" s="24" t="str">
        <f aca="false">IF($A52="","",COUNTIFS(작업목록!$D$3:$D$102,$A52,작업목록!$I$3:$I$102,"지연"))</f>
        <v/>
      </c>
      <c r="G52" s="25" t="str">
        <f aca="false">IF($A52="","",IF($C52=0,"",ROUND(SUMIFS(작업목록!$H$3:$H$102,작업목록!$D$3:$D$102,$A52)/$C52,3)))</f>
        <v/>
      </c>
    </row>
    <row r="53" customFormat="false" ht="15" hidden="false" customHeight="true" outlineLevel="0" collapsed="false">
      <c r="A53" s="11" t="str">
        <f aca="false">IF(담당자목록!$A52="","",담당자목록!$A52)</f>
        <v/>
      </c>
      <c r="B53" s="11" t="str">
        <f aca="false">IF($A53="","",담당자목록!$B52)</f>
        <v/>
      </c>
      <c r="C53" s="24" t="str">
        <f aca="false">IF($A53="","",COUNTIFS(작업목록!$D$3:$D$102,$A53))</f>
        <v/>
      </c>
      <c r="D53" s="24" t="str">
        <f aca="false">IF($A53="","",COUNTIFS(작업목록!$D$3:$D$102,$A53,작업목록!$I$3:$I$102,"완료"))</f>
        <v/>
      </c>
      <c r="E53" s="24" t="str">
        <f aca="false">IF($A53="","",COUNTIFS(작업목록!$D$3:$D$102,$A53,작업목록!$I$3:$I$102,"진행중"))</f>
        <v/>
      </c>
      <c r="F53" s="24" t="str">
        <f aca="false">IF($A53="","",COUNTIFS(작업목록!$D$3:$D$102,$A53,작업목록!$I$3:$I$102,"지연"))</f>
        <v/>
      </c>
      <c r="G53" s="25" t="str">
        <f aca="false">IF($A53="","",IF($C53=0,"",ROUND(SUMIFS(작업목록!$H$3:$H$102,작업목록!$D$3:$D$102,$A53)/$C53,3)))</f>
        <v/>
      </c>
    </row>
    <row r="54" customFormat="false" ht="15" hidden="false" customHeight="true" outlineLevel="0" collapsed="false">
      <c r="A54" s="11" t="str">
        <f aca="false">IF(담당자목록!$A53="","",담당자목록!$A53)</f>
        <v/>
      </c>
      <c r="B54" s="11" t="str">
        <f aca="false">IF($A54="","",담당자목록!$B53)</f>
        <v/>
      </c>
      <c r="C54" s="24" t="str">
        <f aca="false">IF($A54="","",COUNTIFS(작업목록!$D$3:$D$102,$A54))</f>
        <v/>
      </c>
      <c r="D54" s="24" t="str">
        <f aca="false">IF($A54="","",COUNTIFS(작업목록!$D$3:$D$102,$A54,작업목록!$I$3:$I$102,"완료"))</f>
        <v/>
      </c>
      <c r="E54" s="24" t="str">
        <f aca="false">IF($A54="","",COUNTIFS(작업목록!$D$3:$D$102,$A54,작업목록!$I$3:$I$102,"진행중"))</f>
        <v/>
      </c>
      <c r="F54" s="24" t="str">
        <f aca="false">IF($A54="","",COUNTIFS(작업목록!$D$3:$D$102,$A54,작업목록!$I$3:$I$102,"지연"))</f>
        <v/>
      </c>
      <c r="G54" s="25" t="str">
        <f aca="false">IF($A54="","",IF($C54=0,"",ROUND(SUMIFS(작업목록!$H$3:$H$102,작업목록!$D$3:$D$102,$A54)/$C54,3)))</f>
        <v/>
      </c>
    </row>
    <row r="55" customFormat="false" ht="15" hidden="false" customHeight="true" outlineLevel="0" collapsed="false">
      <c r="A55" s="11" t="str">
        <f aca="false">IF(담당자목록!$A54="","",담당자목록!$A54)</f>
        <v/>
      </c>
      <c r="B55" s="11" t="str">
        <f aca="false">IF($A55="","",담당자목록!$B54)</f>
        <v/>
      </c>
      <c r="C55" s="24" t="str">
        <f aca="false">IF($A55="","",COUNTIFS(작업목록!$D$3:$D$102,$A55))</f>
        <v/>
      </c>
      <c r="D55" s="24" t="str">
        <f aca="false">IF($A55="","",COUNTIFS(작업목록!$D$3:$D$102,$A55,작업목록!$I$3:$I$102,"완료"))</f>
        <v/>
      </c>
      <c r="E55" s="24" t="str">
        <f aca="false">IF($A55="","",COUNTIFS(작업목록!$D$3:$D$102,$A55,작업목록!$I$3:$I$102,"진행중"))</f>
        <v/>
      </c>
      <c r="F55" s="24" t="str">
        <f aca="false">IF($A55="","",COUNTIFS(작업목록!$D$3:$D$102,$A55,작업목록!$I$3:$I$102,"지연"))</f>
        <v/>
      </c>
      <c r="G55" s="25" t="str">
        <f aca="false">IF($A55="","",IF($C55=0,"",ROUND(SUMIFS(작업목록!$H$3:$H$102,작업목록!$D$3:$D$102,$A55)/$C55,3)))</f>
        <v/>
      </c>
    </row>
    <row r="56" customFormat="false" ht="15" hidden="false" customHeight="true" outlineLevel="0" collapsed="false">
      <c r="A56" s="11" t="str">
        <f aca="false">IF(담당자목록!$A55="","",담당자목록!$A55)</f>
        <v/>
      </c>
      <c r="B56" s="11" t="str">
        <f aca="false">IF($A56="","",담당자목록!$B55)</f>
        <v/>
      </c>
      <c r="C56" s="24" t="str">
        <f aca="false">IF($A56="","",COUNTIFS(작업목록!$D$3:$D$102,$A56))</f>
        <v/>
      </c>
      <c r="D56" s="24" t="str">
        <f aca="false">IF($A56="","",COUNTIFS(작업목록!$D$3:$D$102,$A56,작업목록!$I$3:$I$102,"완료"))</f>
        <v/>
      </c>
      <c r="E56" s="24" t="str">
        <f aca="false">IF($A56="","",COUNTIFS(작업목록!$D$3:$D$102,$A56,작업목록!$I$3:$I$102,"진행중"))</f>
        <v/>
      </c>
      <c r="F56" s="24" t="str">
        <f aca="false">IF($A56="","",COUNTIFS(작업목록!$D$3:$D$102,$A56,작업목록!$I$3:$I$102,"지연"))</f>
        <v/>
      </c>
      <c r="G56" s="25" t="str">
        <f aca="false">IF($A56="","",IF($C56=0,"",ROUND(SUMIFS(작업목록!$H$3:$H$102,작업목록!$D$3:$D$102,$A56)/$C56,3)))</f>
        <v/>
      </c>
    </row>
    <row r="57" customFormat="false" ht="15" hidden="false" customHeight="true" outlineLevel="0" collapsed="false">
      <c r="A57" s="11" t="str">
        <f aca="false">IF(담당자목록!$A56="","",담당자목록!$A56)</f>
        <v/>
      </c>
      <c r="B57" s="11" t="str">
        <f aca="false">IF($A57="","",담당자목록!$B56)</f>
        <v/>
      </c>
      <c r="C57" s="24" t="str">
        <f aca="false">IF($A57="","",COUNTIFS(작업목록!$D$3:$D$102,$A57))</f>
        <v/>
      </c>
      <c r="D57" s="24" t="str">
        <f aca="false">IF($A57="","",COUNTIFS(작업목록!$D$3:$D$102,$A57,작업목록!$I$3:$I$102,"완료"))</f>
        <v/>
      </c>
      <c r="E57" s="24" t="str">
        <f aca="false">IF($A57="","",COUNTIFS(작업목록!$D$3:$D$102,$A57,작업목록!$I$3:$I$102,"진행중"))</f>
        <v/>
      </c>
      <c r="F57" s="24" t="str">
        <f aca="false">IF($A57="","",COUNTIFS(작업목록!$D$3:$D$102,$A57,작업목록!$I$3:$I$102,"지연"))</f>
        <v/>
      </c>
      <c r="G57" s="25" t="str">
        <f aca="false">IF($A57="","",IF($C57=0,"",ROUND(SUMIFS(작업목록!$H$3:$H$102,작업목록!$D$3:$D$102,$A57)/$C57,3)))</f>
        <v/>
      </c>
    </row>
    <row r="58" customFormat="false" ht="15" hidden="false" customHeight="true" outlineLevel="0" collapsed="false">
      <c r="A58" s="11" t="str">
        <f aca="false">IF(담당자목록!$A57="","",담당자목록!$A57)</f>
        <v/>
      </c>
      <c r="B58" s="11" t="str">
        <f aca="false">IF($A58="","",담당자목록!$B57)</f>
        <v/>
      </c>
      <c r="C58" s="24" t="str">
        <f aca="false">IF($A58="","",COUNTIFS(작업목록!$D$3:$D$102,$A58))</f>
        <v/>
      </c>
      <c r="D58" s="24" t="str">
        <f aca="false">IF($A58="","",COUNTIFS(작업목록!$D$3:$D$102,$A58,작업목록!$I$3:$I$102,"완료"))</f>
        <v/>
      </c>
      <c r="E58" s="24" t="str">
        <f aca="false">IF($A58="","",COUNTIFS(작업목록!$D$3:$D$102,$A58,작업목록!$I$3:$I$102,"진행중"))</f>
        <v/>
      </c>
      <c r="F58" s="24" t="str">
        <f aca="false">IF($A58="","",COUNTIFS(작업목록!$D$3:$D$102,$A58,작업목록!$I$3:$I$102,"지연"))</f>
        <v/>
      </c>
      <c r="G58" s="25" t="str">
        <f aca="false">IF($A58="","",IF($C58=0,"",ROUND(SUMIFS(작업목록!$H$3:$H$102,작업목록!$D$3:$D$102,$A58)/$C58,3)))</f>
        <v/>
      </c>
    </row>
    <row r="59" customFormat="false" ht="15" hidden="false" customHeight="true" outlineLevel="0" collapsed="false">
      <c r="A59" s="11" t="str">
        <f aca="false">IF(담당자목록!$A58="","",담당자목록!$A58)</f>
        <v/>
      </c>
      <c r="B59" s="11" t="str">
        <f aca="false">IF($A59="","",담당자목록!$B58)</f>
        <v/>
      </c>
      <c r="C59" s="24" t="str">
        <f aca="false">IF($A59="","",COUNTIFS(작업목록!$D$3:$D$102,$A59))</f>
        <v/>
      </c>
      <c r="D59" s="24" t="str">
        <f aca="false">IF($A59="","",COUNTIFS(작업목록!$D$3:$D$102,$A59,작업목록!$I$3:$I$102,"완료"))</f>
        <v/>
      </c>
      <c r="E59" s="24" t="str">
        <f aca="false">IF($A59="","",COUNTIFS(작업목록!$D$3:$D$102,$A59,작업목록!$I$3:$I$102,"진행중"))</f>
        <v/>
      </c>
      <c r="F59" s="24" t="str">
        <f aca="false">IF($A59="","",COUNTIFS(작업목록!$D$3:$D$102,$A59,작업목록!$I$3:$I$102,"지연"))</f>
        <v/>
      </c>
      <c r="G59" s="25" t="str">
        <f aca="false">IF($A59="","",IF($C59=0,"",ROUND(SUMIFS(작업목록!$H$3:$H$102,작업목록!$D$3:$D$102,$A59)/$C59,3)))</f>
        <v/>
      </c>
    </row>
    <row r="60" customFormat="false" ht="15" hidden="false" customHeight="true" outlineLevel="0" collapsed="false">
      <c r="A60" s="11" t="str">
        <f aca="false">IF(담당자목록!$A59="","",담당자목록!$A59)</f>
        <v/>
      </c>
      <c r="B60" s="11" t="str">
        <f aca="false">IF($A60="","",담당자목록!$B59)</f>
        <v/>
      </c>
      <c r="C60" s="24" t="str">
        <f aca="false">IF($A60="","",COUNTIFS(작업목록!$D$3:$D$102,$A60))</f>
        <v/>
      </c>
      <c r="D60" s="24" t="str">
        <f aca="false">IF($A60="","",COUNTIFS(작업목록!$D$3:$D$102,$A60,작업목록!$I$3:$I$102,"완료"))</f>
        <v/>
      </c>
      <c r="E60" s="24" t="str">
        <f aca="false">IF($A60="","",COUNTIFS(작업목록!$D$3:$D$102,$A60,작업목록!$I$3:$I$102,"진행중"))</f>
        <v/>
      </c>
      <c r="F60" s="24" t="str">
        <f aca="false">IF($A60="","",COUNTIFS(작업목록!$D$3:$D$102,$A60,작업목록!$I$3:$I$102,"지연"))</f>
        <v/>
      </c>
      <c r="G60" s="25" t="str">
        <f aca="false">IF($A60="","",IF($C60=0,"",ROUND(SUMIFS(작업목록!$H$3:$H$102,작업목록!$D$3:$D$102,$A60)/$C60,3)))</f>
        <v/>
      </c>
    </row>
    <row r="61" customFormat="false" ht="15" hidden="false" customHeight="true" outlineLevel="0" collapsed="false">
      <c r="A61" s="11" t="str">
        <f aca="false">IF(담당자목록!$A60="","",담당자목록!$A60)</f>
        <v/>
      </c>
      <c r="B61" s="11" t="str">
        <f aca="false">IF($A61="","",담당자목록!$B60)</f>
        <v/>
      </c>
      <c r="C61" s="24" t="str">
        <f aca="false">IF($A61="","",COUNTIFS(작업목록!$D$3:$D$102,$A61))</f>
        <v/>
      </c>
      <c r="D61" s="24" t="str">
        <f aca="false">IF($A61="","",COUNTIFS(작업목록!$D$3:$D$102,$A61,작업목록!$I$3:$I$102,"완료"))</f>
        <v/>
      </c>
      <c r="E61" s="24" t="str">
        <f aca="false">IF($A61="","",COUNTIFS(작업목록!$D$3:$D$102,$A61,작업목록!$I$3:$I$102,"진행중"))</f>
        <v/>
      </c>
      <c r="F61" s="24" t="str">
        <f aca="false">IF($A61="","",COUNTIFS(작업목록!$D$3:$D$102,$A61,작업목록!$I$3:$I$102,"지연"))</f>
        <v/>
      </c>
      <c r="G61" s="25" t="str">
        <f aca="false">IF($A61="","",IF($C61=0,"",ROUND(SUMIFS(작업목록!$H$3:$H$102,작업목록!$D$3:$D$102,$A61)/$C61,3)))</f>
        <v/>
      </c>
    </row>
    <row r="62" customFormat="false" ht="15" hidden="false" customHeight="true" outlineLevel="0" collapsed="false">
      <c r="A62" s="11" t="str">
        <f aca="false">IF(담당자목록!$A61="","",담당자목록!$A61)</f>
        <v/>
      </c>
      <c r="B62" s="11" t="str">
        <f aca="false">IF($A62="","",담당자목록!$B61)</f>
        <v/>
      </c>
      <c r="C62" s="24" t="str">
        <f aca="false">IF($A62="","",COUNTIFS(작업목록!$D$3:$D$102,$A62))</f>
        <v/>
      </c>
      <c r="D62" s="24" t="str">
        <f aca="false">IF($A62="","",COUNTIFS(작업목록!$D$3:$D$102,$A62,작업목록!$I$3:$I$102,"완료"))</f>
        <v/>
      </c>
      <c r="E62" s="24" t="str">
        <f aca="false">IF($A62="","",COUNTIFS(작업목록!$D$3:$D$102,$A62,작업목록!$I$3:$I$102,"진행중"))</f>
        <v/>
      </c>
      <c r="F62" s="24" t="str">
        <f aca="false">IF($A62="","",COUNTIFS(작업목록!$D$3:$D$102,$A62,작업목록!$I$3:$I$102,"지연"))</f>
        <v/>
      </c>
      <c r="G62" s="25" t="str">
        <f aca="false">IF($A62="","",IF($C62=0,"",ROUND(SUMIFS(작업목록!$H$3:$H$102,작업목록!$D$3:$D$102,$A62)/$C62,3)))</f>
        <v/>
      </c>
    </row>
    <row r="63" customFormat="false" ht="15" hidden="false" customHeight="true" outlineLevel="0" collapsed="false">
      <c r="A63" s="11" t="str">
        <f aca="false">IF(담당자목록!$A62="","",담당자목록!$A62)</f>
        <v/>
      </c>
      <c r="B63" s="11" t="str">
        <f aca="false">IF($A63="","",담당자목록!$B62)</f>
        <v/>
      </c>
      <c r="C63" s="24" t="str">
        <f aca="false">IF($A63="","",COUNTIFS(작업목록!$D$3:$D$102,$A63))</f>
        <v/>
      </c>
      <c r="D63" s="24" t="str">
        <f aca="false">IF($A63="","",COUNTIFS(작업목록!$D$3:$D$102,$A63,작업목록!$I$3:$I$102,"완료"))</f>
        <v/>
      </c>
      <c r="E63" s="24" t="str">
        <f aca="false">IF($A63="","",COUNTIFS(작업목록!$D$3:$D$102,$A63,작업목록!$I$3:$I$102,"진행중"))</f>
        <v/>
      </c>
      <c r="F63" s="24" t="str">
        <f aca="false">IF($A63="","",COUNTIFS(작업목록!$D$3:$D$102,$A63,작업목록!$I$3:$I$102,"지연"))</f>
        <v/>
      </c>
      <c r="G63" s="25" t="str">
        <f aca="false">IF($A63="","",IF($C63=0,"",ROUND(SUMIFS(작업목록!$H$3:$H$102,작업목록!$D$3:$D$102,$A63)/$C63,3)))</f>
        <v/>
      </c>
    </row>
    <row r="64" customFormat="false" ht="15" hidden="false" customHeight="true" outlineLevel="0" collapsed="false">
      <c r="A64" s="11" t="str">
        <f aca="false">IF(담당자목록!$A63="","",담당자목록!$A63)</f>
        <v/>
      </c>
      <c r="B64" s="11" t="str">
        <f aca="false">IF($A64="","",담당자목록!$B63)</f>
        <v/>
      </c>
      <c r="C64" s="24" t="str">
        <f aca="false">IF($A64="","",COUNTIFS(작업목록!$D$3:$D$102,$A64))</f>
        <v/>
      </c>
      <c r="D64" s="24" t="str">
        <f aca="false">IF($A64="","",COUNTIFS(작업목록!$D$3:$D$102,$A64,작업목록!$I$3:$I$102,"완료"))</f>
        <v/>
      </c>
      <c r="E64" s="24" t="str">
        <f aca="false">IF($A64="","",COUNTIFS(작업목록!$D$3:$D$102,$A64,작업목록!$I$3:$I$102,"진행중"))</f>
        <v/>
      </c>
      <c r="F64" s="24" t="str">
        <f aca="false">IF($A64="","",COUNTIFS(작업목록!$D$3:$D$102,$A64,작업목록!$I$3:$I$102,"지연"))</f>
        <v/>
      </c>
      <c r="G64" s="25" t="str">
        <f aca="false">IF($A64="","",IF($C64=0,"",ROUND(SUMIFS(작업목록!$H$3:$H$102,작업목록!$D$3:$D$102,$A64)/$C64,3)))</f>
        <v/>
      </c>
    </row>
    <row r="65" customFormat="false" ht="15" hidden="false" customHeight="true" outlineLevel="0" collapsed="false">
      <c r="A65" s="11" t="str">
        <f aca="false">IF(담당자목록!$A64="","",담당자목록!$A64)</f>
        <v/>
      </c>
      <c r="B65" s="11" t="str">
        <f aca="false">IF($A65="","",담당자목록!$B64)</f>
        <v/>
      </c>
      <c r="C65" s="24" t="str">
        <f aca="false">IF($A65="","",COUNTIFS(작업목록!$D$3:$D$102,$A65))</f>
        <v/>
      </c>
      <c r="D65" s="24" t="str">
        <f aca="false">IF($A65="","",COUNTIFS(작업목록!$D$3:$D$102,$A65,작업목록!$I$3:$I$102,"완료"))</f>
        <v/>
      </c>
      <c r="E65" s="24" t="str">
        <f aca="false">IF($A65="","",COUNTIFS(작업목록!$D$3:$D$102,$A65,작업목록!$I$3:$I$102,"진행중"))</f>
        <v/>
      </c>
      <c r="F65" s="24" t="str">
        <f aca="false">IF($A65="","",COUNTIFS(작업목록!$D$3:$D$102,$A65,작업목록!$I$3:$I$102,"지연"))</f>
        <v/>
      </c>
      <c r="G65" s="25" t="str">
        <f aca="false">IF($A65="","",IF($C65=0,"",ROUND(SUMIFS(작업목록!$H$3:$H$102,작업목록!$D$3:$D$102,$A65)/$C65,3)))</f>
        <v/>
      </c>
    </row>
    <row r="66" customFormat="false" ht="15" hidden="false" customHeight="true" outlineLevel="0" collapsed="false">
      <c r="A66" s="11" t="str">
        <f aca="false">IF(담당자목록!$A65="","",담당자목록!$A65)</f>
        <v/>
      </c>
      <c r="B66" s="11" t="str">
        <f aca="false">IF($A66="","",담당자목록!$B65)</f>
        <v/>
      </c>
      <c r="C66" s="24" t="str">
        <f aca="false">IF($A66="","",COUNTIFS(작업목록!$D$3:$D$102,$A66))</f>
        <v/>
      </c>
      <c r="D66" s="24" t="str">
        <f aca="false">IF($A66="","",COUNTIFS(작업목록!$D$3:$D$102,$A66,작업목록!$I$3:$I$102,"완료"))</f>
        <v/>
      </c>
      <c r="E66" s="24" t="str">
        <f aca="false">IF($A66="","",COUNTIFS(작업목록!$D$3:$D$102,$A66,작업목록!$I$3:$I$102,"진행중"))</f>
        <v/>
      </c>
      <c r="F66" s="24" t="str">
        <f aca="false">IF($A66="","",COUNTIFS(작업목록!$D$3:$D$102,$A66,작업목록!$I$3:$I$102,"지연"))</f>
        <v/>
      </c>
      <c r="G66" s="25" t="str">
        <f aca="false">IF($A66="","",IF($C66=0,"",ROUND(SUMIFS(작업목록!$H$3:$H$102,작업목록!$D$3:$D$102,$A66)/$C66,3)))</f>
        <v/>
      </c>
    </row>
    <row r="67" customFormat="false" ht="15" hidden="false" customHeight="true" outlineLevel="0" collapsed="false">
      <c r="A67" s="11" t="str">
        <f aca="false">IF(담당자목록!$A66="","",담당자목록!$A66)</f>
        <v/>
      </c>
      <c r="B67" s="11" t="str">
        <f aca="false">IF($A67="","",담당자목록!$B66)</f>
        <v/>
      </c>
      <c r="C67" s="24" t="str">
        <f aca="false">IF($A67="","",COUNTIFS(작업목록!$D$3:$D$102,$A67))</f>
        <v/>
      </c>
      <c r="D67" s="24" t="str">
        <f aca="false">IF($A67="","",COUNTIFS(작업목록!$D$3:$D$102,$A67,작업목록!$I$3:$I$102,"완료"))</f>
        <v/>
      </c>
      <c r="E67" s="24" t="str">
        <f aca="false">IF($A67="","",COUNTIFS(작업목록!$D$3:$D$102,$A67,작업목록!$I$3:$I$102,"진행중"))</f>
        <v/>
      </c>
      <c r="F67" s="24" t="str">
        <f aca="false">IF($A67="","",COUNTIFS(작업목록!$D$3:$D$102,$A67,작업목록!$I$3:$I$102,"지연"))</f>
        <v/>
      </c>
      <c r="G67" s="25" t="str">
        <f aca="false">IF($A67="","",IF($C67=0,"",ROUND(SUMIFS(작업목록!$H$3:$H$102,작업목록!$D$3:$D$102,$A67)/$C67,3)))</f>
        <v/>
      </c>
    </row>
    <row r="68" customFormat="false" ht="15" hidden="false" customHeight="true" outlineLevel="0" collapsed="false">
      <c r="A68" s="11" t="str">
        <f aca="false">IF(담당자목록!$A67="","",담당자목록!$A67)</f>
        <v/>
      </c>
      <c r="B68" s="11" t="str">
        <f aca="false">IF($A68="","",담당자목록!$B67)</f>
        <v/>
      </c>
      <c r="C68" s="24" t="str">
        <f aca="false">IF($A68="","",COUNTIFS(작업목록!$D$3:$D$102,$A68))</f>
        <v/>
      </c>
      <c r="D68" s="24" t="str">
        <f aca="false">IF($A68="","",COUNTIFS(작업목록!$D$3:$D$102,$A68,작업목록!$I$3:$I$102,"완료"))</f>
        <v/>
      </c>
      <c r="E68" s="24" t="str">
        <f aca="false">IF($A68="","",COUNTIFS(작업목록!$D$3:$D$102,$A68,작업목록!$I$3:$I$102,"진행중"))</f>
        <v/>
      </c>
      <c r="F68" s="24" t="str">
        <f aca="false">IF($A68="","",COUNTIFS(작업목록!$D$3:$D$102,$A68,작업목록!$I$3:$I$102,"지연"))</f>
        <v/>
      </c>
      <c r="G68" s="25" t="str">
        <f aca="false">IF($A68="","",IF($C68=0,"",ROUND(SUMIFS(작업목록!$H$3:$H$102,작업목록!$D$3:$D$102,$A68)/$C68,3)))</f>
        <v/>
      </c>
    </row>
    <row r="69" customFormat="false" ht="15" hidden="false" customHeight="true" outlineLevel="0" collapsed="false">
      <c r="A69" s="11" t="str">
        <f aca="false">IF(담당자목록!$A68="","",담당자목록!$A68)</f>
        <v/>
      </c>
      <c r="B69" s="11" t="str">
        <f aca="false">IF($A69="","",담당자목록!$B68)</f>
        <v/>
      </c>
      <c r="C69" s="24" t="str">
        <f aca="false">IF($A69="","",COUNTIFS(작업목록!$D$3:$D$102,$A69))</f>
        <v/>
      </c>
      <c r="D69" s="24" t="str">
        <f aca="false">IF($A69="","",COUNTIFS(작업목록!$D$3:$D$102,$A69,작업목록!$I$3:$I$102,"완료"))</f>
        <v/>
      </c>
      <c r="E69" s="24" t="str">
        <f aca="false">IF($A69="","",COUNTIFS(작업목록!$D$3:$D$102,$A69,작업목록!$I$3:$I$102,"진행중"))</f>
        <v/>
      </c>
      <c r="F69" s="24" t="str">
        <f aca="false">IF($A69="","",COUNTIFS(작업목록!$D$3:$D$102,$A69,작업목록!$I$3:$I$102,"지연"))</f>
        <v/>
      </c>
      <c r="G69" s="25" t="str">
        <f aca="false">IF($A69="","",IF($C69=0,"",ROUND(SUMIFS(작업목록!$H$3:$H$102,작업목록!$D$3:$D$102,$A69)/$C69,3)))</f>
        <v/>
      </c>
    </row>
    <row r="70" customFormat="false" ht="15" hidden="false" customHeight="true" outlineLevel="0" collapsed="false">
      <c r="A70" s="11" t="str">
        <f aca="false">IF(담당자목록!$A69="","",담당자목록!$A69)</f>
        <v/>
      </c>
      <c r="B70" s="11" t="str">
        <f aca="false">IF($A70="","",담당자목록!$B69)</f>
        <v/>
      </c>
      <c r="C70" s="24" t="str">
        <f aca="false">IF($A70="","",COUNTIFS(작업목록!$D$3:$D$102,$A70))</f>
        <v/>
      </c>
      <c r="D70" s="24" t="str">
        <f aca="false">IF($A70="","",COUNTIFS(작업목록!$D$3:$D$102,$A70,작업목록!$I$3:$I$102,"완료"))</f>
        <v/>
      </c>
      <c r="E70" s="24" t="str">
        <f aca="false">IF($A70="","",COUNTIFS(작업목록!$D$3:$D$102,$A70,작업목록!$I$3:$I$102,"진행중"))</f>
        <v/>
      </c>
      <c r="F70" s="24" t="str">
        <f aca="false">IF($A70="","",COUNTIFS(작업목록!$D$3:$D$102,$A70,작업목록!$I$3:$I$102,"지연"))</f>
        <v/>
      </c>
      <c r="G70" s="25" t="str">
        <f aca="false">IF($A70="","",IF($C70=0,"",ROUND(SUMIFS(작업목록!$H$3:$H$102,작업목록!$D$3:$D$102,$A70)/$C70,3)))</f>
        <v/>
      </c>
    </row>
    <row r="71" customFormat="false" ht="15" hidden="false" customHeight="true" outlineLevel="0" collapsed="false">
      <c r="A71" s="11" t="str">
        <f aca="false">IF(담당자목록!$A70="","",담당자목록!$A70)</f>
        <v/>
      </c>
      <c r="B71" s="11" t="str">
        <f aca="false">IF($A71="","",담당자목록!$B70)</f>
        <v/>
      </c>
      <c r="C71" s="24" t="str">
        <f aca="false">IF($A71="","",COUNTIFS(작업목록!$D$3:$D$102,$A71))</f>
        <v/>
      </c>
      <c r="D71" s="24" t="str">
        <f aca="false">IF($A71="","",COUNTIFS(작업목록!$D$3:$D$102,$A71,작업목록!$I$3:$I$102,"완료"))</f>
        <v/>
      </c>
      <c r="E71" s="24" t="str">
        <f aca="false">IF($A71="","",COUNTIFS(작업목록!$D$3:$D$102,$A71,작업목록!$I$3:$I$102,"진행중"))</f>
        <v/>
      </c>
      <c r="F71" s="24" t="str">
        <f aca="false">IF($A71="","",COUNTIFS(작업목록!$D$3:$D$102,$A71,작업목록!$I$3:$I$102,"지연"))</f>
        <v/>
      </c>
      <c r="G71" s="25" t="str">
        <f aca="false">IF($A71="","",IF($C71=0,"",ROUND(SUMIFS(작업목록!$H$3:$H$102,작업목록!$D$3:$D$102,$A71)/$C71,3)))</f>
        <v/>
      </c>
    </row>
    <row r="72" customFormat="false" ht="15" hidden="false" customHeight="true" outlineLevel="0" collapsed="false">
      <c r="A72" s="11" t="str">
        <f aca="false">IF(담당자목록!$A71="","",담당자목록!$A71)</f>
        <v/>
      </c>
      <c r="B72" s="11" t="str">
        <f aca="false">IF($A72="","",담당자목록!$B71)</f>
        <v/>
      </c>
      <c r="C72" s="24" t="str">
        <f aca="false">IF($A72="","",COUNTIFS(작업목록!$D$3:$D$102,$A72))</f>
        <v/>
      </c>
      <c r="D72" s="24" t="str">
        <f aca="false">IF($A72="","",COUNTIFS(작업목록!$D$3:$D$102,$A72,작업목록!$I$3:$I$102,"완료"))</f>
        <v/>
      </c>
      <c r="E72" s="24" t="str">
        <f aca="false">IF($A72="","",COUNTIFS(작업목록!$D$3:$D$102,$A72,작업목록!$I$3:$I$102,"진행중"))</f>
        <v/>
      </c>
      <c r="F72" s="24" t="str">
        <f aca="false">IF($A72="","",COUNTIFS(작업목록!$D$3:$D$102,$A72,작업목록!$I$3:$I$102,"지연"))</f>
        <v/>
      </c>
      <c r="G72" s="25" t="str">
        <f aca="false">IF($A72="","",IF($C72=0,"",ROUND(SUMIFS(작업목록!$H$3:$H$102,작업목록!$D$3:$D$102,$A72)/$C72,3)))</f>
        <v/>
      </c>
    </row>
    <row r="73" customFormat="false" ht="15" hidden="false" customHeight="true" outlineLevel="0" collapsed="false">
      <c r="A73" s="11" t="str">
        <f aca="false">IF(담당자목록!$A72="","",담당자목록!$A72)</f>
        <v/>
      </c>
      <c r="B73" s="11" t="str">
        <f aca="false">IF($A73="","",담당자목록!$B72)</f>
        <v/>
      </c>
      <c r="C73" s="24" t="str">
        <f aca="false">IF($A73="","",COUNTIFS(작업목록!$D$3:$D$102,$A73))</f>
        <v/>
      </c>
      <c r="D73" s="24" t="str">
        <f aca="false">IF($A73="","",COUNTIFS(작업목록!$D$3:$D$102,$A73,작업목록!$I$3:$I$102,"완료"))</f>
        <v/>
      </c>
      <c r="E73" s="24" t="str">
        <f aca="false">IF($A73="","",COUNTIFS(작업목록!$D$3:$D$102,$A73,작업목록!$I$3:$I$102,"진행중"))</f>
        <v/>
      </c>
      <c r="F73" s="24" t="str">
        <f aca="false">IF($A73="","",COUNTIFS(작업목록!$D$3:$D$102,$A73,작업목록!$I$3:$I$102,"지연"))</f>
        <v/>
      </c>
      <c r="G73" s="25" t="str">
        <f aca="false">IF($A73="","",IF($C73=0,"",ROUND(SUMIFS(작업목록!$H$3:$H$102,작업목록!$D$3:$D$102,$A73)/$C73,3)))</f>
        <v/>
      </c>
    </row>
    <row r="74" customFormat="false" ht="15" hidden="false" customHeight="true" outlineLevel="0" collapsed="false">
      <c r="A74" s="11" t="str">
        <f aca="false">IF(담당자목록!$A73="","",담당자목록!$A73)</f>
        <v/>
      </c>
      <c r="B74" s="11" t="str">
        <f aca="false">IF($A74="","",담당자목록!$B73)</f>
        <v/>
      </c>
      <c r="C74" s="24" t="str">
        <f aca="false">IF($A74="","",COUNTIFS(작업목록!$D$3:$D$102,$A74))</f>
        <v/>
      </c>
      <c r="D74" s="24" t="str">
        <f aca="false">IF($A74="","",COUNTIFS(작업목록!$D$3:$D$102,$A74,작업목록!$I$3:$I$102,"완료"))</f>
        <v/>
      </c>
      <c r="E74" s="24" t="str">
        <f aca="false">IF($A74="","",COUNTIFS(작업목록!$D$3:$D$102,$A74,작업목록!$I$3:$I$102,"진행중"))</f>
        <v/>
      </c>
      <c r="F74" s="24" t="str">
        <f aca="false">IF($A74="","",COUNTIFS(작업목록!$D$3:$D$102,$A74,작업목록!$I$3:$I$102,"지연"))</f>
        <v/>
      </c>
      <c r="G74" s="25" t="str">
        <f aca="false">IF($A74="","",IF($C74=0,"",ROUND(SUMIFS(작업목록!$H$3:$H$102,작업목록!$D$3:$D$102,$A74)/$C74,3)))</f>
        <v/>
      </c>
    </row>
    <row r="75" customFormat="false" ht="15" hidden="false" customHeight="true" outlineLevel="0" collapsed="false">
      <c r="A75" s="11" t="str">
        <f aca="false">IF(담당자목록!$A74="","",담당자목록!$A74)</f>
        <v/>
      </c>
      <c r="B75" s="11" t="str">
        <f aca="false">IF($A75="","",담당자목록!$B74)</f>
        <v/>
      </c>
      <c r="C75" s="24" t="str">
        <f aca="false">IF($A75="","",COUNTIFS(작업목록!$D$3:$D$102,$A75))</f>
        <v/>
      </c>
      <c r="D75" s="24" t="str">
        <f aca="false">IF($A75="","",COUNTIFS(작업목록!$D$3:$D$102,$A75,작업목록!$I$3:$I$102,"완료"))</f>
        <v/>
      </c>
      <c r="E75" s="24" t="str">
        <f aca="false">IF($A75="","",COUNTIFS(작업목록!$D$3:$D$102,$A75,작업목록!$I$3:$I$102,"진행중"))</f>
        <v/>
      </c>
      <c r="F75" s="24" t="str">
        <f aca="false">IF($A75="","",COUNTIFS(작업목록!$D$3:$D$102,$A75,작업목록!$I$3:$I$102,"지연"))</f>
        <v/>
      </c>
      <c r="G75" s="25" t="str">
        <f aca="false">IF($A75="","",IF($C75=0,"",ROUND(SUMIFS(작업목록!$H$3:$H$102,작업목록!$D$3:$D$102,$A75)/$C75,3)))</f>
        <v/>
      </c>
    </row>
    <row r="76" customFormat="false" ht="15" hidden="false" customHeight="true" outlineLevel="0" collapsed="false">
      <c r="A76" s="11" t="str">
        <f aca="false">IF(담당자목록!$A75="","",담당자목록!$A75)</f>
        <v/>
      </c>
      <c r="B76" s="11" t="str">
        <f aca="false">IF($A76="","",담당자목록!$B75)</f>
        <v/>
      </c>
      <c r="C76" s="24" t="str">
        <f aca="false">IF($A76="","",COUNTIFS(작업목록!$D$3:$D$102,$A76))</f>
        <v/>
      </c>
      <c r="D76" s="24" t="str">
        <f aca="false">IF($A76="","",COUNTIFS(작업목록!$D$3:$D$102,$A76,작업목록!$I$3:$I$102,"완료"))</f>
        <v/>
      </c>
      <c r="E76" s="24" t="str">
        <f aca="false">IF($A76="","",COUNTIFS(작업목록!$D$3:$D$102,$A76,작업목록!$I$3:$I$102,"진행중"))</f>
        <v/>
      </c>
      <c r="F76" s="24" t="str">
        <f aca="false">IF($A76="","",COUNTIFS(작업목록!$D$3:$D$102,$A76,작업목록!$I$3:$I$102,"지연"))</f>
        <v/>
      </c>
      <c r="G76" s="25" t="str">
        <f aca="false">IF($A76="","",IF($C76=0,"",ROUND(SUMIFS(작업목록!$H$3:$H$102,작업목록!$D$3:$D$102,$A76)/$C76,3)))</f>
        <v/>
      </c>
    </row>
    <row r="77" customFormat="false" ht="15" hidden="false" customHeight="true" outlineLevel="0" collapsed="false">
      <c r="A77" s="11" t="str">
        <f aca="false">IF(담당자목록!$A76="","",담당자목록!$A76)</f>
        <v/>
      </c>
      <c r="B77" s="11" t="str">
        <f aca="false">IF($A77="","",담당자목록!$B76)</f>
        <v/>
      </c>
      <c r="C77" s="24" t="str">
        <f aca="false">IF($A77="","",COUNTIFS(작업목록!$D$3:$D$102,$A77))</f>
        <v/>
      </c>
      <c r="D77" s="24" t="str">
        <f aca="false">IF($A77="","",COUNTIFS(작업목록!$D$3:$D$102,$A77,작업목록!$I$3:$I$102,"완료"))</f>
        <v/>
      </c>
      <c r="E77" s="24" t="str">
        <f aca="false">IF($A77="","",COUNTIFS(작업목록!$D$3:$D$102,$A77,작업목록!$I$3:$I$102,"진행중"))</f>
        <v/>
      </c>
      <c r="F77" s="24" t="str">
        <f aca="false">IF($A77="","",COUNTIFS(작업목록!$D$3:$D$102,$A77,작업목록!$I$3:$I$102,"지연"))</f>
        <v/>
      </c>
      <c r="G77" s="25" t="str">
        <f aca="false">IF($A77="","",IF($C77=0,"",ROUND(SUMIFS(작업목록!$H$3:$H$102,작업목록!$D$3:$D$102,$A77)/$C77,3)))</f>
        <v/>
      </c>
    </row>
    <row r="78" customFormat="false" ht="15" hidden="false" customHeight="true" outlineLevel="0" collapsed="false">
      <c r="A78" s="11" t="str">
        <f aca="false">IF(담당자목록!$A77="","",담당자목록!$A77)</f>
        <v/>
      </c>
      <c r="B78" s="11" t="str">
        <f aca="false">IF($A78="","",담당자목록!$B77)</f>
        <v/>
      </c>
      <c r="C78" s="24" t="str">
        <f aca="false">IF($A78="","",COUNTIFS(작업목록!$D$3:$D$102,$A78))</f>
        <v/>
      </c>
      <c r="D78" s="24" t="str">
        <f aca="false">IF($A78="","",COUNTIFS(작업목록!$D$3:$D$102,$A78,작업목록!$I$3:$I$102,"완료"))</f>
        <v/>
      </c>
      <c r="E78" s="24" t="str">
        <f aca="false">IF($A78="","",COUNTIFS(작업목록!$D$3:$D$102,$A78,작업목록!$I$3:$I$102,"진행중"))</f>
        <v/>
      </c>
      <c r="F78" s="24" t="str">
        <f aca="false">IF($A78="","",COUNTIFS(작업목록!$D$3:$D$102,$A78,작업목록!$I$3:$I$102,"지연"))</f>
        <v/>
      </c>
      <c r="G78" s="25" t="str">
        <f aca="false">IF($A78="","",IF($C78=0,"",ROUND(SUMIFS(작업목록!$H$3:$H$102,작업목록!$D$3:$D$102,$A78)/$C78,3)))</f>
        <v/>
      </c>
    </row>
    <row r="79" customFormat="false" ht="15" hidden="false" customHeight="true" outlineLevel="0" collapsed="false">
      <c r="A79" s="11" t="str">
        <f aca="false">IF(담당자목록!$A78="","",담당자목록!$A78)</f>
        <v/>
      </c>
      <c r="B79" s="11" t="str">
        <f aca="false">IF($A79="","",담당자목록!$B78)</f>
        <v/>
      </c>
      <c r="C79" s="24" t="str">
        <f aca="false">IF($A79="","",COUNTIFS(작업목록!$D$3:$D$102,$A79))</f>
        <v/>
      </c>
      <c r="D79" s="24" t="str">
        <f aca="false">IF($A79="","",COUNTIFS(작업목록!$D$3:$D$102,$A79,작업목록!$I$3:$I$102,"완료"))</f>
        <v/>
      </c>
      <c r="E79" s="24" t="str">
        <f aca="false">IF($A79="","",COUNTIFS(작업목록!$D$3:$D$102,$A79,작업목록!$I$3:$I$102,"진행중"))</f>
        <v/>
      </c>
      <c r="F79" s="24" t="str">
        <f aca="false">IF($A79="","",COUNTIFS(작업목록!$D$3:$D$102,$A79,작업목록!$I$3:$I$102,"지연"))</f>
        <v/>
      </c>
      <c r="G79" s="25" t="str">
        <f aca="false">IF($A79="","",IF($C79=0,"",ROUND(SUMIFS(작업목록!$H$3:$H$102,작업목록!$D$3:$D$102,$A79)/$C79,3)))</f>
        <v/>
      </c>
    </row>
    <row r="80" customFormat="false" ht="15" hidden="false" customHeight="true" outlineLevel="0" collapsed="false">
      <c r="A80" s="11" t="str">
        <f aca="false">IF(담당자목록!$A79="","",담당자목록!$A79)</f>
        <v/>
      </c>
      <c r="B80" s="11" t="str">
        <f aca="false">IF($A80="","",담당자목록!$B79)</f>
        <v/>
      </c>
      <c r="C80" s="24" t="str">
        <f aca="false">IF($A80="","",COUNTIFS(작업목록!$D$3:$D$102,$A80))</f>
        <v/>
      </c>
      <c r="D80" s="24" t="str">
        <f aca="false">IF($A80="","",COUNTIFS(작업목록!$D$3:$D$102,$A80,작업목록!$I$3:$I$102,"완료"))</f>
        <v/>
      </c>
      <c r="E80" s="24" t="str">
        <f aca="false">IF($A80="","",COUNTIFS(작업목록!$D$3:$D$102,$A80,작업목록!$I$3:$I$102,"진행중"))</f>
        <v/>
      </c>
      <c r="F80" s="24" t="str">
        <f aca="false">IF($A80="","",COUNTIFS(작업목록!$D$3:$D$102,$A80,작업목록!$I$3:$I$102,"지연"))</f>
        <v/>
      </c>
      <c r="G80" s="25" t="str">
        <f aca="false">IF($A80="","",IF($C80=0,"",ROUND(SUMIFS(작업목록!$H$3:$H$102,작업목록!$D$3:$D$102,$A80)/$C80,3)))</f>
        <v/>
      </c>
    </row>
    <row r="81" customFormat="false" ht="15" hidden="false" customHeight="true" outlineLevel="0" collapsed="false">
      <c r="A81" s="11" t="str">
        <f aca="false">IF(담당자목록!$A80="","",담당자목록!$A80)</f>
        <v/>
      </c>
      <c r="B81" s="11" t="str">
        <f aca="false">IF($A81="","",담당자목록!$B80)</f>
        <v/>
      </c>
      <c r="C81" s="24" t="str">
        <f aca="false">IF($A81="","",COUNTIFS(작업목록!$D$3:$D$102,$A81))</f>
        <v/>
      </c>
      <c r="D81" s="24" t="str">
        <f aca="false">IF($A81="","",COUNTIFS(작업목록!$D$3:$D$102,$A81,작업목록!$I$3:$I$102,"완료"))</f>
        <v/>
      </c>
      <c r="E81" s="24" t="str">
        <f aca="false">IF($A81="","",COUNTIFS(작업목록!$D$3:$D$102,$A81,작업목록!$I$3:$I$102,"진행중"))</f>
        <v/>
      </c>
      <c r="F81" s="24" t="str">
        <f aca="false">IF($A81="","",COUNTIFS(작업목록!$D$3:$D$102,$A81,작업목록!$I$3:$I$102,"지연"))</f>
        <v/>
      </c>
      <c r="G81" s="25" t="str">
        <f aca="false">IF($A81="","",IF($C81=0,"",ROUND(SUMIFS(작업목록!$H$3:$H$102,작업목록!$D$3:$D$102,$A81)/$C81,3)))</f>
        <v/>
      </c>
    </row>
    <row r="82" customFormat="false" ht="15" hidden="false" customHeight="true" outlineLevel="0" collapsed="false">
      <c r="A82" s="11" t="str">
        <f aca="false">IF(담당자목록!$A81="","",담당자목록!$A81)</f>
        <v/>
      </c>
      <c r="B82" s="11" t="str">
        <f aca="false">IF($A82="","",담당자목록!$B81)</f>
        <v/>
      </c>
      <c r="C82" s="24" t="str">
        <f aca="false">IF($A82="","",COUNTIFS(작업목록!$D$3:$D$102,$A82))</f>
        <v/>
      </c>
      <c r="D82" s="24" t="str">
        <f aca="false">IF($A82="","",COUNTIFS(작업목록!$D$3:$D$102,$A82,작업목록!$I$3:$I$102,"완료"))</f>
        <v/>
      </c>
      <c r="E82" s="24" t="str">
        <f aca="false">IF($A82="","",COUNTIFS(작업목록!$D$3:$D$102,$A82,작업목록!$I$3:$I$102,"진행중"))</f>
        <v/>
      </c>
      <c r="F82" s="24" t="str">
        <f aca="false">IF($A82="","",COUNTIFS(작업목록!$D$3:$D$102,$A82,작업목록!$I$3:$I$102,"지연"))</f>
        <v/>
      </c>
      <c r="G82" s="25" t="str">
        <f aca="false">IF($A82="","",IF($C82=0,"",ROUND(SUMIFS(작업목록!$H$3:$H$102,작업목록!$D$3:$D$102,$A82)/$C82,3)))</f>
        <v/>
      </c>
    </row>
    <row r="83" customFormat="false" ht="15" hidden="false" customHeight="true" outlineLevel="0" collapsed="false">
      <c r="A83" s="11" t="str">
        <f aca="false">IF(담당자목록!$A82="","",담당자목록!$A82)</f>
        <v/>
      </c>
      <c r="B83" s="11" t="str">
        <f aca="false">IF($A83="","",담당자목록!$B82)</f>
        <v/>
      </c>
      <c r="C83" s="24" t="str">
        <f aca="false">IF($A83="","",COUNTIFS(작업목록!$D$3:$D$102,$A83))</f>
        <v/>
      </c>
      <c r="D83" s="24" t="str">
        <f aca="false">IF($A83="","",COUNTIFS(작업목록!$D$3:$D$102,$A83,작업목록!$I$3:$I$102,"완료"))</f>
        <v/>
      </c>
      <c r="E83" s="24" t="str">
        <f aca="false">IF($A83="","",COUNTIFS(작업목록!$D$3:$D$102,$A83,작업목록!$I$3:$I$102,"진행중"))</f>
        <v/>
      </c>
      <c r="F83" s="24" t="str">
        <f aca="false">IF($A83="","",COUNTIFS(작업목록!$D$3:$D$102,$A83,작업목록!$I$3:$I$102,"지연"))</f>
        <v/>
      </c>
      <c r="G83" s="25" t="str">
        <f aca="false">IF($A83="","",IF($C83=0,"",ROUND(SUMIFS(작업목록!$H$3:$H$102,작업목록!$D$3:$D$102,$A83)/$C83,3)))</f>
        <v/>
      </c>
    </row>
    <row r="84" customFormat="false" ht="15" hidden="false" customHeight="true" outlineLevel="0" collapsed="false">
      <c r="A84" s="11" t="str">
        <f aca="false">IF(담당자목록!$A83="","",담당자목록!$A83)</f>
        <v/>
      </c>
      <c r="B84" s="11" t="str">
        <f aca="false">IF($A84="","",담당자목록!$B83)</f>
        <v/>
      </c>
      <c r="C84" s="24" t="str">
        <f aca="false">IF($A84="","",COUNTIFS(작업목록!$D$3:$D$102,$A84))</f>
        <v/>
      </c>
      <c r="D84" s="24" t="str">
        <f aca="false">IF($A84="","",COUNTIFS(작업목록!$D$3:$D$102,$A84,작업목록!$I$3:$I$102,"완료"))</f>
        <v/>
      </c>
      <c r="E84" s="24" t="str">
        <f aca="false">IF($A84="","",COUNTIFS(작업목록!$D$3:$D$102,$A84,작업목록!$I$3:$I$102,"진행중"))</f>
        <v/>
      </c>
      <c r="F84" s="24" t="str">
        <f aca="false">IF($A84="","",COUNTIFS(작업목록!$D$3:$D$102,$A84,작업목록!$I$3:$I$102,"지연"))</f>
        <v/>
      </c>
      <c r="G84" s="25" t="str">
        <f aca="false">IF($A84="","",IF($C84=0,"",ROUND(SUMIFS(작업목록!$H$3:$H$102,작업목록!$D$3:$D$102,$A84)/$C84,3)))</f>
        <v/>
      </c>
    </row>
    <row r="85" customFormat="false" ht="15" hidden="false" customHeight="true" outlineLevel="0" collapsed="false">
      <c r="A85" s="11" t="str">
        <f aca="false">IF(담당자목록!$A84="","",담당자목록!$A84)</f>
        <v/>
      </c>
      <c r="B85" s="11" t="str">
        <f aca="false">IF($A85="","",담당자목록!$B84)</f>
        <v/>
      </c>
      <c r="C85" s="24" t="str">
        <f aca="false">IF($A85="","",COUNTIFS(작업목록!$D$3:$D$102,$A85))</f>
        <v/>
      </c>
      <c r="D85" s="24" t="str">
        <f aca="false">IF($A85="","",COUNTIFS(작업목록!$D$3:$D$102,$A85,작업목록!$I$3:$I$102,"완료"))</f>
        <v/>
      </c>
      <c r="E85" s="24" t="str">
        <f aca="false">IF($A85="","",COUNTIFS(작업목록!$D$3:$D$102,$A85,작업목록!$I$3:$I$102,"진행중"))</f>
        <v/>
      </c>
      <c r="F85" s="24" t="str">
        <f aca="false">IF($A85="","",COUNTIFS(작업목록!$D$3:$D$102,$A85,작업목록!$I$3:$I$102,"지연"))</f>
        <v/>
      </c>
      <c r="G85" s="25" t="str">
        <f aca="false">IF($A85="","",IF($C85=0,"",ROUND(SUMIFS(작업목록!$H$3:$H$102,작업목록!$D$3:$D$102,$A85)/$C85,3)))</f>
        <v/>
      </c>
    </row>
    <row r="86" customFormat="false" ht="15" hidden="false" customHeight="true" outlineLevel="0" collapsed="false">
      <c r="A86" s="11" t="str">
        <f aca="false">IF(담당자목록!$A85="","",담당자목록!$A85)</f>
        <v/>
      </c>
      <c r="B86" s="11" t="str">
        <f aca="false">IF($A86="","",담당자목록!$B85)</f>
        <v/>
      </c>
      <c r="C86" s="24" t="str">
        <f aca="false">IF($A86="","",COUNTIFS(작업목록!$D$3:$D$102,$A86))</f>
        <v/>
      </c>
      <c r="D86" s="24" t="str">
        <f aca="false">IF($A86="","",COUNTIFS(작업목록!$D$3:$D$102,$A86,작업목록!$I$3:$I$102,"완료"))</f>
        <v/>
      </c>
      <c r="E86" s="24" t="str">
        <f aca="false">IF($A86="","",COUNTIFS(작업목록!$D$3:$D$102,$A86,작업목록!$I$3:$I$102,"진행중"))</f>
        <v/>
      </c>
      <c r="F86" s="24" t="str">
        <f aca="false">IF($A86="","",COUNTIFS(작업목록!$D$3:$D$102,$A86,작업목록!$I$3:$I$102,"지연"))</f>
        <v/>
      </c>
      <c r="G86" s="25" t="str">
        <f aca="false">IF($A86="","",IF($C86=0,"",ROUND(SUMIFS(작업목록!$H$3:$H$102,작업목록!$D$3:$D$102,$A86)/$C86,3)))</f>
        <v/>
      </c>
    </row>
    <row r="87" customFormat="false" ht="15" hidden="false" customHeight="true" outlineLevel="0" collapsed="false">
      <c r="A87" s="11" t="str">
        <f aca="false">IF(담당자목록!$A86="","",담당자목록!$A86)</f>
        <v/>
      </c>
      <c r="B87" s="11" t="str">
        <f aca="false">IF($A87="","",담당자목록!$B86)</f>
        <v/>
      </c>
      <c r="C87" s="24" t="str">
        <f aca="false">IF($A87="","",COUNTIFS(작업목록!$D$3:$D$102,$A87))</f>
        <v/>
      </c>
      <c r="D87" s="24" t="str">
        <f aca="false">IF($A87="","",COUNTIFS(작업목록!$D$3:$D$102,$A87,작업목록!$I$3:$I$102,"완료"))</f>
        <v/>
      </c>
      <c r="E87" s="24" t="str">
        <f aca="false">IF($A87="","",COUNTIFS(작업목록!$D$3:$D$102,$A87,작업목록!$I$3:$I$102,"진행중"))</f>
        <v/>
      </c>
      <c r="F87" s="24" t="str">
        <f aca="false">IF($A87="","",COUNTIFS(작업목록!$D$3:$D$102,$A87,작업목록!$I$3:$I$102,"지연"))</f>
        <v/>
      </c>
      <c r="G87" s="25" t="str">
        <f aca="false">IF($A87="","",IF($C87=0,"",ROUND(SUMIFS(작업목록!$H$3:$H$102,작업목록!$D$3:$D$102,$A87)/$C87,3)))</f>
        <v/>
      </c>
    </row>
    <row r="88" customFormat="false" ht="15" hidden="false" customHeight="true" outlineLevel="0" collapsed="false">
      <c r="A88" s="11" t="str">
        <f aca="false">IF(담당자목록!$A87="","",담당자목록!$A87)</f>
        <v/>
      </c>
      <c r="B88" s="11" t="str">
        <f aca="false">IF($A88="","",담당자목록!$B87)</f>
        <v/>
      </c>
      <c r="C88" s="24" t="str">
        <f aca="false">IF($A88="","",COUNTIFS(작업목록!$D$3:$D$102,$A88))</f>
        <v/>
      </c>
      <c r="D88" s="24" t="str">
        <f aca="false">IF($A88="","",COUNTIFS(작업목록!$D$3:$D$102,$A88,작업목록!$I$3:$I$102,"완료"))</f>
        <v/>
      </c>
      <c r="E88" s="24" t="str">
        <f aca="false">IF($A88="","",COUNTIFS(작업목록!$D$3:$D$102,$A88,작업목록!$I$3:$I$102,"진행중"))</f>
        <v/>
      </c>
      <c r="F88" s="24" t="str">
        <f aca="false">IF($A88="","",COUNTIFS(작업목록!$D$3:$D$102,$A88,작업목록!$I$3:$I$102,"지연"))</f>
        <v/>
      </c>
      <c r="G88" s="25" t="str">
        <f aca="false">IF($A88="","",IF($C88=0,"",ROUND(SUMIFS(작업목록!$H$3:$H$102,작업목록!$D$3:$D$102,$A88)/$C88,3)))</f>
        <v/>
      </c>
    </row>
    <row r="89" customFormat="false" ht="15" hidden="false" customHeight="true" outlineLevel="0" collapsed="false">
      <c r="A89" s="11" t="str">
        <f aca="false">IF(담당자목록!$A88="","",담당자목록!$A88)</f>
        <v/>
      </c>
      <c r="B89" s="11" t="str">
        <f aca="false">IF($A89="","",담당자목록!$B88)</f>
        <v/>
      </c>
      <c r="C89" s="24" t="str">
        <f aca="false">IF($A89="","",COUNTIFS(작업목록!$D$3:$D$102,$A89))</f>
        <v/>
      </c>
      <c r="D89" s="24" t="str">
        <f aca="false">IF($A89="","",COUNTIFS(작업목록!$D$3:$D$102,$A89,작업목록!$I$3:$I$102,"완료"))</f>
        <v/>
      </c>
      <c r="E89" s="24" t="str">
        <f aca="false">IF($A89="","",COUNTIFS(작업목록!$D$3:$D$102,$A89,작업목록!$I$3:$I$102,"진행중"))</f>
        <v/>
      </c>
      <c r="F89" s="24" t="str">
        <f aca="false">IF($A89="","",COUNTIFS(작업목록!$D$3:$D$102,$A89,작업목록!$I$3:$I$102,"지연"))</f>
        <v/>
      </c>
      <c r="G89" s="25" t="str">
        <f aca="false">IF($A89="","",IF($C89=0,"",ROUND(SUMIFS(작업목록!$H$3:$H$102,작업목록!$D$3:$D$102,$A89)/$C89,3)))</f>
        <v/>
      </c>
    </row>
    <row r="90" customFormat="false" ht="15" hidden="false" customHeight="true" outlineLevel="0" collapsed="false">
      <c r="A90" s="11" t="str">
        <f aca="false">IF(담당자목록!$A89="","",담당자목록!$A89)</f>
        <v/>
      </c>
      <c r="B90" s="11" t="str">
        <f aca="false">IF($A90="","",담당자목록!$B89)</f>
        <v/>
      </c>
      <c r="C90" s="24" t="str">
        <f aca="false">IF($A90="","",COUNTIFS(작업목록!$D$3:$D$102,$A90))</f>
        <v/>
      </c>
      <c r="D90" s="24" t="str">
        <f aca="false">IF($A90="","",COUNTIFS(작업목록!$D$3:$D$102,$A90,작업목록!$I$3:$I$102,"완료"))</f>
        <v/>
      </c>
      <c r="E90" s="24" t="str">
        <f aca="false">IF($A90="","",COUNTIFS(작업목록!$D$3:$D$102,$A90,작업목록!$I$3:$I$102,"진행중"))</f>
        <v/>
      </c>
      <c r="F90" s="24" t="str">
        <f aca="false">IF($A90="","",COUNTIFS(작업목록!$D$3:$D$102,$A90,작업목록!$I$3:$I$102,"지연"))</f>
        <v/>
      </c>
      <c r="G90" s="25" t="str">
        <f aca="false">IF($A90="","",IF($C90=0,"",ROUND(SUMIFS(작업목록!$H$3:$H$102,작업목록!$D$3:$D$102,$A90)/$C90,3)))</f>
        <v/>
      </c>
    </row>
    <row r="91" customFormat="false" ht="15" hidden="false" customHeight="true" outlineLevel="0" collapsed="false">
      <c r="A91" s="11" t="str">
        <f aca="false">IF(담당자목록!$A90="","",담당자목록!$A90)</f>
        <v/>
      </c>
      <c r="B91" s="11" t="str">
        <f aca="false">IF($A91="","",담당자목록!$B90)</f>
        <v/>
      </c>
      <c r="C91" s="24" t="str">
        <f aca="false">IF($A91="","",COUNTIFS(작업목록!$D$3:$D$102,$A91))</f>
        <v/>
      </c>
      <c r="D91" s="24" t="str">
        <f aca="false">IF($A91="","",COUNTIFS(작업목록!$D$3:$D$102,$A91,작업목록!$I$3:$I$102,"완료"))</f>
        <v/>
      </c>
      <c r="E91" s="24" t="str">
        <f aca="false">IF($A91="","",COUNTIFS(작업목록!$D$3:$D$102,$A91,작업목록!$I$3:$I$102,"진행중"))</f>
        <v/>
      </c>
      <c r="F91" s="24" t="str">
        <f aca="false">IF($A91="","",COUNTIFS(작업목록!$D$3:$D$102,$A91,작업목록!$I$3:$I$102,"지연"))</f>
        <v/>
      </c>
      <c r="G91" s="25" t="str">
        <f aca="false">IF($A91="","",IF($C91=0,"",ROUND(SUMIFS(작업목록!$H$3:$H$102,작업목록!$D$3:$D$102,$A91)/$C91,3)))</f>
        <v/>
      </c>
    </row>
    <row r="92" customFormat="false" ht="15" hidden="false" customHeight="true" outlineLevel="0" collapsed="false">
      <c r="A92" s="11" t="str">
        <f aca="false">IF(담당자목록!$A91="","",담당자목록!$A91)</f>
        <v/>
      </c>
      <c r="B92" s="11" t="str">
        <f aca="false">IF($A92="","",담당자목록!$B91)</f>
        <v/>
      </c>
      <c r="C92" s="24" t="str">
        <f aca="false">IF($A92="","",COUNTIFS(작업목록!$D$3:$D$102,$A92))</f>
        <v/>
      </c>
      <c r="D92" s="24" t="str">
        <f aca="false">IF($A92="","",COUNTIFS(작업목록!$D$3:$D$102,$A92,작업목록!$I$3:$I$102,"완료"))</f>
        <v/>
      </c>
      <c r="E92" s="24" t="str">
        <f aca="false">IF($A92="","",COUNTIFS(작업목록!$D$3:$D$102,$A92,작업목록!$I$3:$I$102,"진행중"))</f>
        <v/>
      </c>
      <c r="F92" s="24" t="str">
        <f aca="false">IF($A92="","",COUNTIFS(작업목록!$D$3:$D$102,$A92,작업목록!$I$3:$I$102,"지연"))</f>
        <v/>
      </c>
      <c r="G92" s="25" t="str">
        <f aca="false">IF($A92="","",IF($C92=0,"",ROUND(SUMIFS(작업목록!$H$3:$H$102,작업목록!$D$3:$D$102,$A92)/$C92,3)))</f>
        <v/>
      </c>
    </row>
    <row r="93" customFormat="false" ht="15" hidden="false" customHeight="true" outlineLevel="0" collapsed="false">
      <c r="A93" s="11" t="str">
        <f aca="false">IF(담당자목록!$A92="","",담당자목록!$A92)</f>
        <v/>
      </c>
      <c r="B93" s="11" t="str">
        <f aca="false">IF($A93="","",담당자목록!$B92)</f>
        <v/>
      </c>
      <c r="C93" s="24" t="str">
        <f aca="false">IF($A93="","",COUNTIFS(작업목록!$D$3:$D$102,$A93))</f>
        <v/>
      </c>
      <c r="D93" s="24" t="str">
        <f aca="false">IF($A93="","",COUNTIFS(작업목록!$D$3:$D$102,$A93,작업목록!$I$3:$I$102,"완료"))</f>
        <v/>
      </c>
      <c r="E93" s="24" t="str">
        <f aca="false">IF($A93="","",COUNTIFS(작업목록!$D$3:$D$102,$A93,작업목록!$I$3:$I$102,"진행중"))</f>
        <v/>
      </c>
      <c r="F93" s="24" t="str">
        <f aca="false">IF($A93="","",COUNTIFS(작업목록!$D$3:$D$102,$A93,작업목록!$I$3:$I$102,"지연"))</f>
        <v/>
      </c>
      <c r="G93" s="25" t="str">
        <f aca="false">IF($A93="","",IF($C93=0,"",ROUND(SUMIFS(작업목록!$H$3:$H$102,작업목록!$D$3:$D$102,$A93)/$C93,3)))</f>
        <v/>
      </c>
    </row>
    <row r="94" customFormat="false" ht="15" hidden="false" customHeight="true" outlineLevel="0" collapsed="false">
      <c r="A94" s="11" t="str">
        <f aca="false">IF(담당자목록!$A93="","",담당자목록!$A93)</f>
        <v/>
      </c>
      <c r="B94" s="11" t="str">
        <f aca="false">IF($A94="","",담당자목록!$B93)</f>
        <v/>
      </c>
      <c r="C94" s="24" t="str">
        <f aca="false">IF($A94="","",COUNTIFS(작업목록!$D$3:$D$102,$A94))</f>
        <v/>
      </c>
      <c r="D94" s="24" t="str">
        <f aca="false">IF($A94="","",COUNTIFS(작업목록!$D$3:$D$102,$A94,작업목록!$I$3:$I$102,"완료"))</f>
        <v/>
      </c>
      <c r="E94" s="24" t="str">
        <f aca="false">IF($A94="","",COUNTIFS(작업목록!$D$3:$D$102,$A94,작업목록!$I$3:$I$102,"진행중"))</f>
        <v/>
      </c>
      <c r="F94" s="24" t="str">
        <f aca="false">IF($A94="","",COUNTIFS(작업목록!$D$3:$D$102,$A94,작업목록!$I$3:$I$102,"지연"))</f>
        <v/>
      </c>
      <c r="G94" s="25" t="str">
        <f aca="false">IF($A94="","",IF($C94=0,"",ROUND(SUMIFS(작업목록!$H$3:$H$102,작업목록!$D$3:$D$102,$A94)/$C94,3)))</f>
        <v/>
      </c>
    </row>
    <row r="95" customFormat="false" ht="15" hidden="false" customHeight="true" outlineLevel="0" collapsed="false">
      <c r="A95" s="11" t="str">
        <f aca="false">IF(담당자목록!$A94="","",담당자목록!$A94)</f>
        <v/>
      </c>
      <c r="B95" s="11" t="str">
        <f aca="false">IF($A95="","",담당자목록!$B94)</f>
        <v/>
      </c>
      <c r="C95" s="24" t="str">
        <f aca="false">IF($A95="","",COUNTIFS(작업목록!$D$3:$D$102,$A95))</f>
        <v/>
      </c>
      <c r="D95" s="24" t="str">
        <f aca="false">IF($A95="","",COUNTIFS(작업목록!$D$3:$D$102,$A95,작업목록!$I$3:$I$102,"완료"))</f>
        <v/>
      </c>
      <c r="E95" s="24" t="str">
        <f aca="false">IF($A95="","",COUNTIFS(작업목록!$D$3:$D$102,$A95,작업목록!$I$3:$I$102,"진행중"))</f>
        <v/>
      </c>
      <c r="F95" s="24" t="str">
        <f aca="false">IF($A95="","",COUNTIFS(작업목록!$D$3:$D$102,$A95,작업목록!$I$3:$I$102,"지연"))</f>
        <v/>
      </c>
      <c r="G95" s="25" t="str">
        <f aca="false">IF($A95="","",IF($C95=0,"",ROUND(SUMIFS(작업목록!$H$3:$H$102,작업목록!$D$3:$D$102,$A95)/$C95,3)))</f>
        <v/>
      </c>
    </row>
    <row r="96" customFormat="false" ht="15" hidden="false" customHeight="true" outlineLevel="0" collapsed="false">
      <c r="A96" s="11" t="str">
        <f aca="false">IF(담당자목록!$A95="","",담당자목록!$A95)</f>
        <v/>
      </c>
      <c r="B96" s="11" t="str">
        <f aca="false">IF($A96="","",담당자목록!$B95)</f>
        <v/>
      </c>
      <c r="C96" s="24" t="str">
        <f aca="false">IF($A96="","",COUNTIFS(작업목록!$D$3:$D$102,$A96))</f>
        <v/>
      </c>
      <c r="D96" s="24" t="str">
        <f aca="false">IF($A96="","",COUNTIFS(작업목록!$D$3:$D$102,$A96,작업목록!$I$3:$I$102,"완료"))</f>
        <v/>
      </c>
      <c r="E96" s="24" t="str">
        <f aca="false">IF($A96="","",COUNTIFS(작업목록!$D$3:$D$102,$A96,작업목록!$I$3:$I$102,"진행중"))</f>
        <v/>
      </c>
      <c r="F96" s="24" t="str">
        <f aca="false">IF($A96="","",COUNTIFS(작업목록!$D$3:$D$102,$A96,작업목록!$I$3:$I$102,"지연"))</f>
        <v/>
      </c>
      <c r="G96" s="25" t="str">
        <f aca="false">IF($A96="","",IF($C96=0,"",ROUND(SUMIFS(작업목록!$H$3:$H$102,작업목록!$D$3:$D$102,$A96)/$C96,3)))</f>
        <v/>
      </c>
    </row>
    <row r="97" customFormat="false" ht="15" hidden="false" customHeight="true" outlineLevel="0" collapsed="false">
      <c r="A97" s="11" t="str">
        <f aca="false">IF(담당자목록!$A96="","",담당자목록!$A96)</f>
        <v/>
      </c>
      <c r="B97" s="11" t="str">
        <f aca="false">IF($A97="","",담당자목록!$B96)</f>
        <v/>
      </c>
      <c r="C97" s="24" t="str">
        <f aca="false">IF($A97="","",COUNTIFS(작업목록!$D$3:$D$102,$A97))</f>
        <v/>
      </c>
      <c r="D97" s="24" t="str">
        <f aca="false">IF($A97="","",COUNTIFS(작업목록!$D$3:$D$102,$A97,작업목록!$I$3:$I$102,"완료"))</f>
        <v/>
      </c>
      <c r="E97" s="24" t="str">
        <f aca="false">IF($A97="","",COUNTIFS(작업목록!$D$3:$D$102,$A97,작업목록!$I$3:$I$102,"진행중"))</f>
        <v/>
      </c>
      <c r="F97" s="24" t="str">
        <f aca="false">IF($A97="","",COUNTIFS(작업목록!$D$3:$D$102,$A97,작업목록!$I$3:$I$102,"지연"))</f>
        <v/>
      </c>
      <c r="G97" s="25" t="str">
        <f aca="false">IF($A97="","",IF($C97=0,"",ROUND(SUMIFS(작업목록!$H$3:$H$102,작업목록!$D$3:$D$102,$A97)/$C97,3)))</f>
        <v/>
      </c>
    </row>
    <row r="98" customFormat="false" ht="15" hidden="false" customHeight="true" outlineLevel="0" collapsed="false">
      <c r="A98" s="11" t="str">
        <f aca="false">IF(담당자목록!$A97="","",담당자목록!$A97)</f>
        <v/>
      </c>
      <c r="B98" s="11" t="str">
        <f aca="false">IF($A98="","",담당자목록!$B97)</f>
        <v/>
      </c>
      <c r="C98" s="24" t="str">
        <f aca="false">IF($A98="","",COUNTIFS(작업목록!$D$3:$D$102,$A98))</f>
        <v/>
      </c>
      <c r="D98" s="24" t="str">
        <f aca="false">IF($A98="","",COUNTIFS(작업목록!$D$3:$D$102,$A98,작업목록!$I$3:$I$102,"완료"))</f>
        <v/>
      </c>
      <c r="E98" s="24" t="str">
        <f aca="false">IF($A98="","",COUNTIFS(작업목록!$D$3:$D$102,$A98,작업목록!$I$3:$I$102,"진행중"))</f>
        <v/>
      </c>
      <c r="F98" s="24" t="str">
        <f aca="false">IF($A98="","",COUNTIFS(작업목록!$D$3:$D$102,$A98,작업목록!$I$3:$I$102,"지연"))</f>
        <v/>
      </c>
      <c r="G98" s="25" t="str">
        <f aca="false">IF($A98="","",IF($C98=0,"",ROUND(SUMIFS(작업목록!$H$3:$H$102,작업목록!$D$3:$D$102,$A98)/$C98,3)))</f>
        <v/>
      </c>
    </row>
    <row r="99" customFormat="false" ht="15" hidden="false" customHeight="true" outlineLevel="0" collapsed="false">
      <c r="A99" s="11" t="str">
        <f aca="false">IF(담당자목록!$A98="","",담당자목록!$A98)</f>
        <v/>
      </c>
      <c r="B99" s="11" t="str">
        <f aca="false">IF($A99="","",담당자목록!$B98)</f>
        <v/>
      </c>
      <c r="C99" s="24" t="str">
        <f aca="false">IF($A99="","",COUNTIFS(작업목록!$D$3:$D$102,$A99))</f>
        <v/>
      </c>
      <c r="D99" s="24" t="str">
        <f aca="false">IF($A99="","",COUNTIFS(작업목록!$D$3:$D$102,$A99,작업목록!$I$3:$I$102,"완료"))</f>
        <v/>
      </c>
      <c r="E99" s="24" t="str">
        <f aca="false">IF($A99="","",COUNTIFS(작업목록!$D$3:$D$102,$A99,작업목록!$I$3:$I$102,"진행중"))</f>
        <v/>
      </c>
      <c r="F99" s="24" t="str">
        <f aca="false">IF($A99="","",COUNTIFS(작업목록!$D$3:$D$102,$A99,작업목록!$I$3:$I$102,"지연"))</f>
        <v/>
      </c>
      <c r="G99" s="25" t="str">
        <f aca="false">IF($A99="","",IF($C99=0,"",ROUND(SUMIFS(작업목록!$H$3:$H$102,작업목록!$D$3:$D$102,$A99)/$C99,3)))</f>
        <v/>
      </c>
    </row>
    <row r="100" customFormat="false" ht="15" hidden="false" customHeight="true" outlineLevel="0" collapsed="false">
      <c r="A100" s="11" t="str">
        <f aca="false">IF(담당자목록!$A99="","",담당자목록!$A99)</f>
        <v/>
      </c>
      <c r="B100" s="11" t="str">
        <f aca="false">IF($A100="","",담당자목록!$B99)</f>
        <v/>
      </c>
      <c r="C100" s="24" t="str">
        <f aca="false">IF($A100="","",COUNTIFS(작업목록!$D$3:$D$102,$A100))</f>
        <v/>
      </c>
      <c r="D100" s="24" t="str">
        <f aca="false">IF($A100="","",COUNTIFS(작업목록!$D$3:$D$102,$A100,작업목록!$I$3:$I$102,"완료"))</f>
        <v/>
      </c>
      <c r="E100" s="24" t="str">
        <f aca="false">IF($A100="","",COUNTIFS(작업목록!$D$3:$D$102,$A100,작업목록!$I$3:$I$102,"진행중"))</f>
        <v/>
      </c>
      <c r="F100" s="24" t="str">
        <f aca="false">IF($A100="","",COUNTIFS(작업목록!$D$3:$D$102,$A100,작업목록!$I$3:$I$102,"지연"))</f>
        <v/>
      </c>
      <c r="G100" s="25" t="str">
        <f aca="false">IF($A100="","",IF($C100=0,"",ROUND(SUMIFS(작업목록!$H$3:$H$102,작업목록!$D$3:$D$102,$A100)/$C100,3)))</f>
        <v/>
      </c>
    </row>
    <row r="101" customFormat="false" ht="15" hidden="false" customHeight="true" outlineLevel="0" collapsed="false">
      <c r="A101" s="11" t="str">
        <f aca="false">IF(담당자목록!$A100="","",담당자목록!$A100)</f>
        <v/>
      </c>
      <c r="B101" s="11" t="str">
        <f aca="false">IF($A101="","",담당자목록!$B100)</f>
        <v/>
      </c>
      <c r="C101" s="24" t="str">
        <f aca="false">IF($A101="","",COUNTIFS(작업목록!$D$3:$D$102,$A101))</f>
        <v/>
      </c>
      <c r="D101" s="24" t="str">
        <f aca="false">IF($A101="","",COUNTIFS(작업목록!$D$3:$D$102,$A101,작업목록!$I$3:$I$102,"완료"))</f>
        <v/>
      </c>
      <c r="E101" s="24" t="str">
        <f aca="false">IF($A101="","",COUNTIFS(작업목록!$D$3:$D$102,$A101,작업목록!$I$3:$I$102,"진행중"))</f>
        <v/>
      </c>
      <c r="F101" s="24" t="str">
        <f aca="false">IF($A101="","",COUNTIFS(작업목록!$D$3:$D$102,$A101,작업목록!$I$3:$I$102,"지연"))</f>
        <v/>
      </c>
      <c r="G101" s="25" t="str">
        <f aca="false">IF($A101="","",IF($C101=0,"",ROUND(SUMIFS(작업목록!$H$3:$H$102,작업목록!$D$3:$D$102,$A101)/$C101,3)))</f>
        <v/>
      </c>
    </row>
    <row r="102" customFormat="false" ht="15" hidden="false" customHeight="true" outlineLevel="0" collapsed="false">
      <c r="A102" s="11" t="str">
        <f aca="false">IF(담당자목록!$A101="","",담당자목록!$A101)</f>
        <v/>
      </c>
      <c r="B102" s="11" t="str">
        <f aca="false">IF($A102="","",담당자목록!$B101)</f>
        <v/>
      </c>
      <c r="C102" s="24" t="str">
        <f aca="false">IF($A102="","",COUNTIFS(작업목록!$D$3:$D$102,$A102))</f>
        <v/>
      </c>
      <c r="D102" s="24" t="str">
        <f aca="false">IF($A102="","",COUNTIFS(작업목록!$D$3:$D$102,$A102,작업목록!$I$3:$I$102,"완료"))</f>
        <v/>
      </c>
      <c r="E102" s="24" t="str">
        <f aca="false">IF($A102="","",COUNTIFS(작업목록!$D$3:$D$102,$A102,작업목록!$I$3:$I$102,"진행중"))</f>
        <v/>
      </c>
      <c r="F102" s="24" t="str">
        <f aca="false">IF($A102="","",COUNTIFS(작업목록!$D$3:$D$102,$A102,작업목록!$I$3:$I$102,"지연"))</f>
        <v/>
      </c>
      <c r="G102" s="25" t="str">
        <f aca="false">IF($A102="","",IF($C102=0,"",ROUND(SUMIFS(작업목록!$H$3:$H$102,작업목록!$D$3:$D$102,$A102)/$C102,3)))</f>
        <v/>
      </c>
    </row>
    <row r="103" customFormat="false" ht="15" hidden="false" customHeight="true" outlineLevel="0" collapsed="false">
      <c r="A103" s="11" t="str">
        <f aca="false">IF(담당자목록!$A102="","",담당자목록!$A102)</f>
        <v/>
      </c>
      <c r="B103" s="11" t="str">
        <f aca="false">IF($A103="","",담당자목록!$B102)</f>
        <v/>
      </c>
      <c r="C103" s="24" t="str">
        <f aca="false">IF($A103="","",COUNTIFS(작업목록!$D$3:$D$102,$A103))</f>
        <v/>
      </c>
      <c r="D103" s="24" t="str">
        <f aca="false">IF($A103="","",COUNTIFS(작업목록!$D$3:$D$102,$A103,작업목록!$I$3:$I$102,"완료"))</f>
        <v/>
      </c>
      <c r="E103" s="24" t="str">
        <f aca="false">IF($A103="","",COUNTIFS(작업목록!$D$3:$D$102,$A103,작업목록!$I$3:$I$102,"진행중"))</f>
        <v/>
      </c>
      <c r="F103" s="24" t="str">
        <f aca="false">IF($A103="","",COUNTIFS(작업목록!$D$3:$D$102,$A103,작업목록!$I$3:$I$102,"지연"))</f>
        <v/>
      </c>
      <c r="G103" s="25" t="str">
        <f aca="false">IF($A103="","",IF($C103=0,"",ROUND(SUMIFS(작업목록!$H$3:$H$102,작업목록!$D$3:$D$102,$A103)/$C103,3)))</f>
        <v/>
      </c>
    </row>
    <row r="105" customFormat="false" ht="15" hidden="false" customHeight="true" outlineLevel="0" collapsed="false">
      <c r="B105" s="26" t="s">
        <v>71</v>
      </c>
      <c r="C105" s="27" t="n">
        <f aca="false">SUM(C4:C103)</f>
        <v>6</v>
      </c>
      <c r="D105" s="27" t="n">
        <f aca="false">SUM(D4:D103)</f>
        <v>1</v>
      </c>
      <c r="E105" s="27" t="n">
        <f aca="false">SUM(E4:E103)</f>
        <v>1</v>
      </c>
      <c r="F105" s="27" t="n">
        <f aca="false">SUM(F4:F103)</f>
        <v>1</v>
      </c>
    </row>
  </sheetData>
  <mergeCells count="1">
    <mergeCell ref="A1:G1"/>
  </mergeCells>
  <conditionalFormatting sqref="A4:G103">
    <cfRule type="expression" priority="2" aboveAverage="0" equalAverage="0" bottom="0" percent="0" rank="0" text="" dxfId="0">
      <formula>AND($A4&lt;&gt;"",$F4&gt;0)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32"/>
    <col collapsed="false" customWidth="true" hidden="false" outlineLevel="0" max="4" min="4" style="1" width="16"/>
    <col collapsed="false" customWidth="true" hidden="false" outlineLevel="0" max="6" min="5" style="1" width="13"/>
    <col collapsed="false" customWidth="true" hidden="false" outlineLevel="0" max="7" min="7" style="1" width="12"/>
    <col collapsed="false" customWidth="true" hidden="false" outlineLevel="0" max="10" min="9" style="1" width="12"/>
    <col collapsed="false" customWidth="true" hidden="false" outlineLevel="0" max="11" min="11" style="1" width="13"/>
  </cols>
  <sheetData>
    <row r="1" customFormat="false" ht="25.5" hidden="false" customHeight="true" outlineLevel="0" collapsed="false">
      <c r="A1" s="2" t="s">
        <v>72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73</v>
      </c>
      <c r="B3" s="28" t="n">
        <f aca="false">COUNTIF(작업목록!$I$3:$I$102,"지연")</f>
        <v>1</v>
      </c>
      <c r="D3" s="3" t="s">
        <v>74</v>
      </c>
      <c r="E3" s="29" t="n">
        <f aca="true">TODAY()</f>
        <v>46279</v>
      </c>
    </row>
    <row r="5" customFormat="false" ht="15" hidden="false" customHeight="true" outlineLevel="0" collapsed="false">
      <c r="A5" s="6" t="s">
        <v>75</v>
      </c>
      <c r="B5" s="6" t="s">
        <v>39</v>
      </c>
      <c r="C5" s="6" t="s">
        <v>40</v>
      </c>
      <c r="D5" s="6" t="s">
        <v>24</v>
      </c>
      <c r="E5" s="6" t="s">
        <v>42</v>
      </c>
      <c r="F5" s="6" t="s">
        <v>76</v>
      </c>
      <c r="G5" s="6" t="s">
        <v>44</v>
      </c>
      <c r="I5" s="5" t="s">
        <v>77</v>
      </c>
      <c r="J5" s="5" t="s">
        <v>78</v>
      </c>
      <c r="K5" s="5" t="s">
        <v>79</v>
      </c>
    </row>
    <row r="6" customFormat="false" ht="15" hidden="false" customHeight="true" outlineLevel="0" collapsed="false">
      <c r="A6" s="30" t="n">
        <f aca="false">IF($C6="","",1)</f>
        <v>1</v>
      </c>
      <c r="B6" s="30" t="str">
        <f aca="false">IFERROR(INDEX(작업목록!$B$3:$B$102,MATCH("R"&amp;1,지연현황!$K$6:$K$105,0)),"")</f>
        <v>검수</v>
      </c>
      <c r="C6" s="20" t="str">
        <f aca="false">IFERROR(INDEX(작업목록!$C$3:$C$102,MATCH("R"&amp;1,지연현황!$K$6:$K$105,0)),"")</f>
        <v>테스트 시나리오 작성</v>
      </c>
      <c r="D6" s="20" t="str">
        <f aca="false">IF($C6="","",IFERROR(INDEX(작업목록!$D$3:$D$102,MATCH("R"&amp;1,지연현황!$K$6:$K$105,0)),""))</f>
        <v>박담당</v>
      </c>
      <c r="E6" s="21" t="n">
        <f aca="false">IF($C6="","",IFERROR(INDEX(작업목록!$F$3:$F$102,MATCH("R"&amp;1,지연현황!$K$6:$K$105,0)),""))</f>
        <v>46270</v>
      </c>
      <c r="F6" s="30" t="n">
        <f aca="true">IF($E6="","",TODAY()-$E6)</f>
        <v>9</v>
      </c>
      <c r="G6" s="31" t="n">
        <f aca="false">IF($C6="","",IFERROR(INDEX(작업목록!$H$3:$H$102,MATCH("R"&amp;1,지연현황!$K$6:$K$105,0)),""))</f>
        <v>0.7</v>
      </c>
      <c r="I6" s="32" t="b">
        <f aca="false">IF(작업목록!$C3="",FALSE(),작업목록!$I3="지연")</f>
        <v>0</v>
      </c>
      <c r="J6" s="5" t="str">
        <f aca="false">IF($I6=FALSE(),"",COUNTIF($I$6:$I6,TRUE()))</f>
        <v/>
      </c>
      <c r="K6" s="5" t="str">
        <f aca="false">IF($J6="","","R"&amp;$J6)</f>
        <v/>
      </c>
    </row>
    <row r="7" customFormat="false" ht="15" hidden="false" customHeight="true" outlineLevel="0" collapsed="false">
      <c r="A7" s="30" t="str">
        <f aca="false">IF($C7="","",2)</f>
        <v/>
      </c>
      <c r="B7" s="30" t="str">
        <f aca="false">IFERROR(INDEX(작업목록!$B$3:$B$102,MATCH("R"&amp;2,지연현황!$K$6:$K$105,0)),"")</f>
        <v/>
      </c>
      <c r="C7" s="20" t="str">
        <f aca="false">IFERROR(INDEX(작업목록!$C$3:$C$102,MATCH("R"&amp;2,지연현황!$K$6:$K$105,0)),"")</f>
        <v/>
      </c>
      <c r="D7" s="20" t="str">
        <f aca="false">IF($C7="","",IFERROR(INDEX(작업목록!$D$3:$D$102,MATCH("R"&amp;2,지연현황!$K$6:$K$105,0)),""))</f>
        <v/>
      </c>
      <c r="E7" s="21" t="str">
        <f aca="false">IF($C7="","",IFERROR(INDEX(작업목록!$F$3:$F$102,MATCH("R"&amp;2,지연현황!$K$6:$K$105,0)),""))</f>
        <v/>
      </c>
      <c r="F7" s="30" t="str">
        <f aca="true">IF($E7="","",TODAY()-$E7)</f>
        <v/>
      </c>
      <c r="G7" s="31" t="str">
        <f aca="false">IF($C7="","",IFERROR(INDEX(작업목록!$H$3:$H$102,MATCH("R"&amp;2,지연현황!$K$6:$K$105,0)),""))</f>
        <v/>
      </c>
      <c r="I7" s="32" t="b">
        <f aca="false">IF(작업목록!$C4="",FALSE(),작업목록!$I4="지연")</f>
        <v>0</v>
      </c>
      <c r="J7" s="5" t="str">
        <f aca="false">IF($I7=FALSE(),"",COUNTIF($I$6:$I7,TRUE()))</f>
        <v/>
      </c>
      <c r="K7" s="5" t="str">
        <f aca="false">IF($J7="","","R"&amp;$J7)</f>
        <v/>
      </c>
    </row>
    <row r="8" customFormat="false" ht="15" hidden="false" customHeight="true" outlineLevel="0" collapsed="false">
      <c r="A8" s="30" t="str">
        <f aca="false">IF($C8="","",3)</f>
        <v/>
      </c>
      <c r="B8" s="30" t="str">
        <f aca="false">IFERROR(INDEX(작업목록!$B$3:$B$102,MATCH("R"&amp;3,지연현황!$K$6:$K$105,0)),"")</f>
        <v/>
      </c>
      <c r="C8" s="20" t="str">
        <f aca="false">IFERROR(INDEX(작업목록!$C$3:$C$102,MATCH("R"&amp;3,지연현황!$K$6:$K$105,0)),"")</f>
        <v/>
      </c>
      <c r="D8" s="20" t="str">
        <f aca="false">IF($C8="","",IFERROR(INDEX(작업목록!$D$3:$D$102,MATCH("R"&amp;3,지연현황!$K$6:$K$105,0)),""))</f>
        <v/>
      </c>
      <c r="E8" s="21" t="str">
        <f aca="false">IF($C8="","",IFERROR(INDEX(작업목록!$F$3:$F$102,MATCH("R"&amp;3,지연현황!$K$6:$K$105,0)),""))</f>
        <v/>
      </c>
      <c r="F8" s="30" t="str">
        <f aca="true">IF($E8="","",TODAY()-$E8)</f>
        <v/>
      </c>
      <c r="G8" s="31" t="str">
        <f aca="false">IF($C8="","",IFERROR(INDEX(작업목록!$H$3:$H$102,MATCH("R"&amp;3,지연현황!$K$6:$K$105,0)),""))</f>
        <v/>
      </c>
      <c r="I8" s="32" t="b">
        <f aca="false">IF(작업목록!$C5="",FALSE(),작업목록!$I5="지연")</f>
        <v>0</v>
      </c>
      <c r="J8" s="5" t="str">
        <f aca="false">IF($I8=FALSE(),"",COUNTIF($I$6:$I8,TRUE()))</f>
        <v/>
      </c>
      <c r="K8" s="5" t="str">
        <f aca="false">IF($J8="","","R"&amp;$J8)</f>
        <v/>
      </c>
    </row>
    <row r="9" customFormat="false" ht="15" hidden="false" customHeight="true" outlineLevel="0" collapsed="false">
      <c r="A9" s="30" t="str">
        <f aca="false">IF($C9="","",4)</f>
        <v/>
      </c>
      <c r="B9" s="30" t="str">
        <f aca="false">IFERROR(INDEX(작업목록!$B$3:$B$102,MATCH("R"&amp;4,지연현황!$K$6:$K$105,0)),"")</f>
        <v/>
      </c>
      <c r="C9" s="20" t="str">
        <f aca="false">IFERROR(INDEX(작업목록!$C$3:$C$102,MATCH("R"&amp;4,지연현황!$K$6:$K$105,0)),"")</f>
        <v/>
      </c>
      <c r="D9" s="20" t="str">
        <f aca="false">IF($C9="","",IFERROR(INDEX(작업목록!$D$3:$D$102,MATCH("R"&amp;4,지연현황!$K$6:$K$105,0)),""))</f>
        <v/>
      </c>
      <c r="E9" s="21" t="str">
        <f aca="false">IF($C9="","",IFERROR(INDEX(작업목록!$F$3:$F$102,MATCH("R"&amp;4,지연현황!$K$6:$K$105,0)),""))</f>
        <v/>
      </c>
      <c r="F9" s="30" t="str">
        <f aca="true">IF($E9="","",TODAY()-$E9)</f>
        <v/>
      </c>
      <c r="G9" s="31" t="str">
        <f aca="false">IF($C9="","",IFERROR(INDEX(작업목록!$H$3:$H$102,MATCH("R"&amp;4,지연현황!$K$6:$K$105,0)),""))</f>
        <v/>
      </c>
      <c r="I9" s="32" t="b">
        <f aca="false">IF(작업목록!$C6="",FALSE(),작업목록!$I6="지연")</f>
        <v>0</v>
      </c>
      <c r="J9" s="5" t="str">
        <f aca="false">IF($I9=FALSE(),"",COUNTIF($I$6:$I9,TRUE()))</f>
        <v/>
      </c>
      <c r="K9" s="5" t="str">
        <f aca="false">IF($J9="","","R"&amp;$J9)</f>
        <v/>
      </c>
    </row>
    <row r="10" customFormat="false" ht="15" hidden="false" customHeight="true" outlineLevel="0" collapsed="false">
      <c r="A10" s="30" t="str">
        <f aca="false">IF($C10="","",5)</f>
        <v/>
      </c>
      <c r="B10" s="30" t="str">
        <f aca="false">IFERROR(INDEX(작업목록!$B$3:$B$102,MATCH("R"&amp;5,지연현황!$K$6:$K$105,0)),"")</f>
        <v/>
      </c>
      <c r="C10" s="20" t="str">
        <f aca="false">IFERROR(INDEX(작업목록!$C$3:$C$102,MATCH("R"&amp;5,지연현황!$K$6:$K$105,0)),"")</f>
        <v/>
      </c>
      <c r="D10" s="20" t="str">
        <f aca="false">IF($C10="","",IFERROR(INDEX(작업목록!$D$3:$D$102,MATCH("R"&amp;5,지연현황!$K$6:$K$105,0)),""))</f>
        <v/>
      </c>
      <c r="E10" s="21" t="str">
        <f aca="false">IF($C10="","",IFERROR(INDEX(작업목록!$F$3:$F$102,MATCH("R"&amp;5,지연현황!$K$6:$K$105,0)),""))</f>
        <v/>
      </c>
      <c r="F10" s="30" t="str">
        <f aca="true">IF($E10="","",TODAY()-$E10)</f>
        <v/>
      </c>
      <c r="G10" s="31" t="str">
        <f aca="false">IF($C10="","",IFERROR(INDEX(작업목록!$H$3:$H$102,MATCH("R"&amp;5,지연현황!$K$6:$K$105,0)),""))</f>
        <v/>
      </c>
      <c r="I10" s="32" t="b">
        <f aca="false">IF(작업목록!$C7="",FALSE(),작업목록!$I7="지연")</f>
        <v>0</v>
      </c>
      <c r="J10" s="5" t="str">
        <f aca="false">IF($I10=FALSE(),"",COUNTIF($I$6:$I10,TRUE()))</f>
        <v/>
      </c>
      <c r="K10" s="5" t="str">
        <f aca="false">IF($J10="","","R"&amp;$J10)</f>
        <v/>
      </c>
    </row>
    <row r="11" customFormat="false" ht="15" hidden="false" customHeight="true" outlineLevel="0" collapsed="false">
      <c r="A11" s="30" t="str">
        <f aca="false">IF($C11="","",6)</f>
        <v/>
      </c>
      <c r="B11" s="30" t="str">
        <f aca="false">IFERROR(INDEX(작업목록!$B$3:$B$102,MATCH("R"&amp;6,지연현황!$K$6:$K$105,0)),"")</f>
        <v/>
      </c>
      <c r="C11" s="20" t="str">
        <f aca="false">IFERROR(INDEX(작업목록!$C$3:$C$102,MATCH("R"&amp;6,지연현황!$K$6:$K$105,0)),"")</f>
        <v/>
      </c>
      <c r="D11" s="20" t="str">
        <f aca="false">IF($C11="","",IFERROR(INDEX(작업목록!$D$3:$D$102,MATCH("R"&amp;6,지연현황!$K$6:$K$105,0)),""))</f>
        <v/>
      </c>
      <c r="E11" s="21" t="str">
        <f aca="false">IF($C11="","",IFERROR(INDEX(작업목록!$F$3:$F$102,MATCH("R"&amp;6,지연현황!$K$6:$K$105,0)),""))</f>
        <v/>
      </c>
      <c r="F11" s="30" t="str">
        <f aca="true">IF($E11="","",TODAY()-$E11)</f>
        <v/>
      </c>
      <c r="G11" s="31" t="str">
        <f aca="false">IF($C11="","",IFERROR(INDEX(작업목록!$H$3:$H$102,MATCH("R"&amp;6,지연현황!$K$6:$K$105,0)),""))</f>
        <v/>
      </c>
      <c r="I11" s="32" t="b">
        <f aca="false">IF(작업목록!$C8="",FALSE(),작업목록!$I8="지연")</f>
        <v>1</v>
      </c>
      <c r="J11" s="5" t="n">
        <f aca="false">IF($I11=FALSE(),"",COUNTIF($I$6:$I11,TRUE()))</f>
        <v>1</v>
      </c>
      <c r="K11" s="5" t="str">
        <f aca="false">IF($J11="","","R"&amp;$J11)</f>
        <v>R1</v>
      </c>
    </row>
    <row r="12" customFormat="false" ht="15" hidden="false" customHeight="true" outlineLevel="0" collapsed="false">
      <c r="A12" s="30" t="str">
        <f aca="false">IF($C12="","",7)</f>
        <v/>
      </c>
      <c r="B12" s="30" t="str">
        <f aca="false">IFERROR(INDEX(작업목록!$B$3:$B$102,MATCH("R"&amp;7,지연현황!$K$6:$K$105,0)),"")</f>
        <v/>
      </c>
      <c r="C12" s="20" t="str">
        <f aca="false">IFERROR(INDEX(작업목록!$C$3:$C$102,MATCH("R"&amp;7,지연현황!$K$6:$K$105,0)),"")</f>
        <v/>
      </c>
      <c r="D12" s="20" t="str">
        <f aca="false">IF($C12="","",IFERROR(INDEX(작업목록!$D$3:$D$102,MATCH("R"&amp;7,지연현황!$K$6:$K$105,0)),""))</f>
        <v/>
      </c>
      <c r="E12" s="21" t="str">
        <f aca="false">IF($C12="","",IFERROR(INDEX(작업목록!$F$3:$F$102,MATCH("R"&amp;7,지연현황!$K$6:$K$105,0)),""))</f>
        <v/>
      </c>
      <c r="F12" s="30" t="str">
        <f aca="true">IF($E12="","",TODAY()-$E12)</f>
        <v/>
      </c>
      <c r="G12" s="31" t="str">
        <f aca="false">IF($C12="","",IFERROR(INDEX(작업목록!$H$3:$H$102,MATCH("R"&amp;7,지연현황!$K$6:$K$105,0)),""))</f>
        <v/>
      </c>
      <c r="I12" s="32" t="b">
        <f aca="false">IF(작업목록!$C9="",FALSE(),작업목록!$I9="지연")</f>
        <v>0</v>
      </c>
      <c r="J12" s="5" t="str">
        <f aca="false">IF($I12=FALSE(),"",COUNTIF($I$6:$I12,TRUE()))</f>
        <v/>
      </c>
      <c r="K12" s="5" t="str">
        <f aca="false">IF($J12="","","R"&amp;$J12)</f>
        <v/>
      </c>
    </row>
    <row r="13" customFormat="false" ht="15" hidden="false" customHeight="true" outlineLevel="0" collapsed="false">
      <c r="A13" s="30" t="str">
        <f aca="false">IF($C13="","",8)</f>
        <v/>
      </c>
      <c r="B13" s="30" t="str">
        <f aca="false">IFERROR(INDEX(작업목록!$B$3:$B$102,MATCH("R"&amp;8,지연현황!$K$6:$K$105,0)),"")</f>
        <v/>
      </c>
      <c r="C13" s="20" t="str">
        <f aca="false">IFERROR(INDEX(작업목록!$C$3:$C$102,MATCH("R"&amp;8,지연현황!$K$6:$K$105,0)),"")</f>
        <v/>
      </c>
      <c r="D13" s="20" t="str">
        <f aca="false">IF($C13="","",IFERROR(INDEX(작업목록!$D$3:$D$102,MATCH("R"&amp;8,지연현황!$K$6:$K$105,0)),""))</f>
        <v/>
      </c>
      <c r="E13" s="21" t="str">
        <f aca="false">IF($C13="","",IFERROR(INDEX(작업목록!$F$3:$F$102,MATCH("R"&amp;8,지연현황!$K$6:$K$105,0)),""))</f>
        <v/>
      </c>
      <c r="F13" s="30" t="str">
        <f aca="true">IF($E13="","",TODAY()-$E13)</f>
        <v/>
      </c>
      <c r="G13" s="31" t="str">
        <f aca="false">IF($C13="","",IFERROR(INDEX(작업목록!$H$3:$H$102,MATCH("R"&amp;8,지연현황!$K$6:$K$105,0)),""))</f>
        <v/>
      </c>
      <c r="I13" s="32" t="b">
        <f aca="false">IF(작업목록!$C10="",FALSE(),작업목록!$I10="지연")</f>
        <v>0</v>
      </c>
      <c r="J13" s="5" t="str">
        <f aca="false">IF($I13=FALSE(),"",COUNTIF($I$6:$I13,TRUE()))</f>
        <v/>
      </c>
      <c r="K13" s="5" t="str">
        <f aca="false">IF($J13="","","R"&amp;$J13)</f>
        <v/>
      </c>
    </row>
    <row r="14" customFormat="false" ht="15" hidden="false" customHeight="true" outlineLevel="0" collapsed="false">
      <c r="A14" s="30" t="str">
        <f aca="false">IF($C14="","",9)</f>
        <v/>
      </c>
      <c r="B14" s="30" t="str">
        <f aca="false">IFERROR(INDEX(작업목록!$B$3:$B$102,MATCH("R"&amp;9,지연현황!$K$6:$K$105,0)),"")</f>
        <v/>
      </c>
      <c r="C14" s="20" t="str">
        <f aca="false">IFERROR(INDEX(작업목록!$C$3:$C$102,MATCH("R"&amp;9,지연현황!$K$6:$K$105,0)),"")</f>
        <v/>
      </c>
      <c r="D14" s="20" t="str">
        <f aca="false">IF($C14="","",IFERROR(INDEX(작업목록!$D$3:$D$102,MATCH("R"&amp;9,지연현황!$K$6:$K$105,0)),""))</f>
        <v/>
      </c>
      <c r="E14" s="21" t="str">
        <f aca="false">IF($C14="","",IFERROR(INDEX(작업목록!$F$3:$F$102,MATCH("R"&amp;9,지연현황!$K$6:$K$105,0)),""))</f>
        <v/>
      </c>
      <c r="F14" s="30" t="str">
        <f aca="true">IF($E14="","",TODAY()-$E14)</f>
        <v/>
      </c>
      <c r="G14" s="31" t="str">
        <f aca="false">IF($C14="","",IFERROR(INDEX(작업목록!$H$3:$H$102,MATCH("R"&amp;9,지연현황!$K$6:$K$105,0)),""))</f>
        <v/>
      </c>
      <c r="I14" s="32" t="b">
        <f aca="false">IF(작업목록!$C11="",FALSE(),작업목록!$I11="지연")</f>
        <v>0</v>
      </c>
      <c r="J14" s="5" t="str">
        <f aca="false">IF($I14=FALSE(),"",COUNTIF($I$6:$I14,TRUE()))</f>
        <v/>
      </c>
      <c r="K14" s="5" t="str">
        <f aca="false">IF($J14="","","R"&amp;$J14)</f>
        <v/>
      </c>
    </row>
    <row r="15" customFormat="false" ht="15" hidden="false" customHeight="true" outlineLevel="0" collapsed="false">
      <c r="A15" s="30" t="str">
        <f aca="false">IF($C15="","",10)</f>
        <v/>
      </c>
      <c r="B15" s="30" t="str">
        <f aca="false">IFERROR(INDEX(작업목록!$B$3:$B$102,MATCH("R"&amp;10,지연현황!$K$6:$K$105,0)),"")</f>
        <v/>
      </c>
      <c r="C15" s="20" t="str">
        <f aca="false">IFERROR(INDEX(작업목록!$C$3:$C$102,MATCH("R"&amp;10,지연현황!$K$6:$K$105,0)),"")</f>
        <v/>
      </c>
      <c r="D15" s="20" t="str">
        <f aca="false">IF($C15="","",IFERROR(INDEX(작업목록!$D$3:$D$102,MATCH("R"&amp;10,지연현황!$K$6:$K$105,0)),""))</f>
        <v/>
      </c>
      <c r="E15" s="21" t="str">
        <f aca="false">IF($C15="","",IFERROR(INDEX(작업목록!$F$3:$F$102,MATCH("R"&amp;10,지연현황!$K$6:$K$105,0)),""))</f>
        <v/>
      </c>
      <c r="F15" s="30" t="str">
        <f aca="true">IF($E15="","",TODAY()-$E15)</f>
        <v/>
      </c>
      <c r="G15" s="31" t="str">
        <f aca="false">IF($C15="","",IFERROR(INDEX(작업목록!$H$3:$H$102,MATCH("R"&amp;10,지연현황!$K$6:$K$105,0)),""))</f>
        <v/>
      </c>
      <c r="I15" s="32" t="b">
        <f aca="false">IF(작업목록!$C12="",FALSE(),작업목록!$I12="지연")</f>
        <v>0</v>
      </c>
      <c r="J15" s="5" t="str">
        <f aca="false">IF($I15=FALSE(),"",COUNTIF($I$6:$I15,TRUE()))</f>
        <v/>
      </c>
      <c r="K15" s="5" t="str">
        <f aca="false">IF($J15="","","R"&amp;$J15)</f>
        <v/>
      </c>
    </row>
    <row r="16" customFormat="false" ht="15" hidden="false" customHeight="true" outlineLevel="0" collapsed="false">
      <c r="A16" s="30" t="str">
        <f aca="false">IF($C16="","",11)</f>
        <v/>
      </c>
      <c r="B16" s="30" t="str">
        <f aca="false">IFERROR(INDEX(작업목록!$B$3:$B$102,MATCH("R"&amp;11,지연현황!$K$6:$K$105,0)),"")</f>
        <v/>
      </c>
      <c r="C16" s="20" t="str">
        <f aca="false">IFERROR(INDEX(작업목록!$C$3:$C$102,MATCH("R"&amp;11,지연현황!$K$6:$K$105,0)),"")</f>
        <v/>
      </c>
      <c r="D16" s="20" t="str">
        <f aca="false">IF($C16="","",IFERROR(INDEX(작업목록!$D$3:$D$102,MATCH("R"&amp;11,지연현황!$K$6:$K$105,0)),""))</f>
        <v/>
      </c>
      <c r="E16" s="21" t="str">
        <f aca="false">IF($C16="","",IFERROR(INDEX(작업목록!$F$3:$F$102,MATCH("R"&amp;11,지연현황!$K$6:$K$105,0)),""))</f>
        <v/>
      </c>
      <c r="F16" s="30" t="str">
        <f aca="true">IF($E16="","",TODAY()-$E16)</f>
        <v/>
      </c>
      <c r="G16" s="31" t="str">
        <f aca="false">IF($C16="","",IFERROR(INDEX(작업목록!$H$3:$H$102,MATCH("R"&amp;11,지연현황!$K$6:$K$105,0)),""))</f>
        <v/>
      </c>
      <c r="I16" s="32" t="b">
        <f aca="false">IF(작업목록!$C13="",FALSE(),작업목록!$I13="지연")</f>
        <v>0</v>
      </c>
      <c r="J16" s="5" t="str">
        <f aca="false">IF($I16=FALSE(),"",COUNTIF($I$6:$I16,TRUE()))</f>
        <v/>
      </c>
      <c r="K16" s="5" t="str">
        <f aca="false">IF($J16="","","R"&amp;$J16)</f>
        <v/>
      </c>
    </row>
    <row r="17" customFormat="false" ht="15" hidden="false" customHeight="true" outlineLevel="0" collapsed="false">
      <c r="A17" s="30" t="str">
        <f aca="false">IF($C17="","",12)</f>
        <v/>
      </c>
      <c r="B17" s="30" t="str">
        <f aca="false">IFERROR(INDEX(작업목록!$B$3:$B$102,MATCH("R"&amp;12,지연현황!$K$6:$K$105,0)),"")</f>
        <v/>
      </c>
      <c r="C17" s="20" t="str">
        <f aca="false">IFERROR(INDEX(작업목록!$C$3:$C$102,MATCH("R"&amp;12,지연현황!$K$6:$K$105,0)),"")</f>
        <v/>
      </c>
      <c r="D17" s="20" t="str">
        <f aca="false">IF($C17="","",IFERROR(INDEX(작업목록!$D$3:$D$102,MATCH("R"&amp;12,지연현황!$K$6:$K$105,0)),""))</f>
        <v/>
      </c>
      <c r="E17" s="21" t="str">
        <f aca="false">IF($C17="","",IFERROR(INDEX(작업목록!$F$3:$F$102,MATCH("R"&amp;12,지연현황!$K$6:$K$105,0)),""))</f>
        <v/>
      </c>
      <c r="F17" s="30" t="str">
        <f aca="true">IF($E17="","",TODAY()-$E17)</f>
        <v/>
      </c>
      <c r="G17" s="31" t="str">
        <f aca="false">IF($C17="","",IFERROR(INDEX(작업목록!$H$3:$H$102,MATCH("R"&amp;12,지연현황!$K$6:$K$105,0)),""))</f>
        <v/>
      </c>
      <c r="I17" s="32" t="b">
        <f aca="false">IF(작업목록!$C14="",FALSE(),작업목록!$I14="지연")</f>
        <v>0</v>
      </c>
      <c r="J17" s="5" t="str">
        <f aca="false">IF($I17=FALSE(),"",COUNTIF($I$6:$I17,TRUE()))</f>
        <v/>
      </c>
      <c r="K17" s="5" t="str">
        <f aca="false">IF($J17="","","R"&amp;$J17)</f>
        <v/>
      </c>
    </row>
    <row r="18" customFormat="false" ht="15" hidden="false" customHeight="true" outlineLevel="0" collapsed="false">
      <c r="A18" s="30" t="str">
        <f aca="false">IF($C18="","",13)</f>
        <v/>
      </c>
      <c r="B18" s="30" t="str">
        <f aca="false">IFERROR(INDEX(작업목록!$B$3:$B$102,MATCH("R"&amp;13,지연현황!$K$6:$K$105,0)),"")</f>
        <v/>
      </c>
      <c r="C18" s="20" t="str">
        <f aca="false">IFERROR(INDEX(작업목록!$C$3:$C$102,MATCH("R"&amp;13,지연현황!$K$6:$K$105,0)),"")</f>
        <v/>
      </c>
      <c r="D18" s="20" t="str">
        <f aca="false">IF($C18="","",IFERROR(INDEX(작업목록!$D$3:$D$102,MATCH("R"&amp;13,지연현황!$K$6:$K$105,0)),""))</f>
        <v/>
      </c>
      <c r="E18" s="21" t="str">
        <f aca="false">IF($C18="","",IFERROR(INDEX(작업목록!$F$3:$F$102,MATCH("R"&amp;13,지연현황!$K$6:$K$105,0)),""))</f>
        <v/>
      </c>
      <c r="F18" s="30" t="str">
        <f aca="true">IF($E18="","",TODAY()-$E18)</f>
        <v/>
      </c>
      <c r="G18" s="31" t="str">
        <f aca="false">IF($C18="","",IFERROR(INDEX(작업목록!$H$3:$H$102,MATCH("R"&amp;13,지연현황!$K$6:$K$105,0)),""))</f>
        <v/>
      </c>
      <c r="I18" s="32" t="b">
        <f aca="false">IF(작업목록!$C15="",FALSE(),작업목록!$I15="지연")</f>
        <v>0</v>
      </c>
      <c r="J18" s="5" t="str">
        <f aca="false">IF($I18=FALSE(),"",COUNTIF($I$6:$I18,TRUE()))</f>
        <v/>
      </c>
      <c r="K18" s="5" t="str">
        <f aca="false">IF($J18="","","R"&amp;$J18)</f>
        <v/>
      </c>
    </row>
    <row r="19" customFormat="false" ht="15" hidden="false" customHeight="true" outlineLevel="0" collapsed="false">
      <c r="A19" s="30" t="str">
        <f aca="false">IF($C19="","",14)</f>
        <v/>
      </c>
      <c r="B19" s="30" t="str">
        <f aca="false">IFERROR(INDEX(작업목록!$B$3:$B$102,MATCH("R"&amp;14,지연현황!$K$6:$K$105,0)),"")</f>
        <v/>
      </c>
      <c r="C19" s="20" t="str">
        <f aca="false">IFERROR(INDEX(작업목록!$C$3:$C$102,MATCH("R"&amp;14,지연현황!$K$6:$K$105,0)),"")</f>
        <v/>
      </c>
      <c r="D19" s="20" t="str">
        <f aca="false">IF($C19="","",IFERROR(INDEX(작업목록!$D$3:$D$102,MATCH("R"&amp;14,지연현황!$K$6:$K$105,0)),""))</f>
        <v/>
      </c>
      <c r="E19" s="21" t="str">
        <f aca="false">IF($C19="","",IFERROR(INDEX(작업목록!$F$3:$F$102,MATCH("R"&amp;14,지연현황!$K$6:$K$105,0)),""))</f>
        <v/>
      </c>
      <c r="F19" s="30" t="str">
        <f aca="true">IF($E19="","",TODAY()-$E19)</f>
        <v/>
      </c>
      <c r="G19" s="31" t="str">
        <f aca="false">IF($C19="","",IFERROR(INDEX(작업목록!$H$3:$H$102,MATCH("R"&amp;14,지연현황!$K$6:$K$105,0)),""))</f>
        <v/>
      </c>
      <c r="I19" s="32" t="b">
        <f aca="false">IF(작업목록!$C16="",FALSE(),작업목록!$I16="지연")</f>
        <v>0</v>
      </c>
      <c r="J19" s="5" t="str">
        <f aca="false">IF($I19=FALSE(),"",COUNTIF($I$6:$I19,TRUE()))</f>
        <v/>
      </c>
      <c r="K19" s="5" t="str">
        <f aca="false">IF($J19="","","R"&amp;$J19)</f>
        <v/>
      </c>
    </row>
    <row r="20" customFormat="false" ht="15" hidden="false" customHeight="true" outlineLevel="0" collapsed="false">
      <c r="A20" s="30" t="str">
        <f aca="false">IF($C20="","",15)</f>
        <v/>
      </c>
      <c r="B20" s="30" t="str">
        <f aca="false">IFERROR(INDEX(작업목록!$B$3:$B$102,MATCH("R"&amp;15,지연현황!$K$6:$K$105,0)),"")</f>
        <v/>
      </c>
      <c r="C20" s="20" t="str">
        <f aca="false">IFERROR(INDEX(작업목록!$C$3:$C$102,MATCH("R"&amp;15,지연현황!$K$6:$K$105,0)),"")</f>
        <v/>
      </c>
      <c r="D20" s="20" t="str">
        <f aca="false">IF($C20="","",IFERROR(INDEX(작업목록!$D$3:$D$102,MATCH("R"&amp;15,지연현황!$K$6:$K$105,0)),""))</f>
        <v/>
      </c>
      <c r="E20" s="21" t="str">
        <f aca="false">IF($C20="","",IFERROR(INDEX(작업목록!$F$3:$F$102,MATCH("R"&amp;15,지연현황!$K$6:$K$105,0)),""))</f>
        <v/>
      </c>
      <c r="F20" s="30" t="str">
        <f aca="true">IF($E20="","",TODAY()-$E20)</f>
        <v/>
      </c>
      <c r="G20" s="31" t="str">
        <f aca="false">IF($C20="","",IFERROR(INDEX(작업목록!$H$3:$H$102,MATCH("R"&amp;15,지연현황!$K$6:$K$105,0)),""))</f>
        <v/>
      </c>
      <c r="I20" s="32" t="b">
        <f aca="false">IF(작업목록!$C17="",FALSE(),작업목록!$I17="지연")</f>
        <v>0</v>
      </c>
      <c r="J20" s="5" t="str">
        <f aca="false">IF($I20=FALSE(),"",COUNTIF($I$6:$I20,TRUE()))</f>
        <v/>
      </c>
      <c r="K20" s="5" t="str">
        <f aca="false">IF($J20="","","R"&amp;$J20)</f>
        <v/>
      </c>
    </row>
    <row r="21" customFormat="false" ht="15" hidden="false" customHeight="true" outlineLevel="0" collapsed="false">
      <c r="A21" s="30" t="str">
        <f aca="false">IF($C21="","",16)</f>
        <v/>
      </c>
      <c r="B21" s="30" t="str">
        <f aca="false">IFERROR(INDEX(작업목록!$B$3:$B$102,MATCH("R"&amp;16,지연현황!$K$6:$K$105,0)),"")</f>
        <v/>
      </c>
      <c r="C21" s="20" t="str">
        <f aca="false">IFERROR(INDEX(작업목록!$C$3:$C$102,MATCH("R"&amp;16,지연현황!$K$6:$K$105,0)),"")</f>
        <v/>
      </c>
      <c r="D21" s="20" t="str">
        <f aca="false">IF($C21="","",IFERROR(INDEX(작업목록!$D$3:$D$102,MATCH("R"&amp;16,지연현황!$K$6:$K$105,0)),""))</f>
        <v/>
      </c>
      <c r="E21" s="21" t="str">
        <f aca="false">IF($C21="","",IFERROR(INDEX(작업목록!$F$3:$F$102,MATCH("R"&amp;16,지연현황!$K$6:$K$105,0)),""))</f>
        <v/>
      </c>
      <c r="F21" s="30" t="str">
        <f aca="true">IF($E21="","",TODAY()-$E21)</f>
        <v/>
      </c>
      <c r="G21" s="31" t="str">
        <f aca="false">IF($C21="","",IFERROR(INDEX(작업목록!$H$3:$H$102,MATCH("R"&amp;16,지연현황!$K$6:$K$105,0)),""))</f>
        <v/>
      </c>
      <c r="I21" s="32" t="b">
        <f aca="false">IF(작업목록!$C18="",FALSE(),작업목록!$I18="지연")</f>
        <v>0</v>
      </c>
      <c r="J21" s="5" t="str">
        <f aca="false">IF($I21=FALSE(),"",COUNTIF($I$6:$I21,TRUE()))</f>
        <v/>
      </c>
      <c r="K21" s="5" t="str">
        <f aca="false">IF($J21="","","R"&amp;$J21)</f>
        <v/>
      </c>
    </row>
    <row r="22" customFormat="false" ht="15" hidden="false" customHeight="true" outlineLevel="0" collapsed="false">
      <c r="A22" s="30" t="str">
        <f aca="false">IF($C22="","",17)</f>
        <v/>
      </c>
      <c r="B22" s="30" t="str">
        <f aca="false">IFERROR(INDEX(작업목록!$B$3:$B$102,MATCH("R"&amp;17,지연현황!$K$6:$K$105,0)),"")</f>
        <v/>
      </c>
      <c r="C22" s="20" t="str">
        <f aca="false">IFERROR(INDEX(작업목록!$C$3:$C$102,MATCH("R"&amp;17,지연현황!$K$6:$K$105,0)),"")</f>
        <v/>
      </c>
      <c r="D22" s="20" t="str">
        <f aca="false">IF($C22="","",IFERROR(INDEX(작업목록!$D$3:$D$102,MATCH("R"&amp;17,지연현황!$K$6:$K$105,0)),""))</f>
        <v/>
      </c>
      <c r="E22" s="21" t="str">
        <f aca="false">IF($C22="","",IFERROR(INDEX(작업목록!$F$3:$F$102,MATCH("R"&amp;17,지연현황!$K$6:$K$105,0)),""))</f>
        <v/>
      </c>
      <c r="F22" s="30" t="str">
        <f aca="true">IF($E22="","",TODAY()-$E22)</f>
        <v/>
      </c>
      <c r="G22" s="31" t="str">
        <f aca="false">IF($C22="","",IFERROR(INDEX(작업목록!$H$3:$H$102,MATCH("R"&amp;17,지연현황!$K$6:$K$105,0)),""))</f>
        <v/>
      </c>
      <c r="I22" s="32" t="b">
        <f aca="false">IF(작업목록!$C19="",FALSE(),작업목록!$I19="지연")</f>
        <v>0</v>
      </c>
      <c r="J22" s="5" t="str">
        <f aca="false">IF($I22=FALSE(),"",COUNTIF($I$6:$I22,TRUE()))</f>
        <v/>
      </c>
      <c r="K22" s="5" t="str">
        <f aca="false">IF($J22="","","R"&amp;$J22)</f>
        <v/>
      </c>
    </row>
    <row r="23" customFormat="false" ht="15" hidden="false" customHeight="true" outlineLevel="0" collapsed="false">
      <c r="A23" s="30" t="str">
        <f aca="false">IF($C23="","",18)</f>
        <v/>
      </c>
      <c r="B23" s="30" t="str">
        <f aca="false">IFERROR(INDEX(작업목록!$B$3:$B$102,MATCH("R"&amp;18,지연현황!$K$6:$K$105,0)),"")</f>
        <v/>
      </c>
      <c r="C23" s="20" t="str">
        <f aca="false">IFERROR(INDEX(작업목록!$C$3:$C$102,MATCH("R"&amp;18,지연현황!$K$6:$K$105,0)),"")</f>
        <v/>
      </c>
      <c r="D23" s="20" t="str">
        <f aca="false">IF($C23="","",IFERROR(INDEX(작업목록!$D$3:$D$102,MATCH("R"&amp;18,지연현황!$K$6:$K$105,0)),""))</f>
        <v/>
      </c>
      <c r="E23" s="21" t="str">
        <f aca="false">IF($C23="","",IFERROR(INDEX(작업목록!$F$3:$F$102,MATCH("R"&amp;18,지연현황!$K$6:$K$105,0)),""))</f>
        <v/>
      </c>
      <c r="F23" s="30" t="str">
        <f aca="true">IF($E23="","",TODAY()-$E23)</f>
        <v/>
      </c>
      <c r="G23" s="31" t="str">
        <f aca="false">IF($C23="","",IFERROR(INDEX(작업목록!$H$3:$H$102,MATCH("R"&amp;18,지연현황!$K$6:$K$105,0)),""))</f>
        <v/>
      </c>
      <c r="I23" s="32" t="b">
        <f aca="false">IF(작업목록!$C20="",FALSE(),작업목록!$I20="지연")</f>
        <v>0</v>
      </c>
      <c r="J23" s="5" t="str">
        <f aca="false">IF($I23=FALSE(),"",COUNTIF($I$6:$I23,TRUE()))</f>
        <v/>
      </c>
      <c r="K23" s="5" t="str">
        <f aca="false">IF($J23="","","R"&amp;$J23)</f>
        <v/>
      </c>
    </row>
    <row r="24" customFormat="false" ht="15" hidden="false" customHeight="true" outlineLevel="0" collapsed="false">
      <c r="A24" s="30" t="str">
        <f aca="false">IF($C24="","",19)</f>
        <v/>
      </c>
      <c r="B24" s="30" t="str">
        <f aca="false">IFERROR(INDEX(작업목록!$B$3:$B$102,MATCH("R"&amp;19,지연현황!$K$6:$K$105,0)),"")</f>
        <v/>
      </c>
      <c r="C24" s="20" t="str">
        <f aca="false">IFERROR(INDEX(작업목록!$C$3:$C$102,MATCH("R"&amp;19,지연현황!$K$6:$K$105,0)),"")</f>
        <v/>
      </c>
      <c r="D24" s="20" t="str">
        <f aca="false">IF($C24="","",IFERROR(INDEX(작업목록!$D$3:$D$102,MATCH("R"&amp;19,지연현황!$K$6:$K$105,0)),""))</f>
        <v/>
      </c>
      <c r="E24" s="21" t="str">
        <f aca="false">IF($C24="","",IFERROR(INDEX(작업목록!$F$3:$F$102,MATCH("R"&amp;19,지연현황!$K$6:$K$105,0)),""))</f>
        <v/>
      </c>
      <c r="F24" s="30" t="str">
        <f aca="true">IF($E24="","",TODAY()-$E24)</f>
        <v/>
      </c>
      <c r="G24" s="31" t="str">
        <f aca="false">IF($C24="","",IFERROR(INDEX(작업목록!$H$3:$H$102,MATCH("R"&amp;19,지연현황!$K$6:$K$105,0)),""))</f>
        <v/>
      </c>
      <c r="I24" s="32" t="b">
        <f aca="false">IF(작업목록!$C21="",FALSE(),작업목록!$I21="지연")</f>
        <v>0</v>
      </c>
      <c r="J24" s="5" t="str">
        <f aca="false">IF($I24=FALSE(),"",COUNTIF($I$6:$I24,TRUE()))</f>
        <v/>
      </c>
      <c r="K24" s="5" t="str">
        <f aca="false">IF($J24="","","R"&amp;$J24)</f>
        <v/>
      </c>
    </row>
    <row r="25" customFormat="false" ht="15" hidden="false" customHeight="true" outlineLevel="0" collapsed="false">
      <c r="A25" s="30" t="str">
        <f aca="false">IF($C25="","",20)</f>
        <v/>
      </c>
      <c r="B25" s="30" t="str">
        <f aca="false">IFERROR(INDEX(작업목록!$B$3:$B$102,MATCH("R"&amp;20,지연현황!$K$6:$K$105,0)),"")</f>
        <v/>
      </c>
      <c r="C25" s="20" t="str">
        <f aca="false">IFERROR(INDEX(작업목록!$C$3:$C$102,MATCH("R"&amp;20,지연현황!$K$6:$K$105,0)),"")</f>
        <v/>
      </c>
      <c r="D25" s="20" t="str">
        <f aca="false">IF($C25="","",IFERROR(INDEX(작업목록!$D$3:$D$102,MATCH("R"&amp;20,지연현황!$K$6:$K$105,0)),""))</f>
        <v/>
      </c>
      <c r="E25" s="21" t="str">
        <f aca="false">IF($C25="","",IFERROR(INDEX(작업목록!$F$3:$F$102,MATCH("R"&amp;20,지연현황!$K$6:$K$105,0)),""))</f>
        <v/>
      </c>
      <c r="F25" s="30" t="str">
        <f aca="true">IF($E25="","",TODAY()-$E25)</f>
        <v/>
      </c>
      <c r="G25" s="31" t="str">
        <f aca="false">IF($C25="","",IFERROR(INDEX(작업목록!$H$3:$H$102,MATCH("R"&amp;20,지연현황!$K$6:$K$105,0)),""))</f>
        <v/>
      </c>
      <c r="I25" s="32" t="b">
        <f aca="false">IF(작업목록!$C22="",FALSE(),작업목록!$I22="지연")</f>
        <v>0</v>
      </c>
      <c r="J25" s="5" t="str">
        <f aca="false">IF($I25=FALSE(),"",COUNTIF($I$6:$I25,TRUE()))</f>
        <v/>
      </c>
      <c r="K25" s="5" t="str">
        <f aca="false">IF($J25="","","R"&amp;$J25)</f>
        <v/>
      </c>
    </row>
    <row r="26" customFormat="false" ht="15" hidden="false" customHeight="true" outlineLevel="0" collapsed="false">
      <c r="A26" s="30" t="str">
        <f aca="false">IF($C26="","",21)</f>
        <v/>
      </c>
      <c r="B26" s="30" t="str">
        <f aca="false">IFERROR(INDEX(작업목록!$B$3:$B$102,MATCH("R"&amp;21,지연현황!$K$6:$K$105,0)),"")</f>
        <v/>
      </c>
      <c r="C26" s="20" t="str">
        <f aca="false">IFERROR(INDEX(작업목록!$C$3:$C$102,MATCH("R"&amp;21,지연현황!$K$6:$K$105,0)),"")</f>
        <v/>
      </c>
      <c r="D26" s="20" t="str">
        <f aca="false">IF($C26="","",IFERROR(INDEX(작업목록!$D$3:$D$102,MATCH("R"&amp;21,지연현황!$K$6:$K$105,0)),""))</f>
        <v/>
      </c>
      <c r="E26" s="21" t="str">
        <f aca="false">IF($C26="","",IFERROR(INDEX(작업목록!$F$3:$F$102,MATCH("R"&amp;21,지연현황!$K$6:$K$105,0)),""))</f>
        <v/>
      </c>
      <c r="F26" s="30" t="str">
        <f aca="true">IF($E26="","",TODAY()-$E26)</f>
        <v/>
      </c>
      <c r="G26" s="31" t="str">
        <f aca="false">IF($C26="","",IFERROR(INDEX(작업목록!$H$3:$H$102,MATCH("R"&amp;21,지연현황!$K$6:$K$105,0)),""))</f>
        <v/>
      </c>
      <c r="I26" s="32" t="b">
        <f aca="false">IF(작업목록!$C23="",FALSE(),작업목록!$I23="지연")</f>
        <v>0</v>
      </c>
      <c r="J26" s="5" t="str">
        <f aca="false">IF($I26=FALSE(),"",COUNTIF($I$6:$I26,TRUE()))</f>
        <v/>
      </c>
      <c r="K26" s="5" t="str">
        <f aca="false">IF($J26="","","R"&amp;$J26)</f>
        <v/>
      </c>
    </row>
    <row r="27" customFormat="false" ht="15" hidden="false" customHeight="true" outlineLevel="0" collapsed="false">
      <c r="A27" s="30" t="str">
        <f aca="false">IF($C27="","",22)</f>
        <v/>
      </c>
      <c r="B27" s="30" t="str">
        <f aca="false">IFERROR(INDEX(작업목록!$B$3:$B$102,MATCH("R"&amp;22,지연현황!$K$6:$K$105,0)),"")</f>
        <v/>
      </c>
      <c r="C27" s="20" t="str">
        <f aca="false">IFERROR(INDEX(작업목록!$C$3:$C$102,MATCH("R"&amp;22,지연현황!$K$6:$K$105,0)),"")</f>
        <v/>
      </c>
      <c r="D27" s="20" t="str">
        <f aca="false">IF($C27="","",IFERROR(INDEX(작업목록!$D$3:$D$102,MATCH("R"&amp;22,지연현황!$K$6:$K$105,0)),""))</f>
        <v/>
      </c>
      <c r="E27" s="21" t="str">
        <f aca="false">IF($C27="","",IFERROR(INDEX(작업목록!$F$3:$F$102,MATCH("R"&amp;22,지연현황!$K$6:$K$105,0)),""))</f>
        <v/>
      </c>
      <c r="F27" s="30" t="str">
        <f aca="true">IF($E27="","",TODAY()-$E27)</f>
        <v/>
      </c>
      <c r="G27" s="31" t="str">
        <f aca="false">IF($C27="","",IFERROR(INDEX(작업목록!$H$3:$H$102,MATCH("R"&amp;22,지연현황!$K$6:$K$105,0)),""))</f>
        <v/>
      </c>
      <c r="I27" s="32" t="b">
        <f aca="false">IF(작업목록!$C24="",FALSE(),작업목록!$I24="지연")</f>
        <v>0</v>
      </c>
      <c r="J27" s="5" t="str">
        <f aca="false">IF($I27=FALSE(),"",COUNTIF($I$6:$I27,TRUE()))</f>
        <v/>
      </c>
      <c r="K27" s="5" t="str">
        <f aca="false">IF($J27="","","R"&amp;$J27)</f>
        <v/>
      </c>
    </row>
    <row r="28" customFormat="false" ht="15" hidden="false" customHeight="true" outlineLevel="0" collapsed="false">
      <c r="A28" s="30" t="str">
        <f aca="false">IF($C28="","",23)</f>
        <v/>
      </c>
      <c r="B28" s="30" t="str">
        <f aca="false">IFERROR(INDEX(작업목록!$B$3:$B$102,MATCH("R"&amp;23,지연현황!$K$6:$K$105,0)),"")</f>
        <v/>
      </c>
      <c r="C28" s="20" t="str">
        <f aca="false">IFERROR(INDEX(작업목록!$C$3:$C$102,MATCH("R"&amp;23,지연현황!$K$6:$K$105,0)),"")</f>
        <v/>
      </c>
      <c r="D28" s="20" t="str">
        <f aca="false">IF($C28="","",IFERROR(INDEX(작업목록!$D$3:$D$102,MATCH("R"&amp;23,지연현황!$K$6:$K$105,0)),""))</f>
        <v/>
      </c>
      <c r="E28" s="21" t="str">
        <f aca="false">IF($C28="","",IFERROR(INDEX(작업목록!$F$3:$F$102,MATCH("R"&amp;23,지연현황!$K$6:$K$105,0)),""))</f>
        <v/>
      </c>
      <c r="F28" s="30" t="str">
        <f aca="true">IF($E28="","",TODAY()-$E28)</f>
        <v/>
      </c>
      <c r="G28" s="31" t="str">
        <f aca="false">IF($C28="","",IFERROR(INDEX(작업목록!$H$3:$H$102,MATCH("R"&amp;23,지연현황!$K$6:$K$105,0)),""))</f>
        <v/>
      </c>
      <c r="I28" s="32" t="b">
        <f aca="false">IF(작업목록!$C25="",FALSE(),작업목록!$I25="지연")</f>
        <v>0</v>
      </c>
      <c r="J28" s="5" t="str">
        <f aca="false">IF($I28=FALSE(),"",COUNTIF($I$6:$I28,TRUE()))</f>
        <v/>
      </c>
      <c r="K28" s="5" t="str">
        <f aca="false">IF($J28="","","R"&amp;$J28)</f>
        <v/>
      </c>
    </row>
    <row r="29" customFormat="false" ht="15" hidden="false" customHeight="true" outlineLevel="0" collapsed="false">
      <c r="A29" s="30" t="str">
        <f aca="false">IF($C29="","",24)</f>
        <v/>
      </c>
      <c r="B29" s="30" t="str">
        <f aca="false">IFERROR(INDEX(작업목록!$B$3:$B$102,MATCH("R"&amp;24,지연현황!$K$6:$K$105,0)),"")</f>
        <v/>
      </c>
      <c r="C29" s="20" t="str">
        <f aca="false">IFERROR(INDEX(작업목록!$C$3:$C$102,MATCH("R"&amp;24,지연현황!$K$6:$K$105,0)),"")</f>
        <v/>
      </c>
      <c r="D29" s="20" t="str">
        <f aca="false">IF($C29="","",IFERROR(INDEX(작업목록!$D$3:$D$102,MATCH("R"&amp;24,지연현황!$K$6:$K$105,0)),""))</f>
        <v/>
      </c>
      <c r="E29" s="21" t="str">
        <f aca="false">IF($C29="","",IFERROR(INDEX(작업목록!$F$3:$F$102,MATCH("R"&amp;24,지연현황!$K$6:$K$105,0)),""))</f>
        <v/>
      </c>
      <c r="F29" s="30" t="str">
        <f aca="true">IF($E29="","",TODAY()-$E29)</f>
        <v/>
      </c>
      <c r="G29" s="31" t="str">
        <f aca="false">IF($C29="","",IFERROR(INDEX(작업목록!$H$3:$H$102,MATCH("R"&amp;24,지연현황!$K$6:$K$105,0)),""))</f>
        <v/>
      </c>
      <c r="I29" s="32" t="b">
        <f aca="false">IF(작업목록!$C26="",FALSE(),작업목록!$I26="지연")</f>
        <v>0</v>
      </c>
      <c r="J29" s="5" t="str">
        <f aca="false">IF($I29=FALSE(),"",COUNTIF($I$6:$I29,TRUE()))</f>
        <v/>
      </c>
      <c r="K29" s="5" t="str">
        <f aca="false">IF($J29="","","R"&amp;$J29)</f>
        <v/>
      </c>
    </row>
    <row r="30" customFormat="false" ht="15" hidden="false" customHeight="true" outlineLevel="0" collapsed="false">
      <c r="A30" s="30" t="str">
        <f aca="false">IF($C30="","",25)</f>
        <v/>
      </c>
      <c r="B30" s="30" t="str">
        <f aca="false">IFERROR(INDEX(작업목록!$B$3:$B$102,MATCH("R"&amp;25,지연현황!$K$6:$K$105,0)),"")</f>
        <v/>
      </c>
      <c r="C30" s="20" t="str">
        <f aca="false">IFERROR(INDEX(작업목록!$C$3:$C$102,MATCH("R"&amp;25,지연현황!$K$6:$K$105,0)),"")</f>
        <v/>
      </c>
      <c r="D30" s="20" t="str">
        <f aca="false">IF($C30="","",IFERROR(INDEX(작업목록!$D$3:$D$102,MATCH("R"&amp;25,지연현황!$K$6:$K$105,0)),""))</f>
        <v/>
      </c>
      <c r="E30" s="21" t="str">
        <f aca="false">IF($C30="","",IFERROR(INDEX(작업목록!$F$3:$F$102,MATCH("R"&amp;25,지연현황!$K$6:$K$105,0)),""))</f>
        <v/>
      </c>
      <c r="F30" s="30" t="str">
        <f aca="true">IF($E30="","",TODAY()-$E30)</f>
        <v/>
      </c>
      <c r="G30" s="31" t="str">
        <f aca="false">IF($C30="","",IFERROR(INDEX(작업목록!$H$3:$H$102,MATCH("R"&amp;25,지연현황!$K$6:$K$105,0)),""))</f>
        <v/>
      </c>
      <c r="I30" s="32" t="b">
        <f aca="false">IF(작업목록!$C27="",FALSE(),작업목록!$I27="지연")</f>
        <v>0</v>
      </c>
      <c r="J30" s="5" t="str">
        <f aca="false">IF($I30=FALSE(),"",COUNTIF($I$6:$I30,TRUE()))</f>
        <v/>
      </c>
      <c r="K30" s="5" t="str">
        <f aca="false">IF($J30="","","R"&amp;$J30)</f>
        <v/>
      </c>
    </row>
    <row r="31" customFormat="false" ht="15" hidden="false" customHeight="true" outlineLevel="0" collapsed="false">
      <c r="A31" s="30" t="str">
        <f aca="false">IF($C31="","",26)</f>
        <v/>
      </c>
      <c r="B31" s="30" t="str">
        <f aca="false">IFERROR(INDEX(작업목록!$B$3:$B$102,MATCH("R"&amp;26,지연현황!$K$6:$K$105,0)),"")</f>
        <v/>
      </c>
      <c r="C31" s="20" t="str">
        <f aca="false">IFERROR(INDEX(작업목록!$C$3:$C$102,MATCH("R"&amp;26,지연현황!$K$6:$K$105,0)),"")</f>
        <v/>
      </c>
      <c r="D31" s="20" t="str">
        <f aca="false">IF($C31="","",IFERROR(INDEX(작업목록!$D$3:$D$102,MATCH("R"&amp;26,지연현황!$K$6:$K$105,0)),""))</f>
        <v/>
      </c>
      <c r="E31" s="21" t="str">
        <f aca="false">IF($C31="","",IFERROR(INDEX(작업목록!$F$3:$F$102,MATCH("R"&amp;26,지연현황!$K$6:$K$105,0)),""))</f>
        <v/>
      </c>
      <c r="F31" s="30" t="str">
        <f aca="true">IF($E31="","",TODAY()-$E31)</f>
        <v/>
      </c>
      <c r="G31" s="31" t="str">
        <f aca="false">IF($C31="","",IFERROR(INDEX(작업목록!$H$3:$H$102,MATCH("R"&amp;26,지연현황!$K$6:$K$105,0)),""))</f>
        <v/>
      </c>
      <c r="I31" s="32" t="b">
        <f aca="false">IF(작업목록!$C28="",FALSE(),작업목록!$I28="지연")</f>
        <v>0</v>
      </c>
      <c r="J31" s="5" t="str">
        <f aca="false">IF($I31=FALSE(),"",COUNTIF($I$6:$I31,TRUE()))</f>
        <v/>
      </c>
      <c r="K31" s="5" t="str">
        <f aca="false">IF($J31="","","R"&amp;$J31)</f>
        <v/>
      </c>
    </row>
    <row r="32" customFormat="false" ht="15" hidden="false" customHeight="true" outlineLevel="0" collapsed="false">
      <c r="A32" s="30" t="str">
        <f aca="false">IF($C32="","",27)</f>
        <v/>
      </c>
      <c r="B32" s="30" t="str">
        <f aca="false">IFERROR(INDEX(작업목록!$B$3:$B$102,MATCH("R"&amp;27,지연현황!$K$6:$K$105,0)),"")</f>
        <v/>
      </c>
      <c r="C32" s="20" t="str">
        <f aca="false">IFERROR(INDEX(작업목록!$C$3:$C$102,MATCH("R"&amp;27,지연현황!$K$6:$K$105,0)),"")</f>
        <v/>
      </c>
      <c r="D32" s="20" t="str">
        <f aca="false">IF($C32="","",IFERROR(INDEX(작업목록!$D$3:$D$102,MATCH("R"&amp;27,지연현황!$K$6:$K$105,0)),""))</f>
        <v/>
      </c>
      <c r="E32" s="21" t="str">
        <f aca="false">IF($C32="","",IFERROR(INDEX(작업목록!$F$3:$F$102,MATCH("R"&amp;27,지연현황!$K$6:$K$105,0)),""))</f>
        <v/>
      </c>
      <c r="F32" s="30" t="str">
        <f aca="true">IF($E32="","",TODAY()-$E32)</f>
        <v/>
      </c>
      <c r="G32" s="31" t="str">
        <f aca="false">IF($C32="","",IFERROR(INDEX(작업목록!$H$3:$H$102,MATCH("R"&amp;27,지연현황!$K$6:$K$105,0)),""))</f>
        <v/>
      </c>
      <c r="I32" s="32" t="b">
        <f aca="false">IF(작업목록!$C29="",FALSE(),작업목록!$I29="지연")</f>
        <v>0</v>
      </c>
      <c r="J32" s="5" t="str">
        <f aca="false">IF($I32=FALSE(),"",COUNTIF($I$6:$I32,TRUE()))</f>
        <v/>
      </c>
      <c r="K32" s="5" t="str">
        <f aca="false">IF($J32="","","R"&amp;$J32)</f>
        <v/>
      </c>
    </row>
    <row r="33" customFormat="false" ht="15" hidden="false" customHeight="true" outlineLevel="0" collapsed="false">
      <c r="A33" s="30" t="str">
        <f aca="false">IF($C33="","",28)</f>
        <v/>
      </c>
      <c r="B33" s="30" t="str">
        <f aca="false">IFERROR(INDEX(작업목록!$B$3:$B$102,MATCH("R"&amp;28,지연현황!$K$6:$K$105,0)),"")</f>
        <v/>
      </c>
      <c r="C33" s="20" t="str">
        <f aca="false">IFERROR(INDEX(작업목록!$C$3:$C$102,MATCH("R"&amp;28,지연현황!$K$6:$K$105,0)),"")</f>
        <v/>
      </c>
      <c r="D33" s="20" t="str">
        <f aca="false">IF($C33="","",IFERROR(INDEX(작업목록!$D$3:$D$102,MATCH("R"&amp;28,지연현황!$K$6:$K$105,0)),""))</f>
        <v/>
      </c>
      <c r="E33" s="21" t="str">
        <f aca="false">IF($C33="","",IFERROR(INDEX(작업목록!$F$3:$F$102,MATCH("R"&amp;28,지연현황!$K$6:$K$105,0)),""))</f>
        <v/>
      </c>
      <c r="F33" s="30" t="str">
        <f aca="true">IF($E33="","",TODAY()-$E33)</f>
        <v/>
      </c>
      <c r="G33" s="31" t="str">
        <f aca="false">IF($C33="","",IFERROR(INDEX(작업목록!$H$3:$H$102,MATCH("R"&amp;28,지연현황!$K$6:$K$105,0)),""))</f>
        <v/>
      </c>
      <c r="I33" s="32" t="b">
        <f aca="false">IF(작업목록!$C30="",FALSE(),작업목록!$I30="지연")</f>
        <v>0</v>
      </c>
      <c r="J33" s="5" t="str">
        <f aca="false">IF($I33=FALSE(),"",COUNTIF($I$6:$I33,TRUE()))</f>
        <v/>
      </c>
      <c r="K33" s="5" t="str">
        <f aca="false">IF($J33="","","R"&amp;$J33)</f>
        <v/>
      </c>
    </row>
    <row r="34" customFormat="false" ht="15" hidden="false" customHeight="true" outlineLevel="0" collapsed="false">
      <c r="A34" s="30" t="str">
        <f aca="false">IF($C34="","",29)</f>
        <v/>
      </c>
      <c r="B34" s="30" t="str">
        <f aca="false">IFERROR(INDEX(작업목록!$B$3:$B$102,MATCH("R"&amp;29,지연현황!$K$6:$K$105,0)),"")</f>
        <v/>
      </c>
      <c r="C34" s="20" t="str">
        <f aca="false">IFERROR(INDEX(작업목록!$C$3:$C$102,MATCH("R"&amp;29,지연현황!$K$6:$K$105,0)),"")</f>
        <v/>
      </c>
      <c r="D34" s="20" t="str">
        <f aca="false">IF($C34="","",IFERROR(INDEX(작업목록!$D$3:$D$102,MATCH("R"&amp;29,지연현황!$K$6:$K$105,0)),""))</f>
        <v/>
      </c>
      <c r="E34" s="21" t="str">
        <f aca="false">IF($C34="","",IFERROR(INDEX(작업목록!$F$3:$F$102,MATCH("R"&amp;29,지연현황!$K$6:$K$105,0)),""))</f>
        <v/>
      </c>
      <c r="F34" s="30" t="str">
        <f aca="true">IF($E34="","",TODAY()-$E34)</f>
        <v/>
      </c>
      <c r="G34" s="31" t="str">
        <f aca="false">IF($C34="","",IFERROR(INDEX(작업목록!$H$3:$H$102,MATCH("R"&amp;29,지연현황!$K$6:$K$105,0)),""))</f>
        <v/>
      </c>
      <c r="I34" s="32" t="b">
        <f aca="false">IF(작업목록!$C31="",FALSE(),작업목록!$I31="지연")</f>
        <v>0</v>
      </c>
      <c r="J34" s="5" t="str">
        <f aca="false">IF($I34=FALSE(),"",COUNTIF($I$6:$I34,TRUE()))</f>
        <v/>
      </c>
      <c r="K34" s="5" t="str">
        <f aca="false">IF($J34="","","R"&amp;$J34)</f>
        <v/>
      </c>
    </row>
    <row r="35" customFormat="false" ht="15" hidden="false" customHeight="true" outlineLevel="0" collapsed="false">
      <c r="A35" s="30" t="str">
        <f aca="false">IF($C35="","",30)</f>
        <v/>
      </c>
      <c r="B35" s="30" t="str">
        <f aca="false">IFERROR(INDEX(작업목록!$B$3:$B$102,MATCH("R"&amp;30,지연현황!$K$6:$K$105,0)),"")</f>
        <v/>
      </c>
      <c r="C35" s="20" t="str">
        <f aca="false">IFERROR(INDEX(작업목록!$C$3:$C$102,MATCH("R"&amp;30,지연현황!$K$6:$K$105,0)),"")</f>
        <v/>
      </c>
      <c r="D35" s="20" t="str">
        <f aca="false">IF($C35="","",IFERROR(INDEX(작업목록!$D$3:$D$102,MATCH("R"&amp;30,지연현황!$K$6:$K$105,0)),""))</f>
        <v/>
      </c>
      <c r="E35" s="21" t="str">
        <f aca="false">IF($C35="","",IFERROR(INDEX(작업목록!$F$3:$F$102,MATCH("R"&amp;30,지연현황!$K$6:$K$105,0)),""))</f>
        <v/>
      </c>
      <c r="F35" s="30" t="str">
        <f aca="true">IF($E35="","",TODAY()-$E35)</f>
        <v/>
      </c>
      <c r="G35" s="31" t="str">
        <f aca="false">IF($C35="","",IFERROR(INDEX(작업목록!$H$3:$H$102,MATCH("R"&amp;30,지연현황!$K$6:$K$105,0)),""))</f>
        <v/>
      </c>
      <c r="I35" s="32" t="b">
        <f aca="false">IF(작업목록!$C32="",FALSE(),작업목록!$I32="지연")</f>
        <v>0</v>
      </c>
      <c r="J35" s="5" t="str">
        <f aca="false">IF($I35=FALSE(),"",COUNTIF($I$6:$I35,TRUE()))</f>
        <v/>
      </c>
      <c r="K35" s="5" t="str">
        <f aca="false">IF($J35="","","R"&amp;$J35)</f>
        <v/>
      </c>
    </row>
    <row r="36" customFormat="false" ht="15" hidden="false" customHeight="true" outlineLevel="0" collapsed="false">
      <c r="A36" s="30" t="str">
        <f aca="false">IF($C36="","",31)</f>
        <v/>
      </c>
      <c r="B36" s="30" t="str">
        <f aca="false">IFERROR(INDEX(작업목록!$B$3:$B$102,MATCH("R"&amp;31,지연현황!$K$6:$K$105,0)),"")</f>
        <v/>
      </c>
      <c r="C36" s="20" t="str">
        <f aca="false">IFERROR(INDEX(작업목록!$C$3:$C$102,MATCH("R"&amp;31,지연현황!$K$6:$K$105,0)),"")</f>
        <v/>
      </c>
      <c r="D36" s="20" t="str">
        <f aca="false">IF($C36="","",IFERROR(INDEX(작업목록!$D$3:$D$102,MATCH("R"&amp;31,지연현황!$K$6:$K$105,0)),""))</f>
        <v/>
      </c>
      <c r="E36" s="21" t="str">
        <f aca="false">IF($C36="","",IFERROR(INDEX(작업목록!$F$3:$F$102,MATCH("R"&amp;31,지연현황!$K$6:$K$105,0)),""))</f>
        <v/>
      </c>
      <c r="F36" s="30" t="str">
        <f aca="true">IF($E36="","",TODAY()-$E36)</f>
        <v/>
      </c>
      <c r="G36" s="31" t="str">
        <f aca="false">IF($C36="","",IFERROR(INDEX(작업목록!$H$3:$H$102,MATCH("R"&amp;31,지연현황!$K$6:$K$105,0)),""))</f>
        <v/>
      </c>
      <c r="I36" s="32" t="b">
        <f aca="false">IF(작업목록!$C33="",FALSE(),작업목록!$I33="지연")</f>
        <v>0</v>
      </c>
      <c r="J36" s="5" t="str">
        <f aca="false">IF($I36=FALSE(),"",COUNTIF($I$6:$I36,TRUE()))</f>
        <v/>
      </c>
      <c r="K36" s="5" t="str">
        <f aca="false">IF($J36="","","R"&amp;$J36)</f>
        <v/>
      </c>
    </row>
    <row r="37" customFormat="false" ht="15" hidden="false" customHeight="true" outlineLevel="0" collapsed="false">
      <c r="A37" s="30" t="str">
        <f aca="false">IF($C37="","",32)</f>
        <v/>
      </c>
      <c r="B37" s="30" t="str">
        <f aca="false">IFERROR(INDEX(작업목록!$B$3:$B$102,MATCH("R"&amp;32,지연현황!$K$6:$K$105,0)),"")</f>
        <v/>
      </c>
      <c r="C37" s="20" t="str">
        <f aca="false">IFERROR(INDEX(작업목록!$C$3:$C$102,MATCH("R"&amp;32,지연현황!$K$6:$K$105,0)),"")</f>
        <v/>
      </c>
      <c r="D37" s="20" t="str">
        <f aca="false">IF($C37="","",IFERROR(INDEX(작업목록!$D$3:$D$102,MATCH("R"&amp;32,지연현황!$K$6:$K$105,0)),""))</f>
        <v/>
      </c>
      <c r="E37" s="21" t="str">
        <f aca="false">IF($C37="","",IFERROR(INDEX(작업목록!$F$3:$F$102,MATCH("R"&amp;32,지연현황!$K$6:$K$105,0)),""))</f>
        <v/>
      </c>
      <c r="F37" s="30" t="str">
        <f aca="true">IF($E37="","",TODAY()-$E37)</f>
        <v/>
      </c>
      <c r="G37" s="31" t="str">
        <f aca="false">IF($C37="","",IFERROR(INDEX(작업목록!$H$3:$H$102,MATCH("R"&amp;32,지연현황!$K$6:$K$105,0)),""))</f>
        <v/>
      </c>
      <c r="I37" s="32" t="b">
        <f aca="false">IF(작업목록!$C34="",FALSE(),작업목록!$I34="지연")</f>
        <v>0</v>
      </c>
      <c r="J37" s="5" t="str">
        <f aca="false">IF($I37=FALSE(),"",COUNTIF($I$6:$I37,TRUE()))</f>
        <v/>
      </c>
      <c r="K37" s="5" t="str">
        <f aca="false">IF($J37="","","R"&amp;$J37)</f>
        <v/>
      </c>
    </row>
    <row r="38" customFormat="false" ht="15" hidden="false" customHeight="true" outlineLevel="0" collapsed="false">
      <c r="A38" s="30" t="str">
        <f aca="false">IF($C38="","",33)</f>
        <v/>
      </c>
      <c r="B38" s="30" t="str">
        <f aca="false">IFERROR(INDEX(작업목록!$B$3:$B$102,MATCH("R"&amp;33,지연현황!$K$6:$K$105,0)),"")</f>
        <v/>
      </c>
      <c r="C38" s="20" t="str">
        <f aca="false">IFERROR(INDEX(작업목록!$C$3:$C$102,MATCH("R"&amp;33,지연현황!$K$6:$K$105,0)),"")</f>
        <v/>
      </c>
      <c r="D38" s="20" t="str">
        <f aca="false">IF($C38="","",IFERROR(INDEX(작업목록!$D$3:$D$102,MATCH("R"&amp;33,지연현황!$K$6:$K$105,0)),""))</f>
        <v/>
      </c>
      <c r="E38" s="21" t="str">
        <f aca="false">IF($C38="","",IFERROR(INDEX(작업목록!$F$3:$F$102,MATCH("R"&amp;33,지연현황!$K$6:$K$105,0)),""))</f>
        <v/>
      </c>
      <c r="F38" s="30" t="str">
        <f aca="true">IF($E38="","",TODAY()-$E38)</f>
        <v/>
      </c>
      <c r="G38" s="31" t="str">
        <f aca="false">IF($C38="","",IFERROR(INDEX(작업목록!$H$3:$H$102,MATCH("R"&amp;33,지연현황!$K$6:$K$105,0)),""))</f>
        <v/>
      </c>
      <c r="I38" s="32" t="b">
        <f aca="false">IF(작업목록!$C35="",FALSE(),작업목록!$I35="지연")</f>
        <v>0</v>
      </c>
      <c r="J38" s="5" t="str">
        <f aca="false">IF($I38=FALSE(),"",COUNTIF($I$6:$I38,TRUE()))</f>
        <v/>
      </c>
      <c r="K38" s="5" t="str">
        <f aca="false">IF($J38="","","R"&amp;$J38)</f>
        <v/>
      </c>
    </row>
    <row r="39" customFormat="false" ht="15" hidden="false" customHeight="true" outlineLevel="0" collapsed="false">
      <c r="A39" s="30" t="str">
        <f aca="false">IF($C39="","",34)</f>
        <v/>
      </c>
      <c r="B39" s="30" t="str">
        <f aca="false">IFERROR(INDEX(작업목록!$B$3:$B$102,MATCH("R"&amp;34,지연현황!$K$6:$K$105,0)),"")</f>
        <v/>
      </c>
      <c r="C39" s="20" t="str">
        <f aca="false">IFERROR(INDEX(작업목록!$C$3:$C$102,MATCH("R"&amp;34,지연현황!$K$6:$K$105,0)),"")</f>
        <v/>
      </c>
      <c r="D39" s="20" t="str">
        <f aca="false">IF($C39="","",IFERROR(INDEX(작업목록!$D$3:$D$102,MATCH("R"&amp;34,지연현황!$K$6:$K$105,0)),""))</f>
        <v/>
      </c>
      <c r="E39" s="21" t="str">
        <f aca="false">IF($C39="","",IFERROR(INDEX(작업목록!$F$3:$F$102,MATCH("R"&amp;34,지연현황!$K$6:$K$105,0)),""))</f>
        <v/>
      </c>
      <c r="F39" s="30" t="str">
        <f aca="true">IF($E39="","",TODAY()-$E39)</f>
        <v/>
      </c>
      <c r="G39" s="31" t="str">
        <f aca="false">IF($C39="","",IFERROR(INDEX(작업목록!$H$3:$H$102,MATCH("R"&amp;34,지연현황!$K$6:$K$105,0)),""))</f>
        <v/>
      </c>
      <c r="I39" s="32" t="b">
        <f aca="false">IF(작업목록!$C36="",FALSE(),작업목록!$I36="지연")</f>
        <v>0</v>
      </c>
      <c r="J39" s="5" t="str">
        <f aca="false">IF($I39=FALSE(),"",COUNTIF($I$6:$I39,TRUE()))</f>
        <v/>
      </c>
      <c r="K39" s="5" t="str">
        <f aca="false">IF($J39="","","R"&amp;$J39)</f>
        <v/>
      </c>
    </row>
    <row r="40" customFormat="false" ht="15" hidden="false" customHeight="true" outlineLevel="0" collapsed="false">
      <c r="A40" s="30" t="str">
        <f aca="false">IF($C40="","",35)</f>
        <v/>
      </c>
      <c r="B40" s="30" t="str">
        <f aca="false">IFERROR(INDEX(작업목록!$B$3:$B$102,MATCH("R"&amp;35,지연현황!$K$6:$K$105,0)),"")</f>
        <v/>
      </c>
      <c r="C40" s="20" t="str">
        <f aca="false">IFERROR(INDEX(작업목록!$C$3:$C$102,MATCH("R"&amp;35,지연현황!$K$6:$K$105,0)),"")</f>
        <v/>
      </c>
      <c r="D40" s="20" t="str">
        <f aca="false">IF($C40="","",IFERROR(INDEX(작업목록!$D$3:$D$102,MATCH("R"&amp;35,지연현황!$K$6:$K$105,0)),""))</f>
        <v/>
      </c>
      <c r="E40" s="21" t="str">
        <f aca="false">IF($C40="","",IFERROR(INDEX(작업목록!$F$3:$F$102,MATCH("R"&amp;35,지연현황!$K$6:$K$105,0)),""))</f>
        <v/>
      </c>
      <c r="F40" s="30" t="str">
        <f aca="true">IF($E40="","",TODAY()-$E40)</f>
        <v/>
      </c>
      <c r="G40" s="31" t="str">
        <f aca="false">IF($C40="","",IFERROR(INDEX(작업목록!$H$3:$H$102,MATCH("R"&amp;35,지연현황!$K$6:$K$105,0)),""))</f>
        <v/>
      </c>
      <c r="I40" s="32" t="b">
        <f aca="false">IF(작업목록!$C37="",FALSE(),작업목록!$I37="지연")</f>
        <v>0</v>
      </c>
      <c r="J40" s="5" t="str">
        <f aca="false">IF($I40=FALSE(),"",COUNTIF($I$6:$I40,TRUE()))</f>
        <v/>
      </c>
      <c r="K40" s="5" t="str">
        <f aca="false">IF($J40="","","R"&amp;$J40)</f>
        <v/>
      </c>
    </row>
    <row r="41" customFormat="false" ht="15" hidden="false" customHeight="true" outlineLevel="0" collapsed="false">
      <c r="A41" s="30" t="str">
        <f aca="false">IF($C41="","",36)</f>
        <v/>
      </c>
      <c r="B41" s="30" t="str">
        <f aca="false">IFERROR(INDEX(작업목록!$B$3:$B$102,MATCH("R"&amp;36,지연현황!$K$6:$K$105,0)),"")</f>
        <v/>
      </c>
      <c r="C41" s="20" t="str">
        <f aca="false">IFERROR(INDEX(작업목록!$C$3:$C$102,MATCH("R"&amp;36,지연현황!$K$6:$K$105,0)),"")</f>
        <v/>
      </c>
      <c r="D41" s="20" t="str">
        <f aca="false">IF($C41="","",IFERROR(INDEX(작업목록!$D$3:$D$102,MATCH("R"&amp;36,지연현황!$K$6:$K$105,0)),""))</f>
        <v/>
      </c>
      <c r="E41" s="21" t="str">
        <f aca="false">IF($C41="","",IFERROR(INDEX(작업목록!$F$3:$F$102,MATCH("R"&amp;36,지연현황!$K$6:$K$105,0)),""))</f>
        <v/>
      </c>
      <c r="F41" s="30" t="str">
        <f aca="true">IF($E41="","",TODAY()-$E41)</f>
        <v/>
      </c>
      <c r="G41" s="31" t="str">
        <f aca="false">IF($C41="","",IFERROR(INDEX(작업목록!$H$3:$H$102,MATCH("R"&amp;36,지연현황!$K$6:$K$105,0)),""))</f>
        <v/>
      </c>
      <c r="I41" s="32" t="b">
        <f aca="false">IF(작업목록!$C38="",FALSE(),작업목록!$I38="지연")</f>
        <v>0</v>
      </c>
      <c r="J41" s="5" t="str">
        <f aca="false">IF($I41=FALSE(),"",COUNTIF($I$6:$I41,TRUE()))</f>
        <v/>
      </c>
      <c r="K41" s="5" t="str">
        <f aca="false">IF($J41="","","R"&amp;$J41)</f>
        <v/>
      </c>
    </row>
    <row r="42" customFormat="false" ht="15" hidden="false" customHeight="true" outlineLevel="0" collapsed="false">
      <c r="A42" s="30" t="str">
        <f aca="false">IF($C42="","",37)</f>
        <v/>
      </c>
      <c r="B42" s="30" t="str">
        <f aca="false">IFERROR(INDEX(작업목록!$B$3:$B$102,MATCH("R"&amp;37,지연현황!$K$6:$K$105,0)),"")</f>
        <v/>
      </c>
      <c r="C42" s="20" t="str">
        <f aca="false">IFERROR(INDEX(작업목록!$C$3:$C$102,MATCH("R"&amp;37,지연현황!$K$6:$K$105,0)),"")</f>
        <v/>
      </c>
      <c r="D42" s="20" t="str">
        <f aca="false">IF($C42="","",IFERROR(INDEX(작업목록!$D$3:$D$102,MATCH("R"&amp;37,지연현황!$K$6:$K$105,0)),""))</f>
        <v/>
      </c>
      <c r="E42" s="21" t="str">
        <f aca="false">IF($C42="","",IFERROR(INDEX(작업목록!$F$3:$F$102,MATCH("R"&amp;37,지연현황!$K$6:$K$105,0)),""))</f>
        <v/>
      </c>
      <c r="F42" s="30" t="str">
        <f aca="true">IF($E42="","",TODAY()-$E42)</f>
        <v/>
      </c>
      <c r="G42" s="31" t="str">
        <f aca="false">IF($C42="","",IFERROR(INDEX(작업목록!$H$3:$H$102,MATCH("R"&amp;37,지연현황!$K$6:$K$105,0)),""))</f>
        <v/>
      </c>
      <c r="I42" s="32" t="b">
        <f aca="false">IF(작업목록!$C39="",FALSE(),작업목록!$I39="지연")</f>
        <v>0</v>
      </c>
      <c r="J42" s="5" t="str">
        <f aca="false">IF($I42=FALSE(),"",COUNTIF($I$6:$I42,TRUE()))</f>
        <v/>
      </c>
      <c r="K42" s="5" t="str">
        <f aca="false">IF($J42="","","R"&amp;$J42)</f>
        <v/>
      </c>
    </row>
    <row r="43" customFormat="false" ht="15" hidden="false" customHeight="true" outlineLevel="0" collapsed="false">
      <c r="A43" s="30" t="str">
        <f aca="false">IF($C43="","",38)</f>
        <v/>
      </c>
      <c r="B43" s="30" t="str">
        <f aca="false">IFERROR(INDEX(작업목록!$B$3:$B$102,MATCH("R"&amp;38,지연현황!$K$6:$K$105,0)),"")</f>
        <v/>
      </c>
      <c r="C43" s="20" t="str">
        <f aca="false">IFERROR(INDEX(작업목록!$C$3:$C$102,MATCH("R"&amp;38,지연현황!$K$6:$K$105,0)),"")</f>
        <v/>
      </c>
      <c r="D43" s="20" t="str">
        <f aca="false">IF($C43="","",IFERROR(INDEX(작업목록!$D$3:$D$102,MATCH("R"&amp;38,지연현황!$K$6:$K$105,0)),""))</f>
        <v/>
      </c>
      <c r="E43" s="21" t="str">
        <f aca="false">IF($C43="","",IFERROR(INDEX(작업목록!$F$3:$F$102,MATCH("R"&amp;38,지연현황!$K$6:$K$105,0)),""))</f>
        <v/>
      </c>
      <c r="F43" s="30" t="str">
        <f aca="true">IF($E43="","",TODAY()-$E43)</f>
        <v/>
      </c>
      <c r="G43" s="31" t="str">
        <f aca="false">IF($C43="","",IFERROR(INDEX(작업목록!$H$3:$H$102,MATCH("R"&amp;38,지연현황!$K$6:$K$105,0)),""))</f>
        <v/>
      </c>
      <c r="I43" s="32" t="b">
        <f aca="false">IF(작업목록!$C40="",FALSE(),작업목록!$I40="지연")</f>
        <v>0</v>
      </c>
      <c r="J43" s="5" t="str">
        <f aca="false">IF($I43=FALSE(),"",COUNTIF($I$6:$I43,TRUE()))</f>
        <v/>
      </c>
      <c r="K43" s="5" t="str">
        <f aca="false">IF($J43="","","R"&amp;$J43)</f>
        <v/>
      </c>
    </row>
    <row r="44" customFormat="false" ht="15" hidden="false" customHeight="true" outlineLevel="0" collapsed="false">
      <c r="A44" s="30" t="str">
        <f aca="false">IF($C44="","",39)</f>
        <v/>
      </c>
      <c r="B44" s="30" t="str">
        <f aca="false">IFERROR(INDEX(작업목록!$B$3:$B$102,MATCH("R"&amp;39,지연현황!$K$6:$K$105,0)),"")</f>
        <v/>
      </c>
      <c r="C44" s="20" t="str">
        <f aca="false">IFERROR(INDEX(작업목록!$C$3:$C$102,MATCH("R"&amp;39,지연현황!$K$6:$K$105,0)),"")</f>
        <v/>
      </c>
      <c r="D44" s="20" t="str">
        <f aca="false">IF($C44="","",IFERROR(INDEX(작업목록!$D$3:$D$102,MATCH("R"&amp;39,지연현황!$K$6:$K$105,0)),""))</f>
        <v/>
      </c>
      <c r="E44" s="21" t="str">
        <f aca="false">IF($C44="","",IFERROR(INDEX(작업목록!$F$3:$F$102,MATCH("R"&amp;39,지연현황!$K$6:$K$105,0)),""))</f>
        <v/>
      </c>
      <c r="F44" s="30" t="str">
        <f aca="true">IF($E44="","",TODAY()-$E44)</f>
        <v/>
      </c>
      <c r="G44" s="31" t="str">
        <f aca="false">IF($C44="","",IFERROR(INDEX(작업목록!$H$3:$H$102,MATCH("R"&amp;39,지연현황!$K$6:$K$105,0)),""))</f>
        <v/>
      </c>
      <c r="I44" s="32" t="b">
        <f aca="false">IF(작업목록!$C41="",FALSE(),작업목록!$I41="지연")</f>
        <v>0</v>
      </c>
      <c r="J44" s="5" t="str">
        <f aca="false">IF($I44=FALSE(),"",COUNTIF($I$6:$I44,TRUE()))</f>
        <v/>
      </c>
      <c r="K44" s="5" t="str">
        <f aca="false">IF($J44="","","R"&amp;$J44)</f>
        <v/>
      </c>
    </row>
    <row r="45" customFormat="false" ht="15" hidden="false" customHeight="true" outlineLevel="0" collapsed="false">
      <c r="A45" s="30" t="str">
        <f aca="false">IF($C45="","",40)</f>
        <v/>
      </c>
      <c r="B45" s="30" t="str">
        <f aca="false">IFERROR(INDEX(작업목록!$B$3:$B$102,MATCH("R"&amp;40,지연현황!$K$6:$K$105,0)),"")</f>
        <v/>
      </c>
      <c r="C45" s="20" t="str">
        <f aca="false">IFERROR(INDEX(작업목록!$C$3:$C$102,MATCH("R"&amp;40,지연현황!$K$6:$K$105,0)),"")</f>
        <v/>
      </c>
      <c r="D45" s="20" t="str">
        <f aca="false">IF($C45="","",IFERROR(INDEX(작업목록!$D$3:$D$102,MATCH("R"&amp;40,지연현황!$K$6:$K$105,0)),""))</f>
        <v/>
      </c>
      <c r="E45" s="21" t="str">
        <f aca="false">IF($C45="","",IFERROR(INDEX(작업목록!$F$3:$F$102,MATCH("R"&amp;40,지연현황!$K$6:$K$105,0)),""))</f>
        <v/>
      </c>
      <c r="F45" s="30" t="str">
        <f aca="true">IF($E45="","",TODAY()-$E45)</f>
        <v/>
      </c>
      <c r="G45" s="31" t="str">
        <f aca="false">IF($C45="","",IFERROR(INDEX(작업목록!$H$3:$H$102,MATCH("R"&amp;40,지연현황!$K$6:$K$105,0)),""))</f>
        <v/>
      </c>
      <c r="I45" s="32" t="b">
        <f aca="false">IF(작업목록!$C42="",FALSE(),작업목록!$I42="지연")</f>
        <v>0</v>
      </c>
      <c r="J45" s="5" t="str">
        <f aca="false">IF($I45=FALSE(),"",COUNTIF($I$6:$I45,TRUE()))</f>
        <v/>
      </c>
      <c r="K45" s="5" t="str">
        <f aca="false">IF($J45="","","R"&amp;$J45)</f>
        <v/>
      </c>
    </row>
    <row r="46" customFormat="false" ht="15" hidden="false" customHeight="true" outlineLevel="0" collapsed="false">
      <c r="A46" s="30" t="str">
        <f aca="false">IF($C46="","",41)</f>
        <v/>
      </c>
      <c r="B46" s="30" t="str">
        <f aca="false">IFERROR(INDEX(작업목록!$B$3:$B$102,MATCH("R"&amp;41,지연현황!$K$6:$K$105,0)),"")</f>
        <v/>
      </c>
      <c r="C46" s="20" t="str">
        <f aca="false">IFERROR(INDEX(작업목록!$C$3:$C$102,MATCH("R"&amp;41,지연현황!$K$6:$K$105,0)),"")</f>
        <v/>
      </c>
      <c r="D46" s="20" t="str">
        <f aca="false">IF($C46="","",IFERROR(INDEX(작업목록!$D$3:$D$102,MATCH("R"&amp;41,지연현황!$K$6:$K$105,0)),""))</f>
        <v/>
      </c>
      <c r="E46" s="21" t="str">
        <f aca="false">IF($C46="","",IFERROR(INDEX(작업목록!$F$3:$F$102,MATCH("R"&amp;41,지연현황!$K$6:$K$105,0)),""))</f>
        <v/>
      </c>
      <c r="F46" s="30" t="str">
        <f aca="true">IF($E46="","",TODAY()-$E46)</f>
        <v/>
      </c>
      <c r="G46" s="31" t="str">
        <f aca="false">IF($C46="","",IFERROR(INDEX(작업목록!$H$3:$H$102,MATCH("R"&amp;41,지연현황!$K$6:$K$105,0)),""))</f>
        <v/>
      </c>
      <c r="I46" s="32" t="b">
        <f aca="false">IF(작업목록!$C43="",FALSE(),작업목록!$I43="지연")</f>
        <v>0</v>
      </c>
      <c r="J46" s="5" t="str">
        <f aca="false">IF($I46=FALSE(),"",COUNTIF($I$6:$I46,TRUE()))</f>
        <v/>
      </c>
      <c r="K46" s="5" t="str">
        <f aca="false">IF($J46="","","R"&amp;$J46)</f>
        <v/>
      </c>
    </row>
    <row r="47" customFormat="false" ht="15" hidden="false" customHeight="true" outlineLevel="0" collapsed="false">
      <c r="A47" s="30" t="str">
        <f aca="false">IF($C47="","",42)</f>
        <v/>
      </c>
      <c r="B47" s="30" t="str">
        <f aca="false">IFERROR(INDEX(작업목록!$B$3:$B$102,MATCH("R"&amp;42,지연현황!$K$6:$K$105,0)),"")</f>
        <v/>
      </c>
      <c r="C47" s="20" t="str">
        <f aca="false">IFERROR(INDEX(작업목록!$C$3:$C$102,MATCH("R"&amp;42,지연현황!$K$6:$K$105,0)),"")</f>
        <v/>
      </c>
      <c r="D47" s="20" t="str">
        <f aca="false">IF($C47="","",IFERROR(INDEX(작업목록!$D$3:$D$102,MATCH("R"&amp;42,지연현황!$K$6:$K$105,0)),""))</f>
        <v/>
      </c>
      <c r="E47" s="21" t="str">
        <f aca="false">IF($C47="","",IFERROR(INDEX(작업목록!$F$3:$F$102,MATCH("R"&amp;42,지연현황!$K$6:$K$105,0)),""))</f>
        <v/>
      </c>
      <c r="F47" s="30" t="str">
        <f aca="true">IF($E47="","",TODAY()-$E47)</f>
        <v/>
      </c>
      <c r="G47" s="31" t="str">
        <f aca="false">IF($C47="","",IFERROR(INDEX(작업목록!$H$3:$H$102,MATCH("R"&amp;42,지연현황!$K$6:$K$105,0)),""))</f>
        <v/>
      </c>
      <c r="I47" s="32" t="b">
        <f aca="false">IF(작업목록!$C44="",FALSE(),작업목록!$I44="지연")</f>
        <v>0</v>
      </c>
      <c r="J47" s="5" t="str">
        <f aca="false">IF($I47=FALSE(),"",COUNTIF($I$6:$I47,TRUE()))</f>
        <v/>
      </c>
      <c r="K47" s="5" t="str">
        <f aca="false">IF($J47="","","R"&amp;$J47)</f>
        <v/>
      </c>
    </row>
    <row r="48" customFormat="false" ht="15" hidden="false" customHeight="true" outlineLevel="0" collapsed="false">
      <c r="A48" s="30" t="str">
        <f aca="false">IF($C48="","",43)</f>
        <v/>
      </c>
      <c r="B48" s="30" t="str">
        <f aca="false">IFERROR(INDEX(작업목록!$B$3:$B$102,MATCH("R"&amp;43,지연현황!$K$6:$K$105,0)),"")</f>
        <v/>
      </c>
      <c r="C48" s="20" t="str">
        <f aca="false">IFERROR(INDEX(작업목록!$C$3:$C$102,MATCH("R"&amp;43,지연현황!$K$6:$K$105,0)),"")</f>
        <v/>
      </c>
      <c r="D48" s="20" t="str">
        <f aca="false">IF($C48="","",IFERROR(INDEX(작업목록!$D$3:$D$102,MATCH("R"&amp;43,지연현황!$K$6:$K$105,0)),""))</f>
        <v/>
      </c>
      <c r="E48" s="21" t="str">
        <f aca="false">IF($C48="","",IFERROR(INDEX(작업목록!$F$3:$F$102,MATCH("R"&amp;43,지연현황!$K$6:$K$105,0)),""))</f>
        <v/>
      </c>
      <c r="F48" s="30" t="str">
        <f aca="true">IF($E48="","",TODAY()-$E48)</f>
        <v/>
      </c>
      <c r="G48" s="31" t="str">
        <f aca="false">IF($C48="","",IFERROR(INDEX(작업목록!$H$3:$H$102,MATCH("R"&amp;43,지연현황!$K$6:$K$105,0)),""))</f>
        <v/>
      </c>
      <c r="I48" s="32" t="b">
        <f aca="false">IF(작업목록!$C45="",FALSE(),작업목록!$I45="지연")</f>
        <v>0</v>
      </c>
      <c r="J48" s="5" t="str">
        <f aca="false">IF($I48=FALSE(),"",COUNTIF($I$6:$I48,TRUE()))</f>
        <v/>
      </c>
      <c r="K48" s="5" t="str">
        <f aca="false">IF($J48="","","R"&amp;$J48)</f>
        <v/>
      </c>
    </row>
    <row r="49" customFormat="false" ht="15" hidden="false" customHeight="true" outlineLevel="0" collapsed="false">
      <c r="A49" s="30" t="str">
        <f aca="false">IF($C49="","",44)</f>
        <v/>
      </c>
      <c r="B49" s="30" t="str">
        <f aca="false">IFERROR(INDEX(작업목록!$B$3:$B$102,MATCH("R"&amp;44,지연현황!$K$6:$K$105,0)),"")</f>
        <v/>
      </c>
      <c r="C49" s="20" t="str">
        <f aca="false">IFERROR(INDEX(작업목록!$C$3:$C$102,MATCH("R"&amp;44,지연현황!$K$6:$K$105,0)),"")</f>
        <v/>
      </c>
      <c r="D49" s="20" t="str">
        <f aca="false">IF($C49="","",IFERROR(INDEX(작업목록!$D$3:$D$102,MATCH("R"&amp;44,지연현황!$K$6:$K$105,0)),""))</f>
        <v/>
      </c>
      <c r="E49" s="21" t="str">
        <f aca="false">IF($C49="","",IFERROR(INDEX(작업목록!$F$3:$F$102,MATCH("R"&amp;44,지연현황!$K$6:$K$105,0)),""))</f>
        <v/>
      </c>
      <c r="F49" s="30" t="str">
        <f aca="true">IF($E49="","",TODAY()-$E49)</f>
        <v/>
      </c>
      <c r="G49" s="31" t="str">
        <f aca="false">IF($C49="","",IFERROR(INDEX(작업목록!$H$3:$H$102,MATCH("R"&amp;44,지연현황!$K$6:$K$105,0)),""))</f>
        <v/>
      </c>
      <c r="I49" s="32" t="b">
        <f aca="false">IF(작업목록!$C46="",FALSE(),작업목록!$I46="지연")</f>
        <v>0</v>
      </c>
      <c r="J49" s="5" t="str">
        <f aca="false">IF($I49=FALSE(),"",COUNTIF($I$6:$I49,TRUE()))</f>
        <v/>
      </c>
      <c r="K49" s="5" t="str">
        <f aca="false">IF($J49="","","R"&amp;$J49)</f>
        <v/>
      </c>
    </row>
    <row r="50" customFormat="false" ht="15" hidden="false" customHeight="true" outlineLevel="0" collapsed="false">
      <c r="A50" s="30" t="str">
        <f aca="false">IF($C50="","",45)</f>
        <v/>
      </c>
      <c r="B50" s="30" t="str">
        <f aca="false">IFERROR(INDEX(작업목록!$B$3:$B$102,MATCH("R"&amp;45,지연현황!$K$6:$K$105,0)),"")</f>
        <v/>
      </c>
      <c r="C50" s="20" t="str">
        <f aca="false">IFERROR(INDEX(작업목록!$C$3:$C$102,MATCH("R"&amp;45,지연현황!$K$6:$K$105,0)),"")</f>
        <v/>
      </c>
      <c r="D50" s="20" t="str">
        <f aca="false">IF($C50="","",IFERROR(INDEX(작업목록!$D$3:$D$102,MATCH("R"&amp;45,지연현황!$K$6:$K$105,0)),""))</f>
        <v/>
      </c>
      <c r="E50" s="21" t="str">
        <f aca="false">IF($C50="","",IFERROR(INDEX(작업목록!$F$3:$F$102,MATCH("R"&amp;45,지연현황!$K$6:$K$105,0)),""))</f>
        <v/>
      </c>
      <c r="F50" s="30" t="str">
        <f aca="true">IF($E50="","",TODAY()-$E50)</f>
        <v/>
      </c>
      <c r="G50" s="31" t="str">
        <f aca="false">IF($C50="","",IFERROR(INDEX(작업목록!$H$3:$H$102,MATCH("R"&amp;45,지연현황!$K$6:$K$105,0)),""))</f>
        <v/>
      </c>
      <c r="I50" s="32" t="b">
        <f aca="false">IF(작업목록!$C47="",FALSE(),작업목록!$I47="지연")</f>
        <v>0</v>
      </c>
      <c r="J50" s="5" t="str">
        <f aca="false">IF($I50=FALSE(),"",COUNTIF($I$6:$I50,TRUE()))</f>
        <v/>
      </c>
      <c r="K50" s="5" t="str">
        <f aca="false">IF($J50="","","R"&amp;$J50)</f>
        <v/>
      </c>
    </row>
    <row r="51" customFormat="false" ht="15" hidden="false" customHeight="true" outlineLevel="0" collapsed="false">
      <c r="A51" s="30" t="str">
        <f aca="false">IF($C51="","",46)</f>
        <v/>
      </c>
      <c r="B51" s="30" t="str">
        <f aca="false">IFERROR(INDEX(작업목록!$B$3:$B$102,MATCH("R"&amp;46,지연현황!$K$6:$K$105,0)),"")</f>
        <v/>
      </c>
      <c r="C51" s="20" t="str">
        <f aca="false">IFERROR(INDEX(작업목록!$C$3:$C$102,MATCH("R"&amp;46,지연현황!$K$6:$K$105,0)),"")</f>
        <v/>
      </c>
      <c r="D51" s="20" t="str">
        <f aca="false">IF($C51="","",IFERROR(INDEX(작업목록!$D$3:$D$102,MATCH("R"&amp;46,지연현황!$K$6:$K$105,0)),""))</f>
        <v/>
      </c>
      <c r="E51" s="21" t="str">
        <f aca="false">IF($C51="","",IFERROR(INDEX(작업목록!$F$3:$F$102,MATCH("R"&amp;46,지연현황!$K$6:$K$105,0)),""))</f>
        <v/>
      </c>
      <c r="F51" s="30" t="str">
        <f aca="true">IF($E51="","",TODAY()-$E51)</f>
        <v/>
      </c>
      <c r="G51" s="31" t="str">
        <f aca="false">IF($C51="","",IFERROR(INDEX(작업목록!$H$3:$H$102,MATCH("R"&amp;46,지연현황!$K$6:$K$105,0)),""))</f>
        <v/>
      </c>
      <c r="I51" s="32" t="b">
        <f aca="false">IF(작업목록!$C48="",FALSE(),작업목록!$I48="지연")</f>
        <v>0</v>
      </c>
      <c r="J51" s="5" t="str">
        <f aca="false">IF($I51=FALSE(),"",COUNTIF($I$6:$I51,TRUE()))</f>
        <v/>
      </c>
      <c r="K51" s="5" t="str">
        <f aca="false">IF($J51="","","R"&amp;$J51)</f>
        <v/>
      </c>
    </row>
    <row r="52" customFormat="false" ht="15" hidden="false" customHeight="true" outlineLevel="0" collapsed="false">
      <c r="A52" s="30" t="str">
        <f aca="false">IF($C52="","",47)</f>
        <v/>
      </c>
      <c r="B52" s="30" t="str">
        <f aca="false">IFERROR(INDEX(작업목록!$B$3:$B$102,MATCH("R"&amp;47,지연현황!$K$6:$K$105,0)),"")</f>
        <v/>
      </c>
      <c r="C52" s="20" t="str">
        <f aca="false">IFERROR(INDEX(작업목록!$C$3:$C$102,MATCH("R"&amp;47,지연현황!$K$6:$K$105,0)),"")</f>
        <v/>
      </c>
      <c r="D52" s="20" t="str">
        <f aca="false">IF($C52="","",IFERROR(INDEX(작업목록!$D$3:$D$102,MATCH("R"&amp;47,지연현황!$K$6:$K$105,0)),""))</f>
        <v/>
      </c>
      <c r="E52" s="21" t="str">
        <f aca="false">IF($C52="","",IFERROR(INDEX(작업목록!$F$3:$F$102,MATCH("R"&amp;47,지연현황!$K$6:$K$105,0)),""))</f>
        <v/>
      </c>
      <c r="F52" s="30" t="str">
        <f aca="true">IF($E52="","",TODAY()-$E52)</f>
        <v/>
      </c>
      <c r="G52" s="31" t="str">
        <f aca="false">IF($C52="","",IFERROR(INDEX(작업목록!$H$3:$H$102,MATCH("R"&amp;47,지연현황!$K$6:$K$105,0)),""))</f>
        <v/>
      </c>
      <c r="I52" s="32" t="b">
        <f aca="false">IF(작업목록!$C49="",FALSE(),작업목록!$I49="지연")</f>
        <v>0</v>
      </c>
      <c r="J52" s="5" t="str">
        <f aca="false">IF($I52=FALSE(),"",COUNTIF($I$6:$I52,TRUE()))</f>
        <v/>
      </c>
      <c r="K52" s="5" t="str">
        <f aca="false">IF($J52="","","R"&amp;$J52)</f>
        <v/>
      </c>
    </row>
    <row r="53" customFormat="false" ht="15" hidden="false" customHeight="true" outlineLevel="0" collapsed="false">
      <c r="A53" s="30" t="str">
        <f aca="false">IF($C53="","",48)</f>
        <v/>
      </c>
      <c r="B53" s="30" t="str">
        <f aca="false">IFERROR(INDEX(작업목록!$B$3:$B$102,MATCH("R"&amp;48,지연현황!$K$6:$K$105,0)),"")</f>
        <v/>
      </c>
      <c r="C53" s="20" t="str">
        <f aca="false">IFERROR(INDEX(작업목록!$C$3:$C$102,MATCH("R"&amp;48,지연현황!$K$6:$K$105,0)),"")</f>
        <v/>
      </c>
      <c r="D53" s="20" t="str">
        <f aca="false">IF($C53="","",IFERROR(INDEX(작업목록!$D$3:$D$102,MATCH("R"&amp;48,지연현황!$K$6:$K$105,0)),""))</f>
        <v/>
      </c>
      <c r="E53" s="21" t="str">
        <f aca="false">IF($C53="","",IFERROR(INDEX(작업목록!$F$3:$F$102,MATCH("R"&amp;48,지연현황!$K$6:$K$105,0)),""))</f>
        <v/>
      </c>
      <c r="F53" s="30" t="str">
        <f aca="true">IF($E53="","",TODAY()-$E53)</f>
        <v/>
      </c>
      <c r="G53" s="31" t="str">
        <f aca="false">IF($C53="","",IFERROR(INDEX(작업목록!$H$3:$H$102,MATCH("R"&amp;48,지연현황!$K$6:$K$105,0)),""))</f>
        <v/>
      </c>
      <c r="I53" s="32" t="b">
        <f aca="false">IF(작업목록!$C50="",FALSE(),작업목록!$I50="지연")</f>
        <v>0</v>
      </c>
      <c r="J53" s="5" t="str">
        <f aca="false">IF($I53=FALSE(),"",COUNTIF($I$6:$I53,TRUE()))</f>
        <v/>
      </c>
      <c r="K53" s="5" t="str">
        <f aca="false">IF($J53="","","R"&amp;$J53)</f>
        <v/>
      </c>
    </row>
    <row r="54" customFormat="false" ht="15" hidden="false" customHeight="true" outlineLevel="0" collapsed="false">
      <c r="A54" s="30" t="str">
        <f aca="false">IF($C54="","",49)</f>
        <v/>
      </c>
      <c r="B54" s="30" t="str">
        <f aca="false">IFERROR(INDEX(작업목록!$B$3:$B$102,MATCH("R"&amp;49,지연현황!$K$6:$K$105,0)),"")</f>
        <v/>
      </c>
      <c r="C54" s="20" t="str">
        <f aca="false">IFERROR(INDEX(작업목록!$C$3:$C$102,MATCH("R"&amp;49,지연현황!$K$6:$K$105,0)),"")</f>
        <v/>
      </c>
      <c r="D54" s="20" t="str">
        <f aca="false">IF($C54="","",IFERROR(INDEX(작업목록!$D$3:$D$102,MATCH("R"&amp;49,지연현황!$K$6:$K$105,0)),""))</f>
        <v/>
      </c>
      <c r="E54" s="21" t="str">
        <f aca="false">IF($C54="","",IFERROR(INDEX(작업목록!$F$3:$F$102,MATCH("R"&amp;49,지연현황!$K$6:$K$105,0)),""))</f>
        <v/>
      </c>
      <c r="F54" s="30" t="str">
        <f aca="true">IF($E54="","",TODAY()-$E54)</f>
        <v/>
      </c>
      <c r="G54" s="31" t="str">
        <f aca="false">IF($C54="","",IFERROR(INDEX(작업목록!$H$3:$H$102,MATCH("R"&amp;49,지연현황!$K$6:$K$105,0)),""))</f>
        <v/>
      </c>
      <c r="I54" s="32" t="b">
        <f aca="false">IF(작업목록!$C51="",FALSE(),작업목록!$I51="지연")</f>
        <v>0</v>
      </c>
      <c r="J54" s="5" t="str">
        <f aca="false">IF($I54=FALSE(),"",COUNTIF($I$6:$I54,TRUE()))</f>
        <v/>
      </c>
      <c r="K54" s="5" t="str">
        <f aca="false">IF($J54="","","R"&amp;$J54)</f>
        <v/>
      </c>
    </row>
    <row r="55" customFormat="false" ht="15" hidden="false" customHeight="true" outlineLevel="0" collapsed="false">
      <c r="A55" s="30" t="str">
        <f aca="false">IF($C55="","",50)</f>
        <v/>
      </c>
      <c r="B55" s="30" t="str">
        <f aca="false">IFERROR(INDEX(작업목록!$B$3:$B$102,MATCH("R"&amp;50,지연현황!$K$6:$K$105,0)),"")</f>
        <v/>
      </c>
      <c r="C55" s="20" t="str">
        <f aca="false">IFERROR(INDEX(작업목록!$C$3:$C$102,MATCH("R"&amp;50,지연현황!$K$6:$K$105,0)),"")</f>
        <v/>
      </c>
      <c r="D55" s="20" t="str">
        <f aca="false">IF($C55="","",IFERROR(INDEX(작업목록!$D$3:$D$102,MATCH("R"&amp;50,지연현황!$K$6:$K$105,0)),""))</f>
        <v/>
      </c>
      <c r="E55" s="21" t="str">
        <f aca="false">IF($C55="","",IFERROR(INDEX(작업목록!$F$3:$F$102,MATCH("R"&amp;50,지연현황!$K$6:$K$105,0)),""))</f>
        <v/>
      </c>
      <c r="F55" s="30" t="str">
        <f aca="true">IF($E55="","",TODAY()-$E55)</f>
        <v/>
      </c>
      <c r="G55" s="31" t="str">
        <f aca="false">IF($C55="","",IFERROR(INDEX(작업목록!$H$3:$H$102,MATCH("R"&amp;50,지연현황!$K$6:$K$105,0)),""))</f>
        <v/>
      </c>
      <c r="I55" s="32" t="b">
        <f aca="false">IF(작업목록!$C52="",FALSE(),작업목록!$I52="지연")</f>
        <v>0</v>
      </c>
      <c r="J55" s="5" t="str">
        <f aca="false">IF($I55=FALSE(),"",COUNTIF($I$6:$I55,TRUE()))</f>
        <v/>
      </c>
      <c r="K55" s="5" t="str">
        <f aca="false">IF($J55="","","R"&amp;$J55)</f>
        <v/>
      </c>
    </row>
    <row r="56" customFormat="false" ht="15" hidden="false" customHeight="true" outlineLevel="0" collapsed="false">
      <c r="I56" s="32" t="b">
        <f aca="false">IF(작업목록!$C53="",FALSE(),작업목록!$I53="지연")</f>
        <v>0</v>
      </c>
      <c r="J56" s="5" t="str">
        <f aca="false">IF($I56=FALSE(),"",COUNTIF($I$6:$I56,TRUE()))</f>
        <v/>
      </c>
      <c r="K56" s="5" t="str">
        <f aca="false">IF($J56="","","R"&amp;$J56)</f>
        <v/>
      </c>
    </row>
    <row r="57" customFormat="false" ht="15" hidden="false" customHeight="true" outlineLevel="0" collapsed="false">
      <c r="I57" s="32" t="b">
        <f aca="false">IF(작업목록!$C54="",FALSE(),작업목록!$I54="지연")</f>
        <v>0</v>
      </c>
      <c r="J57" s="5" t="str">
        <f aca="false">IF($I57=FALSE(),"",COUNTIF($I$6:$I57,TRUE()))</f>
        <v/>
      </c>
      <c r="K57" s="5" t="str">
        <f aca="false">IF($J57="","","R"&amp;$J57)</f>
        <v/>
      </c>
    </row>
    <row r="58" customFormat="false" ht="15" hidden="false" customHeight="true" outlineLevel="0" collapsed="false">
      <c r="A58" s="5" t="s">
        <v>80</v>
      </c>
      <c r="I58" s="32" t="b">
        <f aca="false">IF(작업목록!$C55="",FALSE(),작업목록!$I55="지연")</f>
        <v>0</v>
      </c>
      <c r="J58" s="5" t="str">
        <f aca="false">IF($I58=FALSE(),"",COUNTIF($I$6:$I58,TRUE()))</f>
        <v/>
      </c>
      <c r="K58" s="5" t="str">
        <f aca="false">IF($J58="","","R"&amp;$J58)</f>
        <v/>
      </c>
    </row>
    <row r="59" customFormat="false" ht="15" hidden="false" customHeight="true" outlineLevel="0" collapsed="false">
      <c r="I59" s="32" t="b">
        <f aca="false">IF(작업목록!$C56="",FALSE(),작업목록!$I56="지연")</f>
        <v>0</v>
      </c>
      <c r="J59" s="5" t="str">
        <f aca="false">IF($I59=FALSE(),"",COUNTIF($I$6:$I59,TRUE()))</f>
        <v/>
      </c>
      <c r="K59" s="5" t="str">
        <f aca="false">IF($J59="","","R"&amp;$J59)</f>
        <v/>
      </c>
    </row>
    <row r="60" customFormat="false" ht="15" hidden="false" customHeight="true" outlineLevel="0" collapsed="false">
      <c r="I60" s="32" t="b">
        <f aca="false">IF(작업목록!$C57="",FALSE(),작업목록!$I57="지연")</f>
        <v>0</v>
      </c>
      <c r="J60" s="5" t="str">
        <f aca="false">IF($I60=FALSE(),"",COUNTIF($I$6:$I60,TRUE()))</f>
        <v/>
      </c>
      <c r="K60" s="5" t="str">
        <f aca="false">IF($J60="","","R"&amp;$J60)</f>
        <v/>
      </c>
    </row>
    <row r="61" customFormat="false" ht="15" hidden="false" customHeight="true" outlineLevel="0" collapsed="false">
      <c r="I61" s="32" t="b">
        <f aca="false">IF(작업목록!$C58="",FALSE(),작업목록!$I58="지연")</f>
        <v>0</v>
      </c>
      <c r="J61" s="5" t="str">
        <f aca="false">IF($I61=FALSE(),"",COUNTIF($I$6:$I61,TRUE()))</f>
        <v/>
      </c>
      <c r="K61" s="5" t="str">
        <f aca="false">IF($J61="","","R"&amp;$J61)</f>
        <v/>
      </c>
    </row>
    <row r="62" customFormat="false" ht="15" hidden="false" customHeight="true" outlineLevel="0" collapsed="false">
      <c r="I62" s="32" t="b">
        <f aca="false">IF(작업목록!$C59="",FALSE(),작업목록!$I59="지연")</f>
        <v>0</v>
      </c>
      <c r="J62" s="5" t="str">
        <f aca="false">IF($I62=FALSE(),"",COUNTIF($I$6:$I62,TRUE()))</f>
        <v/>
      </c>
      <c r="K62" s="5" t="str">
        <f aca="false">IF($J62="","","R"&amp;$J62)</f>
        <v/>
      </c>
    </row>
    <row r="63" customFormat="false" ht="15" hidden="false" customHeight="true" outlineLevel="0" collapsed="false">
      <c r="I63" s="32" t="b">
        <f aca="false">IF(작업목록!$C60="",FALSE(),작업목록!$I60="지연")</f>
        <v>0</v>
      </c>
      <c r="J63" s="5" t="str">
        <f aca="false">IF($I63=FALSE(),"",COUNTIF($I$6:$I63,TRUE()))</f>
        <v/>
      </c>
      <c r="K63" s="5" t="str">
        <f aca="false">IF($J63="","","R"&amp;$J63)</f>
        <v/>
      </c>
    </row>
    <row r="64" customFormat="false" ht="15" hidden="false" customHeight="true" outlineLevel="0" collapsed="false">
      <c r="I64" s="32" t="b">
        <f aca="false">IF(작업목록!$C61="",FALSE(),작업목록!$I61="지연")</f>
        <v>0</v>
      </c>
      <c r="J64" s="5" t="str">
        <f aca="false">IF($I64=FALSE(),"",COUNTIF($I$6:$I64,TRUE()))</f>
        <v/>
      </c>
      <c r="K64" s="5" t="str">
        <f aca="false">IF($J64="","","R"&amp;$J64)</f>
        <v/>
      </c>
    </row>
    <row r="65" customFormat="false" ht="15" hidden="false" customHeight="true" outlineLevel="0" collapsed="false">
      <c r="I65" s="32" t="b">
        <f aca="false">IF(작업목록!$C62="",FALSE(),작업목록!$I62="지연")</f>
        <v>0</v>
      </c>
      <c r="J65" s="5" t="str">
        <f aca="false">IF($I65=FALSE(),"",COUNTIF($I$6:$I65,TRUE()))</f>
        <v/>
      </c>
      <c r="K65" s="5" t="str">
        <f aca="false">IF($J65="","","R"&amp;$J65)</f>
        <v/>
      </c>
    </row>
    <row r="66" customFormat="false" ht="15" hidden="false" customHeight="true" outlineLevel="0" collapsed="false">
      <c r="I66" s="32" t="b">
        <f aca="false">IF(작업목록!$C63="",FALSE(),작업목록!$I63="지연")</f>
        <v>0</v>
      </c>
      <c r="J66" s="5" t="str">
        <f aca="false">IF($I66=FALSE(),"",COUNTIF($I$6:$I66,TRUE()))</f>
        <v/>
      </c>
      <c r="K66" s="5" t="str">
        <f aca="false">IF($J66="","","R"&amp;$J66)</f>
        <v/>
      </c>
    </row>
    <row r="67" customFormat="false" ht="15" hidden="false" customHeight="true" outlineLevel="0" collapsed="false">
      <c r="I67" s="32" t="b">
        <f aca="false">IF(작업목록!$C64="",FALSE(),작업목록!$I64="지연")</f>
        <v>0</v>
      </c>
      <c r="J67" s="5" t="str">
        <f aca="false">IF($I67=FALSE(),"",COUNTIF($I$6:$I67,TRUE()))</f>
        <v/>
      </c>
      <c r="K67" s="5" t="str">
        <f aca="false">IF($J67="","","R"&amp;$J67)</f>
        <v/>
      </c>
    </row>
    <row r="68" customFormat="false" ht="15" hidden="false" customHeight="true" outlineLevel="0" collapsed="false">
      <c r="I68" s="32" t="b">
        <f aca="false">IF(작업목록!$C65="",FALSE(),작업목록!$I65="지연")</f>
        <v>0</v>
      </c>
      <c r="J68" s="5" t="str">
        <f aca="false">IF($I68=FALSE(),"",COUNTIF($I$6:$I68,TRUE()))</f>
        <v/>
      </c>
      <c r="K68" s="5" t="str">
        <f aca="false">IF($J68="","","R"&amp;$J68)</f>
        <v/>
      </c>
    </row>
    <row r="69" customFormat="false" ht="15" hidden="false" customHeight="true" outlineLevel="0" collapsed="false">
      <c r="I69" s="32" t="b">
        <f aca="false">IF(작업목록!$C66="",FALSE(),작업목록!$I66="지연")</f>
        <v>0</v>
      </c>
      <c r="J69" s="5" t="str">
        <f aca="false">IF($I69=FALSE(),"",COUNTIF($I$6:$I69,TRUE()))</f>
        <v/>
      </c>
      <c r="K69" s="5" t="str">
        <f aca="false">IF($J69="","","R"&amp;$J69)</f>
        <v/>
      </c>
    </row>
    <row r="70" customFormat="false" ht="15" hidden="false" customHeight="true" outlineLevel="0" collapsed="false">
      <c r="I70" s="32" t="b">
        <f aca="false">IF(작업목록!$C67="",FALSE(),작업목록!$I67="지연")</f>
        <v>0</v>
      </c>
      <c r="J70" s="5" t="str">
        <f aca="false">IF($I70=FALSE(),"",COUNTIF($I$6:$I70,TRUE()))</f>
        <v/>
      </c>
      <c r="K70" s="5" t="str">
        <f aca="false">IF($J70="","","R"&amp;$J70)</f>
        <v/>
      </c>
    </row>
    <row r="71" customFormat="false" ht="15" hidden="false" customHeight="true" outlineLevel="0" collapsed="false">
      <c r="I71" s="32" t="b">
        <f aca="false">IF(작업목록!$C68="",FALSE(),작업목록!$I68="지연")</f>
        <v>0</v>
      </c>
      <c r="J71" s="5" t="str">
        <f aca="false">IF($I71=FALSE(),"",COUNTIF($I$6:$I71,TRUE()))</f>
        <v/>
      </c>
      <c r="K71" s="5" t="str">
        <f aca="false">IF($J71="","","R"&amp;$J71)</f>
        <v/>
      </c>
    </row>
    <row r="72" customFormat="false" ht="15" hidden="false" customHeight="true" outlineLevel="0" collapsed="false">
      <c r="I72" s="32" t="b">
        <f aca="false">IF(작업목록!$C69="",FALSE(),작업목록!$I69="지연")</f>
        <v>0</v>
      </c>
      <c r="J72" s="5" t="str">
        <f aca="false">IF($I72=FALSE(),"",COUNTIF($I$6:$I72,TRUE()))</f>
        <v/>
      </c>
      <c r="K72" s="5" t="str">
        <f aca="false">IF($J72="","","R"&amp;$J72)</f>
        <v/>
      </c>
    </row>
    <row r="73" customFormat="false" ht="15" hidden="false" customHeight="true" outlineLevel="0" collapsed="false">
      <c r="I73" s="32" t="b">
        <f aca="false">IF(작업목록!$C70="",FALSE(),작업목록!$I70="지연")</f>
        <v>0</v>
      </c>
      <c r="J73" s="5" t="str">
        <f aca="false">IF($I73=FALSE(),"",COUNTIF($I$6:$I73,TRUE()))</f>
        <v/>
      </c>
      <c r="K73" s="5" t="str">
        <f aca="false">IF($J73="","","R"&amp;$J73)</f>
        <v/>
      </c>
    </row>
    <row r="74" customFormat="false" ht="15" hidden="false" customHeight="true" outlineLevel="0" collapsed="false">
      <c r="I74" s="32" t="b">
        <f aca="false">IF(작업목록!$C71="",FALSE(),작업목록!$I71="지연")</f>
        <v>0</v>
      </c>
      <c r="J74" s="5" t="str">
        <f aca="false">IF($I74=FALSE(),"",COUNTIF($I$6:$I74,TRUE()))</f>
        <v/>
      </c>
      <c r="K74" s="5" t="str">
        <f aca="false">IF($J74="","","R"&amp;$J74)</f>
        <v/>
      </c>
    </row>
    <row r="75" customFormat="false" ht="15" hidden="false" customHeight="true" outlineLevel="0" collapsed="false">
      <c r="I75" s="32" t="b">
        <f aca="false">IF(작업목록!$C72="",FALSE(),작업목록!$I72="지연")</f>
        <v>0</v>
      </c>
      <c r="J75" s="5" t="str">
        <f aca="false">IF($I75=FALSE(),"",COUNTIF($I$6:$I75,TRUE()))</f>
        <v/>
      </c>
      <c r="K75" s="5" t="str">
        <f aca="false">IF($J75="","","R"&amp;$J75)</f>
        <v/>
      </c>
    </row>
    <row r="76" customFormat="false" ht="15" hidden="false" customHeight="true" outlineLevel="0" collapsed="false">
      <c r="I76" s="32" t="b">
        <f aca="false">IF(작업목록!$C73="",FALSE(),작업목록!$I73="지연")</f>
        <v>0</v>
      </c>
      <c r="J76" s="5" t="str">
        <f aca="false">IF($I76=FALSE(),"",COUNTIF($I$6:$I76,TRUE()))</f>
        <v/>
      </c>
      <c r="K76" s="5" t="str">
        <f aca="false">IF($J76="","","R"&amp;$J76)</f>
        <v/>
      </c>
    </row>
    <row r="77" customFormat="false" ht="15" hidden="false" customHeight="true" outlineLevel="0" collapsed="false">
      <c r="I77" s="32" t="b">
        <f aca="false">IF(작업목록!$C74="",FALSE(),작업목록!$I74="지연")</f>
        <v>0</v>
      </c>
      <c r="J77" s="5" t="str">
        <f aca="false">IF($I77=FALSE(),"",COUNTIF($I$6:$I77,TRUE()))</f>
        <v/>
      </c>
      <c r="K77" s="5" t="str">
        <f aca="false">IF($J77="","","R"&amp;$J77)</f>
        <v/>
      </c>
    </row>
    <row r="78" customFormat="false" ht="15" hidden="false" customHeight="true" outlineLevel="0" collapsed="false">
      <c r="I78" s="32" t="b">
        <f aca="false">IF(작업목록!$C75="",FALSE(),작업목록!$I75="지연")</f>
        <v>0</v>
      </c>
      <c r="J78" s="5" t="str">
        <f aca="false">IF($I78=FALSE(),"",COUNTIF($I$6:$I78,TRUE()))</f>
        <v/>
      </c>
      <c r="K78" s="5" t="str">
        <f aca="false">IF($J78="","","R"&amp;$J78)</f>
        <v/>
      </c>
    </row>
    <row r="79" customFormat="false" ht="15" hidden="false" customHeight="true" outlineLevel="0" collapsed="false">
      <c r="I79" s="32" t="b">
        <f aca="false">IF(작업목록!$C76="",FALSE(),작업목록!$I76="지연")</f>
        <v>0</v>
      </c>
      <c r="J79" s="5" t="str">
        <f aca="false">IF($I79=FALSE(),"",COUNTIF($I$6:$I79,TRUE()))</f>
        <v/>
      </c>
      <c r="K79" s="5" t="str">
        <f aca="false">IF($J79="","","R"&amp;$J79)</f>
        <v/>
      </c>
    </row>
    <row r="80" customFormat="false" ht="15" hidden="false" customHeight="true" outlineLevel="0" collapsed="false">
      <c r="I80" s="32" t="b">
        <f aca="false">IF(작업목록!$C77="",FALSE(),작업목록!$I77="지연")</f>
        <v>0</v>
      </c>
      <c r="J80" s="5" t="str">
        <f aca="false">IF($I80=FALSE(),"",COUNTIF($I$6:$I80,TRUE()))</f>
        <v/>
      </c>
      <c r="K80" s="5" t="str">
        <f aca="false">IF($J80="","","R"&amp;$J80)</f>
        <v/>
      </c>
    </row>
    <row r="81" customFormat="false" ht="15" hidden="false" customHeight="true" outlineLevel="0" collapsed="false">
      <c r="I81" s="32" t="b">
        <f aca="false">IF(작업목록!$C78="",FALSE(),작업목록!$I78="지연")</f>
        <v>0</v>
      </c>
      <c r="J81" s="5" t="str">
        <f aca="false">IF($I81=FALSE(),"",COUNTIF($I$6:$I81,TRUE()))</f>
        <v/>
      </c>
      <c r="K81" s="5" t="str">
        <f aca="false">IF($J81="","","R"&amp;$J81)</f>
        <v/>
      </c>
    </row>
    <row r="82" customFormat="false" ht="15" hidden="false" customHeight="true" outlineLevel="0" collapsed="false">
      <c r="I82" s="32" t="b">
        <f aca="false">IF(작업목록!$C79="",FALSE(),작업목록!$I79="지연")</f>
        <v>0</v>
      </c>
      <c r="J82" s="5" t="str">
        <f aca="false">IF($I82=FALSE(),"",COUNTIF($I$6:$I82,TRUE()))</f>
        <v/>
      </c>
      <c r="K82" s="5" t="str">
        <f aca="false">IF($J82="","","R"&amp;$J82)</f>
        <v/>
      </c>
    </row>
    <row r="83" customFormat="false" ht="15" hidden="false" customHeight="true" outlineLevel="0" collapsed="false">
      <c r="I83" s="32" t="b">
        <f aca="false">IF(작업목록!$C80="",FALSE(),작업목록!$I80="지연")</f>
        <v>0</v>
      </c>
      <c r="J83" s="5" t="str">
        <f aca="false">IF($I83=FALSE(),"",COUNTIF($I$6:$I83,TRUE()))</f>
        <v/>
      </c>
      <c r="K83" s="5" t="str">
        <f aca="false">IF($J83="","","R"&amp;$J83)</f>
        <v/>
      </c>
    </row>
    <row r="84" customFormat="false" ht="15" hidden="false" customHeight="true" outlineLevel="0" collapsed="false">
      <c r="I84" s="32" t="b">
        <f aca="false">IF(작업목록!$C81="",FALSE(),작업목록!$I81="지연")</f>
        <v>0</v>
      </c>
      <c r="J84" s="5" t="str">
        <f aca="false">IF($I84=FALSE(),"",COUNTIF($I$6:$I84,TRUE()))</f>
        <v/>
      </c>
      <c r="K84" s="5" t="str">
        <f aca="false">IF($J84="","","R"&amp;$J84)</f>
        <v/>
      </c>
    </row>
    <row r="85" customFormat="false" ht="15" hidden="false" customHeight="true" outlineLevel="0" collapsed="false">
      <c r="I85" s="32" t="b">
        <f aca="false">IF(작업목록!$C82="",FALSE(),작업목록!$I82="지연")</f>
        <v>0</v>
      </c>
      <c r="J85" s="5" t="str">
        <f aca="false">IF($I85=FALSE(),"",COUNTIF($I$6:$I85,TRUE()))</f>
        <v/>
      </c>
      <c r="K85" s="5" t="str">
        <f aca="false">IF($J85="","","R"&amp;$J85)</f>
        <v/>
      </c>
    </row>
    <row r="86" customFormat="false" ht="15" hidden="false" customHeight="true" outlineLevel="0" collapsed="false">
      <c r="I86" s="32" t="b">
        <f aca="false">IF(작업목록!$C83="",FALSE(),작업목록!$I83="지연")</f>
        <v>0</v>
      </c>
      <c r="J86" s="5" t="str">
        <f aca="false">IF($I86=FALSE(),"",COUNTIF($I$6:$I86,TRUE()))</f>
        <v/>
      </c>
      <c r="K86" s="5" t="str">
        <f aca="false">IF($J86="","","R"&amp;$J86)</f>
        <v/>
      </c>
    </row>
    <row r="87" customFormat="false" ht="15" hidden="false" customHeight="true" outlineLevel="0" collapsed="false">
      <c r="I87" s="32" t="b">
        <f aca="false">IF(작업목록!$C84="",FALSE(),작업목록!$I84="지연")</f>
        <v>0</v>
      </c>
      <c r="J87" s="5" t="str">
        <f aca="false">IF($I87=FALSE(),"",COUNTIF($I$6:$I87,TRUE()))</f>
        <v/>
      </c>
      <c r="K87" s="5" t="str">
        <f aca="false">IF($J87="","","R"&amp;$J87)</f>
        <v/>
      </c>
    </row>
    <row r="88" customFormat="false" ht="15" hidden="false" customHeight="true" outlineLevel="0" collapsed="false">
      <c r="I88" s="32" t="b">
        <f aca="false">IF(작업목록!$C85="",FALSE(),작업목록!$I85="지연")</f>
        <v>0</v>
      </c>
      <c r="J88" s="5" t="str">
        <f aca="false">IF($I88=FALSE(),"",COUNTIF($I$6:$I88,TRUE()))</f>
        <v/>
      </c>
      <c r="K88" s="5" t="str">
        <f aca="false">IF($J88="","","R"&amp;$J88)</f>
        <v/>
      </c>
    </row>
    <row r="89" customFormat="false" ht="15" hidden="false" customHeight="true" outlineLevel="0" collapsed="false">
      <c r="I89" s="32" t="b">
        <f aca="false">IF(작업목록!$C86="",FALSE(),작업목록!$I86="지연")</f>
        <v>0</v>
      </c>
      <c r="J89" s="5" t="str">
        <f aca="false">IF($I89=FALSE(),"",COUNTIF($I$6:$I89,TRUE()))</f>
        <v/>
      </c>
      <c r="K89" s="5" t="str">
        <f aca="false">IF($J89="","","R"&amp;$J89)</f>
        <v/>
      </c>
    </row>
    <row r="90" customFormat="false" ht="15" hidden="false" customHeight="true" outlineLevel="0" collapsed="false">
      <c r="I90" s="32" t="b">
        <f aca="false">IF(작업목록!$C87="",FALSE(),작업목록!$I87="지연")</f>
        <v>0</v>
      </c>
      <c r="J90" s="5" t="str">
        <f aca="false">IF($I90=FALSE(),"",COUNTIF($I$6:$I90,TRUE()))</f>
        <v/>
      </c>
      <c r="K90" s="5" t="str">
        <f aca="false">IF($J90="","","R"&amp;$J90)</f>
        <v/>
      </c>
    </row>
    <row r="91" customFormat="false" ht="15" hidden="false" customHeight="true" outlineLevel="0" collapsed="false">
      <c r="I91" s="32" t="b">
        <f aca="false">IF(작업목록!$C88="",FALSE(),작업목록!$I88="지연")</f>
        <v>0</v>
      </c>
      <c r="J91" s="5" t="str">
        <f aca="false">IF($I91=FALSE(),"",COUNTIF($I$6:$I91,TRUE()))</f>
        <v/>
      </c>
      <c r="K91" s="5" t="str">
        <f aca="false">IF($J91="","","R"&amp;$J91)</f>
        <v/>
      </c>
    </row>
    <row r="92" customFormat="false" ht="15" hidden="false" customHeight="true" outlineLevel="0" collapsed="false">
      <c r="I92" s="32" t="b">
        <f aca="false">IF(작업목록!$C89="",FALSE(),작업목록!$I89="지연")</f>
        <v>0</v>
      </c>
      <c r="J92" s="5" t="str">
        <f aca="false">IF($I92=FALSE(),"",COUNTIF($I$6:$I92,TRUE()))</f>
        <v/>
      </c>
      <c r="K92" s="5" t="str">
        <f aca="false">IF($J92="","","R"&amp;$J92)</f>
        <v/>
      </c>
    </row>
    <row r="93" customFormat="false" ht="15" hidden="false" customHeight="true" outlineLevel="0" collapsed="false">
      <c r="I93" s="32" t="b">
        <f aca="false">IF(작업목록!$C90="",FALSE(),작업목록!$I90="지연")</f>
        <v>0</v>
      </c>
      <c r="J93" s="5" t="str">
        <f aca="false">IF($I93=FALSE(),"",COUNTIF($I$6:$I93,TRUE()))</f>
        <v/>
      </c>
      <c r="K93" s="5" t="str">
        <f aca="false">IF($J93="","","R"&amp;$J93)</f>
        <v/>
      </c>
    </row>
    <row r="94" customFormat="false" ht="15" hidden="false" customHeight="true" outlineLevel="0" collapsed="false">
      <c r="I94" s="32" t="b">
        <f aca="false">IF(작업목록!$C91="",FALSE(),작업목록!$I91="지연")</f>
        <v>0</v>
      </c>
      <c r="J94" s="5" t="str">
        <f aca="false">IF($I94=FALSE(),"",COUNTIF($I$6:$I94,TRUE()))</f>
        <v/>
      </c>
      <c r="K94" s="5" t="str">
        <f aca="false">IF($J94="","","R"&amp;$J94)</f>
        <v/>
      </c>
    </row>
    <row r="95" customFormat="false" ht="15" hidden="false" customHeight="true" outlineLevel="0" collapsed="false">
      <c r="I95" s="32" t="b">
        <f aca="false">IF(작업목록!$C92="",FALSE(),작업목록!$I92="지연")</f>
        <v>0</v>
      </c>
      <c r="J95" s="5" t="str">
        <f aca="false">IF($I95=FALSE(),"",COUNTIF($I$6:$I95,TRUE()))</f>
        <v/>
      </c>
      <c r="K95" s="5" t="str">
        <f aca="false">IF($J95="","","R"&amp;$J95)</f>
        <v/>
      </c>
    </row>
    <row r="96" customFormat="false" ht="15" hidden="false" customHeight="true" outlineLevel="0" collapsed="false">
      <c r="I96" s="32" t="b">
        <f aca="false">IF(작업목록!$C93="",FALSE(),작업목록!$I93="지연")</f>
        <v>0</v>
      </c>
      <c r="J96" s="5" t="str">
        <f aca="false">IF($I96=FALSE(),"",COUNTIF($I$6:$I96,TRUE()))</f>
        <v/>
      </c>
      <c r="K96" s="5" t="str">
        <f aca="false">IF($J96="","","R"&amp;$J96)</f>
        <v/>
      </c>
    </row>
    <row r="97" customFormat="false" ht="15" hidden="false" customHeight="true" outlineLevel="0" collapsed="false">
      <c r="I97" s="32" t="b">
        <f aca="false">IF(작업목록!$C94="",FALSE(),작업목록!$I94="지연")</f>
        <v>0</v>
      </c>
      <c r="J97" s="5" t="str">
        <f aca="false">IF($I97=FALSE(),"",COUNTIF($I$6:$I97,TRUE()))</f>
        <v/>
      </c>
      <c r="K97" s="5" t="str">
        <f aca="false">IF($J97="","","R"&amp;$J97)</f>
        <v/>
      </c>
    </row>
    <row r="98" customFormat="false" ht="15" hidden="false" customHeight="true" outlineLevel="0" collapsed="false">
      <c r="I98" s="32" t="b">
        <f aca="false">IF(작업목록!$C95="",FALSE(),작업목록!$I95="지연")</f>
        <v>0</v>
      </c>
      <c r="J98" s="5" t="str">
        <f aca="false">IF($I98=FALSE(),"",COUNTIF($I$6:$I98,TRUE()))</f>
        <v/>
      </c>
      <c r="K98" s="5" t="str">
        <f aca="false">IF($J98="","","R"&amp;$J98)</f>
        <v/>
      </c>
    </row>
    <row r="99" customFormat="false" ht="15" hidden="false" customHeight="true" outlineLevel="0" collapsed="false">
      <c r="I99" s="32" t="b">
        <f aca="false">IF(작업목록!$C96="",FALSE(),작업목록!$I96="지연")</f>
        <v>0</v>
      </c>
      <c r="J99" s="5" t="str">
        <f aca="false">IF($I99=FALSE(),"",COUNTIF($I$6:$I99,TRUE()))</f>
        <v/>
      </c>
      <c r="K99" s="5" t="str">
        <f aca="false">IF($J99="","","R"&amp;$J99)</f>
        <v/>
      </c>
    </row>
    <row r="100" customFormat="false" ht="15" hidden="false" customHeight="true" outlineLevel="0" collapsed="false">
      <c r="I100" s="32" t="b">
        <f aca="false">IF(작업목록!$C97="",FALSE(),작업목록!$I97="지연")</f>
        <v>0</v>
      </c>
      <c r="J100" s="5" t="str">
        <f aca="false">IF($I100=FALSE(),"",COUNTIF($I$6:$I100,TRUE()))</f>
        <v/>
      </c>
      <c r="K100" s="5" t="str">
        <f aca="false">IF($J100="","","R"&amp;$J100)</f>
        <v/>
      </c>
    </row>
    <row r="101" customFormat="false" ht="15" hidden="false" customHeight="true" outlineLevel="0" collapsed="false">
      <c r="I101" s="32" t="b">
        <f aca="false">IF(작업목록!$C98="",FALSE(),작업목록!$I98="지연")</f>
        <v>0</v>
      </c>
      <c r="J101" s="5" t="str">
        <f aca="false">IF($I101=FALSE(),"",COUNTIF($I$6:$I101,TRUE()))</f>
        <v/>
      </c>
      <c r="K101" s="5" t="str">
        <f aca="false">IF($J101="","","R"&amp;$J101)</f>
        <v/>
      </c>
    </row>
    <row r="102" customFormat="false" ht="15" hidden="false" customHeight="true" outlineLevel="0" collapsed="false">
      <c r="I102" s="32" t="b">
        <f aca="false">IF(작업목록!$C99="",FALSE(),작업목록!$I99="지연")</f>
        <v>0</v>
      </c>
      <c r="J102" s="5" t="str">
        <f aca="false">IF($I102=FALSE(),"",COUNTIF($I$6:$I102,TRUE()))</f>
        <v/>
      </c>
      <c r="K102" s="5" t="str">
        <f aca="false">IF($J102="","","R"&amp;$J102)</f>
        <v/>
      </c>
    </row>
    <row r="103" customFormat="false" ht="15" hidden="false" customHeight="true" outlineLevel="0" collapsed="false">
      <c r="I103" s="32" t="b">
        <f aca="false">IF(작업목록!$C100="",FALSE(),작업목록!$I100="지연")</f>
        <v>0</v>
      </c>
      <c r="J103" s="5" t="str">
        <f aca="false">IF($I103=FALSE(),"",COUNTIF($I$6:$I103,TRUE()))</f>
        <v/>
      </c>
      <c r="K103" s="5" t="str">
        <f aca="false">IF($J103="","","R"&amp;$J103)</f>
        <v/>
      </c>
    </row>
    <row r="104" customFormat="false" ht="15" hidden="false" customHeight="true" outlineLevel="0" collapsed="false">
      <c r="I104" s="32" t="b">
        <f aca="false">IF(작업목록!$C101="",FALSE(),작업목록!$I101="지연")</f>
        <v>0</v>
      </c>
      <c r="J104" s="5" t="str">
        <f aca="false">IF($I104=FALSE(),"",COUNTIF($I$6:$I104,TRUE()))</f>
        <v/>
      </c>
      <c r="K104" s="5" t="str">
        <f aca="false">IF($J104="","","R"&amp;$J104)</f>
        <v/>
      </c>
    </row>
    <row r="105" customFormat="false" ht="15" hidden="false" customHeight="true" outlineLevel="0" collapsed="false">
      <c r="I105" s="32" t="b">
        <f aca="false">IF(작업목록!$C102="",FALSE(),작업목록!$I102="지연")</f>
        <v>0</v>
      </c>
      <c r="J105" s="5" t="str">
        <f aca="false">IF($I105=FALSE(),"",COUNTIF($I$6:$I105,TRUE()))</f>
        <v/>
      </c>
      <c r="K105" s="5" t="str">
        <f aca="false">IF($J105="","","R"&amp;$J105)</f>
        <v/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2026-09-14T09:47:51Z</dcterms:created>
  <dc:creator>openpyxl</dc:creator>
  <dc:description/>
  <dc:language>en-US</dc:language>
  <cp:lastModifiedBy/>
  <dcterms:modified xsi:type="dcterms:W3CDTF">2026-09-14T10:00:50Z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