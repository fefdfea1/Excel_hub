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거래처목록" sheetId="2" state="visible" r:id="rId4"/>
    <sheet name="품목목록" sheetId="3" state="visible" r:id="rId5"/>
    <sheet name="반품접수" sheetId="4" state="visible" r:id="rId6"/>
    <sheet name="처리내역" sheetId="5" state="visible" r:id="rId7"/>
    <sheet name="미처리현황" sheetId="6" state="visible" r:id="rId8"/>
    <sheet name="사유별집계" sheetId="7" state="visible" r:id="rId9"/>
    <sheet name="거래처별집계" sheetId="8" state="visible" r:id="rId10"/>
    <sheet name="월별집계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<sst xmlns="http://schemas.openxmlformats.org/spreadsheetml/2006/main" count="151" uniqueCount="128">
  <si>
    <t xml:space="preserve">반품 · 불량 처리 대장</t>
  </si>
  <si>
    <t xml:space="preserve">핵심</t>
  </si>
  <si>
    <t xml:space="preserve">반품·불량을 접수하고 어떻게 처리했는지 기록하면 미처리 건이 자동으로 남습니다.</t>
  </si>
  <si>
    <t xml:space="preserve">입력 규칙</t>
  </si>
  <si>
    <t xml:space="preserve">파란색 글씨 칸만 입력하세요. 검은색은 자동 계산입니다.</t>
  </si>
  <si>
    <t xml:space="preserve">① 거래처목록 / 품목목록</t>
  </si>
  <si>
    <t xml:space="preserve">먼저 등록해두면 접수할 때 골라 쓸 수 있습니다.</t>
  </si>
  <si>
    <t xml:space="preserve">② 반품접수</t>
  </si>
  <si>
    <t xml:space="preserve">반품·불량이 들어올 때마다 한 줄. 접수번호는 자동으로 매겨집니다.</t>
  </si>
  <si>
    <t xml:space="preserve">원재료와 부자재는 [자재구분]으로 나눠서 따로 집계됩니다.</t>
  </si>
  <si>
    <t xml:space="preserve">③ 처리내역</t>
  </si>
  <si>
    <t xml:space="preserve">처리할 때마다 한 줄. 한 건을 나눠서 처리해도 됩니다.</t>
  </si>
  <si>
    <t xml:space="preserve">예: 10개 접수 → 6개 재입고, 4개 폐기 로 두 줄을 넣으면 됩니다.</t>
  </si>
  <si>
    <t xml:space="preserve">④ 미처리현황</t>
  </si>
  <si>
    <t xml:space="preserve">아직 처리 안 된 건만 모아서 보여줍니다. 오래된 순서로 챙기세요.</t>
  </si>
  <si>
    <t xml:space="preserve">⑤ 사유별집계 / 거래처별집계</t>
  </si>
  <si>
    <t xml:space="preserve">어떤 사유가 많은지, 어느 거래처가 많은지 보여줍니다.</t>
  </si>
  <si>
    <t xml:space="preserve">⑥ 월별집계</t>
  </si>
  <si>
    <t xml:space="preserve">월별 접수·처리 건수와 수량입니다.</t>
  </si>
  <si>
    <t xml:space="preserve">상태 판정</t>
  </si>
  <si>
    <t xml:space="preserve">처리 수량 합계가 접수 수량보다 적으면 미처리 또는 부분처리로 표시됩니다.</t>
  </si>
  <si>
    <t xml:space="preserve">설정</t>
  </si>
  <si>
    <t xml:space="preserve">값을 바꾸면 모든 계산에 반영됩니다</t>
  </si>
  <si>
    <t xml:space="preserve">장기 미처리 기준(일)</t>
  </si>
  <si>
    <t xml:space="preserve">※ 접수 후 이 일수를 넘기도록 처리되지 않으면 빨간색으로 표시됩니다.</t>
  </si>
  <si>
    <t xml:space="preserve">거래처목록</t>
  </si>
  <si>
    <t xml:space="preserve">거래처명</t>
  </si>
  <si>
    <t xml:space="preserve">구분</t>
  </si>
  <si>
    <t xml:space="preserve">담당자</t>
  </si>
  <si>
    <t xml:space="preserve">연락처</t>
  </si>
  <si>
    <t xml:space="preserve">○○소재</t>
  </si>
  <si>
    <t xml:space="preserve">매입처</t>
  </si>
  <si>
    <t xml:space="preserve">김과장</t>
  </si>
  <si>
    <t xml:space="preserve">010-0000-0001</t>
  </si>
  <si>
    <t xml:space="preserve">△△부품</t>
  </si>
  <si>
    <t xml:space="preserve">이과장</t>
  </si>
  <si>
    <t xml:space="preserve">010-0000-0002</t>
  </si>
  <si>
    <t xml:space="preserve">□□유통</t>
  </si>
  <si>
    <t xml:space="preserve">매출처</t>
  </si>
  <si>
    <t xml:space="preserve">박대리</t>
  </si>
  <si>
    <t xml:space="preserve">010-0000-0003</t>
  </si>
  <si>
    <t xml:space="preserve">품목목록</t>
  </si>
  <si>
    <t xml:space="preserve">품번</t>
  </si>
  <si>
    <t xml:space="preserve">품명</t>
  </si>
  <si>
    <t xml:space="preserve">규격</t>
  </si>
  <si>
    <t xml:space="preserve">단위</t>
  </si>
  <si>
    <t xml:space="preserve">자재구분</t>
  </si>
  <si>
    <t xml:space="preserve">A001</t>
  </si>
  <si>
    <t xml:space="preserve">원단 롤</t>
  </si>
  <si>
    <t xml:space="preserve">1200mm</t>
  </si>
  <si>
    <t xml:space="preserve">롤</t>
  </si>
  <si>
    <t xml:space="preserve">원재료</t>
  </si>
  <si>
    <t xml:space="preserve">A002</t>
  </si>
  <si>
    <t xml:space="preserve">접착제</t>
  </si>
  <si>
    <t xml:space="preserve">20L</t>
  </si>
  <si>
    <t xml:space="preserve">통</t>
  </si>
  <si>
    <t xml:space="preserve">B001</t>
  </si>
  <si>
    <t xml:space="preserve">포장박스</t>
  </si>
  <si>
    <t xml:space="preserve">300×200</t>
  </si>
  <si>
    <t xml:space="preserve">EA</t>
  </si>
  <si>
    <t xml:space="preserve">부자재</t>
  </si>
  <si>
    <t xml:space="preserve">B002</t>
  </si>
  <si>
    <t xml:space="preserve">라벨 스티커</t>
  </si>
  <si>
    <t xml:space="preserve">50×30</t>
  </si>
  <si>
    <t xml:space="preserve">반품접수  (접수번호는 자동)</t>
  </si>
  <si>
    <t xml:space="preserve">접수번호(자동)</t>
  </si>
  <si>
    <t xml:space="preserve">접수일</t>
  </si>
  <si>
    <t xml:space="preserve">품명(자동)</t>
  </si>
  <si>
    <t xml:space="preserve">규격(자동)</t>
  </si>
  <si>
    <t xml:space="preserve">단위(자동)</t>
  </si>
  <si>
    <t xml:space="preserve">자재구분(자동)</t>
  </si>
  <si>
    <t xml:space="preserve">접수수량</t>
  </si>
  <si>
    <t xml:space="preserve">사유</t>
  </si>
  <si>
    <t xml:space="preserve">상세내용</t>
  </si>
  <si>
    <t xml:space="preserve">처리수량(자동)</t>
  </si>
  <si>
    <t xml:space="preserve">잔여수량(자동)</t>
  </si>
  <si>
    <t xml:space="preserve">상태(자동)</t>
  </si>
  <si>
    <t xml:space="preserve">※ 접수번호는 '연월-순번' 형태로 자동 생성됩니다. 처리내역에서 이 번호를 씁니다.</t>
  </si>
  <si>
    <t xml:space="preserve">처리내역  (한 건을 나눠서 처리해도 됩니다)</t>
  </si>
  <si>
    <t xml:space="preserve">처리일</t>
  </si>
  <si>
    <t xml:space="preserve">접수번호</t>
  </si>
  <si>
    <t xml:space="preserve">처리방법</t>
  </si>
  <si>
    <t xml:space="preserve">처리수량</t>
  </si>
  <si>
    <t xml:space="preserve">처리자</t>
  </si>
  <si>
    <t xml:space="preserve">비용</t>
  </si>
  <si>
    <t xml:space="preserve">비고</t>
  </si>
  <si>
    <t xml:space="preserve">미처리현황  (아직 못 끝낸 건)</t>
  </si>
  <si>
    <t xml:space="preserve">미처리 건수</t>
  </si>
  <si>
    <t xml:space="preserve">장기 미처리</t>
  </si>
  <si>
    <t xml:space="preserve">미처리 수량</t>
  </si>
  <si>
    <t xml:space="preserve">순번</t>
  </si>
  <si>
    <t xml:space="preserve">경과일</t>
  </si>
  <si>
    <t xml:space="preserve">잔여수량</t>
  </si>
  <si>
    <t xml:space="preserve">상태</t>
  </si>
  <si>
    <t xml:space="preserve">대상(자동)</t>
  </si>
  <si>
    <t xml:space="preserve">순번(자동)</t>
  </si>
  <si>
    <t xml:space="preserve">키(자동)</t>
  </si>
  <si>
    <r>
      <rPr>
        <sz val="9"/>
        <color rgb="FF808080"/>
        <rFont val="맑은 고딕"/>
        <family val="0"/>
        <charset val="1"/>
      </rPr>
      <t xml:space="preserve">※ 120</t>
    </r>
    <r>
      <rPr>
        <sz val="9"/>
        <color rgb="FF808080"/>
        <rFont val="Noto Sans CJK SC"/>
        <family val="2"/>
      </rPr>
      <t xml:space="preserve">건까지 표시됩니다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경과일이 기준을 넘으면 빨간색입니다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</si>
  <si>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사유별집계</t>
  </si>
  <si>
    <t xml:space="preserve">대상 연도</t>
  </si>
  <si>
    <t xml:space="preserve">건수</t>
  </si>
  <si>
    <t xml:space="preserve">수량</t>
  </si>
  <si>
    <t xml:space="preserve">원재료 수량</t>
  </si>
  <si>
    <t xml:space="preserve">부자재 수량</t>
  </si>
  <si>
    <t xml:space="preserve">비중</t>
  </si>
  <si>
    <t xml:space="preserve">처리비용</t>
  </si>
  <si>
    <t xml:space="preserve">파손</t>
  </si>
  <si>
    <t xml:space="preserve">오염</t>
  </si>
  <si>
    <t xml:space="preserve">수량부족</t>
  </si>
  <si>
    <t xml:space="preserve">규격상이</t>
  </si>
  <si>
    <t xml:space="preserve">오배송</t>
  </si>
  <si>
    <t xml:space="preserve">유통기한</t>
  </si>
  <si>
    <t xml:space="preserve">고객변심</t>
  </si>
  <si>
    <t xml:space="preserve">기타</t>
  </si>
  <si>
    <t xml:space="preserve">합계</t>
  </si>
  <si>
    <t xml:space="preserve">※ 처리비용은 각 접수건에 연결된 처리내역의 비용 합계입니다.</t>
  </si>
  <si>
    <t xml:space="preserve">거래처별집계</t>
  </si>
  <si>
    <t xml:space="preserve">접수 건수</t>
  </si>
  <si>
    <t xml:space="preserve">접수 수량</t>
  </si>
  <si>
    <t xml:space="preserve">재입고</t>
  </si>
  <si>
    <t xml:space="preserve">폐기</t>
  </si>
  <si>
    <t xml:space="preserve">완료율</t>
  </si>
  <si>
    <t xml:space="preserve">월별집계</t>
  </si>
  <si>
    <t xml:space="preserve">월</t>
  </si>
  <si>
    <t xml:space="preserve">반품</t>
  </si>
  <si>
    <t xml:space="preserve">불량</t>
  </si>
  <si>
    <t xml:space="preserve">교환</t>
  </si>
  <si>
    <t xml:space="preserve">처리 수량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</si>
</sst>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yyyy\-mm\-dd"/>
    <numFmt numFmtId="167" formatCode="#,##0.##"/>
    <numFmt numFmtId="168" formatCode="#,##0"/>
    <numFmt numFmtId="169" formatCode="General"/>
    <numFmt numFmtId="170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0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2F2F2"/>
        </patternFill>
      </fill>
    </dxf>
    <dxf>
      <fill>
        <patternFill>
          <bgColor rgb="FFFCE4E4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/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/>
      <c r="C10" s="4" t="s">
        <v>12</v>
      </c>
    </row>
    <row r="11" customFormat="false" ht="15" hidden="false" customHeight="true" outlineLevel="0" collapsed="false">
      <c r="B11" s="3" t="s">
        <v>13</v>
      </c>
      <c r="C11" s="4" t="s">
        <v>14</v>
      </c>
    </row>
    <row r="12" customFormat="false" ht="15" hidden="false" customHeight="true" outlineLevel="0" collapsed="false">
      <c r="B12" s="3" t="s">
        <v>15</v>
      </c>
      <c r="C12" s="4" t="s">
        <v>16</v>
      </c>
    </row>
    <row r="13" customFormat="false" ht="15" hidden="false" customHeight="true" outlineLevel="0" collapsed="false">
      <c r="B13" s="3" t="s">
        <v>17</v>
      </c>
      <c r="C13" s="4" t="s">
        <v>18</v>
      </c>
    </row>
    <row r="14" customFormat="false" ht="15" hidden="false" customHeight="true" outlineLevel="0" collapsed="false">
      <c r="B14" s="3" t="s">
        <v>19</v>
      </c>
      <c r="C14" s="4" t="s">
        <v>20</v>
      </c>
    </row>
    <row r="16" customFormat="false" ht="15" hidden="false" customHeight="true" outlineLevel="0" collapsed="false">
      <c r="B16" s="5" t="s">
        <v>21</v>
      </c>
      <c r="C16" s="6" t="s">
        <v>22</v>
      </c>
    </row>
    <row r="17" customFormat="false" ht="15" hidden="false" customHeight="true" outlineLevel="0" collapsed="false">
      <c r="B17" s="4" t="s">
        <v>23</v>
      </c>
      <c r="C17" s="7" t="n">
        <v>14</v>
      </c>
    </row>
    <row r="19" customFormat="false" ht="15" hidden="false" customHeight="true" outlineLevel="0" collapsed="false">
      <c r="B19" s="6" t="s">
        <v>24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7"/>
  </cols>
  <sheetData>
    <row r="1" customFormat="false" ht="25.5" hidden="false" customHeight="true" outlineLevel="0" collapsed="false">
      <c r="A1" s="2" t="s">
        <v>25</v>
      </c>
      <c r="B1" s="2"/>
      <c r="C1" s="2"/>
      <c r="D1" s="2"/>
    </row>
    <row r="2" customFormat="false" ht="15" hidden="false" customHeight="true" outlineLevel="0" collapsed="false">
      <c r="A2" s="8" t="s">
        <v>26</v>
      </c>
      <c r="B2" s="8" t="s">
        <v>27</v>
      </c>
      <c r="C2" s="8" t="s">
        <v>28</v>
      </c>
      <c r="D2" s="8" t="s">
        <v>29</v>
      </c>
    </row>
    <row r="3" customFormat="false" ht="15" hidden="false" customHeight="true" outlineLevel="0" collapsed="false">
      <c r="A3" s="9" t="s">
        <v>30</v>
      </c>
      <c r="B3" s="9" t="s">
        <v>31</v>
      </c>
      <c r="C3" s="9" t="s">
        <v>32</v>
      </c>
      <c r="D3" s="10" t="s">
        <v>33</v>
      </c>
    </row>
    <row r="4" customFormat="false" ht="15" hidden="false" customHeight="true" outlineLevel="0" collapsed="false">
      <c r="A4" s="9" t="s">
        <v>34</v>
      </c>
      <c r="B4" s="9" t="s">
        <v>31</v>
      </c>
      <c r="C4" s="9" t="s">
        <v>35</v>
      </c>
      <c r="D4" s="10" t="s">
        <v>36</v>
      </c>
    </row>
    <row r="5" customFormat="false" ht="15" hidden="false" customHeight="true" outlineLevel="0" collapsed="false">
      <c r="A5" s="9" t="s">
        <v>37</v>
      </c>
      <c r="B5" s="9" t="s">
        <v>38</v>
      </c>
      <c r="C5" s="9" t="s">
        <v>39</v>
      </c>
      <c r="D5" s="10" t="s">
        <v>40</v>
      </c>
    </row>
    <row r="6" customFormat="false" ht="15" hidden="false" customHeight="true" outlineLevel="0" collapsed="false">
      <c r="A6" s="10"/>
      <c r="B6" s="9"/>
      <c r="C6" s="10"/>
      <c r="D6" s="10"/>
    </row>
    <row r="7" customFormat="false" ht="15" hidden="false" customHeight="true" outlineLevel="0" collapsed="false">
      <c r="A7" s="10"/>
      <c r="B7" s="9"/>
      <c r="C7" s="10"/>
      <c r="D7" s="10"/>
    </row>
    <row r="8" customFormat="false" ht="15" hidden="false" customHeight="true" outlineLevel="0" collapsed="false">
      <c r="A8" s="10"/>
      <c r="B8" s="9"/>
      <c r="C8" s="10"/>
      <c r="D8" s="10"/>
    </row>
    <row r="9" customFormat="false" ht="15" hidden="false" customHeight="true" outlineLevel="0" collapsed="false">
      <c r="A9" s="10"/>
      <c r="B9" s="9"/>
      <c r="C9" s="10"/>
      <c r="D9" s="10"/>
    </row>
    <row r="10" customFormat="false" ht="15" hidden="false" customHeight="true" outlineLevel="0" collapsed="false">
      <c r="A10" s="10"/>
      <c r="B10" s="9"/>
      <c r="C10" s="10"/>
      <c r="D10" s="10"/>
    </row>
    <row r="11" customFormat="false" ht="15" hidden="false" customHeight="true" outlineLevel="0" collapsed="false">
      <c r="A11" s="10"/>
      <c r="B11" s="9"/>
      <c r="C11" s="10"/>
      <c r="D11" s="10"/>
    </row>
    <row r="12" customFormat="false" ht="15" hidden="false" customHeight="true" outlineLevel="0" collapsed="false">
      <c r="A12" s="10"/>
      <c r="B12" s="9"/>
      <c r="C12" s="10"/>
      <c r="D12" s="10"/>
    </row>
    <row r="13" customFormat="false" ht="15" hidden="false" customHeight="true" outlineLevel="0" collapsed="false">
      <c r="A13" s="10"/>
      <c r="B13" s="9"/>
      <c r="C13" s="10"/>
      <c r="D13" s="10"/>
    </row>
    <row r="14" customFormat="false" ht="15" hidden="false" customHeight="true" outlineLevel="0" collapsed="false">
      <c r="A14" s="10"/>
      <c r="B14" s="9"/>
      <c r="C14" s="10"/>
      <c r="D14" s="10"/>
    </row>
    <row r="15" customFormat="false" ht="15" hidden="false" customHeight="true" outlineLevel="0" collapsed="false">
      <c r="A15" s="10"/>
      <c r="B15" s="9"/>
      <c r="C15" s="10"/>
      <c r="D15" s="10"/>
    </row>
    <row r="16" customFormat="false" ht="15" hidden="false" customHeight="true" outlineLevel="0" collapsed="false">
      <c r="A16" s="10"/>
      <c r="B16" s="9"/>
      <c r="C16" s="10"/>
      <c r="D16" s="10"/>
    </row>
    <row r="17" customFormat="false" ht="15" hidden="false" customHeight="true" outlineLevel="0" collapsed="false">
      <c r="A17" s="10"/>
      <c r="B17" s="9"/>
      <c r="C17" s="10"/>
      <c r="D17" s="10"/>
    </row>
    <row r="18" customFormat="false" ht="15" hidden="false" customHeight="true" outlineLevel="0" collapsed="false">
      <c r="A18" s="10"/>
      <c r="B18" s="9"/>
      <c r="C18" s="10"/>
      <c r="D18" s="10"/>
    </row>
    <row r="19" customFormat="false" ht="15" hidden="false" customHeight="true" outlineLevel="0" collapsed="false">
      <c r="A19" s="10"/>
      <c r="B19" s="9"/>
      <c r="C19" s="10"/>
      <c r="D19" s="10"/>
    </row>
    <row r="20" customFormat="false" ht="15" hidden="false" customHeight="true" outlineLevel="0" collapsed="false">
      <c r="A20" s="10"/>
      <c r="B20" s="9"/>
      <c r="C20" s="10"/>
      <c r="D20" s="10"/>
    </row>
    <row r="21" customFormat="false" ht="15" hidden="false" customHeight="true" outlineLevel="0" collapsed="false">
      <c r="A21" s="10"/>
      <c r="B21" s="9"/>
      <c r="C21" s="10"/>
      <c r="D21" s="10"/>
    </row>
    <row r="22" customFormat="false" ht="15" hidden="false" customHeight="true" outlineLevel="0" collapsed="false">
      <c r="A22" s="10"/>
      <c r="B22" s="9"/>
      <c r="C22" s="10"/>
      <c r="D22" s="10"/>
    </row>
    <row r="23" customFormat="false" ht="15" hidden="false" customHeight="true" outlineLevel="0" collapsed="false">
      <c r="A23" s="10"/>
      <c r="B23" s="9"/>
      <c r="C23" s="10"/>
      <c r="D23" s="10"/>
    </row>
    <row r="24" customFormat="false" ht="15" hidden="false" customHeight="true" outlineLevel="0" collapsed="false">
      <c r="A24" s="10"/>
      <c r="B24" s="9"/>
      <c r="C24" s="10"/>
      <c r="D24" s="10"/>
    </row>
    <row r="25" customFormat="false" ht="15" hidden="false" customHeight="true" outlineLevel="0" collapsed="false">
      <c r="A25" s="10"/>
      <c r="B25" s="9"/>
      <c r="C25" s="10"/>
      <c r="D25" s="10"/>
    </row>
    <row r="26" customFormat="false" ht="15" hidden="false" customHeight="true" outlineLevel="0" collapsed="false">
      <c r="A26" s="10"/>
      <c r="B26" s="9"/>
      <c r="C26" s="10"/>
      <c r="D26" s="10"/>
    </row>
    <row r="27" customFormat="false" ht="15" hidden="false" customHeight="true" outlineLevel="0" collapsed="false">
      <c r="A27" s="10"/>
      <c r="B27" s="9"/>
      <c r="C27" s="10"/>
      <c r="D27" s="10"/>
    </row>
    <row r="28" customFormat="false" ht="15" hidden="false" customHeight="true" outlineLevel="0" collapsed="false">
      <c r="A28" s="10"/>
      <c r="B28" s="9"/>
      <c r="C28" s="10"/>
      <c r="D28" s="10"/>
    </row>
    <row r="29" customFormat="false" ht="15" hidden="false" customHeight="true" outlineLevel="0" collapsed="false">
      <c r="A29" s="10"/>
      <c r="B29" s="9"/>
      <c r="C29" s="10"/>
      <c r="D29" s="10"/>
    </row>
    <row r="30" customFormat="false" ht="15" hidden="false" customHeight="true" outlineLevel="0" collapsed="false">
      <c r="A30" s="10"/>
      <c r="B30" s="9"/>
      <c r="C30" s="10"/>
      <c r="D30" s="10"/>
    </row>
    <row r="31" customFormat="false" ht="15" hidden="false" customHeight="true" outlineLevel="0" collapsed="false">
      <c r="A31" s="10"/>
      <c r="B31" s="9"/>
      <c r="C31" s="10"/>
      <c r="D31" s="10"/>
    </row>
    <row r="32" customFormat="false" ht="15" hidden="false" customHeight="true" outlineLevel="0" collapsed="false">
      <c r="A32" s="10"/>
      <c r="B32" s="9"/>
      <c r="C32" s="10"/>
      <c r="D32" s="10"/>
    </row>
    <row r="33" customFormat="false" ht="15" hidden="false" customHeight="true" outlineLevel="0" collapsed="false">
      <c r="A33" s="10"/>
      <c r="B33" s="9"/>
      <c r="C33" s="10"/>
      <c r="D33" s="10"/>
    </row>
    <row r="34" customFormat="false" ht="15" hidden="false" customHeight="true" outlineLevel="0" collapsed="false">
      <c r="A34" s="10"/>
      <c r="B34" s="9"/>
      <c r="C34" s="10"/>
      <c r="D34" s="10"/>
    </row>
    <row r="35" customFormat="false" ht="15" hidden="false" customHeight="true" outlineLevel="0" collapsed="false">
      <c r="A35" s="10"/>
      <c r="B35" s="9"/>
      <c r="C35" s="10"/>
      <c r="D35" s="10"/>
    </row>
    <row r="36" customFormat="false" ht="15" hidden="false" customHeight="true" outlineLevel="0" collapsed="false">
      <c r="A36" s="10"/>
      <c r="B36" s="9"/>
      <c r="C36" s="10"/>
      <c r="D36" s="10"/>
    </row>
    <row r="37" customFormat="false" ht="15" hidden="false" customHeight="true" outlineLevel="0" collapsed="false">
      <c r="A37" s="10"/>
      <c r="B37" s="9"/>
      <c r="C37" s="10"/>
      <c r="D37" s="10"/>
    </row>
    <row r="38" customFormat="false" ht="15" hidden="false" customHeight="true" outlineLevel="0" collapsed="false">
      <c r="A38" s="10"/>
      <c r="B38" s="9"/>
      <c r="C38" s="10"/>
      <c r="D38" s="10"/>
    </row>
    <row r="39" customFormat="false" ht="15" hidden="false" customHeight="true" outlineLevel="0" collapsed="false">
      <c r="A39" s="10"/>
      <c r="B39" s="9"/>
      <c r="C39" s="10"/>
      <c r="D39" s="10"/>
    </row>
    <row r="40" customFormat="false" ht="15" hidden="false" customHeight="true" outlineLevel="0" collapsed="false">
      <c r="A40" s="10"/>
      <c r="B40" s="9"/>
      <c r="C40" s="10"/>
      <c r="D40" s="10"/>
    </row>
    <row r="41" customFormat="false" ht="15" hidden="false" customHeight="true" outlineLevel="0" collapsed="false">
      <c r="A41" s="10"/>
      <c r="B41" s="9"/>
      <c r="C41" s="10"/>
      <c r="D41" s="10"/>
    </row>
    <row r="42" customFormat="false" ht="15" hidden="false" customHeight="true" outlineLevel="0" collapsed="false">
      <c r="A42" s="10"/>
      <c r="B42" s="9"/>
      <c r="C42" s="10"/>
      <c r="D42" s="10"/>
    </row>
    <row r="43" customFormat="false" ht="15" hidden="false" customHeight="true" outlineLevel="0" collapsed="false">
      <c r="A43" s="10"/>
      <c r="B43" s="9"/>
      <c r="C43" s="10"/>
      <c r="D43" s="10"/>
    </row>
    <row r="44" customFormat="false" ht="15" hidden="false" customHeight="true" outlineLevel="0" collapsed="false">
      <c r="A44" s="10"/>
      <c r="B44" s="9"/>
      <c r="C44" s="10"/>
      <c r="D44" s="10"/>
    </row>
    <row r="45" customFormat="false" ht="15" hidden="false" customHeight="true" outlineLevel="0" collapsed="false">
      <c r="A45" s="10"/>
      <c r="B45" s="9"/>
      <c r="C45" s="10"/>
      <c r="D45" s="10"/>
    </row>
    <row r="46" customFormat="false" ht="15" hidden="false" customHeight="true" outlineLevel="0" collapsed="false">
      <c r="A46" s="10"/>
      <c r="B46" s="9"/>
      <c r="C46" s="10"/>
      <c r="D46" s="10"/>
    </row>
    <row r="47" customFormat="false" ht="15" hidden="false" customHeight="true" outlineLevel="0" collapsed="false">
      <c r="A47" s="10"/>
      <c r="B47" s="9"/>
      <c r="C47" s="10"/>
      <c r="D47" s="10"/>
    </row>
    <row r="48" customFormat="false" ht="15" hidden="false" customHeight="true" outlineLevel="0" collapsed="false">
      <c r="A48" s="10"/>
      <c r="B48" s="9"/>
      <c r="C48" s="10"/>
      <c r="D48" s="10"/>
    </row>
    <row r="49" customFormat="false" ht="15" hidden="false" customHeight="true" outlineLevel="0" collapsed="false">
      <c r="A49" s="10"/>
      <c r="B49" s="9"/>
      <c r="C49" s="10"/>
      <c r="D49" s="10"/>
    </row>
    <row r="50" customFormat="false" ht="15" hidden="false" customHeight="true" outlineLevel="0" collapsed="false">
      <c r="A50" s="10"/>
      <c r="B50" s="9"/>
      <c r="C50" s="10"/>
      <c r="D50" s="10"/>
    </row>
    <row r="51" customFormat="false" ht="15" hidden="false" customHeight="true" outlineLevel="0" collapsed="false">
      <c r="A51" s="10"/>
      <c r="B51" s="9"/>
      <c r="C51" s="10"/>
      <c r="D51" s="10"/>
    </row>
    <row r="52" customFormat="false" ht="15" hidden="false" customHeight="true" outlineLevel="0" collapsed="false">
      <c r="A52" s="10"/>
      <c r="B52" s="9"/>
      <c r="C52" s="10"/>
      <c r="D52" s="10"/>
    </row>
    <row r="53" customFormat="false" ht="15" hidden="false" customHeight="true" outlineLevel="0" collapsed="false">
      <c r="A53" s="10"/>
      <c r="B53" s="9"/>
      <c r="C53" s="10"/>
      <c r="D53" s="10"/>
    </row>
    <row r="54" customFormat="false" ht="15" hidden="false" customHeight="true" outlineLevel="0" collapsed="false">
      <c r="A54" s="10"/>
      <c r="B54" s="9"/>
      <c r="C54" s="10"/>
      <c r="D54" s="10"/>
    </row>
    <row r="55" customFormat="false" ht="15" hidden="false" customHeight="true" outlineLevel="0" collapsed="false">
      <c r="A55" s="10"/>
      <c r="B55" s="9"/>
      <c r="C55" s="10"/>
      <c r="D55" s="10"/>
    </row>
    <row r="56" customFormat="false" ht="15" hidden="false" customHeight="true" outlineLevel="0" collapsed="false">
      <c r="A56" s="10"/>
      <c r="B56" s="9"/>
      <c r="C56" s="10"/>
      <c r="D56" s="10"/>
    </row>
    <row r="57" customFormat="false" ht="15" hidden="false" customHeight="true" outlineLevel="0" collapsed="false">
      <c r="A57" s="10"/>
      <c r="B57" s="9"/>
      <c r="C57" s="10"/>
      <c r="D57" s="10"/>
    </row>
    <row r="58" customFormat="false" ht="15" hidden="false" customHeight="true" outlineLevel="0" collapsed="false">
      <c r="A58" s="10"/>
      <c r="B58" s="9"/>
      <c r="C58" s="10"/>
      <c r="D58" s="10"/>
    </row>
    <row r="59" customFormat="false" ht="15" hidden="false" customHeight="true" outlineLevel="0" collapsed="false">
      <c r="A59" s="10"/>
      <c r="B59" s="9"/>
      <c r="C59" s="10"/>
      <c r="D59" s="10"/>
    </row>
    <row r="60" customFormat="false" ht="15" hidden="false" customHeight="true" outlineLevel="0" collapsed="false">
      <c r="A60" s="10"/>
      <c r="B60" s="9"/>
      <c r="C60" s="10"/>
      <c r="D60" s="10"/>
    </row>
    <row r="61" customFormat="false" ht="15" hidden="false" customHeight="true" outlineLevel="0" collapsed="false">
      <c r="A61" s="10"/>
      <c r="B61" s="9"/>
      <c r="C61" s="10"/>
      <c r="D61" s="10"/>
    </row>
    <row r="62" customFormat="false" ht="15" hidden="false" customHeight="true" outlineLevel="0" collapsed="false">
      <c r="A62" s="10"/>
      <c r="B62" s="9"/>
      <c r="C62" s="10"/>
      <c r="D62" s="10"/>
    </row>
    <row r="63" customFormat="false" ht="15" hidden="false" customHeight="true" outlineLevel="0" collapsed="false">
      <c r="A63" s="10"/>
      <c r="B63" s="9"/>
      <c r="C63" s="10"/>
      <c r="D63" s="10"/>
    </row>
    <row r="64" customFormat="false" ht="15" hidden="false" customHeight="true" outlineLevel="0" collapsed="false">
      <c r="A64" s="10"/>
      <c r="B64" s="9"/>
      <c r="C64" s="10"/>
      <c r="D64" s="10"/>
    </row>
    <row r="65" customFormat="false" ht="15" hidden="false" customHeight="true" outlineLevel="0" collapsed="false">
      <c r="A65" s="10"/>
      <c r="B65" s="9"/>
      <c r="C65" s="10"/>
      <c r="D65" s="10"/>
    </row>
    <row r="66" customFormat="false" ht="15" hidden="false" customHeight="true" outlineLevel="0" collapsed="false">
      <c r="A66" s="10"/>
      <c r="B66" s="9"/>
      <c r="C66" s="10"/>
      <c r="D66" s="10"/>
    </row>
    <row r="67" customFormat="false" ht="15" hidden="false" customHeight="true" outlineLevel="0" collapsed="false">
      <c r="A67" s="10"/>
      <c r="B67" s="9"/>
      <c r="C67" s="10"/>
      <c r="D67" s="10"/>
    </row>
    <row r="68" customFormat="false" ht="15" hidden="false" customHeight="true" outlineLevel="0" collapsed="false">
      <c r="A68" s="10"/>
      <c r="B68" s="9"/>
      <c r="C68" s="10"/>
      <c r="D68" s="10"/>
    </row>
    <row r="69" customFormat="false" ht="15" hidden="false" customHeight="true" outlineLevel="0" collapsed="false">
      <c r="A69" s="10"/>
      <c r="B69" s="9"/>
      <c r="C69" s="10"/>
      <c r="D69" s="10"/>
    </row>
    <row r="70" customFormat="false" ht="15" hidden="false" customHeight="true" outlineLevel="0" collapsed="false">
      <c r="A70" s="10"/>
      <c r="B70" s="9"/>
      <c r="C70" s="10"/>
      <c r="D70" s="10"/>
    </row>
    <row r="71" customFormat="false" ht="15" hidden="false" customHeight="true" outlineLevel="0" collapsed="false">
      <c r="A71" s="10"/>
      <c r="B71" s="9"/>
      <c r="C71" s="10"/>
      <c r="D71" s="10"/>
    </row>
    <row r="72" customFormat="false" ht="15" hidden="false" customHeight="true" outlineLevel="0" collapsed="false">
      <c r="A72" s="10"/>
      <c r="B72" s="9"/>
      <c r="C72" s="10"/>
      <c r="D72" s="10"/>
    </row>
    <row r="73" customFormat="false" ht="15" hidden="false" customHeight="true" outlineLevel="0" collapsed="false">
      <c r="A73" s="10"/>
      <c r="B73" s="9"/>
      <c r="C73" s="10"/>
      <c r="D73" s="10"/>
    </row>
    <row r="74" customFormat="false" ht="15" hidden="false" customHeight="true" outlineLevel="0" collapsed="false">
      <c r="A74" s="10"/>
      <c r="B74" s="9"/>
      <c r="C74" s="10"/>
      <c r="D74" s="10"/>
    </row>
    <row r="75" customFormat="false" ht="15" hidden="false" customHeight="true" outlineLevel="0" collapsed="false">
      <c r="A75" s="10"/>
      <c r="B75" s="9"/>
      <c r="C75" s="10"/>
      <c r="D75" s="10"/>
    </row>
    <row r="76" customFormat="false" ht="15" hidden="false" customHeight="true" outlineLevel="0" collapsed="false">
      <c r="A76" s="10"/>
      <c r="B76" s="9"/>
      <c r="C76" s="10"/>
      <c r="D76" s="10"/>
    </row>
    <row r="77" customFormat="false" ht="15" hidden="false" customHeight="true" outlineLevel="0" collapsed="false">
      <c r="A77" s="10"/>
      <c r="B77" s="9"/>
      <c r="C77" s="10"/>
      <c r="D77" s="10"/>
    </row>
    <row r="78" customFormat="false" ht="15" hidden="false" customHeight="true" outlineLevel="0" collapsed="false">
      <c r="A78" s="10"/>
      <c r="B78" s="9"/>
      <c r="C78" s="10"/>
      <c r="D78" s="10"/>
    </row>
    <row r="79" customFormat="false" ht="15" hidden="false" customHeight="true" outlineLevel="0" collapsed="false">
      <c r="A79" s="10"/>
      <c r="B79" s="9"/>
      <c r="C79" s="10"/>
      <c r="D79" s="10"/>
    </row>
    <row r="80" customFormat="false" ht="15" hidden="false" customHeight="true" outlineLevel="0" collapsed="false">
      <c r="A80" s="10"/>
      <c r="B80" s="9"/>
      <c r="C80" s="10"/>
      <c r="D80" s="10"/>
    </row>
    <row r="81" customFormat="false" ht="15" hidden="false" customHeight="true" outlineLevel="0" collapsed="false">
      <c r="A81" s="10"/>
      <c r="B81" s="9"/>
      <c r="C81" s="10"/>
      <c r="D81" s="10"/>
    </row>
    <row r="82" customFormat="false" ht="15" hidden="false" customHeight="true" outlineLevel="0" collapsed="false">
      <c r="A82" s="10"/>
      <c r="B82" s="9"/>
      <c r="C82" s="10"/>
      <c r="D82" s="10"/>
    </row>
    <row r="83" customFormat="false" ht="15" hidden="false" customHeight="true" outlineLevel="0" collapsed="false">
      <c r="A83" s="10"/>
      <c r="B83" s="9"/>
      <c r="C83" s="10"/>
      <c r="D83" s="10"/>
    </row>
    <row r="84" customFormat="false" ht="15" hidden="false" customHeight="true" outlineLevel="0" collapsed="false">
      <c r="A84" s="10"/>
      <c r="B84" s="9"/>
      <c r="C84" s="10"/>
      <c r="D84" s="10"/>
    </row>
    <row r="85" customFormat="false" ht="15" hidden="false" customHeight="true" outlineLevel="0" collapsed="false">
      <c r="A85" s="10"/>
      <c r="B85" s="9"/>
      <c r="C85" s="10"/>
      <c r="D85" s="10"/>
    </row>
    <row r="86" customFormat="false" ht="15" hidden="false" customHeight="true" outlineLevel="0" collapsed="false">
      <c r="A86" s="10"/>
      <c r="B86" s="9"/>
      <c r="C86" s="10"/>
      <c r="D86" s="10"/>
    </row>
    <row r="87" customFormat="false" ht="15" hidden="false" customHeight="true" outlineLevel="0" collapsed="false">
      <c r="A87" s="10"/>
      <c r="B87" s="9"/>
      <c r="C87" s="10"/>
      <c r="D87" s="10"/>
    </row>
    <row r="88" customFormat="false" ht="15" hidden="false" customHeight="true" outlineLevel="0" collapsed="false">
      <c r="A88" s="10"/>
      <c r="B88" s="9"/>
      <c r="C88" s="10"/>
      <c r="D88" s="10"/>
    </row>
    <row r="89" customFormat="false" ht="15" hidden="false" customHeight="true" outlineLevel="0" collapsed="false">
      <c r="A89" s="10"/>
      <c r="B89" s="9"/>
      <c r="C89" s="10"/>
      <c r="D89" s="10"/>
    </row>
    <row r="90" customFormat="false" ht="15" hidden="false" customHeight="true" outlineLevel="0" collapsed="false">
      <c r="A90" s="10"/>
      <c r="B90" s="9"/>
      <c r="C90" s="10"/>
      <c r="D90" s="10"/>
    </row>
    <row r="91" customFormat="false" ht="15" hidden="false" customHeight="true" outlineLevel="0" collapsed="false">
      <c r="A91" s="10"/>
      <c r="B91" s="9"/>
      <c r="C91" s="10"/>
      <c r="D91" s="10"/>
    </row>
    <row r="92" customFormat="false" ht="15" hidden="false" customHeight="true" outlineLevel="0" collapsed="false">
      <c r="A92" s="10"/>
      <c r="B92" s="9"/>
      <c r="C92" s="10"/>
      <c r="D92" s="10"/>
    </row>
    <row r="93" customFormat="false" ht="15" hidden="false" customHeight="true" outlineLevel="0" collapsed="false">
      <c r="A93" s="10"/>
      <c r="B93" s="9"/>
      <c r="C93" s="10"/>
      <c r="D93" s="10"/>
    </row>
    <row r="94" customFormat="false" ht="15" hidden="false" customHeight="true" outlineLevel="0" collapsed="false">
      <c r="A94" s="10"/>
      <c r="B94" s="9"/>
      <c r="C94" s="10"/>
      <c r="D94" s="10"/>
    </row>
    <row r="95" customFormat="false" ht="15" hidden="false" customHeight="true" outlineLevel="0" collapsed="false">
      <c r="A95" s="10"/>
      <c r="B95" s="9"/>
      <c r="C95" s="10"/>
      <c r="D95" s="10"/>
    </row>
    <row r="96" customFormat="false" ht="15" hidden="false" customHeight="true" outlineLevel="0" collapsed="false">
      <c r="A96" s="10"/>
      <c r="B96" s="9"/>
      <c r="C96" s="10"/>
      <c r="D96" s="10"/>
    </row>
    <row r="97" customFormat="false" ht="15" hidden="false" customHeight="true" outlineLevel="0" collapsed="false">
      <c r="A97" s="10"/>
      <c r="B97" s="9"/>
      <c r="C97" s="10"/>
      <c r="D97" s="10"/>
    </row>
    <row r="98" customFormat="false" ht="15" hidden="false" customHeight="true" outlineLevel="0" collapsed="false">
      <c r="A98" s="10"/>
      <c r="B98" s="9"/>
      <c r="C98" s="10"/>
      <c r="D98" s="10"/>
    </row>
    <row r="99" customFormat="false" ht="15" hidden="false" customHeight="true" outlineLevel="0" collapsed="false">
      <c r="A99" s="10"/>
      <c r="B99" s="9"/>
      <c r="C99" s="10"/>
      <c r="D99" s="10"/>
    </row>
    <row r="100" customFormat="false" ht="15" hidden="false" customHeight="true" outlineLevel="0" collapsed="false">
      <c r="A100" s="10"/>
      <c r="B100" s="9"/>
      <c r="C100" s="10"/>
      <c r="D100" s="10"/>
    </row>
    <row r="101" customFormat="false" ht="15" hidden="false" customHeight="true" outlineLevel="0" collapsed="false">
      <c r="A101" s="10"/>
      <c r="B101" s="9"/>
      <c r="C101" s="10"/>
      <c r="D101" s="10"/>
    </row>
    <row r="102" customFormat="false" ht="15" hidden="false" customHeight="true" outlineLevel="0" collapsed="false">
      <c r="A102" s="10"/>
      <c r="B102" s="9"/>
      <c r="C102" s="10"/>
      <c r="D102" s="10"/>
    </row>
    <row r="103" customFormat="false" ht="15" hidden="false" customHeight="true" outlineLevel="0" collapsed="false">
      <c r="A103" s="10"/>
      <c r="B103" s="9"/>
      <c r="C103" s="10"/>
      <c r="D103" s="10"/>
    </row>
    <row r="104" customFormat="false" ht="15" hidden="false" customHeight="true" outlineLevel="0" collapsed="false">
      <c r="A104" s="10"/>
      <c r="B104" s="9"/>
      <c r="C104" s="10"/>
      <c r="D104" s="10"/>
    </row>
    <row r="105" customFormat="false" ht="15" hidden="false" customHeight="true" outlineLevel="0" collapsed="false">
      <c r="A105" s="10"/>
      <c r="B105" s="9"/>
      <c r="C105" s="10"/>
      <c r="D105" s="10"/>
    </row>
    <row r="106" customFormat="false" ht="15" hidden="false" customHeight="true" outlineLevel="0" collapsed="false">
      <c r="A106" s="10"/>
      <c r="B106" s="9"/>
      <c r="C106" s="10"/>
      <c r="D106" s="10"/>
    </row>
    <row r="107" customFormat="false" ht="15" hidden="false" customHeight="true" outlineLevel="0" collapsed="false">
      <c r="A107" s="10"/>
      <c r="B107" s="9"/>
      <c r="C107" s="10"/>
      <c r="D107" s="10"/>
    </row>
    <row r="108" customFormat="false" ht="15" hidden="false" customHeight="true" outlineLevel="0" collapsed="false">
      <c r="A108" s="10"/>
      <c r="B108" s="9"/>
      <c r="C108" s="10"/>
      <c r="D108" s="10"/>
    </row>
    <row r="109" customFormat="false" ht="15" hidden="false" customHeight="true" outlineLevel="0" collapsed="false">
      <c r="A109" s="10"/>
      <c r="B109" s="9"/>
      <c r="C109" s="10"/>
      <c r="D109" s="10"/>
    </row>
    <row r="110" customFormat="false" ht="15" hidden="false" customHeight="true" outlineLevel="0" collapsed="false">
      <c r="A110" s="10"/>
      <c r="B110" s="9"/>
      <c r="C110" s="10"/>
      <c r="D110" s="10"/>
    </row>
    <row r="111" customFormat="false" ht="15" hidden="false" customHeight="true" outlineLevel="0" collapsed="false">
      <c r="A111" s="10"/>
      <c r="B111" s="9"/>
      <c r="C111" s="10"/>
      <c r="D111" s="10"/>
    </row>
    <row r="112" customFormat="false" ht="15" hidden="false" customHeight="true" outlineLevel="0" collapsed="false">
      <c r="A112" s="10"/>
      <c r="B112" s="9"/>
      <c r="C112" s="10"/>
      <c r="D112" s="10"/>
    </row>
    <row r="113" customFormat="false" ht="15" hidden="false" customHeight="true" outlineLevel="0" collapsed="false">
      <c r="A113" s="10"/>
      <c r="B113" s="9"/>
      <c r="C113" s="10"/>
      <c r="D113" s="10"/>
    </row>
    <row r="114" customFormat="false" ht="15" hidden="false" customHeight="true" outlineLevel="0" collapsed="false">
      <c r="A114" s="10"/>
      <c r="B114" s="9"/>
      <c r="C114" s="10"/>
      <c r="D114" s="10"/>
    </row>
    <row r="115" customFormat="false" ht="15" hidden="false" customHeight="true" outlineLevel="0" collapsed="false">
      <c r="A115" s="10"/>
      <c r="B115" s="9"/>
      <c r="C115" s="10"/>
      <c r="D115" s="10"/>
    </row>
    <row r="116" customFormat="false" ht="15" hidden="false" customHeight="true" outlineLevel="0" collapsed="false">
      <c r="A116" s="10"/>
      <c r="B116" s="9"/>
      <c r="C116" s="10"/>
      <c r="D116" s="10"/>
    </row>
    <row r="117" customFormat="false" ht="15" hidden="false" customHeight="true" outlineLevel="0" collapsed="false">
      <c r="A117" s="10"/>
      <c r="B117" s="9"/>
      <c r="C117" s="10"/>
      <c r="D117" s="10"/>
    </row>
    <row r="118" customFormat="false" ht="15" hidden="false" customHeight="true" outlineLevel="0" collapsed="false">
      <c r="A118" s="10"/>
      <c r="B118" s="9"/>
      <c r="C118" s="10"/>
      <c r="D118" s="10"/>
    </row>
    <row r="119" customFormat="false" ht="15" hidden="false" customHeight="true" outlineLevel="0" collapsed="false">
      <c r="A119" s="10"/>
      <c r="B119" s="9"/>
      <c r="C119" s="10"/>
      <c r="D119" s="10"/>
    </row>
    <row r="120" customFormat="false" ht="15" hidden="false" customHeight="true" outlineLevel="0" collapsed="false">
      <c r="A120" s="10"/>
      <c r="B120" s="9"/>
      <c r="C120" s="10"/>
      <c r="D120" s="10"/>
    </row>
    <row r="121" customFormat="false" ht="15" hidden="false" customHeight="true" outlineLevel="0" collapsed="false">
      <c r="A121" s="10"/>
      <c r="B121" s="9"/>
      <c r="C121" s="10"/>
      <c r="D121" s="10"/>
    </row>
    <row r="122" customFormat="false" ht="15" hidden="false" customHeight="true" outlineLevel="0" collapsed="false">
      <c r="A122" s="10"/>
      <c r="B122" s="9"/>
      <c r="C122" s="10"/>
      <c r="D122" s="10"/>
    </row>
    <row r="123" customFormat="false" ht="15" hidden="false" customHeight="true" outlineLevel="0" collapsed="false">
      <c r="A123" s="10"/>
      <c r="B123" s="9"/>
      <c r="C123" s="10"/>
      <c r="D123" s="10"/>
    </row>
    <row r="124" customFormat="false" ht="15" hidden="false" customHeight="true" outlineLevel="0" collapsed="false">
      <c r="A124" s="10"/>
      <c r="B124" s="9"/>
      <c r="C124" s="10"/>
      <c r="D124" s="10"/>
    </row>
    <row r="125" customFormat="false" ht="15" hidden="false" customHeight="true" outlineLevel="0" collapsed="false">
      <c r="A125" s="10"/>
      <c r="B125" s="9"/>
      <c r="C125" s="10"/>
      <c r="D125" s="10"/>
    </row>
    <row r="126" customFormat="false" ht="15" hidden="false" customHeight="true" outlineLevel="0" collapsed="false">
      <c r="A126" s="10"/>
      <c r="B126" s="9"/>
      <c r="C126" s="10"/>
      <c r="D126" s="10"/>
    </row>
    <row r="127" customFormat="false" ht="15" hidden="false" customHeight="true" outlineLevel="0" collapsed="false">
      <c r="A127" s="10"/>
      <c r="B127" s="9"/>
      <c r="C127" s="10"/>
      <c r="D127" s="10"/>
    </row>
    <row r="128" customFormat="false" ht="15" hidden="false" customHeight="true" outlineLevel="0" collapsed="false">
      <c r="A128" s="10"/>
      <c r="B128" s="9"/>
      <c r="C128" s="10"/>
      <c r="D128" s="10"/>
    </row>
    <row r="129" customFormat="false" ht="15" hidden="false" customHeight="true" outlineLevel="0" collapsed="false">
      <c r="A129" s="10"/>
      <c r="B129" s="9"/>
      <c r="C129" s="10"/>
      <c r="D129" s="10"/>
    </row>
    <row r="130" customFormat="false" ht="15" hidden="false" customHeight="true" outlineLevel="0" collapsed="false">
      <c r="A130" s="10"/>
      <c r="B130" s="9"/>
      <c r="C130" s="10"/>
      <c r="D130" s="10"/>
    </row>
    <row r="131" customFormat="false" ht="15" hidden="false" customHeight="true" outlineLevel="0" collapsed="false">
      <c r="A131" s="10"/>
      <c r="B131" s="9"/>
      <c r="C131" s="10"/>
      <c r="D131" s="10"/>
    </row>
    <row r="132" customFormat="false" ht="15" hidden="false" customHeight="true" outlineLevel="0" collapsed="false">
      <c r="A132" s="10"/>
      <c r="B132" s="9"/>
      <c r="C132" s="10"/>
      <c r="D132" s="10"/>
    </row>
    <row r="133" customFormat="false" ht="15" hidden="false" customHeight="true" outlineLevel="0" collapsed="false">
      <c r="A133" s="10"/>
      <c r="B133" s="9"/>
      <c r="C133" s="10"/>
      <c r="D133" s="10"/>
    </row>
    <row r="134" customFormat="false" ht="15" hidden="false" customHeight="true" outlineLevel="0" collapsed="false">
      <c r="A134" s="10"/>
      <c r="B134" s="9"/>
      <c r="C134" s="10"/>
      <c r="D134" s="10"/>
    </row>
    <row r="135" customFormat="false" ht="15" hidden="false" customHeight="true" outlineLevel="0" collapsed="false">
      <c r="A135" s="10"/>
      <c r="B135" s="9"/>
      <c r="C135" s="10"/>
      <c r="D135" s="10"/>
    </row>
    <row r="136" customFormat="false" ht="15" hidden="false" customHeight="true" outlineLevel="0" collapsed="false">
      <c r="A136" s="10"/>
      <c r="B136" s="9"/>
      <c r="C136" s="10"/>
      <c r="D136" s="10"/>
    </row>
    <row r="137" customFormat="false" ht="15" hidden="false" customHeight="true" outlineLevel="0" collapsed="false">
      <c r="A137" s="10"/>
      <c r="B137" s="9"/>
      <c r="C137" s="10"/>
      <c r="D137" s="10"/>
    </row>
    <row r="138" customFormat="false" ht="15" hidden="false" customHeight="true" outlineLevel="0" collapsed="false">
      <c r="A138" s="10"/>
      <c r="B138" s="9"/>
      <c r="C138" s="10"/>
      <c r="D138" s="10"/>
    </row>
    <row r="139" customFormat="false" ht="15" hidden="false" customHeight="true" outlineLevel="0" collapsed="false">
      <c r="A139" s="10"/>
      <c r="B139" s="9"/>
      <c r="C139" s="10"/>
      <c r="D139" s="10"/>
    </row>
    <row r="140" customFormat="false" ht="15" hidden="false" customHeight="true" outlineLevel="0" collapsed="false">
      <c r="A140" s="10"/>
      <c r="B140" s="9"/>
      <c r="C140" s="10"/>
      <c r="D140" s="10"/>
    </row>
    <row r="141" customFormat="false" ht="15" hidden="false" customHeight="true" outlineLevel="0" collapsed="false">
      <c r="A141" s="10"/>
      <c r="B141" s="9"/>
      <c r="C141" s="10"/>
      <c r="D141" s="10"/>
    </row>
    <row r="142" customFormat="false" ht="15" hidden="false" customHeight="true" outlineLevel="0" collapsed="false">
      <c r="A142" s="10"/>
      <c r="B142" s="9"/>
      <c r="C142" s="10"/>
      <c r="D142" s="10"/>
    </row>
    <row r="143" customFormat="false" ht="15" hidden="false" customHeight="true" outlineLevel="0" collapsed="false">
      <c r="A143" s="10"/>
      <c r="B143" s="9"/>
      <c r="C143" s="10"/>
      <c r="D143" s="10"/>
    </row>
    <row r="144" customFormat="false" ht="15" hidden="false" customHeight="true" outlineLevel="0" collapsed="false">
      <c r="A144" s="10"/>
      <c r="B144" s="9"/>
      <c r="C144" s="10"/>
      <c r="D144" s="10"/>
    </row>
    <row r="145" customFormat="false" ht="15" hidden="false" customHeight="true" outlineLevel="0" collapsed="false">
      <c r="A145" s="10"/>
      <c r="B145" s="9"/>
      <c r="C145" s="10"/>
      <c r="D145" s="10"/>
    </row>
    <row r="146" customFormat="false" ht="15" hidden="false" customHeight="true" outlineLevel="0" collapsed="false">
      <c r="A146" s="10"/>
      <c r="B146" s="9"/>
      <c r="C146" s="10"/>
      <c r="D146" s="10"/>
    </row>
    <row r="147" customFormat="false" ht="15" hidden="false" customHeight="true" outlineLevel="0" collapsed="false">
      <c r="A147" s="10"/>
      <c r="B147" s="9"/>
      <c r="C147" s="10"/>
      <c r="D147" s="10"/>
    </row>
    <row r="148" customFormat="false" ht="15" hidden="false" customHeight="true" outlineLevel="0" collapsed="false">
      <c r="A148" s="10"/>
      <c r="B148" s="9"/>
      <c r="C148" s="10"/>
      <c r="D148" s="10"/>
    </row>
    <row r="149" customFormat="false" ht="15" hidden="false" customHeight="true" outlineLevel="0" collapsed="false">
      <c r="A149" s="10"/>
      <c r="B149" s="9"/>
      <c r="C149" s="10"/>
      <c r="D149" s="10"/>
    </row>
    <row r="150" customFormat="false" ht="15" hidden="false" customHeight="true" outlineLevel="0" collapsed="false">
      <c r="A150" s="10"/>
      <c r="B150" s="9"/>
      <c r="C150" s="10"/>
      <c r="D150" s="10"/>
    </row>
    <row r="151" customFormat="false" ht="15" hidden="false" customHeight="true" outlineLevel="0" collapsed="false">
      <c r="A151" s="10"/>
      <c r="B151" s="9"/>
      <c r="C151" s="10"/>
      <c r="D151" s="10"/>
    </row>
    <row r="152" customFormat="false" ht="15" hidden="false" customHeight="true" outlineLevel="0" collapsed="false">
      <c r="A152" s="10"/>
      <c r="B152" s="9"/>
      <c r="C152" s="10"/>
      <c r="D152" s="10"/>
    </row>
    <row r="153" customFormat="false" ht="15" hidden="false" customHeight="true" outlineLevel="0" collapsed="false">
      <c r="A153" s="10"/>
      <c r="B153" s="9"/>
      <c r="C153" s="10"/>
      <c r="D153" s="10"/>
    </row>
    <row r="154" customFormat="false" ht="15" hidden="false" customHeight="true" outlineLevel="0" collapsed="false">
      <c r="A154" s="10"/>
      <c r="B154" s="9"/>
      <c r="C154" s="10"/>
      <c r="D154" s="10"/>
    </row>
    <row r="155" customFormat="false" ht="15" hidden="false" customHeight="true" outlineLevel="0" collapsed="false">
      <c r="A155" s="10"/>
      <c r="B155" s="9"/>
      <c r="C155" s="10"/>
      <c r="D155" s="10"/>
    </row>
    <row r="156" customFormat="false" ht="15" hidden="false" customHeight="true" outlineLevel="0" collapsed="false">
      <c r="A156" s="10"/>
      <c r="B156" s="9"/>
      <c r="C156" s="10"/>
      <c r="D156" s="10"/>
    </row>
    <row r="157" customFormat="false" ht="15" hidden="false" customHeight="true" outlineLevel="0" collapsed="false">
      <c r="A157" s="10"/>
      <c r="B157" s="9"/>
      <c r="C157" s="10"/>
      <c r="D157" s="10"/>
    </row>
    <row r="158" customFormat="false" ht="15" hidden="false" customHeight="true" outlineLevel="0" collapsed="false">
      <c r="A158" s="10"/>
      <c r="B158" s="9"/>
      <c r="C158" s="10"/>
      <c r="D158" s="10"/>
    </row>
    <row r="159" customFormat="false" ht="15" hidden="false" customHeight="true" outlineLevel="0" collapsed="false">
      <c r="A159" s="10"/>
      <c r="B159" s="9"/>
      <c r="C159" s="10"/>
      <c r="D159" s="10"/>
    </row>
    <row r="160" customFormat="false" ht="15" hidden="false" customHeight="true" outlineLevel="0" collapsed="false">
      <c r="A160" s="10"/>
      <c r="B160" s="9"/>
      <c r="C160" s="10"/>
      <c r="D160" s="10"/>
    </row>
    <row r="161" customFormat="false" ht="15" hidden="false" customHeight="true" outlineLevel="0" collapsed="false">
      <c r="A161" s="10"/>
      <c r="B161" s="9"/>
      <c r="C161" s="10"/>
      <c r="D161" s="10"/>
    </row>
    <row r="162" customFormat="false" ht="15" hidden="false" customHeight="true" outlineLevel="0" collapsed="false">
      <c r="A162" s="10"/>
      <c r="B162" s="9"/>
      <c r="C162" s="10"/>
      <c r="D162" s="10"/>
    </row>
    <row r="163" customFormat="false" ht="15" hidden="false" customHeight="true" outlineLevel="0" collapsed="false">
      <c r="A163" s="10"/>
      <c r="B163" s="9"/>
      <c r="C163" s="10"/>
      <c r="D163" s="10"/>
    </row>
    <row r="164" customFormat="false" ht="15" hidden="false" customHeight="true" outlineLevel="0" collapsed="false">
      <c r="A164" s="10"/>
      <c r="B164" s="9"/>
      <c r="C164" s="10"/>
      <c r="D164" s="10"/>
    </row>
    <row r="165" customFormat="false" ht="15" hidden="false" customHeight="true" outlineLevel="0" collapsed="false">
      <c r="A165" s="10"/>
      <c r="B165" s="9"/>
      <c r="C165" s="10"/>
      <c r="D165" s="10"/>
    </row>
    <row r="166" customFormat="false" ht="15" hidden="false" customHeight="true" outlineLevel="0" collapsed="false">
      <c r="A166" s="10"/>
      <c r="B166" s="9"/>
      <c r="C166" s="10"/>
      <c r="D166" s="10"/>
    </row>
    <row r="167" customFormat="false" ht="15" hidden="false" customHeight="true" outlineLevel="0" collapsed="false">
      <c r="A167" s="10"/>
      <c r="B167" s="9"/>
      <c r="C167" s="10"/>
      <c r="D167" s="10"/>
    </row>
    <row r="168" customFormat="false" ht="15" hidden="false" customHeight="true" outlineLevel="0" collapsed="false">
      <c r="A168" s="10"/>
      <c r="B168" s="9"/>
      <c r="C168" s="10"/>
      <c r="D168" s="10"/>
    </row>
    <row r="169" customFormat="false" ht="15" hidden="false" customHeight="true" outlineLevel="0" collapsed="false">
      <c r="A169" s="10"/>
      <c r="B169" s="9"/>
      <c r="C169" s="10"/>
      <c r="D169" s="10"/>
    </row>
    <row r="170" customFormat="false" ht="15" hidden="false" customHeight="true" outlineLevel="0" collapsed="false">
      <c r="A170" s="10"/>
      <c r="B170" s="9"/>
      <c r="C170" s="10"/>
      <c r="D170" s="10"/>
    </row>
    <row r="171" customFormat="false" ht="15" hidden="false" customHeight="true" outlineLevel="0" collapsed="false">
      <c r="A171" s="10"/>
      <c r="B171" s="9"/>
      <c r="C171" s="10"/>
      <c r="D171" s="10"/>
    </row>
    <row r="172" customFormat="false" ht="15" hidden="false" customHeight="true" outlineLevel="0" collapsed="false">
      <c r="A172" s="10"/>
      <c r="B172" s="9"/>
      <c r="C172" s="10"/>
      <c r="D172" s="10"/>
    </row>
    <row r="173" customFormat="false" ht="15" hidden="false" customHeight="true" outlineLevel="0" collapsed="false">
      <c r="A173" s="10"/>
      <c r="B173" s="9"/>
      <c r="C173" s="10"/>
      <c r="D173" s="10"/>
    </row>
    <row r="174" customFormat="false" ht="15" hidden="false" customHeight="true" outlineLevel="0" collapsed="false">
      <c r="A174" s="10"/>
      <c r="B174" s="9"/>
      <c r="C174" s="10"/>
      <c r="D174" s="10"/>
    </row>
    <row r="175" customFormat="false" ht="15" hidden="false" customHeight="true" outlineLevel="0" collapsed="false">
      <c r="A175" s="10"/>
      <c r="B175" s="9"/>
      <c r="C175" s="10"/>
      <c r="D175" s="10"/>
    </row>
    <row r="176" customFormat="false" ht="15" hidden="false" customHeight="true" outlineLevel="0" collapsed="false">
      <c r="A176" s="10"/>
      <c r="B176" s="9"/>
      <c r="C176" s="10"/>
      <c r="D176" s="10"/>
    </row>
    <row r="177" customFormat="false" ht="15" hidden="false" customHeight="true" outlineLevel="0" collapsed="false">
      <c r="A177" s="10"/>
      <c r="B177" s="9"/>
      <c r="C177" s="10"/>
      <c r="D177" s="10"/>
    </row>
    <row r="178" customFormat="false" ht="15" hidden="false" customHeight="true" outlineLevel="0" collapsed="false">
      <c r="A178" s="10"/>
      <c r="B178" s="9"/>
      <c r="C178" s="10"/>
      <c r="D178" s="10"/>
    </row>
    <row r="179" customFormat="false" ht="15" hidden="false" customHeight="true" outlineLevel="0" collapsed="false">
      <c r="A179" s="10"/>
      <c r="B179" s="9"/>
      <c r="C179" s="10"/>
      <c r="D179" s="10"/>
    </row>
    <row r="180" customFormat="false" ht="15" hidden="false" customHeight="true" outlineLevel="0" collapsed="false">
      <c r="A180" s="10"/>
      <c r="B180" s="9"/>
      <c r="C180" s="10"/>
      <c r="D180" s="10"/>
    </row>
    <row r="181" customFormat="false" ht="15" hidden="false" customHeight="true" outlineLevel="0" collapsed="false">
      <c r="A181" s="10"/>
      <c r="B181" s="9"/>
      <c r="C181" s="10"/>
      <c r="D181" s="10"/>
    </row>
    <row r="182" customFormat="false" ht="15" hidden="false" customHeight="true" outlineLevel="0" collapsed="false">
      <c r="A182" s="10"/>
      <c r="B182" s="9"/>
      <c r="C182" s="10"/>
      <c r="D182" s="10"/>
    </row>
    <row r="183" customFormat="false" ht="15" hidden="false" customHeight="true" outlineLevel="0" collapsed="false">
      <c r="A183" s="10"/>
      <c r="B183" s="9"/>
      <c r="C183" s="10"/>
      <c r="D183" s="10"/>
    </row>
    <row r="184" customFormat="false" ht="15" hidden="false" customHeight="true" outlineLevel="0" collapsed="false">
      <c r="A184" s="10"/>
      <c r="B184" s="9"/>
      <c r="C184" s="10"/>
      <c r="D184" s="10"/>
    </row>
    <row r="185" customFormat="false" ht="15" hidden="false" customHeight="true" outlineLevel="0" collapsed="false">
      <c r="A185" s="10"/>
      <c r="B185" s="9"/>
      <c r="C185" s="10"/>
      <c r="D185" s="10"/>
    </row>
    <row r="186" customFormat="false" ht="15" hidden="false" customHeight="true" outlineLevel="0" collapsed="false">
      <c r="A186" s="10"/>
      <c r="B186" s="9"/>
      <c r="C186" s="10"/>
      <c r="D186" s="10"/>
    </row>
    <row r="187" customFormat="false" ht="15" hidden="false" customHeight="true" outlineLevel="0" collapsed="false">
      <c r="A187" s="10"/>
      <c r="B187" s="9"/>
      <c r="C187" s="10"/>
      <c r="D187" s="10"/>
    </row>
    <row r="188" customFormat="false" ht="15" hidden="false" customHeight="true" outlineLevel="0" collapsed="false">
      <c r="A188" s="10"/>
      <c r="B188" s="9"/>
      <c r="C188" s="10"/>
      <c r="D188" s="10"/>
    </row>
    <row r="189" customFormat="false" ht="15" hidden="false" customHeight="true" outlineLevel="0" collapsed="false">
      <c r="A189" s="10"/>
      <c r="B189" s="9"/>
      <c r="C189" s="10"/>
      <c r="D189" s="10"/>
    </row>
    <row r="190" customFormat="false" ht="15" hidden="false" customHeight="true" outlineLevel="0" collapsed="false">
      <c r="A190" s="10"/>
      <c r="B190" s="9"/>
      <c r="C190" s="10"/>
      <c r="D190" s="10"/>
    </row>
    <row r="191" customFormat="false" ht="15" hidden="false" customHeight="true" outlineLevel="0" collapsed="false">
      <c r="A191" s="10"/>
      <c r="B191" s="9"/>
      <c r="C191" s="10"/>
      <c r="D191" s="10"/>
    </row>
    <row r="192" customFormat="false" ht="15" hidden="false" customHeight="true" outlineLevel="0" collapsed="false">
      <c r="A192" s="10"/>
      <c r="B192" s="9"/>
      <c r="C192" s="10"/>
      <c r="D192" s="10"/>
    </row>
    <row r="193" customFormat="false" ht="15" hidden="false" customHeight="true" outlineLevel="0" collapsed="false">
      <c r="A193" s="10"/>
      <c r="B193" s="9"/>
      <c r="C193" s="10"/>
      <c r="D193" s="10"/>
    </row>
    <row r="194" customFormat="false" ht="15" hidden="false" customHeight="true" outlineLevel="0" collapsed="false">
      <c r="A194" s="10"/>
      <c r="B194" s="9"/>
      <c r="C194" s="10"/>
      <c r="D194" s="10"/>
    </row>
    <row r="195" customFormat="false" ht="15" hidden="false" customHeight="true" outlineLevel="0" collapsed="false">
      <c r="A195" s="10"/>
      <c r="B195" s="9"/>
      <c r="C195" s="10"/>
      <c r="D195" s="10"/>
    </row>
    <row r="196" customFormat="false" ht="15" hidden="false" customHeight="true" outlineLevel="0" collapsed="false">
      <c r="A196" s="10"/>
      <c r="B196" s="9"/>
      <c r="C196" s="10"/>
      <c r="D196" s="10"/>
    </row>
    <row r="197" customFormat="false" ht="15" hidden="false" customHeight="true" outlineLevel="0" collapsed="false">
      <c r="A197" s="10"/>
      <c r="B197" s="9"/>
      <c r="C197" s="10"/>
      <c r="D197" s="10"/>
    </row>
    <row r="198" customFormat="false" ht="15" hidden="false" customHeight="true" outlineLevel="0" collapsed="false">
      <c r="A198" s="10"/>
      <c r="B198" s="9"/>
      <c r="C198" s="10"/>
      <c r="D198" s="10"/>
    </row>
    <row r="199" customFormat="false" ht="15" hidden="false" customHeight="true" outlineLevel="0" collapsed="false">
      <c r="A199" s="10"/>
      <c r="B199" s="9"/>
      <c r="C199" s="10"/>
      <c r="D199" s="10"/>
    </row>
    <row r="200" customFormat="false" ht="15" hidden="false" customHeight="true" outlineLevel="0" collapsed="false">
      <c r="A200" s="10"/>
      <c r="B200" s="9"/>
      <c r="C200" s="10"/>
      <c r="D200" s="10"/>
    </row>
    <row r="201" customFormat="false" ht="15" hidden="false" customHeight="true" outlineLevel="0" collapsed="false">
      <c r="A201" s="10"/>
      <c r="B201" s="9"/>
      <c r="C201" s="10"/>
      <c r="D201" s="10"/>
    </row>
    <row r="202" customFormat="false" ht="15" hidden="false" customHeight="true" outlineLevel="0" collapsed="false">
      <c r="A202" s="10"/>
      <c r="B202" s="9"/>
      <c r="C202" s="10"/>
      <c r="D202" s="10"/>
    </row>
    <row r="203" customFormat="false" ht="15" hidden="false" customHeight="true" outlineLevel="0" collapsed="false">
      <c r="A203" s="10"/>
      <c r="B203" s="9"/>
      <c r="C203" s="10"/>
      <c r="D203" s="10"/>
    </row>
    <row r="204" customFormat="false" ht="15" hidden="false" customHeight="true" outlineLevel="0" collapsed="false">
      <c r="A204" s="10"/>
      <c r="B204" s="9"/>
      <c r="C204" s="10"/>
      <c r="D204" s="10"/>
    </row>
    <row r="205" customFormat="false" ht="15" hidden="false" customHeight="true" outlineLevel="0" collapsed="false">
      <c r="A205" s="10"/>
      <c r="B205" s="9"/>
      <c r="C205" s="10"/>
      <c r="D205" s="10"/>
    </row>
    <row r="206" customFormat="false" ht="15" hidden="false" customHeight="true" outlineLevel="0" collapsed="false">
      <c r="A206" s="10"/>
      <c r="B206" s="9"/>
      <c r="C206" s="10"/>
      <c r="D206" s="10"/>
    </row>
    <row r="207" customFormat="false" ht="15" hidden="false" customHeight="true" outlineLevel="0" collapsed="false">
      <c r="A207" s="10"/>
      <c r="B207" s="9"/>
      <c r="C207" s="10"/>
      <c r="D207" s="10"/>
    </row>
    <row r="208" customFormat="false" ht="15" hidden="false" customHeight="true" outlineLevel="0" collapsed="false">
      <c r="A208" s="10"/>
      <c r="B208" s="9"/>
      <c r="C208" s="10"/>
      <c r="D208" s="10"/>
    </row>
    <row r="209" customFormat="false" ht="15" hidden="false" customHeight="true" outlineLevel="0" collapsed="false">
      <c r="A209" s="10"/>
      <c r="B209" s="9"/>
      <c r="C209" s="10"/>
      <c r="D209" s="10"/>
    </row>
    <row r="210" customFormat="false" ht="15" hidden="false" customHeight="true" outlineLevel="0" collapsed="false">
      <c r="A210" s="10"/>
      <c r="B210" s="9"/>
      <c r="C210" s="10"/>
      <c r="D210" s="10"/>
    </row>
    <row r="211" customFormat="false" ht="15" hidden="false" customHeight="true" outlineLevel="0" collapsed="false">
      <c r="A211" s="10"/>
      <c r="B211" s="9"/>
      <c r="C211" s="10"/>
      <c r="D211" s="10"/>
    </row>
    <row r="212" customFormat="false" ht="15" hidden="false" customHeight="true" outlineLevel="0" collapsed="false">
      <c r="A212" s="10"/>
      <c r="B212" s="9"/>
      <c r="C212" s="10"/>
      <c r="D212" s="10"/>
    </row>
    <row r="213" customFormat="false" ht="15" hidden="false" customHeight="true" outlineLevel="0" collapsed="false">
      <c r="A213" s="10"/>
      <c r="B213" s="9"/>
      <c r="C213" s="10"/>
      <c r="D213" s="10"/>
    </row>
    <row r="214" customFormat="false" ht="15" hidden="false" customHeight="true" outlineLevel="0" collapsed="false">
      <c r="A214" s="10"/>
      <c r="B214" s="9"/>
      <c r="C214" s="10"/>
      <c r="D214" s="10"/>
    </row>
    <row r="215" customFormat="false" ht="15" hidden="false" customHeight="true" outlineLevel="0" collapsed="false">
      <c r="A215" s="10"/>
      <c r="B215" s="9"/>
      <c r="C215" s="10"/>
      <c r="D215" s="10"/>
    </row>
    <row r="216" customFormat="false" ht="15" hidden="false" customHeight="true" outlineLevel="0" collapsed="false">
      <c r="A216" s="10"/>
      <c r="B216" s="9"/>
      <c r="C216" s="10"/>
      <c r="D216" s="10"/>
    </row>
    <row r="217" customFormat="false" ht="15" hidden="false" customHeight="true" outlineLevel="0" collapsed="false">
      <c r="A217" s="10"/>
      <c r="B217" s="9"/>
      <c r="C217" s="10"/>
      <c r="D217" s="10"/>
    </row>
    <row r="218" customFormat="false" ht="15" hidden="false" customHeight="true" outlineLevel="0" collapsed="false">
      <c r="A218" s="10"/>
      <c r="B218" s="9"/>
      <c r="C218" s="10"/>
      <c r="D218" s="10"/>
    </row>
    <row r="219" customFormat="false" ht="15" hidden="false" customHeight="true" outlineLevel="0" collapsed="false">
      <c r="A219" s="10"/>
      <c r="B219" s="9"/>
      <c r="C219" s="10"/>
      <c r="D219" s="10"/>
    </row>
    <row r="220" customFormat="false" ht="15" hidden="false" customHeight="true" outlineLevel="0" collapsed="false">
      <c r="A220" s="10"/>
      <c r="B220" s="9"/>
      <c r="C220" s="10"/>
      <c r="D220" s="10"/>
    </row>
    <row r="221" customFormat="false" ht="15" hidden="false" customHeight="true" outlineLevel="0" collapsed="false">
      <c r="A221" s="10"/>
      <c r="B221" s="9"/>
      <c r="C221" s="10"/>
      <c r="D221" s="10"/>
    </row>
    <row r="222" customFormat="false" ht="15" hidden="false" customHeight="true" outlineLevel="0" collapsed="false">
      <c r="A222" s="10"/>
      <c r="B222" s="9"/>
      <c r="C222" s="10"/>
      <c r="D222" s="10"/>
    </row>
    <row r="223" customFormat="false" ht="15" hidden="false" customHeight="true" outlineLevel="0" collapsed="false">
      <c r="A223" s="10"/>
      <c r="B223" s="9"/>
      <c r="C223" s="10"/>
      <c r="D223" s="10"/>
    </row>
    <row r="224" customFormat="false" ht="15" hidden="false" customHeight="true" outlineLevel="0" collapsed="false">
      <c r="A224" s="10"/>
      <c r="B224" s="9"/>
      <c r="C224" s="10"/>
      <c r="D224" s="10"/>
    </row>
    <row r="225" customFormat="false" ht="15" hidden="false" customHeight="true" outlineLevel="0" collapsed="false">
      <c r="A225" s="10"/>
      <c r="B225" s="9"/>
      <c r="C225" s="10"/>
      <c r="D225" s="10"/>
    </row>
    <row r="226" customFormat="false" ht="15" hidden="false" customHeight="true" outlineLevel="0" collapsed="false">
      <c r="A226" s="10"/>
      <c r="B226" s="9"/>
      <c r="C226" s="10"/>
      <c r="D226" s="10"/>
    </row>
    <row r="227" customFormat="false" ht="15" hidden="false" customHeight="true" outlineLevel="0" collapsed="false">
      <c r="A227" s="10"/>
      <c r="B227" s="9"/>
      <c r="C227" s="10"/>
      <c r="D227" s="10"/>
    </row>
    <row r="228" customFormat="false" ht="15" hidden="false" customHeight="true" outlineLevel="0" collapsed="false">
      <c r="A228" s="10"/>
      <c r="B228" s="9"/>
      <c r="C228" s="10"/>
      <c r="D228" s="10"/>
    </row>
    <row r="229" customFormat="false" ht="15" hidden="false" customHeight="true" outlineLevel="0" collapsed="false">
      <c r="A229" s="10"/>
      <c r="B229" s="9"/>
      <c r="C229" s="10"/>
      <c r="D229" s="10"/>
    </row>
    <row r="230" customFormat="false" ht="15" hidden="false" customHeight="true" outlineLevel="0" collapsed="false">
      <c r="A230" s="10"/>
      <c r="B230" s="9"/>
      <c r="C230" s="10"/>
      <c r="D230" s="10"/>
    </row>
    <row r="231" customFormat="false" ht="15" hidden="false" customHeight="true" outlineLevel="0" collapsed="false">
      <c r="A231" s="10"/>
      <c r="B231" s="9"/>
      <c r="C231" s="10"/>
      <c r="D231" s="10"/>
    </row>
    <row r="232" customFormat="false" ht="15" hidden="false" customHeight="true" outlineLevel="0" collapsed="false">
      <c r="A232" s="10"/>
      <c r="B232" s="9"/>
      <c r="C232" s="10"/>
      <c r="D232" s="10"/>
    </row>
    <row r="233" customFormat="false" ht="15" hidden="false" customHeight="true" outlineLevel="0" collapsed="false">
      <c r="A233" s="10"/>
      <c r="B233" s="9"/>
      <c r="C233" s="10"/>
      <c r="D233" s="10"/>
    </row>
    <row r="234" customFormat="false" ht="15" hidden="false" customHeight="true" outlineLevel="0" collapsed="false">
      <c r="A234" s="10"/>
      <c r="B234" s="9"/>
      <c r="C234" s="10"/>
      <c r="D234" s="10"/>
    </row>
    <row r="235" customFormat="false" ht="15" hidden="false" customHeight="true" outlineLevel="0" collapsed="false">
      <c r="A235" s="10"/>
      <c r="B235" s="9"/>
      <c r="C235" s="10"/>
      <c r="D235" s="10"/>
    </row>
    <row r="236" customFormat="false" ht="15" hidden="false" customHeight="true" outlineLevel="0" collapsed="false">
      <c r="A236" s="10"/>
      <c r="B236" s="9"/>
      <c r="C236" s="10"/>
      <c r="D236" s="10"/>
    </row>
    <row r="237" customFormat="false" ht="15" hidden="false" customHeight="true" outlineLevel="0" collapsed="false">
      <c r="A237" s="10"/>
      <c r="B237" s="9"/>
      <c r="C237" s="10"/>
      <c r="D237" s="10"/>
    </row>
    <row r="238" customFormat="false" ht="15" hidden="false" customHeight="true" outlineLevel="0" collapsed="false">
      <c r="A238" s="10"/>
      <c r="B238" s="9"/>
      <c r="C238" s="10"/>
      <c r="D238" s="10"/>
    </row>
    <row r="239" customFormat="false" ht="15" hidden="false" customHeight="true" outlineLevel="0" collapsed="false">
      <c r="A239" s="10"/>
      <c r="B239" s="9"/>
      <c r="C239" s="10"/>
      <c r="D239" s="10"/>
    </row>
    <row r="240" customFormat="false" ht="15" hidden="false" customHeight="true" outlineLevel="0" collapsed="false">
      <c r="A240" s="10"/>
      <c r="B240" s="9"/>
      <c r="C240" s="10"/>
      <c r="D240" s="10"/>
    </row>
    <row r="241" customFormat="false" ht="15" hidden="false" customHeight="true" outlineLevel="0" collapsed="false">
      <c r="A241" s="10"/>
      <c r="B241" s="9"/>
      <c r="C241" s="10"/>
      <c r="D241" s="10"/>
    </row>
    <row r="242" customFormat="false" ht="15" hidden="false" customHeight="true" outlineLevel="0" collapsed="false">
      <c r="A242" s="10"/>
      <c r="B242" s="9"/>
      <c r="C242" s="10"/>
      <c r="D242" s="10"/>
    </row>
    <row r="243" customFormat="false" ht="15" hidden="false" customHeight="true" outlineLevel="0" collapsed="false">
      <c r="A243" s="10"/>
      <c r="B243" s="9"/>
      <c r="C243" s="10"/>
      <c r="D243" s="10"/>
    </row>
    <row r="244" customFormat="false" ht="15" hidden="false" customHeight="true" outlineLevel="0" collapsed="false">
      <c r="A244" s="10"/>
      <c r="B244" s="9"/>
      <c r="C244" s="10"/>
      <c r="D244" s="10"/>
    </row>
    <row r="245" customFormat="false" ht="15" hidden="false" customHeight="true" outlineLevel="0" collapsed="false">
      <c r="A245" s="10"/>
      <c r="B245" s="9"/>
      <c r="C245" s="10"/>
      <c r="D245" s="10"/>
    </row>
    <row r="246" customFormat="false" ht="15" hidden="false" customHeight="true" outlineLevel="0" collapsed="false">
      <c r="A246" s="10"/>
      <c r="B246" s="9"/>
      <c r="C246" s="10"/>
      <c r="D246" s="10"/>
    </row>
    <row r="247" customFormat="false" ht="15" hidden="false" customHeight="true" outlineLevel="0" collapsed="false">
      <c r="A247" s="10"/>
      <c r="B247" s="9"/>
      <c r="C247" s="10"/>
      <c r="D247" s="10"/>
    </row>
    <row r="248" customFormat="false" ht="15" hidden="false" customHeight="true" outlineLevel="0" collapsed="false">
      <c r="A248" s="10"/>
      <c r="B248" s="9"/>
      <c r="C248" s="10"/>
      <c r="D248" s="10"/>
    </row>
    <row r="249" customFormat="false" ht="15" hidden="false" customHeight="true" outlineLevel="0" collapsed="false">
      <c r="A249" s="10"/>
      <c r="B249" s="9"/>
      <c r="C249" s="10"/>
      <c r="D249" s="10"/>
    </row>
    <row r="250" customFormat="false" ht="15" hidden="false" customHeight="true" outlineLevel="0" collapsed="false">
      <c r="A250" s="10"/>
      <c r="B250" s="9"/>
      <c r="C250" s="10"/>
      <c r="D250" s="10"/>
    </row>
    <row r="251" customFormat="false" ht="15" hidden="false" customHeight="true" outlineLevel="0" collapsed="false">
      <c r="A251" s="10"/>
      <c r="B251" s="9"/>
      <c r="C251" s="10"/>
      <c r="D251" s="10"/>
    </row>
    <row r="252" customFormat="false" ht="15" hidden="false" customHeight="true" outlineLevel="0" collapsed="false">
      <c r="A252" s="10"/>
      <c r="B252" s="9"/>
      <c r="C252" s="10"/>
      <c r="D252" s="10"/>
    </row>
    <row r="253" customFormat="false" ht="15" hidden="false" customHeight="true" outlineLevel="0" collapsed="false">
      <c r="A253" s="10"/>
      <c r="B253" s="9"/>
      <c r="C253" s="10"/>
      <c r="D253" s="10"/>
    </row>
    <row r="254" customFormat="false" ht="15" hidden="false" customHeight="true" outlineLevel="0" collapsed="false">
      <c r="A254" s="10"/>
      <c r="B254" s="9"/>
      <c r="C254" s="10"/>
      <c r="D254" s="10"/>
    </row>
    <row r="255" customFormat="false" ht="15" hidden="false" customHeight="true" outlineLevel="0" collapsed="false">
      <c r="A255" s="10"/>
      <c r="B255" s="9"/>
      <c r="C255" s="10"/>
      <c r="D255" s="10"/>
    </row>
    <row r="256" customFormat="false" ht="15" hidden="false" customHeight="true" outlineLevel="0" collapsed="false">
      <c r="A256" s="10"/>
      <c r="B256" s="9"/>
      <c r="C256" s="10"/>
      <c r="D256" s="10"/>
    </row>
    <row r="257" customFormat="false" ht="15" hidden="false" customHeight="true" outlineLevel="0" collapsed="false">
      <c r="A257" s="10"/>
      <c r="B257" s="9"/>
      <c r="C257" s="10"/>
      <c r="D257" s="10"/>
    </row>
    <row r="258" customFormat="false" ht="15" hidden="false" customHeight="true" outlineLevel="0" collapsed="false">
      <c r="A258" s="10"/>
      <c r="B258" s="9"/>
      <c r="C258" s="10"/>
      <c r="D258" s="10"/>
    </row>
    <row r="259" customFormat="false" ht="15" hidden="false" customHeight="true" outlineLevel="0" collapsed="false">
      <c r="A259" s="10"/>
      <c r="B259" s="9"/>
      <c r="C259" s="10"/>
      <c r="D259" s="10"/>
    </row>
    <row r="260" customFormat="false" ht="15" hidden="false" customHeight="true" outlineLevel="0" collapsed="false">
      <c r="A260" s="10"/>
      <c r="B260" s="9"/>
      <c r="C260" s="10"/>
      <c r="D260" s="10"/>
    </row>
    <row r="261" customFormat="false" ht="15" hidden="false" customHeight="true" outlineLevel="0" collapsed="false">
      <c r="A261" s="10"/>
      <c r="B261" s="9"/>
      <c r="C261" s="10"/>
      <c r="D261" s="10"/>
    </row>
    <row r="262" customFormat="false" ht="15" hidden="false" customHeight="true" outlineLevel="0" collapsed="false">
      <c r="A262" s="10"/>
      <c r="B262" s="9"/>
      <c r="C262" s="10"/>
      <c r="D262" s="10"/>
    </row>
    <row r="263" customFormat="false" ht="15" hidden="false" customHeight="true" outlineLevel="0" collapsed="false">
      <c r="A263" s="10"/>
      <c r="B263" s="9"/>
      <c r="C263" s="10"/>
      <c r="D263" s="10"/>
    </row>
    <row r="264" customFormat="false" ht="15" hidden="false" customHeight="true" outlineLevel="0" collapsed="false">
      <c r="A264" s="10"/>
      <c r="B264" s="9"/>
      <c r="C264" s="10"/>
      <c r="D264" s="10"/>
    </row>
    <row r="265" customFormat="false" ht="15" hidden="false" customHeight="true" outlineLevel="0" collapsed="false">
      <c r="A265" s="10"/>
      <c r="B265" s="9"/>
      <c r="C265" s="10"/>
      <c r="D265" s="10"/>
    </row>
    <row r="266" customFormat="false" ht="15" hidden="false" customHeight="true" outlineLevel="0" collapsed="false">
      <c r="A266" s="10"/>
      <c r="B266" s="9"/>
      <c r="C266" s="10"/>
      <c r="D266" s="10"/>
    </row>
    <row r="267" customFormat="false" ht="15" hidden="false" customHeight="true" outlineLevel="0" collapsed="false">
      <c r="A267" s="10"/>
      <c r="B267" s="9"/>
      <c r="C267" s="10"/>
      <c r="D267" s="10"/>
    </row>
    <row r="268" customFormat="false" ht="15" hidden="false" customHeight="true" outlineLevel="0" collapsed="false">
      <c r="A268" s="10"/>
      <c r="B268" s="9"/>
      <c r="C268" s="10"/>
      <c r="D268" s="10"/>
    </row>
    <row r="269" customFormat="false" ht="15" hidden="false" customHeight="true" outlineLevel="0" collapsed="false">
      <c r="A269" s="10"/>
      <c r="B269" s="9"/>
      <c r="C269" s="10"/>
      <c r="D269" s="10"/>
    </row>
    <row r="270" customFormat="false" ht="15" hidden="false" customHeight="true" outlineLevel="0" collapsed="false">
      <c r="A270" s="10"/>
      <c r="B270" s="9"/>
      <c r="C270" s="10"/>
      <c r="D270" s="10"/>
    </row>
    <row r="271" customFormat="false" ht="15" hidden="false" customHeight="true" outlineLevel="0" collapsed="false">
      <c r="A271" s="10"/>
      <c r="B271" s="9"/>
      <c r="C271" s="10"/>
      <c r="D271" s="10"/>
    </row>
    <row r="272" customFormat="false" ht="15" hidden="false" customHeight="true" outlineLevel="0" collapsed="false">
      <c r="A272" s="10"/>
      <c r="B272" s="9"/>
      <c r="C272" s="10"/>
      <c r="D272" s="10"/>
    </row>
    <row r="273" customFormat="false" ht="15" hidden="false" customHeight="true" outlineLevel="0" collapsed="false">
      <c r="A273" s="10"/>
      <c r="B273" s="9"/>
      <c r="C273" s="10"/>
      <c r="D273" s="10"/>
    </row>
    <row r="274" customFormat="false" ht="15" hidden="false" customHeight="true" outlineLevel="0" collapsed="false">
      <c r="A274" s="10"/>
      <c r="B274" s="9"/>
      <c r="C274" s="10"/>
      <c r="D274" s="10"/>
    </row>
    <row r="275" customFormat="false" ht="15" hidden="false" customHeight="true" outlineLevel="0" collapsed="false">
      <c r="A275" s="10"/>
      <c r="B275" s="9"/>
      <c r="C275" s="10"/>
      <c r="D275" s="10"/>
    </row>
    <row r="276" customFormat="false" ht="15" hidden="false" customHeight="true" outlineLevel="0" collapsed="false">
      <c r="A276" s="10"/>
      <c r="B276" s="9"/>
      <c r="C276" s="10"/>
      <c r="D276" s="10"/>
    </row>
    <row r="277" customFormat="false" ht="15" hidden="false" customHeight="true" outlineLevel="0" collapsed="false">
      <c r="A277" s="10"/>
      <c r="B277" s="9"/>
      <c r="C277" s="10"/>
      <c r="D277" s="10"/>
    </row>
    <row r="278" customFormat="false" ht="15" hidden="false" customHeight="true" outlineLevel="0" collapsed="false">
      <c r="A278" s="10"/>
      <c r="B278" s="9"/>
      <c r="C278" s="10"/>
      <c r="D278" s="10"/>
    </row>
    <row r="279" customFormat="false" ht="15" hidden="false" customHeight="true" outlineLevel="0" collapsed="false">
      <c r="A279" s="10"/>
      <c r="B279" s="9"/>
      <c r="C279" s="10"/>
      <c r="D279" s="10"/>
    </row>
    <row r="280" customFormat="false" ht="15" hidden="false" customHeight="true" outlineLevel="0" collapsed="false">
      <c r="A280" s="10"/>
      <c r="B280" s="9"/>
      <c r="C280" s="10"/>
      <c r="D280" s="10"/>
    </row>
    <row r="281" customFormat="false" ht="15" hidden="false" customHeight="true" outlineLevel="0" collapsed="false">
      <c r="A281" s="10"/>
      <c r="B281" s="9"/>
      <c r="C281" s="10"/>
      <c r="D281" s="10"/>
    </row>
    <row r="282" customFormat="false" ht="15" hidden="false" customHeight="true" outlineLevel="0" collapsed="false">
      <c r="A282" s="10"/>
      <c r="B282" s="9"/>
      <c r="C282" s="10"/>
      <c r="D282" s="10"/>
    </row>
    <row r="283" customFormat="false" ht="15" hidden="false" customHeight="true" outlineLevel="0" collapsed="false">
      <c r="A283" s="10"/>
      <c r="B283" s="9"/>
      <c r="C283" s="10"/>
      <c r="D283" s="10"/>
    </row>
    <row r="284" customFormat="false" ht="15" hidden="false" customHeight="true" outlineLevel="0" collapsed="false">
      <c r="A284" s="10"/>
      <c r="B284" s="9"/>
      <c r="C284" s="10"/>
      <c r="D284" s="10"/>
    </row>
    <row r="285" customFormat="false" ht="15" hidden="false" customHeight="true" outlineLevel="0" collapsed="false">
      <c r="A285" s="10"/>
      <c r="B285" s="9"/>
      <c r="C285" s="10"/>
      <c r="D285" s="10"/>
    </row>
    <row r="286" customFormat="false" ht="15" hidden="false" customHeight="true" outlineLevel="0" collapsed="false">
      <c r="A286" s="10"/>
      <c r="B286" s="9"/>
      <c r="C286" s="10"/>
      <c r="D286" s="10"/>
    </row>
    <row r="287" customFormat="false" ht="15" hidden="false" customHeight="true" outlineLevel="0" collapsed="false">
      <c r="A287" s="10"/>
      <c r="B287" s="9"/>
      <c r="C287" s="10"/>
      <c r="D287" s="10"/>
    </row>
    <row r="288" customFormat="false" ht="15" hidden="false" customHeight="true" outlineLevel="0" collapsed="false">
      <c r="A288" s="10"/>
      <c r="B288" s="9"/>
      <c r="C288" s="10"/>
      <c r="D288" s="10"/>
    </row>
    <row r="289" customFormat="false" ht="15" hidden="false" customHeight="true" outlineLevel="0" collapsed="false">
      <c r="A289" s="10"/>
      <c r="B289" s="9"/>
      <c r="C289" s="10"/>
      <c r="D289" s="10"/>
    </row>
    <row r="290" customFormat="false" ht="15" hidden="false" customHeight="true" outlineLevel="0" collapsed="false">
      <c r="A290" s="10"/>
      <c r="B290" s="9"/>
      <c r="C290" s="10"/>
      <c r="D290" s="10"/>
    </row>
    <row r="291" customFormat="false" ht="15" hidden="false" customHeight="true" outlineLevel="0" collapsed="false">
      <c r="A291" s="10"/>
      <c r="B291" s="9"/>
      <c r="C291" s="10"/>
      <c r="D291" s="10"/>
    </row>
    <row r="292" customFormat="false" ht="15" hidden="false" customHeight="true" outlineLevel="0" collapsed="false">
      <c r="A292" s="10"/>
      <c r="B292" s="9"/>
      <c r="C292" s="10"/>
      <c r="D292" s="10"/>
    </row>
    <row r="293" customFormat="false" ht="15" hidden="false" customHeight="true" outlineLevel="0" collapsed="false">
      <c r="A293" s="10"/>
      <c r="B293" s="9"/>
      <c r="C293" s="10"/>
      <c r="D293" s="10"/>
    </row>
    <row r="294" customFormat="false" ht="15" hidden="false" customHeight="true" outlineLevel="0" collapsed="false">
      <c r="A294" s="10"/>
      <c r="B294" s="9"/>
      <c r="C294" s="10"/>
      <c r="D294" s="10"/>
    </row>
    <row r="295" customFormat="false" ht="15" hidden="false" customHeight="true" outlineLevel="0" collapsed="false">
      <c r="A295" s="10"/>
      <c r="B295" s="9"/>
      <c r="C295" s="10"/>
      <c r="D295" s="10"/>
    </row>
    <row r="296" customFormat="false" ht="15" hidden="false" customHeight="true" outlineLevel="0" collapsed="false">
      <c r="A296" s="10"/>
      <c r="B296" s="9"/>
      <c r="C296" s="10"/>
      <c r="D296" s="10"/>
    </row>
    <row r="297" customFormat="false" ht="15" hidden="false" customHeight="true" outlineLevel="0" collapsed="false">
      <c r="A297" s="10"/>
      <c r="B297" s="9"/>
      <c r="C297" s="10"/>
      <c r="D297" s="10"/>
    </row>
    <row r="298" customFormat="false" ht="15" hidden="false" customHeight="true" outlineLevel="0" collapsed="false">
      <c r="A298" s="10"/>
      <c r="B298" s="9"/>
      <c r="C298" s="10"/>
      <c r="D298" s="10"/>
    </row>
    <row r="299" customFormat="false" ht="15" hidden="false" customHeight="true" outlineLevel="0" collapsed="false">
      <c r="A299" s="10"/>
      <c r="B299" s="9"/>
      <c r="C299" s="10"/>
      <c r="D299" s="10"/>
    </row>
    <row r="300" customFormat="false" ht="15" hidden="false" customHeight="true" outlineLevel="0" collapsed="false">
      <c r="A300" s="10"/>
      <c r="B300" s="9"/>
      <c r="C300" s="10"/>
      <c r="D300" s="10"/>
    </row>
    <row r="301" customFormat="false" ht="15" hidden="false" customHeight="true" outlineLevel="0" collapsed="false">
      <c r="A301" s="10"/>
      <c r="B301" s="9"/>
      <c r="C301" s="10"/>
      <c r="D301" s="10"/>
    </row>
    <row r="302" customFormat="false" ht="15" hidden="false" customHeight="true" outlineLevel="0" collapsed="false">
      <c r="A302" s="10"/>
      <c r="B302" s="9"/>
      <c r="C302" s="10"/>
      <c r="D302" s="10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B3:B302" type="list">
      <formula1>"매입처,매출처,외주처"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41</v>
      </c>
      <c r="B1" s="2"/>
      <c r="C1" s="2"/>
      <c r="D1" s="2"/>
      <c r="E1" s="2"/>
    </row>
    <row r="2" customFormat="false" ht="15" hidden="false" customHeight="true" outlineLevel="0" collapsed="false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</row>
    <row r="3" customFormat="false" ht="15" hidden="false" customHeight="true" outlineLevel="0" collapsed="false">
      <c r="A3" s="10" t="s">
        <v>47</v>
      </c>
      <c r="B3" s="9" t="s">
        <v>48</v>
      </c>
      <c r="C3" s="10" t="s">
        <v>49</v>
      </c>
      <c r="D3" s="9" t="s">
        <v>50</v>
      </c>
      <c r="E3" s="9" t="s">
        <v>51</v>
      </c>
    </row>
    <row r="4" customFormat="false" ht="15" hidden="false" customHeight="true" outlineLevel="0" collapsed="false">
      <c r="A4" s="10" t="s">
        <v>52</v>
      </c>
      <c r="B4" s="9" t="s">
        <v>53</v>
      </c>
      <c r="C4" s="10" t="s">
        <v>54</v>
      </c>
      <c r="D4" s="9" t="s">
        <v>55</v>
      </c>
      <c r="E4" s="9" t="s">
        <v>51</v>
      </c>
    </row>
    <row r="5" customFormat="false" ht="15" hidden="false" customHeight="true" outlineLevel="0" collapsed="false">
      <c r="A5" s="10" t="s">
        <v>56</v>
      </c>
      <c r="B5" s="9" t="s">
        <v>57</v>
      </c>
      <c r="C5" s="10" t="s">
        <v>58</v>
      </c>
      <c r="D5" s="10" t="s">
        <v>59</v>
      </c>
      <c r="E5" s="9" t="s">
        <v>60</v>
      </c>
    </row>
    <row r="6" customFormat="false" ht="15" hidden="false" customHeight="true" outlineLevel="0" collapsed="false">
      <c r="A6" s="10" t="s">
        <v>61</v>
      </c>
      <c r="B6" s="9" t="s">
        <v>62</v>
      </c>
      <c r="C6" s="10" t="s">
        <v>63</v>
      </c>
      <c r="D6" s="10" t="s">
        <v>59</v>
      </c>
      <c r="E6" s="9" t="s">
        <v>60</v>
      </c>
    </row>
    <row r="7" customFormat="false" ht="15" hidden="false" customHeight="true" outlineLevel="0" collapsed="false">
      <c r="A7" s="10"/>
      <c r="B7" s="10"/>
      <c r="C7" s="10"/>
      <c r="D7" s="10"/>
      <c r="E7" s="9"/>
    </row>
    <row r="8" customFormat="false" ht="15" hidden="false" customHeight="true" outlineLevel="0" collapsed="false">
      <c r="A8" s="10"/>
      <c r="B8" s="10"/>
      <c r="C8" s="10"/>
      <c r="D8" s="10"/>
      <c r="E8" s="9"/>
    </row>
    <row r="9" customFormat="false" ht="15" hidden="false" customHeight="true" outlineLevel="0" collapsed="false">
      <c r="A9" s="10"/>
      <c r="B9" s="10"/>
      <c r="C9" s="10"/>
      <c r="D9" s="10"/>
      <c r="E9" s="9"/>
    </row>
    <row r="10" customFormat="false" ht="15" hidden="false" customHeight="true" outlineLevel="0" collapsed="false">
      <c r="A10" s="10"/>
      <c r="B10" s="10"/>
      <c r="C10" s="10"/>
      <c r="D10" s="10"/>
      <c r="E10" s="9"/>
    </row>
    <row r="11" customFormat="false" ht="15" hidden="false" customHeight="true" outlineLevel="0" collapsed="false">
      <c r="A11" s="10"/>
      <c r="B11" s="10"/>
      <c r="C11" s="10"/>
      <c r="D11" s="10"/>
      <c r="E11" s="9"/>
    </row>
    <row r="12" customFormat="false" ht="15" hidden="false" customHeight="true" outlineLevel="0" collapsed="false">
      <c r="A12" s="10"/>
      <c r="B12" s="10"/>
      <c r="C12" s="10"/>
      <c r="D12" s="10"/>
      <c r="E12" s="9"/>
    </row>
    <row r="13" customFormat="false" ht="15" hidden="false" customHeight="true" outlineLevel="0" collapsed="false">
      <c r="A13" s="10"/>
      <c r="B13" s="10"/>
      <c r="C13" s="10"/>
      <c r="D13" s="10"/>
      <c r="E13" s="9"/>
    </row>
    <row r="14" customFormat="false" ht="15" hidden="false" customHeight="true" outlineLevel="0" collapsed="false">
      <c r="A14" s="10"/>
      <c r="B14" s="10"/>
      <c r="C14" s="10"/>
      <c r="D14" s="10"/>
      <c r="E14" s="9"/>
    </row>
    <row r="15" customFormat="false" ht="15" hidden="false" customHeight="true" outlineLevel="0" collapsed="false">
      <c r="A15" s="10"/>
      <c r="B15" s="10"/>
      <c r="C15" s="10"/>
      <c r="D15" s="10"/>
      <c r="E15" s="9"/>
    </row>
    <row r="16" customFormat="false" ht="15" hidden="false" customHeight="true" outlineLevel="0" collapsed="false">
      <c r="A16" s="10"/>
      <c r="B16" s="10"/>
      <c r="C16" s="10"/>
      <c r="D16" s="10"/>
      <c r="E16" s="9"/>
    </row>
    <row r="17" customFormat="false" ht="15" hidden="false" customHeight="true" outlineLevel="0" collapsed="false">
      <c r="A17" s="10"/>
      <c r="B17" s="10"/>
      <c r="C17" s="10"/>
      <c r="D17" s="10"/>
      <c r="E17" s="9"/>
    </row>
    <row r="18" customFormat="false" ht="15" hidden="false" customHeight="true" outlineLevel="0" collapsed="false">
      <c r="A18" s="10"/>
      <c r="B18" s="10"/>
      <c r="C18" s="10"/>
      <c r="D18" s="10"/>
      <c r="E18" s="9"/>
    </row>
    <row r="19" customFormat="false" ht="15" hidden="false" customHeight="true" outlineLevel="0" collapsed="false">
      <c r="A19" s="10"/>
      <c r="B19" s="10"/>
      <c r="C19" s="10"/>
      <c r="D19" s="10"/>
      <c r="E19" s="9"/>
    </row>
    <row r="20" customFormat="false" ht="15" hidden="false" customHeight="true" outlineLevel="0" collapsed="false">
      <c r="A20" s="10"/>
      <c r="B20" s="10"/>
      <c r="C20" s="10"/>
      <c r="D20" s="10"/>
      <c r="E20" s="9"/>
    </row>
    <row r="21" customFormat="false" ht="15" hidden="false" customHeight="true" outlineLevel="0" collapsed="false">
      <c r="A21" s="10"/>
      <c r="B21" s="10"/>
      <c r="C21" s="10"/>
      <c r="D21" s="10"/>
      <c r="E21" s="9"/>
    </row>
    <row r="22" customFormat="false" ht="15" hidden="false" customHeight="true" outlineLevel="0" collapsed="false">
      <c r="A22" s="10"/>
      <c r="B22" s="10"/>
      <c r="C22" s="10"/>
      <c r="D22" s="10"/>
      <c r="E22" s="9"/>
    </row>
    <row r="23" customFormat="false" ht="15" hidden="false" customHeight="true" outlineLevel="0" collapsed="false">
      <c r="A23" s="10"/>
      <c r="B23" s="10"/>
      <c r="C23" s="10"/>
      <c r="D23" s="10"/>
      <c r="E23" s="9"/>
    </row>
    <row r="24" customFormat="false" ht="15" hidden="false" customHeight="true" outlineLevel="0" collapsed="false">
      <c r="A24" s="10"/>
      <c r="B24" s="10"/>
      <c r="C24" s="10"/>
      <c r="D24" s="10"/>
      <c r="E24" s="9"/>
    </row>
    <row r="25" customFormat="false" ht="15" hidden="false" customHeight="true" outlineLevel="0" collapsed="false">
      <c r="A25" s="10"/>
      <c r="B25" s="10"/>
      <c r="C25" s="10"/>
      <c r="D25" s="10"/>
      <c r="E25" s="9"/>
    </row>
    <row r="26" customFormat="false" ht="15" hidden="false" customHeight="true" outlineLevel="0" collapsed="false">
      <c r="A26" s="10"/>
      <c r="B26" s="10"/>
      <c r="C26" s="10"/>
      <c r="D26" s="10"/>
      <c r="E26" s="9"/>
    </row>
    <row r="27" customFormat="false" ht="15" hidden="false" customHeight="true" outlineLevel="0" collapsed="false">
      <c r="A27" s="10"/>
      <c r="B27" s="10"/>
      <c r="C27" s="10"/>
      <c r="D27" s="10"/>
      <c r="E27" s="9"/>
    </row>
    <row r="28" customFormat="false" ht="15" hidden="false" customHeight="true" outlineLevel="0" collapsed="false">
      <c r="A28" s="10"/>
      <c r="B28" s="10"/>
      <c r="C28" s="10"/>
      <c r="D28" s="10"/>
      <c r="E28" s="9"/>
    </row>
    <row r="29" customFormat="false" ht="15" hidden="false" customHeight="true" outlineLevel="0" collapsed="false">
      <c r="A29" s="10"/>
      <c r="B29" s="10"/>
      <c r="C29" s="10"/>
      <c r="D29" s="10"/>
      <c r="E29" s="9"/>
    </row>
    <row r="30" customFormat="false" ht="15" hidden="false" customHeight="true" outlineLevel="0" collapsed="false">
      <c r="A30" s="10"/>
      <c r="B30" s="10"/>
      <c r="C30" s="10"/>
      <c r="D30" s="10"/>
      <c r="E30" s="9"/>
    </row>
    <row r="31" customFormat="false" ht="15" hidden="false" customHeight="true" outlineLevel="0" collapsed="false">
      <c r="A31" s="10"/>
      <c r="B31" s="10"/>
      <c r="C31" s="10"/>
      <c r="D31" s="10"/>
      <c r="E31" s="9"/>
    </row>
    <row r="32" customFormat="false" ht="15" hidden="false" customHeight="true" outlineLevel="0" collapsed="false">
      <c r="A32" s="10"/>
      <c r="B32" s="10"/>
      <c r="C32" s="10"/>
      <c r="D32" s="10"/>
      <c r="E32" s="9"/>
    </row>
    <row r="33" customFormat="false" ht="15" hidden="false" customHeight="true" outlineLevel="0" collapsed="false">
      <c r="A33" s="10"/>
      <c r="B33" s="10"/>
      <c r="C33" s="10"/>
      <c r="D33" s="10"/>
      <c r="E33" s="9"/>
    </row>
    <row r="34" customFormat="false" ht="15" hidden="false" customHeight="true" outlineLevel="0" collapsed="false">
      <c r="A34" s="10"/>
      <c r="B34" s="10"/>
      <c r="C34" s="10"/>
      <c r="D34" s="10"/>
      <c r="E34" s="9"/>
    </row>
    <row r="35" customFormat="false" ht="15" hidden="false" customHeight="true" outlineLevel="0" collapsed="false">
      <c r="A35" s="10"/>
      <c r="B35" s="10"/>
      <c r="C35" s="10"/>
      <c r="D35" s="10"/>
      <c r="E35" s="9"/>
    </row>
    <row r="36" customFormat="false" ht="15" hidden="false" customHeight="true" outlineLevel="0" collapsed="false">
      <c r="A36" s="10"/>
      <c r="B36" s="10"/>
      <c r="C36" s="10"/>
      <c r="D36" s="10"/>
      <c r="E36" s="9"/>
    </row>
    <row r="37" customFormat="false" ht="15" hidden="false" customHeight="true" outlineLevel="0" collapsed="false">
      <c r="A37" s="10"/>
      <c r="B37" s="10"/>
      <c r="C37" s="10"/>
      <c r="D37" s="10"/>
      <c r="E37" s="9"/>
    </row>
    <row r="38" customFormat="false" ht="15" hidden="false" customHeight="true" outlineLevel="0" collapsed="false">
      <c r="A38" s="10"/>
      <c r="B38" s="10"/>
      <c r="C38" s="10"/>
      <c r="D38" s="10"/>
      <c r="E38" s="9"/>
    </row>
    <row r="39" customFormat="false" ht="15" hidden="false" customHeight="true" outlineLevel="0" collapsed="false">
      <c r="A39" s="10"/>
      <c r="B39" s="10"/>
      <c r="C39" s="10"/>
      <c r="D39" s="10"/>
      <c r="E39" s="9"/>
    </row>
    <row r="40" customFormat="false" ht="15" hidden="false" customHeight="true" outlineLevel="0" collapsed="false">
      <c r="A40" s="10"/>
      <c r="B40" s="10"/>
      <c r="C40" s="10"/>
      <c r="D40" s="10"/>
      <c r="E40" s="9"/>
    </row>
    <row r="41" customFormat="false" ht="15" hidden="false" customHeight="true" outlineLevel="0" collapsed="false">
      <c r="A41" s="10"/>
      <c r="B41" s="10"/>
      <c r="C41" s="10"/>
      <c r="D41" s="10"/>
      <c r="E41" s="9"/>
    </row>
    <row r="42" customFormat="false" ht="15" hidden="false" customHeight="true" outlineLevel="0" collapsed="false">
      <c r="A42" s="10"/>
      <c r="B42" s="10"/>
      <c r="C42" s="10"/>
      <c r="D42" s="10"/>
      <c r="E42" s="9"/>
    </row>
    <row r="43" customFormat="false" ht="15" hidden="false" customHeight="true" outlineLevel="0" collapsed="false">
      <c r="A43" s="10"/>
      <c r="B43" s="10"/>
      <c r="C43" s="10"/>
      <c r="D43" s="10"/>
      <c r="E43" s="9"/>
    </row>
    <row r="44" customFormat="false" ht="15" hidden="false" customHeight="true" outlineLevel="0" collapsed="false">
      <c r="A44" s="10"/>
      <c r="B44" s="10"/>
      <c r="C44" s="10"/>
      <c r="D44" s="10"/>
      <c r="E44" s="9"/>
    </row>
    <row r="45" customFormat="false" ht="15" hidden="false" customHeight="true" outlineLevel="0" collapsed="false">
      <c r="A45" s="10"/>
      <c r="B45" s="10"/>
      <c r="C45" s="10"/>
      <c r="D45" s="10"/>
      <c r="E45" s="9"/>
    </row>
    <row r="46" customFormat="false" ht="15" hidden="false" customHeight="true" outlineLevel="0" collapsed="false">
      <c r="A46" s="10"/>
      <c r="B46" s="10"/>
      <c r="C46" s="10"/>
      <c r="D46" s="10"/>
      <c r="E46" s="9"/>
    </row>
    <row r="47" customFormat="false" ht="15" hidden="false" customHeight="true" outlineLevel="0" collapsed="false">
      <c r="A47" s="10"/>
      <c r="B47" s="10"/>
      <c r="C47" s="10"/>
      <c r="D47" s="10"/>
      <c r="E47" s="9"/>
    </row>
    <row r="48" customFormat="false" ht="15" hidden="false" customHeight="true" outlineLevel="0" collapsed="false">
      <c r="A48" s="10"/>
      <c r="B48" s="10"/>
      <c r="C48" s="10"/>
      <c r="D48" s="10"/>
      <c r="E48" s="9"/>
    </row>
    <row r="49" customFormat="false" ht="15" hidden="false" customHeight="true" outlineLevel="0" collapsed="false">
      <c r="A49" s="10"/>
      <c r="B49" s="10"/>
      <c r="C49" s="10"/>
      <c r="D49" s="10"/>
      <c r="E49" s="9"/>
    </row>
    <row r="50" customFormat="false" ht="15" hidden="false" customHeight="true" outlineLevel="0" collapsed="false">
      <c r="A50" s="10"/>
      <c r="B50" s="10"/>
      <c r="C50" s="10"/>
      <c r="D50" s="10"/>
      <c r="E50" s="9"/>
    </row>
    <row r="51" customFormat="false" ht="15" hidden="false" customHeight="true" outlineLevel="0" collapsed="false">
      <c r="A51" s="10"/>
      <c r="B51" s="10"/>
      <c r="C51" s="10"/>
      <c r="D51" s="10"/>
      <c r="E51" s="9"/>
    </row>
    <row r="52" customFormat="false" ht="15" hidden="false" customHeight="true" outlineLevel="0" collapsed="false">
      <c r="A52" s="10"/>
      <c r="B52" s="10"/>
      <c r="C52" s="10"/>
      <c r="D52" s="10"/>
      <c r="E52" s="9"/>
    </row>
    <row r="53" customFormat="false" ht="15" hidden="false" customHeight="true" outlineLevel="0" collapsed="false">
      <c r="A53" s="10"/>
      <c r="B53" s="10"/>
      <c r="C53" s="10"/>
      <c r="D53" s="10"/>
      <c r="E53" s="9"/>
    </row>
    <row r="54" customFormat="false" ht="15" hidden="false" customHeight="true" outlineLevel="0" collapsed="false">
      <c r="A54" s="10"/>
      <c r="B54" s="10"/>
      <c r="C54" s="10"/>
      <c r="D54" s="10"/>
      <c r="E54" s="9"/>
    </row>
    <row r="55" customFormat="false" ht="15" hidden="false" customHeight="true" outlineLevel="0" collapsed="false">
      <c r="A55" s="10"/>
      <c r="B55" s="10"/>
      <c r="C55" s="10"/>
      <c r="D55" s="10"/>
      <c r="E55" s="9"/>
    </row>
    <row r="56" customFormat="false" ht="15" hidden="false" customHeight="true" outlineLevel="0" collapsed="false">
      <c r="A56" s="10"/>
      <c r="B56" s="10"/>
      <c r="C56" s="10"/>
      <c r="D56" s="10"/>
      <c r="E56" s="9"/>
    </row>
    <row r="57" customFormat="false" ht="15" hidden="false" customHeight="true" outlineLevel="0" collapsed="false">
      <c r="A57" s="10"/>
      <c r="B57" s="10"/>
      <c r="C57" s="10"/>
      <c r="D57" s="10"/>
      <c r="E57" s="9"/>
    </row>
    <row r="58" customFormat="false" ht="15" hidden="false" customHeight="true" outlineLevel="0" collapsed="false">
      <c r="A58" s="10"/>
      <c r="B58" s="10"/>
      <c r="C58" s="10"/>
      <c r="D58" s="10"/>
      <c r="E58" s="9"/>
    </row>
    <row r="59" customFormat="false" ht="15" hidden="false" customHeight="true" outlineLevel="0" collapsed="false">
      <c r="A59" s="10"/>
      <c r="B59" s="10"/>
      <c r="C59" s="10"/>
      <c r="D59" s="10"/>
      <c r="E59" s="9"/>
    </row>
    <row r="60" customFormat="false" ht="15" hidden="false" customHeight="true" outlineLevel="0" collapsed="false">
      <c r="A60" s="10"/>
      <c r="B60" s="10"/>
      <c r="C60" s="10"/>
      <c r="D60" s="10"/>
      <c r="E60" s="9"/>
    </row>
    <row r="61" customFormat="false" ht="15" hidden="false" customHeight="true" outlineLevel="0" collapsed="false">
      <c r="A61" s="10"/>
      <c r="B61" s="10"/>
      <c r="C61" s="10"/>
      <c r="D61" s="10"/>
      <c r="E61" s="9"/>
    </row>
    <row r="62" customFormat="false" ht="15" hidden="false" customHeight="true" outlineLevel="0" collapsed="false">
      <c r="A62" s="10"/>
      <c r="B62" s="10"/>
      <c r="C62" s="10"/>
      <c r="D62" s="10"/>
      <c r="E62" s="9"/>
    </row>
    <row r="63" customFormat="false" ht="15" hidden="false" customHeight="true" outlineLevel="0" collapsed="false">
      <c r="A63" s="10"/>
      <c r="B63" s="10"/>
      <c r="C63" s="10"/>
      <c r="D63" s="10"/>
      <c r="E63" s="9"/>
    </row>
    <row r="64" customFormat="false" ht="15" hidden="false" customHeight="true" outlineLevel="0" collapsed="false">
      <c r="A64" s="10"/>
      <c r="B64" s="10"/>
      <c r="C64" s="10"/>
      <c r="D64" s="10"/>
      <c r="E64" s="9"/>
    </row>
    <row r="65" customFormat="false" ht="15" hidden="false" customHeight="true" outlineLevel="0" collapsed="false">
      <c r="A65" s="10"/>
      <c r="B65" s="10"/>
      <c r="C65" s="10"/>
      <c r="D65" s="10"/>
      <c r="E65" s="9"/>
    </row>
    <row r="66" customFormat="false" ht="15" hidden="false" customHeight="true" outlineLevel="0" collapsed="false">
      <c r="A66" s="10"/>
      <c r="B66" s="10"/>
      <c r="C66" s="10"/>
      <c r="D66" s="10"/>
      <c r="E66" s="9"/>
    </row>
    <row r="67" customFormat="false" ht="15" hidden="false" customHeight="true" outlineLevel="0" collapsed="false">
      <c r="A67" s="10"/>
      <c r="B67" s="10"/>
      <c r="C67" s="10"/>
      <c r="D67" s="10"/>
      <c r="E67" s="9"/>
    </row>
    <row r="68" customFormat="false" ht="15" hidden="false" customHeight="true" outlineLevel="0" collapsed="false">
      <c r="A68" s="10"/>
      <c r="B68" s="10"/>
      <c r="C68" s="10"/>
      <c r="D68" s="10"/>
      <c r="E68" s="9"/>
    </row>
    <row r="69" customFormat="false" ht="15" hidden="false" customHeight="true" outlineLevel="0" collapsed="false">
      <c r="A69" s="10"/>
      <c r="B69" s="10"/>
      <c r="C69" s="10"/>
      <c r="D69" s="10"/>
      <c r="E69" s="9"/>
    </row>
    <row r="70" customFormat="false" ht="15" hidden="false" customHeight="true" outlineLevel="0" collapsed="false">
      <c r="A70" s="10"/>
      <c r="B70" s="10"/>
      <c r="C70" s="10"/>
      <c r="D70" s="10"/>
      <c r="E70" s="9"/>
    </row>
    <row r="71" customFormat="false" ht="15" hidden="false" customHeight="true" outlineLevel="0" collapsed="false">
      <c r="A71" s="10"/>
      <c r="B71" s="10"/>
      <c r="C71" s="10"/>
      <c r="D71" s="10"/>
      <c r="E71" s="9"/>
    </row>
    <row r="72" customFormat="false" ht="15" hidden="false" customHeight="true" outlineLevel="0" collapsed="false">
      <c r="A72" s="10"/>
      <c r="B72" s="10"/>
      <c r="C72" s="10"/>
      <c r="D72" s="10"/>
      <c r="E72" s="9"/>
    </row>
    <row r="73" customFormat="false" ht="15" hidden="false" customHeight="true" outlineLevel="0" collapsed="false">
      <c r="A73" s="10"/>
      <c r="B73" s="10"/>
      <c r="C73" s="10"/>
      <c r="D73" s="10"/>
      <c r="E73" s="9"/>
    </row>
    <row r="74" customFormat="false" ht="15" hidden="false" customHeight="true" outlineLevel="0" collapsed="false">
      <c r="A74" s="10"/>
      <c r="B74" s="10"/>
      <c r="C74" s="10"/>
      <c r="D74" s="10"/>
      <c r="E74" s="9"/>
    </row>
    <row r="75" customFormat="false" ht="15" hidden="false" customHeight="true" outlineLevel="0" collapsed="false">
      <c r="A75" s="10"/>
      <c r="B75" s="10"/>
      <c r="C75" s="10"/>
      <c r="D75" s="10"/>
      <c r="E75" s="9"/>
    </row>
    <row r="76" customFormat="false" ht="15" hidden="false" customHeight="true" outlineLevel="0" collapsed="false">
      <c r="A76" s="10"/>
      <c r="B76" s="10"/>
      <c r="C76" s="10"/>
      <c r="D76" s="10"/>
      <c r="E76" s="9"/>
    </row>
    <row r="77" customFormat="false" ht="15" hidden="false" customHeight="true" outlineLevel="0" collapsed="false">
      <c r="A77" s="10"/>
      <c r="B77" s="10"/>
      <c r="C77" s="10"/>
      <c r="D77" s="10"/>
      <c r="E77" s="9"/>
    </row>
    <row r="78" customFormat="false" ht="15" hidden="false" customHeight="true" outlineLevel="0" collapsed="false">
      <c r="A78" s="10"/>
      <c r="B78" s="10"/>
      <c r="C78" s="10"/>
      <c r="D78" s="10"/>
      <c r="E78" s="9"/>
    </row>
    <row r="79" customFormat="false" ht="15" hidden="false" customHeight="true" outlineLevel="0" collapsed="false">
      <c r="A79" s="10"/>
      <c r="B79" s="10"/>
      <c r="C79" s="10"/>
      <c r="D79" s="10"/>
      <c r="E79" s="9"/>
    </row>
    <row r="80" customFormat="false" ht="15" hidden="false" customHeight="true" outlineLevel="0" collapsed="false">
      <c r="A80" s="10"/>
      <c r="B80" s="10"/>
      <c r="C80" s="10"/>
      <c r="D80" s="10"/>
      <c r="E80" s="9"/>
    </row>
    <row r="81" customFormat="false" ht="15" hidden="false" customHeight="true" outlineLevel="0" collapsed="false">
      <c r="A81" s="10"/>
      <c r="B81" s="10"/>
      <c r="C81" s="10"/>
      <c r="D81" s="10"/>
      <c r="E81" s="9"/>
    </row>
    <row r="82" customFormat="false" ht="15" hidden="false" customHeight="true" outlineLevel="0" collapsed="false">
      <c r="A82" s="10"/>
      <c r="B82" s="10"/>
      <c r="C82" s="10"/>
      <c r="D82" s="10"/>
      <c r="E82" s="9"/>
    </row>
    <row r="83" customFormat="false" ht="15" hidden="false" customHeight="true" outlineLevel="0" collapsed="false">
      <c r="A83" s="10"/>
      <c r="B83" s="10"/>
      <c r="C83" s="10"/>
      <c r="D83" s="10"/>
      <c r="E83" s="9"/>
    </row>
    <row r="84" customFormat="false" ht="15" hidden="false" customHeight="true" outlineLevel="0" collapsed="false">
      <c r="A84" s="10"/>
      <c r="B84" s="10"/>
      <c r="C84" s="10"/>
      <c r="D84" s="10"/>
      <c r="E84" s="9"/>
    </row>
    <row r="85" customFormat="false" ht="15" hidden="false" customHeight="true" outlineLevel="0" collapsed="false">
      <c r="A85" s="10"/>
      <c r="B85" s="10"/>
      <c r="C85" s="10"/>
      <c r="D85" s="10"/>
      <c r="E85" s="9"/>
    </row>
    <row r="86" customFormat="false" ht="15" hidden="false" customHeight="true" outlineLevel="0" collapsed="false">
      <c r="A86" s="10"/>
      <c r="B86" s="10"/>
      <c r="C86" s="10"/>
      <c r="D86" s="10"/>
      <c r="E86" s="9"/>
    </row>
    <row r="87" customFormat="false" ht="15" hidden="false" customHeight="true" outlineLevel="0" collapsed="false">
      <c r="A87" s="10"/>
      <c r="B87" s="10"/>
      <c r="C87" s="10"/>
      <c r="D87" s="10"/>
      <c r="E87" s="9"/>
    </row>
    <row r="88" customFormat="false" ht="15" hidden="false" customHeight="true" outlineLevel="0" collapsed="false">
      <c r="A88" s="10"/>
      <c r="B88" s="10"/>
      <c r="C88" s="10"/>
      <c r="D88" s="10"/>
      <c r="E88" s="9"/>
    </row>
    <row r="89" customFormat="false" ht="15" hidden="false" customHeight="true" outlineLevel="0" collapsed="false">
      <c r="A89" s="10"/>
      <c r="B89" s="10"/>
      <c r="C89" s="10"/>
      <c r="D89" s="10"/>
      <c r="E89" s="9"/>
    </row>
    <row r="90" customFormat="false" ht="15" hidden="false" customHeight="true" outlineLevel="0" collapsed="false">
      <c r="A90" s="10"/>
      <c r="B90" s="10"/>
      <c r="C90" s="10"/>
      <c r="D90" s="10"/>
      <c r="E90" s="9"/>
    </row>
    <row r="91" customFormat="false" ht="15" hidden="false" customHeight="true" outlineLevel="0" collapsed="false">
      <c r="A91" s="10"/>
      <c r="B91" s="10"/>
      <c r="C91" s="10"/>
      <c r="D91" s="10"/>
      <c r="E91" s="9"/>
    </row>
    <row r="92" customFormat="false" ht="15" hidden="false" customHeight="true" outlineLevel="0" collapsed="false">
      <c r="A92" s="10"/>
      <c r="B92" s="10"/>
      <c r="C92" s="10"/>
      <c r="D92" s="10"/>
      <c r="E92" s="9"/>
    </row>
    <row r="93" customFormat="false" ht="15" hidden="false" customHeight="true" outlineLevel="0" collapsed="false">
      <c r="A93" s="10"/>
      <c r="B93" s="10"/>
      <c r="C93" s="10"/>
      <c r="D93" s="10"/>
      <c r="E93" s="9"/>
    </row>
    <row r="94" customFormat="false" ht="15" hidden="false" customHeight="true" outlineLevel="0" collapsed="false">
      <c r="A94" s="10"/>
      <c r="B94" s="10"/>
      <c r="C94" s="10"/>
      <c r="D94" s="10"/>
      <c r="E94" s="9"/>
    </row>
    <row r="95" customFormat="false" ht="15" hidden="false" customHeight="true" outlineLevel="0" collapsed="false">
      <c r="A95" s="10"/>
      <c r="B95" s="10"/>
      <c r="C95" s="10"/>
      <c r="D95" s="10"/>
      <c r="E95" s="9"/>
    </row>
    <row r="96" customFormat="false" ht="15" hidden="false" customHeight="true" outlineLevel="0" collapsed="false">
      <c r="A96" s="10"/>
      <c r="B96" s="10"/>
      <c r="C96" s="10"/>
      <c r="D96" s="10"/>
      <c r="E96" s="9"/>
    </row>
    <row r="97" customFormat="false" ht="15" hidden="false" customHeight="true" outlineLevel="0" collapsed="false">
      <c r="A97" s="10"/>
      <c r="B97" s="10"/>
      <c r="C97" s="10"/>
      <c r="D97" s="10"/>
      <c r="E97" s="9"/>
    </row>
    <row r="98" customFormat="false" ht="15" hidden="false" customHeight="true" outlineLevel="0" collapsed="false">
      <c r="A98" s="10"/>
      <c r="B98" s="10"/>
      <c r="C98" s="10"/>
      <c r="D98" s="10"/>
      <c r="E98" s="9"/>
    </row>
    <row r="99" customFormat="false" ht="15" hidden="false" customHeight="true" outlineLevel="0" collapsed="false">
      <c r="A99" s="10"/>
      <c r="B99" s="10"/>
      <c r="C99" s="10"/>
      <c r="D99" s="10"/>
      <c r="E99" s="9"/>
    </row>
    <row r="100" customFormat="false" ht="15" hidden="false" customHeight="true" outlineLevel="0" collapsed="false">
      <c r="A100" s="10"/>
      <c r="B100" s="10"/>
      <c r="C100" s="10"/>
      <c r="D100" s="10"/>
      <c r="E100" s="9"/>
    </row>
    <row r="101" customFormat="false" ht="15" hidden="false" customHeight="true" outlineLevel="0" collapsed="false">
      <c r="A101" s="10"/>
      <c r="B101" s="10"/>
      <c r="C101" s="10"/>
      <c r="D101" s="10"/>
      <c r="E101" s="9"/>
    </row>
    <row r="102" customFormat="false" ht="15" hidden="false" customHeight="true" outlineLevel="0" collapsed="false">
      <c r="A102" s="10"/>
      <c r="B102" s="10"/>
      <c r="C102" s="10"/>
      <c r="D102" s="10"/>
      <c r="E102" s="9"/>
    </row>
    <row r="103" customFormat="false" ht="15" hidden="false" customHeight="true" outlineLevel="0" collapsed="false">
      <c r="A103" s="10"/>
      <c r="B103" s="10"/>
      <c r="C103" s="10"/>
      <c r="D103" s="10"/>
      <c r="E103" s="9"/>
    </row>
    <row r="104" customFormat="false" ht="15" hidden="false" customHeight="true" outlineLevel="0" collapsed="false">
      <c r="A104" s="10"/>
      <c r="B104" s="10"/>
      <c r="C104" s="10"/>
      <c r="D104" s="10"/>
      <c r="E104" s="9"/>
    </row>
    <row r="105" customFormat="false" ht="15" hidden="false" customHeight="true" outlineLevel="0" collapsed="false">
      <c r="A105" s="10"/>
      <c r="B105" s="10"/>
      <c r="C105" s="10"/>
      <c r="D105" s="10"/>
      <c r="E105" s="9"/>
    </row>
    <row r="106" customFormat="false" ht="15" hidden="false" customHeight="true" outlineLevel="0" collapsed="false">
      <c r="A106" s="10"/>
      <c r="B106" s="10"/>
      <c r="C106" s="10"/>
      <c r="D106" s="10"/>
      <c r="E106" s="9"/>
    </row>
    <row r="107" customFormat="false" ht="15" hidden="false" customHeight="true" outlineLevel="0" collapsed="false">
      <c r="A107" s="10"/>
      <c r="B107" s="10"/>
      <c r="C107" s="10"/>
      <c r="D107" s="10"/>
      <c r="E107" s="9"/>
    </row>
    <row r="108" customFormat="false" ht="15" hidden="false" customHeight="true" outlineLevel="0" collapsed="false">
      <c r="A108" s="10"/>
      <c r="B108" s="10"/>
      <c r="C108" s="10"/>
      <c r="D108" s="10"/>
      <c r="E108" s="9"/>
    </row>
    <row r="109" customFormat="false" ht="15" hidden="false" customHeight="true" outlineLevel="0" collapsed="false">
      <c r="A109" s="10"/>
      <c r="B109" s="10"/>
      <c r="C109" s="10"/>
      <c r="D109" s="10"/>
      <c r="E109" s="9"/>
    </row>
    <row r="110" customFormat="false" ht="15" hidden="false" customHeight="true" outlineLevel="0" collapsed="false">
      <c r="A110" s="10"/>
      <c r="B110" s="10"/>
      <c r="C110" s="10"/>
      <c r="D110" s="10"/>
      <c r="E110" s="9"/>
    </row>
    <row r="111" customFormat="false" ht="15" hidden="false" customHeight="true" outlineLevel="0" collapsed="false">
      <c r="A111" s="10"/>
      <c r="B111" s="10"/>
      <c r="C111" s="10"/>
      <c r="D111" s="10"/>
      <c r="E111" s="9"/>
    </row>
    <row r="112" customFormat="false" ht="15" hidden="false" customHeight="true" outlineLevel="0" collapsed="false">
      <c r="A112" s="10"/>
      <c r="B112" s="10"/>
      <c r="C112" s="10"/>
      <c r="D112" s="10"/>
      <c r="E112" s="9"/>
    </row>
    <row r="113" customFormat="false" ht="15" hidden="false" customHeight="true" outlineLevel="0" collapsed="false">
      <c r="A113" s="10"/>
      <c r="B113" s="10"/>
      <c r="C113" s="10"/>
      <c r="D113" s="10"/>
      <c r="E113" s="9"/>
    </row>
    <row r="114" customFormat="false" ht="15" hidden="false" customHeight="true" outlineLevel="0" collapsed="false">
      <c r="A114" s="10"/>
      <c r="B114" s="10"/>
      <c r="C114" s="10"/>
      <c r="D114" s="10"/>
      <c r="E114" s="9"/>
    </row>
    <row r="115" customFormat="false" ht="15" hidden="false" customHeight="true" outlineLevel="0" collapsed="false">
      <c r="A115" s="10"/>
      <c r="B115" s="10"/>
      <c r="C115" s="10"/>
      <c r="D115" s="10"/>
      <c r="E115" s="9"/>
    </row>
    <row r="116" customFormat="false" ht="15" hidden="false" customHeight="true" outlineLevel="0" collapsed="false">
      <c r="A116" s="10"/>
      <c r="B116" s="10"/>
      <c r="C116" s="10"/>
      <c r="D116" s="10"/>
      <c r="E116" s="9"/>
    </row>
    <row r="117" customFormat="false" ht="15" hidden="false" customHeight="true" outlineLevel="0" collapsed="false">
      <c r="A117" s="10"/>
      <c r="B117" s="10"/>
      <c r="C117" s="10"/>
      <c r="D117" s="10"/>
      <c r="E117" s="9"/>
    </row>
    <row r="118" customFormat="false" ht="15" hidden="false" customHeight="true" outlineLevel="0" collapsed="false">
      <c r="A118" s="10"/>
      <c r="B118" s="10"/>
      <c r="C118" s="10"/>
      <c r="D118" s="10"/>
      <c r="E118" s="9"/>
    </row>
    <row r="119" customFormat="false" ht="15" hidden="false" customHeight="true" outlineLevel="0" collapsed="false">
      <c r="A119" s="10"/>
      <c r="B119" s="10"/>
      <c r="C119" s="10"/>
      <c r="D119" s="10"/>
      <c r="E119" s="9"/>
    </row>
    <row r="120" customFormat="false" ht="15" hidden="false" customHeight="true" outlineLevel="0" collapsed="false">
      <c r="A120" s="10"/>
      <c r="B120" s="10"/>
      <c r="C120" s="10"/>
      <c r="D120" s="10"/>
      <c r="E120" s="9"/>
    </row>
    <row r="121" customFormat="false" ht="15" hidden="false" customHeight="true" outlineLevel="0" collapsed="false">
      <c r="A121" s="10"/>
      <c r="B121" s="10"/>
      <c r="C121" s="10"/>
      <c r="D121" s="10"/>
      <c r="E121" s="9"/>
    </row>
    <row r="122" customFormat="false" ht="15" hidden="false" customHeight="true" outlineLevel="0" collapsed="false">
      <c r="A122" s="10"/>
      <c r="B122" s="10"/>
      <c r="C122" s="10"/>
      <c r="D122" s="10"/>
      <c r="E122" s="9"/>
    </row>
    <row r="123" customFormat="false" ht="15" hidden="false" customHeight="true" outlineLevel="0" collapsed="false">
      <c r="A123" s="10"/>
      <c r="B123" s="10"/>
      <c r="C123" s="10"/>
      <c r="D123" s="10"/>
      <c r="E123" s="9"/>
    </row>
    <row r="124" customFormat="false" ht="15" hidden="false" customHeight="true" outlineLevel="0" collapsed="false">
      <c r="A124" s="10"/>
      <c r="B124" s="10"/>
      <c r="C124" s="10"/>
      <c r="D124" s="10"/>
      <c r="E124" s="9"/>
    </row>
    <row r="125" customFormat="false" ht="15" hidden="false" customHeight="true" outlineLevel="0" collapsed="false">
      <c r="A125" s="10"/>
      <c r="B125" s="10"/>
      <c r="C125" s="10"/>
      <c r="D125" s="10"/>
      <c r="E125" s="9"/>
    </row>
    <row r="126" customFormat="false" ht="15" hidden="false" customHeight="true" outlineLevel="0" collapsed="false">
      <c r="A126" s="10"/>
      <c r="B126" s="10"/>
      <c r="C126" s="10"/>
      <c r="D126" s="10"/>
      <c r="E126" s="9"/>
    </row>
    <row r="127" customFormat="false" ht="15" hidden="false" customHeight="true" outlineLevel="0" collapsed="false">
      <c r="A127" s="10"/>
      <c r="B127" s="10"/>
      <c r="C127" s="10"/>
      <c r="D127" s="10"/>
      <c r="E127" s="9"/>
    </row>
    <row r="128" customFormat="false" ht="15" hidden="false" customHeight="true" outlineLevel="0" collapsed="false">
      <c r="A128" s="10"/>
      <c r="B128" s="10"/>
      <c r="C128" s="10"/>
      <c r="D128" s="10"/>
      <c r="E128" s="9"/>
    </row>
    <row r="129" customFormat="false" ht="15" hidden="false" customHeight="true" outlineLevel="0" collapsed="false">
      <c r="A129" s="10"/>
      <c r="B129" s="10"/>
      <c r="C129" s="10"/>
      <c r="D129" s="10"/>
      <c r="E129" s="9"/>
    </row>
    <row r="130" customFormat="false" ht="15" hidden="false" customHeight="true" outlineLevel="0" collapsed="false">
      <c r="A130" s="10"/>
      <c r="B130" s="10"/>
      <c r="C130" s="10"/>
      <c r="D130" s="10"/>
      <c r="E130" s="9"/>
    </row>
    <row r="131" customFormat="false" ht="15" hidden="false" customHeight="true" outlineLevel="0" collapsed="false">
      <c r="A131" s="10"/>
      <c r="B131" s="10"/>
      <c r="C131" s="10"/>
      <c r="D131" s="10"/>
      <c r="E131" s="9"/>
    </row>
    <row r="132" customFormat="false" ht="15" hidden="false" customHeight="true" outlineLevel="0" collapsed="false">
      <c r="A132" s="10"/>
      <c r="B132" s="10"/>
      <c r="C132" s="10"/>
      <c r="D132" s="10"/>
      <c r="E132" s="9"/>
    </row>
    <row r="133" customFormat="false" ht="15" hidden="false" customHeight="true" outlineLevel="0" collapsed="false">
      <c r="A133" s="10"/>
      <c r="B133" s="10"/>
      <c r="C133" s="10"/>
      <c r="D133" s="10"/>
      <c r="E133" s="9"/>
    </row>
    <row r="134" customFormat="false" ht="15" hidden="false" customHeight="true" outlineLevel="0" collapsed="false">
      <c r="A134" s="10"/>
      <c r="B134" s="10"/>
      <c r="C134" s="10"/>
      <c r="D134" s="10"/>
      <c r="E134" s="9"/>
    </row>
    <row r="135" customFormat="false" ht="15" hidden="false" customHeight="true" outlineLevel="0" collapsed="false">
      <c r="A135" s="10"/>
      <c r="B135" s="10"/>
      <c r="C135" s="10"/>
      <c r="D135" s="10"/>
      <c r="E135" s="9"/>
    </row>
    <row r="136" customFormat="false" ht="15" hidden="false" customHeight="true" outlineLevel="0" collapsed="false">
      <c r="A136" s="10"/>
      <c r="B136" s="10"/>
      <c r="C136" s="10"/>
      <c r="D136" s="10"/>
      <c r="E136" s="9"/>
    </row>
    <row r="137" customFormat="false" ht="15" hidden="false" customHeight="true" outlineLevel="0" collapsed="false">
      <c r="A137" s="10"/>
      <c r="B137" s="10"/>
      <c r="C137" s="10"/>
      <c r="D137" s="10"/>
      <c r="E137" s="9"/>
    </row>
    <row r="138" customFormat="false" ht="15" hidden="false" customHeight="true" outlineLevel="0" collapsed="false">
      <c r="A138" s="10"/>
      <c r="B138" s="10"/>
      <c r="C138" s="10"/>
      <c r="D138" s="10"/>
      <c r="E138" s="9"/>
    </row>
    <row r="139" customFormat="false" ht="15" hidden="false" customHeight="true" outlineLevel="0" collapsed="false">
      <c r="A139" s="10"/>
      <c r="B139" s="10"/>
      <c r="C139" s="10"/>
      <c r="D139" s="10"/>
      <c r="E139" s="9"/>
    </row>
    <row r="140" customFormat="false" ht="15" hidden="false" customHeight="true" outlineLevel="0" collapsed="false">
      <c r="A140" s="10"/>
      <c r="B140" s="10"/>
      <c r="C140" s="10"/>
      <c r="D140" s="10"/>
      <c r="E140" s="9"/>
    </row>
    <row r="141" customFormat="false" ht="15" hidden="false" customHeight="true" outlineLevel="0" collapsed="false">
      <c r="A141" s="10"/>
      <c r="B141" s="10"/>
      <c r="C141" s="10"/>
      <c r="D141" s="10"/>
      <c r="E141" s="9"/>
    </row>
    <row r="142" customFormat="false" ht="15" hidden="false" customHeight="true" outlineLevel="0" collapsed="false">
      <c r="A142" s="10"/>
      <c r="B142" s="10"/>
      <c r="C142" s="10"/>
      <c r="D142" s="10"/>
      <c r="E142" s="9"/>
    </row>
    <row r="143" customFormat="false" ht="15" hidden="false" customHeight="true" outlineLevel="0" collapsed="false">
      <c r="A143" s="10"/>
      <c r="B143" s="10"/>
      <c r="C143" s="10"/>
      <c r="D143" s="10"/>
      <c r="E143" s="9"/>
    </row>
    <row r="144" customFormat="false" ht="15" hidden="false" customHeight="true" outlineLevel="0" collapsed="false">
      <c r="A144" s="10"/>
      <c r="B144" s="10"/>
      <c r="C144" s="10"/>
      <c r="D144" s="10"/>
      <c r="E144" s="9"/>
    </row>
    <row r="145" customFormat="false" ht="15" hidden="false" customHeight="true" outlineLevel="0" collapsed="false">
      <c r="A145" s="10"/>
      <c r="B145" s="10"/>
      <c r="C145" s="10"/>
      <c r="D145" s="10"/>
      <c r="E145" s="9"/>
    </row>
    <row r="146" customFormat="false" ht="15" hidden="false" customHeight="true" outlineLevel="0" collapsed="false">
      <c r="A146" s="10"/>
      <c r="B146" s="10"/>
      <c r="C146" s="10"/>
      <c r="D146" s="10"/>
      <c r="E146" s="9"/>
    </row>
    <row r="147" customFormat="false" ht="15" hidden="false" customHeight="true" outlineLevel="0" collapsed="false">
      <c r="A147" s="10"/>
      <c r="B147" s="10"/>
      <c r="C147" s="10"/>
      <c r="D147" s="10"/>
      <c r="E147" s="9"/>
    </row>
    <row r="148" customFormat="false" ht="15" hidden="false" customHeight="true" outlineLevel="0" collapsed="false">
      <c r="A148" s="10"/>
      <c r="B148" s="10"/>
      <c r="C148" s="10"/>
      <c r="D148" s="10"/>
      <c r="E148" s="9"/>
    </row>
    <row r="149" customFormat="false" ht="15" hidden="false" customHeight="true" outlineLevel="0" collapsed="false">
      <c r="A149" s="10"/>
      <c r="B149" s="10"/>
      <c r="C149" s="10"/>
      <c r="D149" s="10"/>
      <c r="E149" s="9"/>
    </row>
    <row r="150" customFormat="false" ht="15" hidden="false" customHeight="true" outlineLevel="0" collapsed="false">
      <c r="A150" s="10"/>
      <c r="B150" s="10"/>
      <c r="C150" s="10"/>
      <c r="D150" s="10"/>
      <c r="E150" s="9"/>
    </row>
    <row r="151" customFormat="false" ht="15" hidden="false" customHeight="true" outlineLevel="0" collapsed="false">
      <c r="A151" s="10"/>
      <c r="B151" s="10"/>
      <c r="C151" s="10"/>
      <c r="D151" s="10"/>
      <c r="E151" s="9"/>
    </row>
    <row r="152" customFormat="false" ht="15" hidden="false" customHeight="true" outlineLevel="0" collapsed="false">
      <c r="A152" s="10"/>
      <c r="B152" s="10"/>
      <c r="C152" s="10"/>
      <c r="D152" s="10"/>
      <c r="E152" s="9"/>
    </row>
    <row r="153" customFormat="false" ht="15" hidden="false" customHeight="true" outlineLevel="0" collapsed="false">
      <c r="A153" s="10"/>
      <c r="B153" s="10"/>
      <c r="C153" s="10"/>
      <c r="D153" s="10"/>
      <c r="E153" s="9"/>
    </row>
    <row r="154" customFormat="false" ht="15" hidden="false" customHeight="true" outlineLevel="0" collapsed="false">
      <c r="A154" s="10"/>
      <c r="B154" s="10"/>
      <c r="C154" s="10"/>
      <c r="D154" s="10"/>
      <c r="E154" s="9"/>
    </row>
    <row r="155" customFormat="false" ht="15" hidden="false" customHeight="true" outlineLevel="0" collapsed="false">
      <c r="A155" s="10"/>
      <c r="B155" s="10"/>
      <c r="C155" s="10"/>
      <c r="D155" s="10"/>
      <c r="E155" s="9"/>
    </row>
    <row r="156" customFormat="false" ht="15" hidden="false" customHeight="true" outlineLevel="0" collapsed="false">
      <c r="A156" s="10"/>
      <c r="B156" s="10"/>
      <c r="C156" s="10"/>
      <c r="D156" s="10"/>
      <c r="E156" s="9"/>
    </row>
    <row r="157" customFormat="false" ht="15" hidden="false" customHeight="true" outlineLevel="0" collapsed="false">
      <c r="A157" s="10"/>
      <c r="B157" s="10"/>
      <c r="C157" s="10"/>
      <c r="D157" s="10"/>
      <c r="E157" s="9"/>
    </row>
    <row r="158" customFormat="false" ht="15" hidden="false" customHeight="true" outlineLevel="0" collapsed="false">
      <c r="A158" s="10"/>
      <c r="B158" s="10"/>
      <c r="C158" s="10"/>
      <c r="D158" s="10"/>
      <c r="E158" s="9"/>
    </row>
    <row r="159" customFormat="false" ht="15" hidden="false" customHeight="true" outlineLevel="0" collapsed="false">
      <c r="A159" s="10"/>
      <c r="B159" s="10"/>
      <c r="C159" s="10"/>
      <c r="D159" s="10"/>
      <c r="E159" s="9"/>
    </row>
    <row r="160" customFormat="false" ht="15" hidden="false" customHeight="true" outlineLevel="0" collapsed="false">
      <c r="A160" s="10"/>
      <c r="B160" s="10"/>
      <c r="C160" s="10"/>
      <c r="D160" s="10"/>
      <c r="E160" s="9"/>
    </row>
    <row r="161" customFormat="false" ht="15" hidden="false" customHeight="true" outlineLevel="0" collapsed="false">
      <c r="A161" s="10"/>
      <c r="B161" s="10"/>
      <c r="C161" s="10"/>
      <c r="D161" s="10"/>
      <c r="E161" s="9"/>
    </row>
    <row r="162" customFormat="false" ht="15" hidden="false" customHeight="true" outlineLevel="0" collapsed="false">
      <c r="A162" s="10"/>
      <c r="B162" s="10"/>
      <c r="C162" s="10"/>
      <c r="D162" s="10"/>
      <c r="E162" s="9"/>
    </row>
    <row r="163" customFormat="false" ht="15" hidden="false" customHeight="true" outlineLevel="0" collapsed="false">
      <c r="A163" s="10"/>
      <c r="B163" s="10"/>
      <c r="C163" s="10"/>
      <c r="D163" s="10"/>
      <c r="E163" s="9"/>
    </row>
    <row r="164" customFormat="false" ht="15" hidden="false" customHeight="true" outlineLevel="0" collapsed="false">
      <c r="A164" s="10"/>
      <c r="B164" s="10"/>
      <c r="C164" s="10"/>
      <c r="D164" s="10"/>
      <c r="E164" s="9"/>
    </row>
    <row r="165" customFormat="false" ht="15" hidden="false" customHeight="true" outlineLevel="0" collapsed="false">
      <c r="A165" s="10"/>
      <c r="B165" s="10"/>
      <c r="C165" s="10"/>
      <c r="D165" s="10"/>
      <c r="E165" s="9"/>
    </row>
    <row r="166" customFormat="false" ht="15" hidden="false" customHeight="true" outlineLevel="0" collapsed="false">
      <c r="A166" s="10"/>
      <c r="B166" s="10"/>
      <c r="C166" s="10"/>
      <c r="D166" s="10"/>
      <c r="E166" s="9"/>
    </row>
    <row r="167" customFormat="false" ht="15" hidden="false" customHeight="true" outlineLevel="0" collapsed="false">
      <c r="A167" s="10"/>
      <c r="B167" s="10"/>
      <c r="C167" s="10"/>
      <c r="D167" s="10"/>
      <c r="E167" s="9"/>
    </row>
    <row r="168" customFormat="false" ht="15" hidden="false" customHeight="true" outlineLevel="0" collapsed="false">
      <c r="A168" s="10"/>
      <c r="B168" s="10"/>
      <c r="C168" s="10"/>
      <c r="D168" s="10"/>
      <c r="E168" s="9"/>
    </row>
    <row r="169" customFormat="false" ht="15" hidden="false" customHeight="true" outlineLevel="0" collapsed="false">
      <c r="A169" s="10"/>
      <c r="B169" s="10"/>
      <c r="C169" s="10"/>
      <c r="D169" s="10"/>
      <c r="E169" s="9"/>
    </row>
    <row r="170" customFormat="false" ht="15" hidden="false" customHeight="true" outlineLevel="0" collapsed="false">
      <c r="A170" s="10"/>
      <c r="B170" s="10"/>
      <c r="C170" s="10"/>
      <c r="D170" s="10"/>
      <c r="E170" s="9"/>
    </row>
    <row r="171" customFormat="false" ht="15" hidden="false" customHeight="true" outlineLevel="0" collapsed="false">
      <c r="A171" s="10"/>
      <c r="B171" s="10"/>
      <c r="C171" s="10"/>
      <c r="D171" s="10"/>
      <c r="E171" s="9"/>
    </row>
    <row r="172" customFormat="false" ht="15" hidden="false" customHeight="true" outlineLevel="0" collapsed="false">
      <c r="A172" s="10"/>
      <c r="B172" s="10"/>
      <c r="C172" s="10"/>
      <c r="D172" s="10"/>
      <c r="E172" s="9"/>
    </row>
    <row r="173" customFormat="false" ht="15" hidden="false" customHeight="true" outlineLevel="0" collapsed="false">
      <c r="A173" s="10"/>
      <c r="B173" s="10"/>
      <c r="C173" s="10"/>
      <c r="D173" s="10"/>
      <c r="E173" s="9"/>
    </row>
    <row r="174" customFormat="false" ht="15" hidden="false" customHeight="true" outlineLevel="0" collapsed="false">
      <c r="A174" s="10"/>
      <c r="B174" s="10"/>
      <c r="C174" s="10"/>
      <c r="D174" s="10"/>
      <c r="E174" s="9"/>
    </row>
    <row r="175" customFormat="false" ht="15" hidden="false" customHeight="true" outlineLevel="0" collapsed="false">
      <c r="A175" s="10"/>
      <c r="B175" s="10"/>
      <c r="C175" s="10"/>
      <c r="D175" s="10"/>
      <c r="E175" s="9"/>
    </row>
    <row r="176" customFormat="false" ht="15" hidden="false" customHeight="true" outlineLevel="0" collapsed="false">
      <c r="A176" s="10"/>
      <c r="B176" s="10"/>
      <c r="C176" s="10"/>
      <c r="D176" s="10"/>
      <c r="E176" s="9"/>
    </row>
    <row r="177" customFormat="false" ht="15" hidden="false" customHeight="true" outlineLevel="0" collapsed="false">
      <c r="A177" s="10"/>
      <c r="B177" s="10"/>
      <c r="C177" s="10"/>
      <c r="D177" s="10"/>
      <c r="E177" s="9"/>
    </row>
    <row r="178" customFormat="false" ht="15" hidden="false" customHeight="true" outlineLevel="0" collapsed="false">
      <c r="A178" s="10"/>
      <c r="B178" s="10"/>
      <c r="C178" s="10"/>
      <c r="D178" s="10"/>
      <c r="E178" s="9"/>
    </row>
    <row r="179" customFormat="false" ht="15" hidden="false" customHeight="true" outlineLevel="0" collapsed="false">
      <c r="A179" s="10"/>
      <c r="B179" s="10"/>
      <c r="C179" s="10"/>
      <c r="D179" s="10"/>
      <c r="E179" s="9"/>
    </row>
    <row r="180" customFormat="false" ht="15" hidden="false" customHeight="true" outlineLevel="0" collapsed="false">
      <c r="A180" s="10"/>
      <c r="B180" s="10"/>
      <c r="C180" s="10"/>
      <c r="D180" s="10"/>
      <c r="E180" s="9"/>
    </row>
    <row r="181" customFormat="false" ht="15" hidden="false" customHeight="true" outlineLevel="0" collapsed="false">
      <c r="A181" s="10"/>
      <c r="B181" s="10"/>
      <c r="C181" s="10"/>
      <c r="D181" s="10"/>
      <c r="E181" s="9"/>
    </row>
    <row r="182" customFormat="false" ht="15" hidden="false" customHeight="true" outlineLevel="0" collapsed="false">
      <c r="A182" s="10"/>
      <c r="B182" s="10"/>
      <c r="C182" s="10"/>
      <c r="D182" s="10"/>
      <c r="E182" s="9"/>
    </row>
    <row r="183" customFormat="false" ht="15" hidden="false" customHeight="true" outlineLevel="0" collapsed="false">
      <c r="A183" s="10"/>
      <c r="B183" s="10"/>
      <c r="C183" s="10"/>
      <c r="D183" s="10"/>
      <c r="E183" s="9"/>
    </row>
    <row r="184" customFormat="false" ht="15" hidden="false" customHeight="true" outlineLevel="0" collapsed="false">
      <c r="A184" s="10"/>
      <c r="B184" s="10"/>
      <c r="C184" s="10"/>
      <c r="D184" s="10"/>
      <c r="E184" s="9"/>
    </row>
    <row r="185" customFormat="false" ht="15" hidden="false" customHeight="true" outlineLevel="0" collapsed="false">
      <c r="A185" s="10"/>
      <c r="B185" s="10"/>
      <c r="C185" s="10"/>
      <c r="D185" s="10"/>
      <c r="E185" s="9"/>
    </row>
    <row r="186" customFormat="false" ht="15" hidden="false" customHeight="true" outlineLevel="0" collapsed="false">
      <c r="A186" s="10"/>
      <c r="B186" s="10"/>
      <c r="C186" s="10"/>
      <c r="D186" s="10"/>
      <c r="E186" s="9"/>
    </row>
    <row r="187" customFormat="false" ht="15" hidden="false" customHeight="true" outlineLevel="0" collapsed="false">
      <c r="A187" s="10"/>
      <c r="B187" s="10"/>
      <c r="C187" s="10"/>
      <c r="D187" s="10"/>
      <c r="E187" s="9"/>
    </row>
    <row r="188" customFormat="false" ht="15" hidden="false" customHeight="true" outlineLevel="0" collapsed="false">
      <c r="A188" s="10"/>
      <c r="B188" s="10"/>
      <c r="C188" s="10"/>
      <c r="D188" s="10"/>
      <c r="E188" s="9"/>
    </row>
    <row r="189" customFormat="false" ht="15" hidden="false" customHeight="true" outlineLevel="0" collapsed="false">
      <c r="A189" s="10"/>
      <c r="B189" s="10"/>
      <c r="C189" s="10"/>
      <c r="D189" s="10"/>
      <c r="E189" s="9"/>
    </row>
    <row r="190" customFormat="false" ht="15" hidden="false" customHeight="true" outlineLevel="0" collapsed="false">
      <c r="A190" s="10"/>
      <c r="B190" s="10"/>
      <c r="C190" s="10"/>
      <c r="D190" s="10"/>
      <c r="E190" s="9"/>
    </row>
    <row r="191" customFormat="false" ht="15" hidden="false" customHeight="true" outlineLevel="0" collapsed="false">
      <c r="A191" s="10"/>
      <c r="B191" s="10"/>
      <c r="C191" s="10"/>
      <c r="D191" s="10"/>
      <c r="E191" s="9"/>
    </row>
    <row r="192" customFormat="false" ht="15" hidden="false" customHeight="true" outlineLevel="0" collapsed="false">
      <c r="A192" s="10"/>
      <c r="B192" s="10"/>
      <c r="C192" s="10"/>
      <c r="D192" s="10"/>
      <c r="E192" s="9"/>
    </row>
    <row r="193" customFormat="false" ht="15" hidden="false" customHeight="true" outlineLevel="0" collapsed="false">
      <c r="A193" s="10"/>
      <c r="B193" s="10"/>
      <c r="C193" s="10"/>
      <c r="D193" s="10"/>
      <c r="E193" s="9"/>
    </row>
    <row r="194" customFormat="false" ht="15" hidden="false" customHeight="true" outlineLevel="0" collapsed="false">
      <c r="A194" s="10"/>
      <c r="B194" s="10"/>
      <c r="C194" s="10"/>
      <c r="D194" s="10"/>
      <c r="E194" s="9"/>
    </row>
    <row r="195" customFormat="false" ht="15" hidden="false" customHeight="true" outlineLevel="0" collapsed="false">
      <c r="A195" s="10"/>
      <c r="B195" s="10"/>
      <c r="C195" s="10"/>
      <c r="D195" s="10"/>
      <c r="E195" s="9"/>
    </row>
    <row r="196" customFormat="false" ht="15" hidden="false" customHeight="true" outlineLevel="0" collapsed="false">
      <c r="A196" s="10"/>
      <c r="B196" s="10"/>
      <c r="C196" s="10"/>
      <c r="D196" s="10"/>
      <c r="E196" s="9"/>
    </row>
    <row r="197" customFormat="false" ht="15" hidden="false" customHeight="true" outlineLevel="0" collapsed="false">
      <c r="A197" s="10"/>
      <c r="B197" s="10"/>
      <c r="C197" s="10"/>
      <c r="D197" s="10"/>
      <c r="E197" s="9"/>
    </row>
    <row r="198" customFormat="false" ht="15" hidden="false" customHeight="true" outlineLevel="0" collapsed="false">
      <c r="A198" s="10"/>
      <c r="B198" s="10"/>
      <c r="C198" s="10"/>
      <c r="D198" s="10"/>
      <c r="E198" s="9"/>
    </row>
    <row r="199" customFormat="false" ht="15" hidden="false" customHeight="true" outlineLevel="0" collapsed="false">
      <c r="A199" s="10"/>
      <c r="B199" s="10"/>
      <c r="C199" s="10"/>
      <c r="D199" s="10"/>
      <c r="E199" s="9"/>
    </row>
    <row r="200" customFormat="false" ht="15" hidden="false" customHeight="true" outlineLevel="0" collapsed="false">
      <c r="A200" s="10"/>
      <c r="B200" s="10"/>
      <c r="C200" s="10"/>
      <c r="D200" s="10"/>
      <c r="E200" s="9"/>
    </row>
    <row r="201" customFormat="false" ht="15" hidden="false" customHeight="true" outlineLevel="0" collapsed="false">
      <c r="A201" s="10"/>
      <c r="B201" s="10"/>
      <c r="C201" s="10"/>
      <c r="D201" s="10"/>
      <c r="E201" s="9"/>
    </row>
    <row r="202" customFormat="false" ht="15" hidden="false" customHeight="true" outlineLevel="0" collapsed="false">
      <c r="A202" s="10"/>
      <c r="B202" s="10"/>
      <c r="C202" s="10"/>
      <c r="D202" s="10"/>
      <c r="E202" s="9"/>
    </row>
    <row r="203" customFormat="false" ht="15" hidden="false" customHeight="true" outlineLevel="0" collapsed="false">
      <c r="A203" s="10"/>
      <c r="B203" s="10"/>
      <c r="C203" s="10"/>
      <c r="D203" s="10"/>
      <c r="E203" s="9"/>
    </row>
    <row r="204" customFormat="false" ht="15" hidden="false" customHeight="true" outlineLevel="0" collapsed="false">
      <c r="A204" s="10"/>
      <c r="B204" s="10"/>
      <c r="C204" s="10"/>
      <c r="D204" s="10"/>
      <c r="E204" s="9"/>
    </row>
    <row r="205" customFormat="false" ht="15" hidden="false" customHeight="true" outlineLevel="0" collapsed="false">
      <c r="A205" s="10"/>
      <c r="B205" s="10"/>
      <c r="C205" s="10"/>
      <c r="D205" s="10"/>
      <c r="E205" s="9"/>
    </row>
    <row r="206" customFormat="false" ht="15" hidden="false" customHeight="true" outlineLevel="0" collapsed="false">
      <c r="A206" s="10"/>
      <c r="B206" s="10"/>
      <c r="C206" s="10"/>
      <c r="D206" s="10"/>
      <c r="E206" s="9"/>
    </row>
    <row r="207" customFormat="false" ht="15" hidden="false" customHeight="true" outlineLevel="0" collapsed="false">
      <c r="A207" s="10"/>
      <c r="B207" s="10"/>
      <c r="C207" s="10"/>
      <c r="D207" s="10"/>
      <c r="E207" s="9"/>
    </row>
    <row r="208" customFormat="false" ht="15" hidden="false" customHeight="true" outlineLevel="0" collapsed="false">
      <c r="A208" s="10"/>
      <c r="B208" s="10"/>
      <c r="C208" s="10"/>
      <c r="D208" s="10"/>
      <c r="E208" s="9"/>
    </row>
    <row r="209" customFormat="false" ht="15" hidden="false" customHeight="true" outlineLevel="0" collapsed="false">
      <c r="A209" s="10"/>
      <c r="B209" s="10"/>
      <c r="C209" s="10"/>
      <c r="D209" s="10"/>
      <c r="E209" s="9"/>
    </row>
    <row r="210" customFormat="false" ht="15" hidden="false" customHeight="true" outlineLevel="0" collapsed="false">
      <c r="A210" s="10"/>
      <c r="B210" s="10"/>
      <c r="C210" s="10"/>
      <c r="D210" s="10"/>
      <c r="E210" s="9"/>
    </row>
    <row r="211" customFormat="false" ht="15" hidden="false" customHeight="true" outlineLevel="0" collapsed="false">
      <c r="A211" s="10"/>
      <c r="B211" s="10"/>
      <c r="C211" s="10"/>
      <c r="D211" s="10"/>
      <c r="E211" s="9"/>
    </row>
    <row r="212" customFormat="false" ht="15" hidden="false" customHeight="true" outlineLevel="0" collapsed="false">
      <c r="A212" s="10"/>
      <c r="B212" s="10"/>
      <c r="C212" s="10"/>
      <c r="D212" s="10"/>
      <c r="E212" s="9"/>
    </row>
    <row r="213" customFormat="false" ht="15" hidden="false" customHeight="true" outlineLevel="0" collapsed="false">
      <c r="A213" s="10"/>
      <c r="B213" s="10"/>
      <c r="C213" s="10"/>
      <c r="D213" s="10"/>
      <c r="E213" s="9"/>
    </row>
    <row r="214" customFormat="false" ht="15" hidden="false" customHeight="true" outlineLevel="0" collapsed="false">
      <c r="A214" s="10"/>
      <c r="B214" s="10"/>
      <c r="C214" s="10"/>
      <c r="D214" s="10"/>
      <c r="E214" s="9"/>
    </row>
    <row r="215" customFormat="false" ht="15" hidden="false" customHeight="true" outlineLevel="0" collapsed="false">
      <c r="A215" s="10"/>
      <c r="B215" s="10"/>
      <c r="C215" s="10"/>
      <c r="D215" s="10"/>
      <c r="E215" s="9"/>
    </row>
    <row r="216" customFormat="false" ht="15" hidden="false" customHeight="true" outlineLevel="0" collapsed="false">
      <c r="A216" s="10"/>
      <c r="B216" s="10"/>
      <c r="C216" s="10"/>
      <c r="D216" s="10"/>
      <c r="E216" s="9"/>
    </row>
    <row r="217" customFormat="false" ht="15" hidden="false" customHeight="true" outlineLevel="0" collapsed="false">
      <c r="A217" s="10"/>
      <c r="B217" s="10"/>
      <c r="C217" s="10"/>
      <c r="D217" s="10"/>
      <c r="E217" s="9"/>
    </row>
    <row r="218" customFormat="false" ht="15" hidden="false" customHeight="true" outlineLevel="0" collapsed="false">
      <c r="A218" s="10"/>
      <c r="B218" s="10"/>
      <c r="C218" s="10"/>
      <c r="D218" s="10"/>
      <c r="E218" s="9"/>
    </row>
    <row r="219" customFormat="false" ht="15" hidden="false" customHeight="true" outlineLevel="0" collapsed="false">
      <c r="A219" s="10"/>
      <c r="B219" s="10"/>
      <c r="C219" s="10"/>
      <c r="D219" s="10"/>
      <c r="E219" s="9"/>
    </row>
    <row r="220" customFormat="false" ht="15" hidden="false" customHeight="true" outlineLevel="0" collapsed="false">
      <c r="A220" s="10"/>
      <c r="B220" s="10"/>
      <c r="C220" s="10"/>
      <c r="D220" s="10"/>
      <c r="E220" s="9"/>
    </row>
    <row r="221" customFormat="false" ht="15" hidden="false" customHeight="true" outlineLevel="0" collapsed="false">
      <c r="A221" s="10"/>
      <c r="B221" s="10"/>
      <c r="C221" s="10"/>
      <c r="D221" s="10"/>
      <c r="E221" s="9"/>
    </row>
    <row r="222" customFormat="false" ht="15" hidden="false" customHeight="true" outlineLevel="0" collapsed="false">
      <c r="A222" s="10"/>
      <c r="B222" s="10"/>
      <c r="C222" s="10"/>
      <c r="D222" s="10"/>
      <c r="E222" s="9"/>
    </row>
    <row r="223" customFormat="false" ht="15" hidden="false" customHeight="true" outlineLevel="0" collapsed="false">
      <c r="A223" s="10"/>
      <c r="B223" s="10"/>
      <c r="C223" s="10"/>
      <c r="D223" s="10"/>
      <c r="E223" s="9"/>
    </row>
    <row r="224" customFormat="false" ht="15" hidden="false" customHeight="true" outlineLevel="0" collapsed="false">
      <c r="A224" s="10"/>
      <c r="B224" s="10"/>
      <c r="C224" s="10"/>
      <c r="D224" s="10"/>
      <c r="E224" s="9"/>
    </row>
    <row r="225" customFormat="false" ht="15" hidden="false" customHeight="true" outlineLevel="0" collapsed="false">
      <c r="A225" s="10"/>
      <c r="B225" s="10"/>
      <c r="C225" s="10"/>
      <c r="D225" s="10"/>
      <c r="E225" s="9"/>
    </row>
    <row r="226" customFormat="false" ht="15" hidden="false" customHeight="true" outlineLevel="0" collapsed="false">
      <c r="A226" s="10"/>
      <c r="B226" s="10"/>
      <c r="C226" s="10"/>
      <c r="D226" s="10"/>
      <c r="E226" s="9"/>
    </row>
    <row r="227" customFormat="false" ht="15" hidden="false" customHeight="true" outlineLevel="0" collapsed="false">
      <c r="A227" s="10"/>
      <c r="B227" s="10"/>
      <c r="C227" s="10"/>
      <c r="D227" s="10"/>
      <c r="E227" s="9"/>
    </row>
    <row r="228" customFormat="false" ht="15" hidden="false" customHeight="true" outlineLevel="0" collapsed="false">
      <c r="A228" s="10"/>
      <c r="B228" s="10"/>
      <c r="C228" s="10"/>
      <c r="D228" s="10"/>
      <c r="E228" s="9"/>
    </row>
    <row r="229" customFormat="false" ht="15" hidden="false" customHeight="true" outlineLevel="0" collapsed="false">
      <c r="A229" s="10"/>
      <c r="B229" s="10"/>
      <c r="C229" s="10"/>
      <c r="D229" s="10"/>
      <c r="E229" s="9"/>
    </row>
    <row r="230" customFormat="false" ht="15" hidden="false" customHeight="true" outlineLevel="0" collapsed="false">
      <c r="A230" s="10"/>
      <c r="B230" s="10"/>
      <c r="C230" s="10"/>
      <c r="D230" s="10"/>
      <c r="E230" s="9"/>
    </row>
    <row r="231" customFormat="false" ht="15" hidden="false" customHeight="true" outlineLevel="0" collapsed="false">
      <c r="A231" s="10"/>
      <c r="B231" s="10"/>
      <c r="C231" s="10"/>
      <c r="D231" s="10"/>
      <c r="E231" s="9"/>
    </row>
    <row r="232" customFormat="false" ht="15" hidden="false" customHeight="true" outlineLevel="0" collapsed="false">
      <c r="A232" s="10"/>
      <c r="B232" s="10"/>
      <c r="C232" s="10"/>
      <c r="D232" s="10"/>
      <c r="E232" s="9"/>
    </row>
    <row r="233" customFormat="false" ht="15" hidden="false" customHeight="true" outlineLevel="0" collapsed="false">
      <c r="A233" s="10"/>
      <c r="B233" s="10"/>
      <c r="C233" s="10"/>
      <c r="D233" s="10"/>
      <c r="E233" s="9"/>
    </row>
    <row r="234" customFormat="false" ht="15" hidden="false" customHeight="true" outlineLevel="0" collapsed="false">
      <c r="A234" s="10"/>
      <c r="B234" s="10"/>
      <c r="C234" s="10"/>
      <c r="D234" s="10"/>
      <c r="E234" s="9"/>
    </row>
    <row r="235" customFormat="false" ht="15" hidden="false" customHeight="true" outlineLevel="0" collapsed="false">
      <c r="A235" s="10"/>
      <c r="B235" s="10"/>
      <c r="C235" s="10"/>
      <c r="D235" s="10"/>
      <c r="E235" s="9"/>
    </row>
    <row r="236" customFormat="false" ht="15" hidden="false" customHeight="true" outlineLevel="0" collapsed="false">
      <c r="A236" s="10"/>
      <c r="B236" s="10"/>
      <c r="C236" s="10"/>
      <c r="D236" s="10"/>
      <c r="E236" s="9"/>
    </row>
    <row r="237" customFormat="false" ht="15" hidden="false" customHeight="true" outlineLevel="0" collapsed="false">
      <c r="A237" s="10"/>
      <c r="B237" s="10"/>
      <c r="C237" s="10"/>
      <c r="D237" s="10"/>
      <c r="E237" s="9"/>
    </row>
    <row r="238" customFormat="false" ht="15" hidden="false" customHeight="true" outlineLevel="0" collapsed="false">
      <c r="A238" s="10"/>
      <c r="B238" s="10"/>
      <c r="C238" s="10"/>
      <c r="D238" s="10"/>
      <c r="E238" s="9"/>
    </row>
    <row r="239" customFormat="false" ht="15" hidden="false" customHeight="true" outlineLevel="0" collapsed="false">
      <c r="A239" s="10"/>
      <c r="B239" s="10"/>
      <c r="C239" s="10"/>
      <c r="D239" s="10"/>
      <c r="E239" s="9"/>
    </row>
    <row r="240" customFormat="false" ht="15" hidden="false" customHeight="true" outlineLevel="0" collapsed="false">
      <c r="A240" s="10"/>
      <c r="B240" s="10"/>
      <c r="C240" s="10"/>
      <c r="D240" s="10"/>
      <c r="E240" s="9"/>
    </row>
    <row r="241" customFormat="false" ht="15" hidden="false" customHeight="true" outlineLevel="0" collapsed="false">
      <c r="A241" s="10"/>
      <c r="B241" s="10"/>
      <c r="C241" s="10"/>
      <c r="D241" s="10"/>
      <c r="E241" s="9"/>
    </row>
    <row r="242" customFormat="false" ht="15" hidden="false" customHeight="true" outlineLevel="0" collapsed="false">
      <c r="A242" s="10"/>
      <c r="B242" s="10"/>
      <c r="C242" s="10"/>
      <c r="D242" s="10"/>
      <c r="E242" s="9"/>
    </row>
    <row r="243" customFormat="false" ht="15" hidden="false" customHeight="true" outlineLevel="0" collapsed="false">
      <c r="A243" s="10"/>
      <c r="B243" s="10"/>
      <c r="C243" s="10"/>
      <c r="D243" s="10"/>
      <c r="E243" s="9"/>
    </row>
    <row r="244" customFormat="false" ht="15" hidden="false" customHeight="true" outlineLevel="0" collapsed="false">
      <c r="A244" s="10"/>
      <c r="B244" s="10"/>
      <c r="C244" s="10"/>
      <c r="D244" s="10"/>
      <c r="E244" s="9"/>
    </row>
    <row r="245" customFormat="false" ht="15" hidden="false" customHeight="true" outlineLevel="0" collapsed="false">
      <c r="A245" s="10"/>
      <c r="B245" s="10"/>
      <c r="C245" s="10"/>
      <c r="D245" s="10"/>
      <c r="E245" s="9"/>
    </row>
    <row r="246" customFormat="false" ht="15" hidden="false" customHeight="true" outlineLevel="0" collapsed="false">
      <c r="A246" s="10"/>
      <c r="B246" s="10"/>
      <c r="C246" s="10"/>
      <c r="D246" s="10"/>
      <c r="E246" s="9"/>
    </row>
    <row r="247" customFormat="false" ht="15" hidden="false" customHeight="true" outlineLevel="0" collapsed="false">
      <c r="A247" s="10"/>
      <c r="B247" s="10"/>
      <c r="C247" s="10"/>
      <c r="D247" s="10"/>
      <c r="E247" s="9"/>
    </row>
    <row r="248" customFormat="false" ht="15" hidden="false" customHeight="true" outlineLevel="0" collapsed="false">
      <c r="A248" s="10"/>
      <c r="B248" s="10"/>
      <c r="C248" s="10"/>
      <c r="D248" s="10"/>
      <c r="E248" s="9"/>
    </row>
    <row r="249" customFormat="false" ht="15" hidden="false" customHeight="true" outlineLevel="0" collapsed="false">
      <c r="A249" s="10"/>
      <c r="B249" s="10"/>
      <c r="C249" s="10"/>
      <c r="D249" s="10"/>
      <c r="E249" s="9"/>
    </row>
    <row r="250" customFormat="false" ht="15" hidden="false" customHeight="true" outlineLevel="0" collapsed="false">
      <c r="A250" s="10"/>
      <c r="B250" s="10"/>
      <c r="C250" s="10"/>
      <c r="D250" s="10"/>
      <c r="E250" s="9"/>
    </row>
    <row r="251" customFormat="false" ht="15" hidden="false" customHeight="true" outlineLevel="0" collapsed="false">
      <c r="A251" s="10"/>
      <c r="B251" s="10"/>
      <c r="C251" s="10"/>
      <c r="D251" s="10"/>
      <c r="E251" s="9"/>
    </row>
    <row r="252" customFormat="false" ht="15" hidden="false" customHeight="true" outlineLevel="0" collapsed="false">
      <c r="A252" s="10"/>
      <c r="B252" s="10"/>
      <c r="C252" s="10"/>
      <c r="D252" s="10"/>
      <c r="E252" s="9"/>
    </row>
    <row r="253" customFormat="false" ht="15" hidden="false" customHeight="true" outlineLevel="0" collapsed="false">
      <c r="A253" s="10"/>
      <c r="B253" s="10"/>
      <c r="C253" s="10"/>
      <c r="D253" s="10"/>
      <c r="E253" s="9"/>
    </row>
    <row r="254" customFormat="false" ht="15" hidden="false" customHeight="true" outlineLevel="0" collapsed="false">
      <c r="A254" s="10"/>
      <c r="B254" s="10"/>
      <c r="C254" s="10"/>
      <c r="D254" s="10"/>
      <c r="E254" s="9"/>
    </row>
    <row r="255" customFormat="false" ht="15" hidden="false" customHeight="true" outlineLevel="0" collapsed="false">
      <c r="A255" s="10"/>
      <c r="B255" s="10"/>
      <c r="C255" s="10"/>
      <c r="D255" s="10"/>
      <c r="E255" s="9"/>
    </row>
    <row r="256" customFormat="false" ht="15" hidden="false" customHeight="true" outlineLevel="0" collapsed="false">
      <c r="A256" s="10"/>
      <c r="B256" s="10"/>
      <c r="C256" s="10"/>
      <c r="D256" s="10"/>
      <c r="E256" s="9"/>
    </row>
    <row r="257" customFormat="false" ht="15" hidden="false" customHeight="true" outlineLevel="0" collapsed="false">
      <c r="A257" s="10"/>
      <c r="B257" s="10"/>
      <c r="C257" s="10"/>
      <c r="D257" s="10"/>
      <c r="E257" s="9"/>
    </row>
    <row r="258" customFormat="false" ht="15" hidden="false" customHeight="true" outlineLevel="0" collapsed="false">
      <c r="A258" s="10"/>
      <c r="B258" s="10"/>
      <c r="C258" s="10"/>
      <c r="D258" s="10"/>
      <c r="E258" s="9"/>
    </row>
    <row r="259" customFormat="false" ht="15" hidden="false" customHeight="true" outlineLevel="0" collapsed="false">
      <c r="A259" s="10"/>
      <c r="B259" s="10"/>
      <c r="C259" s="10"/>
      <c r="D259" s="10"/>
      <c r="E259" s="9"/>
    </row>
    <row r="260" customFormat="false" ht="15" hidden="false" customHeight="true" outlineLevel="0" collapsed="false">
      <c r="A260" s="10"/>
      <c r="B260" s="10"/>
      <c r="C260" s="10"/>
      <c r="D260" s="10"/>
      <c r="E260" s="9"/>
    </row>
    <row r="261" customFormat="false" ht="15" hidden="false" customHeight="true" outlineLevel="0" collapsed="false">
      <c r="A261" s="10"/>
      <c r="B261" s="10"/>
      <c r="C261" s="10"/>
      <c r="D261" s="10"/>
      <c r="E261" s="9"/>
    </row>
    <row r="262" customFormat="false" ht="15" hidden="false" customHeight="true" outlineLevel="0" collapsed="false">
      <c r="A262" s="10"/>
      <c r="B262" s="10"/>
      <c r="C262" s="10"/>
      <c r="D262" s="10"/>
      <c r="E262" s="9"/>
    </row>
    <row r="263" customFormat="false" ht="15" hidden="false" customHeight="true" outlineLevel="0" collapsed="false">
      <c r="A263" s="10"/>
      <c r="B263" s="10"/>
      <c r="C263" s="10"/>
      <c r="D263" s="10"/>
      <c r="E263" s="9"/>
    </row>
    <row r="264" customFormat="false" ht="15" hidden="false" customHeight="true" outlineLevel="0" collapsed="false">
      <c r="A264" s="10"/>
      <c r="B264" s="10"/>
      <c r="C264" s="10"/>
      <c r="D264" s="10"/>
      <c r="E264" s="9"/>
    </row>
    <row r="265" customFormat="false" ht="15" hidden="false" customHeight="true" outlineLevel="0" collapsed="false">
      <c r="A265" s="10"/>
      <c r="B265" s="10"/>
      <c r="C265" s="10"/>
      <c r="D265" s="10"/>
      <c r="E265" s="9"/>
    </row>
    <row r="266" customFormat="false" ht="15" hidden="false" customHeight="true" outlineLevel="0" collapsed="false">
      <c r="A266" s="10"/>
      <c r="B266" s="10"/>
      <c r="C266" s="10"/>
      <c r="D266" s="10"/>
      <c r="E266" s="9"/>
    </row>
    <row r="267" customFormat="false" ht="15" hidden="false" customHeight="true" outlineLevel="0" collapsed="false">
      <c r="A267" s="10"/>
      <c r="B267" s="10"/>
      <c r="C267" s="10"/>
      <c r="D267" s="10"/>
      <c r="E267" s="9"/>
    </row>
    <row r="268" customFormat="false" ht="15" hidden="false" customHeight="true" outlineLevel="0" collapsed="false">
      <c r="A268" s="10"/>
      <c r="B268" s="10"/>
      <c r="C268" s="10"/>
      <c r="D268" s="10"/>
      <c r="E268" s="9"/>
    </row>
    <row r="269" customFormat="false" ht="15" hidden="false" customHeight="true" outlineLevel="0" collapsed="false">
      <c r="A269" s="10"/>
      <c r="B269" s="10"/>
      <c r="C269" s="10"/>
      <c r="D269" s="10"/>
      <c r="E269" s="9"/>
    </row>
    <row r="270" customFormat="false" ht="15" hidden="false" customHeight="true" outlineLevel="0" collapsed="false">
      <c r="A270" s="10"/>
      <c r="B270" s="10"/>
      <c r="C270" s="10"/>
      <c r="D270" s="10"/>
      <c r="E270" s="9"/>
    </row>
    <row r="271" customFormat="false" ht="15" hidden="false" customHeight="true" outlineLevel="0" collapsed="false">
      <c r="A271" s="10"/>
      <c r="B271" s="10"/>
      <c r="C271" s="10"/>
      <c r="D271" s="10"/>
      <c r="E271" s="9"/>
    </row>
    <row r="272" customFormat="false" ht="15" hidden="false" customHeight="true" outlineLevel="0" collapsed="false">
      <c r="A272" s="10"/>
      <c r="B272" s="10"/>
      <c r="C272" s="10"/>
      <c r="D272" s="10"/>
      <c r="E272" s="9"/>
    </row>
    <row r="273" customFormat="false" ht="15" hidden="false" customHeight="true" outlineLevel="0" collapsed="false">
      <c r="A273" s="10"/>
      <c r="B273" s="10"/>
      <c r="C273" s="10"/>
      <c r="D273" s="10"/>
      <c r="E273" s="9"/>
    </row>
    <row r="274" customFormat="false" ht="15" hidden="false" customHeight="true" outlineLevel="0" collapsed="false">
      <c r="A274" s="10"/>
      <c r="B274" s="10"/>
      <c r="C274" s="10"/>
      <c r="D274" s="10"/>
      <c r="E274" s="9"/>
    </row>
    <row r="275" customFormat="false" ht="15" hidden="false" customHeight="true" outlineLevel="0" collapsed="false">
      <c r="A275" s="10"/>
      <c r="B275" s="10"/>
      <c r="C275" s="10"/>
      <c r="D275" s="10"/>
      <c r="E275" s="9"/>
    </row>
    <row r="276" customFormat="false" ht="15" hidden="false" customHeight="true" outlineLevel="0" collapsed="false">
      <c r="A276" s="10"/>
      <c r="B276" s="10"/>
      <c r="C276" s="10"/>
      <c r="D276" s="10"/>
      <c r="E276" s="9"/>
    </row>
    <row r="277" customFormat="false" ht="15" hidden="false" customHeight="true" outlineLevel="0" collapsed="false">
      <c r="A277" s="10"/>
      <c r="B277" s="10"/>
      <c r="C277" s="10"/>
      <c r="D277" s="10"/>
      <c r="E277" s="9"/>
    </row>
    <row r="278" customFormat="false" ht="15" hidden="false" customHeight="true" outlineLevel="0" collapsed="false">
      <c r="A278" s="10"/>
      <c r="B278" s="10"/>
      <c r="C278" s="10"/>
      <c r="D278" s="10"/>
      <c r="E278" s="9"/>
    </row>
    <row r="279" customFormat="false" ht="15" hidden="false" customHeight="true" outlineLevel="0" collapsed="false">
      <c r="A279" s="10"/>
      <c r="B279" s="10"/>
      <c r="C279" s="10"/>
      <c r="D279" s="10"/>
      <c r="E279" s="9"/>
    </row>
    <row r="280" customFormat="false" ht="15" hidden="false" customHeight="true" outlineLevel="0" collapsed="false">
      <c r="A280" s="10"/>
      <c r="B280" s="10"/>
      <c r="C280" s="10"/>
      <c r="D280" s="10"/>
      <c r="E280" s="9"/>
    </row>
    <row r="281" customFormat="false" ht="15" hidden="false" customHeight="true" outlineLevel="0" collapsed="false">
      <c r="A281" s="10"/>
      <c r="B281" s="10"/>
      <c r="C281" s="10"/>
      <c r="D281" s="10"/>
      <c r="E281" s="9"/>
    </row>
    <row r="282" customFormat="false" ht="15" hidden="false" customHeight="true" outlineLevel="0" collapsed="false">
      <c r="A282" s="10"/>
      <c r="B282" s="10"/>
      <c r="C282" s="10"/>
      <c r="D282" s="10"/>
      <c r="E282" s="9"/>
    </row>
    <row r="283" customFormat="false" ht="15" hidden="false" customHeight="true" outlineLevel="0" collapsed="false">
      <c r="A283" s="10"/>
      <c r="B283" s="10"/>
      <c r="C283" s="10"/>
      <c r="D283" s="10"/>
      <c r="E283" s="9"/>
    </row>
    <row r="284" customFormat="false" ht="15" hidden="false" customHeight="true" outlineLevel="0" collapsed="false">
      <c r="A284" s="10"/>
      <c r="B284" s="10"/>
      <c r="C284" s="10"/>
      <c r="D284" s="10"/>
      <c r="E284" s="9"/>
    </row>
    <row r="285" customFormat="false" ht="15" hidden="false" customHeight="true" outlineLevel="0" collapsed="false">
      <c r="A285" s="10"/>
      <c r="B285" s="10"/>
      <c r="C285" s="10"/>
      <c r="D285" s="10"/>
      <c r="E285" s="9"/>
    </row>
    <row r="286" customFormat="false" ht="15" hidden="false" customHeight="true" outlineLevel="0" collapsed="false">
      <c r="A286" s="10"/>
      <c r="B286" s="10"/>
      <c r="C286" s="10"/>
      <c r="D286" s="10"/>
      <c r="E286" s="9"/>
    </row>
    <row r="287" customFormat="false" ht="15" hidden="false" customHeight="true" outlineLevel="0" collapsed="false">
      <c r="A287" s="10"/>
      <c r="B287" s="10"/>
      <c r="C287" s="10"/>
      <c r="D287" s="10"/>
      <c r="E287" s="9"/>
    </row>
    <row r="288" customFormat="false" ht="15" hidden="false" customHeight="true" outlineLevel="0" collapsed="false">
      <c r="A288" s="10"/>
      <c r="B288" s="10"/>
      <c r="C288" s="10"/>
      <c r="D288" s="10"/>
      <c r="E288" s="9"/>
    </row>
    <row r="289" customFormat="false" ht="15" hidden="false" customHeight="true" outlineLevel="0" collapsed="false">
      <c r="A289" s="10"/>
      <c r="B289" s="10"/>
      <c r="C289" s="10"/>
      <c r="D289" s="10"/>
      <c r="E289" s="9"/>
    </row>
    <row r="290" customFormat="false" ht="15" hidden="false" customHeight="true" outlineLevel="0" collapsed="false">
      <c r="A290" s="10"/>
      <c r="B290" s="10"/>
      <c r="C290" s="10"/>
      <c r="D290" s="10"/>
      <c r="E290" s="9"/>
    </row>
    <row r="291" customFormat="false" ht="15" hidden="false" customHeight="true" outlineLevel="0" collapsed="false">
      <c r="A291" s="10"/>
      <c r="B291" s="10"/>
      <c r="C291" s="10"/>
      <c r="D291" s="10"/>
      <c r="E291" s="9"/>
    </row>
    <row r="292" customFormat="false" ht="15" hidden="false" customHeight="true" outlineLevel="0" collapsed="false">
      <c r="A292" s="10"/>
      <c r="B292" s="10"/>
      <c r="C292" s="10"/>
      <c r="D292" s="10"/>
      <c r="E292" s="9"/>
    </row>
    <row r="293" customFormat="false" ht="15" hidden="false" customHeight="true" outlineLevel="0" collapsed="false">
      <c r="A293" s="10"/>
      <c r="B293" s="10"/>
      <c r="C293" s="10"/>
      <c r="D293" s="10"/>
      <c r="E293" s="9"/>
    </row>
    <row r="294" customFormat="false" ht="15" hidden="false" customHeight="true" outlineLevel="0" collapsed="false">
      <c r="A294" s="10"/>
      <c r="B294" s="10"/>
      <c r="C294" s="10"/>
      <c r="D294" s="10"/>
      <c r="E294" s="9"/>
    </row>
    <row r="295" customFormat="false" ht="15" hidden="false" customHeight="true" outlineLevel="0" collapsed="false">
      <c r="A295" s="10"/>
      <c r="B295" s="10"/>
      <c r="C295" s="10"/>
      <c r="D295" s="10"/>
      <c r="E295" s="9"/>
    </row>
    <row r="296" customFormat="false" ht="15" hidden="false" customHeight="true" outlineLevel="0" collapsed="false">
      <c r="A296" s="10"/>
      <c r="B296" s="10"/>
      <c r="C296" s="10"/>
      <c r="D296" s="10"/>
      <c r="E296" s="9"/>
    </row>
    <row r="297" customFormat="false" ht="15" hidden="false" customHeight="true" outlineLevel="0" collapsed="false">
      <c r="A297" s="10"/>
      <c r="B297" s="10"/>
      <c r="C297" s="10"/>
      <c r="D297" s="10"/>
      <c r="E297" s="9"/>
    </row>
    <row r="298" customFormat="false" ht="15" hidden="false" customHeight="true" outlineLevel="0" collapsed="false">
      <c r="A298" s="10"/>
      <c r="B298" s="10"/>
      <c r="C298" s="10"/>
      <c r="D298" s="10"/>
      <c r="E298" s="9"/>
    </row>
    <row r="299" customFormat="false" ht="15" hidden="false" customHeight="true" outlineLevel="0" collapsed="false">
      <c r="A299" s="10"/>
      <c r="B299" s="10"/>
      <c r="C299" s="10"/>
      <c r="D299" s="10"/>
      <c r="E299" s="9"/>
    </row>
    <row r="300" customFormat="false" ht="15" hidden="false" customHeight="true" outlineLevel="0" collapsed="false">
      <c r="A300" s="10"/>
      <c r="B300" s="10"/>
      <c r="C300" s="10"/>
      <c r="D300" s="10"/>
      <c r="E300" s="9"/>
    </row>
    <row r="301" customFormat="false" ht="15" hidden="false" customHeight="true" outlineLevel="0" collapsed="false">
      <c r="A301" s="10"/>
      <c r="B301" s="10"/>
      <c r="C301" s="10"/>
      <c r="D301" s="10"/>
      <c r="E301" s="9"/>
    </row>
    <row r="302" customFormat="false" ht="15" hidden="false" customHeight="true" outlineLevel="0" collapsed="false">
      <c r="A302" s="10"/>
      <c r="B302" s="10"/>
      <c r="C302" s="10"/>
      <c r="D302" s="10"/>
      <c r="E302" s="9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E3:E302" type="list">
      <formula1>"원재료,부자재,완제품,기타"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13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28"/>
    <col collapsed="false" customWidth="true" hidden="false" outlineLevel="0" max="14" min="13" style="1" width="16"/>
    <col collapsed="false" customWidth="true" hidden="false" outlineLevel="0" max="15" min="15" style="1" width="13"/>
  </cols>
  <sheetData>
    <row r="1" customFormat="false" ht="25.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11" t="s">
        <v>65</v>
      </c>
      <c r="B2" s="8" t="s">
        <v>66</v>
      </c>
      <c r="C2" s="8" t="s">
        <v>26</v>
      </c>
      <c r="D2" s="8" t="s">
        <v>42</v>
      </c>
      <c r="E2" s="11" t="s">
        <v>67</v>
      </c>
      <c r="F2" s="11" t="s">
        <v>68</v>
      </c>
      <c r="G2" s="11" t="s">
        <v>69</v>
      </c>
      <c r="H2" s="11" t="s">
        <v>70</v>
      </c>
      <c r="I2" s="8" t="s">
        <v>71</v>
      </c>
      <c r="J2" s="8" t="s">
        <v>27</v>
      </c>
      <c r="K2" s="8" t="s">
        <v>72</v>
      </c>
      <c r="L2" s="8" t="s">
        <v>73</v>
      </c>
      <c r="M2" s="11" t="s">
        <v>74</v>
      </c>
      <c r="N2" s="11" t="s">
        <v>75</v>
      </c>
      <c r="O2" s="11" t="s">
        <v>76</v>
      </c>
    </row>
    <row r="3" customFormat="false" ht="15" hidden="false" customHeight="true" outlineLevel="0" collapsed="false">
      <c r="A3" s="12" t="str">
        <f aca="false">IF($B3="","",TEXT($B3,"yymm")&amp;"-"&amp;TEXT(COUNTIFS($B$3:$B3,"&gt;="&amp;DATE(YEAR($B3),MONTH($B3),1),$B$3:$B3,"&lt;="&amp;EOMONTH($B3,0)),"000"))</f>
        <v>2608-001</v>
      </c>
      <c r="B3" s="13" t="n">
        <v>46262</v>
      </c>
      <c r="C3" s="10" t="inlineStr">
        <is>
          <t>○○소재</t>
        </is>
      </c>
      <c r="D3" s="10" t="inlineStr">
        <is>
          <t>A001</t>
        </is>
      </c>
      <c r="E3" s="12" t="str">
        <f aca="false">IF($D3="","",IFERROR(INDEX(품목목록!$B$3:$B$302,MATCH($D3,품목목록!$A$3:$A$302,0)),"미등록품번"))</f>
        <v>원단 롤</v>
      </c>
      <c r="F3" s="12" t="str">
        <f aca="false">IF($D3="","",IFERROR(INDEX(품목목록!$C$3:$C$302,MATCH($D3,품목목록!$A$3:$A$302,0)),""))</f>
        <v>1200mm</v>
      </c>
      <c r="G3" s="12" t="str">
        <f aca="false">IF($D3="","",IFERROR(INDEX(품목목록!$D$3:$D$302,MATCH($D3,품목목록!$A$3:$A$302,0)),""))</f>
        <v>롤</v>
      </c>
      <c r="H3" s="12" t="str">
        <f aca="false">IF($D3="","",IFERROR(INDEX(품목목록!$E$3:$E$302,MATCH($D3,품목목록!$A$3:$A$302,0)),""))</f>
        <v>원재료</v>
      </c>
      <c r="I3" s="14" t="n">
        <v>3</v>
      </c>
      <c r="J3" s="10" t="inlineStr">
        <is>
          <t>불량</t>
        </is>
      </c>
      <c r="K3" s="10" t="inlineStr">
        <is>
          <t>오염</t>
        </is>
      </c>
      <c r="L3" s="10" t="inlineStr">
        <is>
          <t>롤 표면 이물 혼입</t>
        </is>
      </c>
      <c r="M3" s="15" t="n">
        <f aca="false">IF($A3="","",SUMIFS(처리내역!$E$3:$E$1502,처리내역!$B$3:$B$1502,$A3))</f>
        <v>2</v>
      </c>
      <c r="N3" s="15" t="n">
        <f aca="false">IF($A3="","",IF($I3="","",$I3-$M3))</f>
        <v>1</v>
      </c>
      <c r="O3" s="12" t="str">
        <f aca="false">IF($A3="","",IF($I3="","",IF($M3=0,"미처리",IF($N3&lt;=0,"완료","부분처리"))))</f>
        <v>부분처리</v>
      </c>
    </row>
    <row r="4" customFormat="false" ht="15" hidden="false" customHeight="true" outlineLevel="0" collapsed="false">
      <c r="A4" s="12" t="str">
        <f aca="false">IF($B4="","",TEXT($B4,"yymm")&amp;"-"&amp;TEXT(COUNTIFS($B$3:$B4,"&gt;="&amp;DATE(YEAR($B4),MONTH($B4),1),$B$3:$B4,"&lt;="&amp;EOMONTH($B4,0)),"000"))</f>
        <v>2609-001</v>
      </c>
      <c r="B4" s="13" t="n">
        <v>46267</v>
      </c>
      <c r="C4" s="10" t="inlineStr">
        <is>
          <t>△△부품</t>
        </is>
      </c>
      <c r="D4" s="10" t="inlineStr">
        <is>
          <t>A002</t>
        </is>
      </c>
      <c r="E4" s="12" t="str">
        <f aca="false">IF($D4="","",IFERROR(INDEX(품목목록!$B$3:$B$302,MATCH($D4,품목목록!$A$3:$A$302,0)),"미등록품번"))</f>
        <v>접착제</v>
      </c>
      <c r="F4" s="12" t="str">
        <f aca="false">IF($D4="","",IFERROR(INDEX(품목목록!$C$3:$C$302,MATCH($D4,품목목록!$A$3:$A$302,0)),""))</f>
        <v>20L</v>
      </c>
      <c r="G4" s="12" t="str">
        <f aca="false">IF($D4="","",IFERROR(INDEX(품목목록!$D$3:$D$302,MATCH($D4,품목목록!$A$3:$A$302,0)),""))</f>
        <v>통</v>
      </c>
      <c r="H4" s="12" t="str">
        <f aca="false">IF($D4="","",IFERROR(INDEX(품목목록!$E$3:$E$302,MATCH($D4,품목목록!$A$3:$A$302,0)),""))</f>
        <v>원재료</v>
      </c>
      <c r="I4" s="14" t="n">
        <v>2</v>
      </c>
      <c r="J4" s="10" t="inlineStr">
        <is>
          <t>반품</t>
        </is>
      </c>
      <c r="K4" s="10" t="inlineStr">
        <is>
          <t>규격상이</t>
        </is>
      </c>
      <c r="L4" s="10" t="inlineStr">
        <is>
          <t>점도 규격 상이</t>
        </is>
      </c>
      <c r="M4" s="15" t="n">
        <f aca="false">IF($A4="","",SUMIFS(처리내역!$E$3:$E$1502,처리내역!$B$3:$B$1502,$A4))</f>
        <v>2</v>
      </c>
      <c r="N4" s="15" t="n">
        <f aca="false">IF($A4="","",IF($I4="","",$I4-$M4))</f>
        <v>0</v>
      </c>
      <c r="O4" s="12" t="str">
        <f aca="false">IF($A4="","",IF($I4="","",IF($M4=0,"미처리",IF($N4&lt;=0,"완료","부분처리"))))</f>
        <v>완료</v>
      </c>
    </row>
    <row r="5" customFormat="false" ht="15" hidden="false" customHeight="true" outlineLevel="0" collapsed="false">
      <c r="A5" s="12" t="str">
        <f aca="false">IF($B5="","",TEXT($B5,"yymm")&amp;"-"&amp;TEXT(COUNTIFS($B$3:$B5,"&gt;="&amp;DATE(YEAR($B5),MONTH($B5),1),$B$3:$B5,"&lt;="&amp;EOMONTH($B5,0)),"000"))</f>
        <v>2609-002</v>
      </c>
      <c r="B5" s="13" t="n">
        <v>46270</v>
      </c>
      <c r="C5" s="10" t="inlineStr">
        <is>
          <t>□□유통</t>
        </is>
      </c>
      <c r="D5" s="10" t="inlineStr">
        <is>
          <t>B001</t>
        </is>
      </c>
      <c r="E5" s="12" t="str">
        <f aca="false">IF($D5="","",IFERROR(INDEX(품목목록!$B$3:$B$302,MATCH($D5,품목목록!$A$3:$A$302,0)),"미등록품번"))</f>
        <v>포장박스</v>
      </c>
      <c r="F5" s="12" t="str">
        <f aca="false">IF($D5="","",IFERROR(INDEX(품목목록!$C$3:$C$302,MATCH($D5,품목목록!$A$3:$A$302,0)),""))</f>
        <v>300×200</v>
      </c>
      <c r="G5" s="12" t="str">
        <f aca="false">IF($D5="","",IFERROR(INDEX(품목목록!$D$3:$D$302,MATCH($D5,품목목록!$A$3:$A$302,0)),""))</f>
        <v>EA</v>
      </c>
      <c r="H5" s="12" t="str">
        <f aca="false">IF($D5="","",IFERROR(INDEX(품목목록!$E$3:$E$302,MATCH($D5,품목목록!$A$3:$A$302,0)),""))</f>
        <v>부자재</v>
      </c>
      <c r="I5" s="14" t="n">
        <v>50</v>
      </c>
      <c r="J5" s="10" t="inlineStr">
        <is>
          <t>불량</t>
        </is>
      </c>
      <c r="K5" s="10" t="inlineStr">
        <is>
          <t>파손</t>
        </is>
      </c>
      <c r="L5" s="10" t="inlineStr">
        <is>
          <t>모서리 눌림</t>
        </is>
      </c>
      <c r="M5" s="15" t="n">
        <f aca="false">IF($A5="","",SUMIFS(처리내역!$E$3:$E$1502,처리내역!$B$3:$B$1502,$A5))</f>
        <v>50</v>
      </c>
      <c r="N5" s="15" t="n">
        <f aca="false">IF($A5="","",IF($I5="","",$I5-$M5))</f>
        <v>0</v>
      </c>
      <c r="O5" s="12" t="str">
        <f aca="false">IF($A5="","",IF($I5="","",IF($M5=0,"미처리",IF($N5&lt;=0,"완료","부분처리"))))</f>
        <v>완료</v>
      </c>
    </row>
    <row r="6" customFormat="false" ht="15" hidden="false" customHeight="true" outlineLevel="0" collapsed="false">
      <c r="A6" s="12" t="str">
        <f aca="false">IF($B6="","",TEXT($B6,"yymm")&amp;"-"&amp;TEXT(COUNTIFS($B$3:$B6,"&gt;="&amp;DATE(YEAR($B6),MONTH($B6),1),$B$3:$B6,"&lt;="&amp;EOMONTH($B6,0)),"000"))</f>
        <v>2609-003</v>
      </c>
      <c r="B6" s="13" t="n">
        <v>46274</v>
      </c>
      <c r="C6" s="10" t="inlineStr">
        <is>
          <t>□□유통</t>
        </is>
      </c>
      <c r="D6" s="10" t="inlineStr">
        <is>
          <t>B002</t>
        </is>
      </c>
      <c r="E6" s="12" t="str">
        <f aca="false">IF($D6="","",IFERROR(INDEX(품목목록!$B$3:$B$302,MATCH($D6,품목목록!$A$3:$A$302,0)),"미등록품번"))</f>
        <v>라벨 스티커</v>
      </c>
      <c r="F6" s="12" t="str">
        <f aca="false">IF($D6="","",IFERROR(INDEX(품목목록!$C$3:$C$302,MATCH($D6,품목목록!$A$3:$A$302,0)),""))</f>
        <v>50×30</v>
      </c>
      <c r="G6" s="12" t="str">
        <f aca="false">IF($D6="","",IFERROR(INDEX(품목목록!$D$3:$D$302,MATCH($D6,품목목록!$A$3:$A$302,0)),""))</f>
        <v>EA</v>
      </c>
      <c r="H6" s="12" t="str">
        <f aca="false">IF($D6="","",IFERROR(INDEX(품목목록!$E$3:$E$302,MATCH($D6,품목목록!$A$3:$A$302,0)),""))</f>
        <v>부자재</v>
      </c>
      <c r="I6" s="14" t="n">
        <v>200</v>
      </c>
      <c r="J6" s="10" t="inlineStr">
        <is>
          <t>반품</t>
        </is>
      </c>
      <c r="K6" s="10" t="inlineStr">
        <is>
          <t>오배송</t>
        </is>
      </c>
      <c r="L6" s="10" t="inlineStr">
        <is>
          <t>타 거래처 라벨 혼입</t>
        </is>
      </c>
      <c r="M6" s="15" t="n">
        <f aca="false">IF($A6="","",SUMIFS(처리내역!$E$3:$E$1502,처리내역!$B$3:$B$1502,$A6))</f>
        <v>0</v>
      </c>
      <c r="N6" s="15" t="n">
        <f aca="false">IF($A6="","",IF($I6="","",$I6-$M6))</f>
        <v>200</v>
      </c>
      <c r="O6" s="12" t="str">
        <f aca="false">IF($A6="","",IF($I6="","",IF($M6=0,"미처리",IF($N6&lt;=0,"완료","부분처리"))))</f>
        <v>미처리</v>
      </c>
    </row>
    <row r="7" customFormat="false" ht="15" hidden="false" customHeight="true" outlineLevel="0" collapsed="false">
      <c r="A7" s="12" t="str">
        <f aca="false">IF($B7="","",TEXT($B7,"yymm")&amp;"-"&amp;TEXT(COUNTIFS($B$3:$B7,"&gt;="&amp;DATE(YEAR($B7),MONTH($B7),1),$B$3:$B7,"&lt;="&amp;EOMONTH($B7,0)),"000"))</f>
        <v>2609-004</v>
      </c>
      <c r="B7" s="13" t="n">
        <v>46277</v>
      </c>
      <c r="C7" s="10" t="inlineStr">
        <is>
          <t>○○소재</t>
        </is>
      </c>
      <c r="D7" s="10" t="inlineStr">
        <is>
          <t>A001</t>
        </is>
      </c>
      <c r="E7" s="12" t="str">
        <f aca="false">IF($D7="","",IFERROR(INDEX(품목목록!$B$3:$B$302,MATCH($D7,품목목록!$A$3:$A$302,0)),"미등록품번"))</f>
        <v>원단 롤</v>
      </c>
      <c r="F7" s="12" t="str">
        <f aca="false">IF($D7="","",IFERROR(INDEX(품목목록!$C$3:$C$302,MATCH($D7,품목목록!$A$3:$A$302,0)),""))</f>
        <v>1200mm</v>
      </c>
      <c r="G7" s="12" t="str">
        <f aca="false">IF($D7="","",IFERROR(INDEX(품목목록!$D$3:$D$302,MATCH($D7,품목목록!$A$3:$A$302,0)),""))</f>
        <v>롤</v>
      </c>
      <c r="H7" s="12" t="str">
        <f aca="false">IF($D7="","",IFERROR(INDEX(품목목록!$E$3:$E$302,MATCH($D7,품목목록!$A$3:$A$302,0)),""))</f>
        <v>원재료</v>
      </c>
      <c r="I7" s="14" t="n">
        <v>1</v>
      </c>
      <c r="J7" s="10" t="inlineStr">
        <is>
          <t>교환</t>
        </is>
      </c>
      <c r="K7" s="10" t="inlineStr">
        <is>
          <t>유통기한</t>
        </is>
      </c>
      <c r="L7" s="10" t="inlineStr">
        <is>
          <t>보관기한 초과</t>
        </is>
      </c>
      <c r="M7" s="15" t="n">
        <f aca="false">IF($A7="","",SUMIFS(처리내역!$E$3:$E$1502,처리내역!$B$3:$B$1502,$A7))</f>
        <v>0</v>
      </c>
      <c r="N7" s="15" t="n">
        <f aca="false">IF($A7="","",IF($I7="","",$I7-$M7))</f>
        <v>1</v>
      </c>
      <c r="O7" s="12" t="str">
        <f aca="false">IF($A7="","",IF($I7="","",IF($M7=0,"미처리",IF($N7&lt;=0,"완료","부분처리"))))</f>
        <v>미처리</v>
      </c>
    </row>
    <row r="8" customFormat="false" ht="15" hidden="false" customHeight="true" outlineLevel="0" collapsed="false">
      <c r="A8" s="12" t="str">
        <f aca="false">IF($B8="","",TEXT($B8,"yymm")&amp;"-"&amp;TEXT(COUNTIFS($B$3:$B8,"&gt;="&amp;DATE(YEAR($B8),MONTH($B8),1),$B$3:$B8,"&lt;="&amp;EOMONTH($B8,0)),"000"))</f>
        <v/>
      </c>
      <c r="B8" s="13"/>
      <c r="C8" s="10"/>
      <c r="D8" s="10"/>
      <c r="E8" s="12" t="str">
        <f aca="false">IF($D8="","",IFERROR(INDEX(품목목록!$B$3:$B$302,MATCH($D8,품목목록!$A$3:$A$302,0)),"미등록품번"))</f>
        <v/>
      </c>
      <c r="F8" s="12" t="str">
        <f aca="false">IF($D8="","",IFERROR(INDEX(품목목록!$C$3:$C$302,MATCH($D8,품목목록!$A$3:$A$302,0)),""))</f>
        <v/>
      </c>
      <c r="G8" s="12" t="str">
        <f aca="false">IF($D8="","",IFERROR(INDEX(품목목록!$D$3:$D$302,MATCH($D8,품목목록!$A$3:$A$302,0)),""))</f>
        <v/>
      </c>
      <c r="H8" s="12" t="str">
        <f aca="false">IF($D8="","",IFERROR(INDEX(품목목록!$E$3:$E$302,MATCH($D8,품목목록!$A$3:$A$302,0)),""))</f>
        <v/>
      </c>
      <c r="I8" s="14"/>
      <c r="J8" s="10"/>
      <c r="K8" s="10"/>
      <c r="L8" s="10"/>
      <c r="M8" s="15" t="str">
        <f aca="false">IF($A8="","",SUMIFS(처리내역!$E$3:$E$1502,처리내역!$B$3:$B$1502,$A8))</f>
        <v/>
      </c>
      <c r="N8" s="15" t="str">
        <f aca="false">IF($A8="","",IF($I8="","",$I8-$M8))</f>
        <v/>
      </c>
      <c r="O8" s="12" t="str">
        <f aca="false">IF($A8="","",IF($I8="","",IF($M8=0,"미처리",IF($N8&lt;=0,"완료","부분처리"))))</f>
        <v/>
      </c>
    </row>
    <row r="9" customFormat="false" ht="15" hidden="false" customHeight="true" outlineLevel="0" collapsed="false">
      <c r="A9" s="12" t="str">
        <f aca="false">IF($B9="","",TEXT($B9,"yymm")&amp;"-"&amp;TEXT(COUNTIFS($B$3:$B9,"&gt;="&amp;DATE(YEAR($B9),MONTH($B9),1),$B$3:$B9,"&lt;="&amp;EOMONTH($B9,0)),"000"))</f>
        <v/>
      </c>
      <c r="B9" s="13"/>
      <c r="C9" s="10"/>
      <c r="D9" s="10"/>
      <c r="E9" s="12" t="str">
        <f aca="false">IF($D9="","",IFERROR(INDEX(품목목록!$B$3:$B$302,MATCH($D9,품목목록!$A$3:$A$302,0)),"미등록품번"))</f>
        <v/>
      </c>
      <c r="F9" s="12" t="str">
        <f aca="false">IF($D9="","",IFERROR(INDEX(품목목록!$C$3:$C$302,MATCH($D9,품목목록!$A$3:$A$302,0)),""))</f>
        <v/>
      </c>
      <c r="G9" s="12" t="str">
        <f aca="false">IF($D9="","",IFERROR(INDEX(품목목록!$D$3:$D$302,MATCH($D9,품목목록!$A$3:$A$302,0)),""))</f>
        <v/>
      </c>
      <c r="H9" s="12" t="str">
        <f aca="false">IF($D9="","",IFERROR(INDEX(품목목록!$E$3:$E$302,MATCH($D9,품목목록!$A$3:$A$302,0)),""))</f>
        <v/>
      </c>
      <c r="I9" s="14"/>
      <c r="J9" s="10"/>
      <c r="K9" s="10"/>
      <c r="L9" s="10"/>
      <c r="M9" s="15" t="str">
        <f aca="false">IF($A9="","",SUMIFS(처리내역!$E$3:$E$1502,처리내역!$B$3:$B$1502,$A9))</f>
        <v/>
      </c>
      <c r="N9" s="15" t="str">
        <f aca="false">IF($A9="","",IF($I9="","",$I9-$M9))</f>
        <v/>
      </c>
      <c r="O9" s="12" t="str">
        <f aca="false">IF($A9="","",IF($I9="","",IF($M9=0,"미처리",IF($N9&lt;=0,"완료","부분처리"))))</f>
        <v/>
      </c>
    </row>
    <row r="10" customFormat="false" ht="15" hidden="false" customHeight="true" outlineLevel="0" collapsed="false">
      <c r="A10" s="12" t="str">
        <f aca="false">IF($B10="","",TEXT($B10,"yymm")&amp;"-"&amp;TEXT(COUNTIFS($B$3:$B10,"&gt;="&amp;DATE(YEAR($B10),MONTH($B10),1),$B$3:$B10,"&lt;="&amp;EOMONTH($B10,0)),"000"))</f>
        <v/>
      </c>
      <c r="B10" s="13"/>
      <c r="C10" s="10"/>
      <c r="D10" s="10"/>
      <c r="E10" s="12" t="str">
        <f aca="false">IF($D10="","",IFERROR(INDEX(품목목록!$B$3:$B$302,MATCH($D10,품목목록!$A$3:$A$302,0)),"미등록품번"))</f>
        <v/>
      </c>
      <c r="F10" s="12" t="str">
        <f aca="false">IF($D10="","",IFERROR(INDEX(품목목록!$C$3:$C$302,MATCH($D10,품목목록!$A$3:$A$302,0)),""))</f>
        <v/>
      </c>
      <c r="G10" s="12" t="str">
        <f aca="false">IF($D10="","",IFERROR(INDEX(품목목록!$D$3:$D$302,MATCH($D10,품목목록!$A$3:$A$302,0)),""))</f>
        <v/>
      </c>
      <c r="H10" s="12" t="str">
        <f aca="false">IF($D10="","",IFERROR(INDEX(품목목록!$E$3:$E$302,MATCH($D10,품목목록!$A$3:$A$302,0)),""))</f>
        <v/>
      </c>
      <c r="I10" s="14"/>
      <c r="J10" s="10"/>
      <c r="K10" s="10"/>
      <c r="L10" s="10"/>
      <c r="M10" s="15" t="str">
        <f aca="false">IF($A10="","",SUMIFS(처리내역!$E$3:$E$1502,처리내역!$B$3:$B$1502,$A10))</f>
        <v/>
      </c>
      <c r="N10" s="15" t="str">
        <f aca="false">IF($A10="","",IF($I10="","",$I10-$M10))</f>
        <v/>
      </c>
      <c r="O10" s="12" t="str">
        <f aca="false">IF($A10="","",IF($I10="","",IF($M10=0,"미처리",IF($N10&lt;=0,"완료","부분처리"))))</f>
        <v/>
      </c>
    </row>
    <row r="11" customFormat="false" ht="15" hidden="false" customHeight="true" outlineLevel="0" collapsed="false">
      <c r="A11" s="12" t="str">
        <f aca="false">IF($B11="","",TEXT($B11,"yymm")&amp;"-"&amp;TEXT(COUNTIFS($B$3:$B11,"&gt;="&amp;DATE(YEAR($B11),MONTH($B11),1),$B$3:$B11,"&lt;="&amp;EOMONTH($B11,0)),"000"))</f>
        <v/>
      </c>
      <c r="B11" s="13"/>
      <c r="C11" s="10"/>
      <c r="D11" s="10"/>
      <c r="E11" s="12" t="str">
        <f aca="false">IF($D11="","",IFERROR(INDEX(품목목록!$B$3:$B$302,MATCH($D11,품목목록!$A$3:$A$302,0)),"미등록품번"))</f>
        <v/>
      </c>
      <c r="F11" s="12" t="str">
        <f aca="false">IF($D11="","",IFERROR(INDEX(품목목록!$C$3:$C$302,MATCH($D11,품목목록!$A$3:$A$302,0)),""))</f>
        <v/>
      </c>
      <c r="G11" s="12" t="str">
        <f aca="false">IF($D11="","",IFERROR(INDEX(품목목록!$D$3:$D$302,MATCH($D11,품목목록!$A$3:$A$302,0)),""))</f>
        <v/>
      </c>
      <c r="H11" s="12" t="str">
        <f aca="false">IF($D11="","",IFERROR(INDEX(품목목록!$E$3:$E$302,MATCH($D11,품목목록!$A$3:$A$302,0)),""))</f>
        <v/>
      </c>
      <c r="I11" s="14"/>
      <c r="J11" s="10"/>
      <c r="K11" s="10"/>
      <c r="L11" s="10"/>
      <c r="M11" s="15" t="str">
        <f aca="false">IF($A11="","",SUMIFS(처리내역!$E$3:$E$1502,처리내역!$B$3:$B$1502,$A11))</f>
        <v/>
      </c>
      <c r="N11" s="15" t="str">
        <f aca="false">IF($A11="","",IF($I11="","",$I11-$M11))</f>
        <v/>
      </c>
      <c r="O11" s="12" t="str">
        <f aca="false">IF($A11="","",IF($I11="","",IF($M11=0,"미처리",IF($N11&lt;=0,"완료","부분처리"))))</f>
        <v/>
      </c>
    </row>
    <row r="12" customFormat="false" ht="15" hidden="false" customHeight="true" outlineLevel="0" collapsed="false">
      <c r="A12" s="12" t="str">
        <f aca="false">IF($B12="","",TEXT($B12,"yymm")&amp;"-"&amp;TEXT(COUNTIFS($B$3:$B12,"&gt;="&amp;DATE(YEAR($B12),MONTH($B12),1),$B$3:$B12,"&lt;="&amp;EOMONTH($B12,0)),"000"))</f>
        <v/>
      </c>
      <c r="B12" s="13"/>
      <c r="C12" s="10"/>
      <c r="D12" s="10"/>
      <c r="E12" s="12" t="str">
        <f aca="false">IF($D12="","",IFERROR(INDEX(품목목록!$B$3:$B$302,MATCH($D12,품목목록!$A$3:$A$302,0)),"미등록품번"))</f>
        <v/>
      </c>
      <c r="F12" s="12" t="str">
        <f aca="false">IF($D12="","",IFERROR(INDEX(품목목록!$C$3:$C$302,MATCH($D12,품목목록!$A$3:$A$302,0)),""))</f>
        <v/>
      </c>
      <c r="G12" s="12" t="str">
        <f aca="false">IF($D12="","",IFERROR(INDEX(품목목록!$D$3:$D$302,MATCH($D12,품목목록!$A$3:$A$302,0)),""))</f>
        <v/>
      </c>
      <c r="H12" s="12" t="str">
        <f aca="false">IF($D12="","",IFERROR(INDEX(품목목록!$E$3:$E$302,MATCH($D12,품목목록!$A$3:$A$302,0)),""))</f>
        <v/>
      </c>
      <c r="I12" s="14"/>
      <c r="J12" s="10"/>
      <c r="K12" s="10"/>
      <c r="L12" s="10"/>
      <c r="M12" s="15" t="str">
        <f aca="false">IF($A12="","",SUMIFS(처리내역!$E$3:$E$1502,처리내역!$B$3:$B$1502,$A12))</f>
        <v/>
      </c>
      <c r="N12" s="15" t="str">
        <f aca="false">IF($A12="","",IF($I12="","",$I12-$M12))</f>
        <v/>
      </c>
      <c r="O12" s="12" t="str">
        <f aca="false">IF($A12="","",IF($I12="","",IF($M12=0,"미처리",IF($N12&lt;=0,"완료","부분처리"))))</f>
        <v/>
      </c>
    </row>
    <row r="13" customFormat="false" ht="15" hidden="false" customHeight="true" outlineLevel="0" collapsed="false">
      <c r="A13" s="12" t="str">
        <f aca="false">IF($B13="","",TEXT($B13,"yymm")&amp;"-"&amp;TEXT(COUNTIFS($B$3:$B13,"&gt;="&amp;DATE(YEAR($B13),MONTH($B13),1),$B$3:$B13,"&lt;="&amp;EOMONTH($B13,0)),"000"))</f>
        <v/>
      </c>
      <c r="B13" s="13"/>
      <c r="C13" s="10"/>
      <c r="D13" s="10"/>
      <c r="E13" s="12" t="str">
        <f aca="false">IF($D13="","",IFERROR(INDEX(품목목록!$B$3:$B$302,MATCH($D13,품목목록!$A$3:$A$302,0)),"미등록품번"))</f>
        <v/>
      </c>
      <c r="F13" s="12" t="str">
        <f aca="false">IF($D13="","",IFERROR(INDEX(품목목록!$C$3:$C$302,MATCH($D13,품목목록!$A$3:$A$302,0)),""))</f>
        <v/>
      </c>
      <c r="G13" s="12" t="str">
        <f aca="false">IF($D13="","",IFERROR(INDEX(품목목록!$D$3:$D$302,MATCH($D13,품목목록!$A$3:$A$302,0)),""))</f>
        <v/>
      </c>
      <c r="H13" s="12" t="str">
        <f aca="false">IF($D13="","",IFERROR(INDEX(품목목록!$E$3:$E$302,MATCH($D13,품목목록!$A$3:$A$302,0)),""))</f>
        <v/>
      </c>
      <c r="I13" s="14"/>
      <c r="J13" s="10"/>
      <c r="K13" s="10"/>
      <c r="L13" s="10"/>
      <c r="M13" s="15" t="str">
        <f aca="false">IF($A13="","",SUMIFS(처리내역!$E$3:$E$1502,처리내역!$B$3:$B$1502,$A13))</f>
        <v/>
      </c>
      <c r="N13" s="15" t="str">
        <f aca="false">IF($A13="","",IF($I13="","",$I13-$M13))</f>
        <v/>
      </c>
      <c r="O13" s="12" t="str">
        <f aca="false">IF($A13="","",IF($I13="","",IF($M13=0,"미처리",IF($N13&lt;=0,"완료","부분처리"))))</f>
        <v/>
      </c>
    </row>
    <row r="14" customFormat="false" ht="15" hidden="false" customHeight="true" outlineLevel="0" collapsed="false">
      <c r="A14" s="12" t="str">
        <f aca="false">IF($B14="","",TEXT($B14,"yymm")&amp;"-"&amp;TEXT(COUNTIFS($B$3:$B14,"&gt;="&amp;DATE(YEAR($B14),MONTH($B14),1),$B$3:$B14,"&lt;="&amp;EOMONTH($B14,0)),"000"))</f>
        <v/>
      </c>
      <c r="B14" s="13"/>
      <c r="C14" s="10"/>
      <c r="D14" s="10"/>
      <c r="E14" s="12" t="str">
        <f aca="false">IF($D14="","",IFERROR(INDEX(품목목록!$B$3:$B$302,MATCH($D14,품목목록!$A$3:$A$302,0)),"미등록품번"))</f>
        <v/>
      </c>
      <c r="F14" s="12" t="str">
        <f aca="false">IF($D14="","",IFERROR(INDEX(품목목록!$C$3:$C$302,MATCH($D14,품목목록!$A$3:$A$302,0)),""))</f>
        <v/>
      </c>
      <c r="G14" s="12" t="str">
        <f aca="false">IF($D14="","",IFERROR(INDEX(품목목록!$D$3:$D$302,MATCH($D14,품목목록!$A$3:$A$302,0)),""))</f>
        <v/>
      </c>
      <c r="H14" s="12" t="str">
        <f aca="false">IF($D14="","",IFERROR(INDEX(품목목록!$E$3:$E$302,MATCH($D14,품목목록!$A$3:$A$302,0)),""))</f>
        <v/>
      </c>
      <c r="I14" s="14"/>
      <c r="J14" s="10"/>
      <c r="K14" s="10"/>
      <c r="L14" s="10"/>
      <c r="M14" s="15" t="str">
        <f aca="false">IF($A14="","",SUMIFS(처리내역!$E$3:$E$1502,처리내역!$B$3:$B$1502,$A14))</f>
        <v/>
      </c>
      <c r="N14" s="15" t="str">
        <f aca="false">IF($A14="","",IF($I14="","",$I14-$M14))</f>
        <v/>
      </c>
      <c r="O14" s="12" t="str">
        <f aca="false">IF($A14="","",IF($I14="","",IF($M14=0,"미처리",IF($N14&lt;=0,"완료","부분처리"))))</f>
        <v/>
      </c>
    </row>
    <row r="15" customFormat="false" ht="15" hidden="false" customHeight="true" outlineLevel="0" collapsed="false">
      <c r="A15" s="12" t="str">
        <f aca="false">IF($B15="","",TEXT($B15,"yymm")&amp;"-"&amp;TEXT(COUNTIFS($B$3:$B15,"&gt;="&amp;DATE(YEAR($B15),MONTH($B15),1),$B$3:$B15,"&lt;="&amp;EOMONTH($B15,0)),"000"))</f>
        <v/>
      </c>
      <c r="B15" s="13"/>
      <c r="C15" s="10"/>
      <c r="D15" s="10"/>
      <c r="E15" s="12" t="str">
        <f aca="false">IF($D15="","",IFERROR(INDEX(품목목록!$B$3:$B$302,MATCH($D15,품목목록!$A$3:$A$302,0)),"미등록품번"))</f>
        <v/>
      </c>
      <c r="F15" s="12" t="str">
        <f aca="false">IF($D15="","",IFERROR(INDEX(품목목록!$C$3:$C$302,MATCH($D15,품목목록!$A$3:$A$302,0)),""))</f>
        <v/>
      </c>
      <c r="G15" s="12" t="str">
        <f aca="false">IF($D15="","",IFERROR(INDEX(품목목록!$D$3:$D$302,MATCH($D15,품목목록!$A$3:$A$302,0)),""))</f>
        <v/>
      </c>
      <c r="H15" s="12" t="str">
        <f aca="false">IF($D15="","",IFERROR(INDEX(품목목록!$E$3:$E$302,MATCH($D15,품목목록!$A$3:$A$302,0)),""))</f>
        <v/>
      </c>
      <c r="I15" s="14"/>
      <c r="J15" s="10"/>
      <c r="K15" s="10"/>
      <c r="L15" s="10"/>
      <c r="M15" s="15" t="str">
        <f aca="false">IF($A15="","",SUMIFS(처리내역!$E$3:$E$1502,처리내역!$B$3:$B$1502,$A15))</f>
        <v/>
      </c>
      <c r="N15" s="15" t="str">
        <f aca="false">IF($A15="","",IF($I15="","",$I15-$M15))</f>
        <v/>
      </c>
      <c r="O15" s="12" t="str">
        <f aca="false">IF($A15="","",IF($I15="","",IF($M15=0,"미처리",IF($N15&lt;=0,"완료","부분처리"))))</f>
        <v/>
      </c>
    </row>
    <row r="16" customFormat="false" ht="15" hidden="false" customHeight="true" outlineLevel="0" collapsed="false">
      <c r="A16" s="12" t="str">
        <f aca="false">IF($B16="","",TEXT($B16,"yymm")&amp;"-"&amp;TEXT(COUNTIFS($B$3:$B16,"&gt;="&amp;DATE(YEAR($B16),MONTH($B16),1),$B$3:$B16,"&lt;="&amp;EOMONTH($B16,0)),"000"))</f>
        <v/>
      </c>
      <c r="B16" s="13"/>
      <c r="C16" s="10"/>
      <c r="D16" s="10"/>
      <c r="E16" s="12" t="str">
        <f aca="false">IF($D16="","",IFERROR(INDEX(품목목록!$B$3:$B$302,MATCH($D16,품목목록!$A$3:$A$302,0)),"미등록품번"))</f>
        <v/>
      </c>
      <c r="F16" s="12" t="str">
        <f aca="false">IF($D16="","",IFERROR(INDEX(품목목록!$C$3:$C$302,MATCH($D16,품목목록!$A$3:$A$302,0)),""))</f>
        <v/>
      </c>
      <c r="G16" s="12" t="str">
        <f aca="false">IF($D16="","",IFERROR(INDEX(품목목록!$D$3:$D$302,MATCH($D16,품목목록!$A$3:$A$302,0)),""))</f>
        <v/>
      </c>
      <c r="H16" s="12" t="str">
        <f aca="false">IF($D16="","",IFERROR(INDEX(품목목록!$E$3:$E$302,MATCH($D16,품목목록!$A$3:$A$302,0)),""))</f>
        <v/>
      </c>
      <c r="I16" s="14"/>
      <c r="J16" s="10"/>
      <c r="K16" s="10"/>
      <c r="L16" s="10"/>
      <c r="M16" s="15" t="str">
        <f aca="false">IF($A16="","",SUMIFS(처리내역!$E$3:$E$1502,처리내역!$B$3:$B$1502,$A16))</f>
        <v/>
      </c>
      <c r="N16" s="15" t="str">
        <f aca="false">IF($A16="","",IF($I16="","",$I16-$M16))</f>
        <v/>
      </c>
      <c r="O16" s="12" t="str">
        <f aca="false">IF($A16="","",IF($I16="","",IF($M16=0,"미처리",IF($N16&lt;=0,"완료","부분처리"))))</f>
        <v/>
      </c>
    </row>
    <row r="17" customFormat="false" ht="15" hidden="false" customHeight="true" outlineLevel="0" collapsed="false">
      <c r="A17" s="12" t="str">
        <f aca="false">IF($B17="","",TEXT($B17,"yymm")&amp;"-"&amp;TEXT(COUNTIFS($B$3:$B17,"&gt;="&amp;DATE(YEAR($B17),MONTH($B17),1),$B$3:$B17,"&lt;="&amp;EOMONTH($B17,0)),"000"))</f>
        <v/>
      </c>
      <c r="B17" s="13"/>
      <c r="C17" s="10"/>
      <c r="D17" s="10"/>
      <c r="E17" s="12" t="str">
        <f aca="false">IF($D17="","",IFERROR(INDEX(품목목록!$B$3:$B$302,MATCH($D17,품목목록!$A$3:$A$302,0)),"미등록품번"))</f>
        <v/>
      </c>
      <c r="F17" s="12" t="str">
        <f aca="false">IF($D17="","",IFERROR(INDEX(품목목록!$C$3:$C$302,MATCH($D17,품목목록!$A$3:$A$302,0)),""))</f>
        <v/>
      </c>
      <c r="G17" s="12" t="str">
        <f aca="false">IF($D17="","",IFERROR(INDEX(품목목록!$D$3:$D$302,MATCH($D17,품목목록!$A$3:$A$302,0)),""))</f>
        <v/>
      </c>
      <c r="H17" s="12" t="str">
        <f aca="false">IF($D17="","",IFERROR(INDEX(품목목록!$E$3:$E$302,MATCH($D17,품목목록!$A$3:$A$302,0)),""))</f>
        <v/>
      </c>
      <c r="I17" s="14"/>
      <c r="J17" s="10"/>
      <c r="K17" s="10"/>
      <c r="L17" s="10"/>
      <c r="M17" s="15" t="str">
        <f aca="false">IF($A17="","",SUMIFS(처리내역!$E$3:$E$1502,처리내역!$B$3:$B$1502,$A17))</f>
        <v/>
      </c>
      <c r="N17" s="15" t="str">
        <f aca="false">IF($A17="","",IF($I17="","",$I17-$M17))</f>
        <v/>
      </c>
      <c r="O17" s="12" t="str">
        <f aca="false">IF($A17="","",IF($I17="","",IF($M17=0,"미처리",IF($N17&lt;=0,"완료","부분처리"))))</f>
        <v/>
      </c>
    </row>
    <row r="18" customFormat="false" ht="15" hidden="false" customHeight="true" outlineLevel="0" collapsed="false">
      <c r="A18" s="12" t="str">
        <f aca="false">IF($B18="","",TEXT($B18,"yymm")&amp;"-"&amp;TEXT(COUNTIFS($B$3:$B18,"&gt;="&amp;DATE(YEAR($B18),MONTH($B18),1),$B$3:$B18,"&lt;="&amp;EOMONTH($B18,0)),"000"))</f>
        <v/>
      </c>
      <c r="B18" s="13"/>
      <c r="C18" s="10"/>
      <c r="D18" s="10"/>
      <c r="E18" s="12" t="str">
        <f aca="false">IF($D18="","",IFERROR(INDEX(품목목록!$B$3:$B$302,MATCH($D18,품목목록!$A$3:$A$302,0)),"미등록품번"))</f>
        <v/>
      </c>
      <c r="F18" s="12" t="str">
        <f aca="false">IF($D18="","",IFERROR(INDEX(품목목록!$C$3:$C$302,MATCH($D18,품목목록!$A$3:$A$302,0)),""))</f>
        <v/>
      </c>
      <c r="G18" s="12" t="str">
        <f aca="false">IF($D18="","",IFERROR(INDEX(품목목록!$D$3:$D$302,MATCH($D18,품목목록!$A$3:$A$302,0)),""))</f>
        <v/>
      </c>
      <c r="H18" s="12" t="str">
        <f aca="false">IF($D18="","",IFERROR(INDEX(품목목록!$E$3:$E$302,MATCH($D18,품목목록!$A$3:$A$302,0)),""))</f>
        <v/>
      </c>
      <c r="I18" s="14"/>
      <c r="J18" s="10"/>
      <c r="K18" s="10"/>
      <c r="L18" s="10"/>
      <c r="M18" s="15" t="str">
        <f aca="false">IF($A18="","",SUMIFS(처리내역!$E$3:$E$1502,처리내역!$B$3:$B$1502,$A18))</f>
        <v/>
      </c>
      <c r="N18" s="15" t="str">
        <f aca="false">IF($A18="","",IF($I18="","",$I18-$M18))</f>
        <v/>
      </c>
      <c r="O18" s="12" t="str">
        <f aca="false">IF($A18="","",IF($I18="","",IF($M18=0,"미처리",IF($N18&lt;=0,"완료","부분처리"))))</f>
        <v/>
      </c>
    </row>
    <row r="19" customFormat="false" ht="15" hidden="false" customHeight="true" outlineLevel="0" collapsed="false">
      <c r="A19" s="12" t="str">
        <f aca="false">IF($B19="","",TEXT($B19,"yymm")&amp;"-"&amp;TEXT(COUNTIFS($B$3:$B19,"&gt;="&amp;DATE(YEAR($B19),MONTH($B19),1),$B$3:$B19,"&lt;="&amp;EOMONTH($B19,0)),"000"))</f>
        <v/>
      </c>
      <c r="B19" s="13"/>
      <c r="C19" s="10"/>
      <c r="D19" s="10"/>
      <c r="E19" s="12" t="str">
        <f aca="false">IF($D19="","",IFERROR(INDEX(품목목록!$B$3:$B$302,MATCH($D19,품목목록!$A$3:$A$302,0)),"미등록품번"))</f>
        <v/>
      </c>
      <c r="F19" s="12" t="str">
        <f aca="false">IF($D19="","",IFERROR(INDEX(품목목록!$C$3:$C$302,MATCH($D19,품목목록!$A$3:$A$302,0)),""))</f>
        <v/>
      </c>
      <c r="G19" s="12" t="str">
        <f aca="false">IF($D19="","",IFERROR(INDEX(품목목록!$D$3:$D$302,MATCH($D19,품목목록!$A$3:$A$302,0)),""))</f>
        <v/>
      </c>
      <c r="H19" s="12" t="str">
        <f aca="false">IF($D19="","",IFERROR(INDEX(품목목록!$E$3:$E$302,MATCH($D19,품목목록!$A$3:$A$302,0)),""))</f>
        <v/>
      </c>
      <c r="I19" s="14"/>
      <c r="J19" s="10"/>
      <c r="K19" s="10"/>
      <c r="L19" s="10"/>
      <c r="M19" s="15" t="str">
        <f aca="false">IF($A19="","",SUMIFS(처리내역!$E$3:$E$1502,처리내역!$B$3:$B$1502,$A19))</f>
        <v/>
      </c>
      <c r="N19" s="15" t="str">
        <f aca="false">IF($A19="","",IF($I19="","",$I19-$M19))</f>
        <v/>
      </c>
      <c r="O19" s="12" t="str">
        <f aca="false">IF($A19="","",IF($I19="","",IF($M19=0,"미처리",IF($N19&lt;=0,"완료","부분처리"))))</f>
        <v/>
      </c>
    </row>
    <row r="20" customFormat="false" ht="15" hidden="false" customHeight="true" outlineLevel="0" collapsed="false">
      <c r="A20" s="12" t="str">
        <f aca="false">IF($B20="","",TEXT($B20,"yymm")&amp;"-"&amp;TEXT(COUNTIFS($B$3:$B20,"&gt;="&amp;DATE(YEAR($B20),MONTH($B20),1),$B$3:$B20,"&lt;="&amp;EOMONTH($B20,0)),"000"))</f>
        <v/>
      </c>
      <c r="B20" s="13"/>
      <c r="C20" s="10"/>
      <c r="D20" s="10"/>
      <c r="E20" s="12" t="str">
        <f aca="false">IF($D20="","",IFERROR(INDEX(품목목록!$B$3:$B$302,MATCH($D20,품목목록!$A$3:$A$302,0)),"미등록품번"))</f>
        <v/>
      </c>
      <c r="F20" s="12" t="str">
        <f aca="false">IF($D20="","",IFERROR(INDEX(품목목록!$C$3:$C$302,MATCH($D20,품목목록!$A$3:$A$302,0)),""))</f>
        <v/>
      </c>
      <c r="G20" s="12" t="str">
        <f aca="false">IF($D20="","",IFERROR(INDEX(품목목록!$D$3:$D$302,MATCH($D20,품목목록!$A$3:$A$302,0)),""))</f>
        <v/>
      </c>
      <c r="H20" s="12" t="str">
        <f aca="false">IF($D20="","",IFERROR(INDEX(품목목록!$E$3:$E$302,MATCH($D20,품목목록!$A$3:$A$302,0)),""))</f>
        <v/>
      </c>
      <c r="I20" s="14"/>
      <c r="J20" s="10"/>
      <c r="K20" s="10"/>
      <c r="L20" s="10"/>
      <c r="M20" s="15" t="str">
        <f aca="false">IF($A20="","",SUMIFS(처리내역!$E$3:$E$1502,처리내역!$B$3:$B$1502,$A20))</f>
        <v/>
      </c>
      <c r="N20" s="15" t="str">
        <f aca="false">IF($A20="","",IF($I20="","",$I20-$M20))</f>
        <v/>
      </c>
      <c r="O20" s="12" t="str">
        <f aca="false">IF($A20="","",IF($I20="","",IF($M20=0,"미처리",IF($N20&lt;=0,"완료","부분처리"))))</f>
        <v/>
      </c>
    </row>
    <row r="21" customFormat="false" ht="15" hidden="false" customHeight="true" outlineLevel="0" collapsed="false">
      <c r="A21" s="12" t="str">
        <f aca="false">IF($B21="","",TEXT($B21,"yymm")&amp;"-"&amp;TEXT(COUNTIFS($B$3:$B21,"&gt;="&amp;DATE(YEAR($B21),MONTH($B21),1),$B$3:$B21,"&lt;="&amp;EOMONTH($B21,0)),"000"))</f>
        <v/>
      </c>
      <c r="B21" s="13"/>
      <c r="C21" s="10"/>
      <c r="D21" s="10"/>
      <c r="E21" s="12" t="str">
        <f aca="false">IF($D21="","",IFERROR(INDEX(품목목록!$B$3:$B$302,MATCH($D21,품목목록!$A$3:$A$302,0)),"미등록품번"))</f>
        <v/>
      </c>
      <c r="F21" s="12" t="str">
        <f aca="false">IF($D21="","",IFERROR(INDEX(품목목록!$C$3:$C$302,MATCH($D21,품목목록!$A$3:$A$302,0)),""))</f>
        <v/>
      </c>
      <c r="G21" s="12" t="str">
        <f aca="false">IF($D21="","",IFERROR(INDEX(품목목록!$D$3:$D$302,MATCH($D21,품목목록!$A$3:$A$302,0)),""))</f>
        <v/>
      </c>
      <c r="H21" s="12" t="str">
        <f aca="false">IF($D21="","",IFERROR(INDEX(품목목록!$E$3:$E$302,MATCH($D21,품목목록!$A$3:$A$302,0)),""))</f>
        <v/>
      </c>
      <c r="I21" s="14"/>
      <c r="J21" s="10"/>
      <c r="K21" s="10"/>
      <c r="L21" s="10"/>
      <c r="M21" s="15" t="str">
        <f aca="false">IF($A21="","",SUMIFS(처리내역!$E$3:$E$1502,처리내역!$B$3:$B$1502,$A21))</f>
        <v/>
      </c>
      <c r="N21" s="15" t="str">
        <f aca="false">IF($A21="","",IF($I21="","",$I21-$M21))</f>
        <v/>
      </c>
      <c r="O21" s="12" t="str">
        <f aca="false">IF($A21="","",IF($I21="","",IF($M21=0,"미처리",IF($N21&lt;=0,"완료","부분처리"))))</f>
        <v/>
      </c>
    </row>
    <row r="22" customFormat="false" ht="15" hidden="false" customHeight="true" outlineLevel="0" collapsed="false">
      <c r="A22" s="12" t="str">
        <f aca="false">IF($B22="","",TEXT($B22,"yymm")&amp;"-"&amp;TEXT(COUNTIFS($B$3:$B22,"&gt;="&amp;DATE(YEAR($B22),MONTH($B22),1),$B$3:$B22,"&lt;="&amp;EOMONTH($B22,0)),"000"))</f>
        <v/>
      </c>
      <c r="B22" s="13"/>
      <c r="C22" s="10"/>
      <c r="D22" s="10"/>
      <c r="E22" s="12" t="str">
        <f aca="false">IF($D22="","",IFERROR(INDEX(품목목록!$B$3:$B$302,MATCH($D22,품목목록!$A$3:$A$302,0)),"미등록품번"))</f>
        <v/>
      </c>
      <c r="F22" s="12" t="str">
        <f aca="false">IF($D22="","",IFERROR(INDEX(품목목록!$C$3:$C$302,MATCH($D22,품목목록!$A$3:$A$302,0)),""))</f>
        <v/>
      </c>
      <c r="G22" s="12" t="str">
        <f aca="false">IF($D22="","",IFERROR(INDEX(품목목록!$D$3:$D$302,MATCH($D22,품목목록!$A$3:$A$302,0)),""))</f>
        <v/>
      </c>
      <c r="H22" s="12" t="str">
        <f aca="false">IF($D22="","",IFERROR(INDEX(품목목록!$E$3:$E$302,MATCH($D22,품목목록!$A$3:$A$302,0)),""))</f>
        <v/>
      </c>
      <c r="I22" s="14"/>
      <c r="J22" s="10"/>
      <c r="K22" s="10"/>
      <c r="L22" s="10"/>
      <c r="M22" s="15" t="str">
        <f aca="false">IF($A22="","",SUMIFS(처리내역!$E$3:$E$1502,처리내역!$B$3:$B$1502,$A22))</f>
        <v/>
      </c>
      <c r="N22" s="15" t="str">
        <f aca="false">IF($A22="","",IF($I22="","",$I22-$M22))</f>
        <v/>
      </c>
      <c r="O22" s="12" t="str">
        <f aca="false">IF($A22="","",IF($I22="","",IF($M22=0,"미처리",IF($N22&lt;=0,"완료","부분처리"))))</f>
        <v/>
      </c>
    </row>
    <row r="23" customFormat="false" ht="15" hidden="false" customHeight="true" outlineLevel="0" collapsed="false">
      <c r="A23" s="12" t="str">
        <f aca="false">IF($B23="","",TEXT($B23,"yymm")&amp;"-"&amp;TEXT(COUNTIFS($B$3:$B23,"&gt;="&amp;DATE(YEAR($B23),MONTH($B23),1),$B$3:$B23,"&lt;="&amp;EOMONTH($B23,0)),"000"))</f>
        <v/>
      </c>
      <c r="B23" s="13"/>
      <c r="C23" s="10"/>
      <c r="D23" s="10"/>
      <c r="E23" s="12" t="str">
        <f aca="false">IF($D23="","",IFERROR(INDEX(품목목록!$B$3:$B$302,MATCH($D23,품목목록!$A$3:$A$302,0)),"미등록품번"))</f>
        <v/>
      </c>
      <c r="F23" s="12" t="str">
        <f aca="false">IF($D23="","",IFERROR(INDEX(품목목록!$C$3:$C$302,MATCH($D23,품목목록!$A$3:$A$302,0)),""))</f>
        <v/>
      </c>
      <c r="G23" s="12" t="str">
        <f aca="false">IF($D23="","",IFERROR(INDEX(품목목록!$D$3:$D$302,MATCH($D23,품목목록!$A$3:$A$302,0)),""))</f>
        <v/>
      </c>
      <c r="H23" s="12" t="str">
        <f aca="false">IF($D23="","",IFERROR(INDEX(품목목록!$E$3:$E$302,MATCH($D23,품목목록!$A$3:$A$302,0)),""))</f>
        <v/>
      </c>
      <c r="I23" s="14"/>
      <c r="J23" s="10"/>
      <c r="K23" s="10"/>
      <c r="L23" s="10"/>
      <c r="M23" s="15" t="str">
        <f aca="false">IF($A23="","",SUMIFS(처리내역!$E$3:$E$1502,처리내역!$B$3:$B$1502,$A23))</f>
        <v/>
      </c>
      <c r="N23" s="15" t="str">
        <f aca="false">IF($A23="","",IF($I23="","",$I23-$M23))</f>
        <v/>
      </c>
      <c r="O23" s="12" t="str">
        <f aca="false">IF($A23="","",IF($I23="","",IF($M23=0,"미처리",IF($N23&lt;=0,"완료","부분처리"))))</f>
        <v/>
      </c>
    </row>
    <row r="24" customFormat="false" ht="15" hidden="false" customHeight="true" outlineLevel="0" collapsed="false">
      <c r="A24" s="12" t="str">
        <f aca="false">IF($B24="","",TEXT($B24,"yymm")&amp;"-"&amp;TEXT(COUNTIFS($B$3:$B24,"&gt;="&amp;DATE(YEAR($B24),MONTH($B24),1),$B$3:$B24,"&lt;="&amp;EOMONTH($B24,0)),"000"))</f>
        <v/>
      </c>
      <c r="B24" s="13"/>
      <c r="C24" s="10"/>
      <c r="D24" s="10"/>
      <c r="E24" s="12" t="str">
        <f aca="false">IF($D24="","",IFERROR(INDEX(품목목록!$B$3:$B$302,MATCH($D24,품목목록!$A$3:$A$302,0)),"미등록품번"))</f>
        <v/>
      </c>
      <c r="F24" s="12" t="str">
        <f aca="false">IF($D24="","",IFERROR(INDEX(품목목록!$C$3:$C$302,MATCH($D24,품목목록!$A$3:$A$302,0)),""))</f>
        <v/>
      </c>
      <c r="G24" s="12" t="str">
        <f aca="false">IF($D24="","",IFERROR(INDEX(품목목록!$D$3:$D$302,MATCH($D24,품목목록!$A$3:$A$302,0)),""))</f>
        <v/>
      </c>
      <c r="H24" s="12" t="str">
        <f aca="false">IF($D24="","",IFERROR(INDEX(품목목록!$E$3:$E$302,MATCH($D24,품목목록!$A$3:$A$302,0)),""))</f>
        <v/>
      </c>
      <c r="I24" s="14"/>
      <c r="J24" s="10"/>
      <c r="K24" s="10"/>
      <c r="L24" s="10"/>
      <c r="M24" s="15" t="str">
        <f aca="false">IF($A24="","",SUMIFS(처리내역!$E$3:$E$1502,처리내역!$B$3:$B$1502,$A24))</f>
        <v/>
      </c>
      <c r="N24" s="15" t="str">
        <f aca="false">IF($A24="","",IF($I24="","",$I24-$M24))</f>
        <v/>
      </c>
      <c r="O24" s="12" t="str">
        <f aca="false">IF($A24="","",IF($I24="","",IF($M24=0,"미처리",IF($N24&lt;=0,"완료","부분처리"))))</f>
        <v/>
      </c>
    </row>
    <row r="25" customFormat="false" ht="15" hidden="false" customHeight="true" outlineLevel="0" collapsed="false">
      <c r="A25" s="12" t="str">
        <f aca="false">IF($B25="","",TEXT($B25,"yymm")&amp;"-"&amp;TEXT(COUNTIFS($B$3:$B25,"&gt;="&amp;DATE(YEAR($B25),MONTH($B25),1),$B$3:$B25,"&lt;="&amp;EOMONTH($B25,0)),"000"))</f>
        <v/>
      </c>
      <c r="B25" s="13"/>
      <c r="C25" s="10"/>
      <c r="D25" s="10"/>
      <c r="E25" s="12" t="str">
        <f aca="false">IF($D25="","",IFERROR(INDEX(품목목록!$B$3:$B$302,MATCH($D25,품목목록!$A$3:$A$302,0)),"미등록품번"))</f>
        <v/>
      </c>
      <c r="F25" s="12" t="str">
        <f aca="false">IF($D25="","",IFERROR(INDEX(품목목록!$C$3:$C$302,MATCH($D25,품목목록!$A$3:$A$302,0)),""))</f>
        <v/>
      </c>
      <c r="G25" s="12" t="str">
        <f aca="false">IF($D25="","",IFERROR(INDEX(품목목록!$D$3:$D$302,MATCH($D25,품목목록!$A$3:$A$302,0)),""))</f>
        <v/>
      </c>
      <c r="H25" s="12" t="str">
        <f aca="false">IF($D25="","",IFERROR(INDEX(품목목록!$E$3:$E$302,MATCH($D25,품목목록!$A$3:$A$302,0)),""))</f>
        <v/>
      </c>
      <c r="I25" s="14"/>
      <c r="J25" s="10"/>
      <c r="K25" s="10"/>
      <c r="L25" s="10"/>
      <c r="M25" s="15" t="str">
        <f aca="false">IF($A25="","",SUMIFS(처리내역!$E$3:$E$1502,처리내역!$B$3:$B$1502,$A25))</f>
        <v/>
      </c>
      <c r="N25" s="15" t="str">
        <f aca="false">IF($A25="","",IF($I25="","",$I25-$M25))</f>
        <v/>
      </c>
      <c r="O25" s="12" t="str">
        <f aca="false">IF($A25="","",IF($I25="","",IF($M25=0,"미처리",IF($N25&lt;=0,"완료","부분처리"))))</f>
        <v/>
      </c>
    </row>
    <row r="26" customFormat="false" ht="15" hidden="false" customHeight="true" outlineLevel="0" collapsed="false">
      <c r="A26" s="12" t="str">
        <f aca="false">IF($B26="","",TEXT($B26,"yymm")&amp;"-"&amp;TEXT(COUNTIFS($B$3:$B26,"&gt;="&amp;DATE(YEAR($B26),MONTH($B26),1),$B$3:$B26,"&lt;="&amp;EOMONTH($B26,0)),"000"))</f>
        <v/>
      </c>
      <c r="B26" s="13"/>
      <c r="C26" s="10"/>
      <c r="D26" s="10"/>
      <c r="E26" s="12" t="str">
        <f aca="false">IF($D26="","",IFERROR(INDEX(품목목록!$B$3:$B$302,MATCH($D26,품목목록!$A$3:$A$302,0)),"미등록품번"))</f>
        <v/>
      </c>
      <c r="F26" s="12" t="str">
        <f aca="false">IF($D26="","",IFERROR(INDEX(품목목록!$C$3:$C$302,MATCH($D26,품목목록!$A$3:$A$302,0)),""))</f>
        <v/>
      </c>
      <c r="G26" s="12" t="str">
        <f aca="false">IF($D26="","",IFERROR(INDEX(품목목록!$D$3:$D$302,MATCH($D26,품목목록!$A$3:$A$302,0)),""))</f>
        <v/>
      </c>
      <c r="H26" s="12" t="str">
        <f aca="false">IF($D26="","",IFERROR(INDEX(품목목록!$E$3:$E$302,MATCH($D26,품목목록!$A$3:$A$302,0)),""))</f>
        <v/>
      </c>
      <c r="I26" s="14"/>
      <c r="J26" s="10"/>
      <c r="K26" s="10"/>
      <c r="L26" s="10"/>
      <c r="M26" s="15" t="str">
        <f aca="false">IF($A26="","",SUMIFS(처리내역!$E$3:$E$1502,처리내역!$B$3:$B$1502,$A26))</f>
        <v/>
      </c>
      <c r="N26" s="15" t="str">
        <f aca="false">IF($A26="","",IF($I26="","",$I26-$M26))</f>
        <v/>
      </c>
      <c r="O26" s="12" t="str">
        <f aca="false">IF($A26="","",IF($I26="","",IF($M26=0,"미처리",IF($N26&lt;=0,"완료","부분처리"))))</f>
        <v/>
      </c>
    </row>
    <row r="27" customFormat="false" ht="15" hidden="false" customHeight="true" outlineLevel="0" collapsed="false">
      <c r="A27" s="12" t="str">
        <f aca="false">IF($B27="","",TEXT($B27,"yymm")&amp;"-"&amp;TEXT(COUNTIFS($B$3:$B27,"&gt;="&amp;DATE(YEAR($B27),MONTH($B27),1),$B$3:$B27,"&lt;="&amp;EOMONTH($B27,0)),"000"))</f>
        <v/>
      </c>
      <c r="B27" s="13"/>
      <c r="C27" s="10"/>
      <c r="D27" s="10"/>
      <c r="E27" s="12" t="str">
        <f aca="false">IF($D27="","",IFERROR(INDEX(품목목록!$B$3:$B$302,MATCH($D27,품목목록!$A$3:$A$302,0)),"미등록품번"))</f>
        <v/>
      </c>
      <c r="F27" s="12" t="str">
        <f aca="false">IF($D27="","",IFERROR(INDEX(품목목록!$C$3:$C$302,MATCH($D27,품목목록!$A$3:$A$302,0)),""))</f>
        <v/>
      </c>
      <c r="G27" s="12" t="str">
        <f aca="false">IF($D27="","",IFERROR(INDEX(품목목록!$D$3:$D$302,MATCH($D27,품목목록!$A$3:$A$302,0)),""))</f>
        <v/>
      </c>
      <c r="H27" s="12" t="str">
        <f aca="false">IF($D27="","",IFERROR(INDEX(품목목록!$E$3:$E$302,MATCH($D27,품목목록!$A$3:$A$302,0)),""))</f>
        <v/>
      </c>
      <c r="I27" s="14"/>
      <c r="J27" s="10"/>
      <c r="K27" s="10"/>
      <c r="L27" s="10"/>
      <c r="M27" s="15" t="str">
        <f aca="false">IF($A27="","",SUMIFS(처리내역!$E$3:$E$1502,처리내역!$B$3:$B$1502,$A27))</f>
        <v/>
      </c>
      <c r="N27" s="15" t="str">
        <f aca="false">IF($A27="","",IF($I27="","",$I27-$M27))</f>
        <v/>
      </c>
      <c r="O27" s="12" t="str">
        <f aca="false">IF($A27="","",IF($I27="","",IF($M27=0,"미처리",IF($N27&lt;=0,"완료","부분처리"))))</f>
        <v/>
      </c>
    </row>
    <row r="28" customFormat="false" ht="15" hidden="false" customHeight="true" outlineLevel="0" collapsed="false">
      <c r="A28" s="12" t="str">
        <f aca="false">IF($B28="","",TEXT($B28,"yymm")&amp;"-"&amp;TEXT(COUNTIFS($B$3:$B28,"&gt;="&amp;DATE(YEAR($B28),MONTH($B28),1),$B$3:$B28,"&lt;="&amp;EOMONTH($B28,0)),"000"))</f>
        <v/>
      </c>
      <c r="B28" s="13"/>
      <c r="C28" s="10"/>
      <c r="D28" s="10"/>
      <c r="E28" s="12" t="str">
        <f aca="false">IF($D28="","",IFERROR(INDEX(품목목록!$B$3:$B$302,MATCH($D28,품목목록!$A$3:$A$302,0)),"미등록품번"))</f>
        <v/>
      </c>
      <c r="F28" s="12" t="str">
        <f aca="false">IF($D28="","",IFERROR(INDEX(품목목록!$C$3:$C$302,MATCH($D28,품목목록!$A$3:$A$302,0)),""))</f>
        <v/>
      </c>
      <c r="G28" s="12" t="str">
        <f aca="false">IF($D28="","",IFERROR(INDEX(품목목록!$D$3:$D$302,MATCH($D28,품목목록!$A$3:$A$302,0)),""))</f>
        <v/>
      </c>
      <c r="H28" s="12" t="str">
        <f aca="false">IF($D28="","",IFERROR(INDEX(품목목록!$E$3:$E$302,MATCH($D28,품목목록!$A$3:$A$302,0)),""))</f>
        <v/>
      </c>
      <c r="I28" s="14"/>
      <c r="J28" s="10"/>
      <c r="K28" s="10"/>
      <c r="L28" s="10"/>
      <c r="M28" s="15" t="str">
        <f aca="false">IF($A28="","",SUMIFS(처리내역!$E$3:$E$1502,처리내역!$B$3:$B$1502,$A28))</f>
        <v/>
      </c>
      <c r="N28" s="15" t="str">
        <f aca="false">IF($A28="","",IF($I28="","",$I28-$M28))</f>
        <v/>
      </c>
      <c r="O28" s="12" t="str">
        <f aca="false">IF($A28="","",IF($I28="","",IF($M28=0,"미처리",IF($N28&lt;=0,"완료","부분처리"))))</f>
        <v/>
      </c>
    </row>
    <row r="29" customFormat="false" ht="15" hidden="false" customHeight="true" outlineLevel="0" collapsed="false">
      <c r="A29" s="12" t="str">
        <f aca="false">IF($B29="","",TEXT($B29,"yymm")&amp;"-"&amp;TEXT(COUNTIFS($B$3:$B29,"&gt;="&amp;DATE(YEAR($B29),MONTH($B29),1),$B$3:$B29,"&lt;="&amp;EOMONTH($B29,0)),"000"))</f>
        <v/>
      </c>
      <c r="B29" s="13"/>
      <c r="C29" s="10"/>
      <c r="D29" s="10"/>
      <c r="E29" s="12" t="str">
        <f aca="false">IF($D29="","",IFERROR(INDEX(품목목록!$B$3:$B$302,MATCH($D29,품목목록!$A$3:$A$302,0)),"미등록품번"))</f>
        <v/>
      </c>
      <c r="F29" s="12" t="str">
        <f aca="false">IF($D29="","",IFERROR(INDEX(품목목록!$C$3:$C$302,MATCH($D29,품목목록!$A$3:$A$302,0)),""))</f>
        <v/>
      </c>
      <c r="G29" s="12" t="str">
        <f aca="false">IF($D29="","",IFERROR(INDEX(품목목록!$D$3:$D$302,MATCH($D29,품목목록!$A$3:$A$302,0)),""))</f>
        <v/>
      </c>
      <c r="H29" s="12" t="str">
        <f aca="false">IF($D29="","",IFERROR(INDEX(품목목록!$E$3:$E$302,MATCH($D29,품목목록!$A$3:$A$302,0)),""))</f>
        <v/>
      </c>
      <c r="I29" s="14"/>
      <c r="J29" s="10"/>
      <c r="K29" s="10"/>
      <c r="L29" s="10"/>
      <c r="M29" s="15" t="str">
        <f aca="false">IF($A29="","",SUMIFS(처리내역!$E$3:$E$1502,처리내역!$B$3:$B$1502,$A29))</f>
        <v/>
      </c>
      <c r="N29" s="15" t="str">
        <f aca="false">IF($A29="","",IF($I29="","",$I29-$M29))</f>
        <v/>
      </c>
      <c r="O29" s="12" t="str">
        <f aca="false">IF($A29="","",IF($I29="","",IF($M29=0,"미처리",IF($N29&lt;=0,"완료","부분처리"))))</f>
        <v/>
      </c>
    </row>
    <row r="30" customFormat="false" ht="15" hidden="false" customHeight="true" outlineLevel="0" collapsed="false">
      <c r="A30" s="12" t="str">
        <f aca="false">IF($B30="","",TEXT($B30,"yymm")&amp;"-"&amp;TEXT(COUNTIFS($B$3:$B30,"&gt;="&amp;DATE(YEAR($B30),MONTH($B30),1),$B$3:$B30,"&lt;="&amp;EOMONTH($B30,0)),"000"))</f>
        <v/>
      </c>
      <c r="B30" s="13"/>
      <c r="C30" s="10"/>
      <c r="D30" s="10"/>
      <c r="E30" s="12" t="str">
        <f aca="false">IF($D30="","",IFERROR(INDEX(품목목록!$B$3:$B$302,MATCH($D30,품목목록!$A$3:$A$302,0)),"미등록품번"))</f>
        <v/>
      </c>
      <c r="F30" s="12" t="str">
        <f aca="false">IF($D30="","",IFERROR(INDEX(품목목록!$C$3:$C$302,MATCH($D30,품목목록!$A$3:$A$302,0)),""))</f>
        <v/>
      </c>
      <c r="G30" s="12" t="str">
        <f aca="false">IF($D30="","",IFERROR(INDEX(품목목록!$D$3:$D$302,MATCH($D30,품목목록!$A$3:$A$302,0)),""))</f>
        <v/>
      </c>
      <c r="H30" s="12" t="str">
        <f aca="false">IF($D30="","",IFERROR(INDEX(품목목록!$E$3:$E$302,MATCH($D30,품목목록!$A$3:$A$302,0)),""))</f>
        <v/>
      </c>
      <c r="I30" s="14"/>
      <c r="J30" s="10"/>
      <c r="K30" s="10"/>
      <c r="L30" s="10"/>
      <c r="M30" s="15" t="str">
        <f aca="false">IF($A30="","",SUMIFS(처리내역!$E$3:$E$1502,처리내역!$B$3:$B$1502,$A30))</f>
        <v/>
      </c>
      <c r="N30" s="15" t="str">
        <f aca="false">IF($A30="","",IF($I30="","",$I30-$M30))</f>
        <v/>
      </c>
      <c r="O30" s="12" t="str">
        <f aca="false">IF($A30="","",IF($I30="","",IF($M30=0,"미처리",IF($N30&lt;=0,"완료","부분처리"))))</f>
        <v/>
      </c>
    </row>
    <row r="31" customFormat="false" ht="15" hidden="false" customHeight="true" outlineLevel="0" collapsed="false">
      <c r="A31" s="12" t="str">
        <f aca="false">IF($B31="","",TEXT($B31,"yymm")&amp;"-"&amp;TEXT(COUNTIFS($B$3:$B31,"&gt;="&amp;DATE(YEAR($B31),MONTH($B31),1),$B$3:$B31,"&lt;="&amp;EOMONTH($B31,0)),"000"))</f>
        <v/>
      </c>
      <c r="B31" s="13"/>
      <c r="C31" s="10"/>
      <c r="D31" s="10"/>
      <c r="E31" s="12" t="str">
        <f aca="false">IF($D31="","",IFERROR(INDEX(품목목록!$B$3:$B$302,MATCH($D31,품목목록!$A$3:$A$302,0)),"미등록품번"))</f>
        <v/>
      </c>
      <c r="F31" s="12" t="str">
        <f aca="false">IF($D31="","",IFERROR(INDEX(품목목록!$C$3:$C$302,MATCH($D31,품목목록!$A$3:$A$302,0)),""))</f>
        <v/>
      </c>
      <c r="G31" s="12" t="str">
        <f aca="false">IF($D31="","",IFERROR(INDEX(품목목록!$D$3:$D$302,MATCH($D31,품목목록!$A$3:$A$302,0)),""))</f>
        <v/>
      </c>
      <c r="H31" s="12" t="str">
        <f aca="false">IF($D31="","",IFERROR(INDEX(품목목록!$E$3:$E$302,MATCH($D31,품목목록!$A$3:$A$302,0)),""))</f>
        <v/>
      </c>
      <c r="I31" s="14"/>
      <c r="J31" s="10"/>
      <c r="K31" s="10"/>
      <c r="L31" s="10"/>
      <c r="M31" s="15" t="str">
        <f aca="false">IF($A31="","",SUMIFS(처리내역!$E$3:$E$1502,처리내역!$B$3:$B$1502,$A31))</f>
        <v/>
      </c>
      <c r="N31" s="15" t="str">
        <f aca="false">IF($A31="","",IF($I31="","",$I31-$M31))</f>
        <v/>
      </c>
      <c r="O31" s="12" t="str">
        <f aca="false">IF($A31="","",IF($I31="","",IF($M31=0,"미처리",IF($N31&lt;=0,"완료","부분처리"))))</f>
        <v/>
      </c>
    </row>
    <row r="32" customFormat="false" ht="15" hidden="false" customHeight="true" outlineLevel="0" collapsed="false">
      <c r="A32" s="12" t="str">
        <f aca="false">IF($B32="","",TEXT($B32,"yymm")&amp;"-"&amp;TEXT(COUNTIFS($B$3:$B32,"&gt;="&amp;DATE(YEAR($B32),MONTH($B32),1),$B$3:$B32,"&lt;="&amp;EOMONTH($B32,0)),"000"))</f>
        <v/>
      </c>
      <c r="B32" s="13"/>
      <c r="C32" s="10"/>
      <c r="D32" s="10"/>
      <c r="E32" s="12" t="str">
        <f aca="false">IF($D32="","",IFERROR(INDEX(품목목록!$B$3:$B$302,MATCH($D32,품목목록!$A$3:$A$302,0)),"미등록품번"))</f>
        <v/>
      </c>
      <c r="F32" s="12" t="str">
        <f aca="false">IF($D32="","",IFERROR(INDEX(품목목록!$C$3:$C$302,MATCH($D32,품목목록!$A$3:$A$302,0)),""))</f>
        <v/>
      </c>
      <c r="G32" s="12" t="str">
        <f aca="false">IF($D32="","",IFERROR(INDEX(품목목록!$D$3:$D$302,MATCH($D32,품목목록!$A$3:$A$302,0)),""))</f>
        <v/>
      </c>
      <c r="H32" s="12" t="str">
        <f aca="false">IF($D32="","",IFERROR(INDEX(품목목록!$E$3:$E$302,MATCH($D32,품목목록!$A$3:$A$302,0)),""))</f>
        <v/>
      </c>
      <c r="I32" s="14"/>
      <c r="J32" s="10"/>
      <c r="K32" s="10"/>
      <c r="L32" s="10"/>
      <c r="M32" s="15" t="str">
        <f aca="false">IF($A32="","",SUMIFS(처리내역!$E$3:$E$1502,처리내역!$B$3:$B$1502,$A32))</f>
        <v/>
      </c>
      <c r="N32" s="15" t="str">
        <f aca="false">IF($A32="","",IF($I32="","",$I32-$M32))</f>
        <v/>
      </c>
      <c r="O32" s="12" t="str">
        <f aca="false">IF($A32="","",IF($I32="","",IF($M32=0,"미처리",IF($N32&lt;=0,"완료","부분처리"))))</f>
        <v/>
      </c>
    </row>
    <row r="33" customFormat="false" ht="15" hidden="false" customHeight="true" outlineLevel="0" collapsed="false">
      <c r="A33" s="12" t="str">
        <f aca="false">IF($B33="","",TEXT($B33,"yymm")&amp;"-"&amp;TEXT(COUNTIFS($B$3:$B33,"&gt;="&amp;DATE(YEAR($B33),MONTH($B33),1),$B$3:$B33,"&lt;="&amp;EOMONTH($B33,0)),"000"))</f>
        <v/>
      </c>
      <c r="B33" s="13"/>
      <c r="C33" s="10"/>
      <c r="D33" s="10"/>
      <c r="E33" s="12" t="str">
        <f aca="false">IF($D33="","",IFERROR(INDEX(품목목록!$B$3:$B$302,MATCH($D33,품목목록!$A$3:$A$302,0)),"미등록품번"))</f>
        <v/>
      </c>
      <c r="F33" s="12" t="str">
        <f aca="false">IF($D33="","",IFERROR(INDEX(품목목록!$C$3:$C$302,MATCH($D33,품목목록!$A$3:$A$302,0)),""))</f>
        <v/>
      </c>
      <c r="G33" s="12" t="str">
        <f aca="false">IF($D33="","",IFERROR(INDEX(품목목록!$D$3:$D$302,MATCH($D33,품목목록!$A$3:$A$302,0)),""))</f>
        <v/>
      </c>
      <c r="H33" s="12" t="str">
        <f aca="false">IF($D33="","",IFERROR(INDEX(품목목록!$E$3:$E$302,MATCH($D33,품목목록!$A$3:$A$302,0)),""))</f>
        <v/>
      </c>
      <c r="I33" s="14"/>
      <c r="J33" s="10"/>
      <c r="K33" s="10"/>
      <c r="L33" s="10"/>
      <c r="M33" s="15" t="str">
        <f aca="false">IF($A33="","",SUMIFS(처리내역!$E$3:$E$1502,처리내역!$B$3:$B$1502,$A33))</f>
        <v/>
      </c>
      <c r="N33" s="15" t="str">
        <f aca="false">IF($A33="","",IF($I33="","",$I33-$M33))</f>
        <v/>
      </c>
      <c r="O33" s="12" t="str">
        <f aca="false">IF($A33="","",IF($I33="","",IF($M33=0,"미처리",IF($N33&lt;=0,"완료","부분처리"))))</f>
        <v/>
      </c>
    </row>
    <row r="34" customFormat="false" ht="15" hidden="false" customHeight="true" outlineLevel="0" collapsed="false">
      <c r="A34" s="12" t="str">
        <f aca="false">IF($B34="","",TEXT($B34,"yymm")&amp;"-"&amp;TEXT(COUNTIFS($B$3:$B34,"&gt;="&amp;DATE(YEAR($B34),MONTH($B34),1),$B$3:$B34,"&lt;="&amp;EOMONTH($B34,0)),"000"))</f>
        <v/>
      </c>
      <c r="B34" s="13"/>
      <c r="C34" s="10"/>
      <c r="D34" s="10"/>
      <c r="E34" s="12" t="str">
        <f aca="false">IF($D34="","",IFERROR(INDEX(품목목록!$B$3:$B$302,MATCH($D34,품목목록!$A$3:$A$302,0)),"미등록품번"))</f>
        <v/>
      </c>
      <c r="F34" s="12" t="str">
        <f aca="false">IF($D34="","",IFERROR(INDEX(품목목록!$C$3:$C$302,MATCH($D34,품목목록!$A$3:$A$302,0)),""))</f>
        <v/>
      </c>
      <c r="G34" s="12" t="str">
        <f aca="false">IF($D34="","",IFERROR(INDEX(품목목록!$D$3:$D$302,MATCH($D34,품목목록!$A$3:$A$302,0)),""))</f>
        <v/>
      </c>
      <c r="H34" s="12" t="str">
        <f aca="false">IF($D34="","",IFERROR(INDEX(품목목록!$E$3:$E$302,MATCH($D34,품목목록!$A$3:$A$302,0)),""))</f>
        <v/>
      </c>
      <c r="I34" s="14"/>
      <c r="J34" s="10"/>
      <c r="K34" s="10"/>
      <c r="L34" s="10"/>
      <c r="M34" s="15" t="str">
        <f aca="false">IF($A34="","",SUMIFS(처리내역!$E$3:$E$1502,처리내역!$B$3:$B$1502,$A34))</f>
        <v/>
      </c>
      <c r="N34" s="15" t="str">
        <f aca="false">IF($A34="","",IF($I34="","",$I34-$M34))</f>
        <v/>
      </c>
      <c r="O34" s="12" t="str">
        <f aca="false">IF($A34="","",IF($I34="","",IF($M34=0,"미처리",IF($N34&lt;=0,"완료","부분처리"))))</f>
        <v/>
      </c>
    </row>
    <row r="35" customFormat="false" ht="15" hidden="false" customHeight="true" outlineLevel="0" collapsed="false">
      <c r="A35" s="12" t="str">
        <f aca="false">IF($B35="","",TEXT($B35,"yymm")&amp;"-"&amp;TEXT(COUNTIFS($B$3:$B35,"&gt;="&amp;DATE(YEAR($B35),MONTH($B35),1),$B$3:$B35,"&lt;="&amp;EOMONTH($B35,0)),"000"))</f>
        <v/>
      </c>
      <c r="B35" s="13"/>
      <c r="C35" s="10"/>
      <c r="D35" s="10"/>
      <c r="E35" s="12" t="str">
        <f aca="false">IF($D35="","",IFERROR(INDEX(품목목록!$B$3:$B$302,MATCH($D35,품목목록!$A$3:$A$302,0)),"미등록품번"))</f>
        <v/>
      </c>
      <c r="F35" s="12" t="str">
        <f aca="false">IF($D35="","",IFERROR(INDEX(품목목록!$C$3:$C$302,MATCH($D35,품목목록!$A$3:$A$302,0)),""))</f>
        <v/>
      </c>
      <c r="G35" s="12" t="str">
        <f aca="false">IF($D35="","",IFERROR(INDEX(품목목록!$D$3:$D$302,MATCH($D35,품목목록!$A$3:$A$302,0)),""))</f>
        <v/>
      </c>
      <c r="H35" s="12" t="str">
        <f aca="false">IF($D35="","",IFERROR(INDEX(품목목록!$E$3:$E$302,MATCH($D35,품목목록!$A$3:$A$302,0)),""))</f>
        <v/>
      </c>
      <c r="I35" s="14"/>
      <c r="J35" s="10"/>
      <c r="K35" s="10"/>
      <c r="L35" s="10"/>
      <c r="M35" s="15" t="str">
        <f aca="false">IF($A35="","",SUMIFS(처리내역!$E$3:$E$1502,처리내역!$B$3:$B$1502,$A35))</f>
        <v/>
      </c>
      <c r="N35" s="15" t="str">
        <f aca="false">IF($A35="","",IF($I35="","",$I35-$M35))</f>
        <v/>
      </c>
      <c r="O35" s="12" t="str">
        <f aca="false">IF($A35="","",IF($I35="","",IF($M35=0,"미처리",IF($N35&lt;=0,"완료","부분처리"))))</f>
        <v/>
      </c>
    </row>
    <row r="36" customFormat="false" ht="15" hidden="false" customHeight="true" outlineLevel="0" collapsed="false">
      <c r="A36" s="12" t="str">
        <f aca="false">IF($B36="","",TEXT($B36,"yymm")&amp;"-"&amp;TEXT(COUNTIFS($B$3:$B36,"&gt;="&amp;DATE(YEAR($B36),MONTH($B36),1),$B$3:$B36,"&lt;="&amp;EOMONTH($B36,0)),"000"))</f>
        <v/>
      </c>
      <c r="B36" s="13"/>
      <c r="C36" s="10"/>
      <c r="D36" s="10"/>
      <c r="E36" s="12" t="str">
        <f aca="false">IF($D36="","",IFERROR(INDEX(품목목록!$B$3:$B$302,MATCH($D36,품목목록!$A$3:$A$302,0)),"미등록품번"))</f>
        <v/>
      </c>
      <c r="F36" s="12" t="str">
        <f aca="false">IF($D36="","",IFERROR(INDEX(품목목록!$C$3:$C$302,MATCH($D36,품목목록!$A$3:$A$302,0)),""))</f>
        <v/>
      </c>
      <c r="G36" s="12" t="str">
        <f aca="false">IF($D36="","",IFERROR(INDEX(품목목록!$D$3:$D$302,MATCH($D36,품목목록!$A$3:$A$302,0)),""))</f>
        <v/>
      </c>
      <c r="H36" s="12" t="str">
        <f aca="false">IF($D36="","",IFERROR(INDEX(품목목록!$E$3:$E$302,MATCH($D36,품목목록!$A$3:$A$302,0)),""))</f>
        <v/>
      </c>
      <c r="I36" s="14"/>
      <c r="J36" s="10"/>
      <c r="K36" s="10"/>
      <c r="L36" s="10"/>
      <c r="M36" s="15" t="str">
        <f aca="false">IF($A36="","",SUMIFS(처리내역!$E$3:$E$1502,처리내역!$B$3:$B$1502,$A36))</f>
        <v/>
      </c>
      <c r="N36" s="15" t="str">
        <f aca="false">IF($A36="","",IF($I36="","",$I36-$M36))</f>
        <v/>
      </c>
      <c r="O36" s="12" t="str">
        <f aca="false">IF($A36="","",IF($I36="","",IF($M36=0,"미처리",IF($N36&lt;=0,"완료","부분처리"))))</f>
        <v/>
      </c>
    </row>
    <row r="37" customFormat="false" ht="15" hidden="false" customHeight="true" outlineLevel="0" collapsed="false">
      <c r="A37" s="12" t="str">
        <f aca="false">IF($B37="","",TEXT($B37,"yymm")&amp;"-"&amp;TEXT(COUNTIFS($B$3:$B37,"&gt;="&amp;DATE(YEAR($B37),MONTH($B37),1),$B$3:$B37,"&lt;="&amp;EOMONTH($B37,0)),"000"))</f>
        <v/>
      </c>
      <c r="B37" s="13"/>
      <c r="C37" s="10"/>
      <c r="D37" s="10"/>
      <c r="E37" s="12" t="str">
        <f aca="false">IF($D37="","",IFERROR(INDEX(품목목록!$B$3:$B$302,MATCH($D37,품목목록!$A$3:$A$302,0)),"미등록품번"))</f>
        <v/>
      </c>
      <c r="F37" s="12" t="str">
        <f aca="false">IF($D37="","",IFERROR(INDEX(품목목록!$C$3:$C$302,MATCH($D37,품목목록!$A$3:$A$302,0)),""))</f>
        <v/>
      </c>
      <c r="G37" s="12" t="str">
        <f aca="false">IF($D37="","",IFERROR(INDEX(품목목록!$D$3:$D$302,MATCH($D37,품목목록!$A$3:$A$302,0)),""))</f>
        <v/>
      </c>
      <c r="H37" s="12" t="str">
        <f aca="false">IF($D37="","",IFERROR(INDEX(품목목록!$E$3:$E$302,MATCH($D37,품목목록!$A$3:$A$302,0)),""))</f>
        <v/>
      </c>
      <c r="I37" s="14"/>
      <c r="J37" s="10"/>
      <c r="K37" s="10"/>
      <c r="L37" s="10"/>
      <c r="M37" s="15" t="str">
        <f aca="false">IF($A37="","",SUMIFS(처리내역!$E$3:$E$1502,처리내역!$B$3:$B$1502,$A37))</f>
        <v/>
      </c>
      <c r="N37" s="15" t="str">
        <f aca="false">IF($A37="","",IF($I37="","",$I37-$M37))</f>
        <v/>
      </c>
      <c r="O37" s="12" t="str">
        <f aca="false">IF($A37="","",IF($I37="","",IF($M37=0,"미처리",IF($N37&lt;=0,"완료","부분처리"))))</f>
        <v/>
      </c>
    </row>
    <row r="38" customFormat="false" ht="15" hidden="false" customHeight="true" outlineLevel="0" collapsed="false">
      <c r="A38" s="12" t="str">
        <f aca="false">IF($B38="","",TEXT($B38,"yymm")&amp;"-"&amp;TEXT(COUNTIFS($B$3:$B38,"&gt;="&amp;DATE(YEAR($B38),MONTH($B38),1),$B$3:$B38,"&lt;="&amp;EOMONTH($B38,0)),"000"))</f>
        <v/>
      </c>
      <c r="B38" s="13"/>
      <c r="C38" s="10"/>
      <c r="D38" s="10"/>
      <c r="E38" s="12" t="str">
        <f aca="false">IF($D38="","",IFERROR(INDEX(품목목록!$B$3:$B$302,MATCH($D38,품목목록!$A$3:$A$302,0)),"미등록품번"))</f>
        <v/>
      </c>
      <c r="F38" s="12" t="str">
        <f aca="false">IF($D38="","",IFERROR(INDEX(품목목록!$C$3:$C$302,MATCH($D38,품목목록!$A$3:$A$302,0)),""))</f>
        <v/>
      </c>
      <c r="G38" s="12" t="str">
        <f aca="false">IF($D38="","",IFERROR(INDEX(품목목록!$D$3:$D$302,MATCH($D38,품목목록!$A$3:$A$302,0)),""))</f>
        <v/>
      </c>
      <c r="H38" s="12" t="str">
        <f aca="false">IF($D38="","",IFERROR(INDEX(품목목록!$E$3:$E$302,MATCH($D38,품목목록!$A$3:$A$302,0)),""))</f>
        <v/>
      </c>
      <c r="I38" s="14"/>
      <c r="J38" s="10"/>
      <c r="K38" s="10"/>
      <c r="L38" s="10"/>
      <c r="M38" s="15" t="str">
        <f aca="false">IF($A38="","",SUMIFS(처리내역!$E$3:$E$1502,처리내역!$B$3:$B$1502,$A38))</f>
        <v/>
      </c>
      <c r="N38" s="15" t="str">
        <f aca="false">IF($A38="","",IF($I38="","",$I38-$M38))</f>
        <v/>
      </c>
      <c r="O38" s="12" t="str">
        <f aca="false">IF($A38="","",IF($I38="","",IF($M38=0,"미처리",IF($N38&lt;=0,"완료","부분처리"))))</f>
        <v/>
      </c>
    </row>
    <row r="39" customFormat="false" ht="15" hidden="false" customHeight="true" outlineLevel="0" collapsed="false">
      <c r="A39" s="12" t="str">
        <f aca="false">IF($B39="","",TEXT($B39,"yymm")&amp;"-"&amp;TEXT(COUNTIFS($B$3:$B39,"&gt;="&amp;DATE(YEAR($B39),MONTH($B39),1),$B$3:$B39,"&lt;="&amp;EOMONTH($B39,0)),"000"))</f>
        <v/>
      </c>
      <c r="B39" s="13"/>
      <c r="C39" s="10"/>
      <c r="D39" s="10"/>
      <c r="E39" s="12" t="str">
        <f aca="false">IF($D39="","",IFERROR(INDEX(품목목록!$B$3:$B$302,MATCH($D39,품목목록!$A$3:$A$302,0)),"미등록품번"))</f>
        <v/>
      </c>
      <c r="F39" s="12" t="str">
        <f aca="false">IF($D39="","",IFERROR(INDEX(품목목록!$C$3:$C$302,MATCH($D39,품목목록!$A$3:$A$302,0)),""))</f>
        <v/>
      </c>
      <c r="G39" s="12" t="str">
        <f aca="false">IF($D39="","",IFERROR(INDEX(품목목록!$D$3:$D$302,MATCH($D39,품목목록!$A$3:$A$302,0)),""))</f>
        <v/>
      </c>
      <c r="H39" s="12" t="str">
        <f aca="false">IF($D39="","",IFERROR(INDEX(품목목록!$E$3:$E$302,MATCH($D39,품목목록!$A$3:$A$302,0)),""))</f>
        <v/>
      </c>
      <c r="I39" s="14"/>
      <c r="J39" s="10"/>
      <c r="K39" s="10"/>
      <c r="L39" s="10"/>
      <c r="M39" s="15" t="str">
        <f aca="false">IF($A39="","",SUMIFS(처리내역!$E$3:$E$1502,처리내역!$B$3:$B$1502,$A39))</f>
        <v/>
      </c>
      <c r="N39" s="15" t="str">
        <f aca="false">IF($A39="","",IF($I39="","",$I39-$M39))</f>
        <v/>
      </c>
      <c r="O39" s="12" t="str">
        <f aca="false">IF($A39="","",IF($I39="","",IF($M39=0,"미처리",IF($N39&lt;=0,"완료","부분처리"))))</f>
        <v/>
      </c>
    </row>
    <row r="40" customFormat="false" ht="15" hidden="false" customHeight="true" outlineLevel="0" collapsed="false">
      <c r="A40" s="12" t="str">
        <f aca="false">IF($B40="","",TEXT($B40,"yymm")&amp;"-"&amp;TEXT(COUNTIFS($B$3:$B40,"&gt;="&amp;DATE(YEAR($B40),MONTH($B40),1),$B$3:$B40,"&lt;="&amp;EOMONTH($B40,0)),"000"))</f>
        <v/>
      </c>
      <c r="B40" s="13"/>
      <c r="C40" s="10"/>
      <c r="D40" s="10"/>
      <c r="E40" s="12" t="str">
        <f aca="false">IF($D40="","",IFERROR(INDEX(품목목록!$B$3:$B$302,MATCH($D40,품목목록!$A$3:$A$302,0)),"미등록품번"))</f>
        <v/>
      </c>
      <c r="F40" s="12" t="str">
        <f aca="false">IF($D40="","",IFERROR(INDEX(품목목록!$C$3:$C$302,MATCH($D40,품목목록!$A$3:$A$302,0)),""))</f>
        <v/>
      </c>
      <c r="G40" s="12" t="str">
        <f aca="false">IF($D40="","",IFERROR(INDEX(품목목록!$D$3:$D$302,MATCH($D40,품목목록!$A$3:$A$302,0)),""))</f>
        <v/>
      </c>
      <c r="H40" s="12" t="str">
        <f aca="false">IF($D40="","",IFERROR(INDEX(품목목록!$E$3:$E$302,MATCH($D40,품목목록!$A$3:$A$302,0)),""))</f>
        <v/>
      </c>
      <c r="I40" s="14"/>
      <c r="J40" s="10"/>
      <c r="K40" s="10"/>
      <c r="L40" s="10"/>
      <c r="M40" s="15" t="str">
        <f aca="false">IF($A40="","",SUMIFS(처리내역!$E$3:$E$1502,처리내역!$B$3:$B$1502,$A40))</f>
        <v/>
      </c>
      <c r="N40" s="15" t="str">
        <f aca="false">IF($A40="","",IF($I40="","",$I40-$M40))</f>
        <v/>
      </c>
      <c r="O40" s="12" t="str">
        <f aca="false">IF($A40="","",IF($I40="","",IF($M40=0,"미처리",IF($N40&lt;=0,"완료","부분처리"))))</f>
        <v/>
      </c>
    </row>
    <row r="41" customFormat="false" ht="15" hidden="false" customHeight="true" outlineLevel="0" collapsed="false">
      <c r="A41" s="12" t="str">
        <f aca="false">IF($B41="","",TEXT($B41,"yymm")&amp;"-"&amp;TEXT(COUNTIFS($B$3:$B41,"&gt;="&amp;DATE(YEAR($B41),MONTH($B41),1),$B$3:$B41,"&lt;="&amp;EOMONTH($B41,0)),"000"))</f>
        <v/>
      </c>
      <c r="B41" s="13"/>
      <c r="C41" s="10"/>
      <c r="D41" s="10"/>
      <c r="E41" s="12" t="str">
        <f aca="false">IF($D41="","",IFERROR(INDEX(품목목록!$B$3:$B$302,MATCH($D41,품목목록!$A$3:$A$302,0)),"미등록품번"))</f>
        <v/>
      </c>
      <c r="F41" s="12" t="str">
        <f aca="false">IF($D41="","",IFERROR(INDEX(품목목록!$C$3:$C$302,MATCH($D41,품목목록!$A$3:$A$302,0)),""))</f>
        <v/>
      </c>
      <c r="G41" s="12" t="str">
        <f aca="false">IF($D41="","",IFERROR(INDEX(품목목록!$D$3:$D$302,MATCH($D41,품목목록!$A$3:$A$302,0)),""))</f>
        <v/>
      </c>
      <c r="H41" s="12" t="str">
        <f aca="false">IF($D41="","",IFERROR(INDEX(품목목록!$E$3:$E$302,MATCH($D41,품목목록!$A$3:$A$302,0)),""))</f>
        <v/>
      </c>
      <c r="I41" s="14"/>
      <c r="J41" s="10"/>
      <c r="K41" s="10"/>
      <c r="L41" s="10"/>
      <c r="M41" s="15" t="str">
        <f aca="false">IF($A41="","",SUMIFS(처리내역!$E$3:$E$1502,처리내역!$B$3:$B$1502,$A41))</f>
        <v/>
      </c>
      <c r="N41" s="15" t="str">
        <f aca="false">IF($A41="","",IF($I41="","",$I41-$M41))</f>
        <v/>
      </c>
      <c r="O41" s="12" t="str">
        <f aca="false">IF($A41="","",IF($I41="","",IF($M41=0,"미처리",IF($N41&lt;=0,"완료","부분처리"))))</f>
        <v/>
      </c>
    </row>
    <row r="42" customFormat="false" ht="15" hidden="false" customHeight="true" outlineLevel="0" collapsed="false">
      <c r="A42" s="12" t="str">
        <f aca="false">IF($B42="","",TEXT($B42,"yymm")&amp;"-"&amp;TEXT(COUNTIFS($B$3:$B42,"&gt;="&amp;DATE(YEAR($B42),MONTH($B42),1),$B$3:$B42,"&lt;="&amp;EOMONTH($B42,0)),"000"))</f>
        <v/>
      </c>
      <c r="B42" s="13"/>
      <c r="C42" s="10"/>
      <c r="D42" s="10"/>
      <c r="E42" s="12" t="str">
        <f aca="false">IF($D42="","",IFERROR(INDEX(품목목록!$B$3:$B$302,MATCH($D42,품목목록!$A$3:$A$302,0)),"미등록품번"))</f>
        <v/>
      </c>
      <c r="F42" s="12" t="str">
        <f aca="false">IF($D42="","",IFERROR(INDEX(품목목록!$C$3:$C$302,MATCH($D42,품목목록!$A$3:$A$302,0)),""))</f>
        <v/>
      </c>
      <c r="G42" s="12" t="str">
        <f aca="false">IF($D42="","",IFERROR(INDEX(품목목록!$D$3:$D$302,MATCH($D42,품목목록!$A$3:$A$302,0)),""))</f>
        <v/>
      </c>
      <c r="H42" s="12" t="str">
        <f aca="false">IF($D42="","",IFERROR(INDEX(품목목록!$E$3:$E$302,MATCH($D42,품목목록!$A$3:$A$302,0)),""))</f>
        <v/>
      </c>
      <c r="I42" s="14"/>
      <c r="J42" s="10"/>
      <c r="K42" s="10"/>
      <c r="L42" s="10"/>
      <c r="M42" s="15" t="str">
        <f aca="false">IF($A42="","",SUMIFS(처리내역!$E$3:$E$1502,처리내역!$B$3:$B$1502,$A42))</f>
        <v/>
      </c>
      <c r="N42" s="15" t="str">
        <f aca="false">IF($A42="","",IF($I42="","",$I42-$M42))</f>
        <v/>
      </c>
      <c r="O42" s="12" t="str">
        <f aca="false">IF($A42="","",IF($I42="","",IF($M42=0,"미처리",IF($N42&lt;=0,"완료","부분처리"))))</f>
        <v/>
      </c>
    </row>
    <row r="43" customFormat="false" ht="15" hidden="false" customHeight="true" outlineLevel="0" collapsed="false">
      <c r="A43" s="12" t="str">
        <f aca="false">IF($B43="","",TEXT($B43,"yymm")&amp;"-"&amp;TEXT(COUNTIFS($B$3:$B43,"&gt;="&amp;DATE(YEAR($B43),MONTH($B43),1),$B$3:$B43,"&lt;="&amp;EOMONTH($B43,0)),"000"))</f>
        <v/>
      </c>
      <c r="B43" s="13"/>
      <c r="C43" s="10"/>
      <c r="D43" s="10"/>
      <c r="E43" s="12" t="str">
        <f aca="false">IF($D43="","",IFERROR(INDEX(품목목록!$B$3:$B$302,MATCH($D43,품목목록!$A$3:$A$302,0)),"미등록품번"))</f>
        <v/>
      </c>
      <c r="F43" s="12" t="str">
        <f aca="false">IF($D43="","",IFERROR(INDEX(품목목록!$C$3:$C$302,MATCH($D43,품목목록!$A$3:$A$302,0)),""))</f>
        <v/>
      </c>
      <c r="G43" s="12" t="str">
        <f aca="false">IF($D43="","",IFERROR(INDEX(품목목록!$D$3:$D$302,MATCH($D43,품목목록!$A$3:$A$302,0)),""))</f>
        <v/>
      </c>
      <c r="H43" s="12" t="str">
        <f aca="false">IF($D43="","",IFERROR(INDEX(품목목록!$E$3:$E$302,MATCH($D43,품목목록!$A$3:$A$302,0)),""))</f>
        <v/>
      </c>
      <c r="I43" s="14"/>
      <c r="J43" s="10"/>
      <c r="K43" s="10"/>
      <c r="L43" s="10"/>
      <c r="M43" s="15" t="str">
        <f aca="false">IF($A43="","",SUMIFS(처리내역!$E$3:$E$1502,처리내역!$B$3:$B$1502,$A43))</f>
        <v/>
      </c>
      <c r="N43" s="15" t="str">
        <f aca="false">IF($A43="","",IF($I43="","",$I43-$M43))</f>
        <v/>
      </c>
      <c r="O43" s="12" t="str">
        <f aca="false">IF($A43="","",IF($I43="","",IF($M43=0,"미처리",IF($N43&lt;=0,"완료","부분처리"))))</f>
        <v/>
      </c>
    </row>
    <row r="44" customFormat="false" ht="15" hidden="false" customHeight="true" outlineLevel="0" collapsed="false">
      <c r="A44" s="12" t="str">
        <f aca="false">IF($B44="","",TEXT($B44,"yymm")&amp;"-"&amp;TEXT(COUNTIFS($B$3:$B44,"&gt;="&amp;DATE(YEAR($B44),MONTH($B44),1),$B$3:$B44,"&lt;="&amp;EOMONTH($B44,0)),"000"))</f>
        <v/>
      </c>
      <c r="B44" s="13"/>
      <c r="C44" s="10"/>
      <c r="D44" s="10"/>
      <c r="E44" s="12" t="str">
        <f aca="false">IF($D44="","",IFERROR(INDEX(품목목록!$B$3:$B$302,MATCH($D44,품목목록!$A$3:$A$302,0)),"미등록품번"))</f>
        <v/>
      </c>
      <c r="F44" s="12" t="str">
        <f aca="false">IF($D44="","",IFERROR(INDEX(품목목록!$C$3:$C$302,MATCH($D44,품목목록!$A$3:$A$302,0)),""))</f>
        <v/>
      </c>
      <c r="G44" s="12" t="str">
        <f aca="false">IF($D44="","",IFERROR(INDEX(품목목록!$D$3:$D$302,MATCH($D44,품목목록!$A$3:$A$302,0)),""))</f>
        <v/>
      </c>
      <c r="H44" s="12" t="str">
        <f aca="false">IF($D44="","",IFERROR(INDEX(품목목록!$E$3:$E$302,MATCH($D44,품목목록!$A$3:$A$302,0)),""))</f>
        <v/>
      </c>
      <c r="I44" s="14"/>
      <c r="J44" s="10"/>
      <c r="K44" s="10"/>
      <c r="L44" s="10"/>
      <c r="M44" s="15" t="str">
        <f aca="false">IF($A44="","",SUMIFS(처리내역!$E$3:$E$1502,처리내역!$B$3:$B$1502,$A44))</f>
        <v/>
      </c>
      <c r="N44" s="15" t="str">
        <f aca="false">IF($A44="","",IF($I44="","",$I44-$M44))</f>
        <v/>
      </c>
      <c r="O44" s="12" t="str">
        <f aca="false">IF($A44="","",IF($I44="","",IF($M44=0,"미처리",IF($N44&lt;=0,"완료","부분처리"))))</f>
        <v/>
      </c>
    </row>
    <row r="45" customFormat="false" ht="15" hidden="false" customHeight="true" outlineLevel="0" collapsed="false">
      <c r="A45" s="12" t="str">
        <f aca="false">IF($B45="","",TEXT($B45,"yymm")&amp;"-"&amp;TEXT(COUNTIFS($B$3:$B45,"&gt;="&amp;DATE(YEAR($B45),MONTH($B45),1),$B$3:$B45,"&lt;="&amp;EOMONTH($B45,0)),"000"))</f>
        <v/>
      </c>
      <c r="B45" s="13"/>
      <c r="C45" s="10"/>
      <c r="D45" s="10"/>
      <c r="E45" s="12" t="str">
        <f aca="false">IF($D45="","",IFERROR(INDEX(품목목록!$B$3:$B$302,MATCH($D45,품목목록!$A$3:$A$302,0)),"미등록품번"))</f>
        <v/>
      </c>
      <c r="F45" s="12" t="str">
        <f aca="false">IF($D45="","",IFERROR(INDEX(품목목록!$C$3:$C$302,MATCH($D45,품목목록!$A$3:$A$302,0)),""))</f>
        <v/>
      </c>
      <c r="G45" s="12" t="str">
        <f aca="false">IF($D45="","",IFERROR(INDEX(품목목록!$D$3:$D$302,MATCH($D45,품목목록!$A$3:$A$302,0)),""))</f>
        <v/>
      </c>
      <c r="H45" s="12" t="str">
        <f aca="false">IF($D45="","",IFERROR(INDEX(품목목록!$E$3:$E$302,MATCH($D45,품목목록!$A$3:$A$302,0)),""))</f>
        <v/>
      </c>
      <c r="I45" s="14"/>
      <c r="J45" s="10"/>
      <c r="K45" s="10"/>
      <c r="L45" s="10"/>
      <c r="M45" s="15" t="str">
        <f aca="false">IF($A45="","",SUMIFS(처리내역!$E$3:$E$1502,처리내역!$B$3:$B$1502,$A45))</f>
        <v/>
      </c>
      <c r="N45" s="15" t="str">
        <f aca="false">IF($A45="","",IF($I45="","",$I45-$M45))</f>
        <v/>
      </c>
      <c r="O45" s="12" t="str">
        <f aca="false">IF($A45="","",IF($I45="","",IF($M45=0,"미처리",IF($N45&lt;=0,"완료","부분처리"))))</f>
        <v/>
      </c>
    </row>
    <row r="46" customFormat="false" ht="15" hidden="false" customHeight="true" outlineLevel="0" collapsed="false">
      <c r="A46" s="12" t="str">
        <f aca="false">IF($B46="","",TEXT($B46,"yymm")&amp;"-"&amp;TEXT(COUNTIFS($B$3:$B46,"&gt;="&amp;DATE(YEAR($B46),MONTH($B46),1),$B$3:$B46,"&lt;="&amp;EOMONTH($B46,0)),"000"))</f>
        <v/>
      </c>
      <c r="B46" s="13"/>
      <c r="C46" s="10"/>
      <c r="D46" s="10"/>
      <c r="E46" s="12" t="str">
        <f aca="false">IF($D46="","",IFERROR(INDEX(품목목록!$B$3:$B$302,MATCH($D46,품목목록!$A$3:$A$302,0)),"미등록품번"))</f>
        <v/>
      </c>
      <c r="F46" s="12" t="str">
        <f aca="false">IF($D46="","",IFERROR(INDEX(품목목록!$C$3:$C$302,MATCH($D46,품목목록!$A$3:$A$302,0)),""))</f>
        <v/>
      </c>
      <c r="G46" s="12" t="str">
        <f aca="false">IF($D46="","",IFERROR(INDEX(품목목록!$D$3:$D$302,MATCH($D46,품목목록!$A$3:$A$302,0)),""))</f>
        <v/>
      </c>
      <c r="H46" s="12" t="str">
        <f aca="false">IF($D46="","",IFERROR(INDEX(품목목록!$E$3:$E$302,MATCH($D46,품목목록!$A$3:$A$302,0)),""))</f>
        <v/>
      </c>
      <c r="I46" s="14"/>
      <c r="J46" s="10"/>
      <c r="K46" s="10"/>
      <c r="L46" s="10"/>
      <c r="M46" s="15" t="str">
        <f aca="false">IF($A46="","",SUMIFS(처리내역!$E$3:$E$1502,처리내역!$B$3:$B$1502,$A46))</f>
        <v/>
      </c>
      <c r="N46" s="15" t="str">
        <f aca="false">IF($A46="","",IF($I46="","",$I46-$M46))</f>
        <v/>
      </c>
      <c r="O46" s="12" t="str">
        <f aca="false">IF($A46="","",IF($I46="","",IF($M46=0,"미처리",IF($N46&lt;=0,"완료","부분처리"))))</f>
        <v/>
      </c>
    </row>
    <row r="47" customFormat="false" ht="15" hidden="false" customHeight="true" outlineLevel="0" collapsed="false">
      <c r="A47" s="12" t="str">
        <f aca="false">IF($B47="","",TEXT($B47,"yymm")&amp;"-"&amp;TEXT(COUNTIFS($B$3:$B47,"&gt;="&amp;DATE(YEAR($B47),MONTH($B47),1),$B$3:$B47,"&lt;="&amp;EOMONTH($B47,0)),"000"))</f>
        <v/>
      </c>
      <c r="B47" s="13"/>
      <c r="C47" s="10"/>
      <c r="D47" s="10"/>
      <c r="E47" s="12" t="str">
        <f aca="false">IF($D47="","",IFERROR(INDEX(품목목록!$B$3:$B$302,MATCH($D47,품목목록!$A$3:$A$302,0)),"미등록품번"))</f>
        <v/>
      </c>
      <c r="F47" s="12" t="str">
        <f aca="false">IF($D47="","",IFERROR(INDEX(품목목록!$C$3:$C$302,MATCH($D47,품목목록!$A$3:$A$302,0)),""))</f>
        <v/>
      </c>
      <c r="G47" s="12" t="str">
        <f aca="false">IF($D47="","",IFERROR(INDEX(품목목록!$D$3:$D$302,MATCH($D47,품목목록!$A$3:$A$302,0)),""))</f>
        <v/>
      </c>
      <c r="H47" s="12" t="str">
        <f aca="false">IF($D47="","",IFERROR(INDEX(품목목록!$E$3:$E$302,MATCH($D47,품목목록!$A$3:$A$302,0)),""))</f>
        <v/>
      </c>
      <c r="I47" s="14"/>
      <c r="J47" s="10"/>
      <c r="K47" s="10"/>
      <c r="L47" s="10"/>
      <c r="M47" s="15" t="str">
        <f aca="false">IF($A47="","",SUMIFS(처리내역!$E$3:$E$1502,처리내역!$B$3:$B$1502,$A47))</f>
        <v/>
      </c>
      <c r="N47" s="15" t="str">
        <f aca="false">IF($A47="","",IF($I47="","",$I47-$M47))</f>
        <v/>
      </c>
      <c r="O47" s="12" t="str">
        <f aca="false">IF($A47="","",IF($I47="","",IF($M47=0,"미처리",IF($N47&lt;=0,"완료","부분처리"))))</f>
        <v/>
      </c>
    </row>
    <row r="48" customFormat="false" ht="15" hidden="false" customHeight="true" outlineLevel="0" collapsed="false">
      <c r="A48" s="12" t="str">
        <f aca="false">IF($B48="","",TEXT($B48,"yymm")&amp;"-"&amp;TEXT(COUNTIFS($B$3:$B48,"&gt;="&amp;DATE(YEAR($B48),MONTH($B48),1),$B$3:$B48,"&lt;="&amp;EOMONTH($B48,0)),"000"))</f>
        <v/>
      </c>
      <c r="B48" s="13"/>
      <c r="C48" s="10"/>
      <c r="D48" s="10"/>
      <c r="E48" s="12" t="str">
        <f aca="false">IF($D48="","",IFERROR(INDEX(품목목록!$B$3:$B$302,MATCH($D48,품목목록!$A$3:$A$302,0)),"미등록품번"))</f>
        <v/>
      </c>
      <c r="F48" s="12" t="str">
        <f aca="false">IF($D48="","",IFERROR(INDEX(품목목록!$C$3:$C$302,MATCH($D48,품목목록!$A$3:$A$302,0)),""))</f>
        <v/>
      </c>
      <c r="G48" s="12" t="str">
        <f aca="false">IF($D48="","",IFERROR(INDEX(품목목록!$D$3:$D$302,MATCH($D48,품목목록!$A$3:$A$302,0)),""))</f>
        <v/>
      </c>
      <c r="H48" s="12" t="str">
        <f aca="false">IF($D48="","",IFERROR(INDEX(품목목록!$E$3:$E$302,MATCH($D48,품목목록!$A$3:$A$302,0)),""))</f>
        <v/>
      </c>
      <c r="I48" s="14"/>
      <c r="J48" s="10"/>
      <c r="K48" s="10"/>
      <c r="L48" s="10"/>
      <c r="M48" s="15" t="str">
        <f aca="false">IF($A48="","",SUMIFS(처리내역!$E$3:$E$1502,처리내역!$B$3:$B$1502,$A48))</f>
        <v/>
      </c>
      <c r="N48" s="15" t="str">
        <f aca="false">IF($A48="","",IF($I48="","",$I48-$M48))</f>
        <v/>
      </c>
      <c r="O48" s="12" t="str">
        <f aca="false">IF($A48="","",IF($I48="","",IF($M48=0,"미처리",IF($N48&lt;=0,"완료","부분처리"))))</f>
        <v/>
      </c>
    </row>
    <row r="49" customFormat="false" ht="15" hidden="false" customHeight="true" outlineLevel="0" collapsed="false">
      <c r="A49" s="12" t="str">
        <f aca="false">IF($B49="","",TEXT($B49,"yymm")&amp;"-"&amp;TEXT(COUNTIFS($B$3:$B49,"&gt;="&amp;DATE(YEAR($B49),MONTH($B49),1),$B$3:$B49,"&lt;="&amp;EOMONTH($B49,0)),"000"))</f>
        <v/>
      </c>
      <c r="B49" s="13"/>
      <c r="C49" s="10"/>
      <c r="D49" s="10"/>
      <c r="E49" s="12" t="str">
        <f aca="false">IF($D49="","",IFERROR(INDEX(품목목록!$B$3:$B$302,MATCH($D49,품목목록!$A$3:$A$302,0)),"미등록품번"))</f>
        <v/>
      </c>
      <c r="F49" s="12" t="str">
        <f aca="false">IF($D49="","",IFERROR(INDEX(품목목록!$C$3:$C$302,MATCH($D49,품목목록!$A$3:$A$302,0)),""))</f>
        <v/>
      </c>
      <c r="G49" s="12" t="str">
        <f aca="false">IF($D49="","",IFERROR(INDEX(품목목록!$D$3:$D$302,MATCH($D49,품목목록!$A$3:$A$302,0)),""))</f>
        <v/>
      </c>
      <c r="H49" s="12" t="str">
        <f aca="false">IF($D49="","",IFERROR(INDEX(품목목록!$E$3:$E$302,MATCH($D49,품목목록!$A$3:$A$302,0)),""))</f>
        <v/>
      </c>
      <c r="I49" s="14"/>
      <c r="J49" s="10"/>
      <c r="K49" s="10"/>
      <c r="L49" s="10"/>
      <c r="M49" s="15" t="str">
        <f aca="false">IF($A49="","",SUMIFS(처리내역!$E$3:$E$1502,처리내역!$B$3:$B$1502,$A49))</f>
        <v/>
      </c>
      <c r="N49" s="15" t="str">
        <f aca="false">IF($A49="","",IF($I49="","",$I49-$M49))</f>
        <v/>
      </c>
      <c r="O49" s="12" t="str">
        <f aca="false">IF($A49="","",IF($I49="","",IF($M49=0,"미처리",IF($N49&lt;=0,"완료","부분처리"))))</f>
        <v/>
      </c>
    </row>
    <row r="50" customFormat="false" ht="15" hidden="false" customHeight="true" outlineLevel="0" collapsed="false">
      <c r="A50" s="12" t="str">
        <f aca="false">IF($B50="","",TEXT($B50,"yymm")&amp;"-"&amp;TEXT(COUNTIFS($B$3:$B50,"&gt;="&amp;DATE(YEAR($B50),MONTH($B50),1),$B$3:$B50,"&lt;="&amp;EOMONTH($B50,0)),"000"))</f>
        <v/>
      </c>
      <c r="B50" s="13"/>
      <c r="C50" s="10"/>
      <c r="D50" s="10"/>
      <c r="E50" s="12" t="str">
        <f aca="false">IF($D50="","",IFERROR(INDEX(품목목록!$B$3:$B$302,MATCH($D50,품목목록!$A$3:$A$302,0)),"미등록품번"))</f>
        <v/>
      </c>
      <c r="F50" s="12" t="str">
        <f aca="false">IF($D50="","",IFERROR(INDEX(품목목록!$C$3:$C$302,MATCH($D50,품목목록!$A$3:$A$302,0)),""))</f>
        <v/>
      </c>
      <c r="G50" s="12" t="str">
        <f aca="false">IF($D50="","",IFERROR(INDEX(품목목록!$D$3:$D$302,MATCH($D50,품목목록!$A$3:$A$302,0)),""))</f>
        <v/>
      </c>
      <c r="H50" s="12" t="str">
        <f aca="false">IF($D50="","",IFERROR(INDEX(품목목록!$E$3:$E$302,MATCH($D50,품목목록!$A$3:$A$302,0)),""))</f>
        <v/>
      </c>
      <c r="I50" s="14"/>
      <c r="J50" s="10"/>
      <c r="K50" s="10"/>
      <c r="L50" s="10"/>
      <c r="M50" s="15" t="str">
        <f aca="false">IF($A50="","",SUMIFS(처리내역!$E$3:$E$1502,처리내역!$B$3:$B$1502,$A50))</f>
        <v/>
      </c>
      <c r="N50" s="15" t="str">
        <f aca="false">IF($A50="","",IF($I50="","",$I50-$M50))</f>
        <v/>
      </c>
      <c r="O50" s="12" t="str">
        <f aca="false">IF($A50="","",IF($I50="","",IF($M50=0,"미처리",IF($N50&lt;=0,"완료","부분처리"))))</f>
        <v/>
      </c>
    </row>
    <row r="51" customFormat="false" ht="15" hidden="false" customHeight="true" outlineLevel="0" collapsed="false">
      <c r="A51" s="12" t="str">
        <f aca="false">IF($B51="","",TEXT($B51,"yymm")&amp;"-"&amp;TEXT(COUNTIFS($B$3:$B51,"&gt;="&amp;DATE(YEAR($B51),MONTH($B51),1),$B$3:$B51,"&lt;="&amp;EOMONTH($B51,0)),"000"))</f>
        <v/>
      </c>
      <c r="B51" s="13"/>
      <c r="C51" s="10"/>
      <c r="D51" s="10"/>
      <c r="E51" s="12" t="str">
        <f aca="false">IF($D51="","",IFERROR(INDEX(품목목록!$B$3:$B$302,MATCH($D51,품목목록!$A$3:$A$302,0)),"미등록품번"))</f>
        <v/>
      </c>
      <c r="F51" s="12" t="str">
        <f aca="false">IF($D51="","",IFERROR(INDEX(품목목록!$C$3:$C$302,MATCH($D51,품목목록!$A$3:$A$302,0)),""))</f>
        <v/>
      </c>
      <c r="G51" s="12" t="str">
        <f aca="false">IF($D51="","",IFERROR(INDEX(품목목록!$D$3:$D$302,MATCH($D51,품목목록!$A$3:$A$302,0)),""))</f>
        <v/>
      </c>
      <c r="H51" s="12" t="str">
        <f aca="false">IF($D51="","",IFERROR(INDEX(품목목록!$E$3:$E$302,MATCH($D51,품목목록!$A$3:$A$302,0)),""))</f>
        <v/>
      </c>
      <c r="I51" s="14"/>
      <c r="J51" s="10"/>
      <c r="K51" s="10"/>
      <c r="L51" s="10"/>
      <c r="M51" s="15" t="str">
        <f aca="false">IF($A51="","",SUMIFS(처리내역!$E$3:$E$1502,처리내역!$B$3:$B$1502,$A51))</f>
        <v/>
      </c>
      <c r="N51" s="15" t="str">
        <f aca="false">IF($A51="","",IF($I51="","",$I51-$M51))</f>
        <v/>
      </c>
      <c r="O51" s="12" t="str">
        <f aca="false">IF($A51="","",IF($I51="","",IF($M51=0,"미처리",IF($N51&lt;=0,"완료","부분처리"))))</f>
        <v/>
      </c>
    </row>
    <row r="52" customFormat="false" ht="15" hidden="false" customHeight="true" outlineLevel="0" collapsed="false">
      <c r="A52" s="12" t="str">
        <f aca="false">IF($B52="","",TEXT($B52,"yymm")&amp;"-"&amp;TEXT(COUNTIFS($B$3:$B52,"&gt;="&amp;DATE(YEAR($B52),MONTH($B52),1),$B$3:$B52,"&lt;="&amp;EOMONTH($B52,0)),"000"))</f>
        <v/>
      </c>
      <c r="B52" s="13"/>
      <c r="C52" s="10"/>
      <c r="D52" s="10"/>
      <c r="E52" s="12" t="str">
        <f aca="false">IF($D52="","",IFERROR(INDEX(품목목록!$B$3:$B$302,MATCH($D52,품목목록!$A$3:$A$302,0)),"미등록품번"))</f>
        <v/>
      </c>
      <c r="F52" s="12" t="str">
        <f aca="false">IF($D52="","",IFERROR(INDEX(품목목록!$C$3:$C$302,MATCH($D52,품목목록!$A$3:$A$302,0)),""))</f>
        <v/>
      </c>
      <c r="G52" s="12" t="str">
        <f aca="false">IF($D52="","",IFERROR(INDEX(품목목록!$D$3:$D$302,MATCH($D52,품목목록!$A$3:$A$302,0)),""))</f>
        <v/>
      </c>
      <c r="H52" s="12" t="str">
        <f aca="false">IF($D52="","",IFERROR(INDEX(품목목록!$E$3:$E$302,MATCH($D52,품목목록!$A$3:$A$302,0)),""))</f>
        <v/>
      </c>
      <c r="I52" s="14"/>
      <c r="J52" s="10"/>
      <c r="K52" s="10"/>
      <c r="L52" s="10"/>
      <c r="M52" s="15" t="str">
        <f aca="false">IF($A52="","",SUMIFS(처리내역!$E$3:$E$1502,처리내역!$B$3:$B$1502,$A52))</f>
        <v/>
      </c>
      <c r="N52" s="15" t="str">
        <f aca="false">IF($A52="","",IF($I52="","",$I52-$M52))</f>
        <v/>
      </c>
      <c r="O52" s="12" t="str">
        <f aca="false">IF($A52="","",IF($I52="","",IF($M52=0,"미처리",IF($N52&lt;=0,"완료","부분처리"))))</f>
        <v/>
      </c>
    </row>
    <row r="53" customFormat="false" ht="15" hidden="false" customHeight="true" outlineLevel="0" collapsed="false">
      <c r="A53" s="12" t="str">
        <f aca="false">IF($B53="","",TEXT($B53,"yymm")&amp;"-"&amp;TEXT(COUNTIFS($B$3:$B53,"&gt;="&amp;DATE(YEAR($B53),MONTH($B53),1),$B$3:$B53,"&lt;="&amp;EOMONTH($B53,0)),"000"))</f>
        <v/>
      </c>
      <c r="B53" s="13"/>
      <c r="C53" s="10"/>
      <c r="D53" s="10"/>
      <c r="E53" s="12" t="str">
        <f aca="false">IF($D53="","",IFERROR(INDEX(품목목록!$B$3:$B$302,MATCH($D53,품목목록!$A$3:$A$302,0)),"미등록품번"))</f>
        <v/>
      </c>
      <c r="F53" s="12" t="str">
        <f aca="false">IF($D53="","",IFERROR(INDEX(품목목록!$C$3:$C$302,MATCH($D53,품목목록!$A$3:$A$302,0)),""))</f>
        <v/>
      </c>
      <c r="G53" s="12" t="str">
        <f aca="false">IF($D53="","",IFERROR(INDEX(품목목록!$D$3:$D$302,MATCH($D53,품목목록!$A$3:$A$302,0)),""))</f>
        <v/>
      </c>
      <c r="H53" s="12" t="str">
        <f aca="false">IF($D53="","",IFERROR(INDEX(품목목록!$E$3:$E$302,MATCH($D53,품목목록!$A$3:$A$302,0)),""))</f>
        <v/>
      </c>
      <c r="I53" s="14"/>
      <c r="J53" s="10"/>
      <c r="K53" s="10"/>
      <c r="L53" s="10"/>
      <c r="M53" s="15" t="str">
        <f aca="false">IF($A53="","",SUMIFS(처리내역!$E$3:$E$1502,처리내역!$B$3:$B$1502,$A53))</f>
        <v/>
      </c>
      <c r="N53" s="15" t="str">
        <f aca="false">IF($A53="","",IF($I53="","",$I53-$M53))</f>
        <v/>
      </c>
      <c r="O53" s="12" t="str">
        <f aca="false">IF($A53="","",IF($I53="","",IF($M53=0,"미처리",IF($N53&lt;=0,"완료","부분처리"))))</f>
        <v/>
      </c>
    </row>
    <row r="54" customFormat="false" ht="15" hidden="false" customHeight="true" outlineLevel="0" collapsed="false">
      <c r="A54" s="12" t="str">
        <f aca="false">IF($B54="","",TEXT($B54,"yymm")&amp;"-"&amp;TEXT(COUNTIFS($B$3:$B54,"&gt;="&amp;DATE(YEAR($B54),MONTH($B54),1),$B$3:$B54,"&lt;="&amp;EOMONTH($B54,0)),"000"))</f>
        <v/>
      </c>
      <c r="B54" s="13"/>
      <c r="C54" s="10"/>
      <c r="D54" s="10"/>
      <c r="E54" s="12" t="str">
        <f aca="false">IF($D54="","",IFERROR(INDEX(품목목록!$B$3:$B$302,MATCH($D54,품목목록!$A$3:$A$302,0)),"미등록품번"))</f>
        <v/>
      </c>
      <c r="F54" s="12" t="str">
        <f aca="false">IF($D54="","",IFERROR(INDEX(품목목록!$C$3:$C$302,MATCH($D54,품목목록!$A$3:$A$302,0)),""))</f>
        <v/>
      </c>
      <c r="G54" s="12" t="str">
        <f aca="false">IF($D54="","",IFERROR(INDEX(품목목록!$D$3:$D$302,MATCH($D54,품목목록!$A$3:$A$302,0)),""))</f>
        <v/>
      </c>
      <c r="H54" s="12" t="str">
        <f aca="false">IF($D54="","",IFERROR(INDEX(품목목록!$E$3:$E$302,MATCH($D54,품목목록!$A$3:$A$302,0)),""))</f>
        <v/>
      </c>
      <c r="I54" s="14"/>
      <c r="J54" s="10"/>
      <c r="K54" s="10"/>
      <c r="L54" s="10"/>
      <c r="M54" s="15" t="str">
        <f aca="false">IF($A54="","",SUMIFS(처리내역!$E$3:$E$1502,처리내역!$B$3:$B$1502,$A54))</f>
        <v/>
      </c>
      <c r="N54" s="15" t="str">
        <f aca="false">IF($A54="","",IF($I54="","",$I54-$M54))</f>
        <v/>
      </c>
      <c r="O54" s="12" t="str">
        <f aca="false">IF($A54="","",IF($I54="","",IF($M54=0,"미처리",IF($N54&lt;=0,"완료","부분처리"))))</f>
        <v/>
      </c>
    </row>
    <row r="55" customFormat="false" ht="15" hidden="false" customHeight="true" outlineLevel="0" collapsed="false">
      <c r="A55" s="12" t="str">
        <f aca="false">IF($B55="","",TEXT($B55,"yymm")&amp;"-"&amp;TEXT(COUNTIFS($B$3:$B55,"&gt;="&amp;DATE(YEAR($B55),MONTH($B55),1),$B$3:$B55,"&lt;="&amp;EOMONTH($B55,0)),"000"))</f>
        <v/>
      </c>
      <c r="B55" s="13"/>
      <c r="C55" s="10"/>
      <c r="D55" s="10"/>
      <c r="E55" s="12" t="str">
        <f aca="false">IF($D55="","",IFERROR(INDEX(품목목록!$B$3:$B$302,MATCH($D55,품목목록!$A$3:$A$302,0)),"미등록품번"))</f>
        <v/>
      </c>
      <c r="F55" s="12" t="str">
        <f aca="false">IF($D55="","",IFERROR(INDEX(품목목록!$C$3:$C$302,MATCH($D55,품목목록!$A$3:$A$302,0)),""))</f>
        <v/>
      </c>
      <c r="G55" s="12" t="str">
        <f aca="false">IF($D55="","",IFERROR(INDEX(품목목록!$D$3:$D$302,MATCH($D55,품목목록!$A$3:$A$302,0)),""))</f>
        <v/>
      </c>
      <c r="H55" s="12" t="str">
        <f aca="false">IF($D55="","",IFERROR(INDEX(품목목록!$E$3:$E$302,MATCH($D55,품목목록!$A$3:$A$302,0)),""))</f>
        <v/>
      </c>
      <c r="I55" s="14"/>
      <c r="J55" s="10"/>
      <c r="K55" s="10"/>
      <c r="L55" s="10"/>
      <c r="M55" s="15" t="str">
        <f aca="false">IF($A55="","",SUMIFS(처리내역!$E$3:$E$1502,처리내역!$B$3:$B$1502,$A55))</f>
        <v/>
      </c>
      <c r="N55" s="15" t="str">
        <f aca="false">IF($A55="","",IF($I55="","",$I55-$M55))</f>
        <v/>
      </c>
      <c r="O55" s="12" t="str">
        <f aca="false">IF($A55="","",IF($I55="","",IF($M55=0,"미처리",IF($N55&lt;=0,"완료","부분처리"))))</f>
        <v/>
      </c>
    </row>
    <row r="56" customFormat="false" ht="15" hidden="false" customHeight="true" outlineLevel="0" collapsed="false">
      <c r="A56" s="12" t="str">
        <f aca="false">IF($B56="","",TEXT($B56,"yymm")&amp;"-"&amp;TEXT(COUNTIFS($B$3:$B56,"&gt;="&amp;DATE(YEAR($B56),MONTH($B56),1),$B$3:$B56,"&lt;="&amp;EOMONTH($B56,0)),"000"))</f>
        <v/>
      </c>
      <c r="B56" s="13"/>
      <c r="C56" s="10"/>
      <c r="D56" s="10"/>
      <c r="E56" s="12" t="str">
        <f aca="false">IF($D56="","",IFERROR(INDEX(품목목록!$B$3:$B$302,MATCH($D56,품목목록!$A$3:$A$302,0)),"미등록품번"))</f>
        <v/>
      </c>
      <c r="F56" s="12" t="str">
        <f aca="false">IF($D56="","",IFERROR(INDEX(품목목록!$C$3:$C$302,MATCH($D56,품목목록!$A$3:$A$302,0)),""))</f>
        <v/>
      </c>
      <c r="G56" s="12" t="str">
        <f aca="false">IF($D56="","",IFERROR(INDEX(품목목록!$D$3:$D$302,MATCH($D56,품목목록!$A$3:$A$302,0)),""))</f>
        <v/>
      </c>
      <c r="H56" s="12" t="str">
        <f aca="false">IF($D56="","",IFERROR(INDEX(품목목록!$E$3:$E$302,MATCH($D56,품목목록!$A$3:$A$302,0)),""))</f>
        <v/>
      </c>
      <c r="I56" s="14"/>
      <c r="J56" s="10"/>
      <c r="K56" s="10"/>
      <c r="L56" s="10"/>
      <c r="M56" s="15" t="str">
        <f aca="false">IF($A56="","",SUMIFS(처리내역!$E$3:$E$1502,처리내역!$B$3:$B$1502,$A56))</f>
        <v/>
      </c>
      <c r="N56" s="15" t="str">
        <f aca="false">IF($A56="","",IF($I56="","",$I56-$M56))</f>
        <v/>
      </c>
      <c r="O56" s="12" t="str">
        <f aca="false">IF($A56="","",IF($I56="","",IF($M56=0,"미처리",IF($N56&lt;=0,"완료","부분처리"))))</f>
        <v/>
      </c>
    </row>
    <row r="57" customFormat="false" ht="15" hidden="false" customHeight="true" outlineLevel="0" collapsed="false">
      <c r="A57" s="12" t="str">
        <f aca="false">IF($B57="","",TEXT($B57,"yymm")&amp;"-"&amp;TEXT(COUNTIFS($B$3:$B57,"&gt;="&amp;DATE(YEAR($B57),MONTH($B57),1),$B$3:$B57,"&lt;="&amp;EOMONTH($B57,0)),"000"))</f>
        <v/>
      </c>
      <c r="B57" s="13"/>
      <c r="C57" s="10"/>
      <c r="D57" s="10"/>
      <c r="E57" s="12" t="str">
        <f aca="false">IF($D57="","",IFERROR(INDEX(품목목록!$B$3:$B$302,MATCH($D57,품목목록!$A$3:$A$302,0)),"미등록품번"))</f>
        <v/>
      </c>
      <c r="F57" s="12" t="str">
        <f aca="false">IF($D57="","",IFERROR(INDEX(품목목록!$C$3:$C$302,MATCH($D57,품목목록!$A$3:$A$302,0)),""))</f>
        <v/>
      </c>
      <c r="G57" s="12" t="str">
        <f aca="false">IF($D57="","",IFERROR(INDEX(품목목록!$D$3:$D$302,MATCH($D57,품목목록!$A$3:$A$302,0)),""))</f>
        <v/>
      </c>
      <c r="H57" s="12" t="str">
        <f aca="false">IF($D57="","",IFERROR(INDEX(품목목록!$E$3:$E$302,MATCH($D57,품목목록!$A$3:$A$302,0)),""))</f>
        <v/>
      </c>
      <c r="I57" s="14"/>
      <c r="J57" s="10"/>
      <c r="K57" s="10"/>
      <c r="L57" s="10"/>
      <c r="M57" s="15" t="str">
        <f aca="false">IF($A57="","",SUMIFS(처리내역!$E$3:$E$1502,처리내역!$B$3:$B$1502,$A57))</f>
        <v/>
      </c>
      <c r="N57" s="15" t="str">
        <f aca="false">IF($A57="","",IF($I57="","",$I57-$M57))</f>
        <v/>
      </c>
      <c r="O57" s="12" t="str">
        <f aca="false">IF($A57="","",IF($I57="","",IF($M57=0,"미처리",IF($N57&lt;=0,"완료","부분처리"))))</f>
        <v/>
      </c>
    </row>
    <row r="58" customFormat="false" ht="15" hidden="false" customHeight="true" outlineLevel="0" collapsed="false">
      <c r="A58" s="12" t="str">
        <f aca="false">IF($B58="","",TEXT($B58,"yymm")&amp;"-"&amp;TEXT(COUNTIFS($B$3:$B58,"&gt;="&amp;DATE(YEAR($B58),MONTH($B58),1),$B$3:$B58,"&lt;="&amp;EOMONTH($B58,0)),"000"))</f>
        <v/>
      </c>
      <c r="B58" s="13"/>
      <c r="C58" s="10"/>
      <c r="D58" s="10"/>
      <c r="E58" s="12" t="str">
        <f aca="false">IF($D58="","",IFERROR(INDEX(품목목록!$B$3:$B$302,MATCH($D58,품목목록!$A$3:$A$302,0)),"미등록품번"))</f>
        <v/>
      </c>
      <c r="F58" s="12" t="str">
        <f aca="false">IF($D58="","",IFERROR(INDEX(품목목록!$C$3:$C$302,MATCH($D58,품목목록!$A$3:$A$302,0)),""))</f>
        <v/>
      </c>
      <c r="G58" s="12" t="str">
        <f aca="false">IF($D58="","",IFERROR(INDEX(품목목록!$D$3:$D$302,MATCH($D58,품목목록!$A$3:$A$302,0)),""))</f>
        <v/>
      </c>
      <c r="H58" s="12" t="str">
        <f aca="false">IF($D58="","",IFERROR(INDEX(품목목록!$E$3:$E$302,MATCH($D58,품목목록!$A$3:$A$302,0)),""))</f>
        <v/>
      </c>
      <c r="I58" s="14"/>
      <c r="J58" s="10"/>
      <c r="K58" s="10"/>
      <c r="L58" s="10"/>
      <c r="M58" s="15" t="str">
        <f aca="false">IF($A58="","",SUMIFS(처리내역!$E$3:$E$1502,처리내역!$B$3:$B$1502,$A58))</f>
        <v/>
      </c>
      <c r="N58" s="15" t="str">
        <f aca="false">IF($A58="","",IF($I58="","",$I58-$M58))</f>
        <v/>
      </c>
      <c r="O58" s="12" t="str">
        <f aca="false">IF($A58="","",IF($I58="","",IF($M58=0,"미처리",IF($N58&lt;=0,"완료","부분처리"))))</f>
        <v/>
      </c>
    </row>
    <row r="59" customFormat="false" ht="15" hidden="false" customHeight="true" outlineLevel="0" collapsed="false">
      <c r="A59" s="12" t="str">
        <f aca="false">IF($B59="","",TEXT($B59,"yymm")&amp;"-"&amp;TEXT(COUNTIFS($B$3:$B59,"&gt;="&amp;DATE(YEAR($B59),MONTH($B59),1),$B$3:$B59,"&lt;="&amp;EOMONTH($B59,0)),"000"))</f>
        <v/>
      </c>
      <c r="B59" s="13"/>
      <c r="C59" s="10"/>
      <c r="D59" s="10"/>
      <c r="E59" s="12" t="str">
        <f aca="false">IF($D59="","",IFERROR(INDEX(품목목록!$B$3:$B$302,MATCH($D59,품목목록!$A$3:$A$302,0)),"미등록품번"))</f>
        <v/>
      </c>
      <c r="F59" s="12" t="str">
        <f aca="false">IF($D59="","",IFERROR(INDEX(품목목록!$C$3:$C$302,MATCH($D59,품목목록!$A$3:$A$302,0)),""))</f>
        <v/>
      </c>
      <c r="G59" s="12" t="str">
        <f aca="false">IF($D59="","",IFERROR(INDEX(품목목록!$D$3:$D$302,MATCH($D59,품목목록!$A$3:$A$302,0)),""))</f>
        <v/>
      </c>
      <c r="H59" s="12" t="str">
        <f aca="false">IF($D59="","",IFERROR(INDEX(품목목록!$E$3:$E$302,MATCH($D59,품목목록!$A$3:$A$302,0)),""))</f>
        <v/>
      </c>
      <c r="I59" s="14"/>
      <c r="J59" s="10"/>
      <c r="K59" s="10"/>
      <c r="L59" s="10"/>
      <c r="M59" s="15" t="str">
        <f aca="false">IF($A59="","",SUMIFS(처리내역!$E$3:$E$1502,처리내역!$B$3:$B$1502,$A59))</f>
        <v/>
      </c>
      <c r="N59" s="15" t="str">
        <f aca="false">IF($A59="","",IF($I59="","",$I59-$M59))</f>
        <v/>
      </c>
      <c r="O59" s="12" t="str">
        <f aca="false">IF($A59="","",IF($I59="","",IF($M59=0,"미처리",IF($N59&lt;=0,"완료","부분처리"))))</f>
        <v/>
      </c>
    </row>
    <row r="60" customFormat="false" ht="15" hidden="false" customHeight="true" outlineLevel="0" collapsed="false">
      <c r="A60" s="12" t="str">
        <f aca="false">IF($B60="","",TEXT($B60,"yymm")&amp;"-"&amp;TEXT(COUNTIFS($B$3:$B60,"&gt;="&amp;DATE(YEAR($B60),MONTH($B60),1),$B$3:$B60,"&lt;="&amp;EOMONTH($B60,0)),"000"))</f>
        <v/>
      </c>
      <c r="B60" s="13"/>
      <c r="C60" s="10"/>
      <c r="D60" s="10"/>
      <c r="E60" s="12" t="str">
        <f aca="false">IF($D60="","",IFERROR(INDEX(품목목록!$B$3:$B$302,MATCH($D60,품목목록!$A$3:$A$302,0)),"미등록품번"))</f>
        <v/>
      </c>
      <c r="F60" s="12" t="str">
        <f aca="false">IF($D60="","",IFERROR(INDEX(품목목록!$C$3:$C$302,MATCH($D60,품목목록!$A$3:$A$302,0)),""))</f>
        <v/>
      </c>
      <c r="G60" s="12" t="str">
        <f aca="false">IF($D60="","",IFERROR(INDEX(품목목록!$D$3:$D$302,MATCH($D60,품목목록!$A$3:$A$302,0)),""))</f>
        <v/>
      </c>
      <c r="H60" s="12" t="str">
        <f aca="false">IF($D60="","",IFERROR(INDEX(품목목록!$E$3:$E$302,MATCH($D60,품목목록!$A$3:$A$302,0)),""))</f>
        <v/>
      </c>
      <c r="I60" s="14"/>
      <c r="J60" s="10"/>
      <c r="K60" s="10"/>
      <c r="L60" s="10"/>
      <c r="M60" s="15" t="str">
        <f aca="false">IF($A60="","",SUMIFS(처리내역!$E$3:$E$1502,처리내역!$B$3:$B$1502,$A60))</f>
        <v/>
      </c>
      <c r="N60" s="15" t="str">
        <f aca="false">IF($A60="","",IF($I60="","",$I60-$M60))</f>
        <v/>
      </c>
      <c r="O60" s="12" t="str">
        <f aca="false">IF($A60="","",IF($I60="","",IF($M60=0,"미처리",IF($N60&lt;=0,"완료","부분처리"))))</f>
        <v/>
      </c>
    </row>
    <row r="61" customFormat="false" ht="15" hidden="false" customHeight="true" outlineLevel="0" collapsed="false">
      <c r="A61" s="12" t="str">
        <f aca="false">IF($B61="","",TEXT($B61,"yymm")&amp;"-"&amp;TEXT(COUNTIFS($B$3:$B61,"&gt;="&amp;DATE(YEAR($B61),MONTH($B61),1),$B$3:$B61,"&lt;="&amp;EOMONTH($B61,0)),"000"))</f>
        <v/>
      </c>
      <c r="B61" s="13"/>
      <c r="C61" s="10"/>
      <c r="D61" s="10"/>
      <c r="E61" s="12" t="str">
        <f aca="false">IF($D61="","",IFERROR(INDEX(품목목록!$B$3:$B$302,MATCH($D61,품목목록!$A$3:$A$302,0)),"미등록품번"))</f>
        <v/>
      </c>
      <c r="F61" s="12" t="str">
        <f aca="false">IF($D61="","",IFERROR(INDEX(품목목록!$C$3:$C$302,MATCH($D61,품목목록!$A$3:$A$302,0)),""))</f>
        <v/>
      </c>
      <c r="G61" s="12" t="str">
        <f aca="false">IF($D61="","",IFERROR(INDEX(품목목록!$D$3:$D$302,MATCH($D61,품목목록!$A$3:$A$302,0)),""))</f>
        <v/>
      </c>
      <c r="H61" s="12" t="str">
        <f aca="false">IF($D61="","",IFERROR(INDEX(품목목록!$E$3:$E$302,MATCH($D61,품목목록!$A$3:$A$302,0)),""))</f>
        <v/>
      </c>
      <c r="I61" s="14"/>
      <c r="J61" s="10"/>
      <c r="K61" s="10"/>
      <c r="L61" s="10"/>
      <c r="M61" s="15" t="str">
        <f aca="false">IF($A61="","",SUMIFS(처리내역!$E$3:$E$1502,처리내역!$B$3:$B$1502,$A61))</f>
        <v/>
      </c>
      <c r="N61" s="15" t="str">
        <f aca="false">IF($A61="","",IF($I61="","",$I61-$M61))</f>
        <v/>
      </c>
      <c r="O61" s="12" t="str">
        <f aca="false">IF($A61="","",IF($I61="","",IF($M61=0,"미처리",IF($N61&lt;=0,"완료","부분처리"))))</f>
        <v/>
      </c>
    </row>
    <row r="62" customFormat="false" ht="15" hidden="false" customHeight="true" outlineLevel="0" collapsed="false">
      <c r="A62" s="12" t="str">
        <f aca="false">IF($B62="","",TEXT($B62,"yymm")&amp;"-"&amp;TEXT(COUNTIFS($B$3:$B62,"&gt;="&amp;DATE(YEAR($B62),MONTH($B62),1),$B$3:$B62,"&lt;="&amp;EOMONTH($B62,0)),"000"))</f>
        <v/>
      </c>
      <c r="B62" s="13"/>
      <c r="C62" s="10"/>
      <c r="D62" s="10"/>
      <c r="E62" s="12" t="str">
        <f aca="false">IF($D62="","",IFERROR(INDEX(품목목록!$B$3:$B$302,MATCH($D62,품목목록!$A$3:$A$302,0)),"미등록품번"))</f>
        <v/>
      </c>
      <c r="F62" s="12" t="str">
        <f aca="false">IF($D62="","",IFERROR(INDEX(품목목록!$C$3:$C$302,MATCH($D62,품목목록!$A$3:$A$302,0)),""))</f>
        <v/>
      </c>
      <c r="G62" s="12" t="str">
        <f aca="false">IF($D62="","",IFERROR(INDEX(품목목록!$D$3:$D$302,MATCH($D62,품목목록!$A$3:$A$302,0)),""))</f>
        <v/>
      </c>
      <c r="H62" s="12" t="str">
        <f aca="false">IF($D62="","",IFERROR(INDEX(품목목록!$E$3:$E$302,MATCH($D62,품목목록!$A$3:$A$302,0)),""))</f>
        <v/>
      </c>
      <c r="I62" s="14"/>
      <c r="J62" s="10"/>
      <c r="K62" s="10"/>
      <c r="L62" s="10"/>
      <c r="M62" s="15" t="str">
        <f aca="false">IF($A62="","",SUMIFS(처리내역!$E$3:$E$1502,처리내역!$B$3:$B$1502,$A62))</f>
        <v/>
      </c>
      <c r="N62" s="15" t="str">
        <f aca="false">IF($A62="","",IF($I62="","",$I62-$M62))</f>
        <v/>
      </c>
      <c r="O62" s="12" t="str">
        <f aca="false">IF($A62="","",IF($I62="","",IF($M62=0,"미처리",IF($N62&lt;=0,"완료","부분처리"))))</f>
        <v/>
      </c>
    </row>
    <row r="63" customFormat="false" ht="15" hidden="false" customHeight="true" outlineLevel="0" collapsed="false">
      <c r="A63" s="12" t="str">
        <f aca="false">IF($B63="","",TEXT($B63,"yymm")&amp;"-"&amp;TEXT(COUNTIFS($B$3:$B63,"&gt;="&amp;DATE(YEAR($B63),MONTH($B63),1),$B$3:$B63,"&lt;="&amp;EOMONTH($B63,0)),"000"))</f>
        <v/>
      </c>
      <c r="B63" s="13"/>
      <c r="C63" s="10"/>
      <c r="D63" s="10"/>
      <c r="E63" s="12" t="str">
        <f aca="false">IF($D63="","",IFERROR(INDEX(품목목록!$B$3:$B$302,MATCH($D63,품목목록!$A$3:$A$302,0)),"미등록품번"))</f>
        <v/>
      </c>
      <c r="F63" s="12" t="str">
        <f aca="false">IF($D63="","",IFERROR(INDEX(품목목록!$C$3:$C$302,MATCH($D63,품목목록!$A$3:$A$302,0)),""))</f>
        <v/>
      </c>
      <c r="G63" s="12" t="str">
        <f aca="false">IF($D63="","",IFERROR(INDEX(품목목록!$D$3:$D$302,MATCH($D63,품목목록!$A$3:$A$302,0)),""))</f>
        <v/>
      </c>
      <c r="H63" s="12" t="str">
        <f aca="false">IF($D63="","",IFERROR(INDEX(품목목록!$E$3:$E$302,MATCH($D63,품목목록!$A$3:$A$302,0)),""))</f>
        <v/>
      </c>
      <c r="I63" s="14"/>
      <c r="J63" s="10"/>
      <c r="K63" s="10"/>
      <c r="L63" s="10"/>
      <c r="M63" s="15" t="str">
        <f aca="false">IF($A63="","",SUMIFS(처리내역!$E$3:$E$1502,처리내역!$B$3:$B$1502,$A63))</f>
        <v/>
      </c>
      <c r="N63" s="15" t="str">
        <f aca="false">IF($A63="","",IF($I63="","",$I63-$M63))</f>
        <v/>
      </c>
      <c r="O63" s="12" t="str">
        <f aca="false">IF($A63="","",IF($I63="","",IF($M63=0,"미처리",IF($N63&lt;=0,"완료","부분처리"))))</f>
        <v/>
      </c>
    </row>
    <row r="64" customFormat="false" ht="15" hidden="false" customHeight="true" outlineLevel="0" collapsed="false">
      <c r="A64" s="12" t="str">
        <f aca="false">IF($B64="","",TEXT($B64,"yymm")&amp;"-"&amp;TEXT(COUNTIFS($B$3:$B64,"&gt;="&amp;DATE(YEAR($B64),MONTH($B64),1),$B$3:$B64,"&lt;="&amp;EOMONTH($B64,0)),"000"))</f>
        <v/>
      </c>
      <c r="B64" s="13"/>
      <c r="C64" s="10"/>
      <c r="D64" s="10"/>
      <c r="E64" s="12" t="str">
        <f aca="false">IF($D64="","",IFERROR(INDEX(품목목록!$B$3:$B$302,MATCH($D64,품목목록!$A$3:$A$302,0)),"미등록품번"))</f>
        <v/>
      </c>
      <c r="F64" s="12" t="str">
        <f aca="false">IF($D64="","",IFERROR(INDEX(품목목록!$C$3:$C$302,MATCH($D64,품목목록!$A$3:$A$302,0)),""))</f>
        <v/>
      </c>
      <c r="G64" s="12" t="str">
        <f aca="false">IF($D64="","",IFERROR(INDEX(품목목록!$D$3:$D$302,MATCH($D64,품목목록!$A$3:$A$302,0)),""))</f>
        <v/>
      </c>
      <c r="H64" s="12" t="str">
        <f aca="false">IF($D64="","",IFERROR(INDEX(품목목록!$E$3:$E$302,MATCH($D64,품목목록!$A$3:$A$302,0)),""))</f>
        <v/>
      </c>
      <c r="I64" s="14"/>
      <c r="J64" s="10"/>
      <c r="K64" s="10"/>
      <c r="L64" s="10"/>
      <c r="M64" s="15" t="str">
        <f aca="false">IF($A64="","",SUMIFS(처리내역!$E$3:$E$1502,처리내역!$B$3:$B$1502,$A64))</f>
        <v/>
      </c>
      <c r="N64" s="15" t="str">
        <f aca="false">IF($A64="","",IF($I64="","",$I64-$M64))</f>
        <v/>
      </c>
      <c r="O64" s="12" t="str">
        <f aca="false">IF($A64="","",IF($I64="","",IF($M64=0,"미처리",IF($N64&lt;=0,"완료","부분처리"))))</f>
        <v/>
      </c>
    </row>
    <row r="65" customFormat="false" ht="15" hidden="false" customHeight="true" outlineLevel="0" collapsed="false">
      <c r="A65" s="12" t="str">
        <f aca="false">IF($B65="","",TEXT($B65,"yymm")&amp;"-"&amp;TEXT(COUNTIFS($B$3:$B65,"&gt;="&amp;DATE(YEAR($B65),MONTH($B65),1),$B$3:$B65,"&lt;="&amp;EOMONTH($B65,0)),"000"))</f>
        <v/>
      </c>
      <c r="B65" s="13"/>
      <c r="C65" s="10"/>
      <c r="D65" s="10"/>
      <c r="E65" s="12" t="str">
        <f aca="false">IF($D65="","",IFERROR(INDEX(품목목록!$B$3:$B$302,MATCH($D65,품목목록!$A$3:$A$302,0)),"미등록품번"))</f>
        <v/>
      </c>
      <c r="F65" s="12" t="str">
        <f aca="false">IF($D65="","",IFERROR(INDEX(품목목록!$C$3:$C$302,MATCH($D65,품목목록!$A$3:$A$302,0)),""))</f>
        <v/>
      </c>
      <c r="G65" s="12" t="str">
        <f aca="false">IF($D65="","",IFERROR(INDEX(품목목록!$D$3:$D$302,MATCH($D65,품목목록!$A$3:$A$302,0)),""))</f>
        <v/>
      </c>
      <c r="H65" s="12" t="str">
        <f aca="false">IF($D65="","",IFERROR(INDEX(품목목록!$E$3:$E$302,MATCH($D65,품목목록!$A$3:$A$302,0)),""))</f>
        <v/>
      </c>
      <c r="I65" s="14"/>
      <c r="J65" s="10"/>
      <c r="K65" s="10"/>
      <c r="L65" s="10"/>
      <c r="M65" s="15" t="str">
        <f aca="false">IF($A65="","",SUMIFS(처리내역!$E$3:$E$1502,처리내역!$B$3:$B$1502,$A65))</f>
        <v/>
      </c>
      <c r="N65" s="15" t="str">
        <f aca="false">IF($A65="","",IF($I65="","",$I65-$M65))</f>
        <v/>
      </c>
      <c r="O65" s="12" t="str">
        <f aca="false">IF($A65="","",IF($I65="","",IF($M65=0,"미처리",IF($N65&lt;=0,"완료","부분처리"))))</f>
        <v/>
      </c>
    </row>
    <row r="66" customFormat="false" ht="15" hidden="false" customHeight="true" outlineLevel="0" collapsed="false">
      <c r="A66" s="12" t="str">
        <f aca="false">IF($B66="","",TEXT($B66,"yymm")&amp;"-"&amp;TEXT(COUNTIFS($B$3:$B66,"&gt;="&amp;DATE(YEAR($B66),MONTH($B66),1),$B$3:$B66,"&lt;="&amp;EOMONTH($B66,0)),"000"))</f>
        <v/>
      </c>
      <c r="B66" s="13"/>
      <c r="C66" s="10"/>
      <c r="D66" s="10"/>
      <c r="E66" s="12" t="str">
        <f aca="false">IF($D66="","",IFERROR(INDEX(품목목록!$B$3:$B$302,MATCH($D66,품목목록!$A$3:$A$302,0)),"미등록품번"))</f>
        <v/>
      </c>
      <c r="F66" s="12" t="str">
        <f aca="false">IF($D66="","",IFERROR(INDEX(품목목록!$C$3:$C$302,MATCH($D66,품목목록!$A$3:$A$302,0)),""))</f>
        <v/>
      </c>
      <c r="G66" s="12" t="str">
        <f aca="false">IF($D66="","",IFERROR(INDEX(품목목록!$D$3:$D$302,MATCH($D66,품목목록!$A$3:$A$302,0)),""))</f>
        <v/>
      </c>
      <c r="H66" s="12" t="str">
        <f aca="false">IF($D66="","",IFERROR(INDEX(품목목록!$E$3:$E$302,MATCH($D66,품목목록!$A$3:$A$302,0)),""))</f>
        <v/>
      </c>
      <c r="I66" s="14"/>
      <c r="J66" s="10"/>
      <c r="K66" s="10"/>
      <c r="L66" s="10"/>
      <c r="M66" s="15" t="str">
        <f aca="false">IF($A66="","",SUMIFS(처리내역!$E$3:$E$1502,처리내역!$B$3:$B$1502,$A66))</f>
        <v/>
      </c>
      <c r="N66" s="15" t="str">
        <f aca="false">IF($A66="","",IF($I66="","",$I66-$M66))</f>
        <v/>
      </c>
      <c r="O66" s="12" t="str">
        <f aca="false">IF($A66="","",IF($I66="","",IF($M66=0,"미처리",IF($N66&lt;=0,"완료","부분처리"))))</f>
        <v/>
      </c>
    </row>
    <row r="67" customFormat="false" ht="15" hidden="false" customHeight="true" outlineLevel="0" collapsed="false">
      <c r="A67" s="12" t="str">
        <f aca="false">IF($B67="","",TEXT($B67,"yymm")&amp;"-"&amp;TEXT(COUNTIFS($B$3:$B67,"&gt;="&amp;DATE(YEAR($B67),MONTH($B67),1),$B$3:$B67,"&lt;="&amp;EOMONTH($B67,0)),"000"))</f>
        <v/>
      </c>
      <c r="B67" s="13"/>
      <c r="C67" s="10"/>
      <c r="D67" s="10"/>
      <c r="E67" s="12" t="str">
        <f aca="false">IF($D67="","",IFERROR(INDEX(품목목록!$B$3:$B$302,MATCH($D67,품목목록!$A$3:$A$302,0)),"미등록품번"))</f>
        <v/>
      </c>
      <c r="F67" s="12" t="str">
        <f aca="false">IF($D67="","",IFERROR(INDEX(품목목록!$C$3:$C$302,MATCH($D67,품목목록!$A$3:$A$302,0)),""))</f>
        <v/>
      </c>
      <c r="G67" s="12" t="str">
        <f aca="false">IF($D67="","",IFERROR(INDEX(품목목록!$D$3:$D$302,MATCH($D67,품목목록!$A$3:$A$302,0)),""))</f>
        <v/>
      </c>
      <c r="H67" s="12" t="str">
        <f aca="false">IF($D67="","",IFERROR(INDEX(품목목록!$E$3:$E$302,MATCH($D67,품목목록!$A$3:$A$302,0)),""))</f>
        <v/>
      </c>
      <c r="I67" s="14"/>
      <c r="J67" s="10"/>
      <c r="K67" s="10"/>
      <c r="L67" s="10"/>
      <c r="M67" s="15" t="str">
        <f aca="false">IF($A67="","",SUMIFS(처리내역!$E$3:$E$1502,처리내역!$B$3:$B$1502,$A67))</f>
        <v/>
      </c>
      <c r="N67" s="15" t="str">
        <f aca="false">IF($A67="","",IF($I67="","",$I67-$M67))</f>
        <v/>
      </c>
      <c r="O67" s="12" t="str">
        <f aca="false">IF($A67="","",IF($I67="","",IF($M67=0,"미처리",IF($N67&lt;=0,"완료","부분처리"))))</f>
        <v/>
      </c>
    </row>
    <row r="68" customFormat="false" ht="15" hidden="false" customHeight="true" outlineLevel="0" collapsed="false">
      <c r="A68" s="12" t="str">
        <f aca="false">IF($B68="","",TEXT($B68,"yymm")&amp;"-"&amp;TEXT(COUNTIFS($B$3:$B68,"&gt;="&amp;DATE(YEAR($B68),MONTH($B68),1),$B$3:$B68,"&lt;="&amp;EOMONTH($B68,0)),"000"))</f>
        <v/>
      </c>
      <c r="B68" s="13"/>
      <c r="C68" s="10"/>
      <c r="D68" s="10"/>
      <c r="E68" s="12" t="str">
        <f aca="false">IF($D68="","",IFERROR(INDEX(품목목록!$B$3:$B$302,MATCH($D68,품목목록!$A$3:$A$302,0)),"미등록품번"))</f>
        <v/>
      </c>
      <c r="F68" s="12" t="str">
        <f aca="false">IF($D68="","",IFERROR(INDEX(품목목록!$C$3:$C$302,MATCH($D68,품목목록!$A$3:$A$302,0)),""))</f>
        <v/>
      </c>
      <c r="G68" s="12" t="str">
        <f aca="false">IF($D68="","",IFERROR(INDEX(품목목록!$D$3:$D$302,MATCH($D68,품목목록!$A$3:$A$302,0)),""))</f>
        <v/>
      </c>
      <c r="H68" s="12" t="str">
        <f aca="false">IF($D68="","",IFERROR(INDEX(품목목록!$E$3:$E$302,MATCH($D68,품목목록!$A$3:$A$302,0)),""))</f>
        <v/>
      </c>
      <c r="I68" s="14"/>
      <c r="J68" s="10"/>
      <c r="K68" s="10"/>
      <c r="L68" s="10"/>
      <c r="M68" s="15" t="str">
        <f aca="false">IF($A68="","",SUMIFS(처리내역!$E$3:$E$1502,처리내역!$B$3:$B$1502,$A68))</f>
        <v/>
      </c>
      <c r="N68" s="15" t="str">
        <f aca="false">IF($A68="","",IF($I68="","",$I68-$M68))</f>
        <v/>
      </c>
      <c r="O68" s="12" t="str">
        <f aca="false">IF($A68="","",IF($I68="","",IF($M68=0,"미처리",IF($N68&lt;=0,"완료","부분처리"))))</f>
        <v/>
      </c>
    </row>
    <row r="69" customFormat="false" ht="15" hidden="false" customHeight="true" outlineLevel="0" collapsed="false">
      <c r="A69" s="12" t="str">
        <f aca="false">IF($B69="","",TEXT($B69,"yymm")&amp;"-"&amp;TEXT(COUNTIFS($B$3:$B69,"&gt;="&amp;DATE(YEAR($B69),MONTH($B69),1),$B$3:$B69,"&lt;="&amp;EOMONTH($B69,0)),"000"))</f>
        <v/>
      </c>
      <c r="B69" s="13"/>
      <c r="C69" s="10"/>
      <c r="D69" s="10"/>
      <c r="E69" s="12" t="str">
        <f aca="false">IF($D69="","",IFERROR(INDEX(품목목록!$B$3:$B$302,MATCH($D69,품목목록!$A$3:$A$302,0)),"미등록품번"))</f>
        <v/>
      </c>
      <c r="F69" s="12" t="str">
        <f aca="false">IF($D69="","",IFERROR(INDEX(품목목록!$C$3:$C$302,MATCH($D69,품목목록!$A$3:$A$302,0)),""))</f>
        <v/>
      </c>
      <c r="G69" s="12" t="str">
        <f aca="false">IF($D69="","",IFERROR(INDEX(품목목록!$D$3:$D$302,MATCH($D69,품목목록!$A$3:$A$302,0)),""))</f>
        <v/>
      </c>
      <c r="H69" s="12" t="str">
        <f aca="false">IF($D69="","",IFERROR(INDEX(품목목록!$E$3:$E$302,MATCH($D69,품목목록!$A$3:$A$302,0)),""))</f>
        <v/>
      </c>
      <c r="I69" s="14"/>
      <c r="J69" s="10"/>
      <c r="K69" s="10"/>
      <c r="L69" s="10"/>
      <c r="M69" s="15" t="str">
        <f aca="false">IF($A69="","",SUMIFS(처리내역!$E$3:$E$1502,처리내역!$B$3:$B$1502,$A69))</f>
        <v/>
      </c>
      <c r="N69" s="15" t="str">
        <f aca="false">IF($A69="","",IF($I69="","",$I69-$M69))</f>
        <v/>
      </c>
      <c r="O69" s="12" t="str">
        <f aca="false">IF($A69="","",IF($I69="","",IF($M69=0,"미처리",IF($N69&lt;=0,"완료","부분처리"))))</f>
        <v/>
      </c>
    </row>
    <row r="70" customFormat="false" ht="15" hidden="false" customHeight="true" outlineLevel="0" collapsed="false">
      <c r="A70" s="12" t="str">
        <f aca="false">IF($B70="","",TEXT($B70,"yymm")&amp;"-"&amp;TEXT(COUNTIFS($B$3:$B70,"&gt;="&amp;DATE(YEAR($B70),MONTH($B70),1),$B$3:$B70,"&lt;="&amp;EOMONTH($B70,0)),"000"))</f>
        <v/>
      </c>
      <c r="B70" s="13"/>
      <c r="C70" s="10"/>
      <c r="D70" s="10"/>
      <c r="E70" s="12" t="str">
        <f aca="false">IF($D70="","",IFERROR(INDEX(품목목록!$B$3:$B$302,MATCH($D70,품목목록!$A$3:$A$302,0)),"미등록품번"))</f>
        <v/>
      </c>
      <c r="F70" s="12" t="str">
        <f aca="false">IF($D70="","",IFERROR(INDEX(품목목록!$C$3:$C$302,MATCH($D70,품목목록!$A$3:$A$302,0)),""))</f>
        <v/>
      </c>
      <c r="G70" s="12" t="str">
        <f aca="false">IF($D70="","",IFERROR(INDEX(품목목록!$D$3:$D$302,MATCH($D70,품목목록!$A$3:$A$302,0)),""))</f>
        <v/>
      </c>
      <c r="H70" s="12" t="str">
        <f aca="false">IF($D70="","",IFERROR(INDEX(품목목록!$E$3:$E$302,MATCH($D70,품목목록!$A$3:$A$302,0)),""))</f>
        <v/>
      </c>
      <c r="I70" s="14"/>
      <c r="J70" s="10"/>
      <c r="K70" s="10"/>
      <c r="L70" s="10"/>
      <c r="M70" s="15" t="str">
        <f aca="false">IF($A70="","",SUMIFS(처리내역!$E$3:$E$1502,처리내역!$B$3:$B$1502,$A70))</f>
        <v/>
      </c>
      <c r="N70" s="15" t="str">
        <f aca="false">IF($A70="","",IF($I70="","",$I70-$M70))</f>
        <v/>
      </c>
      <c r="O70" s="12" t="str">
        <f aca="false">IF($A70="","",IF($I70="","",IF($M70=0,"미처리",IF($N70&lt;=0,"완료","부분처리"))))</f>
        <v/>
      </c>
    </row>
    <row r="71" customFormat="false" ht="15" hidden="false" customHeight="true" outlineLevel="0" collapsed="false">
      <c r="A71" s="12" t="str">
        <f aca="false">IF($B71="","",TEXT($B71,"yymm")&amp;"-"&amp;TEXT(COUNTIFS($B$3:$B71,"&gt;="&amp;DATE(YEAR($B71),MONTH($B71),1),$B$3:$B71,"&lt;="&amp;EOMONTH($B71,0)),"000"))</f>
        <v/>
      </c>
      <c r="B71" s="13"/>
      <c r="C71" s="10"/>
      <c r="D71" s="10"/>
      <c r="E71" s="12" t="str">
        <f aca="false">IF($D71="","",IFERROR(INDEX(품목목록!$B$3:$B$302,MATCH($D71,품목목록!$A$3:$A$302,0)),"미등록품번"))</f>
        <v/>
      </c>
      <c r="F71" s="12" t="str">
        <f aca="false">IF($D71="","",IFERROR(INDEX(품목목록!$C$3:$C$302,MATCH($D71,품목목록!$A$3:$A$302,0)),""))</f>
        <v/>
      </c>
      <c r="G71" s="12" t="str">
        <f aca="false">IF($D71="","",IFERROR(INDEX(품목목록!$D$3:$D$302,MATCH($D71,품목목록!$A$3:$A$302,0)),""))</f>
        <v/>
      </c>
      <c r="H71" s="12" t="str">
        <f aca="false">IF($D71="","",IFERROR(INDEX(품목목록!$E$3:$E$302,MATCH($D71,품목목록!$A$3:$A$302,0)),""))</f>
        <v/>
      </c>
      <c r="I71" s="14"/>
      <c r="J71" s="10"/>
      <c r="K71" s="10"/>
      <c r="L71" s="10"/>
      <c r="M71" s="15" t="str">
        <f aca="false">IF($A71="","",SUMIFS(처리내역!$E$3:$E$1502,처리내역!$B$3:$B$1502,$A71))</f>
        <v/>
      </c>
      <c r="N71" s="15" t="str">
        <f aca="false">IF($A71="","",IF($I71="","",$I71-$M71))</f>
        <v/>
      </c>
      <c r="O71" s="12" t="str">
        <f aca="false">IF($A71="","",IF($I71="","",IF($M71=0,"미처리",IF($N71&lt;=0,"완료","부분처리"))))</f>
        <v/>
      </c>
    </row>
    <row r="72" customFormat="false" ht="15" hidden="false" customHeight="true" outlineLevel="0" collapsed="false">
      <c r="A72" s="12" t="str">
        <f aca="false">IF($B72="","",TEXT($B72,"yymm")&amp;"-"&amp;TEXT(COUNTIFS($B$3:$B72,"&gt;="&amp;DATE(YEAR($B72),MONTH($B72),1),$B$3:$B72,"&lt;="&amp;EOMONTH($B72,0)),"000"))</f>
        <v/>
      </c>
      <c r="B72" s="13"/>
      <c r="C72" s="10"/>
      <c r="D72" s="10"/>
      <c r="E72" s="12" t="str">
        <f aca="false">IF($D72="","",IFERROR(INDEX(품목목록!$B$3:$B$302,MATCH($D72,품목목록!$A$3:$A$302,0)),"미등록품번"))</f>
        <v/>
      </c>
      <c r="F72" s="12" t="str">
        <f aca="false">IF($D72="","",IFERROR(INDEX(품목목록!$C$3:$C$302,MATCH($D72,품목목록!$A$3:$A$302,0)),""))</f>
        <v/>
      </c>
      <c r="G72" s="12" t="str">
        <f aca="false">IF($D72="","",IFERROR(INDEX(품목목록!$D$3:$D$302,MATCH($D72,품목목록!$A$3:$A$302,0)),""))</f>
        <v/>
      </c>
      <c r="H72" s="12" t="str">
        <f aca="false">IF($D72="","",IFERROR(INDEX(품목목록!$E$3:$E$302,MATCH($D72,품목목록!$A$3:$A$302,0)),""))</f>
        <v/>
      </c>
      <c r="I72" s="14"/>
      <c r="J72" s="10"/>
      <c r="K72" s="10"/>
      <c r="L72" s="10"/>
      <c r="M72" s="15" t="str">
        <f aca="false">IF($A72="","",SUMIFS(처리내역!$E$3:$E$1502,처리내역!$B$3:$B$1502,$A72))</f>
        <v/>
      </c>
      <c r="N72" s="15" t="str">
        <f aca="false">IF($A72="","",IF($I72="","",$I72-$M72))</f>
        <v/>
      </c>
      <c r="O72" s="12" t="str">
        <f aca="false">IF($A72="","",IF($I72="","",IF($M72=0,"미처리",IF($N72&lt;=0,"완료","부분처리"))))</f>
        <v/>
      </c>
    </row>
    <row r="73" customFormat="false" ht="15" hidden="false" customHeight="true" outlineLevel="0" collapsed="false">
      <c r="A73" s="12" t="str">
        <f aca="false">IF($B73="","",TEXT($B73,"yymm")&amp;"-"&amp;TEXT(COUNTIFS($B$3:$B73,"&gt;="&amp;DATE(YEAR($B73),MONTH($B73),1),$B$3:$B73,"&lt;="&amp;EOMONTH($B73,0)),"000"))</f>
        <v/>
      </c>
      <c r="B73" s="13"/>
      <c r="C73" s="10"/>
      <c r="D73" s="10"/>
      <c r="E73" s="12" t="str">
        <f aca="false">IF($D73="","",IFERROR(INDEX(품목목록!$B$3:$B$302,MATCH($D73,품목목록!$A$3:$A$302,0)),"미등록품번"))</f>
        <v/>
      </c>
      <c r="F73" s="12" t="str">
        <f aca="false">IF($D73="","",IFERROR(INDEX(품목목록!$C$3:$C$302,MATCH($D73,품목목록!$A$3:$A$302,0)),""))</f>
        <v/>
      </c>
      <c r="G73" s="12" t="str">
        <f aca="false">IF($D73="","",IFERROR(INDEX(품목목록!$D$3:$D$302,MATCH($D73,품목목록!$A$3:$A$302,0)),""))</f>
        <v/>
      </c>
      <c r="H73" s="12" t="str">
        <f aca="false">IF($D73="","",IFERROR(INDEX(품목목록!$E$3:$E$302,MATCH($D73,품목목록!$A$3:$A$302,0)),""))</f>
        <v/>
      </c>
      <c r="I73" s="14"/>
      <c r="J73" s="10"/>
      <c r="K73" s="10"/>
      <c r="L73" s="10"/>
      <c r="M73" s="15" t="str">
        <f aca="false">IF($A73="","",SUMIFS(처리내역!$E$3:$E$1502,처리내역!$B$3:$B$1502,$A73))</f>
        <v/>
      </c>
      <c r="N73" s="15" t="str">
        <f aca="false">IF($A73="","",IF($I73="","",$I73-$M73))</f>
        <v/>
      </c>
      <c r="O73" s="12" t="str">
        <f aca="false">IF($A73="","",IF($I73="","",IF($M73=0,"미처리",IF($N73&lt;=0,"완료","부분처리"))))</f>
        <v/>
      </c>
    </row>
    <row r="74" customFormat="false" ht="15" hidden="false" customHeight="true" outlineLevel="0" collapsed="false">
      <c r="A74" s="12" t="str">
        <f aca="false">IF($B74="","",TEXT($B74,"yymm")&amp;"-"&amp;TEXT(COUNTIFS($B$3:$B74,"&gt;="&amp;DATE(YEAR($B74),MONTH($B74),1),$B$3:$B74,"&lt;="&amp;EOMONTH($B74,0)),"000"))</f>
        <v/>
      </c>
      <c r="B74" s="13"/>
      <c r="C74" s="10"/>
      <c r="D74" s="10"/>
      <c r="E74" s="12" t="str">
        <f aca="false">IF($D74="","",IFERROR(INDEX(품목목록!$B$3:$B$302,MATCH($D74,품목목록!$A$3:$A$302,0)),"미등록품번"))</f>
        <v/>
      </c>
      <c r="F74" s="12" t="str">
        <f aca="false">IF($D74="","",IFERROR(INDEX(품목목록!$C$3:$C$302,MATCH($D74,품목목록!$A$3:$A$302,0)),""))</f>
        <v/>
      </c>
      <c r="G74" s="12" t="str">
        <f aca="false">IF($D74="","",IFERROR(INDEX(품목목록!$D$3:$D$302,MATCH($D74,품목목록!$A$3:$A$302,0)),""))</f>
        <v/>
      </c>
      <c r="H74" s="12" t="str">
        <f aca="false">IF($D74="","",IFERROR(INDEX(품목목록!$E$3:$E$302,MATCH($D74,품목목록!$A$3:$A$302,0)),""))</f>
        <v/>
      </c>
      <c r="I74" s="14"/>
      <c r="J74" s="10"/>
      <c r="K74" s="10"/>
      <c r="L74" s="10"/>
      <c r="M74" s="15" t="str">
        <f aca="false">IF($A74="","",SUMIFS(처리내역!$E$3:$E$1502,처리내역!$B$3:$B$1502,$A74))</f>
        <v/>
      </c>
      <c r="N74" s="15" t="str">
        <f aca="false">IF($A74="","",IF($I74="","",$I74-$M74))</f>
        <v/>
      </c>
      <c r="O74" s="12" t="str">
        <f aca="false">IF($A74="","",IF($I74="","",IF($M74=0,"미처리",IF($N74&lt;=0,"완료","부분처리"))))</f>
        <v/>
      </c>
    </row>
    <row r="75" customFormat="false" ht="15" hidden="false" customHeight="true" outlineLevel="0" collapsed="false">
      <c r="A75" s="12" t="str">
        <f aca="false">IF($B75="","",TEXT($B75,"yymm")&amp;"-"&amp;TEXT(COUNTIFS($B$3:$B75,"&gt;="&amp;DATE(YEAR($B75),MONTH($B75),1),$B$3:$B75,"&lt;="&amp;EOMONTH($B75,0)),"000"))</f>
        <v/>
      </c>
      <c r="B75" s="13"/>
      <c r="C75" s="10"/>
      <c r="D75" s="10"/>
      <c r="E75" s="12" t="str">
        <f aca="false">IF($D75="","",IFERROR(INDEX(품목목록!$B$3:$B$302,MATCH($D75,품목목록!$A$3:$A$302,0)),"미등록품번"))</f>
        <v/>
      </c>
      <c r="F75" s="12" t="str">
        <f aca="false">IF($D75="","",IFERROR(INDEX(품목목록!$C$3:$C$302,MATCH($D75,품목목록!$A$3:$A$302,0)),""))</f>
        <v/>
      </c>
      <c r="G75" s="12" t="str">
        <f aca="false">IF($D75="","",IFERROR(INDEX(품목목록!$D$3:$D$302,MATCH($D75,품목목록!$A$3:$A$302,0)),""))</f>
        <v/>
      </c>
      <c r="H75" s="12" t="str">
        <f aca="false">IF($D75="","",IFERROR(INDEX(품목목록!$E$3:$E$302,MATCH($D75,품목목록!$A$3:$A$302,0)),""))</f>
        <v/>
      </c>
      <c r="I75" s="14"/>
      <c r="J75" s="10"/>
      <c r="K75" s="10"/>
      <c r="L75" s="10"/>
      <c r="M75" s="15" t="str">
        <f aca="false">IF($A75="","",SUMIFS(처리내역!$E$3:$E$1502,처리내역!$B$3:$B$1502,$A75))</f>
        <v/>
      </c>
      <c r="N75" s="15" t="str">
        <f aca="false">IF($A75="","",IF($I75="","",$I75-$M75))</f>
        <v/>
      </c>
      <c r="O75" s="12" t="str">
        <f aca="false">IF($A75="","",IF($I75="","",IF($M75=0,"미처리",IF($N75&lt;=0,"완료","부분처리"))))</f>
        <v/>
      </c>
    </row>
    <row r="76" customFormat="false" ht="15" hidden="false" customHeight="true" outlineLevel="0" collapsed="false">
      <c r="A76" s="12" t="str">
        <f aca="false">IF($B76="","",TEXT($B76,"yymm")&amp;"-"&amp;TEXT(COUNTIFS($B$3:$B76,"&gt;="&amp;DATE(YEAR($B76),MONTH($B76),1),$B$3:$B76,"&lt;="&amp;EOMONTH($B76,0)),"000"))</f>
        <v/>
      </c>
      <c r="B76" s="13"/>
      <c r="C76" s="10"/>
      <c r="D76" s="10"/>
      <c r="E76" s="12" t="str">
        <f aca="false">IF($D76="","",IFERROR(INDEX(품목목록!$B$3:$B$302,MATCH($D76,품목목록!$A$3:$A$302,0)),"미등록품번"))</f>
        <v/>
      </c>
      <c r="F76" s="12" t="str">
        <f aca="false">IF($D76="","",IFERROR(INDEX(품목목록!$C$3:$C$302,MATCH($D76,품목목록!$A$3:$A$302,0)),""))</f>
        <v/>
      </c>
      <c r="G76" s="12" t="str">
        <f aca="false">IF($D76="","",IFERROR(INDEX(품목목록!$D$3:$D$302,MATCH($D76,품목목록!$A$3:$A$302,0)),""))</f>
        <v/>
      </c>
      <c r="H76" s="12" t="str">
        <f aca="false">IF($D76="","",IFERROR(INDEX(품목목록!$E$3:$E$302,MATCH($D76,품목목록!$A$3:$A$302,0)),""))</f>
        <v/>
      </c>
      <c r="I76" s="14"/>
      <c r="J76" s="10"/>
      <c r="K76" s="10"/>
      <c r="L76" s="10"/>
      <c r="M76" s="15" t="str">
        <f aca="false">IF($A76="","",SUMIFS(처리내역!$E$3:$E$1502,처리내역!$B$3:$B$1502,$A76))</f>
        <v/>
      </c>
      <c r="N76" s="15" t="str">
        <f aca="false">IF($A76="","",IF($I76="","",$I76-$M76))</f>
        <v/>
      </c>
      <c r="O76" s="12" t="str">
        <f aca="false">IF($A76="","",IF($I76="","",IF($M76=0,"미처리",IF($N76&lt;=0,"완료","부분처리"))))</f>
        <v/>
      </c>
    </row>
    <row r="77" customFormat="false" ht="15" hidden="false" customHeight="true" outlineLevel="0" collapsed="false">
      <c r="A77" s="12" t="str">
        <f aca="false">IF($B77="","",TEXT($B77,"yymm")&amp;"-"&amp;TEXT(COUNTIFS($B$3:$B77,"&gt;="&amp;DATE(YEAR($B77),MONTH($B77),1),$B$3:$B77,"&lt;="&amp;EOMONTH($B77,0)),"000"))</f>
        <v/>
      </c>
      <c r="B77" s="13"/>
      <c r="C77" s="10"/>
      <c r="D77" s="10"/>
      <c r="E77" s="12" t="str">
        <f aca="false">IF($D77="","",IFERROR(INDEX(품목목록!$B$3:$B$302,MATCH($D77,품목목록!$A$3:$A$302,0)),"미등록품번"))</f>
        <v/>
      </c>
      <c r="F77" s="12" t="str">
        <f aca="false">IF($D77="","",IFERROR(INDEX(품목목록!$C$3:$C$302,MATCH($D77,품목목록!$A$3:$A$302,0)),""))</f>
        <v/>
      </c>
      <c r="G77" s="12" t="str">
        <f aca="false">IF($D77="","",IFERROR(INDEX(품목목록!$D$3:$D$302,MATCH($D77,품목목록!$A$3:$A$302,0)),""))</f>
        <v/>
      </c>
      <c r="H77" s="12" t="str">
        <f aca="false">IF($D77="","",IFERROR(INDEX(품목목록!$E$3:$E$302,MATCH($D77,품목목록!$A$3:$A$302,0)),""))</f>
        <v/>
      </c>
      <c r="I77" s="14"/>
      <c r="J77" s="10"/>
      <c r="K77" s="10"/>
      <c r="L77" s="10"/>
      <c r="M77" s="15" t="str">
        <f aca="false">IF($A77="","",SUMIFS(처리내역!$E$3:$E$1502,처리내역!$B$3:$B$1502,$A77))</f>
        <v/>
      </c>
      <c r="N77" s="15" t="str">
        <f aca="false">IF($A77="","",IF($I77="","",$I77-$M77))</f>
        <v/>
      </c>
      <c r="O77" s="12" t="str">
        <f aca="false">IF($A77="","",IF($I77="","",IF($M77=0,"미처리",IF($N77&lt;=0,"완료","부분처리"))))</f>
        <v/>
      </c>
    </row>
    <row r="78" customFormat="false" ht="15" hidden="false" customHeight="true" outlineLevel="0" collapsed="false">
      <c r="A78" s="12" t="str">
        <f aca="false">IF($B78="","",TEXT($B78,"yymm")&amp;"-"&amp;TEXT(COUNTIFS($B$3:$B78,"&gt;="&amp;DATE(YEAR($B78),MONTH($B78),1),$B$3:$B78,"&lt;="&amp;EOMONTH($B78,0)),"000"))</f>
        <v/>
      </c>
      <c r="B78" s="13"/>
      <c r="C78" s="10"/>
      <c r="D78" s="10"/>
      <c r="E78" s="12" t="str">
        <f aca="false">IF($D78="","",IFERROR(INDEX(품목목록!$B$3:$B$302,MATCH($D78,품목목록!$A$3:$A$302,0)),"미등록품번"))</f>
        <v/>
      </c>
      <c r="F78" s="12" t="str">
        <f aca="false">IF($D78="","",IFERROR(INDEX(품목목록!$C$3:$C$302,MATCH($D78,품목목록!$A$3:$A$302,0)),""))</f>
        <v/>
      </c>
      <c r="G78" s="12" t="str">
        <f aca="false">IF($D78="","",IFERROR(INDEX(품목목록!$D$3:$D$302,MATCH($D78,품목목록!$A$3:$A$302,0)),""))</f>
        <v/>
      </c>
      <c r="H78" s="12" t="str">
        <f aca="false">IF($D78="","",IFERROR(INDEX(품목목록!$E$3:$E$302,MATCH($D78,품목목록!$A$3:$A$302,0)),""))</f>
        <v/>
      </c>
      <c r="I78" s="14"/>
      <c r="J78" s="10"/>
      <c r="K78" s="10"/>
      <c r="L78" s="10"/>
      <c r="M78" s="15" t="str">
        <f aca="false">IF($A78="","",SUMIFS(처리내역!$E$3:$E$1502,처리내역!$B$3:$B$1502,$A78))</f>
        <v/>
      </c>
      <c r="N78" s="15" t="str">
        <f aca="false">IF($A78="","",IF($I78="","",$I78-$M78))</f>
        <v/>
      </c>
      <c r="O78" s="12" t="str">
        <f aca="false">IF($A78="","",IF($I78="","",IF($M78=0,"미처리",IF($N78&lt;=0,"완료","부분처리"))))</f>
        <v/>
      </c>
    </row>
    <row r="79" customFormat="false" ht="15" hidden="false" customHeight="true" outlineLevel="0" collapsed="false">
      <c r="A79" s="12" t="str">
        <f aca="false">IF($B79="","",TEXT($B79,"yymm")&amp;"-"&amp;TEXT(COUNTIFS($B$3:$B79,"&gt;="&amp;DATE(YEAR($B79),MONTH($B79),1),$B$3:$B79,"&lt;="&amp;EOMONTH($B79,0)),"000"))</f>
        <v/>
      </c>
      <c r="B79" s="13"/>
      <c r="C79" s="10"/>
      <c r="D79" s="10"/>
      <c r="E79" s="12" t="str">
        <f aca="false">IF($D79="","",IFERROR(INDEX(품목목록!$B$3:$B$302,MATCH($D79,품목목록!$A$3:$A$302,0)),"미등록품번"))</f>
        <v/>
      </c>
      <c r="F79" s="12" t="str">
        <f aca="false">IF($D79="","",IFERROR(INDEX(품목목록!$C$3:$C$302,MATCH($D79,품목목록!$A$3:$A$302,0)),""))</f>
        <v/>
      </c>
      <c r="G79" s="12" t="str">
        <f aca="false">IF($D79="","",IFERROR(INDEX(품목목록!$D$3:$D$302,MATCH($D79,품목목록!$A$3:$A$302,0)),""))</f>
        <v/>
      </c>
      <c r="H79" s="12" t="str">
        <f aca="false">IF($D79="","",IFERROR(INDEX(품목목록!$E$3:$E$302,MATCH($D79,품목목록!$A$3:$A$302,0)),""))</f>
        <v/>
      </c>
      <c r="I79" s="14"/>
      <c r="J79" s="10"/>
      <c r="K79" s="10"/>
      <c r="L79" s="10"/>
      <c r="M79" s="15" t="str">
        <f aca="false">IF($A79="","",SUMIFS(처리내역!$E$3:$E$1502,처리내역!$B$3:$B$1502,$A79))</f>
        <v/>
      </c>
      <c r="N79" s="15" t="str">
        <f aca="false">IF($A79="","",IF($I79="","",$I79-$M79))</f>
        <v/>
      </c>
      <c r="O79" s="12" t="str">
        <f aca="false">IF($A79="","",IF($I79="","",IF($M79=0,"미처리",IF($N79&lt;=0,"완료","부분처리"))))</f>
        <v/>
      </c>
    </row>
    <row r="80" customFormat="false" ht="15" hidden="false" customHeight="true" outlineLevel="0" collapsed="false">
      <c r="A80" s="12" t="str">
        <f aca="false">IF($B80="","",TEXT($B80,"yymm")&amp;"-"&amp;TEXT(COUNTIFS($B$3:$B80,"&gt;="&amp;DATE(YEAR($B80),MONTH($B80),1),$B$3:$B80,"&lt;="&amp;EOMONTH($B80,0)),"000"))</f>
        <v/>
      </c>
      <c r="B80" s="13"/>
      <c r="C80" s="10"/>
      <c r="D80" s="10"/>
      <c r="E80" s="12" t="str">
        <f aca="false">IF($D80="","",IFERROR(INDEX(품목목록!$B$3:$B$302,MATCH($D80,품목목록!$A$3:$A$302,0)),"미등록품번"))</f>
        <v/>
      </c>
      <c r="F80" s="12" t="str">
        <f aca="false">IF($D80="","",IFERROR(INDEX(품목목록!$C$3:$C$302,MATCH($D80,품목목록!$A$3:$A$302,0)),""))</f>
        <v/>
      </c>
      <c r="G80" s="12" t="str">
        <f aca="false">IF($D80="","",IFERROR(INDEX(품목목록!$D$3:$D$302,MATCH($D80,품목목록!$A$3:$A$302,0)),""))</f>
        <v/>
      </c>
      <c r="H80" s="12" t="str">
        <f aca="false">IF($D80="","",IFERROR(INDEX(품목목록!$E$3:$E$302,MATCH($D80,품목목록!$A$3:$A$302,0)),""))</f>
        <v/>
      </c>
      <c r="I80" s="14"/>
      <c r="J80" s="10"/>
      <c r="K80" s="10"/>
      <c r="L80" s="10"/>
      <c r="M80" s="15" t="str">
        <f aca="false">IF($A80="","",SUMIFS(처리내역!$E$3:$E$1502,처리내역!$B$3:$B$1502,$A80))</f>
        <v/>
      </c>
      <c r="N80" s="15" t="str">
        <f aca="false">IF($A80="","",IF($I80="","",$I80-$M80))</f>
        <v/>
      </c>
      <c r="O80" s="12" t="str">
        <f aca="false">IF($A80="","",IF($I80="","",IF($M80=0,"미처리",IF($N80&lt;=0,"완료","부분처리"))))</f>
        <v/>
      </c>
    </row>
    <row r="81" customFormat="false" ht="15" hidden="false" customHeight="true" outlineLevel="0" collapsed="false">
      <c r="A81" s="12" t="str">
        <f aca="false">IF($B81="","",TEXT($B81,"yymm")&amp;"-"&amp;TEXT(COUNTIFS($B$3:$B81,"&gt;="&amp;DATE(YEAR($B81),MONTH($B81),1),$B$3:$B81,"&lt;="&amp;EOMONTH($B81,0)),"000"))</f>
        <v/>
      </c>
      <c r="B81" s="13"/>
      <c r="C81" s="10"/>
      <c r="D81" s="10"/>
      <c r="E81" s="12" t="str">
        <f aca="false">IF($D81="","",IFERROR(INDEX(품목목록!$B$3:$B$302,MATCH($D81,품목목록!$A$3:$A$302,0)),"미등록품번"))</f>
        <v/>
      </c>
      <c r="F81" s="12" t="str">
        <f aca="false">IF($D81="","",IFERROR(INDEX(품목목록!$C$3:$C$302,MATCH($D81,품목목록!$A$3:$A$302,0)),""))</f>
        <v/>
      </c>
      <c r="G81" s="12" t="str">
        <f aca="false">IF($D81="","",IFERROR(INDEX(품목목록!$D$3:$D$302,MATCH($D81,품목목록!$A$3:$A$302,0)),""))</f>
        <v/>
      </c>
      <c r="H81" s="12" t="str">
        <f aca="false">IF($D81="","",IFERROR(INDEX(품목목록!$E$3:$E$302,MATCH($D81,품목목록!$A$3:$A$302,0)),""))</f>
        <v/>
      </c>
      <c r="I81" s="14"/>
      <c r="J81" s="10"/>
      <c r="K81" s="10"/>
      <c r="L81" s="10"/>
      <c r="M81" s="15" t="str">
        <f aca="false">IF($A81="","",SUMIFS(처리내역!$E$3:$E$1502,처리내역!$B$3:$B$1502,$A81))</f>
        <v/>
      </c>
      <c r="N81" s="15" t="str">
        <f aca="false">IF($A81="","",IF($I81="","",$I81-$M81))</f>
        <v/>
      </c>
      <c r="O81" s="12" t="str">
        <f aca="false">IF($A81="","",IF($I81="","",IF($M81=0,"미처리",IF($N81&lt;=0,"완료","부분처리"))))</f>
        <v/>
      </c>
    </row>
    <row r="82" customFormat="false" ht="15" hidden="false" customHeight="true" outlineLevel="0" collapsed="false">
      <c r="A82" s="12" t="str">
        <f aca="false">IF($B82="","",TEXT($B82,"yymm")&amp;"-"&amp;TEXT(COUNTIFS($B$3:$B82,"&gt;="&amp;DATE(YEAR($B82),MONTH($B82),1),$B$3:$B82,"&lt;="&amp;EOMONTH($B82,0)),"000"))</f>
        <v/>
      </c>
      <c r="B82" s="13"/>
      <c r="C82" s="10"/>
      <c r="D82" s="10"/>
      <c r="E82" s="12" t="str">
        <f aca="false">IF($D82="","",IFERROR(INDEX(품목목록!$B$3:$B$302,MATCH($D82,품목목록!$A$3:$A$302,0)),"미등록품번"))</f>
        <v/>
      </c>
      <c r="F82" s="12" t="str">
        <f aca="false">IF($D82="","",IFERROR(INDEX(품목목록!$C$3:$C$302,MATCH($D82,품목목록!$A$3:$A$302,0)),""))</f>
        <v/>
      </c>
      <c r="G82" s="12" t="str">
        <f aca="false">IF($D82="","",IFERROR(INDEX(품목목록!$D$3:$D$302,MATCH($D82,품목목록!$A$3:$A$302,0)),""))</f>
        <v/>
      </c>
      <c r="H82" s="12" t="str">
        <f aca="false">IF($D82="","",IFERROR(INDEX(품목목록!$E$3:$E$302,MATCH($D82,품목목록!$A$3:$A$302,0)),""))</f>
        <v/>
      </c>
      <c r="I82" s="14"/>
      <c r="J82" s="10"/>
      <c r="K82" s="10"/>
      <c r="L82" s="10"/>
      <c r="M82" s="15" t="str">
        <f aca="false">IF($A82="","",SUMIFS(처리내역!$E$3:$E$1502,처리내역!$B$3:$B$1502,$A82))</f>
        <v/>
      </c>
      <c r="N82" s="15" t="str">
        <f aca="false">IF($A82="","",IF($I82="","",$I82-$M82))</f>
        <v/>
      </c>
      <c r="O82" s="12" t="str">
        <f aca="false">IF($A82="","",IF($I82="","",IF($M82=0,"미처리",IF($N82&lt;=0,"완료","부분처리"))))</f>
        <v/>
      </c>
    </row>
    <row r="83" customFormat="false" ht="15" hidden="false" customHeight="true" outlineLevel="0" collapsed="false">
      <c r="A83" s="12" t="str">
        <f aca="false">IF($B83="","",TEXT($B83,"yymm")&amp;"-"&amp;TEXT(COUNTIFS($B$3:$B83,"&gt;="&amp;DATE(YEAR($B83),MONTH($B83),1),$B$3:$B83,"&lt;="&amp;EOMONTH($B83,0)),"000"))</f>
        <v/>
      </c>
      <c r="B83" s="13"/>
      <c r="C83" s="10"/>
      <c r="D83" s="10"/>
      <c r="E83" s="12" t="str">
        <f aca="false">IF($D83="","",IFERROR(INDEX(품목목록!$B$3:$B$302,MATCH($D83,품목목록!$A$3:$A$302,0)),"미등록품번"))</f>
        <v/>
      </c>
      <c r="F83" s="12" t="str">
        <f aca="false">IF($D83="","",IFERROR(INDEX(품목목록!$C$3:$C$302,MATCH($D83,품목목록!$A$3:$A$302,0)),""))</f>
        <v/>
      </c>
      <c r="G83" s="12" t="str">
        <f aca="false">IF($D83="","",IFERROR(INDEX(품목목록!$D$3:$D$302,MATCH($D83,품목목록!$A$3:$A$302,0)),""))</f>
        <v/>
      </c>
      <c r="H83" s="12" t="str">
        <f aca="false">IF($D83="","",IFERROR(INDEX(품목목록!$E$3:$E$302,MATCH($D83,품목목록!$A$3:$A$302,0)),""))</f>
        <v/>
      </c>
      <c r="I83" s="14"/>
      <c r="J83" s="10"/>
      <c r="K83" s="10"/>
      <c r="L83" s="10"/>
      <c r="M83" s="15" t="str">
        <f aca="false">IF($A83="","",SUMIFS(처리내역!$E$3:$E$1502,처리내역!$B$3:$B$1502,$A83))</f>
        <v/>
      </c>
      <c r="N83" s="15" t="str">
        <f aca="false">IF($A83="","",IF($I83="","",$I83-$M83))</f>
        <v/>
      </c>
      <c r="O83" s="12" t="str">
        <f aca="false">IF($A83="","",IF($I83="","",IF($M83=0,"미처리",IF($N83&lt;=0,"완료","부분처리"))))</f>
        <v/>
      </c>
    </row>
    <row r="84" customFormat="false" ht="15" hidden="false" customHeight="true" outlineLevel="0" collapsed="false">
      <c r="A84" s="12" t="str">
        <f aca="false">IF($B84="","",TEXT($B84,"yymm")&amp;"-"&amp;TEXT(COUNTIFS($B$3:$B84,"&gt;="&amp;DATE(YEAR($B84),MONTH($B84),1),$B$3:$B84,"&lt;="&amp;EOMONTH($B84,0)),"000"))</f>
        <v/>
      </c>
      <c r="B84" s="13"/>
      <c r="C84" s="10"/>
      <c r="D84" s="10"/>
      <c r="E84" s="12" t="str">
        <f aca="false">IF($D84="","",IFERROR(INDEX(품목목록!$B$3:$B$302,MATCH($D84,품목목록!$A$3:$A$302,0)),"미등록품번"))</f>
        <v/>
      </c>
      <c r="F84" s="12" t="str">
        <f aca="false">IF($D84="","",IFERROR(INDEX(품목목록!$C$3:$C$302,MATCH($D84,품목목록!$A$3:$A$302,0)),""))</f>
        <v/>
      </c>
      <c r="G84" s="12" t="str">
        <f aca="false">IF($D84="","",IFERROR(INDEX(품목목록!$D$3:$D$302,MATCH($D84,품목목록!$A$3:$A$302,0)),""))</f>
        <v/>
      </c>
      <c r="H84" s="12" t="str">
        <f aca="false">IF($D84="","",IFERROR(INDEX(품목목록!$E$3:$E$302,MATCH($D84,품목목록!$A$3:$A$302,0)),""))</f>
        <v/>
      </c>
      <c r="I84" s="14"/>
      <c r="J84" s="10"/>
      <c r="K84" s="10"/>
      <c r="L84" s="10"/>
      <c r="M84" s="15" t="str">
        <f aca="false">IF($A84="","",SUMIFS(처리내역!$E$3:$E$1502,처리내역!$B$3:$B$1502,$A84))</f>
        <v/>
      </c>
      <c r="N84" s="15" t="str">
        <f aca="false">IF($A84="","",IF($I84="","",$I84-$M84))</f>
        <v/>
      </c>
      <c r="O84" s="12" t="str">
        <f aca="false">IF($A84="","",IF($I84="","",IF($M84=0,"미처리",IF($N84&lt;=0,"완료","부분처리"))))</f>
        <v/>
      </c>
    </row>
    <row r="85" customFormat="false" ht="15" hidden="false" customHeight="true" outlineLevel="0" collapsed="false">
      <c r="A85" s="12" t="str">
        <f aca="false">IF($B85="","",TEXT($B85,"yymm")&amp;"-"&amp;TEXT(COUNTIFS($B$3:$B85,"&gt;="&amp;DATE(YEAR($B85),MONTH($B85),1),$B$3:$B85,"&lt;="&amp;EOMONTH($B85,0)),"000"))</f>
        <v/>
      </c>
      <c r="B85" s="13"/>
      <c r="C85" s="10"/>
      <c r="D85" s="10"/>
      <c r="E85" s="12" t="str">
        <f aca="false">IF($D85="","",IFERROR(INDEX(품목목록!$B$3:$B$302,MATCH($D85,품목목록!$A$3:$A$302,0)),"미등록품번"))</f>
        <v/>
      </c>
      <c r="F85" s="12" t="str">
        <f aca="false">IF($D85="","",IFERROR(INDEX(품목목록!$C$3:$C$302,MATCH($D85,품목목록!$A$3:$A$302,0)),""))</f>
        <v/>
      </c>
      <c r="G85" s="12" t="str">
        <f aca="false">IF($D85="","",IFERROR(INDEX(품목목록!$D$3:$D$302,MATCH($D85,품목목록!$A$3:$A$302,0)),""))</f>
        <v/>
      </c>
      <c r="H85" s="12" t="str">
        <f aca="false">IF($D85="","",IFERROR(INDEX(품목목록!$E$3:$E$302,MATCH($D85,품목목록!$A$3:$A$302,0)),""))</f>
        <v/>
      </c>
      <c r="I85" s="14"/>
      <c r="J85" s="10"/>
      <c r="K85" s="10"/>
      <c r="L85" s="10"/>
      <c r="M85" s="15" t="str">
        <f aca="false">IF($A85="","",SUMIFS(처리내역!$E$3:$E$1502,처리내역!$B$3:$B$1502,$A85))</f>
        <v/>
      </c>
      <c r="N85" s="15" t="str">
        <f aca="false">IF($A85="","",IF($I85="","",$I85-$M85))</f>
        <v/>
      </c>
      <c r="O85" s="12" t="str">
        <f aca="false">IF($A85="","",IF($I85="","",IF($M85=0,"미처리",IF($N85&lt;=0,"완료","부분처리"))))</f>
        <v/>
      </c>
    </row>
    <row r="86" customFormat="false" ht="15" hidden="false" customHeight="true" outlineLevel="0" collapsed="false">
      <c r="A86" s="12" t="str">
        <f aca="false">IF($B86="","",TEXT($B86,"yymm")&amp;"-"&amp;TEXT(COUNTIFS($B$3:$B86,"&gt;="&amp;DATE(YEAR($B86),MONTH($B86),1),$B$3:$B86,"&lt;="&amp;EOMONTH($B86,0)),"000"))</f>
        <v/>
      </c>
      <c r="B86" s="13"/>
      <c r="C86" s="10"/>
      <c r="D86" s="10"/>
      <c r="E86" s="12" t="str">
        <f aca="false">IF($D86="","",IFERROR(INDEX(품목목록!$B$3:$B$302,MATCH($D86,품목목록!$A$3:$A$302,0)),"미등록품번"))</f>
        <v/>
      </c>
      <c r="F86" s="12" t="str">
        <f aca="false">IF($D86="","",IFERROR(INDEX(품목목록!$C$3:$C$302,MATCH($D86,품목목록!$A$3:$A$302,0)),""))</f>
        <v/>
      </c>
      <c r="G86" s="12" t="str">
        <f aca="false">IF($D86="","",IFERROR(INDEX(품목목록!$D$3:$D$302,MATCH($D86,품목목록!$A$3:$A$302,0)),""))</f>
        <v/>
      </c>
      <c r="H86" s="12" t="str">
        <f aca="false">IF($D86="","",IFERROR(INDEX(품목목록!$E$3:$E$302,MATCH($D86,품목목록!$A$3:$A$302,0)),""))</f>
        <v/>
      </c>
      <c r="I86" s="14"/>
      <c r="J86" s="10"/>
      <c r="K86" s="10"/>
      <c r="L86" s="10"/>
      <c r="M86" s="15" t="str">
        <f aca="false">IF($A86="","",SUMIFS(처리내역!$E$3:$E$1502,처리내역!$B$3:$B$1502,$A86))</f>
        <v/>
      </c>
      <c r="N86" s="15" t="str">
        <f aca="false">IF($A86="","",IF($I86="","",$I86-$M86))</f>
        <v/>
      </c>
      <c r="O86" s="12" t="str">
        <f aca="false">IF($A86="","",IF($I86="","",IF($M86=0,"미처리",IF($N86&lt;=0,"완료","부분처리"))))</f>
        <v/>
      </c>
    </row>
    <row r="87" customFormat="false" ht="15" hidden="false" customHeight="true" outlineLevel="0" collapsed="false">
      <c r="A87" s="12" t="str">
        <f aca="false">IF($B87="","",TEXT($B87,"yymm")&amp;"-"&amp;TEXT(COUNTIFS($B$3:$B87,"&gt;="&amp;DATE(YEAR($B87),MONTH($B87),1),$B$3:$B87,"&lt;="&amp;EOMONTH($B87,0)),"000"))</f>
        <v/>
      </c>
      <c r="B87" s="13"/>
      <c r="C87" s="10"/>
      <c r="D87" s="10"/>
      <c r="E87" s="12" t="str">
        <f aca="false">IF($D87="","",IFERROR(INDEX(품목목록!$B$3:$B$302,MATCH($D87,품목목록!$A$3:$A$302,0)),"미등록품번"))</f>
        <v/>
      </c>
      <c r="F87" s="12" t="str">
        <f aca="false">IF($D87="","",IFERROR(INDEX(품목목록!$C$3:$C$302,MATCH($D87,품목목록!$A$3:$A$302,0)),""))</f>
        <v/>
      </c>
      <c r="G87" s="12" t="str">
        <f aca="false">IF($D87="","",IFERROR(INDEX(품목목록!$D$3:$D$302,MATCH($D87,품목목록!$A$3:$A$302,0)),""))</f>
        <v/>
      </c>
      <c r="H87" s="12" t="str">
        <f aca="false">IF($D87="","",IFERROR(INDEX(품목목록!$E$3:$E$302,MATCH($D87,품목목록!$A$3:$A$302,0)),""))</f>
        <v/>
      </c>
      <c r="I87" s="14"/>
      <c r="J87" s="10"/>
      <c r="K87" s="10"/>
      <c r="L87" s="10"/>
      <c r="M87" s="15" t="str">
        <f aca="false">IF($A87="","",SUMIFS(처리내역!$E$3:$E$1502,처리내역!$B$3:$B$1502,$A87))</f>
        <v/>
      </c>
      <c r="N87" s="15" t="str">
        <f aca="false">IF($A87="","",IF($I87="","",$I87-$M87))</f>
        <v/>
      </c>
      <c r="O87" s="12" t="str">
        <f aca="false">IF($A87="","",IF($I87="","",IF($M87=0,"미처리",IF($N87&lt;=0,"완료","부분처리"))))</f>
        <v/>
      </c>
    </row>
    <row r="88" customFormat="false" ht="15" hidden="false" customHeight="true" outlineLevel="0" collapsed="false">
      <c r="A88" s="12" t="str">
        <f aca="false">IF($B88="","",TEXT($B88,"yymm")&amp;"-"&amp;TEXT(COUNTIFS($B$3:$B88,"&gt;="&amp;DATE(YEAR($B88),MONTH($B88),1),$B$3:$B88,"&lt;="&amp;EOMONTH($B88,0)),"000"))</f>
        <v/>
      </c>
      <c r="B88" s="13"/>
      <c r="C88" s="10"/>
      <c r="D88" s="10"/>
      <c r="E88" s="12" t="str">
        <f aca="false">IF($D88="","",IFERROR(INDEX(품목목록!$B$3:$B$302,MATCH($D88,품목목록!$A$3:$A$302,0)),"미등록품번"))</f>
        <v/>
      </c>
      <c r="F88" s="12" t="str">
        <f aca="false">IF($D88="","",IFERROR(INDEX(품목목록!$C$3:$C$302,MATCH($D88,품목목록!$A$3:$A$302,0)),""))</f>
        <v/>
      </c>
      <c r="G88" s="12" t="str">
        <f aca="false">IF($D88="","",IFERROR(INDEX(품목목록!$D$3:$D$302,MATCH($D88,품목목록!$A$3:$A$302,0)),""))</f>
        <v/>
      </c>
      <c r="H88" s="12" t="str">
        <f aca="false">IF($D88="","",IFERROR(INDEX(품목목록!$E$3:$E$302,MATCH($D88,품목목록!$A$3:$A$302,0)),""))</f>
        <v/>
      </c>
      <c r="I88" s="14"/>
      <c r="J88" s="10"/>
      <c r="K88" s="10"/>
      <c r="L88" s="10"/>
      <c r="M88" s="15" t="str">
        <f aca="false">IF($A88="","",SUMIFS(처리내역!$E$3:$E$1502,처리내역!$B$3:$B$1502,$A88))</f>
        <v/>
      </c>
      <c r="N88" s="15" t="str">
        <f aca="false">IF($A88="","",IF($I88="","",$I88-$M88))</f>
        <v/>
      </c>
      <c r="O88" s="12" t="str">
        <f aca="false">IF($A88="","",IF($I88="","",IF($M88=0,"미처리",IF($N88&lt;=0,"완료","부분처리"))))</f>
        <v/>
      </c>
    </row>
    <row r="89" customFormat="false" ht="15" hidden="false" customHeight="true" outlineLevel="0" collapsed="false">
      <c r="A89" s="12" t="str">
        <f aca="false">IF($B89="","",TEXT($B89,"yymm")&amp;"-"&amp;TEXT(COUNTIFS($B$3:$B89,"&gt;="&amp;DATE(YEAR($B89),MONTH($B89),1),$B$3:$B89,"&lt;="&amp;EOMONTH($B89,0)),"000"))</f>
        <v/>
      </c>
      <c r="B89" s="13"/>
      <c r="C89" s="10"/>
      <c r="D89" s="10"/>
      <c r="E89" s="12" t="str">
        <f aca="false">IF($D89="","",IFERROR(INDEX(품목목록!$B$3:$B$302,MATCH($D89,품목목록!$A$3:$A$302,0)),"미등록품번"))</f>
        <v/>
      </c>
      <c r="F89" s="12" t="str">
        <f aca="false">IF($D89="","",IFERROR(INDEX(품목목록!$C$3:$C$302,MATCH($D89,품목목록!$A$3:$A$302,0)),""))</f>
        <v/>
      </c>
      <c r="G89" s="12" t="str">
        <f aca="false">IF($D89="","",IFERROR(INDEX(품목목록!$D$3:$D$302,MATCH($D89,품목목록!$A$3:$A$302,0)),""))</f>
        <v/>
      </c>
      <c r="H89" s="12" t="str">
        <f aca="false">IF($D89="","",IFERROR(INDEX(품목목록!$E$3:$E$302,MATCH($D89,품목목록!$A$3:$A$302,0)),""))</f>
        <v/>
      </c>
      <c r="I89" s="14"/>
      <c r="J89" s="10"/>
      <c r="K89" s="10"/>
      <c r="L89" s="10"/>
      <c r="M89" s="15" t="str">
        <f aca="false">IF($A89="","",SUMIFS(처리내역!$E$3:$E$1502,처리내역!$B$3:$B$1502,$A89))</f>
        <v/>
      </c>
      <c r="N89" s="15" t="str">
        <f aca="false">IF($A89="","",IF($I89="","",$I89-$M89))</f>
        <v/>
      </c>
      <c r="O89" s="12" t="str">
        <f aca="false">IF($A89="","",IF($I89="","",IF($M89=0,"미처리",IF($N89&lt;=0,"완료","부분처리"))))</f>
        <v/>
      </c>
    </row>
    <row r="90" customFormat="false" ht="15" hidden="false" customHeight="true" outlineLevel="0" collapsed="false">
      <c r="A90" s="12" t="str">
        <f aca="false">IF($B90="","",TEXT($B90,"yymm")&amp;"-"&amp;TEXT(COUNTIFS($B$3:$B90,"&gt;="&amp;DATE(YEAR($B90),MONTH($B90),1),$B$3:$B90,"&lt;="&amp;EOMONTH($B90,0)),"000"))</f>
        <v/>
      </c>
      <c r="B90" s="13"/>
      <c r="C90" s="10"/>
      <c r="D90" s="10"/>
      <c r="E90" s="12" t="str">
        <f aca="false">IF($D90="","",IFERROR(INDEX(품목목록!$B$3:$B$302,MATCH($D90,품목목록!$A$3:$A$302,0)),"미등록품번"))</f>
        <v/>
      </c>
      <c r="F90" s="12" t="str">
        <f aca="false">IF($D90="","",IFERROR(INDEX(품목목록!$C$3:$C$302,MATCH($D90,품목목록!$A$3:$A$302,0)),""))</f>
        <v/>
      </c>
      <c r="G90" s="12" t="str">
        <f aca="false">IF($D90="","",IFERROR(INDEX(품목목록!$D$3:$D$302,MATCH($D90,품목목록!$A$3:$A$302,0)),""))</f>
        <v/>
      </c>
      <c r="H90" s="12" t="str">
        <f aca="false">IF($D90="","",IFERROR(INDEX(품목목록!$E$3:$E$302,MATCH($D90,품목목록!$A$3:$A$302,0)),""))</f>
        <v/>
      </c>
      <c r="I90" s="14"/>
      <c r="J90" s="10"/>
      <c r="K90" s="10"/>
      <c r="L90" s="10"/>
      <c r="M90" s="15" t="str">
        <f aca="false">IF($A90="","",SUMIFS(처리내역!$E$3:$E$1502,처리내역!$B$3:$B$1502,$A90))</f>
        <v/>
      </c>
      <c r="N90" s="15" t="str">
        <f aca="false">IF($A90="","",IF($I90="","",$I90-$M90))</f>
        <v/>
      </c>
      <c r="O90" s="12" t="str">
        <f aca="false">IF($A90="","",IF($I90="","",IF($M90=0,"미처리",IF($N90&lt;=0,"완료","부분처리"))))</f>
        <v/>
      </c>
    </row>
    <row r="91" customFormat="false" ht="15" hidden="false" customHeight="true" outlineLevel="0" collapsed="false">
      <c r="A91" s="12" t="str">
        <f aca="false">IF($B91="","",TEXT($B91,"yymm")&amp;"-"&amp;TEXT(COUNTIFS($B$3:$B91,"&gt;="&amp;DATE(YEAR($B91),MONTH($B91),1),$B$3:$B91,"&lt;="&amp;EOMONTH($B91,0)),"000"))</f>
        <v/>
      </c>
      <c r="B91" s="13"/>
      <c r="C91" s="10"/>
      <c r="D91" s="10"/>
      <c r="E91" s="12" t="str">
        <f aca="false">IF($D91="","",IFERROR(INDEX(품목목록!$B$3:$B$302,MATCH($D91,품목목록!$A$3:$A$302,0)),"미등록품번"))</f>
        <v/>
      </c>
      <c r="F91" s="12" t="str">
        <f aca="false">IF($D91="","",IFERROR(INDEX(품목목록!$C$3:$C$302,MATCH($D91,품목목록!$A$3:$A$302,0)),""))</f>
        <v/>
      </c>
      <c r="G91" s="12" t="str">
        <f aca="false">IF($D91="","",IFERROR(INDEX(품목목록!$D$3:$D$302,MATCH($D91,품목목록!$A$3:$A$302,0)),""))</f>
        <v/>
      </c>
      <c r="H91" s="12" t="str">
        <f aca="false">IF($D91="","",IFERROR(INDEX(품목목록!$E$3:$E$302,MATCH($D91,품목목록!$A$3:$A$302,0)),""))</f>
        <v/>
      </c>
      <c r="I91" s="14"/>
      <c r="J91" s="10"/>
      <c r="K91" s="10"/>
      <c r="L91" s="10"/>
      <c r="M91" s="15" t="str">
        <f aca="false">IF($A91="","",SUMIFS(처리내역!$E$3:$E$1502,처리내역!$B$3:$B$1502,$A91))</f>
        <v/>
      </c>
      <c r="N91" s="15" t="str">
        <f aca="false">IF($A91="","",IF($I91="","",$I91-$M91))</f>
        <v/>
      </c>
      <c r="O91" s="12" t="str">
        <f aca="false">IF($A91="","",IF($I91="","",IF($M91=0,"미처리",IF($N91&lt;=0,"완료","부분처리"))))</f>
        <v/>
      </c>
    </row>
    <row r="92" customFormat="false" ht="15" hidden="false" customHeight="true" outlineLevel="0" collapsed="false">
      <c r="A92" s="12" t="str">
        <f aca="false">IF($B92="","",TEXT($B92,"yymm")&amp;"-"&amp;TEXT(COUNTIFS($B$3:$B92,"&gt;="&amp;DATE(YEAR($B92),MONTH($B92),1),$B$3:$B92,"&lt;="&amp;EOMONTH($B92,0)),"000"))</f>
        <v/>
      </c>
      <c r="B92" s="13"/>
      <c r="C92" s="10"/>
      <c r="D92" s="10"/>
      <c r="E92" s="12" t="str">
        <f aca="false">IF($D92="","",IFERROR(INDEX(품목목록!$B$3:$B$302,MATCH($D92,품목목록!$A$3:$A$302,0)),"미등록품번"))</f>
        <v/>
      </c>
      <c r="F92" s="12" t="str">
        <f aca="false">IF($D92="","",IFERROR(INDEX(품목목록!$C$3:$C$302,MATCH($D92,품목목록!$A$3:$A$302,0)),""))</f>
        <v/>
      </c>
      <c r="G92" s="12" t="str">
        <f aca="false">IF($D92="","",IFERROR(INDEX(품목목록!$D$3:$D$302,MATCH($D92,품목목록!$A$3:$A$302,0)),""))</f>
        <v/>
      </c>
      <c r="H92" s="12" t="str">
        <f aca="false">IF($D92="","",IFERROR(INDEX(품목목록!$E$3:$E$302,MATCH($D92,품목목록!$A$3:$A$302,0)),""))</f>
        <v/>
      </c>
      <c r="I92" s="14"/>
      <c r="J92" s="10"/>
      <c r="K92" s="10"/>
      <c r="L92" s="10"/>
      <c r="M92" s="15" t="str">
        <f aca="false">IF($A92="","",SUMIFS(처리내역!$E$3:$E$1502,처리내역!$B$3:$B$1502,$A92))</f>
        <v/>
      </c>
      <c r="N92" s="15" t="str">
        <f aca="false">IF($A92="","",IF($I92="","",$I92-$M92))</f>
        <v/>
      </c>
      <c r="O92" s="12" t="str">
        <f aca="false">IF($A92="","",IF($I92="","",IF($M92=0,"미처리",IF($N92&lt;=0,"완료","부분처리"))))</f>
        <v/>
      </c>
    </row>
    <row r="93" customFormat="false" ht="15" hidden="false" customHeight="true" outlineLevel="0" collapsed="false">
      <c r="A93" s="12" t="str">
        <f aca="false">IF($B93="","",TEXT($B93,"yymm")&amp;"-"&amp;TEXT(COUNTIFS($B$3:$B93,"&gt;="&amp;DATE(YEAR($B93),MONTH($B93),1),$B$3:$B93,"&lt;="&amp;EOMONTH($B93,0)),"000"))</f>
        <v/>
      </c>
      <c r="B93" s="13"/>
      <c r="C93" s="10"/>
      <c r="D93" s="10"/>
      <c r="E93" s="12" t="str">
        <f aca="false">IF($D93="","",IFERROR(INDEX(품목목록!$B$3:$B$302,MATCH($D93,품목목록!$A$3:$A$302,0)),"미등록품번"))</f>
        <v/>
      </c>
      <c r="F93" s="12" t="str">
        <f aca="false">IF($D93="","",IFERROR(INDEX(품목목록!$C$3:$C$302,MATCH($D93,품목목록!$A$3:$A$302,0)),""))</f>
        <v/>
      </c>
      <c r="G93" s="12" t="str">
        <f aca="false">IF($D93="","",IFERROR(INDEX(품목목록!$D$3:$D$302,MATCH($D93,품목목록!$A$3:$A$302,0)),""))</f>
        <v/>
      </c>
      <c r="H93" s="12" t="str">
        <f aca="false">IF($D93="","",IFERROR(INDEX(품목목록!$E$3:$E$302,MATCH($D93,품목목록!$A$3:$A$302,0)),""))</f>
        <v/>
      </c>
      <c r="I93" s="14"/>
      <c r="J93" s="10"/>
      <c r="K93" s="10"/>
      <c r="L93" s="10"/>
      <c r="M93" s="15" t="str">
        <f aca="false">IF($A93="","",SUMIFS(처리내역!$E$3:$E$1502,처리내역!$B$3:$B$1502,$A93))</f>
        <v/>
      </c>
      <c r="N93" s="15" t="str">
        <f aca="false">IF($A93="","",IF($I93="","",$I93-$M93))</f>
        <v/>
      </c>
      <c r="O93" s="12" t="str">
        <f aca="false">IF($A93="","",IF($I93="","",IF($M93=0,"미처리",IF($N93&lt;=0,"완료","부분처리"))))</f>
        <v/>
      </c>
    </row>
    <row r="94" customFormat="false" ht="15" hidden="false" customHeight="true" outlineLevel="0" collapsed="false">
      <c r="A94" s="12" t="str">
        <f aca="false">IF($B94="","",TEXT($B94,"yymm")&amp;"-"&amp;TEXT(COUNTIFS($B$3:$B94,"&gt;="&amp;DATE(YEAR($B94),MONTH($B94),1),$B$3:$B94,"&lt;="&amp;EOMONTH($B94,0)),"000"))</f>
        <v/>
      </c>
      <c r="B94" s="13"/>
      <c r="C94" s="10"/>
      <c r="D94" s="10"/>
      <c r="E94" s="12" t="str">
        <f aca="false">IF($D94="","",IFERROR(INDEX(품목목록!$B$3:$B$302,MATCH($D94,품목목록!$A$3:$A$302,0)),"미등록품번"))</f>
        <v/>
      </c>
      <c r="F94" s="12" t="str">
        <f aca="false">IF($D94="","",IFERROR(INDEX(품목목록!$C$3:$C$302,MATCH($D94,품목목록!$A$3:$A$302,0)),""))</f>
        <v/>
      </c>
      <c r="G94" s="12" t="str">
        <f aca="false">IF($D94="","",IFERROR(INDEX(품목목록!$D$3:$D$302,MATCH($D94,품목목록!$A$3:$A$302,0)),""))</f>
        <v/>
      </c>
      <c r="H94" s="12" t="str">
        <f aca="false">IF($D94="","",IFERROR(INDEX(품목목록!$E$3:$E$302,MATCH($D94,품목목록!$A$3:$A$302,0)),""))</f>
        <v/>
      </c>
      <c r="I94" s="14"/>
      <c r="J94" s="10"/>
      <c r="K94" s="10"/>
      <c r="L94" s="10"/>
      <c r="M94" s="15" t="str">
        <f aca="false">IF($A94="","",SUMIFS(처리내역!$E$3:$E$1502,처리내역!$B$3:$B$1502,$A94))</f>
        <v/>
      </c>
      <c r="N94" s="15" t="str">
        <f aca="false">IF($A94="","",IF($I94="","",$I94-$M94))</f>
        <v/>
      </c>
      <c r="O94" s="12" t="str">
        <f aca="false">IF($A94="","",IF($I94="","",IF($M94=0,"미처리",IF($N94&lt;=0,"완료","부분처리"))))</f>
        <v/>
      </c>
    </row>
    <row r="95" customFormat="false" ht="15" hidden="false" customHeight="true" outlineLevel="0" collapsed="false">
      <c r="A95" s="12" t="str">
        <f aca="false">IF($B95="","",TEXT($B95,"yymm")&amp;"-"&amp;TEXT(COUNTIFS($B$3:$B95,"&gt;="&amp;DATE(YEAR($B95),MONTH($B95),1),$B$3:$B95,"&lt;="&amp;EOMONTH($B95,0)),"000"))</f>
        <v/>
      </c>
      <c r="B95" s="13"/>
      <c r="C95" s="10"/>
      <c r="D95" s="10"/>
      <c r="E95" s="12" t="str">
        <f aca="false">IF($D95="","",IFERROR(INDEX(품목목록!$B$3:$B$302,MATCH($D95,품목목록!$A$3:$A$302,0)),"미등록품번"))</f>
        <v/>
      </c>
      <c r="F95" s="12" t="str">
        <f aca="false">IF($D95="","",IFERROR(INDEX(품목목록!$C$3:$C$302,MATCH($D95,품목목록!$A$3:$A$302,0)),""))</f>
        <v/>
      </c>
      <c r="G95" s="12" t="str">
        <f aca="false">IF($D95="","",IFERROR(INDEX(품목목록!$D$3:$D$302,MATCH($D95,품목목록!$A$3:$A$302,0)),""))</f>
        <v/>
      </c>
      <c r="H95" s="12" t="str">
        <f aca="false">IF($D95="","",IFERROR(INDEX(품목목록!$E$3:$E$302,MATCH($D95,품목목록!$A$3:$A$302,0)),""))</f>
        <v/>
      </c>
      <c r="I95" s="14"/>
      <c r="J95" s="10"/>
      <c r="K95" s="10"/>
      <c r="L95" s="10"/>
      <c r="M95" s="15" t="str">
        <f aca="false">IF($A95="","",SUMIFS(처리내역!$E$3:$E$1502,처리내역!$B$3:$B$1502,$A95))</f>
        <v/>
      </c>
      <c r="N95" s="15" t="str">
        <f aca="false">IF($A95="","",IF($I95="","",$I95-$M95))</f>
        <v/>
      </c>
      <c r="O95" s="12" t="str">
        <f aca="false">IF($A95="","",IF($I95="","",IF($M95=0,"미처리",IF($N95&lt;=0,"완료","부분처리"))))</f>
        <v/>
      </c>
    </row>
    <row r="96" customFormat="false" ht="15" hidden="false" customHeight="true" outlineLevel="0" collapsed="false">
      <c r="A96" s="12" t="str">
        <f aca="false">IF($B96="","",TEXT($B96,"yymm")&amp;"-"&amp;TEXT(COUNTIFS($B$3:$B96,"&gt;="&amp;DATE(YEAR($B96),MONTH($B96),1),$B$3:$B96,"&lt;="&amp;EOMONTH($B96,0)),"000"))</f>
        <v/>
      </c>
      <c r="B96" s="13"/>
      <c r="C96" s="10"/>
      <c r="D96" s="10"/>
      <c r="E96" s="12" t="str">
        <f aca="false">IF($D96="","",IFERROR(INDEX(품목목록!$B$3:$B$302,MATCH($D96,품목목록!$A$3:$A$302,0)),"미등록품번"))</f>
        <v/>
      </c>
      <c r="F96" s="12" t="str">
        <f aca="false">IF($D96="","",IFERROR(INDEX(품목목록!$C$3:$C$302,MATCH($D96,품목목록!$A$3:$A$302,0)),""))</f>
        <v/>
      </c>
      <c r="G96" s="12" t="str">
        <f aca="false">IF($D96="","",IFERROR(INDEX(품목목록!$D$3:$D$302,MATCH($D96,품목목록!$A$3:$A$302,0)),""))</f>
        <v/>
      </c>
      <c r="H96" s="12" t="str">
        <f aca="false">IF($D96="","",IFERROR(INDEX(품목목록!$E$3:$E$302,MATCH($D96,품목목록!$A$3:$A$302,0)),""))</f>
        <v/>
      </c>
      <c r="I96" s="14"/>
      <c r="J96" s="10"/>
      <c r="K96" s="10"/>
      <c r="L96" s="10"/>
      <c r="M96" s="15" t="str">
        <f aca="false">IF($A96="","",SUMIFS(처리내역!$E$3:$E$1502,처리내역!$B$3:$B$1502,$A96))</f>
        <v/>
      </c>
      <c r="N96" s="15" t="str">
        <f aca="false">IF($A96="","",IF($I96="","",$I96-$M96))</f>
        <v/>
      </c>
      <c r="O96" s="12" t="str">
        <f aca="false">IF($A96="","",IF($I96="","",IF($M96=0,"미처리",IF($N96&lt;=0,"완료","부분처리"))))</f>
        <v/>
      </c>
    </row>
    <row r="97" customFormat="false" ht="15" hidden="false" customHeight="true" outlineLevel="0" collapsed="false">
      <c r="A97" s="12" t="str">
        <f aca="false">IF($B97="","",TEXT($B97,"yymm")&amp;"-"&amp;TEXT(COUNTIFS($B$3:$B97,"&gt;="&amp;DATE(YEAR($B97),MONTH($B97),1),$B$3:$B97,"&lt;="&amp;EOMONTH($B97,0)),"000"))</f>
        <v/>
      </c>
      <c r="B97" s="13"/>
      <c r="C97" s="10"/>
      <c r="D97" s="10"/>
      <c r="E97" s="12" t="str">
        <f aca="false">IF($D97="","",IFERROR(INDEX(품목목록!$B$3:$B$302,MATCH($D97,품목목록!$A$3:$A$302,0)),"미등록품번"))</f>
        <v/>
      </c>
      <c r="F97" s="12" t="str">
        <f aca="false">IF($D97="","",IFERROR(INDEX(품목목록!$C$3:$C$302,MATCH($D97,품목목록!$A$3:$A$302,0)),""))</f>
        <v/>
      </c>
      <c r="G97" s="12" t="str">
        <f aca="false">IF($D97="","",IFERROR(INDEX(품목목록!$D$3:$D$302,MATCH($D97,품목목록!$A$3:$A$302,0)),""))</f>
        <v/>
      </c>
      <c r="H97" s="12" t="str">
        <f aca="false">IF($D97="","",IFERROR(INDEX(품목목록!$E$3:$E$302,MATCH($D97,품목목록!$A$3:$A$302,0)),""))</f>
        <v/>
      </c>
      <c r="I97" s="14"/>
      <c r="J97" s="10"/>
      <c r="K97" s="10"/>
      <c r="L97" s="10"/>
      <c r="M97" s="15" t="str">
        <f aca="false">IF($A97="","",SUMIFS(처리내역!$E$3:$E$1502,처리내역!$B$3:$B$1502,$A97))</f>
        <v/>
      </c>
      <c r="N97" s="15" t="str">
        <f aca="false">IF($A97="","",IF($I97="","",$I97-$M97))</f>
        <v/>
      </c>
      <c r="O97" s="12" t="str">
        <f aca="false">IF($A97="","",IF($I97="","",IF($M97=0,"미처리",IF($N97&lt;=0,"완료","부분처리"))))</f>
        <v/>
      </c>
    </row>
    <row r="98" customFormat="false" ht="15" hidden="false" customHeight="true" outlineLevel="0" collapsed="false">
      <c r="A98" s="12" t="str">
        <f aca="false">IF($B98="","",TEXT($B98,"yymm")&amp;"-"&amp;TEXT(COUNTIFS($B$3:$B98,"&gt;="&amp;DATE(YEAR($B98),MONTH($B98),1),$B$3:$B98,"&lt;="&amp;EOMONTH($B98,0)),"000"))</f>
        <v/>
      </c>
      <c r="B98" s="13"/>
      <c r="C98" s="10"/>
      <c r="D98" s="10"/>
      <c r="E98" s="12" t="str">
        <f aca="false">IF($D98="","",IFERROR(INDEX(품목목록!$B$3:$B$302,MATCH($D98,품목목록!$A$3:$A$302,0)),"미등록품번"))</f>
        <v/>
      </c>
      <c r="F98" s="12" t="str">
        <f aca="false">IF($D98="","",IFERROR(INDEX(품목목록!$C$3:$C$302,MATCH($D98,품목목록!$A$3:$A$302,0)),""))</f>
        <v/>
      </c>
      <c r="G98" s="12" t="str">
        <f aca="false">IF($D98="","",IFERROR(INDEX(품목목록!$D$3:$D$302,MATCH($D98,품목목록!$A$3:$A$302,0)),""))</f>
        <v/>
      </c>
      <c r="H98" s="12" t="str">
        <f aca="false">IF($D98="","",IFERROR(INDEX(품목목록!$E$3:$E$302,MATCH($D98,품목목록!$A$3:$A$302,0)),""))</f>
        <v/>
      </c>
      <c r="I98" s="14"/>
      <c r="J98" s="10"/>
      <c r="K98" s="10"/>
      <c r="L98" s="10"/>
      <c r="M98" s="15" t="str">
        <f aca="false">IF($A98="","",SUMIFS(처리내역!$E$3:$E$1502,처리내역!$B$3:$B$1502,$A98))</f>
        <v/>
      </c>
      <c r="N98" s="15" t="str">
        <f aca="false">IF($A98="","",IF($I98="","",$I98-$M98))</f>
        <v/>
      </c>
      <c r="O98" s="12" t="str">
        <f aca="false">IF($A98="","",IF($I98="","",IF($M98=0,"미처리",IF($N98&lt;=0,"완료","부분처리"))))</f>
        <v/>
      </c>
    </row>
    <row r="99" customFormat="false" ht="15" hidden="false" customHeight="true" outlineLevel="0" collapsed="false">
      <c r="A99" s="12" t="str">
        <f aca="false">IF($B99="","",TEXT($B99,"yymm")&amp;"-"&amp;TEXT(COUNTIFS($B$3:$B99,"&gt;="&amp;DATE(YEAR($B99),MONTH($B99),1),$B$3:$B99,"&lt;="&amp;EOMONTH($B99,0)),"000"))</f>
        <v/>
      </c>
      <c r="B99" s="13"/>
      <c r="C99" s="10"/>
      <c r="D99" s="10"/>
      <c r="E99" s="12" t="str">
        <f aca="false">IF($D99="","",IFERROR(INDEX(품목목록!$B$3:$B$302,MATCH($D99,품목목록!$A$3:$A$302,0)),"미등록품번"))</f>
        <v/>
      </c>
      <c r="F99" s="12" t="str">
        <f aca="false">IF($D99="","",IFERROR(INDEX(품목목록!$C$3:$C$302,MATCH($D99,품목목록!$A$3:$A$302,0)),""))</f>
        <v/>
      </c>
      <c r="G99" s="12" t="str">
        <f aca="false">IF($D99="","",IFERROR(INDEX(품목목록!$D$3:$D$302,MATCH($D99,품목목록!$A$3:$A$302,0)),""))</f>
        <v/>
      </c>
      <c r="H99" s="12" t="str">
        <f aca="false">IF($D99="","",IFERROR(INDEX(품목목록!$E$3:$E$302,MATCH($D99,품목목록!$A$3:$A$302,0)),""))</f>
        <v/>
      </c>
      <c r="I99" s="14"/>
      <c r="J99" s="10"/>
      <c r="K99" s="10"/>
      <c r="L99" s="10"/>
      <c r="M99" s="15" t="str">
        <f aca="false">IF($A99="","",SUMIFS(처리내역!$E$3:$E$1502,처리내역!$B$3:$B$1502,$A99))</f>
        <v/>
      </c>
      <c r="N99" s="15" t="str">
        <f aca="false">IF($A99="","",IF($I99="","",$I99-$M99))</f>
        <v/>
      </c>
      <c r="O99" s="12" t="str">
        <f aca="false">IF($A99="","",IF($I99="","",IF($M99=0,"미처리",IF($N99&lt;=0,"완료","부분처리"))))</f>
        <v/>
      </c>
    </row>
    <row r="100" customFormat="false" ht="15" hidden="false" customHeight="true" outlineLevel="0" collapsed="false">
      <c r="A100" s="12" t="str">
        <f aca="false">IF($B100="","",TEXT($B100,"yymm")&amp;"-"&amp;TEXT(COUNTIFS($B$3:$B100,"&gt;="&amp;DATE(YEAR($B100),MONTH($B100),1),$B$3:$B100,"&lt;="&amp;EOMONTH($B100,0)),"000"))</f>
        <v/>
      </c>
      <c r="B100" s="13"/>
      <c r="C100" s="10"/>
      <c r="D100" s="10"/>
      <c r="E100" s="12" t="str">
        <f aca="false">IF($D100="","",IFERROR(INDEX(품목목록!$B$3:$B$302,MATCH($D100,품목목록!$A$3:$A$302,0)),"미등록품번"))</f>
        <v/>
      </c>
      <c r="F100" s="12" t="str">
        <f aca="false">IF($D100="","",IFERROR(INDEX(품목목록!$C$3:$C$302,MATCH($D100,품목목록!$A$3:$A$302,0)),""))</f>
        <v/>
      </c>
      <c r="G100" s="12" t="str">
        <f aca="false">IF($D100="","",IFERROR(INDEX(품목목록!$D$3:$D$302,MATCH($D100,품목목록!$A$3:$A$302,0)),""))</f>
        <v/>
      </c>
      <c r="H100" s="12" t="str">
        <f aca="false">IF($D100="","",IFERROR(INDEX(품목목록!$E$3:$E$302,MATCH($D100,품목목록!$A$3:$A$302,0)),""))</f>
        <v/>
      </c>
      <c r="I100" s="14"/>
      <c r="J100" s="10"/>
      <c r="K100" s="10"/>
      <c r="L100" s="10"/>
      <c r="M100" s="15" t="str">
        <f aca="false">IF($A100="","",SUMIFS(처리내역!$E$3:$E$1502,처리내역!$B$3:$B$1502,$A100))</f>
        <v/>
      </c>
      <c r="N100" s="15" t="str">
        <f aca="false">IF($A100="","",IF($I100="","",$I100-$M100))</f>
        <v/>
      </c>
      <c r="O100" s="12" t="str">
        <f aca="false">IF($A100="","",IF($I100="","",IF($M100=0,"미처리",IF($N100&lt;=0,"완료","부분처리"))))</f>
        <v/>
      </c>
    </row>
    <row r="101" customFormat="false" ht="15" hidden="false" customHeight="true" outlineLevel="0" collapsed="false">
      <c r="A101" s="12" t="str">
        <f aca="false">IF($B101="","",TEXT($B101,"yymm")&amp;"-"&amp;TEXT(COUNTIFS($B$3:$B101,"&gt;="&amp;DATE(YEAR($B101),MONTH($B101),1),$B$3:$B101,"&lt;="&amp;EOMONTH($B101,0)),"000"))</f>
        <v/>
      </c>
      <c r="B101" s="13"/>
      <c r="C101" s="10"/>
      <c r="D101" s="10"/>
      <c r="E101" s="12" t="str">
        <f aca="false">IF($D101="","",IFERROR(INDEX(품목목록!$B$3:$B$302,MATCH($D101,품목목록!$A$3:$A$302,0)),"미등록품번"))</f>
        <v/>
      </c>
      <c r="F101" s="12" t="str">
        <f aca="false">IF($D101="","",IFERROR(INDEX(품목목록!$C$3:$C$302,MATCH($D101,품목목록!$A$3:$A$302,0)),""))</f>
        <v/>
      </c>
      <c r="G101" s="12" t="str">
        <f aca="false">IF($D101="","",IFERROR(INDEX(품목목록!$D$3:$D$302,MATCH($D101,품목목록!$A$3:$A$302,0)),""))</f>
        <v/>
      </c>
      <c r="H101" s="12" t="str">
        <f aca="false">IF($D101="","",IFERROR(INDEX(품목목록!$E$3:$E$302,MATCH($D101,품목목록!$A$3:$A$302,0)),""))</f>
        <v/>
      </c>
      <c r="I101" s="14"/>
      <c r="J101" s="10"/>
      <c r="K101" s="10"/>
      <c r="L101" s="10"/>
      <c r="M101" s="15" t="str">
        <f aca="false">IF($A101="","",SUMIFS(처리내역!$E$3:$E$1502,처리내역!$B$3:$B$1502,$A101))</f>
        <v/>
      </c>
      <c r="N101" s="15" t="str">
        <f aca="false">IF($A101="","",IF($I101="","",$I101-$M101))</f>
        <v/>
      </c>
      <c r="O101" s="12" t="str">
        <f aca="false">IF($A101="","",IF($I101="","",IF($M101=0,"미처리",IF($N101&lt;=0,"완료","부분처리"))))</f>
        <v/>
      </c>
    </row>
    <row r="102" customFormat="false" ht="15" hidden="false" customHeight="true" outlineLevel="0" collapsed="false">
      <c r="A102" s="12" t="str">
        <f aca="false">IF($B102="","",TEXT($B102,"yymm")&amp;"-"&amp;TEXT(COUNTIFS($B$3:$B102,"&gt;="&amp;DATE(YEAR($B102),MONTH($B102),1),$B$3:$B102,"&lt;="&amp;EOMONTH($B102,0)),"000"))</f>
        <v/>
      </c>
      <c r="B102" s="13"/>
      <c r="C102" s="10"/>
      <c r="D102" s="10"/>
      <c r="E102" s="12" t="str">
        <f aca="false">IF($D102="","",IFERROR(INDEX(품목목록!$B$3:$B$302,MATCH($D102,품목목록!$A$3:$A$302,0)),"미등록품번"))</f>
        <v/>
      </c>
      <c r="F102" s="12" t="str">
        <f aca="false">IF($D102="","",IFERROR(INDEX(품목목록!$C$3:$C$302,MATCH($D102,품목목록!$A$3:$A$302,0)),""))</f>
        <v/>
      </c>
      <c r="G102" s="12" t="str">
        <f aca="false">IF($D102="","",IFERROR(INDEX(품목목록!$D$3:$D$302,MATCH($D102,품목목록!$A$3:$A$302,0)),""))</f>
        <v/>
      </c>
      <c r="H102" s="12" t="str">
        <f aca="false">IF($D102="","",IFERROR(INDEX(품목목록!$E$3:$E$302,MATCH($D102,품목목록!$A$3:$A$302,0)),""))</f>
        <v/>
      </c>
      <c r="I102" s="14"/>
      <c r="J102" s="10"/>
      <c r="K102" s="10"/>
      <c r="L102" s="10"/>
      <c r="M102" s="15" t="str">
        <f aca="false">IF($A102="","",SUMIFS(처리내역!$E$3:$E$1502,처리내역!$B$3:$B$1502,$A102))</f>
        <v/>
      </c>
      <c r="N102" s="15" t="str">
        <f aca="false">IF($A102="","",IF($I102="","",$I102-$M102))</f>
        <v/>
      </c>
      <c r="O102" s="12" t="str">
        <f aca="false">IF($A102="","",IF($I102="","",IF($M102=0,"미처리",IF($N102&lt;=0,"완료","부분처리"))))</f>
        <v/>
      </c>
    </row>
    <row r="103" customFormat="false" ht="15" hidden="false" customHeight="true" outlineLevel="0" collapsed="false">
      <c r="A103" s="12" t="str">
        <f aca="false">IF($B103="","",TEXT($B103,"yymm")&amp;"-"&amp;TEXT(COUNTIFS($B$3:$B103,"&gt;="&amp;DATE(YEAR($B103),MONTH($B103),1),$B$3:$B103,"&lt;="&amp;EOMONTH($B103,0)),"000"))</f>
        <v/>
      </c>
      <c r="B103" s="13"/>
      <c r="C103" s="10"/>
      <c r="D103" s="10"/>
      <c r="E103" s="12" t="str">
        <f aca="false">IF($D103="","",IFERROR(INDEX(품목목록!$B$3:$B$302,MATCH($D103,품목목록!$A$3:$A$302,0)),"미등록품번"))</f>
        <v/>
      </c>
      <c r="F103" s="12" t="str">
        <f aca="false">IF($D103="","",IFERROR(INDEX(품목목록!$C$3:$C$302,MATCH($D103,품목목록!$A$3:$A$302,0)),""))</f>
        <v/>
      </c>
      <c r="G103" s="12" t="str">
        <f aca="false">IF($D103="","",IFERROR(INDEX(품목목록!$D$3:$D$302,MATCH($D103,품목목록!$A$3:$A$302,0)),""))</f>
        <v/>
      </c>
      <c r="H103" s="12" t="str">
        <f aca="false">IF($D103="","",IFERROR(INDEX(품목목록!$E$3:$E$302,MATCH($D103,품목목록!$A$3:$A$302,0)),""))</f>
        <v/>
      </c>
      <c r="I103" s="14"/>
      <c r="J103" s="10"/>
      <c r="K103" s="10"/>
      <c r="L103" s="10"/>
      <c r="M103" s="15" t="str">
        <f aca="false">IF($A103="","",SUMIFS(처리내역!$E$3:$E$1502,처리내역!$B$3:$B$1502,$A103))</f>
        <v/>
      </c>
      <c r="N103" s="15" t="str">
        <f aca="false">IF($A103="","",IF($I103="","",$I103-$M103))</f>
        <v/>
      </c>
      <c r="O103" s="12" t="str">
        <f aca="false">IF($A103="","",IF($I103="","",IF($M103=0,"미처리",IF($N103&lt;=0,"완료","부분처리"))))</f>
        <v/>
      </c>
    </row>
    <row r="104" customFormat="false" ht="15" hidden="false" customHeight="true" outlineLevel="0" collapsed="false">
      <c r="A104" s="12" t="str">
        <f aca="false">IF($B104="","",TEXT($B104,"yymm")&amp;"-"&amp;TEXT(COUNTIFS($B$3:$B104,"&gt;="&amp;DATE(YEAR($B104),MONTH($B104),1),$B$3:$B104,"&lt;="&amp;EOMONTH($B104,0)),"000"))</f>
        <v/>
      </c>
      <c r="B104" s="13"/>
      <c r="C104" s="10"/>
      <c r="D104" s="10"/>
      <c r="E104" s="12" t="str">
        <f aca="false">IF($D104="","",IFERROR(INDEX(품목목록!$B$3:$B$302,MATCH($D104,품목목록!$A$3:$A$302,0)),"미등록품번"))</f>
        <v/>
      </c>
      <c r="F104" s="12" t="str">
        <f aca="false">IF($D104="","",IFERROR(INDEX(품목목록!$C$3:$C$302,MATCH($D104,품목목록!$A$3:$A$302,0)),""))</f>
        <v/>
      </c>
      <c r="G104" s="12" t="str">
        <f aca="false">IF($D104="","",IFERROR(INDEX(품목목록!$D$3:$D$302,MATCH($D104,품목목록!$A$3:$A$302,0)),""))</f>
        <v/>
      </c>
      <c r="H104" s="12" t="str">
        <f aca="false">IF($D104="","",IFERROR(INDEX(품목목록!$E$3:$E$302,MATCH($D104,품목목록!$A$3:$A$302,0)),""))</f>
        <v/>
      </c>
      <c r="I104" s="14"/>
      <c r="J104" s="10"/>
      <c r="K104" s="10"/>
      <c r="L104" s="10"/>
      <c r="M104" s="15" t="str">
        <f aca="false">IF($A104="","",SUMIFS(처리내역!$E$3:$E$1502,처리내역!$B$3:$B$1502,$A104))</f>
        <v/>
      </c>
      <c r="N104" s="15" t="str">
        <f aca="false">IF($A104="","",IF($I104="","",$I104-$M104))</f>
        <v/>
      </c>
      <c r="O104" s="12" t="str">
        <f aca="false">IF($A104="","",IF($I104="","",IF($M104=0,"미처리",IF($N104&lt;=0,"완료","부분처리"))))</f>
        <v/>
      </c>
    </row>
    <row r="105" customFormat="false" ht="15" hidden="false" customHeight="true" outlineLevel="0" collapsed="false">
      <c r="A105" s="12" t="str">
        <f aca="false">IF($B105="","",TEXT($B105,"yymm")&amp;"-"&amp;TEXT(COUNTIFS($B$3:$B105,"&gt;="&amp;DATE(YEAR($B105),MONTH($B105),1),$B$3:$B105,"&lt;="&amp;EOMONTH($B105,0)),"000"))</f>
        <v/>
      </c>
      <c r="B105" s="13"/>
      <c r="C105" s="10"/>
      <c r="D105" s="10"/>
      <c r="E105" s="12" t="str">
        <f aca="false">IF($D105="","",IFERROR(INDEX(품목목록!$B$3:$B$302,MATCH($D105,품목목록!$A$3:$A$302,0)),"미등록품번"))</f>
        <v/>
      </c>
      <c r="F105" s="12" t="str">
        <f aca="false">IF($D105="","",IFERROR(INDEX(품목목록!$C$3:$C$302,MATCH($D105,품목목록!$A$3:$A$302,0)),""))</f>
        <v/>
      </c>
      <c r="G105" s="12" t="str">
        <f aca="false">IF($D105="","",IFERROR(INDEX(품목목록!$D$3:$D$302,MATCH($D105,품목목록!$A$3:$A$302,0)),""))</f>
        <v/>
      </c>
      <c r="H105" s="12" t="str">
        <f aca="false">IF($D105="","",IFERROR(INDEX(품목목록!$E$3:$E$302,MATCH($D105,품목목록!$A$3:$A$302,0)),""))</f>
        <v/>
      </c>
      <c r="I105" s="14"/>
      <c r="J105" s="10"/>
      <c r="K105" s="10"/>
      <c r="L105" s="10"/>
      <c r="M105" s="15" t="str">
        <f aca="false">IF($A105="","",SUMIFS(처리내역!$E$3:$E$1502,처리내역!$B$3:$B$1502,$A105))</f>
        <v/>
      </c>
      <c r="N105" s="15" t="str">
        <f aca="false">IF($A105="","",IF($I105="","",$I105-$M105))</f>
        <v/>
      </c>
      <c r="O105" s="12" t="str">
        <f aca="false">IF($A105="","",IF($I105="","",IF($M105=0,"미처리",IF($N105&lt;=0,"완료","부분처리"))))</f>
        <v/>
      </c>
    </row>
    <row r="106" customFormat="false" ht="15" hidden="false" customHeight="true" outlineLevel="0" collapsed="false">
      <c r="A106" s="12" t="str">
        <f aca="false">IF($B106="","",TEXT($B106,"yymm")&amp;"-"&amp;TEXT(COUNTIFS($B$3:$B106,"&gt;="&amp;DATE(YEAR($B106),MONTH($B106),1),$B$3:$B106,"&lt;="&amp;EOMONTH($B106,0)),"000"))</f>
        <v/>
      </c>
      <c r="B106" s="13"/>
      <c r="C106" s="10"/>
      <c r="D106" s="10"/>
      <c r="E106" s="12" t="str">
        <f aca="false">IF($D106="","",IFERROR(INDEX(품목목록!$B$3:$B$302,MATCH($D106,품목목록!$A$3:$A$302,0)),"미등록품번"))</f>
        <v/>
      </c>
      <c r="F106" s="12" t="str">
        <f aca="false">IF($D106="","",IFERROR(INDEX(품목목록!$C$3:$C$302,MATCH($D106,품목목록!$A$3:$A$302,0)),""))</f>
        <v/>
      </c>
      <c r="G106" s="12" t="str">
        <f aca="false">IF($D106="","",IFERROR(INDEX(품목목록!$D$3:$D$302,MATCH($D106,품목목록!$A$3:$A$302,0)),""))</f>
        <v/>
      </c>
      <c r="H106" s="12" t="str">
        <f aca="false">IF($D106="","",IFERROR(INDEX(품목목록!$E$3:$E$302,MATCH($D106,품목목록!$A$3:$A$302,0)),""))</f>
        <v/>
      </c>
      <c r="I106" s="14"/>
      <c r="J106" s="10"/>
      <c r="K106" s="10"/>
      <c r="L106" s="10"/>
      <c r="M106" s="15" t="str">
        <f aca="false">IF($A106="","",SUMIFS(처리내역!$E$3:$E$1502,처리내역!$B$3:$B$1502,$A106))</f>
        <v/>
      </c>
      <c r="N106" s="15" t="str">
        <f aca="false">IF($A106="","",IF($I106="","",$I106-$M106))</f>
        <v/>
      </c>
      <c r="O106" s="12" t="str">
        <f aca="false">IF($A106="","",IF($I106="","",IF($M106=0,"미처리",IF($N106&lt;=0,"완료","부분처리"))))</f>
        <v/>
      </c>
    </row>
    <row r="107" customFormat="false" ht="15" hidden="false" customHeight="true" outlineLevel="0" collapsed="false">
      <c r="A107" s="12" t="str">
        <f aca="false">IF($B107="","",TEXT($B107,"yymm")&amp;"-"&amp;TEXT(COUNTIFS($B$3:$B107,"&gt;="&amp;DATE(YEAR($B107),MONTH($B107),1),$B$3:$B107,"&lt;="&amp;EOMONTH($B107,0)),"000"))</f>
        <v/>
      </c>
      <c r="B107" s="13"/>
      <c r="C107" s="10"/>
      <c r="D107" s="10"/>
      <c r="E107" s="12" t="str">
        <f aca="false">IF($D107="","",IFERROR(INDEX(품목목록!$B$3:$B$302,MATCH($D107,품목목록!$A$3:$A$302,0)),"미등록품번"))</f>
        <v/>
      </c>
      <c r="F107" s="12" t="str">
        <f aca="false">IF($D107="","",IFERROR(INDEX(품목목록!$C$3:$C$302,MATCH($D107,품목목록!$A$3:$A$302,0)),""))</f>
        <v/>
      </c>
      <c r="G107" s="12" t="str">
        <f aca="false">IF($D107="","",IFERROR(INDEX(품목목록!$D$3:$D$302,MATCH($D107,품목목록!$A$3:$A$302,0)),""))</f>
        <v/>
      </c>
      <c r="H107" s="12" t="str">
        <f aca="false">IF($D107="","",IFERROR(INDEX(품목목록!$E$3:$E$302,MATCH($D107,품목목록!$A$3:$A$302,0)),""))</f>
        <v/>
      </c>
      <c r="I107" s="14"/>
      <c r="J107" s="10"/>
      <c r="K107" s="10"/>
      <c r="L107" s="10"/>
      <c r="M107" s="15" t="str">
        <f aca="false">IF($A107="","",SUMIFS(처리내역!$E$3:$E$1502,처리내역!$B$3:$B$1502,$A107))</f>
        <v/>
      </c>
      <c r="N107" s="15" t="str">
        <f aca="false">IF($A107="","",IF($I107="","",$I107-$M107))</f>
        <v/>
      </c>
      <c r="O107" s="12" t="str">
        <f aca="false">IF($A107="","",IF($I107="","",IF($M107=0,"미처리",IF($N107&lt;=0,"완료","부분처리"))))</f>
        <v/>
      </c>
    </row>
    <row r="108" customFormat="false" ht="15" hidden="false" customHeight="true" outlineLevel="0" collapsed="false">
      <c r="A108" s="12" t="str">
        <f aca="false">IF($B108="","",TEXT($B108,"yymm")&amp;"-"&amp;TEXT(COUNTIFS($B$3:$B108,"&gt;="&amp;DATE(YEAR($B108),MONTH($B108),1),$B$3:$B108,"&lt;="&amp;EOMONTH($B108,0)),"000"))</f>
        <v/>
      </c>
      <c r="B108" s="13"/>
      <c r="C108" s="10"/>
      <c r="D108" s="10"/>
      <c r="E108" s="12" t="str">
        <f aca="false">IF($D108="","",IFERROR(INDEX(품목목록!$B$3:$B$302,MATCH($D108,품목목록!$A$3:$A$302,0)),"미등록품번"))</f>
        <v/>
      </c>
      <c r="F108" s="12" t="str">
        <f aca="false">IF($D108="","",IFERROR(INDEX(품목목록!$C$3:$C$302,MATCH($D108,품목목록!$A$3:$A$302,0)),""))</f>
        <v/>
      </c>
      <c r="G108" s="12" t="str">
        <f aca="false">IF($D108="","",IFERROR(INDEX(품목목록!$D$3:$D$302,MATCH($D108,품목목록!$A$3:$A$302,0)),""))</f>
        <v/>
      </c>
      <c r="H108" s="12" t="str">
        <f aca="false">IF($D108="","",IFERROR(INDEX(품목목록!$E$3:$E$302,MATCH($D108,품목목록!$A$3:$A$302,0)),""))</f>
        <v/>
      </c>
      <c r="I108" s="14"/>
      <c r="J108" s="10"/>
      <c r="K108" s="10"/>
      <c r="L108" s="10"/>
      <c r="M108" s="15" t="str">
        <f aca="false">IF($A108="","",SUMIFS(처리내역!$E$3:$E$1502,처리내역!$B$3:$B$1502,$A108))</f>
        <v/>
      </c>
      <c r="N108" s="15" t="str">
        <f aca="false">IF($A108="","",IF($I108="","",$I108-$M108))</f>
        <v/>
      </c>
      <c r="O108" s="12" t="str">
        <f aca="false">IF($A108="","",IF($I108="","",IF($M108=0,"미처리",IF($N108&lt;=0,"완료","부분처리"))))</f>
        <v/>
      </c>
    </row>
    <row r="109" customFormat="false" ht="15" hidden="false" customHeight="true" outlineLevel="0" collapsed="false">
      <c r="A109" s="12" t="str">
        <f aca="false">IF($B109="","",TEXT($B109,"yymm")&amp;"-"&amp;TEXT(COUNTIFS($B$3:$B109,"&gt;="&amp;DATE(YEAR($B109),MONTH($B109),1),$B$3:$B109,"&lt;="&amp;EOMONTH($B109,0)),"000"))</f>
        <v/>
      </c>
      <c r="B109" s="13"/>
      <c r="C109" s="10"/>
      <c r="D109" s="10"/>
      <c r="E109" s="12" t="str">
        <f aca="false">IF($D109="","",IFERROR(INDEX(품목목록!$B$3:$B$302,MATCH($D109,품목목록!$A$3:$A$302,0)),"미등록품번"))</f>
        <v/>
      </c>
      <c r="F109" s="12" t="str">
        <f aca="false">IF($D109="","",IFERROR(INDEX(품목목록!$C$3:$C$302,MATCH($D109,품목목록!$A$3:$A$302,0)),""))</f>
        <v/>
      </c>
      <c r="G109" s="12" t="str">
        <f aca="false">IF($D109="","",IFERROR(INDEX(품목목록!$D$3:$D$302,MATCH($D109,품목목록!$A$3:$A$302,0)),""))</f>
        <v/>
      </c>
      <c r="H109" s="12" t="str">
        <f aca="false">IF($D109="","",IFERROR(INDEX(품목목록!$E$3:$E$302,MATCH($D109,품목목록!$A$3:$A$302,0)),""))</f>
        <v/>
      </c>
      <c r="I109" s="14"/>
      <c r="J109" s="10"/>
      <c r="K109" s="10"/>
      <c r="L109" s="10"/>
      <c r="M109" s="15" t="str">
        <f aca="false">IF($A109="","",SUMIFS(처리내역!$E$3:$E$1502,처리내역!$B$3:$B$1502,$A109))</f>
        <v/>
      </c>
      <c r="N109" s="15" t="str">
        <f aca="false">IF($A109="","",IF($I109="","",$I109-$M109))</f>
        <v/>
      </c>
      <c r="O109" s="12" t="str">
        <f aca="false">IF($A109="","",IF($I109="","",IF($M109=0,"미처리",IF($N109&lt;=0,"완료","부분처리"))))</f>
        <v/>
      </c>
    </row>
    <row r="110" customFormat="false" ht="15" hidden="false" customHeight="true" outlineLevel="0" collapsed="false">
      <c r="A110" s="12" t="str">
        <f aca="false">IF($B110="","",TEXT($B110,"yymm")&amp;"-"&amp;TEXT(COUNTIFS($B$3:$B110,"&gt;="&amp;DATE(YEAR($B110),MONTH($B110),1),$B$3:$B110,"&lt;="&amp;EOMONTH($B110,0)),"000"))</f>
        <v/>
      </c>
      <c r="B110" s="13"/>
      <c r="C110" s="10"/>
      <c r="D110" s="10"/>
      <c r="E110" s="12" t="str">
        <f aca="false">IF($D110="","",IFERROR(INDEX(품목목록!$B$3:$B$302,MATCH($D110,품목목록!$A$3:$A$302,0)),"미등록품번"))</f>
        <v/>
      </c>
      <c r="F110" s="12" t="str">
        <f aca="false">IF($D110="","",IFERROR(INDEX(품목목록!$C$3:$C$302,MATCH($D110,품목목록!$A$3:$A$302,0)),""))</f>
        <v/>
      </c>
      <c r="G110" s="12" t="str">
        <f aca="false">IF($D110="","",IFERROR(INDEX(품목목록!$D$3:$D$302,MATCH($D110,품목목록!$A$3:$A$302,0)),""))</f>
        <v/>
      </c>
      <c r="H110" s="12" t="str">
        <f aca="false">IF($D110="","",IFERROR(INDEX(품목목록!$E$3:$E$302,MATCH($D110,품목목록!$A$3:$A$302,0)),""))</f>
        <v/>
      </c>
      <c r="I110" s="14"/>
      <c r="J110" s="10"/>
      <c r="K110" s="10"/>
      <c r="L110" s="10"/>
      <c r="M110" s="15" t="str">
        <f aca="false">IF($A110="","",SUMIFS(처리내역!$E$3:$E$1502,처리내역!$B$3:$B$1502,$A110))</f>
        <v/>
      </c>
      <c r="N110" s="15" t="str">
        <f aca="false">IF($A110="","",IF($I110="","",$I110-$M110))</f>
        <v/>
      </c>
      <c r="O110" s="12" t="str">
        <f aca="false">IF($A110="","",IF($I110="","",IF($M110=0,"미처리",IF($N110&lt;=0,"완료","부분처리"))))</f>
        <v/>
      </c>
    </row>
    <row r="111" customFormat="false" ht="15" hidden="false" customHeight="true" outlineLevel="0" collapsed="false">
      <c r="A111" s="12" t="str">
        <f aca="false">IF($B111="","",TEXT($B111,"yymm")&amp;"-"&amp;TEXT(COUNTIFS($B$3:$B111,"&gt;="&amp;DATE(YEAR($B111),MONTH($B111),1),$B$3:$B111,"&lt;="&amp;EOMONTH($B111,0)),"000"))</f>
        <v/>
      </c>
      <c r="B111" s="13"/>
      <c r="C111" s="10"/>
      <c r="D111" s="10"/>
      <c r="E111" s="12" t="str">
        <f aca="false">IF($D111="","",IFERROR(INDEX(품목목록!$B$3:$B$302,MATCH($D111,품목목록!$A$3:$A$302,0)),"미등록품번"))</f>
        <v/>
      </c>
      <c r="F111" s="12" t="str">
        <f aca="false">IF($D111="","",IFERROR(INDEX(품목목록!$C$3:$C$302,MATCH($D111,품목목록!$A$3:$A$302,0)),""))</f>
        <v/>
      </c>
      <c r="G111" s="12" t="str">
        <f aca="false">IF($D111="","",IFERROR(INDEX(품목목록!$D$3:$D$302,MATCH($D111,품목목록!$A$3:$A$302,0)),""))</f>
        <v/>
      </c>
      <c r="H111" s="12" t="str">
        <f aca="false">IF($D111="","",IFERROR(INDEX(품목목록!$E$3:$E$302,MATCH($D111,품목목록!$A$3:$A$302,0)),""))</f>
        <v/>
      </c>
      <c r="I111" s="14"/>
      <c r="J111" s="10"/>
      <c r="K111" s="10"/>
      <c r="L111" s="10"/>
      <c r="M111" s="15" t="str">
        <f aca="false">IF($A111="","",SUMIFS(처리내역!$E$3:$E$1502,처리내역!$B$3:$B$1502,$A111))</f>
        <v/>
      </c>
      <c r="N111" s="15" t="str">
        <f aca="false">IF($A111="","",IF($I111="","",$I111-$M111))</f>
        <v/>
      </c>
      <c r="O111" s="12" t="str">
        <f aca="false">IF($A111="","",IF($I111="","",IF($M111=0,"미처리",IF($N111&lt;=0,"완료","부분처리"))))</f>
        <v/>
      </c>
    </row>
    <row r="112" customFormat="false" ht="15" hidden="false" customHeight="true" outlineLevel="0" collapsed="false">
      <c r="A112" s="12" t="str">
        <f aca="false">IF($B112="","",TEXT($B112,"yymm")&amp;"-"&amp;TEXT(COUNTIFS($B$3:$B112,"&gt;="&amp;DATE(YEAR($B112),MONTH($B112),1),$B$3:$B112,"&lt;="&amp;EOMONTH($B112,0)),"000"))</f>
        <v/>
      </c>
      <c r="B112" s="13"/>
      <c r="C112" s="10"/>
      <c r="D112" s="10"/>
      <c r="E112" s="12" t="str">
        <f aca="false">IF($D112="","",IFERROR(INDEX(품목목록!$B$3:$B$302,MATCH($D112,품목목록!$A$3:$A$302,0)),"미등록품번"))</f>
        <v/>
      </c>
      <c r="F112" s="12" t="str">
        <f aca="false">IF($D112="","",IFERROR(INDEX(품목목록!$C$3:$C$302,MATCH($D112,품목목록!$A$3:$A$302,0)),""))</f>
        <v/>
      </c>
      <c r="G112" s="12" t="str">
        <f aca="false">IF($D112="","",IFERROR(INDEX(품목목록!$D$3:$D$302,MATCH($D112,품목목록!$A$3:$A$302,0)),""))</f>
        <v/>
      </c>
      <c r="H112" s="12" t="str">
        <f aca="false">IF($D112="","",IFERROR(INDEX(품목목록!$E$3:$E$302,MATCH($D112,품목목록!$A$3:$A$302,0)),""))</f>
        <v/>
      </c>
      <c r="I112" s="14"/>
      <c r="J112" s="10"/>
      <c r="K112" s="10"/>
      <c r="L112" s="10"/>
      <c r="M112" s="15" t="str">
        <f aca="false">IF($A112="","",SUMIFS(처리내역!$E$3:$E$1502,처리내역!$B$3:$B$1502,$A112))</f>
        <v/>
      </c>
      <c r="N112" s="15" t="str">
        <f aca="false">IF($A112="","",IF($I112="","",$I112-$M112))</f>
        <v/>
      </c>
      <c r="O112" s="12" t="str">
        <f aca="false">IF($A112="","",IF($I112="","",IF($M112=0,"미처리",IF($N112&lt;=0,"완료","부분처리"))))</f>
        <v/>
      </c>
    </row>
    <row r="113" customFormat="false" ht="15" hidden="false" customHeight="true" outlineLevel="0" collapsed="false">
      <c r="A113" s="12" t="str">
        <f aca="false">IF($B113="","",TEXT($B113,"yymm")&amp;"-"&amp;TEXT(COUNTIFS($B$3:$B113,"&gt;="&amp;DATE(YEAR($B113),MONTH($B113),1),$B$3:$B113,"&lt;="&amp;EOMONTH($B113,0)),"000"))</f>
        <v/>
      </c>
      <c r="B113" s="13"/>
      <c r="C113" s="10"/>
      <c r="D113" s="10"/>
      <c r="E113" s="12" t="str">
        <f aca="false">IF($D113="","",IFERROR(INDEX(품목목록!$B$3:$B$302,MATCH($D113,품목목록!$A$3:$A$302,0)),"미등록품번"))</f>
        <v/>
      </c>
      <c r="F113" s="12" t="str">
        <f aca="false">IF($D113="","",IFERROR(INDEX(품목목록!$C$3:$C$302,MATCH($D113,품목목록!$A$3:$A$302,0)),""))</f>
        <v/>
      </c>
      <c r="G113" s="12" t="str">
        <f aca="false">IF($D113="","",IFERROR(INDEX(품목목록!$D$3:$D$302,MATCH($D113,품목목록!$A$3:$A$302,0)),""))</f>
        <v/>
      </c>
      <c r="H113" s="12" t="str">
        <f aca="false">IF($D113="","",IFERROR(INDEX(품목목록!$E$3:$E$302,MATCH($D113,품목목록!$A$3:$A$302,0)),""))</f>
        <v/>
      </c>
      <c r="I113" s="14"/>
      <c r="J113" s="10"/>
      <c r="K113" s="10"/>
      <c r="L113" s="10"/>
      <c r="M113" s="15" t="str">
        <f aca="false">IF($A113="","",SUMIFS(처리내역!$E$3:$E$1502,처리내역!$B$3:$B$1502,$A113))</f>
        <v/>
      </c>
      <c r="N113" s="15" t="str">
        <f aca="false">IF($A113="","",IF($I113="","",$I113-$M113))</f>
        <v/>
      </c>
      <c r="O113" s="12" t="str">
        <f aca="false">IF($A113="","",IF($I113="","",IF($M113=0,"미처리",IF($N113&lt;=0,"완료","부분처리"))))</f>
        <v/>
      </c>
    </row>
    <row r="114" customFormat="false" ht="15" hidden="false" customHeight="true" outlineLevel="0" collapsed="false">
      <c r="A114" s="12" t="str">
        <f aca="false">IF($B114="","",TEXT($B114,"yymm")&amp;"-"&amp;TEXT(COUNTIFS($B$3:$B114,"&gt;="&amp;DATE(YEAR($B114),MONTH($B114),1),$B$3:$B114,"&lt;="&amp;EOMONTH($B114,0)),"000"))</f>
        <v/>
      </c>
      <c r="B114" s="13"/>
      <c r="C114" s="10"/>
      <c r="D114" s="10"/>
      <c r="E114" s="12" t="str">
        <f aca="false">IF($D114="","",IFERROR(INDEX(품목목록!$B$3:$B$302,MATCH($D114,품목목록!$A$3:$A$302,0)),"미등록품번"))</f>
        <v/>
      </c>
      <c r="F114" s="12" t="str">
        <f aca="false">IF($D114="","",IFERROR(INDEX(품목목록!$C$3:$C$302,MATCH($D114,품목목록!$A$3:$A$302,0)),""))</f>
        <v/>
      </c>
      <c r="G114" s="12" t="str">
        <f aca="false">IF($D114="","",IFERROR(INDEX(품목목록!$D$3:$D$302,MATCH($D114,품목목록!$A$3:$A$302,0)),""))</f>
        <v/>
      </c>
      <c r="H114" s="12" t="str">
        <f aca="false">IF($D114="","",IFERROR(INDEX(품목목록!$E$3:$E$302,MATCH($D114,품목목록!$A$3:$A$302,0)),""))</f>
        <v/>
      </c>
      <c r="I114" s="14"/>
      <c r="J114" s="10"/>
      <c r="K114" s="10"/>
      <c r="L114" s="10"/>
      <c r="M114" s="15" t="str">
        <f aca="false">IF($A114="","",SUMIFS(처리내역!$E$3:$E$1502,처리내역!$B$3:$B$1502,$A114))</f>
        <v/>
      </c>
      <c r="N114" s="15" t="str">
        <f aca="false">IF($A114="","",IF($I114="","",$I114-$M114))</f>
        <v/>
      </c>
      <c r="O114" s="12" t="str">
        <f aca="false">IF($A114="","",IF($I114="","",IF($M114=0,"미처리",IF($N114&lt;=0,"완료","부분처리"))))</f>
        <v/>
      </c>
    </row>
    <row r="115" customFormat="false" ht="15" hidden="false" customHeight="true" outlineLevel="0" collapsed="false">
      <c r="A115" s="12" t="str">
        <f aca="false">IF($B115="","",TEXT($B115,"yymm")&amp;"-"&amp;TEXT(COUNTIFS($B$3:$B115,"&gt;="&amp;DATE(YEAR($B115),MONTH($B115),1),$B$3:$B115,"&lt;="&amp;EOMONTH($B115,0)),"000"))</f>
        <v/>
      </c>
      <c r="B115" s="13"/>
      <c r="C115" s="10"/>
      <c r="D115" s="10"/>
      <c r="E115" s="12" t="str">
        <f aca="false">IF($D115="","",IFERROR(INDEX(품목목록!$B$3:$B$302,MATCH($D115,품목목록!$A$3:$A$302,0)),"미등록품번"))</f>
        <v/>
      </c>
      <c r="F115" s="12" t="str">
        <f aca="false">IF($D115="","",IFERROR(INDEX(품목목록!$C$3:$C$302,MATCH($D115,품목목록!$A$3:$A$302,0)),""))</f>
        <v/>
      </c>
      <c r="G115" s="12" t="str">
        <f aca="false">IF($D115="","",IFERROR(INDEX(품목목록!$D$3:$D$302,MATCH($D115,품목목록!$A$3:$A$302,0)),""))</f>
        <v/>
      </c>
      <c r="H115" s="12" t="str">
        <f aca="false">IF($D115="","",IFERROR(INDEX(품목목록!$E$3:$E$302,MATCH($D115,품목목록!$A$3:$A$302,0)),""))</f>
        <v/>
      </c>
      <c r="I115" s="14"/>
      <c r="J115" s="10"/>
      <c r="K115" s="10"/>
      <c r="L115" s="10"/>
      <c r="M115" s="15" t="str">
        <f aca="false">IF($A115="","",SUMIFS(처리내역!$E$3:$E$1502,처리내역!$B$3:$B$1502,$A115))</f>
        <v/>
      </c>
      <c r="N115" s="15" t="str">
        <f aca="false">IF($A115="","",IF($I115="","",$I115-$M115))</f>
        <v/>
      </c>
      <c r="O115" s="12" t="str">
        <f aca="false">IF($A115="","",IF($I115="","",IF($M115=0,"미처리",IF($N115&lt;=0,"완료","부분처리"))))</f>
        <v/>
      </c>
    </row>
    <row r="116" customFormat="false" ht="15" hidden="false" customHeight="true" outlineLevel="0" collapsed="false">
      <c r="A116" s="12" t="str">
        <f aca="false">IF($B116="","",TEXT($B116,"yymm")&amp;"-"&amp;TEXT(COUNTIFS($B$3:$B116,"&gt;="&amp;DATE(YEAR($B116),MONTH($B116),1),$B$3:$B116,"&lt;="&amp;EOMONTH($B116,0)),"000"))</f>
        <v/>
      </c>
      <c r="B116" s="13"/>
      <c r="C116" s="10"/>
      <c r="D116" s="10"/>
      <c r="E116" s="12" t="str">
        <f aca="false">IF($D116="","",IFERROR(INDEX(품목목록!$B$3:$B$302,MATCH($D116,품목목록!$A$3:$A$302,0)),"미등록품번"))</f>
        <v/>
      </c>
      <c r="F116" s="12" t="str">
        <f aca="false">IF($D116="","",IFERROR(INDEX(품목목록!$C$3:$C$302,MATCH($D116,품목목록!$A$3:$A$302,0)),""))</f>
        <v/>
      </c>
      <c r="G116" s="12" t="str">
        <f aca="false">IF($D116="","",IFERROR(INDEX(품목목록!$D$3:$D$302,MATCH($D116,품목목록!$A$3:$A$302,0)),""))</f>
        <v/>
      </c>
      <c r="H116" s="12" t="str">
        <f aca="false">IF($D116="","",IFERROR(INDEX(품목목록!$E$3:$E$302,MATCH($D116,품목목록!$A$3:$A$302,0)),""))</f>
        <v/>
      </c>
      <c r="I116" s="14"/>
      <c r="J116" s="10"/>
      <c r="K116" s="10"/>
      <c r="L116" s="10"/>
      <c r="M116" s="15" t="str">
        <f aca="false">IF($A116="","",SUMIFS(처리내역!$E$3:$E$1502,처리내역!$B$3:$B$1502,$A116))</f>
        <v/>
      </c>
      <c r="N116" s="15" t="str">
        <f aca="false">IF($A116="","",IF($I116="","",$I116-$M116))</f>
        <v/>
      </c>
      <c r="O116" s="12" t="str">
        <f aca="false">IF($A116="","",IF($I116="","",IF($M116=0,"미처리",IF($N116&lt;=0,"완료","부분처리"))))</f>
        <v/>
      </c>
    </row>
    <row r="117" customFormat="false" ht="15" hidden="false" customHeight="true" outlineLevel="0" collapsed="false">
      <c r="A117" s="12" t="str">
        <f aca="false">IF($B117="","",TEXT($B117,"yymm")&amp;"-"&amp;TEXT(COUNTIFS($B$3:$B117,"&gt;="&amp;DATE(YEAR($B117),MONTH($B117),1),$B$3:$B117,"&lt;="&amp;EOMONTH($B117,0)),"000"))</f>
        <v/>
      </c>
      <c r="B117" s="13"/>
      <c r="C117" s="10"/>
      <c r="D117" s="10"/>
      <c r="E117" s="12" t="str">
        <f aca="false">IF($D117="","",IFERROR(INDEX(품목목록!$B$3:$B$302,MATCH($D117,품목목록!$A$3:$A$302,0)),"미등록품번"))</f>
        <v/>
      </c>
      <c r="F117" s="12" t="str">
        <f aca="false">IF($D117="","",IFERROR(INDEX(품목목록!$C$3:$C$302,MATCH($D117,품목목록!$A$3:$A$302,0)),""))</f>
        <v/>
      </c>
      <c r="G117" s="12" t="str">
        <f aca="false">IF($D117="","",IFERROR(INDEX(품목목록!$D$3:$D$302,MATCH($D117,품목목록!$A$3:$A$302,0)),""))</f>
        <v/>
      </c>
      <c r="H117" s="12" t="str">
        <f aca="false">IF($D117="","",IFERROR(INDEX(품목목록!$E$3:$E$302,MATCH($D117,품목목록!$A$3:$A$302,0)),""))</f>
        <v/>
      </c>
      <c r="I117" s="14"/>
      <c r="J117" s="10"/>
      <c r="K117" s="10"/>
      <c r="L117" s="10"/>
      <c r="M117" s="15" t="str">
        <f aca="false">IF($A117="","",SUMIFS(처리내역!$E$3:$E$1502,처리내역!$B$3:$B$1502,$A117))</f>
        <v/>
      </c>
      <c r="N117" s="15" t="str">
        <f aca="false">IF($A117="","",IF($I117="","",$I117-$M117))</f>
        <v/>
      </c>
      <c r="O117" s="12" t="str">
        <f aca="false">IF($A117="","",IF($I117="","",IF($M117=0,"미처리",IF($N117&lt;=0,"완료","부분처리"))))</f>
        <v/>
      </c>
    </row>
    <row r="118" customFormat="false" ht="15" hidden="false" customHeight="true" outlineLevel="0" collapsed="false">
      <c r="A118" s="12" t="str">
        <f aca="false">IF($B118="","",TEXT($B118,"yymm")&amp;"-"&amp;TEXT(COUNTIFS($B$3:$B118,"&gt;="&amp;DATE(YEAR($B118),MONTH($B118),1),$B$3:$B118,"&lt;="&amp;EOMONTH($B118,0)),"000"))</f>
        <v/>
      </c>
      <c r="B118" s="13"/>
      <c r="C118" s="10"/>
      <c r="D118" s="10"/>
      <c r="E118" s="12" t="str">
        <f aca="false">IF($D118="","",IFERROR(INDEX(품목목록!$B$3:$B$302,MATCH($D118,품목목록!$A$3:$A$302,0)),"미등록품번"))</f>
        <v/>
      </c>
      <c r="F118" s="12" t="str">
        <f aca="false">IF($D118="","",IFERROR(INDEX(품목목록!$C$3:$C$302,MATCH($D118,품목목록!$A$3:$A$302,0)),""))</f>
        <v/>
      </c>
      <c r="G118" s="12" t="str">
        <f aca="false">IF($D118="","",IFERROR(INDEX(품목목록!$D$3:$D$302,MATCH($D118,품목목록!$A$3:$A$302,0)),""))</f>
        <v/>
      </c>
      <c r="H118" s="12" t="str">
        <f aca="false">IF($D118="","",IFERROR(INDEX(품목목록!$E$3:$E$302,MATCH($D118,품목목록!$A$3:$A$302,0)),""))</f>
        <v/>
      </c>
      <c r="I118" s="14"/>
      <c r="J118" s="10"/>
      <c r="K118" s="10"/>
      <c r="L118" s="10"/>
      <c r="M118" s="15" t="str">
        <f aca="false">IF($A118="","",SUMIFS(처리내역!$E$3:$E$1502,처리내역!$B$3:$B$1502,$A118))</f>
        <v/>
      </c>
      <c r="N118" s="15" t="str">
        <f aca="false">IF($A118="","",IF($I118="","",$I118-$M118))</f>
        <v/>
      </c>
      <c r="O118" s="12" t="str">
        <f aca="false">IF($A118="","",IF($I118="","",IF($M118=0,"미처리",IF($N118&lt;=0,"완료","부분처리"))))</f>
        <v/>
      </c>
    </row>
    <row r="119" customFormat="false" ht="15" hidden="false" customHeight="true" outlineLevel="0" collapsed="false">
      <c r="A119" s="12" t="str">
        <f aca="false">IF($B119="","",TEXT($B119,"yymm")&amp;"-"&amp;TEXT(COUNTIFS($B$3:$B119,"&gt;="&amp;DATE(YEAR($B119),MONTH($B119),1),$B$3:$B119,"&lt;="&amp;EOMONTH($B119,0)),"000"))</f>
        <v/>
      </c>
      <c r="B119" s="13"/>
      <c r="C119" s="10"/>
      <c r="D119" s="10"/>
      <c r="E119" s="12" t="str">
        <f aca="false">IF($D119="","",IFERROR(INDEX(품목목록!$B$3:$B$302,MATCH($D119,품목목록!$A$3:$A$302,0)),"미등록품번"))</f>
        <v/>
      </c>
      <c r="F119" s="12" t="str">
        <f aca="false">IF($D119="","",IFERROR(INDEX(품목목록!$C$3:$C$302,MATCH($D119,품목목록!$A$3:$A$302,0)),""))</f>
        <v/>
      </c>
      <c r="G119" s="12" t="str">
        <f aca="false">IF($D119="","",IFERROR(INDEX(품목목록!$D$3:$D$302,MATCH($D119,품목목록!$A$3:$A$302,0)),""))</f>
        <v/>
      </c>
      <c r="H119" s="12" t="str">
        <f aca="false">IF($D119="","",IFERROR(INDEX(품목목록!$E$3:$E$302,MATCH($D119,품목목록!$A$3:$A$302,0)),""))</f>
        <v/>
      </c>
      <c r="I119" s="14"/>
      <c r="J119" s="10"/>
      <c r="K119" s="10"/>
      <c r="L119" s="10"/>
      <c r="M119" s="15" t="str">
        <f aca="false">IF($A119="","",SUMIFS(처리내역!$E$3:$E$1502,처리내역!$B$3:$B$1502,$A119))</f>
        <v/>
      </c>
      <c r="N119" s="15" t="str">
        <f aca="false">IF($A119="","",IF($I119="","",$I119-$M119))</f>
        <v/>
      </c>
      <c r="O119" s="12" t="str">
        <f aca="false">IF($A119="","",IF($I119="","",IF($M119=0,"미처리",IF($N119&lt;=0,"완료","부분처리"))))</f>
        <v/>
      </c>
    </row>
    <row r="120" customFormat="false" ht="15" hidden="false" customHeight="true" outlineLevel="0" collapsed="false">
      <c r="A120" s="12" t="str">
        <f aca="false">IF($B120="","",TEXT($B120,"yymm")&amp;"-"&amp;TEXT(COUNTIFS($B$3:$B120,"&gt;="&amp;DATE(YEAR($B120),MONTH($B120),1),$B$3:$B120,"&lt;="&amp;EOMONTH($B120,0)),"000"))</f>
        <v/>
      </c>
      <c r="B120" s="13"/>
      <c r="C120" s="10"/>
      <c r="D120" s="10"/>
      <c r="E120" s="12" t="str">
        <f aca="false">IF($D120="","",IFERROR(INDEX(품목목록!$B$3:$B$302,MATCH($D120,품목목록!$A$3:$A$302,0)),"미등록품번"))</f>
        <v/>
      </c>
      <c r="F120" s="12" t="str">
        <f aca="false">IF($D120="","",IFERROR(INDEX(품목목록!$C$3:$C$302,MATCH($D120,품목목록!$A$3:$A$302,0)),""))</f>
        <v/>
      </c>
      <c r="G120" s="12" t="str">
        <f aca="false">IF($D120="","",IFERROR(INDEX(품목목록!$D$3:$D$302,MATCH($D120,품목목록!$A$3:$A$302,0)),""))</f>
        <v/>
      </c>
      <c r="H120" s="12" t="str">
        <f aca="false">IF($D120="","",IFERROR(INDEX(품목목록!$E$3:$E$302,MATCH($D120,품목목록!$A$3:$A$302,0)),""))</f>
        <v/>
      </c>
      <c r="I120" s="14"/>
      <c r="J120" s="10"/>
      <c r="K120" s="10"/>
      <c r="L120" s="10"/>
      <c r="M120" s="15" t="str">
        <f aca="false">IF($A120="","",SUMIFS(처리내역!$E$3:$E$1502,처리내역!$B$3:$B$1502,$A120))</f>
        <v/>
      </c>
      <c r="N120" s="15" t="str">
        <f aca="false">IF($A120="","",IF($I120="","",$I120-$M120))</f>
        <v/>
      </c>
      <c r="O120" s="12" t="str">
        <f aca="false">IF($A120="","",IF($I120="","",IF($M120=0,"미처리",IF($N120&lt;=0,"완료","부분처리"))))</f>
        <v/>
      </c>
    </row>
    <row r="121" customFormat="false" ht="15" hidden="false" customHeight="true" outlineLevel="0" collapsed="false">
      <c r="A121" s="12" t="str">
        <f aca="false">IF($B121="","",TEXT($B121,"yymm")&amp;"-"&amp;TEXT(COUNTIFS($B$3:$B121,"&gt;="&amp;DATE(YEAR($B121),MONTH($B121),1),$B$3:$B121,"&lt;="&amp;EOMONTH($B121,0)),"000"))</f>
        <v/>
      </c>
      <c r="B121" s="13"/>
      <c r="C121" s="10"/>
      <c r="D121" s="10"/>
      <c r="E121" s="12" t="str">
        <f aca="false">IF($D121="","",IFERROR(INDEX(품목목록!$B$3:$B$302,MATCH($D121,품목목록!$A$3:$A$302,0)),"미등록품번"))</f>
        <v/>
      </c>
      <c r="F121" s="12" t="str">
        <f aca="false">IF($D121="","",IFERROR(INDEX(품목목록!$C$3:$C$302,MATCH($D121,품목목록!$A$3:$A$302,0)),""))</f>
        <v/>
      </c>
      <c r="G121" s="12" t="str">
        <f aca="false">IF($D121="","",IFERROR(INDEX(품목목록!$D$3:$D$302,MATCH($D121,품목목록!$A$3:$A$302,0)),""))</f>
        <v/>
      </c>
      <c r="H121" s="12" t="str">
        <f aca="false">IF($D121="","",IFERROR(INDEX(품목목록!$E$3:$E$302,MATCH($D121,품목목록!$A$3:$A$302,0)),""))</f>
        <v/>
      </c>
      <c r="I121" s="14"/>
      <c r="J121" s="10"/>
      <c r="K121" s="10"/>
      <c r="L121" s="10"/>
      <c r="M121" s="15" t="str">
        <f aca="false">IF($A121="","",SUMIFS(처리내역!$E$3:$E$1502,처리내역!$B$3:$B$1502,$A121))</f>
        <v/>
      </c>
      <c r="N121" s="15" t="str">
        <f aca="false">IF($A121="","",IF($I121="","",$I121-$M121))</f>
        <v/>
      </c>
      <c r="O121" s="12" t="str">
        <f aca="false">IF($A121="","",IF($I121="","",IF($M121=0,"미처리",IF($N121&lt;=0,"완료","부분처리"))))</f>
        <v/>
      </c>
    </row>
    <row r="122" customFormat="false" ht="15" hidden="false" customHeight="true" outlineLevel="0" collapsed="false">
      <c r="A122" s="12" t="str">
        <f aca="false">IF($B122="","",TEXT($B122,"yymm")&amp;"-"&amp;TEXT(COUNTIFS($B$3:$B122,"&gt;="&amp;DATE(YEAR($B122),MONTH($B122),1),$B$3:$B122,"&lt;="&amp;EOMONTH($B122,0)),"000"))</f>
        <v/>
      </c>
      <c r="B122" s="13"/>
      <c r="C122" s="10"/>
      <c r="D122" s="10"/>
      <c r="E122" s="12" t="str">
        <f aca="false">IF($D122="","",IFERROR(INDEX(품목목록!$B$3:$B$302,MATCH($D122,품목목록!$A$3:$A$302,0)),"미등록품번"))</f>
        <v/>
      </c>
      <c r="F122" s="12" t="str">
        <f aca="false">IF($D122="","",IFERROR(INDEX(품목목록!$C$3:$C$302,MATCH($D122,품목목록!$A$3:$A$302,0)),""))</f>
        <v/>
      </c>
      <c r="G122" s="12" t="str">
        <f aca="false">IF($D122="","",IFERROR(INDEX(품목목록!$D$3:$D$302,MATCH($D122,품목목록!$A$3:$A$302,0)),""))</f>
        <v/>
      </c>
      <c r="H122" s="12" t="str">
        <f aca="false">IF($D122="","",IFERROR(INDEX(품목목록!$E$3:$E$302,MATCH($D122,품목목록!$A$3:$A$302,0)),""))</f>
        <v/>
      </c>
      <c r="I122" s="14"/>
      <c r="J122" s="10"/>
      <c r="K122" s="10"/>
      <c r="L122" s="10"/>
      <c r="M122" s="15" t="str">
        <f aca="false">IF($A122="","",SUMIFS(처리내역!$E$3:$E$1502,처리내역!$B$3:$B$1502,$A122))</f>
        <v/>
      </c>
      <c r="N122" s="15" t="str">
        <f aca="false">IF($A122="","",IF($I122="","",$I122-$M122))</f>
        <v/>
      </c>
      <c r="O122" s="12" t="str">
        <f aca="false">IF($A122="","",IF($I122="","",IF($M122=0,"미처리",IF($N122&lt;=0,"완료","부분처리"))))</f>
        <v/>
      </c>
    </row>
    <row r="123" customFormat="false" ht="15" hidden="false" customHeight="true" outlineLevel="0" collapsed="false">
      <c r="A123" s="12" t="str">
        <f aca="false">IF($B123="","",TEXT($B123,"yymm")&amp;"-"&amp;TEXT(COUNTIFS($B$3:$B123,"&gt;="&amp;DATE(YEAR($B123),MONTH($B123),1),$B$3:$B123,"&lt;="&amp;EOMONTH($B123,0)),"000"))</f>
        <v/>
      </c>
      <c r="B123" s="13"/>
      <c r="C123" s="10"/>
      <c r="D123" s="10"/>
      <c r="E123" s="12" t="str">
        <f aca="false">IF($D123="","",IFERROR(INDEX(품목목록!$B$3:$B$302,MATCH($D123,품목목록!$A$3:$A$302,0)),"미등록품번"))</f>
        <v/>
      </c>
      <c r="F123" s="12" t="str">
        <f aca="false">IF($D123="","",IFERROR(INDEX(품목목록!$C$3:$C$302,MATCH($D123,품목목록!$A$3:$A$302,0)),""))</f>
        <v/>
      </c>
      <c r="G123" s="12" t="str">
        <f aca="false">IF($D123="","",IFERROR(INDEX(품목목록!$D$3:$D$302,MATCH($D123,품목목록!$A$3:$A$302,0)),""))</f>
        <v/>
      </c>
      <c r="H123" s="12" t="str">
        <f aca="false">IF($D123="","",IFERROR(INDEX(품목목록!$E$3:$E$302,MATCH($D123,품목목록!$A$3:$A$302,0)),""))</f>
        <v/>
      </c>
      <c r="I123" s="14"/>
      <c r="J123" s="10"/>
      <c r="K123" s="10"/>
      <c r="L123" s="10"/>
      <c r="M123" s="15" t="str">
        <f aca="false">IF($A123="","",SUMIFS(처리내역!$E$3:$E$1502,처리내역!$B$3:$B$1502,$A123))</f>
        <v/>
      </c>
      <c r="N123" s="15" t="str">
        <f aca="false">IF($A123="","",IF($I123="","",$I123-$M123))</f>
        <v/>
      </c>
      <c r="O123" s="12" t="str">
        <f aca="false">IF($A123="","",IF($I123="","",IF($M123=0,"미처리",IF($N123&lt;=0,"완료","부분처리"))))</f>
        <v/>
      </c>
    </row>
    <row r="124" customFormat="false" ht="15" hidden="false" customHeight="true" outlineLevel="0" collapsed="false">
      <c r="A124" s="12" t="str">
        <f aca="false">IF($B124="","",TEXT($B124,"yymm")&amp;"-"&amp;TEXT(COUNTIFS($B$3:$B124,"&gt;="&amp;DATE(YEAR($B124),MONTH($B124),1),$B$3:$B124,"&lt;="&amp;EOMONTH($B124,0)),"000"))</f>
        <v/>
      </c>
      <c r="B124" s="13"/>
      <c r="C124" s="10"/>
      <c r="D124" s="10"/>
      <c r="E124" s="12" t="str">
        <f aca="false">IF($D124="","",IFERROR(INDEX(품목목록!$B$3:$B$302,MATCH($D124,품목목록!$A$3:$A$302,0)),"미등록품번"))</f>
        <v/>
      </c>
      <c r="F124" s="12" t="str">
        <f aca="false">IF($D124="","",IFERROR(INDEX(품목목록!$C$3:$C$302,MATCH($D124,품목목록!$A$3:$A$302,0)),""))</f>
        <v/>
      </c>
      <c r="G124" s="12" t="str">
        <f aca="false">IF($D124="","",IFERROR(INDEX(품목목록!$D$3:$D$302,MATCH($D124,품목목록!$A$3:$A$302,0)),""))</f>
        <v/>
      </c>
      <c r="H124" s="12" t="str">
        <f aca="false">IF($D124="","",IFERROR(INDEX(품목목록!$E$3:$E$302,MATCH($D124,품목목록!$A$3:$A$302,0)),""))</f>
        <v/>
      </c>
      <c r="I124" s="14"/>
      <c r="J124" s="10"/>
      <c r="K124" s="10"/>
      <c r="L124" s="10"/>
      <c r="M124" s="15" t="str">
        <f aca="false">IF($A124="","",SUMIFS(처리내역!$E$3:$E$1502,처리내역!$B$3:$B$1502,$A124))</f>
        <v/>
      </c>
      <c r="N124" s="15" t="str">
        <f aca="false">IF($A124="","",IF($I124="","",$I124-$M124))</f>
        <v/>
      </c>
      <c r="O124" s="12" t="str">
        <f aca="false">IF($A124="","",IF($I124="","",IF($M124=0,"미처리",IF($N124&lt;=0,"완료","부분처리"))))</f>
        <v/>
      </c>
    </row>
    <row r="125" customFormat="false" ht="15" hidden="false" customHeight="true" outlineLevel="0" collapsed="false">
      <c r="A125" s="12" t="str">
        <f aca="false">IF($B125="","",TEXT($B125,"yymm")&amp;"-"&amp;TEXT(COUNTIFS($B$3:$B125,"&gt;="&amp;DATE(YEAR($B125),MONTH($B125),1),$B$3:$B125,"&lt;="&amp;EOMONTH($B125,0)),"000"))</f>
        <v/>
      </c>
      <c r="B125" s="13"/>
      <c r="C125" s="10"/>
      <c r="D125" s="10"/>
      <c r="E125" s="12" t="str">
        <f aca="false">IF($D125="","",IFERROR(INDEX(품목목록!$B$3:$B$302,MATCH($D125,품목목록!$A$3:$A$302,0)),"미등록품번"))</f>
        <v/>
      </c>
      <c r="F125" s="12" t="str">
        <f aca="false">IF($D125="","",IFERROR(INDEX(품목목록!$C$3:$C$302,MATCH($D125,품목목록!$A$3:$A$302,0)),""))</f>
        <v/>
      </c>
      <c r="G125" s="12" t="str">
        <f aca="false">IF($D125="","",IFERROR(INDEX(품목목록!$D$3:$D$302,MATCH($D125,품목목록!$A$3:$A$302,0)),""))</f>
        <v/>
      </c>
      <c r="H125" s="12" t="str">
        <f aca="false">IF($D125="","",IFERROR(INDEX(품목목록!$E$3:$E$302,MATCH($D125,품목목록!$A$3:$A$302,0)),""))</f>
        <v/>
      </c>
      <c r="I125" s="14"/>
      <c r="J125" s="10"/>
      <c r="K125" s="10"/>
      <c r="L125" s="10"/>
      <c r="M125" s="15" t="str">
        <f aca="false">IF($A125="","",SUMIFS(처리내역!$E$3:$E$1502,처리내역!$B$3:$B$1502,$A125))</f>
        <v/>
      </c>
      <c r="N125" s="15" t="str">
        <f aca="false">IF($A125="","",IF($I125="","",$I125-$M125))</f>
        <v/>
      </c>
      <c r="O125" s="12" t="str">
        <f aca="false">IF($A125="","",IF($I125="","",IF($M125=0,"미처리",IF($N125&lt;=0,"완료","부분처리"))))</f>
        <v/>
      </c>
    </row>
    <row r="126" customFormat="false" ht="15" hidden="false" customHeight="true" outlineLevel="0" collapsed="false">
      <c r="A126" s="12" t="str">
        <f aca="false">IF($B126="","",TEXT($B126,"yymm")&amp;"-"&amp;TEXT(COUNTIFS($B$3:$B126,"&gt;="&amp;DATE(YEAR($B126),MONTH($B126),1),$B$3:$B126,"&lt;="&amp;EOMONTH($B126,0)),"000"))</f>
        <v/>
      </c>
      <c r="B126" s="13"/>
      <c r="C126" s="10"/>
      <c r="D126" s="10"/>
      <c r="E126" s="12" t="str">
        <f aca="false">IF($D126="","",IFERROR(INDEX(품목목록!$B$3:$B$302,MATCH($D126,품목목록!$A$3:$A$302,0)),"미등록품번"))</f>
        <v/>
      </c>
      <c r="F126" s="12" t="str">
        <f aca="false">IF($D126="","",IFERROR(INDEX(품목목록!$C$3:$C$302,MATCH($D126,품목목록!$A$3:$A$302,0)),""))</f>
        <v/>
      </c>
      <c r="G126" s="12" t="str">
        <f aca="false">IF($D126="","",IFERROR(INDEX(품목목록!$D$3:$D$302,MATCH($D126,품목목록!$A$3:$A$302,0)),""))</f>
        <v/>
      </c>
      <c r="H126" s="12" t="str">
        <f aca="false">IF($D126="","",IFERROR(INDEX(품목목록!$E$3:$E$302,MATCH($D126,품목목록!$A$3:$A$302,0)),""))</f>
        <v/>
      </c>
      <c r="I126" s="14"/>
      <c r="J126" s="10"/>
      <c r="K126" s="10"/>
      <c r="L126" s="10"/>
      <c r="M126" s="15" t="str">
        <f aca="false">IF($A126="","",SUMIFS(처리내역!$E$3:$E$1502,처리내역!$B$3:$B$1502,$A126))</f>
        <v/>
      </c>
      <c r="N126" s="15" t="str">
        <f aca="false">IF($A126="","",IF($I126="","",$I126-$M126))</f>
        <v/>
      </c>
      <c r="O126" s="12" t="str">
        <f aca="false">IF($A126="","",IF($I126="","",IF($M126=0,"미처리",IF($N126&lt;=0,"완료","부분처리"))))</f>
        <v/>
      </c>
    </row>
    <row r="127" customFormat="false" ht="15" hidden="false" customHeight="true" outlineLevel="0" collapsed="false">
      <c r="A127" s="12" t="str">
        <f aca="false">IF($B127="","",TEXT($B127,"yymm")&amp;"-"&amp;TEXT(COUNTIFS($B$3:$B127,"&gt;="&amp;DATE(YEAR($B127),MONTH($B127),1),$B$3:$B127,"&lt;="&amp;EOMONTH($B127,0)),"000"))</f>
        <v/>
      </c>
      <c r="B127" s="13"/>
      <c r="C127" s="10"/>
      <c r="D127" s="10"/>
      <c r="E127" s="12" t="str">
        <f aca="false">IF($D127="","",IFERROR(INDEX(품목목록!$B$3:$B$302,MATCH($D127,품목목록!$A$3:$A$302,0)),"미등록품번"))</f>
        <v/>
      </c>
      <c r="F127" s="12" t="str">
        <f aca="false">IF($D127="","",IFERROR(INDEX(품목목록!$C$3:$C$302,MATCH($D127,품목목록!$A$3:$A$302,0)),""))</f>
        <v/>
      </c>
      <c r="G127" s="12" t="str">
        <f aca="false">IF($D127="","",IFERROR(INDEX(품목목록!$D$3:$D$302,MATCH($D127,품목목록!$A$3:$A$302,0)),""))</f>
        <v/>
      </c>
      <c r="H127" s="12" t="str">
        <f aca="false">IF($D127="","",IFERROR(INDEX(품목목록!$E$3:$E$302,MATCH($D127,품목목록!$A$3:$A$302,0)),""))</f>
        <v/>
      </c>
      <c r="I127" s="14"/>
      <c r="J127" s="10"/>
      <c r="K127" s="10"/>
      <c r="L127" s="10"/>
      <c r="M127" s="15" t="str">
        <f aca="false">IF($A127="","",SUMIFS(처리내역!$E$3:$E$1502,처리내역!$B$3:$B$1502,$A127))</f>
        <v/>
      </c>
      <c r="N127" s="15" t="str">
        <f aca="false">IF($A127="","",IF($I127="","",$I127-$M127))</f>
        <v/>
      </c>
      <c r="O127" s="12" t="str">
        <f aca="false">IF($A127="","",IF($I127="","",IF($M127=0,"미처리",IF($N127&lt;=0,"완료","부분처리"))))</f>
        <v/>
      </c>
    </row>
    <row r="128" customFormat="false" ht="15" hidden="false" customHeight="true" outlineLevel="0" collapsed="false">
      <c r="A128" s="12" t="str">
        <f aca="false">IF($B128="","",TEXT($B128,"yymm")&amp;"-"&amp;TEXT(COUNTIFS($B$3:$B128,"&gt;="&amp;DATE(YEAR($B128),MONTH($B128),1),$B$3:$B128,"&lt;="&amp;EOMONTH($B128,0)),"000"))</f>
        <v/>
      </c>
      <c r="B128" s="13"/>
      <c r="C128" s="10"/>
      <c r="D128" s="10"/>
      <c r="E128" s="12" t="str">
        <f aca="false">IF($D128="","",IFERROR(INDEX(품목목록!$B$3:$B$302,MATCH($D128,품목목록!$A$3:$A$302,0)),"미등록품번"))</f>
        <v/>
      </c>
      <c r="F128" s="12" t="str">
        <f aca="false">IF($D128="","",IFERROR(INDEX(품목목록!$C$3:$C$302,MATCH($D128,품목목록!$A$3:$A$302,0)),""))</f>
        <v/>
      </c>
      <c r="G128" s="12" t="str">
        <f aca="false">IF($D128="","",IFERROR(INDEX(품목목록!$D$3:$D$302,MATCH($D128,품목목록!$A$3:$A$302,0)),""))</f>
        <v/>
      </c>
      <c r="H128" s="12" t="str">
        <f aca="false">IF($D128="","",IFERROR(INDEX(품목목록!$E$3:$E$302,MATCH($D128,품목목록!$A$3:$A$302,0)),""))</f>
        <v/>
      </c>
      <c r="I128" s="14"/>
      <c r="J128" s="10"/>
      <c r="K128" s="10"/>
      <c r="L128" s="10"/>
      <c r="M128" s="15" t="str">
        <f aca="false">IF($A128="","",SUMIFS(처리내역!$E$3:$E$1502,처리내역!$B$3:$B$1502,$A128))</f>
        <v/>
      </c>
      <c r="N128" s="15" t="str">
        <f aca="false">IF($A128="","",IF($I128="","",$I128-$M128))</f>
        <v/>
      </c>
      <c r="O128" s="12" t="str">
        <f aca="false">IF($A128="","",IF($I128="","",IF($M128=0,"미처리",IF($N128&lt;=0,"완료","부분처리"))))</f>
        <v/>
      </c>
    </row>
    <row r="129" customFormat="false" ht="15" hidden="false" customHeight="true" outlineLevel="0" collapsed="false">
      <c r="A129" s="12" t="str">
        <f aca="false">IF($B129="","",TEXT($B129,"yymm")&amp;"-"&amp;TEXT(COUNTIFS($B$3:$B129,"&gt;="&amp;DATE(YEAR($B129),MONTH($B129),1),$B$3:$B129,"&lt;="&amp;EOMONTH($B129,0)),"000"))</f>
        <v/>
      </c>
      <c r="B129" s="13"/>
      <c r="C129" s="10"/>
      <c r="D129" s="10"/>
      <c r="E129" s="12" t="str">
        <f aca="false">IF($D129="","",IFERROR(INDEX(품목목록!$B$3:$B$302,MATCH($D129,품목목록!$A$3:$A$302,0)),"미등록품번"))</f>
        <v/>
      </c>
      <c r="F129" s="12" t="str">
        <f aca="false">IF($D129="","",IFERROR(INDEX(품목목록!$C$3:$C$302,MATCH($D129,품목목록!$A$3:$A$302,0)),""))</f>
        <v/>
      </c>
      <c r="G129" s="12" t="str">
        <f aca="false">IF($D129="","",IFERROR(INDEX(품목목록!$D$3:$D$302,MATCH($D129,품목목록!$A$3:$A$302,0)),""))</f>
        <v/>
      </c>
      <c r="H129" s="12" t="str">
        <f aca="false">IF($D129="","",IFERROR(INDEX(품목목록!$E$3:$E$302,MATCH($D129,품목목록!$A$3:$A$302,0)),""))</f>
        <v/>
      </c>
      <c r="I129" s="14"/>
      <c r="J129" s="10"/>
      <c r="K129" s="10"/>
      <c r="L129" s="10"/>
      <c r="M129" s="15" t="str">
        <f aca="false">IF($A129="","",SUMIFS(처리내역!$E$3:$E$1502,처리내역!$B$3:$B$1502,$A129))</f>
        <v/>
      </c>
      <c r="N129" s="15" t="str">
        <f aca="false">IF($A129="","",IF($I129="","",$I129-$M129))</f>
        <v/>
      </c>
      <c r="O129" s="12" t="str">
        <f aca="false">IF($A129="","",IF($I129="","",IF($M129=0,"미처리",IF($N129&lt;=0,"완료","부분처리"))))</f>
        <v/>
      </c>
    </row>
    <row r="130" customFormat="false" ht="15" hidden="false" customHeight="true" outlineLevel="0" collapsed="false">
      <c r="A130" s="12" t="str">
        <f aca="false">IF($B130="","",TEXT($B130,"yymm")&amp;"-"&amp;TEXT(COUNTIFS($B$3:$B130,"&gt;="&amp;DATE(YEAR($B130),MONTH($B130),1),$B$3:$B130,"&lt;="&amp;EOMONTH($B130,0)),"000"))</f>
        <v/>
      </c>
      <c r="B130" s="13"/>
      <c r="C130" s="10"/>
      <c r="D130" s="10"/>
      <c r="E130" s="12" t="str">
        <f aca="false">IF($D130="","",IFERROR(INDEX(품목목록!$B$3:$B$302,MATCH($D130,품목목록!$A$3:$A$302,0)),"미등록품번"))</f>
        <v/>
      </c>
      <c r="F130" s="12" t="str">
        <f aca="false">IF($D130="","",IFERROR(INDEX(품목목록!$C$3:$C$302,MATCH($D130,품목목록!$A$3:$A$302,0)),""))</f>
        <v/>
      </c>
      <c r="G130" s="12" t="str">
        <f aca="false">IF($D130="","",IFERROR(INDEX(품목목록!$D$3:$D$302,MATCH($D130,품목목록!$A$3:$A$302,0)),""))</f>
        <v/>
      </c>
      <c r="H130" s="12" t="str">
        <f aca="false">IF($D130="","",IFERROR(INDEX(품목목록!$E$3:$E$302,MATCH($D130,품목목록!$A$3:$A$302,0)),""))</f>
        <v/>
      </c>
      <c r="I130" s="14"/>
      <c r="J130" s="10"/>
      <c r="K130" s="10"/>
      <c r="L130" s="10"/>
      <c r="M130" s="15" t="str">
        <f aca="false">IF($A130="","",SUMIFS(처리내역!$E$3:$E$1502,처리내역!$B$3:$B$1502,$A130))</f>
        <v/>
      </c>
      <c r="N130" s="15" t="str">
        <f aca="false">IF($A130="","",IF($I130="","",$I130-$M130))</f>
        <v/>
      </c>
      <c r="O130" s="12" t="str">
        <f aca="false">IF($A130="","",IF($I130="","",IF($M130=0,"미처리",IF($N130&lt;=0,"완료","부분처리"))))</f>
        <v/>
      </c>
    </row>
    <row r="131" customFormat="false" ht="15" hidden="false" customHeight="true" outlineLevel="0" collapsed="false">
      <c r="A131" s="12" t="str">
        <f aca="false">IF($B131="","",TEXT($B131,"yymm")&amp;"-"&amp;TEXT(COUNTIFS($B$3:$B131,"&gt;="&amp;DATE(YEAR($B131),MONTH($B131),1),$B$3:$B131,"&lt;="&amp;EOMONTH($B131,0)),"000"))</f>
        <v/>
      </c>
      <c r="B131" s="13"/>
      <c r="C131" s="10"/>
      <c r="D131" s="10"/>
      <c r="E131" s="12" t="str">
        <f aca="false">IF($D131="","",IFERROR(INDEX(품목목록!$B$3:$B$302,MATCH($D131,품목목록!$A$3:$A$302,0)),"미등록품번"))</f>
        <v/>
      </c>
      <c r="F131" s="12" t="str">
        <f aca="false">IF($D131="","",IFERROR(INDEX(품목목록!$C$3:$C$302,MATCH($D131,품목목록!$A$3:$A$302,0)),""))</f>
        <v/>
      </c>
      <c r="G131" s="12" t="str">
        <f aca="false">IF($D131="","",IFERROR(INDEX(품목목록!$D$3:$D$302,MATCH($D131,품목목록!$A$3:$A$302,0)),""))</f>
        <v/>
      </c>
      <c r="H131" s="12" t="str">
        <f aca="false">IF($D131="","",IFERROR(INDEX(품목목록!$E$3:$E$302,MATCH($D131,품목목록!$A$3:$A$302,0)),""))</f>
        <v/>
      </c>
      <c r="I131" s="14"/>
      <c r="J131" s="10"/>
      <c r="K131" s="10"/>
      <c r="L131" s="10"/>
      <c r="M131" s="15" t="str">
        <f aca="false">IF($A131="","",SUMIFS(처리내역!$E$3:$E$1502,처리내역!$B$3:$B$1502,$A131))</f>
        <v/>
      </c>
      <c r="N131" s="15" t="str">
        <f aca="false">IF($A131="","",IF($I131="","",$I131-$M131))</f>
        <v/>
      </c>
      <c r="O131" s="12" t="str">
        <f aca="false">IF($A131="","",IF($I131="","",IF($M131=0,"미처리",IF($N131&lt;=0,"완료","부분처리"))))</f>
        <v/>
      </c>
    </row>
    <row r="132" customFormat="false" ht="15" hidden="false" customHeight="true" outlineLevel="0" collapsed="false">
      <c r="A132" s="12" t="str">
        <f aca="false">IF($B132="","",TEXT($B132,"yymm")&amp;"-"&amp;TEXT(COUNTIFS($B$3:$B132,"&gt;="&amp;DATE(YEAR($B132),MONTH($B132),1),$B$3:$B132,"&lt;="&amp;EOMONTH($B132,0)),"000"))</f>
        <v/>
      </c>
      <c r="B132" s="13"/>
      <c r="C132" s="10"/>
      <c r="D132" s="10"/>
      <c r="E132" s="12" t="str">
        <f aca="false">IF($D132="","",IFERROR(INDEX(품목목록!$B$3:$B$302,MATCH($D132,품목목록!$A$3:$A$302,0)),"미등록품번"))</f>
        <v/>
      </c>
      <c r="F132" s="12" t="str">
        <f aca="false">IF($D132="","",IFERROR(INDEX(품목목록!$C$3:$C$302,MATCH($D132,품목목록!$A$3:$A$302,0)),""))</f>
        <v/>
      </c>
      <c r="G132" s="12" t="str">
        <f aca="false">IF($D132="","",IFERROR(INDEX(품목목록!$D$3:$D$302,MATCH($D132,품목목록!$A$3:$A$302,0)),""))</f>
        <v/>
      </c>
      <c r="H132" s="12" t="str">
        <f aca="false">IF($D132="","",IFERROR(INDEX(품목목록!$E$3:$E$302,MATCH($D132,품목목록!$A$3:$A$302,0)),""))</f>
        <v/>
      </c>
      <c r="I132" s="14"/>
      <c r="J132" s="10"/>
      <c r="K132" s="10"/>
      <c r="L132" s="10"/>
      <c r="M132" s="15" t="str">
        <f aca="false">IF($A132="","",SUMIFS(처리내역!$E$3:$E$1502,처리내역!$B$3:$B$1502,$A132))</f>
        <v/>
      </c>
      <c r="N132" s="15" t="str">
        <f aca="false">IF($A132="","",IF($I132="","",$I132-$M132))</f>
        <v/>
      </c>
      <c r="O132" s="12" t="str">
        <f aca="false">IF($A132="","",IF($I132="","",IF($M132=0,"미처리",IF($N132&lt;=0,"완료","부분처리"))))</f>
        <v/>
      </c>
    </row>
    <row r="133" customFormat="false" ht="15" hidden="false" customHeight="true" outlineLevel="0" collapsed="false">
      <c r="A133" s="12" t="str">
        <f aca="false">IF($B133="","",TEXT($B133,"yymm")&amp;"-"&amp;TEXT(COUNTIFS($B$3:$B133,"&gt;="&amp;DATE(YEAR($B133),MONTH($B133),1),$B$3:$B133,"&lt;="&amp;EOMONTH($B133,0)),"000"))</f>
        <v/>
      </c>
      <c r="B133" s="13"/>
      <c r="C133" s="10"/>
      <c r="D133" s="10"/>
      <c r="E133" s="12" t="str">
        <f aca="false">IF($D133="","",IFERROR(INDEX(품목목록!$B$3:$B$302,MATCH($D133,품목목록!$A$3:$A$302,0)),"미등록품번"))</f>
        <v/>
      </c>
      <c r="F133" s="12" t="str">
        <f aca="false">IF($D133="","",IFERROR(INDEX(품목목록!$C$3:$C$302,MATCH($D133,품목목록!$A$3:$A$302,0)),""))</f>
        <v/>
      </c>
      <c r="G133" s="12" t="str">
        <f aca="false">IF($D133="","",IFERROR(INDEX(품목목록!$D$3:$D$302,MATCH($D133,품목목록!$A$3:$A$302,0)),""))</f>
        <v/>
      </c>
      <c r="H133" s="12" t="str">
        <f aca="false">IF($D133="","",IFERROR(INDEX(품목목록!$E$3:$E$302,MATCH($D133,품목목록!$A$3:$A$302,0)),""))</f>
        <v/>
      </c>
      <c r="I133" s="14"/>
      <c r="J133" s="10"/>
      <c r="K133" s="10"/>
      <c r="L133" s="10"/>
      <c r="M133" s="15" t="str">
        <f aca="false">IF($A133="","",SUMIFS(처리내역!$E$3:$E$1502,처리내역!$B$3:$B$1502,$A133))</f>
        <v/>
      </c>
      <c r="N133" s="15" t="str">
        <f aca="false">IF($A133="","",IF($I133="","",$I133-$M133))</f>
        <v/>
      </c>
      <c r="O133" s="12" t="str">
        <f aca="false">IF($A133="","",IF($I133="","",IF($M133=0,"미처리",IF($N133&lt;=0,"완료","부분처리"))))</f>
        <v/>
      </c>
    </row>
    <row r="134" customFormat="false" ht="15" hidden="false" customHeight="true" outlineLevel="0" collapsed="false">
      <c r="A134" s="12" t="str">
        <f aca="false">IF($B134="","",TEXT($B134,"yymm")&amp;"-"&amp;TEXT(COUNTIFS($B$3:$B134,"&gt;="&amp;DATE(YEAR($B134),MONTH($B134),1),$B$3:$B134,"&lt;="&amp;EOMONTH($B134,0)),"000"))</f>
        <v/>
      </c>
      <c r="B134" s="13"/>
      <c r="C134" s="10"/>
      <c r="D134" s="10"/>
      <c r="E134" s="12" t="str">
        <f aca="false">IF($D134="","",IFERROR(INDEX(품목목록!$B$3:$B$302,MATCH($D134,품목목록!$A$3:$A$302,0)),"미등록품번"))</f>
        <v/>
      </c>
      <c r="F134" s="12" t="str">
        <f aca="false">IF($D134="","",IFERROR(INDEX(품목목록!$C$3:$C$302,MATCH($D134,품목목록!$A$3:$A$302,0)),""))</f>
        <v/>
      </c>
      <c r="G134" s="12" t="str">
        <f aca="false">IF($D134="","",IFERROR(INDEX(품목목록!$D$3:$D$302,MATCH($D134,품목목록!$A$3:$A$302,0)),""))</f>
        <v/>
      </c>
      <c r="H134" s="12" t="str">
        <f aca="false">IF($D134="","",IFERROR(INDEX(품목목록!$E$3:$E$302,MATCH($D134,품목목록!$A$3:$A$302,0)),""))</f>
        <v/>
      </c>
      <c r="I134" s="14"/>
      <c r="J134" s="10"/>
      <c r="K134" s="10"/>
      <c r="L134" s="10"/>
      <c r="M134" s="15" t="str">
        <f aca="false">IF($A134="","",SUMIFS(처리내역!$E$3:$E$1502,처리내역!$B$3:$B$1502,$A134))</f>
        <v/>
      </c>
      <c r="N134" s="15" t="str">
        <f aca="false">IF($A134="","",IF($I134="","",$I134-$M134))</f>
        <v/>
      </c>
      <c r="O134" s="12" t="str">
        <f aca="false">IF($A134="","",IF($I134="","",IF($M134=0,"미처리",IF($N134&lt;=0,"완료","부분처리"))))</f>
        <v/>
      </c>
    </row>
    <row r="135" customFormat="false" ht="15" hidden="false" customHeight="true" outlineLevel="0" collapsed="false">
      <c r="A135" s="12" t="str">
        <f aca="false">IF($B135="","",TEXT($B135,"yymm")&amp;"-"&amp;TEXT(COUNTIFS($B$3:$B135,"&gt;="&amp;DATE(YEAR($B135),MONTH($B135),1),$B$3:$B135,"&lt;="&amp;EOMONTH($B135,0)),"000"))</f>
        <v/>
      </c>
      <c r="B135" s="13"/>
      <c r="C135" s="10"/>
      <c r="D135" s="10"/>
      <c r="E135" s="12" t="str">
        <f aca="false">IF($D135="","",IFERROR(INDEX(품목목록!$B$3:$B$302,MATCH($D135,품목목록!$A$3:$A$302,0)),"미등록품번"))</f>
        <v/>
      </c>
      <c r="F135" s="12" t="str">
        <f aca="false">IF($D135="","",IFERROR(INDEX(품목목록!$C$3:$C$302,MATCH($D135,품목목록!$A$3:$A$302,0)),""))</f>
        <v/>
      </c>
      <c r="G135" s="12" t="str">
        <f aca="false">IF($D135="","",IFERROR(INDEX(품목목록!$D$3:$D$302,MATCH($D135,품목목록!$A$3:$A$302,0)),""))</f>
        <v/>
      </c>
      <c r="H135" s="12" t="str">
        <f aca="false">IF($D135="","",IFERROR(INDEX(품목목록!$E$3:$E$302,MATCH($D135,품목목록!$A$3:$A$302,0)),""))</f>
        <v/>
      </c>
      <c r="I135" s="14"/>
      <c r="J135" s="10"/>
      <c r="K135" s="10"/>
      <c r="L135" s="10"/>
      <c r="M135" s="15" t="str">
        <f aca="false">IF($A135="","",SUMIFS(처리내역!$E$3:$E$1502,처리내역!$B$3:$B$1502,$A135))</f>
        <v/>
      </c>
      <c r="N135" s="15" t="str">
        <f aca="false">IF($A135="","",IF($I135="","",$I135-$M135))</f>
        <v/>
      </c>
      <c r="O135" s="12" t="str">
        <f aca="false">IF($A135="","",IF($I135="","",IF($M135=0,"미처리",IF($N135&lt;=0,"완료","부분처리"))))</f>
        <v/>
      </c>
    </row>
    <row r="136" customFormat="false" ht="15" hidden="false" customHeight="true" outlineLevel="0" collapsed="false">
      <c r="A136" s="12" t="str">
        <f aca="false">IF($B136="","",TEXT($B136,"yymm")&amp;"-"&amp;TEXT(COUNTIFS($B$3:$B136,"&gt;="&amp;DATE(YEAR($B136),MONTH($B136),1),$B$3:$B136,"&lt;="&amp;EOMONTH($B136,0)),"000"))</f>
        <v/>
      </c>
      <c r="B136" s="13"/>
      <c r="C136" s="10"/>
      <c r="D136" s="10"/>
      <c r="E136" s="12" t="str">
        <f aca="false">IF($D136="","",IFERROR(INDEX(품목목록!$B$3:$B$302,MATCH($D136,품목목록!$A$3:$A$302,0)),"미등록품번"))</f>
        <v/>
      </c>
      <c r="F136" s="12" t="str">
        <f aca="false">IF($D136="","",IFERROR(INDEX(품목목록!$C$3:$C$302,MATCH($D136,품목목록!$A$3:$A$302,0)),""))</f>
        <v/>
      </c>
      <c r="G136" s="12" t="str">
        <f aca="false">IF($D136="","",IFERROR(INDEX(품목목록!$D$3:$D$302,MATCH($D136,품목목록!$A$3:$A$302,0)),""))</f>
        <v/>
      </c>
      <c r="H136" s="12" t="str">
        <f aca="false">IF($D136="","",IFERROR(INDEX(품목목록!$E$3:$E$302,MATCH($D136,품목목록!$A$3:$A$302,0)),""))</f>
        <v/>
      </c>
      <c r="I136" s="14"/>
      <c r="J136" s="10"/>
      <c r="K136" s="10"/>
      <c r="L136" s="10"/>
      <c r="M136" s="15" t="str">
        <f aca="false">IF($A136="","",SUMIFS(처리내역!$E$3:$E$1502,처리내역!$B$3:$B$1502,$A136))</f>
        <v/>
      </c>
      <c r="N136" s="15" t="str">
        <f aca="false">IF($A136="","",IF($I136="","",$I136-$M136))</f>
        <v/>
      </c>
      <c r="O136" s="12" t="str">
        <f aca="false">IF($A136="","",IF($I136="","",IF($M136=0,"미처리",IF($N136&lt;=0,"완료","부분처리"))))</f>
        <v/>
      </c>
    </row>
    <row r="137" customFormat="false" ht="15" hidden="false" customHeight="true" outlineLevel="0" collapsed="false">
      <c r="A137" s="12" t="str">
        <f aca="false">IF($B137="","",TEXT($B137,"yymm")&amp;"-"&amp;TEXT(COUNTIFS($B$3:$B137,"&gt;="&amp;DATE(YEAR($B137),MONTH($B137),1),$B$3:$B137,"&lt;="&amp;EOMONTH($B137,0)),"000"))</f>
        <v/>
      </c>
      <c r="B137" s="13"/>
      <c r="C137" s="10"/>
      <c r="D137" s="10"/>
      <c r="E137" s="12" t="str">
        <f aca="false">IF($D137="","",IFERROR(INDEX(품목목록!$B$3:$B$302,MATCH($D137,품목목록!$A$3:$A$302,0)),"미등록품번"))</f>
        <v/>
      </c>
      <c r="F137" s="12" t="str">
        <f aca="false">IF($D137="","",IFERROR(INDEX(품목목록!$C$3:$C$302,MATCH($D137,품목목록!$A$3:$A$302,0)),""))</f>
        <v/>
      </c>
      <c r="G137" s="12" t="str">
        <f aca="false">IF($D137="","",IFERROR(INDEX(품목목록!$D$3:$D$302,MATCH($D137,품목목록!$A$3:$A$302,0)),""))</f>
        <v/>
      </c>
      <c r="H137" s="12" t="str">
        <f aca="false">IF($D137="","",IFERROR(INDEX(품목목록!$E$3:$E$302,MATCH($D137,품목목록!$A$3:$A$302,0)),""))</f>
        <v/>
      </c>
      <c r="I137" s="14"/>
      <c r="J137" s="10"/>
      <c r="K137" s="10"/>
      <c r="L137" s="10"/>
      <c r="M137" s="15" t="str">
        <f aca="false">IF($A137="","",SUMIFS(처리내역!$E$3:$E$1502,처리내역!$B$3:$B$1502,$A137))</f>
        <v/>
      </c>
      <c r="N137" s="15" t="str">
        <f aca="false">IF($A137="","",IF($I137="","",$I137-$M137))</f>
        <v/>
      </c>
      <c r="O137" s="12" t="str">
        <f aca="false">IF($A137="","",IF($I137="","",IF($M137=0,"미처리",IF($N137&lt;=0,"완료","부분처리"))))</f>
        <v/>
      </c>
    </row>
    <row r="138" customFormat="false" ht="15" hidden="false" customHeight="true" outlineLevel="0" collapsed="false">
      <c r="A138" s="12" t="str">
        <f aca="false">IF($B138="","",TEXT($B138,"yymm")&amp;"-"&amp;TEXT(COUNTIFS($B$3:$B138,"&gt;="&amp;DATE(YEAR($B138),MONTH($B138),1),$B$3:$B138,"&lt;="&amp;EOMONTH($B138,0)),"000"))</f>
        <v/>
      </c>
      <c r="B138" s="13"/>
      <c r="C138" s="10"/>
      <c r="D138" s="10"/>
      <c r="E138" s="12" t="str">
        <f aca="false">IF($D138="","",IFERROR(INDEX(품목목록!$B$3:$B$302,MATCH($D138,품목목록!$A$3:$A$302,0)),"미등록품번"))</f>
        <v/>
      </c>
      <c r="F138" s="12" t="str">
        <f aca="false">IF($D138="","",IFERROR(INDEX(품목목록!$C$3:$C$302,MATCH($D138,품목목록!$A$3:$A$302,0)),""))</f>
        <v/>
      </c>
      <c r="G138" s="12" t="str">
        <f aca="false">IF($D138="","",IFERROR(INDEX(품목목록!$D$3:$D$302,MATCH($D138,품목목록!$A$3:$A$302,0)),""))</f>
        <v/>
      </c>
      <c r="H138" s="12" t="str">
        <f aca="false">IF($D138="","",IFERROR(INDEX(품목목록!$E$3:$E$302,MATCH($D138,품목목록!$A$3:$A$302,0)),""))</f>
        <v/>
      </c>
      <c r="I138" s="14"/>
      <c r="J138" s="10"/>
      <c r="K138" s="10"/>
      <c r="L138" s="10"/>
      <c r="M138" s="15" t="str">
        <f aca="false">IF($A138="","",SUMIFS(처리내역!$E$3:$E$1502,처리내역!$B$3:$B$1502,$A138))</f>
        <v/>
      </c>
      <c r="N138" s="15" t="str">
        <f aca="false">IF($A138="","",IF($I138="","",$I138-$M138))</f>
        <v/>
      </c>
      <c r="O138" s="12" t="str">
        <f aca="false">IF($A138="","",IF($I138="","",IF($M138=0,"미처리",IF($N138&lt;=0,"완료","부분처리"))))</f>
        <v/>
      </c>
    </row>
    <row r="139" customFormat="false" ht="15" hidden="false" customHeight="true" outlineLevel="0" collapsed="false">
      <c r="A139" s="12" t="str">
        <f aca="false">IF($B139="","",TEXT($B139,"yymm")&amp;"-"&amp;TEXT(COUNTIFS($B$3:$B139,"&gt;="&amp;DATE(YEAR($B139),MONTH($B139),1),$B$3:$B139,"&lt;="&amp;EOMONTH($B139,0)),"000"))</f>
        <v/>
      </c>
      <c r="B139" s="13"/>
      <c r="C139" s="10"/>
      <c r="D139" s="10"/>
      <c r="E139" s="12" t="str">
        <f aca="false">IF($D139="","",IFERROR(INDEX(품목목록!$B$3:$B$302,MATCH($D139,품목목록!$A$3:$A$302,0)),"미등록품번"))</f>
        <v/>
      </c>
      <c r="F139" s="12" t="str">
        <f aca="false">IF($D139="","",IFERROR(INDEX(품목목록!$C$3:$C$302,MATCH($D139,품목목록!$A$3:$A$302,0)),""))</f>
        <v/>
      </c>
      <c r="G139" s="12" t="str">
        <f aca="false">IF($D139="","",IFERROR(INDEX(품목목록!$D$3:$D$302,MATCH($D139,품목목록!$A$3:$A$302,0)),""))</f>
        <v/>
      </c>
      <c r="H139" s="12" t="str">
        <f aca="false">IF($D139="","",IFERROR(INDEX(품목목록!$E$3:$E$302,MATCH($D139,품목목록!$A$3:$A$302,0)),""))</f>
        <v/>
      </c>
      <c r="I139" s="14"/>
      <c r="J139" s="10"/>
      <c r="K139" s="10"/>
      <c r="L139" s="10"/>
      <c r="M139" s="15" t="str">
        <f aca="false">IF($A139="","",SUMIFS(처리내역!$E$3:$E$1502,처리내역!$B$3:$B$1502,$A139))</f>
        <v/>
      </c>
      <c r="N139" s="15" t="str">
        <f aca="false">IF($A139="","",IF($I139="","",$I139-$M139))</f>
        <v/>
      </c>
      <c r="O139" s="12" t="str">
        <f aca="false">IF($A139="","",IF($I139="","",IF($M139=0,"미처리",IF($N139&lt;=0,"완료","부분처리"))))</f>
        <v/>
      </c>
    </row>
    <row r="140" customFormat="false" ht="15" hidden="false" customHeight="true" outlineLevel="0" collapsed="false">
      <c r="A140" s="12" t="str">
        <f aca="false">IF($B140="","",TEXT($B140,"yymm")&amp;"-"&amp;TEXT(COUNTIFS($B$3:$B140,"&gt;="&amp;DATE(YEAR($B140),MONTH($B140),1),$B$3:$B140,"&lt;="&amp;EOMONTH($B140,0)),"000"))</f>
        <v/>
      </c>
      <c r="B140" s="13"/>
      <c r="C140" s="10"/>
      <c r="D140" s="10"/>
      <c r="E140" s="12" t="str">
        <f aca="false">IF($D140="","",IFERROR(INDEX(품목목록!$B$3:$B$302,MATCH($D140,품목목록!$A$3:$A$302,0)),"미등록품번"))</f>
        <v/>
      </c>
      <c r="F140" s="12" t="str">
        <f aca="false">IF($D140="","",IFERROR(INDEX(품목목록!$C$3:$C$302,MATCH($D140,품목목록!$A$3:$A$302,0)),""))</f>
        <v/>
      </c>
      <c r="G140" s="12" t="str">
        <f aca="false">IF($D140="","",IFERROR(INDEX(품목목록!$D$3:$D$302,MATCH($D140,품목목록!$A$3:$A$302,0)),""))</f>
        <v/>
      </c>
      <c r="H140" s="12" t="str">
        <f aca="false">IF($D140="","",IFERROR(INDEX(품목목록!$E$3:$E$302,MATCH($D140,품목목록!$A$3:$A$302,0)),""))</f>
        <v/>
      </c>
      <c r="I140" s="14"/>
      <c r="J140" s="10"/>
      <c r="K140" s="10"/>
      <c r="L140" s="10"/>
      <c r="M140" s="15" t="str">
        <f aca="false">IF($A140="","",SUMIFS(처리내역!$E$3:$E$1502,처리내역!$B$3:$B$1502,$A140))</f>
        <v/>
      </c>
      <c r="N140" s="15" t="str">
        <f aca="false">IF($A140="","",IF($I140="","",$I140-$M140))</f>
        <v/>
      </c>
      <c r="O140" s="12" t="str">
        <f aca="false">IF($A140="","",IF($I140="","",IF($M140=0,"미처리",IF($N140&lt;=0,"완료","부분처리"))))</f>
        <v/>
      </c>
    </row>
    <row r="141" customFormat="false" ht="15" hidden="false" customHeight="true" outlineLevel="0" collapsed="false">
      <c r="A141" s="12" t="str">
        <f aca="false">IF($B141="","",TEXT($B141,"yymm")&amp;"-"&amp;TEXT(COUNTIFS($B$3:$B141,"&gt;="&amp;DATE(YEAR($B141),MONTH($B141),1),$B$3:$B141,"&lt;="&amp;EOMONTH($B141,0)),"000"))</f>
        <v/>
      </c>
      <c r="B141" s="13"/>
      <c r="C141" s="10"/>
      <c r="D141" s="10"/>
      <c r="E141" s="12" t="str">
        <f aca="false">IF($D141="","",IFERROR(INDEX(품목목록!$B$3:$B$302,MATCH($D141,품목목록!$A$3:$A$302,0)),"미등록품번"))</f>
        <v/>
      </c>
      <c r="F141" s="12" t="str">
        <f aca="false">IF($D141="","",IFERROR(INDEX(품목목록!$C$3:$C$302,MATCH($D141,품목목록!$A$3:$A$302,0)),""))</f>
        <v/>
      </c>
      <c r="G141" s="12" t="str">
        <f aca="false">IF($D141="","",IFERROR(INDEX(품목목록!$D$3:$D$302,MATCH($D141,품목목록!$A$3:$A$302,0)),""))</f>
        <v/>
      </c>
      <c r="H141" s="12" t="str">
        <f aca="false">IF($D141="","",IFERROR(INDEX(품목목록!$E$3:$E$302,MATCH($D141,품목목록!$A$3:$A$302,0)),""))</f>
        <v/>
      </c>
      <c r="I141" s="14"/>
      <c r="J141" s="10"/>
      <c r="K141" s="10"/>
      <c r="L141" s="10"/>
      <c r="M141" s="15" t="str">
        <f aca="false">IF($A141="","",SUMIFS(처리내역!$E$3:$E$1502,처리내역!$B$3:$B$1502,$A141))</f>
        <v/>
      </c>
      <c r="N141" s="15" t="str">
        <f aca="false">IF($A141="","",IF($I141="","",$I141-$M141))</f>
        <v/>
      </c>
      <c r="O141" s="12" t="str">
        <f aca="false">IF($A141="","",IF($I141="","",IF($M141=0,"미처리",IF($N141&lt;=0,"완료","부분처리"))))</f>
        <v/>
      </c>
    </row>
    <row r="142" customFormat="false" ht="15" hidden="false" customHeight="true" outlineLevel="0" collapsed="false">
      <c r="A142" s="12" t="str">
        <f aca="false">IF($B142="","",TEXT($B142,"yymm")&amp;"-"&amp;TEXT(COUNTIFS($B$3:$B142,"&gt;="&amp;DATE(YEAR($B142),MONTH($B142),1),$B$3:$B142,"&lt;="&amp;EOMONTH($B142,0)),"000"))</f>
        <v/>
      </c>
      <c r="B142" s="13"/>
      <c r="C142" s="10"/>
      <c r="D142" s="10"/>
      <c r="E142" s="12" t="str">
        <f aca="false">IF($D142="","",IFERROR(INDEX(품목목록!$B$3:$B$302,MATCH($D142,품목목록!$A$3:$A$302,0)),"미등록품번"))</f>
        <v/>
      </c>
      <c r="F142" s="12" t="str">
        <f aca="false">IF($D142="","",IFERROR(INDEX(품목목록!$C$3:$C$302,MATCH($D142,품목목록!$A$3:$A$302,0)),""))</f>
        <v/>
      </c>
      <c r="G142" s="12" t="str">
        <f aca="false">IF($D142="","",IFERROR(INDEX(품목목록!$D$3:$D$302,MATCH($D142,품목목록!$A$3:$A$302,0)),""))</f>
        <v/>
      </c>
      <c r="H142" s="12" t="str">
        <f aca="false">IF($D142="","",IFERROR(INDEX(품목목록!$E$3:$E$302,MATCH($D142,품목목록!$A$3:$A$302,0)),""))</f>
        <v/>
      </c>
      <c r="I142" s="14"/>
      <c r="J142" s="10"/>
      <c r="K142" s="10"/>
      <c r="L142" s="10"/>
      <c r="M142" s="15" t="str">
        <f aca="false">IF($A142="","",SUMIFS(처리내역!$E$3:$E$1502,처리내역!$B$3:$B$1502,$A142))</f>
        <v/>
      </c>
      <c r="N142" s="15" t="str">
        <f aca="false">IF($A142="","",IF($I142="","",$I142-$M142))</f>
        <v/>
      </c>
      <c r="O142" s="12" t="str">
        <f aca="false">IF($A142="","",IF($I142="","",IF($M142=0,"미처리",IF($N142&lt;=0,"완료","부분처리"))))</f>
        <v/>
      </c>
    </row>
    <row r="143" customFormat="false" ht="15" hidden="false" customHeight="true" outlineLevel="0" collapsed="false">
      <c r="A143" s="12" t="str">
        <f aca="false">IF($B143="","",TEXT($B143,"yymm")&amp;"-"&amp;TEXT(COUNTIFS($B$3:$B143,"&gt;="&amp;DATE(YEAR($B143),MONTH($B143),1),$B$3:$B143,"&lt;="&amp;EOMONTH($B143,0)),"000"))</f>
        <v/>
      </c>
      <c r="B143" s="13"/>
      <c r="C143" s="10"/>
      <c r="D143" s="10"/>
      <c r="E143" s="12" t="str">
        <f aca="false">IF($D143="","",IFERROR(INDEX(품목목록!$B$3:$B$302,MATCH($D143,품목목록!$A$3:$A$302,0)),"미등록품번"))</f>
        <v/>
      </c>
      <c r="F143" s="12" t="str">
        <f aca="false">IF($D143="","",IFERROR(INDEX(품목목록!$C$3:$C$302,MATCH($D143,품목목록!$A$3:$A$302,0)),""))</f>
        <v/>
      </c>
      <c r="G143" s="12" t="str">
        <f aca="false">IF($D143="","",IFERROR(INDEX(품목목록!$D$3:$D$302,MATCH($D143,품목목록!$A$3:$A$302,0)),""))</f>
        <v/>
      </c>
      <c r="H143" s="12" t="str">
        <f aca="false">IF($D143="","",IFERROR(INDEX(품목목록!$E$3:$E$302,MATCH($D143,품목목록!$A$3:$A$302,0)),""))</f>
        <v/>
      </c>
      <c r="I143" s="14"/>
      <c r="J143" s="10"/>
      <c r="K143" s="10"/>
      <c r="L143" s="10"/>
      <c r="M143" s="15" t="str">
        <f aca="false">IF($A143="","",SUMIFS(처리내역!$E$3:$E$1502,처리내역!$B$3:$B$1502,$A143))</f>
        <v/>
      </c>
      <c r="N143" s="15" t="str">
        <f aca="false">IF($A143="","",IF($I143="","",$I143-$M143))</f>
        <v/>
      </c>
      <c r="O143" s="12" t="str">
        <f aca="false">IF($A143="","",IF($I143="","",IF($M143=0,"미처리",IF($N143&lt;=0,"완료","부분처리"))))</f>
        <v/>
      </c>
    </row>
    <row r="144" customFormat="false" ht="15" hidden="false" customHeight="true" outlineLevel="0" collapsed="false">
      <c r="A144" s="12" t="str">
        <f aca="false">IF($B144="","",TEXT($B144,"yymm")&amp;"-"&amp;TEXT(COUNTIFS($B$3:$B144,"&gt;="&amp;DATE(YEAR($B144),MONTH($B144),1),$B$3:$B144,"&lt;="&amp;EOMONTH($B144,0)),"000"))</f>
        <v/>
      </c>
      <c r="B144" s="13"/>
      <c r="C144" s="10"/>
      <c r="D144" s="10"/>
      <c r="E144" s="12" t="str">
        <f aca="false">IF($D144="","",IFERROR(INDEX(품목목록!$B$3:$B$302,MATCH($D144,품목목록!$A$3:$A$302,0)),"미등록품번"))</f>
        <v/>
      </c>
      <c r="F144" s="12" t="str">
        <f aca="false">IF($D144="","",IFERROR(INDEX(품목목록!$C$3:$C$302,MATCH($D144,품목목록!$A$3:$A$302,0)),""))</f>
        <v/>
      </c>
      <c r="G144" s="12" t="str">
        <f aca="false">IF($D144="","",IFERROR(INDEX(품목목록!$D$3:$D$302,MATCH($D144,품목목록!$A$3:$A$302,0)),""))</f>
        <v/>
      </c>
      <c r="H144" s="12" t="str">
        <f aca="false">IF($D144="","",IFERROR(INDEX(품목목록!$E$3:$E$302,MATCH($D144,품목목록!$A$3:$A$302,0)),""))</f>
        <v/>
      </c>
      <c r="I144" s="14"/>
      <c r="J144" s="10"/>
      <c r="K144" s="10"/>
      <c r="L144" s="10"/>
      <c r="M144" s="15" t="str">
        <f aca="false">IF($A144="","",SUMIFS(처리내역!$E$3:$E$1502,처리내역!$B$3:$B$1502,$A144))</f>
        <v/>
      </c>
      <c r="N144" s="15" t="str">
        <f aca="false">IF($A144="","",IF($I144="","",$I144-$M144))</f>
        <v/>
      </c>
      <c r="O144" s="12" t="str">
        <f aca="false">IF($A144="","",IF($I144="","",IF($M144=0,"미처리",IF($N144&lt;=0,"완료","부분처리"))))</f>
        <v/>
      </c>
    </row>
    <row r="145" customFormat="false" ht="15" hidden="false" customHeight="true" outlineLevel="0" collapsed="false">
      <c r="A145" s="12" t="str">
        <f aca="false">IF($B145="","",TEXT($B145,"yymm")&amp;"-"&amp;TEXT(COUNTIFS($B$3:$B145,"&gt;="&amp;DATE(YEAR($B145),MONTH($B145),1),$B$3:$B145,"&lt;="&amp;EOMONTH($B145,0)),"000"))</f>
        <v/>
      </c>
      <c r="B145" s="13"/>
      <c r="C145" s="10"/>
      <c r="D145" s="10"/>
      <c r="E145" s="12" t="str">
        <f aca="false">IF($D145="","",IFERROR(INDEX(품목목록!$B$3:$B$302,MATCH($D145,품목목록!$A$3:$A$302,0)),"미등록품번"))</f>
        <v/>
      </c>
      <c r="F145" s="12" t="str">
        <f aca="false">IF($D145="","",IFERROR(INDEX(품목목록!$C$3:$C$302,MATCH($D145,품목목록!$A$3:$A$302,0)),""))</f>
        <v/>
      </c>
      <c r="G145" s="12" t="str">
        <f aca="false">IF($D145="","",IFERROR(INDEX(품목목록!$D$3:$D$302,MATCH($D145,품목목록!$A$3:$A$302,0)),""))</f>
        <v/>
      </c>
      <c r="H145" s="12" t="str">
        <f aca="false">IF($D145="","",IFERROR(INDEX(품목목록!$E$3:$E$302,MATCH($D145,품목목록!$A$3:$A$302,0)),""))</f>
        <v/>
      </c>
      <c r="I145" s="14"/>
      <c r="J145" s="10"/>
      <c r="K145" s="10"/>
      <c r="L145" s="10"/>
      <c r="M145" s="15" t="str">
        <f aca="false">IF($A145="","",SUMIFS(처리내역!$E$3:$E$1502,처리내역!$B$3:$B$1502,$A145))</f>
        <v/>
      </c>
      <c r="N145" s="15" t="str">
        <f aca="false">IF($A145="","",IF($I145="","",$I145-$M145))</f>
        <v/>
      </c>
      <c r="O145" s="12" t="str">
        <f aca="false">IF($A145="","",IF($I145="","",IF($M145=0,"미처리",IF($N145&lt;=0,"완료","부분처리"))))</f>
        <v/>
      </c>
    </row>
    <row r="146" customFormat="false" ht="15" hidden="false" customHeight="true" outlineLevel="0" collapsed="false">
      <c r="A146" s="12" t="str">
        <f aca="false">IF($B146="","",TEXT($B146,"yymm")&amp;"-"&amp;TEXT(COUNTIFS($B$3:$B146,"&gt;="&amp;DATE(YEAR($B146),MONTH($B146),1),$B$3:$B146,"&lt;="&amp;EOMONTH($B146,0)),"000"))</f>
        <v/>
      </c>
      <c r="B146" s="13"/>
      <c r="C146" s="10"/>
      <c r="D146" s="10"/>
      <c r="E146" s="12" t="str">
        <f aca="false">IF($D146="","",IFERROR(INDEX(품목목록!$B$3:$B$302,MATCH($D146,품목목록!$A$3:$A$302,0)),"미등록품번"))</f>
        <v/>
      </c>
      <c r="F146" s="12" t="str">
        <f aca="false">IF($D146="","",IFERROR(INDEX(품목목록!$C$3:$C$302,MATCH($D146,품목목록!$A$3:$A$302,0)),""))</f>
        <v/>
      </c>
      <c r="G146" s="12" t="str">
        <f aca="false">IF($D146="","",IFERROR(INDEX(품목목록!$D$3:$D$302,MATCH($D146,품목목록!$A$3:$A$302,0)),""))</f>
        <v/>
      </c>
      <c r="H146" s="12" t="str">
        <f aca="false">IF($D146="","",IFERROR(INDEX(품목목록!$E$3:$E$302,MATCH($D146,품목목록!$A$3:$A$302,0)),""))</f>
        <v/>
      </c>
      <c r="I146" s="14"/>
      <c r="J146" s="10"/>
      <c r="K146" s="10"/>
      <c r="L146" s="10"/>
      <c r="M146" s="15" t="str">
        <f aca="false">IF($A146="","",SUMIFS(처리내역!$E$3:$E$1502,처리내역!$B$3:$B$1502,$A146))</f>
        <v/>
      </c>
      <c r="N146" s="15" t="str">
        <f aca="false">IF($A146="","",IF($I146="","",$I146-$M146))</f>
        <v/>
      </c>
      <c r="O146" s="12" t="str">
        <f aca="false">IF($A146="","",IF($I146="","",IF($M146=0,"미처리",IF($N146&lt;=0,"완료","부분처리"))))</f>
        <v/>
      </c>
    </row>
    <row r="147" customFormat="false" ht="15" hidden="false" customHeight="true" outlineLevel="0" collapsed="false">
      <c r="A147" s="12" t="str">
        <f aca="false">IF($B147="","",TEXT($B147,"yymm")&amp;"-"&amp;TEXT(COUNTIFS($B$3:$B147,"&gt;="&amp;DATE(YEAR($B147),MONTH($B147),1),$B$3:$B147,"&lt;="&amp;EOMONTH($B147,0)),"000"))</f>
        <v/>
      </c>
      <c r="B147" s="13"/>
      <c r="C147" s="10"/>
      <c r="D147" s="10"/>
      <c r="E147" s="12" t="str">
        <f aca="false">IF($D147="","",IFERROR(INDEX(품목목록!$B$3:$B$302,MATCH($D147,품목목록!$A$3:$A$302,0)),"미등록품번"))</f>
        <v/>
      </c>
      <c r="F147" s="12" t="str">
        <f aca="false">IF($D147="","",IFERROR(INDEX(품목목록!$C$3:$C$302,MATCH($D147,품목목록!$A$3:$A$302,0)),""))</f>
        <v/>
      </c>
      <c r="G147" s="12" t="str">
        <f aca="false">IF($D147="","",IFERROR(INDEX(품목목록!$D$3:$D$302,MATCH($D147,품목목록!$A$3:$A$302,0)),""))</f>
        <v/>
      </c>
      <c r="H147" s="12" t="str">
        <f aca="false">IF($D147="","",IFERROR(INDEX(품목목록!$E$3:$E$302,MATCH($D147,품목목록!$A$3:$A$302,0)),""))</f>
        <v/>
      </c>
      <c r="I147" s="14"/>
      <c r="J147" s="10"/>
      <c r="K147" s="10"/>
      <c r="L147" s="10"/>
      <c r="M147" s="15" t="str">
        <f aca="false">IF($A147="","",SUMIFS(처리내역!$E$3:$E$1502,처리내역!$B$3:$B$1502,$A147))</f>
        <v/>
      </c>
      <c r="N147" s="15" t="str">
        <f aca="false">IF($A147="","",IF($I147="","",$I147-$M147))</f>
        <v/>
      </c>
      <c r="O147" s="12" t="str">
        <f aca="false">IF($A147="","",IF($I147="","",IF($M147=0,"미처리",IF($N147&lt;=0,"완료","부분처리"))))</f>
        <v/>
      </c>
    </row>
    <row r="148" customFormat="false" ht="15" hidden="false" customHeight="true" outlineLevel="0" collapsed="false">
      <c r="A148" s="12" t="str">
        <f aca="false">IF($B148="","",TEXT($B148,"yymm")&amp;"-"&amp;TEXT(COUNTIFS($B$3:$B148,"&gt;="&amp;DATE(YEAR($B148),MONTH($B148),1),$B$3:$B148,"&lt;="&amp;EOMONTH($B148,0)),"000"))</f>
        <v/>
      </c>
      <c r="B148" s="13"/>
      <c r="C148" s="10"/>
      <c r="D148" s="10"/>
      <c r="E148" s="12" t="str">
        <f aca="false">IF($D148="","",IFERROR(INDEX(품목목록!$B$3:$B$302,MATCH($D148,품목목록!$A$3:$A$302,0)),"미등록품번"))</f>
        <v/>
      </c>
      <c r="F148" s="12" t="str">
        <f aca="false">IF($D148="","",IFERROR(INDEX(품목목록!$C$3:$C$302,MATCH($D148,품목목록!$A$3:$A$302,0)),""))</f>
        <v/>
      </c>
      <c r="G148" s="12" t="str">
        <f aca="false">IF($D148="","",IFERROR(INDEX(품목목록!$D$3:$D$302,MATCH($D148,품목목록!$A$3:$A$302,0)),""))</f>
        <v/>
      </c>
      <c r="H148" s="12" t="str">
        <f aca="false">IF($D148="","",IFERROR(INDEX(품목목록!$E$3:$E$302,MATCH($D148,품목목록!$A$3:$A$302,0)),""))</f>
        <v/>
      </c>
      <c r="I148" s="14"/>
      <c r="J148" s="10"/>
      <c r="K148" s="10"/>
      <c r="L148" s="10"/>
      <c r="M148" s="15" t="str">
        <f aca="false">IF($A148="","",SUMIFS(처리내역!$E$3:$E$1502,처리내역!$B$3:$B$1502,$A148))</f>
        <v/>
      </c>
      <c r="N148" s="15" t="str">
        <f aca="false">IF($A148="","",IF($I148="","",$I148-$M148))</f>
        <v/>
      </c>
      <c r="O148" s="12" t="str">
        <f aca="false">IF($A148="","",IF($I148="","",IF($M148=0,"미처리",IF($N148&lt;=0,"완료","부분처리"))))</f>
        <v/>
      </c>
    </row>
    <row r="149" customFormat="false" ht="15" hidden="false" customHeight="true" outlineLevel="0" collapsed="false">
      <c r="A149" s="12" t="str">
        <f aca="false">IF($B149="","",TEXT($B149,"yymm")&amp;"-"&amp;TEXT(COUNTIFS($B$3:$B149,"&gt;="&amp;DATE(YEAR($B149),MONTH($B149),1),$B$3:$B149,"&lt;="&amp;EOMONTH($B149,0)),"000"))</f>
        <v/>
      </c>
      <c r="B149" s="13"/>
      <c r="C149" s="10"/>
      <c r="D149" s="10"/>
      <c r="E149" s="12" t="str">
        <f aca="false">IF($D149="","",IFERROR(INDEX(품목목록!$B$3:$B$302,MATCH($D149,품목목록!$A$3:$A$302,0)),"미등록품번"))</f>
        <v/>
      </c>
      <c r="F149" s="12" t="str">
        <f aca="false">IF($D149="","",IFERROR(INDEX(품목목록!$C$3:$C$302,MATCH($D149,품목목록!$A$3:$A$302,0)),""))</f>
        <v/>
      </c>
      <c r="G149" s="12" t="str">
        <f aca="false">IF($D149="","",IFERROR(INDEX(품목목록!$D$3:$D$302,MATCH($D149,품목목록!$A$3:$A$302,0)),""))</f>
        <v/>
      </c>
      <c r="H149" s="12" t="str">
        <f aca="false">IF($D149="","",IFERROR(INDEX(품목목록!$E$3:$E$302,MATCH($D149,품목목록!$A$3:$A$302,0)),""))</f>
        <v/>
      </c>
      <c r="I149" s="14"/>
      <c r="J149" s="10"/>
      <c r="K149" s="10"/>
      <c r="L149" s="10"/>
      <c r="M149" s="15" t="str">
        <f aca="false">IF($A149="","",SUMIFS(처리내역!$E$3:$E$1502,처리내역!$B$3:$B$1502,$A149))</f>
        <v/>
      </c>
      <c r="N149" s="15" t="str">
        <f aca="false">IF($A149="","",IF($I149="","",$I149-$M149))</f>
        <v/>
      </c>
      <c r="O149" s="12" t="str">
        <f aca="false">IF($A149="","",IF($I149="","",IF($M149=0,"미처리",IF($N149&lt;=0,"완료","부분처리"))))</f>
        <v/>
      </c>
    </row>
    <row r="150" customFormat="false" ht="15" hidden="false" customHeight="true" outlineLevel="0" collapsed="false">
      <c r="A150" s="12" t="str">
        <f aca="false">IF($B150="","",TEXT($B150,"yymm")&amp;"-"&amp;TEXT(COUNTIFS($B$3:$B150,"&gt;="&amp;DATE(YEAR($B150),MONTH($B150),1),$B$3:$B150,"&lt;="&amp;EOMONTH($B150,0)),"000"))</f>
        <v/>
      </c>
      <c r="B150" s="13"/>
      <c r="C150" s="10"/>
      <c r="D150" s="10"/>
      <c r="E150" s="12" t="str">
        <f aca="false">IF($D150="","",IFERROR(INDEX(품목목록!$B$3:$B$302,MATCH($D150,품목목록!$A$3:$A$302,0)),"미등록품번"))</f>
        <v/>
      </c>
      <c r="F150" s="12" t="str">
        <f aca="false">IF($D150="","",IFERROR(INDEX(품목목록!$C$3:$C$302,MATCH($D150,품목목록!$A$3:$A$302,0)),""))</f>
        <v/>
      </c>
      <c r="G150" s="12" t="str">
        <f aca="false">IF($D150="","",IFERROR(INDEX(품목목록!$D$3:$D$302,MATCH($D150,품목목록!$A$3:$A$302,0)),""))</f>
        <v/>
      </c>
      <c r="H150" s="12" t="str">
        <f aca="false">IF($D150="","",IFERROR(INDEX(품목목록!$E$3:$E$302,MATCH($D150,품목목록!$A$3:$A$302,0)),""))</f>
        <v/>
      </c>
      <c r="I150" s="14"/>
      <c r="J150" s="10"/>
      <c r="K150" s="10"/>
      <c r="L150" s="10"/>
      <c r="M150" s="15" t="str">
        <f aca="false">IF($A150="","",SUMIFS(처리내역!$E$3:$E$1502,처리내역!$B$3:$B$1502,$A150))</f>
        <v/>
      </c>
      <c r="N150" s="15" t="str">
        <f aca="false">IF($A150="","",IF($I150="","",$I150-$M150))</f>
        <v/>
      </c>
      <c r="O150" s="12" t="str">
        <f aca="false">IF($A150="","",IF($I150="","",IF($M150=0,"미처리",IF($N150&lt;=0,"완료","부분처리"))))</f>
        <v/>
      </c>
    </row>
    <row r="151" customFormat="false" ht="15" hidden="false" customHeight="true" outlineLevel="0" collapsed="false">
      <c r="A151" s="12" t="str">
        <f aca="false">IF($B151="","",TEXT($B151,"yymm")&amp;"-"&amp;TEXT(COUNTIFS($B$3:$B151,"&gt;="&amp;DATE(YEAR($B151),MONTH($B151),1),$B$3:$B151,"&lt;="&amp;EOMONTH($B151,0)),"000"))</f>
        <v/>
      </c>
      <c r="B151" s="13"/>
      <c r="C151" s="10"/>
      <c r="D151" s="10"/>
      <c r="E151" s="12" t="str">
        <f aca="false">IF($D151="","",IFERROR(INDEX(품목목록!$B$3:$B$302,MATCH($D151,품목목록!$A$3:$A$302,0)),"미등록품번"))</f>
        <v/>
      </c>
      <c r="F151" s="12" t="str">
        <f aca="false">IF($D151="","",IFERROR(INDEX(품목목록!$C$3:$C$302,MATCH($D151,품목목록!$A$3:$A$302,0)),""))</f>
        <v/>
      </c>
      <c r="G151" s="12" t="str">
        <f aca="false">IF($D151="","",IFERROR(INDEX(품목목록!$D$3:$D$302,MATCH($D151,품목목록!$A$3:$A$302,0)),""))</f>
        <v/>
      </c>
      <c r="H151" s="12" t="str">
        <f aca="false">IF($D151="","",IFERROR(INDEX(품목목록!$E$3:$E$302,MATCH($D151,품목목록!$A$3:$A$302,0)),""))</f>
        <v/>
      </c>
      <c r="I151" s="14"/>
      <c r="J151" s="10"/>
      <c r="K151" s="10"/>
      <c r="L151" s="10"/>
      <c r="M151" s="15" t="str">
        <f aca="false">IF($A151="","",SUMIFS(처리내역!$E$3:$E$1502,처리내역!$B$3:$B$1502,$A151))</f>
        <v/>
      </c>
      <c r="N151" s="15" t="str">
        <f aca="false">IF($A151="","",IF($I151="","",$I151-$M151))</f>
        <v/>
      </c>
      <c r="O151" s="12" t="str">
        <f aca="false">IF($A151="","",IF($I151="","",IF($M151=0,"미처리",IF($N151&lt;=0,"완료","부분처리"))))</f>
        <v/>
      </c>
    </row>
    <row r="152" customFormat="false" ht="15" hidden="false" customHeight="true" outlineLevel="0" collapsed="false">
      <c r="A152" s="12" t="str">
        <f aca="false">IF($B152="","",TEXT($B152,"yymm")&amp;"-"&amp;TEXT(COUNTIFS($B$3:$B152,"&gt;="&amp;DATE(YEAR($B152),MONTH($B152),1),$B$3:$B152,"&lt;="&amp;EOMONTH($B152,0)),"000"))</f>
        <v/>
      </c>
      <c r="B152" s="13"/>
      <c r="C152" s="10"/>
      <c r="D152" s="10"/>
      <c r="E152" s="12" t="str">
        <f aca="false">IF($D152="","",IFERROR(INDEX(품목목록!$B$3:$B$302,MATCH($D152,품목목록!$A$3:$A$302,0)),"미등록품번"))</f>
        <v/>
      </c>
      <c r="F152" s="12" t="str">
        <f aca="false">IF($D152="","",IFERROR(INDEX(품목목록!$C$3:$C$302,MATCH($D152,품목목록!$A$3:$A$302,0)),""))</f>
        <v/>
      </c>
      <c r="G152" s="12" t="str">
        <f aca="false">IF($D152="","",IFERROR(INDEX(품목목록!$D$3:$D$302,MATCH($D152,품목목록!$A$3:$A$302,0)),""))</f>
        <v/>
      </c>
      <c r="H152" s="12" t="str">
        <f aca="false">IF($D152="","",IFERROR(INDEX(품목목록!$E$3:$E$302,MATCH($D152,품목목록!$A$3:$A$302,0)),""))</f>
        <v/>
      </c>
      <c r="I152" s="14"/>
      <c r="J152" s="10"/>
      <c r="K152" s="10"/>
      <c r="L152" s="10"/>
      <c r="M152" s="15" t="str">
        <f aca="false">IF($A152="","",SUMIFS(처리내역!$E$3:$E$1502,처리내역!$B$3:$B$1502,$A152))</f>
        <v/>
      </c>
      <c r="N152" s="15" t="str">
        <f aca="false">IF($A152="","",IF($I152="","",$I152-$M152))</f>
        <v/>
      </c>
      <c r="O152" s="12" t="str">
        <f aca="false">IF($A152="","",IF($I152="","",IF($M152=0,"미처리",IF($N152&lt;=0,"완료","부분처리"))))</f>
        <v/>
      </c>
    </row>
    <row r="153" customFormat="false" ht="15" hidden="false" customHeight="true" outlineLevel="0" collapsed="false">
      <c r="A153" s="12" t="str">
        <f aca="false">IF($B153="","",TEXT($B153,"yymm")&amp;"-"&amp;TEXT(COUNTIFS($B$3:$B153,"&gt;="&amp;DATE(YEAR($B153),MONTH($B153),1),$B$3:$B153,"&lt;="&amp;EOMONTH($B153,0)),"000"))</f>
        <v/>
      </c>
      <c r="B153" s="13"/>
      <c r="C153" s="10"/>
      <c r="D153" s="10"/>
      <c r="E153" s="12" t="str">
        <f aca="false">IF($D153="","",IFERROR(INDEX(품목목록!$B$3:$B$302,MATCH($D153,품목목록!$A$3:$A$302,0)),"미등록품번"))</f>
        <v/>
      </c>
      <c r="F153" s="12" t="str">
        <f aca="false">IF($D153="","",IFERROR(INDEX(품목목록!$C$3:$C$302,MATCH($D153,품목목록!$A$3:$A$302,0)),""))</f>
        <v/>
      </c>
      <c r="G153" s="12" t="str">
        <f aca="false">IF($D153="","",IFERROR(INDEX(품목목록!$D$3:$D$302,MATCH($D153,품목목록!$A$3:$A$302,0)),""))</f>
        <v/>
      </c>
      <c r="H153" s="12" t="str">
        <f aca="false">IF($D153="","",IFERROR(INDEX(품목목록!$E$3:$E$302,MATCH($D153,품목목록!$A$3:$A$302,0)),""))</f>
        <v/>
      </c>
      <c r="I153" s="14"/>
      <c r="J153" s="10"/>
      <c r="K153" s="10"/>
      <c r="L153" s="10"/>
      <c r="M153" s="15" t="str">
        <f aca="false">IF($A153="","",SUMIFS(처리내역!$E$3:$E$1502,처리내역!$B$3:$B$1502,$A153))</f>
        <v/>
      </c>
      <c r="N153" s="15" t="str">
        <f aca="false">IF($A153="","",IF($I153="","",$I153-$M153))</f>
        <v/>
      </c>
      <c r="O153" s="12" t="str">
        <f aca="false">IF($A153="","",IF($I153="","",IF($M153=0,"미처리",IF($N153&lt;=0,"완료","부분처리"))))</f>
        <v/>
      </c>
    </row>
    <row r="154" customFormat="false" ht="15" hidden="false" customHeight="true" outlineLevel="0" collapsed="false">
      <c r="A154" s="12" t="str">
        <f aca="false">IF($B154="","",TEXT($B154,"yymm")&amp;"-"&amp;TEXT(COUNTIFS($B$3:$B154,"&gt;="&amp;DATE(YEAR($B154),MONTH($B154),1),$B$3:$B154,"&lt;="&amp;EOMONTH($B154,0)),"000"))</f>
        <v/>
      </c>
      <c r="B154" s="13"/>
      <c r="C154" s="10"/>
      <c r="D154" s="10"/>
      <c r="E154" s="12" t="str">
        <f aca="false">IF($D154="","",IFERROR(INDEX(품목목록!$B$3:$B$302,MATCH($D154,품목목록!$A$3:$A$302,0)),"미등록품번"))</f>
        <v/>
      </c>
      <c r="F154" s="12" t="str">
        <f aca="false">IF($D154="","",IFERROR(INDEX(품목목록!$C$3:$C$302,MATCH($D154,품목목록!$A$3:$A$302,0)),""))</f>
        <v/>
      </c>
      <c r="G154" s="12" t="str">
        <f aca="false">IF($D154="","",IFERROR(INDEX(품목목록!$D$3:$D$302,MATCH($D154,품목목록!$A$3:$A$302,0)),""))</f>
        <v/>
      </c>
      <c r="H154" s="12" t="str">
        <f aca="false">IF($D154="","",IFERROR(INDEX(품목목록!$E$3:$E$302,MATCH($D154,품목목록!$A$3:$A$302,0)),""))</f>
        <v/>
      </c>
      <c r="I154" s="14"/>
      <c r="J154" s="10"/>
      <c r="K154" s="10"/>
      <c r="L154" s="10"/>
      <c r="M154" s="15" t="str">
        <f aca="false">IF($A154="","",SUMIFS(처리내역!$E$3:$E$1502,처리내역!$B$3:$B$1502,$A154))</f>
        <v/>
      </c>
      <c r="N154" s="15" t="str">
        <f aca="false">IF($A154="","",IF($I154="","",$I154-$M154))</f>
        <v/>
      </c>
      <c r="O154" s="12" t="str">
        <f aca="false">IF($A154="","",IF($I154="","",IF($M154=0,"미처리",IF($N154&lt;=0,"완료","부분처리"))))</f>
        <v/>
      </c>
    </row>
    <row r="155" customFormat="false" ht="15" hidden="false" customHeight="true" outlineLevel="0" collapsed="false">
      <c r="A155" s="12" t="str">
        <f aca="false">IF($B155="","",TEXT($B155,"yymm")&amp;"-"&amp;TEXT(COUNTIFS($B$3:$B155,"&gt;="&amp;DATE(YEAR($B155),MONTH($B155),1),$B$3:$B155,"&lt;="&amp;EOMONTH($B155,0)),"000"))</f>
        <v/>
      </c>
      <c r="B155" s="13"/>
      <c r="C155" s="10"/>
      <c r="D155" s="10"/>
      <c r="E155" s="12" t="str">
        <f aca="false">IF($D155="","",IFERROR(INDEX(품목목록!$B$3:$B$302,MATCH($D155,품목목록!$A$3:$A$302,0)),"미등록품번"))</f>
        <v/>
      </c>
      <c r="F155" s="12" t="str">
        <f aca="false">IF($D155="","",IFERROR(INDEX(품목목록!$C$3:$C$302,MATCH($D155,품목목록!$A$3:$A$302,0)),""))</f>
        <v/>
      </c>
      <c r="G155" s="12" t="str">
        <f aca="false">IF($D155="","",IFERROR(INDEX(품목목록!$D$3:$D$302,MATCH($D155,품목목록!$A$3:$A$302,0)),""))</f>
        <v/>
      </c>
      <c r="H155" s="12" t="str">
        <f aca="false">IF($D155="","",IFERROR(INDEX(품목목록!$E$3:$E$302,MATCH($D155,품목목록!$A$3:$A$302,0)),""))</f>
        <v/>
      </c>
      <c r="I155" s="14"/>
      <c r="J155" s="10"/>
      <c r="K155" s="10"/>
      <c r="L155" s="10"/>
      <c r="M155" s="15" t="str">
        <f aca="false">IF($A155="","",SUMIFS(처리내역!$E$3:$E$1502,처리내역!$B$3:$B$1502,$A155))</f>
        <v/>
      </c>
      <c r="N155" s="15" t="str">
        <f aca="false">IF($A155="","",IF($I155="","",$I155-$M155))</f>
        <v/>
      </c>
      <c r="O155" s="12" t="str">
        <f aca="false">IF($A155="","",IF($I155="","",IF($M155=0,"미처리",IF($N155&lt;=0,"완료","부분처리"))))</f>
        <v/>
      </c>
    </row>
    <row r="156" customFormat="false" ht="15" hidden="false" customHeight="true" outlineLevel="0" collapsed="false">
      <c r="A156" s="12" t="str">
        <f aca="false">IF($B156="","",TEXT($B156,"yymm")&amp;"-"&amp;TEXT(COUNTIFS($B$3:$B156,"&gt;="&amp;DATE(YEAR($B156),MONTH($B156),1),$B$3:$B156,"&lt;="&amp;EOMONTH($B156,0)),"000"))</f>
        <v/>
      </c>
      <c r="B156" s="13"/>
      <c r="C156" s="10"/>
      <c r="D156" s="10"/>
      <c r="E156" s="12" t="str">
        <f aca="false">IF($D156="","",IFERROR(INDEX(품목목록!$B$3:$B$302,MATCH($D156,품목목록!$A$3:$A$302,0)),"미등록품번"))</f>
        <v/>
      </c>
      <c r="F156" s="12" t="str">
        <f aca="false">IF($D156="","",IFERROR(INDEX(품목목록!$C$3:$C$302,MATCH($D156,품목목록!$A$3:$A$302,0)),""))</f>
        <v/>
      </c>
      <c r="G156" s="12" t="str">
        <f aca="false">IF($D156="","",IFERROR(INDEX(품목목록!$D$3:$D$302,MATCH($D156,품목목록!$A$3:$A$302,0)),""))</f>
        <v/>
      </c>
      <c r="H156" s="12" t="str">
        <f aca="false">IF($D156="","",IFERROR(INDEX(품목목록!$E$3:$E$302,MATCH($D156,품목목록!$A$3:$A$302,0)),""))</f>
        <v/>
      </c>
      <c r="I156" s="14"/>
      <c r="J156" s="10"/>
      <c r="K156" s="10"/>
      <c r="L156" s="10"/>
      <c r="M156" s="15" t="str">
        <f aca="false">IF($A156="","",SUMIFS(처리내역!$E$3:$E$1502,처리내역!$B$3:$B$1502,$A156))</f>
        <v/>
      </c>
      <c r="N156" s="15" t="str">
        <f aca="false">IF($A156="","",IF($I156="","",$I156-$M156))</f>
        <v/>
      </c>
      <c r="O156" s="12" t="str">
        <f aca="false">IF($A156="","",IF($I156="","",IF($M156=0,"미처리",IF($N156&lt;=0,"완료","부분처리"))))</f>
        <v/>
      </c>
    </row>
    <row r="157" customFormat="false" ht="15" hidden="false" customHeight="true" outlineLevel="0" collapsed="false">
      <c r="A157" s="12" t="str">
        <f aca="false">IF($B157="","",TEXT($B157,"yymm")&amp;"-"&amp;TEXT(COUNTIFS($B$3:$B157,"&gt;="&amp;DATE(YEAR($B157),MONTH($B157),1),$B$3:$B157,"&lt;="&amp;EOMONTH($B157,0)),"000"))</f>
        <v/>
      </c>
      <c r="B157" s="13"/>
      <c r="C157" s="10"/>
      <c r="D157" s="10"/>
      <c r="E157" s="12" t="str">
        <f aca="false">IF($D157="","",IFERROR(INDEX(품목목록!$B$3:$B$302,MATCH($D157,품목목록!$A$3:$A$302,0)),"미등록품번"))</f>
        <v/>
      </c>
      <c r="F157" s="12" t="str">
        <f aca="false">IF($D157="","",IFERROR(INDEX(품목목록!$C$3:$C$302,MATCH($D157,품목목록!$A$3:$A$302,0)),""))</f>
        <v/>
      </c>
      <c r="G157" s="12" t="str">
        <f aca="false">IF($D157="","",IFERROR(INDEX(품목목록!$D$3:$D$302,MATCH($D157,품목목록!$A$3:$A$302,0)),""))</f>
        <v/>
      </c>
      <c r="H157" s="12" t="str">
        <f aca="false">IF($D157="","",IFERROR(INDEX(품목목록!$E$3:$E$302,MATCH($D157,품목목록!$A$3:$A$302,0)),""))</f>
        <v/>
      </c>
      <c r="I157" s="14"/>
      <c r="J157" s="10"/>
      <c r="K157" s="10"/>
      <c r="L157" s="10"/>
      <c r="M157" s="15" t="str">
        <f aca="false">IF($A157="","",SUMIFS(처리내역!$E$3:$E$1502,처리내역!$B$3:$B$1502,$A157))</f>
        <v/>
      </c>
      <c r="N157" s="15" t="str">
        <f aca="false">IF($A157="","",IF($I157="","",$I157-$M157))</f>
        <v/>
      </c>
      <c r="O157" s="12" t="str">
        <f aca="false">IF($A157="","",IF($I157="","",IF($M157=0,"미처리",IF($N157&lt;=0,"완료","부분처리"))))</f>
        <v/>
      </c>
    </row>
    <row r="158" customFormat="false" ht="15" hidden="false" customHeight="true" outlineLevel="0" collapsed="false">
      <c r="A158" s="12" t="str">
        <f aca="false">IF($B158="","",TEXT($B158,"yymm")&amp;"-"&amp;TEXT(COUNTIFS($B$3:$B158,"&gt;="&amp;DATE(YEAR($B158),MONTH($B158),1),$B$3:$B158,"&lt;="&amp;EOMONTH($B158,0)),"000"))</f>
        <v/>
      </c>
      <c r="B158" s="13"/>
      <c r="C158" s="10"/>
      <c r="D158" s="10"/>
      <c r="E158" s="12" t="str">
        <f aca="false">IF($D158="","",IFERROR(INDEX(품목목록!$B$3:$B$302,MATCH($D158,품목목록!$A$3:$A$302,0)),"미등록품번"))</f>
        <v/>
      </c>
      <c r="F158" s="12" t="str">
        <f aca="false">IF($D158="","",IFERROR(INDEX(품목목록!$C$3:$C$302,MATCH($D158,품목목록!$A$3:$A$302,0)),""))</f>
        <v/>
      </c>
      <c r="G158" s="12" t="str">
        <f aca="false">IF($D158="","",IFERROR(INDEX(품목목록!$D$3:$D$302,MATCH($D158,품목목록!$A$3:$A$302,0)),""))</f>
        <v/>
      </c>
      <c r="H158" s="12" t="str">
        <f aca="false">IF($D158="","",IFERROR(INDEX(품목목록!$E$3:$E$302,MATCH($D158,품목목록!$A$3:$A$302,0)),""))</f>
        <v/>
      </c>
      <c r="I158" s="14"/>
      <c r="J158" s="10"/>
      <c r="K158" s="10"/>
      <c r="L158" s="10"/>
      <c r="M158" s="15" t="str">
        <f aca="false">IF($A158="","",SUMIFS(처리내역!$E$3:$E$1502,처리내역!$B$3:$B$1502,$A158))</f>
        <v/>
      </c>
      <c r="N158" s="15" t="str">
        <f aca="false">IF($A158="","",IF($I158="","",$I158-$M158))</f>
        <v/>
      </c>
      <c r="O158" s="12" t="str">
        <f aca="false">IF($A158="","",IF($I158="","",IF($M158=0,"미처리",IF($N158&lt;=0,"완료","부분처리"))))</f>
        <v/>
      </c>
    </row>
    <row r="159" customFormat="false" ht="15" hidden="false" customHeight="true" outlineLevel="0" collapsed="false">
      <c r="A159" s="12" t="str">
        <f aca="false">IF($B159="","",TEXT($B159,"yymm")&amp;"-"&amp;TEXT(COUNTIFS($B$3:$B159,"&gt;="&amp;DATE(YEAR($B159),MONTH($B159),1),$B$3:$B159,"&lt;="&amp;EOMONTH($B159,0)),"000"))</f>
        <v/>
      </c>
      <c r="B159" s="13"/>
      <c r="C159" s="10"/>
      <c r="D159" s="10"/>
      <c r="E159" s="12" t="str">
        <f aca="false">IF($D159="","",IFERROR(INDEX(품목목록!$B$3:$B$302,MATCH($D159,품목목록!$A$3:$A$302,0)),"미등록품번"))</f>
        <v/>
      </c>
      <c r="F159" s="12" t="str">
        <f aca="false">IF($D159="","",IFERROR(INDEX(품목목록!$C$3:$C$302,MATCH($D159,품목목록!$A$3:$A$302,0)),""))</f>
        <v/>
      </c>
      <c r="G159" s="12" t="str">
        <f aca="false">IF($D159="","",IFERROR(INDEX(품목목록!$D$3:$D$302,MATCH($D159,품목목록!$A$3:$A$302,0)),""))</f>
        <v/>
      </c>
      <c r="H159" s="12" t="str">
        <f aca="false">IF($D159="","",IFERROR(INDEX(품목목록!$E$3:$E$302,MATCH($D159,품목목록!$A$3:$A$302,0)),""))</f>
        <v/>
      </c>
      <c r="I159" s="14"/>
      <c r="J159" s="10"/>
      <c r="K159" s="10"/>
      <c r="L159" s="10"/>
      <c r="M159" s="15" t="str">
        <f aca="false">IF($A159="","",SUMIFS(처리내역!$E$3:$E$1502,처리내역!$B$3:$B$1502,$A159))</f>
        <v/>
      </c>
      <c r="N159" s="15" t="str">
        <f aca="false">IF($A159="","",IF($I159="","",$I159-$M159))</f>
        <v/>
      </c>
      <c r="O159" s="12" t="str">
        <f aca="false">IF($A159="","",IF($I159="","",IF($M159=0,"미처리",IF($N159&lt;=0,"완료","부분처리"))))</f>
        <v/>
      </c>
    </row>
    <row r="160" customFormat="false" ht="15" hidden="false" customHeight="true" outlineLevel="0" collapsed="false">
      <c r="A160" s="12" t="str">
        <f aca="false">IF($B160="","",TEXT($B160,"yymm")&amp;"-"&amp;TEXT(COUNTIFS($B$3:$B160,"&gt;="&amp;DATE(YEAR($B160),MONTH($B160),1),$B$3:$B160,"&lt;="&amp;EOMONTH($B160,0)),"000"))</f>
        <v/>
      </c>
      <c r="B160" s="13"/>
      <c r="C160" s="10"/>
      <c r="D160" s="10"/>
      <c r="E160" s="12" t="str">
        <f aca="false">IF($D160="","",IFERROR(INDEX(품목목록!$B$3:$B$302,MATCH($D160,품목목록!$A$3:$A$302,0)),"미등록품번"))</f>
        <v/>
      </c>
      <c r="F160" s="12" t="str">
        <f aca="false">IF($D160="","",IFERROR(INDEX(품목목록!$C$3:$C$302,MATCH($D160,품목목록!$A$3:$A$302,0)),""))</f>
        <v/>
      </c>
      <c r="G160" s="12" t="str">
        <f aca="false">IF($D160="","",IFERROR(INDEX(품목목록!$D$3:$D$302,MATCH($D160,품목목록!$A$3:$A$302,0)),""))</f>
        <v/>
      </c>
      <c r="H160" s="12" t="str">
        <f aca="false">IF($D160="","",IFERROR(INDEX(품목목록!$E$3:$E$302,MATCH($D160,품목목록!$A$3:$A$302,0)),""))</f>
        <v/>
      </c>
      <c r="I160" s="14"/>
      <c r="J160" s="10"/>
      <c r="K160" s="10"/>
      <c r="L160" s="10"/>
      <c r="M160" s="15" t="str">
        <f aca="false">IF($A160="","",SUMIFS(처리내역!$E$3:$E$1502,처리내역!$B$3:$B$1502,$A160))</f>
        <v/>
      </c>
      <c r="N160" s="15" t="str">
        <f aca="false">IF($A160="","",IF($I160="","",$I160-$M160))</f>
        <v/>
      </c>
      <c r="O160" s="12" t="str">
        <f aca="false">IF($A160="","",IF($I160="","",IF($M160=0,"미처리",IF($N160&lt;=0,"완료","부분처리"))))</f>
        <v/>
      </c>
    </row>
    <row r="161" customFormat="false" ht="15" hidden="false" customHeight="true" outlineLevel="0" collapsed="false">
      <c r="A161" s="12" t="str">
        <f aca="false">IF($B161="","",TEXT($B161,"yymm")&amp;"-"&amp;TEXT(COUNTIFS($B$3:$B161,"&gt;="&amp;DATE(YEAR($B161),MONTH($B161),1),$B$3:$B161,"&lt;="&amp;EOMONTH($B161,0)),"000"))</f>
        <v/>
      </c>
      <c r="B161" s="13"/>
      <c r="C161" s="10"/>
      <c r="D161" s="10"/>
      <c r="E161" s="12" t="str">
        <f aca="false">IF($D161="","",IFERROR(INDEX(품목목록!$B$3:$B$302,MATCH($D161,품목목록!$A$3:$A$302,0)),"미등록품번"))</f>
        <v/>
      </c>
      <c r="F161" s="12" t="str">
        <f aca="false">IF($D161="","",IFERROR(INDEX(품목목록!$C$3:$C$302,MATCH($D161,품목목록!$A$3:$A$302,0)),""))</f>
        <v/>
      </c>
      <c r="G161" s="12" t="str">
        <f aca="false">IF($D161="","",IFERROR(INDEX(품목목록!$D$3:$D$302,MATCH($D161,품목목록!$A$3:$A$302,0)),""))</f>
        <v/>
      </c>
      <c r="H161" s="12" t="str">
        <f aca="false">IF($D161="","",IFERROR(INDEX(품목목록!$E$3:$E$302,MATCH($D161,품목목록!$A$3:$A$302,0)),""))</f>
        <v/>
      </c>
      <c r="I161" s="14"/>
      <c r="J161" s="10"/>
      <c r="K161" s="10"/>
      <c r="L161" s="10"/>
      <c r="M161" s="15" t="str">
        <f aca="false">IF($A161="","",SUMIFS(처리내역!$E$3:$E$1502,처리내역!$B$3:$B$1502,$A161))</f>
        <v/>
      </c>
      <c r="N161" s="15" t="str">
        <f aca="false">IF($A161="","",IF($I161="","",$I161-$M161))</f>
        <v/>
      </c>
      <c r="O161" s="12" t="str">
        <f aca="false">IF($A161="","",IF($I161="","",IF($M161=0,"미처리",IF($N161&lt;=0,"완료","부분처리"))))</f>
        <v/>
      </c>
    </row>
    <row r="162" customFormat="false" ht="15" hidden="false" customHeight="true" outlineLevel="0" collapsed="false">
      <c r="A162" s="12" t="str">
        <f aca="false">IF($B162="","",TEXT($B162,"yymm")&amp;"-"&amp;TEXT(COUNTIFS($B$3:$B162,"&gt;="&amp;DATE(YEAR($B162),MONTH($B162),1),$B$3:$B162,"&lt;="&amp;EOMONTH($B162,0)),"000"))</f>
        <v/>
      </c>
      <c r="B162" s="13"/>
      <c r="C162" s="10"/>
      <c r="D162" s="10"/>
      <c r="E162" s="12" t="str">
        <f aca="false">IF($D162="","",IFERROR(INDEX(품목목록!$B$3:$B$302,MATCH($D162,품목목록!$A$3:$A$302,0)),"미등록품번"))</f>
        <v/>
      </c>
      <c r="F162" s="12" t="str">
        <f aca="false">IF($D162="","",IFERROR(INDEX(품목목록!$C$3:$C$302,MATCH($D162,품목목록!$A$3:$A$302,0)),""))</f>
        <v/>
      </c>
      <c r="G162" s="12" t="str">
        <f aca="false">IF($D162="","",IFERROR(INDEX(품목목록!$D$3:$D$302,MATCH($D162,품목목록!$A$3:$A$302,0)),""))</f>
        <v/>
      </c>
      <c r="H162" s="12" t="str">
        <f aca="false">IF($D162="","",IFERROR(INDEX(품목목록!$E$3:$E$302,MATCH($D162,품목목록!$A$3:$A$302,0)),""))</f>
        <v/>
      </c>
      <c r="I162" s="14"/>
      <c r="J162" s="10"/>
      <c r="K162" s="10"/>
      <c r="L162" s="10"/>
      <c r="M162" s="15" t="str">
        <f aca="false">IF($A162="","",SUMIFS(처리내역!$E$3:$E$1502,처리내역!$B$3:$B$1502,$A162))</f>
        <v/>
      </c>
      <c r="N162" s="15" t="str">
        <f aca="false">IF($A162="","",IF($I162="","",$I162-$M162))</f>
        <v/>
      </c>
      <c r="O162" s="12" t="str">
        <f aca="false">IF($A162="","",IF($I162="","",IF($M162=0,"미처리",IF($N162&lt;=0,"완료","부분처리"))))</f>
        <v/>
      </c>
    </row>
    <row r="163" customFormat="false" ht="15" hidden="false" customHeight="true" outlineLevel="0" collapsed="false">
      <c r="A163" s="12" t="str">
        <f aca="false">IF($B163="","",TEXT($B163,"yymm")&amp;"-"&amp;TEXT(COUNTIFS($B$3:$B163,"&gt;="&amp;DATE(YEAR($B163),MONTH($B163),1),$B$3:$B163,"&lt;="&amp;EOMONTH($B163,0)),"000"))</f>
        <v/>
      </c>
      <c r="B163" s="13"/>
      <c r="C163" s="10"/>
      <c r="D163" s="10"/>
      <c r="E163" s="12" t="str">
        <f aca="false">IF($D163="","",IFERROR(INDEX(품목목록!$B$3:$B$302,MATCH($D163,품목목록!$A$3:$A$302,0)),"미등록품번"))</f>
        <v/>
      </c>
      <c r="F163" s="12" t="str">
        <f aca="false">IF($D163="","",IFERROR(INDEX(품목목록!$C$3:$C$302,MATCH($D163,품목목록!$A$3:$A$302,0)),""))</f>
        <v/>
      </c>
      <c r="G163" s="12" t="str">
        <f aca="false">IF($D163="","",IFERROR(INDEX(품목목록!$D$3:$D$302,MATCH($D163,품목목록!$A$3:$A$302,0)),""))</f>
        <v/>
      </c>
      <c r="H163" s="12" t="str">
        <f aca="false">IF($D163="","",IFERROR(INDEX(품목목록!$E$3:$E$302,MATCH($D163,품목목록!$A$3:$A$302,0)),""))</f>
        <v/>
      </c>
      <c r="I163" s="14"/>
      <c r="J163" s="10"/>
      <c r="K163" s="10"/>
      <c r="L163" s="10"/>
      <c r="M163" s="15" t="str">
        <f aca="false">IF($A163="","",SUMIFS(처리내역!$E$3:$E$1502,처리내역!$B$3:$B$1502,$A163))</f>
        <v/>
      </c>
      <c r="N163" s="15" t="str">
        <f aca="false">IF($A163="","",IF($I163="","",$I163-$M163))</f>
        <v/>
      </c>
      <c r="O163" s="12" t="str">
        <f aca="false">IF($A163="","",IF($I163="","",IF($M163=0,"미처리",IF($N163&lt;=0,"완료","부분처리"))))</f>
        <v/>
      </c>
    </row>
    <row r="164" customFormat="false" ht="15" hidden="false" customHeight="true" outlineLevel="0" collapsed="false">
      <c r="A164" s="12" t="str">
        <f aca="false">IF($B164="","",TEXT($B164,"yymm")&amp;"-"&amp;TEXT(COUNTIFS($B$3:$B164,"&gt;="&amp;DATE(YEAR($B164),MONTH($B164),1),$B$3:$B164,"&lt;="&amp;EOMONTH($B164,0)),"000"))</f>
        <v/>
      </c>
      <c r="B164" s="13"/>
      <c r="C164" s="10"/>
      <c r="D164" s="10"/>
      <c r="E164" s="12" t="str">
        <f aca="false">IF($D164="","",IFERROR(INDEX(품목목록!$B$3:$B$302,MATCH($D164,품목목록!$A$3:$A$302,0)),"미등록품번"))</f>
        <v/>
      </c>
      <c r="F164" s="12" t="str">
        <f aca="false">IF($D164="","",IFERROR(INDEX(품목목록!$C$3:$C$302,MATCH($D164,품목목록!$A$3:$A$302,0)),""))</f>
        <v/>
      </c>
      <c r="G164" s="12" t="str">
        <f aca="false">IF($D164="","",IFERROR(INDEX(품목목록!$D$3:$D$302,MATCH($D164,품목목록!$A$3:$A$302,0)),""))</f>
        <v/>
      </c>
      <c r="H164" s="12" t="str">
        <f aca="false">IF($D164="","",IFERROR(INDEX(품목목록!$E$3:$E$302,MATCH($D164,품목목록!$A$3:$A$302,0)),""))</f>
        <v/>
      </c>
      <c r="I164" s="14"/>
      <c r="J164" s="10"/>
      <c r="K164" s="10"/>
      <c r="L164" s="10"/>
      <c r="M164" s="15" t="str">
        <f aca="false">IF($A164="","",SUMIFS(처리내역!$E$3:$E$1502,처리내역!$B$3:$B$1502,$A164))</f>
        <v/>
      </c>
      <c r="N164" s="15" t="str">
        <f aca="false">IF($A164="","",IF($I164="","",$I164-$M164))</f>
        <v/>
      </c>
      <c r="O164" s="12" t="str">
        <f aca="false">IF($A164="","",IF($I164="","",IF($M164=0,"미처리",IF($N164&lt;=0,"완료","부분처리"))))</f>
        <v/>
      </c>
    </row>
    <row r="165" customFormat="false" ht="15" hidden="false" customHeight="true" outlineLevel="0" collapsed="false">
      <c r="A165" s="12" t="str">
        <f aca="false">IF($B165="","",TEXT($B165,"yymm")&amp;"-"&amp;TEXT(COUNTIFS($B$3:$B165,"&gt;="&amp;DATE(YEAR($B165),MONTH($B165),1),$B$3:$B165,"&lt;="&amp;EOMONTH($B165,0)),"000"))</f>
        <v/>
      </c>
      <c r="B165" s="13"/>
      <c r="C165" s="10"/>
      <c r="D165" s="10"/>
      <c r="E165" s="12" t="str">
        <f aca="false">IF($D165="","",IFERROR(INDEX(품목목록!$B$3:$B$302,MATCH($D165,품목목록!$A$3:$A$302,0)),"미등록품번"))</f>
        <v/>
      </c>
      <c r="F165" s="12" t="str">
        <f aca="false">IF($D165="","",IFERROR(INDEX(품목목록!$C$3:$C$302,MATCH($D165,품목목록!$A$3:$A$302,0)),""))</f>
        <v/>
      </c>
      <c r="G165" s="12" t="str">
        <f aca="false">IF($D165="","",IFERROR(INDEX(품목목록!$D$3:$D$302,MATCH($D165,품목목록!$A$3:$A$302,0)),""))</f>
        <v/>
      </c>
      <c r="H165" s="12" t="str">
        <f aca="false">IF($D165="","",IFERROR(INDEX(품목목록!$E$3:$E$302,MATCH($D165,품목목록!$A$3:$A$302,0)),""))</f>
        <v/>
      </c>
      <c r="I165" s="14"/>
      <c r="J165" s="10"/>
      <c r="K165" s="10"/>
      <c r="L165" s="10"/>
      <c r="M165" s="15" t="str">
        <f aca="false">IF($A165="","",SUMIFS(처리내역!$E$3:$E$1502,처리내역!$B$3:$B$1502,$A165))</f>
        <v/>
      </c>
      <c r="N165" s="15" t="str">
        <f aca="false">IF($A165="","",IF($I165="","",$I165-$M165))</f>
        <v/>
      </c>
      <c r="O165" s="12" t="str">
        <f aca="false">IF($A165="","",IF($I165="","",IF($M165=0,"미처리",IF($N165&lt;=0,"완료","부분처리"))))</f>
        <v/>
      </c>
    </row>
    <row r="166" customFormat="false" ht="15" hidden="false" customHeight="true" outlineLevel="0" collapsed="false">
      <c r="A166" s="12" t="str">
        <f aca="false">IF($B166="","",TEXT($B166,"yymm")&amp;"-"&amp;TEXT(COUNTIFS($B$3:$B166,"&gt;="&amp;DATE(YEAR($B166),MONTH($B166),1),$B$3:$B166,"&lt;="&amp;EOMONTH($B166,0)),"000"))</f>
        <v/>
      </c>
      <c r="B166" s="13"/>
      <c r="C166" s="10"/>
      <c r="D166" s="10"/>
      <c r="E166" s="12" t="str">
        <f aca="false">IF($D166="","",IFERROR(INDEX(품목목록!$B$3:$B$302,MATCH($D166,품목목록!$A$3:$A$302,0)),"미등록품번"))</f>
        <v/>
      </c>
      <c r="F166" s="12" t="str">
        <f aca="false">IF($D166="","",IFERROR(INDEX(품목목록!$C$3:$C$302,MATCH($D166,품목목록!$A$3:$A$302,0)),""))</f>
        <v/>
      </c>
      <c r="G166" s="12" t="str">
        <f aca="false">IF($D166="","",IFERROR(INDEX(품목목록!$D$3:$D$302,MATCH($D166,품목목록!$A$3:$A$302,0)),""))</f>
        <v/>
      </c>
      <c r="H166" s="12" t="str">
        <f aca="false">IF($D166="","",IFERROR(INDEX(품목목록!$E$3:$E$302,MATCH($D166,품목목록!$A$3:$A$302,0)),""))</f>
        <v/>
      </c>
      <c r="I166" s="14"/>
      <c r="J166" s="10"/>
      <c r="K166" s="10"/>
      <c r="L166" s="10"/>
      <c r="M166" s="15" t="str">
        <f aca="false">IF($A166="","",SUMIFS(처리내역!$E$3:$E$1502,처리내역!$B$3:$B$1502,$A166))</f>
        <v/>
      </c>
      <c r="N166" s="15" t="str">
        <f aca="false">IF($A166="","",IF($I166="","",$I166-$M166))</f>
        <v/>
      </c>
      <c r="O166" s="12" t="str">
        <f aca="false">IF($A166="","",IF($I166="","",IF($M166=0,"미처리",IF($N166&lt;=0,"완료","부분처리"))))</f>
        <v/>
      </c>
    </row>
    <row r="167" customFormat="false" ht="15" hidden="false" customHeight="true" outlineLevel="0" collapsed="false">
      <c r="A167" s="12" t="str">
        <f aca="false">IF($B167="","",TEXT($B167,"yymm")&amp;"-"&amp;TEXT(COUNTIFS($B$3:$B167,"&gt;="&amp;DATE(YEAR($B167),MONTH($B167),1),$B$3:$B167,"&lt;="&amp;EOMONTH($B167,0)),"000"))</f>
        <v/>
      </c>
      <c r="B167" s="13"/>
      <c r="C167" s="10"/>
      <c r="D167" s="10"/>
      <c r="E167" s="12" t="str">
        <f aca="false">IF($D167="","",IFERROR(INDEX(품목목록!$B$3:$B$302,MATCH($D167,품목목록!$A$3:$A$302,0)),"미등록품번"))</f>
        <v/>
      </c>
      <c r="F167" s="12" t="str">
        <f aca="false">IF($D167="","",IFERROR(INDEX(품목목록!$C$3:$C$302,MATCH($D167,품목목록!$A$3:$A$302,0)),""))</f>
        <v/>
      </c>
      <c r="G167" s="12" t="str">
        <f aca="false">IF($D167="","",IFERROR(INDEX(품목목록!$D$3:$D$302,MATCH($D167,품목목록!$A$3:$A$302,0)),""))</f>
        <v/>
      </c>
      <c r="H167" s="12" t="str">
        <f aca="false">IF($D167="","",IFERROR(INDEX(품목목록!$E$3:$E$302,MATCH($D167,품목목록!$A$3:$A$302,0)),""))</f>
        <v/>
      </c>
      <c r="I167" s="14"/>
      <c r="J167" s="10"/>
      <c r="K167" s="10"/>
      <c r="L167" s="10"/>
      <c r="M167" s="15" t="str">
        <f aca="false">IF($A167="","",SUMIFS(처리내역!$E$3:$E$1502,처리내역!$B$3:$B$1502,$A167))</f>
        <v/>
      </c>
      <c r="N167" s="15" t="str">
        <f aca="false">IF($A167="","",IF($I167="","",$I167-$M167))</f>
        <v/>
      </c>
      <c r="O167" s="12" t="str">
        <f aca="false">IF($A167="","",IF($I167="","",IF($M167=0,"미처리",IF($N167&lt;=0,"완료","부분처리"))))</f>
        <v/>
      </c>
    </row>
    <row r="168" customFormat="false" ht="15" hidden="false" customHeight="true" outlineLevel="0" collapsed="false">
      <c r="A168" s="12" t="str">
        <f aca="false">IF($B168="","",TEXT($B168,"yymm")&amp;"-"&amp;TEXT(COUNTIFS($B$3:$B168,"&gt;="&amp;DATE(YEAR($B168),MONTH($B168),1),$B$3:$B168,"&lt;="&amp;EOMONTH($B168,0)),"000"))</f>
        <v/>
      </c>
      <c r="B168" s="13"/>
      <c r="C168" s="10"/>
      <c r="D168" s="10"/>
      <c r="E168" s="12" t="str">
        <f aca="false">IF($D168="","",IFERROR(INDEX(품목목록!$B$3:$B$302,MATCH($D168,품목목록!$A$3:$A$302,0)),"미등록품번"))</f>
        <v/>
      </c>
      <c r="F168" s="12" t="str">
        <f aca="false">IF($D168="","",IFERROR(INDEX(품목목록!$C$3:$C$302,MATCH($D168,품목목록!$A$3:$A$302,0)),""))</f>
        <v/>
      </c>
      <c r="G168" s="12" t="str">
        <f aca="false">IF($D168="","",IFERROR(INDEX(품목목록!$D$3:$D$302,MATCH($D168,품목목록!$A$3:$A$302,0)),""))</f>
        <v/>
      </c>
      <c r="H168" s="12" t="str">
        <f aca="false">IF($D168="","",IFERROR(INDEX(품목목록!$E$3:$E$302,MATCH($D168,품목목록!$A$3:$A$302,0)),""))</f>
        <v/>
      </c>
      <c r="I168" s="14"/>
      <c r="J168" s="10"/>
      <c r="K168" s="10"/>
      <c r="L168" s="10"/>
      <c r="M168" s="15" t="str">
        <f aca="false">IF($A168="","",SUMIFS(처리내역!$E$3:$E$1502,처리내역!$B$3:$B$1502,$A168))</f>
        <v/>
      </c>
      <c r="N168" s="15" t="str">
        <f aca="false">IF($A168="","",IF($I168="","",$I168-$M168))</f>
        <v/>
      </c>
      <c r="O168" s="12" t="str">
        <f aca="false">IF($A168="","",IF($I168="","",IF($M168=0,"미처리",IF($N168&lt;=0,"완료","부분처리"))))</f>
        <v/>
      </c>
    </row>
    <row r="169" customFormat="false" ht="15" hidden="false" customHeight="true" outlineLevel="0" collapsed="false">
      <c r="A169" s="12" t="str">
        <f aca="false">IF($B169="","",TEXT($B169,"yymm")&amp;"-"&amp;TEXT(COUNTIFS($B$3:$B169,"&gt;="&amp;DATE(YEAR($B169),MONTH($B169),1),$B$3:$B169,"&lt;="&amp;EOMONTH($B169,0)),"000"))</f>
        <v/>
      </c>
      <c r="B169" s="13"/>
      <c r="C169" s="10"/>
      <c r="D169" s="10"/>
      <c r="E169" s="12" t="str">
        <f aca="false">IF($D169="","",IFERROR(INDEX(품목목록!$B$3:$B$302,MATCH($D169,품목목록!$A$3:$A$302,0)),"미등록품번"))</f>
        <v/>
      </c>
      <c r="F169" s="12" t="str">
        <f aca="false">IF($D169="","",IFERROR(INDEX(품목목록!$C$3:$C$302,MATCH($D169,품목목록!$A$3:$A$302,0)),""))</f>
        <v/>
      </c>
      <c r="G169" s="12" t="str">
        <f aca="false">IF($D169="","",IFERROR(INDEX(품목목록!$D$3:$D$302,MATCH($D169,품목목록!$A$3:$A$302,0)),""))</f>
        <v/>
      </c>
      <c r="H169" s="12" t="str">
        <f aca="false">IF($D169="","",IFERROR(INDEX(품목목록!$E$3:$E$302,MATCH($D169,품목목록!$A$3:$A$302,0)),""))</f>
        <v/>
      </c>
      <c r="I169" s="14"/>
      <c r="J169" s="10"/>
      <c r="K169" s="10"/>
      <c r="L169" s="10"/>
      <c r="M169" s="15" t="str">
        <f aca="false">IF($A169="","",SUMIFS(처리내역!$E$3:$E$1502,처리내역!$B$3:$B$1502,$A169))</f>
        <v/>
      </c>
      <c r="N169" s="15" t="str">
        <f aca="false">IF($A169="","",IF($I169="","",$I169-$M169))</f>
        <v/>
      </c>
      <c r="O169" s="12" t="str">
        <f aca="false">IF($A169="","",IF($I169="","",IF($M169=0,"미처리",IF($N169&lt;=0,"완료","부분처리"))))</f>
        <v/>
      </c>
    </row>
    <row r="170" customFormat="false" ht="15" hidden="false" customHeight="true" outlineLevel="0" collapsed="false">
      <c r="A170" s="12" t="str">
        <f aca="false">IF($B170="","",TEXT($B170,"yymm")&amp;"-"&amp;TEXT(COUNTIFS($B$3:$B170,"&gt;="&amp;DATE(YEAR($B170),MONTH($B170),1),$B$3:$B170,"&lt;="&amp;EOMONTH($B170,0)),"000"))</f>
        <v/>
      </c>
      <c r="B170" s="13"/>
      <c r="C170" s="10"/>
      <c r="D170" s="10"/>
      <c r="E170" s="12" t="str">
        <f aca="false">IF($D170="","",IFERROR(INDEX(품목목록!$B$3:$B$302,MATCH($D170,품목목록!$A$3:$A$302,0)),"미등록품번"))</f>
        <v/>
      </c>
      <c r="F170" s="12" t="str">
        <f aca="false">IF($D170="","",IFERROR(INDEX(품목목록!$C$3:$C$302,MATCH($D170,품목목록!$A$3:$A$302,0)),""))</f>
        <v/>
      </c>
      <c r="G170" s="12" t="str">
        <f aca="false">IF($D170="","",IFERROR(INDEX(품목목록!$D$3:$D$302,MATCH($D170,품목목록!$A$3:$A$302,0)),""))</f>
        <v/>
      </c>
      <c r="H170" s="12" t="str">
        <f aca="false">IF($D170="","",IFERROR(INDEX(품목목록!$E$3:$E$302,MATCH($D170,품목목록!$A$3:$A$302,0)),""))</f>
        <v/>
      </c>
      <c r="I170" s="14"/>
      <c r="J170" s="10"/>
      <c r="K170" s="10"/>
      <c r="L170" s="10"/>
      <c r="M170" s="15" t="str">
        <f aca="false">IF($A170="","",SUMIFS(처리내역!$E$3:$E$1502,처리내역!$B$3:$B$1502,$A170))</f>
        <v/>
      </c>
      <c r="N170" s="15" t="str">
        <f aca="false">IF($A170="","",IF($I170="","",$I170-$M170))</f>
        <v/>
      </c>
      <c r="O170" s="12" t="str">
        <f aca="false">IF($A170="","",IF($I170="","",IF($M170=0,"미처리",IF($N170&lt;=0,"완료","부분처리"))))</f>
        <v/>
      </c>
    </row>
    <row r="171" customFormat="false" ht="15" hidden="false" customHeight="true" outlineLevel="0" collapsed="false">
      <c r="A171" s="12" t="str">
        <f aca="false">IF($B171="","",TEXT($B171,"yymm")&amp;"-"&amp;TEXT(COUNTIFS($B$3:$B171,"&gt;="&amp;DATE(YEAR($B171),MONTH($B171),1),$B$3:$B171,"&lt;="&amp;EOMONTH($B171,0)),"000"))</f>
        <v/>
      </c>
      <c r="B171" s="13"/>
      <c r="C171" s="10"/>
      <c r="D171" s="10"/>
      <c r="E171" s="12" t="str">
        <f aca="false">IF($D171="","",IFERROR(INDEX(품목목록!$B$3:$B$302,MATCH($D171,품목목록!$A$3:$A$302,0)),"미등록품번"))</f>
        <v/>
      </c>
      <c r="F171" s="12" t="str">
        <f aca="false">IF($D171="","",IFERROR(INDEX(품목목록!$C$3:$C$302,MATCH($D171,품목목록!$A$3:$A$302,0)),""))</f>
        <v/>
      </c>
      <c r="G171" s="12" t="str">
        <f aca="false">IF($D171="","",IFERROR(INDEX(품목목록!$D$3:$D$302,MATCH($D171,품목목록!$A$3:$A$302,0)),""))</f>
        <v/>
      </c>
      <c r="H171" s="12" t="str">
        <f aca="false">IF($D171="","",IFERROR(INDEX(품목목록!$E$3:$E$302,MATCH($D171,품목목록!$A$3:$A$302,0)),""))</f>
        <v/>
      </c>
      <c r="I171" s="14"/>
      <c r="J171" s="10"/>
      <c r="K171" s="10"/>
      <c r="L171" s="10"/>
      <c r="M171" s="15" t="str">
        <f aca="false">IF($A171="","",SUMIFS(처리내역!$E$3:$E$1502,처리내역!$B$3:$B$1502,$A171))</f>
        <v/>
      </c>
      <c r="N171" s="15" t="str">
        <f aca="false">IF($A171="","",IF($I171="","",$I171-$M171))</f>
        <v/>
      </c>
      <c r="O171" s="12" t="str">
        <f aca="false">IF($A171="","",IF($I171="","",IF($M171=0,"미처리",IF($N171&lt;=0,"완료","부분처리"))))</f>
        <v/>
      </c>
    </row>
    <row r="172" customFormat="false" ht="15" hidden="false" customHeight="true" outlineLevel="0" collapsed="false">
      <c r="A172" s="12" t="str">
        <f aca="false">IF($B172="","",TEXT($B172,"yymm")&amp;"-"&amp;TEXT(COUNTIFS($B$3:$B172,"&gt;="&amp;DATE(YEAR($B172),MONTH($B172),1),$B$3:$B172,"&lt;="&amp;EOMONTH($B172,0)),"000"))</f>
        <v/>
      </c>
      <c r="B172" s="13"/>
      <c r="C172" s="10"/>
      <c r="D172" s="10"/>
      <c r="E172" s="12" t="str">
        <f aca="false">IF($D172="","",IFERROR(INDEX(품목목록!$B$3:$B$302,MATCH($D172,품목목록!$A$3:$A$302,0)),"미등록품번"))</f>
        <v/>
      </c>
      <c r="F172" s="12" t="str">
        <f aca="false">IF($D172="","",IFERROR(INDEX(품목목록!$C$3:$C$302,MATCH($D172,품목목록!$A$3:$A$302,0)),""))</f>
        <v/>
      </c>
      <c r="G172" s="12" t="str">
        <f aca="false">IF($D172="","",IFERROR(INDEX(품목목록!$D$3:$D$302,MATCH($D172,품목목록!$A$3:$A$302,0)),""))</f>
        <v/>
      </c>
      <c r="H172" s="12" t="str">
        <f aca="false">IF($D172="","",IFERROR(INDEX(품목목록!$E$3:$E$302,MATCH($D172,품목목록!$A$3:$A$302,0)),""))</f>
        <v/>
      </c>
      <c r="I172" s="14"/>
      <c r="J172" s="10"/>
      <c r="K172" s="10"/>
      <c r="L172" s="10"/>
      <c r="M172" s="15" t="str">
        <f aca="false">IF($A172="","",SUMIFS(처리내역!$E$3:$E$1502,처리내역!$B$3:$B$1502,$A172))</f>
        <v/>
      </c>
      <c r="N172" s="15" t="str">
        <f aca="false">IF($A172="","",IF($I172="","",$I172-$M172))</f>
        <v/>
      </c>
      <c r="O172" s="12" t="str">
        <f aca="false">IF($A172="","",IF($I172="","",IF($M172=0,"미처리",IF($N172&lt;=0,"완료","부분처리"))))</f>
        <v/>
      </c>
    </row>
    <row r="173" customFormat="false" ht="15" hidden="false" customHeight="true" outlineLevel="0" collapsed="false">
      <c r="A173" s="12" t="str">
        <f aca="false">IF($B173="","",TEXT($B173,"yymm")&amp;"-"&amp;TEXT(COUNTIFS($B$3:$B173,"&gt;="&amp;DATE(YEAR($B173),MONTH($B173),1),$B$3:$B173,"&lt;="&amp;EOMONTH($B173,0)),"000"))</f>
        <v/>
      </c>
      <c r="B173" s="13"/>
      <c r="C173" s="10"/>
      <c r="D173" s="10"/>
      <c r="E173" s="12" t="str">
        <f aca="false">IF($D173="","",IFERROR(INDEX(품목목록!$B$3:$B$302,MATCH($D173,품목목록!$A$3:$A$302,0)),"미등록품번"))</f>
        <v/>
      </c>
      <c r="F173" s="12" t="str">
        <f aca="false">IF($D173="","",IFERROR(INDEX(품목목록!$C$3:$C$302,MATCH($D173,품목목록!$A$3:$A$302,0)),""))</f>
        <v/>
      </c>
      <c r="G173" s="12" t="str">
        <f aca="false">IF($D173="","",IFERROR(INDEX(품목목록!$D$3:$D$302,MATCH($D173,품목목록!$A$3:$A$302,0)),""))</f>
        <v/>
      </c>
      <c r="H173" s="12" t="str">
        <f aca="false">IF($D173="","",IFERROR(INDEX(품목목록!$E$3:$E$302,MATCH($D173,품목목록!$A$3:$A$302,0)),""))</f>
        <v/>
      </c>
      <c r="I173" s="14"/>
      <c r="J173" s="10"/>
      <c r="K173" s="10"/>
      <c r="L173" s="10"/>
      <c r="M173" s="15" t="str">
        <f aca="false">IF($A173="","",SUMIFS(처리내역!$E$3:$E$1502,처리내역!$B$3:$B$1502,$A173))</f>
        <v/>
      </c>
      <c r="N173" s="15" t="str">
        <f aca="false">IF($A173="","",IF($I173="","",$I173-$M173))</f>
        <v/>
      </c>
      <c r="O173" s="12" t="str">
        <f aca="false">IF($A173="","",IF($I173="","",IF($M173=0,"미처리",IF($N173&lt;=0,"완료","부분처리"))))</f>
        <v/>
      </c>
    </row>
    <row r="174" customFormat="false" ht="15" hidden="false" customHeight="true" outlineLevel="0" collapsed="false">
      <c r="A174" s="12" t="str">
        <f aca="false">IF($B174="","",TEXT($B174,"yymm")&amp;"-"&amp;TEXT(COUNTIFS($B$3:$B174,"&gt;="&amp;DATE(YEAR($B174),MONTH($B174),1),$B$3:$B174,"&lt;="&amp;EOMONTH($B174,0)),"000"))</f>
        <v/>
      </c>
      <c r="B174" s="13"/>
      <c r="C174" s="10"/>
      <c r="D174" s="10"/>
      <c r="E174" s="12" t="str">
        <f aca="false">IF($D174="","",IFERROR(INDEX(품목목록!$B$3:$B$302,MATCH($D174,품목목록!$A$3:$A$302,0)),"미등록품번"))</f>
        <v/>
      </c>
      <c r="F174" s="12" t="str">
        <f aca="false">IF($D174="","",IFERROR(INDEX(품목목록!$C$3:$C$302,MATCH($D174,품목목록!$A$3:$A$302,0)),""))</f>
        <v/>
      </c>
      <c r="G174" s="12" t="str">
        <f aca="false">IF($D174="","",IFERROR(INDEX(품목목록!$D$3:$D$302,MATCH($D174,품목목록!$A$3:$A$302,0)),""))</f>
        <v/>
      </c>
      <c r="H174" s="12" t="str">
        <f aca="false">IF($D174="","",IFERROR(INDEX(품목목록!$E$3:$E$302,MATCH($D174,품목목록!$A$3:$A$302,0)),""))</f>
        <v/>
      </c>
      <c r="I174" s="14"/>
      <c r="J174" s="10"/>
      <c r="K174" s="10"/>
      <c r="L174" s="10"/>
      <c r="M174" s="15" t="str">
        <f aca="false">IF($A174="","",SUMIFS(처리내역!$E$3:$E$1502,처리내역!$B$3:$B$1502,$A174))</f>
        <v/>
      </c>
      <c r="N174" s="15" t="str">
        <f aca="false">IF($A174="","",IF($I174="","",$I174-$M174))</f>
        <v/>
      </c>
      <c r="O174" s="12" t="str">
        <f aca="false">IF($A174="","",IF($I174="","",IF($M174=0,"미처리",IF($N174&lt;=0,"완료","부분처리"))))</f>
        <v/>
      </c>
    </row>
    <row r="175" customFormat="false" ht="15" hidden="false" customHeight="true" outlineLevel="0" collapsed="false">
      <c r="A175" s="12" t="str">
        <f aca="false">IF($B175="","",TEXT($B175,"yymm")&amp;"-"&amp;TEXT(COUNTIFS($B$3:$B175,"&gt;="&amp;DATE(YEAR($B175),MONTH($B175),1),$B$3:$B175,"&lt;="&amp;EOMONTH($B175,0)),"000"))</f>
        <v/>
      </c>
      <c r="B175" s="13"/>
      <c r="C175" s="10"/>
      <c r="D175" s="10"/>
      <c r="E175" s="12" t="str">
        <f aca="false">IF($D175="","",IFERROR(INDEX(품목목록!$B$3:$B$302,MATCH($D175,품목목록!$A$3:$A$302,0)),"미등록품번"))</f>
        <v/>
      </c>
      <c r="F175" s="12" t="str">
        <f aca="false">IF($D175="","",IFERROR(INDEX(품목목록!$C$3:$C$302,MATCH($D175,품목목록!$A$3:$A$302,0)),""))</f>
        <v/>
      </c>
      <c r="G175" s="12" t="str">
        <f aca="false">IF($D175="","",IFERROR(INDEX(품목목록!$D$3:$D$302,MATCH($D175,품목목록!$A$3:$A$302,0)),""))</f>
        <v/>
      </c>
      <c r="H175" s="12" t="str">
        <f aca="false">IF($D175="","",IFERROR(INDEX(품목목록!$E$3:$E$302,MATCH($D175,품목목록!$A$3:$A$302,0)),""))</f>
        <v/>
      </c>
      <c r="I175" s="14"/>
      <c r="J175" s="10"/>
      <c r="K175" s="10"/>
      <c r="L175" s="10"/>
      <c r="M175" s="15" t="str">
        <f aca="false">IF($A175="","",SUMIFS(처리내역!$E$3:$E$1502,처리내역!$B$3:$B$1502,$A175))</f>
        <v/>
      </c>
      <c r="N175" s="15" t="str">
        <f aca="false">IF($A175="","",IF($I175="","",$I175-$M175))</f>
        <v/>
      </c>
      <c r="O175" s="12" t="str">
        <f aca="false">IF($A175="","",IF($I175="","",IF($M175=0,"미처리",IF($N175&lt;=0,"완료","부분처리"))))</f>
        <v/>
      </c>
    </row>
    <row r="176" customFormat="false" ht="15" hidden="false" customHeight="true" outlineLevel="0" collapsed="false">
      <c r="A176" s="12" t="str">
        <f aca="false">IF($B176="","",TEXT($B176,"yymm")&amp;"-"&amp;TEXT(COUNTIFS($B$3:$B176,"&gt;="&amp;DATE(YEAR($B176),MONTH($B176),1),$B$3:$B176,"&lt;="&amp;EOMONTH($B176,0)),"000"))</f>
        <v/>
      </c>
      <c r="B176" s="13"/>
      <c r="C176" s="10"/>
      <c r="D176" s="10"/>
      <c r="E176" s="12" t="str">
        <f aca="false">IF($D176="","",IFERROR(INDEX(품목목록!$B$3:$B$302,MATCH($D176,품목목록!$A$3:$A$302,0)),"미등록품번"))</f>
        <v/>
      </c>
      <c r="F176" s="12" t="str">
        <f aca="false">IF($D176="","",IFERROR(INDEX(품목목록!$C$3:$C$302,MATCH($D176,품목목록!$A$3:$A$302,0)),""))</f>
        <v/>
      </c>
      <c r="G176" s="12" t="str">
        <f aca="false">IF($D176="","",IFERROR(INDEX(품목목록!$D$3:$D$302,MATCH($D176,품목목록!$A$3:$A$302,0)),""))</f>
        <v/>
      </c>
      <c r="H176" s="12" t="str">
        <f aca="false">IF($D176="","",IFERROR(INDEX(품목목록!$E$3:$E$302,MATCH($D176,품목목록!$A$3:$A$302,0)),""))</f>
        <v/>
      </c>
      <c r="I176" s="14"/>
      <c r="J176" s="10"/>
      <c r="K176" s="10"/>
      <c r="L176" s="10"/>
      <c r="M176" s="15" t="str">
        <f aca="false">IF($A176="","",SUMIFS(처리내역!$E$3:$E$1502,처리내역!$B$3:$B$1502,$A176))</f>
        <v/>
      </c>
      <c r="N176" s="15" t="str">
        <f aca="false">IF($A176="","",IF($I176="","",$I176-$M176))</f>
        <v/>
      </c>
      <c r="O176" s="12" t="str">
        <f aca="false">IF($A176="","",IF($I176="","",IF($M176=0,"미처리",IF($N176&lt;=0,"완료","부분처리"))))</f>
        <v/>
      </c>
    </row>
    <row r="177" customFormat="false" ht="15" hidden="false" customHeight="true" outlineLevel="0" collapsed="false">
      <c r="A177" s="12" t="str">
        <f aca="false">IF($B177="","",TEXT($B177,"yymm")&amp;"-"&amp;TEXT(COUNTIFS($B$3:$B177,"&gt;="&amp;DATE(YEAR($B177),MONTH($B177),1),$B$3:$B177,"&lt;="&amp;EOMONTH($B177,0)),"000"))</f>
        <v/>
      </c>
      <c r="B177" s="13"/>
      <c r="C177" s="10"/>
      <c r="D177" s="10"/>
      <c r="E177" s="12" t="str">
        <f aca="false">IF($D177="","",IFERROR(INDEX(품목목록!$B$3:$B$302,MATCH($D177,품목목록!$A$3:$A$302,0)),"미등록품번"))</f>
        <v/>
      </c>
      <c r="F177" s="12" t="str">
        <f aca="false">IF($D177="","",IFERROR(INDEX(품목목록!$C$3:$C$302,MATCH($D177,품목목록!$A$3:$A$302,0)),""))</f>
        <v/>
      </c>
      <c r="G177" s="12" t="str">
        <f aca="false">IF($D177="","",IFERROR(INDEX(품목목록!$D$3:$D$302,MATCH($D177,품목목록!$A$3:$A$302,0)),""))</f>
        <v/>
      </c>
      <c r="H177" s="12" t="str">
        <f aca="false">IF($D177="","",IFERROR(INDEX(품목목록!$E$3:$E$302,MATCH($D177,품목목록!$A$3:$A$302,0)),""))</f>
        <v/>
      </c>
      <c r="I177" s="14"/>
      <c r="J177" s="10"/>
      <c r="K177" s="10"/>
      <c r="L177" s="10"/>
      <c r="M177" s="15" t="str">
        <f aca="false">IF($A177="","",SUMIFS(처리내역!$E$3:$E$1502,처리내역!$B$3:$B$1502,$A177))</f>
        <v/>
      </c>
      <c r="N177" s="15" t="str">
        <f aca="false">IF($A177="","",IF($I177="","",$I177-$M177))</f>
        <v/>
      </c>
      <c r="O177" s="12" t="str">
        <f aca="false">IF($A177="","",IF($I177="","",IF($M177=0,"미처리",IF($N177&lt;=0,"완료","부분처리"))))</f>
        <v/>
      </c>
    </row>
    <row r="178" customFormat="false" ht="15" hidden="false" customHeight="true" outlineLevel="0" collapsed="false">
      <c r="A178" s="12" t="str">
        <f aca="false">IF($B178="","",TEXT($B178,"yymm")&amp;"-"&amp;TEXT(COUNTIFS($B$3:$B178,"&gt;="&amp;DATE(YEAR($B178),MONTH($B178),1),$B$3:$B178,"&lt;="&amp;EOMONTH($B178,0)),"000"))</f>
        <v/>
      </c>
      <c r="B178" s="13"/>
      <c r="C178" s="10"/>
      <c r="D178" s="10"/>
      <c r="E178" s="12" t="str">
        <f aca="false">IF($D178="","",IFERROR(INDEX(품목목록!$B$3:$B$302,MATCH($D178,품목목록!$A$3:$A$302,0)),"미등록품번"))</f>
        <v/>
      </c>
      <c r="F178" s="12" t="str">
        <f aca="false">IF($D178="","",IFERROR(INDEX(품목목록!$C$3:$C$302,MATCH($D178,품목목록!$A$3:$A$302,0)),""))</f>
        <v/>
      </c>
      <c r="G178" s="12" t="str">
        <f aca="false">IF($D178="","",IFERROR(INDEX(품목목록!$D$3:$D$302,MATCH($D178,품목목록!$A$3:$A$302,0)),""))</f>
        <v/>
      </c>
      <c r="H178" s="12" t="str">
        <f aca="false">IF($D178="","",IFERROR(INDEX(품목목록!$E$3:$E$302,MATCH($D178,품목목록!$A$3:$A$302,0)),""))</f>
        <v/>
      </c>
      <c r="I178" s="14"/>
      <c r="J178" s="10"/>
      <c r="K178" s="10"/>
      <c r="L178" s="10"/>
      <c r="M178" s="15" t="str">
        <f aca="false">IF($A178="","",SUMIFS(처리내역!$E$3:$E$1502,처리내역!$B$3:$B$1502,$A178))</f>
        <v/>
      </c>
      <c r="N178" s="15" t="str">
        <f aca="false">IF($A178="","",IF($I178="","",$I178-$M178))</f>
        <v/>
      </c>
      <c r="O178" s="12" t="str">
        <f aca="false">IF($A178="","",IF($I178="","",IF($M178=0,"미처리",IF($N178&lt;=0,"완료","부분처리"))))</f>
        <v/>
      </c>
    </row>
    <row r="179" customFormat="false" ht="15" hidden="false" customHeight="true" outlineLevel="0" collapsed="false">
      <c r="A179" s="12" t="str">
        <f aca="false">IF($B179="","",TEXT($B179,"yymm")&amp;"-"&amp;TEXT(COUNTIFS($B$3:$B179,"&gt;="&amp;DATE(YEAR($B179),MONTH($B179),1),$B$3:$B179,"&lt;="&amp;EOMONTH($B179,0)),"000"))</f>
        <v/>
      </c>
      <c r="B179" s="13"/>
      <c r="C179" s="10"/>
      <c r="D179" s="10"/>
      <c r="E179" s="12" t="str">
        <f aca="false">IF($D179="","",IFERROR(INDEX(품목목록!$B$3:$B$302,MATCH($D179,품목목록!$A$3:$A$302,0)),"미등록품번"))</f>
        <v/>
      </c>
      <c r="F179" s="12" t="str">
        <f aca="false">IF($D179="","",IFERROR(INDEX(품목목록!$C$3:$C$302,MATCH($D179,품목목록!$A$3:$A$302,0)),""))</f>
        <v/>
      </c>
      <c r="G179" s="12" t="str">
        <f aca="false">IF($D179="","",IFERROR(INDEX(품목목록!$D$3:$D$302,MATCH($D179,품목목록!$A$3:$A$302,0)),""))</f>
        <v/>
      </c>
      <c r="H179" s="12" t="str">
        <f aca="false">IF($D179="","",IFERROR(INDEX(품목목록!$E$3:$E$302,MATCH($D179,품목목록!$A$3:$A$302,0)),""))</f>
        <v/>
      </c>
      <c r="I179" s="14"/>
      <c r="J179" s="10"/>
      <c r="K179" s="10"/>
      <c r="L179" s="10"/>
      <c r="M179" s="15" t="str">
        <f aca="false">IF($A179="","",SUMIFS(처리내역!$E$3:$E$1502,처리내역!$B$3:$B$1502,$A179))</f>
        <v/>
      </c>
      <c r="N179" s="15" t="str">
        <f aca="false">IF($A179="","",IF($I179="","",$I179-$M179))</f>
        <v/>
      </c>
      <c r="O179" s="12" t="str">
        <f aca="false">IF($A179="","",IF($I179="","",IF($M179=0,"미처리",IF($N179&lt;=0,"완료","부분처리"))))</f>
        <v/>
      </c>
    </row>
    <row r="180" customFormat="false" ht="15" hidden="false" customHeight="true" outlineLevel="0" collapsed="false">
      <c r="A180" s="12" t="str">
        <f aca="false">IF($B180="","",TEXT($B180,"yymm")&amp;"-"&amp;TEXT(COUNTIFS($B$3:$B180,"&gt;="&amp;DATE(YEAR($B180),MONTH($B180),1),$B$3:$B180,"&lt;="&amp;EOMONTH($B180,0)),"000"))</f>
        <v/>
      </c>
      <c r="B180" s="13"/>
      <c r="C180" s="10"/>
      <c r="D180" s="10"/>
      <c r="E180" s="12" t="str">
        <f aca="false">IF($D180="","",IFERROR(INDEX(품목목록!$B$3:$B$302,MATCH($D180,품목목록!$A$3:$A$302,0)),"미등록품번"))</f>
        <v/>
      </c>
      <c r="F180" s="12" t="str">
        <f aca="false">IF($D180="","",IFERROR(INDEX(품목목록!$C$3:$C$302,MATCH($D180,품목목록!$A$3:$A$302,0)),""))</f>
        <v/>
      </c>
      <c r="G180" s="12" t="str">
        <f aca="false">IF($D180="","",IFERROR(INDEX(품목목록!$D$3:$D$302,MATCH($D180,품목목록!$A$3:$A$302,0)),""))</f>
        <v/>
      </c>
      <c r="H180" s="12" t="str">
        <f aca="false">IF($D180="","",IFERROR(INDEX(품목목록!$E$3:$E$302,MATCH($D180,품목목록!$A$3:$A$302,0)),""))</f>
        <v/>
      </c>
      <c r="I180" s="14"/>
      <c r="J180" s="10"/>
      <c r="K180" s="10"/>
      <c r="L180" s="10"/>
      <c r="M180" s="15" t="str">
        <f aca="false">IF($A180="","",SUMIFS(처리내역!$E$3:$E$1502,처리내역!$B$3:$B$1502,$A180))</f>
        <v/>
      </c>
      <c r="N180" s="15" t="str">
        <f aca="false">IF($A180="","",IF($I180="","",$I180-$M180))</f>
        <v/>
      </c>
      <c r="O180" s="12" t="str">
        <f aca="false">IF($A180="","",IF($I180="","",IF($M180=0,"미처리",IF($N180&lt;=0,"완료","부분처리"))))</f>
        <v/>
      </c>
    </row>
    <row r="181" customFormat="false" ht="15" hidden="false" customHeight="true" outlineLevel="0" collapsed="false">
      <c r="A181" s="12" t="str">
        <f aca="false">IF($B181="","",TEXT($B181,"yymm")&amp;"-"&amp;TEXT(COUNTIFS($B$3:$B181,"&gt;="&amp;DATE(YEAR($B181),MONTH($B181),1),$B$3:$B181,"&lt;="&amp;EOMONTH($B181,0)),"000"))</f>
        <v/>
      </c>
      <c r="B181" s="13"/>
      <c r="C181" s="10"/>
      <c r="D181" s="10"/>
      <c r="E181" s="12" t="str">
        <f aca="false">IF($D181="","",IFERROR(INDEX(품목목록!$B$3:$B$302,MATCH($D181,품목목록!$A$3:$A$302,0)),"미등록품번"))</f>
        <v/>
      </c>
      <c r="F181" s="12" t="str">
        <f aca="false">IF($D181="","",IFERROR(INDEX(품목목록!$C$3:$C$302,MATCH($D181,품목목록!$A$3:$A$302,0)),""))</f>
        <v/>
      </c>
      <c r="G181" s="12" t="str">
        <f aca="false">IF($D181="","",IFERROR(INDEX(품목목록!$D$3:$D$302,MATCH($D181,품목목록!$A$3:$A$302,0)),""))</f>
        <v/>
      </c>
      <c r="H181" s="12" t="str">
        <f aca="false">IF($D181="","",IFERROR(INDEX(품목목록!$E$3:$E$302,MATCH($D181,품목목록!$A$3:$A$302,0)),""))</f>
        <v/>
      </c>
      <c r="I181" s="14"/>
      <c r="J181" s="10"/>
      <c r="K181" s="10"/>
      <c r="L181" s="10"/>
      <c r="M181" s="15" t="str">
        <f aca="false">IF($A181="","",SUMIFS(처리내역!$E$3:$E$1502,처리내역!$B$3:$B$1502,$A181))</f>
        <v/>
      </c>
      <c r="N181" s="15" t="str">
        <f aca="false">IF($A181="","",IF($I181="","",$I181-$M181))</f>
        <v/>
      </c>
      <c r="O181" s="12" t="str">
        <f aca="false">IF($A181="","",IF($I181="","",IF($M181=0,"미처리",IF($N181&lt;=0,"완료","부분처리"))))</f>
        <v/>
      </c>
    </row>
    <row r="182" customFormat="false" ht="15" hidden="false" customHeight="true" outlineLevel="0" collapsed="false">
      <c r="A182" s="12" t="str">
        <f aca="false">IF($B182="","",TEXT($B182,"yymm")&amp;"-"&amp;TEXT(COUNTIFS($B$3:$B182,"&gt;="&amp;DATE(YEAR($B182),MONTH($B182),1),$B$3:$B182,"&lt;="&amp;EOMONTH($B182,0)),"000"))</f>
        <v/>
      </c>
      <c r="B182" s="13"/>
      <c r="C182" s="10"/>
      <c r="D182" s="10"/>
      <c r="E182" s="12" t="str">
        <f aca="false">IF($D182="","",IFERROR(INDEX(품목목록!$B$3:$B$302,MATCH($D182,품목목록!$A$3:$A$302,0)),"미등록품번"))</f>
        <v/>
      </c>
      <c r="F182" s="12" t="str">
        <f aca="false">IF($D182="","",IFERROR(INDEX(품목목록!$C$3:$C$302,MATCH($D182,품목목록!$A$3:$A$302,0)),""))</f>
        <v/>
      </c>
      <c r="G182" s="12" t="str">
        <f aca="false">IF($D182="","",IFERROR(INDEX(품목목록!$D$3:$D$302,MATCH($D182,품목목록!$A$3:$A$302,0)),""))</f>
        <v/>
      </c>
      <c r="H182" s="12" t="str">
        <f aca="false">IF($D182="","",IFERROR(INDEX(품목목록!$E$3:$E$302,MATCH($D182,품목목록!$A$3:$A$302,0)),""))</f>
        <v/>
      </c>
      <c r="I182" s="14"/>
      <c r="J182" s="10"/>
      <c r="K182" s="10"/>
      <c r="L182" s="10"/>
      <c r="M182" s="15" t="str">
        <f aca="false">IF($A182="","",SUMIFS(처리내역!$E$3:$E$1502,처리내역!$B$3:$B$1502,$A182))</f>
        <v/>
      </c>
      <c r="N182" s="15" t="str">
        <f aca="false">IF($A182="","",IF($I182="","",$I182-$M182))</f>
        <v/>
      </c>
      <c r="O182" s="12" t="str">
        <f aca="false">IF($A182="","",IF($I182="","",IF($M182=0,"미처리",IF($N182&lt;=0,"완료","부분처리"))))</f>
        <v/>
      </c>
    </row>
    <row r="183" customFormat="false" ht="15" hidden="false" customHeight="true" outlineLevel="0" collapsed="false">
      <c r="A183" s="12" t="str">
        <f aca="false">IF($B183="","",TEXT($B183,"yymm")&amp;"-"&amp;TEXT(COUNTIFS($B$3:$B183,"&gt;="&amp;DATE(YEAR($B183),MONTH($B183),1),$B$3:$B183,"&lt;="&amp;EOMONTH($B183,0)),"000"))</f>
        <v/>
      </c>
      <c r="B183" s="13"/>
      <c r="C183" s="10"/>
      <c r="D183" s="10"/>
      <c r="E183" s="12" t="str">
        <f aca="false">IF($D183="","",IFERROR(INDEX(품목목록!$B$3:$B$302,MATCH($D183,품목목록!$A$3:$A$302,0)),"미등록품번"))</f>
        <v/>
      </c>
      <c r="F183" s="12" t="str">
        <f aca="false">IF($D183="","",IFERROR(INDEX(품목목록!$C$3:$C$302,MATCH($D183,품목목록!$A$3:$A$302,0)),""))</f>
        <v/>
      </c>
      <c r="G183" s="12" t="str">
        <f aca="false">IF($D183="","",IFERROR(INDEX(품목목록!$D$3:$D$302,MATCH($D183,품목목록!$A$3:$A$302,0)),""))</f>
        <v/>
      </c>
      <c r="H183" s="12" t="str">
        <f aca="false">IF($D183="","",IFERROR(INDEX(품목목록!$E$3:$E$302,MATCH($D183,품목목록!$A$3:$A$302,0)),""))</f>
        <v/>
      </c>
      <c r="I183" s="14"/>
      <c r="J183" s="10"/>
      <c r="K183" s="10"/>
      <c r="L183" s="10"/>
      <c r="M183" s="15" t="str">
        <f aca="false">IF($A183="","",SUMIFS(처리내역!$E$3:$E$1502,처리내역!$B$3:$B$1502,$A183))</f>
        <v/>
      </c>
      <c r="N183" s="15" t="str">
        <f aca="false">IF($A183="","",IF($I183="","",$I183-$M183))</f>
        <v/>
      </c>
      <c r="O183" s="12" t="str">
        <f aca="false">IF($A183="","",IF($I183="","",IF($M183=0,"미처리",IF($N183&lt;=0,"완료","부분처리"))))</f>
        <v/>
      </c>
    </row>
    <row r="184" customFormat="false" ht="15" hidden="false" customHeight="true" outlineLevel="0" collapsed="false">
      <c r="A184" s="12" t="str">
        <f aca="false">IF($B184="","",TEXT($B184,"yymm")&amp;"-"&amp;TEXT(COUNTIFS($B$3:$B184,"&gt;="&amp;DATE(YEAR($B184),MONTH($B184),1),$B$3:$B184,"&lt;="&amp;EOMONTH($B184,0)),"000"))</f>
        <v/>
      </c>
      <c r="B184" s="13"/>
      <c r="C184" s="10"/>
      <c r="D184" s="10"/>
      <c r="E184" s="12" t="str">
        <f aca="false">IF($D184="","",IFERROR(INDEX(품목목록!$B$3:$B$302,MATCH($D184,품목목록!$A$3:$A$302,0)),"미등록품번"))</f>
        <v/>
      </c>
      <c r="F184" s="12" t="str">
        <f aca="false">IF($D184="","",IFERROR(INDEX(품목목록!$C$3:$C$302,MATCH($D184,품목목록!$A$3:$A$302,0)),""))</f>
        <v/>
      </c>
      <c r="G184" s="12" t="str">
        <f aca="false">IF($D184="","",IFERROR(INDEX(품목목록!$D$3:$D$302,MATCH($D184,품목목록!$A$3:$A$302,0)),""))</f>
        <v/>
      </c>
      <c r="H184" s="12" t="str">
        <f aca="false">IF($D184="","",IFERROR(INDEX(품목목록!$E$3:$E$302,MATCH($D184,품목목록!$A$3:$A$302,0)),""))</f>
        <v/>
      </c>
      <c r="I184" s="14"/>
      <c r="J184" s="10"/>
      <c r="K184" s="10"/>
      <c r="L184" s="10"/>
      <c r="M184" s="15" t="str">
        <f aca="false">IF($A184="","",SUMIFS(처리내역!$E$3:$E$1502,처리내역!$B$3:$B$1502,$A184))</f>
        <v/>
      </c>
      <c r="N184" s="15" t="str">
        <f aca="false">IF($A184="","",IF($I184="","",$I184-$M184))</f>
        <v/>
      </c>
      <c r="O184" s="12" t="str">
        <f aca="false">IF($A184="","",IF($I184="","",IF($M184=0,"미처리",IF($N184&lt;=0,"완료","부분처리"))))</f>
        <v/>
      </c>
    </row>
    <row r="185" customFormat="false" ht="15" hidden="false" customHeight="true" outlineLevel="0" collapsed="false">
      <c r="A185" s="12" t="str">
        <f aca="false">IF($B185="","",TEXT($B185,"yymm")&amp;"-"&amp;TEXT(COUNTIFS($B$3:$B185,"&gt;="&amp;DATE(YEAR($B185),MONTH($B185),1),$B$3:$B185,"&lt;="&amp;EOMONTH($B185,0)),"000"))</f>
        <v/>
      </c>
      <c r="B185" s="13"/>
      <c r="C185" s="10"/>
      <c r="D185" s="10"/>
      <c r="E185" s="12" t="str">
        <f aca="false">IF($D185="","",IFERROR(INDEX(품목목록!$B$3:$B$302,MATCH($D185,품목목록!$A$3:$A$302,0)),"미등록품번"))</f>
        <v/>
      </c>
      <c r="F185" s="12" t="str">
        <f aca="false">IF($D185="","",IFERROR(INDEX(품목목록!$C$3:$C$302,MATCH($D185,품목목록!$A$3:$A$302,0)),""))</f>
        <v/>
      </c>
      <c r="G185" s="12" t="str">
        <f aca="false">IF($D185="","",IFERROR(INDEX(품목목록!$D$3:$D$302,MATCH($D185,품목목록!$A$3:$A$302,0)),""))</f>
        <v/>
      </c>
      <c r="H185" s="12" t="str">
        <f aca="false">IF($D185="","",IFERROR(INDEX(품목목록!$E$3:$E$302,MATCH($D185,품목목록!$A$3:$A$302,0)),""))</f>
        <v/>
      </c>
      <c r="I185" s="14"/>
      <c r="J185" s="10"/>
      <c r="K185" s="10"/>
      <c r="L185" s="10"/>
      <c r="M185" s="15" t="str">
        <f aca="false">IF($A185="","",SUMIFS(처리내역!$E$3:$E$1502,처리내역!$B$3:$B$1502,$A185))</f>
        <v/>
      </c>
      <c r="N185" s="15" t="str">
        <f aca="false">IF($A185="","",IF($I185="","",$I185-$M185))</f>
        <v/>
      </c>
      <c r="O185" s="12" t="str">
        <f aca="false">IF($A185="","",IF($I185="","",IF($M185=0,"미처리",IF($N185&lt;=0,"완료","부분처리"))))</f>
        <v/>
      </c>
    </row>
    <row r="186" customFormat="false" ht="15" hidden="false" customHeight="true" outlineLevel="0" collapsed="false">
      <c r="A186" s="12" t="str">
        <f aca="false">IF($B186="","",TEXT($B186,"yymm")&amp;"-"&amp;TEXT(COUNTIFS($B$3:$B186,"&gt;="&amp;DATE(YEAR($B186),MONTH($B186),1),$B$3:$B186,"&lt;="&amp;EOMONTH($B186,0)),"000"))</f>
        <v/>
      </c>
      <c r="B186" s="13"/>
      <c r="C186" s="10"/>
      <c r="D186" s="10"/>
      <c r="E186" s="12" t="str">
        <f aca="false">IF($D186="","",IFERROR(INDEX(품목목록!$B$3:$B$302,MATCH($D186,품목목록!$A$3:$A$302,0)),"미등록품번"))</f>
        <v/>
      </c>
      <c r="F186" s="12" t="str">
        <f aca="false">IF($D186="","",IFERROR(INDEX(품목목록!$C$3:$C$302,MATCH($D186,품목목록!$A$3:$A$302,0)),""))</f>
        <v/>
      </c>
      <c r="G186" s="12" t="str">
        <f aca="false">IF($D186="","",IFERROR(INDEX(품목목록!$D$3:$D$302,MATCH($D186,품목목록!$A$3:$A$302,0)),""))</f>
        <v/>
      </c>
      <c r="H186" s="12" t="str">
        <f aca="false">IF($D186="","",IFERROR(INDEX(품목목록!$E$3:$E$302,MATCH($D186,품목목록!$A$3:$A$302,0)),""))</f>
        <v/>
      </c>
      <c r="I186" s="14"/>
      <c r="J186" s="10"/>
      <c r="K186" s="10"/>
      <c r="L186" s="10"/>
      <c r="M186" s="15" t="str">
        <f aca="false">IF($A186="","",SUMIFS(처리내역!$E$3:$E$1502,처리내역!$B$3:$B$1502,$A186))</f>
        <v/>
      </c>
      <c r="N186" s="15" t="str">
        <f aca="false">IF($A186="","",IF($I186="","",$I186-$M186))</f>
        <v/>
      </c>
      <c r="O186" s="12" t="str">
        <f aca="false">IF($A186="","",IF($I186="","",IF($M186=0,"미처리",IF($N186&lt;=0,"완료","부분처리"))))</f>
        <v/>
      </c>
    </row>
    <row r="187" customFormat="false" ht="15" hidden="false" customHeight="true" outlineLevel="0" collapsed="false">
      <c r="A187" s="12" t="str">
        <f aca="false">IF($B187="","",TEXT($B187,"yymm")&amp;"-"&amp;TEXT(COUNTIFS($B$3:$B187,"&gt;="&amp;DATE(YEAR($B187),MONTH($B187),1),$B$3:$B187,"&lt;="&amp;EOMONTH($B187,0)),"000"))</f>
        <v/>
      </c>
      <c r="B187" s="13"/>
      <c r="C187" s="10"/>
      <c r="D187" s="10"/>
      <c r="E187" s="12" t="str">
        <f aca="false">IF($D187="","",IFERROR(INDEX(품목목록!$B$3:$B$302,MATCH($D187,품목목록!$A$3:$A$302,0)),"미등록품번"))</f>
        <v/>
      </c>
      <c r="F187" s="12" t="str">
        <f aca="false">IF($D187="","",IFERROR(INDEX(품목목록!$C$3:$C$302,MATCH($D187,품목목록!$A$3:$A$302,0)),""))</f>
        <v/>
      </c>
      <c r="G187" s="12" t="str">
        <f aca="false">IF($D187="","",IFERROR(INDEX(품목목록!$D$3:$D$302,MATCH($D187,품목목록!$A$3:$A$302,0)),""))</f>
        <v/>
      </c>
      <c r="H187" s="12" t="str">
        <f aca="false">IF($D187="","",IFERROR(INDEX(품목목록!$E$3:$E$302,MATCH($D187,품목목록!$A$3:$A$302,0)),""))</f>
        <v/>
      </c>
      <c r="I187" s="14"/>
      <c r="J187" s="10"/>
      <c r="K187" s="10"/>
      <c r="L187" s="10"/>
      <c r="M187" s="15" t="str">
        <f aca="false">IF($A187="","",SUMIFS(처리내역!$E$3:$E$1502,처리내역!$B$3:$B$1502,$A187))</f>
        <v/>
      </c>
      <c r="N187" s="15" t="str">
        <f aca="false">IF($A187="","",IF($I187="","",$I187-$M187))</f>
        <v/>
      </c>
      <c r="O187" s="12" t="str">
        <f aca="false">IF($A187="","",IF($I187="","",IF($M187=0,"미처리",IF($N187&lt;=0,"완료","부분처리"))))</f>
        <v/>
      </c>
    </row>
    <row r="188" customFormat="false" ht="15" hidden="false" customHeight="true" outlineLevel="0" collapsed="false">
      <c r="A188" s="12" t="str">
        <f aca="false">IF($B188="","",TEXT($B188,"yymm")&amp;"-"&amp;TEXT(COUNTIFS($B$3:$B188,"&gt;="&amp;DATE(YEAR($B188),MONTH($B188),1),$B$3:$B188,"&lt;="&amp;EOMONTH($B188,0)),"000"))</f>
        <v/>
      </c>
      <c r="B188" s="13"/>
      <c r="C188" s="10"/>
      <c r="D188" s="10"/>
      <c r="E188" s="12" t="str">
        <f aca="false">IF($D188="","",IFERROR(INDEX(품목목록!$B$3:$B$302,MATCH($D188,품목목록!$A$3:$A$302,0)),"미등록품번"))</f>
        <v/>
      </c>
      <c r="F188" s="12" t="str">
        <f aca="false">IF($D188="","",IFERROR(INDEX(품목목록!$C$3:$C$302,MATCH($D188,품목목록!$A$3:$A$302,0)),""))</f>
        <v/>
      </c>
      <c r="G188" s="12" t="str">
        <f aca="false">IF($D188="","",IFERROR(INDEX(품목목록!$D$3:$D$302,MATCH($D188,품목목록!$A$3:$A$302,0)),""))</f>
        <v/>
      </c>
      <c r="H188" s="12" t="str">
        <f aca="false">IF($D188="","",IFERROR(INDEX(품목목록!$E$3:$E$302,MATCH($D188,품목목록!$A$3:$A$302,0)),""))</f>
        <v/>
      </c>
      <c r="I188" s="14"/>
      <c r="J188" s="10"/>
      <c r="K188" s="10"/>
      <c r="L188" s="10"/>
      <c r="M188" s="15" t="str">
        <f aca="false">IF($A188="","",SUMIFS(처리내역!$E$3:$E$1502,처리내역!$B$3:$B$1502,$A188))</f>
        <v/>
      </c>
      <c r="N188" s="15" t="str">
        <f aca="false">IF($A188="","",IF($I188="","",$I188-$M188))</f>
        <v/>
      </c>
      <c r="O188" s="12" t="str">
        <f aca="false">IF($A188="","",IF($I188="","",IF($M188=0,"미처리",IF($N188&lt;=0,"완료","부분처리"))))</f>
        <v/>
      </c>
    </row>
    <row r="189" customFormat="false" ht="15" hidden="false" customHeight="true" outlineLevel="0" collapsed="false">
      <c r="A189" s="12" t="str">
        <f aca="false">IF($B189="","",TEXT($B189,"yymm")&amp;"-"&amp;TEXT(COUNTIFS($B$3:$B189,"&gt;="&amp;DATE(YEAR($B189),MONTH($B189),1),$B$3:$B189,"&lt;="&amp;EOMONTH($B189,0)),"000"))</f>
        <v/>
      </c>
      <c r="B189" s="13"/>
      <c r="C189" s="10"/>
      <c r="D189" s="10"/>
      <c r="E189" s="12" t="str">
        <f aca="false">IF($D189="","",IFERROR(INDEX(품목목록!$B$3:$B$302,MATCH($D189,품목목록!$A$3:$A$302,0)),"미등록품번"))</f>
        <v/>
      </c>
      <c r="F189" s="12" t="str">
        <f aca="false">IF($D189="","",IFERROR(INDEX(품목목록!$C$3:$C$302,MATCH($D189,품목목록!$A$3:$A$302,0)),""))</f>
        <v/>
      </c>
      <c r="G189" s="12" t="str">
        <f aca="false">IF($D189="","",IFERROR(INDEX(품목목록!$D$3:$D$302,MATCH($D189,품목목록!$A$3:$A$302,0)),""))</f>
        <v/>
      </c>
      <c r="H189" s="12" t="str">
        <f aca="false">IF($D189="","",IFERROR(INDEX(품목목록!$E$3:$E$302,MATCH($D189,품목목록!$A$3:$A$302,0)),""))</f>
        <v/>
      </c>
      <c r="I189" s="14"/>
      <c r="J189" s="10"/>
      <c r="K189" s="10"/>
      <c r="L189" s="10"/>
      <c r="M189" s="15" t="str">
        <f aca="false">IF($A189="","",SUMIFS(처리내역!$E$3:$E$1502,처리내역!$B$3:$B$1502,$A189))</f>
        <v/>
      </c>
      <c r="N189" s="15" t="str">
        <f aca="false">IF($A189="","",IF($I189="","",$I189-$M189))</f>
        <v/>
      </c>
      <c r="O189" s="12" t="str">
        <f aca="false">IF($A189="","",IF($I189="","",IF($M189=0,"미처리",IF($N189&lt;=0,"완료","부분처리"))))</f>
        <v/>
      </c>
    </row>
    <row r="190" customFormat="false" ht="15" hidden="false" customHeight="true" outlineLevel="0" collapsed="false">
      <c r="A190" s="12" t="str">
        <f aca="false">IF($B190="","",TEXT($B190,"yymm")&amp;"-"&amp;TEXT(COUNTIFS($B$3:$B190,"&gt;="&amp;DATE(YEAR($B190),MONTH($B190),1),$B$3:$B190,"&lt;="&amp;EOMONTH($B190,0)),"000"))</f>
        <v/>
      </c>
      <c r="B190" s="13"/>
      <c r="C190" s="10"/>
      <c r="D190" s="10"/>
      <c r="E190" s="12" t="str">
        <f aca="false">IF($D190="","",IFERROR(INDEX(품목목록!$B$3:$B$302,MATCH($D190,품목목록!$A$3:$A$302,0)),"미등록품번"))</f>
        <v/>
      </c>
      <c r="F190" s="12" t="str">
        <f aca="false">IF($D190="","",IFERROR(INDEX(품목목록!$C$3:$C$302,MATCH($D190,품목목록!$A$3:$A$302,0)),""))</f>
        <v/>
      </c>
      <c r="G190" s="12" t="str">
        <f aca="false">IF($D190="","",IFERROR(INDEX(품목목록!$D$3:$D$302,MATCH($D190,품목목록!$A$3:$A$302,0)),""))</f>
        <v/>
      </c>
      <c r="H190" s="12" t="str">
        <f aca="false">IF($D190="","",IFERROR(INDEX(품목목록!$E$3:$E$302,MATCH($D190,품목목록!$A$3:$A$302,0)),""))</f>
        <v/>
      </c>
      <c r="I190" s="14"/>
      <c r="J190" s="10"/>
      <c r="K190" s="10"/>
      <c r="L190" s="10"/>
      <c r="M190" s="15" t="str">
        <f aca="false">IF($A190="","",SUMIFS(처리내역!$E$3:$E$1502,처리내역!$B$3:$B$1502,$A190))</f>
        <v/>
      </c>
      <c r="N190" s="15" t="str">
        <f aca="false">IF($A190="","",IF($I190="","",$I190-$M190))</f>
        <v/>
      </c>
      <c r="O190" s="12" t="str">
        <f aca="false">IF($A190="","",IF($I190="","",IF($M190=0,"미처리",IF($N190&lt;=0,"완료","부분처리"))))</f>
        <v/>
      </c>
    </row>
    <row r="191" customFormat="false" ht="15" hidden="false" customHeight="true" outlineLevel="0" collapsed="false">
      <c r="A191" s="12" t="str">
        <f aca="false">IF($B191="","",TEXT($B191,"yymm")&amp;"-"&amp;TEXT(COUNTIFS($B$3:$B191,"&gt;="&amp;DATE(YEAR($B191),MONTH($B191),1),$B$3:$B191,"&lt;="&amp;EOMONTH($B191,0)),"000"))</f>
        <v/>
      </c>
      <c r="B191" s="13"/>
      <c r="C191" s="10"/>
      <c r="D191" s="10"/>
      <c r="E191" s="12" t="str">
        <f aca="false">IF($D191="","",IFERROR(INDEX(품목목록!$B$3:$B$302,MATCH($D191,품목목록!$A$3:$A$302,0)),"미등록품번"))</f>
        <v/>
      </c>
      <c r="F191" s="12" t="str">
        <f aca="false">IF($D191="","",IFERROR(INDEX(품목목록!$C$3:$C$302,MATCH($D191,품목목록!$A$3:$A$302,0)),""))</f>
        <v/>
      </c>
      <c r="G191" s="12" t="str">
        <f aca="false">IF($D191="","",IFERROR(INDEX(품목목록!$D$3:$D$302,MATCH($D191,품목목록!$A$3:$A$302,0)),""))</f>
        <v/>
      </c>
      <c r="H191" s="12" t="str">
        <f aca="false">IF($D191="","",IFERROR(INDEX(품목목록!$E$3:$E$302,MATCH($D191,품목목록!$A$3:$A$302,0)),""))</f>
        <v/>
      </c>
      <c r="I191" s="14"/>
      <c r="J191" s="10"/>
      <c r="K191" s="10"/>
      <c r="L191" s="10"/>
      <c r="M191" s="15" t="str">
        <f aca="false">IF($A191="","",SUMIFS(처리내역!$E$3:$E$1502,처리내역!$B$3:$B$1502,$A191))</f>
        <v/>
      </c>
      <c r="N191" s="15" t="str">
        <f aca="false">IF($A191="","",IF($I191="","",$I191-$M191))</f>
        <v/>
      </c>
      <c r="O191" s="12" t="str">
        <f aca="false">IF($A191="","",IF($I191="","",IF($M191=0,"미처리",IF($N191&lt;=0,"완료","부분처리"))))</f>
        <v/>
      </c>
    </row>
    <row r="192" customFormat="false" ht="15" hidden="false" customHeight="true" outlineLevel="0" collapsed="false">
      <c r="A192" s="12" t="str">
        <f aca="false">IF($B192="","",TEXT($B192,"yymm")&amp;"-"&amp;TEXT(COUNTIFS($B$3:$B192,"&gt;="&amp;DATE(YEAR($B192),MONTH($B192),1),$B$3:$B192,"&lt;="&amp;EOMONTH($B192,0)),"000"))</f>
        <v/>
      </c>
      <c r="B192" s="13"/>
      <c r="C192" s="10"/>
      <c r="D192" s="10"/>
      <c r="E192" s="12" t="str">
        <f aca="false">IF($D192="","",IFERROR(INDEX(품목목록!$B$3:$B$302,MATCH($D192,품목목록!$A$3:$A$302,0)),"미등록품번"))</f>
        <v/>
      </c>
      <c r="F192" s="12" t="str">
        <f aca="false">IF($D192="","",IFERROR(INDEX(품목목록!$C$3:$C$302,MATCH($D192,품목목록!$A$3:$A$302,0)),""))</f>
        <v/>
      </c>
      <c r="G192" s="12" t="str">
        <f aca="false">IF($D192="","",IFERROR(INDEX(품목목록!$D$3:$D$302,MATCH($D192,품목목록!$A$3:$A$302,0)),""))</f>
        <v/>
      </c>
      <c r="H192" s="12" t="str">
        <f aca="false">IF($D192="","",IFERROR(INDEX(품목목록!$E$3:$E$302,MATCH($D192,품목목록!$A$3:$A$302,0)),""))</f>
        <v/>
      </c>
      <c r="I192" s="14"/>
      <c r="J192" s="10"/>
      <c r="K192" s="10"/>
      <c r="L192" s="10"/>
      <c r="M192" s="15" t="str">
        <f aca="false">IF($A192="","",SUMIFS(처리내역!$E$3:$E$1502,처리내역!$B$3:$B$1502,$A192))</f>
        <v/>
      </c>
      <c r="N192" s="15" t="str">
        <f aca="false">IF($A192="","",IF($I192="","",$I192-$M192))</f>
        <v/>
      </c>
      <c r="O192" s="12" t="str">
        <f aca="false">IF($A192="","",IF($I192="","",IF($M192=0,"미처리",IF($N192&lt;=0,"완료","부분처리"))))</f>
        <v/>
      </c>
    </row>
    <row r="193" customFormat="false" ht="15" hidden="false" customHeight="true" outlineLevel="0" collapsed="false">
      <c r="A193" s="12" t="str">
        <f aca="false">IF($B193="","",TEXT($B193,"yymm")&amp;"-"&amp;TEXT(COUNTIFS($B$3:$B193,"&gt;="&amp;DATE(YEAR($B193),MONTH($B193),1),$B$3:$B193,"&lt;="&amp;EOMONTH($B193,0)),"000"))</f>
        <v/>
      </c>
      <c r="B193" s="13"/>
      <c r="C193" s="10"/>
      <c r="D193" s="10"/>
      <c r="E193" s="12" t="str">
        <f aca="false">IF($D193="","",IFERROR(INDEX(품목목록!$B$3:$B$302,MATCH($D193,품목목록!$A$3:$A$302,0)),"미등록품번"))</f>
        <v/>
      </c>
      <c r="F193" s="12" t="str">
        <f aca="false">IF($D193="","",IFERROR(INDEX(품목목록!$C$3:$C$302,MATCH($D193,품목목록!$A$3:$A$302,0)),""))</f>
        <v/>
      </c>
      <c r="G193" s="12" t="str">
        <f aca="false">IF($D193="","",IFERROR(INDEX(품목목록!$D$3:$D$302,MATCH($D193,품목목록!$A$3:$A$302,0)),""))</f>
        <v/>
      </c>
      <c r="H193" s="12" t="str">
        <f aca="false">IF($D193="","",IFERROR(INDEX(품목목록!$E$3:$E$302,MATCH($D193,품목목록!$A$3:$A$302,0)),""))</f>
        <v/>
      </c>
      <c r="I193" s="14"/>
      <c r="J193" s="10"/>
      <c r="K193" s="10"/>
      <c r="L193" s="10"/>
      <c r="M193" s="15" t="str">
        <f aca="false">IF($A193="","",SUMIFS(처리내역!$E$3:$E$1502,처리내역!$B$3:$B$1502,$A193))</f>
        <v/>
      </c>
      <c r="N193" s="15" t="str">
        <f aca="false">IF($A193="","",IF($I193="","",$I193-$M193))</f>
        <v/>
      </c>
      <c r="O193" s="12" t="str">
        <f aca="false">IF($A193="","",IF($I193="","",IF($M193=0,"미처리",IF($N193&lt;=0,"완료","부분처리"))))</f>
        <v/>
      </c>
    </row>
    <row r="194" customFormat="false" ht="15" hidden="false" customHeight="true" outlineLevel="0" collapsed="false">
      <c r="A194" s="12" t="str">
        <f aca="false">IF($B194="","",TEXT($B194,"yymm")&amp;"-"&amp;TEXT(COUNTIFS($B$3:$B194,"&gt;="&amp;DATE(YEAR($B194),MONTH($B194),1),$B$3:$B194,"&lt;="&amp;EOMONTH($B194,0)),"000"))</f>
        <v/>
      </c>
      <c r="B194" s="13"/>
      <c r="C194" s="10"/>
      <c r="D194" s="10"/>
      <c r="E194" s="12" t="str">
        <f aca="false">IF($D194="","",IFERROR(INDEX(품목목록!$B$3:$B$302,MATCH($D194,품목목록!$A$3:$A$302,0)),"미등록품번"))</f>
        <v/>
      </c>
      <c r="F194" s="12" t="str">
        <f aca="false">IF($D194="","",IFERROR(INDEX(품목목록!$C$3:$C$302,MATCH($D194,품목목록!$A$3:$A$302,0)),""))</f>
        <v/>
      </c>
      <c r="G194" s="12" t="str">
        <f aca="false">IF($D194="","",IFERROR(INDEX(품목목록!$D$3:$D$302,MATCH($D194,품목목록!$A$3:$A$302,0)),""))</f>
        <v/>
      </c>
      <c r="H194" s="12" t="str">
        <f aca="false">IF($D194="","",IFERROR(INDEX(품목목록!$E$3:$E$302,MATCH($D194,품목목록!$A$3:$A$302,0)),""))</f>
        <v/>
      </c>
      <c r="I194" s="14"/>
      <c r="J194" s="10"/>
      <c r="K194" s="10"/>
      <c r="L194" s="10"/>
      <c r="M194" s="15" t="str">
        <f aca="false">IF($A194="","",SUMIFS(처리내역!$E$3:$E$1502,처리내역!$B$3:$B$1502,$A194))</f>
        <v/>
      </c>
      <c r="N194" s="15" t="str">
        <f aca="false">IF($A194="","",IF($I194="","",$I194-$M194))</f>
        <v/>
      </c>
      <c r="O194" s="12" t="str">
        <f aca="false">IF($A194="","",IF($I194="","",IF($M194=0,"미처리",IF($N194&lt;=0,"완료","부분처리"))))</f>
        <v/>
      </c>
    </row>
    <row r="195" customFormat="false" ht="15" hidden="false" customHeight="true" outlineLevel="0" collapsed="false">
      <c r="A195" s="12" t="str">
        <f aca="false">IF($B195="","",TEXT($B195,"yymm")&amp;"-"&amp;TEXT(COUNTIFS($B$3:$B195,"&gt;="&amp;DATE(YEAR($B195),MONTH($B195),1),$B$3:$B195,"&lt;="&amp;EOMONTH($B195,0)),"000"))</f>
        <v/>
      </c>
      <c r="B195" s="13"/>
      <c r="C195" s="10"/>
      <c r="D195" s="10"/>
      <c r="E195" s="12" t="str">
        <f aca="false">IF($D195="","",IFERROR(INDEX(품목목록!$B$3:$B$302,MATCH($D195,품목목록!$A$3:$A$302,0)),"미등록품번"))</f>
        <v/>
      </c>
      <c r="F195" s="12" t="str">
        <f aca="false">IF($D195="","",IFERROR(INDEX(품목목록!$C$3:$C$302,MATCH($D195,품목목록!$A$3:$A$302,0)),""))</f>
        <v/>
      </c>
      <c r="G195" s="12" t="str">
        <f aca="false">IF($D195="","",IFERROR(INDEX(품목목록!$D$3:$D$302,MATCH($D195,품목목록!$A$3:$A$302,0)),""))</f>
        <v/>
      </c>
      <c r="H195" s="12" t="str">
        <f aca="false">IF($D195="","",IFERROR(INDEX(품목목록!$E$3:$E$302,MATCH($D195,품목목록!$A$3:$A$302,0)),""))</f>
        <v/>
      </c>
      <c r="I195" s="14"/>
      <c r="J195" s="10"/>
      <c r="K195" s="10"/>
      <c r="L195" s="10"/>
      <c r="M195" s="15" t="str">
        <f aca="false">IF($A195="","",SUMIFS(처리내역!$E$3:$E$1502,처리내역!$B$3:$B$1502,$A195))</f>
        <v/>
      </c>
      <c r="N195" s="15" t="str">
        <f aca="false">IF($A195="","",IF($I195="","",$I195-$M195))</f>
        <v/>
      </c>
      <c r="O195" s="12" t="str">
        <f aca="false">IF($A195="","",IF($I195="","",IF($M195=0,"미처리",IF($N195&lt;=0,"완료","부분처리"))))</f>
        <v/>
      </c>
    </row>
    <row r="196" customFormat="false" ht="15" hidden="false" customHeight="true" outlineLevel="0" collapsed="false">
      <c r="A196" s="12" t="str">
        <f aca="false">IF($B196="","",TEXT($B196,"yymm")&amp;"-"&amp;TEXT(COUNTIFS($B$3:$B196,"&gt;="&amp;DATE(YEAR($B196),MONTH($B196),1),$B$3:$B196,"&lt;="&amp;EOMONTH($B196,0)),"000"))</f>
        <v/>
      </c>
      <c r="B196" s="13"/>
      <c r="C196" s="10"/>
      <c r="D196" s="10"/>
      <c r="E196" s="12" t="str">
        <f aca="false">IF($D196="","",IFERROR(INDEX(품목목록!$B$3:$B$302,MATCH($D196,품목목록!$A$3:$A$302,0)),"미등록품번"))</f>
        <v/>
      </c>
      <c r="F196" s="12" t="str">
        <f aca="false">IF($D196="","",IFERROR(INDEX(품목목록!$C$3:$C$302,MATCH($D196,품목목록!$A$3:$A$302,0)),""))</f>
        <v/>
      </c>
      <c r="G196" s="12" t="str">
        <f aca="false">IF($D196="","",IFERROR(INDEX(품목목록!$D$3:$D$302,MATCH($D196,품목목록!$A$3:$A$302,0)),""))</f>
        <v/>
      </c>
      <c r="H196" s="12" t="str">
        <f aca="false">IF($D196="","",IFERROR(INDEX(품목목록!$E$3:$E$302,MATCH($D196,품목목록!$A$3:$A$302,0)),""))</f>
        <v/>
      </c>
      <c r="I196" s="14"/>
      <c r="J196" s="10"/>
      <c r="K196" s="10"/>
      <c r="L196" s="10"/>
      <c r="M196" s="15" t="str">
        <f aca="false">IF($A196="","",SUMIFS(처리내역!$E$3:$E$1502,처리내역!$B$3:$B$1502,$A196))</f>
        <v/>
      </c>
      <c r="N196" s="15" t="str">
        <f aca="false">IF($A196="","",IF($I196="","",$I196-$M196))</f>
        <v/>
      </c>
      <c r="O196" s="12" t="str">
        <f aca="false">IF($A196="","",IF($I196="","",IF($M196=0,"미처리",IF($N196&lt;=0,"완료","부분처리"))))</f>
        <v/>
      </c>
    </row>
    <row r="197" customFormat="false" ht="15" hidden="false" customHeight="true" outlineLevel="0" collapsed="false">
      <c r="A197" s="12" t="str">
        <f aca="false">IF($B197="","",TEXT($B197,"yymm")&amp;"-"&amp;TEXT(COUNTIFS($B$3:$B197,"&gt;="&amp;DATE(YEAR($B197),MONTH($B197),1),$B$3:$B197,"&lt;="&amp;EOMONTH($B197,0)),"000"))</f>
        <v/>
      </c>
      <c r="B197" s="13"/>
      <c r="C197" s="10"/>
      <c r="D197" s="10"/>
      <c r="E197" s="12" t="str">
        <f aca="false">IF($D197="","",IFERROR(INDEX(품목목록!$B$3:$B$302,MATCH($D197,품목목록!$A$3:$A$302,0)),"미등록품번"))</f>
        <v/>
      </c>
      <c r="F197" s="12" t="str">
        <f aca="false">IF($D197="","",IFERROR(INDEX(품목목록!$C$3:$C$302,MATCH($D197,품목목록!$A$3:$A$302,0)),""))</f>
        <v/>
      </c>
      <c r="G197" s="12" t="str">
        <f aca="false">IF($D197="","",IFERROR(INDEX(품목목록!$D$3:$D$302,MATCH($D197,품목목록!$A$3:$A$302,0)),""))</f>
        <v/>
      </c>
      <c r="H197" s="12" t="str">
        <f aca="false">IF($D197="","",IFERROR(INDEX(품목목록!$E$3:$E$302,MATCH($D197,품목목록!$A$3:$A$302,0)),""))</f>
        <v/>
      </c>
      <c r="I197" s="14"/>
      <c r="J197" s="10"/>
      <c r="K197" s="10"/>
      <c r="L197" s="10"/>
      <c r="M197" s="15" t="str">
        <f aca="false">IF($A197="","",SUMIFS(처리내역!$E$3:$E$1502,처리내역!$B$3:$B$1502,$A197))</f>
        <v/>
      </c>
      <c r="N197" s="15" t="str">
        <f aca="false">IF($A197="","",IF($I197="","",$I197-$M197))</f>
        <v/>
      </c>
      <c r="O197" s="12" t="str">
        <f aca="false">IF($A197="","",IF($I197="","",IF($M197=0,"미처리",IF($N197&lt;=0,"완료","부분처리"))))</f>
        <v/>
      </c>
    </row>
    <row r="198" customFormat="false" ht="15" hidden="false" customHeight="true" outlineLevel="0" collapsed="false">
      <c r="A198" s="12" t="str">
        <f aca="false">IF($B198="","",TEXT($B198,"yymm")&amp;"-"&amp;TEXT(COUNTIFS($B$3:$B198,"&gt;="&amp;DATE(YEAR($B198),MONTH($B198),1),$B$3:$B198,"&lt;="&amp;EOMONTH($B198,0)),"000"))</f>
        <v/>
      </c>
      <c r="B198" s="13"/>
      <c r="C198" s="10"/>
      <c r="D198" s="10"/>
      <c r="E198" s="12" t="str">
        <f aca="false">IF($D198="","",IFERROR(INDEX(품목목록!$B$3:$B$302,MATCH($D198,품목목록!$A$3:$A$302,0)),"미등록품번"))</f>
        <v/>
      </c>
      <c r="F198" s="12" t="str">
        <f aca="false">IF($D198="","",IFERROR(INDEX(품목목록!$C$3:$C$302,MATCH($D198,품목목록!$A$3:$A$302,0)),""))</f>
        <v/>
      </c>
      <c r="G198" s="12" t="str">
        <f aca="false">IF($D198="","",IFERROR(INDEX(품목목록!$D$3:$D$302,MATCH($D198,품목목록!$A$3:$A$302,0)),""))</f>
        <v/>
      </c>
      <c r="H198" s="12" t="str">
        <f aca="false">IF($D198="","",IFERROR(INDEX(품목목록!$E$3:$E$302,MATCH($D198,품목목록!$A$3:$A$302,0)),""))</f>
        <v/>
      </c>
      <c r="I198" s="14"/>
      <c r="J198" s="10"/>
      <c r="K198" s="10"/>
      <c r="L198" s="10"/>
      <c r="M198" s="15" t="str">
        <f aca="false">IF($A198="","",SUMIFS(처리내역!$E$3:$E$1502,처리내역!$B$3:$B$1502,$A198))</f>
        <v/>
      </c>
      <c r="N198" s="15" t="str">
        <f aca="false">IF($A198="","",IF($I198="","",$I198-$M198))</f>
        <v/>
      </c>
      <c r="O198" s="12" t="str">
        <f aca="false">IF($A198="","",IF($I198="","",IF($M198=0,"미처리",IF($N198&lt;=0,"완료","부분처리"))))</f>
        <v/>
      </c>
    </row>
    <row r="199" customFormat="false" ht="15" hidden="false" customHeight="true" outlineLevel="0" collapsed="false">
      <c r="A199" s="12" t="str">
        <f aca="false">IF($B199="","",TEXT($B199,"yymm")&amp;"-"&amp;TEXT(COUNTIFS($B$3:$B199,"&gt;="&amp;DATE(YEAR($B199),MONTH($B199),1),$B$3:$B199,"&lt;="&amp;EOMONTH($B199,0)),"000"))</f>
        <v/>
      </c>
      <c r="B199" s="13"/>
      <c r="C199" s="10"/>
      <c r="D199" s="10"/>
      <c r="E199" s="12" t="str">
        <f aca="false">IF($D199="","",IFERROR(INDEX(품목목록!$B$3:$B$302,MATCH($D199,품목목록!$A$3:$A$302,0)),"미등록품번"))</f>
        <v/>
      </c>
      <c r="F199" s="12" t="str">
        <f aca="false">IF($D199="","",IFERROR(INDEX(품목목록!$C$3:$C$302,MATCH($D199,품목목록!$A$3:$A$302,0)),""))</f>
        <v/>
      </c>
      <c r="G199" s="12" t="str">
        <f aca="false">IF($D199="","",IFERROR(INDEX(품목목록!$D$3:$D$302,MATCH($D199,품목목록!$A$3:$A$302,0)),""))</f>
        <v/>
      </c>
      <c r="H199" s="12" t="str">
        <f aca="false">IF($D199="","",IFERROR(INDEX(품목목록!$E$3:$E$302,MATCH($D199,품목목록!$A$3:$A$302,0)),""))</f>
        <v/>
      </c>
      <c r="I199" s="14"/>
      <c r="J199" s="10"/>
      <c r="K199" s="10"/>
      <c r="L199" s="10"/>
      <c r="M199" s="15" t="str">
        <f aca="false">IF($A199="","",SUMIFS(처리내역!$E$3:$E$1502,처리내역!$B$3:$B$1502,$A199))</f>
        <v/>
      </c>
      <c r="N199" s="15" t="str">
        <f aca="false">IF($A199="","",IF($I199="","",$I199-$M199))</f>
        <v/>
      </c>
      <c r="O199" s="12" t="str">
        <f aca="false">IF($A199="","",IF($I199="","",IF($M199=0,"미처리",IF($N199&lt;=0,"완료","부분처리"))))</f>
        <v/>
      </c>
    </row>
    <row r="200" customFormat="false" ht="15" hidden="false" customHeight="true" outlineLevel="0" collapsed="false">
      <c r="A200" s="12" t="str">
        <f aca="false">IF($B200="","",TEXT($B200,"yymm")&amp;"-"&amp;TEXT(COUNTIFS($B$3:$B200,"&gt;="&amp;DATE(YEAR($B200),MONTH($B200),1),$B$3:$B200,"&lt;="&amp;EOMONTH($B200,0)),"000"))</f>
        <v/>
      </c>
      <c r="B200" s="13"/>
      <c r="C200" s="10"/>
      <c r="D200" s="10"/>
      <c r="E200" s="12" t="str">
        <f aca="false">IF($D200="","",IFERROR(INDEX(품목목록!$B$3:$B$302,MATCH($D200,품목목록!$A$3:$A$302,0)),"미등록품번"))</f>
        <v/>
      </c>
      <c r="F200" s="12" t="str">
        <f aca="false">IF($D200="","",IFERROR(INDEX(품목목록!$C$3:$C$302,MATCH($D200,품목목록!$A$3:$A$302,0)),""))</f>
        <v/>
      </c>
      <c r="G200" s="12" t="str">
        <f aca="false">IF($D200="","",IFERROR(INDEX(품목목록!$D$3:$D$302,MATCH($D200,품목목록!$A$3:$A$302,0)),""))</f>
        <v/>
      </c>
      <c r="H200" s="12" t="str">
        <f aca="false">IF($D200="","",IFERROR(INDEX(품목목록!$E$3:$E$302,MATCH($D200,품목목록!$A$3:$A$302,0)),""))</f>
        <v/>
      </c>
      <c r="I200" s="14"/>
      <c r="J200" s="10"/>
      <c r="K200" s="10"/>
      <c r="L200" s="10"/>
      <c r="M200" s="15" t="str">
        <f aca="false">IF($A200="","",SUMIFS(처리내역!$E$3:$E$1502,처리내역!$B$3:$B$1502,$A200))</f>
        <v/>
      </c>
      <c r="N200" s="15" t="str">
        <f aca="false">IF($A200="","",IF($I200="","",$I200-$M200))</f>
        <v/>
      </c>
      <c r="O200" s="12" t="str">
        <f aca="false">IF($A200="","",IF($I200="","",IF($M200=0,"미처리",IF($N200&lt;=0,"완료","부분처리"))))</f>
        <v/>
      </c>
    </row>
    <row r="201" customFormat="false" ht="15" hidden="false" customHeight="true" outlineLevel="0" collapsed="false">
      <c r="A201" s="12" t="str">
        <f aca="false">IF($B201="","",TEXT($B201,"yymm")&amp;"-"&amp;TEXT(COUNTIFS($B$3:$B201,"&gt;="&amp;DATE(YEAR($B201),MONTH($B201),1),$B$3:$B201,"&lt;="&amp;EOMONTH($B201,0)),"000"))</f>
        <v/>
      </c>
      <c r="B201" s="13"/>
      <c r="C201" s="10"/>
      <c r="D201" s="10"/>
      <c r="E201" s="12" t="str">
        <f aca="false">IF($D201="","",IFERROR(INDEX(품목목록!$B$3:$B$302,MATCH($D201,품목목록!$A$3:$A$302,0)),"미등록품번"))</f>
        <v/>
      </c>
      <c r="F201" s="12" t="str">
        <f aca="false">IF($D201="","",IFERROR(INDEX(품목목록!$C$3:$C$302,MATCH($D201,품목목록!$A$3:$A$302,0)),""))</f>
        <v/>
      </c>
      <c r="G201" s="12" t="str">
        <f aca="false">IF($D201="","",IFERROR(INDEX(품목목록!$D$3:$D$302,MATCH($D201,품목목록!$A$3:$A$302,0)),""))</f>
        <v/>
      </c>
      <c r="H201" s="12" t="str">
        <f aca="false">IF($D201="","",IFERROR(INDEX(품목목록!$E$3:$E$302,MATCH($D201,품목목록!$A$3:$A$302,0)),""))</f>
        <v/>
      </c>
      <c r="I201" s="14"/>
      <c r="J201" s="10"/>
      <c r="K201" s="10"/>
      <c r="L201" s="10"/>
      <c r="M201" s="15" t="str">
        <f aca="false">IF($A201="","",SUMIFS(처리내역!$E$3:$E$1502,처리내역!$B$3:$B$1502,$A201))</f>
        <v/>
      </c>
      <c r="N201" s="15" t="str">
        <f aca="false">IF($A201="","",IF($I201="","",$I201-$M201))</f>
        <v/>
      </c>
      <c r="O201" s="12" t="str">
        <f aca="false">IF($A201="","",IF($I201="","",IF($M201=0,"미처리",IF($N201&lt;=0,"완료","부분처리"))))</f>
        <v/>
      </c>
    </row>
    <row r="202" customFormat="false" ht="15" hidden="false" customHeight="true" outlineLevel="0" collapsed="false">
      <c r="A202" s="12" t="str">
        <f aca="false">IF($B202="","",TEXT($B202,"yymm")&amp;"-"&amp;TEXT(COUNTIFS($B$3:$B202,"&gt;="&amp;DATE(YEAR($B202),MONTH($B202),1),$B$3:$B202,"&lt;="&amp;EOMONTH($B202,0)),"000"))</f>
        <v/>
      </c>
      <c r="B202" s="13"/>
      <c r="C202" s="10"/>
      <c r="D202" s="10"/>
      <c r="E202" s="12" t="str">
        <f aca="false">IF($D202="","",IFERROR(INDEX(품목목록!$B$3:$B$302,MATCH($D202,품목목록!$A$3:$A$302,0)),"미등록품번"))</f>
        <v/>
      </c>
      <c r="F202" s="12" t="str">
        <f aca="false">IF($D202="","",IFERROR(INDEX(품목목록!$C$3:$C$302,MATCH($D202,품목목록!$A$3:$A$302,0)),""))</f>
        <v/>
      </c>
      <c r="G202" s="12" t="str">
        <f aca="false">IF($D202="","",IFERROR(INDEX(품목목록!$D$3:$D$302,MATCH($D202,품목목록!$A$3:$A$302,0)),""))</f>
        <v/>
      </c>
      <c r="H202" s="12" t="str">
        <f aca="false">IF($D202="","",IFERROR(INDEX(품목목록!$E$3:$E$302,MATCH($D202,품목목록!$A$3:$A$302,0)),""))</f>
        <v/>
      </c>
      <c r="I202" s="14"/>
      <c r="J202" s="10"/>
      <c r="K202" s="10"/>
      <c r="L202" s="10"/>
      <c r="M202" s="15" t="str">
        <f aca="false">IF($A202="","",SUMIFS(처리내역!$E$3:$E$1502,처리내역!$B$3:$B$1502,$A202))</f>
        <v/>
      </c>
      <c r="N202" s="15" t="str">
        <f aca="false">IF($A202="","",IF($I202="","",$I202-$M202))</f>
        <v/>
      </c>
      <c r="O202" s="12" t="str">
        <f aca="false">IF($A202="","",IF($I202="","",IF($M202=0,"미처리",IF($N202&lt;=0,"완료","부분처리"))))</f>
        <v/>
      </c>
    </row>
    <row r="203" customFormat="false" ht="15" hidden="false" customHeight="true" outlineLevel="0" collapsed="false">
      <c r="A203" s="12" t="str">
        <f aca="false">IF($B203="","",TEXT($B203,"yymm")&amp;"-"&amp;TEXT(COUNTIFS($B$3:$B203,"&gt;="&amp;DATE(YEAR($B203),MONTH($B203),1),$B$3:$B203,"&lt;="&amp;EOMONTH($B203,0)),"000"))</f>
        <v/>
      </c>
      <c r="B203" s="13"/>
      <c r="C203" s="10"/>
      <c r="D203" s="10"/>
      <c r="E203" s="12" t="str">
        <f aca="false">IF($D203="","",IFERROR(INDEX(품목목록!$B$3:$B$302,MATCH($D203,품목목록!$A$3:$A$302,0)),"미등록품번"))</f>
        <v/>
      </c>
      <c r="F203" s="12" t="str">
        <f aca="false">IF($D203="","",IFERROR(INDEX(품목목록!$C$3:$C$302,MATCH($D203,품목목록!$A$3:$A$302,0)),""))</f>
        <v/>
      </c>
      <c r="G203" s="12" t="str">
        <f aca="false">IF($D203="","",IFERROR(INDEX(품목목록!$D$3:$D$302,MATCH($D203,품목목록!$A$3:$A$302,0)),""))</f>
        <v/>
      </c>
      <c r="H203" s="12" t="str">
        <f aca="false">IF($D203="","",IFERROR(INDEX(품목목록!$E$3:$E$302,MATCH($D203,품목목록!$A$3:$A$302,0)),""))</f>
        <v/>
      </c>
      <c r="I203" s="14"/>
      <c r="J203" s="10"/>
      <c r="K203" s="10"/>
      <c r="L203" s="10"/>
      <c r="M203" s="15" t="str">
        <f aca="false">IF($A203="","",SUMIFS(처리내역!$E$3:$E$1502,처리내역!$B$3:$B$1502,$A203))</f>
        <v/>
      </c>
      <c r="N203" s="15" t="str">
        <f aca="false">IF($A203="","",IF($I203="","",$I203-$M203))</f>
        <v/>
      </c>
      <c r="O203" s="12" t="str">
        <f aca="false">IF($A203="","",IF($I203="","",IF($M203=0,"미처리",IF($N203&lt;=0,"완료","부분처리"))))</f>
        <v/>
      </c>
    </row>
    <row r="204" customFormat="false" ht="15" hidden="false" customHeight="true" outlineLevel="0" collapsed="false">
      <c r="A204" s="12" t="str">
        <f aca="false">IF($B204="","",TEXT($B204,"yymm")&amp;"-"&amp;TEXT(COUNTIFS($B$3:$B204,"&gt;="&amp;DATE(YEAR($B204),MONTH($B204),1),$B$3:$B204,"&lt;="&amp;EOMONTH($B204,0)),"000"))</f>
        <v/>
      </c>
      <c r="B204" s="13"/>
      <c r="C204" s="10"/>
      <c r="D204" s="10"/>
      <c r="E204" s="12" t="str">
        <f aca="false">IF($D204="","",IFERROR(INDEX(품목목록!$B$3:$B$302,MATCH($D204,품목목록!$A$3:$A$302,0)),"미등록품번"))</f>
        <v/>
      </c>
      <c r="F204" s="12" t="str">
        <f aca="false">IF($D204="","",IFERROR(INDEX(품목목록!$C$3:$C$302,MATCH($D204,품목목록!$A$3:$A$302,0)),""))</f>
        <v/>
      </c>
      <c r="G204" s="12" t="str">
        <f aca="false">IF($D204="","",IFERROR(INDEX(품목목록!$D$3:$D$302,MATCH($D204,품목목록!$A$3:$A$302,0)),""))</f>
        <v/>
      </c>
      <c r="H204" s="12" t="str">
        <f aca="false">IF($D204="","",IFERROR(INDEX(품목목록!$E$3:$E$302,MATCH($D204,품목목록!$A$3:$A$302,0)),""))</f>
        <v/>
      </c>
      <c r="I204" s="14"/>
      <c r="J204" s="10"/>
      <c r="K204" s="10"/>
      <c r="L204" s="10"/>
      <c r="M204" s="15" t="str">
        <f aca="false">IF($A204="","",SUMIFS(처리내역!$E$3:$E$1502,처리내역!$B$3:$B$1502,$A204))</f>
        <v/>
      </c>
      <c r="N204" s="15" t="str">
        <f aca="false">IF($A204="","",IF($I204="","",$I204-$M204))</f>
        <v/>
      </c>
      <c r="O204" s="12" t="str">
        <f aca="false">IF($A204="","",IF($I204="","",IF($M204=0,"미처리",IF($N204&lt;=0,"완료","부분처리"))))</f>
        <v/>
      </c>
    </row>
    <row r="205" customFormat="false" ht="15" hidden="false" customHeight="true" outlineLevel="0" collapsed="false">
      <c r="A205" s="12" t="str">
        <f aca="false">IF($B205="","",TEXT($B205,"yymm")&amp;"-"&amp;TEXT(COUNTIFS($B$3:$B205,"&gt;="&amp;DATE(YEAR($B205),MONTH($B205),1),$B$3:$B205,"&lt;="&amp;EOMONTH($B205,0)),"000"))</f>
        <v/>
      </c>
      <c r="B205" s="13"/>
      <c r="C205" s="10"/>
      <c r="D205" s="10"/>
      <c r="E205" s="12" t="str">
        <f aca="false">IF($D205="","",IFERROR(INDEX(품목목록!$B$3:$B$302,MATCH($D205,품목목록!$A$3:$A$302,0)),"미등록품번"))</f>
        <v/>
      </c>
      <c r="F205" s="12" t="str">
        <f aca="false">IF($D205="","",IFERROR(INDEX(품목목록!$C$3:$C$302,MATCH($D205,품목목록!$A$3:$A$302,0)),""))</f>
        <v/>
      </c>
      <c r="G205" s="12" t="str">
        <f aca="false">IF($D205="","",IFERROR(INDEX(품목목록!$D$3:$D$302,MATCH($D205,품목목록!$A$3:$A$302,0)),""))</f>
        <v/>
      </c>
      <c r="H205" s="12" t="str">
        <f aca="false">IF($D205="","",IFERROR(INDEX(품목목록!$E$3:$E$302,MATCH($D205,품목목록!$A$3:$A$302,0)),""))</f>
        <v/>
      </c>
      <c r="I205" s="14"/>
      <c r="J205" s="10"/>
      <c r="K205" s="10"/>
      <c r="L205" s="10"/>
      <c r="M205" s="15" t="str">
        <f aca="false">IF($A205="","",SUMIFS(처리내역!$E$3:$E$1502,처리내역!$B$3:$B$1502,$A205))</f>
        <v/>
      </c>
      <c r="N205" s="15" t="str">
        <f aca="false">IF($A205="","",IF($I205="","",$I205-$M205))</f>
        <v/>
      </c>
      <c r="O205" s="12" t="str">
        <f aca="false">IF($A205="","",IF($I205="","",IF($M205=0,"미처리",IF($N205&lt;=0,"완료","부분처리"))))</f>
        <v/>
      </c>
    </row>
    <row r="206" customFormat="false" ht="15" hidden="false" customHeight="true" outlineLevel="0" collapsed="false">
      <c r="A206" s="12" t="str">
        <f aca="false">IF($B206="","",TEXT($B206,"yymm")&amp;"-"&amp;TEXT(COUNTIFS($B$3:$B206,"&gt;="&amp;DATE(YEAR($B206),MONTH($B206),1),$B$3:$B206,"&lt;="&amp;EOMONTH($B206,0)),"000"))</f>
        <v/>
      </c>
      <c r="B206" s="13"/>
      <c r="C206" s="10"/>
      <c r="D206" s="10"/>
      <c r="E206" s="12" t="str">
        <f aca="false">IF($D206="","",IFERROR(INDEX(품목목록!$B$3:$B$302,MATCH($D206,품목목록!$A$3:$A$302,0)),"미등록품번"))</f>
        <v/>
      </c>
      <c r="F206" s="12" t="str">
        <f aca="false">IF($D206="","",IFERROR(INDEX(품목목록!$C$3:$C$302,MATCH($D206,품목목록!$A$3:$A$302,0)),""))</f>
        <v/>
      </c>
      <c r="G206" s="12" t="str">
        <f aca="false">IF($D206="","",IFERROR(INDEX(품목목록!$D$3:$D$302,MATCH($D206,품목목록!$A$3:$A$302,0)),""))</f>
        <v/>
      </c>
      <c r="H206" s="12" t="str">
        <f aca="false">IF($D206="","",IFERROR(INDEX(품목목록!$E$3:$E$302,MATCH($D206,품목목록!$A$3:$A$302,0)),""))</f>
        <v/>
      </c>
      <c r="I206" s="14"/>
      <c r="J206" s="10"/>
      <c r="K206" s="10"/>
      <c r="L206" s="10"/>
      <c r="M206" s="15" t="str">
        <f aca="false">IF($A206="","",SUMIFS(처리내역!$E$3:$E$1502,처리내역!$B$3:$B$1502,$A206))</f>
        <v/>
      </c>
      <c r="N206" s="15" t="str">
        <f aca="false">IF($A206="","",IF($I206="","",$I206-$M206))</f>
        <v/>
      </c>
      <c r="O206" s="12" t="str">
        <f aca="false">IF($A206="","",IF($I206="","",IF($M206=0,"미처리",IF($N206&lt;=0,"완료","부분처리"))))</f>
        <v/>
      </c>
    </row>
    <row r="207" customFormat="false" ht="15" hidden="false" customHeight="true" outlineLevel="0" collapsed="false">
      <c r="A207" s="12" t="str">
        <f aca="false">IF($B207="","",TEXT($B207,"yymm")&amp;"-"&amp;TEXT(COUNTIFS($B$3:$B207,"&gt;="&amp;DATE(YEAR($B207),MONTH($B207),1),$B$3:$B207,"&lt;="&amp;EOMONTH($B207,0)),"000"))</f>
        <v/>
      </c>
      <c r="B207" s="13"/>
      <c r="C207" s="10"/>
      <c r="D207" s="10"/>
      <c r="E207" s="12" t="str">
        <f aca="false">IF($D207="","",IFERROR(INDEX(품목목록!$B$3:$B$302,MATCH($D207,품목목록!$A$3:$A$302,0)),"미등록품번"))</f>
        <v/>
      </c>
      <c r="F207" s="12" t="str">
        <f aca="false">IF($D207="","",IFERROR(INDEX(품목목록!$C$3:$C$302,MATCH($D207,품목목록!$A$3:$A$302,0)),""))</f>
        <v/>
      </c>
      <c r="G207" s="12" t="str">
        <f aca="false">IF($D207="","",IFERROR(INDEX(품목목록!$D$3:$D$302,MATCH($D207,품목목록!$A$3:$A$302,0)),""))</f>
        <v/>
      </c>
      <c r="H207" s="12" t="str">
        <f aca="false">IF($D207="","",IFERROR(INDEX(품목목록!$E$3:$E$302,MATCH($D207,품목목록!$A$3:$A$302,0)),""))</f>
        <v/>
      </c>
      <c r="I207" s="14"/>
      <c r="J207" s="10"/>
      <c r="K207" s="10"/>
      <c r="L207" s="10"/>
      <c r="M207" s="15" t="str">
        <f aca="false">IF($A207="","",SUMIFS(처리내역!$E$3:$E$1502,처리내역!$B$3:$B$1502,$A207))</f>
        <v/>
      </c>
      <c r="N207" s="15" t="str">
        <f aca="false">IF($A207="","",IF($I207="","",$I207-$M207))</f>
        <v/>
      </c>
      <c r="O207" s="12" t="str">
        <f aca="false">IF($A207="","",IF($I207="","",IF($M207=0,"미처리",IF($N207&lt;=0,"완료","부분처리"))))</f>
        <v/>
      </c>
    </row>
    <row r="208" customFormat="false" ht="15" hidden="false" customHeight="true" outlineLevel="0" collapsed="false">
      <c r="A208" s="12" t="str">
        <f aca="false">IF($B208="","",TEXT($B208,"yymm")&amp;"-"&amp;TEXT(COUNTIFS($B$3:$B208,"&gt;="&amp;DATE(YEAR($B208),MONTH($B208),1),$B$3:$B208,"&lt;="&amp;EOMONTH($B208,0)),"000"))</f>
        <v/>
      </c>
      <c r="B208" s="13"/>
      <c r="C208" s="10"/>
      <c r="D208" s="10"/>
      <c r="E208" s="12" t="str">
        <f aca="false">IF($D208="","",IFERROR(INDEX(품목목록!$B$3:$B$302,MATCH($D208,품목목록!$A$3:$A$302,0)),"미등록품번"))</f>
        <v/>
      </c>
      <c r="F208" s="12" t="str">
        <f aca="false">IF($D208="","",IFERROR(INDEX(품목목록!$C$3:$C$302,MATCH($D208,품목목록!$A$3:$A$302,0)),""))</f>
        <v/>
      </c>
      <c r="G208" s="12" t="str">
        <f aca="false">IF($D208="","",IFERROR(INDEX(품목목록!$D$3:$D$302,MATCH($D208,품목목록!$A$3:$A$302,0)),""))</f>
        <v/>
      </c>
      <c r="H208" s="12" t="str">
        <f aca="false">IF($D208="","",IFERROR(INDEX(품목목록!$E$3:$E$302,MATCH($D208,품목목록!$A$3:$A$302,0)),""))</f>
        <v/>
      </c>
      <c r="I208" s="14"/>
      <c r="J208" s="10"/>
      <c r="K208" s="10"/>
      <c r="L208" s="10"/>
      <c r="M208" s="15" t="str">
        <f aca="false">IF($A208="","",SUMIFS(처리내역!$E$3:$E$1502,처리내역!$B$3:$B$1502,$A208))</f>
        <v/>
      </c>
      <c r="N208" s="15" t="str">
        <f aca="false">IF($A208="","",IF($I208="","",$I208-$M208))</f>
        <v/>
      </c>
      <c r="O208" s="12" t="str">
        <f aca="false">IF($A208="","",IF($I208="","",IF($M208=0,"미처리",IF($N208&lt;=0,"완료","부분처리"))))</f>
        <v/>
      </c>
    </row>
    <row r="209" customFormat="false" ht="15" hidden="false" customHeight="true" outlineLevel="0" collapsed="false">
      <c r="A209" s="12" t="str">
        <f aca="false">IF($B209="","",TEXT($B209,"yymm")&amp;"-"&amp;TEXT(COUNTIFS($B$3:$B209,"&gt;="&amp;DATE(YEAR($B209),MONTH($B209),1),$B$3:$B209,"&lt;="&amp;EOMONTH($B209,0)),"000"))</f>
        <v/>
      </c>
      <c r="B209" s="13"/>
      <c r="C209" s="10"/>
      <c r="D209" s="10"/>
      <c r="E209" s="12" t="str">
        <f aca="false">IF($D209="","",IFERROR(INDEX(품목목록!$B$3:$B$302,MATCH($D209,품목목록!$A$3:$A$302,0)),"미등록품번"))</f>
        <v/>
      </c>
      <c r="F209" s="12" t="str">
        <f aca="false">IF($D209="","",IFERROR(INDEX(품목목록!$C$3:$C$302,MATCH($D209,품목목록!$A$3:$A$302,0)),""))</f>
        <v/>
      </c>
      <c r="G209" s="12" t="str">
        <f aca="false">IF($D209="","",IFERROR(INDEX(품목목록!$D$3:$D$302,MATCH($D209,품목목록!$A$3:$A$302,0)),""))</f>
        <v/>
      </c>
      <c r="H209" s="12" t="str">
        <f aca="false">IF($D209="","",IFERROR(INDEX(품목목록!$E$3:$E$302,MATCH($D209,품목목록!$A$3:$A$302,0)),""))</f>
        <v/>
      </c>
      <c r="I209" s="14"/>
      <c r="J209" s="10"/>
      <c r="K209" s="10"/>
      <c r="L209" s="10"/>
      <c r="M209" s="15" t="str">
        <f aca="false">IF($A209="","",SUMIFS(처리내역!$E$3:$E$1502,처리내역!$B$3:$B$1502,$A209))</f>
        <v/>
      </c>
      <c r="N209" s="15" t="str">
        <f aca="false">IF($A209="","",IF($I209="","",$I209-$M209))</f>
        <v/>
      </c>
      <c r="O209" s="12" t="str">
        <f aca="false">IF($A209="","",IF($I209="","",IF($M209=0,"미처리",IF($N209&lt;=0,"완료","부분처리"))))</f>
        <v/>
      </c>
    </row>
    <row r="210" customFormat="false" ht="15" hidden="false" customHeight="true" outlineLevel="0" collapsed="false">
      <c r="A210" s="12" t="str">
        <f aca="false">IF($B210="","",TEXT($B210,"yymm")&amp;"-"&amp;TEXT(COUNTIFS($B$3:$B210,"&gt;="&amp;DATE(YEAR($B210),MONTH($B210),1),$B$3:$B210,"&lt;="&amp;EOMONTH($B210,0)),"000"))</f>
        <v/>
      </c>
      <c r="B210" s="13"/>
      <c r="C210" s="10"/>
      <c r="D210" s="10"/>
      <c r="E210" s="12" t="str">
        <f aca="false">IF($D210="","",IFERROR(INDEX(품목목록!$B$3:$B$302,MATCH($D210,품목목록!$A$3:$A$302,0)),"미등록품번"))</f>
        <v/>
      </c>
      <c r="F210" s="12" t="str">
        <f aca="false">IF($D210="","",IFERROR(INDEX(품목목록!$C$3:$C$302,MATCH($D210,품목목록!$A$3:$A$302,0)),""))</f>
        <v/>
      </c>
      <c r="G210" s="12" t="str">
        <f aca="false">IF($D210="","",IFERROR(INDEX(품목목록!$D$3:$D$302,MATCH($D210,품목목록!$A$3:$A$302,0)),""))</f>
        <v/>
      </c>
      <c r="H210" s="12" t="str">
        <f aca="false">IF($D210="","",IFERROR(INDEX(품목목록!$E$3:$E$302,MATCH($D210,품목목록!$A$3:$A$302,0)),""))</f>
        <v/>
      </c>
      <c r="I210" s="14"/>
      <c r="J210" s="10"/>
      <c r="K210" s="10"/>
      <c r="L210" s="10"/>
      <c r="M210" s="15" t="str">
        <f aca="false">IF($A210="","",SUMIFS(처리내역!$E$3:$E$1502,처리내역!$B$3:$B$1502,$A210))</f>
        <v/>
      </c>
      <c r="N210" s="15" t="str">
        <f aca="false">IF($A210="","",IF($I210="","",$I210-$M210))</f>
        <v/>
      </c>
      <c r="O210" s="12" t="str">
        <f aca="false">IF($A210="","",IF($I210="","",IF($M210=0,"미처리",IF($N210&lt;=0,"완료","부분처리"))))</f>
        <v/>
      </c>
    </row>
    <row r="211" customFormat="false" ht="15" hidden="false" customHeight="true" outlineLevel="0" collapsed="false">
      <c r="A211" s="12" t="str">
        <f aca="false">IF($B211="","",TEXT($B211,"yymm")&amp;"-"&amp;TEXT(COUNTIFS($B$3:$B211,"&gt;="&amp;DATE(YEAR($B211),MONTH($B211),1),$B$3:$B211,"&lt;="&amp;EOMONTH($B211,0)),"000"))</f>
        <v/>
      </c>
      <c r="B211" s="13"/>
      <c r="C211" s="10"/>
      <c r="D211" s="10"/>
      <c r="E211" s="12" t="str">
        <f aca="false">IF($D211="","",IFERROR(INDEX(품목목록!$B$3:$B$302,MATCH($D211,품목목록!$A$3:$A$302,0)),"미등록품번"))</f>
        <v/>
      </c>
      <c r="F211" s="12" t="str">
        <f aca="false">IF($D211="","",IFERROR(INDEX(품목목록!$C$3:$C$302,MATCH($D211,품목목록!$A$3:$A$302,0)),""))</f>
        <v/>
      </c>
      <c r="G211" s="12" t="str">
        <f aca="false">IF($D211="","",IFERROR(INDEX(품목목록!$D$3:$D$302,MATCH($D211,품목목록!$A$3:$A$302,0)),""))</f>
        <v/>
      </c>
      <c r="H211" s="12" t="str">
        <f aca="false">IF($D211="","",IFERROR(INDEX(품목목록!$E$3:$E$302,MATCH($D211,품목목록!$A$3:$A$302,0)),""))</f>
        <v/>
      </c>
      <c r="I211" s="14"/>
      <c r="J211" s="10"/>
      <c r="K211" s="10"/>
      <c r="L211" s="10"/>
      <c r="M211" s="15" t="str">
        <f aca="false">IF($A211="","",SUMIFS(처리내역!$E$3:$E$1502,처리내역!$B$3:$B$1502,$A211))</f>
        <v/>
      </c>
      <c r="N211" s="15" t="str">
        <f aca="false">IF($A211="","",IF($I211="","",$I211-$M211))</f>
        <v/>
      </c>
      <c r="O211" s="12" t="str">
        <f aca="false">IF($A211="","",IF($I211="","",IF($M211=0,"미처리",IF($N211&lt;=0,"완료","부분처리"))))</f>
        <v/>
      </c>
    </row>
    <row r="212" customFormat="false" ht="15" hidden="false" customHeight="true" outlineLevel="0" collapsed="false">
      <c r="A212" s="12" t="str">
        <f aca="false">IF($B212="","",TEXT($B212,"yymm")&amp;"-"&amp;TEXT(COUNTIFS($B$3:$B212,"&gt;="&amp;DATE(YEAR($B212),MONTH($B212),1),$B$3:$B212,"&lt;="&amp;EOMONTH($B212,0)),"000"))</f>
        <v/>
      </c>
      <c r="B212" s="13"/>
      <c r="C212" s="10"/>
      <c r="D212" s="10"/>
      <c r="E212" s="12" t="str">
        <f aca="false">IF($D212="","",IFERROR(INDEX(품목목록!$B$3:$B$302,MATCH($D212,품목목록!$A$3:$A$302,0)),"미등록품번"))</f>
        <v/>
      </c>
      <c r="F212" s="12" t="str">
        <f aca="false">IF($D212="","",IFERROR(INDEX(품목목록!$C$3:$C$302,MATCH($D212,품목목록!$A$3:$A$302,0)),""))</f>
        <v/>
      </c>
      <c r="G212" s="12" t="str">
        <f aca="false">IF($D212="","",IFERROR(INDEX(품목목록!$D$3:$D$302,MATCH($D212,품목목록!$A$3:$A$302,0)),""))</f>
        <v/>
      </c>
      <c r="H212" s="12" t="str">
        <f aca="false">IF($D212="","",IFERROR(INDEX(품목목록!$E$3:$E$302,MATCH($D212,품목목록!$A$3:$A$302,0)),""))</f>
        <v/>
      </c>
      <c r="I212" s="14"/>
      <c r="J212" s="10"/>
      <c r="K212" s="10"/>
      <c r="L212" s="10"/>
      <c r="M212" s="15" t="str">
        <f aca="false">IF($A212="","",SUMIFS(처리내역!$E$3:$E$1502,처리내역!$B$3:$B$1502,$A212))</f>
        <v/>
      </c>
      <c r="N212" s="15" t="str">
        <f aca="false">IF($A212="","",IF($I212="","",$I212-$M212))</f>
        <v/>
      </c>
      <c r="O212" s="12" t="str">
        <f aca="false">IF($A212="","",IF($I212="","",IF($M212=0,"미처리",IF($N212&lt;=0,"완료","부분처리"))))</f>
        <v/>
      </c>
    </row>
    <row r="213" customFormat="false" ht="15" hidden="false" customHeight="true" outlineLevel="0" collapsed="false">
      <c r="A213" s="12" t="str">
        <f aca="false">IF($B213="","",TEXT($B213,"yymm")&amp;"-"&amp;TEXT(COUNTIFS($B$3:$B213,"&gt;="&amp;DATE(YEAR($B213),MONTH($B213),1),$B$3:$B213,"&lt;="&amp;EOMONTH($B213,0)),"000"))</f>
        <v/>
      </c>
      <c r="B213" s="13"/>
      <c r="C213" s="10"/>
      <c r="D213" s="10"/>
      <c r="E213" s="12" t="str">
        <f aca="false">IF($D213="","",IFERROR(INDEX(품목목록!$B$3:$B$302,MATCH($D213,품목목록!$A$3:$A$302,0)),"미등록품번"))</f>
        <v/>
      </c>
      <c r="F213" s="12" t="str">
        <f aca="false">IF($D213="","",IFERROR(INDEX(품목목록!$C$3:$C$302,MATCH($D213,품목목록!$A$3:$A$302,0)),""))</f>
        <v/>
      </c>
      <c r="G213" s="12" t="str">
        <f aca="false">IF($D213="","",IFERROR(INDEX(품목목록!$D$3:$D$302,MATCH($D213,품목목록!$A$3:$A$302,0)),""))</f>
        <v/>
      </c>
      <c r="H213" s="12" t="str">
        <f aca="false">IF($D213="","",IFERROR(INDEX(품목목록!$E$3:$E$302,MATCH($D213,품목목록!$A$3:$A$302,0)),""))</f>
        <v/>
      </c>
      <c r="I213" s="14"/>
      <c r="J213" s="10"/>
      <c r="K213" s="10"/>
      <c r="L213" s="10"/>
      <c r="M213" s="15" t="str">
        <f aca="false">IF($A213="","",SUMIFS(처리내역!$E$3:$E$1502,처리내역!$B$3:$B$1502,$A213))</f>
        <v/>
      </c>
      <c r="N213" s="15" t="str">
        <f aca="false">IF($A213="","",IF($I213="","",$I213-$M213))</f>
        <v/>
      </c>
      <c r="O213" s="12" t="str">
        <f aca="false">IF($A213="","",IF($I213="","",IF($M213=0,"미처리",IF($N213&lt;=0,"완료","부분처리"))))</f>
        <v/>
      </c>
    </row>
    <row r="214" customFormat="false" ht="15" hidden="false" customHeight="true" outlineLevel="0" collapsed="false">
      <c r="A214" s="12" t="str">
        <f aca="false">IF($B214="","",TEXT($B214,"yymm")&amp;"-"&amp;TEXT(COUNTIFS($B$3:$B214,"&gt;="&amp;DATE(YEAR($B214),MONTH($B214),1),$B$3:$B214,"&lt;="&amp;EOMONTH($B214,0)),"000"))</f>
        <v/>
      </c>
      <c r="B214" s="13"/>
      <c r="C214" s="10"/>
      <c r="D214" s="10"/>
      <c r="E214" s="12" t="str">
        <f aca="false">IF($D214="","",IFERROR(INDEX(품목목록!$B$3:$B$302,MATCH($D214,품목목록!$A$3:$A$302,0)),"미등록품번"))</f>
        <v/>
      </c>
      <c r="F214" s="12" t="str">
        <f aca="false">IF($D214="","",IFERROR(INDEX(품목목록!$C$3:$C$302,MATCH($D214,품목목록!$A$3:$A$302,0)),""))</f>
        <v/>
      </c>
      <c r="G214" s="12" t="str">
        <f aca="false">IF($D214="","",IFERROR(INDEX(품목목록!$D$3:$D$302,MATCH($D214,품목목록!$A$3:$A$302,0)),""))</f>
        <v/>
      </c>
      <c r="H214" s="12" t="str">
        <f aca="false">IF($D214="","",IFERROR(INDEX(품목목록!$E$3:$E$302,MATCH($D214,품목목록!$A$3:$A$302,0)),""))</f>
        <v/>
      </c>
      <c r="I214" s="14"/>
      <c r="J214" s="10"/>
      <c r="K214" s="10"/>
      <c r="L214" s="10"/>
      <c r="M214" s="15" t="str">
        <f aca="false">IF($A214="","",SUMIFS(처리내역!$E$3:$E$1502,처리내역!$B$3:$B$1502,$A214))</f>
        <v/>
      </c>
      <c r="N214" s="15" t="str">
        <f aca="false">IF($A214="","",IF($I214="","",$I214-$M214))</f>
        <v/>
      </c>
      <c r="O214" s="12" t="str">
        <f aca="false">IF($A214="","",IF($I214="","",IF($M214=0,"미처리",IF($N214&lt;=0,"완료","부분처리"))))</f>
        <v/>
      </c>
    </row>
    <row r="215" customFormat="false" ht="15" hidden="false" customHeight="true" outlineLevel="0" collapsed="false">
      <c r="A215" s="12" t="str">
        <f aca="false">IF($B215="","",TEXT($B215,"yymm")&amp;"-"&amp;TEXT(COUNTIFS($B$3:$B215,"&gt;="&amp;DATE(YEAR($B215),MONTH($B215),1),$B$3:$B215,"&lt;="&amp;EOMONTH($B215,0)),"000"))</f>
        <v/>
      </c>
      <c r="B215" s="13"/>
      <c r="C215" s="10"/>
      <c r="D215" s="10"/>
      <c r="E215" s="12" t="str">
        <f aca="false">IF($D215="","",IFERROR(INDEX(품목목록!$B$3:$B$302,MATCH($D215,품목목록!$A$3:$A$302,0)),"미등록품번"))</f>
        <v/>
      </c>
      <c r="F215" s="12" t="str">
        <f aca="false">IF($D215="","",IFERROR(INDEX(품목목록!$C$3:$C$302,MATCH($D215,품목목록!$A$3:$A$302,0)),""))</f>
        <v/>
      </c>
      <c r="G215" s="12" t="str">
        <f aca="false">IF($D215="","",IFERROR(INDEX(품목목록!$D$3:$D$302,MATCH($D215,품목목록!$A$3:$A$302,0)),""))</f>
        <v/>
      </c>
      <c r="H215" s="12" t="str">
        <f aca="false">IF($D215="","",IFERROR(INDEX(품목목록!$E$3:$E$302,MATCH($D215,품목목록!$A$3:$A$302,0)),""))</f>
        <v/>
      </c>
      <c r="I215" s="14"/>
      <c r="J215" s="10"/>
      <c r="K215" s="10"/>
      <c r="L215" s="10"/>
      <c r="M215" s="15" t="str">
        <f aca="false">IF($A215="","",SUMIFS(처리내역!$E$3:$E$1502,처리내역!$B$3:$B$1502,$A215))</f>
        <v/>
      </c>
      <c r="N215" s="15" t="str">
        <f aca="false">IF($A215="","",IF($I215="","",$I215-$M215))</f>
        <v/>
      </c>
      <c r="O215" s="12" t="str">
        <f aca="false">IF($A215="","",IF($I215="","",IF($M215=0,"미처리",IF($N215&lt;=0,"완료","부분처리"))))</f>
        <v/>
      </c>
    </row>
    <row r="216" customFormat="false" ht="15" hidden="false" customHeight="true" outlineLevel="0" collapsed="false">
      <c r="A216" s="12" t="str">
        <f aca="false">IF($B216="","",TEXT($B216,"yymm")&amp;"-"&amp;TEXT(COUNTIFS($B$3:$B216,"&gt;="&amp;DATE(YEAR($B216),MONTH($B216),1),$B$3:$B216,"&lt;="&amp;EOMONTH($B216,0)),"000"))</f>
        <v/>
      </c>
      <c r="B216" s="13"/>
      <c r="C216" s="10"/>
      <c r="D216" s="10"/>
      <c r="E216" s="12" t="str">
        <f aca="false">IF($D216="","",IFERROR(INDEX(품목목록!$B$3:$B$302,MATCH($D216,품목목록!$A$3:$A$302,0)),"미등록품번"))</f>
        <v/>
      </c>
      <c r="F216" s="12" t="str">
        <f aca="false">IF($D216="","",IFERROR(INDEX(품목목록!$C$3:$C$302,MATCH($D216,품목목록!$A$3:$A$302,0)),""))</f>
        <v/>
      </c>
      <c r="G216" s="12" t="str">
        <f aca="false">IF($D216="","",IFERROR(INDEX(품목목록!$D$3:$D$302,MATCH($D216,품목목록!$A$3:$A$302,0)),""))</f>
        <v/>
      </c>
      <c r="H216" s="12" t="str">
        <f aca="false">IF($D216="","",IFERROR(INDEX(품목목록!$E$3:$E$302,MATCH($D216,품목목록!$A$3:$A$302,0)),""))</f>
        <v/>
      </c>
      <c r="I216" s="14"/>
      <c r="J216" s="10"/>
      <c r="K216" s="10"/>
      <c r="L216" s="10"/>
      <c r="M216" s="15" t="str">
        <f aca="false">IF($A216="","",SUMIFS(처리내역!$E$3:$E$1502,처리내역!$B$3:$B$1502,$A216))</f>
        <v/>
      </c>
      <c r="N216" s="15" t="str">
        <f aca="false">IF($A216="","",IF($I216="","",$I216-$M216))</f>
        <v/>
      </c>
      <c r="O216" s="12" t="str">
        <f aca="false">IF($A216="","",IF($I216="","",IF($M216=0,"미처리",IF($N216&lt;=0,"완료","부분처리"))))</f>
        <v/>
      </c>
    </row>
    <row r="217" customFormat="false" ht="15" hidden="false" customHeight="true" outlineLevel="0" collapsed="false">
      <c r="A217" s="12" t="str">
        <f aca="false">IF($B217="","",TEXT($B217,"yymm")&amp;"-"&amp;TEXT(COUNTIFS($B$3:$B217,"&gt;="&amp;DATE(YEAR($B217),MONTH($B217),1),$B$3:$B217,"&lt;="&amp;EOMONTH($B217,0)),"000"))</f>
        <v/>
      </c>
      <c r="B217" s="13"/>
      <c r="C217" s="10"/>
      <c r="D217" s="10"/>
      <c r="E217" s="12" t="str">
        <f aca="false">IF($D217="","",IFERROR(INDEX(품목목록!$B$3:$B$302,MATCH($D217,품목목록!$A$3:$A$302,0)),"미등록품번"))</f>
        <v/>
      </c>
      <c r="F217" s="12" t="str">
        <f aca="false">IF($D217="","",IFERROR(INDEX(품목목록!$C$3:$C$302,MATCH($D217,품목목록!$A$3:$A$302,0)),""))</f>
        <v/>
      </c>
      <c r="G217" s="12" t="str">
        <f aca="false">IF($D217="","",IFERROR(INDEX(품목목록!$D$3:$D$302,MATCH($D217,품목목록!$A$3:$A$302,0)),""))</f>
        <v/>
      </c>
      <c r="H217" s="12" t="str">
        <f aca="false">IF($D217="","",IFERROR(INDEX(품목목록!$E$3:$E$302,MATCH($D217,품목목록!$A$3:$A$302,0)),""))</f>
        <v/>
      </c>
      <c r="I217" s="14"/>
      <c r="J217" s="10"/>
      <c r="K217" s="10"/>
      <c r="L217" s="10"/>
      <c r="M217" s="15" t="str">
        <f aca="false">IF($A217="","",SUMIFS(처리내역!$E$3:$E$1502,처리내역!$B$3:$B$1502,$A217))</f>
        <v/>
      </c>
      <c r="N217" s="15" t="str">
        <f aca="false">IF($A217="","",IF($I217="","",$I217-$M217))</f>
        <v/>
      </c>
      <c r="O217" s="12" t="str">
        <f aca="false">IF($A217="","",IF($I217="","",IF($M217=0,"미처리",IF($N217&lt;=0,"완료","부분처리"))))</f>
        <v/>
      </c>
    </row>
    <row r="218" customFormat="false" ht="15" hidden="false" customHeight="true" outlineLevel="0" collapsed="false">
      <c r="A218" s="12" t="str">
        <f aca="false">IF($B218="","",TEXT($B218,"yymm")&amp;"-"&amp;TEXT(COUNTIFS($B$3:$B218,"&gt;="&amp;DATE(YEAR($B218),MONTH($B218),1),$B$3:$B218,"&lt;="&amp;EOMONTH($B218,0)),"000"))</f>
        <v/>
      </c>
      <c r="B218" s="13"/>
      <c r="C218" s="10"/>
      <c r="D218" s="10"/>
      <c r="E218" s="12" t="str">
        <f aca="false">IF($D218="","",IFERROR(INDEX(품목목록!$B$3:$B$302,MATCH($D218,품목목록!$A$3:$A$302,0)),"미등록품번"))</f>
        <v/>
      </c>
      <c r="F218" s="12" t="str">
        <f aca="false">IF($D218="","",IFERROR(INDEX(품목목록!$C$3:$C$302,MATCH($D218,품목목록!$A$3:$A$302,0)),""))</f>
        <v/>
      </c>
      <c r="G218" s="12" t="str">
        <f aca="false">IF($D218="","",IFERROR(INDEX(품목목록!$D$3:$D$302,MATCH($D218,품목목록!$A$3:$A$302,0)),""))</f>
        <v/>
      </c>
      <c r="H218" s="12" t="str">
        <f aca="false">IF($D218="","",IFERROR(INDEX(품목목록!$E$3:$E$302,MATCH($D218,품목목록!$A$3:$A$302,0)),""))</f>
        <v/>
      </c>
      <c r="I218" s="14"/>
      <c r="J218" s="10"/>
      <c r="K218" s="10"/>
      <c r="L218" s="10"/>
      <c r="M218" s="15" t="str">
        <f aca="false">IF($A218="","",SUMIFS(처리내역!$E$3:$E$1502,처리내역!$B$3:$B$1502,$A218))</f>
        <v/>
      </c>
      <c r="N218" s="15" t="str">
        <f aca="false">IF($A218="","",IF($I218="","",$I218-$M218))</f>
        <v/>
      </c>
      <c r="O218" s="12" t="str">
        <f aca="false">IF($A218="","",IF($I218="","",IF($M218=0,"미처리",IF($N218&lt;=0,"완료","부분처리"))))</f>
        <v/>
      </c>
    </row>
    <row r="219" customFormat="false" ht="15" hidden="false" customHeight="true" outlineLevel="0" collapsed="false">
      <c r="A219" s="12" t="str">
        <f aca="false">IF($B219="","",TEXT($B219,"yymm")&amp;"-"&amp;TEXT(COUNTIFS($B$3:$B219,"&gt;="&amp;DATE(YEAR($B219),MONTH($B219),1),$B$3:$B219,"&lt;="&amp;EOMONTH($B219,0)),"000"))</f>
        <v/>
      </c>
      <c r="B219" s="13"/>
      <c r="C219" s="10"/>
      <c r="D219" s="10"/>
      <c r="E219" s="12" t="str">
        <f aca="false">IF($D219="","",IFERROR(INDEX(품목목록!$B$3:$B$302,MATCH($D219,품목목록!$A$3:$A$302,0)),"미등록품번"))</f>
        <v/>
      </c>
      <c r="F219" s="12" t="str">
        <f aca="false">IF($D219="","",IFERROR(INDEX(품목목록!$C$3:$C$302,MATCH($D219,품목목록!$A$3:$A$302,0)),""))</f>
        <v/>
      </c>
      <c r="G219" s="12" t="str">
        <f aca="false">IF($D219="","",IFERROR(INDEX(품목목록!$D$3:$D$302,MATCH($D219,품목목록!$A$3:$A$302,0)),""))</f>
        <v/>
      </c>
      <c r="H219" s="12" t="str">
        <f aca="false">IF($D219="","",IFERROR(INDEX(품목목록!$E$3:$E$302,MATCH($D219,품목목록!$A$3:$A$302,0)),""))</f>
        <v/>
      </c>
      <c r="I219" s="14"/>
      <c r="J219" s="10"/>
      <c r="K219" s="10"/>
      <c r="L219" s="10"/>
      <c r="M219" s="15" t="str">
        <f aca="false">IF($A219="","",SUMIFS(처리내역!$E$3:$E$1502,처리내역!$B$3:$B$1502,$A219))</f>
        <v/>
      </c>
      <c r="N219" s="15" t="str">
        <f aca="false">IF($A219="","",IF($I219="","",$I219-$M219))</f>
        <v/>
      </c>
      <c r="O219" s="12" t="str">
        <f aca="false">IF($A219="","",IF($I219="","",IF($M219=0,"미처리",IF($N219&lt;=0,"완료","부분처리"))))</f>
        <v/>
      </c>
    </row>
    <row r="220" customFormat="false" ht="15" hidden="false" customHeight="true" outlineLevel="0" collapsed="false">
      <c r="A220" s="12" t="str">
        <f aca="false">IF($B220="","",TEXT($B220,"yymm")&amp;"-"&amp;TEXT(COUNTIFS($B$3:$B220,"&gt;="&amp;DATE(YEAR($B220),MONTH($B220),1),$B$3:$B220,"&lt;="&amp;EOMONTH($B220,0)),"000"))</f>
        <v/>
      </c>
      <c r="B220" s="13"/>
      <c r="C220" s="10"/>
      <c r="D220" s="10"/>
      <c r="E220" s="12" t="str">
        <f aca="false">IF($D220="","",IFERROR(INDEX(품목목록!$B$3:$B$302,MATCH($D220,품목목록!$A$3:$A$302,0)),"미등록품번"))</f>
        <v/>
      </c>
      <c r="F220" s="12" t="str">
        <f aca="false">IF($D220="","",IFERROR(INDEX(품목목록!$C$3:$C$302,MATCH($D220,품목목록!$A$3:$A$302,0)),""))</f>
        <v/>
      </c>
      <c r="G220" s="12" t="str">
        <f aca="false">IF($D220="","",IFERROR(INDEX(품목목록!$D$3:$D$302,MATCH($D220,품목목록!$A$3:$A$302,0)),""))</f>
        <v/>
      </c>
      <c r="H220" s="12" t="str">
        <f aca="false">IF($D220="","",IFERROR(INDEX(품목목록!$E$3:$E$302,MATCH($D220,품목목록!$A$3:$A$302,0)),""))</f>
        <v/>
      </c>
      <c r="I220" s="14"/>
      <c r="J220" s="10"/>
      <c r="K220" s="10"/>
      <c r="L220" s="10"/>
      <c r="M220" s="15" t="str">
        <f aca="false">IF($A220="","",SUMIFS(처리내역!$E$3:$E$1502,처리내역!$B$3:$B$1502,$A220))</f>
        <v/>
      </c>
      <c r="N220" s="15" t="str">
        <f aca="false">IF($A220="","",IF($I220="","",$I220-$M220))</f>
        <v/>
      </c>
      <c r="O220" s="12" t="str">
        <f aca="false">IF($A220="","",IF($I220="","",IF($M220=0,"미처리",IF($N220&lt;=0,"완료","부분처리"))))</f>
        <v/>
      </c>
    </row>
    <row r="221" customFormat="false" ht="15" hidden="false" customHeight="true" outlineLevel="0" collapsed="false">
      <c r="A221" s="12" t="str">
        <f aca="false">IF($B221="","",TEXT($B221,"yymm")&amp;"-"&amp;TEXT(COUNTIFS($B$3:$B221,"&gt;="&amp;DATE(YEAR($B221),MONTH($B221),1),$B$3:$B221,"&lt;="&amp;EOMONTH($B221,0)),"000"))</f>
        <v/>
      </c>
      <c r="B221" s="13"/>
      <c r="C221" s="10"/>
      <c r="D221" s="10"/>
      <c r="E221" s="12" t="str">
        <f aca="false">IF($D221="","",IFERROR(INDEX(품목목록!$B$3:$B$302,MATCH($D221,품목목록!$A$3:$A$302,0)),"미등록품번"))</f>
        <v/>
      </c>
      <c r="F221" s="12" t="str">
        <f aca="false">IF($D221="","",IFERROR(INDEX(품목목록!$C$3:$C$302,MATCH($D221,품목목록!$A$3:$A$302,0)),""))</f>
        <v/>
      </c>
      <c r="G221" s="12" t="str">
        <f aca="false">IF($D221="","",IFERROR(INDEX(품목목록!$D$3:$D$302,MATCH($D221,품목목록!$A$3:$A$302,0)),""))</f>
        <v/>
      </c>
      <c r="H221" s="12" t="str">
        <f aca="false">IF($D221="","",IFERROR(INDEX(품목목록!$E$3:$E$302,MATCH($D221,품목목록!$A$3:$A$302,0)),""))</f>
        <v/>
      </c>
      <c r="I221" s="14"/>
      <c r="J221" s="10"/>
      <c r="K221" s="10"/>
      <c r="L221" s="10"/>
      <c r="M221" s="15" t="str">
        <f aca="false">IF($A221="","",SUMIFS(처리내역!$E$3:$E$1502,처리내역!$B$3:$B$1502,$A221))</f>
        <v/>
      </c>
      <c r="N221" s="15" t="str">
        <f aca="false">IF($A221="","",IF($I221="","",$I221-$M221))</f>
        <v/>
      </c>
      <c r="O221" s="12" t="str">
        <f aca="false">IF($A221="","",IF($I221="","",IF($M221=0,"미처리",IF($N221&lt;=0,"완료","부분처리"))))</f>
        <v/>
      </c>
    </row>
    <row r="222" customFormat="false" ht="15" hidden="false" customHeight="true" outlineLevel="0" collapsed="false">
      <c r="A222" s="12" t="str">
        <f aca="false">IF($B222="","",TEXT($B222,"yymm")&amp;"-"&amp;TEXT(COUNTIFS($B$3:$B222,"&gt;="&amp;DATE(YEAR($B222),MONTH($B222),1),$B$3:$B222,"&lt;="&amp;EOMONTH($B222,0)),"000"))</f>
        <v/>
      </c>
      <c r="B222" s="13"/>
      <c r="C222" s="10"/>
      <c r="D222" s="10"/>
      <c r="E222" s="12" t="str">
        <f aca="false">IF($D222="","",IFERROR(INDEX(품목목록!$B$3:$B$302,MATCH($D222,품목목록!$A$3:$A$302,0)),"미등록품번"))</f>
        <v/>
      </c>
      <c r="F222" s="12" t="str">
        <f aca="false">IF($D222="","",IFERROR(INDEX(품목목록!$C$3:$C$302,MATCH($D222,품목목록!$A$3:$A$302,0)),""))</f>
        <v/>
      </c>
      <c r="G222" s="12" t="str">
        <f aca="false">IF($D222="","",IFERROR(INDEX(품목목록!$D$3:$D$302,MATCH($D222,품목목록!$A$3:$A$302,0)),""))</f>
        <v/>
      </c>
      <c r="H222" s="12" t="str">
        <f aca="false">IF($D222="","",IFERROR(INDEX(품목목록!$E$3:$E$302,MATCH($D222,품목목록!$A$3:$A$302,0)),""))</f>
        <v/>
      </c>
      <c r="I222" s="14"/>
      <c r="J222" s="10"/>
      <c r="K222" s="10"/>
      <c r="L222" s="10"/>
      <c r="M222" s="15" t="str">
        <f aca="false">IF($A222="","",SUMIFS(처리내역!$E$3:$E$1502,처리내역!$B$3:$B$1502,$A222))</f>
        <v/>
      </c>
      <c r="N222" s="15" t="str">
        <f aca="false">IF($A222="","",IF($I222="","",$I222-$M222))</f>
        <v/>
      </c>
      <c r="O222" s="12" t="str">
        <f aca="false">IF($A222="","",IF($I222="","",IF($M222=0,"미처리",IF($N222&lt;=0,"완료","부분처리"))))</f>
        <v/>
      </c>
    </row>
    <row r="223" customFormat="false" ht="15" hidden="false" customHeight="true" outlineLevel="0" collapsed="false">
      <c r="A223" s="12" t="str">
        <f aca="false">IF($B223="","",TEXT($B223,"yymm")&amp;"-"&amp;TEXT(COUNTIFS($B$3:$B223,"&gt;="&amp;DATE(YEAR($B223),MONTH($B223),1),$B$3:$B223,"&lt;="&amp;EOMONTH($B223,0)),"000"))</f>
        <v/>
      </c>
      <c r="B223" s="13"/>
      <c r="C223" s="10"/>
      <c r="D223" s="10"/>
      <c r="E223" s="12" t="str">
        <f aca="false">IF($D223="","",IFERROR(INDEX(품목목록!$B$3:$B$302,MATCH($D223,품목목록!$A$3:$A$302,0)),"미등록품번"))</f>
        <v/>
      </c>
      <c r="F223" s="12" t="str">
        <f aca="false">IF($D223="","",IFERROR(INDEX(품목목록!$C$3:$C$302,MATCH($D223,품목목록!$A$3:$A$302,0)),""))</f>
        <v/>
      </c>
      <c r="G223" s="12" t="str">
        <f aca="false">IF($D223="","",IFERROR(INDEX(품목목록!$D$3:$D$302,MATCH($D223,품목목록!$A$3:$A$302,0)),""))</f>
        <v/>
      </c>
      <c r="H223" s="12" t="str">
        <f aca="false">IF($D223="","",IFERROR(INDEX(품목목록!$E$3:$E$302,MATCH($D223,품목목록!$A$3:$A$302,0)),""))</f>
        <v/>
      </c>
      <c r="I223" s="14"/>
      <c r="J223" s="10"/>
      <c r="K223" s="10"/>
      <c r="L223" s="10"/>
      <c r="M223" s="15" t="str">
        <f aca="false">IF($A223="","",SUMIFS(처리내역!$E$3:$E$1502,처리내역!$B$3:$B$1502,$A223))</f>
        <v/>
      </c>
      <c r="N223" s="15" t="str">
        <f aca="false">IF($A223="","",IF($I223="","",$I223-$M223))</f>
        <v/>
      </c>
      <c r="O223" s="12" t="str">
        <f aca="false">IF($A223="","",IF($I223="","",IF($M223=0,"미처리",IF($N223&lt;=0,"완료","부분처리"))))</f>
        <v/>
      </c>
    </row>
    <row r="224" customFormat="false" ht="15" hidden="false" customHeight="true" outlineLevel="0" collapsed="false">
      <c r="A224" s="12" t="str">
        <f aca="false">IF($B224="","",TEXT($B224,"yymm")&amp;"-"&amp;TEXT(COUNTIFS($B$3:$B224,"&gt;="&amp;DATE(YEAR($B224),MONTH($B224),1),$B$3:$B224,"&lt;="&amp;EOMONTH($B224,0)),"000"))</f>
        <v/>
      </c>
      <c r="B224" s="13"/>
      <c r="C224" s="10"/>
      <c r="D224" s="10"/>
      <c r="E224" s="12" t="str">
        <f aca="false">IF($D224="","",IFERROR(INDEX(품목목록!$B$3:$B$302,MATCH($D224,품목목록!$A$3:$A$302,0)),"미등록품번"))</f>
        <v/>
      </c>
      <c r="F224" s="12" t="str">
        <f aca="false">IF($D224="","",IFERROR(INDEX(품목목록!$C$3:$C$302,MATCH($D224,품목목록!$A$3:$A$302,0)),""))</f>
        <v/>
      </c>
      <c r="G224" s="12" t="str">
        <f aca="false">IF($D224="","",IFERROR(INDEX(품목목록!$D$3:$D$302,MATCH($D224,품목목록!$A$3:$A$302,0)),""))</f>
        <v/>
      </c>
      <c r="H224" s="12" t="str">
        <f aca="false">IF($D224="","",IFERROR(INDEX(품목목록!$E$3:$E$302,MATCH($D224,품목목록!$A$3:$A$302,0)),""))</f>
        <v/>
      </c>
      <c r="I224" s="14"/>
      <c r="J224" s="10"/>
      <c r="K224" s="10"/>
      <c r="L224" s="10"/>
      <c r="M224" s="15" t="str">
        <f aca="false">IF($A224="","",SUMIFS(처리내역!$E$3:$E$1502,처리내역!$B$3:$B$1502,$A224))</f>
        <v/>
      </c>
      <c r="N224" s="15" t="str">
        <f aca="false">IF($A224="","",IF($I224="","",$I224-$M224))</f>
        <v/>
      </c>
      <c r="O224" s="12" t="str">
        <f aca="false">IF($A224="","",IF($I224="","",IF($M224=0,"미처리",IF($N224&lt;=0,"완료","부분처리"))))</f>
        <v/>
      </c>
    </row>
    <row r="225" customFormat="false" ht="15" hidden="false" customHeight="true" outlineLevel="0" collapsed="false">
      <c r="A225" s="12" t="str">
        <f aca="false">IF($B225="","",TEXT($B225,"yymm")&amp;"-"&amp;TEXT(COUNTIFS($B$3:$B225,"&gt;="&amp;DATE(YEAR($B225),MONTH($B225),1),$B$3:$B225,"&lt;="&amp;EOMONTH($B225,0)),"000"))</f>
        <v/>
      </c>
      <c r="B225" s="13"/>
      <c r="C225" s="10"/>
      <c r="D225" s="10"/>
      <c r="E225" s="12" t="str">
        <f aca="false">IF($D225="","",IFERROR(INDEX(품목목록!$B$3:$B$302,MATCH($D225,품목목록!$A$3:$A$302,0)),"미등록품번"))</f>
        <v/>
      </c>
      <c r="F225" s="12" t="str">
        <f aca="false">IF($D225="","",IFERROR(INDEX(품목목록!$C$3:$C$302,MATCH($D225,품목목록!$A$3:$A$302,0)),""))</f>
        <v/>
      </c>
      <c r="G225" s="12" t="str">
        <f aca="false">IF($D225="","",IFERROR(INDEX(품목목록!$D$3:$D$302,MATCH($D225,품목목록!$A$3:$A$302,0)),""))</f>
        <v/>
      </c>
      <c r="H225" s="12" t="str">
        <f aca="false">IF($D225="","",IFERROR(INDEX(품목목록!$E$3:$E$302,MATCH($D225,품목목록!$A$3:$A$302,0)),""))</f>
        <v/>
      </c>
      <c r="I225" s="14"/>
      <c r="J225" s="10"/>
      <c r="K225" s="10"/>
      <c r="L225" s="10"/>
      <c r="M225" s="15" t="str">
        <f aca="false">IF($A225="","",SUMIFS(처리내역!$E$3:$E$1502,처리내역!$B$3:$B$1502,$A225))</f>
        <v/>
      </c>
      <c r="N225" s="15" t="str">
        <f aca="false">IF($A225="","",IF($I225="","",$I225-$M225))</f>
        <v/>
      </c>
      <c r="O225" s="12" t="str">
        <f aca="false">IF($A225="","",IF($I225="","",IF($M225=0,"미처리",IF($N225&lt;=0,"완료","부분처리"))))</f>
        <v/>
      </c>
    </row>
    <row r="226" customFormat="false" ht="15" hidden="false" customHeight="true" outlineLevel="0" collapsed="false">
      <c r="A226" s="12" t="str">
        <f aca="false">IF($B226="","",TEXT($B226,"yymm")&amp;"-"&amp;TEXT(COUNTIFS($B$3:$B226,"&gt;="&amp;DATE(YEAR($B226),MONTH($B226),1),$B$3:$B226,"&lt;="&amp;EOMONTH($B226,0)),"000"))</f>
        <v/>
      </c>
      <c r="B226" s="13"/>
      <c r="C226" s="10"/>
      <c r="D226" s="10"/>
      <c r="E226" s="12" t="str">
        <f aca="false">IF($D226="","",IFERROR(INDEX(품목목록!$B$3:$B$302,MATCH($D226,품목목록!$A$3:$A$302,0)),"미등록품번"))</f>
        <v/>
      </c>
      <c r="F226" s="12" t="str">
        <f aca="false">IF($D226="","",IFERROR(INDEX(품목목록!$C$3:$C$302,MATCH($D226,품목목록!$A$3:$A$302,0)),""))</f>
        <v/>
      </c>
      <c r="G226" s="12" t="str">
        <f aca="false">IF($D226="","",IFERROR(INDEX(품목목록!$D$3:$D$302,MATCH($D226,품목목록!$A$3:$A$302,0)),""))</f>
        <v/>
      </c>
      <c r="H226" s="12" t="str">
        <f aca="false">IF($D226="","",IFERROR(INDEX(품목목록!$E$3:$E$302,MATCH($D226,품목목록!$A$3:$A$302,0)),""))</f>
        <v/>
      </c>
      <c r="I226" s="14"/>
      <c r="J226" s="10"/>
      <c r="K226" s="10"/>
      <c r="L226" s="10"/>
      <c r="M226" s="15" t="str">
        <f aca="false">IF($A226="","",SUMIFS(처리내역!$E$3:$E$1502,처리내역!$B$3:$B$1502,$A226))</f>
        <v/>
      </c>
      <c r="N226" s="15" t="str">
        <f aca="false">IF($A226="","",IF($I226="","",$I226-$M226))</f>
        <v/>
      </c>
      <c r="O226" s="12" t="str">
        <f aca="false">IF($A226="","",IF($I226="","",IF($M226=0,"미처리",IF($N226&lt;=0,"완료","부분처리"))))</f>
        <v/>
      </c>
    </row>
    <row r="227" customFormat="false" ht="15" hidden="false" customHeight="true" outlineLevel="0" collapsed="false">
      <c r="A227" s="12" t="str">
        <f aca="false">IF($B227="","",TEXT($B227,"yymm")&amp;"-"&amp;TEXT(COUNTIFS($B$3:$B227,"&gt;="&amp;DATE(YEAR($B227),MONTH($B227),1),$B$3:$B227,"&lt;="&amp;EOMONTH($B227,0)),"000"))</f>
        <v/>
      </c>
      <c r="B227" s="13"/>
      <c r="C227" s="10"/>
      <c r="D227" s="10"/>
      <c r="E227" s="12" t="str">
        <f aca="false">IF($D227="","",IFERROR(INDEX(품목목록!$B$3:$B$302,MATCH($D227,품목목록!$A$3:$A$302,0)),"미등록품번"))</f>
        <v/>
      </c>
      <c r="F227" s="12" t="str">
        <f aca="false">IF($D227="","",IFERROR(INDEX(품목목록!$C$3:$C$302,MATCH($D227,품목목록!$A$3:$A$302,0)),""))</f>
        <v/>
      </c>
      <c r="G227" s="12" t="str">
        <f aca="false">IF($D227="","",IFERROR(INDEX(품목목록!$D$3:$D$302,MATCH($D227,품목목록!$A$3:$A$302,0)),""))</f>
        <v/>
      </c>
      <c r="H227" s="12" t="str">
        <f aca="false">IF($D227="","",IFERROR(INDEX(품목목록!$E$3:$E$302,MATCH($D227,품목목록!$A$3:$A$302,0)),""))</f>
        <v/>
      </c>
      <c r="I227" s="14"/>
      <c r="J227" s="10"/>
      <c r="K227" s="10"/>
      <c r="L227" s="10"/>
      <c r="M227" s="15" t="str">
        <f aca="false">IF($A227="","",SUMIFS(처리내역!$E$3:$E$1502,처리내역!$B$3:$B$1502,$A227))</f>
        <v/>
      </c>
      <c r="N227" s="15" t="str">
        <f aca="false">IF($A227="","",IF($I227="","",$I227-$M227))</f>
        <v/>
      </c>
      <c r="O227" s="12" t="str">
        <f aca="false">IF($A227="","",IF($I227="","",IF($M227=0,"미처리",IF($N227&lt;=0,"완료","부분처리"))))</f>
        <v/>
      </c>
    </row>
    <row r="228" customFormat="false" ht="15" hidden="false" customHeight="true" outlineLevel="0" collapsed="false">
      <c r="A228" s="12" t="str">
        <f aca="false">IF($B228="","",TEXT($B228,"yymm")&amp;"-"&amp;TEXT(COUNTIFS($B$3:$B228,"&gt;="&amp;DATE(YEAR($B228),MONTH($B228),1),$B$3:$B228,"&lt;="&amp;EOMONTH($B228,0)),"000"))</f>
        <v/>
      </c>
      <c r="B228" s="13"/>
      <c r="C228" s="10"/>
      <c r="D228" s="10"/>
      <c r="E228" s="12" t="str">
        <f aca="false">IF($D228="","",IFERROR(INDEX(품목목록!$B$3:$B$302,MATCH($D228,품목목록!$A$3:$A$302,0)),"미등록품번"))</f>
        <v/>
      </c>
      <c r="F228" s="12" t="str">
        <f aca="false">IF($D228="","",IFERROR(INDEX(품목목록!$C$3:$C$302,MATCH($D228,품목목록!$A$3:$A$302,0)),""))</f>
        <v/>
      </c>
      <c r="G228" s="12" t="str">
        <f aca="false">IF($D228="","",IFERROR(INDEX(품목목록!$D$3:$D$302,MATCH($D228,품목목록!$A$3:$A$302,0)),""))</f>
        <v/>
      </c>
      <c r="H228" s="12" t="str">
        <f aca="false">IF($D228="","",IFERROR(INDEX(품목목록!$E$3:$E$302,MATCH($D228,품목목록!$A$3:$A$302,0)),""))</f>
        <v/>
      </c>
      <c r="I228" s="14"/>
      <c r="J228" s="10"/>
      <c r="K228" s="10"/>
      <c r="L228" s="10"/>
      <c r="M228" s="15" t="str">
        <f aca="false">IF($A228="","",SUMIFS(처리내역!$E$3:$E$1502,처리내역!$B$3:$B$1502,$A228))</f>
        <v/>
      </c>
      <c r="N228" s="15" t="str">
        <f aca="false">IF($A228="","",IF($I228="","",$I228-$M228))</f>
        <v/>
      </c>
      <c r="O228" s="12" t="str">
        <f aca="false">IF($A228="","",IF($I228="","",IF($M228=0,"미처리",IF($N228&lt;=0,"완료","부분처리"))))</f>
        <v/>
      </c>
    </row>
    <row r="229" customFormat="false" ht="15" hidden="false" customHeight="true" outlineLevel="0" collapsed="false">
      <c r="A229" s="12" t="str">
        <f aca="false">IF($B229="","",TEXT($B229,"yymm")&amp;"-"&amp;TEXT(COUNTIFS($B$3:$B229,"&gt;="&amp;DATE(YEAR($B229),MONTH($B229),1),$B$3:$B229,"&lt;="&amp;EOMONTH($B229,0)),"000"))</f>
        <v/>
      </c>
      <c r="B229" s="13"/>
      <c r="C229" s="10"/>
      <c r="D229" s="10"/>
      <c r="E229" s="12" t="str">
        <f aca="false">IF($D229="","",IFERROR(INDEX(품목목록!$B$3:$B$302,MATCH($D229,품목목록!$A$3:$A$302,0)),"미등록품번"))</f>
        <v/>
      </c>
      <c r="F229" s="12" t="str">
        <f aca="false">IF($D229="","",IFERROR(INDEX(품목목록!$C$3:$C$302,MATCH($D229,품목목록!$A$3:$A$302,0)),""))</f>
        <v/>
      </c>
      <c r="G229" s="12" t="str">
        <f aca="false">IF($D229="","",IFERROR(INDEX(품목목록!$D$3:$D$302,MATCH($D229,품목목록!$A$3:$A$302,0)),""))</f>
        <v/>
      </c>
      <c r="H229" s="12" t="str">
        <f aca="false">IF($D229="","",IFERROR(INDEX(품목목록!$E$3:$E$302,MATCH($D229,품목목록!$A$3:$A$302,0)),""))</f>
        <v/>
      </c>
      <c r="I229" s="14"/>
      <c r="J229" s="10"/>
      <c r="K229" s="10"/>
      <c r="L229" s="10"/>
      <c r="M229" s="15" t="str">
        <f aca="false">IF($A229="","",SUMIFS(처리내역!$E$3:$E$1502,처리내역!$B$3:$B$1502,$A229))</f>
        <v/>
      </c>
      <c r="N229" s="15" t="str">
        <f aca="false">IF($A229="","",IF($I229="","",$I229-$M229))</f>
        <v/>
      </c>
      <c r="O229" s="12" t="str">
        <f aca="false">IF($A229="","",IF($I229="","",IF($M229=0,"미처리",IF($N229&lt;=0,"완료","부분처리"))))</f>
        <v/>
      </c>
    </row>
    <row r="230" customFormat="false" ht="15" hidden="false" customHeight="true" outlineLevel="0" collapsed="false">
      <c r="A230" s="12" t="str">
        <f aca="false">IF($B230="","",TEXT($B230,"yymm")&amp;"-"&amp;TEXT(COUNTIFS($B$3:$B230,"&gt;="&amp;DATE(YEAR($B230),MONTH($B230),1),$B$3:$B230,"&lt;="&amp;EOMONTH($B230,0)),"000"))</f>
        <v/>
      </c>
      <c r="B230" s="13"/>
      <c r="C230" s="10"/>
      <c r="D230" s="10"/>
      <c r="E230" s="12" t="str">
        <f aca="false">IF($D230="","",IFERROR(INDEX(품목목록!$B$3:$B$302,MATCH($D230,품목목록!$A$3:$A$302,0)),"미등록품번"))</f>
        <v/>
      </c>
      <c r="F230" s="12" t="str">
        <f aca="false">IF($D230="","",IFERROR(INDEX(품목목록!$C$3:$C$302,MATCH($D230,품목목록!$A$3:$A$302,0)),""))</f>
        <v/>
      </c>
      <c r="G230" s="12" t="str">
        <f aca="false">IF($D230="","",IFERROR(INDEX(품목목록!$D$3:$D$302,MATCH($D230,품목목록!$A$3:$A$302,0)),""))</f>
        <v/>
      </c>
      <c r="H230" s="12" t="str">
        <f aca="false">IF($D230="","",IFERROR(INDEX(품목목록!$E$3:$E$302,MATCH($D230,품목목록!$A$3:$A$302,0)),""))</f>
        <v/>
      </c>
      <c r="I230" s="14"/>
      <c r="J230" s="10"/>
      <c r="K230" s="10"/>
      <c r="L230" s="10"/>
      <c r="M230" s="15" t="str">
        <f aca="false">IF($A230="","",SUMIFS(처리내역!$E$3:$E$1502,처리내역!$B$3:$B$1502,$A230))</f>
        <v/>
      </c>
      <c r="N230" s="15" t="str">
        <f aca="false">IF($A230="","",IF($I230="","",$I230-$M230))</f>
        <v/>
      </c>
      <c r="O230" s="12" t="str">
        <f aca="false">IF($A230="","",IF($I230="","",IF($M230=0,"미처리",IF($N230&lt;=0,"완료","부분처리"))))</f>
        <v/>
      </c>
    </row>
    <row r="231" customFormat="false" ht="15" hidden="false" customHeight="true" outlineLevel="0" collapsed="false">
      <c r="A231" s="12" t="str">
        <f aca="false">IF($B231="","",TEXT($B231,"yymm")&amp;"-"&amp;TEXT(COUNTIFS($B$3:$B231,"&gt;="&amp;DATE(YEAR($B231),MONTH($B231),1),$B$3:$B231,"&lt;="&amp;EOMONTH($B231,0)),"000"))</f>
        <v/>
      </c>
      <c r="B231" s="13"/>
      <c r="C231" s="10"/>
      <c r="D231" s="10"/>
      <c r="E231" s="12" t="str">
        <f aca="false">IF($D231="","",IFERROR(INDEX(품목목록!$B$3:$B$302,MATCH($D231,품목목록!$A$3:$A$302,0)),"미등록품번"))</f>
        <v/>
      </c>
      <c r="F231" s="12" t="str">
        <f aca="false">IF($D231="","",IFERROR(INDEX(품목목록!$C$3:$C$302,MATCH($D231,품목목록!$A$3:$A$302,0)),""))</f>
        <v/>
      </c>
      <c r="G231" s="12" t="str">
        <f aca="false">IF($D231="","",IFERROR(INDEX(품목목록!$D$3:$D$302,MATCH($D231,품목목록!$A$3:$A$302,0)),""))</f>
        <v/>
      </c>
      <c r="H231" s="12" t="str">
        <f aca="false">IF($D231="","",IFERROR(INDEX(품목목록!$E$3:$E$302,MATCH($D231,품목목록!$A$3:$A$302,0)),""))</f>
        <v/>
      </c>
      <c r="I231" s="14"/>
      <c r="J231" s="10"/>
      <c r="K231" s="10"/>
      <c r="L231" s="10"/>
      <c r="M231" s="15" t="str">
        <f aca="false">IF($A231="","",SUMIFS(처리내역!$E$3:$E$1502,처리내역!$B$3:$B$1502,$A231))</f>
        <v/>
      </c>
      <c r="N231" s="15" t="str">
        <f aca="false">IF($A231="","",IF($I231="","",$I231-$M231))</f>
        <v/>
      </c>
      <c r="O231" s="12" t="str">
        <f aca="false">IF($A231="","",IF($I231="","",IF($M231=0,"미처리",IF($N231&lt;=0,"완료","부분처리"))))</f>
        <v/>
      </c>
    </row>
    <row r="232" customFormat="false" ht="15" hidden="false" customHeight="true" outlineLevel="0" collapsed="false">
      <c r="A232" s="12" t="str">
        <f aca="false">IF($B232="","",TEXT($B232,"yymm")&amp;"-"&amp;TEXT(COUNTIFS($B$3:$B232,"&gt;="&amp;DATE(YEAR($B232),MONTH($B232),1),$B$3:$B232,"&lt;="&amp;EOMONTH($B232,0)),"000"))</f>
        <v/>
      </c>
      <c r="B232" s="13"/>
      <c r="C232" s="10"/>
      <c r="D232" s="10"/>
      <c r="E232" s="12" t="str">
        <f aca="false">IF($D232="","",IFERROR(INDEX(품목목록!$B$3:$B$302,MATCH($D232,품목목록!$A$3:$A$302,0)),"미등록품번"))</f>
        <v/>
      </c>
      <c r="F232" s="12" t="str">
        <f aca="false">IF($D232="","",IFERROR(INDEX(품목목록!$C$3:$C$302,MATCH($D232,품목목록!$A$3:$A$302,0)),""))</f>
        <v/>
      </c>
      <c r="G232" s="12" t="str">
        <f aca="false">IF($D232="","",IFERROR(INDEX(품목목록!$D$3:$D$302,MATCH($D232,품목목록!$A$3:$A$302,0)),""))</f>
        <v/>
      </c>
      <c r="H232" s="12" t="str">
        <f aca="false">IF($D232="","",IFERROR(INDEX(품목목록!$E$3:$E$302,MATCH($D232,품목목록!$A$3:$A$302,0)),""))</f>
        <v/>
      </c>
      <c r="I232" s="14"/>
      <c r="J232" s="10"/>
      <c r="K232" s="10"/>
      <c r="L232" s="10"/>
      <c r="M232" s="15" t="str">
        <f aca="false">IF($A232="","",SUMIFS(처리내역!$E$3:$E$1502,처리내역!$B$3:$B$1502,$A232))</f>
        <v/>
      </c>
      <c r="N232" s="15" t="str">
        <f aca="false">IF($A232="","",IF($I232="","",$I232-$M232))</f>
        <v/>
      </c>
      <c r="O232" s="12" t="str">
        <f aca="false">IF($A232="","",IF($I232="","",IF($M232=0,"미처리",IF($N232&lt;=0,"완료","부분처리"))))</f>
        <v/>
      </c>
    </row>
    <row r="233" customFormat="false" ht="15" hidden="false" customHeight="true" outlineLevel="0" collapsed="false">
      <c r="A233" s="12" t="str">
        <f aca="false">IF($B233="","",TEXT($B233,"yymm")&amp;"-"&amp;TEXT(COUNTIFS($B$3:$B233,"&gt;="&amp;DATE(YEAR($B233),MONTH($B233),1),$B$3:$B233,"&lt;="&amp;EOMONTH($B233,0)),"000"))</f>
        <v/>
      </c>
      <c r="B233" s="13"/>
      <c r="C233" s="10"/>
      <c r="D233" s="10"/>
      <c r="E233" s="12" t="str">
        <f aca="false">IF($D233="","",IFERROR(INDEX(품목목록!$B$3:$B$302,MATCH($D233,품목목록!$A$3:$A$302,0)),"미등록품번"))</f>
        <v/>
      </c>
      <c r="F233" s="12" t="str">
        <f aca="false">IF($D233="","",IFERROR(INDEX(품목목록!$C$3:$C$302,MATCH($D233,품목목록!$A$3:$A$302,0)),""))</f>
        <v/>
      </c>
      <c r="G233" s="12" t="str">
        <f aca="false">IF($D233="","",IFERROR(INDEX(품목목록!$D$3:$D$302,MATCH($D233,품목목록!$A$3:$A$302,0)),""))</f>
        <v/>
      </c>
      <c r="H233" s="12" t="str">
        <f aca="false">IF($D233="","",IFERROR(INDEX(품목목록!$E$3:$E$302,MATCH($D233,품목목록!$A$3:$A$302,0)),""))</f>
        <v/>
      </c>
      <c r="I233" s="14"/>
      <c r="J233" s="10"/>
      <c r="K233" s="10"/>
      <c r="L233" s="10"/>
      <c r="M233" s="15" t="str">
        <f aca="false">IF($A233="","",SUMIFS(처리내역!$E$3:$E$1502,처리내역!$B$3:$B$1502,$A233))</f>
        <v/>
      </c>
      <c r="N233" s="15" t="str">
        <f aca="false">IF($A233="","",IF($I233="","",$I233-$M233))</f>
        <v/>
      </c>
      <c r="O233" s="12" t="str">
        <f aca="false">IF($A233="","",IF($I233="","",IF($M233=0,"미처리",IF($N233&lt;=0,"완료","부분처리"))))</f>
        <v/>
      </c>
    </row>
    <row r="234" customFormat="false" ht="15" hidden="false" customHeight="true" outlineLevel="0" collapsed="false">
      <c r="A234" s="12" t="str">
        <f aca="false">IF($B234="","",TEXT($B234,"yymm")&amp;"-"&amp;TEXT(COUNTIFS($B$3:$B234,"&gt;="&amp;DATE(YEAR($B234),MONTH($B234),1),$B$3:$B234,"&lt;="&amp;EOMONTH($B234,0)),"000"))</f>
        <v/>
      </c>
      <c r="B234" s="13"/>
      <c r="C234" s="10"/>
      <c r="D234" s="10"/>
      <c r="E234" s="12" t="str">
        <f aca="false">IF($D234="","",IFERROR(INDEX(품목목록!$B$3:$B$302,MATCH($D234,품목목록!$A$3:$A$302,0)),"미등록품번"))</f>
        <v/>
      </c>
      <c r="F234" s="12" t="str">
        <f aca="false">IF($D234="","",IFERROR(INDEX(품목목록!$C$3:$C$302,MATCH($D234,품목목록!$A$3:$A$302,0)),""))</f>
        <v/>
      </c>
      <c r="G234" s="12" t="str">
        <f aca="false">IF($D234="","",IFERROR(INDEX(품목목록!$D$3:$D$302,MATCH($D234,품목목록!$A$3:$A$302,0)),""))</f>
        <v/>
      </c>
      <c r="H234" s="12" t="str">
        <f aca="false">IF($D234="","",IFERROR(INDEX(품목목록!$E$3:$E$302,MATCH($D234,품목목록!$A$3:$A$302,0)),""))</f>
        <v/>
      </c>
      <c r="I234" s="14"/>
      <c r="J234" s="10"/>
      <c r="K234" s="10"/>
      <c r="L234" s="10"/>
      <c r="M234" s="15" t="str">
        <f aca="false">IF($A234="","",SUMIFS(처리내역!$E$3:$E$1502,처리내역!$B$3:$B$1502,$A234))</f>
        <v/>
      </c>
      <c r="N234" s="15" t="str">
        <f aca="false">IF($A234="","",IF($I234="","",$I234-$M234))</f>
        <v/>
      </c>
      <c r="O234" s="12" t="str">
        <f aca="false">IF($A234="","",IF($I234="","",IF($M234=0,"미처리",IF($N234&lt;=0,"완료","부분처리"))))</f>
        <v/>
      </c>
    </row>
    <row r="235" customFormat="false" ht="15" hidden="false" customHeight="true" outlineLevel="0" collapsed="false">
      <c r="A235" s="12" t="str">
        <f aca="false">IF($B235="","",TEXT($B235,"yymm")&amp;"-"&amp;TEXT(COUNTIFS($B$3:$B235,"&gt;="&amp;DATE(YEAR($B235),MONTH($B235),1),$B$3:$B235,"&lt;="&amp;EOMONTH($B235,0)),"000"))</f>
        <v/>
      </c>
      <c r="B235" s="13"/>
      <c r="C235" s="10"/>
      <c r="D235" s="10"/>
      <c r="E235" s="12" t="str">
        <f aca="false">IF($D235="","",IFERROR(INDEX(품목목록!$B$3:$B$302,MATCH($D235,품목목록!$A$3:$A$302,0)),"미등록품번"))</f>
        <v/>
      </c>
      <c r="F235" s="12" t="str">
        <f aca="false">IF($D235="","",IFERROR(INDEX(품목목록!$C$3:$C$302,MATCH($D235,품목목록!$A$3:$A$302,0)),""))</f>
        <v/>
      </c>
      <c r="G235" s="12" t="str">
        <f aca="false">IF($D235="","",IFERROR(INDEX(품목목록!$D$3:$D$302,MATCH($D235,품목목록!$A$3:$A$302,0)),""))</f>
        <v/>
      </c>
      <c r="H235" s="12" t="str">
        <f aca="false">IF($D235="","",IFERROR(INDEX(품목목록!$E$3:$E$302,MATCH($D235,품목목록!$A$3:$A$302,0)),""))</f>
        <v/>
      </c>
      <c r="I235" s="14"/>
      <c r="J235" s="10"/>
      <c r="K235" s="10"/>
      <c r="L235" s="10"/>
      <c r="M235" s="15" t="str">
        <f aca="false">IF($A235="","",SUMIFS(처리내역!$E$3:$E$1502,처리내역!$B$3:$B$1502,$A235))</f>
        <v/>
      </c>
      <c r="N235" s="15" t="str">
        <f aca="false">IF($A235="","",IF($I235="","",$I235-$M235))</f>
        <v/>
      </c>
      <c r="O235" s="12" t="str">
        <f aca="false">IF($A235="","",IF($I235="","",IF($M235=0,"미처리",IF($N235&lt;=0,"완료","부분처리"))))</f>
        <v/>
      </c>
    </row>
    <row r="236" customFormat="false" ht="15" hidden="false" customHeight="true" outlineLevel="0" collapsed="false">
      <c r="A236" s="12" t="str">
        <f aca="false">IF($B236="","",TEXT($B236,"yymm")&amp;"-"&amp;TEXT(COUNTIFS($B$3:$B236,"&gt;="&amp;DATE(YEAR($B236),MONTH($B236),1),$B$3:$B236,"&lt;="&amp;EOMONTH($B236,0)),"000"))</f>
        <v/>
      </c>
      <c r="B236" s="13"/>
      <c r="C236" s="10"/>
      <c r="D236" s="10"/>
      <c r="E236" s="12" t="str">
        <f aca="false">IF($D236="","",IFERROR(INDEX(품목목록!$B$3:$B$302,MATCH($D236,품목목록!$A$3:$A$302,0)),"미등록품번"))</f>
        <v/>
      </c>
      <c r="F236" s="12" t="str">
        <f aca="false">IF($D236="","",IFERROR(INDEX(품목목록!$C$3:$C$302,MATCH($D236,품목목록!$A$3:$A$302,0)),""))</f>
        <v/>
      </c>
      <c r="G236" s="12" t="str">
        <f aca="false">IF($D236="","",IFERROR(INDEX(품목목록!$D$3:$D$302,MATCH($D236,품목목록!$A$3:$A$302,0)),""))</f>
        <v/>
      </c>
      <c r="H236" s="12" t="str">
        <f aca="false">IF($D236="","",IFERROR(INDEX(품목목록!$E$3:$E$302,MATCH($D236,품목목록!$A$3:$A$302,0)),""))</f>
        <v/>
      </c>
      <c r="I236" s="14"/>
      <c r="J236" s="10"/>
      <c r="K236" s="10"/>
      <c r="L236" s="10"/>
      <c r="M236" s="15" t="str">
        <f aca="false">IF($A236="","",SUMIFS(처리내역!$E$3:$E$1502,처리내역!$B$3:$B$1502,$A236))</f>
        <v/>
      </c>
      <c r="N236" s="15" t="str">
        <f aca="false">IF($A236="","",IF($I236="","",$I236-$M236))</f>
        <v/>
      </c>
      <c r="O236" s="12" t="str">
        <f aca="false">IF($A236="","",IF($I236="","",IF($M236=0,"미처리",IF($N236&lt;=0,"완료","부분처리"))))</f>
        <v/>
      </c>
    </row>
    <row r="237" customFormat="false" ht="15" hidden="false" customHeight="true" outlineLevel="0" collapsed="false">
      <c r="A237" s="12" t="str">
        <f aca="false">IF($B237="","",TEXT($B237,"yymm")&amp;"-"&amp;TEXT(COUNTIFS($B$3:$B237,"&gt;="&amp;DATE(YEAR($B237),MONTH($B237),1),$B$3:$B237,"&lt;="&amp;EOMONTH($B237,0)),"000"))</f>
        <v/>
      </c>
      <c r="B237" s="13"/>
      <c r="C237" s="10"/>
      <c r="D237" s="10"/>
      <c r="E237" s="12" t="str">
        <f aca="false">IF($D237="","",IFERROR(INDEX(품목목록!$B$3:$B$302,MATCH($D237,품목목록!$A$3:$A$302,0)),"미등록품번"))</f>
        <v/>
      </c>
      <c r="F237" s="12" t="str">
        <f aca="false">IF($D237="","",IFERROR(INDEX(품목목록!$C$3:$C$302,MATCH($D237,품목목록!$A$3:$A$302,0)),""))</f>
        <v/>
      </c>
      <c r="G237" s="12" t="str">
        <f aca="false">IF($D237="","",IFERROR(INDEX(품목목록!$D$3:$D$302,MATCH($D237,품목목록!$A$3:$A$302,0)),""))</f>
        <v/>
      </c>
      <c r="H237" s="12" t="str">
        <f aca="false">IF($D237="","",IFERROR(INDEX(품목목록!$E$3:$E$302,MATCH($D237,품목목록!$A$3:$A$302,0)),""))</f>
        <v/>
      </c>
      <c r="I237" s="14"/>
      <c r="J237" s="10"/>
      <c r="K237" s="10"/>
      <c r="L237" s="10"/>
      <c r="M237" s="15" t="str">
        <f aca="false">IF($A237="","",SUMIFS(처리내역!$E$3:$E$1502,처리내역!$B$3:$B$1502,$A237))</f>
        <v/>
      </c>
      <c r="N237" s="15" t="str">
        <f aca="false">IF($A237="","",IF($I237="","",$I237-$M237))</f>
        <v/>
      </c>
      <c r="O237" s="12" t="str">
        <f aca="false">IF($A237="","",IF($I237="","",IF($M237=0,"미처리",IF($N237&lt;=0,"완료","부분처리"))))</f>
        <v/>
      </c>
    </row>
    <row r="238" customFormat="false" ht="15" hidden="false" customHeight="true" outlineLevel="0" collapsed="false">
      <c r="A238" s="12" t="str">
        <f aca="false">IF($B238="","",TEXT($B238,"yymm")&amp;"-"&amp;TEXT(COUNTIFS($B$3:$B238,"&gt;="&amp;DATE(YEAR($B238),MONTH($B238),1),$B$3:$B238,"&lt;="&amp;EOMONTH($B238,0)),"000"))</f>
        <v/>
      </c>
      <c r="B238" s="13"/>
      <c r="C238" s="10"/>
      <c r="D238" s="10"/>
      <c r="E238" s="12" t="str">
        <f aca="false">IF($D238="","",IFERROR(INDEX(품목목록!$B$3:$B$302,MATCH($D238,품목목록!$A$3:$A$302,0)),"미등록품번"))</f>
        <v/>
      </c>
      <c r="F238" s="12" t="str">
        <f aca="false">IF($D238="","",IFERROR(INDEX(품목목록!$C$3:$C$302,MATCH($D238,품목목록!$A$3:$A$302,0)),""))</f>
        <v/>
      </c>
      <c r="G238" s="12" t="str">
        <f aca="false">IF($D238="","",IFERROR(INDEX(품목목록!$D$3:$D$302,MATCH($D238,품목목록!$A$3:$A$302,0)),""))</f>
        <v/>
      </c>
      <c r="H238" s="12" t="str">
        <f aca="false">IF($D238="","",IFERROR(INDEX(품목목록!$E$3:$E$302,MATCH($D238,품목목록!$A$3:$A$302,0)),""))</f>
        <v/>
      </c>
      <c r="I238" s="14"/>
      <c r="J238" s="10"/>
      <c r="K238" s="10"/>
      <c r="L238" s="10"/>
      <c r="M238" s="15" t="str">
        <f aca="false">IF($A238="","",SUMIFS(처리내역!$E$3:$E$1502,처리내역!$B$3:$B$1502,$A238))</f>
        <v/>
      </c>
      <c r="N238" s="15" t="str">
        <f aca="false">IF($A238="","",IF($I238="","",$I238-$M238))</f>
        <v/>
      </c>
      <c r="O238" s="12" t="str">
        <f aca="false">IF($A238="","",IF($I238="","",IF($M238=0,"미처리",IF($N238&lt;=0,"완료","부분처리"))))</f>
        <v/>
      </c>
    </row>
    <row r="239" customFormat="false" ht="15" hidden="false" customHeight="true" outlineLevel="0" collapsed="false">
      <c r="A239" s="12" t="str">
        <f aca="false">IF($B239="","",TEXT($B239,"yymm")&amp;"-"&amp;TEXT(COUNTIFS($B$3:$B239,"&gt;="&amp;DATE(YEAR($B239),MONTH($B239),1),$B$3:$B239,"&lt;="&amp;EOMONTH($B239,0)),"000"))</f>
        <v/>
      </c>
      <c r="B239" s="13"/>
      <c r="C239" s="10"/>
      <c r="D239" s="10"/>
      <c r="E239" s="12" t="str">
        <f aca="false">IF($D239="","",IFERROR(INDEX(품목목록!$B$3:$B$302,MATCH($D239,품목목록!$A$3:$A$302,0)),"미등록품번"))</f>
        <v/>
      </c>
      <c r="F239" s="12" t="str">
        <f aca="false">IF($D239="","",IFERROR(INDEX(품목목록!$C$3:$C$302,MATCH($D239,품목목록!$A$3:$A$302,0)),""))</f>
        <v/>
      </c>
      <c r="G239" s="12" t="str">
        <f aca="false">IF($D239="","",IFERROR(INDEX(품목목록!$D$3:$D$302,MATCH($D239,품목목록!$A$3:$A$302,0)),""))</f>
        <v/>
      </c>
      <c r="H239" s="12" t="str">
        <f aca="false">IF($D239="","",IFERROR(INDEX(품목목록!$E$3:$E$302,MATCH($D239,품목목록!$A$3:$A$302,0)),""))</f>
        <v/>
      </c>
      <c r="I239" s="14"/>
      <c r="J239" s="10"/>
      <c r="K239" s="10"/>
      <c r="L239" s="10"/>
      <c r="M239" s="15" t="str">
        <f aca="false">IF($A239="","",SUMIFS(처리내역!$E$3:$E$1502,처리내역!$B$3:$B$1502,$A239))</f>
        <v/>
      </c>
      <c r="N239" s="15" t="str">
        <f aca="false">IF($A239="","",IF($I239="","",$I239-$M239))</f>
        <v/>
      </c>
      <c r="O239" s="12" t="str">
        <f aca="false">IF($A239="","",IF($I239="","",IF($M239=0,"미처리",IF($N239&lt;=0,"완료","부분처리"))))</f>
        <v/>
      </c>
    </row>
    <row r="240" customFormat="false" ht="15" hidden="false" customHeight="true" outlineLevel="0" collapsed="false">
      <c r="A240" s="12" t="str">
        <f aca="false">IF($B240="","",TEXT($B240,"yymm")&amp;"-"&amp;TEXT(COUNTIFS($B$3:$B240,"&gt;="&amp;DATE(YEAR($B240),MONTH($B240),1),$B$3:$B240,"&lt;="&amp;EOMONTH($B240,0)),"000"))</f>
        <v/>
      </c>
      <c r="B240" s="13"/>
      <c r="C240" s="10"/>
      <c r="D240" s="10"/>
      <c r="E240" s="12" t="str">
        <f aca="false">IF($D240="","",IFERROR(INDEX(품목목록!$B$3:$B$302,MATCH($D240,품목목록!$A$3:$A$302,0)),"미등록품번"))</f>
        <v/>
      </c>
      <c r="F240" s="12" t="str">
        <f aca="false">IF($D240="","",IFERROR(INDEX(품목목록!$C$3:$C$302,MATCH($D240,품목목록!$A$3:$A$302,0)),""))</f>
        <v/>
      </c>
      <c r="G240" s="12" t="str">
        <f aca="false">IF($D240="","",IFERROR(INDEX(품목목록!$D$3:$D$302,MATCH($D240,품목목록!$A$3:$A$302,0)),""))</f>
        <v/>
      </c>
      <c r="H240" s="12" t="str">
        <f aca="false">IF($D240="","",IFERROR(INDEX(품목목록!$E$3:$E$302,MATCH($D240,품목목록!$A$3:$A$302,0)),""))</f>
        <v/>
      </c>
      <c r="I240" s="14"/>
      <c r="J240" s="10"/>
      <c r="K240" s="10"/>
      <c r="L240" s="10"/>
      <c r="M240" s="15" t="str">
        <f aca="false">IF($A240="","",SUMIFS(처리내역!$E$3:$E$1502,처리내역!$B$3:$B$1502,$A240))</f>
        <v/>
      </c>
      <c r="N240" s="15" t="str">
        <f aca="false">IF($A240="","",IF($I240="","",$I240-$M240))</f>
        <v/>
      </c>
      <c r="O240" s="12" t="str">
        <f aca="false">IF($A240="","",IF($I240="","",IF($M240=0,"미처리",IF($N240&lt;=0,"완료","부분처리"))))</f>
        <v/>
      </c>
    </row>
    <row r="241" customFormat="false" ht="15" hidden="false" customHeight="true" outlineLevel="0" collapsed="false">
      <c r="A241" s="12" t="str">
        <f aca="false">IF($B241="","",TEXT($B241,"yymm")&amp;"-"&amp;TEXT(COUNTIFS($B$3:$B241,"&gt;="&amp;DATE(YEAR($B241),MONTH($B241),1),$B$3:$B241,"&lt;="&amp;EOMONTH($B241,0)),"000"))</f>
        <v/>
      </c>
      <c r="B241" s="13"/>
      <c r="C241" s="10"/>
      <c r="D241" s="10"/>
      <c r="E241" s="12" t="str">
        <f aca="false">IF($D241="","",IFERROR(INDEX(품목목록!$B$3:$B$302,MATCH($D241,품목목록!$A$3:$A$302,0)),"미등록품번"))</f>
        <v/>
      </c>
      <c r="F241" s="12" t="str">
        <f aca="false">IF($D241="","",IFERROR(INDEX(품목목록!$C$3:$C$302,MATCH($D241,품목목록!$A$3:$A$302,0)),""))</f>
        <v/>
      </c>
      <c r="G241" s="12" t="str">
        <f aca="false">IF($D241="","",IFERROR(INDEX(품목목록!$D$3:$D$302,MATCH($D241,품목목록!$A$3:$A$302,0)),""))</f>
        <v/>
      </c>
      <c r="H241" s="12" t="str">
        <f aca="false">IF($D241="","",IFERROR(INDEX(품목목록!$E$3:$E$302,MATCH($D241,품목목록!$A$3:$A$302,0)),""))</f>
        <v/>
      </c>
      <c r="I241" s="14"/>
      <c r="J241" s="10"/>
      <c r="K241" s="10"/>
      <c r="L241" s="10"/>
      <c r="M241" s="15" t="str">
        <f aca="false">IF($A241="","",SUMIFS(처리내역!$E$3:$E$1502,처리내역!$B$3:$B$1502,$A241))</f>
        <v/>
      </c>
      <c r="N241" s="15" t="str">
        <f aca="false">IF($A241="","",IF($I241="","",$I241-$M241))</f>
        <v/>
      </c>
      <c r="O241" s="12" t="str">
        <f aca="false">IF($A241="","",IF($I241="","",IF($M241=0,"미처리",IF($N241&lt;=0,"완료","부분처리"))))</f>
        <v/>
      </c>
    </row>
    <row r="242" customFormat="false" ht="15" hidden="false" customHeight="true" outlineLevel="0" collapsed="false">
      <c r="A242" s="12" t="str">
        <f aca="false">IF($B242="","",TEXT($B242,"yymm")&amp;"-"&amp;TEXT(COUNTIFS($B$3:$B242,"&gt;="&amp;DATE(YEAR($B242),MONTH($B242),1),$B$3:$B242,"&lt;="&amp;EOMONTH($B242,0)),"000"))</f>
        <v/>
      </c>
      <c r="B242" s="13"/>
      <c r="C242" s="10"/>
      <c r="D242" s="10"/>
      <c r="E242" s="12" t="str">
        <f aca="false">IF($D242="","",IFERROR(INDEX(품목목록!$B$3:$B$302,MATCH($D242,품목목록!$A$3:$A$302,0)),"미등록품번"))</f>
        <v/>
      </c>
      <c r="F242" s="12" t="str">
        <f aca="false">IF($D242="","",IFERROR(INDEX(품목목록!$C$3:$C$302,MATCH($D242,품목목록!$A$3:$A$302,0)),""))</f>
        <v/>
      </c>
      <c r="G242" s="12" t="str">
        <f aca="false">IF($D242="","",IFERROR(INDEX(품목목록!$D$3:$D$302,MATCH($D242,품목목록!$A$3:$A$302,0)),""))</f>
        <v/>
      </c>
      <c r="H242" s="12" t="str">
        <f aca="false">IF($D242="","",IFERROR(INDEX(품목목록!$E$3:$E$302,MATCH($D242,품목목록!$A$3:$A$302,0)),""))</f>
        <v/>
      </c>
      <c r="I242" s="14"/>
      <c r="J242" s="10"/>
      <c r="K242" s="10"/>
      <c r="L242" s="10"/>
      <c r="M242" s="15" t="str">
        <f aca="false">IF($A242="","",SUMIFS(처리내역!$E$3:$E$1502,처리내역!$B$3:$B$1502,$A242))</f>
        <v/>
      </c>
      <c r="N242" s="15" t="str">
        <f aca="false">IF($A242="","",IF($I242="","",$I242-$M242))</f>
        <v/>
      </c>
      <c r="O242" s="12" t="str">
        <f aca="false">IF($A242="","",IF($I242="","",IF($M242=0,"미처리",IF($N242&lt;=0,"완료","부분처리"))))</f>
        <v/>
      </c>
    </row>
    <row r="243" customFormat="false" ht="15" hidden="false" customHeight="true" outlineLevel="0" collapsed="false">
      <c r="A243" s="12" t="str">
        <f aca="false">IF($B243="","",TEXT($B243,"yymm")&amp;"-"&amp;TEXT(COUNTIFS($B$3:$B243,"&gt;="&amp;DATE(YEAR($B243),MONTH($B243),1),$B$3:$B243,"&lt;="&amp;EOMONTH($B243,0)),"000"))</f>
        <v/>
      </c>
      <c r="B243" s="13"/>
      <c r="C243" s="10"/>
      <c r="D243" s="10"/>
      <c r="E243" s="12" t="str">
        <f aca="false">IF($D243="","",IFERROR(INDEX(품목목록!$B$3:$B$302,MATCH($D243,품목목록!$A$3:$A$302,0)),"미등록품번"))</f>
        <v/>
      </c>
      <c r="F243" s="12" t="str">
        <f aca="false">IF($D243="","",IFERROR(INDEX(품목목록!$C$3:$C$302,MATCH($D243,품목목록!$A$3:$A$302,0)),""))</f>
        <v/>
      </c>
      <c r="G243" s="12" t="str">
        <f aca="false">IF($D243="","",IFERROR(INDEX(품목목록!$D$3:$D$302,MATCH($D243,품목목록!$A$3:$A$302,0)),""))</f>
        <v/>
      </c>
      <c r="H243" s="12" t="str">
        <f aca="false">IF($D243="","",IFERROR(INDEX(품목목록!$E$3:$E$302,MATCH($D243,품목목록!$A$3:$A$302,0)),""))</f>
        <v/>
      </c>
      <c r="I243" s="14"/>
      <c r="J243" s="10"/>
      <c r="K243" s="10"/>
      <c r="L243" s="10"/>
      <c r="M243" s="15" t="str">
        <f aca="false">IF($A243="","",SUMIFS(처리내역!$E$3:$E$1502,처리내역!$B$3:$B$1502,$A243))</f>
        <v/>
      </c>
      <c r="N243" s="15" t="str">
        <f aca="false">IF($A243="","",IF($I243="","",$I243-$M243))</f>
        <v/>
      </c>
      <c r="O243" s="12" t="str">
        <f aca="false">IF($A243="","",IF($I243="","",IF($M243=0,"미처리",IF($N243&lt;=0,"완료","부분처리"))))</f>
        <v/>
      </c>
    </row>
    <row r="244" customFormat="false" ht="15" hidden="false" customHeight="true" outlineLevel="0" collapsed="false">
      <c r="A244" s="12" t="str">
        <f aca="false">IF($B244="","",TEXT($B244,"yymm")&amp;"-"&amp;TEXT(COUNTIFS($B$3:$B244,"&gt;="&amp;DATE(YEAR($B244),MONTH($B244),1),$B$3:$B244,"&lt;="&amp;EOMONTH($B244,0)),"000"))</f>
        <v/>
      </c>
      <c r="B244" s="13"/>
      <c r="C244" s="10"/>
      <c r="D244" s="10"/>
      <c r="E244" s="12" t="str">
        <f aca="false">IF($D244="","",IFERROR(INDEX(품목목록!$B$3:$B$302,MATCH($D244,품목목록!$A$3:$A$302,0)),"미등록품번"))</f>
        <v/>
      </c>
      <c r="F244" s="12" t="str">
        <f aca="false">IF($D244="","",IFERROR(INDEX(품목목록!$C$3:$C$302,MATCH($D244,품목목록!$A$3:$A$302,0)),""))</f>
        <v/>
      </c>
      <c r="G244" s="12" t="str">
        <f aca="false">IF($D244="","",IFERROR(INDEX(품목목록!$D$3:$D$302,MATCH($D244,품목목록!$A$3:$A$302,0)),""))</f>
        <v/>
      </c>
      <c r="H244" s="12" t="str">
        <f aca="false">IF($D244="","",IFERROR(INDEX(품목목록!$E$3:$E$302,MATCH($D244,품목목록!$A$3:$A$302,0)),""))</f>
        <v/>
      </c>
      <c r="I244" s="14"/>
      <c r="J244" s="10"/>
      <c r="K244" s="10"/>
      <c r="L244" s="10"/>
      <c r="M244" s="15" t="str">
        <f aca="false">IF($A244="","",SUMIFS(처리내역!$E$3:$E$1502,처리내역!$B$3:$B$1502,$A244))</f>
        <v/>
      </c>
      <c r="N244" s="15" t="str">
        <f aca="false">IF($A244="","",IF($I244="","",$I244-$M244))</f>
        <v/>
      </c>
      <c r="O244" s="12" t="str">
        <f aca="false">IF($A244="","",IF($I244="","",IF($M244=0,"미처리",IF($N244&lt;=0,"완료","부분처리"))))</f>
        <v/>
      </c>
    </row>
    <row r="245" customFormat="false" ht="15" hidden="false" customHeight="true" outlineLevel="0" collapsed="false">
      <c r="A245" s="12" t="str">
        <f aca="false">IF($B245="","",TEXT($B245,"yymm")&amp;"-"&amp;TEXT(COUNTIFS($B$3:$B245,"&gt;="&amp;DATE(YEAR($B245),MONTH($B245),1),$B$3:$B245,"&lt;="&amp;EOMONTH($B245,0)),"000"))</f>
        <v/>
      </c>
      <c r="B245" s="13"/>
      <c r="C245" s="10"/>
      <c r="D245" s="10"/>
      <c r="E245" s="12" t="str">
        <f aca="false">IF($D245="","",IFERROR(INDEX(품목목록!$B$3:$B$302,MATCH($D245,품목목록!$A$3:$A$302,0)),"미등록품번"))</f>
        <v/>
      </c>
      <c r="F245" s="12" t="str">
        <f aca="false">IF($D245="","",IFERROR(INDEX(품목목록!$C$3:$C$302,MATCH($D245,품목목록!$A$3:$A$302,0)),""))</f>
        <v/>
      </c>
      <c r="G245" s="12" t="str">
        <f aca="false">IF($D245="","",IFERROR(INDEX(품목목록!$D$3:$D$302,MATCH($D245,품목목록!$A$3:$A$302,0)),""))</f>
        <v/>
      </c>
      <c r="H245" s="12" t="str">
        <f aca="false">IF($D245="","",IFERROR(INDEX(품목목록!$E$3:$E$302,MATCH($D245,품목목록!$A$3:$A$302,0)),""))</f>
        <v/>
      </c>
      <c r="I245" s="14"/>
      <c r="J245" s="10"/>
      <c r="K245" s="10"/>
      <c r="L245" s="10"/>
      <c r="M245" s="15" t="str">
        <f aca="false">IF($A245="","",SUMIFS(처리내역!$E$3:$E$1502,처리내역!$B$3:$B$1502,$A245))</f>
        <v/>
      </c>
      <c r="N245" s="15" t="str">
        <f aca="false">IF($A245="","",IF($I245="","",$I245-$M245))</f>
        <v/>
      </c>
      <c r="O245" s="12" t="str">
        <f aca="false">IF($A245="","",IF($I245="","",IF($M245=0,"미처리",IF($N245&lt;=0,"완료","부분처리"))))</f>
        <v/>
      </c>
    </row>
    <row r="246" customFormat="false" ht="15" hidden="false" customHeight="true" outlineLevel="0" collapsed="false">
      <c r="A246" s="12" t="str">
        <f aca="false">IF($B246="","",TEXT($B246,"yymm")&amp;"-"&amp;TEXT(COUNTIFS($B$3:$B246,"&gt;="&amp;DATE(YEAR($B246),MONTH($B246),1),$B$3:$B246,"&lt;="&amp;EOMONTH($B246,0)),"000"))</f>
        <v/>
      </c>
      <c r="B246" s="13"/>
      <c r="C246" s="10"/>
      <c r="D246" s="10"/>
      <c r="E246" s="12" t="str">
        <f aca="false">IF($D246="","",IFERROR(INDEX(품목목록!$B$3:$B$302,MATCH($D246,품목목록!$A$3:$A$302,0)),"미등록품번"))</f>
        <v/>
      </c>
      <c r="F246" s="12" t="str">
        <f aca="false">IF($D246="","",IFERROR(INDEX(품목목록!$C$3:$C$302,MATCH($D246,품목목록!$A$3:$A$302,0)),""))</f>
        <v/>
      </c>
      <c r="G246" s="12" t="str">
        <f aca="false">IF($D246="","",IFERROR(INDEX(품목목록!$D$3:$D$302,MATCH($D246,품목목록!$A$3:$A$302,0)),""))</f>
        <v/>
      </c>
      <c r="H246" s="12" t="str">
        <f aca="false">IF($D246="","",IFERROR(INDEX(품목목록!$E$3:$E$302,MATCH($D246,품목목록!$A$3:$A$302,0)),""))</f>
        <v/>
      </c>
      <c r="I246" s="14"/>
      <c r="J246" s="10"/>
      <c r="K246" s="10"/>
      <c r="L246" s="10"/>
      <c r="M246" s="15" t="str">
        <f aca="false">IF($A246="","",SUMIFS(처리내역!$E$3:$E$1502,처리내역!$B$3:$B$1502,$A246))</f>
        <v/>
      </c>
      <c r="N246" s="15" t="str">
        <f aca="false">IF($A246="","",IF($I246="","",$I246-$M246))</f>
        <v/>
      </c>
      <c r="O246" s="12" t="str">
        <f aca="false">IF($A246="","",IF($I246="","",IF($M246=0,"미처리",IF($N246&lt;=0,"완료","부분처리"))))</f>
        <v/>
      </c>
    </row>
    <row r="247" customFormat="false" ht="15" hidden="false" customHeight="true" outlineLevel="0" collapsed="false">
      <c r="A247" s="12" t="str">
        <f aca="false">IF($B247="","",TEXT($B247,"yymm")&amp;"-"&amp;TEXT(COUNTIFS($B$3:$B247,"&gt;="&amp;DATE(YEAR($B247),MONTH($B247),1),$B$3:$B247,"&lt;="&amp;EOMONTH($B247,0)),"000"))</f>
        <v/>
      </c>
      <c r="B247" s="13"/>
      <c r="C247" s="10"/>
      <c r="D247" s="10"/>
      <c r="E247" s="12" t="str">
        <f aca="false">IF($D247="","",IFERROR(INDEX(품목목록!$B$3:$B$302,MATCH($D247,품목목록!$A$3:$A$302,0)),"미등록품번"))</f>
        <v/>
      </c>
      <c r="F247" s="12" t="str">
        <f aca="false">IF($D247="","",IFERROR(INDEX(품목목록!$C$3:$C$302,MATCH($D247,품목목록!$A$3:$A$302,0)),""))</f>
        <v/>
      </c>
      <c r="G247" s="12" t="str">
        <f aca="false">IF($D247="","",IFERROR(INDEX(품목목록!$D$3:$D$302,MATCH($D247,품목목록!$A$3:$A$302,0)),""))</f>
        <v/>
      </c>
      <c r="H247" s="12" t="str">
        <f aca="false">IF($D247="","",IFERROR(INDEX(품목목록!$E$3:$E$302,MATCH($D247,품목목록!$A$3:$A$302,0)),""))</f>
        <v/>
      </c>
      <c r="I247" s="14"/>
      <c r="J247" s="10"/>
      <c r="K247" s="10"/>
      <c r="L247" s="10"/>
      <c r="M247" s="15" t="str">
        <f aca="false">IF($A247="","",SUMIFS(처리내역!$E$3:$E$1502,처리내역!$B$3:$B$1502,$A247))</f>
        <v/>
      </c>
      <c r="N247" s="15" t="str">
        <f aca="false">IF($A247="","",IF($I247="","",$I247-$M247))</f>
        <v/>
      </c>
      <c r="O247" s="12" t="str">
        <f aca="false">IF($A247="","",IF($I247="","",IF($M247=0,"미처리",IF($N247&lt;=0,"완료","부분처리"))))</f>
        <v/>
      </c>
    </row>
    <row r="248" customFormat="false" ht="15" hidden="false" customHeight="true" outlineLevel="0" collapsed="false">
      <c r="A248" s="12" t="str">
        <f aca="false">IF($B248="","",TEXT($B248,"yymm")&amp;"-"&amp;TEXT(COUNTIFS($B$3:$B248,"&gt;="&amp;DATE(YEAR($B248),MONTH($B248),1),$B$3:$B248,"&lt;="&amp;EOMONTH($B248,0)),"000"))</f>
        <v/>
      </c>
      <c r="B248" s="13"/>
      <c r="C248" s="10"/>
      <c r="D248" s="10"/>
      <c r="E248" s="12" t="str">
        <f aca="false">IF($D248="","",IFERROR(INDEX(품목목록!$B$3:$B$302,MATCH($D248,품목목록!$A$3:$A$302,0)),"미등록품번"))</f>
        <v/>
      </c>
      <c r="F248" s="12" t="str">
        <f aca="false">IF($D248="","",IFERROR(INDEX(품목목록!$C$3:$C$302,MATCH($D248,품목목록!$A$3:$A$302,0)),""))</f>
        <v/>
      </c>
      <c r="G248" s="12" t="str">
        <f aca="false">IF($D248="","",IFERROR(INDEX(품목목록!$D$3:$D$302,MATCH($D248,품목목록!$A$3:$A$302,0)),""))</f>
        <v/>
      </c>
      <c r="H248" s="12" t="str">
        <f aca="false">IF($D248="","",IFERROR(INDEX(품목목록!$E$3:$E$302,MATCH($D248,품목목록!$A$3:$A$302,0)),""))</f>
        <v/>
      </c>
      <c r="I248" s="14"/>
      <c r="J248" s="10"/>
      <c r="K248" s="10"/>
      <c r="L248" s="10"/>
      <c r="M248" s="15" t="str">
        <f aca="false">IF($A248="","",SUMIFS(처리내역!$E$3:$E$1502,처리내역!$B$3:$B$1502,$A248))</f>
        <v/>
      </c>
      <c r="N248" s="15" t="str">
        <f aca="false">IF($A248="","",IF($I248="","",$I248-$M248))</f>
        <v/>
      </c>
      <c r="O248" s="12" t="str">
        <f aca="false">IF($A248="","",IF($I248="","",IF($M248=0,"미처리",IF($N248&lt;=0,"완료","부분처리"))))</f>
        <v/>
      </c>
    </row>
    <row r="249" customFormat="false" ht="15" hidden="false" customHeight="true" outlineLevel="0" collapsed="false">
      <c r="A249" s="12" t="str">
        <f aca="false">IF($B249="","",TEXT($B249,"yymm")&amp;"-"&amp;TEXT(COUNTIFS($B$3:$B249,"&gt;="&amp;DATE(YEAR($B249),MONTH($B249),1),$B$3:$B249,"&lt;="&amp;EOMONTH($B249,0)),"000"))</f>
        <v/>
      </c>
      <c r="B249" s="13"/>
      <c r="C249" s="10"/>
      <c r="D249" s="10"/>
      <c r="E249" s="12" t="str">
        <f aca="false">IF($D249="","",IFERROR(INDEX(품목목록!$B$3:$B$302,MATCH($D249,품목목록!$A$3:$A$302,0)),"미등록품번"))</f>
        <v/>
      </c>
      <c r="F249" s="12" t="str">
        <f aca="false">IF($D249="","",IFERROR(INDEX(품목목록!$C$3:$C$302,MATCH($D249,품목목록!$A$3:$A$302,0)),""))</f>
        <v/>
      </c>
      <c r="G249" s="12" t="str">
        <f aca="false">IF($D249="","",IFERROR(INDEX(품목목록!$D$3:$D$302,MATCH($D249,품목목록!$A$3:$A$302,0)),""))</f>
        <v/>
      </c>
      <c r="H249" s="12" t="str">
        <f aca="false">IF($D249="","",IFERROR(INDEX(품목목록!$E$3:$E$302,MATCH($D249,품목목록!$A$3:$A$302,0)),""))</f>
        <v/>
      </c>
      <c r="I249" s="14"/>
      <c r="J249" s="10"/>
      <c r="K249" s="10"/>
      <c r="L249" s="10"/>
      <c r="M249" s="15" t="str">
        <f aca="false">IF($A249="","",SUMIFS(처리내역!$E$3:$E$1502,처리내역!$B$3:$B$1502,$A249))</f>
        <v/>
      </c>
      <c r="N249" s="15" t="str">
        <f aca="false">IF($A249="","",IF($I249="","",$I249-$M249))</f>
        <v/>
      </c>
      <c r="O249" s="12" t="str">
        <f aca="false">IF($A249="","",IF($I249="","",IF($M249=0,"미처리",IF($N249&lt;=0,"완료","부분처리"))))</f>
        <v/>
      </c>
    </row>
    <row r="250" customFormat="false" ht="15" hidden="false" customHeight="true" outlineLevel="0" collapsed="false">
      <c r="A250" s="12" t="str">
        <f aca="false">IF($B250="","",TEXT($B250,"yymm")&amp;"-"&amp;TEXT(COUNTIFS($B$3:$B250,"&gt;="&amp;DATE(YEAR($B250),MONTH($B250),1),$B$3:$B250,"&lt;="&amp;EOMONTH($B250,0)),"000"))</f>
        <v/>
      </c>
      <c r="B250" s="13"/>
      <c r="C250" s="10"/>
      <c r="D250" s="10"/>
      <c r="E250" s="12" t="str">
        <f aca="false">IF($D250="","",IFERROR(INDEX(품목목록!$B$3:$B$302,MATCH($D250,품목목록!$A$3:$A$302,0)),"미등록품번"))</f>
        <v/>
      </c>
      <c r="F250" s="12" t="str">
        <f aca="false">IF($D250="","",IFERROR(INDEX(품목목록!$C$3:$C$302,MATCH($D250,품목목록!$A$3:$A$302,0)),""))</f>
        <v/>
      </c>
      <c r="G250" s="12" t="str">
        <f aca="false">IF($D250="","",IFERROR(INDEX(품목목록!$D$3:$D$302,MATCH($D250,품목목록!$A$3:$A$302,0)),""))</f>
        <v/>
      </c>
      <c r="H250" s="12" t="str">
        <f aca="false">IF($D250="","",IFERROR(INDEX(품목목록!$E$3:$E$302,MATCH($D250,품목목록!$A$3:$A$302,0)),""))</f>
        <v/>
      </c>
      <c r="I250" s="14"/>
      <c r="J250" s="10"/>
      <c r="K250" s="10"/>
      <c r="L250" s="10"/>
      <c r="M250" s="15" t="str">
        <f aca="false">IF($A250="","",SUMIFS(처리내역!$E$3:$E$1502,처리내역!$B$3:$B$1502,$A250))</f>
        <v/>
      </c>
      <c r="N250" s="15" t="str">
        <f aca="false">IF($A250="","",IF($I250="","",$I250-$M250))</f>
        <v/>
      </c>
      <c r="O250" s="12" t="str">
        <f aca="false">IF($A250="","",IF($I250="","",IF($M250=0,"미처리",IF($N250&lt;=0,"완료","부분처리"))))</f>
        <v/>
      </c>
    </row>
    <row r="251" customFormat="false" ht="15" hidden="false" customHeight="true" outlineLevel="0" collapsed="false">
      <c r="A251" s="12" t="str">
        <f aca="false">IF($B251="","",TEXT($B251,"yymm")&amp;"-"&amp;TEXT(COUNTIFS($B$3:$B251,"&gt;="&amp;DATE(YEAR($B251),MONTH($B251),1),$B$3:$B251,"&lt;="&amp;EOMONTH($B251,0)),"000"))</f>
        <v/>
      </c>
      <c r="B251" s="13"/>
      <c r="C251" s="10"/>
      <c r="D251" s="10"/>
      <c r="E251" s="12" t="str">
        <f aca="false">IF($D251="","",IFERROR(INDEX(품목목록!$B$3:$B$302,MATCH($D251,품목목록!$A$3:$A$302,0)),"미등록품번"))</f>
        <v/>
      </c>
      <c r="F251" s="12" t="str">
        <f aca="false">IF($D251="","",IFERROR(INDEX(품목목록!$C$3:$C$302,MATCH($D251,품목목록!$A$3:$A$302,0)),""))</f>
        <v/>
      </c>
      <c r="G251" s="12" t="str">
        <f aca="false">IF($D251="","",IFERROR(INDEX(품목목록!$D$3:$D$302,MATCH($D251,품목목록!$A$3:$A$302,0)),""))</f>
        <v/>
      </c>
      <c r="H251" s="12" t="str">
        <f aca="false">IF($D251="","",IFERROR(INDEX(품목목록!$E$3:$E$302,MATCH($D251,품목목록!$A$3:$A$302,0)),""))</f>
        <v/>
      </c>
      <c r="I251" s="14"/>
      <c r="J251" s="10"/>
      <c r="K251" s="10"/>
      <c r="L251" s="10"/>
      <c r="M251" s="15" t="str">
        <f aca="false">IF($A251="","",SUMIFS(처리내역!$E$3:$E$1502,처리내역!$B$3:$B$1502,$A251))</f>
        <v/>
      </c>
      <c r="N251" s="15" t="str">
        <f aca="false">IF($A251="","",IF($I251="","",$I251-$M251))</f>
        <v/>
      </c>
      <c r="O251" s="12" t="str">
        <f aca="false">IF($A251="","",IF($I251="","",IF($M251=0,"미처리",IF($N251&lt;=0,"완료","부분처리"))))</f>
        <v/>
      </c>
    </row>
    <row r="252" customFormat="false" ht="15" hidden="false" customHeight="true" outlineLevel="0" collapsed="false">
      <c r="A252" s="12" t="str">
        <f aca="false">IF($B252="","",TEXT($B252,"yymm")&amp;"-"&amp;TEXT(COUNTIFS($B$3:$B252,"&gt;="&amp;DATE(YEAR($B252),MONTH($B252),1),$B$3:$B252,"&lt;="&amp;EOMONTH($B252,0)),"000"))</f>
        <v/>
      </c>
      <c r="B252" s="13"/>
      <c r="C252" s="10"/>
      <c r="D252" s="10"/>
      <c r="E252" s="12" t="str">
        <f aca="false">IF($D252="","",IFERROR(INDEX(품목목록!$B$3:$B$302,MATCH($D252,품목목록!$A$3:$A$302,0)),"미등록품번"))</f>
        <v/>
      </c>
      <c r="F252" s="12" t="str">
        <f aca="false">IF($D252="","",IFERROR(INDEX(품목목록!$C$3:$C$302,MATCH($D252,품목목록!$A$3:$A$302,0)),""))</f>
        <v/>
      </c>
      <c r="G252" s="12" t="str">
        <f aca="false">IF($D252="","",IFERROR(INDEX(품목목록!$D$3:$D$302,MATCH($D252,품목목록!$A$3:$A$302,0)),""))</f>
        <v/>
      </c>
      <c r="H252" s="12" t="str">
        <f aca="false">IF($D252="","",IFERROR(INDEX(품목목록!$E$3:$E$302,MATCH($D252,품목목록!$A$3:$A$302,0)),""))</f>
        <v/>
      </c>
      <c r="I252" s="14"/>
      <c r="J252" s="10"/>
      <c r="K252" s="10"/>
      <c r="L252" s="10"/>
      <c r="M252" s="15" t="str">
        <f aca="false">IF($A252="","",SUMIFS(처리내역!$E$3:$E$1502,처리내역!$B$3:$B$1502,$A252))</f>
        <v/>
      </c>
      <c r="N252" s="15" t="str">
        <f aca="false">IF($A252="","",IF($I252="","",$I252-$M252))</f>
        <v/>
      </c>
      <c r="O252" s="12" t="str">
        <f aca="false">IF($A252="","",IF($I252="","",IF($M252=0,"미처리",IF($N252&lt;=0,"완료","부분처리"))))</f>
        <v/>
      </c>
    </row>
    <row r="253" customFormat="false" ht="15" hidden="false" customHeight="true" outlineLevel="0" collapsed="false">
      <c r="A253" s="12" t="str">
        <f aca="false">IF($B253="","",TEXT($B253,"yymm")&amp;"-"&amp;TEXT(COUNTIFS($B$3:$B253,"&gt;="&amp;DATE(YEAR($B253),MONTH($B253),1),$B$3:$B253,"&lt;="&amp;EOMONTH($B253,0)),"000"))</f>
        <v/>
      </c>
      <c r="B253" s="13"/>
      <c r="C253" s="10"/>
      <c r="D253" s="10"/>
      <c r="E253" s="12" t="str">
        <f aca="false">IF($D253="","",IFERROR(INDEX(품목목록!$B$3:$B$302,MATCH($D253,품목목록!$A$3:$A$302,0)),"미등록품번"))</f>
        <v/>
      </c>
      <c r="F253" s="12" t="str">
        <f aca="false">IF($D253="","",IFERROR(INDEX(품목목록!$C$3:$C$302,MATCH($D253,품목목록!$A$3:$A$302,0)),""))</f>
        <v/>
      </c>
      <c r="G253" s="12" t="str">
        <f aca="false">IF($D253="","",IFERROR(INDEX(품목목록!$D$3:$D$302,MATCH($D253,품목목록!$A$3:$A$302,0)),""))</f>
        <v/>
      </c>
      <c r="H253" s="12" t="str">
        <f aca="false">IF($D253="","",IFERROR(INDEX(품목목록!$E$3:$E$302,MATCH($D253,품목목록!$A$3:$A$302,0)),""))</f>
        <v/>
      </c>
      <c r="I253" s="14"/>
      <c r="J253" s="10"/>
      <c r="K253" s="10"/>
      <c r="L253" s="10"/>
      <c r="M253" s="15" t="str">
        <f aca="false">IF($A253="","",SUMIFS(처리내역!$E$3:$E$1502,처리내역!$B$3:$B$1502,$A253))</f>
        <v/>
      </c>
      <c r="N253" s="15" t="str">
        <f aca="false">IF($A253="","",IF($I253="","",$I253-$M253))</f>
        <v/>
      </c>
      <c r="O253" s="12" t="str">
        <f aca="false">IF($A253="","",IF($I253="","",IF($M253=0,"미처리",IF($N253&lt;=0,"완료","부분처리"))))</f>
        <v/>
      </c>
    </row>
    <row r="254" customFormat="false" ht="15" hidden="false" customHeight="true" outlineLevel="0" collapsed="false">
      <c r="A254" s="12" t="str">
        <f aca="false">IF($B254="","",TEXT($B254,"yymm")&amp;"-"&amp;TEXT(COUNTIFS($B$3:$B254,"&gt;="&amp;DATE(YEAR($B254),MONTH($B254),1),$B$3:$B254,"&lt;="&amp;EOMONTH($B254,0)),"000"))</f>
        <v/>
      </c>
      <c r="B254" s="13"/>
      <c r="C254" s="10"/>
      <c r="D254" s="10"/>
      <c r="E254" s="12" t="str">
        <f aca="false">IF($D254="","",IFERROR(INDEX(품목목록!$B$3:$B$302,MATCH($D254,품목목록!$A$3:$A$302,0)),"미등록품번"))</f>
        <v/>
      </c>
      <c r="F254" s="12" t="str">
        <f aca="false">IF($D254="","",IFERROR(INDEX(품목목록!$C$3:$C$302,MATCH($D254,품목목록!$A$3:$A$302,0)),""))</f>
        <v/>
      </c>
      <c r="G254" s="12" t="str">
        <f aca="false">IF($D254="","",IFERROR(INDEX(품목목록!$D$3:$D$302,MATCH($D254,품목목록!$A$3:$A$302,0)),""))</f>
        <v/>
      </c>
      <c r="H254" s="12" t="str">
        <f aca="false">IF($D254="","",IFERROR(INDEX(품목목록!$E$3:$E$302,MATCH($D254,품목목록!$A$3:$A$302,0)),""))</f>
        <v/>
      </c>
      <c r="I254" s="14"/>
      <c r="J254" s="10"/>
      <c r="K254" s="10"/>
      <c r="L254" s="10"/>
      <c r="M254" s="15" t="str">
        <f aca="false">IF($A254="","",SUMIFS(처리내역!$E$3:$E$1502,처리내역!$B$3:$B$1502,$A254))</f>
        <v/>
      </c>
      <c r="N254" s="15" t="str">
        <f aca="false">IF($A254="","",IF($I254="","",$I254-$M254))</f>
        <v/>
      </c>
      <c r="O254" s="12" t="str">
        <f aca="false">IF($A254="","",IF($I254="","",IF($M254=0,"미처리",IF($N254&lt;=0,"완료","부분처리"))))</f>
        <v/>
      </c>
    </row>
    <row r="255" customFormat="false" ht="15" hidden="false" customHeight="true" outlineLevel="0" collapsed="false">
      <c r="A255" s="12" t="str">
        <f aca="false">IF($B255="","",TEXT($B255,"yymm")&amp;"-"&amp;TEXT(COUNTIFS($B$3:$B255,"&gt;="&amp;DATE(YEAR($B255),MONTH($B255),1),$B$3:$B255,"&lt;="&amp;EOMONTH($B255,0)),"000"))</f>
        <v/>
      </c>
      <c r="B255" s="13"/>
      <c r="C255" s="10"/>
      <c r="D255" s="10"/>
      <c r="E255" s="12" t="str">
        <f aca="false">IF($D255="","",IFERROR(INDEX(품목목록!$B$3:$B$302,MATCH($D255,품목목록!$A$3:$A$302,0)),"미등록품번"))</f>
        <v/>
      </c>
      <c r="F255" s="12" t="str">
        <f aca="false">IF($D255="","",IFERROR(INDEX(품목목록!$C$3:$C$302,MATCH($D255,품목목록!$A$3:$A$302,0)),""))</f>
        <v/>
      </c>
      <c r="G255" s="12" t="str">
        <f aca="false">IF($D255="","",IFERROR(INDEX(품목목록!$D$3:$D$302,MATCH($D255,품목목록!$A$3:$A$302,0)),""))</f>
        <v/>
      </c>
      <c r="H255" s="12" t="str">
        <f aca="false">IF($D255="","",IFERROR(INDEX(품목목록!$E$3:$E$302,MATCH($D255,품목목록!$A$3:$A$302,0)),""))</f>
        <v/>
      </c>
      <c r="I255" s="14"/>
      <c r="J255" s="10"/>
      <c r="K255" s="10"/>
      <c r="L255" s="10"/>
      <c r="M255" s="15" t="str">
        <f aca="false">IF($A255="","",SUMIFS(처리내역!$E$3:$E$1502,처리내역!$B$3:$B$1502,$A255))</f>
        <v/>
      </c>
      <c r="N255" s="15" t="str">
        <f aca="false">IF($A255="","",IF($I255="","",$I255-$M255))</f>
        <v/>
      </c>
      <c r="O255" s="12" t="str">
        <f aca="false">IF($A255="","",IF($I255="","",IF($M255=0,"미처리",IF($N255&lt;=0,"완료","부분처리"))))</f>
        <v/>
      </c>
    </row>
    <row r="256" customFormat="false" ht="15" hidden="false" customHeight="true" outlineLevel="0" collapsed="false">
      <c r="A256" s="12" t="str">
        <f aca="false">IF($B256="","",TEXT($B256,"yymm")&amp;"-"&amp;TEXT(COUNTIFS($B$3:$B256,"&gt;="&amp;DATE(YEAR($B256),MONTH($B256),1),$B$3:$B256,"&lt;="&amp;EOMONTH($B256,0)),"000"))</f>
        <v/>
      </c>
      <c r="B256" s="13"/>
      <c r="C256" s="10"/>
      <c r="D256" s="10"/>
      <c r="E256" s="12" t="str">
        <f aca="false">IF($D256="","",IFERROR(INDEX(품목목록!$B$3:$B$302,MATCH($D256,품목목록!$A$3:$A$302,0)),"미등록품번"))</f>
        <v/>
      </c>
      <c r="F256" s="12" t="str">
        <f aca="false">IF($D256="","",IFERROR(INDEX(품목목록!$C$3:$C$302,MATCH($D256,품목목록!$A$3:$A$302,0)),""))</f>
        <v/>
      </c>
      <c r="G256" s="12" t="str">
        <f aca="false">IF($D256="","",IFERROR(INDEX(품목목록!$D$3:$D$302,MATCH($D256,품목목록!$A$3:$A$302,0)),""))</f>
        <v/>
      </c>
      <c r="H256" s="12" t="str">
        <f aca="false">IF($D256="","",IFERROR(INDEX(품목목록!$E$3:$E$302,MATCH($D256,품목목록!$A$3:$A$302,0)),""))</f>
        <v/>
      </c>
      <c r="I256" s="14"/>
      <c r="J256" s="10"/>
      <c r="K256" s="10"/>
      <c r="L256" s="10"/>
      <c r="M256" s="15" t="str">
        <f aca="false">IF($A256="","",SUMIFS(처리내역!$E$3:$E$1502,처리내역!$B$3:$B$1502,$A256))</f>
        <v/>
      </c>
      <c r="N256" s="15" t="str">
        <f aca="false">IF($A256="","",IF($I256="","",$I256-$M256))</f>
        <v/>
      </c>
      <c r="O256" s="12" t="str">
        <f aca="false">IF($A256="","",IF($I256="","",IF($M256=0,"미처리",IF($N256&lt;=0,"완료","부분처리"))))</f>
        <v/>
      </c>
    </row>
    <row r="257" customFormat="false" ht="15" hidden="false" customHeight="true" outlineLevel="0" collapsed="false">
      <c r="A257" s="12" t="str">
        <f aca="false">IF($B257="","",TEXT($B257,"yymm")&amp;"-"&amp;TEXT(COUNTIFS($B$3:$B257,"&gt;="&amp;DATE(YEAR($B257),MONTH($B257),1),$B$3:$B257,"&lt;="&amp;EOMONTH($B257,0)),"000"))</f>
        <v/>
      </c>
      <c r="B257" s="13"/>
      <c r="C257" s="10"/>
      <c r="D257" s="10"/>
      <c r="E257" s="12" t="str">
        <f aca="false">IF($D257="","",IFERROR(INDEX(품목목록!$B$3:$B$302,MATCH($D257,품목목록!$A$3:$A$302,0)),"미등록품번"))</f>
        <v/>
      </c>
      <c r="F257" s="12" t="str">
        <f aca="false">IF($D257="","",IFERROR(INDEX(품목목록!$C$3:$C$302,MATCH($D257,품목목록!$A$3:$A$302,0)),""))</f>
        <v/>
      </c>
      <c r="G257" s="12" t="str">
        <f aca="false">IF($D257="","",IFERROR(INDEX(품목목록!$D$3:$D$302,MATCH($D257,품목목록!$A$3:$A$302,0)),""))</f>
        <v/>
      </c>
      <c r="H257" s="12" t="str">
        <f aca="false">IF($D257="","",IFERROR(INDEX(품목목록!$E$3:$E$302,MATCH($D257,품목목록!$A$3:$A$302,0)),""))</f>
        <v/>
      </c>
      <c r="I257" s="14"/>
      <c r="J257" s="10"/>
      <c r="K257" s="10"/>
      <c r="L257" s="10"/>
      <c r="M257" s="15" t="str">
        <f aca="false">IF($A257="","",SUMIFS(처리내역!$E$3:$E$1502,처리내역!$B$3:$B$1502,$A257))</f>
        <v/>
      </c>
      <c r="N257" s="15" t="str">
        <f aca="false">IF($A257="","",IF($I257="","",$I257-$M257))</f>
        <v/>
      </c>
      <c r="O257" s="12" t="str">
        <f aca="false">IF($A257="","",IF($I257="","",IF($M257=0,"미처리",IF($N257&lt;=0,"완료","부분처리"))))</f>
        <v/>
      </c>
    </row>
    <row r="258" customFormat="false" ht="15" hidden="false" customHeight="true" outlineLevel="0" collapsed="false">
      <c r="A258" s="12" t="str">
        <f aca="false">IF($B258="","",TEXT($B258,"yymm")&amp;"-"&amp;TEXT(COUNTIFS($B$3:$B258,"&gt;="&amp;DATE(YEAR($B258),MONTH($B258),1),$B$3:$B258,"&lt;="&amp;EOMONTH($B258,0)),"000"))</f>
        <v/>
      </c>
      <c r="B258" s="13"/>
      <c r="C258" s="10"/>
      <c r="D258" s="10"/>
      <c r="E258" s="12" t="str">
        <f aca="false">IF($D258="","",IFERROR(INDEX(품목목록!$B$3:$B$302,MATCH($D258,품목목록!$A$3:$A$302,0)),"미등록품번"))</f>
        <v/>
      </c>
      <c r="F258" s="12" t="str">
        <f aca="false">IF($D258="","",IFERROR(INDEX(품목목록!$C$3:$C$302,MATCH($D258,품목목록!$A$3:$A$302,0)),""))</f>
        <v/>
      </c>
      <c r="G258" s="12" t="str">
        <f aca="false">IF($D258="","",IFERROR(INDEX(품목목록!$D$3:$D$302,MATCH($D258,품목목록!$A$3:$A$302,0)),""))</f>
        <v/>
      </c>
      <c r="H258" s="12" t="str">
        <f aca="false">IF($D258="","",IFERROR(INDEX(품목목록!$E$3:$E$302,MATCH($D258,품목목록!$A$3:$A$302,0)),""))</f>
        <v/>
      </c>
      <c r="I258" s="14"/>
      <c r="J258" s="10"/>
      <c r="K258" s="10"/>
      <c r="L258" s="10"/>
      <c r="M258" s="15" t="str">
        <f aca="false">IF($A258="","",SUMIFS(처리내역!$E$3:$E$1502,처리내역!$B$3:$B$1502,$A258))</f>
        <v/>
      </c>
      <c r="N258" s="15" t="str">
        <f aca="false">IF($A258="","",IF($I258="","",$I258-$M258))</f>
        <v/>
      </c>
      <c r="O258" s="12" t="str">
        <f aca="false">IF($A258="","",IF($I258="","",IF($M258=0,"미처리",IF($N258&lt;=0,"완료","부분처리"))))</f>
        <v/>
      </c>
    </row>
    <row r="259" customFormat="false" ht="15" hidden="false" customHeight="true" outlineLevel="0" collapsed="false">
      <c r="A259" s="12" t="str">
        <f aca="false">IF($B259="","",TEXT($B259,"yymm")&amp;"-"&amp;TEXT(COUNTIFS($B$3:$B259,"&gt;="&amp;DATE(YEAR($B259),MONTH($B259),1),$B$3:$B259,"&lt;="&amp;EOMONTH($B259,0)),"000"))</f>
        <v/>
      </c>
      <c r="B259" s="13"/>
      <c r="C259" s="10"/>
      <c r="D259" s="10"/>
      <c r="E259" s="12" t="str">
        <f aca="false">IF($D259="","",IFERROR(INDEX(품목목록!$B$3:$B$302,MATCH($D259,품목목록!$A$3:$A$302,0)),"미등록품번"))</f>
        <v/>
      </c>
      <c r="F259" s="12" t="str">
        <f aca="false">IF($D259="","",IFERROR(INDEX(품목목록!$C$3:$C$302,MATCH($D259,품목목록!$A$3:$A$302,0)),""))</f>
        <v/>
      </c>
      <c r="G259" s="12" t="str">
        <f aca="false">IF($D259="","",IFERROR(INDEX(품목목록!$D$3:$D$302,MATCH($D259,품목목록!$A$3:$A$302,0)),""))</f>
        <v/>
      </c>
      <c r="H259" s="12" t="str">
        <f aca="false">IF($D259="","",IFERROR(INDEX(품목목록!$E$3:$E$302,MATCH($D259,품목목록!$A$3:$A$302,0)),""))</f>
        <v/>
      </c>
      <c r="I259" s="14"/>
      <c r="J259" s="10"/>
      <c r="K259" s="10"/>
      <c r="L259" s="10"/>
      <c r="M259" s="15" t="str">
        <f aca="false">IF($A259="","",SUMIFS(처리내역!$E$3:$E$1502,처리내역!$B$3:$B$1502,$A259))</f>
        <v/>
      </c>
      <c r="N259" s="15" t="str">
        <f aca="false">IF($A259="","",IF($I259="","",$I259-$M259))</f>
        <v/>
      </c>
      <c r="O259" s="12" t="str">
        <f aca="false">IF($A259="","",IF($I259="","",IF($M259=0,"미처리",IF($N259&lt;=0,"완료","부분처리"))))</f>
        <v/>
      </c>
    </row>
    <row r="260" customFormat="false" ht="15" hidden="false" customHeight="true" outlineLevel="0" collapsed="false">
      <c r="A260" s="12" t="str">
        <f aca="false">IF($B260="","",TEXT($B260,"yymm")&amp;"-"&amp;TEXT(COUNTIFS($B$3:$B260,"&gt;="&amp;DATE(YEAR($B260),MONTH($B260),1),$B$3:$B260,"&lt;="&amp;EOMONTH($B260,0)),"000"))</f>
        <v/>
      </c>
      <c r="B260" s="13"/>
      <c r="C260" s="10"/>
      <c r="D260" s="10"/>
      <c r="E260" s="12" t="str">
        <f aca="false">IF($D260="","",IFERROR(INDEX(품목목록!$B$3:$B$302,MATCH($D260,품목목록!$A$3:$A$302,0)),"미등록품번"))</f>
        <v/>
      </c>
      <c r="F260" s="12" t="str">
        <f aca="false">IF($D260="","",IFERROR(INDEX(품목목록!$C$3:$C$302,MATCH($D260,품목목록!$A$3:$A$302,0)),""))</f>
        <v/>
      </c>
      <c r="G260" s="12" t="str">
        <f aca="false">IF($D260="","",IFERROR(INDEX(품목목록!$D$3:$D$302,MATCH($D260,품목목록!$A$3:$A$302,0)),""))</f>
        <v/>
      </c>
      <c r="H260" s="12" t="str">
        <f aca="false">IF($D260="","",IFERROR(INDEX(품목목록!$E$3:$E$302,MATCH($D260,품목목록!$A$3:$A$302,0)),""))</f>
        <v/>
      </c>
      <c r="I260" s="14"/>
      <c r="J260" s="10"/>
      <c r="K260" s="10"/>
      <c r="L260" s="10"/>
      <c r="M260" s="15" t="str">
        <f aca="false">IF($A260="","",SUMIFS(처리내역!$E$3:$E$1502,처리내역!$B$3:$B$1502,$A260))</f>
        <v/>
      </c>
      <c r="N260" s="15" t="str">
        <f aca="false">IF($A260="","",IF($I260="","",$I260-$M260))</f>
        <v/>
      </c>
      <c r="O260" s="12" t="str">
        <f aca="false">IF($A260="","",IF($I260="","",IF($M260=0,"미처리",IF($N260&lt;=0,"완료","부분처리"))))</f>
        <v/>
      </c>
    </row>
    <row r="261" customFormat="false" ht="15" hidden="false" customHeight="true" outlineLevel="0" collapsed="false">
      <c r="A261" s="12" t="str">
        <f aca="false">IF($B261="","",TEXT($B261,"yymm")&amp;"-"&amp;TEXT(COUNTIFS($B$3:$B261,"&gt;="&amp;DATE(YEAR($B261),MONTH($B261),1),$B$3:$B261,"&lt;="&amp;EOMONTH($B261,0)),"000"))</f>
        <v/>
      </c>
      <c r="B261" s="13"/>
      <c r="C261" s="10"/>
      <c r="D261" s="10"/>
      <c r="E261" s="12" t="str">
        <f aca="false">IF($D261="","",IFERROR(INDEX(품목목록!$B$3:$B$302,MATCH($D261,품목목록!$A$3:$A$302,0)),"미등록품번"))</f>
        <v/>
      </c>
      <c r="F261" s="12" t="str">
        <f aca="false">IF($D261="","",IFERROR(INDEX(품목목록!$C$3:$C$302,MATCH($D261,품목목록!$A$3:$A$302,0)),""))</f>
        <v/>
      </c>
      <c r="G261" s="12" t="str">
        <f aca="false">IF($D261="","",IFERROR(INDEX(품목목록!$D$3:$D$302,MATCH($D261,품목목록!$A$3:$A$302,0)),""))</f>
        <v/>
      </c>
      <c r="H261" s="12" t="str">
        <f aca="false">IF($D261="","",IFERROR(INDEX(품목목록!$E$3:$E$302,MATCH($D261,품목목록!$A$3:$A$302,0)),""))</f>
        <v/>
      </c>
      <c r="I261" s="14"/>
      <c r="J261" s="10"/>
      <c r="K261" s="10"/>
      <c r="L261" s="10"/>
      <c r="M261" s="15" t="str">
        <f aca="false">IF($A261="","",SUMIFS(처리내역!$E$3:$E$1502,처리내역!$B$3:$B$1502,$A261))</f>
        <v/>
      </c>
      <c r="N261" s="15" t="str">
        <f aca="false">IF($A261="","",IF($I261="","",$I261-$M261))</f>
        <v/>
      </c>
      <c r="O261" s="12" t="str">
        <f aca="false">IF($A261="","",IF($I261="","",IF($M261=0,"미처리",IF($N261&lt;=0,"완료","부분처리"))))</f>
        <v/>
      </c>
    </row>
    <row r="262" customFormat="false" ht="15" hidden="false" customHeight="true" outlineLevel="0" collapsed="false">
      <c r="A262" s="12" t="str">
        <f aca="false">IF($B262="","",TEXT($B262,"yymm")&amp;"-"&amp;TEXT(COUNTIFS($B$3:$B262,"&gt;="&amp;DATE(YEAR($B262),MONTH($B262),1),$B$3:$B262,"&lt;="&amp;EOMONTH($B262,0)),"000"))</f>
        <v/>
      </c>
      <c r="B262" s="13"/>
      <c r="C262" s="10"/>
      <c r="D262" s="10"/>
      <c r="E262" s="12" t="str">
        <f aca="false">IF($D262="","",IFERROR(INDEX(품목목록!$B$3:$B$302,MATCH($D262,품목목록!$A$3:$A$302,0)),"미등록품번"))</f>
        <v/>
      </c>
      <c r="F262" s="12" t="str">
        <f aca="false">IF($D262="","",IFERROR(INDEX(품목목록!$C$3:$C$302,MATCH($D262,품목목록!$A$3:$A$302,0)),""))</f>
        <v/>
      </c>
      <c r="G262" s="12" t="str">
        <f aca="false">IF($D262="","",IFERROR(INDEX(품목목록!$D$3:$D$302,MATCH($D262,품목목록!$A$3:$A$302,0)),""))</f>
        <v/>
      </c>
      <c r="H262" s="12" t="str">
        <f aca="false">IF($D262="","",IFERROR(INDEX(품목목록!$E$3:$E$302,MATCH($D262,품목목록!$A$3:$A$302,0)),""))</f>
        <v/>
      </c>
      <c r="I262" s="14"/>
      <c r="J262" s="10"/>
      <c r="K262" s="10"/>
      <c r="L262" s="10"/>
      <c r="M262" s="15" t="str">
        <f aca="false">IF($A262="","",SUMIFS(처리내역!$E$3:$E$1502,처리내역!$B$3:$B$1502,$A262))</f>
        <v/>
      </c>
      <c r="N262" s="15" t="str">
        <f aca="false">IF($A262="","",IF($I262="","",$I262-$M262))</f>
        <v/>
      </c>
      <c r="O262" s="12" t="str">
        <f aca="false">IF($A262="","",IF($I262="","",IF($M262=0,"미처리",IF($N262&lt;=0,"완료","부분처리"))))</f>
        <v/>
      </c>
    </row>
    <row r="263" customFormat="false" ht="15" hidden="false" customHeight="true" outlineLevel="0" collapsed="false">
      <c r="A263" s="12" t="str">
        <f aca="false">IF($B263="","",TEXT($B263,"yymm")&amp;"-"&amp;TEXT(COUNTIFS($B$3:$B263,"&gt;="&amp;DATE(YEAR($B263),MONTH($B263),1),$B$3:$B263,"&lt;="&amp;EOMONTH($B263,0)),"000"))</f>
        <v/>
      </c>
      <c r="B263" s="13"/>
      <c r="C263" s="10"/>
      <c r="D263" s="10"/>
      <c r="E263" s="12" t="str">
        <f aca="false">IF($D263="","",IFERROR(INDEX(품목목록!$B$3:$B$302,MATCH($D263,품목목록!$A$3:$A$302,0)),"미등록품번"))</f>
        <v/>
      </c>
      <c r="F263" s="12" t="str">
        <f aca="false">IF($D263="","",IFERROR(INDEX(품목목록!$C$3:$C$302,MATCH($D263,품목목록!$A$3:$A$302,0)),""))</f>
        <v/>
      </c>
      <c r="G263" s="12" t="str">
        <f aca="false">IF($D263="","",IFERROR(INDEX(품목목록!$D$3:$D$302,MATCH($D263,품목목록!$A$3:$A$302,0)),""))</f>
        <v/>
      </c>
      <c r="H263" s="12" t="str">
        <f aca="false">IF($D263="","",IFERROR(INDEX(품목목록!$E$3:$E$302,MATCH($D263,품목목록!$A$3:$A$302,0)),""))</f>
        <v/>
      </c>
      <c r="I263" s="14"/>
      <c r="J263" s="10"/>
      <c r="K263" s="10"/>
      <c r="L263" s="10"/>
      <c r="M263" s="15" t="str">
        <f aca="false">IF($A263="","",SUMIFS(처리내역!$E$3:$E$1502,처리내역!$B$3:$B$1502,$A263))</f>
        <v/>
      </c>
      <c r="N263" s="15" t="str">
        <f aca="false">IF($A263="","",IF($I263="","",$I263-$M263))</f>
        <v/>
      </c>
      <c r="O263" s="12" t="str">
        <f aca="false">IF($A263="","",IF($I263="","",IF($M263=0,"미처리",IF($N263&lt;=0,"완료","부분처리"))))</f>
        <v/>
      </c>
    </row>
    <row r="264" customFormat="false" ht="15" hidden="false" customHeight="true" outlineLevel="0" collapsed="false">
      <c r="A264" s="12" t="str">
        <f aca="false">IF($B264="","",TEXT($B264,"yymm")&amp;"-"&amp;TEXT(COUNTIFS($B$3:$B264,"&gt;="&amp;DATE(YEAR($B264),MONTH($B264),1),$B$3:$B264,"&lt;="&amp;EOMONTH($B264,0)),"000"))</f>
        <v/>
      </c>
      <c r="B264" s="13"/>
      <c r="C264" s="10"/>
      <c r="D264" s="10"/>
      <c r="E264" s="12" t="str">
        <f aca="false">IF($D264="","",IFERROR(INDEX(품목목록!$B$3:$B$302,MATCH($D264,품목목록!$A$3:$A$302,0)),"미등록품번"))</f>
        <v/>
      </c>
      <c r="F264" s="12" t="str">
        <f aca="false">IF($D264="","",IFERROR(INDEX(품목목록!$C$3:$C$302,MATCH($D264,품목목록!$A$3:$A$302,0)),""))</f>
        <v/>
      </c>
      <c r="G264" s="12" t="str">
        <f aca="false">IF($D264="","",IFERROR(INDEX(품목목록!$D$3:$D$302,MATCH($D264,품목목록!$A$3:$A$302,0)),""))</f>
        <v/>
      </c>
      <c r="H264" s="12" t="str">
        <f aca="false">IF($D264="","",IFERROR(INDEX(품목목록!$E$3:$E$302,MATCH($D264,품목목록!$A$3:$A$302,0)),""))</f>
        <v/>
      </c>
      <c r="I264" s="14"/>
      <c r="J264" s="10"/>
      <c r="K264" s="10"/>
      <c r="L264" s="10"/>
      <c r="M264" s="15" t="str">
        <f aca="false">IF($A264="","",SUMIFS(처리내역!$E$3:$E$1502,처리내역!$B$3:$B$1502,$A264))</f>
        <v/>
      </c>
      <c r="N264" s="15" t="str">
        <f aca="false">IF($A264="","",IF($I264="","",$I264-$M264))</f>
        <v/>
      </c>
      <c r="O264" s="12" t="str">
        <f aca="false">IF($A264="","",IF($I264="","",IF($M264=0,"미처리",IF($N264&lt;=0,"완료","부분처리"))))</f>
        <v/>
      </c>
    </row>
    <row r="265" customFormat="false" ht="15" hidden="false" customHeight="true" outlineLevel="0" collapsed="false">
      <c r="A265" s="12" t="str">
        <f aca="false">IF($B265="","",TEXT($B265,"yymm")&amp;"-"&amp;TEXT(COUNTIFS($B$3:$B265,"&gt;="&amp;DATE(YEAR($B265),MONTH($B265),1),$B$3:$B265,"&lt;="&amp;EOMONTH($B265,0)),"000"))</f>
        <v/>
      </c>
      <c r="B265" s="13"/>
      <c r="C265" s="10"/>
      <c r="D265" s="10"/>
      <c r="E265" s="12" t="str">
        <f aca="false">IF($D265="","",IFERROR(INDEX(품목목록!$B$3:$B$302,MATCH($D265,품목목록!$A$3:$A$302,0)),"미등록품번"))</f>
        <v/>
      </c>
      <c r="F265" s="12" t="str">
        <f aca="false">IF($D265="","",IFERROR(INDEX(품목목록!$C$3:$C$302,MATCH($D265,품목목록!$A$3:$A$302,0)),""))</f>
        <v/>
      </c>
      <c r="G265" s="12" t="str">
        <f aca="false">IF($D265="","",IFERROR(INDEX(품목목록!$D$3:$D$302,MATCH($D265,품목목록!$A$3:$A$302,0)),""))</f>
        <v/>
      </c>
      <c r="H265" s="12" t="str">
        <f aca="false">IF($D265="","",IFERROR(INDEX(품목목록!$E$3:$E$302,MATCH($D265,품목목록!$A$3:$A$302,0)),""))</f>
        <v/>
      </c>
      <c r="I265" s="14"/>
      <c r="J265" s="10"/>
      <c r="K265" s="10"/>
      <c r="L265" s="10"/>
      <c r="M265" s="15" t="str">
        <f aca="false">IF($A265="","",SUMIFS(처리내역!$E$3:$E$1502,처리내역!$B$3:$B$1502,$A265))</f>
        <v/>
      </c>
      <c r="N265" s="15" t="str">
        <f aca="false">IF($A265="","",IF($I265="","",$I265-$M265))</f>
        <v/>
      </c>
      <c r="O265" s="12" t="str">
        <f aca="false">IF($A265="","",IF($I265="","",IF($M265=0,"미처리",IF($N265&lt;=0,"완료","부분처리"))))</f>
        <v/>
      </c>
    </row>
    <row r="266" customFormat="false" ht="15" hidden="false" customHeight="true" outlineLevel="0" collapsed="false">
      <c r="A266" s="12" t="str">
        <f aca="false">IF($B266="","",TEXT($B266,"yymm")&amp;"-"&amp;TEXT(COUNTIFS($B$3:$B266,"&gt;="&amp;DATE(YEAR($B266),MONTH($B266),1),$B$3:$B266,"&lt;="&amp;EOMONTH($B266,0)),"000"))</f>
        <v/>
      </c>
      <c r="B266" s="13"/>
      <c r="C266" s="10"/>
      <c r="D266" s="10"/>
      <c r="E266" s="12" t="str">
        <f aca="false">IF($D266="","",IFERROR(INDEX(품목목록!$B$3:$B$302,MATCH($D266,품목목록!$A$3:$A$302,0)),"미등록품번"))</f>
        <v/>
      </c>
      <c r="F266" s="12" t="str">
        <f aca="false">IF($D266="","",IFERROR(INDEX(품목목록!$C$3:$C$302,MATCH($D266,품목목록!$A$3:$A$302,0)),""))</f>
        <v/>
      </c>
      <c r="G266" s="12" t="str">
        <f aca="false">IF($D266="","",IFERROR(INDEX(품목목록!$D$3:$D$302,MATCH($D266,품목목록!$A$3:$A$302,0)),""))</f>
        <v/>
      </c>
      <c r="H266" s="12" t="str">
        <f aca="false">IF($D266="","",IFERROR(INDEX(품목목록!$E$3:$E$302,MATCH($D266,품목목록!$A$3:$A$302,0)),""))</f>
        <v/>
      </c>
      <c r="I266" s="14"/>
      <c r="J266" s="10"/>
      <c r="K266" s="10"/>
      <c r="L266" s="10"/>
      <c r="M266" s="15" t="str">
        <f aca="false">IF($A266="","",SUMIFS(처리내역!$E$3:$E$1502,처리내역!$B$3:$B$1502,$A266))</f>
        <v/>
      </c>
      <c r="N266" s="15" t="str">
        <f aca="false">IF($A266="","",IF($I266="","",$I266-$M266))</f>
        <v/>
      </c>
      <c r="O266" s="12" t="str">
        <f aca="false">IF($A266="","",IF($I266="","",IF($M266=0,"미처리",IF($N266&lt;=0,"완료","부분처리"))))</f>
        <v/>
      </c>
    </row>
    <row r="267" customFormat="false" ht="15" hidden="false" customHeight="true" outlineLevel="0" collapsed="false">
      <c r="A267" s="12" t="str">
        <f aca="false">IF($B267="","",TEXT($B267,"yymm")&amp;"-"&amp;TEXT(COUNTIFS($B$3:$B267,"&gt;="&amp;DATE(YEAR($B267),MONTH($B267),1),$B$3:$B267,"&lt;="&amp;EOMONTH($B267,0)),"000"))</f>
        <v/>
      </c>
      <c r="B267" s="13"/>
      <c r="C267" s="10"/>
      <c r="D267" s="10"/>
      <c r="E267" s="12" t="str">
        <f aca="false">IF($D267="","",IFERROR(INDEX(품목목록!$B$3:$B$302,MATCH($D267,품목목록!$A$3:$A$302,0)),"미등록품번"))</f>
        <v/>
      </c>
      <c r="F267" s="12" t="str">
        <f aca="false">IF($D267="","",IFERROR(INDEX(품목목록!$C$3:$C$302,MATCH($D267,품목목록!$A$3:$A$302,0)),""))</f>
        <v/>
      </c>
      <c r="G267" s="12" t="str">
        <f aca="false">IF($D267="","",IFERROR(INDEX(품목목록!$D$3:$D$302,MATCH($D267,품목목록!$A$3:$A$302,0)),""))</f>
        <v/>
      </c>
      <c r="H267" s="12" t="str">
        <f aca="false">IF($D267="","",IFERROR(INDEX(품목목록!$E$3:$E$302,MATCH($D267,품목목록!$A$3:$A$302,0)),""))</f>
        <v/>
      </c>
      <c r="I267" s="14"/>
      <c r="J267" s="10"/>
      <c r="K267" s="10"/>
      <c r="L267" s="10"/>
      <c r="M267" s="15" t="str">
        <f aca="false">IF($A267="","",SUMIFS(처리내역!$E$3:$E$1502,처리내역!$B$3:$B$1502,$A267))</f>
        <v/>
      </c>
      <c r="N267" s="15" t="str">
        <f aca="false">IF($A267="","",IF($I267="","",$I267-$M267))</f>
        <v/>
      </c>
      <c r="O267" s="12" t="str">
        <f aca="false">IF($A267="","",IF($I267="","",IF($M267=0,"미처리",IF($N267&lt;=0,"완료","부분처리"))))</f>
        <v/>
      </c>
    </row>
    <row r="268" customFormat="false" ht="15" hidden="false" customHeight="true" outlineLevel="0" collapsed="false">
      <c r="A268" s="12" t="str">
        <f aca="false">IF($B268="","",TEXT($B268,"yymm")&amp;"-"&amp;TEXT(COUNTIFS($B$3:$B268,"&gt;="&amp;DATE(YEAR($B268),MONTH($B268),1),$B$3:$B268,"&lt;="&amp;EOMONTH($B268,0)),"000"))</f>
        <v/>
      </c>
      <c r="B268" s="13"/>
      <c r="C268" s="10"/>
      <c r="D268" s="10"/>
      <c r="E268" s="12" t="str">
        <f aca="false">IF($D268="","",IFERROR(INDEX(품목목록!$B$3:$B$302,MATCH($D268,품목목록!$A$3:$A$302,0)),"미등록품번"))</f>
        <v/>
      </c>
      <c r="F268" s="12" t="str">
        <f aca="false">IF($D268="","",IFERROR(INDEX(품목목록!$C$3:$C$302,MATCH($D268,품목목록!$A$3:$A$302,0)),""))</f>
        <v/>
      </c>
      <c r="G268" s="12" t="str">
        <f aca="false">IF($D268="","",IFERROR(INDEX(품목목록!$D$3:$D$302,MATCH($D268,품목목록!$A$3:$A$302,0)),""))</f>
        <v/>
      </c>
      <c r="H268" s="12" t="str">
        <f aca="false">IF($D268="","",IFERROR(INDEX(품목목록!$E$3:$E$302,MATCH($D268,품목목록!$A$3:$A$302,0)),""))</f>
        <v/>
      </c>
      <c r="I268" s="14"/>
      <c r="J268" s="10"/>
      <c r="K268" s="10"/>
      <c r="L268" s="10"/>
      <c r="M268" s="15" t="str">
        <f aca="false">IF($A268="","",SUMIFS(처리내역!$E$3:$E$1502,처리내역!$B$3:$B$1502,$A268))</f>
        <v/>
      </c>
      <c r="N268" s="15" t="str">
        <f aca="false">IF($A268="","",IF($I268="","",$I268-$M268))</f>
        <v/>
      </c>
      <c r="O268" s="12" t="str">
        <f aca="false">IF($A268="","",IF($I268="","",IF($M268=0,"미처리",IF($N268&lt;=0,"완료","부분처리"))))</f>
        <v/>
      </c>
    </row>
    <row r="269" customFormat="false" ht="15" hidden="false" customHeight="true" outlineLevel="0" collapsed="false">
      <c r="A269" s="12" t="str">
        <f aca="false">IF($B269="","",TEXT($B269,"yymm")&amp;"-"&amp;TEXT(COUNTIFS($B$3:$B269,"&gt;="&amp;DATE(YEAR($B269),MONTH($B269),1),$B$3:$B269,"&lt;="&amp;EOMONTH($B269,0)),"000"))</f>
        <v/>
      </c>
      <c r="B269" s="13"/>
      <c r="C269" s="10"/>
      <c r="D269" s="10"/>
      <c r="E269" s="12" t="str">
        <f aca="false">IF($D269="","",IFERROR(INDEX(품목목록!$B$3:$B$302,MATCH($D269,품목목록!$A$3:$A$302,0)),"미등록품번"))</f>
        <v/>
      </c>
      <c r="F269" s="12" t="str">
        <f aca="false">IF($D269="","",IFERROR(INDEX(품목목록!$C$3:$C$302,MATCH($D269,품목목록!$A$3:$A$302,0)),""))</f>
        <v/>
      </c>
      <c r="G269" s="12" t="str">
        <f aca="false">IF($D269="","",IFERROR(INDEX(품목목록!$D$3:$D$302,MATCH($D269,품목목록!$A$3:$A$302,0)),""))</f>
        <v/>
      </c>
      <c r="H269" s="12" t="str">
        <f aca="false">IF($D269="","",IFERROR(INDEX(품목목록!$E$3:$E$302,MATCH($D269,품목목록!$A$3:$A$302,0)),""))</f>
        <v/>
      </c>
      <c r="I269" s="14"/>
      <c r="J269" s="10"/>
      <c r="K269" s="10"/>
      <c r="L269" s="10"/>
      <c r="M269" s="15" t="str">
        <f aca="false">IF($A269="","",SUMIFS(처리내역!$E$3:$E$1502,처리내역!$B$3:$B$1502,$A269))</f>
        <v/>
      </c>
      <c r="N269" s="15" t="str">
        <f aca="false">IF($A269="","",IF($I269="","",$I269-$M269))</f>
        <v/>
      </c>
      <c r="O269" s="12" t="str">
        <f aca="false">IF($A269="","",IF($I269="","",IF($M269=0,"미처리",IF($N269&lt;=0,"완료","부분처리"))))</f>
        <v/>
      </c>
    </row>
    <row r="270" customFormat="false" ht="15" hidden="false" customHeight="true" outlineLevel="0" collapsed="false">
      <c r="A270" s="12" t="str">
        <f aca="false">IF($B270="","",TEXT($B270,"yymm")&amp;"-"&amp;TEXT(COUNTIFS($B$3:$B270,"&gt;="&amp;DATE(YEAR($B270),MONTH($B270),1),$B$3:$B270,"&lt;="&amp;EOMONTH($B270,0)),"000"))</f>
        <v/>
      </c>
      <c r="B270" s="13"/>
      <c r="C270" s="10"/>
      <c r="D270" s="10"/>
      <c r="E270" s="12" t="str">
        <f aca="false">IF($D270="","",IFERROR(INDEX(품목목록!$B$3:$B$302,MATCH($D270,품목목록!$A$3:$A$302,0)),"미등록품번"))</f>
        <v/>
      </c>
      <c r="F270" s="12" t="str">
        <f aca="false">IF($D270="","",IFERROR(INDEX(품목목록!$C$3:$C$302,MATCH($D270,품목목록!$A$3:$A$302,0)),""))</f>
        <v/>
      </c>
      <c r="G270" s="12" t="str">
        <f aca="false">IF($D270="","",IFERROR(INDEX(품목목록!$D$3:$D$302,MATCH($D270,품목목록!$A$3:$A$302,0)),""))</f>
        <v/>
      </c>
      <c r="H270" s="12" t="str">
        <f aca="false">IF($D270="","",IFERROR(INDEX(품목목록!$E$3:$E$302,MATCH($D270,품목목록!$A$3:$A$302,0)),""))</f>
        <v/>
      </c>
      <c r="I270" s="14"/>
      <c r="J270" s="10"/>
      <c r="K270" s="10"/>
      <c r="L270" s="10"/>
      <c r="M270" s="15" t="str">
        <f aca="false">IF($A270="","",SUMIFS(처리내역!$E$3:$E$1502,처리내역!$B$3:$B$1502,$A270))</f>
        <v/>
      </c>
      <c r="N270" s="15" t="str">
        <f aca="false">IF($A270="","",IF($I270="","",$I270-$M270))</f>
        <v/>
      </c>
      <c r="O270" s="12" t="str">
        <f aca="false">IF($A270="","",IF($I270="","",IF($M270=0,"미처리",IF($N270&lt;=0,"완료","부분처리"))))</f>
        <v/>
      </c>
    </row>
    <row r="271" customFormat="false" ht="15" hidden="false" customHeight="true" outlineLevel="0" collapsed="false">
      <c r="A271" s="12" t="str">
        <f aca="false">IF($B271="","",TEXT($B271,"yymm")&amp;"-"&amp;TEXT(COUNTIFS($B$3:$B271,"&gt;="&amp;DATE(YEAR($B271),MONTH($B271),1),$B$3:$B271,"&lt;="&amp;EOMONTH($B271,0)),"000"))</f>
        <v/>
      </c>
      <c r="B271" s="13"/>
      <c r="C271" s="10"/>
      <c r="D271" s="10"/>
      <c r="E271" s="12" t="str">
        <f aca="false">IF($D271="","",IFERROR(INDEX(품목목록!$B$3:$B$302,MATCH($D271,품목목록!$A$3:$A$302,0)),"미등록품번"))</f>
        <v/>
      </c>
      <c r="F271" s="12" t="str">
        <f aca="false">IF($D271="","",IFERROR(INDEX(품목목록!$C$3:$C$302,MATCH($D271,품목목록!$A$3:$A$302,0)),""))</f>
        <v/>
      </c>
      <c r="G271" s="12" t="str">
        <f aca="false">IF($D271="","",IFERROR(INDEX(품목목록!$D$3:$D$302,MATCH($D271,품목목록!$A$3:$A$302,0)),""))</f>
        <v/>
      </c>
      <c r="H271" s="12" t="str">
        <f aca="false">IF($D271="","",IFERROR(INDEX(품목목록!$E$3:$E$302,MATCH($D271,품목목록!$A$3:$A$302,0)),""))</f>
        <v/>
      </c>
      <c r="I271" s="14"/>
      <c r="J271" s="10"/>
      <c r="K271" s="10"/>
      <c r="L271" s="10"/>
      <c r="M271" s="15" t="str">
        <f aca="false">IF($A271="","",SUMIFS(처리내역!$E$3:$E$1502,처리내역!$B$3:$B$1502,$A271))</f>
        <v/>
      </c>
      <c r="N271" s="15" t="str">
        <f aca="false">IF($A271="","",IF($I271="","",$I271-$M271))</f>
        <v/>
      </c>
      <c r="O271" s="12" t="str">
        <f aca="false">IF($A271="","",IF($I271="","",IF($M271=0,"미처리",IF($N271&lt;=0,"완료","부분처리"))))</f>
        <v/>
      </c>
    </row>
    <row r="272" customFormat="false" ht="15" hidden="false" customHeight="true" outlineLevel="0" collapsed="false">
      <c r="A272" s="12" t="str">
        <f aca="false">IF($B272="","",TEXT($B272,"yymm")&amp;"-"&amp;TEXT(COUNTIFS($B$3:$B272,"&gt;="&amp;DATE(YEAR($B272),MONTH($B272),1),$B$3:$B272,"&lt;="&amp;EOMONTH($B272,0)),"000"))</f>
        <v/>
      </c>
      <c r="B272" s="13"/>
      <c r="C272" s="10"/>
      <c r="D272" s="10"/>
      <c r="E272" s="12" t="str">
        <f aca="false">IF($D272="","",IFERROR(INDEX(품목목록!$B$3:$B$302,MATCH($D272,품목목록!$A$3:$A$302,0)),"미등록품번"))</f>
        <v/>
      </c>
      <c r="F272" s="12" t="str">
        <f aca="false">IF($D272="","",IFERROR(INDEX(품목목록!$C$3:$C$302,MATCH($D272,품목목록!$A$3:$A$302,0)),""))</f>
        <v/>
      </c>
      <c r="G272" s="12" t="str">
        <f aca="false">IF($D272="","",IFERROR(INDEX(품목목록!$D$3:$D$302,MATCH($D272,품목목록!$A$3:$A$302,0)),""))</f>
        <v/>
      </c>
      <c r="H272" s="12" t="str">
        <f aca="false">IF($D272="","",IFERROR(INDEX(품목목록!$E$3:$E$302,MATCH($D272,품목목록!$A$3:$A$302,0)),""))</f>
        <v/>
      </c>
      <c r="I272" s="14"/>
      <c r="J272" s="10"/>
      <c r="K272" s="10"/>
      <c r="L272" s="10"/>
      <c r="M272" s="15" t="str">
        <f aca="false">IF($A272="","",SUMIFS(처리내역!$E$3:$E$1502,처리내역!$B$3:$B$1502,$A272))</f>
        <v/>
      </c>
      <c r="N272" s="15" t="str">
        <f aca="false">IF($A272="","",IF($I272="","",$I272-$M272))</f>
        <v/>
      </c>
      <c r="O272" s="12" t="str">
        <f aca="false">IF($A272="","",IF($I272="","",IF($M272=0,"미처리",IF($N272&lt;=0,"완료","부분처리"))))</f>
        <v/>
      </c>
    </row>
    <row r="273" customFormat="false" ht="15" hidden="false" customHeight="true" outlineLevel="0" collapsed="false">
      <c r="A273" s="12" t="str">
        <f aca="false">IF($B273="","",TEXT($B273,"yymm")&amp;"-"&amp;TEXT(COUNTIFS($B$3:$B273,"&gt;="&amp;DATE(YEAR($B273),MONTH($B273),1),$B$3:$B273,"&lt;="&amp;EOMONTH($B273,0)),"000"))</f>
        <v/>
      </c>
      <c r="B273" s="13"/>
      <c r="C273" s="10"/>
      <c r="D273" s="10"/>
      <c r="E273" s="12" t="str">
        <f aca="false">IF($D273="","",IFERROR(INDEX(품목목록!$B$3:$B$302,MATCH($D273,품목목록!$A$3:$A$302,0)),"미등록품번"))</f>
        <v/>
      </c>
      <c r="F273" s="12" t="str">
        <f aca="false">IF($D273="","",IFERROR(INDEX(품목목록!$C$3:$C$302,MATCH($D273,품목목록!$A$3:$A$302,0)),""))</f>
        <v/>
      </c>
      <c r="G273" s="12" t="str">
        <f aca="false">IF($D273="","",IFERROR(INDEX(품목목록!$D$3:$D$302,MATCH($D273,품목목록!$A$3:$A$302,0)),""))</f>
        <v/>
      </c>
      <c r="H273" s="12" t="str">
        <f aca="false">IF($D273="","",IFERROR(INDEX(품목목록!$E$3:$E$302,MATCH($D273,품목목록!$A$3:$A$302,0)),""))</f>
        <v/>
      </c>
      <c r="I273" s="14"/>
      <c r="J273" s="10"/>
      <c r="K273" s="10"/>
      <c r="L273" s="10"/>
      <c r="M273" s="15" t="str">
        <f aca="false">IF($A273="","",SUMIFS(처리내역!$E$3:$E$1502,처리내역!$B$3:$B$1502,$A273))</f>
        <v/>
      </c>
      <c r="N273" s="15" t="str">
        <f aca="false">IF($A273="","",IF($I273="","",$I273-$M273))</f>
        <v/>
      </c>
      <c r="O273" s="12" t="str">
        <f aca="false">IF($A273="","",IF($I273="","",IF($M273=0,"미처리",IF($N273&lt;=0,"완료","부분처리"))))</f>
        <v/>
      </c>
    </row>
    <row r="274" customFormat="false" ht="15" hidden="false" customHeight="true" outlineLevel="0" collapsed="false">
      <c r="A274" s="12" t="str">
        <f aca="false">IF($B274="","",TEXT($B274,"yymm")&amp;"-"&amp;TEXT(COUNTIFS($B$3:$B274,"&gt;="&amp;DATE(YEAR($B274),MONTH($B274),1),$B$3:$B274,"&lt;="&amp;EOMONTH($B274,0)),"000"))</f>
        <v/>
      </c>
      <c r="B274" s="13"/>
      <c r="C274" s="10"/>
      <c r="D274" s="10"/>
      <c r="E274" s="12" t="str">
        <f aca="false">IF($D274="","",IFERROR(INDEX(품목목록!$B$3:$B$302,MATCH($D274,품목목록!$A$3:$A$302,0)),"미등록품번"))</f>
        <v/>
      </c>
      <c r="F274" s="12" t="str">
        <f aca="false">IF($D274="","",IFERROR(INDEX(품목목록!$C$3:$C$302,MATCH($D274,품목목록!$A$3:$A$302,0)),""))</f>
        <v/>
      </c>
      <c r="G274" s="12" t="str">
        <f aca="false">IF($D274="","",IFERROR(INDEX(품목목록!$D$3:$D$302,MATCH($D274,품목목록!$A$3:$A$302,0)),""))</f>
        <v/>
      </c>
      <c r="H274" s="12" t="str">
        <f aca="false">IF($D274="","",IFERROR(INDEX(품목목록!$E$3:$E$302,MATCH($D274,품목목록!$A$3:$A$302,0)),""))</f>
        <v/>
      </c>
      <c r="I274" s="14"/>
      <c r="J274" s="10"/>
      <c r="K274" s="10"/>
      <c r="L274" s="10"/>
      <c r="M274" s="15" t="str">
        <f aca="false">IF($A274="","",SUMIFS(처리내역!$E$3:$E$1502,처리내역!$B$3:$B$1502,$A274))</f>
        <v/>
      </c>
      <c r="N274" s="15" t="str">
        <f aca="false">IF($A274="","",IF($I274="","",$I274-$M274))</f>
        <v/>
      </c>
      <c r="O274" s="12" t="str">
        <f aca="false">IF($A274="","",IF($I274="","",IF($M274=0,"미처리",IF($N274&lt;=0,"완료","부분처리"))))</f>
        <v/>
      </c>
    </row>
    <row r="275" customFormat="false" ht="15" hidden="false" customHeight="true" outlineLevel="0" collapsed="false">
      <c r="A275" s="12" t="str">
        <f aca="false">IF($B275="","",TEXT($B275,"yymm")&amp;"-"&amp;TEXT(COUNTIFS($B$3:$B275,"&gt;="&amp;DATE(YEAR($B275),MONTH($B275),1),$B$3:$B275,"&lt;="&amp;EOMONTH($B275,0)),"000"))</f>
        <v/>
      </c>
      <c r="B275" s="13"/>
      <c r="C275" s="10"/>
      <c r="D275" s="10"/>
      <c r="E275" s="12" t="str">
        <f aca="false">IF($D275="","",IFERROR(INDEX(품목목록!$B$3:$B$302,MATCH($D275,품목목록!$A$3:$A$302,0)),"미등록품번"))</f>
        <v/>
      </c>
      <c r="F275" s="12" t="str">
        <f aca="false">IF($D275="","",IFERROR(INDEX(품목목록!$C$3:$C$302,MATCH($D275,품목목록!$A$3:$A$302,0)),""))</f>
        <v/>
      </c>
      <c r="G275" s="12" t="str">
        <f aca="false">IF($D275="","",IFERROR(INDEX(품목목록!$D$3:$D$302,MATCH($D275,품목목록!$A$3:$A$302,0)),""))</f>
        <v/>
      </c>
      <c r="H275" s="12" t="str">
        <f aca="false">IF($D275="","",IFERROR(INDEX(품목목록!$E$3:$E$302,MATCH($D275,품목목록!$A$3:$A$302,0)),""))</f>
        <v/>
      </c>
      <c r="I275" s="14"/>
      <c r="J275" s="10"/>
      <c r="K275" s="10"/>
      <c r="L275" s="10"/>
      <c r="M275" s="15" t="str">
        <f aca="false">IF($A275="","",SUMIFS(처리내역!$E$3:$E$1502,처리내역!$B$3:$B$1502,$A275))</f>
        <v/>
      </c>
      <c r="N275" s="15" t="str">
        <f aca="false">IF($A275="","",IF($I275="","",$I275-$M275))</f>
        <v/>
      </c>
      <c r="O275" s="12" t="str">
        <f aca="false">IF($A275="","",IF($I275="","",IF($M275=0,"미처리",IF($N275&lt;=0,"완료","부분처리"))))</f>
        <v/>
      </c>
    </row>
    <row r="276" customFormat="false" ht="15" hidden="false" customHeight="true" outlineLevel="0" collapsed="false">
      <c r="A276" s="12" t="str">
        <f aca="false">IF($B276="","",TEXT($B276,"yymm")&amp;"-"&amp;TEXT(COUNTIFS($B$3:$B276,"&gt;="&amp;DATE(YEAR($B276),MONTH($B276),1),$B$3:$B276,"&lt;="&amp;EOMONTH($B276,0)),"000"))</f>
        <v/>
      </c>
      <c r="B276" s="13"/>
      <c r="C276" s="10"/>
      <c r="D276" s="10"/>
      <c r="E276" s="12" t="str">
        <f aca="false">IF($D276="","",IFERROR(INDEX(품목목록!$B$3:$B$302,MATCH($D276,품목목록!$A$3:$A$302,0)),"미등록품번"))</f>
        <v/>
      </c>
      <c r="F276" s="12" t="str">
        <f aca="false">IF($D276="","",IFERROR(INDEX(품목목록!$C$3:$C$302,MATCH($D276,품목목록!$A$3:$A$302,0)),""))</f>
        <v/>
      </c>
      <c r="G276" s="12" t="str">
        <f aca="false">IF($D276="","",IFERROR(INDEX(품목목록!$D$3:$D$302,MATCH($D276,품목목록!$A$3:$A$302,0)),""))</f>
        <v/>
      </c>
      <c r="H276" s="12" t="str">
        <f aca="false">IF($D276="","",IFERROR(INDEX(품목목록!$E$3:$E$302,MATCH($D276,품목목록!$A$3:$A$302,0)),""))</f>
        <v/>
      </c>
      <c r="I276" s="14"/>
      <c r="J276" s="10"/>
      <c r="K276" s="10"/>
      <c r="L276" s="10"/>
      <c r="M276" s="15" t="str">
        <f aca="false">IF($A276="","",SUMIFS(처리내역!$E$3:$E$1502,처리내역!$B$3:$B$1502,$A276))</f>
        <v/>
      </c>
      <c r="N276" s="15" t="str">
        <f aca="false">IF($A276="","",IF($I276="","",$I276-$M276))</f>
        <v/>
      </c>
      <c r="O276" s="12" t="str">
        <f aca="false">IF($A276="","",IF($I276="","",IF($M276=0,"미처리",IF($N276&lt;=0,"완료","부분처리"))))</f>
        <v/>
      </c>
    </row>
    <row r="277" customFormat="false" ht="15" hidden="false" customHeight="true" outlineLevel="0" collapsed="false">
      <c r="A277" s="12" t="str">
        <f aca="false">IF($B277="","",TEXT($B277,"yymm")&amp;"-"&amp;TEXT(COUNTIFS($B$3:$B277,"&gt;="&amp;DATE(YEAR($B277),MONTH($B277),1),$B$3:$B277,"&lt;="&amp;EOMONTH($B277,0)),"000"))</f>
        <v/>
      </c>
      <c r="B277" s="13"/>
      <c r="C277" s="10"/>
      <c r="D277" s="10"/>
      <c r="E277" s="12" t="str">
        <f aca="false">IF($D277="","",IFERROR(INDEX(품목목록!$B$3:$B$302,MATCH($D277,품목목록!$A$3:$A$302,0)),"미등록품번"))</f>
        <v/>
      </c>
      <c r="F277" s="12" t="str">
        <f aca="false">IF($D277="","",IFERROR(INDEX(품목목록!$C$3:$C$302,MATCH($D277,품목목록!$A$3:$A$302,0)),""))</f>
        <v/>
      </c>
      <c r="G277" s="12" t="str">
        <f aca="false">IF($D277="","",IFERROR(INDEX(품목목록!$D$3:$D$302,MATCH($D277,품목목록!$A$3:$A$302,0)),""))</f>
        <v/>
      </c>
      <c r="H277" s="12" t="str">
        <f aca="false">IF($D277="","",IFERROR(INDEX(품목목록!$E$3:$E$302,MATCH($D277,품목목록!$A$3:$A$302,0)),""))</f>
        <v/>
      </c>
      <c r="I277" s="14"/>
      <c r="J277" s="10"/>
      <c r="K277" s="10"/>
      <c r="L277" s="10"/>
      <c r="M277" s="15" t="str">
        <f aca="false">IF($A277="","",SUMIFS(처리내역!$E$3:$E$1502,처리내역!$B$3:$B$1502,$A277))</f>
        <v/>
      </c>
      <c r="N277" s="15" t="str">
        <f aca="false">IF($A277="","",IF($I277="","",$I277-$M277))</f>
        <v/>
      </c>
      <c r="O277" s="12" t="str">
        <f aca="false">IF($A277="","",IF($I277="","",IF($M277=0,"미처리",IF($N277&lt;=0,"완료","부분처리"))))</f>
        <v/>
      </c>
    </row>
    <row r="278" customFormat="false" ht="15" hidden="false" customHeight="true" outlineLevel="0" collapsed="false">
      <c r="A278" s="12" t="str">
        <f aca="false">IF($B278="","",TEXT($B278,"yymm")&amp;"-"&amp;TEXT(COUNTIFS($B$3:$B278,"&gt;="&amp;DATE(YEAR($B278),MONTH($B278),1),$B$3:$B278,"&lt;="&amp;EOMONTH($B278,0)),"000"))</f>
        <v/>
      </c>
      <c r="B278" s="13"/>
      <c r="C278" s="10"/>
      <c r="D278" s="10"/>
      <c r="E278" s="12" t="str">
        <f aca="false">IF($D278="","",IFERROR(INDEX(품목목록!$B$3:$B$302,MATCH($D278,품목목록!$A$3:$A$302,0)),"미등록품번"))</f>
        <v/>
      </c>
      <c r="F278" s="12" t="str">
        <f aca="false">IF($D278="","",IFERROR(INDEX(품목목록!$C$3:$C$302,MATCH($D278,품목목록!$A$3:$A$302,0)),""))</f>
        <v/>
      </c>
      <c r="G278" s="12" t="str">
        <f aca="false">IF($D278="","",IFERROR(INDEX(품목목록!$D$3:$D$302,MATCH($D278,품목목록!$A$3:$A$302,0)),""))</f>
        <v/>
      </c>
      <c r="H278" s="12" t="str">
        <f aca="false">IF($D278="","",IFERROR(INDEX(품목목록!$E$3:$E$302,MATCH($D278,품목목록!$A$3:$A$302,0)),""))</f>
        <v/>
      </c>
      <c r="I278" s="14"/>
      <c r="J278" s="10"/>
      <c r="K278" s="10"/>
      <c r="L278" s="10"/>
      <c r="M278" s="15" t="str">
        <f aca="false">IF($A278="","",SUMIFS(처리내역!$E$3:$E$1502,처리내역!$B$3:$B$1502,$A278))</f>
        <v/>
      </c>
      <c r="N278" s="15" t="str">
        <f aca="false">IF($A278="","",IF($I278="","",$I278-$M278))</f>
        <v/>
      </c>
      <c r="O278" s="12" t="str">
        <f aca="false">IF($A278="","",IF($I278="","",IF($M278=0,"미처리",IF($N278&lt;=0,"완료","부분처리"))))</f>
        <v/>
      </c>
    </row>
    <row r="279" customFormat="false" ht="15" hidden="false" customHeight="true" outlineLevel="0" collapsed="false">
      <c r="A279" s="12" t="str">
        <f aca="false">IF($B279="","",TEXT($B279,"yymm")&amp;"-"&amp;TEXT(COUNTIFS($B$3:$B279,"&gt;="&amp;DATE(YEAR($B279),MONTH($B279),1),$B$3:$B279,"&lt;="&amp;EOMONTH($B279,0)),"000"))</f>
        <v/>
      </c>
      <c r="B279" s="13"/>
      <c r="C279" s="10"/>
      <c r="D279" s="10"/>
      <c r="E279" s="12" t="str">
        <f aca="false">IF($D279="","",IFERROR(INDEX(품목목록!$B$3:$B$302,MATCH($D279,품목목록!$A$3:$A$302,0)),"미등록품번"))</f>
        <v/>
      </c>
      <c r="F279" s="12" t="str">
        <f aca="false">IF($D279="","",IFERROR(INDEX(품목목록!$C$3:$C$302,MATCH($D279,품목목록!$A$3:$A$302,0)),""))</f>
        <v/>
      </c>
      <c r="G279" s="12" t="str">
        <f aca="false">IF($D279="","",IFERROR(INDEX(품목목록!$D$3:$D$302,MATCH($D279,품목목록!$A$3:$A$302,0)),""))</f>
        <v/>
      </c>
      <c r="H279" s="12" t="str">
        <f aca="false">IF($D279="","",IFERROR(INDEX(품목목록!$E$3:$E$302,MATCH($D279,품목목록!$A$3:$A$302,0)),""))</f>
        <v/>
      </c>
      <c r="I279" s="14"/>
      <c r="J279" s="10"/>
      <c r="K279" s="10"/>
      <c r="L279" s="10"/>
      <c r="M279" s="15" t="str">
        <f aca="false">IF($A279="","",SUMIFS(처리내역!$E$3:$E$1502,처리내역!$B$3:$B$1502,$A279))</f>
        <v/>
      </c>
      <c r="N279" s="15" t="str">
        <f aca="false">IF($A279="","",IF($I279="","",$I279-$M279))</f>
        <v/>
      </c>
      <c r="O279" s="12" t="str">
        <f aca="false">IF($A279="","",IF($I279="","",IF($M279=0,"미처리",IF($N279&lt;=0,"완료","부분처리"))))</f>
        <v/>
      </c>
    </row>
    <row r="280" customFormat="false" ht="15" hidden="false" customHeight="true" outlineLevel="0" collapsed="false">
      <c r="A280" s="12" t="str">
        <f aca="false">IF($B280="","",TEXT($B280,"yymm")&amp;"-"&amp;TEXT(COUNTIFS($B$3:$B280,"&gt;="&amp;DATE(YEAR($B280),MONTH($B280),1),$B$3:$B280,"&lt;="&amp;EOMONTH($B280,0)),"000"))</f>
        <v/>
      </c>
      <c r="B280" s="13"/>
      <c r="C280" s="10"/>
      <c r="D280" s="10"/>
      <c r="E280" s="12" t="str">
        <f aca="false">IF($D280="","",IFERROR(INDEX(품목목록!$B$3:$B$302,MATCH($D280,품목목록!$A$3:$A$302,0)),"미등록품번"))</f>
        <v/>
      </c>
      <c r="F280" s="12" t="str">
        <f aca="false">IF($D280="","",IFERROR(INDEX(품목목록!$C$3:$C$302,MATCH($D280,품목목록!$A$3:$A$302,0)),""))</f>
        <v/>
      </c>
      <c r="G280" s="12" t="str">
        <f aca="false">IF($D280="","",IFERROR(INDEX(품목목록!$D$3:$D$302,MATCH($D280,품목목록!$A$3:$A$302,0)),""))</f>
        <v/>
      </c>
      <c r="H280" s="12" t="str">
        <f aca="false">IF($D280="","",IFERROR(INDEX(품목목록!$E$3:$E$302,MATCH($D280,품목목록!$A$3:$A$302,0)),""))</f>
        <v/>
      </c>
      <c r="I280" s="14"/>
      <c r="J280" s="10"/>
      <c r="K280" s="10"/>
      <c r="L280" s="10"/>
      <c r="M280" s="15" t="str">
        <f aca="false">IF($A280="","",SUMIFS(처리내역!$E$3:$E$1502,처리내역!$B$3:$B$1502,$A280))</f>
        <v/>
      </c>
      <c r="N280" s="15" t="str">
        <f aca="false">IF($A280="","",IF($I280="","",$I280-$M280))</f>
        <v/>
      </c>
      <c r="O280" s="12" t="str">
        <f aca="false">IF($A280="","",IF($I280="","",IF($M280=0,"미처리",IF($N280&lt;=0,"완료","부분처리"))))</f>
        <v/>
      </c>
    </row>
    <row r="281" customFormat="false" ht="15" hidden="false" customHeight="true" outlineLevel="0" collapsed="false">
      <c r="A281" s="12" t="str">
        <f aca="false">IF($B281="","",TEXT($B281,"yymm")&amp;"-"&amp;TEXT(COUNTIFS($B$3:$B281,"&gt;="&amp;DATE(YEAR($B281),MONTH($B281),1),$B$3:$B281,"&lt;="&amp;EOMONTH($B281,0)),"000"))</f>
        <v/>
      </c>
      <c r="B281" s="13"/>
      <c r="C281" s="10"/>
      <c r="D281" s="10"/>
      <c r="E281" s="12" t="str">
        <f aca="false">IF($D281="","",IFERROR(INDEX(품목목록!$B$3:$B$302,MATCH($D281,품목목록!$A$3:$A$302,0)),"미등록품번"))</f>
        <v/>
      </c>
      <c r="F281" s="12" t="str">
        <f aca="false">IF($D281="","",IFERROR(INDEX(품목목록!$C$3:$C$302,MATCH($D281,품목목록!$A$3:$A$302,0)),""))</f>
        <v/>
      </c>
      <c r="G281" s="12" t="str">
        <f aca="false">IF($D281="","",IFERROR(INDEX(품목목록!$D$3:$D$302,MATCH($D281,품목목록!$A$3:$A$302,0)),""))</f>
        <v/>
      </c>
      <c r="H281" s="12" t="str">
        <f aca="false">IF($D281="","",IFERROR(INDEX(품목목록!$E$3:$E$302,MATCH($D281,품목목록!$A$3:$A$302,0)),""))</f>
        <v/>
      </c>
      <c r="I281" s="14"/>
      <c r="J281" s="10"/>
      <c r="K281" s="10"/>
      <c r="L281" s="10"/>
      <c r="M281" s="15" t="str">
        <f aca="false">IF($A281="","",SUMIFS(처리내역!$E$3:$E$1502,처리내역!$B$3:$B$1502,$A281))</f>
        <v/>
      </c>
      <c r="N281" s="15" t="str">
        <f aca="false">IF($A281="","",IF($I281="","",$I281-$M281))</f>
        <v/>
      </c>
      <c r="O281" s="12" t="str">
        <f aca="false">IF($A281="","",IF($I281="","",IF($M281=0,"미처리",IF($N281&lt;=0,"완료","부분처리"))))</f>
        <v/>
      </c>
    </row>
    <row r="282" customFormat="false" ht="15" hidden="false" customHeight="true" outlineLevel="0" collapsed="false">
      <c r="A282" s="12" t="str">
        <f aca="false">IF($B282="","",TEXT($B282,"yymm")&amp;"-"&amp;TEXT(COUNTIFS($B$3:$B282,"&gt;="&amp;DATE(YEAR($B282),MONTH($B282),1),$B$3:$B282,"&lt;="&amp;EOMONTH($B282,0)),"000"))</f>
        <v/>
      </c>
      <c r="B282" s="13"/>
      <c r="C282" s="10"/>
      <c r="D282" s="10"/>
      <c r="E282" s="12" t="str">
        <f aca="false">IF($D282="","",IFERROR(INDEX(품목목록!$B$3:$B$302,MATCH($D282,품목목록!$A$3:$A$302,0)),"미등록품번"))</f>
        <v/>
      </c>
      <c r="F282" s="12" t="str">
        <f aca="false">IF($D282="","",IFERROR(INDEX(품목목록!$C$3:$C$302,MATCH($D282,품목목록!$A$3:$A$302,0)),""))</f>
        <v/>
      </c>
      <c r="G282" s="12" t="str">
        <f aca="false">IF($D282="","",IFERROR(INDEX(품목목록!$D$3:$D$302,MATCH($D282,품목목록!$A$3:$A$302,0)),""))</f>
        <v/>
      </c>
      <c r="H282" s="12" t="str">
        <f aca="false">IF($D282="","",IFERROR(INDEX(품목목록!$E$3:$E$302,MATCH($D282,품목목록!$A$3:$A$302,0)),""))</f>
        <v/>
      </c>
      <c r="I282" s="14"/>
      <c r="J282" s="10"/>
      <c r="K282" s="10"/>
      <c r="L282" s="10"/>
      <c r="M282" s="15" t="str">
        <f aca="false">IF($A282="","",SUMIFS(처리내역!$E$3:$E$1502,처리내역!$B$3:$B$1502,$A282))</f>
        <v/>
      </c>
      <c r="N282" s="15" t="str">
        <f aca="false">IF($A282="","",IF($I282="","",$I282-$M282))</f>
        <v/>
      </c>
      <c r="O282" s="12" t="str">
        <f aca="false">IF($A282="","",IF($I282="","",IF($M282=0,"미처리",IF($N282&lt;=0,"완료","부분처리"))))</f>
        <v/>
      </c>
    </row>
    <row r="283" customFormat="false" ht="15" hidden="false" customHeight="true" outlineLevel="0" collapsed="false">
      <c r="A283" s="12" t="str">
        <f aca="false">IF($B283="","",TEXT($B283,"yymm")&amp;"-"&amp;TEXT(COUNTIFS($B$3:$B283,"&gt;="&amp;DATE(YEAR($B283),MONTH($B283),1),$B$3:$B283,"&lt;="&amp;EOMONTH($B283,0)),"000"))</f>
        <v/>
      </c>
      <c r="B283" s="13"/>
      <c r="C283" s="10"/>
      <c r="D283" s="10"/>
      <c r="E283" s="12" t="str">
        <f aca="false">IF($D283="","",IFERROR(INDEX(품목목록!$B$3:$B$302,MATCH($D283,품목목록!$A$3:$A$302,0)),"미등록품번"))</f>
        <v/>
      </c>
      <c r="F283" s="12" t="str">
        <f aca="false">IF($D283="","",IFERROR(INDEX(품목목록!$C$3:$C$302,MATCH($D283,품목목록!$A$3:$A$302,0)),""))</f>
        <v/>
      </c>
      <c r="G283" s="12" t="str">
        <f aca="false">IF($D283="","",IFERROR(INDEX(품목목록!$D$3:$D$302,MATCH($D283,품목목록!$A$3:$A$302,0)),""))</f>
        <v/>
      </c>
      <c r="H283" s="12" t="str">
        <f aca="false">IF($D283="","",IFERROR(INDEX(품목목록!$E$3:$E$302,MATCH($D283,품목목록!$A$3:$A$302,0)),""))</f>
        <v/>
      </c>
      <c r="I283" s="14"/>
      <c r="J283" s="10"/>
      <c r="K283" s="10"/>
      <c r="L283" s="10"/>
      <c r="M283" s="15" t="str">
        <f aca="false">IF($A283="","",SUMIFS(처리내역!$E$3:$E$1502,처리내역!$B$3:$B$1502,$A283))</f>
        <v/>
      </c>
      <c r="N283" s="15" t="str">
        <f aca="false">IF($A283="","",IF($I283="","",$I283-$M283))</f>
        <v/>
      </c>
      <c r="O283" s="12" t="str">
        <f aca="false">IF($A283="","",IF($I283="","",IF($M283=0,"미처리",IF($N283&lt;=0,"완료","부분처리"))))</f>
        <v/>
      </c>
    </row>
    <row r="284" customFormat="false" ht="15" hidden="false" customHeight="true" outlineLevel="0" collapsed="false">
      <c r="A284" s="12" t="str">
        <f aca="false">IF($B284="","",TEXT($B284,"yymm")&amp;"-"&amp;TEXT(COUNTIFS($B$3:$B284,"&gt;="&amp;DATE(YEAR($B284),MONTH($B284),1),$B$3:$B284,"&lt;="&amp;EOMONTH($B284,0)),"000"))</f>
        <v/>
      </c>
      <c r="B284" s="13"/>
      <c r="C284" s="10"/>
      <c r="D284" s="10"/>
      <c r="E284" s="12" t="str">
        <f aca="false">IF($D284="","",IFERROR(INDEX(품목목록!$B$3:$B$302,MATCH($D284,품목목록!$A$3:$A$302,0)),"미등록품번"))</f>
        <v/>
      </c>
      <c r="F284" s="12" t="str">
        <f aca="false">IF($D284="","",IFERROR(INDEX(품목목록!$C$3:$C$302,MATCH($D284,품목목록!$A$3:$A$302,0)),""))</f>
        <v/>
      </c>
      <c r="G284" s="12" t="str">
        <f aca="false">IF($D284="","",IFERROR(INDEX(품목목록!$D$3:$D$302,MATCH($D284,품목목록!$A$3:$A$302,0)),""))</f>
        <v/>
      </c>
      <c r="H284" s="12" t="str">
        <f aca="false">IF($D284="","",IFERROR(INDEX(품목목록!$E$3:$E$302,MATCH($D284,품목목록!$A$3:$A$302,0)),""))</f>
        <v/>
      </c>
      <c r="I284" s="14"/>
      <c r="J284" s="10"/>
      <c r="K284" s="10"/>
      <c r="L284" s="10"/>
      <c r="M284" s="15" t="str">
        <f aca="false">IF($A284="","",SUMIFS(처리내역!$E$3:$E$1502,처리내역!$B$3:$B$1502,$A284))</f>
        <v/>
      </c>
      <c r="N284" s="15" t="str">
        <f aca="false">IF($A284="","",IF($I284="","",$I284-$M284))</f>
        <v/>
      </c>
      <c r="O284" s="12" t="str">
        <f aca="false">IF($A284="","",IF($I284="","",IF($M284=0,"미처리",IF($N284&lt;=0,"완료","부분처리"))))</f>
        <v/>
      </c>
    </row>
    <row r="285" customFormat="false" ht="15" hidden="false" customHeight="true" outlineLevel="0" collapsed="false">
      <c r="A285" s="12" t="str">
        <f aca="false">IF($B285="","",TEXT($B285,"yymm")&amp;"-"&amp;TEXT(COUNTIFS($B$3:$B285,"&gt;="&amp;DATE(YEAR($B285),MONTH($B285),1),$B$3:$B285,"&lt;="&amp;EOMONTH($B285,0)),"000"))</f>
        <v/>
      </c>
      <c r="B285" s="13"/>
      <c r="C285" s="10"/>
      <c r="D285" s="10"/>
      <c r="E285" s="12" t="str">
        <f aca="false">IF($D285="","",IFERROR(INDEX(품목목록!$B$3:$B$302,MATCH($D285,품목목록!$A$3:$A$302,0)),"미등록품번"))</f>
        <v/>
      </c>
      <c r="F285" s="12" t="str">
        <f aca="false">IF($D285="","",IFERROR(INDEX(품목목록!$C$3:$C$302,MATCH($D285,품목목록!$A$3:$A$302,0)),""))</f>
        <v/>
      </c>
      <c r="G285" s="12" t="str">
        <f aca="false">IF($D285="","",IFERROR(INDEX(품목목록!$D$3:$D$302,MATCH($D285,품목목록!$A$3:$A$302,0)),""))</f>
        <v/>
      </c>
      <c r="H285" s="12" t="str">
        <f aca="false">IF($D285="","",IFERROR(INDEX(품목목록!$E$3:$E$302,MATCH($D285,품목목록!$A$3:$A$302,0)),""))</f>
        <v/>
      </c>
      <c r="I285" s="14"/>
      <c r="J285" s="10"/>
      <c r="K285" s="10"/>
      <c r="L285" s="10"/>
      <c r="M285" s="15" t="str">
        <f aca="false">IF($A285="","",SUMIFS(처리내역!$E$3:$E$1502,처리내역!$B$3:$B$1502,$A285))</f>
        <v/>
      </c>
      <c r="N285" s="15" t="str">
        <f aca="false">IF($A285="","",IF($I285="","",$I285-$M285))</f>
        <v/>
      </c>
      <c r="O285" s="12" t="str">
        <f aca="false">IF($A285="","",IF($I285="","",IF($M285=0,"미처리",IF($N285&lt;=0,"완료","부분처리"))))</f>
        <v/>
      </c>
    </row>
    <row r="286" customFormat="false" ht="15" hidden="false" customHeight="true" outlineLevel="0" collapsed="false">
      <c r="A286" s="12" t="str">
        <f aca="false">IF($B286="","",TEXT($B286,"yymm")&amp;"-"&amp;TEXT(COUNTIFS($B$3:$B286,"&gt;="&amp;DATE(YEAR($B286),MONTH($B286),1),$B$3:$B286,"&lt;="&amp;EOMONTH($B286,0)),"000"))</f>
        <v/>
      </c>
      <c r="B286" s="13"/>
      <c r="C286" s="10"/>
      <c r="D286" s="10"/>
      <c r="E286" s="12" t="str">
        <f aca="false">IF($D286="","",IFERROR(INDEX(품목목록!$B$3:$B$302,MATCH($D286,품목목록!$A$3:$A$302,0)),"미등록품번"))</f>
        <v/>
      </c>
      <c r="F286" s="12" t="str">
        <f aca="false">IF($D286="","",IFERROR(INDEX(품목목록!$C$3:$C$302,MATCH($D286,품목목록!$A$3:$A$302,0)),""))</f>
        <v/>
      </c>
      <c r="G286" s="12" t="str">
        <f aca="false">IF($D286="","",IFERROR(INDEX(품목목록!$D$3:$D$302,MATCH($D286,품목목록!$A$3:$A$302,0)),""))</f>
        <v/>
      </c>
      <c r="H286" s="12" t="str">
        <f aca="false">IF($D286="","",IFERROR(INDEX(품목목록!$E$3:$E$302,MATCH($D286,품목목록!$A$3:$A$302,0)),""))</f>
        <v/>
      </c>
      <c r="I286" s="14"/>
      <c r="J286" s="10"/>
      <c r="K286" s="10"/>
      <c r="L286" s="10"/>
      <c r="M286" s="15" t="str">
        <f aca="false">IF($A286="","",SUMIFS(처리내역!$E$3:$E$1502,처리내역!$B$3:$B$1502,$A286))</f>
        <v/>
      </c>
      <c r="N286" s="15" t="str">
        <f aca="false">IF($A286="","",IF($I286="","",$I286-$M286))</f>
        <v/>
      </c>
      <c r="O286" s="12" t="str">
        <f aca="false">IF($A286="","",IF($I286="","",IF($M286=0,"미처리",IF($N286&lt;=0,"완료","부분처리"))))</f>
        <v/>
      </c>
    </row>
    <row r="287" customFormat="false" ht="15" hidden="false" customHeight="true" outlineLevel="0" collapsed="false">
      <c r="A287" s="12" t="str">
        <f aca="false">IF($B287="","",TEXT($B287,"yymm")&amp;"-"&amp;TEXT(COUNTIFS($B$3:$B287,"&gt;="&amp;DATE(YEAR($B287),MONTH($B287),1),$B$3:$B287,"&lt;="&amp;EOMONTH($B287,0)),"000"))</f>
        <v/>
      </c>
      <c r="B287" s="13"/>
      <c r="C287" s="10"/>
      <c r="D287" s="10"/>
      <c r="E287" s="12" t="str">
        <f aca="false">IF($D287="","",IFERROR(INDEX(품목목록!$B$3:$B$302,MATCH($D287,품목목록!$A$3:$A$302,0)),"미등록품번"))</f>
        <v/>
      </c>
      <c r="F287" s="12" t="str">
        <f aca="false">IF($D287="","",IFERROR(INDEX(품목목록!$C$3:$C$302,MATCH($D287,품목목록!$A$3:$A$302,0)),""))</f>
        <v/>
      </c>
      <c r="G287" s="12" t="str">
        <f aca="false">IF($D287="","",IFERROR(INDEX(품목목록!$D$3:$D$302,MATCH($D287,품목목록!$A$3:$A$302,0)),""))</f>
        <v/>
      </c>
      <c r="H287" s="12" t="str">
        <f aca="false">IF($D287="","",IFERROR(INDEX(품목목록!$E$3:$E$302,MATCH($D287,품목목록!$A$3:$A$302,0)),""))</f>
        <v/>
      </c>
      <c r="I287" s="14"/>
      <c r="J287" s="10"/>
      <c r="K287" s="10"/>
      <c r="L287" s="10"/>
      <c r="M287" s="15" t="str">
        <f aca="false">IF($A287="","",SUMIFS(처리내역!$E$3:$E$1502,처리내역!$B$3:$B$1502,$A287))</f>
        <v/>
      </c>
      <c r="N287" s="15" t="str">
        <f aca="false">IF($A287="","",IF($I287="","",$I287-$M287))</f>
        <v/>
      </c>
      <c r="O287" s="12" t="str">
        <f aca="false">IF($A287="","",IF($I287="","",IF($M287=0,"미처리",IF($N287&lt;=0,"완료","부분처리"))))</f>
        <v/>
      </c>
    </row>
    <row r="288" customFormat="false" ht="15" hidden="false" customHeight="true" outlineLevel="0" collapsed="false">
      <c r="A288" s="12" t="str">
        <f aca="false">IF($B288="","",TEXT($B288,"yymm")&amp;"-"&amp;TEXT(COUNTIFS($B$3:$B288,"&gt;="&amp;DATE(YEAR($B288),MONTH($B288),1),$B$3:$B288,"&lt;="&amp;EOMONTH($B288,0)),"000"))</f>
        <v/>
      </c>
      <c r="B288" s="13"/>
      <c r="C288" s="10"/>
      <c r="D288" s="10"/>
      <c r="E288" s="12" t="str">
        <f aca="false">IF($D288="","",IFERROR(INDEX(품목목록!$B$3:$B$302,MATCH($D288,품목목록!$A$3:$A$302,0)),"미등록품번"))</f>
        <v/>
      </c>
      <c r="F288" s="12" t="str">
        <f aca="false">IF($D288="","",IFERROR(INDEX(품목목록!$C$3:$C$302,MATCH($D288,품목목록!$A$3:$A$302,0)),""))</f>
        <v/>
      </c>
      <c r="G288" s="12" t="str">
        <f aca="false">IF($D288="","",IFERROR(INDEX(품목목록!$D$3:$D$302,MATCH($D288,품목목록!$A$3:$A$302,0)),""))</f>
        <v/>
      </c>
      <c r="H288" s="12" t="str">
        <f aca="false">IF($D288="","",IFERROR(INDEX(품목목록!$E$3:$E$302,MATCH($D288,품목목록!$A$3:$A$302,0)),""))</f>
        <v/>
      </c>
      <c r="I288" s="14"/>
      <c r="J288" s="10"/>
      <c r="K288" s="10"/>
      <c r="L288" s="10"/>
      <c r="M288" s="15" t="str">
        <f aca="false">IF($A288="","",SUMIFS(처리내역!$E$3:$E$1502,처리내역!$B$3:$B$1502,$A288))</f>
        <v/>
      </c>
      <c r="N288" s="15" t="str">
        <f aca="false">IF($A288="","",IF($I288="","",$I288-$M288))</f>
        <v/>
      </c>
      <c r="O288" s="12" t="str">
        <f aca="false">IF($A288="","",IF($I288="","",IF($M288=0,"미처리",IF($N288&lt;=0,"완료","부분처리"))))</f>
        <v/>
      </c>
    </row>
    <row r="289" customFormat="false" ht="15" hidden="false" customHeight="true" outlineLevel="0" collapsed="false">
      <c r="A289" s="12" t="str">
        <f aca="false">IF($B289="","",TEXT($B289,"yymm")&amp;"-"&amp;TEXT(COUNTIFS($B$3:$B289,"&gt;="&amp;DATE(YEAR($B289),MONTH($B289),1),$B$3:$B289,"&lt;="&amp;EOMONTH($B289,0)),"000"))</f>
        <v/>
      </c>
      <c r="B289" s="13"/>
      <c r="C289" s="10"/>
      <c r="D289" s="10"/>
      <c r="E289" s="12" t="str">
        <f aca="false">IF($D289="","",IFERROR(INDEX(품목목록!$B$3:$B$302,MATCH($D289,품목목록!$A$3:$A$302,0)),"미등록품번"))</f>
        <v/>
      </c>
      <c r="F289" s="12" t="str">
        <f aca="false">IF($D289="","",IFERROR(INDEX(품목목록!$C$3:$C$302,MATCH($D289,품목목록!$A$3:$A$302,0)),""))</f>
        <v/>
      </c>
      <c r="G289" s="12" t="str">
        <f aca="false">IF($D289="","",IFERROR(INDEX(품목목록!$D$3:$D$302,MATCH($D289,품목목록!$A$3:$A$302,0)),""))</f>
        <v/>
      </c>
      <c r="H289" s="12" t="str">
        <f aca="false">IF($D289="","",IFERROR(INDEX(품목목록!$E$3:$E$302,MATCH($D289,품목목록!$A$3:$A$302,0)),""))</f>
        <v/>
      </c>
      <c r="I289" s="14"/>
      <c r="J289" s="10"/>
      <c r="K289" s="10"/>
      <c r="L289" s="10"/>
      <c r="M289" s="15" t="str">
        <f aca="false">IF($A289="","",SUMIFS(처리내역!$E$3:$E$1502,처리내역!$B$3:$B$1502,$A289))</f>
        <v/>
      </c>
      <c r="N289" s="15" t="str">
        <f aca="false">IF($A289="","",IF($I289="","",$I289-$M289))</f>
        <v/>
      </c>
      <c r="O289" s="12" t="str">
        <f aca="false">IF($A289="","",IF($I289="","",IF($M289=0,"미처리",IF($N289&lt;=0,"완료","부분처리"))))</f>
        <v/>
      </c>
    </row>
    <row r="290" customFormat="false" ht="15" hidden="false" customHeight="true" outlineLevel="0" collapsed="false">
      <c r="A290" s="12" t="str">
        <f aca="false">IF($B290="","",TEXT($B290,"yymm")&amp;"-"&amp;TEXT(COUNTIFS($B$3:$B290,"&gt;="&amp;DATE(YEAR($B290),MONTH($B290),1),$B$3:$B290,"&lt;="&amp;EOMONTH($B290,0)),"000"))</f>
        <v/>
      </c>
      <c r="B290" s="13"/>
      <c r="C290" s="10"/>
      <c r="D290" s="10"/>
      <c r="E290" s="12" t="str">
        <f aca="false">IF($D290="","",IFERROR(INDEX(품목목록!$B$3:$B$302,MATCH($D290,품목목록!$A$3:$A$302,0)),"미등록품번"))</f>
        <v/>
      </c>
      <c r="F290" s="12" t="str">
        <f aca="false">IF($D290="","",IFERROR(INDEX(품목목록!$C$3:$C$302,MATCH($D290,품목목록!$A$3:$A$302,0)),""))</f>
        <v/>
      </c>
      <c r="G290" s="12" t="str">
        <f aca="false">IF($D290="","",IFERROR(INDEX(품목목록!$D$3:$D$302,MATCH($D290,품목목록!$A$3:$A$302,0)),""))</f>
        <v/>
      </c>
      <c r="H290" s="12" t="str">
        <f aca="false">IF($D290="","",IFERROR(INDEX(품목목록!$E$3:$E$302,MATCH($D290,품목목록!$A$3:$A$302,0)),""))</f>
        <v/>
      </c>
      <c r="I290" s="14"/>
      <c r="J290" s="10"/>
      <c r="K290" s="10"/>
      <c r="L290" s="10"/>
      <c r="M290" s="15" t="str">
        <f aca="false">IF($A290="","",SUMIFS(처리내역!$E$3:$E$1502,처리내역!$B$3:$B$1502,$A290))</f>
        <v/>
      </c>
      <c r="N290" s="15" t="str">
        <f aca="false">IF($A290="","",IF($I290="","",$I290-$M290))</f>
        <v/>
      </c>
      <c r="O290" s="12" t="str">
        <f aca="false">IF($A290="","",IF($I290="","",IF($M290=0,"미처리",IF($N290&lt;=0,"완료","부분처리"))))</f>
        <v/>
      </c>
    </row>
    <row r="291" customFormat="false" ht="15" hidden="false" customHeight="true" outlineLevel="0" collapsed="false">
      <c r="A291" s="12" t="str">
        <f aca="false">IF($B291="","",TEXT($B291,"yymm")&amp;"-"&amp;TEXT(COUNTIFS($B$3:$B291,"&gt;="&amp;DATE(YEAR($B291),MONTH($B291),1),$B$3:$B291,"&lt;="&amp;EOMONTH($B291,0)),"000"))</f>
        <v/>
      </c>
      <c r="B291" s="13"/>
      <c r="C291" s="10"/>
      <c r="D291" s="10"/>
      <c r="E291" s="12" t="str">
        <f aca="false">IF($D291="","",IFERROR(INDEX(품목목록!$B$3:$B$302,MATCH($D291,품목목록!$A$3:$A$302,0)),"미등록품번"))</f>
        <v/>
      </c>
      <c r="F291" s="12" t="str">
        <f aca="false">IF($D291="","",IFERROR(INDEX(품목목록!$C$3:$C$302,MATCH($D291,품목목록!$A$3:$A$302,0)),""))</f>
        <v/>
      </c>
      <c r="G291" s="12" t="str">
        <f aca="false">IF($D291="","",IFERROR(INDEX(품목목록!$D$3:$D$302,MATCH($D291,품목목록!$A$3:$A$302,0)),""))</f>
        <v/>
      </c>
      <c r="H291" s="12" t="str">
        <f aca="false">IF($D291="","",IFERROR(INDEX(품목목록!$E$3:$E$302,MATCH($D291,품목목록!$A$3:$A$302,0)),""))</f>
        <v/>
      </c>
      <c r="I291" s="14"/>
      <c r="J291" s="10"/>
      <c r="K291" s="10"/>
      <c r="L291" s="10"/>
      <c r="M291" s="15" t="str">
        <f aca="false">IF($A291="","",SUMIFS(처리내역!$E$3:$E$1502,처리내역!$B$3:$B$1502,$A291))</f>
        <v/>
      </c>
      <c r="N291" s="15" t="str">
        <f aca="false">IF($A291="","",IF($I291="","",$I291-$M291))</f>
        <v/>
      </c>
      <c r="O291" s="12" t="str">
        <f aca="false">IF($A291="","",IF($I291="","",IF($M291=0,"미처리",IF($N291&lt;=0,"완료","부분처리"))))</f>
        <v/>
      </c>
    </row>
    <row r="292" customFormat="false" ht="15" hidden="false" customHeight="true" outlineLevel="0" collapsed="false">
      <c r="A292" s="12" t="str">
        <f aca="false">IF($B292="","",TEXT($B292,"yymm")&amp;"-"&amp;TEXT(COUNTIFS($B$3:$B292,"&gt;="&amp;DATE(YEAR($B292),MONTH($B292),1),$B$3:$B292,"&lt;="&amp;EOMONTH($B292,0)),"000"))</f>
        <v/>
      </c>
      <c r="B292" s="13"/>
      <c r="C292" s="10"/>
      <c r="D292" s="10"/>
      <c r="E292" s="12" t="str">
        <f aca="false">IF($D292="","",IFERROR(INDEX(품목목록!$B$3:$B$302,MATCH($D292,품목목록!$A$3:$A$302,0)),"미등록품번"))</f>
        <v/>
      </c>
      <c r="F292" s="12" t="str">
        <f aca="false">IF($D292="","",IFERROR(INDEX(품목목록!$C$3:$C$302,MATCH($D292,품목목록!$A$3:$A$302,0)),""))</f>
        <v/>
      </c>
      <c r="G292" s="12" t="str">
        <f aca="false">IF($D292="","",IFERROR(INDEX(품목목록!$D$3:$D$302,MATCH($D292,품목목록!$A$3:$A$302,0)),""))</f>
        <v/>
      </c>
      <c r="H292" s="12" t="str">
        <f aca="false">IF($D292="","",IFERROR(INDEX(품목목록!$E$3:$E$302,MATCH($D292,품목목록!$A$3:$A$302,0)),""))</f>
        <v/>
      </c>
      <c r="I292" s="14"/>
      <c r="J292" s="10"/>
      <c r="K292" s="10"/>
      <c r="L292" s="10"/>
      <c r="M292" s="15" t="str">
        <f aca="false">IF($A292="","",SUMIFS(처리내역!$E$3:$E$1502,처리내역!$B$3:$B$1502,$A292))</f>
        <v/>
      </c>
      <c r="N292" s="15" t="str">
        <f aca="false">IF($A292="","",IF($I292="","",$I292-$M292))</f>
        <v/>
      </c>
      <c r="O292" s="12" t="str">
        <f aca="false">IF($A292="","",IF($I292="","",IF($M292=0,"미처리",IF($N292&lt;=0,"완료","부분처리"))))</f>
        <v/>
      </c>
    </row>
    <row r="293" customFormat="false" ht="15" hidden="false" customHeight="true" outlineLevel="0" collapsed="false">
      <c r="A293" s="12" t="str">
        <f aca="false">IF($B293="","",TEXT($B293,"yymm")&amp;"-"&amp;TEXT(COUNTIFS($B$3:$B293,"&gt;="&amp;DATE(YEAR($B293),MONTH($B293),1),$B$3:$B293,"&lt;="&amp;EOMONTH($B293,0)),"000"))</f>
        <v/>
      </c>
      <c r="B293" s="13"/>
      <c r="C293" s="10"/>
      <c r="D293" s="10"/>
      <c r="E293" s="12" t="str">
        <f aca="false">IF($D293="","",IFERROR(INDEX(품목목록!$B$3:$B$302,MATCH($D293,품목목록!$A$3:$A$302,0)),"미등록품번"))</f>
        <v/>
      </c>
      <c r="F293" s="12" t="str">
        <f aca="false">IF($D293="","",IFERROR(INDEX(품목목록!$C$3:$C$302,MATCH($D293,품목목록!$A$3:$A$302,0)),""))</f>
        <v/>
      </c>
      <c r="G293" s="12" t="str">
        <f aca="false">IF($D293="","",IFERROR(INDEX(품목목록!$D$3:$D$302,MATCH($D293,품목목록!$A$3:$A$302,0)),""))</f>
        <v/>
      </c>
      <c r="H293" s="12" t="str">
        <f aca="false">IF($D293="","",IFERROR(INDEX(품목목록!$E$3:$E$302,MATCH($D293,품목목록!$A$3:$A$302,0)),""))</f>
        <v/>
      </c>
      <c r="I293" s="14"/>
      <c r="J293" s="10"/>
      <c r="K293" s="10"/>
      <c r="L293" s="10"/>
      <c r="M293" s="15" t="str">
        <f aca="false">IF($A293="","",SUMIFS(처리내역!$E$3:$E$1502,처리내역!$B$3:$B$1502,$A293))</f>
        <v/>
      </c>
      <c r="N293" s="15" t="str">
        <f aca="false">IF($A293="","",IF($I293="","",$I293-$M293))</f>
        <v/>
      </c>
      <c r="O293" s="12" t="str">
        <f aca="false">IF($A293="","",IF($I293="","",IF($M293=0,"미처리",IF($N293&lt;=0,"완료","부분처리"))))</f>
        <v/>
      </c>
    </row>
    <row r="294" customFormat="false" ht="15" hidden="false" customHeight="true" outlineLevel="0" collapsed="false">
      <c r="A294" s="12" t="str">
        <f aca="false">IF($B294="","",TEXT($B294,"yymm")&amp;"-"&amp;TEXT(COUNTIFS($B$3:$B294,"&gt;="&amp;DATE(YEAR($B294),MONTH($B294),1),$B$3:$B294,"&lt;="&amp;EOMONTH($B294,0)),"000"))</f>
        <v/>
      </c>
      <c r="B294" s="13"/>
      <c r="C294" s="10"/>
      <c r="D294" s="10"/>
      <c r="E294" s="12" t="str">
        <f aca="false">IF($D294="","",IFERROR(INDEX(품목목록!$B$3:$B$302,MATCH($D294,품목목록!$A$3:$A$302,0)),"미등록품번"))</f>
        <v/>
      </c>
      <c r="F294" s="12" t="str">
        <f aca="false">IF($D294="","",IFERROR(INDEX(품목목록!$C$3:$C$302,MATCH($D294,품목목록!$A$3:$A$302,0)),""))</f>
        <v/>
      </c>
      <c r="G294" s="12" t="str">
        <f aca="false">IF($D294="","",IFERROR(INDEX(품목목록!$D$3:$D$302,MATCH($D294,품목목록!$A$3:$A$302,0)),""))</f>
        <v/>
      </c>
      <c r="H294" s="12" t="str">
        <f aca="false">IF($D294="","",IFERROR(INDEX(품목목록!$E$3:$E$302,MATCH($D294,품목목록!$A$3:$A$302,0)),""))</f>
        <v/>
      </c>
      <c r="I294" s="14"/>
      <c r="J294" s="10"/>
      <c r="K294" s="10"/>
      <c r="L294" s="10"/>
      <c r="M294" s="15" t="str">
        <f aca="false">IF($A294="","",SUMIFS(처리내역!$E$3:$E$1502,처리내역!$B$3:$B$1502,$A294))</f>
        <v/>
      </c>
      <c r="N294" s="15" t="str">
        <f aca="false">IF($A294="","",IF($I294="","",$I294-$M294))</f>
        <v/>
      </c>
      <c r="O294" s="12" t="str">
        <f aca="false">IF($A294="","",IF($I294="","",IF($M294=0,"미처리",IF($N294&lt;=0,"완료","부분처리"))))</f>
        <v/>
      </c>
    </row>
    <row r="295" customFormat="false" ht="15" hidden="false" customHeight="true" outlineLevel="0" collapsed="false">
      <c r="A295" s="12" t="str">
        <f aca="false">IF($B295="","",TEXT($B295,"yymm")&amp;"-"&amp;TEXT(COUNTIFS($B$3:$B295,"&gt;="&amp;DATE(YEAR($B295),MONTH($B295),1),$B$3:$B295,"&lt;="&amp;EOMONTH($B295,0)),"000"))</f>
        <v/>
      </c>
      <c r="B295" s="13"/>
      <c r="C295" s="10"/>
      <c r="D295" s="10"/>
      <c r="E295" s="12" t="str">
        <f aca="false">IF($D295="","",IFERROR(INDEX(품목목록!$B$3:$B$302,MATCH($D295,품목목록!$A$3:$A$302,0)),"미등록품번"))</f>
        <v/>
      </c>
      <c r="F295" s="12" t="str">
        <f aca="false">IF($D295="","",IFERROR(INDEX(품목목록!$C$3:$C$302,MATCH($D295,품목목록!$A$3:$A$302,0)),""))</f>
        <v/>
      </c>
      <c r="G295" s="12" t="str">
        <f aca="false">IF($D295="","",IFERROR(INDEX(품목목록!$D$3:$D$302,MATCH($D295,품목목록!$A$3:$A$302,0)),""))</f>
        <v/>
      </c>
      <c r="H295" s="12" t="str">
        <f aca="false">IF($D295="","",IFERROR(INDEX(품목목록!$E$3:$E$302,MATCH($D295,품목목록!$A$3:$A$302,0)),""))</f>
        <v/>
      </c>
      <c r="I295" s="14"/>
      <c r="J295" s="10"/>
      <c r="K295" s="10"/>
      <c r="L295" s="10"/>
      <c r="M295" s="15" t="str">
        <f aca="false">IF($A295="","",SUMIFS(처리내역!$E$3:$E$1502,처리내역!$B$3:$B$1502,$A295))</f>
        <v/>
      </c>
      <c r="N295" s="15" t="str">
        <f aca="false">IF($A295="","",IF($I295="","",$I295-$M295))</f>
        <v/>
      </c>
      <c r="O295" s="12" t="str">
        <f aca="false">IF($A295="","",IF($I295="","",IF($M295=0,"미처리",IF($N295&lt;=0,"완료","부분처리"))))</f>
        <v/>
      </c>
    </row>
    <row r="296" customFormat="false" ht="15" hidden="false" customHeight="true" outlineLevel="0" collapsed="false">
      <c r="A296" s="12" t="str">
        <f aca="false">IF($B296="","",TEXT($B296,"yymm")&amp;"-"&amp;TEXT(COUNTIFS($B$3:$B296,"&gt;="&amp;DATE(YEAR($B296),MONTH($B296),1),$B$3:$B296,"&lt;="&amp;EOMONTH($B296,0)),"000"))</f>
        <v/>
      </c>
      <c r="B296" s="13"/>
      <c r="C296" s="10"/>
      <c r="D296" s="10"/>
      <c r="E296" s="12" t="str">
        <f aca="false">IF($D296="","",IFERROR(INDEX(품목목록!$B$3:$B$302,MATCH($D296,품목목록!$A$3:$A$302,0)),"미등록품번"))</f>
        <v/>
      </c>
      <c r="F296" s="12" t="str">
        <f aca="false">IF($D296="","",IFERROR(INDEX(품목목록!$C$3:$C$302,MATCH($D296,품목목록!$A$3:$A$302,0)),""))</f>
        <v/>
      </c>
      <c r="G296" s="12" t="str">
        <f aca="false">IF($D296="","",IFERROR(INDEX(품목목록!$D$3:$D$302,MATCH($D296,품목목록!$A$3:$A$302,0)),""))</f>
        <v/>
      </c>
      <c r="H296" s="12" t="str">
        <f aca="false">IF($D296="","",IFERROR(INDEX(품목목록!$E$3:$E$302,MATCH($D296,품목목록!$A$3:$A$302,0)),""))</f>
        <v/>
      </c>
      <c r="I296" s="14"/>
      <c r="J296" s="10"/>
      <c r="K296" s="10"/>
      <c r="L296" s="10"/>
      <c r="M296" s="15" t="str">
        <f aca="false">IF($A296="","",SUMIFS(처리내역!$E$3:$E$1502,처리내역!$B$3:$B$1502,$A296))</f>
        <v/>
      </c>
      <c r="N296" s="15" t="str">
        <f aca="false">IF($A296="","",IF($I296="","",$I296-$M296))</f>
        <v/>
      </c>
      <c r="O296" s="12" t="str">
        <f aca="false">IF($A296="","",IF($I296="","",IF($M296=0,"미처리",IF($N296&lt;=0,"완료","부분처리"))))</f>
        <v/>
      </c>
    </row>
    <row r="297" customFormat="false" ht="15" hidden="false" customHeight="true" outlineLevel="0" collapsed="false">
      <c r="A297" s="12" t="str">
        <f aca="false">IF($B297="","",TEXT($B297,"yymm")&amp;"-"&amp;TEXT(COUNTIFS($B$3:$B297,"&gt;="&amp;DATE(YEAR($B297),MONTH($B297),1),$B$3:$B297,"&lt;="&amp;EOMONTH($B297,0)),"000"))</f>
        <v/>
      </c>
      <c r="B297" s="13"/>
      <c r="C297" s="10"/>
      <c r="D297" s="10"/>
      <c r="E297" s="12" t="str">
        <f aca="false">IF($D297="","",IFERROR(INDEX(품목목록!$B$3:$B$302,MATCH($D297,품목목록!$A$3:$A$302,0)),"미등록품번"))</f>
        <v/>
      </c>
      <c r="F297" s="12" t="str">
        <f aca="false">IF($D297="","",IFERROR(INDEX(품목목록!$C$3:$C$302,MATCH($D297,품목목록!$A$3:$A$302,0)),""))</f>
        <v/>
      </c>
      <c r="G297" s="12" t="str">
        <f aca="false">IF($D297="","",IFERROR(INDEX(품목목록!$D$3:$D$302,MATCH($D297,품목목록!$A$3:$A$302,0)),""))</f>
        <v/>
      </c>
      <c r="H297" s="12" t="str">
        <f aca="false">IF($D297="","",IFERROR(INDEX(품목목록!$E$3:$E$302,MATCH($D297,품목목록!$A$3:$A$302,0)),""))</f>
        <v/>
      </c>
      <c r="I297" s="14"/>
      <c r="J297" s="10"/>
      <c r="K297" s="10"/>
      <c r="L297" s="10"/>
      <c r="M297" s="15" t="str">
        <f aca="false">IF($A297="","",SUMIFS(처리내역!$E$3:$E$1502,처리내역!$B$3:$B$1502,$A297))</f>
        <v/>
      </c>
      <c r="N297" s="15" t="str">
        <f aca="false">IF($A297="","",IF($I297="","",$I297-$M297))</f>
        <v/>
      </c>
      <c r="O297" s="12" t="str">
        <f aca="false">IF($A297="","",IF($I297="","",IF($M297=0,"미처리",IF($N297&lt;=0,"완료","부분처리"))))</f>
        <v/>
      </c>
    </row>
    <row r="298" customFormat="false" ht="15" hidden="false" customHeight="true" outlineLevel="0" collapsed="false">
      <c r="A298" s="12" t="str">
        <f aca="false">IF($B298="","",TEXT($B298,"yymm")&amp;"-"&amp;TEXT(COUNTIFS($B$3:$B298,"&gt;="&amp;DATE(YEAR($B298),MONTH($B298),1),$B$3:$B298,"&lt;="&amp;EOMONTH($B298,0)),"000"))</f>
        <v/>
      </c>
      <c r="B298" s="13"/>
      <c r="C298" s="10"/>
      <c r="D298" s="10"/>
      <c r="E298" s="12" t="str">
        <f aca="false">IF($D298="","",IFERROR(INDEX(품목목록!$B$3:$B$302,MATCH($D298,품목목록!$A$3:$A$302,0)),"미등록품번"))</f>
        <v/>
      </c>
      <c r="F298" s="12" t="str">
        <f aca="false">IF($D298="","",IFERROR(INDEX(품목목록!$C$3:$C$302,MATCH($D298,품목목록!$A$3:$A$302,0)),""))</f>
        <v/>
      </c>
      <c r="G298" s="12" t="str">
        <f aca="false">IF($D298="","",IFERROR(INDEX(품목목록!$D$3:$D$302,MATCH($D298,품목목록!$A$3:$A$302,0)),""))</f>
        <v/>
      </c>
      <c r="H298" s="12" t="str">
        <f aca="false">IF($D298="","",IFERROR(INDEX(품목목록!$E$3:$E$302,MATCH($D298,품목목록!$A$3:$A$302,0)),""))</f>
        <v/>
      </c>
      <c r="I298" s="14"/>
      <c r="J298" s="10"/>
      <c r="K298" s="10"/>
      <c r="L298" s="10"/>
      <c r="M298" s="15" t="str">
        <f aca="false">IF($A298="","",SUMIFS(처리내역!$E$3:$E$1502,처리내역!$B$3:$B$1502,$A298))</f>
        <v/>
      </c>
      <c r="N298" s="15" t="str">
        <f aca="false">IF($A298="","",IF($I298="","",$I298-$M298))</f>
        <v/>
      </c>
      <c r="O298" s="12" t="str">
        <f aca="false">IF($A298="","",IF($I298="","",IF($M298=0,"미처리",IF($N298&lt;=0,"완료","부분처리"))))</f>
        <v/>
      </c>
    </row>
    <row r="299" customFormat="false" ht="15" hidden="false" customHeight="true" outlineLevel="0" collapsed="false">
      <c r="A299" s="12" t="str">
        <f aca="false">IF($B299="","",TEXT($B299,"yymm")&amp;"-"&amp;TEXT(COUNTIFS($B$3:$B299,"&gt;="&amp;DATE(YEAR($B299),MONTH($B299),1),$B$3:$B299,"&lt;="&amp;EOMONTH($B299,0)),"000"))</f>
        <v/>
      </c>
      <c r="B299" s="13"/>
      <c r="C299" s="10"/>
      <c r="D299" s="10"/>
      <c r="E299" s="12" t="str">
        <f aca="false">IF($D299="","",IFERROR(INDEX(품목목록!$B$3:$B$302,MATCH($D299,품목목록!$A$3:$A$302,0)),"미등록품번"))</f>
        <v/>
      </c>
      <c r="F299" s="12" t="str">
        <f aca="false">IF($D299="","",IFERROR(INDEX(품목목록!$C$3:$C$302,MATCH($D299,품목목록!$A$3:$A$302,0)),""))</f>
        <v/>
      </c>
      <c r="G299" s="12" t="str">
        <f aca="false">IF($D299="","",IFERROR(INDEX(품목목록!$D$3:$D$302,MATCH($D299,품목목록!$A$3:$A$302,0)),""))</f>
        <v/>
      </c>
      <c r="H299" s="12" t="str">
        <f aca="false">IF($D299="","",IFERROR(INDEX(품목목록!$E$3:$E$302,MATCH($D299,품목목록!$A$3:$A$302,0)),""))</f>
        <v/>
      </c>
      <c r="I299" s="14"/>
      <c r="J299" s="10"/>
      <c r="K299" s="10"/>
      <c r="L299" s="10"/>
      <c r="M299" s="15" t="str">
        <f aca="false">IF($A299="","",SUMIFS(처리내역!$E$3:$E$1502,처리내역!$B$3:$B$1502,$A299))</f>
        <v/>
      </c>
      <c r="N299" s="15" t="str">
        <f aca="false">IF($A299="","",IF($I299="","",$I299-$M299))</f>
        <v/>
      </c>
      <c r="O299" s="12" t="str">
        <f aca="false">IF($A299="","",IF($I299="","",IF($M299=0,"미처리",IF($N299&lt;=0,"완료","부분처리"))))</f>
        <v/>
      </c>
    </row>
    <row r="300" customFormat="false" ht="15" hidden="false" customHeight="true" outlineLevel="0" collapsed="false">
      <c r="A300" s="12" t="str">
        <f aca="false">IF($B300="","",TEXT($B300,"yymm")&amp;"-"&amp;TEXT(COUNTIFS($B$3:$B300,"&gt;="&amp;DATE(YEAR($B300),MONTH($B300),1),$B$3:$B300,"&lt;="&amp;EOMONTH($B300,0)),"000"))</f>
        <v/>
      </c>
      <c r="B300" s="13"/>
      <c r="C300" s="10"/>
      <c r="D300" s="10"/>
      <c r="E300" s="12" t="str">
        <f aca="false">IF($D300="","",IFERROR(INDEX(품목목록!$B$3:$B$302,MATCH($D300,품목목록!$A$3:$A$302,0)),"미등록품번"))</f>
        <v/>
      </c>
      <c r="F300" s="12" t="str">
        <f aca="false">IF($D300="","",IFERROR(INDEX(품목목록!$C$3:$C$302,MATCH($D300,품목목록!$A$3:$A$302,0)),""))</f>
        <v/>
      </c>
      <c r="G300" s="12" t="str">
        <f aca="false">IF($D300="","",IFERROR(INDEX(품목목록!$D$3:$D$302,MATCH($D300,품목목록!$A$3:$A$302,0)),""))</f>
        <v/>
      </c>
      <c r="H300" s="12" t="str">
        <f aca="false">IF($D300="","",IFERROR(INDEX(품목목록!$E$3:$E$302,MATCH($D300,품목목록!$A$3:$A$302,0)),""))</f>
        <v/>
      </c>
      <c r="I300" s="14"/>
      <c r="J300" s="10"/>
      <c r="K300" s="10"/>
      <c r="L300" s="10"/>
      <c r="M300" s="15" t="str">
        <f aca="false">IF($A300="","",SUMIFS(처리내역!$E$3:$E$1502,처리내역!$B$3:$B$1502,$A300))</f>
        <v/>
      </c>
      <c r="N300" s="15" t="str">
        <f aca="false">IF($A300="","",IF($I300="","",$I300-$M300))</f>
        <v/>
      </c>
      <c r="O300" s="12" t="str">
        <f aca="false">IF($A300="","",IF($I300="","",IF($M300=0,"미처리",IF($N300&lt;=0,"완료","부분처리"))))</f>
        <v/>
      </c>
    </row>
    <row r="301" customFormat="false" ht="15" hidden="false" customHeight="true" outlineLevel="0" collapsed="false">
      <c r="A301" s="12" t="str">
        <f aca="false">IF($B301="","",TEXT($B301,"yymm")&amp;"-"&amp;TEXT(COUNTIFS($B$3:$B301,"&gt;="&amp;DATE(YEAR($B301),MONTH($B301),1),$B$3:$B301,"&lt;="&amp;EOMONTH($B301,0)),"000"))</f>
        <v/>
      </c>
      <c r="B301" s="13"/>
      <c r="C301" s="10"/>
      <c r="D301" s="10"/>
      <c r="E301" s="12" t="str">
        <f aca="false">IF($D301="","",IFERROR(INDEX(품목목록!$B$3:$B$302,MATCH($D301,품목목록!$A$3:$A$302,0)),"미등록품번"))</f>
        <v/>
      </c>
      <c r="F301" s="12" t="str">
        <f aca="false">IF($D301="","",IFERROR(INDEX(품목목록!$C$3:$C$302,MATCH($D301,품목목록!$A$3:$A$302,0)),""))</f>
        <v/>
      </c>
      <c r="G301" s="12" t="str">
        <f aca="false">IF($D301="","",IFERROR(INDEX(품목목록!$D$3:$D$302,MATCH($D301,품목목록!$A$3:$A$302,0)),""))</f>
        <v/>
      </c>
      <c r="H301" s="12" t="str">
        <f aca="false">IF($D301="","",IFERROR(INDEX(품목목록!$E$3:$E$302,MATCH($D301,품목목록!$A$3:$A$302,0)),""))</f>
        <v/>
      </c>
      <c r="I301" s="14"/>
      <c r="J301" s="10"/>
      <c r="K301" s="10"/>
      <c r="L301" s="10"/>
      <c r="M301" s="15" t="str">
        <f aca="false">IF($A301="","",SUMIFS(처리내역!$E$3:$E$1502,처리내역!$B$3:$B$1502,$A301))</f>
        <v/>
      </c>
      <c r="N301" s="15" t="str">
        <f aca="false">IF($A301="","",IF($I301="","",$I301-$M301))</f>
        <v/>
      </c>
      <c r="O301" s="12" t="str">
        <f aca="false">IF($A301="","",IF($I301="","",IF($M301=0,"미처리",IF($N301&lt;=0,"완료","부분처리"))))</f>
        <v/>
      </c>
    </row>
    <row r="302" customFormat="false" ht="15" hidden="false" customHeight="true" outlineLevel="0" collapsed="false">
      <c r="A302" s="12" t="str">
        <f aca="false">IF($B302="","",TEXT($B302,"yymm")&amp;"-"&amp;TEXT(COUNTIFS($B$3:$B302,"&gt;="&amp;DATE(YEAR($B302),MONTH($B302),1),$B$3:$B302,"&lt;="&amp;EOMONTH($B302,0)),"000"))</f>
        <v/>
      </c>
      <c r="B302" s="13"/>
      <c r="C302" s="10"/>
      <c r="D302" s="10"/>
      <c r="E302" s="12" t="str">
        <f aca="false">IF($D302="","",IFERROR(INDEX(품목목록!$B$3:$B$302,MATCH($D302,품목목록!$A$3:$A$302,0)),"미등록품번"))</f>
        <v/>
      </c>
      <c r="F302" s="12" t="str">
        <f aca="false">IF($D302="","",IFERROR(INDEX(품목목록!$C$3:$C$302,MATCH($D302,품목목록!$A$3:$A$302,0)),""))</f>
        <v/>
      </c>
      <c r="G302" s="12" t="str">
        <f aca="false">IF($D302="","",IFERROR(INDEX(품목목록!$D$3:$D$302,MATCH($D302,품목목록!$A$3:$A$302,0)),""))</f>
        <v/>
      </c>
      <c r="H302" s="12" t="str">
        <f aca="false">IF($D302="","",IFERROR(INDEX(품목목록!$E$3:$E$302,MATCH($D302,품목목록!$A$3:$A$302,0)),""))</f>
        <v/>
      </c>
      <c r="I302" s="14"/>
      <c r="J302" s="10"/>
      <c r="K302" s="10"/>
      <c r="L302" s="10"/>
      <c r="M302" s="15" t="str">
        <f aca="false">IF($A302="","",SUMIFS(처리내역!$E$3:$E$1502,처리내역!$B$3:$B$1502,$A302))</f>
        <v/>
      </c>
      <c r="N302" s="15" t="str">
        <f aca="false">IF($A302="","",IF($I302="","",$I302-$M302))</f>
        <v/>
      </c>
      <c r="O302" s="12" t="str">
        <f aca="false">IF($A302="","",IF($I302="","",IF($M302=0,"미처리",IF($N302&lt;=0,"완료","부분처리"))))</f>
        <v/>
      </c>
    </row>
    <row r="303" customFormat="false" ht="15" hidden="false" customHeight="true" outlineLevel="0" collapsed="false">
      <c r="A303" s="12" t="str">
        <f aca="false">IF($B303="","",TEXT($B303,"yymm")&amp;"-"&amp;TEXT(COUNTIFS($B$3:$B303,"&gt;="&amp;DATE(YEAR($B303),MONTH($B303),1),$B$3:$B303,"&lt;="&amp;EOMONTH($B303,0)),"000"))</f>
        <v/>
      </c>
      <c r="B303" s="13"/>
      <c r="C303" s="10"/>
      <c r="D303" s="10"/>
      <c r="E303" s="12" t="str">
        <f aca="false">IF($D303="","",IFERROR(INDEX(품목목록!$B$3:$B$302,MATCH($D303,품목목록!$A$3:$A$302,0)),"미등록품번"))</f>
        <v/>
      </c>
      <c r="F303" s="12" t="str">
        <f aca="false">IF($D303="","",IFERROR(INDEX(품목목록!$C$3:$C$302,MATCH($D303,품목목록!$A$3:$A$302,0)),""))</f>
        <v/>
      </c>
      <c r="G303" s="12" t="str">
        <f aca="false">IF($D303="","",IFERROR(INDEX(품목목록!$D$3:$D$302,MATCH($D303,품목목록!$A$3:$A$302,0)),""))</f>
        <v/>
      </c>
      <c r="H303" s="12" t="str">
        <f aca="false">IF($D303="","",IFERROR(INDEX(품목목록!$E$3:$E$302,MATCH($D303,품목목록!$A$3:$A$302,0)),""))</f>
        <v/>
      </c>
      <c r="I303" s="14"/>
      <c r="J303" s="10"/>
      <c r="K303" s="10"/>
      <c r="L303" s="10"/>
      <c r="M303" s="15" t="str">
        <f aca="false">IF($A303="","",SUMIFS(처리내역!$E$3:$E$1502,처리내역!$B$3:$B$1502,$A303))</f>
        <v/>
      </c>
      <c r="N303" s="15" t="str">
        <f aca="false">IF($A303="","",IF($I303="","",$I303-$M303))</f>
        <v/>
      </c>
      <c r="O303" s="12" t="str">
        <f aca="false">IF($A303="","",IF($I303="","",IF($M303=0,"미처리",IF($N303&lt;=0,"완료","부분처리"))))</f>
        <v/>
      </c>
    </row>
    <row r="304" customFormat="false" ht="15" hidden="false" customHeight="true" outlineLevel="0" collapsed="false">
      <c r="A304" s="12" t="str">
        <f aca="false">IF($B304="","",TEXT($B304,"yymm")&amp;"-"&amp;TEXT(COUNTIFS($B$3:$B304,"&gt;="&amp;DATE(YEAR($B304),MONTH($B304),1),$B$3:$B304,"&lt;="&amp;EOMONTH($B304,0)),"000"))</f>
        <v/>
      </c>
      <c r="B304" s="13"/>
      <c r="C304" s="10"/>
      <c r="D304" s="10"/>
      <c r="E304" s="12" t="str">
        <f aca="false">IF($D304="","",IFERROR(INDEX(품목목록!$B$3:$B$302,MATCH($D304,품목목록!$A$3:$A$302,0)),"미등록품번"))</f>
        <v/>
      </c>
      <c r="F304" s="12" t="str">
        <f aca="false">IF($D304="","",IFERROR(INDEX(품목목록!$C$3:$C$302,MATCH($D304,품목목록!$A$3:$A$302,0)),""))</f>
        <v/>
      </c>
      <c r="G304" s="12" t="str">
        <f aca="false">IF($D304="","",IFERROR(INDEX(품목목록!$D$3:$D$302,MATCH($D304,품목목록!$A$3:$A$302,0)),""))</f>
        <v/>
      </c>
      <c r="H304" s="12" t="str">
        <f aca="false">IF($D304="","",IFERROR(INDEX(품목목록!$E$3:$E$302,MATCH($D304,품목목록!$A$3:$A$302,0)),""))</f>
        <v/>
      </c>
      <c r="I304" s="14"/>
      <c r="J304" s="10"/>
      <c r="K304" s="10"/>
      <c r="L304" s="10"/>
      <c r="M304" s="15" t="str">
        <f aca="false">IF($A304="","",SUMIFS(처리내역!$E$3:$E$1502,처리내역!$B$3:$B$1502,$A304))</f>
        <v/>
      </c>
      <c r="N304" s="15" t="str">
        <f aca="false">IF($A304="","",IF($I304="","",$I304-$M304))</f>
        <v/>
      </c>
      <c r="O304" s="12" t="str">
        <f aca="false">IF($A304="","",IF($I304="","",IF($M304=0,"미처리",IF($N304&lt;=0,"완료","부분처리"))))</f>
        <v/>
      </c>
    </row>
    <row r="305" customFormat="false" ht="15" hidden="false" customHeight="true" outlineLevel="0" collapsed="false">
      <c r="A305" s="12" t="str">
        <f aca="false">IF($B305="","",TEXT($B305,"yymm")&amp;"-"&amp;TEXT(COUNTIFS($B$3:$B305,"&gt;="&amp;DATE(YEAR($B305),MONTH($B305),1),$B$3:$B305,"&lt;="&amp;EOMONTH($B305,0)),"000"))</f>
        <v/>
      </c>
      <c r="B305" s="13"/>
      <c r="C305" s="10"/>
      <c r="D305" s="10"/>
      <c r="E305" s="12" t="str">
        <f aca="false">IF($D305="","",IFERROR(INDEX(품목목록!$B$3:$B$302,MATCH($D305,품목목록!$A$3:$A$302,0)),"미등록품번"))</f>
        <v/>
      </c>
      <c r="F305" s="12" t="str">
        <f aca="false">IF($D305="","",IFERROR(INDEX(품목목록!$C$3:$C$302,MATCH($D305,품목목록!$A$3:$A$302,0)),""))</f>
        <v/>
      </c>
      <c r="G305" s="12" t="str">
        <f aca="false">IF($D305="","",IFERROR(INDEX(품목목록!$D$3:$D$302,MATCH($D305,품목목록!$A$3:$A$302,0)),""))</f>
        <v/>
      </c>
      <c r="H305" s="12" t="str">
        <f aca="false">IF($D305="","",IFERROR(INDEX(품목목록!$E$3:$E$302,MATCH($D305,품목목록!$A$3:$A$302,0)),""))</f>
        <v/>
      </c>
      <c r="I305" s="14"/>
      <c r="J305" s="10"/>
      <c r="K305" s="10"/>
      <c r="L305" s="10"/>
      <c r="M305" s="15" t="str">
        <f aca="false">IF($A305="","",SUMIFS(처리내역!$E$3:$E$1502,처리내역!$B$3:$B$1502,$A305))</f>
        <v/>
      </c>
      <c r="N305" s="15" t="str">
        <f aca="false">IF($A305="","",IF($I305="","",$I305-$M305))</f>
        <v/>
      </c>
      <c r="O305" s="12" t="str">
        <f aca="false">IF($A305="","",IF($I305="","",IF($M305=0,"미처리",IF($N305&lt;=0,"완료","부분처리"))))</f>
        <v/>
      </c>
    </row>
    <row r="306" customFormat="false" ht="15" hidden="false" customHeight="true" outlineLevel="0" collapsed="false">
      <c r="A306" s="12" t="str">
        <f aca="false">IF($B306="","",TEXT($B306,"yymm")&amp;"-"&amp;TEXT(COUNTIFS($B$3:$B306,"&gt;="&amp;DATE(YEAR($B306),MONTH($B306),1),$B$3:$B306,"&lt;="&amp;EOMONTH($B306,0)),"000"))</f>
        <v/>
      </c>
      <c r="B306" s="13"/>
      <c r="C306" s="10"/>
      <c r="D306" s="10"/>
      <c r="E306" s="12" t="str">
        <f aca="false">IF($D306="","",IFERROR(INDEX(품목목록!$B$3:$B$302,MATCH($D306,품목목록!$A$3:$A$302,0)),"미등록품번"))</f>
        <v/>
      </c>
      <c r="F306" s="12" t="str">
        <f aca="false">IF($D306="","",IFERROR(INDEX(품목목록!$C$3:$C$302,MATCH($D306,품목목록!$A$3:$A$302,0)),""))</f>
        <v/>
      </c>
      <c r="G306" s="12" t="str">
        <f aca="false">IF($D306="","",IFERROR(INDEX(품목목록!$D$3:$D$302,MATCH($D306,품목목록!$A$3:$A$302,0)),""))</f>
        <v/>
      </c>
      <c r="H306" s="12" t="str">
        <f aca="false">IF($D306="","",IFERROR(INDEX(품목목록!$E$3:$E$302,MATCH($D306,품목목록!$A$3:$A$302,0)),""))</f>
        <v/>
      </c>
      <c r="I306" s="14"/>
      <c r="J306" s="10"/>
      <c r="K306" s="10"/>
      <c r="L306" s="10"/>
      <c r="M306" s="15" t="str">
        <f aca="false">IF($A306="","",SUMIFS(처리내역!$E$3:$E$1502,처리내역!$B$3:$B$1502,$A306))</f>
        <v/>
      </c>
      <c r="N306" s="15" t="str">
        <f aca="false">IF($A306="","",IF($I306="","",$I306-$M306))</f>
        <v/>
      </c>
      <c r="O306" s="12" t="str">
        <f aca="false">IF($A306="","",IF($I306="","",IF($M306=0,"미처리",IF($N306&lt;=0,"완료","부분처리"))))</f>
        <v/>
      </c>
    </row>
    <row r="307" customFormat="false" ht="15" hidden="false" customHeight="true" outlineLevel="0" collapsed="false">
      <c r="A307" s="12" t="str">
        <f aca="false">IF($B307="","",TEXT($B307,"yymm")&amp;"-"&amp;TEXT(COUNTIFS($B$3:$B307,"&gt;="&amp;DATE(YEAR($B307),MONTH($B307),1),$B$3:$B307,"&lt;="&amp;EOMONTH($B307,0)),"000"))</f>
        <v/>
      </c>
      <c r="B307" s="13"/>
      <c r="C307" s="10"/>
      <c r="D307" s="10"/>
      <c r="E307" s="12" t="str">
        <f aca="false">IF($D307="","",IFERROR(INDEX(품목목록!$B$3:$B$302,MATCH($D307,품목목록!$A$3:$A$302,0)),"미등록품번"))</f>
        <v/>
      </c>
      <c r="F307" s="12" t="str">
        <f aca="false">IF($D307="","",IFERROR(INDEX(품목목록!$C$3:$C$302,MATCH($D307,품목목록!$A$3:$A$302,0)),""))</f>
        <v/>
      </c>
      <c r="G307" s="12" t="str">
        <f aca="false">IF($D307="","",IFERROR(INDEX(품목목록!$D$3:$D$302,MATCH($D307,품목목록!$A$3:$A$302,0)),""))</f>
        <v/>
      </c>
      <c r="H307" s="12" t="str">
        <f aca="false">IF($D307="","",IFERROR(INDEX(품목목록!$E$3:$E$302,MATCH($D307,품목목록!$A$3:$A$302,0)),""))</f>
        <v/>
      </c>
      <c r="I307" s="14"/>
      <c r="J307" s="10"/>
      <c r="K307" s="10"/>
      <c r="L307" s="10"/>
      <c r="M307" s="15" t="str">
        <f aca="false">IF($A307="","",SUMIFS(처리내역!$E$3:$E$1502,처리내역!$B$3:$B$1502,$A307))</f>
        <v/>
      </c>
      <c r="N307" s="15" t="str">
        <f aca="false">IF($A307="","",IF($I307="","",$I307-$M307))</f>
        <v/>
      </c>
      <c r="O307" s="12" t="str">
        <f aca="false">IF($A307="","",IF($I307="","",IF($M307=0,"미처리",IF($N307&lt;=0,"완료","부분처리"))))</f>
        <v/>
      </c>
    </row>
    <row r="308" customFormat="false" ht="15" hidden="false" customHeight="true" outlineLevel="0" collapsed="false">
      <c r="A308" s="12" t="str">
        <f aca="false">IF($B308="","",TEXT($B308,"yymm")&amp;"-"&amp;TEXT(COUNTIFS($B$3:$B308,"&gt;="&amp;DATE(YEAR($B308),MONTH($B308),1),$B$3:$B308,"&lt;="&amp;EOMONTH($B308,0)),"000"))</f>
        <v/>
      </c>
      <c r="B308" s="13"/>
      <c r="C308" s="10"/>
      <c r="D308" s="10"/>
      <c r="E308" s="12" t="str">
        <f aca="false">IF($D308="","",IFERROR(INDEX(품목목록!$B$3:$B$302,MATCH($D308,품목목록!$A$3:$A$302,0)),"미등록품번"))</f>
        <v/>
      </c>
      <c r="F308" s="12" t="str">
        <f aca="false">IF($D308="","",IFERROR(INDEX(품목목록!$C$3:$C$302,MATCH($D308,품목목록!$A$3:$A$302,0)),""))</f>
        <v/>
      </c>
      <c r="G308" s="12" t="str">
        <f aca="false">IF($D308="","",IFERROR(INDEX(품목목록!$D$3:$D$302,MATCH($D308,품목목록!$A$3:$A$302,0)),""))</f>
        <v/>
      </c>
      <c r="H308" s="12" t="str">
        <f aca="false">IF($D308="","",IFERROR(INDEX(품목목록!$E$3:$E$302,MATCH($D308,품목목록!$A$3:$A$302,0)),""))</f>
        <v/>
      </c>
      <c r="I308" s="14"/>
      <c r="J308" s="10"/>
      <c r="K308" s="10"/>
      <c r="L308" s="10"/>
      <c r="M308" s="15" t="str">
        <f aca="false">IF($A308="","",SUMIFS(처리내역!$E$3:$E$1502,처리내역!$B$3:$B$1502,$A308))</f>
        <v/>
      </c>
      <c r="N308" s="15" t="str">
        <f aca="false">IF($A308="","",IF($I308="","",$I308-$M308))</f>
        <v/>
      </c>
      <c r="O308" s="12" t="str">
        <f aca="false">IF($A308="","",IF($I308="","",IF($M308=0,"미처리",IF($N308&lt;=0,"완료","부분처리"))))</f>
        <v/>
      </c>
    </row>
    <row r="309" customFormat="false" ht="15" hidden="false" customHeight="true" outlineLevel="0" collapsed="false">
      <c r="A309" s="12" t="str">
        <f aca="false">IF($B309="","",TEXT($B309,"yymm")&amp;"-"&amp;TEXT(COUNTIFS($B$3:$B309,"&gt;="&amp;DATE(YEAR($B309),MONTH($B309),1),$B$3:$B309,"&lt;="&amp;EOMONTH($B309,0)),"000"))</f>
        <v/>
      </c>
      <c r="B309" s="13"/>
      <c r="C309" s="10"/>
      <c r="D309" s="10"/>
      <c r="E309" s="12" t="str">
        <f aca="false">IF($D309="","",IFERROR(INDEX(품목목록!$B$3:$B$302,MATCH($D309,품목목록!$A$3:$A$302,0)),"미등록품번"))</f>
        <v/>
      </c>
      <c r="F309" s="12" t="str">
        <f aca="false">IF($D309="","",IFERROR(INDEX(품목목록!$C$3:$C$302,MATCH($D309,품목목록!$A$3:$A$302,0)),""))</f>
        <v/>
      </c>
      <c r="G309" s="12" t="str">
        <f aca="false">IF($D309="","",IFERROR(INDEX(품목목록!$D$3:$D$302,MATCH($D309,품목목록!$A$3:$A$302,0)),""))</f>
        <v/>
      </c>
      <c r="H309" s="12" t="str">
        <f aca="false">IF($D309="","",IFERROR(INDEX(품목목록!$E$3:$E$302,MATCH($D309,품목목록!$A$3:$A$302,0)),""))</f>
        <v/>
      </c>
      <c r="I309" s="14"/>
      <c r="J309" s="10"/>
      <c r="K309" s="10"/>
      <c r="L309" s="10"/>
      <c r="M309" s="15" t="str">
        <f aca="false">IF($A309="","",SUMIFS(처리내역!$E$3:$E$1502,처리내역!$B$3:$B$1502,$A309))</f>
        <v/>
      </c>
      <c r="N309" s="15" t="str">
        <f aca="false">IF($A309="","",IF($I309="","",$I309-$M309))</f>
        <v/>
      </c>
      <c r="O309" s="12" t="str">
        <f aca="false">IF($A309="","",IF($I309="","",IF($M309=0,"미처리",IF($N309&lt;=0,"완료","부분처리"))))</f>
        <v/>
      </c>
    </row>
    <row r="310" customFormat="false" ht="15" hidden="false" customHeight="true" outlineLevel="0" collapsed="false">
      <c r="A310" s="12" t="str">
        <f aca="false">IF($B310="","",TEXT($B310,"yymm")&amp;"-"&amp;TEXT(COUNTIFS($B$3:$B310,"&gt;="&amp;DATE(YEAR($B310),MONTH($B310),1),$B$3:$B310,"&lt;="&amp;EOMONTH($B310,0)),"000"))</f>
        <v/>
      </c>
      <c r="B310" s="13"/>
      <c r="C310" s="10"/>
      <c r="D310" s="10"/>
      <c r="E310" s="12" t="str">
        <f aca="false">IF($D310="","",IFERROR(INDEX(품목목록!$B$3:$B$302,MATCH($D310,품목목록!$A$3:$A$302,0)),"미등록품번"))</f>
        <v/>
      </c>
      <c r="F310" s="12" t="str">
        <f aca="false">IF($D310="","",IFERROR(INDEX(품목목록!$C$3:$C$302,MATCH($D310,품목목록!$A$3:$A$302,0)),""))</f>
        <v/>
      </c>
      <c r="G310" s="12" t="str">
        <f aca="false">IF($D310="","",IFERROR(INDEX(품목목록!$D$3:$D$302,MATCH($D310,품목목록!$A$3:$A$302,0)),""))</f>
        <v/>
      </c>
      <c r="H310" s="12" t="str">
        <f aca="false">IF($D310="","",IFERROR(INDEX(품목목록!$E$3:$E$302,MATCH($D310,품목목록!$A$3:$A$302,0)),""))</f>
        <v/>
      </c>
      <c r="I310" s="14"/>
      <c r="J310" s="10"/>
      <c r="K310" s="10"/>
      <c r="L310" s="10"/>
      <c r="M310" s="15" t="str">
        <f aca="false">IF($A310="","",SUMIFS(처리내역!$E$3:$E$1502,처리내역!$B$3:$B$1502,$A310))</f>
        <v/>
      </c>
      <c r="N310" s="15" t="str">
        <f aca="false">IF($A310="","",IF($I310="","",$I310-$M310))</f>
        <v/>
      </c>
      <c r="O310" s="12" t="str">
        <f aca="false">IF($A310="","",IF($I310="","",IF($M310=0,"미처리",IF($N310&lt;=0,"완료","부분처리"))))</f>
        <v/>
      </c>
    </row>
    <row r="311" customFormat="false" ht="15" hidden="false" customHeight="true" outlineLevel="0" collapsed="false">
      <c r="A311" s="12" t="str">
        <f aca="false">IF($B311="","",TEXT($B311,"yymm")&amp;"-"&amp;TEXT(COUNTIFS($B$3:$B311,"&gt;="&amp;DATE(YEAR($B311),MONTH($B311),1),$B$3:$B311,"&lt;="&amp;EOMONTH($B311,0)),"000"))</f>
        <v/>
      </c>
      <c r="B311" s="13"/>
      <c r="C311" s="10"/>
      <c r="D311" s="10"/>
      <c r="E311" s="12" t="str">
        <f aca="false">IF($D311="","",IFERROR(INDEX(품목목록!$B$3:$B$302,MATCH($D311,품목목록!$A$3:$A$302,0)),"미등록품번"))</f>
        <v/>
      </c>
      <c r="F311" s="12" t="str">
        <f aca="false">IF($D311="","",IFERROR(INDEX(품목목록!$C$3:$C$302,MATCH($D311,품목목록!$A$3:$A$302,0)),""))</f>
        <v/>
      </c>
      <c r="G311" s="12" t="str">
        <f aca="false">IF($D311="","",IFERROR(INDEX(품목목록!$D$3:$D$302,MATCH($D311,품목목록!$A$3:$A$302,0)),""))</f>
        <v/>
      </c>
      <c r="H311" s="12" t="str">
        <f aca="false">IF($D311="","",IFERROR(INDEX(품목목록!$E$3:$E$302,MATCH($D311,품목목록!$A$3:$A$302,0)),""))</f>
        <v/>
      </c>
      <c r="I311" s="14"/>
      <c r="J311" s="10"/>
      <c r="K311" s="10"/>
      <c r="L311" s="10"/>
      <c r="M311" s="15" t="str">
        <f aca="false">IF($A311="","",SUMIFS(처리내역!$E$3:$E$1502,처리내역!$B$3:$B$1502,$A311))</f>
        <v/>
      </c>
      <c r="N311" s="15" t="str">
        <f aca="false">IF($A311="","",IF($I311="","",$I311-$M311))</f>
        <v/>
      </c>
      <c r="O311" s="12" t="str">
        <f aca="false">IF($A311="","",IF($I311="","",IF($M311=0,"미처리",IF($N311&lt;=0,"완료","부분처리"))))</f>
        <v/>
      </c>
    </row>
    <row r="312" customFormat="false" ht="15" hidden="false" customHeight="true" outlineLevel="0" collapsed="false">
      <c r="A312" s="12" t="str">
        <f aca="false">IF($B312="","",TEXT($B312,"yymm")&amp;"-"&amp;TEXT(COUNTIFS($B$3:$B312,"&gt;="&amp;DATE(YEAR($B312),MONTH($B312),1),$B$3:$B312,"&lt;="&amp;EOMONTH($B312,0)),"000"))</f>
        <v/>
      </c>
      <c r="B312" s="13"/>
      <c r="C312" s="10"/>
      <c r="D312" s="10"/>
      <c r="E312" s="12" t="str">
        <f aca="false">IF($D312="","",IFERROR(INDEX(품목목록!$B$3:$B$302,MATCH($D312,품목목록!$A$3:$A$302,0)),"미등록품번"))</f>
        <v/>
      </c>
      <c r="F312" s="12" t="str">
        <f aca="false">IF($D312="","",IFERROR(INDEX(품목목록!$C$3:$C$302,MATCH($D312,품목목록!$A$3:$A$302,0)),""))</f>
        <v/>
      </c>
      <c r="G312" s="12" t="str">
        <f aca="false">IF($D312="","",IFERROR(INDEX(품목목록!$D$3:$D$302,MATCH($D312,품목목록!$A$3:$A$302,0)),""))</f>
        <v/>
      </c>
      <c r="H312" s="12" t="str">
        <f aca="false">IF($D312="","",IFERROR(INDEX(품목목록!$E$3:$E$302,MATCH($D312,품목목록!$A$3:$A$302,0)),""))</f>
        <v/>
      </c>
      <c r="I312" s="14"/>
      <c r="J312" s="10"/>
      <c r="K312" s="10"/>
      <c r="L312" s="10"/>
      <c r="M312" s="15" t="str">
        <f aca="false">IF($A312="","",SUMIFS(처리내역!$E$3:$E$1502,처리내역!$B$3:$B$1502,$A312))</f>
        <v/>
      </c>
      <c r="N312" s="15" t="str">
        <f aca="false">IF($A312="","",IF($I312="","",$I312-$M312))</f>
        <v/>
      </c>
      <c r="O312" s="12" t="str">
        <f aca="false">IF($A312="","",IF($I312="","",IF($M312=0,"미처리",IF($N312&lt;=0,"완료","부분처리"))))</f>
        <v/>
      </c>
    </row>
    <row r="313" customFormat="false" ht="15" hidden="false" customHeight="true" outlineLevel="0" collapsed="false">
      <c r="A313" s="12" t="str">
        <f aca="false">IF($B313="","",TEXT($B313,"yymm")&amp;"-"&amp;TEXT(COUNTIFS($B$3:$B313,"&gt;="&amp;DATE(YEAR($B313),MONTH($B313),1),$B$3:$B313,"&lt;="&amp;EOMONTH($B313,0)),"000"))</f>
        <v/>
      </c>
      <c r="B313" s="13"/>
      <c r="C313" s="10"/>
      <c r="D313" s="10"/>
      <c r="E313" s="12" t="str">
        <f aca="false">IF($D313="","",IFERROR(INDEX(품목목록!$B$3:$B$302,MATCH($D313,품목목록!$A$3:$A$302,0)),"미등록품번"))</f>
        <v/>
      </c>
      <c r="F313" s="12" t="str">
        <f aca="false">IF($D313="","",IFERROR(INDEX(품목목록!$C$3:$C$302,MATCH($D313,품목목록!$A$3:$A$302,0)),""))</f>
        <v/>
      </c>
      <c r="G313" s="12" t="str">
        <f aca="false">IF($D313="","",IFERROR(INDEX(품목목록!$D$3:$D$302,MATCH($D313,품목목록!$A$3:$A$302,0)),""))</f>
        <v/>
      </c>
      <c r="H313" s="12" t="str">
        <f aca="false">IF($D313="","",IFERROR(INDEX(품목목록!$E$3:$E$302,MATCH($D313,품목목록!$A$3:$A$302,0)),""))</f>
        <v/>
      </c>
      <c r="I313" s="14"/>
      <c r="J313" s="10"/>
      <c r="K313" s="10"/>
      <c r="L313" s="10"/>
      <c r="M313" s="15" t="str">
        <f aca="false">IF($A313="","",SUMIFS(처리내역!$E$3:$E$1502,처리내역!$B$3:$B$1502,$A313))</f>
        <v/>
      </c>
      <c r="N313" s="15" t="str">
        <f aca="false">IF($A313="","",IF($I313="","",$I313-$M313))</f>
        <v/>
      </c>
      <c r="O313" s="12" t="str">
        <f aca="false">IF($A313="","",IF($I313="","",IF($M313=0,"미처리",IF($N313&lt;=0,"완료","부분처리"))))</f>
        <v/>
      </c>
    </row>
    <row r="314" customFormat="false" ht="15" hidden="false" customHeight="true" outlineLevel="0" collapsed="false">
      <c r="A314" s="12" t="str">
        <f aca="false">IF($B314="","",TEXT($B314,"yymm")&amp;"-"&amp;TEXT(COUNTIFS($B$3:$B314,"&gt;="&amp;DATE(YEAR($B314),MONTH($B314),1),$B$3:$B314,"&lt;="&amp;EOMONTH($B314,0)),"000"))</f>
        <v/>
      </c>
      <c r="B314" s="13"/>
      <c r="C314" s="10"/>
      <c r="D314" s="10"/>
      <c r="E314" s="12" t="str">
        <f aca="false">IF($D314="","",IFERROR(INDEX(품목목록!$B$3:$B$302,MATCH($D314,품목목록!$A$3:$A$302,0)),"미등록품번"))</f>
        <v/>
      </c>
      <c r="F314" s="12" t="str">
        <f aca="false">IF($D314="","",IFERROR(INDEX(품목목록!$C$3:$C$302,MATCH($D314,품목목록!$A$3:$A$302,0)),""))</f>
        <v/>
      </c>
      <c r="G314" s="12" t="str">
        <f aca="false">IF($D314="","",IFERROR(INDEX(품목목록!$D$3:$D$302,MATCH($D314,품목목록!$A$3:$A$302,0)),""))</f>
        <v/>
      </c>
      <c r="H314" s="12" t="str">
        <f aca="false">IF($D314="","",IFERROR(INDEX(품목목록!$E$3:$E$302,MATCH($D314,품목목록!$A$3:$A$302,0)),""))</f>
        <v/>
      </c>
      <c r="I314" s="14"/>
      <c r="J314" s="10"/>
      <c r="K314" s="10"/>
      <c r="L314" s="10"/>
      <c r="M314" s="15" t="str">
        <f aca="false">IF($A314="","",SUMIFS(처리내역!$E$3:$E$1502,처리내역!$B$3:$B$1502,$A314))</f>
        <v/>
      </c>
      <c r="N314" s="15" t="str">
        <f aca="false">IF($A314="","",IF($I314="","",$I314-$M314))</f>
        <v/>
      </c>
      <c r="O314" s="12" t="str">
        <f aca="false">IF($A314="","",IF($I314="","",IF($M314=0,"미처리",IF($N314&lt;=0,"완료","부분처리"))))</f>
        <v/>
      </c>
    </row>
    <row r="315" customFormat="false" ht="15" hidden="false" customHeight="true" outlineLevel="0" collapsed="false">
      <c r="A315" s="12" t="str">
        <f aca="false">IF($B315="","",TEXT($B315,"yymm")&amp;"-"&amp;TEXT(COUNTIFS($B$3:$B315,"&gt;="&amp;DATE(YEAR($B315),MONTH($B315),1),$B$3:$B315,"&lt;="&amp;EOMONTH($B315,0)),"000"))</f>
        <v/>
      </c>
      <c r="B315" s="13"/>
      <c r="C315" s="10"/>
      <c r="D315" s="10"/>
      <c r="E315" s="12" t="str">
        <f aca="false">IF($D315="","",IFERROR(INDEX(품목목록!$B$3:$B$302,MATCH($D315,품목목록!$A$3:$A$302,0)),"미등록품번"))</f>
        <v/>
      </c>
      <c r="F315" s="12" t="str">
        <f aca="false">IF($D315="","",IFERROR(INDEX(품목목록!$C$3:$C$302,MATCH($D315,품목목록!$A$3:$A$302,0)),""))</f>
        <v/>
      </c>
      <c r="G315" s="12" t="str">
        <f aca="false">IF($D315="","",IFERROR(INDEX(품목목록!$D$3:$D$302,MATCH($D315,품목목록!$A$3:$A$302,0)),""))</f>
        <v/>
      </c>
      <c r="H315" s="12" t="str">
        <f aca="false">IF($D315="","",IFERROR(INDEX(품목목록!$E$3:$E$302,MATCH($D315,품목목록!$A$3:$A$302,0)),""))</f>
        <v/>
      </c>
      <c r="I315" s="14"/>
      <c r="J315" s="10"/>
      <c r="K315" s="10"/>
      <c r="L315" s="10"/>
      <c r="M315" s="15" t="str">
        <f aca="false">IF($A315="","",SUMIFS(처리내역!$E$3:$E$1502,처리내역!$B$3:$B$1502,$A315))</f>
        <v/>
      </c>
      <c r="N315" s="15" t="str">
        <f aca="false">IF($A315="","",IF($I315="","",$I315-$M315))</f>
        <v/>
      </c>
      <c r="O315" s="12" t="str">
        <f aca="false">IF($A315="","",IF($I315="","",IF($M315=0,"미처리",IF($N315&lt;=0,"완료","부분처리"))))</f>
        <v/>
      </c>
    </row>
    <row r="316" customFormat="false" ht="15" hidden="false" customHeight="true" outlineLevel="0" collapsed="false">
      <c r="A316" s="12" t="str">
        <f aca="false">IF($B316="","",TEXT($B316,"yymm")&amp;"-"&amp;TEXT(COUNTIFS($B$3:$B316,"&gt;="&amp;DATE(YEAR($B316),MONTH($B316),1),$B$3:$B316,"&lt;="&amp;EOMONTH($B316,0)),"000"))</f>
        <v/>
      </c>
      <c r="B316" s="13"/>
      <c r="C316" s="10"/>
      <c r="D316" s="10"/>
      <c r="E316" s="12" t="str">
        <f aca="false">IF($D316="","",IFERROR(INDEX(품목목록!$B$3:$B$302,MATCH($D316,품목목록!$A$3:$A$302,0)),"미등록품번"))</f>
        <v/>
      </c>
      <c r="F316" s="12" t="str">
        <f aca="false">IF($D316="","",IFERROR(INDEX(품목목록!$C$3:$C$302,MATCH($D316,품목목록!$A$3:$A$302,0)),""))</f>
        <v/>
      </c>
      <c r="G316" s="12" t="str">
        <f aca="false">IF($D316="","",IFERROR(INDEX(품목목록!$D$3:$D$302,MATCH($D316,품목목록!$A$3:$A$302,0)),""))</f>
        <v/>
      </c>
      <c r="H316" s="12" t="str">
        <f aca="false">IF($D316="","",IFERROR(INDEX(품목목록!$E$3:$E$302,MATCH($D316,품목목록!$A$3:$A$302,0)),""))</f>
        <v/>
      </c>
      <c r="I316" s="14"/>
      <c r="J316" s="10"/>
      <c r="K316" s="10"/>
      <c r="L316" s="10"/>
      <c r="M316" s="15" t="str">
        <f aca="false">IF($A316="","",SUMIFS(처리내역!$E$3:$E$1502,처리내역!$B$3:$B$1502,$A316))</f>
        <v/>
      </c>
      <c r="N316" s="15" t="str">
        <f aca="false">IF($A316="","",IF($I316="","",$I316-$M316))</f>
        <v/>
      </c>
      <c r="O316" s="12" t="str">
        <f aca="false">IF($A316="","",IF($I316="","",IF($M316=0,"미처리",IF($N316&lt;=0,"완료","부분처리"))))</f>
        <v/>
      </c>
    </row>
    <row r="317" customFormat="false" ht="15" hidden="false" customHeight="true" outlineLevel="0" collapsed="false">
      <c r="A317" s="12" t="str">
        <f aca="false">IF($B317="","",TEXT($B317,"yymm")&amp;"-"&amp;TEXT(COUNTIFS($B$3:$B317,"&gt;="&amp;DATE(YEAR($B317),MONTH($B317),1),$B$3:$B317,"&lt;="&amp;EOMONTH($B317,0)),"000"))</f>
        <v/>
      </c>
      <c r="B317" s="13"/>
      <c r="C317" s="10"/>
      <c r="D317" s="10"/>
      <c r="E317" s="12" t="str">
        <f aca="false">IF($D317="","",IFERROR(INDEX(품목목록!$B$3:$B$302,MATCH($D317,품목목록!$A$3:$A$302,0)),"미등록품번"))</f>
        <v/>
      </c>
      <c r="F317" s="12" t="str">
        <f aca="false">IF($D317="","",IFERROR(INDEX(품목목록!$C$3:$C$302,MATCH($D317,품목목록!$A$3:$A$302,0)),""))</f>
        <v/>
      </c>
      <c r="G317" s="12" t="str">
        <f aca="false">IF($D317="","",IFERROR(INDEX(품목목록!$D$3:$D$302,MATCH($D317,품목목록!$A$3:$A$302,0)),""))</f>
        <v/>
      </c>
      <c r="H317" s="12" t="str">
        <f aca="false">IF($D317="","",IFERROR(INDEX(품목목록!$E$3:$E$302,MATCH($D317,품목목록!$A$3:$A$302,0)),""))</f>
        <v/>
      </c>
      <c r="I317" s="14"/>
      <c r="J317" s="10"/>
      <c r="K317" s="10"/>
      <c r="L317" s="10"/>
      <c r="M317" s="15" t="str">
        <f aca="false">IF($A317="","",SUMIFS(처리내역!$E$3:$E$1502,처리내역!$B$3:$B$1502,$A317))</f>
        <v/>
      </c>
      <c r="N317" s="15" t="str">
        <f aca="false">IF($A317="","",IF($I317="","",$I317-$M317))</f>
        <v/>
      </c>
      <c r="O317" s="12" t="str">
        <f aca="false">IF($A317="","",IF($I317="","",IF($M317=0,"미처리",IF($N317&lt;=0,"완료","부분처리"))))</f>
        <v/>
      </c>
    </row>
    <row r="318" customFormat="false" ht="15" hidden="false" customHeight="true" outlineLevel="0" collapsed="false">
      <c r="A318" s="12" t="str">
        <f aca="false">IF($B318="","",TEXT($B318,"yymm")&amp;"-"&amp;TEXT(COUNTIFS($B$3:$B318,"&gt;="&amp;DATE(YEAR($B318),MONTH($B318),1),$B$3:$B318,"&lt;="&amp;EOMONTH($B318,0)),"000"))</f>
        <v/>
      </c>
      <c r="B318" s="13"/>
      <c r="C318" s="10"/>
      <c r="D318" s="10"/>
      <c r="E318" s="12" t="str">
        <f aca="false">IF($D318="","",IFERROR(INDEX(품목목록!$B$3:$B$302,MATCH($D318,품목목록!$A$3:$A$302,0)),"미등록품번"))</f>
        <v/>
      </c>
      <c r="F318" s="12" t="str">
        <f aca="false">IF($D318="","",IFERROR(INDEX(품목목록!$C$3:$C$302,MATCH($D318,품목목록!$A$3:$A$302,0)),""))</f>
        <v/>
      </c>
      <c r="G318" s="12" t="str">
        <f aca="false">IF($D318="","",IFERROR(INDEX(품목목록!$D$3:$D$302,MATCH($D318,품목목록!$A$3:$A$302,0)),""))</f>
        <v/>
      </c>
      <c r="H318" s="12" t="str">
        <f aca="false">IF($D318="","",IFERROR(INDEX(품목목록!$E$3:$E$302,MATCH($D318,품목목록!$A$3:$A$302,0)),""))</f>
        <v/>
      </c>
      <c r="I318" s="14"/>
      <c r="J318" s="10"/>
      <c r="K318" s="10"/>
      <c r="L318" s="10"/>
      <c r="M318" s="15" t="str">
        <f aca="false">IF($A318="","",SUMIFS(처리내역!$E$3:$E$1502,처리내역!$B$3:$B$1502,$A318))</f>
        <v/>
      </c>
      <c r="N318" s="15" t="str">
        <f aca="false">IF($A318="","",IF($I318="","",$I318-$M318))</f>
        <v/>
      </c>
      <c r="O318" s="12" t="str">
        <f aca="false">IF($A318="","",IF($I318="","",IF($M318=0,"미처리",IF($N318&lt;=0,"완료","부분처리"))))</f>
        <v/>
      </c>
    </row>
    <row r="319" customFormat="false" ht="15" hidden="false" customHeight="true" outlineLevel="0" collapsed="false">
      <c r="A319" s="12" t="str">
        <f aca="false">IF($B319="","",TEXT($B319,"yymm")&amp;"-"&amp;TEXT(COUNTIFS($B$3:$B319,"&gt;="&amp;DATE(YEAR($B319),MONTH($B319),1),$B$3:$B319,"&lt;="&amp;EOMONTH($B319,0)),"000"))</f>
        <v/>
      </c>
      <c r="B319" s="13"/>
      <c r="C319" s="10"/>
      <c r="D319" s="10"/>
      <c r="E319" s="12" t="str">
        <f aca="false">IF($D319="","",IFERROR(INDEX(품목목록!$B$3:$B$302,MATCH($D319,품목목록!$A$3:$A$302,0)),"미등록품번"))</f>
        <v/>
      </c>
      <c r="F319" s="12" t="str">
        <f aca="false">IF($D319="","",IFERROR(INDEX(품목목록!$C$3:$C$302,MATCH($D319,품목목록!$A$3:$A$302,0)),""))</f>
        <v/>
      </c>
      <c r="G319" s="12" t="str">
        <f aca="false">IF($D319="","",IFERROR(INDEX(품목목록!$D$3:$D$302,MATCH($D319,품목목록!$A$3:$A$302,0)),""))</f>
        <v/>
      </c>
      <c r="H319" s="12" t="str">
        <f aca="false">IF($D319="","",IFERROR(INDEX(품목목록!$E$3:$E$302,MATCH($D319,품목목록!$A$3:$A$302,0)),""))</f>
        <v/>
      </c>
      <c r="I319" s="14"/>
      <c r="J319" s="10"/>
      <c r="K319" s="10"/>
      <c r="L319" s="10"/>
      <c r="M319" s="15" t="str">
        <f aca="false">IF($A319="","",SUMIFS(처리내역!$E$3:$E$1502,처리내역!$B$3:$B$1502,$A319))</f>
        <v/>
      </c>
      <c r="N319" s="15" t="str">
        <f aca="false">IF($A319="","",IF($I319="","",$I319-$M319))</f>
        <v/>
      </c>
      <c r="O319" s="12" t="str">
        <f aca="false">IF($A319="","",IF($I319="","",IF($M319=0,"미처리",IF($N319&lt;=0,"완료","부분처리"))))</f>
        <v/>
      </c>
    </row>
    <row r="320" customFormat="false" ht="15" hidden="false" customHeight="true" outlineLevel="0" collapsed="false">
      <c r="A320" s="12" t="str">
        <f aca="false">IF($B320="","",TEXT($B320,"yymm")&amp;"-"&amp;TEXT(COUNTIFS($B$3:$B320,"&gt;="&amp;DATE(YEAR($B320),MONTH($B320),1),$B$3:$B320,"&lt;="&amp;EOMONTH($B320,0)),"000"))</f>
        <v/>
      </c>
      <c r="B320" s="13"/>
      <c r="C320" s="10"/>
      <c r="D320" s="10"/>
      <c r="E320" s="12" t="str">
        <f aca="false">IF($D320="","",IFERROR(INDEX(품목목록!$B$3:$B$302,MATCH($D320,품목목록!$A$3:$A$302,0)),"미등록품번"))</f>
        <v/>
      </c>
      <c r="F320" s="12" t="str">
        <f aca="false">IF($D320="","",IFERROR(INDEX(품목목록!$C$3:$C$302,MATCH($D320,품목목록!$A$3:$A$302,0)),""))</f>
        <v/>
      </c>
      <c r="G320" s="12" t="str">
        <f aca="false">IF($D320="","",IFERROR(INDEX(품목목록!$D$3:$D$302,MATCH($D320,품목목록!$A$3:$A$302,0)),""))</f>
        <v/>
      </c>
      <c r="H320" s="12" t="str">
        <f aca="false">IF($D320="","",IFERROR(INDEX(품목목록!$E$3:$E$302,MATCH($D320,품목목록!$A$3:$A$302,0)),""))</f>
        <v/>
      </c>
      <c r="I320" s="14"/>
      <c r="J320" s="10"/>
      <c r="K320" s="10"/>
      <c r="L320" s="10"/>
      <c r="M320" s="15" t="str">
        <f aca="false">IF($A320="","",SUMIFS(처리내역!$E$3:$E$1502,처리내역!$B$3:$B$1502,$A320))</f>
        <v/>
      </c>
      <c r="N320" s="15" t="str">
        <f aca="false">IF($A320="","",IF($I320="","",$I320-$M320))</f>
        <v/>
      </c>
      <c r="O320" s="12" t="str">
        <f aca="false">IF($A320="","",IF($I320="","",IF($M320=0,"미처리",IF($N320&lt;=0,"완료","부분처리"))))</f>
        <v/>
      </c>
    </row>
    <row r="321" customFormat="false" ht="15" hidden="false" customHeight="true" outlineLevel="0" collapsed="false">
      <c r="A321" s="12" t="str">
        <f aca="false">IF($B321="","",TEXT($B321,"yymm")&amp;"-"&amp;TEXT(COUNTIFS($B$3:$B321,"&gt;="&amp;DATE(YEAR($B321),MONTH($B321),1),$B$3:$B321,"&lt;="&amp;EOMONTH($B321,0)),"000"))</f>
        <v/>
      </c>
      <c r="B321" s="13"/>
      <c r="C321" s="10"/>
      <c r="D321" s="10"/>
      <c r="E321" s="12" t="str">
        <f aca="false">IF($D321="","",IFERROR(INDEX(품목목록!$B$3:$B$302,MATCH($D321,품목목록!$A$3:$A$302,0)),"미등록품번"))</f>
        <v/>
      </c>
      <c r="F321" s="12" t="str">
        <f aca="false">IF($D321="","",IFERROR(INDEX(품목목록!$C$3:$C$302,MATCH($D321,품목목록!$A$3:$A$302,0)),""))</f>
        <v/>
      </c>
      <c r="G321" s="12" t="str">
        <f aca="false">IF($D321="","",IFERROR(INDEX(품목목록!$D$3:$D$302,MATCH($D321,품목목록!$A$3:$A$302,0)),""))</f>
        <v/>
      </c>
      <c r="H321" s="12" t="str">
        <f aca="false">IF($D321="","",IFERROR(INDEX(품목목록!$E$3:$E$302,MATCH($D321,품목목록!$A$3:$A$302,0)),""))</f>
        <v/>
      </c>
      <c r="I321" s="14"/>
      <c r="J321" s="10"/>
      <c r="K321" s="10"/>
      <c r="L321" s="10"/>
      <c r="M321" s="15" t="str">
        <f aca="false">IF($A321="","",SUMIFS(처리내역!$E$3:$E$1502,처리내역!$B$3:$B$1502,$A321))</f>
        <v/>
      </c>
      <c r="N321" s="15" t="str">
        <f aca="false">IF($A321="","",IF($I321="","",$I321-$M321))</f>
        <v/>
      </c>
      <c r="O321" s="12" t="str">
        <f aca="false">IF($A321="","",IF($I321="","",IF($M321=0,"미처리",IF($N321&lt;=0,"완료","부분처리"))))</f>
        <v/>
      </c>
    </row>
    <row r="322" customFormat="false" ht="15" hidden="false" customHeight="true" outlineLevel="0" collapsed="false">
      <c r="A322" s="12" t="str">
        <f aca="false">IF($B322="","",TEXT($B322,"yymm")&amp;"-"&amp;TEXT(COUNTIFS($B$3:$B322,"&gt;="&amp;DATE(YEAR($B322),MONTH($B322),1),$B$3:$B322,"&lt;="&amp;EOMONTH($B322,0)),"000"))</f>
        <v/>
      </c>
      <c r="B322" s="13"/>
      <c r="C322" s="10"/>
      <c r="D322" s="10"/>
      <c r="E322" s="12" t="str">
        <f aca="false">IF($D322="","",IFERROR(INDEX(품목목록!$B$3:$B$302,MATCH($D322,품목목록!$A$3:$A$302,0)),"미등록품번"))</f>
        <v/>
      </c>
      <c r="F322" s="12" t="str">
        <f aca="false">IF($D322="","",IFERROR(INDEX(품목목록!$C$3:$C$302,MATCH($D322,품목목록!$A$3:$A$302,0)),""))</f>
        <v/>
      </c>
      <c r="G322" s="12" t="str">
        <f aca="false">IF($D322="","",IFERROR(INDEX(품목목록!$D$3:$D$302,MATCH($D322,품목목록!$A$3:$A$302,0)),""))</f>
        <v/>
      </c>
      <c r="H322" s="12" t="str">
        <f aca="false">IF($D322="","",IFERROR(INDEX(품목목록!$E$3:$E$302,MATCH($D322,품목목록!$A$3:$A$302,0)),""))</f>
        <v/>
      </c>
      <c r="I322" s="14"/>
      <c r="J322" s="10"/>
      <c r="K322" s="10"/>
      <c r="L322" s="10"/>
      <c r="M322" s="15" t="str">
        <f aca="false">IF($A322="","",SUMIFS(처리내역!$E$3:$E$1502,처리내역!$B$3:$B$1502,$A322))</f>
        <v/>
      </c>
      <c r="N322" s="15" t="str">
        <f aca="false">IF($A322="","",IF($I322="","",$I322-$M322))</f>
        <v/>
      </c>
      <c r="O322" s="12" t="str">
        <f aca="false">IF($A322="","",IF($I322="","",IF($M322=0,"미처리",IF($N322&lt;=0,"완료","부분처리"))))</f>
        <v/>
      </c>
    </row>
    <row r="323" customFormat="false" ht="15" hidden="false" customHeight="true" outlineLevel="0" collapsed="false">
      <c r="A323" s="12" t="str">
        <f aca="false">IF($B323="","",TEXT($B323,"yymm")&amp;"-"&amp;TEXT(COUNTIFS($B$3:$B323,"&gt;="&amp;DATE(YEAR($B323),MONTH($B323),1),$B$3:$B323,"&lt;="&amp;EOMONTH($B323,0)),"000"))</f>
        <v/>
      </c>
      <c r="B323" s="13"/>
      <c r="C323" s="10"/>
      <c r="D323" s="10"/>
      <c r="E323" s="12" t="str">
        <f aca="false">IF($D323="","",IFERROR(INDEX(품목목록!$B$3:$B$302,MATCH($D323,품목목록!$A$3:$A$302,0)),"미등록품번"))</f>
        <v/>
      </c>
      <c r="F323" s="12" t="str">
        <f aca="false">IF($D323="","",IFERROR(INDEX(품목목록!$C$3:$C$302,MATCH($D323,품목목록!$A$3:$A$302,0)),""))</f>
        <v/>
      </c>
      <c r="G323" s="12" t="str">
        <f aca="false">IF($D323="","",IFERROR(INDEX(품목목록!$D$3:$D$302,MATCH($D323,품목목록!$A$3:$A$302,0)),""))</f>
        <v/>
      </c>
      <c r="H323" s="12" t="str">
        <f aca="false">IF($D323="","",IFERROR(INDEX(품목목록!$E$3:$E$302,MATCH($D323,품목목록!$A$3:$A$302,0)),""))</f>
        <v/>
      </c>
      <c r="I323" s="14"/>
      <c r="J323" s="10"/>
      <c r="K323" s="10"/>
      <c r="L323" s="10"/>
      <c r="M323" s="15" t="str">
        <f aca="false">IF($A323="","",SUMIFS(처리내역!$E$3:$E$1502,처리내역!$B$3:$B$1502,$A323))</f>
        <v/>
      </c>
      <c r="N323" s="15" t="str">
        <f aca="false">IF($A323="","",IF($I323="","",$I323-$M323))</f>
        <v/>
      </c>
      <c r="O323" s="12" t="str">
        <f aca="false">IF($A323="","",IF($I323="","",IF($M323=0,"미처리",IF($N323&lt;=0,"완료","부분처리"))))</f>
        <v/>
      </c>
    </row>
    <row r="324" customFormat="false" ht="15" hidden="false" customHeight="true" outlineLevel="0" collapsed="false">
      <c r="A324" s="12" t="str">
        <f aca="false">IF($B324="","",TEXT($B324,"yymm")&amp;"-"&amp;TEXT(COUNTIFS($B$3:$B324,"&gt;="&amp;DATE(YEAR($B324),MONTH($B324),1),$B$3:$B324,"&lt;="&amp;EOMONTH($B324,0)),"000"))</f>
        <v/>
      </c>
      <c r="B324" s="13"/>
      <c r="C324" s="10"/>
      <c r="D324" s="10"/>
      <c r="E324" s="12" t="str">
        <f aca="false">IF($D324="","",IFERROR(INDEX(품목목록!$B$3:$B$302,MATCH($D324,품목목록!$A$3:$A$302,0)),"미등록품번"))</f>
        <v/>
      </c>
      <c r="F324" s="12" t="str">
        <f aca="false">IF($D324="","",IFERROR(INDEX(품목목록!$C$3:$C$302,MATCH($D324,품목목록!$A$3:$A$302,0)),""))</f>
        <v/>
      </c>
      <c r="G324" s="12" t="str">
        <f aca="false">IF($D324="","",IFERROR(INDEX(품목목록!$D$3:$D$302,MATCH($D324,품목목록!$A$3:$A$302,0)),""))</f>
        <v/>
      </c>
      <c r="H324" s="12" t="str">
        <f aca="false">IF($D324="","",IFERROR(INDEX(품목목록!$E$3:$E$302,MATCH($D324,품목목록!$A$3:$A$302,0)),""))</f>
        <v/>
      </c>
      <c r="I324" s="14"/>
      <c r="J324" s="10"/>
      <c r="K324" s="10"/>
      <c r="L324" s="10"/>
      <c r="M324" s="15" t="str">
        <f aca="false">IF($A324="","",SUMIFS(처리내역!$E$3:$E$1502,처리내역!$B$3:$B$1502,$A324))</f>
        <v/>
      </c>
      <c r="N324" s="15" t="str">
        <f aca="false">IF($A324="","",IF($I324="","",$I324-$M324))</f>
        <v/>
      </c>
      <c r="O324" s="12" t="str">
        <f aca="false">IF($A324="","",IF($I324="","",IF($M324=0,"미처리",IF($N324&lt;=0,"완료","부분처리"))))</f>
        <v/>
      </c>
    </row>
    <row r="325" customFormat="false" ht="15" hidden="false" customHeight="true" outlineLevel="0" collapsed="false">
      <c r="A325" s="12" t="str">
        <f aca="false">IF($B325="","",TEXT($B325,"yymm")&amp;"-"&amp;TEXT(COUNTIFS($B$3:$B325,"&gt;="&amp;DATE(YEAR($B325),MONTH($B325),1),$B$3:$B325,"&lt;="&amp;EOMONTH($B325,0)),"000"))</f>
        <v/>
      </c>
      <c r="B325" s="13"/>
      <c r="C325" s="10"/>
      <c r="D325" s="10"/>
      <c r="E325" s="12" t="str">
        <f aca="false">IF($D325="","",IFERROR(INDEX(품목목록!$B$3:$B$302,MATCH($D325,품목목록!$A$3:$A$302,0)),"미등록품번"))</f>
        <v/>
      </c>
      <c r="F325" s="12" t="str">
        <f aca="false">IF($D325="","",IFERROR(INDEX(품목목록!$C$3:$C$302,MATCH($D325,품목목록!$A$3:$A$302,0)),""))</f>
        <v/>
      </c>
      <c r="G325" s="12" t="str">
        <f aca="false">IF($D325="","",IFERROR(INDEX(품목목록!$D$3:$D$302,MATCH($D325,품목목록!$A$3:$A$302,0)),""))</f>
        <v/>
      </c>
      <c r="H325" s="12" t="str">
        <f aca="false">IF($D325="","",IFERROR(INDEX(품목목록!$E$3:$E$302,MATCH($D325,품목목록!$A$3:$A$302,0)),""))</f>
        <v/>
      </c>
      <c r="I325" s="14"/>
      <c r="J325" s="10"/>
      <c r="K325" s="10"/>
      <c r="L325" s="10"/>
      <c r="M325" s="15" t="str">
        <f aca="false">IF($A325="","",SUMIFS(처리내역!$E$3:$E$1502,처리내역!$B$3:$B$1502,$A325))</f>
        <v/>
      </c>
      <c r="N325" s="15" t="str">
        <f aca="false">IF($A325="","",IF($I325="","",$I325-$M325))</f>
        <v/>
      </c>
      <c r="O325" s="12" t="str">
        <f aca="false">IF($A325="","",IF($I325="","",IF($M325=0,"미처리",IF($N325&lt;=0,"완료","부분처리"))))</f>
        <v/>
      </c>
    </row>
    <row r="326" customFormat="false" ht="15" hidden="false" customHeight="true" outlineLevel="0" collapsed="false">
      <c r="A326" s="12" t="str">
        <f aca="false">IF($B326="","",TEXT($B326,"yymm")&amp;"-"&amp;TEXT(COUNTIFS($B$3:$B326,"&gt;="&amp;DATE(YEAR($B326),MONTH($B326),1),$B$3:$B326,"&lt;="&amp;EOMONTH($B326,0)),"000"))</f>
        <v/>
      </c>
      <c r="B326" s="13"/>
      <c r="C326" s="10"/>
      <c r="D326" s="10"/>
      <c r="E326" s="12" t="str">
        <f aca="false">IF($D326="","",IFERROR(INDEX(품목목록!$B$3:$B$302,MATCH($D326,품목목록!$A$3:$A$302,0)),"미등록품번"))</f>
        <v/>
      </c>
      <c r="F326" s="12" t="str">
        <f aca="false">IF($D326="","",IFERROR(INDEX(품목목록!$C$3:$C$302,MATCH($D326,품목목록!$A$3:$A$302,0)),""))</f>
        <v/>
      </c>
      <c r="G326" s="12" t="str">
        <f aca="false">IF($D326="","",IFERROR(INDEX(품목목록!$D$3:$D$302,MATCH($D326,품목목록!$A$3:$A$302,0)),""))</f>
        <v/>
      </c>
      <c r="H326" s="12" t="str">
        <f aca="false">IF($D326="","",IFERROR(INDEX(품목목록!$E$3:$E$302,MATCH($D326,품목목록!$A$3:$A$302,0)),""))</f>
        <v/>
      </c>
      <c r="I326" s="14"/>
      <c r="J326" s="10"/>
      <c r="K326" s="10"/>
      <c r="L326" s="10"/>
      <c r="M326" s="15" t="str">
        <f aca="false">IF($A326="","",SUMIFS(처리내역!$E$3:$E$1502,처리내역!$B$3:$B$1502,$A326))</f>
        <v/>
      </c>
      <c r="N326" s="15" t="str">
        <f aca="false">IF($A326="","",IF($I326="","",$I326-$M326))</f>
        <v/>
      </c>
      <c r="O326" s="12" t="str">
        <f aca="false">IF($A326="","",IF($I326="","",IF($M326=0,"미처리",IF($N326&lt;=0,"완료","부분처리"))))</f>
        <v/>
      </c>
    </row>
    <row r="327" customFormat="false" ht="15" hidden="false" customHeight="true" outlineLevel="0" collapsed="false">
      <c r="A327" s="12" t="str">
        <f aca="false">IF($B327="","",TEXT($B327,"yymm")&amp;"-"&amp;TEXT(COUNTIFS($B$3:$B327,"&gt;="&amp;DATE(YEAR($B327),MONTH($B327),1),$B$3:$B327,"&lt;="&amp;EOMONTH($B327,0)),"000"))</f>
        <v/>
      </c>
      <c r="B327" s="13"/>
      <c r="C327" s="10"/>
      <c r="D327" s="10"/>
      <c r="E327" s="12" t="str">
        <f aca="false">IF($D327="","",IFERROR(INDEX(품목목록!$B$3:$B$302,MATCH($D327,품목목록!$A$3:$A$302,0)),"미등록품번"))</f>
        <v/>
      </c>
      <c r="F327" s="12" t="str">
        <f aca="false">IF($D327="","",IFERROR(INDEX(품목목록!$C$3:$C$302,MATCH($D327,품목목록!$A$3:$A$302,0)),""))</f>
        <v/>
      </c>
      <c r="G327" s="12" t="str">
        <f aca="false">IF($D327="","",IFERROR(INDEX(품목목록!$D$3:$D$302,MATCH($D327,품목목록!$A$3:$A$302,0)),""))</f>
        <v/>
      </c>
      <c r="H327" s="12" t="str">
        <f aca="false">IF($D327="","",IFERROR(INDEX(품목목록!$E$3:$E$302,MATCH($D327,품목목록!$A$3:$A$302,0)),""))</f>
        <v/>
      </c>
      <c r="I327" s="14"/>
      <c r="J327" s="10"/>
      <c r="K327" s="10"/>
      <c r="L327" s="10"/>
      <c r="M327" s="15" t="str">
        <f aca="false">IF($A327="","",SUMIFS(처리내역!$E$3:$E$1502,처리내역!$B$3:$B$1502,$A327))</f>
        <v/>
      </c>
      <c r="N327" s="15" t="str">
        <f aca="false">IF($A327="","",IF($I327="","",$I327-$M327))</f>
        <v/>
      </c>
      <c r="O327" s="12" t="str">
        <f aca="false">IF($A327="","",IF($I327="","",IF($M327=0,"미처리",IF($N327&lt;=0,"완료","부분처리"))))</f>
        <v/>
      </c>
    </row>
    <row r="328" customFormat="false" ht="15" hidden="false" customHeight="true" outlineLevel="0" collapsed="false">
      <c r="A328" s="12" t="str">
        <f aca="false">IF($B328="","",TEXT($B328,"yymm")&amp;"-"&amp;TEXT(COUNTIFS($B$3:$B328,"&gt;="&amp;DATE(YEAR($B328),MONTH($B328),1),$B$3:$B328,"&lt;="&amp;EOMONTH($B328,0)),"000"))</f>
        <v/>
      </c>
      <c r="B328" s="13"/>
      <c r="C328" s="10"/>
      <c r="D328" s="10"/>
      <c r="E328" s="12" t="str">
        <f aca="false">IF($D328="","",IFERROR(INDEX(품목목록!$B$3:$B$302,MATCH($D328,품목목록!$A$3:$A$302,0)),"미등록품번"))</f>
        <v/>
      </c>
      <c r="F328" s="12" t="str">
        <f aca="false">IF($D328="","",IFERROR(INDEX(품목목록!$C$3:$C$302,MATCH($D328,품목목록!$A$3:$A$302,0)),""))</f>
        <v/>
      </c>
      <c r="G328" s="12" t="str">
        <f aca="false">IF($D328="","",IFERROR(INDEX(품목목록!$D$3:$D$302,MATCH($D328,품목목록!$A$3:$A$302,0)),""))</f>
        <v/>
      </c>
      <c r="H328" s="12" t="str">
        <f aca="false">IF($D328="","",IFERROR(INDEX(품목목록!$E$3:$E$302,MATCH($D328,품목목록!$A$3:$A$302,0)),""))</f>
        <v/>
      </c>
      <c r="I328" s="14"/>
      <c r="J328" s="10"/>
      <c r="K328" s="10"/>
      <c r="L328" s="10"/>
      <c r="M328" s="15" t="str">
        <f aca="false">IF($A328="","",SUMIFS(처리내역!$E$3:$E$1502,처리내역!$B$3:$B$1502,$A328))</f>
        <v/>
      </c>
      <c r="N328" s="15" t="str">
        <f aca="false">IF($A328="","",IF($I328="","",$I328-$M328))</f>
        <v/>
      </c>
      <c r="O328" s="12" t="str">
        <f aca="false">IF($A328="","",IF($I328="","",IF($M328=0,"미처리",IF($N328&lt;=0,"완료","부분처리"))))</f>
        <v/>
      </c>
    </row>
    <row r="329" customFormat="false" ht="15" hidden="false" customHeight="true" outlineLevel="0" collapsed="false">
      <c r="A329" s="12" t="str">
        <f aca="false">IF($B329="","",TEXT($B329,"yymm")&amp;"-"&amp;TEXT(COUNTIFS($B$3:$B329,"&gt;="&amp;DATE(YEAR($B329),MONTH($B329),1),$B$3:$B329,"&lt;="&amp;EOMONTH($B329,0)),"000"))</f>
        <v/>
      </c>
      <c r="B329" s="13"/>
      <c r="C329" s="10"/>
      <c r="D329" s="10"/>
      <c r="E329" s="12" t="str">
        <f aca="false">IF($D329="","",IFERROR(INDEX(품목목록!$B$3:$B$302,MATCH($D329,품목목록!$A$3:$A$302,0)),"미등록품번"))</f>
        <v/>
      </c>
      <c r="F329" s="12" t="str">
        <f aca="false">IF($D329="","",IFERROR(INDEX(품목목록!$C$3:$C$302,MATCH($D329,품목목록!$A$3:$A$302,0)),""))</f>
        <v/>
      </c>
      <c r="G329" s="12" t="str">
        <f aca="false">IF($D329="","",IFERROR(INDEX(품목목록!$D$3:$D$302,MATCH($D329,품목목록!$A$3:$A$302,0)),""))</f>
        <v/>
      </c>
      <c r="H329" s="12" t="str">
        <f aca="false">IF($D329="","",IFERROR(INDEX(품목목록!$E$3:$E$302,MATCH($D329,품목목록!$A$3:$A$302,0)),""))</f>
        <v/>
      </c>
      <c r="I329" s="14"/>
      <c r="J329" s="10"/>
      <c r="K329" s="10"/>
      <c r="L329" s="10"/>
      <c r="M329" s="15" t="str">
        <f aca="false">IF($A329="","",SUMIFS(처리내역!$E$3:$E$1502,처리내역!$B$3:$B$1502,$A329))</f>
        <v/>
      </c>
      <c r="N329" s="15" t="str">
        <f aca="false">IF($A329="","",IF($I329="","",$I329-$M329))</f>
        <v/>
      </c>
      <c r="O329" s="12" t="str">
        <f aca="false">IF($A329="","",IF($I329="","",IF($M329=0,"미처리",IF($N329&lt;=0,"완료","부분처리"))))</f>
        <v/>
      </c>
    </row>
    <row r="330" customFormat="false" ht="15" hidden="false" customHeight="true" outlineLevel="0" collapsed="false">
      <c r="A330" s="12" t="str">
        <f aca="false">IF($B330="","",TEXT($B330,"yymm")&amp;"-"&amp;TEXT(COUNTIFS($B$3:$B330,"&gt;="&amp;DATE(YEAR($B330),MONTH($B330),1),$B$3:$B330,"&lt;="&amp;EOMONTH($B330,0)),"000"))</f>
        <v/>
      </c>
      <c r="B330" s="13"/>
      <c r="C330" s="10"/>
      <c r="D330" s="10"/>
      <c r="E330" s="12" t="str">
        <f aca="false">IF($D330="","",IFERROR(INDEX(품목목록!$B$3:$B$302,MATCH($D330,품목목록!$A$3:$A$302,0)),"미등록품번"))</f>
        <v/>
      </c>
      <c r="F330" s="12" t="str">
        <f aca="false">IF($D330="","",IFERROR(INDEX(품목목록!$C$3:$C$302,MATCH($D330,품목목록!$A$3:$A$302,0)),""))</f>
        <v/>
      </c>
      <c r="G330" s="12" t="str">
        <f aca="false">IF($D330="","",IFERROR(INDEX(품목목록!$D$3:$D$302,MATCH($D330,품목목록!$A$3:$A$302,0)),""))</f>
        <v/>
      </c>
      <c r="H330" s="12" t="str">
        <f aca="false">IF($D330="","",IFERROR(INDEX(품목목록!$E$3:$E$302,MATCH($D330,품목목록!$A$3:$A$302,0)),""))</f>
        <v/>
      </c>
      <c r="I330" s="14"/>
      <c r="J330" s="10"/>
      <c r="K330" s="10"/>
      <c r="L330" s="10"/>
      <c r="M330" s="15" t="str">
        <f aca="false">IF($A330="","",SUMIFS(처리내역!$E$3:$E$1502,처리내역!$B$3:$B$1502,$A330))</f>
        <v/>
      </c>
      <c r="N330" s="15" t="str">
        <f aca="false">IF($A330="","",IF($I330="","",$I330-$M330))</f>
        <v/>
      </c>
      <c r="O330" s="12" t="str">
        <f aca="false">IF($A330="","",IF($I330="","",IF($M330=0,"미처리",IF($N330&lt;=0,"완료","부분처리"))))</f>
        <v/>
      </c>
    </row>
    <row r="331" customFormat="false" ht="15" hidden="false" customHeight="true" outlineLevel="0" collapsed="false">
      <c r="A331" s="12" t="str">
        <f aca="false">IF($B331="","",TEXT($B331,"yymm")&amp;"-"&amp;TEXT(COUNTIFS($B$3:$B331,"&gt;="&amp;DATE(YEAR($B331),MONTH($B331),1),$B$3:$B331,"&lt;="&amp;EOMONTH($B331,0)),"000"))</f>
        <v/>
      </c>
      <c r="B331" s="13"/>
      <c r="C331" s="10"/>
      <c r="D331" s="10"/>
      <c r="E331" s="12" t="str">
        <f aca="false">IF($D331="","",IFERROR(INDEX(품목목록!$B$3:$B$302,MATCH($D331,품목목록!$A$3:$A$302,0)),"미등록품번"))</f>
        <v/>
      </c>
      <c r="F331" s="12" t="str">
        <f aca="false">IF($D331="","",IFERROR(INDEX(품목목록!$C$3:$C$302,MATCH($D331,품목목록!$A$3:$A$302,0)),""))</f>
        <v/>
      </c>
      <c r="G331" s="12" t="str">
        <f aca="false">IF($D331="","",IFERROR(INDEX(품목목록!$D$3:$D$302,MATCH($D331,품목목록!$A$3:$A$302,0)),""))</f>
        <v/>
      </c>
      <c r="H331" s="12" t="str">
        <f aca="false">IF($D331="","",IFERROR(INDEX(품목목록!$E$3:$E$302,MATCH($D331,품목목록!$A$3:$A$302,0)),""))</f>
        <v/>
      </c>
      <c r="I331" s="14"/>
      <c r="J331" s="10"/>
      <c r="K331" s="10"/>
      <c r="L331" s="10"/>
      <c r="M331" s="15" t="str">
        <f aca="false">IF($A331="","",SUMIFS(처리내역!$E$3:$E$1502,처리내역!$B$3:$B$1502,$A331))</f>
        <v/>
      </c>
      <c r="N331" s="15" t="str">
        <f aca="false">IF($A331="","",IF($I331="","",$I331-$M331))</f>
        <v/>
      </c>
      <c r="O331" s="12" t="str">
        <f aca="false">IF($A331="","",IF($I331="","",IF($M331=0,"미처리",IF($N331&lt;=0,"완료","부분처리"))))</f>
        <v/>
      </c>
    </row>
    <row r="332" customFormat="false" ht="15" hidden="false" customHeight="true" outlineLevel="0" collapsed="false">
      <c r="A332" s="12" t="str">
        <f aca="false">IF($B332="","",TEXT($B332,"yymm")&amp;"-"&amp;TEXT(COUNTIFS($B$3:$B332,"&gt;="&amp;DATE(YEAR($B332),MONTH($B332),1),$B$3:$B332,"&lt;="&amp;EOMONTH($B332,0)),"000"))</f>
        <v/>
      </c>
      <c r="B332" s="13"/>
      <c r="C332" s="10"/>
      <c r="D332" s="10"/>
      <c r="E332" s="12" t="str">
        <f aca="false">IF($D332="","",IFERROR(INDEX(품목목록!$B$3:$B$302,MATCH($D332,품목목록!$A$3:$A$302,0)),"미등록품번"))</f>
        <v/>
      </c>
      <c r="F332" s="12" t="str">
        <f aca="false">IF($D332="","",IFERROR(INDEX(품목목록!$C$3:$C$302,MATCH($D332,품목목록!$A$3:$A$302,0)),""))</f>
        <v/>
      </c>
      <c r="G332" s="12" t="str">
        <f aca="false">IF($D332="","",IFERROR(INDEX(품목목록!$D$3:$D$302,MATCH($D332,품목목록!$A$3:$A$302,0)),""))</f>
        <v/>
      </c>
      <c r="H332" s="12" t="str">
        <f aca="false">IF($D332="","",IFERROR(INDEX(품목목록!$E$3:$E$302,MATCH($D332,품목목록!$A$3:$A$302,0)),""))</f>
        <v/>
      </c>
      <c r="I332" s="14"/>
      <c r="J332" s="10"/>
      <c r="K332" s="10"/>
      <c r="L332" s="10"/>
      <c r="M332" s="15" t="str">
        <f aca="false">IF($A332="","",SUMIFS(처리내역!$E$3:$E$1502,처리내역!$B$3:$B$1502,$A332))</f>
        <v/>
      </c>
      <c r="N332" s="15" t="str">
        <f aca="false">IF($A332="","",IF($I332="","",$I332-$M332))</f>
        <v/>
      </c>
      <c r="O332" s="12" t="str">
        <f aca="false">IF($A332="","",IF($I332="","",IF($M332=0,"미처리",IF($N332&lt;=0,"완료","부분처리"))))</f>
        <v/>
      </c>
    </row>
    <row r="333" customFormat="false" ht="15" hidden="false" customHeight="true" outlineLevel="0" collapsed="false">
      <c r="A333" s="12" t="str">
        <f aca="false">IF($B333="","",TEXT($B333,"yymm")&amp;"-"&amp;TEXT(COUNTIFS($B$3:$B333,"&gt;="&amp;DATE(YEAR($B333),MONTH($B333),1),$B$3:$B333,"&lt;="&amp;EOMONTH($B333,0)),"000"))</f>
        <v/>
      </c>
      <c r="B333" s="13"/>
      <c r="C333" s="10"/>
      <c r="D333" s="10"/>
      <c r="E333" s="12" t="str">
        <f aca="false">IF($D333="","",IFERROR(INDEX(품목목록!$B$3:$B$302,MATCH($D333,품목목록!$A$3:$A$302,0)),"미등록품번"))</f>
        <v/>
      </c>
      <c r="F333" s="12" t="str">
        <f aca="false">IF($D333="","",IFERROR(INDEX(품목목록!$C$3:$C$302,MATCH($D333,품목목록!$A$3:$A$302,0)),""))</f>
        <v/>
      </c>
      <c r="G333" s="12" t="str">
        <f aca="false">IF($D333="","",IFERROR(INDEX(품목목록!$D$3:$D$302,MATCH($D333,품목목록!$A$3:$A$302,0)),""))</f>
        <v/>
      </c>
      <c r="H333" s="12" t="str">
        <f aca="false">IF($D333="","",IFERROR(INDEX(품목목록!$E$3:$E$302,MATCH($D333,품목목록!$A$3:$A$302,0)),""))</f>
        <v/>
      </c>
      <c r="I333" s="14"/>
      <c r="J333" s="10"/>
      <c r="K333" s="10"/>
      <c r="L333" s="10"/>
      <c r="M333" s="15" t="str">
        <f aca="false">IF($A333="","",SUMIFS(처리내역!$E$3:$E$1502,처리내역!$B$3:$B$1502,$A333))</f>
        <v/>
      </c>
      <c r="N333" s="15" t="str">
        <f aca="false">IF($A333="","",IF($I333="","",$I333-$M333))</f>
        <v/>
      </c>
      <c r="O333" s="12" t="str">
        <f aca="false">IF($A333="","",IF($I333="","",IF($M333=0,"미처리",IF($N333&lt;=0,"완료","부분처리"))))</f>
        <v/>
      </c>
    </row>
    <row r="334" customFormat="false" ht="15" hidden="false" customHeight="true" outlineLevel="0" collapsed="false">
      <c r="A334" s="12" t="str">
        <f aca="false">IF($B334="","",TEXT($B334,"yymm")&amp;"-"&amp;TEXT(COUNTIFS($B$3:$B334,"&gt;="&amp;DATE(YEAR($B334),MONTH($B334),1),$B$3:$B334,"&lt;="&amp;EOMONTH($B334,0)),"000"))</f>
        <v/>
      </c>
      <c r="B334" s="13"/>
      <c r="C334" s="10"/>
      <c r="D334" s="10"/>
      <c r="E334" s="12" t="str">
        <f aca="false">IF($D334="","",IFERROR(INDEX(품목목록!$B$3:$B$302,MATCH($D334,품목목록!$A$3:$A$302,0)),"미등록품번"))</f>
        <v/>
      </c>
      <c r="F334" s="12" t="str">
        <f aca="false">IF($D334="","",IFERROR(INDEX(품목목록!$C$3:$C$302,MATCH($D334,품목목록!$A$3:$A$302,0)),""))</f>
        <v/>
      </c>
      <c r="G334" s="12" t="str">
        <f aca="false">IF($D334="","",IFERROR(INDEX(품목목록!$D$3:$D$302,MATCH($D334,품목목록!$A$3:$A$302,0)),""))</f>
        <v/>
      </c>
      <c r="H334" s="12" t="str">
        <f aca="false">IF($D334="","",IFERROR(INDEX(품목목록!$E$3:$E$302,MATCH($D334,품목목록!$A$3:$A$302,0)),""))</f>
        <v/>
      </c>
      <c r="I334" s="14"/>
      <c r="J334" s="10"/>
      <c r="K334" s="10"/>
      <c r="L334" s="10"/>
      <c r="M334" s="15" t="str">
        <f aca="false">IF($A334="","",SUMIFS(처리내역!$E$3:$E$1502,처리내역!$B$3:$B$1502,$A334))</f>
        <v/>
      </c>
      <c r="N334" s="15" t="str">
        <f aca="false">IF($A334="","",IF($I334="","",$I334-$M334))</f>
        <v/>
      </c>
      <c r="O334" s="12" t="str">
        <f aca="false">IF($A334="","",IF($I334="","",IF($M334=0,"미처리",IF($N334&lt;=0,"완료","부분처리"))))</f>
        <v/>
      </c>
    </row>
    <row r="335" customFormat="false" ht="15" hidden="false" customHeight="true" outlineLevel="0" collapsed="false">
      <c r="A335" s="12" t="str">
        <f aca="false">IF($B335="","",TEXT($B335,"yymm")&amp;"-"&amp;TEXT(COUNTIFS($B$3:$B335,"&gt;="&amp;DATE(YEAR($B335),MONTH($B335),1),$B$3:$B335,"&lt;="&amp;EOMONTH($B335,0)),"000"))</f>
        <v/>
      </c>
      <c r="B335" s="13"/>
      <c r="C335" s="10"/>
      <c r="D335" s="10"/>
      <c r="E335" s="12" t="str">
        <f aca="false">IF($D335="","",IFERROR(INDEX(품목목록!$B$3:$B$302,MATCH($D335,품목목록!$A$3:$A$302,0)),"미등록품번"))</f>
        <v/>
      </c>
      <c r="F335" s="12" t="str">
        <f aca="false">IF($D335="","",IFERROR(INDEX(품목목록!$C$3:$C$302,MATCH($D335,품목목록!$A$3:$A$302,0)),""))</f>
        <v/>
      </c>
      <c r="G335" s="12" t="str">
        <f aca="false">IF($D335="","",IFERROR(INDEX(품목목록!$D$3:$D$302,MATCH($D335,품목목록!$A$3:$A$302,0)),""))</f>
        <v/>
      </c>
      <c r="H335" s="12" t="str">
        <f aca="false">IF($D335="","",IFERROR(INDEX(품목목록!$E$3:$E$302,MATCH($D335,품목목록!$A$3:$A$302,0)),""))</f>
        <v/>
      </c>
      <c r="I335" s="14"/>
      <c r="J335" s="10"/>
      <c r="K335" s="10"/>
      <c r="L335" s="10"/>
      <c r="M335" s="15" t="str">
        <f aca="false">IF($A335="","",SUMIFS(처리내역!$E$3:$E$1502,처리내역!$B$3:$B$1502,$A335))</f>
        <v/>
      </c>
      <c r="N335" s="15" t="str">
        <f aca="false">IF($A335="","",IF($I335="","",$I335-$M335))</f>
        <v/>
      </c>
      <c r="O335" s="12" t="str">
        <f aca="false">IF($A335="","",IF($I335="","",IF($M335=0,"미처리",IF($N335&lt;=0,"완료","부분처리"))))</f>
        <v/>
      </c>
    </row>
    <row r="336" customFormat="false" ht="15" hidden="false" customHeight="true" outlineLevel="0" collapsed="false">
      <c r="A336" s="12" t="str">
        <f aca="false">IF($B336="","",TEXT($B336,"yymm")&amp;"-"&amp;TEXT(COUNTIFS($B$3:$B336,"&gt;="&amp;DATE(YEAR($B336),MONTH($B336),1),$B$3:$B336,"&lt;="&amp;EOMONTH($B336,0)),"000"))</f>
        <v/>
      </c>
      <c r="B336" s="13"/>
      <c r="C336" s="10"/>
      <c r="D336" s="10"/>
      <c r="E336" s="12" t="str">
        <f aca="false">IF($D336="","",IFERROR(INDEX(품목목록!$B$3:$B$302,MATCH($D336,품목목록!$A$3:$A$302,0)),"미등록품번"))</f>
        <v/>
      </c>
      <c r="F336" s="12" t="str">
        <f aca="false">IF($D336="","",IFERROR(INDEX(품목목록!$C$3:$C$302,MATCH($D336,품목목록!$A$3:$A$302,0)),""))</f>
        <v/>
      </c>
      <c r="G336" s="12" t="str">
        <f aca="false">IF($D336="","",IFERROR(INDEX(품목목록!$D$3:$D$302,MATCH($D336,품목목록!$A$3:$A$302,0)),""))</f>
        <v/>
      </c>
      <c r="H336" s="12" t="str">
        <f aca="false">IF($D336="","",IFERROR(INDEX(품목목록!$E$3:$E$302,MATCH($D336,품목목록!$A$3:$A$302,0)),""))</f>
        <v/>
      </c>
      <c r="I336" s="14"/>
      <c r="J336" s="10"/>
      <c r="K336" s="10"/>
      <c r="L336" s="10"/>
      <c r="M336" s="15" t="str">
        <f aca="false">IF($A336="","",SUMIFS(처리내역!$E$3:$E$1502,처리내역!$B$3:$B$1502,$A336))</f>
        <v/>
      </c>
      <c r="N336" s="15" t="str">
        <f aca="false">IF($A336="","",IF($I336="","",$I336-$M336))</f>
        <v/>
      </c>
      <c r="O336" s="12" t="str">
        <f aca="false">IF($A336="","",IF($I336="","",IF($M336=0,"미처리",IF($N336&lt;=0,"완료","부분처리"))))</f>
        <v/>
      </c>
    </row>
    <row r="337" customFormat="false" ht="15" hidden="false" customHeight="true" outlineLevel="0" collapsed="false">
      <c r="A337" s="12" t="str">
        <f aca="false">IF($B337="","",TEXT($B337,"yymm")&amp;"-"&amp;TEXT(COUNTIFS($B$3:$B337,"&gt;="&amp;DATE(YEAR($B337),MONTH($B337),1),$B$3:$B337,"&lt;="&amp;EOMONTH($B337,0)),"000"))</f>
        <v/>
      </c>
      <c r="B337" s="13"/>
      <c r="C337" s="10"/>
      <c r="D337" s="10"/>
      <c r="E337" s="12" t="str">
        <f aca="false">IF($D337="","",IFERROR(INDEX(품목목록!$B$3:$B$302,MATCH($D337,품목목록!$A$3:$A$302,0)),"미등록품번"))</f>
        <v/>
      </c>
      <c r="F337" s="12" t="str">
        <f aca="false">IF($D337="","",IFERROR(INDEX(품목목록!$C$3:$C$302,MATCH($D337,품목목록!$A$3:$A$302,0)),""))</f>
        <v/>
      </c>
      <c r="G337" s="12" t="str">
        <f aca="false">IF($D337="","",IFERROR(INDEX(품목목록!$D$3:$D$302,MATCH($D337,품목목록!$A$3:$A$302,0)),""))</f>
        <v/>
      </c>
      <c r="H337" s="12" t="str">
        <f aca="false">IF($D337="","",IFERROR(INDEX(품목목록!$E$3:$E$302,MATCH($D337,품목목록!$A$3:$A$302,0)),""))</f>
        <v/>
      </c>
      <c r="I337" s="14"/>
      <c r="J337" s="10"/>
      <c r="K337" s="10"/>
      <c r="L337" s="10"/>
      <c r="M337" s="15" t="str">
        <f aca="false">IF($A337="","",SUMIFS(처리내역!$E$3:$E$1502,처리내역!$B$3:$B$1502,$A337))</f>
        <v/>
      </c>
      <c r="N337" s="15" t="str">
        <f aca="false">IF($A337="","",IF($I337="","",$I337-$M337))</f>
        <v/>
      </c>
      <c r="O337" s="12" t="str">
        <f aca="false">IF($A337="","",IF($I337="","",IF($M337=0,"미처리",IF($N337&lt;=0,"완료","부분처리"))))</f>
        <v/>
      </c>
    </row>
    <row r="338" customFormat="false" ht="15" hidden="false" customHeight="true" outlineLevel="0" collapsed="false">
      <c r="A338" s="12" t="str">
        <f aca="false">IF($B338="","",TEXT($B338,"yymm")&amp;"-"&amp;TEXT(COUNTIFS($B$3:$B338,"&gt;="&amp;DATE(YEAR($B338),MONTH($B338),1),$B$3:$B338,"&lt;="&amp;EOMONTH($B338,0)),"000"))</f>
        <v/>
      </c>
      <c r="B338" s="13"/>
      <c r="C338" s="10"/>
      <c r="D338" s="10"/>
      <c r="E338" s="12" t="str">
        <f aca="false">IF($D338="","",IFERROR(INDEX(품목목록!$B$3:$B$302,MATCH($D338,품목목록!$A$3:$A$302,0)),"미등록품번"))</f>
        <v/>
      </c>
      <c r="F338" s="12" t="str">
        <f aca="false">IF($D338="","",IFERROR(INDEX(품목목록!$C$3:$C$302,MATCH($D338,품목목록!$A$3:$A$302,0)),""))</f>
        <v/>
      </c>
      <c r="G338" s="12" t="str">
        <f aca="false">IF($D338="","",IFERROR(INDEX(품목목록!$D$3:$D$302,MATCH($D338,품목목록!$A$3:$A$302,0)),""))</f>
        <v/>
      </c>
      <c r="H338" s="12" t="str">
        <f aca="false">IF($D338="","",IFERROR(INDEX(품목목록!$E$3:$E$302,MATCH($D338,품목목록!$A$3:$A$302,0)),""))</f>
        <v/>
      </c>
      <c r="I338" s="14"/>
      <c r="J338" s="10"/>
      <c r="K338" s="10"/>
      <c r="L338" s="10"/>
      <c r="M338" s="15" t="str">
        <f aca="false">IF($A338="","",SUMIFS(처리내역!$E$3:$E$1502,처리내역!$B$3:$B$1502,$A338))</f>
        <v/>
      </c>
      <c r="N338" s="15" t="str">
        <f aca="false">IF($A338="","",IF($I338="","",$I338-$M338))</f>
        <v/>
      </c>
      <c r="O338" s="12" t="str">
        <f aca="false">IF($A338="","",IF($I338="","",IF($M338=0,"미처리",IF($N338&lt;=0,"완료","부분처리"))))</f>
        <v/>
      </c>
    </row>
    <row r="339" customFormat="false" ht="15" hidden="false" customHeight="true" outlineLevel="0" collapsed="false">
      <c r="A339" s="12" t="str">
        <f aca="false">IF($B339="","",TEXT($B339,"yymm")&amp;"-"&amp;TEXT(COUNTIFS($B$3:$B339,"&gt;="&amp;DATE(YEAR($B339),MONTH($B339),1),$B$3:$B339,"&lt;="&amp;EOMONTH($B339,0)),"000"))</f>
        <v/>
      </c>
      <c r="B339" s="13"/>
      <c r="C339" s="10"/>
      <c r="D339" s="10"/>
      <c r="E339" s="12" t="str">
        <f aca="false">IF($D339="","",IFERROR(INDEX(품목목록!$B$3:$B$302,MATCH($D339,품목목록!$A$3:$A$302,0)),"미등록품번"))</f>
        <v/>
      </c>
      <c r="F339" s="12" t="str">
        <f aca="false">IF($D339="","",IFERROR(INDEX(품목목록!$C$3:$C$302,MATCH($D339,품목목록!$A$3:$A$302,0)),""))</f>
        <v/>
      </c>
      <c r="G339" s="12" t="str">
        <f aca="false">IF($D339="","",IFERROR(INDEX(품목목록!$D$3:$D$302,MATCH($D339,품목목록!$A$3:$A$302,0)),""))</f>
        <v/>
      </c>
      <c r="H339" s="12" t="str">
        <f aca="false">IF($D339="","",IFERROR(INDEX(품목목록!$E$3:$E$302,MATCH($D339,품목목록!$A$3:$A$302,0)),""))</f>
        <v/>
      </c>
      <c r="I339" s="14"/>
      <c r="J339" s="10"/>
      <c r="K339" s="10"/>
      <c r="L339" s="10"/>
      <c r="M339" s="15" t="str">
        <f aca="false">IF($A339="","",SUMIFS(처리내역!$E$3:$E$1502,처리내역!$B$3:$B$1502,$A339))</f>
        <v/>
      </c>
      <c r="N339" s="15" t="str">
        <f aca="false">IF($A339="","",IF($I339="","",$I339-$M339))</f>
        <v/>
      </c>
      <c r="O339" s="12" t="str">
        <f aca="false">IF($A339="","",IF($I339="","",IF($M339=0,"미처리",IF($N339&lt;=0,"완료","부분처리"))))</f>
        <v/>
      </c>
    </row>
    <row r="340" customFormat="false" ht="15" hidden="false" customHeight="true" outlineLevel="0" collapsed="false">
      <c r="A340" s="12" t="str">
        <f aca="false">IF($B340="","",TEXT($B340,"yymm")&amp;"-"&amp;TEXT(COUNTIFS($B$3:$B340,"&gt;="&amp;DATE(YEAR($B340),MONTH($B340),1),$B$3:$B340,"&lt;="&amp;EOMONTH($B340,0)),"000"))</f>
        <v/>
      </c>
      <c r="B340" s="13"/>
      <c r="C340" s="10"/>
      <c r="D340" s="10"/>
      <c r="E340" s="12" t="str">
        <f aca="false">IF($D340="","",IFERROR(INDEX(품목목록!$B$3:$B$302,MATCH($D340,품목목록!$A$3:$A$302,0)),"미등록품번"))</f>
        <v/>
      </c>
      <c r="F340" s="12" t="str">
        <f aca="false">IF($D340="","",IFERROR(INDEX(품목목록!$C$3:$C$302,MATCH($D340,품목목록!$A$3:$A$302,0)),""))</f>
        <v/>
      </c>
      <c r="G340" s="12" t="str">
        <f aca="false">IF($D340="","",IFERROR(INDEX(품목목록!$D$3:$D$302,MATCH($D340,품목목록!$A$3:$A$302,0)),""))</f>
        <v/>
      </c>
      <c r="H340" s="12" t="str">
        <f aca="false">IF($D340="","",IFERROR(INDEX(품목목록!$E$3:$E$302,MATCH($D340,품목목록!$A$3:$A$302,0)),""))</f>
        <v/>
      </c>
      <c r="I340" s="14"/>
      <c r="J340" s="10"/>
      <c r="K340" s="10"/>
      <c r="L340" s="10"/>
      <c r="M340" s="15" t="str">
        <f aca="false">IF($A340="","",SUMIFS(처리내역!$E$3:$E$1502,처리내역!$B$3:$B$1502,$A340))</f>
        <v/>
      </c>
      <c r="N340" s="15" t="str">
        <f aca="false">IF($A340="","",IF($I340="","",$I340-$M340))</f>
        <v/>
      </c>
      <c r="O340" s="12" t="str">
        <f aca="false">IF($A340="","",IF($I340="","",IF($M340=0,"미처리",IF($N340&lt;=0,"완료","부분처리"))))</f>
        <v/>
      </c>
    </row>
    <row r="341" customFormat="false" ht="15" hidden="false" customHeight="true" outlineLevel="0" collapsed="false">
      <c r="A341" s="12" t="str">
        <f aca="false">IF($B341="","",TEXT($B341,"yymm")&amp;"-"&amp;TEXT(COUNTIFS($B$3:$B341,"&gt;="&amp;DATE(YEAR($B341),MONTH($B341),1),$B$3:$B341,"&lt;="&amp;EOMONTH($B341,0)),"000"))</f>
        <v/>
      </c>
      <c r="B341" s="13"/>
      <c r="C341" s="10"/>
      <c r="D341" s="10"/>
      <c r="E341" s="12" t="str">
        <f aca="false">IF($D341="","",IFERROR(INDEX(품목목록!$B$3:$B$302,MATCH($D341,품목목록!$A$3:$A$302,0)),"미등록품번"))</f>
        <v/>
      </c>
      <c r="F341" s="12" t="str">
        <f aca="false">IF($D341="","",IFERROR(INDEX(품목목록!$C$3:$C$302,MATCH($D341,품목목록!$A$3:$A$302,0)),""))</f>
        <v/>
      </c>
      <c r="G341" s="12" t="str">
        <f aca="false">IF($D341="","",IFERROR(INDEX(품목목록!$D$3:$D$302,MATCH($D341,품목목록!$A$3:$A$302,0)),""))</f>
        <v/>
      </c>
      <c r="H341" s="12" t="str">
        <f aca="false">IF($D341="","",IFERROR(INDEX(품목목록!$E$3:$E$302,MATCH($D341,품목목록!$A$3:$A$302,0)),""))</f>
        <v/>
      </c>
      <c r="I341" s="14"/>
      <c r="J341" s="10"/>
      <c r="K341" s="10"/>
      <c r="L341" s="10"/>
      <c r="M341" s="15" t="str">
        <f aca="false">IF($A341="","",SUMIFS(처리내역!$E$3:$E$1502,처리내역!$B$3:$B$1502,$A341))</f>
        <v/>
      </c>
      <c r="N341" s="15" t="str">
        <f aca="false">IF($A341="","",IF($I341="","",$I341-$M341))</f>
        <v/>
      </c>
      <c r="O341" s="12" t="str">
        <f aca="false">IF($A341="","",IF($I341="","",IF($M341=0,"미처리",IF($N341&lt;=0,"완료","부분처리"))))</f>
        <v/>
      </c>
    </row>
    <row r="342" customFormat="false" ht="15" hidden="false" customHeight="true" outlineLevel="0" collapsed="false">
      <c r="A342" s="12" t="str">
        <f aca="false">IF($B342="","",TEXT($B342,"yymm")&amp;"-"&amp;TEXT(COUNTIFS($B$3:$B342,"&gt;="&amp;DATE(YEAR($B342),MONTH($B342),1),$B$3:$B342,"&lt;="&amp;EOMONTH($B342,0)),"000"))</f>
        <v/>
      </c>
      <c r="B342" s="13"/>
      <c r="C342" s="10"/>
      <c r="D342" s="10"/>
      <c r="E342" s="12" t="str">
        <f aca="false">IF($D342="","",IFERROR(INDEX(품목목록!$B$3:$B$302,MATCH($D342,품목목록!$A$3:$A$302,0)),"미등록품번"))</f>
        <v/>
      </c>
      <c r="F342" s="12" t="str">
        <f aca="false">IF($D342="","",IFERROR(INDEX(품목목록!$C$3:$C$302,MATCH($D342,품목목록!$A$3:$A$302,0)),""))</f>
        <v/>
      </c>
      <c r="G342" s="12" t="str">
        <f aca="false">IF($D342="","",IFERROR(INDEX(품목목록!$D$3:$D$302,MATCH($D342,품목목록!$A$3:$A$302,0)),""))</f>
        <v/>
      </c>
      <c r="H342" s="12" t="str">
        <f aca="false">IF($D342="","",IFERROR(INDEX(품목목록!$E$3:$E$302,MATCH($D342,품목목록!$A$3:$A$302,0)),""))</f>
        <v/>
      </c>
      <c r="I342" s="14"/>
      <c r="J342" s="10"/>
      <c r="K342" s="10"/>
      <c r="L342" s="10"/>
      <c r="M342" s="15" t="str">
        <f aca="false">IF($A342="","",SUMIFS(처리내역!$E$3:$E$1502,처리내역!$B$3:$B$1502,$A342))</f>
        <v/>
      </c>
      <c r="N342" s="15" t="str">
        <f aca="false">IF($A342="","",IF($I342="","",$I342-$M342))</f>
        <v/>
      </c>
      <c r="O342" s="12" t="str">
        <f aca="false">IF($A342="","",IF($I342="","",IF($M342=0,"미처리",IF($N342&lt;=0,"완료","부분처리"))))</f>
        <v/>
      </c>
    </row>
    <row r="343" customFormat="false" ht="15" hidden="false" customHeight="true" outlineLevel="0" collapsed="false">
      <c r="A343" s="12" t="str">
        <f aca="false">IF($B343="","",TEXT($B343,"yymm")&amp;"-"&amp;TEXT(COUNTIFS($B$3:$B343,"&gt;="&amp;DATE(YEAR($B343),MONTH($B343),1),$B$3:$B343,"&lt;="&amp;EOMONTH($B343,0)),"000"))</f>
        <v/>
      </c>
      <c r="B343" s="13"/>
      <c r="C343" s="10"/>
      <c r="D343" s="10"/>
      <c r="E343" s="12" t="str">
        <f aca="false">IF($D343="","",IFERROR(INDEX(품목목록!$B$3:$B$302,MATCH($D343,품목목록!$A$3:$A$302,0)),"미등록품번"))</f>
        <v/>
      </c>
      <c r="F343" s="12" t="str">
        <f aca="false">IF($D343="","",IFERROR(INDEX(품목목록!$C$3:$C$302,MATCH($D343,품목목록!$A$3:$A$302,0)),""))</f>
        <v/>
      </c>
      <c r="G343" s="12" t="str">
        <f aca="false">IF($D343="","",IFERROR(INDEX(품목목록!$D$3:$D$302,MATCH($D343,품목목록!$A$3:$A$302,0)),""))</f>
        <v/>
      </c>
      <c r="H343" s="12" t="str">
        <f aca="false">IF($D343="","",IFERROR(INDEX(품목목록!$E$3:$E$302,MATCH($D343,품목목록!$A$3:$A$302,0)),""))</f>
        <v/>
      </c>
      <c r="I343" s="14"/>
      <c r="J343" s="10"/>
      <c r="K343" s="10"/>
      <c r="L343" s="10"/>
      <c r="M343" s="15" t="str">
        <f aca="false">IF($A343="","",SUMIFS(처리내역!$E$3:$E$1502,처리내역!$B$3:$B$1502,$A343))</f>
        <v/>
      </c>
      <c r="N343" s="15" t="str">
        <f aca="false">IF($A343="","",IF($I343="","",$I343-$M343))</f>
        <v/>
      </c>
      <c r="O343" s="12" t="str">
        <f aca="false">IF($A343="","",IF($I343="","",IF($M343=0,"미처리",IF($N343&lt;=0,"완료","부분처리"))))</f>
        <v/>
      </c>
    </row>
    <row r="344" customFormat="false" ht="15" hidden="false" customHeight="true" outlineLevel="0" collapsed="false">
      <c r="A344" s="12" t="str">
        <f aca="false">IF($B344="","",TEXT($B344,"yymm")&amp;"-"&amp;TEXT(COUNTIFS($B$3:$B344,"&gt;="&amp;DATE(YEAR($B344),MONTH($B344),1),$B$3:$B344,"&lt;="&amp;EOMONTH($B344,0)),"000"))</f>
        <v/>
      </c>
      <c r="B344" s="13"/>
      <c r="C344" s="10"/>
      <c r="D344" s="10"/>
      <c r="E344" s="12" t="str">
        <f aca="false">IF($D344="","",IFERROR(INDEX(품목목록!$B$3:$B$302,MATCH($D344,품목목록!$A$3:$A$302,0)),"미등록품번"))</f>
        <v/>
      </c>
      <c r="F344" s="12" t="str">
        <f aca="false">IF($D344="","",IFERROR(INDEX(품목목록!$C$3:$C$302,MATCH($D344,품목목록!$A$3:$A$302,0)),""))</f>
        <v/>
      </c>
      <c r="G344" s="12" t="str">
        <f aca="false">IF($D344="","",IFERROR(INDEX(품목목록!$D$3:$D$302,MATCH($D344,품목목록!$A$3:$A$302,0)),""))</f>
        <v/>
      </c>
      <c r="H344" s="12" t="str">
        <f aca="false">IF($D344="","",IFERROR(INDEX(품목목록!$E$3:$E$302,MATCH($D344,품목목록!$A$3:$A$302,0)),""))</f>
        <v/>
      </c>
      <c r="I344" s="14"/>
      <c r="J344" s="10"/>
      <c r="K344" s="10"/>
      <c r="L344" s="10"/>
      <c r="M344" s="15" t="str">
        <f aca="false">IF($A344="","",SUMIFS(처리내역!$E$3:$E$1502,처리내역!$B$3:$B$1502,$A344))</f>
        <v/>
      </c>
      <c r="N344" s="15" t="str">
        <f aca="false">IF($A344="","",IF($I344="","",$I344-$M344))</f>
        <v/>
      </c>
      <c r="O344" s="12" t="str">
        <f aca="false">IF($A344="","",IF($I344="","",IF($M344=0,"미처리",IF($N344&lt;=0,"완료","부분처리"))))</f>
        <v/>
      </c>
    </row>
    <row r="345" customFormat="false" ht="15" hidden="false" customHeight="true" outlineLevel="0" collapsed="false">
      <c r="A345" s="12" t="str">
        <f aca="false">IF($B345="","",TEXT($B345,"yymm")&amp;"-"&amp;TEXT(COUNTIFS($B$3:$B345,"&gt;="&amp;DATE(YEAR($B345),MONTH($B345),1),$B$3:$B345,"&lt;="&amp;EOMONTH($B345,0)),"000"))</f>
        <v/>
      </c>
      <c r="B345" s="13"/>
      <c r="C345" s="10"/>
      <c r="D345" s="10"/>
      <c r="E345" s="12" t="str">
        <f aca="false">IF($D345="","",IFERROR(INDEX(품목목록!$B$3:$B$302,MATCH($D345,품목목록!$A$3:$A$302,0)),"미등록품번"))</f>
        <v/>
      </c>
      <c r="F345" s="12" t="str">
        <f aca="false">IF($D345="","",IFERROR(INDEX(품목목록!$C$3:$C$302,MATCH($D345,품목목록!$A$3:$A$302,0)),""))</f>
        <v/>
      </c>
      <c r="G345" s="12" t="str">
        <f aca="false">IF($D345="","",IFERROR(INDEX(품목목록!$D$3:$D$302,MATCH($D345,품목목록!$A$3:$A$302,0)),""))</f>
        <v/>
      </c>
      <c r="H345" s="12" t="str">
        <f aca="false">IF($D345="","",IFERROR(INDEX(품목목록!$E$3:$E$302,MATCH($D345,품목목록!$A$3:$A$302,0)),""))</f>
        <v/>
      </c>
      <c r="I345" s="14"/>
      <c r="J345" s="10"/>
      <c r="K345" s="10"/>
      <c r="L345" s="10"/>
      <c r="M345" s="15" t="str">
        <f aca="false">IF($A345="","",SUMIFS(처리내역!$E$3:$E$1502,처리내역!$B$3:$B$1502,$A345))</f>
        <v/>
      </c>
      <c r="N345" s="15" t="str">
        <f aca="false">IF($A345="","",IF($I345="","",$I345-$M345))</f>
        <v/>
      </c>
      <c r="O345" s="12" t="str">
        <f aca="false">IF($A345="","",IF($I345="","",IF($M345=0,"미처리",IF($N345&lt;=0,"완료","부분처리"))))</f>
        <v/>
      </c>
    </row>
    <row r="346" customFormat="false" ht="15" hidden="false" customHeight="true" outlineLevel="0" collapsed="false">
      <c r="A346" s="12" t="str">
        <f aca="false">IF($B346="","",TEXT($B346,"yymm")&amp;"-"&amp;TEXT(COUNTIFS($B$3:$B346,"&gt;="&amp;DATE(YEAR($B346),MONTH($B346),1),$B$3:$B346,"&lt;="&amp;EOMONTH($B346,0)),"000"))</f>
        <v/>
      </c>
      <c r="B346" s="13"/>
      <c r="C346" s="10"/>
      <c r="D346" s="10"/>
      <c r="E346" s="12" t="str">
        <f aca="false">IF($D346="","",IFERROR(INDEX(품목목록!$B$3:$B$302,MATCH($D346,품목목록!$A$3:$A$302,0)),"미등록품번"))</f>
        <v/>
      </c>
      <c r="F346" s="12" t="str">
        <f aca="false">IF($D346="","",IFERROR(INDEX(품목목록!$C$3:$C$302,MATCH($D346,품목목록!$A$3:$A$302,0)),""))</f>
        <v/>
      </c>
      <c r="G346" s="12" t="str">
        <f aca="false">IF($D346="","",IFERROR(INDEX(품목목록!$D$3:$D$302,MATCH($D346,품목목록!$A$3:$A$302,0)),""))</f>
        <v/>
      </c>
      <c r="H346" s="12" t="str">
        <f aca="false">IF($D346="","",IFERROR(INDEX(품목목록!$E$3:$E$302,MATCH($D346,품목목록!$A$3:$A$302,0)),""))</f>
        <v/>
      </c>
      <c r="I346" s="14"/>
      <c r="J346" s="10"/>
      <c r="K346" s="10"/>
      <c r="L346" s="10"/>
      <c r="M346" s="15" t="str">
        <f aca="false">IF($A346="","",SUMIFS(처리내역!$E$3:$E$1502,처리내역!$B$3:$B$1502,$A346))</f>
        <v/>
      </c>
      <c r="N346" s="15" t="str">
        <f aca="false">IF($A346="","",IF($I346="","",$I346-$M346))</f>
        <v/>
      </c>
      <c r="O346" s="12" t="str">
        <f aca="false">IF($A346="","",IF($I346="","",IF($M346=0,"미처리",IF($N346&lt;=0,"완료","부분처리"))))</f>
        <v/>
      </c>
    </row>
    <row r="347" customFormat="false" ht="15" hidden="false" customHeight="true" outlineLevel="0" collapsed="false">
      <c r="A347" s="12" t="str">
        <f aca="false">IF($B347="","",TEXT($B347,"yymm")&amp;"-"&amp;TEXT(COUNTIFS($B$3:$B347,"&gt;="&amp;DATE(YEAR($B347),MONTH($B347),1),$B$3:$B347,"&lt;="&amp;EOMONTH($B347,0)),"000"))</f>
        <v/>
      </c>
      <c r="B347" s="13"/>
      <c r="C347" s="10"/>
      <c r="D347" s="10"/>
      <c r="E347" s="12" t="str">
        <f aca="false">IF($D347="","",IFERROR(INDEX(품목목록!$B$3:$B$302,MATCH($D347,품목목록!$A$3:$A$302,0)),"미등록품번"))</f>
        <v/>
      </c>
      <c r="F347" s="12" t="str">
        <f aca="false">IF($D347="","",IFERROR(INDEX(품목목록!$C$3:$C$302,MATCH($D347,품목목록!$A$3:$A$302,0)),""))</f>
        <v/>
      </c>
      <c r="G347" s="12" t="str">
        <f aca="false">IF($D347="","",IFERROR(INDEX(품목목록!$D$3:$D$302,MATCH($D347,품목목록!$A$3:$A$302,0)),""))</f>
        <v/>
      </c>
      <c r="H347" s="12" t="str">
        <f aca="false">IF($D347="","",IFERROR(INDEX(품목목록!$E$3:$E$302,MATCH($D347,품목목록!$A$3:$A$302,0)),""))</f>
        <v/>
      </c>
      <c r="I347" s="14"/>
      <c r="J347" s="10"/>
      <c r="K347" s="10"/>
      <c r="L347" s="10"/>
      <c r="M347" s="15" t="str">
        <f aca="false">IF($A347="","",SUMIFS(처리내역!$E$3:$E$1502,처리내역!$B$3:$B$1502,$A347))</f>
        <v/>
      </c>
      <c r="N347" s="15" t="str">
        <f aca="false">IF($A347="","",IF($I347="","",$I347-$M347))</f>
        <v/>
      </c>
      <c r="O347" s="12" t="str">
        <f aca="false">IF($A347="","",IF($I347="","",IF($M347=0,"미처리",IF($N347&lt;=0,"완료","부분처리"))))</f>
        <v/>
      </c>
    </row>
    <row r="348" customFormat="false" ht="15" hidden="false" customHeight="true" outlineLevel="0" collapsed="false">
      <c r="A348" s="12" t="str">
        <f aca="false">IF($B348="","",TEXT($B348,"yymm")&amp;"-"&amp;TEXT(COUNTIFS($B$3:$B348,"&gt;="&amp;DATE(YEAR($B348),MONTH($B348),1),$B$3:$B348,"&lt;="&amp;EOMONTH($B348,0)),"000"))</f>
        <v/>
      </c>
      <c r="B348" s="13"/>
      <c r="C348" s="10"/>
      <c r="D348" s="10"/>
      <c r="E348" s="12" t="str">
        <f aca="false">IF($D348="","",IFERROR(INDEX(품목목록!$B$3:$B$302,MATCH($D348,품목목록!$A$3:$A$302,0)),"미등록품번"))</f>
        <v/>
      </c>
      <c r="F348" s="12" t="str">
        <f aca="false">IF($D348="","",IFERROR(INDEX(품목목록!$C$3:$C$302,MATCH($D348,품목목록!$A$3:$A$302,0)),""))</f>
        <v/>
      </c>
      <c r="G348" s="12" t="str">
        <f aca="false">IF($D348="","",IFERROR(INDEX(품목목록!$D$3:$D$302,MATCH($D348,품목목록!$A$3:$A$302,0)),""))</f>
        <v/>
      </c>
      <c r="H348" s="12" t="str">
        <f aca="false">IF($D348="","",IFERROR(INDEX(품목목록!$E$3:$E$302,MATCH($D348,품목목록!$A$3:$A$302,0)),""))</f>
        <v/>
      </c>
      <c r="I348" s="14"/>
      <c r="J348" s="10"/>
      <c r="K348" s="10"/>
      <c r="L348" s="10"/>
      <c r="M348" s="15" t="str">
        <f aca="false">IF($A348="","",SUMIFS(처리내역!$E$3:$E$1502,처리내역!$B$3:$B$1502,$A348))</f>
        <v/>
      </c>
      <c r="N348" s="15" t="str">
        <f aca="false">IF($A348="","",IF($I348="","",$I348-$M348))</f>
        <v/>
      </c>
      <c r="O348" s="12" t="str">
        <f aca="false">IF($A348="","",IF($I348="","",IF($M348=0,"미처리",IF($N348&lt;=0,"완료","부분처리"))))</f>
        <v/>
      </c>
    </row>
    <row r="349" customFormat="false" ht="15" hidden="false" customHeight="true" outlineLevel="0" collapsed="false">
      <c r="A349" s="12" t="str">
        <f aca="false">IF($B349="","",TEXT($B349,"yymm")&amp;"-"&amp;TEXT(COUNTIFS($B$3:$B349,"&gt;="&amp;DATE(YEAR($B349),MONTH($B349),1),$B$3:$B349,"&lt;="&amp;EOMONTH($B349,0)),"000"))</f>
        <v/>
      </c>
      <c r="B349" s="13"/>
      <c r="C349" s="10"/>
      <c r="D349" s="10"/>
      <c r="E349" s="12" t="str">
        <f aca="false">IF($D349="","",IFERROR(INDEX(품목목록!$B$3:$B$302,MATCH($D349,품목목록!$A$3:$A$302,0)),"미등록품번"))</f>
        <v/>
      </c>
      <c r="F349" s="12" t="str">
        <f aca="false">IF($D349="","",IFERROR(INDEX(품목목록!$C$3:$C$302,MATCH($D349,품목목록!$A$3:$A$302,0)),""))</f>
        <v/>
      </c>
      <c r="G349" s="12" t="str">
        <f aca="false">IF($D349="","",IFERROR(INDEX(품목목록!$D$3:$D$302,MATCH($D349,품목목록!$A$3:$A$302,0)),""))</f>
        <v/>
      </c>
      <c r="H349" s="12" t="str">
        <f aca="false">IF($D349="","",IFERROR(INDEX(품목목록!$E$3:$E$302,MATCH($D349,품목목록!$A$3:$A$302,0)),""))</f>
        <v/>
      </c>
      <c r="I349" s="14"/>
      <c r="J349" s="10"/>
      <c r="K349" s="10"/>
      <c r="L349" s="10"/>
      <c r="M349" s="15" t="str">
        <f aca="false">IF($A349="","",SUMIFS(처리내역!$E$3:$E$1502,처리내역!$B$3:$B$1502,$A349))</f>
        <v/>
      </c>
      <c r="N349" s="15" t="str">
        <f aca="false">IF($A349="","",IF($I349="","",$I349-$M349))</f>
        <v/>
      </c>
      <c r="O349" s="12" t="str">
        <f aca="false">IF($A349="","",IF($I349="","",IF($M349=0,"미처리",IF($N349&lt;=0,"완료","부분처리"))))</f>
        <v/>
      </c>
    </row>
    <row r="350" customFormat="false" ht="15" hidden="false" customHeight="true" outlineLevel="0" collapsed="false">
      <c r="A350" s="12" t="str">
        <f aca="false">IF($B350="","",TEXT($B350,"yymm")&amp;"-"&amp;TEXT(COUNTIFS($B$3:$B350,"&gt;="&amp;DATE(YEAR($B350),MONTH($B350),1),$B$3:$B350,"&lt;="&amp;EOMONTH($B350,0)),"000"))</f>
        <v/>
      </c>
      <c r="B350" s="13"/>
      <c r="C350" s="10"/>
      <c r="D350" s="10"/>
      <c r="E350" s="12" t="str">
        <f aca="false">IF($D350="","",IFERROR(INDEX(품목목록!$B$3:$B$302,MATCH($D350,품목목록!$A$3:$A$302,0)),"미등록품번"))</f>
        <v/>
      </c>
      <c r="F350" s="12" t="str">
        <f aca="false">IF($D350="","",IFERROR(INDEX(품목목록!$C$3:$C$302,MATCH($D350,품목목록!$A$3:$A$302,0)),""))</f>
        <v/>
      </c>
      <c r="G350" s="12" t="str">
        <f aca="false">IF($D350="","",IFERROR(INDEX(품목목록!$D$3:$D$302,MATCH($D350,품목목록!$A$3:$A$302,0)),""))</f>
        <v/>
      </c>
      <c r="H350" s="12" t="str">
        <f aca="false">IF($D350="","",IFERROR(INDEX(품목목록!$E$3:$E$302,MATCH($D350,품목목록!$A$3:$A$302,0)),""))</f>
        <v/>
      </c>
      <c r="I350" s="14"/>
      <c r="J350" s="10"/>
      <c r="K350" s="10"/>
      <c r="L350" s="10"/>
      <c r="M350" s="15" t="str">
        <f aca="false">IF($A350="","",SUMIFS(처리내역!$E$3:$E$1502,처리내역!$B$3:$B$1502,$A350))</f>
        <v/>
      </c>
      <c r="N350" s="15" t="str">
        <f aca="false">IF($A350="","",IF($I350="","",$I350-$M350))</f>
        <v/>
      </c>
      <c r="O350" s="12" t="str">
        <f aca="false">IF($A350="","",IF($I350="","",IF($M350=0,"미처리",IF($N350&lt;=0,"완료","부분처리"))))</f>
        <v/>
      </c>
    </row>
    <row r="351" customFormat="false" ht="15" hidden="false" customHeight="true" outlineLevel="0" collapsed="false">
      <c r="A351" s="12" t="str">
        <f aca="false">IF($B351="","",TEXT($B351,"yymm")&amp;"-"&amp;TEXT(COUNTIFS($B$3:$B351,"&gt;="&amp;DATE(YEAR($B351),MONTH($B351),1),$B$3:$B351,"&lt;="&amp;EOMONTH($B351,0)),"000"))</f>
        <v/>
      </c>
      <c r="B351" s="13"/>
      <c r="C351" s="10"/>
      <c r="D351" s="10"/>
      <c r="E351" s="12" t="str">
        <f aca="false">IF($D351="","",IFERROR(INDEX(품목목록!$B$3:$B$302,MATCH($D351,품목목록!$A$3:$A$302,0)),"미등록품번"))</f>
        <v/>
      </c>
      <c r="F351" s="12" t="str">
        <f aca="false">IF($D351="","",IFERROR(INDEX(품목목록!$C$3:$C$302,MATCH($D351,품목목록!$A$3:$A$302,0)),""))</f>
        <v/>
      </c>
      <c r="G351" s="12" t="str">
        <f aca="false">IF($D351="","",IFERROR(INDEX(품목목록!$D$3:$D$302,MATCH($D351,품목목록!$A$3:$A$302,0)),""))</f>
        <v/>
      </c>
      <c r="H351" s="12" t="str">
        <f aca="false">IF($D351="","",IFERROR(INDEX(품목목록!$E$3:$E$302,MATCH($D351,품목목록!$A$3:$A$302,0)),""))</f>
        <v/>
      </c>
      <c r="I351" s="14"/>
      <c r="J351" s="10"/>
      <c r="K351" s="10"/>
      <c r="L351" s="10"/>
      <c r="M351" s="15" t="str">
        <f aca="false">IF($A351="","",SUMIFS(처리내역!$E$3:$E$1502,처리내역!$B$3:$B$1502,$A351))</f>
        <v/>
      </c>
      <c r="N351" s="15" t="str">
        <f aca="false">IF($A351="","",IF($I351="","",$I351-$M351))</f>
        <v/>
      </c>
      <c r="O351" s="12" t="str">
        <f aca="false">IF($A351="","",IF($I351="","",IF($M351=0,"미처리",IF($N351&lt;=0,"완료","부분처리"))))</f>
        <v/>
      </c>
    </row>
    <row r="352" customFormat="false" ht="15" hidden="false" customHeight="true" outlineLevel="0" collapsed="false">
      <c r="A352" s="12" t="str">
        <f aca="false">IF($B352="","",TEXT($B352,"yymm")&amp;"-"&amp;TEXT(COUNTIFS($B$3:$B352,"&gt;="&amp;DATE(YEAR($B352),MONTH($B352),1),$B$3:$B352,"&lt;="&amp;EOMONTH($B352,0)),"000"))</f>
        <v/>
      </c>
      <c r="B352" s="13"/>
      <c r="C352" s="10"/>
      <c r="D352" s="10"/>
      <c r="E352" s="12" t="str">
        <f aca="false">IF($D352="","",IFERROR(INDEX(품목목록!$B$3:$B$302,MATCH($D352,품목목록!$A$3:$A$302,0)),"미등록품번"))</f>
        <v/>
      </c>
      <c r="F352" s="12" t="str">
        <f aca="false">IF($D352="","",IFERROR(INDEX(품목목록!$C$3:$C$302,MATCH($D352,품목목록!$A$3:$A$302,0)),""))</f>
        <v/>
      </c>
      <c r="G352" s="12" t="str">
        <f aca="false">IF($D352="","",IFERROR(INDEX(품목목록!$D$3:$D$302,MATCH($D352,품목목록!$A$3:$A$302,0)),""))</f>
        <v/>
      </c>
      <c r="H352" s="12" t="str">
        <f aca="false">IF($D352="","",IFERROR(INDEX(품목목록!$E$3:$E$302,MATCH($D352,품목목록!$A$3:$A$302,0)),""))</f>
        <v/>
      </c>
      <c r="I352" s="14"/>
      <c r="J352" s="10"/>
      <c r="K352" s="10"/>
      <c r="L352" s="10"/>
      <c r="M352" s="15" t="str">
        <f aca="false">IF($A352="","",SUMIFS(처리내역!$E$3:$E$1502,처리내역!$B$3:$B$1502,$A352))</f>
        <v/>
      </c>
      <c r="N352" s="15" t="str">
        <f aca="false">IF($A352="","",IF($I352="","",$I352-$M352))</f>
        <v/>
      </c>
      <c r="O352" s="12" t="str">
        <f aca="false">IF($A352="","",IF($I352="","",IF($M352=0,"미처리",IF($N352&lt;=0,"완료","부분처리"))))</f>
        <v/>
      </c>
    </row>
    <row r="353" customFormat="false" ht="15" hidden="false" customHeight="true" outlineLevel="0" collapsed="false">
      <c r="A353" s="12" t="str">
        <f aca="false">IF($B353="","",TEXT($B353,"yymm")&amp;"-"&amp;TEXT(COUNTIFS($B$3:$B353,"&gt;="&amp;DATE(YEAR($B353),MONTH($B353),1),$B$3:$B353,"&lt;="&amp;EOMONTH($B353,0)),"000"))</f>
        <v/>
      </c>
      <c r="B353" s="13"/>
      <c r="C353" s="10"/>
      <c r="D353" s="10"/>
      <c r="E353" s="12" t="str">
        <f aca="false">IF($D353="","",IFERROR(INDEX(품목목록!$B$3:$B$302,MATCH($D353,품목목록!$A$3:$A$302,0)),"미등록품번"))</f>
        <v/>
      </c>
      <c r="F353" s="12" t="str">
        <f aca="false">IF($D353="","",IFERROR(INDEX(품목목록!$C$3:$C$302,MATCH($D353,품목목록!$A$3:$A$302,0)),""))</f>
        <v/>
      </c>
      <c r="G353" s="12" t="str">
        <f aca="false">IF($D353="","",IFERROR(INDEX(품목목록!$D$3:$D$302,MATCH($D353,품목목록!$A$3:$A$302,0)),""))</f>
        <v/>
      </c>
      <c r="H353" s="12" t="str">
        <f aca="false">IF($D353="","",IFERROR(INDEX(품목목록!$E$3:$E$302,MATCH($D353,품목목록!$A$3:$A$302,0)),""))</f>
        <v/>
      </c>
      <c r="I353" s="14"/>
      <c r="J353" s="10"/>
      <c r="K353" s="10"/>
      <c r="L353" s="10"/>
      <c r="M353" s="15" t="str">
        <f aca="false">IF($A353="","",SUMIFS(처리내역!$E$3:$E$1502,처리내역!$B$3:$B$1502,$A353))</f>
        <v/>
      </c>
      <c r="N353" s="15" t="str">
        <f aca="false">IF($A353="","",IF($I353="","",$I353-$M353))</f>
        <v/>
      </c>
      <c r="O353" s="12" t="str">
        <f aca="false">IF($A353="","",IF($I353="","",IF($M353=0,"미처리",IF($N353&lt;=0,"완료","부분처리"))))</f>
        <v/>
      </c>
    </row>
    <row r="354" customFormat="false" ht="15" hidden="false" customHeight="true" outlineLevel="0" collapsed="false">
      <c r="A354" s="12" t="str">
        <f aca="false">IF($B354="","",TEXT($B354,"yymm")&amp;"-"&amp;TEXT(COUNTIFS($B$3:$B354,"&gt;="&amp;DATE(YEAR($B354),MONTH($B354),1),$B$3:$B354,"&lt;="&amp;EOMONTH($B354,0)),"000"))</f>
        <v/>
      </c>
      <c r="B354" s="13"/>
      <c r="C354" s="10"/>
      <c r="D354" s="10"/>
      <c r="E354" s="12" t="str">
        <f aca="false">IF($D354="","",IFERROR(INDEX(품목목록!$B$3:$B$302,MATCH($D354,품목목록!$A$3:$A$302,0)),"미등록품번"))</f>
        <v/>
      </c>
      <c r="F354" s="12" t="str">
        <f aca="false">IF($D354="","",IFERROR(INDEX(품목목록!$C$3:$C$302,MATCH($D354,품목목록!$A$3:$A$302,0)),""))</f>
        <v/>
      </c>
      <c r="G354" s="12" t="str">
        <f aca="false">IF($D354="","",IFERROR(INDEX(품목목록!$D$3:$D$302,MATCH($D354,품목목록!$A$3:$A$302,0)),""))</f>
        <v/>
      </c>
      <c r="H354" s="12" t="str">
        <f aca="false">IF($D354="","",IFERROR(INDEX(품목목록!$E$3:$E$302,MATCH($D354,품목목록!$A$3:$A$302,0)),""))</f>
        <v/>
      </c>
      <c r="I354" s="14"/>
      <c r="J354" s="10"/>
      <c r="K354" s="10"/>
      <c r="L354" s="10"/>
      <c r="M354" s="15" t="str">
        <f aca="false">IF($A354="","",SUMIFS(처리내역!$E$3:$E$1502,처리내역!$B$3:$B$1502,$A354))</f>
        <v/>
      </c>
      <c r="N354" s="15" t="str">
        <f aca="false">IF($A354="","",IF($I354="","",$I354-$M354))</f>
        <v/>
      </c>
      <c r="O354" s="12" t="str">
        <f aca="false">IF($A354="","",IF($I354="","",IF($M354=0,"미처리",IF($N354&lt;=0,"완료","부분처리"))))</f>
        <v/>
      </c>
    </row>
    <row r="355" customFormat="false" ht="15" hidden="false" customHeight="true" outlineLevel="0" collapsed="false">
      <c r="A355" s="12" t="str">
        <f aca="false">IF($B355="","",TEXT($B355,"yymm")&amp;"-"&amp;TEXT(COUNTIFS($B$3:$B355,"&gt;="&amp;DATE(YEAR($B355),MONTH($B355),1),$B$3:$B355,"&lt;="&amp;EOMONTH($B355,0)),"000"))</f>
        <v/>
      </c>
      <c r="B355" s="13"/>
      <c r="C355" s="10"/>
      <c r="D355" s="10"/>
      <c r="E355" s="12" t="str">
        <f aca="false">IF($D355="","",IFERROR(INDEX(품목목록!$B$3:$B$302,MATCH($D355,품목목록!$A$3:$A$302,0)),"미등록품번"))</f>
        <v/>
      </c>
      <c r="F355" s="12" t="str">
        <f aca="false">IF($D355="","",IFERROR(INDEX(품목목록!$C$3:$C$302,MATCH($D355,품목목록!$A$3:$A$302,0)),""))</f>
        <v/>
      </c>
      <c r="G355" s="12" t="str">
        <f aca="false">IF($D355="","",IFERROR(INDEX(품목목록!$D$3:$D$302,MATCH($D355,품목목록!$A$3:$A$302,0)),""))</f>
        <v/>
      </c>
      <c r="H355" s="12" t="str">
        <f aca="false">IF($D355="","",IFERROR(INDEX(품목목록!$E$3:$E$302,MATCH($D355,품목목록!$A$3:$A$302,0)),""))</f>
        <v/>
      </c>
      <c r="I355" s="14"/>
      <c r="J355" s="10"/>
      <c r="K355" s="10"/>
      <c r="L355" s="10"/>
      <c r="M355" s="15" t="str">
        <f aca="false">IF($A355="","",SUMIFS(처리내역!$E$3:$E$1502,처리내역!$B$3:$B$1502,$A355))</f>
        <v/>
      </c>
      <c r="N355" s="15" t="str">
        <f aca="false">IF($A355="","",IF($I355="","",$I355-$M355))</f>
        <v/>
      </c>
      <c r="O355" s="12" t="str">
        <f aca="false">IF($A355="","",IF($I355="","",IF($M355=0,"미처리",IF($N355&lt;=0,"완료","부분처리"))))</f>
        <v/>
      </c>
    </row>
    <row r="356" customFormat="false" ht="15" hidden="false" customHeight="true" outlineLevel="0" collapsed="false">
      <c r="A356" s="12" t="str">
        <f aca="false">IF($B356="","",TEXT($B356,"yymm")&amp;"-"&amp;TEXT(COUNTIFS($B$3:$B356,"&gt;="&amp;DATE(YEAR($B356),MONTH($B356),1),$B$3:$B356,"&lt;="&amp;EOMONTH($B356,0)),"000"))</f>
        <v/>
      </c>
      <c r="B356" s="13"/>
      <c r="C356" s="10"/>
      <c r="D356" s="10"/>
      <c r="E356" s="12" t="str">
        <f aca="false">IF($D356="","",IFERROR(INDEX(품목목록!$B$3:$B$302,MATCH($D356,품목목록!$A$3:$A$302,0)),"미등록품번"))</f>
        <v/>
      </c>
      <c r="F356" s="12" t="str">
        <f aca="false">IF($D356="","",IFERROR(INDEX(품목목록!$C$3:$C$302,MATCH($D356,품목목록!$A$3:$A$302,0)),""))</f>
        <v/>
      </c>
      <c r="G356" s="12" t="str">
        <f aca="false">IF($D356="","",IFERROR(INDEX(품목목록!$D$3:$D$302,MATCH($D356,품목목록!$A$3:$A$302,0)),""))</f>
        <v/>
      </c>
      <c r="H356" s="12" t="str">
        <f aca="false">IF($D356="","",IFERROR(INDEX(품목목록!$E$3:$E$302,MATCH($D356,품목목록!$A$3:$A$302,0)),""))</f>
        <v/>
      </c>
      <c r="I356" s="14"/>
      <c r="J356" s="10"/>
      <c r="K356" s="10"/>
      <c r="L356" s="10"/>
      <c r="M356" s="15" t="str">
        <f aca="false">IF($A356="","",SUMIFS(처리내역!$E$3:$E$1502,처리내역!$B$3:$B$1502,$A356))</f>
        <v/>
      </c>
      <c r="N356" s="15" t="str">
        <f aca="false">IF($A356="","",IF($I356="","",$I356-$M356))</f>
        <v/>
      </c>
      <c r="O356" s="12" t="str">
        <f aca="false">IF($A356="","",IF($I356="","",IF($M356=0,"미처리",IF($N356&lt;=0,"완료","부분처리"))))</f>
        <v/>
      </c>
    </row>
    <row r="357" customFormat="false" ht="15" hidden="false" customHeight="true" outlineLevel="0" collapsed="false">
      <c r="A357" s="12" t="str">
        <f aca="false">IF($B357="","",TEXT($B357,"yymm")&amp;"-"&amp;TEXT(COUNTIFS($B$3:$B357,"&gt;="&amp;DATE(YEAR($B357),MONTH($B357),1),$B$3:$B357,"&lt;="&amp;EOMONTH($B357,0)),"000"))</f>
        <v/>
      </c>
      <c r="B357" s="13"/>
      <c r="C357" s="10"/>
      <c r="D357" s="10"/>
      <c r="E357" s="12" t="str">
        <f aca="false">IF($D357="","",IFERROR(INDEX(품목목록!$B$3:$B$302,MATCH($D357,품목목록!$A$3:$A$302,0)),"미등록품번"))</f>
        <v/>
      </c>
      <c r="F357" s="12" t="str">
        <f aca="false">IF($D357="","",IFERROR(INDEX(품목목록!$C$3:$C$302,MATCH($D357,품목목록!$A$3:$A$302,0)),""))</f>
        <v/>
      </c>
      <c r="G357" s="12" t="str">
        <f aca="false">IF($D357="","",IFERROR(INDEX(품목목록!$D$3:$D$302,MATCH($D357,품목목록!$A$3:$A$302,0)),""))</f>
        <v/>
      </c>
      <c r="H357" s="12" t="str">
        <f aca="false">IF($D357="","",IFERROR(INDEX(품목목록!$E$3:$E$302,MATCH($D357,품목목록!$A$3:$A$302,0)),""))</f>
        <v/>
      </c>
      <c r="I357" s="14"/>
      <c r="J357" s="10"/>
      <c r="K357" s="10"/>
      <c r="L357" s="10"/>
      <c r="M357" s="15" t="str">
        <f aca="false">IF($A357="","",SUMIFS(처리내역!$E$3:$E$1502,처리내역!$B$3:$B$1502,$A357))</f>
        <v/>
      </c>
      <c r="N357" s="15" t="str">
        <f aca="false">IF($A357="","",IF($I357="","",$I357-$M357))</f>
        <v/>
      </c>
      <c r="O357" s="12" t="str">
        <f aca="false">IF($A357="","",IF($I357="","",IF($M357=0,"미처리",IF($N357&lt;=0,"완료","부분처리"))))</f>
        <v/>
      </c>
    </row>
    <row r="358" customFormat="false" ht="15" hidden="false" customHeight="true" outlineLevel="0" collapsed="false">
      <c r="A358" s="12" t="str">
        <f aca="false">IF($B358="","",TEXT($B358,"yymm")&amp;"-"&amp;TEXT(COUNTIFS($B$3:$B358,"&gt;="&amp;DATE(YEAR($B358),MONTH($B358),1),$B$3:$B358,"&lt;="&amp;EOMONTH($B358,0)),"000"))</f>
        <v/>
      </c>
      <c r="B358" s="13"/>
      <c r="C358" s="10"/>
      <c r="D358" s="10"/>
      <c r="E358" s="12" t="str">
        <f aca="false">IF($D358="","",IFERROR(INDEX(품목목록!$B$3:$B$302,MATCH($D358,품목목록!$A$3:$A$302,0)),"미등록품번"))</f>
        <v/>
      </c>
      <c r="F358" s="12" t="str">
        <f aca="false">IF($D358="","",IFERROR(INDEX(품목목록!$C$3:$C$302,MATCH($D358,품목목록!$A$3:$A$302,0)),""))</f>
        <v/>
      </c>
      <c r="G358" s="12" t="str">
        <f aca="false">IF($D358="","",IFERROR(INDEX(품목목록!$D$3:$D$302,MATCH($D358,품목목록!$A$3:$A$302,0)),""))</f>
        <v/>
      </c>
      <c r="H358" s="12" t="str">
        <f aca="false">IF($D358="","",IFERROR(INDEX(품목목록!$E$3:$E$302,MATCH($D358,품목목록!$A$3:$A$302,0)),""))</f>
        <v/>
      </c>
      <c r="I358" s="14"/>
      <c r="J358" s="10"/>
      <c r="K358" s="10"/>
      <c r="L358" s="10"/>
      <c r="M358" s="15" t="str">
        <f aca="false">IF($A358="","",SUMIFS(처리내역!$E$3:$E$1502,처리내역!$B$3:$B$1502,$A358))</f>
        <v/>
      </c>
      <c r="N358" s="15" t="str">
        <f aca="false">IF($A358="","",IF($I358="","",$I358-$M358))</f>
        <v/>
      </c>
      <c r="O358" s="12" t="str">
        <f aca="false">IF($A358="","",IF($I358="","",IF($M358=0,"미처리",IF($N358&lt;=0,"완료","부분처리"))))</f>
        <v/>
      </c>
    </row>
    <row r="359" customFormat="false" ht="15" hidden="false" customHeight="true" outlineLevel="0" collapsed="false">
      <c r="A359" s="12" t="str">
        <f aca="false">IF($B359="","",TEXT($B359,"yymm")&amp;"-"&amp;TEXT(COUNTIFS($B$3:$B359,"&gt;="&amp;DATE(YEAR($B359),MONTH($B359),1),$B$3:$B359,"&lt;="&amp;EOMONTH($B359,0)),"000"))</f>
        <v/>
      </c>
      <c r="B359" s="13"/>
      <c r="C359" s="10"/>
      <c r="D359" s="10"/>
      <c r="E359" s="12" t="str">
        <f aca="false">IF($D359="","",IFERROR(INDEX(품목목록!$B$3:$B$302,MATCH($D359,품목목록!$A$3:$A$302,0)),"미등록품번"))</f>
        <v/>
      </c>
      <c r="F359" s="12" t="str">
        <f aca="false">IF($D359="","",IFERROR(INDEX(품목목록!$C$3:$C$302,MATCH($D359,품목목록!$A$3:$A$302,0)),""))</f>
        <v/>
      </c>
      <c r="G359" s="12" t="str">
        <f aca="false">IF($D359="","",IFERROR(INDEX(품목목록!$D$3:$D$302,MATCH($D359,품목목록!$A$3:$A$302,0)),""))</f>
        <v/>
      </c>
      <c r="H359" s="12" t="str">
        <f aca="false">IF($D359="","",IFERROR(INDEX(품목목록!$E$3:$E$302,MATCH($D359,품목목록!$A$3:$A$302,0)),""))</f>
        <v/>
      </c>
      <c r="I359" s="14"/>
      <c r="J359" s="10"/>
      <c r="K359" s="10"/>
      <c r="L359" s="10"/>
      <c r="M359" s="15" t="str">
        <f aca="false">IF($A359="","",SUMIFS(처리내역!$E$3:$E$1502,처리내역!$B$3:$B$1502,$A359))</f>
        <v/>
      </c>
      <c r="N359" s="15" t="str">
        <f aca="false">IF($A359="","",IF($I359="","",$I359-$M359))</f>
        <v/>
      </c>
      <c r="O359" s="12" t="str">
        <f aca="false">IF($A359="","",IF($I359="","",IF($M359=0,"미처리",IF($N359&lt;=0,"완료","부분처리"))))</f>
        <v/>
      </c>
    </row>
    <row r="360" customFormat="false" ht="15" hidden="false" customHeight="true" outlineLevel="0" collapsed="false">
      <c r="A360" s="12" t="str">
        <f aca="false">IF($B360="","",TEXT($B360,"yymm")&amp;"-"&amp;TEXT(COUNTIFS($B$3:$B360,"&gt;="&amp;DATE(YEAR($B360),MONTH($B360),1),$B$3:$B360,"&lt;="&amp;EOMONTH($B360,0)),"000"))</f>
        <v/>
      </c>
      <c r="B360" s="13"/>
      <c r="C360" s="10"/>
      <c r="D360" s="10"/>
      <c r="E360" s="12" t="str">
        <f aca="false">IF($D360="","",IFERROR(INDEX(품목목록!$B$3:$B$302,MATCH($D360,품목목록!$A$3:$A$302,0)),"미등록품번"))</f>
        <v/>
      </c>
      <c r="F360" s="12" t="str">
        <f aca="false">IF($D360="","",IFERROR(INDEX(품목목록!$C$3:$C$302,MATCH($D360,품목목록!$A$3:$A$302,0)),""))</f>
        <v/>
      </c>
      <c r="G360" s="12" t="str">
        <f aca="false">IF($D360="","",IFERROR(INDEX(품목목록!$D$3:$D$302,MATCH($D360,품목목록!$A$3:$A$302,0)),""))</f>
        <v/>
      </c>
      <c r="H360" s="12" t="str">
        <f aca="false">IF($D360="","",IFERROR(INDEX(품목목록!$E$3:$E$302,MATCH($D360,품목목록!$A$3:$A$302,0)),""))</f>
        <v/>
      </c>
      <c r="I360" s="14"/>
      <c r="J360" s="10"/>
      <c r="K360" s="10"/>
      <c r="L360" s="10"/>
      <c r="M360" s="15" t="str">
        <f aca="false">IF($A360="","",SUMIFS(처리내역!$E$3:$E$1502,처리내역!$B$3:$B$1502,$A360))</f>
        <v/>
      </c>
      <c r="N360" s="15" t="str">
        <f aca="false">IF($A360="","",IF($I360="","",$I360-$M360))</f>
        <v/>
      </c>
      <c r="O360" s="12" t="str">
        <f aca="false">IF($A360="","",IF($I360="","",IF($M360=0,"미처리",IF($N360&lt;=0,"완료","부분처리"))))</f>
        <v/>
      </c>
    </row>
    <row r="361" customFormat="false" ht="15" hidden="false" customHeight="true" outlineLevel="0" collapsed="false">
      <c r="A361" s="12" t="str">
        <f aca="false">IF($B361="","",TEXT($B361,"yymm")&amp;"-"&amp;TEXT(COUNTIFS($B$3:$B361,"&gt;="&amp;DATE(YEAR($B361),MONTH($B361),1),$B$3:$B361,"&lt;="&amp;EOMONTH($B361,0)),"000"))</f>
        <v/>
      </c>
      <c r="B361" s="13"/>
      <c r="C361" s="10"/>
      <c r="D361" s="10"/>
      <c r="E361" s="12" t="str">
        <f aca="false">IF($D361="","",IFERROR(INDEX(품목목록!$B$3:$B$302,MATCH($D361,품목목록!$A$3:$A$302,0)),"미등록품번"))</f>
        <v/>
      </c>
      <c r="F361" s="12" t="str">
        <f aca="false">IF($D361="","",IFERROR(INDEX(품목목록!$C$3:$C$302,MATCH($D361,품목목록!$A$3:$A$302,0)),""))</f>
        <v/>
      </c>
      <c r="G361" s="12" t="str">
        <f aca="false">IF($D361="","",IFERROR(INDEX(품목목록!$D$3:$D$302,MATCH($D361,품목목록!$A$3:$A$302,0)),""))</f>
        <v/>
      </c>
      <c r="H361" s="12" t="str">
        <f aca="false">IF($D361="","",IFERROR(INDEX(품목목록!$E$3:$E$302,MATCH($D361,품목목록!$A$3:$A$302,0)),""))</f>
        <v/>
      </c>
      <c r="I361" s="14"/>
      <c r="J361" s="10"/>
      <c r="K361" s="10"/>
      <c r="L361" s="10"/>
      <c r="M361" s="15" t="str">
        <f aca="false">IF($A361="","",SUMIFS(처리내역!$E$3:$E$1502,처리내역!$B$3:$B$1502,$A361))</f>
        <v/>
      </c>
      <c r="N361" s="15" t="str">
        <f aca="false">IF($A361="","",IF($I361="","",$I361-$M361))</f>
        <v/>
      </c>
      <c r="O361" s="12" t="str">
        <f aca="false">IF($A361="","",IF($I361="","",IF($M361=0,"미처리",IF($N361&lt;=0,"완료","부분처리"))))</f>
        <v/>
      </c>
    </row>
    <row r="362" customFormat="false" ht="15" hidden="false" customHeight="true" outlineLevel="0" collapsed="false">
      <c r="A362" s="12" t="str">
        <f aca="false">IF($B362="","",TEXT($B362,"yymm")&amp;"-"&amp;TEXT(COUNTIFS($B$3:$B362,"&gt;="&amp;DATE(YEAR($B362),MONTH($B362),1),$B$3:$B362,"&lt;="&amp;EOMONTH($B362,0)),"000"))</f>
        <v/>
      </c>
      <c r="B362" s="13"/>
      <c r="C362" s="10"/>
      <c r="D362" s="10"/>
      <c r="E362" s="12" t="str">
        <f aca="false">IF($D362="","",IFERROR(INDEX(품목목록!$B$3:$B$302,MATCH($D362,품목목록!$A$3:$A$302,0)),"미등록품번"))</f>
        <v/>
      </c>
      <c r="F362" s="12" t="str">
        <f aca="false">IF($D362="","",IFERROR(INDEX(품목목록!$C$3:$C$302,MATCH($D362,품목목록!$A$3:$A$302,0)),""))</f>
        <v/>
      </c>
      <c r="G362" s="12" t="str">
        <f aca="false">IF($D362="","",IFERROR(INDEX(품목목록!$D$3:$D$302,MATCH($D362,품목목록!$A$3:$A$302,0)),""))</f>
        <v/>
      </c>
      <c r="H362" s="12" t="str">
        <f aca="false">IF($D362="","",IFERROR(INDEX(품목목록!$E$3:$E$302,MATCH($D362,품목목록!$A$3:$A$302,0)),""))</f>
        <v/>
      </c>
      <c r="I362" s="14"/>
      <c r="J362" s="10"/>
      <c r="K362" s="10"/>
      <c r="L362" s="10"/>
      <c r="M362" s="15" t="str">
        <f aca="false">IF($A362="","",SUMIFS(처리내역!$E$3:$E$1502,처리내역!$B$3:$B$1502,$A362))</f>
        <v/>
      </c>
      <c r="N362" s="15" t="str">
        <f aca="false">IF($A362="","",IF($I362="","",$I362-$M362))</f>
        <v/>
      </c>
      <c r="O362" s="12" t="str">
        <f aca="false">IF($A362="","",IF($I362="","",IF($M362=0,"미처리",IF($N362&lt;=0,"완료","부분처리"))))</f>
        <v/>
      </c>
    </row>
    <row r="363" customFormat="false" ht="15" hidden="false" customHeight="true" outlineLevel="0" collapsed="false">
      <c r="A363" s="12" t="str">
        <f aca="false">IF($B363="","",TEXT($B363,"yymm")&amp;"-"&amp;TEXT(COUNTIFS($B$3:$B363,"&gt;="&amp;DATE(YEAR($B363),MONTH($B363),1),$B$3:$B363,"&lt;="&amp;EOMONTH($B363,0)),"000"))</f>
        <v/>
      </c>
      <c r="B363" s="13"/>
      <c r="C363" s="10"/>
      <c r="D363" s="10"/>
      <c r="E363" s="12" t="str">
        <f aca="false">IF($D363="","",IFERROR(INDEX(품목목록!$B$3:$B$302,MATCH($D363,품목목록!$A$3:$A$302,0)),"미등록품번"))</f>
        <v/>
      </c>
      <c r="F363" s="12" t="str">
        <f aca="false">IF($D363="","",IFERROR(INDEX(품목목록!$C$3:$C$302,MATCH($D363,품목목록!$A$3:$A$302,0)),""))</f>
        <v/>
      </c>
      <c r="G363" s="12" t="str">
        <f aca="false">IF($D363="","",IFERROR(INDEX(품목목록!$D$3:$D$302,MATCH($D363,품목목록!$A$3:$A$302,0)),""))</f>
        <v/>
      </c>
      <c r="H363" s="12" t="str">
        <f aca="false">IF($D363="","",IFERROR(INDEX(품목목록!$E$3:$E$302,MATCH($D363,품목목록!$A$3:$A$302,0)),""))</f>
        <v/>
      </c>
      <c r="I363" s="14"/>
      <c r="J363" s="10"/>
      <c r="K363" s="10"/>
      <c r="L363" s="10"/>
      <c r="M363" s="15" t="str">
        <f aca="false">IF($A363="","",SUMIFS(처리내역!$E$3:$E$1502,처리내역!$B$3:$B$1502,$A363))</f>
        <v/>
      </c>
      <c r="N363" s="15" t="str">
        <f aca="false">IF($A363="","",IF($I363="","",$I363-$M363))</f>
        <v/>
      </c>
      <c r="O363" s="12" t="str">
        <f aca="false">IF($A363="","",IF($I363="","",IF($M363=0,"미처리",IF($N363&lt;=0,"완료","부분처리"))))</f>
        <v/>
      </c>
    </row>
    <row r="364" customFormat="false" ht="15" hidden="false" customHeight="true" outlineLevel="0" collapsed="false">
      <c r="A364" s="12" t="str">
        <f aca="false">IF($B364="","",TEXT($B364,"yymm")&amp;"-"&amp;TEXT(COUNTIFS($B$3:$B364,"&gt;="&amp;DATE(YEAR($B364),MONTH($B364),1),$B$3:$B364,"&lt;="&amp;EOMONTH($B364,0)),"000"))</f>
        <v/>
      </c>
      <c r="B364" s="13"/>
      <c r="C364" s="10"/>
      <c r="D364" s="10"/>
      <c r="E364" s="12" t="str">
        <f aca="false">IF($D364="","",IFERROR(INDEX(품목목록!$B$3:$B$302,MATCH($D364,품목목록!$A$3:$A$302,0)),"미등록품번"))</f>
        <v/>
      </c>
      <c r="F364" s="12" t="str">
        <f aca="false">IF($D364="","",IFERROR(INDEX(품목목록!$C$3:$C$302,MATCH($D364,품목목록!$A$3:$A$302,0)),""))</f>
        <v/>
      </c>
      <c r="G364" s="12" t="str">
        <f aca="false">IF($D364="","",IFERROR(INDEX(품목목록!$D$3:$D$302,MATCH($D364,품목목록!$A$3:$A$302,0)),""))</f>
        <v/>
      </c>
      <c r="H364" s="12" t="str">
        <f aca="false">IF($D364="","",IFERROR(INDEX(품목목록!$E$3:$E$302,MATCH($D364,품목목록!$A$3:$A$302,0)),""))</f>
        <v/>
      </c>
      <c r="I364" s="14"/>
      <c r="J364" s="10"/>
      <c r="K364" s="10"/>
      <c r="L364" s="10"/>
      <c r="M364" s="15" t="str">
        <f aca="false">IF($A364="","",SUMIFS(처리내역!$E$3:$E$1502,처리내역!$B$3:$B$1502,$A364))</f>
        <v/>
      </c>
      <c r="N364" s="15" t="str">
        <f aca="false">IF($A364="","",IF($I364="","",$I364-$M364))</f>
        <v/>
      </c>
      <c r="O364" s="12" t="str">
        <f aca="false">IF($A364="","",IF($I364="","",IF($M364=0,"미처리",IF($N364&lt;=0,"완료","부분처리"))))</f>
        <v/>
      </c>
    </row>
    <row r="365" customFormat="false" ht="15" hidden="false" customHeight="true" outlineLevel="0" collapsed="false">
      <c r="A365" s="12" t="str">
        <f aca="false">IF($B365="","",TEXT($B365,"yymm")&amp;"-"&amp;TEXT(COUNTIFS($B$3:$B365,"&gt;="&amp;DATE(YEAR($B365),MONTH($B365),1),$B$3:$B365,"&lt;="&amp;EOMONTH($B365,0)),"000"))</f>
        <v/>
      </c>
      <c r="B365" s="13"/>
      <c r="C365" s="10"/>
      <c r="D365" s="10"/>
      <c r="E365" s="12" t="str">
        <f aca="false">IF($D365="","",IFERROR(INDEX(품목목록!$B$3:$B$302,MATCH($D365,품목목록!$A$3:$A$302,0)),"미등록품번"))</f>
        <v/>
      </c>
      <c r="F365" s="12" t="str">
        <f aca="false">IF($D365="","",IFERROR(INDEX(품목목록!$C$3:$C$302,MATCH($D365,품목목록!$A$3:$A$302,0)),""))</f>
        <v/>
      </c>
      <c r="G365" s="12" t="str">
        <f aca="false">IF($D365="","",IFERROR(INDEX(품목목록!$D$3:$D$302,MATCH($D365,품목목록!$A$3:$A$302,0)),""))</f>
        <v/>
      </c>
      <c r="H365" s="12" t="str">
        <f aca="false">IF($D365="","",IFERROR(INDEX(품목목록!$E$3:$E$302,MATCH($D365,품목목록!$A$3:$A$302,0)),""))</f>
        <v/>
      </c>
      <c r="I365" s="14"/>
      <c r="J365" s="10"/>
      <c r="K365" s="10"/>
      <c r="L365" s="10"/>
      <c r="M365" s="15" t="str">
        <f aca="false">IF($A365="","",SUMIFS(처리내역!$E$3:$E$1502,처리내역!$B$3:$B$1502,$A365))</f>
        <v/>
      </c>
      <c r="N365" s="15" t="str">
        <f aca="false">IF($A365="","",IF($I365="","",$I365-$M365))</f>
        <v/>
      </c>
      <c r="O365" s="12" t="str">
        <f aca="false">IF($A365="","",IF($I365="","",IF($M365=0,"미처리",IF($N365&lt;=0,"완료","부분처리"))))</f>
        <v/>
      </c>
    </row>
    <row r="366" customFormat="false" ht="15" hidden="false" customHeight="true" outlineLevel="0" collapsed="false">
      <c r="A366" s="12" t="str">
        <f aca="false">IF($B366="","",TEXT($B366,"yymm")&amp;"-"&amp;TEXT(COUNTIFS($B$3:$B366,"&gt;="&amp;DATE(YEAR($B366),MONTH($B366),1),$B$3:$B366,"&lt;="&amp;EOMONTH($B366,0)),"000"))</f>
        <v/>
      </c>
      <c r="B366" s="13"/>
      <c r="C366" s="10"/>
      <c r="D366" s="10"/>
      <c r="E366" s="12" t="str">
        <f aca="false">IF($D366="","",IFERROR(INDEX(품목목록!$B$3:$B$302,MATCH($D366,품목목록!$A$3:$A$302,0)),"미등록품번"))</f>
        <v/>
      </c>
      <c r="F366" s="12" t="str">
        <f aca="false">IF($D366="","",IFERROR(INDEX(품목목록!$C$3:$C$302,MATCH($D366,품목목록!$A$3:$A$302,0)),""))</f>
        <v/>
      </c>
      <c r="G366" s="12" t="str">
        <f aca="false">IF($D366="","",IFERROR(INDEX(품목목록!$D$3:$D$302,MATCH($D366,품목목록!$A$3:$A$302,0)),""))</f>
        <v/>
      </c>
      <c r="H366" s="12" t="str">
        <f aca="false">IF($D366="","",IFERROR(INDEX(품목목록!$E$3:$E$302,MATCH($D366,품목목록!$A$3:$A$302,0)),""))</f>
        <v/>
      </c>
      <c r="I366" s="14"/>
      <c r="J366" s="10"/>
      <c r="K366" s="10"/>
      <c r="L366" s="10"/>
      <c r="M366" s="15" t="str">
        <f aca="false">IF($A366="","",SUMIFS(처리내역!$E$3:$E$1502,처리내역!$B$3:$B$1502,$A366))</f>
        <v/>
      </c>
      <c r="N366" s="15" t="str">
        <f aca="false">IF($A366="","",IF($I366="","",$I366-$M366))</f>
        <v/>
      </c>
      <c r="O366" s="12" t="str">
        <f aca="false">IF($A366="","",IF($I366="","",IF($M366=0,"미처리",IF($N366&lt;=0,"완료","부분처리"))))</f>
        <v/>
      </c>
    </row>
    <row r="367" customFormat="false" ht="15" hidden="false" customHeight="true" outlineLevel="0" collapsed="false">
      <c r="A367" s="12" t="str">
        <f aca="false">IF($B367="","",TEXT($B367,"yymm")&amp;"-"&amp;TEXT(COUNTIFS($B$3:$B367,"&gt;="&amp;DATE(YEAR($B367),MONTH($B367),1),$B$3:$B367,"&lt;="&amp;EOMONTH($B367,0)),"000"))</f>
        <v/>
      </c>
      <c r="B367" s="13"/>
      <c r="C367" s="10"/>
      <c r="D367" s="10"/>
      <c r="E367" s="12" t="str">
        <f aca="false">IF($D367="","",IFERROR(INDEX(품목목록!$B$3:$B$302,MATCH($D367,품목목록!$A$3:$A$302,0)),"미등록품번"))</f>
        <v/>
      </c>
      <c r="F367" s="12" t="str">
        <f aca="false">IF($D367="","",IFERROR(INDEX(품목목록!$C$3:$C$302,MATCH($D367,품목목록!$A$3:$A$302,0)),""))</f>
        <v/>
      </c>
      <c r="G367" s="12" t="str">
        <f aca="false">IF($D367="","",IFERROR(INDEX(품목목록!$D$3:$D$302,MATCH($D367,품목목록!$A$3:$A$302,0)),""))</f>
        <v/>
      </c>
      <c r="H367" s="12" t="str">
        <f aca="false">IF($D367="","",IFERROR(INDEX(품목목록!$E$3:$E$302,MATCH($D367,품목목록!$A$3:$A$302,0)),""))</f>
        <v/>
      </c>
      <c r="I367" s="14"/>
      <c r="J367" s="10"/>
      <c r="K367" s="10"/>
      <c r="L367" s="10"/>
      <c r="M367" s="15" t="str">
        <f aca="false">IF($A367="","",SUMIFS(처리내역!$E$3:$E$1502,처리내역!$B$3:$B$1502,$A367))</f>
        <v/>
      </c>
      <c r="N367" s="15" t="str">
        <f aca="false">IF($A367="","",IF($I367="","",$I367-$M367))</f>
        <v/>
      </c>
      <c r="O367" s="12" t="str">
        <f aca="false">IF($A367="","",IF($I367="","",IF($M367=0,"미처리",IF($N367&lt;=0,"완료","부분처리"))))</f>
        <v/>
      </c>
    </row>
    <row r="368" customFormat="false" ht="15" hidden="false" customHeight="true" outlineLevel="0" collapsed="false">
      <c r="A368" s="12" t="str">
        <f aca="false">IF($B368="","",TEXT($B368,"yymm")&amp;"-"&amp;TEXT(COUNTIFS($B$3:$B368,"&gt;="&amp;DATE(YEAR($B368),MONTH($B368),1),$B$3:$B368,"&lt;="&amp;EOMONTH($B368,0)),"000"))</f>
        <v/>
      </c>
      <c r="B368" s="13"/>
      <c r="C368" s="10"/>
      <c r="D368" s="10"/>
      <c r="E368" s="12" t="str">
        <f aca="false">IF($D368="","",IFERROR(INDEX(품목목록!$B$3:$B$302,MATCH($D368,품목목록!$A$3:$A$302,0)),"미등록품번"))</f>
        <v/>
      </c>
      <c r="F368" s="12" t="str">
        <f aca="false">IF($D368="","",IFERROR(INDEX(품목목록!$C$3:$C$302,MATCH($D368,품목목록!$A$3:$A$302,0)),""))</f>
        <v/>
      </c>
      <c r="G368" s="12" t="str">
        <f aca="false">IF($D368="","",IFERROR(INDEX(품목목록!$D$3:$D$302,MATCH($D368,품목목록!$A$3:$A$302,0)),""))</f>
        <v/>
      </c>
      <c r="H368" s="12" t="str">
        <f aca="false">IF($D368="","",IFERROR(INDEX(품목목록!$E$3:$E$302,MATCH($D368,품목목록!$A$3:$A$302,0)),""))</f>
        <v/>
      </c>
      <c r="I368" s="14"/>
      <c r="J368" s="10"/>
      <c r="K368" s="10"/>
      <c r="L368" s="10"/>
      <c r="M368" s="15" t="str">
        <f aca="false">IF($A368="","",SUMIFS(처리내역!$E$3:$E$1502,처리내역!$B$3:$B$1502,$A368))</f>
        <v/>
      </c>
      <c r="N368" s="15" t="str">
        <f aca="false">IF($A368="","",IF($I368="","",$I368-$M368))</f>
        <v/>
      </c>
      <c r="O368" s="12" t="str">
        <f aca="false">IF($A368="","",IF($I368="","",IF($M368=0,"미처리",IF($N368&lt;=0,"완료","부분처리"))))</f>
        <v/>
      </c>
    </row>
    <row r="369" customFormat="false" ht="15" hidden="false" customHeight="true" outlineLevel="0" collapsed="false">
      <c r="A369" s="12" t="str">
        <f aca="false">IF($B369="","",TEXT($B369,"yymm")&amp;"-"&amp;TEXT(COUNTIFS($B$3:$B369,"&gt;="&amp;DATE(YEAR($B369),MONTH($B369),1),$B$3:$B369,"&lt;="&amp;EOMONTH($B369,0)),"000"))</f>
        <v/>
      </c>
      <c r="B369" s="13"/>
      <c r="C369" s="10"/>
      <c r="D369" s="10"/>
      <c r="E369" s="12" t="str">
        <f aca="false">IF($D369="","",IFERROR(INDEX(품목목록!$B$3:$B$302,MATCH($D369,품목목록!$A$3:$A$302,0)),"미등록품번"))</f>
        <v/>
      </c>
      <c r="F369" s="12" t="str">
        <f aca="false">IF($D369="","",IFERROR(INDEX(품목목록!$C$3:$C$302,MATCH($D369,품목목록!$A$3:$A$302,0)),""))</f>
        <v/>
      </c>
      <c r="G369" s="12" t="str">
        <f aca="false">IF($D369="","",IFERROR(INDEX(품목목록!$D$3:$D$302,MATCH($D369,품목목록!$A$3:$A$302,0)),""))</f>
        <v/>
      </c>
      <c r="H369" s="12" t="str">
        <f aca="false">IF($D369="","",IFERROR(INDEX(품목목록!$E$3:$E$302,MATCH($D369,품목목록!$A$3:$A$302,0)),""))</f>
        <v/>
      </c>
      <c r="I369" s="14"/>
      <c r="J369" s="10"/>
      <c r="K369" s="10"/>
      <c r="L369" s="10"/>
      <c r="M369" s="15" t="str">
        <f aca="false">IF($A369="","",SUMIFS(처리내역!$E$3:$E$1502,처리내역!$B$3:$B$1502,$A369))</f>
        <v/>
      </c>
      <c r="N369" s="15" t="str">
        <f aca="false">IF($A369="","",IF($I369="","",$I369-$M369))</f>
        <v/>
      </c>
      <c r="O369" s="12" t="str">
        <f aca="false">IF($A369="","",IF($I369="","",IF($M369=0,"미처리",IF($N369&lt;=0,"완료","부분처리"))))</f>
        <v/>
      </c>
    </row>
    <row r="370" customFormat="false" ht="15" hidden="false" customHeight="true" outlineLevel="0" collapsed="false">
      <c r="A370" s="12" t="str">
        <f aca="false">IF($B370="","",TEXT($B370,"yymm")&amp;"-"&amp;TEXT(COUNTIFS($B$3:$B370,"&gt;="&amp;DATE(YEAR($B370),MONTH($B370),1),$B$3:$B370,"&lt;="&amp;EOMONTH($B370,0)),"000"))</f>
        <v/>
      </c>
      <c r="B370" s="13"/>
      <c r="C370" s="10"/>
      <c r="D370" s="10"/>
      <c r="E370" s="12" t="str">
        <f aca="false">IF($D370="","",IFERROR(INDEX(품목목록!$B$3:$B$302,MATCH($D370,품목목록!$A$3:$A$302,0)),"미등록품번"))</f>
        <v/>
      </c>
      <c r="F370" s="12" t="str">
        <f aca="false">IF($D370="","",IFERROR(INDEX(품목목록!$C$3:$C$302,MATCH($D370,품목목록!$A$3:$A$302,0)),""))</f>
        <v/>
      </c>
      <c r="G370" s="12" t="str">
        <f aca="false">IF($D370="","",IFERROR(INDEX(품목목록!$D$3:$D$302,MATCH($D370,품목목록!$A$3:$A$302,0)),""))</f>
        <v/>
      </c>
      <c r="H370" s="12" t="str">
        <f aca="false">IF($D370="","",IFERROR(INDEX(품목목록!$E$3:$E$302,MATCH($D370,품목목록!$A$3:$A$302,0)),""))</f>
        <v/>
      </c>
      <c r="I370" s="14"/>
      <c r="J370" s="10"/>
      <c r="K370" s="10"/>
      <c r="L370" s="10"/>
      <c r="M370" s="15" t="str">
        <f aca="false">IF($A370="","",SUMIFS(처리내역!$E$3:$E$1502,처리내역!$B$3:$B$1502,$A370))</f>
        <v/>
      </c>
      <c r="N370" s="15" t="str">
        <f aca="false">IF($A370="","",IF($I370="","",$I370-$M370))</f>
        <v/>
      </c>
      <c r="O370" s="12" t="str">
        <f aca="false">IF($A370="","",IF($I370="","",IF($M370=0,"미처리",IF($N370&lt;=0,"완료","부분처리"))))</f>
        <v/>
      </c>
    </row>
    <row r="371" customFormat="false" ht="15" hidden="false" customHeight="true" outlineLevel="0" collapsed="false">
      <c r="A371" s="12" t="str">
        <f aca="false">IF($B371="","",TEXT($B371,"yymm")&amp;"-"&amp;TEXT(COUNTIFS($B$3:$B371,"&gt;="&amp;DATE(YEAR($B371),MONTH($B371),1),$B$3:$B371,"&lt;="&amp;EOMONTH($B371,0)),"000"))</f>
        <v/>
      </c>
      <c r="B371" s="13"/>
      <c r="C371" s="10"/>
      <c r="D371" s="10"/>
      <c r="E371" s="12" t="str">
        <f aca="false">IF($D371="","",IFERROR(INDEX(품목목록!$B$3:$B$302,MATCH($D371,품목목록!$A$3:$A$302,0)),"미등록품번"))</f>
        <v/>
      </c>
      <c r="F371" s="12" t="str">
        <f aca="false">IF($D371="","",IFERROR(INDEX(품목목록!$C$3:$C$302,MATCH($D371,품목목록!$A$3:$A$302,0)),""))</f>
        <v/>
      </c>
      <c r="G371" s="12" t="str">
        <f aca="false">IF($D371="","",IFERROR(INDEX(품목목록!$D$3:$D$302,MATCH($D371,품목목록!$A$3:$A$302,0)),""))</f>
        <v/>
      </c>
      <c r="H371" s="12" t="str">
        <f aca="false">IF($D371="","",IFERROR(INDEX(품목목록!$E$3:$E$302,MATCH($D371,품목목록!$A$3:$A$302,0)),""))</f>
        <v/>
      </c>
      <c r="I371" s="14"/>
      <c r="J371" s="10"/>
      <c r="K371" s="10"/>
      <c r="L371" s="10"/>
      <c r="M371" s="15" t="str">
        <f aca="false">IF($A371="","",SUMIFS(처리내역!$E$3:$E$1502,처리내역!$B$3:$B$1502,$A371))</f>
        <v/>
      </c>
      <c r="N371" s="15" t="str">
        <f aca="false">IF($A371="","",IF($I371="","",$I371-$M371))</f>
        <v/>
      </c>
      <c r="O371" s="12" t="str">
        <f aca="false">IF($A371="","",IF($I371="","",IF($M371=0,"미처리",IF($N371&lt;=0,"완료","부분처리"))))</f>
        <v/>
      </c>
    </row>
    <row r="372" customFormat="false" ht="15" hidden="false" customHeight="true" outlineLevel="0" collapsed="false">
      <c r="A372" s="12" t="str">
        <f aca="false">IF($B372="","",TEXT($B372,"yymm")&amp;"-"&amp;TEXT(COUNTIFS($B$3:$B372,"&gt;="&amp;DATE(YEAR($B372),MONTH($B372),1),$B$3:$B372,"&lt;="&amp;EOMONTH($B372,0)),"000"))</f>
        <v/>
      </c>
      <c r="B372" s="13"/>
      <c r="C372" s="10"/>
      <c r="D372" s="10"/>
      <c r="E372" s="12" t="str">
        <f aca="false">IF($D372="","",IFERROR(INDEX(품목목록!$B$3:$B$302,MATCH($D372,품목목록!$A$3:$A$302,0)),"미등록품번"))</f>
        <v/>
      </c>
      <c r="F372" s="12" t="str">
        <f aca="false">IF($D372="","",IFERROR(INDEX(품목목록!$C$3:$C$302,MATCH($D372,품목목록!$A$3:$A$302,0)),""))</f>
        <v/>
      </c>
      <c r="G372" s="12" t="str">
        <f aca="false">IF($D372="","",IFERROR(INDEX(품목목록!$D$3:$D$302,MATCH($D372,품목목록!$A$3:$A$302,0)),""))</f>
        <v/>
      </c>
      <c r="H372" s="12" t="str">
        <f aca="false">IF($D372="","",IFERROR(INDEX(품목목록!$E$3:$E$302,MATCH($D372,품목목록!$A$3:$A$302,0)),""))</f>
        <v/>
      </c>
      <c r="I372" s="14"/>
      <c r="J372" s="10"/>
      <c r="K372" s="10"/>
      <c r="L372" s="10"/>
      <c r="M372" s="15" t="str">
        <f aca="false">IF($A372="","",SUMIFS(처리내역!$E$3:$E$1502,처리내역!$B$3:$B$1502,$A372))</f>
        <v/>
      </c>
      <c r="N372" s="15" t="str">
        <f aca="false">IF($A372="","",IF($I372="","",$I372-$M372))</f>
        <v/>
      </c>
      <c r="O372" s="12" t="str">
        <f aca="false">IF($A372="","",IF($I372="","",IF($M372=0,"미처리",IF($N372&lt;=0,"완료","부분처리"))))</f>
        <v/>
      </c>
    </row>
    <row r="373" customFormat="false" ht="15" hidden="false" customHeight="true" outlineLevel="0" collapsed="false">
      <c r="A373" s="12" t="str">
        <f aca="false">IF($B373="","",TEXT($B373,"yymm")&amp;"-"&amp;TEXT(COUNTIFS($B$3:$B373,"&gt;="&amp;DATE(YEAR($B373),MONTH($B373),1),$B$3:$B373,"&lt;="&amp;EOMONTH($B373,0)),"000"))</f>
        <v/>
      </c>
      <c r="B373" s="13"/>
      <c r="C373" s="10"/>
      <c r="D373" s="10"/>
      <c r="E373" s="12" t="str">
        <f aca="false">IF($D373="","",IFERROR(INDEX(품목목록!$B$3:$B$302,MATCH($D373,품목목록!$A$3:$A$302,0)),"미등록품번"))</f>
        <v/>
      </c>
      <c r="F373" s="12" t="str">
        <f aca="false">IF($D373="","",IFERROR(INDEX(품목목록!$C$3:$C$302,MATCH($D373,품목목록!$A$3:$A$302,0)),""))</f>
        <v/>
      </c>
      <c r="G373" s="12" t="str">
        <f aca="false">IF($D373="","",IFERROR(INDEX(품목목록!$D$3:$D$302,MATCH($D373,품목목록!$A$3:$A$302,0)),""))</f>
        <v/>
      </c>
      <c r="H373" s="12" t="str">
        <f aca="false">IF($D373="","",IFERROR(INDEX(품목목록!$E$3:$E$302,MATCH($D373,품목목록!$A$3:$A$302,0)),""))</f>
        <v/>
      </c>
      <c r="I373" s="14"/>
      <c r="J373" s="10"/>
      <c r="K373" s="10"/>
      <c r="L373" s="10"/>
      <c r="M373" s="15" t="str">
        <f aca="false">IF($A373="","",SUMIFS(처리내역!$E$3:$E$1502,처리내역!$B$3:$B$1502,$A373))</f>
        <v/>
      </c>
      <c r="N373" s="15" t="str">
        <f aca="false">IF($A373="","",IF($I373="","",$I373-$M373))</f>
        <v/>
      </c>
      <c r="O373" s="12" t="str">
        <f aca="false">IF($A373="","",IF($I373="","",IF($M373=0,"미처리",IF($N373&lt;=0,"완료","부분처리"))))</f>
        <v/>
      </c>
    </row>
    <row r="374" customFormat="false" ht="15" hidden="false" customHeight="true" outlineLevel="0" collapsed="false">
      <c r="A374" s="12" t="str">
        <f aca="false">IF($B374="","",TEXT($B374,"yymm")&amp;"-"&amp;TEXT(COUNTIFS($B$3:$B374,"&gt;="&amp;DATE(YEAR($B374),MONTH($B374),1),$B$3:$B374,"&lt;="&amp;EOMONTH($B374,0)),"000"))</f>
        <v/>
      </c>
      <c r="B374" s="13"/>
      <c r="C374" s="10"/>
      <c r="D374" s="10"/>
      <c r="E374" s="12" t="str">
        <f aca="false">IF($D374="","",IFERROR(INDEX(품목목록!$B$3:$B$302,MATCH($D374,품목목록!$A$3:$A$302,0)),"미등록품번"))</f>
        <v/>
      </c>
      <c r="F374" s="12" t="str">
        <f aca="false">IF($D374="","",IFERROR(INDEX(품목목록!$C$3:$C$302,MATCH($D374,품목목록!$A$3:$A$302,0)),""))</f>
        <v/>
      </c>
      <c r="G374" s="12" t="str">
        <f aca="false">IF($D374="","",IFERROR(INDEX(품목목록!$D$3:$D$302,MATCH($D374,품목목록!$A$3:$A$302,0)),""))</f>
        <v/>
      </c>
      <c r="H374" s="12" t="str">
        <f aca="false">IF($D374="","",IFERROR(INDEX(품목목록!$E$3:$E$302,MATCH($D374,품목목록!$A$3:$A$302,0)),""))</f>
        <v/>
      </c>
      <c r="I374" s="14"/>
      <c r="J374" s="10"/>
      <c r="K374" s="10"/>
      <c r="L374" s="10"/>
      <c r="M374" s="15" t="str">
        <f aca="false">IF($A374="","",SUMIFS(처리내역!$E$3:$E$1502,처리내역!$B$3:$B$1502,$A374))</f>
        <v/>
      </c>
      <c r="N374" s="15" t="str">
        <f aca="false">IF($A374="","",IF($I374="","",$I374-$M374))</f>
        <v/>
      </c>
      <c r="O374" s="12" t="str">
        <f aca="false">IF($A374="","",IF($I374="","",IF($M374=0,"미처리",IF($N374&lt;=0,"완료","부분처리"))))</f>
        <v/>
      </c>
    </row>
    <row r="375" customFormat="false" ht="15" hidden="false" customHeight="true" outlineLevel="0" collapsed="false">
      <c r="A375" s="12" t="str">
        <f aca="false">IF($B375="","",TEXT($B375,"yymm")&amp;"-"&amp;TEXT(COUNTIFS($B$3:$B375,"&gt;="&amp;DATE(YEAR($B375),MONTH($B375),1),$B$3:$B375,"&lt;="&amp;EOMONTH($B375,0)),"000"))</f>
        <v/>
      </c>
      <c r="B375" s="13"/>
      <c r="C375" s="10"/>
      <c r="D375" s="10"/>
      <c r="E375" s="12" t="str">
        <f aca="false">IF($D375="","",IFERROR(INDEX(품목목록!$B$3:$B$302,MATCH($D375,품목목록!$A$3:$A$302,0)),"미등록품번"))</f>
        <v/>
      </c>
      <c r="F375" s="12" t="str">
        <f aca="false">IF($D375="","",IFERROR(INDEX(품목목록!$C$3:$C$302,MATCH($D375,품목목록!$A$3:$A$302,0)),""))</f>
        <v/>
      </c>
      <c r="G375" s="12" t="str">
        <f aca="false">IF($D375="","",IFERROR(INDEX(품목목록!$D$3:$D$302,MATCH($D375,품목목록!$A$3:$A$302,0)),""))</f>
        <v/>
      </c>
      <c r="H375" s="12" t="str">
        <f aca="false">IF($D375="","",IFERROR(INDEX(품목목록!$E$3:$E$302,MATCH($D375,품목목록!$A$3:$A$302,0)),""))</f>
        <v/>
      </c>
      <c r="I375" s="14"/>
      <c r="J375" s="10"/>
      <c r="K375" s="10"/>
      <c r="L375" s="10"/>
      <c r="M375" s="15" t="str">
        <f aca="false">IF($A375="","",SUMIFS(처리내역!$E$3:$E$1502,처리내역!$B$3:$B$1502,$A375))</f>
        <v/>
      </c>
      <c r="N375" s="15" t="str">
        <f aca="false">IF($A375="","",IF($I375="","",$I375-$M375))</f>
        <v/>
      </c>
      <c r="O375" s="12" t="str">
        <f aca="false">IF($A375="","",IF($I375="","",IF($M375=0,"미처리",IF($N375&lt;=0,"완료","부분처리"))))</f>
        <v/>
      </c>
    </row>
    <row r="376" customFormat="false" ht="15" hidden="false" customHeight="true" outlineLevel="0" collapsed="false">
      <c r="A376" s="12" t="str">
        <f aca="false">IF($B376="","",TEXT($B376,"yymm")&amp;"-"&amp;TEXT(COUNTIFS($B$3:$B376,"&gt;="&amp;DATE(YEAR($B376),MONTH($B376),1),$B$3:$B376,"&lt;="&amp;EOMONTH($B376,0)),"000"))</f>
        <v/>
      </c>
      <c r="B376" s="13"/>
      <c r="C376" s="10"/>
      <c r="D376" s="10"/>
      <c r="E376" s="12" t="str">
        <f aca="false">IF($D376="","",IFERROR(INDEX(품목목록!$B$3:$B$302,MATCH($D376,품목목록!$A$3:$A$302,0)),"미등록품번"))</f>
        <v/>
      </c>
      <c r="F376" s="12" t="str">
        <f aca="false">IF($D376="","",IFERROR(INDEX(품목목록!$C$3:$C$302,MATCH($D376,품목목록!$A$3:$A$302,0)),""))</f>
        <v/>
      </c>
      <c r="G376" s="12" t="str">
        <f aca="false">IF($D376="","",IFERROR(INDEX(품목목록!$D$3:$D$302,MATCH($D376,품목목록!$A$3:$A$302,0)),""))</f>
        <v/>
      </c>
      <c r="H376" s="12" t="str">
        <f aca="false">IF($D376="","",IFERROR(INDEX(품목목록!$E$3:$E$302,MATCH($D376,품목목록!$A$3:$A$302,0)),""))</f>
        <v/>
      </c>
      <c r="I376" s="14"/>
      <c r="J376" s="10"/>
      <c r="K376" s="10"/>
      <c r="L376" s="10"/>
      <c r="M376" s="15" t="str">
        <f aca="false">IF($A376="","",SUMIFS(처리내역!$E$3:$E$1502,처리내역!$B$3:$B$1502,$A376))</f>
        <v/>
      </c>
      <c r="N376" s="15" t="str">
        <f aca="false">IF($A376="","",IF($I376="","",$I376-$M376))</f>
        <v/>
      </c>
      <c r="O376" s="12" t="str">
        <f aca="false">IF($A376="","",IF($I376="","",IF($M376=0,"미처리",IF($N376&lt;=0,"완료","부분처리"))))</f>
        <v/>
      </c>
    </row>
    <row r="377" customFormat="false" ht="15" hidden="false" customHeight="true" outlineLevel="0" collapsed="false">
      <c r="A377" s="12" t="str">
        <f aca="false">IF($B377="","",TEXT($B377,"yymm")&amp;"-"&amp;TEXT(COUNTIFS($B$3:$B377,"&gt;="&amp;DATE(YEAR($B377),MONTH($B377),1),$B$3:$B377,"&lt;="&amp;EOMONTH($B377,0)),"000"))</f>
        <v/>
      </c>
      <c r="B377" s="13"/>
      <c r="C377" s="10"/>
      <c r="D377" s="10"/>
      <c r="E377" s="12" t="str">
        <f aca="false">IF($D377="","",IFERROR(INDEX(품목목록!$B$3:$B$302,MATCH($D377,품목목록!$A$3:$A$302,0)),"미등록품번"))</f>
        <v/>
      </c>
      <c r="F377" s="12" t="str">
        <f aca="false">IF($D377="","",IFERROR(INDEX(품목목록!$C$3:$C$302,MATCH($D377,품목목록!$A$3:$A$302,0)),""))</f>
        <v/>
      </c>
      <c r="G377" s="12" t="str">
        <f aca="false">IF($D377="","",IFERROR(INDEX(품목목록!$D$3:$D$302,MATCH($D377,품목목록!$A$3:$A$302,0)),""))</f>
        <v/>
      </c>
      <c r="H377" s="12" t="str">
        <f aca="false">IF($D377="","",IFERROR(INDEX(품목목록!$E$3:$E$302,MATCH($D377,품목목록!$A$3:$A$302,0)),""))</f>
        <v/>
      </c>
      <c r="I377" s="14"/>
      <c r="J377" s="10"/>
      <c r="K377" s="10"/>
      <c r="L377" s="10"/>
      <c r="M377" s="15" t="str">
        <f aca="false">IF($A377="","",SUMIFS(처리내역!$E$3:$E$1502,처리내역!$B$3:$B$1502,$A377))</f>
        <v/>
      </c>
      <c r="N377" s="15" t="str">
        <f aca="false">IF($A377="","",IF($I377="","",$I377-$M377))</f>
        <v/>
      </c>
      <c r="O377" s="12" t="str">
        <f aca="false">IF($A377="","",IF($I377="","",IF($M377=0,"미처리",IF($N377&lt;=0,"완료","부분처리"))))</f>
        <v/>
      </c>
    </row>
    <row r="378" customFormat="false" ht="15" hidden="false" customHeight="true" outlineLevel="0" collapsed="false">
      <c r="A378" s="12" t="str">
        <f aca="false">IF($B378="","",TEXT($B378,"yymm")&amp;"-"&amp;TEXT(COUNTIFS($B$3:$B378,"&gt;="&amp;DATE(YEAR($B378),MONTH($B378),1),$B$3:$B378,"&lt;="&amp;EOMONTH($B378,0)),"000"))</f>
        <v/>
      </c>
      <c r="B378" s="13"/>
      <c r="C378" s="10"/>
      <c r="D378" s="10"/>
      <c r="E378" s="12" t="str">
        <f aca="false">IF($D378="","",IFERROR(INDEX(품목목록!$B$3:$B$302,MATCH($D378,품목목록!$A$3:$A$302,0)),"미등록품번"))</f>
        <v/>
      </c>
      <c r="F378" s="12" t="str">
        <f aca="false">IF($D378="","",IFERROR(INDEX(품목목록!$C$3:$C$302,MATCH($D378,품목목록!$A$3:$A$302,0)),""))</f>
        <v/>
      </c>
      <c r="G378" s="12" t="str">
        <f aca="false">IF($D378="","",IFERROR(INDEX(품목목록!$D$3:$D$302,MATCH($D378,품목목록!$A$3:$A$302,0)),""))</f>
        <v/>
      </c>
      <c r="H378" s="12" t="str">
        <f aca="false">IF($D378="","",IFERROR(INDEX(품목목록!$E$3:$E$302,MATCH($D378,품목목록!$A$3:$A$302,0)),""))</f>
        <v/>
      </c>
      <c r="I378" s="14"/>
      <c r="J378" s="10"/>
      <c r="K378" s="10"/>
      <c r="L378" s="10"/>
      <c r="M378" s="15" t="str">
        <f aca="false">IF($A378="","",SUMIFS(처리내역!$E$3:$E$1502,처리내역!$B$3:$B$1502,$A378))</f>
        <v/>
      </c>
      <c r="N378" s="15" t="str">
        <f aca="false">IF($A378="","",IF($I378="","",$I378-$M378))</f>
        <v/>
      </c>
      <c r="O378" s="12" t="str">
        <f aca="false">IF($A378="","",IF($I378="","",IF($M378=0,"미처리",IF($N378&lt;=0,"완료","부분처리"))))</f>
        <v/>
      </c>
    </row>
    <row r="379" customFormat="false" ht="15" hidden="false" customHeight="true" outlineLevel="0" collapsed="false">
      <c r="A379" s="12" t="str">
        <f aca="false">IF($B379="","",TEXT($B379,"yymm")&amp;"-"&amp;TEXT(COUNTIFS($B$3:$B379,"&gt;="&amp;DATE(YEAR($B379),MONTH($B379),1),$B$3:$B379,"&lt;="&amp;EOMONTH($B379,0)),"000"))</f>
        <v/>
      </c>
      <c r="B379" s="13"/>
      <c r="C379" s="10"/>
      <c r="D379" s="10"/>
      <c r="E379" s="12" t="str">
        <f aca="false">IF($D379="","",IFERROR(INDEX(품목목록!$B$3:$B$302,MATCH($D379,품목목록!$A$3:$A$302,0)),"미등록품번"))</f>
        <v/>
      </c>
      <c r="F379" s="12" t="str">
        <f aca="false">IF($D379="","",IFERROR(INDEX(품목목록!$C$3:$C$302,MATCH($D379,품목목록!$A$3:$A$302,0)),""))</f>
        <v/>
      </c>
      <c r="G379" s="12" t="str">
        <f aca="false">IF($D379="","",IFERROR(INDEX(품목목록!$D$3:$D$302,MATCH($D379,품목목록!$A$3:$A$302,0)),""))</f>
        <v/>
      </c>
      <c r="H379" s="12" t="str">
        <f aca="false">IF($D379="","",IFERROR(INDEX(품목목록!$E$3:$E$302,MATCH($D379,품목목록!$A$3:$A$302,0)),""))</f>
        <v/>
      </c>
      <c r="I379" s="14"/>
      <c r="J379" s="10"/>
      <c r="K379" s="10"/>
      <c r="L379" s="10"/>
      <c r="M379" s="15" t="str">
        <f aca="false">IF($A379="","",SUMIFS(처리내역!$E$3:$E$1502,처리내역!$B$3:$B$1502,$A379))</f>
        <v/>
      </c>
      <c r="N379" s="15" t="str">
        <f aca="false">IF($A379="","",IF($I379="","",$I379-$M379))</f>
        <v/>
      </c>
      <c r="O379" s="12" t="str">
        <f aca="false">IF($A379="","",IF($I379="","",IF($M379=0,"미처리",IF($N379&lt;=0,"완료","부분처리"))))</f>
        <v/>
      </c>
    </row>
    <row r="380" customFormat="false" ht="15" hidden="false" customHeight="true" outlineLevel="0" collapsed="false">
      <c r="A380" s="12" t="str">
        <f aca="false">IF($B380="","",TEXT($B380,"yymm")&amp;"-"&amp;TEXT(COUNTIFS($B$3:$B380,"&gt;="&amp;DATE(YEAR($B380),MONTH($B380),1),$B$3:$B380,"&lt;="&amp;EOMONTH($B380,0)),"000"))</f>
        <v/>
      </c>
      <c r="B380" s="13"/>
      <c r="C380" s="10"/>
      <c r="D380" s="10"/>
      <c r="E380" s="12" t="str">
        <f aca="false">IF($D380="","",IFERROR(INDEX(품목목록!$B$3:$B$302,MATCH($D380,품목목록!$A$3:$A$302,0)),"미등록품번"))</f>
        <v/>
      </c>
      <c r="F380" s="12" t="str">
        <f aca="false">IF($D380="","",IFERROR(INDEX(품목목록!$C$3:$C$302,MATCH($D380,품목목록!$A$3:$A$302,0)),""))</f>
        <v/>
      </c>
      <c r="G380" s="12" t="str">
        <f aca="false">IF($D380="","",IFERROR(INDEX(품목목록!$D$3:$D$302,MATCH($D380,품목목록!$A$3:$A$302,0)),""))</f>
        <v/>
      </c>
      <c r="H380" s="12" t="str">
        <f aca="false">IF($D380="","",IFERROR(INDEX(품목목록!$E$3:$E$302,MATCH($D380,품목목록!$A$3:$A$302,0)),""))</f>
        <v/>
      </c>
      <c r="I380" s="14"/>
      <c r="J380" s="10"/>
      <c r="K380" s="10"/>
      <c r="L380" s="10"/>
      <c r="M380" s="15" t="str">
        <f aca="false">IF($A380="","",SUMIFS(처리내역!$E$3:$E$1502,처리내역!$B$3:$B$1502,$A380))</f>
        <v/>
      </c>
      <c r="N380" s="15" t="str">
        <f aca="false">IF($A380="","",IF($I380="","",$I380-$M380))</f>
        <v/>
      </c>
      <c r="O380" s="12" t="str">
        <f aca="false">IF($A380="","",IF($I380="","",IF($M380=0,"미처리",IF($N380&lt;=0,"완료","부분처리"))))</f>
        <v/>
      </c>
    </row>
    <row r="381" customFormat="false" ht="15" hidden="false" customHeight="true" outlineLevel="0" collapsed="false">
      <c r="A381" s="12" t="str">
        <f aca="false">IF($B381="","",TEXT($B381,"yymm")&amp;"-"&amp;TEXT(COUNTIFS($B$3:$B381,"&gt;="&amp;DATE(YEAR($B381),MONTH($B381),1),$B$3:$B381,"&lt;="&amp;EOMONTH($B381,0)),"000"))</f>
        <v/>
      </c>
      <c r="B381" s="13"/>
      <c r="C381" s="10"/>
      <c r="D381" s="10"/>
      <c r="E381" s="12" t="str">
        <f aca="false">IF($D381="","",IFERROR(INDEX(품목목록!$B$3:$B$302,MATCH($D381,품목목록!$A$3:$A$302,0)),"미등록품번"))</f>
        <v/>
      </c>
      <c r="F381" s="12" t="str">
        <f aca="false">IF($D381="","",IFERROR(INDEX(품목목록!$C$3:$C$302,MATCH($D381,품목목록!$A$3:$A$302,0)),""))</f>
        <v/>
      </c>
      <c r="G381" s="12" t="str">
        <f aca="false">IF($D381="","",IFERROR(INDEX(품목목록!$D$3:$D$302,MATCH($D381,품목목록!$A$3:$A$302,0)),""))</f>
        <v/>
      </c>
      <c r="H381" s="12" t="str">
        <f aca="false">IF($D381="","",IFERROR(INDEX(품목목록!$E$3:$E$302,MATCH($D381,품목목록!$A$3:$A$302,0)),""))</f>
        <v/>
      </c>
      <c r="I381" s="14"/>
      <c r="J381" s="10"/>
      <c r="K381" s="10"/>
      <c r="L381" s="10"/>
      <c r="M381" s="15" t="str">
        <f aca="false">IF($A381="","",SUMIFS(처리내역!$E$3:$E$1502,처리내역!$B$3:$B$1502,$A381))</f>
        <v/>
      </c>
      <c r="N381" s="15" t="str">
        <f aca="false">IF($A381="","",IF($I381="","",$I381-$M381))</f>
        <v/>
      </c>
      <c r="O381" s="12" t="str">
        <f aca="false">IF($A381="","",IF($I381="","",IF($M381=0,"미처리",IF($N381&lt;=0,"완료","부분처리"))))</f>
        <v/>
      </c>
    </row>
    <row r="382" customFormat="false" ht="15" hidden="false" customHeight="true" outlineLevel="0" collapsed="false">
      <c r="A382" s="12" t="str">
        <f aca="false">IF($B382="","",TEXT($B382,"yymm")&amp;"-"&amp;TEXT(COUNTIFS($B$3:$B382,"&gt;="&amp;DATE(YEAR($B382),MONTH($B382),1),$B$3:$B382,"&lt;="&amp;EOMONTH($B382,0)),"000"))</f>
        <v/>
      </c>
      <c r="B382" s="13"/>
      <c r="C382" s="10"/>
      <c r="D382" s="10"/>
      <c r="E382" s="12" t="str">
        <f aca="false">IF($D382="","",IFERROR(INDEX(품목목록!$B$3:$B$302,MATCH($D382,품목목록!$A$3:$A$302,0)),"미등록품번"))</f>
        <v/>
      </c>
      <c r="F382" s="12" t="str">
        <f aca="false">IF($D382="","",IFERROR(INDEX(품목목록!$C$3:$C$302,MATCH($D382,품목목록!$A$3:$A$302,0)),""))</f>
        <v/>
      </c>
      <c r="G382" s="12" t="str">
        <f aca="false">IF($D382="","",IFERROR(INDEX(품목목록!$D$3:$D$302,MATCH($D382,품목목록!$A$3:$A$302,0)),""))</f>
        <v/>
      </c>
      <c r="H382" s="12" t="str">
        <f aca="false">IF($D382="","",IFERROR(INDEX(품목목록!$E$3:$E$302,MATCH($D382,품목목록!$A$3:$A$302,0)),""))</f>
        <v/>
      </c>
      <c r="I382" s="14"/>
      <c r="J382" s="10"/>
      <c r="K382" s="10"/>
      <c r="L382" s="10"/>
      <c r="M382" s="15" t="str">
        <f aca="false">IF($A382="","",SUMIFS(처리내역!$E$3:$E$1502,처리내역!$B$3:$B$1502,$A382))</f>
        <v/>
      </c>
      <c r="N382" s="15" t="str">
        <f aca="false">IF($A382="","",IF($I382="","",$I382-$M382))</f>
        <v/>
      </c>
      <c r="O382" s="12" t="str">
        <f aca="false">IF($A382="","",IF($I382="","",IF($M382=0,"미처리",IF($N382&lt;=0,"완료","부분처리"))))</f>
        <v/>
      </c>
    </row>
    <row r="383" customFormat="false" ht="15" hidden="false" customHeight="true" outlineLevel="0" collapsed="false">
      <c r="A383" s="12" t="str">
        <f aca="false">IF($B383="","",TEXT($B383,"yymm")&amp;"-"&amp;TEXT(COUNTIFS($B$3:$B383,"&gt;="&amp;DATE(YEAR($B383),MONTH($B383),1),$B$3:$B383,"&lt;="&amp;EOMONTH($B383,0)),"000"))</f>
        <v/>
      </c>
      <c r="B383" s="13"/>
      <c r="C383" s="10"/>
      <c r="D383" s="10"/>
      <c r="E383" s="12" t="str">
        <f aca="false">IF($D383="","",IFERROR(INDEX(품목목록!$B$3:$B$302,MATCH($D383,품목목록!$A$3:$A$302,0)),"미등록품번"))</f>
        <v/>
      </c>
      <c r="F383" s="12" t="str">
        <f aca="false">IF($D383="","",IFERROR(INDEX(품목목록!$C$3:$C$302,MATCH($D383,품목목록!$A$3:$A$302,0)),""))</f>
        <v/>
      </c>
      <c r="G383" s="12" t="str">
        <f aca="false">IF($D383="","",IFERROR(INDEX(품목목록!$D$3:$D$302,MATCH($D383,품목목록!$A$3:$A$302,0)),""))</f>
        <v/>
      </c>
      <c r="H383" s="12" t="str">
        <f aca="false">IF($D383="","",IFERROR(INDEX(품목목록!$E$3:$E$302,MATCH($D383,품목목록!$A$3:$A$302,0)),""))</f>
        <v/>
      </c>
      <c r="I383" s="14"/>
      <c r="J383" s="10"/>
      <c r="K383" s="10"/>
      <c r="L383" s="10"/>
      <c r="M383" s="15" t="str">
        <f aca="false">IF($A383="","",SUMIFS(처리내역!$E$3:$E$1502,처리내역!$B$3:$B$1502,$A383))</f>
        <v/>
      </c>
      <c r="N383" s="15" t="str">
        <f aca="false">IF($A383="","",IF($I383="","",$I383-$M383))</f>
        <v/>
      </c>
      <c r="O383" s="12" t="str">
        <f aca="false">IF($A383="","",IF($I383="","",IF($M383=0,"미처리",IF($N383&lt;=0,"완료","부분처리"))))</f>
        <v/>
      </c>
    </row>
    <row r="384" customFormat="false" ht="15" hidden="false" customHeight="true" outlineLevel="0" collapsed="false">
      <c r="A384" s="12" t="str">
        <f aca="false">IF($B384="","",TEXT($B384,"yymm")&amp;"-"&amp;TEXT(COUNTIFS($B$3:$B384,"&gt;="&amp;DATE(YEAR($B384),MONTH($B384),1),$B$3:$B384,"&lt;="&amp;EOMONTH($B384,0)),"000"))</f>
        <v/>
      </c>
      <c r="B384" s="13"/>
      <c r="C384" s="10"/>
      <c r="D384" s="10"/>
      <c r="E384" s="12" t="str">
        <f aca="false">IF($D384="","",IFERROR(INDEX(품목목록!$B$3:$B$302,MATCH($D384,품목목록!$A$3:$A$302,0)),"미등록품번"))</f>
        <v/>
      </c>
      <c r="F384" s="12" t="str">
        <f aca="false">IF($D384="","",IFERROR(INDEX(품목목록!$C$3:$C$302,MATCH($D384,품목목록!$A$3:$A$302,0)),""))</f>
        <v/>
      </c>
      <c r="G384" s="12" t="str">
        <f aca="false">IF($D384="","",IFERROR(INDEX(품목목록!$D$3:$D$302,MATCH($D384,품목목록!$A$3:$A$302,0)),""))</f>
        <v/>
      </c>
      <c r="H384" s="12" t="str">
        <f aca="false">IF($D384="","",IFERROR(INDEX(품목목록!$E$3:$E$302,MATCH($D384,품목목록!$A$3:$A$302,0)),""))</f>
        <v/>
      </c>
      <c r="I384" s="14"/>
      <c r="J384" s="10"/>
      <c r="K384" s="10"/>
      <c r="L384" s="10"/>
      <c r="M384" s="15" t="str">
        <f aca="false">IF($A384="","",SUMIFS(처리내역!$E$3:$E$1502,처리내역!$B$3:$B$1502,$A384))</f>
        <v/>
      </c>
      <c r="N384" s="15" t="str">
        <f aca="false">IF($A384="","",IF($I384="","",$I384-$M384))</f>
        <v/>
      </c>
      <c r="O384" s="12" t="str">
        <f aca="false">IF($A384="","",IF($I384="","",IF($M384=0,"미처리",IF($N384&lt;=0,"완료","부분처리"))))</f>
        <v/>
      </c>
    </row>
    <row r="385" customFormat="false" ht="15" hidden="false" customHeight="true" outlineLevel="0" collapsed="false">
      <c r="A385" s="12" t="str">
        <f aca="false">IF($B385="","",TEXT($B385,"yymm")&amp;"-"&amp;TEXT(COUNTIFS($B$3:$B385,"&gt;="&amp;DATE(YEAR($B385),MONTH($B385),1),$B$3:$B385,"&lt;="&amp;EOMONTH($B385,0)),"000"))</f>
        <v/>
      </c>
      <c r="B385" s="13"/>
      <c r="C385" s="10"/>
      <c r="D385" s="10"/>
      <c r="E385" s="12" t="str">
        <f aca="false">IF($D385="","",IFERROR(INDEX(품목목록!$B$3:$B$302,MATCH($D385,품목목록!$A$3:$A$302,0)),"미등록품번"))</f>
        <v/>
      </c>
      <c r="F385" s="12" t="str">
        <f aca="false">IF($D385="","",IFERROR(INDEX(품목목록!$C$3:$C$302,MATCH($D385,품목목록!$A$3:$A$302,0)),""))</f>
        <v/>
      </c>
      <c r="G385" s="12" t="str">
        <f aca="false">IF($D385="","",IFERROR(INDEX(품목목록!$D$3:$D$302,MATCH($D385,품목목록!$A$3:$A$302,0)),""))</f>
        <v/>
      </c>
      <c r="H385" s="12" t="str">
        <f aca="false">IF($D385="","",IFERROR(INDEX(품목목록!$E$3:$E$302,MATCH($D385,품목목록!$A$3:$A$302,0)),""))</f>
        <v/>
      </c>
      <c r="I385" s="14"/>
      <c r="J385" s="10"/>
      <c r="K385" s="10"/>
      <c r="L385" s="10"/>
      <c r="M385" s="15" t="str">
        <f aca="false">IF($A385="","",SUMIFS(처리내역!$E$3:$E$1502,처리내역!$B$3:$B$1502,$A385))</f>
        <v/>
      </c>
      <c r="N385" s="15" t="str">
        <f aca="false">IF($A385="","",IF($I385="","",$I385-$M385))</f>
        <v/>
      </c>
      <c r="O385" s="12" t="str">
        <f aca="false">IF($A385="","",IF($I385="","",IF($M385=0,"미처리",IF($N385&lt;=0,"완료","부분처리"))))</f>
        <v/>
      </c>
    </row>
    <row r="386" customFormat="false" ht="15" hidden="false" customHeight="true" outlineLevel="0" collapsed="false">
      <c r="A386" s="12" t="str">
        <f aca="false">IF($B386="","",TEXT($B386,"yymm")&amp;"-"&amp;TEXT(COUNTIFS($B$3:$B386,"&gt;="&amp;DATE(YEAR($B386),MONTH($B386),1),$B$3:$B386,"&lt;="&amp;EOMONTH($B386,0)),"000"))</f>
        <v/>
      </c>
      <c r="B386" s="13"/>
      <c r="C386" s="10"/>
      <c r="D386" s="10"/>
      <c r="E386" s="12" t="str">
        <f aca="false">IF($D386="","",IFERROR(INDEX(품목목록!$B$3:$B$302,MATCH($D386,품목목록!$A$3:$A$302,0)),"미등록품번"))</f>
        <v/>
      </c>
      <c r="F386" s="12" t="str">
        <f aca="false">IF($D386="","",IFERROR(INDEX(품목목록!$C$3:$C$302,MATCH($D386,품목목록!$A$3:$A$302,0)),""))</f>
        <v/>
      </c>
      <c r="G386" s="12" t="str">
        <f aca="false">IF($D386="","",IFERROR(INDEX(품목목록!$D$3:$D$302,MATCH($D386,품목목록!$A$3:$A$302,0)),""))</f>
        <v/>
      </c>
      <c r="H386" s="12" t="str">
        <f aca="false">IF($D386="","",IFERROR(INDEX(품목목록!$E$3:$E$302,MATCH($D386,품목목록!$A$3:$A$302,0)),""))</f>
        <v/>
      </c>
      <c r="I386" s="14"/>
      <c r="J386" s="10"/>
      <c r="K386" s="10"/>
      <c r="L386" s="10"/>
      <c r="M386" s="15" t="str">
        <f aca="false">IF($A386="","",SUMIFS(처리내역!$E$3:$E$1502,처리내역!$B$3:$B$1502,$A386))</f>
        <v/>
      </c>
      <c r="N386" s="15" t="str">
        <f aca="false">IF($A386="","",IF($I386="","",$I386-$M386))</f>
        <v/>
      </c>
      <c r="O386" s="12" t="str">
        <f aca="false">IF($A386="","",IF($I386="","",IF($M386=0,"미처리",IF($N386&lt;=0,"완료","부분처리"))))</f>
        <v/>
      </c>
    </row>
    <row r="387" customFormat="false" ht="15" hidden="false" customHeight="true" outlineLevel="0" collapsed="false">
      <c r="A387" s="12" t="str">
        <f aca="false">IF($B387="","",TEXT($B387,"yymm")&amp;"-"&amp;TEXT(COUNTIFS($B$3:$B387,"&gt;="&amp;DATE(YEAR($B387),MONTH($B387),1),$B$3:$B387,"&lt;="&amp;EOMONTH($B387,0)),"000"))</f>
        <v/>
      </c>
      <c r="B387" s="13"/>
      <c r="C387" s="10"/>
      <c r="D387" s="10"/>
      <c r="E387" s="12" t="str">
        <f aca="false">IF($D387="","",IFERROR(INDEX(품목목록!$B$3:$B$302,MATCH($D387,품목목록!$A$3:$A$302,0)),"미등록품번"))</f>
        <v/>
      </c>
      <c r="F387" s="12" t="str">
        <f aca="false">IF($D387="","",IFERROR(INDEX(품목목록!$C$3:$C$302,MATCH($D387,품목목록!$A$3:$A$302,0)),""))</f>
        <v/>
      </c>
      <c r="G387" s="12" t="str">
        <f aca="false">IF($D387="","",IFERROR(INDEX(품목목록!$D$3:$D$302,MATCH($D387,품목목록!$A$3:$A$302,0)),""))</f>
        <v/>
      </c>
      <c r="H387" s="12" t="str">
        <f aca="false">IF($D387="","",IFERROR(INDEX(품목목록!$E$3:$E$302,MATCH($D387,품목목록!$A$3:$A$302,0)),""))</f>
        <v/>
      </c>
      <c r="I387" s="14"/>
      <c r="J387" s="10"/>
      <c r="K387" s="10"/>
      <c r="L387" s="10"/>
      <c r="M387" s="15" t="str">
        <f aca="false">IF($A387="","",SUMIFS(처리내역!$E$3:$E$1502,처리내역!$B$3:$B$1502,$A387))</f>
        <v/>
      </c>
      <c r="N387" s="15" t="str">
        <f aca="false">IF($A387="","",IF($I387="","",$I387-$M387))</f>
        <v/>
      </c>
      <c r="O387" s="12" t="str">
        <f aca="false">IF($A387="","",IF($I387="","",IF($M387=0,"미처리",IF($N387&lt;=0,"완료","부분처리"))))</f>
        <v/>
      </c>
    </row>
    <row r="388" customFormat="false" ht="15" hidden="false" customHeight="true" outlineLevel="0" collapsed="false">
      <c r="A388" s="12" t="str">
        <f aca="false">IF($B388="","",TEXT($B388,"yymm")&amp;"-"&amp;TEXT(COUNTIFS($B$3:$B388,"&gt;="&amp;DATE(YEAR($B388),MONTH($B388),1),$B$3:$B388,"&lt;="&amp;EOMONTH($B388,0)),"000"))</f>
        <v/>
      </c>
      <c r="B388" s="13"/>
      <c r="C388" s="10"/>
      <c r="D388" s="10"/>
      <c r="E388" s="12" t="str">
        <f aca="false">IF($D388="","",IFERROR(INDEX(품목목록!$B$3:$B$302,MATCH($D388,품목목록!$A$3:$A$302,0)),"미등록품번"))</f>
        <v/>
      </c>
      <c r="F388" s="12" t="str">
        <f aca="false">IF($D388="","",IFERROR(INDEX(품목목록!$C$3:$C$302,MATCH($D388,품목목록!$A$3:$A$302,0)),""))</f>
        <v/>
      </c>
      <c r="G388" s="12" t="str">
        <f aca="false">IF($D388="","",IFERROR(INDEX(품목목록!$D$3:$D$302,MATCH($D388,품목목록!$A$3:$A$302,0)),""))</f>
        <v/>
      </c>
      <c r="H388" s="12" t="str">
        <f aca="false">IF($D388="","",IFERROR(INDEX(품목목록!$E$3:$E$302,MATCH($D388,품목목록!$A$3:$A$302,0)),""))</f>
        <v/>
      </c>
      <c r="I388" s="14"/>
      <c r="J388" s="10"/>
      <c r="K388" s="10"/>
      <c r="L388" s="10"/>
      <c r="M388" s="15" t="str">
        <f aca="false">IF($A388="","",SUMIFS(처리내역!$E$3:$E$1502,처리내역!$B$3:$B$1502,$A388))</f>
        <v/>
      </c>
      <c r="N388" s="15" t="str">
        <f aca="false">IF($A388="","",IF($I388="","",$I388-$M388))</f>
        <v/>
      </c>
      <c r="O388" s="12" t="str">
        <f aca="false">IF($A388="","",IF($I388="","",IF($M388=0,"미처리",IF($N388&lt;=0,"완료","부분처리"))))</f>
        <v/>
      </c>
    </row>
    <row r="389" customFormat="false" ht="15" hidden="false" customHeight="true" outlineLevel="0" collapsed="false">
      <c r="A389" s="12" t="str">
        <f aca="false">IF($B389="","",TEXT($B389,"yymm")&amp;"-"&amp;TEXT(COUNTIFS($B$3:$B389,"&gt;="&amp;DATE(YEAR($B389),MONTH($B389),1),$B$3:$B389,"&lt;="&amp;EOMONTH($B389,0)),"000"))</f>
        <v/>
      </c>
      <c r="B389" s="13"/>
      <c r="C389" s="10"/>
      <c r="D389" s="10"/>
      <c r="E389" s="12" t="str">
        <f aca="false">IF($D389="","",IFERROR(INDEX(품목목록!$B$3:$B$302,MATCH($D389,품목목록!$A$3:$A$302,0)),"미등록품번"))</f>
        <v/>
      </c>
      <c r="F389" s="12" t="str">
        <f aca="false">IF($D389="","",IFERROR(INDEX(품목목록!$C$3:$C$302,MATCH($D389,품목목록!$A$3:$A$302,0)),""))</f>
        <v/>
      </c>
      <c r="G389" s="12" t="str">
        <f aca="false">IF($D389="","",IFERROR(INDEX(품목목록!$D$3:$D$302,MATCH($D389,품목목록!$A$3:$A$302,0)),""))</f>
        <v/>
      </c>
      <c r="H389" s="12" t="str">
        <f aca="false">IF($D389="","",IFERROR(INDEX(품목목록!$E$3:$E$302,MATCH($D389,품목목록!$A$3:$A$302,0)),""))</f>
        <v/>
      </c>
      <c r="I389" s="14"/>
      <c r="J389" s="10"/>
      <c r="K389" s="10"/>
      <c r="L389" s="10"/>
      <c r="M389" s="15" t="str">
        <f aca="false">IF($A389="","",SUMIFS(처리내역!$E$3:$E$1502,처리내역!$B$3:$B$1502,$A389))</f>
        <v/>
      </c>
      <c r="N389" s="15" t="str">
        <f aca="false">IF($A389="","",IF($I389="","",$I389-$M389))</f>
        <v/>
      </c>
      <c r="O389" s="12" t="str">
        <f aca="false">IF($A389="","",IF($I389="","",IF($M389=0,"미처리",IF($N389&lt;=0,"완료","부분처리"))))</f>
        <v/>
      </c>
    </row>
    <row r="390" customFormat="false" ht="15" hidden="false" customHeight="true" outlineLevel="0" collapsed="false">
      <c r="A390" s="12" t="str">
        <f aca="false">IF($B390="","",TEXT($B390,"yymm")&amp;"-"&amp;TEXT(COUNTIFS($B$3:$B390,"&gt;="&amp;DATE(YEAR($B390),MONTH($B390),1),$B$3:$B390,"&lt;="&amp;EOMONTH($B390,0)),"000"))</f>
        <v/>
      </c>
      <c r="B390" s="13"/>
      <c r="C390" s="10"/>
      <c r="D390" s="10"/>
      <c r="E390" s="12" t="str">
        <f aca="false">IF($D390="","",IFERROR(INDEX(품목목록!$B$3:$B$302,MATCH($D390,품목목록!$A$3:$A$302,0)),"미등록품번"))</f>
        <v/>
      </c>
      <c r="F390" s="12" t="str">
        <f aca="false">IF($D390="","",IFERROR(INDEX(품목목록!$C$3:$C$302,MATCH($D390,품목목록!$A$3:$A$302,0)),""))</f>
        <v/>
      </c>
      <c r="G390" s="12" t="str">
        <f aca="false">IF($D390="","",IFERROR(INDEX(품목목록!$D$3:$D$302,MATCH($D390,품목목록!$A$3:$A$302,0)),""))</f>
        <v/>
      </c>
      <c r="H390" s="12" t="str">
        <f aca="false">IF($D390="","",IFERROR(INDEX(품목목록!$E$3:$E$302,MATCH($D390,품목목록!$A$3:$A$302,0)),""))</f>
        <v/>
      </c>
      <c r="I390" s="14"/>
      <c r="J390" s="10"/>
      <c r="K390" s="10"/>
      <c r="L390" s="10"/>
      <c r="M390" s="15" t="str">
        <f aca="false">IF($A390="","",SUMIFS(처리내역!$E$3:$E$1502,처리내역!$B$3:$B$1502,$A390))</f>
        <v/>
      </c>
      <c r="N390" s="15" t="str">
        <f aca="false">IF($A390="","",IF($I390="","",$I390-$M390))</f>
        <v/>
      </c>
      <c r="O390" s="12" t="str">
        <f aca="false">IF($A390="","",IF($I390="","",IF($M390=0,"미처리",IF($N390&lt;=0,"완료","부분처리"))))</f>
        <v/>
      </c>
    </row>
    <row r="391" customFormat="false" ht="15" hidden="false" customHeight="true" outlineLevel="0" collapsed="false">
      <c r="A391" s="12" t="str">
        <f aca="false">IF($B391="","",TEXT($B391,"yymm")&amp;"-"&amp;TEXT(COUNTIFS($B$3:$B391,"&gt;="&amp;DATE(YEAR($B391),MONTH($B391),1),$B$3:$B391,"&lt;="&amp;EOMONTH($B391,0)),"000"))</f>
        <v/>
      </c>
      <c r="B391" s="13"/>
      <c r="C391" s="10"/>
      <c r="D391" s="10"/>
      <c r="E391" s="12" t="str">
        <f aca="false">IF($D391="","",IFERROR(INDEX(품목목록!$B$3:$B$302,MATCH($D391,품목목록!$A$3:$A$302,0)),"미등록품번"))</f>
        <v/>
      </c>
      <c r="F391" s="12" t="str">
        <f aca="false">IF($D391="","",IFERROR(INDEX(품목목록!$C$3:$C$302,MATCH($D391,품목목록!$A$3:$A$302,0)),""))</f>
        <v/>
      </c>
      <c r="G391" s="12" t="str">
        <f aca="false">IF($D391="","",IFERROR(INDEX(품목목록!$D$3:$D$302,MATCH($D391,품목목록!$A$3:$A$302,0)),""))</f>
        <v/>
      </c>
      <c r="H391" s="12" t="str">
        <f aca="false">IF($D391="","",IFERROR(INDEX(품목목록!$E$3:$E$302,MATCH($D391,품목목록!$A$3:$A$302,0)),""))</f>
        <v/>
      </c>
      <c r="I391" s="14"/>
      <c r="J391" s="10"/>
      <c r="K391" s="10"/>
      <c r="L391" s="10"/>
      <c r="M391" s="15" t="str">
        <f aca="false">IF($A391="","",SUMIFS(처리내역!$E$3:$E$1502,처리내역!$B$3:$B$1502,$A391))</f>
        <v/>
      </c>
      <c r="N391" s="15" t="str">
        <f aca="false">IF($A391="","",IF($I391="","",$I391-$M391))</f>
        <v/>
      </c>
      <c r="O391" s="12" t="str">
        <f aca="false">IF($A391="","",IF($I391="","",IF($M391=0,"미처리",IF($N391&lt;=0,"완료","부분처리"))))</f>
        <v/>
      </c>
    </row>
    <row r="392" customFormat="false" ht="15" hidden="false" customHeight="true" outlineLevel="0" collapsed="false">
      <c r="A392" s="12" t="str">
        <f aca="false">IF($B392="","",TEXT($B392,"yymm")&amp;"-"&amp;TEXT(COUNTIFS($B$3:$B392,"&gt;="&amp;DATE(YEAR($B392),MONTH($B392),1),$B$3:$B392,"&lt;="&amp;EOMONTH($B392,0)),"000"))</f>
        <v/>
      </c>
      <c r="B392" s="13"/>
      <c r="C392" s="10"/>
      <c r="D392" s="10"/>
      <c r="E392" s="12" t="str">
        <f aca="false">IF($D392="","",IFERROR(INDEX(품목목록!$B$3:$B$302,MATCH($D392,품목목록!$A$3:$A$302,0)),"미등록품번"))</f>
        <v/>
      </c>
      <c r="F392" s="12" t="str">
        <f aca="false">IF($D392="","",IFERROR(INDEX(품목목록!$C$3:$C$302,MATCH($D392,품목목록!$A$3:$A$302,0)),""))</f>
        <v/>
      </c>
      <c r="G392" s="12" t="str">
        <f aca="false">IF($D392="","",IFERROR(INDEX(품목목록!$D$3:$D$302,MATCH($D392,품목목록!$A$3:$A$302,0)),""))</f>
        <v/>
      </c>
      <c r="H392" s="12" t="str">
        <f aca="false">IF($D392="","",IFERROR(INDEX(품목목록!$E$3:$E$302,MATCH($D392,품목목록!$A$3:$A$302,0)),""))</f>
        <v/>
      </c>
      <c r="I392" s="14"/>
      <c r="J392" s="10"/>
      <c r="K392" s="10"/>
      <c r="L392" s="10"/>
      <c r="M392" s="15" t="str">
        <f aca="false">IF($A392="","",SUMIFS(처리내역!$E$3:$E$1502,처리내역!$B$3:$B$1502,$A392))</f>
        <v/>
      </c>
      <c r="N392" s="15" t="str">
        <f aca="false">IF($A392="","",IF($I392="","",$I392-$M392))</f>
        <v/>
      </c>
      <c r="O392" s="12" t="str">
        <f aca="false">IF($A392="","",IF($I392="","",IF($M392=0,"미처리",IF($N392&lt;=0,"완료","부분처리"))))</f>
        <v/>
      </c>
    </row>
    <row r="393" customFormat="false" ht="15" hidden="false" customHeight="true" outlineLevel="0" collapsed="false">
      <c r="A393" s="12" t="str">
        <f aca="false">IF($B393="","",TEXT($B393,"yymm")&amp;"-"&amp;TEXT(COUNTIFS($B$3:$B393,"&gt;="&amp;DATE(YEAR($B393),MONTH($B393),1),$B$3:$B393,"&lt;="&amp;EOMONTH($B393,0)),"000"))</f>
        <v/>
      </c>
      <c r="B393" s="13"/>
      <c r="C393" s="10"/>
      <c r="D393" s="10"/>
      <c r="E393" s="12" t="str">
        <f aca="false">IF($D393="","",IFERROR(INDEX(품목목록!$B$3:$B$302,MATCH($D393,품목목록!$A$3:$A$302,0)),"미등록품번"))</f>
        <v/>
      </c>
      <c r="F393" s="12" t="str">
        <f aca="false">IF($D393="","",IFERROR(INDEX(품목목록!$C$3:$C$302,MATCH($D393,품목목록!$A$3:$A$302,0)),""))</f>
        <v/>
      </c>
      <c r="G393" s="12" t="str">
        <f aca="false">IF($D393="","",IFERROR(INDEX(품목목록!$D$3:$D$302,MATCH($D393,품목목록!$A$3:$A$302,0)),""))</f>
        <v/>
      </c>
      <c r="H393" s="12" t="str">
        <f aca="false">IF($D393="","",IFERROR(INDEX(품목목록!$E$3:$E$302,MATCH($D393,품목목록!$A$3:$A$302,0)),""))</f>
        <v/>
      </c>
      <c r="I393" s="14"/>
      <c r="J393" s="10"/>
      <c r="K393" s="10"/>
      <c r="L393" s="10"/>
      <c r="M393" s="15" t="str">
        <f aca="false">IF($A393="","",SUMIFS(처리내역!$E$3:$E$1502,처리내역!$B$3:$B$1502,$A393))</f>
        <v/>
      </c>
      <c r="N393" s="15" t="str">
        <f aca="false">IF($A393="","",IF($I393="","",$I393-$M393))</f>
        <v/>
      </c>
      <c r="O393" s="12" t="str">
        <f aca="false">IF($A393="","",IF($I393="","",IF($M393=0,"미처리",IF($N393&lt;=0,"완료","부분처리"))))</f>
        <v/>
      </c>
    </row>
    <row r="394" customFormat="false" ht="15" hidden="false" customHeight="true" outlineLevel="0" collapsed="false">
      <c r="A394" s="12" t="str">
        <f aca="false">IF($B394="","",TEXT($B394,"yymm")&amp;"-"&amp;TEXT(COUNTIFS($B$3:$B394,"&gt;="&amp;DATE(YEAR($B394),MONTH($B394),1),$B$3:$B394,"&lt;="&amp;EOMONTH($B394,0)),"000"))</f>
        <v/>
      </c>
      <c r="B394" s="13"/>
      <c r="C394" s="10"/>
      <c r="D394" s="10"/>
      <c r="E394" s="12" t="str">
        <f aca="false">IF($D394="","",IFERROR(INDEX(품목목록!$B$3:$B$302,MATCH($D394,품목목록!$A$3:$A$302,0)),"미등록품번"))</f>
        <v/>
      </c>
      <c r="F394" s="12" t="str">
        <f aca="false">IF($D394="","",IFERROR(INDEX(품목목록!$C$3:$C$302,MATCH($D394,품목목록!$A$3:$A$302,0)),""))</f>
        <v/>
      </c>
      <c r="G394" s="12" t="str">
        <f aca="false">IF($D394="","",IFERROR(INDEX(품목목록!$D$3:$D$302,MATCH($D394,품목목록!$A$3:$A$302,0)),""))</f>
        <v/>
      </c>
      <c r="H394" s="12" t="str">
        <f aca="false">IF($D394="","",IFERROR(INDEX(품목목록!$E$3:$E$302,MATCH($D394,품목목록!$A$3:$A$302,0)),""))</f>
        <v/>
      </c>
      <c r="I394" s="14"/>
      <c r="J394" s="10"/>
      <c r="K394" s="10"/>
      <c r="L394" s="10"/>
      <c r="M394" s="15" t="str">
        <f aca="false">IF($A394="","",SUMIFS(처리내역!$E$3:$E$1502,처리내역!$B$3:$B$1502,$A394))</f>
        <v/>
      </c>
      <c r="N394" s="15" t="str">
        <f aca="false">IF($A394="","",IF($I394="","",$I394-$M394))</f>
        <v/>
      </c>
      <c r="O394" s="12" t="str">
        <f aca="false">IF($A394="","",IF($I394="","",IF($M394=0,"미처리",IF($N394&lt;=0,"완료","부분처리"))))</f>
        <v/>
      </c>
    </row>
    <row r="395" customFormat="false" ht="15" hidden="false" customHeight="true" outlineLevel="0" collapsed="false">
      <c r="A395" s="12" t="str">
        <f aca="false">IF($B395="","",TEXT($B395,"yymm")&amp;"-"&amp;TEXT(COUNTIFS($B$3:$B395,"&gt;="&amp;DATE(YEAR($B395),MONTH($B395),1),$B$3:$B395,"&lt;="&amp;EOMONTH($B395,0)),"000"))</f>
        <v/>
      </c>
      <c r="B395" s="13"/>
      <c r="C395" s="10"/>
      <c r="D395" s="10"/>
      <c r="E395" s="12" t="str">
        <f aca="false">IF($D395="","",IFERROR(INDEX(품목목록!$B$3:$B$302,MATCH($D395,품목목록!$A$3:$A$302,0)),"미등록품번"))</f>
        <v/>
      </c>
      <c r="F395" s="12" t="str">
        <f aca="false">IF($D395="","",IFERROR(INDEX(품목목록!$C$3:$C$302,MATCH($D395,품목목록!$A$3:$A$302,0)),""))</f>
        <v/>
      </c>
      <c r="G395" s="12" t="str">
        <f aca="false">IF($D395="","",IFERROR(INDEX(품목목록!$D$3:$D$302,MATCH($D395,품목목록!$A$3:$A$302,0)),""))</f>
        <v/>
      </c>
      <c r="H395" s="12" t="str">
        <f aca="false">IF($D395="","",IFERROR(INDEX(품목목록!$E$3:$E$302,MATCH($D395,품목목록!$A$3:$A$302,0)),""))</f>
        <v/>
      </c>
      <c r="I395" s="14"/>
      <c r="J395" s="10"/>
      <c r="K395" s="10"/>
      <c r="L395" s="10"/>
      <c r="M395" s="15" t="str">
        <f aca="false">IF($A395="","",SUMIFS(처리내역!$E$3:$E$1502,처리내역!$B$3:$B$1502,$A395))</f>
        <v/>
      </c>
      <c r="N395" s="15" t="str">
        <f aca="false">IF($A395="","",IF($I395="","",$I395-$M395))</f>
        <v/>
      </c>
      <c r="O395" s="12" t="str">
        <f aca="false">IF($A395="","",IF($I395="","",IF($M395=0,"미처리",IF($N395&lt;=0,"완료","부분처리"))))</f>
        <v/>
      </c>
    </row>
    <row r="396" customFormat="false" ht="15" hidden="false" customHeight="true" outlineLevel="0" collapsed="false">
      <c r="A396" s="12" t="str">
        <f aca="false">IF($B396="","",TEXT($B396,"yymm")&amp;"-"&amp;TEXT(COUNTIFS($B$3:$B396,"&gt;="&amp;DATE(YEAR($B396),MONTH($B396),1),$B$3:$B396,"&lt;="&amp;EOMONTH($B396,0)),"000"))</f>
        <v/>
      </c>
      <c r="B396" s="13"/>
      <c r="C396" s="10"/>
      <c r="D396" s="10"/>
      <c r="E396" s="12" t="str">
        <f aca="false">IF($D396="","",IFERROR(INDEX(품목목록!$B$3:$B$302,MATCH($D396,품목목록!$A$3:$A$302,0)),"미등록품번"))</f>
        <v/>
      </c>
      <c r="F396" s="12" t="str">
        <f aca="false">IF($D396="","",IFERROR(INDEX(품목목록!$C$3:$C$302,MATCH($D396,품목목록!$A$3:$A$302,0)),""))</f>
        <v/>
      </c>
      <c r="G396" s="12" t="str">
        <f aca="false">IF($D396="","",IFERROR(INDEX(품목목록!$D$3:$D$302,MATCH($D396,품목목록!$A$3:$A$302,0)),""))</f>
        <v/>
      </c>
      <c r="H396" s="12" t="str">
        <f aca="false">IF($D396="","",IFERROR(INDEX(품목목록!$E$3:$E$302,MATCH($D396,품목목록!$A$3:$A$302,0)),""))</f>
        <v/>
      </c>
      <c r="I396" s="14"/>
      <c r="J396" s="10"/>
      <c r="K396" s="10"/>
      <c r="L396" s="10"/>
      <c r="M396" s="15" t="str">
        <f aca="false">IF($A396="","",SUMIFS(처리내역!$E$3:$E$1502,처리내역!$B$3:$B$1502,$A396))</f>
        <v/>
      </c>
      <c r="N396" s="15" t="str">
        <f aca="false">IF($A396="","",IF($I396="","",$I396-$M396))</f>
        <v/>
      </c>
      <c r="O396" s="12" t="str">
        <f aca="false">IF($A396="","",IF($I396="","",IF($M396=0,"미처리",IF($N396&lt;=0,"완료","부분처리"))))</f>
        <v/>
      </c>
    </row>
    <row r="397" customFormat="false" ht="15" hidden="false" customHeight="true" outlineLevel="0" collapsed="false">
      <c r="A397" s="12" t="str">
        <f aca="false">IF($B397="","",TEXT($B397,"yymm")&amp;"-"&amp;TEXT(COUNTIFS($B$3:$B397,"&gt;="&amp;DATE(YEAR($B397),MONTH($B397),1),$B$3:$B397,"&lt;="&amp;EOMONTH($B397,0)),"000"))</f>
        <v/>
      </c>
      <c r="B397" s="13"/>
      <c r="C397" s="10"/>
      <c r="D397" s="10"/>
      <c r="E397" s="12" t="str">
        <f aca="false">IF($D397="","",IFERROR(INDEX(품목목록!$B$3:$B$302,MATCH($D397,품목목록!$A$3:$A$302,0)),"미등록품번"))</f>
        <v/>
      </c>
      <c r="F397" s="12" t="str">
        <f aca="false">IF($D397="","",IFERROR(INDEX(품목목록!$C$3:$C$302,MATCH($D397,품목목록!$A$3:$A$302,0)),""))</f>
        <v/>
      </c>
      <c r="G397" s="12" t="str">
        <f aca="false">IF($D397="","",IFERROR(INDEX(품목목록!$D$3:$D$302,MATCH($D397,품목목록!$A$3:$A$302,0)),""))</f>
        <v/>
      </c>
      <c r="H397" s="12" t="str">
        <f aca="false">IF($D397="","",IFERROR(INDEX(품목목록!$E$3:$E$302,MATCH($D397,품목목록!$A$3:$A$302,0)),""))</f>
        <v/>
      </c>
      <c r="I397" s="14"/>
      <c r="J397" s="10"/>
      <c r="K397" s="10"/>
      <c r="L397" s="10"/>
      <c r="M397" s="15" t="str">
        <f aca="false">IF($A397="","",SUMIFS(처리내역!$E$3:$E$1502,처리내역!$B$3:$B$1502,$A397))</f>
        <v/>
      </c>
      <c r="N397" s="15" t="str">
        <f aca="false">IF($A397="","",IF($I397="","",$I397-$M397))</f>
        <v/>
      </c>
      <c r="O397" s="12" t="str">
        <f aca="false">IF($A397="","",IF($I397="","",IF($M397=0,"미처리",IF($N397&lt;=0,"완료","부분처리"))))</f>
        <v/>
      </c>
    </row>
    <row r="398" customFormat="false" ht="15" hidden="false" customHeight="true" outlineLevel="0" collapsed="false">
      <c r="A398" s="12" t="str">
        <f aca="false">IF($B398="","",TEXT($B398,"yymm")&amp;"-"&amp;TEXT(COUNTIFS($B$3:$B398,"&gt;="&amp;DATE(YEAR($B398),MONTH($B398),1),$B$3:$B398,"&lt;="&amp;EOMONTH($B398,0)),"000"))</f>
        <v/>
      </c>
      <c r="B398" s="13"/>
      <c r="C398" s="10"/>
      <c r="D398" s="10"/>
      <c r="E398" s="12" t="str">
        <f aca="false">IF($D398="","",IFERROR(INDEX(품목목록!$B$3:$B$302,MATCH($D398,품목목록!$A$3:$A$302,0)),"미등록품번"))</f>
        <v/>
      </c>
      <c r="F398" s="12" t="str">
        <f aca="false">IF($D398="","",IFERROR(INDEX(품목목록!$C$3:$C$302,MATCH($D398,품목목록!$A$3:$A$302,0)),""))</f>
        <v/>
      </c>
      <c r="G398" s="12" t="str">
        <f aca="false">IF($D398="","",IFERROR(INDEX(품목목록!$D$3:$D$302,MATCH($D398,품목목록!$A$3:$A$302,0)),""))</f>
        <v/>
      </c>
      <c r="H398" s="12" t="str">
        <f aca="false">IF($D398="","",IFERROR(INDEX(품목목록!$E$3:$E$302,MATCH($D398,품목목록!$A$3:$A$302,0)),""))</f>
        <v/>
      </c>
      <c r="I398" s="14"/>
      <c r="J398" s="10"/>
      <c r="K398" s="10"/>
      <c r="L398" s="10"/>
      <c r="M398" s="15" t="str">
        <f aca="false">IF($A398="","",SUMIFS(처리내역!$E$3:$E$1502,처리내역!$B$3:$B$1502,$A398))</f>
        <v/>
      </c>
      <c r="N398" s="15" t="str">
        <f aca="false">IF($A398="","",IF($I398="","",$I398-$M398))</f>
        <v/>
      </c>
      <c r="O398" s="12" t="str">
        <f aca="false">IF($A398="","",IF($I398="","",IF($M398=0,"미처리",IF($N398&lt;=0,"완료","부분처리"))))</f>
        <v/>
      </c>
    </row>
    <row r="399" customFormat="false" ht="15" hidden="false" customHeight="true" outlineLevel="0" collapsed="false">
      <c r="A399" s="12" t="str">
        <f aca="false">IF($B399="","",TEXT($B399,"yymm")&amp;"-"&amp;TEXT(COUNTIFS($B$3:$B399,"&gt;="&amp;DATE(YEAR($B399),MONTH($B399),1),$B$3:$B399,"&lt;="&amp;EOMONTH($B399,0)),"000"))</f>
        <v/>
      </c>
      <c r="B399" s="13"/>
      <c r="C399" s="10"/>
      <c r="D399" s="10"/>
      <c r="E399" s="12" t="str">
        <f aca="false">IF($D399="","",IFERROR(INDEX(품목목록!$B$3:$B$302,MATCH($D399,품목목록!$A$3:$A$302,0)),"미등록품번"))</f>
        <v/>
      </c>
      <c r="F399" s="12" t="str">
        <f aca="false">IF($D399="","",IFERROR(INDEX(품목목록!$C$3:$C$302,MATCH($D399,품목목록!$A$3:$A$302,0)),""))</f>
        <v/>
      </c>
      <c r="G399" s="12" t="str">
        <f aca="false">IF($D399="","",IFERROR(INDEX(품목목록!$D$3:$D$302,MATCH($D399,품목목록!$A$3:$A$302,0)),""))</f>
        <v/>
      </c>
      <c r="H399" s="12" t="str">
        <f aca="false">IF($D399="","",IFERROR(INDEX(품목목록!$E$3:$E$302,MATCH($D399,품목목록!$A$3:$A$302,0)),""))</f>
        <v/>
      </c>
      <c r="I399" s="14"/>
      <c r="J399" s="10"/>
      <c r="K399" s="10"/>
      <c r="L399" s="10"/>
      <c r="M399" s="15" t="str">
        <f aca="false">IF($A399="","",SUMIFS(처리내역!$E$3:$E$1502,처리내역!$B$3:$B$1502,$A399))</f>
        <v/>
      </c>
      <c r="N399" s="15" t="str">
        <f aca="false">IF($A399="","",IF($I399="","",$I399-$M399))</f>
        <v/>
      </c>
      <c r="O399" s="12" t="str">
        <f aca="false">IF($A399="","",IF($I399="","",IF($M399=0,"미처리",IF($N399&lt;=0,"완료","부분처리"))))</f>
        <v/>
      </c>
    </row>
    <row r="400" customFormat="false" ht="15" hidden="false" customHeight="true" outlineLevel="0" collapsed="false">
      <c r="A400" s="12" t="str">
        <f aca="false">IF($B400="","",TEXT($B400,"yymm")&amp;"-"&amp;TEXT(COUNTIFS($B$3:$B400,"&gt;="&amp;DATE(YEAR($B400),MONTH($B400),1),$B$3:$B400,"&lt;="&amp;EOMONTH($B400,0)),"000"))</f>
        <v/>
      </c>
      <c r="B400" s="13"/>
      <c r="C400" s="10"/>
      <c r="D400" s="10"/>
      <c r="E400" s="12" t="str">
        <f aca="false">IF($D400="","",IFERROR(INDEX(품목목록!$B$3:$B$302,MATCH($D400,품목목록!$A$3:$A$302,0)),"미등록품번"))</f>
        <v/>
      </c>
      <c r="F400" s="12" t="str">
        <f aca="false">IF($D400="","",IFERROR(INDEX(품목목록!$C$3:$C$302,MATCH($D400,품목목록!$A$3:$A$302,0)),""))</f>
        <v/>
      </c>
      <c r="G400" s="12" t="str">
        <f aca="false">IF($D400="","",IFERROR(INDEX(품목목록!$D$3:$D$302,MATCH($D400,품목목록!$A$3:$A$302,0)),""))</f>
        <v/>
      </c>
      <c r="H400" s="12" t="str">
        <f aca="false">IF($D400="","",IFERROR(INDEX(품목목록!$E$3:$E$302,MATCH($D400,품목목록!$A$3:$A$302,0)),""))</f>
        <v/>
      </c>
      <c r="I400" s="14"/>
      <c r="J400" s="10"/>
      <c r="K400" s="10"/>
      <c r="L400" s="10"/>
      <c r="M400" s="15" t="str">
        <f aca="false">IF($A400="","",SUMIFS(처리내역!$E$3:$E$1502,처리내역!$B$3:$B$1502,$A400))</f>
        <v/>
      </c>
      <c r="N400" s="15" t="str">
        <f aca="false">IF($A400="","",IF($I400="","",$I400-$M400))</f>
        <v/>
      </c>
      <c r="O400" s="12" t="str">
        <f aca="false">IF($A400="","",IF($I400="","",IF($M400=0,"미처리",IF($N400&lt;=0,"완료","부분처리"))))</f>
        <v/>
      </c>
    </row>
    <row r="401" customFormat="false" ht="15" hidden="false" customHeight="true" outlineLevel="0" collapsed="false">
      <c r="A401" s="12" t="str">
        <f aca="false">IF($B401="","",TEXT($B401,"yymm")&amp;"-"&amp;TEXT(COUNTIFS($B$3:$B401,"&gt;="&amp;DATE(YEAR($B401),MONTH($B401),1),$B$3:$B401,"&lt;="&amp;EOMONTH($B401,0)),"000"))</f>
        <v/>
      </c>
      <c r="B401" s="13"/>
      <c r="C401" s="10"/>
      <c r="D401" s="10"/>
      <c r="E401" s="12" t="str">
        <f aca="false">IF($D401="","",IFERROR(INDEX(품목목록!$B$3:$B$302,MATCH($D401,품목목록!$A$3:$A$302,0)),"미등록품번"))</f>
        <v/>
      </c>
      <c r="F401" s="12" t="str">
        <f aca="false">IF($D401="","",IFERROR(INDEX(품목목록!$C$3:$C$302,MATCH($D401,품목목록!$A$3:$A$302,0)),""))</f>
        <v/>
      </c>
      <c r="G401" s="12" t="str">
        <f aca="false">IF($D401="","",IFERROR(INDEX(품목목록!$D$3:$D$302,MATCH($D401,품목목록!$A$3:$A$302,0)),""))</f>
        <v/>
      </c>
      <c r="H401" s="12" t="str">
        <f aca="false">IF($D401="","",IFERROR(INDEX(품목목록!$E$3:$E$302,MATCH($D401,품목목록!$A$3:$A$302,0)),""))</f>
        <v/>
      </c>
      <c r="I401" s="14"/>
      <c r="J401" s="10"/>
      <c r="K401" s="10"/>
      <c r="L401" s="10"/>
      <c r="M401" s="15" t="str">
        <f aca="false">IF($A401="","",SUMIFS(처리내역!$E$3:$E$1502,처리내역!$B$3:$B$1502,$A401))</f>
        <v/>
      </c>
      <c r="N401" s="15" t="str">
        <f aca="false">IF($A401="","",IF($I401="","",$I401-$M401))</f>
        <v/>
      </c>
      <c r="O401" s="12" t="str">
        <f aca="false">IF($A401="","",IF($I401="","",IF($M401=0,"미처리",IF($N401&lt;=0,"완료","부분처리"))))</f>
        <v/>
      </c>
    </row>
    <row r="402" customFormat="false" ht="15" hidden="false" customHeight="true" outlineLevel="0" collapsed="false">
      <c r="A402" s="12" t="str">
        <f aca="false">IF($B402="","",TEXT($B402,"yymm")&amp;"-"&amp;TEXT(COUNTIFS($B$3:$B402,"&gt;="&amp;DATE(YEAR($B402),MONTH($B402),1),$B$3:$B402,"&lt;="&amp;EOMONTH($B402,0)),"000"))</f>
        <v/>
      </c>
      <c r="B402" s="13"/>
      <c r="C402" s="10"/>
      <c r="D402" s="10"/>
      <c r="E402" s="12" t="str">
        <f aca="false">IF($D402="","",IFERROR(INDEX(품목목록!$B$3:$B$302,MATCH($D402,품목목록!$A$3:$A$302,0)),"미등록품번"))</f>
        <v/>
      </c>
      <c r="F402" s="12" t="str">
        <f aca="false">IF($D402="","",IFERROR(INDEX(품목목록!$C$3:$C$302,MATCH($D402,품목목록!$A$3:$A$302,0)),""))</f>
        <v/>
      </c>
      <c r="G402" s="12" t="str">
        <f aca="false">IF($D402="","",IFERROR(INDEX(품목목록!$D$3:$D$302,MATCH($D402,품목목록!$A$3:$A$302,0)),""))</f>
        <v/>
      </c>
      <c r="H402" s="12" t="str">
        <f aca="false">IF($D402="","",IFERROR(INDEX(품목목록!$E$3:$E$302,MATCH($D402,품목목록!$A$3:$A$302,0)),""))</f>
        <v/>
      </c>
      <c r="I402" s="14"/>
      <c r="J402" s="10"/>
      <c r="K402" s="10"/>
      <c r="L402" s="10"/>
      <c r="M402" s="15" t="str">
        <f aca="false">IF($A402="","",SUMIFS(처리내역!$E$3:$E$1502,처리내역!$B$3:$B$1502,$A402))</f>
        <v/>
      </c>
      <c r="N402" s="15" t="str">
        <f aca="false">IF($A402="","",IF($I402="","",$I402-$M402))</f>
        <v/>
      </c>
      <c r="O402" s="12" t="str">
        <f aca="false">IF($A402="","",IF($I402="","",IF($M402=0,"미처리",IF($N402&lt;=0,"완료","부분처리"))))</f>
        <v/>
      </c>
    </row>
    <row r="403" customFormat="false" ht="15" hidden="false" customHeight="true" outlineLevel="0" collapsed="false">
      <c r="A403" s="12" t="str">
        <f aca="false">IF($B403="","",TEXT($B403,"yymm")&amp;"-"&amp;TEXT(COUNTIFS($B$3:$B403,"&gt;="&amp;DATE(YEAR($B403),MONTH($B403),1),$B$3:$B403,"&lt;="&amp;EOMONTH($B403,0)),"000"))</f>
        <v/>
      </c>
      <c r="B403" s="13"/>
      <c r="C403" s="10"/>
      <c r="D403" s="10"/>
      <c r="E403" s="12" t="str">
        <f aca="false">IF($D403="","",IFERROR(INDEX(품목목록!$B$3:$B$302,MATCH($D403,품목목록!$A$3:$A$302,0)),"미등록품번"))</f>
        <v/>
      </c>
      <c r="F403" s="12" t="str">
        <f aca="false">IF($D403="","",IFERROR(INDEX(품목목록!$C$3:$C$302,MATCH($D403,품목목록!$A$3:$A$302,0)),""))</f>
        <v/>
      </c>
      <c r="G403" s="12" t="str">
        <f aca="false">IF($D403="","",IFERROR(INDEX(품목목록!$D$3:$D$302,MATCH($D403,품목목록!$A$3:$A$302,0)),""))</f>
        <v/>
      </c>
      <c r="H403" s="12" t="str">
        <f aca="false">IF($D403="","",IFERROR(INDEX(품목목록!$E$3:$E$302,MATCH($D403,품목목록!$A$3:$A$302,0)),""))</f>
        <v/>
      </c>
      <c r="I403" s="14"/>
      <c r="J403" s="10"/>
      <c r="K403" s="10"/>
      <c r="L403" s="10"/>
      <c r="M403" s="15" t="str">
        <f aca="false">IF($A403="","",SUMIFS(처리내역!$E$3:$E$1502,처리내역!$B$3:$B$1502,$A403))</f>
        <v/>
      </c>
      <c r="N403" s="15" t="str">
        <f aca="false">IF($A403="","",IF($I403="","",$I403-$M403))</f>
        <v/>
      </c>
      <c r="O403" s="12" t="str">
        <f aca="false">IF($A403="","",IF($I403="","",IF($M403=0,"미처리",IF($N403&lt;=0,"완료","부분처리"))))</f>
        <v/>
      </c>
    </row>
    <row r="404" customFormat="false" ht="15" hidden="false" customHeight="true" outlineLevel="0" collapsed="false">
      <c r="A404" s="12" t="str">
        <f aca="false">IF($B404="","",TEXT($B404,"yymm")&amp;"-"&amp;TEXT(COUNTIFS($B$3:$B404,"&gt;="&amp;DATE(YEAR($B404),MONTH($B404),1),$B$3:$B404,"&lt;="&amp;EOMONTH($B404,0)),"000"))</f>
        <v/>
      </c>
      <c r="B404" s="13"/>
      <c r="C404" s="10"/>
      <c r="D404" s="10"/>
      <c r="E404" s="12" t="str">
        <f aca="false">IF($D404="","",IFERROR(INDEX(품목목록!$B$3:$B$302,MATCH($D404,품목목록!$A$3:$A$302,0)),"미등록품번"))</f>
        <v/>
      </c>
      <c r="F404" s="12" t="str">
        <f aca="false">IF($D404="","",IFERROR(INDEX(품목목록!$C$3:$C$302,MATCH($D404,품목목록!$A$3:$A$302,0)),""))</f>
        <v/>
      </c>
      <c r="G404" s="12" t="str">
        <f aca="false">IF($D404="","",IFERROR(INDEX(품목목록!$D$3:$D$302,MATCH($D404,품목목록!$A$3:$A$302,0)),""))</f>
        <v/>
      </c>
      <c r="H404" s="12" t="str">
        <f aca="false">IF($D404="","",IFERROR(INDEX(품목목록!$E$3:$E$302,MATCH($D404,품목목록!$A$3:$A$302,0)),""))</f>
        <v/>
      </c>
      <c r="I404" s="14"/>
      <c r="J404" s="10"/>
      <c r="K404" s="10"/>
      <c r="L404" s="10"/>
      <c r="M404" s="15" t="str">
        <f aca="false">IF($A404="","",SUMIFS(처리내역!$E$3:$E$1502,처리내역!$B$3:$B$1502,$A404))</f>
        <v/>
      </c>
      <c r="N404" s="15" t="str">
        <f aca="false">IF($A404="","",IF($I404="","",$I404-$M404))</f>
        <v/>
      </c>
      <c r="O404" s="12" t="str">
        <f aca="false">IF($A404="","",IF($I404="","",IF($M404=0,"미처리",IF($N404&lt;=0,"완료","부분처리"))))</f>
        <v/>
      </c>
    </row>
    <row r="405" customFormat="false" ht="15" hidden="false" customHeight="true" outlineLevel="0" collapsed="false">
      <c r="A405" s="12" t="str">
        <f aca="false">IF($B405="","",TEXT($B405,"yymm")&amp;"-"&amp;TEXT(COUNTIFS($B$3:$B405,"&gt;="&amp;DATE(YEAR($B405),MONTH($B405),1),$B$3:$B405,"&lt;="&amp;EOMONTH($B405,0)),"000"))</f>
        <v/>
      </c>
      <c r="B405" s="13"/>
      <c r="C405" s="10"/>
      <c r="D405" s="10"/>
      <c r="E405" s="12" t="str">
        <f aca="false">IF($D405="","",IFERROR(INDEX(품목목록!$B$3:$B$302,MATCH($D405,품목목록!$A$3:$A$302,0)),"미등록품번"))</f>
        <v/>
      </c>
      <c r="F405" s="12" t="str">
        <f aca="false">IF($D405="","",IFERROR(INDEX(품목목록!$C$3:$C$302,MATCH($D405,품목목록!$A$3:$A$302,0)),""))</f>
        <v/>
      </c>
      <c r="G405" s="12" t="str">
        <f aca="false">IF($D405="","",IFERROR(INDEX(품목목록!$D$3:$D$302,MATCH($D405,품목목록!$A$3:$A$302,0)),""))</f>
        <v/>
      </c>
      <c r="H405" s="12" t="str">
        <f aca="false">IF($D405="","",IFERROR(INDEX(품목목록!$E$3:$E$302,MATCH($D405,품목목록!$A$3:$A$302,0)),""))</f>
        <v/>
      </c>
      <c r="I405" s="14"/>
      <c r="J405" s="10"/>
      <c r="K405" s="10"/>
      <c r="L405" s="10"/>
      <c r="M405" s="15" t="str">
        <f aca="false">IF($A405="","",SUMIFS(처리내역!$E$3:$E$1502,처리내역!$B$3:$B$1502,$A405))</f>
        <v/>
      </c>
      <c r="N405" s="15" t="str">
        <f aca="false">IF($A405="","",IF($I405="","",$I405-$M405))</f>
        <v/>
      </c>
      <c r="O405" s="12" t="str">
        <f aca="false">IF($A405="","",IF($I405="","",IF($M405=0,"미처리",IF($N405&lt;=0,"완료","부분처리"))))</f>
        <v/>
      </c>
    </row>
    <row r="406" customFormat="false" ht="15" hidden="false" customHeight="true" outlineLevel="0" collapsed="false">
      <c r="A406" s="12" t="str">
        <f aca="false">IF($B406="","",TEXT($B406,"yymm")&amp;"-"&amp;TEXT(COUNTIFS($B$3:$B406,"&gt;="&amp;DATE(YEAR($B406),MONTH($B406),1),$B$3:$B406,"&lt;="&amp;EOMONTH($B406,0)),"000"))</f>
        <v/>
      </c>
      <c r="B406" s="13"/>
      <c r="C406" s="10"/>
      <c r="D406" s="10"/>
      <c r="E406" s="12" t="str">
        <f aca="false">IF($D406="","",IFERROR(INDEX(품목목록!$B$3:$B$302,MATCH($D406,품목목록!$A$3:$A$302,0)),"미등록품번"))</f>
        <v/>
      </c>
      <c r="F406" s="12" t="str">
        <f aca="false">IF($D406="","",IFERROR(INDEX(품목목록!$C$3:$C$302,MATCH($D406,품목목록!$A$3:$A$302,0)),""))</f>
        <v/>
      </c>
      <c r="G406" s="12" t="str">
        <f aca="false">IF($D406="","",IFERROR(INDEX(품목목록!$D$3:$D$302,MATCH($D406,품목목록!$A$3:$A$302,0)),""))</f>
        <v/>
      </c>
      <c r="H406" s="12" t="str">
        <f aca="false">IF($D406="","",IFERROR(INDEX(품목목록!$E$3:$E$302,MATCH($D406,품목목록!$A$3:$A$302,0)),""))</f>
        <v/>
      </c>
      <c r="I406" s="14"/>
      <c r="J406" s="10"/>
      <c r="K406" s="10"/>
      <c r="L406" s="10"/>
      <c r="M406" s="15" t="str">
        <f aca="false">IF($A406="","",SUMIFS(처리내역!$E$3:$E$1502,처리내역!$B$3:$B$1502,$A406))</f>
        <v/>
      </c>
      <c r="N406" s="15" t="str">
        <f aca="false">IF($A406="","",IF($I406="","",$I406-$M406))</f>
        <v/>
      </c>
      <c r="O406" s="12" t="str">
        <f aca="false">IF($A406="","",IF($I406="","",IF($M406=0,"미처리",IF($N406&lt;=0,"완료","부분처리"))))</f>
        <v/>
      </c>
    </row>
    <row r="407" customFormat="false" ht="15" hidden="false" customHeight="true" outlineLevel="0" collapsed="false">
      <c r="A407" s="12" t="str">
        <f aca="false">IF($B407="","",TEXT($B407,"yymm")&amp;"-"&amp;TEXT(COUNTIFS($B$3:$B407,"&gt;="&amp;DATE(YEAR($B407),MONTH($B407),1),$B$3:$B407,"&lt;="&amp;EOMONTH($B407,0)),"000"))</f>
        <v/>
      </c>
      <c r="B407" s="13"/>
      <c r="C407" s="10"/>
      <c r="D407" s="10"/>
      <c r="E407" s="12" t="str">
        <f aca="false">IF($D407="","",IFERROR(INDEX(품목목록!$B$3:$B$302,MATCH($D407,품목목록!$A$3:$A$302,0)),"미등록품번"))</f>
        <v/>
      </c>
      <c r="F407" s="12" t="str">
        <f aca="false">IF($D407="","",IFERROR(INDEX(품목목록!$C$3:$C$302,MATCH($D407,품목목록!$A$3:$A$302,0)),""))</f>
        <v/>
      </c>
      <c r="G407" s="12" t="str">
        <f aca="false">IF($D407="","",IFERROR(INDEX(품목목록!$D$3:$D$302,MATCH($D407,품목목록!$A$3:$A$302,0)),""))</f>
        <v/>
      </c>
      <c r="H407" s="12" t="str">
        <f aca="false">IF($D407="","",IFERROR(INDEX(품목목록!$E$3:$E$302,MATCH($D407,품목목록!$A$3:$A$302,0)),""))</f>
        <v/>
      </c>
      <c r="I407" s="14"/>
      <c r="J407" s="10"/>
      <c r="K407" s="10"/>
      <c r="L407" s="10"/>
      <c r="M407" s="15" t="str">
        <f aca="false">IF($A407="","",SUMIFS(처리내역!$E$3:$E$1502,처리내역!$B$3:$B$1502,$A407))</f>
        <v/>
      </c>
      <c r="N407" s="15" t="str">
        <f aca="false">IF($A407="","",IF($I407="","",$I407-$M407))</f>
        <v/>
      </c>
      <c r="O407" s="12" t="str">
        <f aca="false">IF($A407="","",IF($I407="","",IF($M407=0,"미처리",IF($N407&lt;=0,"완료","부분처리"))))</f>
        <v/>
      </c>
    </row>
    <row r="408" customFormat="false" ht="15" hidden="false" customHeight="true" outlineLevel="0" collapsed="false">
      <c r="A408" s="12" t="str">
        <f aca="false">IF($B408="","",TEXT($B408,"yymm")&amp;"-"&amp;TEXT(COUNTIFS($B$3:$B408,"&gt;="&amp;DATE(YEAR($B408),MONTH($B408),1),$B$3:$B408,"&lt;="&amp;EOMONTH($B408,0)),"000"))</f>
        <v/>
      </c>
      <c r="B408" s="13"/>
      <c r="C408" s="10"/>
      <c r="D408" s="10"/>
      <c r="E408" s="12" t="str">
        <f aca="false">IF($D408="","",IFERROR(INDEX(품목목록!$B$3:$B$302,MATCH($D408,품목목록!$A$3:$A$302,0)),"미등록품번"))</f>
        <v/>
      </c>
      <c r="F408" s="12" t="str">
        <f aca="false">IF($D408="","",IFERROR(INDEX(품목목록!$C$3:$C$302,MATCH($D408,품목목록!$A$3:$A$302,0)),""))</f>
        <v/>
      </c>
      <c r="G408" s="12" t="str">
        <f aca="false">IF($D408="","",IFERROR(INDEX(품목목록!$D$3:$D$302,MATCH($D408,품목목록!$A$3:$A$302,0)),""))</f>
        <v/>
      </c>
      <c r="H408" s="12" t="str">
        <f aca="false">IF($D408="","",IFERROR(INDEX(품목목록!$E$3:$E$302,MATCH($D408,품목목록!$A$3:$A$302,0)),""))</f>
        <v/>
      </c>
      <c r="I408" s="14"/>
      <c r="J408" s="10"/>
      <c r="K408" s="10"/>
      <c r="L408" s="10"/>
      <c r="M408" s="15" t="str">
        <f aca="false">IF($A408="","",SUMIFS(처리내역!$E$3:$E$1502,처리내역!$B$3:$B$1502,$A408))</f>
        <v/>
      </c>
      <c r="N408" s="15" t="str">
        <f aca="false">IF($A408="","",IF($I408="","",$I408-$M408))</f>
        <v/>
      </c>
      <c r="O408" s="12" t="str">
        <f aca="false">IF($A408="","",IF($I408="","",IF($M408=0,"미처리",IF($N408&lt;=0,"완료","부분처리"))))</f>
        <v/>
      </c>
    </row>
    <row r="409" customFormat="false" ht="15" hidden="false" customHeight="true" outlineLevel="0" collapsed="false">
      <c r="A409" s="12" t="str">
        <f aca="false">IF($B409="","",TEXT($B409,"yymm")&amp;"-"&amp;TEXT(COUNTIFS($B$3:$B409,"&gt;="&amp;DATE(YEAR($B409),MONTH($B409),1),$B$3:$B409,"&lt;="&amp;EOMONTH($B409,0)),"000"))</f>
        <v/>
      </c>
      <c r="B409" s="13"/>
      <c r="C409" s="10"/>
      <c r="D409" s="10"/>
      <c r="E409" s="12" t="str">
        <f aca="false">IF($D409="","",IFERROR(INDEX(품목목록!$B$3:$B$302,MATCH($D409,품목목록!$A$3:$A$302,0)),"미등록품번"))</f>
        <v/>
      </c>
      <c r="F409" s="12" t="str">
        <f aca="false">IF($D409="","",IFERROR(INDEX(품목목록!$C$3:$C$302,MATCH($D409,품목목록!$A$3:$A$302,0)),""))</f>
        <v/>
      </c>
      <c r="G409" s="12" t="str">
        <f aca="false">IF($D409="","",IFERROR(INDEX(품목목록!$D$3:$D$302,MATCH($D409,품목목록!$A$3:$A$302,0)),""))</f>
        <v/>
      </c>
      <c r="H409" s="12" t="str">
        <f aca="false">IF($D409="","",IFERROR(INDEX(품목목록!$E$3:$E$302,MATCH($D409,품목목록!$A$3:$A$302,0)),""))</f>
        <v/>
      </c>
      <c r="I409" s="14"/>
      <c r="J409" s="10"/>
      <c r="K409" s="10"/>
      <c r="L409" s="10"/>
      <c r="M409" s="15" t="str">
        <f aca="false">IF($A409="","",SUMIFS(처리내역!$E$3:$E$1502,처리내역!$B$3:$B$1502,$A409))</f>
        <v/>
      </c>
      <c r="N409" s="15" t="str">
        <f aca="false">IF($A409="","",IF($I409="","",$I409-$M409))</f>
        <v/>
      </c>
      <c r="O409" s="12" t="str">
        <f aca="false">IF($A409="","",IF($I409="","",IF($M409=0,"미처리",IF($N409&lt;=0,"완료","부분처리"))))</f>
        <v/>
      </c>
    </row>
    <row r="410" customFormat="false" ht="15" hidden="false" customHeight="true" outlineLevel="0" collapsed="false">
      <c r="A410" s="12" t="str">
        <f aca="false">IF($B410="","",TEXT($B410,"yymm")&amp;"-"&amp;TEXT(COUNTIFS($B$3:$B410,"&gt;="&amp;DATE(YEAR($B410),MONTH($B410),1),$B$3:$B410,"&lt;="&amp;EOMONTH($B410,0)),"000"))</f>
        <v/>
      </c>
      <c r="B410" s="13"/>
      <c r="C410" s="10"/>
      <c r="D410" s="10"/>
      <c r="E410" s="12" t="str">
        <f aca="false">IF($D410="","",IFERROR(INDEX(품목목록!$B$3:$B$302,MATCH($D410,품목목록!$A$3:$A$302,0)),"미등록품번"))</f>
        <v/>
      </c>
      <c r="F410" s="12" t="str">
        <f aca="false">IF($D410="","",IFERROR(INDEX(품목목록!$C$3:$C$302,MATCH($D410,품목목록!$A$3:$A$302,0)),""))</f>
        <v/>
      </c>
      <c r="G410" s="12" t="str">
        <f aca="false">IF($D410="","",IFERROR(INDEX(품목목록!$D$3:$D$302,MATCH($D410,품목목록!$A$3:$A$302,0)),""))</f>
        <v/>
      </c>
      <c r="H410" s="12" t="str">
        <f aca="false">IF($D410="","",IFERROR(INDEX(품목목록!$E$3:$E$302,MATCH($D410,품목목록!$A$3:$A$302,0)),""))</f>
        <v/>
      </c>
      <c r="I410" s="14"/>
      <c r="J410" s="10"/>
      <c r="K410" s="10"/>
      <c r="L410" s="10"/>
      <c r="M410" s="15" t="str">
        <f aca="false">IF($A410="","",SUMIFS(처리내역!$E$3:$E$1502,처리내역!$B$3:$B$1502,$A410))</f>
        <v/>
      </c>
      <c r="N410" s="15" t="str">
        <f aca="false">IF($A410="","",IF($I410="","",$I410-$M410))</f>
        <v/>
      </c>
      <c r="O410" s="12" t="str">
        <f aca="false">IF($A410="","",IF($I410="","",IF($M410=0,"미처리",IF($N410&lt;=0,"완료","부분처리"))))</f>
        <v/>
      </c>
    </row>
    <row r="411" customFormat="false" ht="15" hidden="false" customHeight="true" outlineLevel="0" collapsed="false">
      <c r="A411" s="12" t="str">
        <f aca="false">IF($B411="","",TEXT($B411,"yymm")&amp;"-"&amp;TEXT(COUNTIFS($B$3:$B411,"&gt;="&amp;DATE(YEAR($B411),MONTH($B411),1),$B$3:$B411,"&lt;="&amp;EOMONTH($B411,0)),"000"))</f>
        <v/>
      </c>
      <c r="B411" s="13"/>
      <c r="C411" s="10"/>
      <c r="D411" s="10"/>
      <c r="E411" s="12" t="str">
        <f aca="false">IF($D411="","",IFERROR(INDEX(품목목록!$B$3:$B$302,MATCH($D411,품목목록!$A$3:$A$302,0)),"미등록품번"))</f>
        <v/>
      </c>
      <c r="F411" s="12" t="str">
        <f aca="false">IF($D411="","",IFERROR(INDEX(품목목록!$C$3:$C$302,MATCH($D411,품목목록!$A$3:$A$302,0)),""))</f>
        <v/>
      </c>
      <c r="G411" s="12" t="str">
        <f aca="false">IF($D411="","",IFERROR(INDEX(품목목록!$D$3:$D$302,MATCH($D411,품목목록!$A$3:$A$302,0)),""))</f>
        <v/>
      </c>
      <c r="H411" s="12" t="str">
        <f aca="false">IF($D411="","",IFERROR(INDEX(품목목록!$E$3:$E$302,MATCH($D411,품목목록!$A$3:$A$302,0)),""))</f>
        <v/>
      </c>
      <c r="I411" s="14"/>
      <c r="J411" s="10"/>
      <c r="K411" s="10"/>
      <c r="L411" s="10"/>
      <c r="M411" s="15" t="str">
        <f aca="false">IF($A411="","",SUMIFS(처리내역!$E$3:$E$1502,처리내역!$B$3:$B$1502,$A411))</f>
        <v/>
      </c>
      <c r="N411" s="15" t="str">
        <f aca="false">IF($A411="","",IF($I411="","",$I411-$M411))</f>
        <v/>
      </c>
      <c r="O411" s="12" t="str">
        <f aca="false">IF($A411="","",IF($I411="","",IF($M411=0,"미처리",IF($N411&lt;=0,"완료","부분처리"))))</f>
        <v/>
      </c>
    </row>
    <row r="412" customFormat="false" ht="15" hidden="false" customHeight="true" outlineLevel="0" collapsed="false">
      <c r="A412" s="12" t="str">
        <f aca="false">IF($B412="","",TEXT($B412,"yymm")&amp;"-"&amp;TEXT(COUNTIFS($B$3:$B412,"&gt;="&amp;DATE(YEAR($B412),MONTH($B412),1),$B$3:$B412,"&lt;="&amp;EOMONTH($B412,0)),"000"))</f>
        <v/>
      </c>
      <c r="B412" s="13"/>
      <c r="C412" s="10"/>
      <c r="D412" s="10"/>
      <c r="E412" s="12" t="str">
        <f aca="false">IF($D412="","",IFERROR(INDEX(품목목록!$B$3:$B$302,MATCH($D412,품목목록!$A$3:$A$302,0)),"미등록품번"))</f>
        <v/>
      </c>
      <c r="F412" s="12" t="str">
        <f aca="false">IF($D412="","",IFERROR(INDEX(품목목록!$C$3:$C$302,MATCH($D412,품목목록!$A$3:$A$302,0)),""))</f>
        <v/>
      </c>
      <c r="G412" s="12" t="str">
        <f aca="false">IF($D412="","",IFERROR(INDEX(품목목록!$D$3:$D$302,MATCH($D412,품목목록!$A$3:$A$302,0)),""))</f>
        <v/>
      </c>
      <c r="H412" s="12" t="str">
        <f aca="false">IF($D412="","",IFERROR(INDEX(품목목록!$E$3:$E$302,MATCH($D412,품목목록!$A$3:$A$302,0)),""))</f>
        <v/>
      </c>
      <c r="I412" s="14"/>
      <c r="J412" s="10"/>
      <c r="K412" s="10"/>
      <c r="L412" s="10"/>
      <c r="M412" s="15" t="str">
        <f aca="false">IF($A412="","",SUMIFS(처리내역!$E$3:$E$1502,처리내역!$B$3:$B$1502,$A412))</f>
        <v/>
      </c>
      <c r="N412" s="15" t="str">
        <f aca="false">IF($A412="","",IF($I412="","",$I412-$M412))</f>
        <v/>
      </c>
      <c r="O412" s="12" t="str">
        <f aca="false">IF($A412="","",IF($I412="","",IF($M412=0,"미처리",IF($N412&lt;=0,"완료","부분처리"))))</f>
        <v/>
      </c>
    </row>
    <row r="413" customFormat="false" ht="15" hidden="false" customHeight="true" outlineLevel="0" collapsed="false">
      <c r="A413" s="12" t="str">
        <f aca="false">IF($B413="","",TEXT($B413,"yymm")&amp;"-"&amp;TEXT(COUNTIFS($B$3:$B413,"&gt;="&amp;DATE(YEAR($B413),MONTH($B413),1),$B$3:$B413,"&lt;="&amp;EOMONTH($B413,0)),"000"))</f>
        <v/>
      </c>
      <c r="B413" s="13"/>
      <c r="C413" s="10"/>
      <c r="D413" s="10"/>
      <c r="E413" s="12" t="str">
        <f aca="false">IF($D413="","",IFERROR(INDEX(품목목록!$B$3:$B$302,MATCH($D413,품목목록!$A$3:$A$302,0)),"미등록품번"))</f>
        <v/>
      </c>
      <c r="F413" s="12" t="str">
        <f aca="false">IF($D413="","",IFERROR(INDEX(품목목록!$C$3:$C$302,MATCH($D413,품목목록!$A$3:$A$302,0)),""))</f>
        <v/>
      </c>
      <c r="G413" s="12" t="str">
        <f aca="false">IF($D413="","",IFERROR(INDEX(품목목록!$D$3:$D$302,MATCH($D413,품목목록!$A$3:$A$302,0)),""))</f>
        <v/>
      </c>
      <c r="H413" s="12" t="str">
        <f aca="false">IF($D413="","",IFERROR(INDEX(품목목록!$E$3:$E$302,MATCH($D413,품목목록!$A$3:$A$302,0)),""))</f>
        <v/>
      </c>
      <c r="I413" s="14"/>
      <c r="J413" s="10"/>
      <c r="K413" s="10"/>
      <c r="L413" s="10"/>
      <c r="M413" s="15" t="str">
        <f aca="false">IF($A413="","",SUMIFS(처리내역!$E$3:$E$1502,처리내역!$B$3:$B$1502,$A413))</f>
        <v/>
      </c>
      <c r="N413" s="15" t="str">
        <f aca="false">IF($A413="","",IF($I413="","",$I413-$M413))</f>
        <v/>
      </c>
      <c r="O413" s="12" t="str">
        <f aca="false">IF($A413="","",IF($I413="","",IF($M413=0,"미처리",IF($N413&lt;=0,"완료","부분처리"))))</f>
        <v/>
      </c>
    </row>
    <row r="414" customFormat="false" ht="15" hidden="false" customHeight="true" outlineLevel="0" collapsed="false">
      <c r="A414" s="12" t="str">
        <f aca="false">IF($B414="","",TEXT($B414,"yymm")&amp;"-"&amp;TEXT(COUNTIFS($B$3:$B414,"&gt;="&amp;DATE(YEAR($B414),MONTH($B414),1),$B$3:$B414,"&lt;="&amp;EOMONTH($B414,0)),"000"))</f>
        <v/>
      </c>
      <c r="B414" s="13"/>
      <c r="C414" s="10"/>
      <c r="D414" s="10"/>
      <c r="E414" s="12" t="str">
        <f aca="false">IF($D414="","",IFERROR(INDEX(품목목록!$B$3:$B$302,MATCH($D414,품목목록!$A$3:$A$302,0)),"미등록품번"))</f>
        <v/>
      </c>
      <c r="F414" s="12" t="str">
        <f aca="false">IF($D414="","",IFERROR(INDEX(품목목록!$C$3:$C$302,MATCH($D414,품목목록!$A$3:$A$302,0)),""))</f>
        <v/>
      </c>
      <c r="G414" s="12" t="str">
        <f aca="false">IF($D414="","",IFERROR(INDEX(품목목록!$D$3:$D$302,MATCH($D414,품목목록!$A$3:$A$302,0)),""))</f>
        <v/>
      </c>
      <c r="H414" s="12" t="str">
        <f aca="false">IF($D414="","",IFERROR(INDEX(품목목록!$E$3:$E$302,MATCH($D414,품목목록!$A$3:$A$302,0)),""))</f>
        <v/>
      </c>
      <c r="I414" s="14"/>
      <c r="J414" s="10"/>
      <c r="K414" s="10"/>
      <c r="L414" s="10"/>
      <c r="M414" s="15" t="str">
        <f aca="false">IF($A414="","",SUMIFS(처리내역!$E$3:$E$1502,처리내역!$B$3:$B$1502,$A414))</f>
        <v/>
      </c>
      <c r="N414" s="15" t="str">
        <f aca="false">IF($A414="","",IF($I414="","",$I414-$M414))</f>
        <v/>
      </c>
      <c r="O414" s="12" t="str">
        <f aca="false">IF($A414="","",IF($I414="","",IF($M414=0,"미처리",IF($N414&lt;=0,"완료","부분처리"))))</f>
        <v/>
      </c>
    </row>
    <row r="415" customFormat="false" ht="15" hidden="false" customHeight="true" outlineLevel="0" collapsed="false">
      <c r="A415" s="12" t="str">
        <f aca="false">IF($B415="","",TEXT($B415,"yymm")&amp;"-"&amp;TEXT(COUNTIFS($B$3:$B415,"&gt;="&amp;DATE(YEAR($B415),MONTH($B415),1),$B$3:$B415,"&lt;="&amp;EOMONTH($B415,0)),"000"))</f>
        <v/>
      </c>
      <c r="B415" s="13"/>
      <c r="C415" s="10"/>
      <c r="D415" s="10"/>
      <c r="E415" s="12" t="str">
        <f aca="false">IF($D415="","",IFERROR(INDEX(품목목록!$B$3:$B$302,MATCH($D415,품목목록!$A$3:$A$302,0)),"미등록품번"))</f>
        <v/>
      </c>
      <c r="F415" s="12" t="str">
        <f aca="false">IF($D415="","",IFERROR(INDEX(품목목록!$C$3:$C$302,MATCH($D415,품목목록!$A$3:$A$302,0)),""))</f>
        <v/>
      </c>
      <c r="G415" s="12" t="str">
        <f aca="false">IF($D415="","",IFERROR(INDEX(품목목록!$D$3:$D$302,MATCH($D415,품목목록!$A$3:$A$302,0)),""))</f>
        <v/>
      </c>
      <c r="H415" s="12" t="str">
        <f aca="false">IF($D415="","",IFERROR(INDEX(품목목록!$E$3:$E$302,MATCH($D415,품목목록!$A$3:$A$302,0)),""))</f>
        <v/>
      </c>
      <c r="I415" s="14"/>
      <c r="J415" s="10"/>
      <c r="K415" s="10"/>
      <c r="L415" s="10"/>
      <c r="M415" s="15" t="str">
        <f aca="false">IF($A415="","",SUMIFS(처리내역!$E$3:$E$1502,처리내역!$B$3:$B$1502,$A415))</f>
        <v/>
      </c>
      <c r="N415" s="15" t="str">
        <f aca="false">IF($A415="","",IF($I415="","",$I415-$M415))</f>
        <v/>
      </c>
      <c r="O415" s="12" t="str">
        <f aca="false">IF($A415="","",IF($I415="","",IF($M415=0,"미처리",IF($N415&lt;=0,"완료","부분처리"))))</f>
        <v/>
      </c>
    </row>
    <row r="416" customFormat="false" ht="15" hidden="false" customHeight="true" outlineLevel="0" collapsed="false">
      <c r="A416" s="12" t="str">
        <f aca="false">IF($B416="","",TEXT($B416,"yymm")&amp;"-"&amp;TEXT(COUNTIFS($B$3:$B416,"&gt;="&amp;DATE(YEAR($B416),MONTH($B416),1),$B$3:$B416,"&lt;="&amp;EOMONTH($B416,0)),"000"))</f>
        <v/>
      </c>
      <c r="B416" s="13"/>
      <c r="C416" s="10"/>
      <c r="D416" s="10"/>
      <c r="E416" s="12" t="str">
        <f aca="false">IF($D416="","",IFERROR(INDEX(품목목록!$B$3:$B$302,MATCH($D416,품목목록!$A$3:$A$302,0)),"미등록품번"))</f>
        <v/>
      </c>
      <c r="F416" s="12" t="str">
        <f aca="false">IF($D416="","",IFERROR(INDEX(품목목록!$C$3:$C$302,MATCH($D416,품목목록!$A$3:$A$302,0)),""))</f>
        <v/>
      </c>
      <c r="G416" s="12" t="str">
        <f aca="false">IF($D416="","",IFERROR(INDEX(품목목록!$D$3:$D$302,MATCH($D416,품목목록!$A$3:$A$302,0)),""))</f>
        <v/>
      </c>
      <c r="H416" s="12" t="str">
        <f aca="false">IF($D416="","",IFERROR(INDEX(품목목록!$E$3:$E$302,MATCH($D416,품목목록!$A$3:$A$302,0)),""))</f>
        <v/>
      </c>
      <c r="I416" s="14"/>
      <c r="J416" s="10"/>
      <c r="K416" s="10"/>
      <c r="L416" s="10"/>
      <c r="M416" s="15" t="str">
        <f aca="false">IF($A416="","",SUMIFS(처리내역!$E$3:$E$1502,처리내역!$B$3:$B$1502,$A416))</f>
        <v/>
      </c>
      <c r="N416" s="15" t="str">
        <f aca="false">IF($A416="","",IF($I416="","",$I416-$M416))</f>
        <v/>
      </c>
      <c r="O416" s="12" t="str">
        <f aca="false">IF($A416="","",IF($I416="","",IF($M416=0,"미처리",IF($N416&lt;=0,"완료","부분처리"))))</f>
        <v/>
      </c>
    </row>
    <row r="417" customFormat="false" ht="15" hidden="false" customHeight="true" outlineLevel="0" collapsed="false">
      <c r="A417" s="12" t="str">
        <f aca="false">IF($B417="","",TEXT($B417,"yymm")&amp;"-"&amp;TEXT(COUNTIFS($B$3:$B417,"&gt;="&amp;DATE(YEAR($B417),MONTH($B417),1),$B$3:$B417,"&lt;="&amp;EOMONTH($B417,0)),"000"))</f>
        <v/>
      </c>
      <c r="B417" s="13"/>
      <c r="C417" s="10"/>
      <c r="D417" s="10"/>
      <c r="E417" s="12" t="str">
        <f aca="false">IF($D417="","",IFERROR(INDEX(품목목록!$B$3:$B$302,MATCH($D417,품목목록!$A$3:$A$302,0)),"미등록품번"))</f>
        <v/>
      </c>
      <c r="F417" s="12" t="str">
        <f aca="false">IF($D417="","",IFERROR(INDEX(품목목록!$C$3:$C$302,MATCH($D417,품목목록!$A$3:$A$302,0)),""))</f>
        <v/>
      </c>
      <c r="G417" s="12" t="str">
        <f aca="false">IF($D417="","",IFERROR(INDEX(품목목록!$D$3:$D$302,MATCH($D417,품목목록!$A$3:$A$302,0)),""))</f>
        <v/>
      </c>
      <c r="H417" s="12" t="str">
        <f aca="false">IF($D417="","",IFERROR(INDEX(품목목록!$E$3:$E$302,MATCH($D417,품목목록!$A$3:$A$302,0)),""))</f>
        <v/>
      </c>
      <c r="I417" s="14"/>
      <c r="J417" s="10"/>
      <c r="K417" s="10"/>
      <c r="L417" s="10"/>
      <c r="M417" s="15" t="str">
        <f aca="false">IF($A417="","",SUMIFS(처리내역!$E$3:$E$1502,처리내역!$B$3:$B$1502,$A417))</f>
        <v/>
      </c>
      <c r="N417" s="15" t="str">
        <f aca="false">IF($A417="","",IF($I417="","",$I417-$M417))</f>
        <v/>
      </c>
      <c r="O417" s="12" t="str">
        <f aca="false">IF($A417="","",IF($I417="","",IF($M417=0,"미처리",IF($N417&lt;=0,"완료","부분처리"))))</f>
        <v/>
      </c>
    </row>
    <row r="418" customFormat="false" ht="15" hidden="false" customHeight="true" outlineLevel="0" collapsed="false">
      <c r="A418" s="12" t="str">
        <f aca="false">IF($B418="","",TEXT($B418,"yymm")&amp;"-"&amp;TEXT(COUNTIFS($B$3:$B418,"&gt;="&amp;DATE(YEAR($B418),MONTH($B418),1),$B$3:$B418,"&lt;="&amp;EOMONTH($B418,0)),"000"))</f>
        <v/>
      </c>
      <c r="B418" s="13"/>
      <c r="C418" s="10"/>
      <c r="D418" s="10"/>
      <c r="E418" s="12" t="str">
        <f aca="false">IF($D418="","",IFERROR(INDEX(품목목록!$B$3:$B$302,MATCH($D418,품목목록!$A$3:$A$302,0)),"미등록품번"))</f>
        <v/>
      </c>
      <c r="F418" s="12" t="str">
        <f aca="false">IF($D418="","",IFERROR(INDEX(품목목록!$C$3:$C$302,MATCH($D418,품목목록!$A$3:$A$302,0)),""))</f>
        <v/>
      </c>
      <c r="G418" s="12" t="str">
        <f aca="false">IF($D418="","",IFERROR(INDEX(품목목록!$D$3:$D$302,MATCH($D418,품목목록!$A$3:$A$302,0)),""))</f>
        <v/>
      </c>
      <c r="H418" s="12" t="str">
        <f aca="false">IF($D418="","",IFERROR(INDEX(품목목록!$E$3:$E$302,MATCH($D418,품목목록!$A$3:$A$302,0)),""))</f>
        <v/>
      </c>
      <c r="I418" s="14"/>
      <c r="J418" s="10"/>
      <c r="K418" s="10"/>
      <c r="L418" s="10"/>
      <c r="M418" s="15" t="str">
        <f aca="false">IF($A418="","",SUMIFS(처리내역!$E$3:$E$1502,처리내역!$B$3:$B$1502,$A418))</f>
        <v/>
      </c>
      <c r="N418" s="15" t="str">
        <f aca="false">IF($A418="","",IF($I418="","",$I418-$M418))</f>
        <v/>
      </c>
      <c r="O418" s="12" t="str">
        <f aca="false">IF($A418="","",IF($I418="","",IF($M418=0,"미처리",IF($N418&lt;=0,"완료","부분처리"))))</f>
        <v/>
      </c>
    </row>
    <row r="419" customFormat="false" ht="15" hidden="false" customHeight="true" outlineLevel="0" collapsed="false">
      <c r="A419" s="12" t="str">
        <f aca="false">IF($B419="","",TEXT($B419,"yymm")&amp;"-"&amp;TEXT(COUNTIFS($B$3:$B419,"&gt;="&amp;DATE(YEAR($B419),MONTH($B419),1),$B$3:$B419,"&lt;="&amp;EOMONTH($B419,0)),"000"))</f>
        <v/>
      </c>
      <c r="B419" s="13"/>
      <c r="C419" s="10"/>
      <c r="D419" s="10"/>
      <c r="E419" s="12" t="str">
        <f aca="false">IF($D419="","",IFERROR(INDEX(품목목록!$B$3:$B$302,MATCH($D419,품목목록!$A$3:$A$302,0)),"미등록품번"))</f>
        <v/>
      </c>
      <c r="F419" s="12" t="str">
        <f aca="false">IF($D419="","",IFERROR(INDEX(품목목록!$C$3:$C$302,MATCH($D419,품목목록!$A$3:$A$302,0)),""))</f>
        <v/>
      </c>
      <c r="G419" s="12" t="str">
        <f aca="false">IF($D419="","",IFERROR(INDEX(품목목록!$D$3:$D$302,MATCH($D419,품목목록!$A$3:$A$302,0)),""))</f>
        <v/>
      </c>
      <c r="H419" s="12" t="str">
        <f aca="false">IF($D419="","",IFERROR(INDEX(품목목록!$E$3:$E$302,MATCH($D419,품목목록!$A$3:$A$302,0)),""))</f>
        <v/>
      </c>
      <c r="I419" s="14"/>
      <c r="J419" s="10"/>
      <c r="K419" s="10"/>
      <c r="L419" s="10"/>
      <c r="M419" s="15" t="str">
        <f aca="false">IF($A419="","",SUMIFS(처리내역!$E$3:$E$1502,처리내역!$B$3:$B$1502,$A419))</f>
        <v/>
      </c>
      <c r="N419" s="15" t="str">
        <f aca="false">IF($A419="","",IF($I419="","",$I419-$M419))</f>
        <v/>
      </c>
      <c r="O419" s="12" t="str">
        <f aca="false">IF($A419="","",IF($I419="","",IF($M419=0,"미처리",IF($N419&lt;=0,"완료","부분처리"))))</f>
        <v/>
      </c>
    </row>
    <row r="420" customFormat="false" ht="15" hidden="false" customHeight="true" outlineLevel="0" collapsed="false">
      <c r="A420" s="12" t="str">
        <f aca="false">IF($B420="","",TEXT($B420,"yymm")&amp;"-"&amp;TEXT(COUNTIFS($B$3:$B420,"&gt;="&amp;DATE(YEAR($B420),MONTH($B420),1),$B$3:$B420,"&lt;="&amp;EOMONTH($B420,0)),"000"))</f>
        <v/>
      </c>
      <c r="B420" s="13"/>
      <c r="C420" s="10"/>
      <c r="D420" s="10"/>
      <c r="E420" s="12" t="str">
        <f aca="false">IF($D420="","",IFERROR(INDEX(품목목록!$B$3:$B$302,MATCH($D420,품목목록!$A$3:$A$302,0)),"미등록품번"))</f>
        <v/>
      </c>
      <c r="F420" s="12" t="str">
        <f aca="false">IF($D420="","",IFERROR(INDEX(품목목록!$C$3:$C$302,MATCH($D420,품목목록!$A$3:$A$302,0)),""))</f>
        <v/>
      </c>
      <c r="G420" s="12" t="str">
        <f aca="false">IF($D420="","",IFERROR(INDEX(품목목록!$D$3:$D$302,MATCH($D420,품목목록!$A$3:$A$302,0)),""))</f>
        <v/>
      </c>
      <c r="H420" s="12" t="str">
        <f aca="false">IF($D420="","",IFERROR(INDEX(품목목록!$E$3:$E$302,MATCH($D420,품목목록!$A$3:$A$302,0)),""))</f>
        <v/>
      </c>
      <c r="I420" s="14"/>
      <c r="J420" s="10"/>
      <c r="K420" s="10"/>
      <c r="L420" s="10"/>
      <c r="M420" s="15" t="str">
        <f aca="false">IF($A420="","",SUMIFS(처리내역!$E$3:$E$1502,처리내역!$B$3:$B$1502,$A420))</f>
        <v/>
      </c>
      <c r="N420" s="15" t="str">
        <f aca="false">IF($A420="","",IF($I420="","",$I420-$M420))</f>
        <v/>
      </c>
      <c r="O420" s="12" t="str">
        <f aca="false">IF($A420="","",IF($I420="","",IF($M420=0,"미처리",IF($N420&lt;=0,"완료","부분처리"))))</f>
        <v/>
      </c>
    </row>
    <row r="421" customFormat="false" ht="15" hidden="false" customHeight="true" outlineLevel="0" collapsed="false">
      <c r="A421" s="12" t="str">
        <f aca="false">IF($B421="","",TEXT($B421,"yymm")&amp;"-"&amp;TEXT(COUNTIFS($B$3:$B421,"&gt;="&amp;DATE(YEAR($B421),MONTH($B421),1),$B$3:$B421,"&lt;="&amp;EOMONTH($B421,0)),"000"))</f>
        <v/>
      </c>
      <c r="B421" s="13"/>
      <c r="C421" s="10"/>
      <c r="D421" s="10"/>
      <c r="E421" s="12" t="str">
        <f aca="false">IF($D421="","",IFERROR(INDEX(품목목록!$B$3:$B$302,MATCH($D421,품목목록!$A$3:$A$302,0)),"미등록품번"))</f>
        <v/>
      </c>
      <c r="F421" s="12" t="str">
        <f aca="false">IF($D421="","",IFERROR(INDEX(품목목록!$C$3:$C$302,MATCH($D421,품목목록!$A$3:$A$302,0)),""))</f>
        <v/>
      </c>
      <c r="G421" s="12" t="str">
        <f aca="false">IF($D421="","",IFERROR(INDEX(품목목록!$D$3:$D$302,MATCH($D421,품목목록!$A$3:$A$302,0)),""))</f>
        <v/>
      </c>
      <c r="H421" s="12" t="str">
        <f aca="false">IF($D421="","",IFERROR(INDEX(품목목록!$E$3:$E$302,MATCH($D421,품목목록!$A$3:$A$302,0)),""))</f>
        <v/>
      </c>
      <c r="I421" s="14"/>
      <c r="J421" s="10"/>
      <c r="K421" s="10"/>
      <c r="L421" s="10"/>
      <c r="M421" s="15" t="str">
        <f aca="false">IF($A421="","",SUMIFS(처리내역!$E$3:$E$1502,처리내역!$B$3:$B$1502,$A421))</f>
        <v/>
      </c>
      <c r="N421" s="15" t="str">
        <f aca="false">IF($A421="","",IF($I421="","",$I421-$M421))</f>
        <v/>
      </c>
      <c r="O421" s="12" t="str">
        <f aca="false">IF($A421="","",IF($I421="","",IF($M421=0,"미처리",IF($N421&lt;=0,"완료","부분처리"))))</f>
        <v/>
      </c>
    </row>
    <row r="422" customFormat="false" ht="15" hidden="false" customHeight="true" outlineLevel="0" collapsed="false">
      <c r="A422" s="12" t="str">
        <f aca="false">IF($B422="","",TEXT($B422,"yymm")&amp;"-"&amp;TEXT(COUNTIFS($B$3:$B422,"&gt;="&amp;DATE(YEAR($B422),MONTH($B422),1),$B$3:$B422,"&lt;="&amp;EOMONTH($B422,0)),"000"))</f>
        <v/>
      </c>
      <c r="B422" s="13"/>
      <c r="C422" s="10"/>
      <c r="D422" s="10"/>
      <c r="E422" s="12" t="str">
        <f aca="false">IF($D422="","",IFERROR(INDEX(품목목록!$B$3:$B$302,MATCH($D422,품목목록!$A$3:$A$302,0)),"미등록품번"))</f>
        <v/>
      </c>
      <c r="F422" s="12" t="str">
        <f aca="false">IF($D422="","",IFERROR(INDEX(품목목록!$C$3:$C$302,MATCH($D422,품목목록!$A$3:$A$302,0)),""))</f>
        <v/>
      </c>
      <c r="G422" s="12" t="str">
        <f aca="false">IF($D422="","",IFERROR(INDEX(품목목록!$D$3:$D$302,MATCH($D422,품목목록!$A$3:$A$302,0)),""))</f>
        <v/>
      </c>
      <c r="H422" s="12" t="str">
        <f aca="false">IF($D422="","",IFERROR(INDEX(품목목록!$E$3:$E$302,MATCH($D422,품목목록!$A$3:$A$302,0)),""))</f>
        <v/>
      </c>
      <c r="I422" s="14"/>
      <c r="J422" s="10"/>
      <c r="K422" s="10"/>
      <c r="L422" s="10"/>
      <c r="M422" s="15" t="str">
        <f aca="false">IF($A422="","",SUMIFS(처리내역!$E$3:$E$1502,처리내역!$B$3:$B$1502,$A422))</f>
        <v/>
      </c>
      <c r="N422" s="15" t="str">
        <f aca="false">IF($A422="","",IF($I422="","",$I422-$M422))</f>
        <v/>
      </c>
      <c r="O422" s="12" t="str">
        <f aca="false">IF($A422="","",IF($I422="","",IF($M422=0,"미처리",IF($N422&lt;=0,"완료","부분처리"))))</f>
        <v/>
      </c>
    </row>
    <row r="423" customFormat="false" ht="15" hidden="false" customHeight="true" outlineLevel="0" collapsed="false">
      <c r="A423" s="12" t="str">
        <f aca="false">IF($B423="","",TEXT($B423,"yymm")&amp;"-"&amp;TEXT(COUNTIFS($B$3:$B423,"&gt;="&amp;DATE(YEAR($B423),MONTH($B423),1),$B$3:$B423,"&lt;="&amp;EOMONTH($B423,0)),"000"))</f>
        <v/>
      </c>
      <c r="B423" s="13"/>
      <c r="C423" s="10"/>
      <c r="D423" s="10"/>
      <c r="E423" s="12" t="str">
        <f aca="false">IF($D423="","",IFERROR(INDEX(품목목록!$B$3:$B$302,MATCH($D423,품목목록!$A$3:$A$302,0)),"미등록품번"))</f>
        <v/>
      </c>
      <c r="F423" s="12" t="str">
        <f aca="false">IF($D423="","",IFERROR(INDEX(품목목록!$C$3:$C$302,MATCH($D423,품목목록!$A$3:$A$302,0)),""))</f>
        <v/>
      </c>
      <c r="G423" s="12" t="str">
        <f aca="false">IF($D423="","",IFERROR(INDEX(품목목록!$D$3:$D$302,MATCH($D423,품목목록!$A$3:$A$302,0)),""))</f>
        <v/>
      </c>
      <c r="H423" s="12" t="str">
        <f aca="false">IF($D423="","",IFERROR(INDEX(품목목록!$E$3:$E$302,MATCH($D423,품목목록!$A$3:$A$302,0)),""))</f>
        <v/>
      </c>
      <c r="I423" s="14"/>
      <c r="J423" s="10"/>
      <c r="K423" s="10"/>
      <c r="L423" s="10"/>
      <c r="M423" s="15" t="str">
        <f aca="false">IF($A423="","",SUMIFS(처리내역!$E$3:$E$1502,처리내역!$B$3:$B$1502,$A423))</f>
        <v/>
      </c>
      <c r="N423" s="15" t="str">
        <f aca="false">IF($A423="","",IF($I423="","",$I423-$M423))</f>
        <v/>
      </c>
      <c r="O423" s="12" t="str">
        <f aca="false">IF($A423="","",IF($I423="","",IF($M423=0,"미처리",IF($N423&lt;=0,"완료","부분처리"))))</f>
        <v/>
      </c>
    </row>
    <row r="424" customFormat="false" ht="15" hidden="false" customHeight="true" outlineLevel="0" collapsed="false">
      <c r="A424" s="12" t="str">
        <f aca="false">IF($B424="","",TEXT($B424,"yymm")&amp;"-"&amp;TEXT(COUNTIFS($B$3:$B424,"&gt;="&amp;DATE(YEAR($B424),MONTH($B424),1),$B$3:$B424,"&lt;="&amp;EOMONTH($B424,0)),"000"))</f>
        <v/>
      </c>
      <c r="B424" s="13"/>
      <c r="C424" s="10"/>
      <c r="D424" s="10"/>
      <c r="E424" s="12" t="str">
        <f aca="false">IF($D424="","",IFERROR(INDEX(품목목록!$B$3:$B$302,MATCH($D424,품목목록!$A$3:$A$302,0)),"미등록품번"))</f>
        <v/>
      </c>
      <c r="F424" s="12" t="str">
        <f aca="false">IF($D424="","",IFERROR(INDEX(품목목록!$C$3:$C$302,MATCH($D424,품목목록!$A$3:$A$302,0)),""))</f>
        <v/>
      </c>
      <c r="G424" s="12" t="str">
        <f aca="false">IF($D424="","",IFERROR(INDEX(품목목록!$D$3:$D$302,MATCH($D424,품목목록!$A$3:$A$302,0)),""))</f>
        <v/>
      </c>
      <c r="H424" s="12" t="str">
        <f aca="false">IF($D424="","",IFERROR(INDEX(품목목록!$E$3:$E$302,MATCH($D424,품목목록!$A$3:$A$302,0)),""))</f>
        <v/>
      </c>
      <c r="I424" s="14"/>
      <c r="J424" s="10"/>
      <c r="K424" s="10"/>
      <c r="L424" s="10"/>
      <c r="M424" s="15" t="str">
        <f aca="false">IF($A424="","",SUMIFS(처리내역!$E$3:$E$1502,처리내역!$B$3:$B$1502,$A424))</f>
        <v/>
      </c>
      <c r="N424" s="15" t="str">
        <f aca="false">IF($A424="","",IF($I424="","",$I424-$M424))</f>
        <v/>
      </c>
      <c r="O424" s="12" t="str">
        <f aca="false">IF($A424="","",IF($I424="","",IF($M424=0,"미처리",IF($N424&lt;=0,"완료","부분처리"))))</f>
        <v/>
      </c>
    </row>
    <row r="425" customFormat="false" ht="15" hidden="false" customHeight="true" outlineLevel="0" collapsed="false">
      <c r="A425" s="12" t="str">
        <f aca="false">IF($B425="","",TEXT($B425,"yymm")&amp;"-"&amp;TEXT(COUNTIFS($B$3:$B425,"&gt;="&amp;DATE(YEAR($B425),MONTH($B425),1),$B$3:$B425,"&lt;="&amp;EOMONTH($B425,0)),"000"))</f>
        <v/>
      </c>
      <c r="B425" s="13"/>
      <c r="C425" s="10"/>
      <c r="D425" s="10"/>
      <c r="E425" s="12" t="str">
        <f aca="false">IF($D425="","",IFERROR(INDEX(품목목록!$B$3:$B$302,MATCH($D425,품목목록!$A$3:$A$302,0)),"미등록품번"))</f>
        <v/>
      </c>
      <c r="F425" s="12" t="str">
        <f aca="false">IF($D425="","",IFERROR(INDEX(품목목록!$C$3:$C$302,MATCH($D425,품목목록!$A$3:$A$302,0)),""))</f>
        <v/>
      </c>
      <c r="G425" s="12" t="str">
        <f aca="false">IF($D425="","",IFERROR(INDEX(품목목록!$D$3:$D$302,MATCH($D425,품목목록!$A$3:$A$302,0)),""))</f>
        <v/>
      </c>
      <c r="H425" s="12" t="str">
        <f aca="false">IF($D425="","",IFERROR(INDEX(품목목록!$E$3:$E$302,MATCH($D425,품목목록!$A$3:$A$302,0)),""))</f>
        <v/>
      </c>
      <c r="I425" s="14"/>
      <c r="J425" s="10"/>
      <c r="K425" s="10"/>
      <c r="L425" s="10"/>
      <c r="M425" s="15" t="str">
        <f aca="false">IF($A425="","",SUMIFS(처리내역!$E$3:$E$1502,처리내역!$B$3:$B$1502,$A425))</f>
        <v/>
      </c>
      <c r="N425" s="15" t="str">
        <f aca="false">IF($A425="","",IF($I425="","",$I425-$M425))</f>
        <v/>
      </c>
      <c r="O425" s="12" t="str">
        <f aca="false">IF($A425="","",IF($I425="","",IF($M425=0,"미처리",IF($N425&lt;=0,"완료","부분처리"))))</f>
        <v/>
      </c>
    </row>
    <row r="426" customFormat="false" ht="15" hidden="false" customHeight="true" outlineLevel="0" collapsed="false">
      <c r="A426" s="12" t="str">
        <f aca="false">IF($B426="","",TEXT($B426,"yymm")&amp;"-"&amp;TEXT(COUNTIFS($B$3:$B426,"&gt;="&amp;DATE(YEAR($B426),MONTH($B426),1),$B$3:$B426,"&lt;="&amp;EOMONTH($B426,0)),"000"))</f>
        <v/>
      </c>
      <c r="B426" s="13"/>
      <c r="C426" s="10"/>
      <c r="D426" s="10"/>
      <c r="E426" s="12" t="str">
        <f aca="false">IF($D426="","",IFERROR(INDEX(품목목록!$B$3:$B$302,MATCH($D426,품목목록!$A$3:$A$302,0)),"미등록품번"))</f>
        <v/>
      </c>
      <c r="F426" s="12" t="str">
        <f aca="false">IF($D426="","",IFERROR(INDEX(품목목록!$C$3:$C$302,MATCH($D426,품목목록!$A$3:$A$302,0)),""))</f>
        <v/>
      </c>
      <c r="G426" s="12" t="str">
        <f aca="false">IF($D426="","",IFERROR(INDEX(품목목록!$D$3:$D$302,MATCH($D426,품목목록!$A$3:$A$302,0)),""))</f>
        <v/>
      </c>
      <c r="H426" s="12" t="str">
        <f aca="false">IF($D426="","",IFERROR(INDEX(품목목록!$E$3:$E$302,MATCH($D426,품목목록!$A$3:$A$302,0)),""))</f>
        <v/>
      </c>
      <c r="I426" s="14"/>
      <c r="J426" s="10"/>
      <c r="K426" s="10"/>
      <c r="L426" s="10"/>
      <c r="M426" s="15" t="str">
        <f aca="false">IF($A426="","",SUMIFS(처리내역!$E$3:$E$1502,처리내역!$B$3:$B$1502,$A426))</f>
        <v/>
      </c>
      <c r="N426" s="15" t="str">
        <f aca="false">IF($A426="","",IF($I426="","",$I426-$M426))</f>
        <v/>
      </c>
      <c r="O426" s="12" t="str">
        <f aca="false">IF($A426="","",IF($I426="","",IF($M426=0,"미처리",IF($N426&lt;=0,"완료","부분처리"))))</f>
        <v/>
      </c>
    </row>
    <row r="427" customFormat="false" ht="15" hidden="false" customHeight="true" outlineLevel="0" collapsed="false">
      <c r="A427" s="12" t="str">
        <f aca="false">IF($B427="","",TEXT($B427,"yymm")&amp;"-"&amp;TEXT(COUNTIFS($B$3:$B427,"&gt;="&amp;DATE(YEAR($B427),MONTH($B427),1),$B$3:$B427,"&lt;="&amp;EOMONTH($B427,0)),"000"))</f>
        <v/>
      </c>
      <c r="B427" s="13"/>
      <c r="C427" s="10"/>
      <c r="D427" s="10"/>
      <c r="E427" s="12" t="str">
        <f aca="false">IF($D427="","",IFERROR(INDEX(품목목록!$B$3:$B$302,MATCH($D427,품목목록!$A$3:$A$302,0)),"미등록품번"))</f>
        <v/>
      </c>
      <c r="F427" s="12" t="str">
        <f aca="false">IF($D427="","",IFERROR(INDEX(품목목록!$C$3:$C$302,MATCH($D427,품목목록!$A$3:$A$302,0)),""))</f>
        <v/>
      </c>
      <c r="G427" s="12" t="str">
        <f aca="false">IF($D427="","",IFERROR(INDEX(품목목록!$D$3:$D$302,MATCH($D427,품목목록!$A$3:$A$302,0)),""))</f>
        <v/>
      </c>
      <c r="H427" s="12" t="str">
        <f aca="false">IF($D427="","",IFERROR(INDEX(품목목록!$E$3:$E$302,MATCH($D427,품목목록!$A$3:$A$302,0)),""))</f>
        <v/>
      </c>
      <c r="I427" s="14"/>
      <c r="J427" s="10"/>
      <c r="K427" s="10"/>
      <c r="L427" s="10"/>
      <c r="M427" s="15" t="str">
        <f aca="false">IF($A427="","",SUMIFS(처리내역!$E$3:$E$1502,처리내역!$B$3:$B$1502,$A427))</f>
        <v/>
      </c>
      <c r="N427" s="15" t="str">
        <f aca="false">IF($A427="","",IF($I427="","",$I427-$M427))</f>
        <v/>
      </c>
      <c r="O427" s="12" t="str">
        <f aca="false">IF($A427="","",IF($I427="","",IF($M427=0,"미처리",IF($N427&lt;=0,"완료","부분처리"))))</f>
        <v/>
      </c>
    </row>
    <row r="428" customFormat="false" ht="15" hidden="false" customHeight="true" outlineLevel="0" collapsed="false">
      <c r="A428" s="12" t="str">
        <f aca="false">IF($B428="","",TEXT($B428,"yymm")&amp;"-"&amp;TEXT(COUNTIFS($B$3:$B428,"&gt;="&amp;DATE(YEAR($B428),MONTH($B428),1),$B$3:$B428,"&lt;="&amp;EOMONTH($B428,0)),"000"))</f>
        <v/>
      </c>
      <c r="B428" s="13"/>
      <c r="C428" s="10"/>
      <c r="D428" s="10"/>
      <c r="E428" s="12" t="str">
        <f aca="false">IF($D428="","",IFERROR(INDEX(품목목록!$B$3:$B$302,MATCH($D428,품목목록!$A$3:$A$302,0)),"미등록품번"))</f>
        <v/>
      </c>
      <c r="F428" s="12" t="str">
        <f aca="false">IF($D428="","",IFERROR(INDEX(품목목록!$C$3:$C$302,MATCH($D428,품목목록!$A$3:$A$302,0)),""))</f>
        <v/>
      </c>
      <c r="G428" s="12" t="str">
        <f aca="false">IF($D428="","",IFERROR(INDEX(품목목록!$D$3:$D$302,MATCH($D428,품목목록!$A$3:$A$302,0)),""))</f>
        <v/>
      </c>
      <c r="H428" s="12" t="str">
        <f aca="false">IF($D428="","",IFERROR(INDEX(품목목록!$E$3:$E$302,MATCH($D428,품목목록!$A$3:$A$302,0)),""))</f>
        <v/>
      </c>
      <c r="I428" s="14"/>
      <c r="J428" s="10"/>
      <c r="K428" s="10"/>
      <c r="L428" s="10"/>
      <c r="M428" s="15" t="str">
        <f aca="false">IF($A428="","",SUMIFS(처리내역!$E$3:$E$1502,처리내역!$B$3:$B$1502,$A428))</f>
        <v/>
      </c>
      <c r="N428" s="15" t="str">
        <f aca="false">IF($A428="","",IF($I428="","",$I428-$M428))</f>
        <v/>
      </c>
      <c r="O428" s="12" t="str">
        <f aca="false">IF($A428="","",IF($I428="","",IF($M428=0,"미처리",IF($N428&lt;=0,"완료","부분처리"))))</f>
        <v/>
      </c>
    </row>
    <row r="429" customFormat="false" ht="15" hidden="false" customHeight="true" outlineLevel="0" collapsed="false">
      <c r="A429" s="12" t="str">
        <f aca="false">IF($B429="","",TEXT($B429,"yymm")&amp;"-"&amp;TEXT(COUNTIFS($B$3:$B429,"&gt;="&amp;DATE(YEAR($B429),MONTH($B429),1),$B$3:$B429,"&lt;="&amp;EOMONTH($B429,0)),"000"))</f>
        <v/>
      </c>
      <c r="B429" s="13"/>
      <c r="C429" s="10"/>
      <c r="D429" s="10"/>
      <c r="E429" s="12" t="str">
        <f aca="false">IF($D429="","",IFERROR(INDEX(품목목록!$B$3:$B$302,MATCH($D429,품목목록!$A$3:$A$302,0)),"미등록품번"))</f>
        <v/>
      </c>
      <c r="F429" s="12" t="str">
        <f aca="false">IF($D429="","",IFERROR(INDEX(품목목록!$C$3:$C$302,MATCH($D429,품목목록!$A$3:$A$302,0)),""))</f>
        <v/>
      </c>
      <c r="G429" s="12" t="str">
        <f aca="false">IF($D429="","",IFERROR(INDEX(품목목록!$D$3:$D$302,MATCH($D429,품목목록!$A$3:$A$302,0)),""))</f>
        <v/>
      </c>
      <c r="H429" s="12" t="str">
        <f aca="false">IF($D429="","",IFERROR(INDEX(품목목록!$E$3:$E$302,MATCH($D429,품목목록!$A$3:$A$302,0)),""))</f>
        <v/>
      </c>
      <c r="I429" s="14"/>
      <c r="J429" s="10"/>
      <c r="K429" s="10"/>
      <c r="L429" s="10"/>
      <c r="M429" s="15" t="str">
        <f aca="false">IF($A429="","",SUMIFS(처리내역!$E$3:$E$1502,처리내역!$B$3:$B$1502,$A429))</f>
        <v/>
      </c>
      <c r="N429" s="15" t="str">
        <f aca="false">IF($A429="","",IF($I429="","",$I429-$M429))</f>
        <v/>
      </c>
      <c r="O429" s="12" t="str">
        <f aca="false">IF($A429="","",IF($I429="","",IF($M429=0,"미처리",IF($N429&lt;=0,"완료","부분처리"))))</f>
        <v/>
      </c>
    </row>
    <row r="430" customFormat="false" ht="15" hidden="false" customHeight="true" outlineLevel="0" collapsed="false">
      <c r="A430" s="12" t="str">
        <f aca="false">IF($B430="","",TEXT($B430,"yymm")&amp;"-"&amp;TEXT(COUNTIFS($B$3:$B430,"&gt;="&amp;DATE(YEAR($B430),MONTH($B430),1),$B$3:$B430,"&lt;="&amp;EOMONTH($B430,0)),"000"))</f>
        <v/>
      </c>
      <c r="B430" s="13"/>
      <c r="C430" s="10"/>
      <c r="D430" s="10"/>
      <c r="E430" s="12" t="str">
        <f aca="false">IF($D430="","",IFERROR(INDEX(품목목록!$B$3:$B$302,MATCH($D430,품목목록!$A$3:$A$302,0)),"미등록품번"))</f>
        <v/>
      </c>
      <c r="F430" s="12" t="str">
        <f aca="false">IF($D430="","",IFERROR(INDEX(품목목록!$C$3:$C$302,MATCH($D430,품목목록!$A$3:$A$302,0)),""))</f>
        <v/>
      </c>
      <c r="G430" s="12" t="str">
        <f aca="false">IF($D430="","",IFERROR(INDEX(품목목록!$D$3:$D$302,MATCH($D430,품목목록!$A$3:$A$302,0)),""))</f>
        <v/>
      </c>
      <c r="H430" s="12" t="str">
        <f aca="false">IF($D430="","",IFERROR(INDEX(품목목록!$E$3:$E$302,MATCH($D430,품목목록!$A$3:$A$302,0)),""))</f>
        <v/>
      </c>
      <c r="I430" s="14"/>
      <c r="J430" s="10"/>
      <c r="K430" s="10"/>
      <c r="L430" s="10"/>
      <c r="M430" s="15" t="str">
        <f aca="false">IF($A430="","",SUMIFS(처리내역!$E$3:$E$1502,처리내역!$B$3:$B$1502,$A430))</f>
        <v/>
      </c>
      <c r="N430" s="15" t="str">
        <f aca="false">IF($A430="","",IF($I430="","",$I430-$M430))</f>
        <v/>
      </c>
      <c r="O430" s="12" t="str">
        <f aca="false">IF($A430="","",IF($I430="","",IF($M430=0,"미처리",IF($N430&lt;=0,"완료","부분처리"))))</f>
        <v/>
      </c>
    </row>
    <row r="431" customFormat="false" ht="15" hidden="false" customHeight="true" outlineLevel="0" collapsed="false">
      <c r="A431" s="12" t="str">
        <f aca="false">IF($B431="","",TEXT($B431,"yymm")&amp;"-"&amp;TEXT(COUNTIFS($B$3:$B431,"&gt;="&amp;DATE(YEAR($B431),MONTH($B431),1),$B$3:$B431,"&lt;="&amp;EOMONTH($B431,0)),"000"))</f>
        <v/>
      </c>
      <c r="B431" s="13"/>
      <c r="C431" s="10"/>
      <c r="D431" s="10"/>
      <c r="E431" s="12" t="str">
        <f aca="false">IF($D431="","",IFERROR(INDEX(품목목록!$B$3:$B$302,MATCH($D431,품목목록!$A$3:$A$302,0)),"미등록품번"))</f>
        <v/>
      </c>
      <c r="F431" s="12" t="str">
        <f aca="false">IF($D431="","",IFERROR(INDEX(품목목록!$C$3:$C$302,MATCH($D431,품목목록!$A$3:$A$302,0)),""))</f>
        <v/>
      </c>
      <c r="G431" s="12" t="str">
        <f aca="false">IF($D431="","",IFERROR(INDEX(품목목록!$D$3:$D$302,MATCH($D431,품목목록!$A$3:$A$302,0)),""))</f>
        <v/>
      </c>
      <c r="H431" s="12" t="str">
        <f aca="false">IF($D431="","",IFERROR(INDEX(품목목록!$E$3:$E$302,MATCH($D431,품목목록!$A$3:$A$302,0)),""))</f>
        <v/>
      </c>
      <c r="I431" s="14"/>
      <c r="J431" s="10"/>
      <c r="K431" s="10"/>
      <c r="L431" s="10"/>
      <c r="M431" s="15" t="str">
        <f aca="false">IF($A431="","",SUMIFS(처리내역!$E$3:$E$1502,처리내역!$B$3:$B$1502,$A431))</f>
        <v/>
      </c>
      <c r="N431" s="15" t="str">
        <f aca="false">IF($A431="","",IF($I431="","",$I431-$M431))</f>
        <v/>
      </c>
      <c r="O431" s="12" t="str">
        <f aca="false">IF($A431="","",IF($I431="","",IF($M431=0,"미처리",IF($N431&lt;=0,"완료","부분처리"))))</f>
        <v/>
      </c>
    </row>
    <row r="432" customFormat="false" ht="15" hidden="false" customHeight="true" outlineLevel="0" collapsed="false">
      <c r="A432" s="12" t="str">
        <f aca="false">IF($B432="","",TEXT($B432,"yymm")&amp;"-"&amp;TEXT(COUNTIFS($B$3:$B432,"&gt;="&amp;DATE(YEAR($B432),MONTH($B432),1),$B$3:$B432,"&lt;="&amp;EOMONTH($B432,0)),"000"))</f>
        <v/>
      </c>
      <c r="B432" s="13"/>
      <c r="C432" s="10"/>
      <c r="D432" s="10"/>
      <c r="E432" s="12" t="str">
        <f aca="false">IF($D432="","",IFERROR(INDEX(품목목록!$B$3:$B$302,MATCH($D432,품목목록!$A$3:$A$302,0)),"미등록품번"))</f>
        <v/>
      </c>
      <c r="F432" s="12" t="str">
        <f aca="false">IF($D432="","",IFERROR(INDEX(품목목록!$C$3:$C$302,MATCH($D432,품목목록!$A$3:$A$302,0)),""))</f>
        <v/>
      </c>
      <c r="G432" s="12" t="str">
        <f aca="false">IF($D432="","",IFERROR(INDEX(품목목록!$D$3:$D$302,MATCH($D432,품목목록!$A$3:$A$302,0)),""))</f>
        <v/>
      </c>
      <c r="H432" s="12" t="str">
        <f aca="false">IF($D432="","",IFERROR(INDEX(품목목록!$E$3:$E$302,MATCH($D432,품목목록!$A$3:$A$302,0)),""))</f>
        <v/>
      </c>
      <c r="I432" s="14"/>
      <c r="J432" s="10"/>
      <c r="K432" s="10"/>
      <c r="L432" s="10"/>
      <c r="M432" s="15" t="str">
        <f aca="false">IF($A432="","",SUMIFS(처리내역!$E$3:$E$1502,처리내역!$B$3:$B$1502,$A432))</f>
        <v/>
      </c>
      <c r="N432" s="15" t="str">
        <f aca="false">IF($A432="","",IF($I432="","",$I432-$M432))</f>
        <v/>
      </c>
      <c r="O432" s="12" t="str">
        <f aca="false">IF($A432="","",IF($I432="","",IF($M432=0,"미처리",IF($N432&lt;=0,"완료","부분처리"))))</f>
        <v/>
      </c>
    </row>
    <row r="433" customFormat="false" ht="15" hidden="false" customHeight="true" outlineLevel="0" collapsed="false">
      <c r="A433" s="12" t="str">
        <f aca="false">IF($B433="","",TEXT($B433,"yymm")&amp;"-"&amp;TEXT(COUNTIFS($B$3:$B433,"&gt;="&amp;DATE(YEAR($B433),MONTH($B433),1),$B$3:$B433,"&lt;="&amp;EOMONTH($B433,0)),"000"))</f>
        <v/>
      </c>
      <c r="B433" s="13"/>
      <c r="C433" s="10"/>
      <c r="D433" s="10"/>
      <c r="E433" s="12" t="str">
        <f aca="false">IF($D433="","",IFERROR(INDEX(품목목록!$B$3:$B$302,MATCH($D433,품목목록!$A$3:$A$302,0)),"미등록품번"))</f>
        <v/>
      </c>
      <c r="F433" s="12" t="str">
        <f aca="false">IF($D433="","",IFERROR(INDEX(품목목록!$C$3:$C$302,MATCH($D433,품목목록!$A$3:$A$302,0)),""))</f>
        <v/>
      </c>
      <c r="G433" s="12" t="str">
        <f aca="false">IF($D433="","",IFERROR(INDEX(품목목록!$D$3:$D$302,MATCH($D433,품목목록!$A$3:$A$302,0)),""))</f>
        <v/>
      </c>
      <c r="H433" s="12" t="str">
        <f aca="false">IF($D433="","",IFERROR(INDEX(품목목록!$E$3:$E$302,MATCH($D433,품목목록!$A$3:$A$302,0)),""))</f>
        <v/>
      </c>
      <c r="I433" s="14"/>
      <c r="J433" s="10"/>
      <c r="K433" s="10"/>
      <c r="L433" s="10"/>
      <c r="M433" s="15" t="str">
        <f aca="false">IF($A433="","",SUMIFS(처리내역!$E$3:$E$1502,처리내역!$B$3:$B$1502,$A433))</f>
        <v/>
      </c>
      <c r="N433" s="15" t="str">
        <f aca="false">IF($A433="","",IF($I433="","",$I433-$M433))</f>
        <v/>
      </c>
      <c r="O433" s="12" t="str">
        <f aca="false">IF($A433="","",IF($I433="","",IF($M433=0,"미처리",IF($N433&lt;=0,"완료","부분처리"))))</f>
        <v/>
      </c>
    </row>
    <row r="434" customFormat="false" ht="15" hidden="false" customHeight="true" outlineLevel="0" collapsed="false">
      <c r="A434" s="12" t="str">
        <f aca="false">IF($B434="","",TEXT($B434,"yymm")&amp;"-"&amp;TEXT(COUNTIFS($B$3:$B434,"&gt;="&amp;DATE(YEAR($B434),MONTH($B434),1),$B$3:$B434,"&lt;="&amp;EOMONTH($B434,0)),"000"))</f>
        <v/>
      </c>
      <c r="B434" s="13"/>
      <c r="C434" s="10"/>
      <c r="D434" s="10"/>
      <c r="E434" s="12" t="str">
        <f aca="false">IF($D434="","",IFERROR(INDEX(품목목록!$B$3:$B$302,MATCH($D434,품목목록!$A$3:$A$302,0)),"미등록품번"))</f>
        <v/>
      </c>
      <c r="F434" s="12" t="str">
        <f aca="false">IF($D434="","",IFERROR(INDEX(품목목록!$C$3:$C$302,MATCH($D434,품목목록!$A$3:$A$302,0)),""))</f>
        <v/>
      </c>
      <c r="G434" s="12" t="str">
        <f aca="false">IF($D434="","",IFERROR(INDEX(품목목록!$D$3:$D$302,MATCH($D434,품목목록!$A$3:$A$302,0)),""))</f>
        <v/>
      </c>
      <c r="H434" s="12" t="str">
        <f aca="false">IF($D434="","",IFERROR(INDEX(품목목록!$E$3:$E$302,MATCH($D434,품목목록!$A$3:$A$302,0)),""))</f>
        <v/>
      </c>
      <c r="I434" s="14"/>
      <c r="J434" s="10"/>
      <c r="K434" s="10"/>
      <c r="L434" s="10"/>
      <c r="M434" s="15" t="str">
        <f aca="false">IF($A434="","",SUMIFS(처리내역!$E$3:$E$1502,처리내역!$B$3:$B$1502,$A434))</f>
        <v/>
      </c>
      <c r="N434" s="15" t="str">
        <f aca="false">IF($A434="","",IF($I434="","",$I434-$M434))</f>
        <v/>
      </c>
      <c r="O434" s="12" t="str">
        <f aca="false">IF($A434="","",IF($I434="","",IF($M434=0,"미처리",IF($N434&lt;=0,"완료","부분처리"))))</f>
        <v/>
      </c>
    </row>
    <row r="435" customFormat="false" ht="15" hidden="false" customHeight="true" outlineLevel="0" collapsed="false">
      <c r="A435" s="12" t="str">
        <f aca="false">IF($B435="","",TEXT($B435,"yymm")&amp;"-"&amp;TEXT(COUNTIFS($B$3:$B435,"&gt;="&amp;DATE(YEAR($B435),MONTH($B435),1),$B$3:$B435,"&lt;="&amp;EOMONTH($B435,0)),"000"))</f>
        <v/>
      </c>
      <c r="B435" s="13"/>
      <c r="C435" s="10"/>
      <c r="D435" s="10"/>
      <c r="E435" s="12" t="str">
        <f aca="false">IF($D435="","",IFERROR(INDEX(품목목록!$B$3:$B$302,MATCH($D435,품목목록!$A$3:$A$302,0)),"미등록품번"))</f>
        <v/>
      </c>
      <c r="F435" s="12" t="str">
        <f aca="false">IF($D435="","",IFERROR(INDEX(품목목록!$C$3:$C$302,MATCH($D435,품목목록!$A$3:$A$302,0)),""))</f>
        <v/>
      </c>
      <c r="G435" s="12" t="str">
        <f aca="false">IF($D435="","",IFERROR(INDEX(품목목록!$D$3:$D$302,MATCH($D435,품목목록!$A$3:$A$302,0)),""))</f>
        <v/>
      </c>
      <c r="H435" s="12" t="str">
        <f aca="false">IF($D435="","",IFERROR(INDEX(품목목록!$E$3:$E$302,MATCH($D435,품목목록!$A$3:$A$302,0)),""))</f>
        <v/>
      </c>
      <c r="I435" s="14"/>
      <c r="J435" s="10"/>
      <c r="K435" s="10"/>
      <c r="L435" s="10"/>
      <c r="M435" s="15" t="str">
        <f aca="false">IF($A435="","",SUMIFS(처리내역!$E$3:$E$1502,처리내역!$B$3:$B$1502,$A435))</f>
        <v/>
      </c>
      <c r="N435" s="15" t="str">
        <f aca="false">IF($A435="","",IF($I435="","",$I435-$M435))</f>
        <v/>
      </c>
      <c r="O435" s="12" t="str">
        <f aca="false">IF($A435="","",IF($I435="","",IF($M435=0,"미처리",IF($N435&lt;=0,"완료","부분처리"))))</f>
        <v/>
      </c>
    </row>
    <row r="436" customFormat="false" ht="15" hidden="false" customHeight="true" outlineLevel="0" collapsed="false">
      <c r="A436" s="12" t="str">
        <f aca="false">IF($B436="","",TEXT($B436,"yymm")&amp;"-"&amp;TEXT(COUNTIFS($B$3:$B436,"&gt;="&amp;DATE(YEAR($B436),MONTH($B436),1),$B$3:$B436,"&lt;="&amp;EOMONTH($B436,0)),"000"))</f>
        <v/>
      </c>
      <c r="B436" s="13"/>
      <c r="C436" s="10"/>
      <c r="D436" s="10"/>
      <c r="E436" s="12" t="str">
        <f aca="false">IF($D436="","",IFERROR(INDEX(품목목록!$B$3:$B$302,MATCH($D436,품목목록!$A$3:$A$302,0)),"미등록품번"))</f>
        <v/>
      </c>
      <c r="F436" s="12" t="str">
        <f aca="false">IF($D436="","",IFERROR(INDEX(품목목록!$C$3:$C$302,MATCH($D436,품목목록!$A$3:$A$302,0)),""))</f>
        <v/>
      </c>
      <c r="G436" s="12" t="str">
        <f aca="false">IF($D436="","",IFERROR(INDEX(품목목록!$D$3:$D$302,MATCH($D436,품목목록!$A$3:$A$302,0)),""))</f>
        <v/>
      </c>
      <c r="H436" s="12" t="str">
        <f aca="false">IF($D436="","",IFERROR(INDEX(품목목록!$E$3:$E$302,MATCH($D436,품목목록!$A$3:$A$302,0)),""))</f>
        <v/>
      </c>
      <c r="I436" s="14"/>
      <c r="J436" s="10"/>
      <c r="K436" s="10"/>
      <c r="L436" s="10"/>
      <c r="M436" s="15" t="str">
        <f aca="false">IF($A436="","",SUMIFS(처리내역!$E$3:$E$1502,처리내역!$B$3:$B$1502,$A436))</f>
        <v/>
      </c>
      <c r="N436" s="15" t="str">
        <f aca="false">IF($A436="","",IF($I436="","",$I436-$M436))</f>
        <v/>
      </c>
      <c r="O436" s="12" t="str">
        <f aca="false">IF($A436="","",IF($I436="","",IF($M436=0,"미처리",IF($N436&lt;=0,"완료","부분처리"))))</f>
        <v/>
      </c>
    </row>
    <row r="437" customFormat="false" ht="15" hidden="false" customHeight="true" outlineLevel="0" collapsed="false">
      <c r="A437" s="12" t="str">
        <f aca="false">IF($B437="","",TEXT($B437,"yymm")&amp;"-"&amp;TEXT(COUNTIFS($B$3:$B437,"&gt;="&amp;DATE(YEAR($B437),MONTH($B437),1),$B$3:$B437,"&lt;="&amp;EOMONTH($B437,0)),"000"))</f>
        <v/>
      </c>
      <c r="B437" s="13"/>
      <c r="C437" s="10"/>
      <c r="D437" s="10"/>
      <c r="E437" s="12" t="str">
        <f aca="false">IF($D437="","",IFERROR(INDEX(품목목록!$B$3:$B$302,MATCH($D437,품목목록!$A$3:$A$302,0)),"미등록품번"))</f>
        <v/>
      </c>
      <c r="F437" s="12" t="str">
        <f aca="false">IF($D437="","",IFERROR(INDEX(품목목록!$C$3:$C$302,MATCH($D437,품목목록!$A$3:$A$302,0)),""))</f>
        <v/>
      </c>
      <c r="G437" s="12" t="str">
        <f aca="false">IF($D437="","",IFERROR(INDEX(품목목록!$D$3:$D$302,MATCH($D437,품목목록!$A$3:$A$302,0)),""))</f>
        <v/>
      </c>
      <c r="H437" s="12" t="str">
        <f aca="false">IF($D437="","",IFERROR(INDEX(품목목록!$E$3:$E$302,MATCH($D437,품목목록!$A$3:$A$302,0)),""))</f>
        <v/>
      </c>
      <c r="I437" s="14"/>
      <c r="J437" s="10"/>
      <c r="K437" s="10"/>
      <c r="L437" s="10"/>
      <c r="M437" s="15" t="str">
        <f aca="false">IF($A437="","",SUMIFS(처리내역!$E$3:$E$1502,처리내역!$B$3:$B$1502,$A437))</f>
        <v/>
      </c>
      <c r="N437" s="15" t="str">
        <f aca="false">IF($A437="","",IF($I437="","",$I437-$M437))</f>
        <v/>
      </c>
      <c r="O437" s="12" t="str">
        <f aca="false">IF($A437="","",IF($I437="","",IF($M437=0,"미처리",IF($N437&lt;=0,"완료","부분처리"))))</f>
        <v/>
      </c>
    </row>
    <row r="438" customFormat="false" ht="15" hidden="false" customHeight="true" outlineLevel="0" collapsed="false">
      <c r="A438" s="12" t="str">
        <f aca="false">IF($B438="","",TEXT($B438,"yymm")&amp;"-"&amp;TEXT(COUNTIFS($B$3:$B438,"&gt;="&amp;DATE(YEAR($B438),MONTH($B438),1),$B$3:$B438,"&lt;="&amp;EOMONTH($B438,0)),"000"))</f>
        <v/>
      </c>
      <c r="B438" s="13"/>
      <c r="C438" s="10"/>
      <c r="D438" s="10"/>
      <c r="E438" s="12" t="str">
        <f aca="false">IF($D438="","",IFERROR(INDEX(품목목록!$B$3:$B$302,MATCH($D438,품목목록!$A$3:$A$302,0)),"미등록품번"))</f>
        <v/>
      </c>
      <c r="F438" s="12" t="str">
        <f aca="false">IF($D438="","",IFERROR(INDEX(품목목록!$C$3:$C$302,MATCH($D438,품목목록!$A$3:$A$302,0)),""))</f>
        <v/>
      </c>
      <c r="G438" s="12" t="str">
        <f aca="false">IF($D438="","",IFERROR(INDEX(품목목록!$D$3:$D$302,MATCH($D438,품목목록!$A$3:$A$302,0)),""))</f>
        <v/>
      </c>
      <c r="H438" s="12" t="str">
        <f aca="false">IF($D438="","",IFERROR(INDEX(품목목록!$E$3:$E$302,MATCH($D438,품목목록!$A$3:$A$302,0)),""))</f>
        <v/>
      </c>
      <c r="I438" s="14"/>
      <c r="J438" s="10"/>
      <c r="K438" s="10"/>
      <c r="L438" s="10"/>
      <c r="M438" s="15" t="str">
        <f aca="false">IF($A438="","",SUMIFS(처리내역!$E$3:$E$1502,처리내역!$B$3:$B$1502,$A438))</f>
        <v/>
      </c>
      <c r="N438" s="15" t="str">
        <f aca="false">IF($A438="","",IF($I438="","",$I438-$M438))</f>
        <v/>
      </c>
      <c r="O438" s="12" t="str">
        <f aca="false">IF($A438="","",IF($I438="","",IF($M438=0,"미처리",IF($N438&lt;=0,"완료","부분처리"))))</f>
        <v/>
      </c>
    </row>
    <row r="439" customFormat="false" ht="15" hidden="false" customHeight="true" outlineLevel="0" collapsed="false">
      <c r="A439" s="12" t="str">
        <f aca="false">IF($B439="","",TEXT($B439,"yymm")&amp;"-"&amp;TEXT(COUNTIFS($B$3:$B439,"&gt;="&amp;DATE(YEAR($B439),MONTH($B439),1),$B$3:$B439,"&lt;="&amp;EOMONTH($B439,0)),"000"))</f>
        <v/>
      </c>
      <c r="B439" s="13"/>
      <c r="C439" s="10"/>
      <c r="D439" s="10"/>
      <c r="E439" s="12" t="str">
        <f aca="false">IF($D439="","",IFERROR(INDEX(품목목록!$B$3:$B$302,MATCH($D439,품목목록!$A$3:$A$302,0)),"미등록품번"))</f>
        <v/>
      </c>
      <c r="F439" s="12" t="str">
        <f aca="false">IF($D439="","",IFERROR(INDEX(품목목록!$C$3:$C$302,MATCH($D439,품목목록!$A$3:$A$302,0)),""))</f>
        <v/>
      </c>
      <c r="G439" s="12" t="str">
        <f aca="false">IF($D439="","",IFERROR(INDEX(품목목록!$D$3:$D$302,MATCH($D439,품목목록!$A$3:$A$302,0)),""))</f>
        <v/>
      </c>
      <c r="H439" s="12" t="str">
        <f aca="false">IF($D439="","",IFERROR(INDEX(품목목록!$E$3:$E$302,MATCH($D439,품목목록!$A$3:$A$302,0)),""))</f>
        <v/>
      </c>
      <c r="I439" s="14"/>
      <c r="J439" s="10"/>
      <c r="K439" s="10"/>
      <c r="L439" s="10"/>
      <c r="M439" s="15" t="str">
        <f aca="false">IF($A439="","",SUMIFS(처리내역!$E$3:$E$1502,처리내역!$B$3:$B$1502,$A439))</f>
        <v/>
      </c>
      <c r="N439" s="15" t="str">
        <f aca="false">IF($A439="","",IF($I439="","",$I439-$M439))</f>
        <v/>
      </c>
      <c r="O439" s="12" t="str">
        <f aca="false">IF($A439="","",IF($I439="","",IF($M439=0,"미처리",IF($N439&lt;=0,"완료","부분처리"))))</f>
        <v/>
      </c>
    </row>
    <row r="440" customFormat="false" ht="15" hidden="false" customHeight="true" outlineLevel="0" collapsed="false">
      <c r="A440" s="12" t="str">
        <f aca="false">IF($B440="","",TEXT($B440,"yymm")&amp;"-"&amp;TEXT(COUNTIFS($B$3:$B440,"&gt;="&amp;DATE(YEAR($B440),MONTH($B440),1),$B$3:$B440,"&lt;="&amp;EOMONTH($B440,0)),"000"))</f>
        <v/>
      </c>
      <c r="B440" s="13"/>
      <c r="C440" s="10"/>
      <c r="D440" s="10"/>
      <c r="E440" s="12" t="str">
        <f aca="false">IF($D440="","",IFERROR(INDEX(품목목록!$B$3:$B$302,MATCH($D440,품목목록!$A$3:$A$302,0)),"미등록품번"))</f>
        <v/>
      </c>
      <c r="F440" s="12" t="str">
        <f aca="false">IF($D440="","",IFERROR(INDEX(품목목록!$C$3:$C$302,MATCH($D440,품목목록!$A$3:$A$302,0)),""))</f>
        <v/>
      </c>
      <c r="G440" s="12" t="str">
        <f aca="false">IF($D440="","",IFERROR(INDEX(품목목록!$D$3:$D$302,MATCH($D440,품목목록!$A$3:$A$302,0)),""))</f>
        <v/>
      </c>
      <c r="H440" s="12" t="str">
        <f aca="false">IF($D440="","",IFERROR(INDEX(품목목록!$E$3:$E$302,MATCH($D440,품목목록!$A$3:$A$302,0)),""))</f>
        <v/>
      </c>
      <c r="I440" s="14"/>
      <c r="J440" s="10"/>
      <c r="K440" s="10"/>
      <c r="L440" s="10"/>
      <c r="M440" s="15" t="str">
        <f aca="false">IF($A440="","",SUMIFS(처리내역!$E$3:$E$1502,처리내역!$B$3:$B$1502,$A440))</f>
        <v/>
      </c>
      <c r="N440" s="15" t="str">
        <f aca="false">IF($A440="","",IF($I440="","",$I440-$M440))</f>
        <v/>
      </c>
      <c r="O440" s="12" t="str">
        <f aca="false">IF($A440="","",IF($I440="","",IF($M440=0,"미처리",IF($N440&lt;=0,"완료","부분처리"))))</f>
        <v/>
      </c>
    </row>
    <row r="441" customFormat="false" ht="15" hidden="false" customHeight="true" outlineLevel="0" collapsed="false">
      <c r="A441" s="12" t="str">
        <f aca="false">IF($B441="","",TEXT($B441,"yymm")&amp;"-"&amp;TEXT(COUNTIFS($B$3:$B441,"&gt;="&amp;DATE(YEAR($B441),MONTH($B441),1),$B$3:$B441,"&lt;="&amp;EOMONTH($B441,0)),"000"))</f>
        <v/>
      </c>
      <c r="B441" s="13"/>
      <c r="C441" s="10"/>
      <c r="D441" s="10"/>
      <c r="E441" s="12" t="str">
        <f aca="false">IF($D441="","",IFERROR(INDEX(품목목록!$B$3:$B$302,MATCH($D441,품목목록!$A$3:$A$302,0)),"미등록품번"))</f>
        <v/>
      </c>
      <c r="F441" s="12" t="str">
        <f aca="false">IF($D441="","",IFERROR(INDEX(품목목록!$C$3:$C$302,MATCH($D441,품목목록!$A$3:$A$302,0)),""))</f>
        <v/>
      </c>
      <c r="G441" s="12" t="str">
        <f aca="false">IF($D441="","",IFERROR(INDEX(품목목록!$D$3:$D$302,MATCH($D441,품목목록!$A$3:$A$302,0)),""))</f>
        <v/>
      </c>
      <c r="H441" s="12" t="str">
        <f aca="false">IF($D441="","",IFERROR(INDEX(품목목록!$E$3:$E$302,MATCH($D441,품목목록!$A$3:$A$302,0)),""))</f>
        <v/>
      </c>
      <c r="I441" s="14"/>
      <c r="J441" s="10"/>
      <c r="K441" s="10"/>
      <c r="L441" s="10"/>
      <c r="M441" s="15" t="str">
        <f aca="false">IF($A441="","",SUMIFS(처리내역!$E$3:$E$1502,처리내역!$B$3:$B$1502,$A441))</f>
        <v/>
      </c>
      <c r="N441" s="15" t="str">
        <f aca="false">IF($A441="","",IF($I441="","",$I441-$M441))</f>
        <v/>
      </c>
      <c r="O441" s="12" t="str">
        <f aca="false">IF($A441="","",IF($I441="","",IF($M441=0,"미처리",IF($N441&lt;=0,"완료","부분처리"))))</f>
        <v/>
      </c>
    </row>
    <row r="442" customFormat="false" ht="15" hidden="false" customHeight="true" outlineLevel="0" collapsed="false">
      <c r="A442" s="12" t="str">
        <f aca="false">IF($B442="","",TEXT($B442,"yymm")&amp;"-"&amp;TEXT(COUNTIFS($B$3:$B442,"&gt;="&amp;DATE(YEAR($B442),MONTH($B442),1),$B$3:$B442,"&lt;="&amp;EOMONTH($B442,0)),"000"))</f>
        <v/>
      </c>
      <c r="B442" s="13"/>
      <c r="C442" s="10"/>
      <c r="D442" s="10"/>
      <c r="E442" s="12" t="str">
        <f aca="false">IF($D442="","",IFERROR(INDEX(품목목록!$B$3:$B$302,MATCH($D442,품목목록!$A$3:$A$302,0)),"미등록품번"))</f>
        <v/>
      </c>
      <c r="F442" s="12" t="str">
        <f aca="false">IF($D442="","",IFERROR(INDEX(품목목록!$C$3:$C$302,MATCH($D442,품목목록!$A$3:$A$302,0)),""))</f>
        <v/>
      </c>
      <c r="G442" s="12" t="str">
        <f aca="false">IF($D442="","",IFERROR(INDEX(품목목록!$D$3:$D$302,MATCH($D442,품목목록!$A$3:$A$302,0)),""))</f>
        <v/>
      </c>
      <c r="H442" s="12" t="str">
        <f aca="false">IF($D442="","",IFERROR(INDEX(품목목록!$E$3:$E$302,MATCH($D442,품목목록!$A$3:$A$302,0)),""))</f>
        <v/>
      </c>
      <c r="I442" s="14"/>
      <c r="J442" s="10"/>
      <c r="K442" s="10"/>
      <c r="L442" s="10"/>
      <c r="M442" s="15" t="str">
        <f aca="false">IF($A442="","",SUMIFS(처리내역!$E$3:$E$1502,처리내역!$B$3:$B$1502,$A442))</f>
        <v/>
      </c>
      <c r="N442" s="15" t="str">
        <f aca="false">IF($A442="","",IF($I442="","",$I442-$M442))</f>
        <v/>
      </c>
      <c r="O442" s="12" t="str">
        <f aca="false">IF($A442="","",IF($I442="","",IF($M442=0,"미처리",IF($N442&lt;=0,"완료","부분처리"))))</f>
        <v/>
      </c>
    </row>
    <row r="443" customFormat="false" ht="15" hidden="false" customHeight="true" outlineLevel="0" collapsed="false">
      <c r="A443" s="12" t="str">
        <f aca="false">IF($B443="","",TEXT($B443,"yymm")&amp;"-"&amp;TEXT(COUNTIFS($B$3:$B443,"&gt;="&amp;DATE(YEAR($B443),MONTH($B443),1),$B$3:$B443,"&lt;="&amp;EOMONTH($B443,0)),"000"))</f>
        <v/>
      </c>
      <c r="B443" s="13"/>
      <c r="C443" s="10"/>
      <c r="D443" s="10"/>
      <c r="E443" s="12" t="str">
        <f aca="false">IF($D443="","",IFERROR(INDEX(품목목록!$B$3:$B$302,MATCH($D443,품목목록!$A$3:$A$302,0)),"미등록품번"))</f>
        <v/>
      </c>
      <c r="F443" s="12" t="str">
        <f aca="false">IF($D443="","",IFERROR(INDEX(품목목록!$C$3:$C$302,MATCH($D443,품목목록!$A$3:$A$302,0)),""))</f>
        <v/>
      </c>
      <c r="G443" s="12" t="str">
        <f aca="false">IF($D443="","",IFERROR(INDEX(품목목록!$D$3:$D$302,MATCH($D443,품목목록!$A$3:$A$302,0)),""))</f>
        <v/>
      </c>
      <c r="H443" s="12" t="str">
        <f aca="false">IF($D443="","",IFERROR(INDEX(품목목록!$E$3:$E$302,MATCH($D443,품목목록!$A$3:$A$302,0)),""))</f>
        <v/>
      </c>
      <c r="I443" s="14"/>
      <c r="J443" s="10"/>
      <c r="K443" s="10"/>
      <c r="L443" s="10"/>
      <c r="M443" s="15" t="str">
        <f aca="false">IF($A443="","",SUMIFS(처리내역!$E$3:$E$1502,처리내역!$B$3:$B$1502,$A443))</f>
        <v/>
      </c>
      <c r="N443" s="15" t="str">
        <f aca="false">IF($A443="","",IF($I443="","",$I443-$M443))</f>
        <v/>
      </c>
      <c r="O443" s="12" t="str">
        <f aca="false">IF($A443="","",IF($I443="","",IF($M443=0,"미처리",IF($N443&lt;=0,"완료","부분처리"))))</f>
        <v/>
      </c>
    </row>
    <row r="444" customFormat="false" ht="15" hidden="false" customHeight="true" outlineLevel="0" collapsed="false">
      <c r="A444" s="12" t="str">
        <f aca="false">IF($B444="","",TEXT($B444,"yymm")&amp;"-"&amp;TEXT(COUNTIFS($B$3:$B444,"&gt;="&amp;DATE(YEAR($B444),MONTH($B444),1),$B$3:$B444,"&lt;="&amp;EOMONTH($B444,0)),"000"))</f>
        <v/>
      </c>
      <c r="B444" s="13"/>
      <c r="C444" s="10"/>
      <c r="D444" s="10"/>
      <c r="E444" s="12" t="str">
        <f aca="false">IF($D444="","",IFERROR(INDEX(품목목록!$B$3:$B$302,MATCH($D444,품목목록!$A$3:$A$302,0)),"미등록품번"))</f>
        <v/>
      </c>
      <c r="F444" s="12" t="str">
        <f aca="false">IF($D444="","",IFERROR(INDEX(품목목록!$C$3:$C$302,MATCH($D444,품목목록!$A$3:$A$302,0)),""))</f>
        <v/>
      </c>
      <c r="G444" s="12" t="str">
        <f aca="false">IF($D444="","",IFERROR(INDEX(품목목록!$D$3:$D$302,MATCH($D444,품목목록!$A$3:$A$302,0)),""))</f>
        <v/>
      </c>
      <c r="H444" s="12" t="str">
        <f aca="false">IF($D444="","",IFERROR(INDEX(품목목록!$E$3:$E$302,MATCH($D444,품목목록!$A$3:$A$302,0)),""))</f>
        <v/>
      </c>
      <c r="I444" s="14"/>
      <c r="J444" s="10"/>
      <c r="K444" s="10"/>
      <c r="L444" s="10"/>
      <c r="M444" s="15" t="str">
        <f aca="false">IF($A444="","",SUMIFS(처리내역!$E$3:$E$1502,처리내역!$B$3:$B$1502,$A444))</f>
        <v/>
      </c>
      <c r="N444" s="15" t="str">
        <f aca="false">IF($A444="","",IF($I444="","",$I444-$M444))</f>
        <v/>
      </c>
      <c r="O444" s="12" t="str">
        <f aca="false">IF($A444="","",IF($I444="","",IF($M444=0,"미처리",IF($N444&lt;=0,"완료","부분처리"))))</f>
        <v/>
      </c>
    </row>
    <row r="445" customFormat="false" ht="15" hidden="false" customHeight="true" outlineLevel="0" collapsed="false">
      <c r="A445" s="12" t="str">
        <f aca="false">IF($B445="","",TEXT($B445,"yymm")&amp;"-"&amp;TEXT(COUNTIFS($B$3:$B445,"&gt;="&amp;DATE(YEAR($B445),MONTH($B445),1),$B$3:$B445,"&lt;="&amp;EOMONTH($B445,0)),"000"))</f>
        <v/>
      </c>
      <c r="B445" s="13"/>
      <c r="C445" s="10"/>
      <c r="D445" s="10"/>
      <c r="E445" s="12" t="str">
        <f aca="false">IF($D445="","",IFERROR(INDEX(품목목록!$B$3:$B$302,MATCH($D445,품목목록!$A$3:$A$302,0)),"미등록품번"))</f>
        <v/>
      </c>
      <c r="F445" s="12" t="str">
        <f aca="false">IF($D445="","",IFERROR(INDEX(품목목록!$C$3:$C$302,MATCH($D445,품목목록!$A$3:$A$302,0)),""))</f>
        <v/>
      </c>
      <c r="G445" s="12" t="str">
        <f aca="false">IF($D445="","",IFERROR(INDEX(품목목록!$D$3:$D$302,MATCH($D445,품목목록!$A$3:$A$302,0)),""))</f>
        <v/>
      </c>
      <c r="H445" s="12" t="str">
        <f aca="false">IF($D445="","",IFERROR(INDEX(품목목록!$E$3:$E$302,MATCH($D445,품목목록!$A$3:$A$302,0)),""))</f>
        <v/>
      </c>
      <c r="I445" s="14"/>
      <c r="J445" s="10"/>
      <c r="K445" s="10"/>
      <c r="L445" s="10"/>
      <c r="M445" s="15" t="str">
        <f aca="false">IF($A445="","",SUMIFS(처리내역!$E$3:$E$1502,처리내역!$B$3:$B$1502,$A445))</f>
        <v/>
      </c>
      <c r="N445" s="15" t="str">
        <f aca="false">IF($A445="","",IF($I445="","",$I445-$M445))</f>
        <v/>
      </c>
      <c r="O445" s="12" t="str">
        <f aca="false">IF($A445="","",IF($I445="","",IF($M445=0,"미처리",IF($N445&lt;=0,"완료","부분처리"))))</f>
        <v/>
      </c>
    </row>
    <row r="446" customFormat="false" ht="15" hidden="false" customHeight="true" outlineLevel="0" collapsed="false">
      <c r="A446" s="12" t="str">
        <f aca="false">IF($B446="","",TEXT($B446,"yymm")&amp;"-"&amp;TEXT(COUNTIFS($B$3:$B446,"&gt;="&amp;DATE(YEAR($B446),MONTH($B446),1),$B$3:$B446,"&lt;="&amp;EOMONTH($B446,0)),"000"))</f>
        <v/>
      </c>
      <c r="B446" s="13"/>
      <c r="C446" s="10"/>
      <c r="D446" s="10"/>
      <c r="E446" s="12" t="str">
        <f aca="false">IF($D446="","",IFERROR(INDEX(품목목록!$B$3:$B$302,MATCH($D446,품목목록!$A$3:$A$302,0)),"미등록품번"))</f>
        <v/>
      </c>
      <c r="F446" s="12" t="str">
        <f aca="false">IF($D446="","",IFERROR(INDEX(품목목록!$C$3:$C$302,MATCH($D446,품목목록!$A$3:$A$302,0)),""))</f>
        <v/>
      </c>
      <c r="G446" s="12" t="str">
        <f aca="false">IF($D446="","",IFERROR(INDEX(품목목록!$D$3:$D$302,MATCH($D446,품목목록!$A$3:$A$302,0)),""))</f>
        <v/>
      </c>
      <c r="H446" s="12" t="str">
        <f aca="false">IF($D446="","",IFERROR(INDEX(품목목록!$E$3:$E$302,MATCH($D446,품목목록!$A$3:$A$302,0)),""))</f>
        <v/>
      </c>
      <c r="I446" s="14"/>
      <c r="J446" s="10"/>
      <c r="K446" s="10"/>
      <c r="L446" s="10"/>
      <c r="M446" s="15" t="str">
        <f aca="false">IF($A446="","",SUMIFS(처리내역!$E$3:$E$1502,처리내역!$B$3:$B$1502,$A446))</f>
        <v/>
      </c>
      <c r="N446" s="15" t="str">
        <f aca="false">IF($A446="","",IF($I446="","",$I446-$M446))</f>
        <v/>
      </c>
      <c r="O446" s="12" t="str">
        <f aca="false">IF($A446="","",IF($I446="","",IF($M446=0,"미처리",IF($N446&lt;=0,"완료","부분처리"))))</f>
        <v/>
      </c>
    </row>
    <row r="447" customFormat="false" ht="15" hidden="false" customHeight="true" outlineLevel="0" collapsed="false">
      <c r="A447" s="12" t="str">
        <f aca="false">IF($B447="","",TEXT($B447,"yymm")&amp;"-"&amp;TEXT(COUNTIFS($B$3:$B447,"&gt;="&amp;DATE(YEAR($B447),MONTH($B447),1),$B$3:$B447,"&lt;="&amp;EOMONTH($B447,0)),"000"))</f>
        <v/>
      </c>
      <c r="B447" s="13"/>
      <c r="C447" s="10"/>
      <c r="D447" s="10"/>
      <c r="E447" s="12" t="str">
        <f aca="false">IF($D447="","",IFERROR(INDEX(품목목록!$B$3:$B$302,MATCH($D447,품목목록!$A$3:$A$302,0)),"미등록품번"))</f>
        <v/>
      </c>
      <c r="F447" s="12" t="str">
        <f aca="false">IF($D447="","",IFERROR(INDEX(품목목록!$C$3:$C$302,MATCH($D447,품목목록!$A$3:$A$302,0)),""))</f>
        <v/>
      </c>
      <c r="G447" s="12" t="str">
        <f aca="false">IF($D447="","",IFERROR(INDEX(품목목록!$D$3:$D$302,MATCH($D447,품목목록!$A$3:$A$302,0)),""))</f>
        <v/>
      </c>
      <c r="H447" s="12" t="str">
        <f aca="false">IF($D447="","",IFERROR(INDEX(품목목록!$E$3:$E$302,MATCH($D447,품목목록!$A$3:$A$302,0)),""))</f>
        <v/>
      </c>
      <c r="I447" s="14"/>
      <c r="J447" s="10"/>
      <c r="K447" s="10"/>
      <c r="L447" s="10"/>
      <c r="M447" s="15" t="str">
        <f aca="false">IF($A447="","",SUMIFS(처리내역!$E$3:$E$1502,처리내역!$B$3:$B$1502,$A447))</f>
        <v/>
      </c>
      <c r="N447" s="15" t="str">
        <f aca="false">IF($A447="","",IF($I447="","",$I447-$M447))</f>
        <v/>
      </c>
      <c r="O447" s="12" t="str">
        <f aca="false">IF($A447="","",IF($I447="","",IF($M447=0,"미처리",IF($N447&lt;=0,"완료","부분처리"))))</f>
        <v/>
      </c>
    </row>
    <row r="448" customFormat="false" ht="15" hidden="false" customHeight="true" outlineLevel="0" collapsed="false">
      <c r="A448" s="12" t="str">
        <f aca="false">IF($B448="","",TEXT($B448,"yymm")&amp;"-"&amp;TEXT(COUNTIFS($B$3:$B448,"&gt;="&amp;DATE(YEAR($B448),MONTH($B448),1),$B$3:$B448,"&lt;="&amp;EOMONTH($B448,0)),"000"))</f>
        <v/>
      </c>
      <c r="B448" s="13"/>
      <c r="C448" s="10"/>
      <c r="D448" s="10"/>
      <c r="E448" s="12" t="str">
        <f aca="false">IF($D448="","",IFERROR(INDEX(품목목록!$B$3:$B$302,MATCH($D448,품목목록!$A$3:$A$302,0)),"미등록품번"))</f>
        <v/>
      </c>
      <c r="F448" s="12" t="str">
        <f aca="false">IF($D448="","",IFERROR(INDEX(품목목록!$C$3:$C$302,MATCH($D448,품목목록!$A$3:$A$302,0)),""))</f>
        <v/>
      </c>
      <c r="G448" s="12" t="str">
        <f aca="false">IF($D448="","",IFERROR(INDEX(품목목록!$D$3:$D$302,MATCH($D448,품목목록!$A$3:$A$302,0)),""))</f>
        <v/>
      </c>
      <c r="H448" s="12" t="str">
        <f aca="false">IF($D448="","",IFERROR(INDEX(품목목록!$E$3:$E$302,MATCH($D448,품목목록!$A$3:$A$302,0)),""))</f>
        <v/>
      </c>
      <c r="I448" s="14"/>
      <c r="J448" s="10"/>
      <c r="K448" s="10"/>
      <c r="L448" s="10"/>
      <c r="M448" s="15" t="str">
        <f aca="false">IF($A448="","",SUMIFS(처리내역!$E$3:$E$1502,처리내역!$B$3:$B$1502,$A448))</f>
        <v/>
      </c>
      <c r="N448" s="15" t="str">
        <f aca="false">IF($A448="","",IF($I448="","",$I448-$M448))</f>
        <v/>
      </c>
      <c r="O448" s="12" t="str">
        <f aca="false">IF($A448="","",IF($I448="","",IF($M448=0,"미처리",IF($N448&lt;=0,"완료","부분처리"))))</f>
        <v/>
      </c>
    </row>
    <row r="449" customFormat="false" ht="15" hidden="false" customHeight="true" outlineLevel="0" collapsed="false">
      <c r="A449" s="12" t="str">
        <f aca="false">IF($B449="","",TEXT($B449,"yymm")&amp;"-"&amp;TEXT(COUNTIFS($B$3:$B449,"&gt;="&amp;DATE(YEAR($B449),MONTH($B449),1),$B$3:$B449,"&lt;="&amp;EOMONTH($B449,0)),"000"))</f>
        <v/>
      </c>
      <c r="B449" s="13"/>
      <c r="C449" s="10"/>
      <c r="D449" s="10"/>
      <c r="E449" s="12" t="str">
        <f aca="false">IF($D449="","",IFERROR(INDEX(품목목록!$B$3:$B$302,MATCH($D449,품목목록!$A$3:$A$302,0)),"미등록품번"))</f>
        <v/>
      </c>
      <c r="F449" s="12" t="str">
        <f aca="false">IF($D449="","",IFERROR(INDEX(품목목록!$C$3:$C$302,MATCH($D449,품목목록!$A$3:$A$302,0)),""))</f>
        <v/>
      </c>
      <c r="G449" s="12" t="str">
        <f aca="false">IF($D449="","",IFERROR(INDEX(품목목록!$D$3:$D$302,MATCH($D449,품목목록!$A$3:$A$302,0)),""))</f>
        <v/>
      </c>
      <c r="H449" s="12" t="str">
        <f aca="false">IF($D449="","",IFERROR(INDEX(품목목록!$E$3:$E$302,MATCH($D449,품목목록!$A$3:$A$302,0)),""))</f>
        <v/>
      </c>
      <c r="I449" s="14"/>
      <c r="J449" s="10"/>
      <c r="K449" s="10"/>
      <c r="L449" s="10"/>
      <c r="M449" s="15" t="str">
        <f aca="false">IF($A449="","",SUMIFS(처리내역!$E$3:$E$1502,처리내역!$B$3:$B$1502,$A449))</f>
        <v/>
      </c>
      <c r="N449" s="15" t="str">
        <f aca="false">IF($A449="","",IF($I449="","",$I449-$M449))</f>
        <v/>
      </c>
      <c r="O449" s="12" t="str">
        <f aca="false">IF($A449="","",IF($I449="","",IF($M449=0,"미처리",IF($N449&lt;=0,"완료","부분처리"))))</f>
        <v/>
      </c>
    </row>
    <row r="450" customFormat="false" ht="15" hidden="false" customHeight="true" outlineLevel="0" collapsed="false">
      <c r="A450" s="12" t="str">
        <f aca="false">IF($B450="","",TEXT($B450,"yymm")&amp;"-"&amp;TEXT(COUNTIFS($B$3:$B450,"&gt;="&amp;DATE(YEAR($B450),MONTH($B450),1),$B$3:$B450,"&lt;="&amp;EOMONTH($B450,0)),"000"))</f>
        <v/>
      </c>
      <c r="B450" s="13"/>
      <c r="C450" s="10"/>
      <c r="D450" s="10"/>
      <c r="E450" s="12" t="str">
        <f aca="false">IF($D450="","",IFERROR(INDEX(품목목록!$B$3:$B$302,MATCH($D450,품목목록!$A$3:$A$302,0)),"미등록품번"))</f>
        <v/>
      </c>
      <c r="F450" s="12" t="str">
        <f aca="false">IF($D450="","",IFERROR(INDEX(품목목록!$C$3:$C$302,MATCH($D450,품목목록!$A$3:$A$302,0)),""))</f>
        <v/>
      </c>
      <c r="G450" s="12" t="str">
        <f aca="false">IF($D450="","",IFERROR(INDEX(품목목록!$D$3:$D$302,MATCH($D450,품목목록!$A$3:$A$302,0)),""))</f>
        <v/>
      </c>
      <c r="H450" s="12" t="str">
        <f aca="false">IF($D450="","",IFERROR(INDEX(품목목록!$E$3:$E$302,MATCH($D450,품목목록!$A$3:$A$302,0)),""))</f>
        <v/>
      </c>
      <c r="I450" s="14"/>
      <c r="J450" s="10"/>
      <c r="K450" s="10"/>
      <c r="L450" s="10"/>
      <c r="M450" s="15" t="str">
        <f aca="false">IF($A450="","",SUMIFS(처리내역!$E$3:$E$1502,처리내역!$B$3:$B$1502,$A450))</f>
        <v/>
      </c>
      <c r="N450" s="15" t="str">
        <f aca="false">IF($A450="","",IF($I450="","",$I450-$M450))</f>
        <v/>
      </c>
      <c r="O450" s="12" t="str">
        <f aca="false">IF($A450="","",IF($I450="","",IF($M450=0,"미처리",IF($N450&lt;=0,"완료","부분처리"))))</f>
        <v/>
      </c>
    </row>
    <row r="451" customFormat="false" ht="15" hidden="false" customHeight="true" outlineLevel="0" collapsed="false">
      <c r="A451" s="12" t="str">
        <f aca="false">IF($B451="","",TEXT($B451,"yymm")&amp;"-"&amp;TEXT(COUNTIFS($B$3:$B451,"&gt;="&amp;DATE(YEAR($B451),MONTH($B451),1),$B$3:$B451,"&lt;="&amp;EOMONTH($B451,0)),"000"))</f>
        <v/>
      </c>
      <c r="B451" s="13"/>
      <c r="C451" s="10"/>
      <c r="D451" s="10"/>
      <c r="E451" s="12" t="str">
        <f aca="false">IF($D451="","",IFERROR(INDEX(품목목록!$B$3:$B$302,MATCH($D451,품목목록!$A$3:$A$302,0)),"미등록품번"))</f>
        <v/>
      </c>
      <c r="F451" s="12" t="str">
        <f aca="false">IF($D451="","",IFERROR(INDEX(품목목록!$C$3:$C$302,MATCH($D451,품목목록!$A$3:$A$302,0)),""))</f>
        <v/>
      </c>
      <c r="G451" s="12" t="str">
        <f aca="false">IF($D451="","",IFERROR(INDEX(품목목록!$D$3:$D$302,MATCH($D451,품목목록!$A$3:$A$302,0)),""))</f>
        <v/>
      </c>
      <c r="H451" s="12" t="str">
        <f aca="false">IF($D451="","",IFERROR(INDEX(품목목록!$E$3:$E$302,MATCH($D451,품목목록!$A$3:$A$302,0)),""))</f>
        <v/>
      </c>
      <c r="I451" s="14"/>
      <c r="J451" s="10"/>
      <c r="K451" s="10"/>
      <c r="L451" s="10"/>
      <c r="M451" s="15" t="str">
        <f aca="false">IF($A451="","",SUMIFS(처리내역!$E$3:$E$1502,처리내역!$B$3:$B$1502,$A451))</f>
        <v/>
      </c>
      <c r="N451" s="15" t="str">
        <f aca="false">IF($A451="","",IF($I451="","",$I451-$M451))</f>
        <v/>
      </c>
      <c r="O451" s="12" t="str">
        <f aca="false">IF($A451="","",IF($I451="","",IF($M451=0,"미처리",IF($N451&lt;=0,"완료","부분처리"))))</f>
        <v/>
      </c>
    </row>
    <row r="452" customFormat="false" ht="15" hidden="false" customHeight="true" outlineLevel="0" collapsed="false">
      <c r="A452" s="12" t="str">
        <f aca="false">IF($B452="","",TEXT($B452,"yymm")&amp;"-"&amp;TEXT(COUNTIFS($B$3:$B452,"&gt;="&amp;DATE(YEAR($B452),MONTH($B452),1),$B$3:$B452,"&lt;="&amp;EOMONTH($B452,0)),"000"))</f>
        <v/>
      </c>
      <c r="B452" s="13"/>
      <c r="C452" s="10"/>
      <c r="D452" s="10"/>
      <c r="E452" s="12" t="str">
        <f aca="false">IF($D452="","",IFERROR(INDEX(품목목록!$B$3:$B$302,MATCH($D452,품목목록!$A$3:$A$302,0)),"미등록품번"))</f>
        <v/>
      </c>
      <c r="F452" s="12" t="str">
        <f aca="false">IF($D452="","",IFERROR(INDEX(품목목록!$C$3:$C$302,MATCH($D452,품목목록!$A$3:$A$302,0)),""))</f>
        <v/>
      </c>
      <c r="G452" s="12" t="str">
        <f aca="false">IF($D452="","",IFERROR(INDEX(품목목록!$D$3:$D$302,MATCH($D452,품목목록!$A$3:$A$302,0)),""))</f>
        <v/>
      </c>
      <c r="H452" s="12" t="str">
        <f aca="false">IF($D452="","",IFERROR(INDEX(품목목록!$E$3:$E$302,MATCH($D452,품목목록!$A$3:$A$302,0)),""))</f>
        <v/>
      </c>
      <c r="I452" s="14"/>
      <c r="J452" s="10"/>
      <c r="K452" s="10"/>
      <c r="L452" s="10"/>
      <c r="M452" s="15" t="str">
        <f aca="false">IF($A452="","",SUMIFS(처리내역!$E$3:$E$1502,처리내역!$B$3:$B$1502,$A452))</f>
        <v/>
      </c>
      <c r="N452" s="15" t="str">
        <f aca="false">IF($A452="","",IF($I452="","",$I452-$M452))</f>
        <v/>
      </c>
      <c r="O452" s="12" t="str">
        <f aca="false">IF($A452="","",IF($I452="","",IF($M452=0,"미처리",IF($N452&lt;=0,"완료","부분처리"))))</f>
        <v/>
      </c>
    </row>
    <row r="453" customFormat="false" ht="15" hidden="false" customHeight="true" outlineLevel="0" collapsed="false">
      <c r="A453" s="12" t="str">
        <f aca="false">IF($B453="","",TEXT($B453,"yymm")&amp;"-"&amp;TEXT(COUNTIFS($B$3:$B453,"&gt;="&amp;DATE(YEAR($B453),MONTH($B453),1),$B$3:$B453,"&lt;="&amp;EOMONTH($B453,0)),"000"))</f>
        <v/>
      </c>
      <c r="B453" s="13"/>
      <c r="C453" s="10"/>
      <c r="D453" s="10"/>
      <c r="E453" s="12" t="str">
        <f aca="false">IF($D453="","",IFERROR(INDEX(품목목록!$B$3:$B$302,MATCH($D453,품목목록!$A$3:$A$302,0)),"미등록품번"))</f>
        <v/>
      </c>
      <c r="F453" s="12" t="str">
        <f aca="false">IF($D453="","",IFERROR(INDEX(품목목록!$C$3:$C$302,MATCH($D453,품목목록!$A$3:$A$302,0)),""))</f>
        <v/>
      </c>
      <c r="G453" s="12" t="str">
        <f aca="false">IF($D453="","",IFERROR(INDEX(품목목록!$D$3:$D$302,MATCH($D453,품목목록!$A$3:$A$302,0)),""))</f>
        <v/>
      </c>
      <c r="H453" s="12" t="str">
        <f aca="false">IF($D453="","",IFERROR(INDEX(품목목록!$E$3:$E$302,MATCH($D453,품목목록!$A$3:$A$302,0)),""))</f>
        <v/>
      </c>
      <c r="I453" s="14"/>
      <c r="J453" s="10"/>
      <c r="K453" s="10"/>
      <c r="L453" s="10"/>
      <c r="M453" s="15" t="str">
        <f aca="false">IF($A453="","",SUMIFS(처리내역!$E$3:$E$1502,처리내역!$B$3:$B$1502,$A453))</f>
        <v/>
      </c>
      <c r="N453" s="15" t="str">
        <f aca="false">IF($A453="","",IF($I453="","",$I453-$M453))</f>
        <v/>
      </c>
      <c r="O453" s="12" t="str">
        <f aca="false">IF($A453="","",IF($I453="","",IF($M453=0,"미처리",IF($N453&lt;=0,"완료","부분처리"))))</f>
        <v/>
      </c>
    </row>
    <row r="454" customFormat="false" ht="15" hidden="false" customHeight="true" outlineLevel="0" collapsed="false">
      <c r="A454" s="12" t="str">
        <f aca="false">IF($B454="","",TEXT($B454,"yymm")&amp;"-"&amp;TEXT(COUNTIFS($B$3:$B454,"&gt;="&amp;DATE(YEAR($B454),MONTH($B454),1),$B$3:$B454,"&lt;="&amp;EOMONTH($B454,0)),"000"))</f>
        <v/>
      </c>
      <c r="B454" s="13"/>
      <c r="C454" s="10"/>
      <c r="D454" s="10"/>
      <c r="E454" s="12" t="str">
        <f aca="false">IF($D454="","",IFERROR(INDEX(품목목록!$B$3:$B$302,MATCH($D454,품목목록!$A$3:$A$302,0)),"미등록품번"))</f>
        <v/>
      </c>
      <c r="F454" s="12" t="str">
        <f aca="false">IF($D454="","",IFERROR(INDEX(품목목록!$C$3:$C$302,MATCH($D454,품목목록!$A$3:$A$302,0)),""))</f>
        <v/>
      </c>
      <c r="G454" s="12" t="str">
        <f aca="false">IF($D454="","",IFERROR(INDEX(품목목록!$D$3:$D$302,MATCH($D454,품목목록!$A$3:$A$302,0)),""))</f>
        <v/>
      </c>
      <c r="H454" s="12" t="str">
        <f aca="false">IF($D454="","",IFERROR(INDEX(품목목록!$E$3:$E$302,MATCH($D454,품목목록!$A$3:$A$302,0)),""))</f>
        <v/>
      </c>
      <c r="I454" s="14"/>
      <c r="J454" s="10"/>
      <c r="K454" s="10"/>
      <c r="L454" s="10"/>
      <c r="M454" s="15" t="str">
        <f aca="false">IF($A454="","",SUMIFS(처리내역!$E$3:$E$1502,처리내역!$B$3:$B$1502,$A454))</f>
        <v/>
      </c>
      <c r="N454" s="15" t="str">
        <f aca="false">IF($A454="","",IF($I454="","",$I454-$M454))</f>
        <v/>
      </c>
      <c r="O454" s="12" t="str">
        <f aca="false">IF($A454="","",IF($I454="","",IF($M454=0,"미처리",IF($N454&lt;=0,"완료","부분처리"))))</f>
        <v/>
      </c>
    </row>
    <row r="455" customFormat="false" ht="15" hidden="false" customHeight="true" outlineLevel="0" collapsed="false">
      <c r="A455" s="12" t="str">
        <f aca="false">IF($B455="","",TEXT($B455,"yymm")&amp;"-"&amp;TEXT(COUNTIFS($B$3:$B455,"&gt;="&amp;DATE(YEAR($B455),MONTH($B455),1),$B$3:$B455,"&lt;="&amp;EOMONTH($B455,0)),"000"))</f>
        <v/>
      </c>
      <c r="B455" s="13"/>
      <c r="C455" s="10"/>
      <c r="D455" s="10"/>
      <c r="E455" s="12" t="str">
        <f aca="false">IF($D455="","",IFERROR(INDEX(품목목록!$B$3:$B$302,MATCH($D455,품목목록!$A$3:$A$302,0)),"미등록품번"))</f>
        <v/>
      </c>
      <c r="F455" s="12" t="str">
        <f aca="false">IF($D455="","",IFERROR(INDEX(품목목록!$C$3:$C$302,MATCH($D455,품목목록!$A$3:$A$302,0)),""))</f>
        <v/>
      </c>
      <c r="G455" s="12" t="str">
        <f aca="false">IF($D455="","",IFERROR(INDEX(품목목록!$D$3:$D$302,MATCH($D455,품목목록!$A$3:$A$302,0)),""))</f>
        <v/>
      </c>
      <c r="H455" s="12" t="str">
        <f aca="false">IF($D455="","",IFERROR(INDEX(품목목록!$E$3:$E$302,MATCH($D455,품목목록!$A$3:$A$302,0)),""))</f>
        <v/>
      </c>
      <c r="I455" s="14"/>
      <c r="J455" s="10"/>
      <c r="K455" s="10"/>
      <c r="L455" s="10"/>
      <c r="M455" s="15" t="str">
        <f aca="false">IF($A455="","",SUMIFS(처리내역!$E$3:$E$1502,처리내역!$B$3:$B$1502,$A455))</f>
        <v/>
      </c>
      <c r="N455" s="15" t="str">
        <f aca="false">IF($A455="","",IF($I455="","",$I455-$M455))</f>
        <v/>
      </c>
      <c r="O455" s="12" t="str">
        <f aca="false">IF($A455="","",IF($I455="","",IF($M455=0,"미처리",IF($N455&lt;=0,"완료","부분처리"))))</f>
        <v/>
      </c>
    </row>
    <row r="456" customFormat="false" ht="15" hidden="false" customHeight="true" outlineLevel="0" collapsed="false">
      <c r="A456" s="12" t="str">
        <f aca="false">IF($B456="","",TEXT($B456,"yymm")&amp;"-"&amp;TEXT(COUNTIFS($B$3:$B456,"&gt;="&amp;DATE(YEAR($B456),MONTH($B456),1),$B$3:$B456,"&lt;="&amp;EOMONTH($B456,0)),"000"))</f>
        <v/>
      </c>
      <c r="B456" s="13"/>
      <c r="C456" s="10"/>
      <c r="D456" s="10"/>
      <c r="E456" s="12" t="str">
        <f aca="false">IF($D456="","",IFERROR(INDEX(품목목록!$B$3:$B$302,MATCH($D456,품목목록!$A$3:$A$302,0)),"미등록품번"))</f>
        <v/>
      </c>
      <c r="F456" s="12" t="str">
        <f aca="false">IF($D456="","",IFERROR(INDEX(품목목록!$C$3:$C$302,MATCH($D456,품목목록!$A$3:$A$302,0)),""))</f>
        <v/>
      </c>
      <c r="G456" s="12" t="str">
        <f aca="false">IF($D456="","",IFERROR(INDEX(품목목록!$D$3:$D$302,MATCH($D456,품목목록!$A$3:$A$302,0)),""))</f>
        <v/>
      </c>
      <c r="H456" s="12" t="str">
        <f aca="false">IF($D456="","",IFERROR(INDEX(품목목록!$E$3:$E$302,MATCH($D456,품목목록!$A$3:$A$302,0)),""))</f>
        <v/>
      </c>
      <c r="I456" s="14"/>
      <c r="J456" s="10"/>
      <c r="K456" s="10"/>
      <c r="L456" s="10"/>
      <c r="M456" s="15" t="str">
        <f aca="false">IF($A456="","",SUMIFS(처리내역!$E$3:$E$1502,처리내역!$B$3:$B$1502,$A456))</f>
        <v/>
      </c>
      <c r="N456" s="15" t="str">
        <f aca="false">IF($A456="","",IF($I456="","",$I456-$M456))</f>
        <v/>
      </c>
      <c r="O456" s="12" t="str">
        <f aca="false">IF($A456="","",IF($I456="","",IF($M456=0,"미처리",IF($N456&lt;=0,"완료","부분처리"))))</f>
        <v/>
      </c>
    </row>
    <row r="457" customFormat="false" ht="15" hidden="false" customHeight="true" outlineLevel="0" collapsed="false">
      <c r="A457" s="12" t="str">
        <f aca="false">IF($B457="","",TEXT($B457,"yymm")&amp;"-"&amp;TEXT(COUNTIFS($B$3:$B457,"&gt;="&amp;DATE(YEAR($B457),MONTH($B457),1),$B$3:$B457,"&lt;="&amp;EOMONTH($B457,0)),"000"))</f>
        <v/>
      </c>
      <c r="B457" s="13"/>
      <c r="C457" s="10"/>
      <c r="D457" s="10"/>
      <c r="E457" s="12" t="str">
        <f aca="false">IF($D457="","",IFERROR(INDEX(품목목록!$B$3:$B$302,MATCH($D457,품목목록!$A$3:$A$302,0)),"미등록품번"))</f>
        <v/>
      </c>
      <c r="F457" s="12" t="str">
        <f aca="false">IF($D457="","",IFERROR(INDEX(품목목록!$C$3:$C$302,MATCH($D457,품목목록!$A$3:$A$302,0)),""))</f>
        <v/>
      </c>
      <c r="G457" s="12" t="str">
        <f aca="false">IF($D457="","",IFERROR(INDEX(품목목록!$D$3:$D$302,MATCH($D457,품목목록!$A$3:$A$302,0)),""))</f>
        <v/>
      </c>
      <c r="H457" s="12" t="str">
        <f aca="false">IF($D457="","",IFERROR(INDEX(품목목록!$E$3:$E$302,MATCH($D457,품목목록!$A$3:$A$302,0)),""))</f>
        <v/>
      </c>
      <c r="I457" s="14"/>
      <c r="J457" s="10"/>
      <c r="K457" s="10"/>
      <c r="L457" s="10"/>
      <c r="M457" s="15" t="str">
        <f aca="false">IF($A457="","",SUMIFS(처리내역!$E$3:$E$1502,처리내역!$B$3:$B$1502,$A457))</f>
        <v/>
      </c>
      <c r="N457" s="15" t="str">
        <f aca="false">IF($A457="","",IF($I457="","",$I457-$M457))</f>
        <v/>
      </c>
      <c r="O457" s="12" t="str">
        <f aca="false">IF($A457="","",IF($I457="","",IF($M457=0,"미처리",IF($N457&lt;=0,"완료","부분처리"))))</f>
        <v/>
      </c>
    </row>
    <row r="458" customFormat="false" ht="15" hidden="false" customHeight="true" outlineLevel="0" collapsed="false">
      <c r="A458" s="12" t="str">
        <f aca="false">IF($B458="","",TEXT($B458,"yymm")&amp;"-"&amp;TEXT(COUNTIFS($B$3:$B458,"&gt;="&amp;DATE(YEAR($B458),MONTH($B458),1),$B$3:$B458,"&lt;="&amp;EOMONTH($B458,0)),"000"))</f>
        <v/>
      </c>
      <c r="B458" s="13"/>
      <c r="C458" s="10"/>
      <c r="D458" s="10"/>
      <c r="E458" s="12" t="str">
        <f aca="false">IF($D458="","",IFERROR(INDEX(품목목록!$B$3:$B$302,MATCH($D458,품목목록!$A$3:$A$302,0)),"미등록품번"))</f>
        <v/>
      </c>
      <c r="F458" s="12" t="str">
        <f aca="false">IF($D458="","",IFERROR(INDEX(품목목록!$C$3:$C$302,MATCH($D458,품목목록!$A$3:$A$302,0)),""))</f>
        <v/>
      </c>
      <c r="G458" s="12" t="str">
        <f aca="false">IF($D458="","",IFERROR(INDEX(품목목록!$D$3:$D$302,MATCH($D458,품목목록!$A$3:$A$302,0)),""))</f>
        <v/>
      </c>
      <c r="H458" s="12" t="str">
        <f aca="false">IF($D458="","",IFERROR(INDEX(품목목록!$E$3:$E$302,MATCH($D458,품목목록!$A$3:$A$302,0)),""))</f>
        <v/>
      </c>
      <c r="I458" s="14"/>
      <c r="J458" s="10"/>
      <c r="K458" s="10"/>
      <c r="L458" s="10"/>
      <c r="M458" s="15" t="str">
        <f aca="false">IF($A458="","",SUMIFS(처리내역!$E$3:$E$1502,처리내역!$B$3:$B$1502,$A458))</f>
        <v/>
      </c>
      <c r="N458" s="15" t="str">
        <f aca="false">IF($A458="","",IF($I458="","",$I458-$M458))</f>
        <v/>
      </c>
      <c r="O458" s="12" t="str">
        <f aca="false">IF($A458="","",IF($I458="","",IF($M458=0,"미처리",IF($N458&lt;=0,"완료","부분처리"))))</f>
        <v/>
      </c>
    </row>
    <row r="459" customFormat="false" ht="15" hidden="false" customHeight="true" outlineLevel="0" collapsed="false">
      <c r="A459" s="12" t="str">
        <f aca="false">IF($B459="","",TEXT($B459,"yymm")&amp;"-"&amp;TEXT(COUNTIFS($B$3:$B459,"&gt;="&amp;DATE(YEAR($B459),MONTH($B459),1),$B$3:$B459,"&lt;="&amp;EOMONTH($B459,0)),"000"))</f>
        <v/>
      </c>
      <c r="B459" s="13"/>
      <c r="C459" s="10"/>
      <c r="D459" s="10"/>
      <c r="E459" s="12" t="str">
        <f aca="false">IF($D459="","",IFERROR(INDEX(품목목록!$B$3:$B$302,MATCH($D459,품목목록!$A$3:$A$302,0)),"미등록품번"))</f>
        <v/>
      </c>
      <c r="F459" s="12" t="str">
        <f aca="false">IF($D459="","",IFERROR(INDEX(품목목록!$C$3:$C$302,MATCH($D459,품목목록!$A$3:$A$302,0)),""))</f>
        <v/>
      </c>
      <c r="G459" s="12" t="str">
        <f aca="false">IF($D459="","",IFERROR(INDEX(품목목록!$D$3:$D$302,MATCH($D459,품목목록!$A$3:$A$302,0)),""))</f>
        <v/>
      </c>
      <c r="H459" s="12" t="str">
        <f aca="false">IF($D459="","",IFERROR(INDEX(품목목록!$E$3:$E$302,MATCH($D459,품목목록!$A$3:$A$302,0)),""))</f>
        <v/>
      </c>
      <c r="I459" s="14"/>
      <c r="J459" s="10"/>
      <c r="K459" s="10"/>
      <c r="L459" s="10"/>
      <c r="M459" s="15" t="str">
        <f aca="false">IF($A459="","",SUMIFS(처리내역!$E$3:$E$1502,처리내역!$B$3:$B$1502,$A459))</f>
        <v/>
      </c>
      <c r="N459" s="15" t="str">
        <f aca="false">IF($A459="","",IF($I459="","",$I459-$M459))</f>
        <v/>
      </c>
      <c r="O459" s="12" t="str">
        <f aca="false">IF($A459="","",IF($I459="","",IF($M459=0,"미처리",IF($N459&lt;=0,"완료","부분처리"))))</f>
        <v/>
      </c>
    </row>
    <row r="460" customFormat="false" ht="15" hidden="false" customHeight="true" outlineLevel="0" collapsed="false">
      <c r="A460" s="12" t="str">
        <f aca="false">IF($B460="","",TEXT($B460,"yymm")&amp;"-"&amp;TEXT(COUNTIFS($B$3:$B460,"&gt;="&amp;DATE(YEAR($B460),MONTH($B460),1),$B$3:$B460,"&lt;="&amp;EOMONTH($B460,0)),"000"))</f>
        <v/>
      </c>
      <c r="B460" s="13"/>
      <c r="C460" s="10"/>
      <c r="D460" s="10"/>
      <c r="E460" s="12" t="str">
        <f aca="false">IF($D460="","",IFERROR(INDEX(품목목록!$B$3:$B$302,MATCH($D460,품목목록!$A$3:$A$302,0)),"미등록품번"))</f>
        <v/>
      </c>
      <c r="F460" s="12" t="str">
        <f aca="false">IF($D460="","",IFERROR(INDEX(품목목록!$C$3:$C$302,MATCH($D460,품목목록!$A$3:$A$302,0)),""))</f>
        <v/>
      </c>
      <c r="G460" s="12" t="str">
        <f aca="false">IF($D460="","",IFERROR(INDEX(품목목록!$D$3:$D$302,MATCH($D460,품목목록!$A$3:$A$302,0)),""))</f>
        <v/>
      </c>
      <c r="H460" s="12" t="str">
        <f aca="false">IF($D460="","",IFERROR(INDEX(품목목록!$E$3:$E$302,MATCH($D460,품목목록!$A$3:$A$302,0)),""))</f>
        <v/>
      </c>
      <c r="I460" s="14"/>
      <c r="J460" s="10"/>
      <c r="K460" s="10"/>
      <c r="L460" s="10"/>
      <c r="M460" s="15" t="str">
        <f aca="false">IF($A460="","",SUMIFS(처리내역!$E$3:$E$1502,처리내역!$B$3:$B$1502,$A460))</f>
        <v/>
      </c>
      <c r="N460" s="15" t="str">
        <f aca="false">IF($A460="","",IF($I460="","",$I460-$M460))</f>
        <v/>
      </c>
      <c r="O460" s="12" t="str">
        <f aca="false">IF($A460="","",IF($I460="","",IF($M460=0,"미처리",IF($N460&lt;=0,"완료","부분처리"))))</f>
        <v/>
      </c>
    </row>
    <row r="461" customFormat="false" ht="15" hidden="false" customHeight="true" outlineLevel="0" collapsed="false">
      <c r="A461" s="12" t="str">
        <f aca="false">IF($B461="","",TEXT($B461,"yymm")&amp;"-"&amp;TEXT(COUNTIFS($B$3:$B461,"&gt;="&amp;DATE(YEAR($B461),MONTH($B461),1),$B$3:$B461,"&lt;="&amp;EOMONTH($B461,0)),"000"))</f>
        <v/>
      </c>
      <c r="B461" s="13"/>
      <c r="C461" s="10"/>
      <c r="D461" s="10"/>
      <c r="E461" s="12" t="str">
        <f aca="false">IF($D461="","",IFERROR(INDEX(품목목록!$B$3:$B$302,MATCH($D461,품목목록!$A$3:$A$302,0)),"미등록품번"))</f>
        <v/>
      </c>
      <c r="F461" s="12" t="str">
        <f aca="false">IF($D461="","",IFERROR(INDEX(품목목록!$C$3:$C$302,MATCH($D461,품목목록!$A$3:$A$302,0)),""))</f>
        <v/>
      </c>
      <c r="G461" s="12" t="str">
        <f aca="false">IF($D461="","",IFERROR(INDEX(품목목록!$D$3:$D$302,MATCH($D461,품목목록!$A$3:$A$302,0)),""))</f>
        <v/>
      </c>
      <c r="H461" s="12" t="str">
        <f aca="false">IF($D461="","",IFERROR(INDEX(품목목록!$E$3:$E$302,MATCH($D461,품목목록!$A$3:$A$302,0)),""))</f>
        <v/>
      </c>
      <c r="I461" s="14"/>
      <c r="J461" s="10"/>
      <c r="K461" s="10"/>
      <c r="L461" s="10"/>
      <c r="M461" s="15" t="str">
        <f aca="false">IF($A461="","",SUMIFS(처리내역!$E$3:$E$1502,처리내역!$B$3:$B$1502,$A461))</f>
        <v/>
      </c>
      <c r="N461" s="15" t="str">
        <f aca="false">IF($A461="","",IF($I461="","",$I461-$M461))</f>
        <v/>
      </c>
      <c r="O461" s="12" t="str">
        <f aca="false">IF($A461="","",IF($I461="","",IF($M461=0,"미처리",IF($N461&lt;=0,"완료","부분처리"))))</f>
        <v/>
      </c>
    </row>
    <row r="462" customFormat="false" ht="15" hidden="false" customHeight="true" outlineLevel="0" collapsed="false">
      <c r="A462" s="12" t="str">
        <f aca="false">IF($B462="","",TEXT($B462,"yymm")&amp;"-"&amp;TEXT(COUNTIFS($B$3:$B462,"&gt;="&amp;DATE(YEAR($B462),MONTH($B462),1),$B$3:$B462,"&lt;="&amp;EOMONTH($B462,0)),"000"))</f>
        <v/>
      </c>
      <c r="B462" s="13"/>
      <c r="C462" s="10"/>
      <c r="D462" s="10"/>
      <c r="E462" s="12" t="str">
        <f aca="false">IF($D462="","",IFERROR(INDEX(품목목록!$B$3:$B$302,MATCH($D462,품목목록!$A$3:$A$302,0)),"미등록품번"))</f>
        <v/>
      </c>
      <c r="F462" s="12" t="str">
        <f aca="false">IF($D462="","",IFERROR(INDEX(품목목록!$C$3:$C$302,MATCH($D462,품목목록!$A$3:$A$302,0)),""))</f>
        <v/>
      </c>
      <c r="G462" s="12" t="str">
        <f aca="false">IF($D462="","",IFERROR(INDEX(품목목록!$D$3:$D$302,MATCH($D462,품목목록!$A$3:$A$302,0)),""))</f>
        <v/>
      </c>
      <c r="H462" s="12" t="str">
        <f aca="false">IF($D462="","",IFERROR(INDEX(품목목록!$E$3:$E$302,MATCH($D462,품목목록!$A$3:$A$302,0)),""))</f>
        <v/>
      </c>
      <c r="I462" s="14"/>
      <c r="J462" s="10"/>
      <c r="K462" s="10"/>
      <c r="L462" s="10"/>
      <c r="M462" s="15" t="str">
        <f aca="false">IF($A462="","",SUMIFS(처리내역!$E$3:$E$1502,처리내역!$B$3:$B$1502,$A462))</f>
        <v/>
      </c>
      <c r="N462" s="15" t="str">
        <f aca="false">IF($A462="","",IF($I462="","",$I462-$M462))</f>
        <v/>
      </c>
      <c r="O462" s="12" t="str">
        <f aca="false">IF($A462="","",IF($I462="","",IF($M462=0,"미처리",IF($N462&lt;=0,"완료","부분처리"))))</f>
        <v/>
      </c>
    </row>
    <row r="463" customFormat="false" ht="15" hidden="false" customHeight="true" outlineLevel="0" collapsed="false">
      <c r="A463" s="12" t="str">
        <f aca="false">IF($B463="","",TEXT($B463,"yymm")&amp;"-"&amp;TEXT(COUNTIFS($B$3:$B463,"&gt;="&amp;DATE(YEAR($B463),MONTH($B463),1),$B$3:$B463,"&lt;="&amp;EOMONTH($B463,0)),"000"))</f>
        <v/>
      </c>
      <c r="B463" s="13"/>
      <c r="C463" s="10"/>
      <c r="D463" s="10"/>
      <c r="E463" s="12" t="str">
        <f aca="false">IF($D463="","",IFERROR(INDEX(품목목록!$B$3:$B$302,MATCH($D463,품목목록!$A$3:$A$302,0)),"미등록품번"))</f>
        <v/>
      </c>
      <c r="F463" s="12" t="str">
        <f aca="false">IF($D463="","",IFERROR(INDEX(품목목록!$C$3:$C$302,MATCH($D463,품목목록!$A$3:$A$302,0)),""))</f>
        <v/>
      </c>
      <c r="G463" s="12" t="str">
        <f aca="false">IF($D463="","",IFERROR(INDEX(품목목록!$D$3:$D$302,MATCH($D463,품목목록!$A$3:$A$302,0)),""))</f>
        <v/>
      </c>
      <c r="H463" s="12" t="str">
        <f aca="false">IF($D463="","",IFERROR(INDEX(품목목록!$E$3:$E$302,MATCH($D463,품목목록!$A$3:$A$302,0)),""))</f>
        <v/>
      </c>
      <c r="I463" s="14"/>
      <c r="J463" s="10"/>
      <c r="K463" s="10"/>
      <c r="L463" s="10"/>
      <c r="M463" s="15" t="str">
        <f aca="false">IF($A463="","",SUMIFS(처리내역!$E$3:$E$1502,처리내역!$B$3:$B$1502,$A463))</f>
        <v/>
      </c>
      <c r="N463" s="15" t="str">
        <f aca="false">IF($A463="","",IF($I463="","",$I463-$M463))</f>
        <v/>
      </c>
      <c r="O463" s="12" t="str">
        <f aca="false">IF($A463="","",IF($I463="","",IF($M463=0,"미처리",IF($N463&lt;=0,"완료","부분처리"))))</f>
        <v/>
      </c>
    </row>
    <row r="464" customFormat="false" ht="15" hidden="false" customHeight="true" outlineLevel="0" collapsed="false">
      <c r="A464" s="12" t="str">
        <f aca="false">IF($B464="","",TEXT($B464,"yymm")&amp;"-"&amp;TEXT(COUNTIFS($B$3:$B464,"&gt;="&amp;DATE(YEAR($B464),MONTH($B464),1),$B$3:$B464,"&lt;="&amp;EOMONTH($B464,0)),"000"))</f>
        <v/>
      </c>
      <c r="B464" s="13"/>
      <c r="C464" s="10"/>
      <c r="D464" s="10"/>
      <c r="E464" s="12" t="str">
        <f aca="false">IF($D464="","",IFERROR(INDEX(품목목록!$B$3:$B$302,MATCH($D464,품목목록!$A$3:$A$302,0)),"미등록품번"))</f>
        <v/>
      </c>
      <c r="F464" s="12" t="str">
        <f aca="false">IF($D464="","",IFERROR(INDEX(품목목록!$C$3:$C$302,MATCH($D464,품목목록!$A$3:$A$302,0)),""))</f>
        <v/>
      </c>
      <c r="G464" s="12" t="str">
        <f aca="false">IF($D464="","",IFERROR(INDEX(품목목록!$D$3:$D$302,MATCH($D464,품목목록!$A$3:$A$302,0)),""))</f>
        <v/>
      </c>
      <c r="H464" s="12" t="str">
        <f aca="false">IF($D464="","",IFERROR(INDEX(품목목록!$E$3:$E$302,MATCH($D464,품목목록!$A$3:$A$302,0)),""))</f>
        <v/>
      </c>
      <c r="I464" s="14"/>
      <c r="J464" s="10"/>
      <c r="K464" s="10"/>
      <c r="L464" s="10"/>
      <c r="M464" s="15" t="str">
        <f aca="false">IF($A464="","",SUMIFS(처리내역!$E$3:$E$1502,처리내역!$B$3:$B$1502,$A464))</f>
        <v/>
      </c>
      <c r="N464" s="15" t="str">
        <f aca="false">IF($A464="","",IF($I464="","",$I464-$M464))</f>
        <v/>
      </c>
      <c r="O464" s="12" t="str">
        <f aca="false">IF($A464="","",IF($I464="","",IF($M464=0,"미처리",IF($N464&lt;=0,"완료","부분처리"))))</f>
        <v/>
      </c>
    </row>
    <row r="465" customFormat="false" ht="15" hidden="false" customHeight="true" outlineLevel="0" collapsed="false">
      <c r="A465" s="12" t="str">
        <f aca="false">IF($B465="","",TEXT($B465,"yymm")&amp;"-"&amp;TEXT(COUNTIFS($B$3:$B465,"&gt;="&amp;DATE(YEAR($B465),MONTH($B465),1),$B$3:$B465,"&lt;="&amp;EOMONTH($B465,0)),"000"))</f>
        <v/>
      </c>
      <c r="B465" s="13"/>
      <c r="C465" s="10"/>
      <c r="D465" s="10"/>
      <c r="E465" s="12" t="str">
        <f aca="false">IF($D465="","",IFERROR(INDEX(품목목록!$B$3:$B$302,MATCH($D465,품목목록!$A$3:$A$302,0)),"미등록품번"))</f>
        <v/>
      </c>
      <c r="F465" s="12" t="str">
        <f aca="false">IF($D465="","",IFERROR(INDEX(품목목록!$C$3:$C$302,MATCH($D465,품목목록!$A$3:$A$302,0)),""))</f>
        <v/>
      </c>
      <c r="G465" s="12" t="str">
        <f aca="false">IF($D465="","",IFERROR(INDEX(품목목록!$D$3:$D$302,MATCH($D465,품목목록!$A$3:$A$302,0)),""))</f>
        <v/>
      </c>
      <c r="H465" s="12" t="str">
        <f aca="false">IF($D465="","",IFERROR(INDEX(품목목록!$E$3:$E$302,MATCH($D465,품목목록!$A$3:$A$302,0)),""))</f>
        <v/>
      </c>
      <c r="I465" s="14"/>
      <c r="J465" s="10"/>
      <c r="K465" s="10"/>
      <c r="L465" s="10"/>
      <c r="M465" s="15" t="str">
        <f aca="false">IF($A465="","",SUMIFS(처리내역!$E$3:$E$1502,처리내역!$B$3:$B$1502,$A465))</f>
        <v/>
      </c>
      <c r="N465" s="15" t="str">
        <f aca="false">IF($A465="","",IF($I465="","",$I465-$M465))</f>
        <v/>
      </c>
      <c r="O465" s="12" t="str">
        <f aca="false">IF($A465="","",IF($I465="","",IF($M465=0,"미처리",IF($N465&lt;=0,"완료","부분처리"))))</f>
        <v/>
      </c>
    </row>
    <row r="466" customFormat="false" ht="15" hidden="false" customHeight="true" outlineLevel="0" collapsed="false">
      <c r="A466" s="12" t="str">
        <f aca="false">IF($B466="","",TEXT($B466,"yymm")&amp;"-"&amp;TEXT(COUNTIFS($B$3:$B466,"&gt;="&amp;DATE(YEAR($B466),MONTH($B466),1),$B$3:$B466,"&lt;="&amp;EOMONTH($B466,0)),"000"))</f>
        <v/>
      </c>
      <c r="B466" s="13"/>
      <c r="C466" s="10"/>
      <c r="D466" s="10"/>
      <c r="E466" s="12" t="str">
        <f aca="false">IF($D466="","",IFERROR(INDEX(품목목록!$B$3:$B$302,MATCH($D466,품목목록!$A$3:$A$302,0)),"미등록품번"))</f>
        <v/>
      </c>
      <c r="F466" s="12" t="str">
        <f aca="false">IF($D466="","",IFERROR(INDEX(품목목록!$C$3:$C$302,MATCH($D466,품목목록!$A$3:$A$302,0)),""))</f>
        <v/>
      </c>
      <c r="G466" s="12" t="str">
        <f aca="false">IF($D466="","",IFERROR(INDEX(품목목록!$D$3:$D$302,MATCH($D466,품목목록!$A$3:$A$302,0)),""))</f>
        <v/>
      </c>
      <c r="H466" s="12" t="str">
        <f aca="false">IF($D466="","",IFERROR(INDEX(품목목록!$E$3:$E$302,MATCH($D466,품목목록!$A$3:$A$302,0)),""))</f>
        <v/>
      </c>
      <c r="I466" s="14"/>
      <c r="J466" s="10"/>
      <c r="K466" s="10"/>
      <c r="L466" s="10"/>
      <c r="M466" s="15" t="str">
        <f aca="false">IF($A466="","",SUMIFS(처리내역!$E$3:$E$1502,처리내역!$B$3:$B$1502,$A466))</f>
        <v/>
      </c>
      <c r="N466" s="15" t="str">
        <f aca="false">IF($A466="","",IF($I466="","",$I466-$M466))</f>
        <v/>
      </c>
      <c r="O466" s="12" t="str">
        <f aca="false">IF($A466="","",IF($I466="","",IF($M466=0,"미처리",IF($N466&lt;=0,"완료","부분처리"))))</f>
        <v/>
      </c>
    </row>
    <row r="467" customFormat="false" ht="15" hidden="false" customHeight="true" outlineLevel="0" collapsed="false">
      <c r="A467" s="12" t="str">
        <f aca="false">IF($B467="","",TEXT($B467,"yymm")&amp;"-"&amp;TEXT(COUNTIFS($B$3:$B467,"&gt;="&amp;DATE(YEAR($B467),MONTH($B467),1),$B$3:$B467,"&lt;="&amp;EOMONTH($B467,0)),"000"))</f>
        <v/>
      </c>
      <c r="B467" s="13"/>
      <c r="C467" s="10"/>
      <c r="D467" s="10"/>
      <c r="E467" s="12" t="str">
        <f aca="false">IF($D467="","",IFERROR(INDEX(품목목록!$B$3:$B$302,MATCH($D467,품목목록!$A$3:$A$302,0)),"미등록품번"))</f>
        <v/>
      </c>
      <c r="F467" s="12" t="str">
        <f aca="false">IF($D467="","",IFERROR(INDEX(품목목록!$C$3:$C$302,MATCH($D467,품목목록!$A$3:$A$302,0)),""))</f>
        <v/>
      </c>
      <c r="G467" s="12" t="str">
        <f aca="false">IF($D467="","",IFERROR(INDEX(품목목록!$D$3:$D$302,MATCH($D467,품목목록!$A$3:$A$302,0)),""))</f>
        <v/>
      </c>
      <c r="H467" s="12" t="str">
        <f aca="false">IF($D467="","",IFERROR(INDEX(품목목록!$E$3:$E$302,MATCH($D467,품목목록!$A$3:$A$302,0)),""))</f>
        <v/>
      </c>
      <c r="I467" s="14"/>
      <c r="J467" s="10"/>
      <c r="K467" s="10"/>
      <c r="L467" s="10"/>
      <c r="M467" s="15" t="str">
        <f aca="false">IF($A467="","",SUMIFS(처리내역!$E$3:$E$1502,처리내역!$B$3:$B$1502,$A467))</f>
        <v/>
      </c>
      <c r="N467" s="15" t="str">
        <f aca="false">IF($A467="","",IF($I467="","",$I467-$M467))</f>
        <v/>
      </c>
      <c r="O467" s="12" t="str">
        <f aca="false">IF($A467="","",IF($I467="","",IF($M467=0,"미처리",IF($N467&lt;=0,"완료","부분처리"))))</f>
        <v/>
      </c>
    </row>
    <row r="468" customFormat="false" ht="15" hidden="false" customHeight="true" outlineLevel="0" collapsed="false">
      <c r="A468" s="12" t="str">
        <f aca="false">IF($B468="","",TEXT($B468,"yymm")&amp;"-"&amp;TEXT(COUNTIFS($B$3:$B468,"&gt;="&amp;DATE(YEAR($B468),MONTH($B468),1),$B$3:$B468,"&lt;="&amp;EOMONTH($B468,0)),"000"))</f>
        <v/>
      </c>
      <c r="B468" s="13"/>
      <c r="C468" s="10"/>
      <c r="D468" s="10"/>
      <c r="E468" s="12" t="str">
        <f aca="false">IF($D468="","",IFERROR(INDEX(품목목록!$B$3:$B$302,MATCH($D468,품목목록!$A$3:$A$302,0)),"미등록품번"))</f>
        <v/>
      </c>
      <c r="F468" s="12" t="str">
        <f aca="false">IF($D468="","",IFERROR(INDEX(품목목록!$C$3:$C$302,MATCH($D468,품목목록!$A$3:$A$302,0)),""))</f>
        <v/>
      </c>
      <c r="G468" s="12" t="str">
        <f aca="false">IF($D468="","",IFERROR(INDEX(품목목록!$D$3:$D$302,MATCH($D468,품목목록!$A$3:$A$302,0)),""))</f>
        <v/>
      </c>
      <c r="H468" s="12" t="str">
        <f aca="false">IF($D468="","",IFERROR(INDEX(품목목록!$E$3:$E$302,MATCH($D468,품목목록!$A$3:$A$302,0)),""))</f>
        <v/>
      </c>
      <c r="I468" s="14"/>
      <c r="J468" s="10"/>
      <c r="K468" s="10"/>
      <c r="L468" s="10"/>
      <c r="M468" s="15" t="str">
        <f aca="false">IF($A468="","",SUMIFS(처리내역!$E$3:$E$1502,처리내역!$B$3:$B$1502,$A468))</f>
        <v/>
      </c>
      <c r="N468" s="15" t="str">
        <f aca="false">IF($A468="","",IF($I468="","",$I468-$M468))</f>
        <v/>
      </c>
      <c r="O468" s="12" t="str">
        <f aca="false">IF($A468="","",IF($I468="","",IF($M468=0,"미처리",IF($N468&lt;=0,"완료","부분처리"))))</f>
        <v/>
      </c>
    </row>
    <row r="469" customFormat="false" ht="15" hidden="false" customHeight="true" outlineLevel="0" collapsed="false">
      <c r="A469" s="12" t="str">
        <f aca="false">IF($B469="","",TEXT($B469,"yymm")&amp;"-"&amp;TEXT(COUNTIFS($B$3:$B469,"&gt;="&amp;DATE(YEAR($B469),MONTH($B469),1),$B$3:$B469,"&lt;="&amp;EOMONTH($B469,0)),"000"))</f>
        <v/>
      </c>
      <c r="B469" s="13"/>
      <c r="C469" s="10"/>
      <c r="D469" s="10"/>
      <c r="E469" s="12" t="str">
        <f aca="false">IF($D469="","",IFERROR(INDEX(품목목록!$B$3:$B$302,MATCH($D469,품목목록!$A$3:$A$302,0)),"미등록품번"))</f>
        <v/>
      </c>
      <c r="F469" s="12" t="str">
        <f aca="false">IF($D469="","",IFERROR(INDEX(품목목록!$C$3:$C$302,MATCH($D469,품목목록!$A$3:$A$302,0)),""))</f>
        <v/>
      </c>
      <c r="G469" s="12" t="str">
        <f aca="false">IF($D469="","",IFERROR(INDEX(품목목록!$D$3:$D$302,MATCH($D469,품목목록!$A$3:$A$302,0)),""))</f>
        <v/>
      </c>
      <c r="H469" s="12" t="str">
        <f aca="false">IF($D469="","",IFERROR(INDEX(품목목록!$E$3:$E$302,MATCH($D469,품목목록!$A$3:$A$302,0)),""))</f>
        <v/>
      </c>
      <c r="I469" s="14"/>
      <c r="J469" s="10"/>
      <c r="K469" s="10"/>
      <c r="L469" s="10"/>
      <c r="M469" s="15" t="str">
        <f aca="false">IF($A469="","",SUMIFS(처리내역!$E$3:$E$1502,처리내역!$B$3:$B$1502,$A469))</f>
        <v/>
      </c>
      <c r="N469" s="15" t="str">
        <f aca="false">IF($A469="","",IF($I469="","",$I469-$M469))</f>
        <v/>
      </c>
      <c r="O469" s="12" t="str">
        <f aca="false">IF($A469="","",IF($I469="","",IF($M469=0,"미처리",IF($N469&lt;=0,"완료","부분처리"))))</f>
        <v/>
      </c>
    </row>
    <row r="470" customFormat="false" ht="15" hidden="false" customHeight="true" outlineLevel="0" collapsed="false">
      <c r="A470" s="12" t="str">
        <f aca="false">IF($B470="","",TEXT($B470,"yymm")&amp;"-"&amp;TEXT(COUNTIFS($B$3:$B470,"&gt;="&amp;DATE(YEAR($B470),MONTH($B470),1),$B$3:$B470,"&lt;="&amp;EOMONTH($B470,0)),"000"))</f>
        <v/>
      </c>
      <c r="B470" s="13"/>
      <c r="C470" s="10"/>
      <c r="D470" s="10"/>
      <c r="E470" s="12" t="str">
        <f aca="false">IF($D470="","",IFERROR(INDEX(품목목록!$B$3:$B$302,MATCH($D470,품목목록!$A$3:$A$302,0)),"미등록품번"))</f>
        <v/>
      </c>
      <c r="F470" s="12" t="str">
        <f aca="false">IF($D470="","",IFERROR(INDEX(품목목록!$C$3:$C$302,MATCH($D470,품목목록!$A$3:$A$302,0)),""))</f>
        <v/>
      </c>
      <c r="G470" s="12" t="str">
        <f aca="false">IF($D470="","",IFERROR(INDEX(품목목록!$D$3:$D$302,MATCH($D470,품목목록!$A$3:$A$302,0)),""))</f>
        <v/>
      </c>
      <c r="H470" s="12" t="str">
        <f aca="false">IF($D470="","",IFERROR(INDEX(품목목록!$E$3:$E$302,MATCH($D470,품목목록!$A$3:$A$302,0)),""))</f>
        <v/>
      </c>
      <c r="I470" s="14"/>
      <c r="J470" s="10"/>
      <c r="K470" s="10"/>
      <c r="L470" s="10"/>
      <c r="M470" s="15" t="str">
        <f aca="false">IF($A470="","",SUMIFS(처리내역!$E$3:$E$1502,처리내역!$B$3:$B$1502,$A470))</f>
        <v/>
      </c>
      <c r="N470" s="15" t="str">
        <f aca="false">IF($A470="","",IF($I470="","",$I470-$M470))</f>
        <v/>
      </c>
      <c r="O470" s="12" t="str">
        <f aca="false">IF($A470="","",IF($I470="","",IF($M470=0,"미처리",IF($N470&lt;=0,"완료","부분처리"))))</f>
        <v/>
      </c>
    </row>
    <row r="471" customFormat="false" ht="15" hidden="false" customHeight="true" outlineLevel="0" collapsed="false">
      <c r="A471" s="12" t="str">
        <f aca="false">IF($B471="","",TEXT($B471,"yymm")&amp;"-"&amp;TEXT(COUNTIFS($B$3:$B471,"&gt;="&amp;DATE(YEAR($B471),MONTH($B471),1),$B$3:$B471,"&lt;="&amp;EOMONTH($B471,0)),"000"))</f>
        <v/>
      </c>
      <c r="B471" s="13"/>
      <c r="C471" s="10"/>
      <c r="D471" s="10"/>
      <c r="E471" s="12" t="str">
        <f aca="false">IF($D471="","",IFERROR(INDEX(품목목록!$B$3:$B$302,MATCH($D471,품목목록!$A$3:$A$302,0)),"미등록품번"))</f>
        <v/>
      </c>
      <c r="F471" s="12" t="str">
        <f aca="false">IF($D471="","",IFERROR(INDEX(품목목록!$C$3:$C$302,MATCH($D471,품목목록!$A$3:$A$302,0)),""))</f>
        <v/>
      </c>
      <c r="G471" s="12" t="str">
        <f aca="false">IF($D471="","",IFERROR(INDEX(품목목록!$D$3:$D$302,MATCH($D471,품목목록!$A$3:$A$302,0)),""))</f>
        <v/>
      </c>
      <c r="H471" s="12" t="str">
        <f aca="false">IF($D471="","",IFERROR(INDEX(품목목록!$E$3:$E$302,MATCH($D471,품목목록!$A$3:$A$302,0)),""))</f>
        <v/>
      </c>
      <c r="I471" s="14"/>
      <c r="J471" s="10"/>
      <c r="K471" s="10"/>
      <c r="L471" s="10"/>
      <c r="M471" s="15" t="str">
        <f aca="false">IF($A471="","",SUMIFS(처리내역!$E$3:$E$1502,처리내역!$B$3:$B$1502,$A471))</f>
        <v/>
      </c>
      <c r="N471" s="15" t="str">
        <f aca="false">IF($A471="","",IF($I471="","",$I471-$M471))</f>
        <v/>
      </c>
      <c r="O471" s="12" t="str">
        <f aca="false">IF($A471="","",IF($I471="","",IF($M471=0,"미처리",IF($N471&lt;=0,"완료","부분처리"))))</f>
        <v/>
      </c>
    </row>
    <row r="472" customFormat="false" ht="15" hidden="false" customHeight="true" outlineLevel="0" collapsed="false">
      <c r="A472" s="12" t="str">
        <f aca="false">IF($B472="","",TEXT($B472,"yymm")&amp;"-"&amp;TEXT(COUNTIFS($B$3:$B472,"&gt;="&amp;DATE(YEAR($B472),MONTH($B472),1),$B$3:$B472,"&lt;="&amp;EOMONTH($B472,0)),"000"))</f>
        <v/>
      </c>
      <c r="B472" s="13"/>
      <c r="C472" s="10"/>
      <c r="D472" s="10"/>
      <c r="E472" s="12" t="str">
        <f aca="false">IF($D472="","",IFERROR(INDEX(품목목록!$B$3:$B$302,MATCH($D472,품목목록!$A$3:$A$302,0)),"미등록품번"))</f>
        <v/>
      </c>
      <c r="F472" s="12" t="str">
        <f aca="false">IF($D472="","",IFERROR(INDEX(품목목록!$C$3:$C$302,MATCH($D472,품목목록!$A$3:$A$302,0)),""))</f>
        <v/>
      </c>
      <c r="G472" s="12" t="str">
        <f aca="false">IF($D472="","",IFERROR(INDEX(품목목록!$D$3:$D$302,MATCH($D472,품목목록!$A$3:$A$302,0)),""))</f>
        <v/>
      </c>
      <c r="H472" s="12" t="str">
        <f aca="false">IF($D472="","",IFERROR(INDEX(품목목록!$E$3:$E$302,MATCH($D472,품목목록!$A$3:$A$302,0)),""))</f>
        <v/>
      </c>
      <c r="I472" s="14"/>
      <c r="J472" s="10"/>
      <c r="K472" s="10"/>
      <c r="L472" s="10"/>
      <c r="M472" s="15" t="str">
        <f aca="false">IF($A472="","",SUMIFS(처리내역!$E$3:$E$1502,처리내역!$B$3:$B$1502,$A472))</f>
        <v/>
      </c>
      <c r="N472" s="15" t="str">
        <f aca="false">IF($A472="","",IF($I472="","",$I472-$M472))</f>
        <v/>
      </c>
      <c r="O472" s="12" t="str">
        <f aca="false">IF($A472="","",IF($I472="","",IF($M472=0,"미처리",IF($N472&lt;=0,"완료","부분처리"))))</f>
        <v/>
      </c>
    </row>
    <row r="473" customFormat="false" ht="15" hidden="false" customHeight="true" outlineLevel="0" collapsed="false">
      <c r="A473" s="12" t="str">
        <f aca="false">IF($B473="","",TEXT($B473,"yymm")&amp;"-"&amp;TEXT(COUNTIFS($B$3:$B473,"&gt;="&amp;DATE(YEAR($B473),MONTH($B473),1),$B$3:$B473,"&lt;="&amp;EOMONTH($B473,0)),"000"))</f>
        <v/>
      </c>
      <c r="B473" s="13"/>
      <c r="C473" s="10"/>
      <c r="D473" s="10"/>
      <c r="E473" s="12" t="str">
        <f aca="false">IF($D473="","",IFERROR(INDEX(품목목록!$B$3:$B$302,MATCH($D473,품목목록!$A$3:$A$302,0)),"미등록품번"))</f>
        <v/>
      </c>
      <c r="F473" s="12" t="str">
        <f aca="false">IF($D473="","",IFERROR(INDEX(품목목록!$C$3:$C$302,MATCH($D473,품목목록!$A$3:$A$302,0)),""))</f>
        <v/>
      </c>
      <c r="G473" s="12" t="str">
        <f aca="false">IF($D473="","",IFERROR(INDEX(품목목록!$D$3:$D$302,MATCH($D473,품목목록!$A$3:$A$302,0)),""))</f>
        <v/>
      </c>
      <c r="H473" s="12" t="str">
        <f aca="false">IF($D473="","",IFERROR(INDEX(품목목록!$E$3:$E$302,MATCH($D473,품목목록!$A$3:$A$302,0)),""))</f>
        <v/>
      </c>
      <c r="I473" s="14"/>
      <c r="J473" s="10"/>
      <c r="K473" s="10"/>
      <c r="L473" s="10"/>
      <c r="M473" s="15" t="str">
        <f aca="false">IF($A473="","",SUMIFS(처리내역!$E$3:$E$1502,처리내역!$B$3:$B$1502,$A473))</f>
        <v/>
      </c>
      <c r="N473" s="15" t="str">
        <f aca="false">IF($A473="","",IF($I473="","",$I473-$M473))</f>
        <v/>
      </c>
      <c r="O473" s="12" t="str">
        <f aca="false">IF($A473="","",IF($I473="","",IF($M473=0,"미처리",IF($N473&lt;=0,"완료","부분처리"))))</f>
        <v/>
      </c>
    </row>
    <row r="474" customFormat="false" ht="15" hidden="false" customHeight="true" outlineLevel="0" collapsed="false">
      <c r="A474" s="12" t="str">
        <f aca="false">IF($B474="","",TEXT($B474,"yymm")&amp;"-"&amp;TEXT(COUNTIFS($B$3:$B474,"&gt;="&amp;DATE(YEAR($B474),MONTH($B474),1),$B$3:$B474,"&lt;="&amp;EOMONTH($B474,0)),"000"))</f>
        <v/>
      </c>
      <c r="B474" s="13"/>
      <c r="C474" s="10"/>
      <c r="D474" s="10"/>
      <c r="E474" s="12" t="str">
        <f aca="false">IF($D474="","",IFERROR(INDEX(품목목록!$B$3:$B$302,MATCH($D474,품목목록!$A$3:$A$302,0)),"미등록품번"))</f>
        <v/>
      </c>
      <c r="F474" s="12" t="str">
        <f aca="false">IF($D474="","",IFERROR(INDEX(품목목록!$C$3:$C$302,MATCH($D474,품목목록!$A$3:$A$302,0)),""))</f>
        <v/>
      </c>
      <c r="G474" s="12" t="str">
        <f aca="false">IF($D474="","",IFERROR(INDEX(품목목록!$D$3:$D$302,MATCH($D474,품목목록!$A$3:$A$302,0)),""))</f>
        <v/>
      </c>
      <c r="H474" s="12" t="str">
        <f aca="false">IF($D474="","",IFERROR(INDEX(품목목록!$E$3:$E$302,MATCH($D474,품목목록!$A$3:$A$302,0)),""))</f>
        <v/>
      </c>
      <c r="I474" s="14"/>
      <c r="J474" s="10"/>
      <c r="K474" s="10"/>
      <c r="L474" s="10"/>
      <c r="M474" s="15" t="str">
        <f aca="false">IF($A474="","",SUMIFS(처리내역!$E$3:$E$1502,처리내역!$B$3:$B$1502,$A474))</f>
        <v/>
      </c>
      <c r="N474" s="15" t="str">
        <f aca="false">IF($A474="","",IF($I474="","",$I474-$M474))</f>
        <v/>
      </c>
      <c r="O474" s="12" t="str">
        <f aca="false">IF($A474="","",IF($I474="","",IF($M474=0,"미처리",IF($N474&lt;=0,"완료","부분처리"))))</f>
        <v/>
      </c>
    </row>
    <row r="475" customFormat="false" ht="15" hidden="false" customHeight="true" outlineLevel="0" collapsed="false">
      <c r="A475" s="12" t="str">
        <f aca="false">IF($B475="","",TEXT($B475,"yymm")&amp;"-"&amp;TEXT(COUNTIFS($B$3:$B475,"&gt;="&amp;DATE(YEAR($B475),MONTH($B475),1),$B$3:$B475,"&lt;="&amp;EOMONTH($B475,0)),"000"))</f>
        <v/>
      </c>
      <c r="B475" s="13"/>
      <c r="C475" s="10"/>
      <c r="D475" s="10"/>
      <c r="E475" s="12" t="str">
        <f aca="false">IF($D475="","",IFERROR(INDEX(품목목록!$B$3:$B$302,MATCH($D475,품목목록!$A$3:$A$302,0)),"미등록품번"))</f>
        <v/>
      </c>
      <c r="F475" s="12" t="str">
        <f aca="false">IF($D475="","",IFERROR(INDEX(품목목록!$C$3:$C$302,MATCH($D475,품목목록!$A$3:$A$302,0)),""))</f>
        <v/>
      </c>
      <c r="G475" s="12" t="str">
        <f aca="false">IF($D475="","",IFERROR(INDEX(품목목록!$D$3:$D$302,MATCH($D475,품목목록!$A$3:$A$302,0)),""))</f>
        <v/>
      </c>
      <c r="H475" s="12" t="str">
        <f aca="false">IF($D475="","",IFERROR(INDEX(품목목록!$E$3:$E$302,MATCH($D475,품목목록!$A$3:$A$302,0)),""))</f>
        <v/>
      </c>
      <c r="I475" s="14"/>
      <c r="J475" s="10"/>
      <c r="K475" s="10"/>
      <c r="L475" s="10"/>
      <c r="M475" s="15" t="str">
        <f aca="false">IF($A475="","",SUMIFS(처리내역!$E$3:$E$1502,처리내역!$B$3:$B$1502,$A475))</f>
        <v/>
      </c>
      <c r="N475" s="15" t="str">
        <f aca="false">IF($A475="","",IF($I475="","",$I475-$M475))</f>
        <v/>
      </c>
      <c r="O475" s="12" t="str">
        <f aca="false">IF($A475="","",IF($I475="","",IF($M475=0,"미처리",IF($N475&lt;=0,"완료","부분처리"))))</f>
        <v/>
      </c>
    </row>
    <row r="476" customFormat="false" ht="15" hidden="false" customHeight="true" outlineLevel="0" collapsed="false">
      <c r="A476" s="12" t="str">
        <f aca="false">IF($B476="","",TEXT($B476,"yymm")&amp;"-"&amp;TEXT(COUNTIFS($B$3:$B476,"&gt;="&amp;DATE(YEAR($B476),MONTH($B476),1),$B$3:$B476,"&lt;="&amp;EOMONTH($B476,0)),"000"))</f>
        <v/>
      </c>
      <c r="B476" s="13"/>
      <c r="C476" s="10"/>
      <c r="D476" s="10"/>
      <c r="E476" s="12" t="str">
        <f aca="false">IF($D476="","",IFERROR(INDEX(품목목록!$B$3:$B$302,MATCH($D476,품목목록!$A$3:$A$302,0)),"미등록품번"))</f>
        <v/>
      </c>
      <c r="F476" s="12" t="str">
        <f aca="false">IF($D476="","",IFERROR(INDEX(품목목록!$C$3:$C$302,MATCH($D476,품목목록!$A$3:$A$302,0)),""))</f>
        <v/>
      </c>
      <c r="G476" s="12" t="str">
        <f aca="false">IF($D476="","",IFERROR(INDEX(품목목록!$D$3:$D$302,MATCH($D476,품목목록!$A$3:$A$302,0)),""))</f>
        <v/>
      </c>
      <c r="H476" s="12" t="str">
        <f aca="false">IF($D476="","",IFERROR(INDEX(품목목록!$E$3:$E$302,MATCH($D476,품목목록!$A$3:$A$302,0)),""))</f>
        <v/>
      </c>
      <c r="I476" s="14"/>
      <c r="J476" s="10"/>
      <c r="K476" s="10"/>
      <c r="L476" s="10"/>
      <c r="M476" s="15" t="str">
        <f aca="false">IF($A476="","",SUMIFS(처리내역!$E$3:$E$1502,처리내역!$B$3:$B$1502,$A476))</f>
        <v/>
      </c>
      <c r="N476" s="15" t="str">
        <f aca="false">IF($A476="","",IF($I476="","",$I476-$M476))</f>
        <v/>
      </c>
      <c r="O476" s="12" t="str">
        <f aca="false">IF($A476="","",IF($I476="","",IF($M476=0,"미처리",IF($N476&lt;=0,"완료","부분처리"))))</f>
        <v/>
      </c>
    </row>
    <row r="477" customFormat="false" ht="15" hidden="false" customHeight="true" outlineLevel="0" collapsed="false">
      <c r="A477" s="12" t="str">
        <f aca="false">IF($B477="","",TEXT($B477,"yymm")&amp;"-"&amp;TEXT(COUNTIFS($B$3:$B477,"&gt;="&amp;DATE(YEAR($B477),MONTH($B477),1),$B$3:$B477,"&lt;="&amp;EOMONTH($B477,0)),"000"))</f>
        <v/>
      </c>
      <c r="B477" s="13"/>
      <c r="C477" s="10"/>
      <c r="D477" s="10"/>
      <c r="E477" s="12" t="str">
        <f aca="false">IF($D477="","",IFERROR(INDEX(품목목록!$B$3:$B$302,MATCH($D477,품목목록!$A$3:$A$302,0)),"미등록품번"))</f>
        <v/>
      </c>
      <c r="F477" s="12" t="str">
        <f aca="false">IF($D477="","",IFERROR(INDEX(품목목록!$C$3:$C$302,MATCH($D477,품목목록!$A$3:$A$302,0)),""))</f>
        <v/>
      </c>
      <c r="G477" s="12" t="str">
        <f aca="false">IF($D477="","",IFERROR(INDEX(품목목록!$D$3:$D$302,MATCH($D477,품목목록!$A$3:$A$302,0)),""))</f>
        <v/>
      </c>
      <c r="H477" s="12" t="str">
        <f aca="false">IF($D477="","",IFERROR(INDEX(품목목록!$E$3:$E$302,MATCH($D477,품목목록!$A$3:$A$302,0)),""))</f>
        <v/>
      </c>
      <c r="I477" s="14"/>
      <c r="J477" s="10"/>
      <c r="K477" s="10"/>
      <c r="L477" s="10"/>
      <c r="M477" s="15" t="str">
        <f aca="false">IF($A477="","",SUMIFS(처리내역!$E$3:$E$1502,처리내역!$B$3:$B$1502,$A477))</f>
        <v/>
      </c>
      <c r="N477" s="15" t="str">
        <f aca="false">IF($A477="","",IF($I477="","",$I477-$M477))</f>
        <v/>
      </c>
      <c r="O477" s="12" t="str">
        <f aca="false">IF($A477="","",IF($I477="","",IF($M477=0,"미처리",IF($N477&lt;=0,"완료","부분처리"))))</f>
        <v/>
      </c>
    </row>
    <row r="478" customFormat="false" ht="15" hidden="false" customHeight="true" outlineLevel="0" collapsed="false">
      <c r="A478" s="12" t="str">
        <f aca="false">IF($B478="","",TEXT($B478,"yymm")&amp;"-"&amp;TEXT(COUNTIFS($B$3:$B478,"&gt;="&amp;DATE(YEAR($B478),MONTH($B478),1),$B$3:$B478,"&lt;="&amp;EOMONTH($B478,0)),"000"))</f>
        <v/>
      </c>
      <c r="B478" s="13"/>
      <c r="C478" s="10"/>
      <c r="D478" s="10"/>
      <c r="E478" s="12" t="str">
        <f aca="false">IF($D478="","",IFERROR(INDEX(품목목록!$B$3:$B$302,MATCH($D478,품목목록!$A$3:$A$302,0)),"미등록품번"))</f>
        <v/>
      </c>
      <c r="F478" s="12" t="str">
        <f aca="false">IF($D478="","",IFERROR(INDEX(품목목록!$C$3:$C$302,MATCH($D478,품목목록!$A$3:$A$302,0)),""))</f>
        <v/>
      </c>
      <c r="G478" s="12" t="str">
        <f aca="false">IF($D478="","",IFERROR(INDEX(품목목록!$D$3:$D$302,MATCH($D478,품목목록!$A$3:$A$302,0)),""))</f>
        <v/>
      </c>
      <c r="H478" s="12" t="str">
        <f aca="false">IF($D478="","",IFERROR(INDEX(품목목록!$E$3:$E$302,MATCH($D478,품목목록!$A$3:$A$302,0)),""))</f>
        <v/>
      </c>
      <c r="I478" s="14"/>
      <c r="J478" s="10"/>
      <c r="K478" s="10"/>
      <c r="L478" s="10"/>
      <c r="M478" s="15" t="str">
        <f aca="false">IF($A478="","",SUMIFS(처리내역!$E$3:$E$1502,처리내역!$B$3:$B$1502,$A478))</f>
        <v/>
      </c>
      <c r="N478" s="15" t="str">
        <f aca="false">IF($A478="","",IF($I478="","",$I478-$M478))</f>
        <v/>
      </c>
      <c r="O478" s="12" t="str">
        <f aca="false">IF($A478="","",IF($I478="","",IF($M478=0,"미처리",IF($N478&lt;=0,"완료","부분처리"))))</f>
        <v/>
      </c>
    </row>
    <row r="479" customFormat="false" ht="15" hidden="false" customHeight="true" outlineLevel="0" collapsed="false">
      <c r="A479" s="12" t="str">
        <f aca="false">IF($B479="","",TEXT($B479,"yymm")&amp;"-"&amp;TEXT(COUNTIFS($B$3:$B479,"&gt;="&amp;DATE(YEAR($B479),MONTH($B479),1),$B$3:$B479,"&lt;="&amp;EOMONTH($B479,0)),"000"))</f>
        <v/>
      </c>
      <c r="B479" s="13"/>
      <c r="C479" s="10"/>
      <c r="D479" s="10"/>
      <c r="E479" s="12" t="str">
        <f aca="false">IF($D479="","",IFERROR(INDEX(품목목록!$B$3:$B$302,MATCH($D479,품목목록!$A$3:$A$302,0)),"미등록품번"))</f>
        <v/>
      </c>
      <c r="F479" s="12" t="str">
        <f aca="false">IF($D479="","",IFERROR(INDEX(품목목록!$C$3:$C$302,MATCH($D479,품목목록!$A$3:$A$302,0)),""))</f>
        <v/>
      </c>
      <c r="G479" s="12" t="str">
        <f aca="false">IF($D479="","",IFERROR(INDEX(품목목록!$D$3:$D$302,MATCH($D479,품목목록!$A$3:$A$302,0)),""))</f>
        <v/>
      </c>
      <c r="H479" s="12" t="str">
        <f aca="false">IF($D479="","",IFERROR(INDEX(품목목록!$E$3:$E$302,MATCH($D479,품목목록!$A$3:$A$302,0)),""))</f>
        <v/>
      </c>
      <c r="I479" s="14"/>
      <c r="J479" s="10"/>
      <c r="K479" s="10"/>
      <c r="L479" s="10"/>
      <c r="M479" s="15" t="str">
        <f aca="false">IF($A479="","",SUMIFS(처리내역!$E$3:$E$1502,처리내역!$B$3:$B$1502,$A479))</f>
        <v/>
      </c>
      <c r="N479" s="15" t="str">
        <f aca="false">IF($A479="","",IF($I479="","",$I479-$M479))</f>
        <v/>
      </c>
      <c r="O479" s="12" t="str">
        <f aca="false">IF($A479="","",IF($I479="","",IF($M479=0,"미처리",IF($N479&lt;=0,"완료","부분처리"))))</f>
        <v/>
      </c>
    </row>
    <row r="480" customFormat="false" ht="15" hidden="false" customHeight="true" outlineLevel="0" collapsed="false">
      <c r="A480" s="12" t="str">
        <f aca="false">IF($B480="","",TEXT($B480,"yymm")&amp;"-"&amp;TEXT(COUNTIFS($B$3:$B480,"&gt;="&amp;DATE(YEAR($B480),MONTH($B480),1),$B$3:$B480,"&lt;="&amp;EOMONTH($B480,0)),"000"))</f>
        <v/>
      </c>
      <c r="B480" s="13"/>
      <c r="C480" s="10"/>
      <c r="D480" s="10"/>
      <c r="E480" s="12" t="str">
        <f aca="false">IF($D480="","",IFERROR(INDEX(품목목록!$B$3:$B$302,MATCH($D480,품목목록!$A$3:$A$302,0)),"미등록품번"))</f>
        <v/>
      </c>
      <c r="F480" s="12" t="str">
        <f aca="false">IF($D480="","",IFERROR(INDEX(품목목록!$C$3:$C$302,MATCH($D480,품목목록!$A$3:$A$302,0)),""))</f>
        <v/>
      </c>
      <c r="G480" s="12" t="str">
        <f aca="false">IF($D480="","",IFERROR(INDEX(품목목록!$D$3:$D$302,MATCH($D480,품목목록!$A$3:$A$302,0)),""))</f>
        <v/>
      </c>
      <c r="H480" s="12" t="str">
        <f aca="false">IF($D480="","",IFERROR(INDEX(품목목록!$E$3:$E$302,MATCH($D480,품목목록!$A$3:$A$302,0)),""))</f>
        <v/>
      </c>
      <c r="I480" s="14"/>
      <c r="J480" s="10"/>
      <c r="K480" s="10"/>
      <c r="L480" s="10"/>
      <c r="M480" s="15" t="str">
        <f aca="false">IF($A480="","",SUMIFS(처리내역!$E$3:$E$1502,처리내역!$B$3:$B$1502,$A480))</f>
        <v/>
      </c>
      <c r="N480" s="15" t="str">
        <f aca="false">IF($A480="","",IF($I480="","",$I480-$M480))</f>
        <v/>
      </c>
      <c r="O480" s="12" t="str">
        <f aca="false">IF($A480="","",IF($I480="","",IF($M480=0,"미처리",IF($N480&lt;=0,"완료","부분처리"))))</f>
        <v/>
      </c>
    </row>
    <row r="481" customFormat="false" ht="15" hidden="false" customHeight="true" outlineLevel="0" collapsed="false">
      <c r="A481" s="12" t="str">
        <f aca="false">IF($B481="","",TEXT($B481,"yymm")&amp;"-"&amp;TEXT(COUNTIFS($B$3:$B481,"&gt;="&amp;DATE(YEAR($B481),MONTH($B481),1),$B$3:$B481,"&lt;="&amp;EOMONTH($B481,0)),"000"))</f>
        <v/>
      </c>
      <c r="B481" s="13"/>
      <c r="C481" s="10"/>
      <c r="D481" s="10"/>
      <c r="E481" s="12" t="str">
        <f aca="false">IF($D481="","",IFERROR(INDEX(품목목록!$B$3:$B$302,MATCH($D481,품목목록!$A$3:$A$302,0)),"미등록품번"))</f>
        <v/>
      </c>
      <c r="F481" s="12" t="str">
        <f aca="false">IF($D481="","",IFERROR(INDEX(품목목록!$C$3:$C$302,MATCH($D481,품목목록!$A$3:$A$302,0)),""))</f>
        <v/>
      </c>
      <c r="G481" s="12" t="str">
        <f aca="false">IF($D481="","",IFERROR(INDEX(품목목록!$D$3:$D$302,MATCH($D481,품목목록!$A$3:$A$302,0)),""))</f>
        <v/>
      </c>
      <c r="H481" s="12" t="str">
        <f aca="false">IF($D481="","",IFERROR(INDEX(품목목록!$E$3:$E$302,MATCH($D481,품목목록!$A$3:$A$302,0)),""))</f>
        <v/>
      </c>
      <c r="I481" s="14"/>
      <c r="J481" s="10"/>
      <c r="K481" s="10"/>
      <c r="L481" s="10"/>
      <c r="M481" s="15" t="str">
        <f aca="false">IF($A481="","",SUMIFS(처리내역!$E$3:$E$1502,처리내역!$B$3:$B$1502,$A481))</f>
        <v/>
      </c>
      <c r="N481" s="15" t="str">
        <f aca="false">IF($A481="","",IF($I481="","",$I481-$M481))</f>
        <v/>
      </c>
      <c r="O481" s="12" t="str">
        <f aca="false">IF($A481="","",IF($I481="","",IF($M481=0,"미처리",IF($N481&lt;=0,"완료","부분처리"))))</f>
        <v/>
      </c>
    </row>
    <row r="482" customFormat="false" ht="15" hidden="false" customHeight="true" outlineLevel="0" collapsed="false">
      <c r="A482" s="12" t="str">
        <f aca="false">IF($B482="","",TEXT($B482,"yymm")&amp;"-"&amp;TEXT(COUNTIFS($B$3:$B482,"&gt;="&amp;DATE(YEAR($B482),MONTH($B482),1),$B$3:$B482,"&lt;="&amp;EOMONTH($B482,0)),"000"))</f>
        <v/>
      </c>
      <c r="B482" s="13"/>
      <c r="C482" s="10"/>
      <c r="D482" s="10"/>
      <c r="E482" s="12" t="str">
        <f aca="false">IF($D482="","",IFERROR(INDEX(품목목록!$B$3:$B$302,MATCH($D482,품목목록!$A$3:$A$302,0)),"미등록품번"))</f>
        <v/>
      </c>
      <c r="F482" s="12" t="str">
        <f aca="false">IF($D482="","",IFERROR(INDEX(품목목록!$C$3:$C$302,MATCH($D482,품목목록!$A$3:$A$302,0)),""))</f>
        <v/>
      </c>
      <c r="G482" s="12" t="str">
        <f aca="false">IF($D482="","",IFERROR(INDEX(품목목록!$D$3:$D$302,MATCH($D482,품목목록!$A$3:$A$302,0)),""))</f>
        <v/>
      </c>
      <c r="H482" s="12" t="str">
        <f aca="false">IF($D482="","",IFERROR(INDEX(품목목록!$E$3:$E$302,MATCH($D482,품목목록!$A$3:$A$302,0)),""))</f>
        <v/>
      </c>
      <c r="I482" s="14"/>
      <c r="J482" s="10"/>
      <c r="K482" s="10"/>
      <c r="L482" s="10"/>
      <c r="M482" s="15" t="str">
        <f aca="false">IF($A482="","",SUMIFS(처리내역!$E$3:$E$1502,처리내역!$B$3:$B$1502,$A482))</f>
        <v/>
      </c>
      <c r="N482" s="15" t="str">
        <f aca="false">IF($A482="","",IF($I482="","",$I482-$M482))</f>
        <v/>
      </c>
      <c r="O482" s="12" t="str">
        <f aca="false">IF($A482="","",IF($I482="","",IF($M482=0,"미처리",IF($N482&lt;=0,"완료","부분처리"))))</f>
        <v/>
      </c>
    </row>
    <row r="483" customFormat="false" ht="15" hidden="false" customHeight="true" outlineLevel="0" collapsed="false">
      <c r="A483" s="12" t="str">
        <f aca="false">IF($B483="","",TEXT($B483,"yymm")&amp;"-"&amp;TEXT(COUNTIFS($B$3:$B483,"&gt;="&amp;DATE(YEAR($B483),MONTH($B483),1),$B$3:$B483,"&lt;="&amp;EOMONTH($B483,0)),"000"))</f>
        <v/>
      </c>
      <c r="B483" s="13"/>
      <c r="C483" s="10"/>
      <c r="D483" s="10"/>
      <c r="E483" s="12" t="str">
        <f aca="false">IF($D483="","",IFERROR(INDEX(품목목록!$B$3:$B$302,MATCH($D483,품목목록!$A$3:$A$302,0)),"미등록품번"))</f>
        <v/>
      </c>
      <c r="F483" s="12" t="str">
        <f aca="false">IF($D483="","",IFERROR(INDEX(품목목록!$C$3:$C$302,MATCH($D483,품목목록!$A$3:$A$302,0)),""))</f>
        <v/>
      </c>
      <c r="G483" s="12" t="str">
        <f aca="false">IF($D483="","",IFERROR(INDEX(품목목록!$D$3:$D$302,MATCH($D483,품목목록!$A$3:$A$302,0)),""))</f>
        <v/>
      </c>
      <c r="H483" s="12" t="str">
        <f aca="false">IF($D483="","",IFERROR(INDEX(품목목록!$E$3:$E$302,MATCH($D483,품목목록!$A$3:$A$302,0)),""))</f>
        <v/>
      </c>
      <c r="I483" s="14"/>
      <c r="J483" s="10"/>
      <c r="K483" s="10"/>
      <c r="L483" s="10"/>
      <c r="M483" s="15" t="str">
        <f aca="false">IF($A483="","",SUMIFS(처리내역!$E$3:$E$1502,처리내역!$B$3:$B$1502,$A483))</f>
        <v/>
      </c>
      <c r="N483" s="15" t="str">
        <f aca="false">IF($A483="","",IF($I483="","",$I483-$M483))</f>
        <v/>
      </c>
      <c r="O483" s="12" t="str">
        <f aca="false">IF($A483="","",IF($I483="","",IF($M483=0,"미처리",IF($N483&lt;=0,"완료","부분처리"))))</f>
        <v/>
      </c>
    </row>
    <row r="484" customFormat="false" ht="15" hidden="false" customHeight="true" outlineLevel="0" collapsed="false">
      <c r="A484" s="12" t="str">
        <f aca="false">IF($B484="","",TEXT($B484,"yymm")&amp;"-"&amp;TEXT(COUNTIFS($B$3:$B484,"&gt;="&amp;DATE(YEAR($B484),MONTH($B484),1),$B$3:$B484,"&lt;="&amp;EOMONTH($B484,0)),"000"))</f>
        <v/>
      </c>
      <c r="B484" s="13"/>
      <c r="C484" s="10"/>
      <c r="D484" s="10"/>
      <c r="E484" s="12" t="str">
        <f aca="false">IF($D484="","",IFERROR(INDEX(품목목록!$B$3:$B$302,MATCH($D484,품목목록!$A$3:$A$302,0)),"미등록품번"))</f>
        <v/>
      </c>
      <c r="F484" s="12" t="str">
        <f aca="false">IF($D484="","",IFERROR(INDEX(품목목록!$C$3:$C$302,MATCH($D484,품목목록!$A$3:$A$302,0)),""))</f>
        <v/>
      </c>
      <c r="G484" s="12" t="str">
        <f aca="false">IF($D484="","",IFERROR(INDEX(품목목록!$D$3:$D$302,MATCH($D484,품목목록!$A$3:$A$302,0)),""))</f>
        <v/>
      </c>
      <c r="H484" s="12" t="str">
        <f aca="false">IF($D484="","",IFERROR(INDEX(품목목록!$E$3:$E$302,MATCH($D484,품목목록!$A$3:$A$302,0)),""))</f>
        <v/>
      </c>
      <c r="I484" s="14"/>
      <c r="J484" s="10"/>
      <c r="K484" s="10"/>
      <c r="L484" s="10"/>
      <c r="M484" s="15" t="str">
        <f aca="false">IF($A484="","",SUMIFS(처리내역!$E$3:$E$1502,처리내역!$B$3:$B$1502,$A484))</f>
        <v/>
      </c>
      <c r="N484" s="15" t="str">
        <f aca="false">IF($A484="","",IF($I484="","",$I484-$M484))</f>
        <v/>
      </c>
      <c r="O484" s="12" t="str">
        <f aca="false">IF($A484="","",IF($I484="","",IF($M484=0,"미처리",IF($N484&lt;=0,"완료","부분처리"))))</f>
        <v/>
      </c>
    </row>
    <row r="485" customFormat="false" ht="15" hidden="false" customHeight="true" outlineLevel="0" collapsed="false">
      <c r="A485" s="12" t="str">
        <f aca="false">IF($B485="","",TEXT($B485,"yymm")&amp;"-"&amp;TEXT(COUNTIFS($B$3:$B485,"&gt;="&amp;DATE(YEAR($B485),MONTH($B485),1),$B$3:$B485,"&lt;="&amp;EOMONTH($B485,0)),"000"))</f>
        <v/>
      </c>
      <c r="B485" s="13"/>
      <c r="C485" s="10"/>
      <c r="D485" s="10"/>
      <c r="E485" s="12" t="str">
        <f aca="false">IF($D485="","",IFERROR(INDEX(품목목록!$B$3:$B$302,MATCH($D485,품목목록!$A$3:$A$302,0)),"미등록품번"))</f>
        <v/>
      </c>
      <c r="F485" s="12" t="str">
        <f aca="false">IF($D485="","",IFERROR(INDEX(품목목록!$C$3:$C$302,MATCH($D485,품목목록!$A$3:$A$302,0)),""))</f>
        <v/>
      </c>
      <c r="G485" s="12" t="str">
        <f aca="false">IF($D485="","",IFERROR(INDEX(품목목록!$D$3:$D$302,MATCH($D485,품목목록!$A$3:$A$302,0)),""))</f>
        <v/>
      </c>
      <c r="H485" s="12" t="str">
        <f aca="false">IF($D485="","",IFERROR(INDEX(품목목록!$E$3:$E$302,MATCH($D485,품목목록!$A$3:$A$302,0)),""))</f>
        <v/>
      </c>
      <c r="I485" s="14"/>
      <c r="J485" s="10"/>
      <c r="K485" s="10"/>
      <c r="L485" s="10"/>
      <c r="M485" s="15" t="str">
        <f aca="false">IF($A485="","",SUMIFS(처리내역!$E$3:$E$1502,처리내역!$B$3:$B$1502,$A485))</f>
        <v/>
      </c>
      <c r="N485" s="15" t="str">
        <f aca="false">IF($A485="","",IF($I485="","",$I485-$M485))</f>
        <v/>
      </c>
      <c r="O485" s="12" t="str">
        <f aca="false">IF($A485="","",IF($I485="","",IF($M485=0,"미처리",IF($N485&lt;=0,"완료","부분처리"))))</f>
        <v/>
      </c>
    </row>
    <row r="486" customFormat="false" ht="15" hidden="false" customHeight="true" outlineLevel="0" collapsed="false">
      <c r="A486" s="12" t="str">
        <f aca="false">IF($B486="","",TEXT($B486,"yymm")&amp;"-"&amp;TEXT(COUNTIFS($B$3:$B486,"&gt;="&amp;DATE(YEAR($B486),MONTH($B486),1),$B$3:$B486,"&lt;="&amp;EOMONTH($B486,0)),"000"))</f>
        <v/>
      </c>
      <c r="B486" s="13"/>
      <c r="C486" s="10"/>
      <c r="D486" s="10"/>
      <c r="E486" s="12" t="str">
        <f aca="false">IF($D486="","",IFERROR(INDEX(품목목록!$B$3:$B$302,MATCH($D486,품목목록!$A$3:$A$302,0)),"미등록품번"))</f>
        <v/>
      </c>
      <c r="F486" s="12" t="str">
        <f aca="false">IF($D486="","",IFERROR(INDEX(품목목록!$C$3:$C$302,MATCH($D486,품목목록!$A$3:$A$302,0)),""))</f>
        <v/>
      </c>
      <c r="G486" s="12" t="str">
        <f aca="false">IF($D486="","",IFERROR(INDEX(품목목록!$D$3:$D$302,MATCH($D486,품목목록!$A$3:$A$302,0)),""))</f>
        <v/>
      </c>
      <c r="H486" s="12" t="str">
        <f aca="false">IF($D486="","",IFERROR(INDEX(품목목록!$E$3:$E$302,MATCH($D486,품목목록!$A$3:$A$302,0)),""))</f>
        <v/>
      </c>
      <c r="I486" s="14"/>
      <c r="J486" s="10"/>
      <c r="K486" s="10"/>
      <c r="L486" s="10"/>
      <c r="M486" s="15" t="str">
        <f aca="false">IF($A486="","",SUMIFS(처리내역!$E$3:$E$1502,처리내역!$B$3:$B$1502,$A486))</f>
        <v/>
      </c>
      <c r="N486" s="15" t="str">
        <f aca="false">IF($A486="","",IF($I486="","",$I486-$M486))</f>
        <v/>
      </c>
      <c r="O486" s="12" t="str">
        <f aca="false">IF($A486="","",IF($I486="","",IF($M486=0,"미처리",IF($N486&lt;=0,"완료","부분처리"))))</f>
        <v/>
      </c>
    </row>
    <row r="487" customFormat="false" ht="15" hidden="false" customHeight="true" outlineLevel="0" collapsed="false">
      <c r="A487" s="12" t="str">
        <f aca="false">IF($B487="","",TEXT($B487,"yymm")&amp;"-"&amp;TEXT(COUNTIFS($B$3:$B487,"&gt;="&amp;DATE(YEAR($B487),MONTH($B487),1),$B$3:$B487,"&lt;="&amp;EOMONTH($B487,0)),"000"))</f>
        <v/>
      </c>
      <c r="B487" s="13"/>
      <c r="C487" s="10"/>
      <c r="D487" s="10"/>
      <c r="E487" s="12" t="str">
        <f aca="false">IF($D487="","",IFERROR(INDEX(품목목록!$B$3:$B$302,MATCH($D487,품목목록!$A$3:$A$302,0)),"미등록품번"))</f>
        <v/>
      </c>
      <c r="F487" s="12" t="str">
        <f aca="false">IF($D487="","",IFERROR(INDEX(품목목록!$C$3:$C$302,MATCH($D487,품목목록!$A$3:$A$302,0)),""))</f>
        <v/>
      </c>
      <c r="G487" s="12" t="str">
        <f aca="false">IF($D487="","",IFERROR(INDEX(품목목록!$D$3:$D$302,MATCH($D487,품목목록!$A$3:$A$302,0)),""))</f>
        <v/>
      </c>
      <c r="H487" s="12" t="str">
        <f aca="false">IF($D487="","",IFERROR(INDEX(품목목록!$E$3:$E$302,MATCH($D487,품목목록!$A$3:$A$302,0)),""))</f>
        <v/>
      </c>
      <c r="I487" s="14"/>
      <c r="J487" s="10"/>
      <c r="K487" s="10"/>
      <c r="L487" s="10"/>
      <c r="M487" s="15" t="str">
        <f aca="false">IF($A487="","",SUMIFS(처리내역!$E$3:$E$1502,처리내역!$B$3:$B$1502,$A487))</f>
        <v/>
      </c>
      <c r="N487" s="15" t="str">
        <f aca="false">IF($A487="","",IF($I487="","",$I487-$M487))</f>
        <v/>
      </c>
      <c r="O487" s="12" t="str">
        <f aca="false">IF($A487="","",IF($I487="","",IF($M487=0,"미처리",IF($N487&lt;=0,"완료","부분처리"))))</f>
        <v/>
      </c>
    </row>
    <row r="488" customFormat="false" ht="15" hidden="false" customHeight="true" outlineLevel="0" collapsed="false">
      <c r="A488" s="12" t="str">
        <f aca="false">IF($B488="","",TEXT($B488,"yymm")&amp;"-"&amp;TEXT(COUNTIFS($B$3:$B488,"&gt;="&amp;DATE(YEAR($B488),MONTH($B488),1),$B$3:$B488,"&lt;="&amp;EOMONTH($B488,0)),"000"))</f>
        <v/>
      </c>
      <c r="B488" s="13"/>
      <c r="C488" s="10"/>
      <c r="D488" s="10"/>
      <c r="E488" s="12" t="str">
        <f aca="false">IF($D488="","",IFERROR(INDEX(품목목록!$B$3:$B$302,MATCH($D488,품목목록!$A$3:$A$302,0)),"미등록품번"))</f>
        <v/>
      </c>
      <c r="F488" s="12" t="str">
        <f aca="false">IF($D488="","",IFERROR(INDEX(품목목록!$C$3:$C$302,MATCH($D488,품목목록!$A$3:$A$302,0)),""))</f>
        <v/>
      </c>
      <c r="G488" s="12" t="str">
        <f aca="false">IF($D488="","",IFERROR(INDEX(품목목록!$D$3:$D$302,MATCH($D488,품목목록!$A$3:$A$302,0)),""))</f>
        <v/>
      </c>
      <c r="H488" s="12" t="str">
        <f aca="false">IF($D488="","",IFERROR(INDEX(품목목록!$E$3:$E$302,MATCH($D488,품목목록!$A$3:$A$302,0)),""))</f>
        <v/>
      </c>
      <c r="I488" s="14"/>
      <c r="J488" s="10"/>
      <c r="K488" s="10"/>
      <c r="L488" s="10"/>
      <c r="M488" s="15" t="str">
        <f aca="false">IF($A488="","",SUMIFS(처리내역!$E$3:$E$1502,처리내역!$B$3:$B$1502,$A488))</f>
        <v/>
      </c>
      <c r="N488" s="15" t="str">
        <f aca="false">IF($A488="","",IF($I488="","",$I488-$M488))</f>
        <v/>
      </c>
      <c r="O488" s="12" t="str">
        <f aca="false">IF($A488="","",IF($I488="","",IF($M488=0,"미처리",IF($N488&lt;=0,"완료","부분처리"))))</f>
        <v/>
      </c>
    </row>
    <row r="489" customFormat="false" ht="15" hidden="false" customHeight="true" outlineLevel="0" collapsed="false">
      <c r="A489" s="12" t="str">
        <f aca="false">IF($B489="","",TEXT($B489,"yymm")&amp;"-"&amp;TEXT(COUNTIFS($B$3:$B489,"&gt;="&amp;DATE(YEAR($B489),MONTH($B489),1),$B$3:$B489,"&lt;="&amp;EOMONTH($B489,0)),"000"))</f>
        <v/>
      </c>
      <c r="B489" s="13"/>
      <c r="C489" s="10"/>
      <c r="D489" s="10"/>
      <c r="E489" s="12" t="str">
        <f aca="false">IF($D489="","",IFERROR(INDEX(품목목록!$B$3:$B$302,MATCH($D489,품목목록!$A$3:$A$302,0)),"미등록품번"))</f>
        <v/>
      </c>
      <c r="F489" s="12" t="str">
        <f aca="false">IF($D489="","",IFERROR(INDEX(품목목록!$C$3:$C$302,MATCH($D489,품목목록!$A$3:$A$302,0)),""))</f>
        <v/>
      </c>
      <c r="G489" s="12" t="str">
        <f aca="false">IF($D489="","",IFERROR(INDEX(품목목록!$D$3:$D$302,MATCH($D489,품목목록!$A$3:$A$302,0)),""))</f>
        <v/>
      </c>
      <c r="H489" s="12" t="str">
        <f aca="false">IF($D489="","",IFERROR(INDEX(품목목록!$E$3:$E$302,MATCH($D489,품목목록!$A$3:$A$302,0)),""))</f>
        <v/>
      </c>
      <c r="I489" s="14"/>
      <c r="J489" s="10"/>
      <c r="K489" s="10"/>
      <c r="L489" s="10"/>
      <c r="M489" s="15" t="str">
        <f aca="false">IF($A489="","",SUMIFS(처리내역!$E$3:$E$1502,처리내역!$B$3:$B$1502,$A489))</f>
        <v/>
      </c>
      <c r="N489" s="15" t="str">
        <f aca="false">IF($A489="","",IF($I489="","",$I489-$M489))</f>
        <v/>
      </c>
      <c r="O489" s="12" t="str">
        <f aca="false">IF($A489="","",IF($I489="","",IF($M489=0,"미처리",IF($N489&lt;=0,"완료","부분처리"))))</f>
        <v/>
      </c>
    </row>
    <row r="490" customFormat="false" ht="15" hidden="false" customHeight="true" outlineLevel="0" collapsed="false">
      <c r="A490" s="12" t="str">
        <f aca="false">IF($B490="","",TEXT($B490,"yymm")&amp;"-"&amp;TEXT(COUNTIFS($B$3:$B490,"&gt;="&amp;DATE(YEAR($B490),MONTH($B490),1),$B$3:$B490,"&lt;="&amp;EOMONTH($B490,0)),"000"))</f>
        <v/>
      </c>
      <c r="B490" s="13"/>
      <c r="C490" s="10"/>
      <c r="D490" s="10"/>
      <c r="E490" s="12" t="str">
        <f aca="false">IF($D490="","",IFERROR(INDEX(품목목록!$B$3:$B$302,MATCH($D490,품목목록!$A$3:$A$302,0)),"미등록품번"))</f>
        <v/>
      </c>
      <c r="F490" s="12" t="str">
        <f aca="false">IF($D490="","",IFERROR(INDEX(품목목록!$C$3:$C$302,MATCH($D490,품목목록!$A$3:$A$302,0)),""))</f>
        <v/>
      </c>
      <c r="G490" s="12" t="str">
        <f aca="false">IF($D490="","",IFERROR(INDEX(품목목록!$D$3:$D$302,MATCH($D490,품목목록!$A$3:$A$302,0)),""))</f>
        <v/>
      </c>
      <c r="H490" s="12" t="str">
        <f aca="false">IF($D490="","",IFERROR(INDEX(품목목록!$E$3:$E$302,MATCH($D490,품목목록!$A$3:$A$302,0)),""))</f>
        <v/>
      </c>
      <c r="I490" s="14"/>
      <c r="J490" s="10"/>
      <c r="K490" s="10"/>
      <c r="L490" s="10"/>
      <c r="M490" s="15" t="str">
        <f aca="false">IF($A490="","",SUMIFS(처리내역!$E$3:$E$1502,처리내역!$B$3:$B$1502,$A490))</f>
        <v/>
      </c>
      <c r="N490" s="15" t="str">
        <f aca="false">IF($A490="","",IF($I490="","",$I490-$M490))</f>
        <v/>
      </c>
      <c r="O490" s="12" t="str">
        <f aca="false">IF($A490="","",IF($I490="","",IF($M490=0,"미처리",IF($N490&lt;=0,"완료","부분처리"))))</f>
        <v/>
      </c>
    </row>
    <row r="491" customFormat="false" ht="15" hidden="false" customHeight="true" outlineLevel="0" collapsed="false">
      <c r="A491" s="12" t="str">
        <f aca="false">IF($B491="","",TEXT($B491,"yymm")&amp;"-"&amp;TEXT(COUNTIFS($B$3:$B491,"&gt;="&amp;DATE(YEAR($B491),MONTH($B491),1),$B$3:$B491,"&lt;="&amp;EOMONTH($B491,0)),"000"))</f>
        <v/>
      </c>
      <c r="B491" s="13"/>
      <c r="C491" s="10"/>
      <c r="D491" s="10"/>
      <c r="E491" s="12" t="str">
        <f aca="false">IF($D491="","",IFERROR(INDEX(품목목록!$B$3:$B$302,MATCH($D491,품목목록!$A$3:$A$302,0)),"미등록품번"))</f>
        <v/>
      </c>
      <c r="F491" s="12" t="str">
        <f aca="false">IF($D491="","",IFERROR(INDEX(품목목록!$C$3:$C$302,MATCH($D491,품목목록!$A$3:$A$302,0)),""))</f>
        <v/>
      </c>
      <c r="G491" s="12" t="str">
        <f aca="false">IF($D491="","",IFERROR(INDEX(품목목록!$D$3:$D$302,MATCH($D491,품목목록!$A$3:$A$302,0)),""))</f>
        <v/>
      </c>
      <c r="H491" s="12" t="str">
        <f aca="false">IF($D491="","",IFERROR(INDEX(품목목록!$E$3:$E$302,MATCH($D491,품목목록!$A$3:$A$302,0)),""))</f>
        <v/>
      </c>
      <c r="I491" s="14"/>
      <c r="J491" s="10"/>
      <c r="K491" s="10"/>
      <c r="L491" s="10"/>
      <c r="M491" s="15" t="str">
        <f aca="false">IF($A491="","",SUMIFS(처리내역!$E$3:$E$1502,처리내역!$B$3:$B$1502,$A491))</f>
        <v/>
      </c>
      <c r="N491" s="15" t="str">
        <f aca="false">IF($A491="","",IF($I491="","",$I491-$M491))</f>
        <v/>
      </c>
      <c r="O491" s="12" t="str">
        <f aca="false">IF($A491="","",IF($I491="","",IF($M491=0,"미처리",IF($N491&lt;=0,"완료","부분처리"))))</f>
        <v/>
      </c>
    </row>
    <row r="492" customFormat="false" ht="15" hidden="false" customHeight="true" outlineLevel="0" collapsed="false">
      <c r="A492" s="12" t="str">
        <f aca="false">IF($B492="","",TEXT($B492,"yymm")&amp;"-"&amp;TEXT(COUNTIFS($B$3:$B492,"&gt;="&amp;DATE(YEAR($B492),MONTH($B492),1),$B$3:$B492,"&lt;="&amp;EOMONTH($B492,0)),"000"))</f>
        <v/>
      </c>
      <c r="B492" s="13"/>
      <c r="C492" s="10"/>
      <c r="D492" s="10"/>
      <c r="E492" s="12" t="str">
        <f aca="false">IF($D492="","",IFERROR(INDEX(품목목록!$B$3:$B$302,MATCH($D492,품목목록!$A$3:$A$302,0)),"미등록품번"))</f>
        <v/>
      </c>
      <c r="F492" s="12" t="str">
        <f aca="false">IF($D492="","",IFERROR(INDEX(품목목록!$C$3:$C$302,MATCH($D492,품목목록!$A$3:$A$302,0)),""))</f>
        <v/>
      </c>
      <c r="G492" s="12" t="str">
        <f aca="false">IF($D492="","",IFERROR(INDEX(품목목록!$D$3:$D$302,MATCH($D492,품목목록!$A$3:$A$302,0)),""))</f>
        <v/>
      </c>
      <c r="H492" s="12" t="str">
        <f aca="false">IF($D492="","",IFERROR(INDEX(품목목록!$E$3:$E$302,MATCH($D492,품목목록!$A$3:$A$302,0)),""))</f>
        <v/>
      </c>
      <c r="I492" s="14"/>
      <c r="J492" s="10"/>
      <c r="K492" s="10"/>
      <c r="L492" s="10"/>
      <c r="M492" s="15" t="str">
        <f aca="false">IF($A492="","",SUMIFS(처리내역!$E$3:$E$1502,처리내역!$B$3:$B$1502,$A492))</f>
        <v/>
      </c>
      <c r="N492" s="15" t="str">
        <f aca="false">IF($A492="","",IF($I492="","",$I492-$M492))</f>
        <v/>
      </c>
      <c r="O492" s="12" t="str">
        <f aca="false">IF($A492="","",IF($I492="","",IF($M492=0,"미처리",IF($N492&lt;=0,"완료","부분처리"))))</f>
        <v/>
      </c>
    </row>
    <row r="493" customFormat="false" ht="15" hidden="false" customHeight="true" outlineLevel="0" collapsed="false">
      <c r="A493" s="12" t="str">
        <f aca="false">IF($B493="","",TEXT($B493,"yymm")&amp;"-"&amp;TEXT(COUNTIFS($B$3:$B493,"&gt;="&amp;DATE(YEAR($B493),MONTH($B493),1),$B$3:$B493,"&lt;="&amp;EOMONTH($B493,0)),"000"))</f>
        <v/>
      </c>
      <c r="B493" s="13"/>
      <c r="C493" s="10"/>
      <c r="D493" s="10"/>
      <c r="E493" s="12" t="str">
        <f aca="false">IF($D493="","",IFERROR(INDEX(품목목록!$B$3:$B$302,MATCH($D493,품목목록!$A$3:$A$302,0)),"미등록품번"))</f>
        <v/>
      </c>
      <c r="F493" s="12" t="str">
        <f aca="false">IF($D493="","",IFERROR(INDEX(품목목록!$C$3:$C$302,MATCH($D493,품목목록!$A$3:$A$302,0)),""))</f>
        <v/>
      </c>
      <c r="G493" s="12" t="str">
        <f aca="false">IF($D493="","",IFERROR(INDEX(품목목록!$D$3:$D$302,MATCH($D493,품목목록!$A$3:$A$302,0)),""))</f>
        <v/>
      </c>
      <c r="H493" s="12" t="str">
        <f aca="false">IF($D493="","",IFERROR(INDEX(품목목록!$E$3:$E$302,MATCH($D493,품목목록!$A$3:$A$302,0)),""))</f>
        <v/>
      </c>
      <c r="I493" s="14"/>
      <c r="J493" s="10"/>
      <c r="K493" s="10"/>
      <c r="L493" s="10"/>
      <c r="M493" s="15" t="str">
        <f aca="false">IF($A493="","",SUMIFS(처리내역!$E$3:$E$1502,처리내역!$B$3:$B$1502,$A493))</f>
        <v/>
      </c>
      <c r="N493" s="15" t="str">
        <f aca="false">IF($A493="","",IF($I493="","",$I493-$M493))</f>
        <v/>
      </c>
      <c r="O493" s="12" t="str">
        <f aca="false">IF($A493="","",IF($I493="","",IF($M493=0,"미처리",IF($N493&lt;=0,"완료","부분처리"))))</f>
        <v/>
      </c>
    </row>
    <row r="494" customFormat="false" ht="15" hidden="false" customHeight="true" outlineLevel="0" collapsed="false">
      <c r="A494" s="12" t="str">
        <f aca="false">IF($B494="","",TEXT($B494,"yymm")&amp;"-"&amp;TEXT(COUNTIFS($B$3:$B494,"&gt;="&amp;DATE(YEAR($B494),MONTH($B494),1),$B$3:$B494,"&lt;="&amp;EOMONTH($B494,0)),"000"))</f>
        <v/>
      </c>
      <c r="B494" s="13"/>
      <c r="C494" s="10"/>
      <c r="D494" s="10"/>
      <c r="E494" s="12" t="str">
        <f aca="false">IF($D494="","",IFERROR(INDEX(품목목록!$B$3:$B$302,MATCH($D494,품목목록!$A$3:$A$302,0)),"미등록품번"))</f>
        <v/>
      </c>
      <c r="F494" s="12" t="str">
        <f aca="false">IF($D494="","",IFERROR(INDEX(품목목록!$C$3:$C$302,MATCH($D494,품목목록!$A$3:$A$302,0)),""))</f>
        <v/>
      </c>
      <c r="G494" s="12" t="str">
        <f aca="false">IF($D494="","",IFERROR(INDEX(품목목록!$D$3:$D$302,MATCH($D494,품목목록!$A$3:$A$302,0)),""))</f>
        <v/>
      </c>
      <c r="H494" s="12" t="str">
        <f aca="false">IF($D494="","",IFERROR(INDEX(품목목록!$E$3:$E$302,MATCH($D494,품목목록!$A$3:$A$302,0)),""))</f>
        <v/>
      </c>
      <c r="I494" s="14"/>
      <c r="J494" s="10"/>
      <c r="K494" s="10"/>
      <c r="L494" s="10"/>
      <c r="M494" s="15" t="str">
        <f aca="false">IF($A494="","",SUMIFS(처리내역!$E$3:$E$1502,처리내역!$B$3:$B$1502,$A494))</f>
        <v/>
      </c>
      <c r="N494" s="15" t="str">
        <f aca="false">IF($A494="","",IF($I494="","",$I494-$M494))</f>
        <v/>
      </c>
      <c r="O494" s="12" t="str">
        <f aca="false">IF($A494="","",IF($I494="","",IF($M494=0,"미처리",IF($N494&lt;=0,"완료","부분처리"))))</f>
        <v/>
      </c>
    </row>
    <row r="495" customFormat="false" ht="15" hidden="false" customHeight="true" outlineLevel="0" collapsed="false">
      <c r="A495" s="12" t="str">
        <f aca="false">IF($B495="","",TEXT($B495,"yymm")&amp;"-"&amp;TEXT(COUNTIFS($B$3:$B495,"&gt;="&amp;DATE(YEAR($B495),MONTH($B495),1),$B$3:$B495,"&lt;="&amp;EOMONTH($B495,0)),"000"))</f>
        <v/>
      </c>
      <c r="B495" s="13"/>
      <c r="C495" s="10"/>
      <c r="D495" s="10"/>
      <c r="E495" s="12" t="str">
        <f aca="false">IF($D495="","",IFERROR(INDEX(품목목록!$B$3:$B$302,MATCH($D495,품목목록!$A$3:$A$302,0)),"미등록품번"))</f>
        <v/>
      </c>
      <c r="F495" s="12" t="str">
        <f aca="false">IF($D495="","",IFERROR(INDEX(품목목록!$C$3:$C$302,MATCH($D495,품목목록!$A$3:$A$302,0)),""))</f>
        <v/>
      </c>
      <c r="G495" s="12" t="str">
        <f aca="false">IF($D495="","",IFERROR(INDEX(품목목록!$D$3:$D$302,MATCH($D495,품목목록!$A$3:$A$302,0)),""))</f>
        <v/>
      </c>
      <c r="H495" s="12" t="str">
        <f aca="false">IF($D495="","",IFERROR(INDEX(품목목록!$E$3:$E$302,MATCH($D495,품목목록!$A$3:$A$302,0)),""))</f>
        <v/>
      </c>
      <c r="I495" s="14"/>
      <c r="J495" s="10"/>
      <c r="K495" s="10"/>
      <c r="L495" s="10"/>
      <c r="M495" s="15" t="str">
        <f aca="false">IF($A495="","",SUMIFS(처리내역!$E$3:$E$1502,처리내역!$B$3:$B$1502,$A495))</f>
        <v/>
      </c>
      <c r="N495" s="15" t="str">
        <f aca="false">IF($A495="","",IF($I495="","",$I495-$M495))</f>
        <v/>
      </c>
      <c r="O495" s="12" t="str">
        <f aca="false">IF($A495="","",IF($I495="","",IF($M495=0,"미처리",IF($N495&lt;=0,"완료","부분처리"))))</f>
        <v/>
      </c>
    </row>
    <row r="496" customFormat="false" ht="15" hidden="false" customHeight="true" outlineLevel="0" collapsed="false">
      <c r="A496" s="12" t="str">
        <f aca="false">IF($B496="","",TEXT($B496,"yymm")&amp;"-"&amp;TEXT(COUNTIFS($B$3:$B496,"&gt;="&amp;DATE(YEAR($B496),MONTH($B496),1),$B$3:$B496,"&lt;="&amp;EOMONTH($B496,0)),"000"))</f>
        <v/>
      </c>
      <c r="B496" s="13"/>
      <c r="C496" s="10"/>
      <c r="D496" s="10"/>
      <c r="E496" s="12" t="str">
        <f aca="false">IF($D496="","",IFERROR(INDEX(품목목록!$B$3:$B$302,MATCH($D496,품목목록!$A$3:$A$302,0)),"미등록품번"))</f>
        <v/>
      </c>
      <c r="F496" s="12" t="str">
        <f aca="false">IF($D496="","",IFERROR(INDEX(품목목록!$C$3:$C$302,MATCH($D496,품목목록!$A$3:$A$302,0)),""))</f>
        <v/>
      </c>
      <c r="G496" s="12" t="str">
        <f aca="false">IF($D496="","",IFERROR(INDEX(품목목록!$D$3:$D$302,MATCH($D496,품목목록!$A$3:$A$302,0)),""))</f>
        <v/>
      </c>
      <c r="H496" s="12" t="str">
        <f aca="false">IF($D496="","",IFERROR(INDEX(품목목록!$E$3:$E$302,MATCH($D496,품목목록!$A$3:$A$302,0)),""))</f>
        <v/>
      </c>
      <c r="I496" s="14"/>
      <c r="J496" s="10"/>
      <c r="K496" s="10"/>
      <c r="L496" s="10"/>
      <c r="M496" s="15" t="str">
        <f aca="false">IF($A496="","",SUMIFS(처리내역!$E$3:$E$1502,처리내역!$B$3:$B$1502,$A496))</f>
        <v/>
      </c>
      <c r="N496" s="15" t="str">
        <f aca="false">IF($A496="","",IF($I496="","",$I496-$M496))</f>
        <v/>
      </c>
      <c r="O496" s="12" t="str">
        <f aca="false">IF($A496="","",IF($I496="","",IF($M496=0,"미처리",IF($N496&lt;=0,"완료","부분처리"))))</f>
        <v/>
      </c>
    </row>
    <row r="497" customFormat="false" ht="15" hidden="false" customHeight="true" outlineLevel="0" collapsed="false">
      <c r="A497" s="12" t="str">
        <f aca="false">IF($B497="","",TEXT($B497,"yymm")&amp;"-"&amp;TEXT(COUNTIFS($B$3:$B497,"&gt;="&amp;DATE(YEAR($B497),MONTH($B497),1),$B$3:$B497,"&lt;="&amp;EOMONTH($B497,0)),"000"))</f>
        <v/>
      </c>
      <c r="B497" s="13"/>
      <c r="C497" s="10"/>
      <c r="D497" s="10"/>
      <c r="E497" s="12" t="str">
        <f aca="false">IF($D497="","",IFERROR(INDEX(품목목록!$B$3:$B$302,MATCH($D497,품목목록!$A$3:$A$302,0)),"미등록품번"))</f>
        <v/>
      </c>
      <c r="F497" s="12" t="str">
        <f aca="false">IF($D497="","",IFERROR(INDEX(품목목록!$C$3:$C$302,MATCH($D497,품목목록!$A$3:$A$302,0)),""))</f>
        <v/>
      </c>
      <c r="G497" s="12" t="str">
        <f aca="false">IF($D497="","",IFERROR(INDEX(품목목록!$D$3:$D$302,MATCH($D497,품목목록!$A$3:$A$302,0)),""))</f>
        <v/>
      </c>
      <c r="H497" s="12" t="str">
        <f aca="false">IF($D497="","",IFERROR(INDEX(품목목록!$E$3:$E$302,MATCH($D497,품목목록!$A$3:$A$302,0)),""))</f>
        <v/>
      </c>
      <c r="I497" s="14"/>
      <c r="J497" s="10"/>
      <c r="K497" s="10"/>
      <c r="L497" s="10"/>
      <c r="M497" s="15" t="str">
        <f aca="false">IF($A497="","",SUMIFS(처리내역!$E$3:$E$1502,처리내역!$B$3:$B$1502,$A497))</f>
        <v/>
      </c>
      <c r="N497" s="15" t="str">
        <f aca="false">IF($A497="","",IF($I497="","",$I497-$M497))</f>
        <v/>
      </c>
      <c r="O497" s="12" t="str">
        <f aca="false">IF($A497="","",IF($I497="","",IF($M497=0,"미처리",IF($N497&lt;=0,"완료","부분처리"))))</f>
        <v/>
      </c>
    </row>
    <row r="498" customFormat="false" ht="15" hidden="false" customHeight="true" outlineLevel="0" collapsed="false">
      <c r="A498" s="12" t="str">
        <f aca="false">IF($B498="","",TEXT($B498,"yymm")&amp;"-"&amp;TEXT(COUNTIFS($B$3:$B498,"&gt;="&amp;DATE(YEAR($B498),MONTH($B498),1),$B$3:$B498,"&lt;="&amp;EOMONTH($B498,0)),"000"))</f>
        <v/>
      </c>
      <c r="B498" s="13"/>
      <c r="C498" s="10"/>
      <c r="D498" s="10"/>
      <c r="E498" s="12" t="str">
        <f aca="false">IF($D498="","",IFERROR(INDEX(품목목록!$B$3:$B$302,MATCH($D498,품목목록!$A$3:$A$302,0)),"미등록품번"))</f>
        <v/>
      </c>
      <c r="F498" s="12" t="str">
        <f aca="false">IF($D498="","",IFERROR(INDEX(품목목록!$C$3:$C$302,MATCH($D498,품목목록!$A$3:$A$302,0)),""))</f>
        <v/>
      </c>
      <c r="G498" s="12" t="str">
        <f aca="false">IF($D498="","",IFERROR(INDEX(품목목록!$D$3:$D$302,MATCH($D498,품목목록!$A$3:$A$302,0)),""))</f>
        <v/>
      </c>
      <c r="H498" s="12" t="str">
        <f aca="false">IF($D498="","",IFERROR(INDEX(품목목록!$E$3:$E$302,MATCH($D498,품목목록!$A$3:$A$302,0)),""))</f>
        <v/>
      </c>
      <c r="I498" s="14"/>
      <c r="J498" s="10"/>
      <c r="K498" s="10"/>
      <c r="L498" s="10"/>
      <c r="M498" s="15" t="str">
        <f aca="false">IF($A498="","",SUMIFS(처리내역!$E$3:$E$1502,처리내역!$B$3:$B$1502,$A498))</f>
        <v/>
      </c>
      <c r="N498" s="15" t="str">
        <f aca="false">IF($A498="","",IF($I498="","",$I498-$M498))</f>
        <v/>
      </c>
      <c r="O498" s="12" t="str">
        <f aca="false">IF($A498="","",IF($I498="","",IF($M498=0,"미처리",IF($N498&lt;=0,"완료","부분처리"))))</f>
        <v/>
      </c>
    </row>
    <row r="499" customFormat="false" ht="15" hidden="false" customHeight="true" outlineLevel="0" collapsed="false">
      <c r="A499" s="12" t="str">
        <f aca="false">IF($B499="","",TEXT($B499,"yymm")&amp;"-"&amp;TEXT(COUNTIFS($B$3:$B499,"&gt;="&amp;DATE(YEAR($B499),MONTH($B499),1),$B$3:$B499,"&lt;="&amp;EOMONTH($B499,0)),"000"))</f>
        <v/>
      </c>
      <c r="B499" s="13"/>
      <c r="C499" s="10"/>
      <c r="D499" s="10"/>
      <c r="E499" s="12" t="str">
        <f aca="false">IF($D499="","",IFERROR(INDEX(품목목록!$B$3:$B$302,MATCH($D499,품목목록!$A$3:$A$302,0)),"미등록품번"))</f>
        <v/>
      </c>
      <c r="F499" s="12" t="str">
        <f aca="false">IF($D499="","",IFERROR(INDEX(품목목록!$C$3:$C$302,MATCH($D499,품목목록!$A$3:$A$302,0)),""))</f>
        <v/>
      </c>
      <c r="G499" s="12" t="str">
        <f aca="false">IF($D499="","",IFERROR(INDEX(품목목록!$D$3:$D$302,MATCH($D499,품목목록!$A$3:$A$302,0)),""))</f>
        <v/>
      </c>
      <c r="H499" s="12" t="str">
        <f aca="false">IF($D499="","",IFERROR(INDEX(품목목록!$E$3:$E$302,MATCH($D499,품목목록!$A$3:$A$302,0)),""))</f>
        <v/>
      </c>
      <c r="I499" s="14"/>
      <c r="J499" s="10"/>
      <c r="K499" s="10"/>
      <c r="L499" s="10"/>
      <c r="M499" s="15" t="str">
        <f aca="false">IF($A499="","",SUMIFS(처리내역!$E$3:$E$1502,처리내역!$B$3:$B$1502,$A499))</f>
        <v/>
      </c>
      <c r="N499" s="15" t="str">
        <f aca="false">IF($A499="","",IF($I499="","",$I499-$M499))</f>
        <v/>
      </c>
      <c r="O499" s="12" t="str">
        <f aca="false">IF($A499="","",IF($I499="","",IF($M499=0,"미처리",IF($N499&lt;=0,"완료","부분처리"))))</f>
        <v/>
      </c>
    </row>
    <row r="500" customFormat="false" ht="15" hidden="false" customHeight="true" outlineLevel="0" collapsed="false">
      <c r="A500" s="12" t="str">
        <f aca="false">IF($B500="","",TEXT($B500,"yymm")&amp;"-"&amp;TEXT(COUNTIFS($B$3:$B500,"&gt;="&amp;DATE(YEAR($B500),MONTH($B500),1),$B$3:$B500,"&lt;="&amp;EOMONTH($B500,0)),"000"))</f>
        <v/>
      </c>
      <c r="B500" s="13"/>
      <c r="C500" s="10"/>
      <c r="D500" s="10"/>
      <c r="E500" s="12" t="str">
        <f aca="false">IF($D500="","",IFERROR(INDEX(품목목록!$B$3:$B$302,MATCH($D500,품목목록!$A$3:$A$302,0)),"미등록품번"))</f>
        <v/>
      </c>
      <c r="F500" s="12" t="str">
        <f aca="false">IF($D500="","",IFERROR(INDEX(품목목록!$C$3:$C$302,MATCH($D500,품목목록!$A$3:$A$302,0)),""))</f>
        <v/>
      </c>
      <c r="G500" s="12" t="str">
        <f aca="false">IF($D500="","",IFERROR(INDEX(품목목록!$D$3:$D$302,MATCH($D500,품목목록!$A$3:$A$302,0)),""))</f>
        <v/>
      </c>
      <c r="H500" s="12" t="str">
        <f aca="false">IF($D500="","",IFERROR(INDEX(품목목록!$E$3:$E$302,MATCH($D500,품목목록!$A$3:$A$302,0)),""))</f>
        <v/>
      </c>
      <c r="I500" s="14"/>
      <c r="J500" s="10"/>
      <c r="K500" s="10"/>
      <c r="L500" s="10"/>
      <c r="M500" s="15" t="str">
        <f aca="false">IF($A500="","",SUMIFS(처리내역!$E$3:$E$1502,처리내역!$B$3:$B$1502,$A500))</f>
        <v/>
      </c>
      <c r="N500" s="15" t="str">
        <f aca="false">IF($A500="","",IF($I500="","",$I500-$M500))</f>
        <v/>
      </c>
      <c r="O500" s="12" t="str">
        <f aca="false">IF($A500="","",IF($I500="","",IF($M500=0,"미처리",IF($N500&lt;=0,"완료","부분처리"))))</f>
        <v/>
      </c>
    </row>
    <row r="501" customFormat="false" ht="15" hidden="false" customHeight="true" outlineLevel="0" collapsed="false">
      <c r="A501" s="12" t="str">
        <f aca="false">IF($B501="","",TEXT($B501,"yymm")&amp;"-"&amp;TEXT(COUNTIFS($B$3:$B501,"&gt;="&amp;DATE(YEAR($B501),MONTH($B501),1),$B$3:$B501,"&lt;="&amp;EOMONTH($B501,0)),"000"))</f>
        <v/>
      </c>
      <c r="B501" s="13"/>
      <c r="C501" s="10"/>
      <c r="D501" s="10"/>
      <c r="E501" s="12" t="str">
        <f aca="false">IF($D501="","",IFERROR(INDEX(품목목록!$B$3:$B$302,MATCH($D501,품목목록!$A$3:$A$302,0)),"미등록품번"))</f>
        <v/>
      </c>
      <c r="F501" s="12" t="str">
        <f aca="false">IF($D501="","",IFERROR(INDEX(품목목록!$C$3:$C$302,MATCH($D501,품목목록!$A$3:$A$302,0)),""))</f>
        <v/>
      </c>
      <c r="G501" s="12" t="str">
        <f aca="false">IF($D501="","",IFERROR(INDEX(품목목록!$D$3:$D$302,MATCH($D501,품목목록!$A$3:$A$302,0)),""))</f>
        <v/>
      </c>
      <c r="H501" s="12" t="str">
        <f aca="false">IF($D501="","",IFERROR(INDEX(품목목록!$E$3:$E$302,MATCH($D501,품목목록!$A$3:$A$302,0)),""))</f>
        <v/>
      </c>
      <c r="I501" s="14"/>
      <c r="J501" s="10"/>
      <c r="K501" s="10"/>
      <c r="L501" s="10"/>
      <c r="M501" s="15" t="str">
        <f aca="false">IF($A501="","",SUMIFS(처리내역!$E$3:$E$1502,처리내역!$B$3:$B$1502,$A501))</f>
        <v/>
      </c>
      <c r="N501" s="15" t="str">
        <f aca="false">IF($A501="","",IF($I501="","",$I501-$M501))</f>
        <v/>
      </c>
      <c r="O501" s="12" t="str">
        <f aca="false">IF($A501="","",IF($I501="","",IF($M501=0,"미처리",IF($N501&lt;=0,"완료","부분처리"))))</f>
        <v/>
      </c>
    </row>
    <row r="502" customFormat="false" ht="15" hidden="false" customHeight="true" outlineLevel="0" collapsed="false">
      <c r="A502" s="12" t="str">
        <f aca="false">IF($B502="","",TEXT($B502,"yymm")&amp;"-"&amp;TEXT(COUNTIFS($B$3:$B502,"&gt;="&amp;DATE(YEAR($B502),MONTH($B502),1),$B$3:$B502,"&lt;="&amp;EOMONTH($B502,0)),"000"))</f>
        <v/>
      </c>
      <c r="B502" s="13"/>
      <c r="C502" s="10"/>
      <c r="D502" s="10"/>
      <c r="E502" s="12" t="str">
        <f aca="false">IF($D502="","",IFERROR(INDEX(품목목록!$B$3:$B$302,MATCH($D502,품목목록!$A$3:$A$302,0)),"미등록품번"))</f>
        <v/>
      </c>
      <c r="F502" s="12" t="str">
        <f aca="false">IF($D502="","",IFERROR(INDEX(품목목록!$C$3:$C$302,MATCH($D502,품목목록!$A$3:$A$302,0)),""))</f>
        <v/>
      </c>
      <c r="G502" s="12" t="str">
        <f aca="false">IF($D502="","",IFERROR(INDEX(품목목록!$D$3:$D$302,MATCH($D502,품목목록!$A$3:$A$302,0)),""))</f>
        <v/>
      </c>
      <c r="H502" s="12" t="str">
        <f aca="false">IF($D502="","",IFERROR(INDEX(품목목록!$E$3:$E$302,MATCH($D502,품목목록!$A$3:$A$302,0)),""))</f>
        <v/>
      </c>
      <c r="I502" s="14"/>
      <c r="J502" s="10"/>
      <c r="K502" s="10"/>
      <c r="L502" s="10"/>
      <c r="M502" s="15" t="str">
        <f aca="false">IF($A502="","",SUMIFS(처리내역!$E$3:$E$1502,처리내역!$B$3:$B$1502,$A502))</f>
        <v/>
      </c>
      <c r="N502" s="15" t="str">
        <f aca="false">IF($A502="","",IF($I502="","",$I502-$M502))</f>
        <v/>
      </c>
      <c r="O502" s="12" t="str">
        <f aca="false">IF($A502="","",IF($I502="","",IF($M502=0,"미처리",IF($N502&lt;=0,"완료","부분처리"))))</f>
        <v/>
      </c>
    </row>
    <row r="503" customFormat="false" ht="15" hidden="false" customHeight="true" outlineLevel="0" collapsed="false">
      <c r="A503" s="12" t="str">
        <f aca="false">IF($B503="","",TEXT($B503,"yymm")&amp;"-"&amp;TEXT(COUNTIFS($B$3:$B503,"&gt;="&amp;DATE(YEAR($B503),MONTH($B503),1),$B$3:$B503,"&lt;="&amp;EOMONTH($B503,0)),"000"))</f>
        <v/>
      </c>
      <c r="B503" s="13"/>
      <c r="C503" s="10"/>
      <c r="D503" s="10"/>
      <c r="E503" s="12" t="str">
        <f aca="false">IF($D503="","",IFERROR(INDEX(품목목록!$B$3:$B$302,MATCH($D503,품목목록!$A$3:$A$302,0)),"미등록품번"))</f>
        <v/>
      </c>
      <c r="F503" s="12" t="str">
        <f aca="false">IF($D503="","",IFERROR(INDEX(품목목록!$C$3:$C$302,MATCH($D503,품목목록!$A$3:$A$302,0)),""))</f>
        <v/>
      </c>
      <c r="G503" s="12" t="str">
        <f aca="false">IF($D503="","",IFERROR(INDEX(품목목록!$D$3:$D$302,MATCH($D503,품목목록!$A$3:$A$302,0)),""))</f>
        <v/>
      </c>
      <c r="H503" s="12" t="str">
        <f aca="false">IF($D503="","",IFERROR(INDEX(품목목록!$E$3:$E$302,MATCH($D503,품목목록!$A$3:$A$302,0)),""))</f>
        <v/>
      </c>
      <c r="I503" s="14"/>
      <c r="J503" s="10"/>
      <c r="K503" s="10"/>
      <c r="L503" s="10"/>
      <c r="M503" s="15" t="str">
        <f aca="false">IF($A503="","",SUMIFS(처리내역!$E$3:$E$1502,처리내역!$B$3:$B$1502,$A503))</f>
        <v/>
      </c>
      <c r="N503" s="15" t="str">
        <f aca="false">IF($A503="","",IF($I503="","",$I503-$M503))</f>
        <v/>
      </c>
      <c r="O503" s="12" t="str">
        <f aca="false">IF($A503="","",IF($I503="","",IF($M503=0,"미처리",IF($N503&lt;=0,"완료","부분처리"))))</f>
        <v/>
      </c>
    </row>
    <row r="504" customFormat="false" ht="15" hidden="false" customHeight="true" outlineLevel="0" collapsed="false">
      <c r="A504" s="12" t="str">
        <f aca="false">IF($B504="","",TEXT($B504,"yymm")&amp;"-"&amp;TEXT(COUNTIFS($B$3:$B504,"&gt;="&amp;DATE(YEAR($B504),MONTH($B504),1),$B$3:$B504,"&lt;="&amp;EOMONTH($B504,0)),"000"))</f>
        <v/>
      </c>
      <c r="B504" s="13"/>
      <c r="C504" s="10"/>
      <c r="D504" s="10"/>
      <c r="E504" s="12" t="str">
        <f aca="false">IF($D504="","",IFERROR(INDEX(품목목록!$B$3:$B$302,MATCH($D504,품목목록!$A$3:$A$302,0)),"미등록품번"))</f>
        <v/>
      </c>
      <c r="F504" s="12" t="str">
        <f aca="false">IF($D504="","",IFERROR(INDEX(품목목록!$C$3:$C$302,MATCH($D504,품목목록!$A$3:$A$302,0)),""))</f>
        <v/>
      </c>
      <c r="G504" s="12" t="str">
        <f aca="false">IF($D504="","",IFERROR(INDEX(품목목록!$D$3:$D$302,MATCH($D504,품목목록!$A$3:$A$302,0)),""))</f>
        <v/>
      </c>
      <c r="H504" s="12" t="str">
        <f aca="false">IF($D504="","",IFERROR(INDEX(품목목록!$E$3:$E$302,MATCH($D504,품목목록!$A$3:$A$302,0)),""))</f>
        <v/>
      </c>
      <c r="I504" s="14"/>
      <c r="J504" s="10"/>
      <c r="K504" s="10"/>
      <c r="L504" s="10"/>
      <c r="M504" s="15" t="str">
        <f aca="false">IF($A504="","",SUMIFS(처리내역!$E$3:$E$1502,처리내역!$B$3:$B$1502,$A504))</f>
        <v/>
      </c>
      <c r="N504" s="15" t="str">
        <f aca="false">IF($A504="","",IF($I504="","",$I504-$M504))</f>
        <v/>
      </c>
      <c r="O504" s="12" t="str">
        <f aca="false">IF($A504="","",IF($I504="","",IF($M504=0,"미처리",IF($N504&lt;=0,"완료","부분처리"))))</f>
        <v/>
      </c>
    </row>
    <row r="505" customFormat="false" ht="15" hidden="false" customHeight="true" outlineLevel="0" collapsed="false">
      <c r="A505" s="12" t="str">
        <f aca="false">IF($B505="","",TEXT($B505,"yymm")&amp;"-"&amp;TEXT(COUNTIFS($B$3:$B505,"&gt;="&amp;DATE(YEAR($B505),MONTH($B505),1),$B$3:$B505,"&lt;="&amp;EOMONTH($B505,0)),"000"))</f>
        <v/>
      </c>
      <c r="B505" s="13"/>
      <c r="C505" s="10"/>
      <c r="D505" s="10"/>
      <c r="E505" s="12" t="str">
        <f aca="false">IF($D505="","",IFERROR(INDEX(품목목록!$B$3:$B$302,MATCH($D505,품목목록!$A$3:$A$302,0)),"미등록품번"))</f>
        <v/>
      </c>
      <c r="F505" s="12" t="str">
        <f aca="false">IF($D505="","",IFERROR(INDEX(품목목록!$C$3:$C$302,MATCH($D505,품목목록!$A$3:$A$302,0)),""))</f>
        <v/>
      </c>
      <c r="G505" s="12" t="str">
        <f aca="false">IF($D505="","",IFERROR(INDEX(품목목록!$D$3:$D$302,MATCH($D505,품목목록!$A$3:$A$302,0)),""))</f>
        <v/>
      </c>
      <c r="H505" s="12" t="str">
        <f aca="false">IF($D505="","",IFERROR(INDEX(품목목록!$E$3:$E$302,MATCH($D505,품목목록!$A$3:$A$302,0)),""))</f>
        <v/>
      </c>
      <c r="I505" s="14"/>
      <c r="J505" s="10"/>
      <c r="K505" s="10"/>
      <c r="L505" s="10"/>
      <c r="M505" s="15" t="str">
        <f aca="false">IF($A505="","",SUMIFS(처리내역!$E$3:$E$1502,처리내역!$B$3:$B$1502,$A505))</f>
        <v/>
      </c>
      <c r="N505" s="15" t="str">
        <f aca="false">IF($A505="","",IF($I505="","",$I505-$M505))</f>
        <v/>
      </c>
      <c r="O505" s="12" t="str">
        <f aca="false">IF($A505="","",IF($I505="","",IF($M505=0,"미처리",IF($N505&lt;=0,"완료","부분처리"))))</f>
        <v/>
      </c>
    </row>
    <row r="506" customFormat="false" ht="15" hidden="false" customHeight="true" outlineLevel="0" collapsed="false">
      <c r="A506" s="12" t="str">
        <f aca="false">IF($B506="","",TEXT($B506,"yymm")&amp;"-"&amp;TEXT(COUNTIFS($B$3:$B506,"&gt;="&amp;DATE(YEAR($B506),MONTH($B506),1),$B$3:$B506,"&lt;="&amp;EOMONTH($B506,0)),"000"))</f>
        <v/>
      </c>
      <c r="B506" s="13"/>
      <c r="C506" s="10"/>
      <c r="D506" s="10"/>
      <c r="E506" s="12" t="str">
        <f aca="false">IF($D506="","",IFERROR(INDEX(품목목록!$B$3:$B$302,MATCH($D506,품목목록!$A$3:$A$302,0)),"미등록품번"))</f>
        <v/>
      </c>
      <c r="F506" s="12" t="str">
        <f aca="false">IF($D506="","",IFERROR(INDEX(품목목록!$C$3:$C$302,MATCH($D506,품목목록!$A$3:$A$302,0)),""))</f>
        <v/>
      </c>
      <c r="G506" s="12" t="str">
        <f aca="false">IF($D506="","",IFERROR(INDEX(품목목록!$D$3:$D$302,MATCH($D506,품목목록!$A$3:$A$302,0)),""))</f>
        <v/>
      </c>
      <c r="H506" s="12" t="str">
        <f aca="false">IF($D506="","",IFERROR(INDEX(품목목록!$E$3:$E$302,MATCH($D506,품목목록!$A$3:$A$302,0)),""))</f>
        <v/>
      </c>
      <c r="I506" s="14"/>
      <c r="J506" s="10"/>
      <c r="K506" s="10"/>
      <c r="L506" s="10"/>
      <c r="M506" s="15" t="str">
        <f aca="false">IF($A506="","",SUMIFS(처리내역!$E$3:$E$1502,처리내역!$B$3:$B$1502,$A506))</f>
        <v/>
      </c>
      <c r="N506" s="15" t="str">
        <f aca="false">IF($A506="","",IF($I506="","",$I506-$M506))</f>
        <v/>
      </c>
      <c r="O506" s="12" t="str">
        <f aca="false">IF($A506="","",IF($I506="","",IF($M506=0,"미처리",IF($N506&lt;=0,"완료","부분처리"))))</f>
        <v/>
      </c>
    </row>
    <row r="507" customFormat="false" ht="15" hidden="false" customHeight="true" outlineLevel="0" collapsed="false">
      <c r="A507" s="12" t="str">
        <f aca="false">IF($B507="","",TEXT($B507,"yymm")&amp;"-"&amp;TEXT(COUNTIFS($B$3:$B507,"&gt;="&amp;DATE(YEAR($B507),MONTH($B507),1),$B$3:$B507,"&lt;="&amp;EOMONTH($B507,0)),"000"))</f>
        <v/>
      </c>
      <c r="B507" s="13"/>
      <c r="C507" s="10"/>
      <c r="D507" s="10"/>
      <c r="E507" s="12" t="str">
        <f aca="false">IF($D507="","",IFERROR(INDEX(품목목록!$B$3:$B$302,MATCH($D507,품목목록!$A$3:$A$302,0)),"미등록품번"))</f>
        <v/>
      </c>
      <c r="F507" s="12" t="str">
        <f aca="false">IF($D507="","",IFERROR(INDEX(품목목록!$C$3:$C$302,MATCH($D507,품목목록!$A$3:$A$302,0)),""))</f>
        <v/>
      </c>
      <c r="G507" s="12" t="str">
        <f aca="false">IF($D507="","",IFERROR(INDEX(품목목록!$D$3:$D$302,MATCH($D507,품목목록!$A$3:$A$302,0)),""))</f>
        <v/>
      </c>
      <c r="H507" s="12" t="str">
        <f aca="false">IF($D507="","",IFERROR(INDEX(품목목록!$E$3:$E$302,MATCH($D507,품목목록!$A$3:$A$302,0)),""))</f>
        <v/>
      </c>
      <c r="I507" s="14"/>
      <c r="J507" s="10"/>
      <c r="K507" s="10"/>
      <c r="L507" s="10"/>
      <c r="M507" s="15" t="str">
        <f aca="false">IF($A507="","",SUMIFS(처리내역!$E$3:$E$1502,처리내역!$B$3:$B$1502,$A507))</f>
        <v/>
      </c>
      <c r="N507" s="15" t="str">
        <f aca="false">IF($A507="","",IF($I507="","",$I507-$M507))</f>
        <v/>
      </c>
      <c r="O507" s="12" t="str">
        <f aca="false">IF($A507="","",IF($I507="","",IF($M507=0,"미처리",IF($N507&lt;=0,"완료","부분처리"))))</f>
        <v/>
      </c>
    </row>
    <row r="508" customFormat="false" ht="15" hidden="false" customHeight="true" outlineLevel="0" collapsed="false">
      <c r="A508" s="12" t="str">
        <f aca="false">IF($B508="","",TEXT($B508,"yymm")&amp;"-"&amp;TEXT(COUNTIFS($B$3:$B508,"&gt;="&amp;DATE(YEAR($B508),MONTH($B508),1),$B$3:$B508,"&lt;="&amp;EOMONTH($B508,0)),"000"))</f>
        <v/>
      </c>
      <c r="B508" s="13"/>
      <c r="C508" s="10"/>
      <c r="D508" s="10"/>
      <c r="E508" s="12" t="str">
        <f aca="false">IF($D508="","",IFERROR(INDEX(품목목록!$B$3:$B$302,MATCH($D508,품목목록!$A$3:$A$302,0)),"미등록품번"))</f>
        <v/>
      </c>
      <c r="F508" s="12" t="str">
        <f aca="false">IF($D508="","",IFERROR(INDEX(품목목록!$C$3:$C$302,MATCH($D508,품목목록!$A$3:$A$302,0)),""))</f>
        <v/>
      </c>
      <c r="G508" s="12" t="str">
        <f aca="false">IF($D508="","",IFERROR(INDEX(품목목록!$D$3:$D$302,MATCH($D508,품목목록!$A$3:$A$302,0)),""))</f>
        <v/>
      </c>
      <c r="H508" s="12" t="str">
        <f aca="false">IF($D508="","",IFERROR(INDEX(품목목록!$E$3:$E$302,MATCH($D508,품목목록!$A$3:$A$302,0)),""))</f>
        <v/>
      </c>
      <c r="I508" s="14"/>
      <c r="J508" s="10"/>
      <c r="K508" s="10"/>
      <c r="L508" s="10"/>
      <c r="M508" s="15" t="str">
        <f aca="false">IF($A508="","",SUMIFS(처리내역!$E$3:$E$1502,처리내역!$B$3:$B$1502,$A508))</f>
        <v/>
      </c>
      <c r="N508" s="15" t="str">
        <f aca="false">IF($A508="","",IF($I508="","",$I508-$M508))</f>
        <v/>
      </c>
      <c r="O508" s="12" t="str">
        <f aca="false">IF($A508="","",IF($I508="","",IF($M508=0,"미처리",IF($N508&lt;=0,"완료","부분처리"))))</f>
        <v/>
      </c>
    </row>
    <row r="509" customFormat="false" ht="15" hidden="false" customHeight="true" outlineLevel="0" collapsed="false">
      <c r="A509" s="12" t="str">
        <f aca="false">IF($B509="","",TEXT($B509,"yymm")&amp;"-"&amp;TEXT(COUNTIFS($B$3:$B509,"&gt;="&amp;DATE(YEAR($B509),MONTH($B509),1),$B$3:$B509,"&lt;="&amp;EOMONTH($B509,0)),"000"))</f>
        <v/>
      </c>
      <c r="B509" s="13"/>
      <c r="C509" s="10"/>
      <c r="D509" s="10"/>
      <c r="E509" s="12" t="str">
        <f aca="false">IF($D509="","",IFERROR(INDEX(품목목록!$B$3:$B$302,MATCH($D509,품목목록!$A$3:$A$302,0)),"미등록품번"))</f>
        <v/>
      </c>
      <c r="F509" s="12" t="str">
        <f aca="false">IF($D509="","",IFERROR(INDEX(품목목록!$C$3:$C$302,MATCH($D509,품목목록!$A$3:$A$302,0)),""))</f>
        <v/>
      </c>
      <c r="G509" s="12" t="str">
        <f aca="false">IF($D509="","",IFERROR(INDEX(품목목록!$D$3:$D$302,MATCH($D509,품목목록!$A$3:$A$302,0)),""))</f>
        <v/>
      </c>
      <c r="H509" s="12" t="str">
        <f aca="false">IF($D509="","",IFERROR(INDEX(품목목록!$E$3:$E$302,MATCH($D509,품목목록!$A$3:$A$302,0)),""))</f>
        <v/>
      </c>
      <c r="I509" s="14"/>
      <c r="J509" s="10"/>
      <c r="K509" s="10"/>
      <c r="L509" s="10"/>
      <c r="M509" s="15" t="str">
        <f aca="false">IF($A509="","",SUMIFS(처리내역!$E$3:$E$1502,처리내역!$B$3:$B$1502,$A509))</f>
        <v/>
      </c>
      <c r="N509" s="15" t="str">
        <f aca="false">IF($A509="","",IF($I509="","",$I509-$M509))</f>
        <v/>
      </c>
      <c r="O509" s="12" t="str">
        <f aca="false">IF($A509="","",IF($I509="","",IF($M509=0,"미처리",IF($N509&lt;=0,"완료","부분처리"))))</f>
        <v/>
      </c>
    </row>
    <row r="510" customFormat="false" ht="15" hidden="false" customHeight="true" outlineLevel="0" collapsed="false">
      <c r="A510" s="12" t="str">
        <f aca="false">IF($B510="","",TEXT($B510,"yymm")&amp;"-"&amp;TEXT(COUNTIFS($B$3:$B510,"&gt;="&amp;DATE(YEAR($B510),MONTH($B510),1),$B$3:$B510,"&lt;="&amp;EOMONTH($B510,0)),"000"))</f>
        <v/>
      </c>
      <c r="B510" s="13"/>
      <c r="C510" s="10"/>
      <c r="D510" s="10"/>
      <c r="E510" s="12" t="str">
        <f aca="false">IF($D510="","",IFERROR(INDEX(품목목록!$B$3:$B$302,MATCH($D510,품목목록!$A$3:$A$302,0)),"미등록품번"))</f>
        <v/>
      </c>
      <c r="F510" s="12" t="str">
        <f aca="false">IF($D510="","",IFERROR(INDEX(품목목록!$C$3:$C$302,MATCH($D510,품목목록!$A$3:$A$302,0)),""))</f>
        <v/>
      </c>
      <c r="G510" s="12" t="str">
        <f aca="false">IF($D510="","",IFERROR(INDEX(품목목록!$D$3:$D$302,MATCH($D510,품목목록!$A$3:$A$302,0)),""))</f>
        <v/>
      </c>
      <c r="H510" s="12" t="str">
        <f aca="false">IF($D510="","",IFERROR(INDEX(품목목록!$E$3:$E$302,MATCH($D510,품목목록!$A$3:$A$302,0)),""))</f>
        <v/>
      </c>
      <c r="I510" s="14"/>
      <c r="J510" s="10"/>
      <c r="K510" s="10"/>
      <c r="L510" s="10"/>
      <c r="M510" s="15" t="str">
        <f aca="false">IF($A510="","",SUMIFS(처리내역!$E$3:$E$1502,처리내역!$B$3:$B$1502,$A510))</f>
        <v/>
      </c>
      <c r="N510" s="15" t="str">
        <f aca="false">IF($A510="","",IF($I510="","",$I510-$M510))</f>
        <v/>
      </c>
      <c r="O510" s="12" t="str">
        <f aca="false">IF($A510="","",IF($I510="","",IF($M510=0,"미처리",IF($N510&lt;=0,"완료","부분처리"))))</f>
        <v/>
      </c>
    </row>
    <row r="511" customFormat="false" ht="15" hidden="false" customHeight="true" outlineLevel="0" collapsed="false">
      <c r="A511" s="12" t="str">
        <f aca="false">IF($B511="","",TEXT($B511,"yymm")&amp;"-"&amp;TEXT(COUNTIFS($B$3:$B511,"&gt;="&amp;DATE(YEAR($B511),MONTH($B511),1),$B$3:$B511,"&lt;="&amp;EOMONTH($B511,0)),"000"))</f>
        <v/>
      </c>
      <c r="B511" s="13"/>
      <c r="C511" s="10"/>
      <c r="D511" s="10"/>
      <c r="E511" s="12" t="str">
        <f aca="false">IF($D511="","",IFERROR(INDEX(품목목록!$B$3:$B$302,MATCH($D511,품목목록!$A$3:$A$302,0)),"미등록품번"))</f>
        <v/>
      </c>
      <c r="F511" s="12" t="str">
        <f aca="false">IF($D511="","",IFERROR(INDEX(품목목록!$C$3:$C$302,MATCH($D511,품목목록!$A$3:$A$302,0)),""))</f>
        <v/>
      </c>
      <c r="G511" s="12" t="str">
        <f aca="false">IF($D511="","",IFERROR(INDEX(품목목록!$D$3:$D$302,MATCH($D511,품목목록!$A$3:$A$302,0)),""))</f>
        <v/>
      </c>
      <c r="H511" s="12" t="str">
        <f aca="false">IF($D511="","",IFERROR(INDEX(품목목록!$E$3:$E$302,MATCH($D511,품목목록!$A$3:$A$302,0)),""))</f>
        <v/>
      </c>
      <c r="I511" s="14"/>
      <c r="J511" s="10"/>
      <c r="K511" s="10"/>
      <c r="L511" s="10"/>
      <c r="M511" s="15" t="str">
        <f aca="false">IF($A511="","",SUMIFS(처리내역!$E$3:$E$1502,처리내역!$B$3:$B$1502,$A511))</f>
        <v/>
      </c>
      <c r="N511" s="15" t="str">
        <f aca="false">IF($A511="","",IF($I511="","",$I511-$M511))</f>
        <v/>
      </c>
      <c r="O511" s="12" t="str">
        <f aca="false">IF($A511="","",IF($I511="","",IF($M511=0,"미처리",IF($N511&lt;=0,"완료","부분처리"))))</f>
        <v/>
      </c>
    </row>
    <row r="512" customFormat="false" ht="15" hidden="false" customHeight="true" outlineLevel="0" collapsed="false">
      <c r="A512" s="12" t="str">
        <f aca="false">IF($B512="","",TEXT($B512,"yymm")&amp;"-"&amp;TEXT(COUNTIFS($B$3:$B512,"&gt;="&amp;DATE(YEAR($B512),MONTH($B512),1),$B$3:$B512,"&lt;="&amp;EOMONTH($B512,0)),"000"))</f>
        <v/>
      </c>
      <c r="B512" s="13"/>
      <c r="C512" s="10"/>
      <c r="D512" s="10"/>
      <c r="E512" s="12" t="str">
        <f aca="false">IF($D512="","",IFERROR(INDEX(품목목록!$B$3:$B$302,MATCH($D512,품목목록!$A$3:$A$302,0)),"미등록품번"))</f>
        <v/>
      </c>
      <c r="F512" s="12" t="str">
        <f aca="false">IF($D512="","",IFERROR(INDEX(품목목록!$C$3:$C$302,MATCH($D512,품목목록!$A$3:$A$302,0)),""))</f>
        <v/>
      </c>
      <c r="G512" s="12" t="str">
        <f aca="false">IF($D512="","",IFERROR(INDEX(품목목록!$D$3:$D$302,MATCH($D512,품목목록!$A$3:$A$302,0)),""))</f>
        <v/>
      </c>
      <c r="H512" s="12" t="str">
        <f aca="false">IF($D512="","",IFERROR(INDEX(품목목록!$E$3:$E$302,MATCH($D512,품목목록!$A$3:$A$302,0)),""))</f>
        <v/>
      </c>
      <c r="I512" s="14"/>
      <c r="J512" s="10"/>
      <c r="K512" s="10"/>
      <c r="L512" s="10"/>
      <c r="M512" s="15" t="str">
        <f aca="false">IF($A512="","",SUMIFS(처리내역!$E$3:$E$1502,처리내역!$B$3:$B$1502,$A512))</f>
        <v/>
      </c>
      <c r="N512" s="15" t="str">
        <f aca="false">IF($A512="","",IF($I512="","",$I512-$M512))</f>
        <v/>
      </c>
      <c r="O512" s="12" t="str">
        <f aca="false">IF($A512="","",IF($I512="","",IF($M512=0,"미처리",IF($N512&lt;=0,"완료","부분처리"))))</f>
        <v/>
      </c>
    </row>
    <row r="513" customFormat="false" ht="15" hidden="false" customHeight="true" outlineLevel="0" collapsed="false">
      <c r="A513" s="12" t="str">
        <f aca="false">IF($B513="","",TEXT($B513,"yymm")&amp;"-"&amp;TEXT(COUNTIFS($B$3:$B513,"&gt;="&amp;DATE(YEAR($B513),MONTH($B513),1),$B$3:$B513,"&lt;="&amp;EOMONTH($B513,0)),"000"))</f>
        <v/>
      </c>
      <c r="B513" s="13"/>
      <c r="C513" s="10"/>
      <c r="D513" s="10"/>
      <c r="E513" s="12" t="str">
        <f aca="false">IF($D513="","",IFERROR(INDEX(품목목록!$B$3:$B$302,MATCH($D513,품목목록!$A$3:$A$302,0)),"미등록품번"))</f>
        <v/>
      </c>
      <c r="F513" s="12" t="str">
        <f aca="false">IF($D513="","",IFERROR(INDEX(품목목록!$C$3:$C$302,MATCH($D513,품목목록!$A$3:$A$302,0)),""))</f>
        <v/>
      </c>
      <c r="G513" s="12" t="str">
        <f aca="false">IF($D513="","",IFERROR(INDEX(품목목록!$D$3:$D$302,MATCH($D513,품목목록!$A$3:$A$302,0)),""))</f>
        <v/>
      </c>
      <c r="H513" s="12" t="str">
        <f aca="false">IF($D513="","",IFERROR(INDEX(품목목록!$E$3:$E$302,MATCH($D513,품목목록!$A$3:$A$302,0)),""))</f>
        <v/>
      </c>
      <c r="I513" s="14"/>
      <c r="J513" s="10"/>
      <c r="K513" s="10"/>
      <c r="L513" s="10"/>
      <c r="M513" s="15" t="str">
        <f aca="false">IF($A513="","",SUMIFS(처리내역!$E$3:$E$1502,처리내역!$B$3:$B$1502,$A513))</f>
        <v/>
      </c>
      <c r="N513" s="15" t="str">
        <f aca="false">IF($A513="","",IF($I513="","",$I513-$M513))</f>
        <v/>
      </c>
      <c r="O513" s="12" t="str">
        <f aca="false">IF($A513="","",IF($I513="","",IF($M513=0,"미처리",IF($N513&lt;=0,"완료","부분처리"))))</f>
        <v/>
      </c>
    </row>
    <row r="514" customFormat="false" ht="15" hidden="false" customHeight="true" outlineLevel="0" collapsed="false">
      <c r="A514" s="12" t="str">
        <f aca="false">IF($B514="","",TEXT($B514,"yymm")&amp;"-"&amp;TEXT(COUNTIFS($B$3:$B514,"&gt;="&amp;DATE(YEAR($B514),MONTH($B514),1),$B$3:$B514,"&lt;="&amp;EOMONTH($B514,0)),"000"))</f>
        <v/>
      </c>
      <c r="B514" s="13"/>
      <c r="C514" s="10"/>
      <c r="D514" s="10"/>
      <c r="E514" s="12" t="str">
        <f aca="false">IF($D514="","",IFERROR(INDEX(품목목록!$B$3:$B$302,MATCH($D514,품목목록!$A$3:$A$302,0)),"미등록품번"))</f>
        <v/>
      </c>
      <c r="F514" s="12" t="str">
        <f aca="false">IF($D514="","",IFERROR(INDEX(품목목록!$C$3:$C$302,MATCH($D514,품목목록!$A$3:$A$302,0)),""))</f>
        <v/>
      </c>
      <c r="G514" s="12" t="str">
        <f aca="false">IF($D514="","",IFERROR(INDEX(품목목록!$D$3:$D$302,MATCH($D514,품목목록!$A$3:$A$302,0)),""))</f>
        <v/>
      </c>
      <c r="H514" s="12" t="str">
        <f aca="false">IF($D514="","",IFERROR(INDEX(품목목록!$E$3:$E$302,MATCH($D514,품목목록!$A$3:$A$302,0)),""))</f>
        <v/>
      </c>
      <c r="I514" s="14"/>
      <c r="J514" s="10"/>
      <c r="K514" s="10"/>
      <c r="L514" s="10"/>
      <c r="M514" s="15" t="str">
        <f aca="false">IF($A514="","",SUMIFS(처리내역!$E$3:$E$1502,처리내역!$B$3:$B$1502,$A514))</f>
        <v/>
      </c>
      <c r="N514" s="15" t="str">
        <f aca="false">IF($A514="","",IF($I514="","",$I514-$M514))</f>
        <v/>
      </c>
      <c r="O514" s="12" t="str">
        <f aca="false">IF($A514="","",IF($I514="","",IF($M514=0,"미처리",IF($N514&lt;=0,"완료","부분처리"))))</f>
        <v/>
      </c>
    </row>
    <row r="515" customFormat="false" ht="15" hidden="false" customHeight="true" outlineLevel="0" collapsed="false">
      <c r="A515" s="12" t="str">
        <f aca="false">IF($B515="","",TEXT($B515,"yymm")&amp;"-"&amp;TEXT(COUNTIFS($B$3:$B515,"&gt;="&amp;DATE(YEAR($B515),MONTH($B515),1),$B$3:$B515,"&lt;="&amp;EOMONTH($B515,0)),"000"))</f>
        <v/>
      </c>
      <c r="B515" s="13"/>
      <c r="C515" s="10"/>
      <c r="D515" s="10"/>
      <c r="E515" s="12" t="str">
        <f aca="false">IF($D515="","",IFERROR(INDEX(품목목록!$B$3:$B$302,MATCH($D515,품목목록!$A$3:$A$302,0)),"미등록품번"))</f>
        <v/>
      </c>
      <c r="F515" s="12" t="str">
        <f aca="false">IF($D515="","",IFERROR(INDEX(품목목록!$C$3:$C$302,MATCH($D515,품목목록!$A$3:$A$302,0)),""))</f>
        <v/>
      </c>
      <c r="G515" s="12" t="str">
        <f aca="false">IF($D515="","",IFERROR(INDEX(품목목록!$D$3:$D$302,MATCH($D515,품목목록!$A$3:$A$302,0)),""))</f>
        <v/>
      </c>
      <c r="H515" s="12" t="str">
        <f aca="false">IF($D515="","",IFERROR(INDEX(품목목록!$E$3:$E$302,MATCH($D515,품목목록!$A$3:$A$302,0)),""))</f>
        <v/>
      </c>
      <c r="I515" s="14"/>
      <c r="J515" s="10"/>
      <c r="K515" s="10"/>
      <c r="L515" s="10"/>
      <c r="M515" s="15" t="str">
        <f aca="false">IF($A515="","",SUMIFS(처리내역!$E$3:$E$1502,처리내역!$B$3:$B$1502,$A515))</f>
        <v/>
      </c>
      <c r="N515" s="15" t="str">
        <f aca="false">IF($A515="","",IF($I515="","",$I515-$M515))</f>
        <v/>
      </c>
      <c r="O515" s="12" t="str">
        <f aca="false">IF($A515="","",IF($I515="","",IF($M515=0,"미처리",IF($N515&lt;=0,"완료","부분처리"))))</f>
        <v/>
      </c>
    </row>
    <row r="516" customFormat="false" ht="15" hidden="false" customHeight="true" outlineLevel="0" collapsed="false">
      <c r="A516" s="12" t="str">
        <f aca="false">IF($B516="","",TEXT($B516,"yymm")&amp;"-"&amp;TEXT(COUNTIFS($B$3:$B516,"&gt;="&amp;DATE(YEAR($B516),MONTH($B516),1),$B$3:$B516,"&lt;="&amp;EOMONTH($B516,0)),"000"))</f>
        <v/>
      </c>
      <c r="B516" s="13"/>
      <c r="C516" s="10"/>
      <c r="D516" s="10"/>
      <c r="E516" s="12" t="str">
        <f aca="false">IF($D516="","",IFERROR(INDEX(품목목록!$B$3:$B$302,MATCH($D516,품목목록!$A$3:$A$302,0)),"미등록품번"))</f>
        <v/>
      </c>
      <c r="F516" s="12" t="str">
        <f aca="false">IF($D516="","",IFERROR(INDEX(품목목록!$C$3:$C$302,MATCH($D516,품목목록!$A$3:$A$302,0)),""))</f>
        <v/>
      </c>
      <c r="G516" s="12" t="str">
        <f aca="false">IF($D516="","",IFERROR(INDEX(품목목록!$D$3:$D$302,MATCH($D516,품목목록!$A$3:$A$302,0)),""))</f>
        <v/>
      </c>
      <c r="H516" s="12" t="str">
        <f aca="false">IF($D516="","",IFERROR(INDEX(품목목록!$E$3:$E$302,MATCH($D516,품목목록!$A$3:$A$302,0)),""))</f>
        <v/>
      </c>
      <c r="I516" s="14"/>
      <c r="J516" s="10"/>
      <c r="K516" s="10"/>
      <c r="L516" s="10"/>
      <c r="M516" s="15" t="str">
        <f aca="false">IF($A516="","",SUMIFS(처리내역!$E$3:$E$1502,처리내역!$B$3:$B$1502,$A516))</f>
        <v/>
      </c>
      <c r="N516" s="15" t="str">
        <f aca="false">IF($A516="","",IF($I516="","",$I516-$M516))</f>
        <v/>
      </c>
      <c r="O516" s="12" t="str">
        <f aca="false">IF($A516="","",IF($I516="","",IF($M516=0,"미처리",IF($N516&lt;=0,"완료","부분처리"))))</f>
        <v/>
      </c>
    </row>
    <row r="517" customFormat="false" ht="15" hidden="false" customHeight="true" outlineLevel="0" collapsed="false">
      <c r="A517" s="12" t="str">
        <f aca="false">IF($B517="","",TEXT($B517,"yymm")&amp;"-"&amp;TEXT(COUNTIFS($B$3:$B517,"&gt;="&amp;DATE(YEAR($B517),MONTH($B517),1),$B$3:$B517,"&lt;="&amp;EOMONTH($B517,0)),"000"))</f>
        <v/>
      </c>
      <c r="B517" s="13"/>
      <c r="C517" s="10"/>
      <c r="D517" s="10"/>
      <c r="E517" s="12" t="str">
        <f aca="false">IF($D517="","",IFERROR(INDEX(품목목록!$B$3:$B$302,MATCH($D517,품목목록!$A$3:$A$302,0)),"미등록품번"))</f>
        <v/>
      </c>
      <c r="F517" s="12" t="str">
        <f aca="false">IF($D517="","",IFERROR(INDEX(품목목록!$C$3:$C$302,MATCH($D517,품목목록!$A$3:$A$302,0)),""))</f>
        <v/>
      </c>
      <c r="G517" s="12" t="str">
        <f aca="false">IF($D517="","",IFERROR(INDEX(품목목록!$D$3:$D$302,MATCH($D517,품목목록!$A$3:$A$302,0)),""))</f>
        <v/>
      </c>
      <c r="H517" s="12" t="str">
        <f aca="false">IF($D517="","",IFERROR(INDEX(품목목록!$E$3:$E$302,MATCH($D517,품목목록!$A$3:$A$302,0)),""))</f>
        <v/>
      </c>
      <c r="I517" s="14"/>
      <c r="J517" s="10"/>
      <c r="K517" s="10"/>
      <c r="L517" s="10"/>
      <c r="M517" s="15" t="str">
        <f aca="false">IF($A517="","",SUMIFS(처리내역!$E$3:$E$1502,처리내역!$B$3:$B$1502,$A517))</f>
        <v/>
      </c>
      <c r="N517" s="15" t="str">
        <f aca="false">IF($A517="","",IF($I517="","",$I517-$M517))</f>
        <v/>
      </c>
      <c r="O517" s="12" t="str">
        <f aca="false">IF($A517="","",IF($I517="","",IF($M517=0,"미처리",IF($N517&lt;=0,"완료","부분처리"))))</f>
        <v/>
      </c>
    </row>
    <row r="518" customFormat="false" ht="15" hidden="false" customHeight="true" outlineLevel="0" collapsed="false">
      <c r="A518" s="12" t="str">
        <f aca="false">IF($B518="","",TEXT($B518,"yymm")&amp;"-"&amp;TEXT(COUNTIFS($B$3:$B518,"&gt;="&amp;DATE(YEAR($B518),MONTH($B518),1),$B$3:$B518,"&lt;="&amp;EOMONTH($B518,0)),"000"))</f>
        <v/>
      </c>
      <c r="B518" s="13"/>
      <c r="C518" s="10"/>
      <c r="D518" s="10"/>
      <c r="E518" s="12" t="str">
        <f aca="false">IF($D518="","",IFERROR(INDEX(품목목록!$B$3:$B$302,MATCH($D518,품목목록!$A$3:$A$302,0)),"미등록품번"))</f>
        <v/>
      </c>
      <c r="F518" s="12" t="str">
        <f aca="false">IF($D518="","",IFERROR(INDEX(품목목록!$C$3:$C$302,MATCH($D518,품목목록!$A$3:$A$302,0)),""))</f>
        <v/>
      </c>
      <c r="G518" s="12" t="str">
        <f aca="false">IF($D518="","",IFERROR(INDEX(품목목록!$D$3:$D$302,MATCH($D518,품목목록!$A$3:$A$302,0)),""))</f>
        <v/>
      </c>
      <c r="H518" s="12" t="str">
        <f aca="false">IF($D518="","",IFERROR(INDEX(품목목록!$E$3:$E$302,MATCH($D518,품목목록!$A$3:$A$302,0)),""))</f>
        <v/>
      </c>
      <c r="I518" s="14"/>
      <c r="J518" s="10"/>
      <c r="K518" s="10"/>
      <c r="L518" s="10"/>
      <c r="M518" s="15" t="str">
        <f aca="false">IF($A518="","",SUMIFS(처리내역!$E$3:$E$1502,처리내역!$B$3:$B$1502,$A518))</f>
        <v/>
      </c>
      <c r="N518" s="15" t="str">
        <f aca="false">IF($A518="","",IF($I518="","",$I518-$M518))</f>
        <v/>
      </c>
      <c r="O518" s="12" t="str">
        <f aca="false">IF($A518="","",IF($I518="","",IF($M518=0,"미처리",IF($N518&lt;=0,"완료","부분처리"))))</f>
        <v/>
      </c>
    </row>
    <row r="519" customFormat="false" ht="15" hidden="false" customHeight="true" outlineLevel="0" collapsed="false">
      <c r="A519" s="12" t="str">
        <f aca="false">IF($B519="","",TEXT($B519,"yymm")&amp;"-"&amp;TEXT(COUNTIFS($B$3:$B519,"&gt;="&amp;DATE(YEAR($B519),MONTH($B519),1),$B$3:$B519,"&lt;="&amp;EOMONTH($B519,0)),"000"))</f>
        <v/>
      </c>
      <c r="B519" s="13"/>
      <c r="C519" s="10"/>
      <c r="D519" s="10"/>
      <c r="E519" s="12" t="str">
        <f aca="false">IF($D519="","",IFERROR(INDEX(품목목록!$B$3:$B$302,MATCH($D519,품목목록!$A$3:$A$302,0)),"미등록품번"))</f>
        <v/>
      </c>
      <c r="F519" s="12" t="str">
        <f aca="false">IF($D519="","",IFERROR(INDEX(품목목록!$C$3:$C$302,MATCH($D519,품목목록!$A$3:$A$302,0)),""))</f>
        <v/>
      </c>
      <c r="G519" s="12" t="str">
        <f aca="false">IF($D519="","",IFERROR(INDEX(품목목록!$D$3:$D$302,MATCH($D519,품목목록!$A$3:$A$302,0)),""))</f>
        <v/>
      </c>
      <c r="H519" s="12" t="str">
        <f aca="false">IF($D519="","",IFERROR(INDEX(품목목록!$E$3:$E$302,MATCH($D519,품목목록!$A$3:$A$302,0)),""))</f>
        <v/>
      </c>
      <c r="I519" s="14"/>
      <c r="J519" s="10"/>
      <c r="K519" s="10"/>
      <c r="L519" s="10"/>
      <c r="M519" s="15" t="str">
        <f aca="false">IF($A519="","",SUMIFS(처리내역!$E$3:$E$1502,처리내역!$B$3:$B$1502,$A519))</f>
        <v/>
      </c>
      <c r="N519" s="15" t="str">
        <f aca="false">IF($A519="","",IF($I519="","",$I519-$M519))</f>
        <v/>
      </c>
      <c r="O519" s="12" t="str">
        <f aca="false">IF($A519="","",IF($I519="","",IF($M519=0,"미처리",IF($N519&lt;=0,"완료","부분처리"))))</f>
        <v/>
      </c>
    </row>
    <row r="520" customFormat="false" ht="15" hidden="false" customHeight="true" outlineLevel="0" collapsed="false">
      <c r="A520" s="12" t="str">
        <f aca="false">IF($B520="","",TEXT($B520,"yymm")&amp;"-"&amp;TEXT(COUNTIFS($B$3:$B520,"&gt;="&amp;DATE(YEAR($B520),MONTH($B520),1),$B$3:$B520,"&lt;="&amp;EOMONTH($B520,0)),"000"))</f>
        <v/>
      </c>
      <c r="B520" s="13"/>
      <c r="C520" s="10"/>
      <c r="D520" s="10"/>
      <c r="E520" s="12" t="str">
        <f aca="false">IF($D520="","",IFERROR(INDEX(품목목록!$B$3:$B$302,MATCH($D520,품목목록!$A$3:$A$302,0)),"미등록품번"))</f>
        <v/>
      </c>
      <c r="F520" s="12" t="str">
        <f aca="false">IF($D520="","",IFERROR(INDEX(품목목록!$C$3:$C$302,MATCH($D520,품목목록!$A$3:$A$302,0)),""))</f>
        <v/>
      </c>
      <c r="G520" s="12" t="str">
        <f aca="false">IF($D520="","",IFERROR(INDEX(품목목록!$D$3:$D$302,MATCH($D520,품목목록!$A$3:$A$302,0)),""))</f>
        <v/>
      </c>
      <c r="H520" s="12" t="str">
        <f aca="false">IF($D520="","",IFERROR(INDEX(품목목록!$E$3:$E$302,MATCH($D520,품목목록!$A$3:$A$302,0)),""))</f>
        <v/>
      </c>
      <c r="I520" s="14"/>
      <c r="J520" s="10"/>
      <c r="K520" s="10"/>
      <c r="L520" s="10"/>
      <c r="M520" s="15" t="str">
        <f aca="false">IF($A520="","",SUMIFS(처리내역!$E$3:$E$1502,처리내역!$B$3:$B$1502,$A520))</f>
        <v/>
      </c>
      <c r="N520" s="15" t="str">
        <f aca="false">IF($A520="","",IF($I520="","",$I520-$M520))</f>
        <v/>
      </c>
      <c r="O520" s="12" t="str">
        <f aca="false">IF($A520="","",IF($I520="","",IF($M520=0,"미처리",IF($N520&lt;=0,"완료","부분처리"))))</f>
        <v/>
      </c>
    </row>
    <row r="521" customFormat="false" ht="15" hidden="false" customHeight="true" outlineLevel="0" collapsed="false">
      <c r="A521" s="12" t="str">
        <f aca="false">IF($B521="","",TEXT($B521,"yymm")&amp;"-"&amp;TEXT(COUNTIFS($B$3:$B521,"&gt;="&amp;DATE(YEAR($B521),MONTH($B521),1),$B$3:$B521,"&lt;="&amp;EOMONTH($B521,0)),"000"))</f>
        <v/>
      </c>
      <c r="B521" s="13"/>
      <c r="C521" s="10"/>
      <c r="D521" s="10"/>
      <c r="E521" s="12" t="str">
        <f aca="false">IF($D521="","",IFERROR(INDEX(품목목록!$B$3:$B$302,MATCH($D521,품목목록!$A$3:$A$302,0)),"미등록품번"))</f>
        <v/>
      </c>
      <c r="F521" s="12" t="str">
        <f aca="false">IF($D521="","",IFERROR(INDEX(품목목록!$C$3:$C$302,MATCH($D521,품목목록!$A$3:$A$302,0)),""))</f>
        <v/>
      </c>
      <c r="G521" s="12" t="str">
        <f aca="false">IF($D521="","",IFERROR(INDEX(품목목록!$D$3:$D$302,MATCH($D521,품목목록!$A$3:$A$302,0)),""))</f>
        <v/>
      </c>
      <c r="H521" s="12" t="str">
        <f aca="false">IF($D521="","",IFERROR(INDEX(품목목록!$E$3:$E$302,MATCH($D521,품목목록!$A$3:$A$302,0)),""))</f>
        <v/>
      </c>
      <c r="I521" s="14"/>
      <c r="J521" s="10"/>
      <c r="K521" s="10"/>
      <c r="L521" s="10"/>
      <c r="M521" s="15" t="str">
        <f aca="false">IF($A521="","",SUMIFS(처리내역!$E$3:$E$1502,처리내역!$B$3:$B$1502,$A521))</f>
        <v/>
      </c>
      <c r="N521" s="15" t="str">
        <f aca="false">IF($A521="","",IF($I521="","",$I521-$M521))</f>
        <v/>
      </c>
      <c r="O521" s="12" t="str">
        <f aca="false">IF($A521="","",IF($I521="","",IF($M521=0,"미처리",IF($N521&lt;=0,"완료","부분처리"))))</f>
        <v/>
      </c>
    </row>
    <row r="522" customFormat="false" ht="15" hidden="false" customHeight="true" outlineLevel="0" collapsed="false">
      <c r="A522" s="12" t="str">
        <f aca="false">IF($B522="","",TEXT($B522,"yymm")&amp;"-"&amp;TEXT(COUNTIFS($B$3:$B522,"&gt;="&amp;DATE(YEAR($B522),MONTH($B522),1),$B$3:$B522,"&lt;="&amp;EOMONTH($B522,0)),"000"))</f>
        <v/>
      </c>
      <c r="B522" s="13"/>
      <c r="C522" s="10"/>
      <c r="D522" s="10"/>
      <c r="E522" s="12" t="str">
        <f aca="false">IF($D522="","",IFERROR(INDEX(품목목록!$B$3:$B$302,MATCH($D522,품목목록!$A$3:$A$302,0)),"미등록품번"))</f>
        <v/>
      </c>
      <c r="F522" s="12" t="str">
        <f aca="false">IF($D522="","",IFERROR(INDEX(품목목록!$C$3:$C$302,MATCH($D522,품목목록!$A$3:$A$302,0)),""))</f>
        <v/>
      </c>
      <c r="G522" s="12" t="str">
        <f aca="false">IF($D522="","",IFERROR(INDEX(품목목록!$D$3:$D$302,MATCH($D522,품목목록!$A$3:$A$302,0)),""))</f>
        <v/>
      </c>
      <c r="H522" s="12" t="str">
        <f aca="false">IF($D522="","",IFERROR(INDEX(품목목록!$E$3:$E$302,MATCH($D522,품목목록!$A$3:$A$302,0)),""))</f>
        <v/>
      </c>
      <c r="I522" s="14"/>
      <c r="J522" s="10"/>
      <c r="K522" s="10"/>
      <c r="L522" s="10"/>
      <c r="M522" s="15" t="str">
        <f aca="false">IF($A522="","",SUMIFS(처리내역!$E$3:$E$1502,처리내역!$B$3:$B$1502,$A522))</f>
        <v/>
      </c>
      <c r="N522" s="15" t="str">
        <f aca="false">IF($A522="","",IF($I522="","",$I522-$M522))</f>
        <v/>
      </c>
      <c r="O522" s="12" t="str">
        <f aca="false">IF($A522="","",IF($I522="","",IF($M522=0,"미처리",IF($N522&lt;=0,"완료","부분처리"))))</f>
        <v/>
      </c>
    </row>
    <row r="523" customFormat="false" ht="15" hidden="false" customHeight="true" outlineLevel="0" collapsed="false">
      <c r="A523" s="12" t="str">
        <f aca="false">IF($B523="","",TEXT($B523,"yymm")&amp;"-"&amp;TEXT(COUNTIFS($B$3:$B523,"&gt;="&amp;DATE(YEAR($B523),MONTH($B523),1),$B$3:$B523,"&lt;="&amp;EOMONTH($B523,0)),"000"))</f>
        <v/>
      </c>
      <c r="B523" s="13"/>
      <c r="C523" s="10"/>
      <c r="D523" s="10"/>
      <c r="E523" s="12" t="str">
        <f aca="false">IF($D523="","",IFERROR(INDEX(품목목록!$B$3:$B$302,MATCH($D523,품목목록!$A$3:$A$302,0)),"미등록품번"))</f>
        <v/>
      </c>
      <c r="F523" s="12" t="str">
        <f aca="false">IF($D523="","",IFERROR(INDEX(품목목록!$C$3:$C$302,MATCH($D523,품목목록!$A$3:$A$302,0)),""))</f>
        <v/>
      </c>
      <c r="G523" s="12" t="str">
        <f aca="false">IF($D523="","",IFERROR(INDEX(품목목록!$D$3:$D$302,MATCH($D523,품목목록!$A$3:$A$302,0)),""))</f>
        <v/>
      </c>
      <c r="H523" s="12" t="str">
        <f aca="false">IF($D523="","",IFERROR(INDEX(품목목록!$E$3:$E$302,MATCH($D523,품목목록!$A$3:$A$302,0)),""))</f>
        <v/>
      </c>
      <c r="I523" s="14"/>
      <c r="J523" s="10"/>
      <c r="K523" s="10"/>
      <c r="L523" s="10"/>
      <c r="M523" s="15" t="str">
        <f aca="false">IF($A523="","",SUMIFS(처리내역!$E$3:$E$1502,처리내역!$B$3:$B$1502,$A523))</f>
        <v/>
      </c>
      <c r="N523" s="15" t="str">
        <f aca="false">IF($A523="","",IF($I523="","",$I523-$M523))</f>
        <v/>
      </c>
      <c r="O523" s="12" t="str">
        <f aca="false">IF($A523="","",IF($I523="","",IF($M523=0,"미처리",IF($N523&lt;=0,"완료","부분처리"))))</f>
        <v/>
      </c>
    </row>
    <row r="524" customFormat="false" ht="15" hidden="false" customHeight="true" outlineLevel="0" collapsed="false">
      <c r="A524" s="12" t="str">
        <f aca="false">IF($B524="","",TEXT($B524,"yymm")&amp;"-"&amp;TEXT(COUNTIFS($B$3:$B524,"&gt;="&amp;DATE(YEAR($B524),MONTH($B524),1),$B$3:$B524,"&lt;="&amp;EOMONTH($B524,0)),"000"))</f>
        <v/>
      </c>
      <c r="B524" s="13"/>
      <c r="C524" s="10"/>
      <c r="D524" s="10"/>
      <c r="E524" s="12" t="str">
        <f aca="false">IF($D524="","",IFERROR(INDEX(품목목록!$B$3:$B$302,MATCH($D524,품목목록!$A$3:$A$302,0)),"미등록품번"))</f>
        <v/>
      </c>
      <c r="F524" s="12" t="str">
        <f aca="false">IF($D524="","",IFERROR(INDEX(품목목록!$C$3:$C$302,MATCH($D524,품목목록!$A$3:$A$302,0)),""))</f>
        <v/>
      </c>
      <c r="G524" s="12" t="str">
        <f aca="false">IF($D524="","",IFERROR(INDEX(품목목록!$D$3:$D$302,MATCH($D524,품목목록!$A$3:$A$302,0)),""))</f>
        <v/>
      </c>
      <c r="H524" s="12" t="str">
        <f aca="false">IF($D524="","",IFERROR(INDEX(품목목록!$E$3:$E$302,MATCH($D524,품목목록!$A$3:$A$302,0)),""))</f>
        <v/>
      </c>
      <c r="I524" s="14"/>
      <c r="J524" s="10"/>
      <c r="K524" s="10"/>
      <c r="L524" s="10"/>
      <c r="M524" s="15" t="str">
        <f aca="false">IF($A524="","",SUMIFS(처리내역!$E$3:$E$1502,처리내역!$B$3:$B$1502,$A524))</f>
        <v/>
      </c>
      <c r="N524" s="15" t="str">
        <f aca="false">IF($A524="","",IF($I524="","",$I524-$M524))</f>
        <v/>
      </c>
      <c r="O524" s="12" t="str">
        <f aca="false">IF($A524="","",IF($I524="","",IF($M524=0,"미처리",IF($N524&lt;=0,"완료","부분처리"))))</f>
        <v/>
      </c>
    </row>
    <row r="525" customFormat="false" ht="15" hidden="false" customHeight="true" outlineLevel="0" collapsed="false">
      <c r="A525" s="12" t="str">
        <f aca="false">IF($B525="","",TEXT($B525,"yymm")&amp;"-"&amp;TEXT(COUNTIFS($B$3:$B525,"&gt;="&amp;DATE(YEAR($B525),MONTH($B525),1),$B$3:$B525,"&lt;="&amp;EOMONTH($B525,0)),"000"))</f>
        <v/>
      </c>
      <c r="B525" s="13"/>
      <c r="C525" s="10"/>
      <c r="D525" s="10"/>
      <c r="E525" s="12" t="str">
        <f aca="false">IF($D525="","",IFERROR(INDEX(품목목록!$B$3:$B$302,MATCH($D525,품목목록!$A$3:$A$302,0)),"미등록품번"))</f>
        <v/>
      </c>
      <c r="F525" s="12" t="str">
        <f aca="false">IF($D525="","",IFERROR(INDEX(품목목록!$C$3:$C$302,MATCH($D525,품목목록!$A$3:$A$302,0)),""))</f>
        <v/>
      </c>
      <c r="G525" s="12" t="str">
        <f aca="false">IF($D525="","",IFERROR(INDEX(품목목록!$D$3:$D$302,MATCH($D525,품목목록!$A$3:$A$302,0)),""))</f>
        <v/>
      </c>
      <c r="H525" s="12" t="str">
        <f aca="false">IF($D525="","",IFERROR(INDEX(품목목록!$E$3:$E$302,MATCH($D525,품목목록!$A$3:$A$302,0)),""))</f>
        <v/>
      </c>
      <c r="I525" s="14"/>
      <c r="J525" s="10"/>
      <c r="K525" s="10"/>
      <c r="L525" s="10"/>
      <c r="M525" s="15" t="str">
        <f aca="false">IF($A525="","",SUMIFS(처리내역!$E$3:$E$1502,처리내역!$B$3:$B$1502,$A525))</f>
        <v/>
      </c>
      <c r="N525" s="15" t="str">
        <f aca="false">IF($A525="","",IF($I525="","",$I525-$M525))</f>
        <v/>
      </c>
      <c r="O525" s="12" t="str">
        <f aca="false">IF($A525="","",IF($I525="","",IF($M525=0,"미처리",IF($N525&lt;=0,"완료","부분처리"))))</f>
        <v/>
      </c>
    </row>
    <row r="526" customFormat="false" ht="15" hidden="false" customHeight="true" outlineLevel="0" collapsed="false">
      <c r="A526" s="12" t="str">
        <f aca="false">IF($B526="","",TEXT($B526,"yymm")&amp;"-"&amp;TEXT(COUNTIFS($B$3:$B526,"&gt;="&amp;DATE(YEAR($B526),MONTH($B526),1),$B$3:$B526,"&lt;="&amp;EOMONTH($B526,0)),"000"))</f>
        <v/>
      </c>
      <c r="B526" s="13"/>
      <c r="C526" s="10"/>
      <c r="D526" s="10"/>
      <c r="E526" s="12" t="str">
        <f aca="false">IF($D526="","",IFERROR(INDEX(품목목록!$B$3:$B$302,MATCH($D526,품목목록!$A$3:$A$302,0)),"미등록품번"))</f>
        <v/>
      </c>
      <c r="F526" s="12" t="str">
        <f aca="false">IF($D526="","",IFERROR(INDEX(품목목록!$C$3:$C$302,MATCH($D526,품목목록!$A$3:$A$302,0)),""))</f>
        <v/>
      </c>
      <c r="G526" s="12" t="str">
        <f aca="false">IF($D526="","",IFERROR(INDEX(품목목록!$D$3:$D$302,MATCH($D526,품목목록!$A$3:$A$302,0)),""))</f>
        <v/>
      </c>
      <c r="H526" s="12" t="str">
        <f aca="false">IF($D526="","",IFERROR(INDEX(품목목록!$E$3:$E$302,MATCH($D526,품목목록!$A$3:$A$302,0)),""))</f>
        <v/>
      </c>
      <c r="I526" s="14"/>
      <c r="J526" s="10"/>
      <c r="K526" s="10"/>
      <c r="L526" s="10"/>
      <c r="M526" s="15" t="str">
        <f aca="false">IF($A526="","",SUMIFS(처리내역!$E$3:$E$1502,처리내역!$B$3:$B$1502,$A526))</f>
        <v/>
      </c>
      <c r="N526" s="15" t="str">
        <f aca="false">IF($A526="","",IF($I526="","",$I526-$M526))</f>
        <v/>
      </c>
      <c r="O526" s="12" t="str">
        <f aca="false">IF($A526="","",IF($I526="","",IF($M526=0,"미처리",IF($N526&lt;=0,"완료","부분처리"))))</f>
        <v/>
      </c>
    </row>
    <row r="527" customFormat="false" ht="15" hidden="false" customHeight="true" outlineLevel="0" collapsed="false">
      <c r="A527" s="12" t="str">
        <f aca="false">IF($B527="","",TEXT($B527,"yymm")&amp;"-"&amp;TEXT(COUNTIFS($B$3:$B527,"&gt;="&amp;DATE(YEAR($B527),MONTH($B527),1),$B$3:$B527,"&lt;="&amp;EOMONTH($B527,0)),"000"))</f>
        <v/>
      </c>
      <c r="B527" s="13"/>
      <c r="C527" s="10"/>
      <c r="D527" s="10"/>
      <c r="E527" s="12" t="str">
        <f aca="false">IF($D527="","",IFERROR(INDEX(품목목록!$B$3:$B$302,MATCH($D527,품목목록!$A$3:$A$302,0)),"미등록품번"))</f>
        <v/>
      </c>
      <c r="F527" s="12" t="str">
        <f aca="false">IF($D527="","",IFERROR(INDEX(품목목록!$C$3:$C$302,MATCH($D527,품목목록!$A$3:$A$302,0)),""))</f>
        <v/>
      </c>
      <c r="G527" s="12" t="str">
        <f aca="false">IF($D527="","",IFERROR(INDEX(품목목록!$D$3:$D$302,MATCH($D527,품목목록!$A$3:$A$302,0)),""))</f>
        <v/>
      </c>
      <c r="H527" s="12" t="str">
        <f aca="false">IF($D527="","",IFERROR(INDEX(품목목록!$E$3:$E$302,MATCH($D527,품목목록!$A$3:$A$302,0)),""))</f>
        <v/>
      </c>
      <c r="I527" s="14"/>
      <c r="J527" s="10"/>
      <c r="K527" s="10"/>
      <c r="L527" s="10"/>
      <c r="M527" s="15" t="str">
        <f aca="false">IF($A527="","",SUMIFS(처리내역!$E$3:$E$1502,처리내역!$B$3:$B$1502,$A527))</f>
        <v/>
      </c>
      <c r="N527" s="15" t="str">
        <f aca="false">IF($A527="","",IF($I527="","",$I527-$M527))</f>
        <v/>
      </c>
      <c r="O527" s="12" t="str">
        <f aca="false">IF($A527="","",IF($I527="","",IF($M527=0,"미처리",IF($N527&lt;=0,"완료","부분처리"))))</f>
        <v/>
      </c>
    </row>
    <row r="528" customFormat="false" ht="15" hidden="false" customHeight="true" outlineLevel="0" collapsed="false">
      <c r="A528" s="12" t="str">
        <f aca="false">IF($B528="","",TEXT($B528,"yymm")&amp;"-"&amp;TEXT(COUNTIFS($B$3:$B528,"&gt;="&amp;DATE(YEAR($B528),MONTH($B528),1),$B$3:$B528,"&lt;="&amp;EOMONTH($B528,0)),"000"))</f>
        <v/>
      </c>
      <c r="B528" s="13"/>
      <c r="C528" s="10"/>
      <c r="D528" s="10"/>
      <c r="E528" s="12" t="str">
        <f aca="false">IF($D528="","",IFERROR(INDEX(품목목록!$B$3:$B$302,MATCH($D528,품목목록!$A$3:$A$302,0)),"미등록품번"))</f>
        <v/>
      </c>
      <c r="F528" s="12" t="str">
        <f aca="false">IF($D528="","",IFERROR(INDEX(품목목록!$C$3:$C$302,MATCH($D528,품목목록!$A$3:$A$302,0)),""))</f>
        <v/>
      </c>
      <c r="G528" s="12" t="str">
        <f aca="false">IF($D528="","",IFERROR(INDEX(품목목록!$D$3:$D$302,MATCH($D528,품목목록!$A$3:$A$302,0)),""))</f>
        <v/>
      </c>
      <c r="H528" s="12" t="str">
        <f aca="false">IF($D528="","",IFERROR(INDEX(품목목록!$E$3:$E$302,MATCH($D528,품목목록!$A$3:$A$302,0)),""))</f>
        <v/>
      </c>
      <c r="I528" s="14"/>
      <c r="J528" s="10"/>
      <c r="K528" s="10"/>
      <c r="L528" s="10"/>
      <c r="M528" s="15" t="str">
        <f aca="false">IF($A528="","",SUMIFS(처리내역!$E$3:$E$1502,처리내역!$B$3:$B$1502,$A528))</f>
        <v/>
      </c>
      <c r="N528" s="15" t="str">
        <f aca="false">IF($A528="","",IF($I528="","",$I528-$M528))</f>
        <v/>
      </c>
      <c r="O528" s="12" t="str">
        <f aca="false">IF($A528="","",IF($I528="","",IF($M528=0,"미처리",IF($N528&lt;=0,"완료","부분처리"))))</f>
        <v/>
      </c>
    </row>
    <row r="529" customFormat="false" ht="15" hidden="false" customHeight="true" outlineLevel="0" collapsed="false">
      <c r="A529" s="12" t="str">
        <f aca="false">IF($B529="","",TEXT($B529,"yymm")&amp;"-"&amp;TEXT(COUNTIFS($B$3:$B529,"&gt;="&amp;DATE(YEAR($B529),MONTH($B529),1),$B$3:$B529,"&lt;="&amp;EOMONTH($B529,0)),"000"))</f>
        <v/>
      </c>
      <c r="B529" s="13"/>
      <c r="C529" s="10"/>
      <c r="D529" s="10"/>
      <c r="E529" s="12" t="str">
        <f aca="false">IF($D529="","",IFERROR(INDEX(품목목록!$B$3:$B$302,MATCH($D529,품목목록!$A$3:$A$302,0)),"미등록품번"))</f>
        <v/>
      </c>
      <c r="F529" s="12" t="str">
        <f aca="false">IF($D529="","",IFERROR(INDEX(품목목록!$C$3:$C$302,MATCH($D529,품목목록!$A$3:$A$302,0)),""))</f>
        <v/>
      </c>
      <c r="G529" s="12" t="str">
        <f aca="false">IF($D529="","",IFERROR(INDEX(품목목록!$D$3:$D$302,MATCH($D529,품목목록!$A$3:$A$302,0)),""))</f>
        <v/>
      </c>
      <c r="H529" s="12" t="str">
        <f aca="false">IF($D529="","",IFERROR(INDEX(품목목록!$E$3:$E$302,MATCH($D529,품목목록!$A$3:$A$302,0)),""))</f>
        <v/>
      </c>
      <c r="I529" s="14"/>
      <c r="J529" s="10"/>
      <c r="K529" s="10"/>
      <c r="L529" s="10"/>
      <c r="M529" s="15" t="str">
        <f aca="false">IF($A529="","",SUMIFS(처리내역!$E$3:$E$1502,처리내역!$B$3:$B$1502,$A529))</f>
        <v/>
      </c>
      <c r="N529" s="15" t="str">
        <f aca="false">IF($A529="","",IF($I529="","",$I529-$M529))</f>
        <v/>
      </c>
      <c r="O529" s="12" t="str">
        <f aca="false">IF($A529="","",IF($I529="","",IF($M529=0,"미처리",IF($N529&lt;=0,"완료","부분처리"))))</f>
        <v/>
      </c>
    </row>
    <row r="530" customFormat="false" ht="15" hidden="false" customHeight="true" outlineLevel="0" collapsed="false">
      <c r="A530" s="12" t="str">
        <f aca="false">IF($B530="","",TEXT($B530,"yymm")&amp;"-"&amp;TEXT(COUNTIFS($B$3:$B530,"&gt;="&amp;DATE(YEAR($B530),MONTH($B530),1),$B$3:$B530,"&lt;="&amp;EOMONTH($B530,0)),"000"))</f>
        <v/>
      </c>
      <c r="B530" s="13"/>
      <c r="C530" s="10"/>
      <c r="D530" s="10"/>
      <c r="E530" s="12" t="str">
        <f aca="false">IF($D530="","",IFERROR(INDEX(품목목록!$B$3:$B$302,MATCH($D530,품목목록!$A$3:$A$302,0)),"미등록품번"))</f>
        <v/>
      </c>
      <c r="F530" s="12" t="str">
        <f aca="false">IF($D530="","",IFERROR(INDEX(품목목록!$C$3:$C$302,MATCH($D530,품목목록!$A$3:$A$302,0)),""))</f>
        <v/>
      </c>
      <c r="G530" s="12" t="str">
        <f aca="false">IF($D530="","",IFERROR(INDEX(품목목록!$D$3:$D$302,MATCH($D530,품목목록!$A$3:$A$302,0)),""))</f>
        <v/>
      </c>
      <c r="H530" s="12" t="str">
        <f aca="false">IF($D530="","",IFERROR(INDEX(품목목록!$E$3:$E$302,MATCH($D530,품목목록!$A$3:$A$302,0)),""))</f>
        <v/>
      </c>
      <c r="I530" s="14"/>
      <c r="J530" s="10"/>
      <c r="K530" s="10"/>
      <c r="L530" s="10"/>
      <c r="M530" s="15" t="str">
        <f aca="false">IF($A530="","",SUMIFS(처리내역!$E$3:$E$1502,처리내역!$B$3:$B$1502,$A530))</f>
        <v/>
      </c>
      <c r="N530" s="15" t="str">
        <f aca="false">IF($A530="","",IF($I530="","",$I530-$M530))</f>
        <v/>
      </c>
      <c r="O530" s="12" t="str">
        <f aca="false">IF($A530="","",IF($I530="","",IF($M530=0,"미처리",IF($N530&lt;=0,"완료","부분처리"))))</f>
        <v/>
      </c>
    </row>
    <row r="531" customFormat="false" ht="15" hidden="false" customHeight="true" outlineLevel="0" collapsed="false">
      <c r="A531" s="12" t="str">
        <f aca="false">IF($B531="","",TEXT($B531,"yymm")&amp;"-"&amp;TEXT(COUNTIFS($B$3:$B531,"&gt;="&amp;DATE(YEAR($B531),MONTH($B531),1),$B$3:$B531,"&lt;="&amp;EOMONTH($B531,0)),"000"))</f>
        <v/>
      </c>
      <c r="B531" s="13"/>
      <c r="C531" s="10"/>
      <c r="D531" s="10"/>
      <c r="E531" s="12" t="str">
        <f aca="false">IF($D531="","",IFERROR(INDEX(품목목록!$B$3:$B$302,MATCH($D531,품목목록!$A$3:$A$302,0)),"미등록품번"))</f>
        <v/>
      </c>
      <c r="F531" s="12" t="str">
        <f aca="false">IF($D531="","",IFERROR(INDEX(품목목록!$C$3:$C$302,MATCH($D531,품목목록!$A$3:$A$302,0)),""))</f>
        <v/>
      </c>
      <c r="G531" s="12" t="str">
        <f aca="false">IF($D531="","",IFERROR(INDEX(품목목록!$D$3:$D$302,MATCH($D531,품목목록!$A$3:$A$302,0)),""))</f>
        <v/>
      </c>
      <c r="H531" s="12" t="str">
        <f aca="false">IF($D531="","",IFERROR(INDEX(품목목록!$E$3:$E$302,MATCH($D531,품목목록!$A$3:$A$302,0)),""))</f>
        <v/>
      </c>
      <c r="I531" s="14"/>
      <c r="J531" s="10"/>
      <c r="K531" s="10"/>
      <c r="L531" s="10"/>
      <c r="M531" s="15" t="str">
        <f aca="false">IF($A531="","",SUMIFS(처리내역!$E$3:$E$1502,처리내역!$B$3:$B$1502,$A531))</f>
        <v/>
      </c>
      <c r="N531" s="15" t="str">
        <f aca="false">IF($A531="","",IF($I531="","",$I531-$M531))</f>
        <v/>
      </c>
      <c r="O531" s="12" t="str">
        <f aca="false">IF($A531="","",IF($I531="","",IF($M531=0,"미처리",IF($N531&lt;=0,"완료","부분처리"))))</f>
        <v/>
      </c>
    </row>
    <row r="532" customFormat="false" ht="15" hidden="false" customHeight="true" outlineLevel="0" collapsed="false">
      <c r="A532" s="12" t="str">
        <f aca="false">IF($B532="","",TEXT($B532,"yymm")&amp;"-"&amp;TEXT(COUNTIFS($B$3:$B532,"&gt;="&amp;DATE(YEAR($B532),MONTH($B532),1),$B$3:$B532,"&lt;="&amp;EOMONTH($B532,0)),"000"))</f>
        <v/>
      </c>
      <c r="B532" s="13"/>
      <c r="C532" s="10"/>
      <c r="D532" s="10"/>
      <c r="E532" s="12" t="str">
        <f aca="false">IF($D532="","",IFERROR(INDEX(품목목록!$B$3:$B$302,MATCH($D532,품목목록!$A$3:$A$302,0)),"미등록품번"))</f>
        <v/>
      </c>
      <c r="F532" s="12" t="str">
        <f aca="false">IF($D532="","",IFERROR(INDEX(품목목록!$C$3:$C$302,MATCH($D532,품목목록!$A$3:$A$302,0)),""))</f>
        <v/>
      </c>
      <c r="G532" s="12" t="str">
        <f aca="false">IF($D532="","",IFERROR(INDEX(품목목록!$D$3:$D$302,MATCH($D532,품목목록!$A$3:$A$302,0)),""))</f>
        <v/>
      </c>
      <c r="H532" s="12" t="str">
        <f aca="false">IF($D532="","",IFERROR(INDEX(품목목록!$E$3:$E$302,MATCH($D532,품목목록!$A$3:$A$302,0)),""))</f>
        <v/>
      </c>
      <c r="I532" s="14"/>
      <c r="J532" s="10"/>
      <c r="K532" s="10"/>
      <c r="L532" s="10"/>
      <c r="M532" s="15" t="str">
        <f aca="false">IF($A532="","",SUMIFS(처리내역!$E$3:$E$1502,처리내역!$B$3:$B$1502,$A532))</f>
        <v/>
      </c>
      <c r="N532" s="15" t="str">
        <f aca="false">IF($A532="","",IF($I532="","",$I532-$M532))</f>
        <v/>
      </c>
      <c r="O532" s="12" t="str">
        <f aca="false">IF($A532="","",IF($I532="","",IF($M532=0,"미처리",IF($N532&lt;=0,"완료","부분처리"))))</f>
        <v/>
      </c>
    </row>
    <row r="533" customFormat="false" ht="15" hidden="false" customHeight="true" outlineLevel="0" collapsed="false">
      <c r="A533" s="12" t="str">
        <f aca="false">IF($B533="","",TEXT($B533,"yymm")&amp;"-"&amp;TEXT(COUNTIFS($B$3:$B533,"&gt;="&amp;DATE(YEAR($B533),MONTH($B533),1),$B$3:$B533,"&lt;="&amp;EOMONTH($B533,0)),"000"))</f>
        <v/>
      </c>
      <c r="B533" s="13"/>
      <c r="C533" s="10"/>
      <c r="D533" s="10"/>
      <c r="E533" s="12" t="str">
        <f aca="false">IF($D533="","",IFERROR(INDEX(품목목록!$B$3:$B$302,MATCH($D533,품목목록!$A$3:$A$302,0)),"미등록품번"))</f>
        <v/>
      </c>
      <c r="F533" s="12" t="str">
        <f aca="false">IF($D533="","",IFERROR(INDEX(품목목록!$C$3:$C$302,MATCH($D533,품목목록!$A$3:$A$302,0)),""))</f>
        <v/>
      </c>
      <c r="G533" s="12" t="str">
        <f aca="false">IF($D533="","",IFERROR(INDEX(품목목록!$D$3:$D$302,MATCH($D533,품목목록!$A$3:$A$302,0)),""))</f>
        <v/>
      </c>
      <c r="H533" s="12" t="str">
        <f aca="false">IF($D533="","",IFERROR(INDEX(품목목록!$E$3:$E$302,MATCH($D533,품목목록!$A$3:$A$302,0)),""))</f>
        <v/>
      </c>
      <c r="I533" s="14"/>
      <c r="J533" s="10"/>
      <c r="K533" s="10"/>
      <c r="L533" s="10"/>
      <c r="M533" s="15" t="str">
        <f aca="false">IF($A533="","",SUMIFS(처리내역!$E$3:$E$1502,처리내역!$B$3:$B$1502,$A533))</f>
        <v/>
      </c>
      <c r="N533" s="15" t="str">
        <f aca="false">IF($A533="","",IF($I533="","",$I533-$M533))</f>
        <v/>
      </c>
      <c r="O533" s="12" t="str">
        <f aca="false">IF($A533="","",IF($I533="","",IF($M533=0,"미처리",IF($N533&lt;=0,"완료","부분처리"))))</f>
        <v/>
      </c>
    </row>
    <row r="534" customFormat="false" ht="15" hidden="false" customHeight="true" outlineLevel="0" collapsed="false">
      <c r="A534" s="12" t="str">
        <f aca="false">IF($B534="","",TEXT($B534,"yymm")&amp;"-"&amp;TEXT(COUNTIFS($B$3:$B534,"&gt;="&amp;DATE(YEAR($B534),MONTH($B534),1),$B$3:$B534,"&lt;="&amp;EOMONTH($B534,0)),"000"))</f>
        <v/>
      </c>
      <c r="B534" s="13"/>
      <c r="C534" s="10"/>
      <c r="D534" s="10"/>
      <c r="E534" s="12" t="str">
        <f aca="false">IF($D534="","",IFERROR(INDEX(품목목록!$B$3:$B$302,MATCH($D534,품목목록!$A$3:$A$302,0)),"미등록품번"))</f>
        <v/>
      </c>
      <c r="F534" s="12" t="str">
        <f aca="false">IF($D534="","",IFERROR(INDEX(품목목록!$C$3:$C$302,MATCH($D534,품목목록!$A$3:$A$302,0)),""))</f>
        <v/>
      </c>
      <c r="G534" s="12" t="str">
        <f aca="false">IF($D534="","",IFERROR(INDEX(품목목록!$D$3:$D$302,MATCH($D534,품목목록!$A$3:$A$302,0)),""))</f>
        <v/>
      </c>
      <c r="H534" s="12" t="str">
        <f aca="false">IF($D534="","",IFERROR(INDEX(품목목록!$E$3:$E$302,MATCH($D534,품목목록!$A$3:$A$302,0)),""))</f>
        <v/>
      </c>
      <c r="I534" s="14"/>
      <c r="J534" s="10"/>
      <c r="K534" s="10"/>
      <c r="L534" s="10"/>
      <c r="M534" s="15" t="str">
        <f aca="false">IF($A534="","",SUMIFS(처리내역!$E$3:$E$1502,처리내역!$B$3:$B$1502,$A534))</f>
        <v/>
      </c>
      <c r="N534" s="15" t="str">
        <f aca="false">IF($A534="","",IF($I534="","",$I534-$M534))</f>
        <v/>
      </c>
      <c r="O534" s="12" t="str">
        <f aca="false">IF($A534="","",IF($I534="","",IF($M534=0,"미처리",IF($N534&lt;=0,"완료","부분처리"))))</f>
        <v/>
      </c>
    </row>
    <row r="535" customFormat="false" ht="15" hidden="false" customHeight="true" outlineLevel="0" collapsed="false">
      <c r="A535" s="12" t="str">
        <f aca="false">IF($B535="","",TEXT($B535,"yymm")&amp;"-"&amp;TEXT(COUNTIFS($B$3:$B535,"&gt;="&amp;DATE(YEAR($B535),MONTH($B535),1),$B$3:$B535,"&lt;="&amp;EOMONTH($B535,0)),"000"))</f>
        <v/>
      </c>
      <c r="B535" s="13"/>
      <c r="C535" s="10"/>
      <c r="D535" s="10"/>
      <c r="E535" s="12" t="str">
        <f aca="false">IF($D535="","",IFERROR(INDEX(품목목록!$B$3:$B$302,MATCH($D535,품목목록!$A$3:$A$302,0)),"미등록품번"))</f>
        <v/>
      </c>
      <c r="F535" s="12" t="str">
        <f aca="false">IF($D535="","",IFERROR(INDEX(품목목록!$C$3:$C$302,MATCH($D535,품목목록!$A$3:$A$302,0)),""))</f>
        <v/>
      </c>
      <c r="G535" s="12" t="str">
        <f aca="false">IF($D535="","",IFERROR(INDEX(품목목록!$D$3:$D$302,MATCH($D535,품목목록!$A$3:$A$302,0)),""))</f>
        <v/>
      </c>
      <c r="H535" s="12" t="str">
        <f aca="false">IF($D535="","",IFERROR(INDEX(품목목록!$E$3:$E$302,MATCH($D535,품목목록!$A$3:$A$302,0)),""))</f>
        <v/>
      </c>
      <c r="I535" s="14"/>
      <c r="J535" s="10"/>
      <c r="K535" s="10"/>
      <c r="L535" s="10"/>
      <c r="M535" s="15" t="str">
        <f aca="false">IF($A535="","",SUMIFS(처리내역!$E$3:$E$1502,처리내역!$B$3:$B$1502,$A535))</f>
        <v/>
      </c>
      <c r="N535" s="15" t="str">
        <f aca="false">IF($A535="","",IF($I535="","",$I535-$M535))</f>
        <v/>
      </c>
      <c r="O535" s="12" t="str">
        <f aca="false">IF($A535="","",IF($I535="","",IF($M535=0,"미처리",IF($N535&lt;=0,"완료","부분처리"))))</f>
        <v/>
      </c>
    </row>
    <row r="536" customFormat="false" ht="15" hidden="false" customHeight="true" outlineLevel="0" collapsed="false">
      <c r="A536" s="12" t="str">
        <f aca="false">IF($B536="","",TEXT($B536,"yymm")&amp;"-"&amp;TEXT(COUNTIFS($B$3:$B536,"&gt;="&amp;DATE(YEAR($B536),MONTH($B536),1),$B$3:$B536,"&lt;="&amp;EOMONTH($B536,0)),"000"))</f>
        <v/>
      </c>
      <c r="B536" s="13"/>
      <c r="C536" s="10"/>
      <c r="D536" s="10"/>
      <c r="E536" s="12" t="str">
        <f aca="false">IF($D536="","",IFERROR(INDEX(품목목록!$B$3:$B$302,MATCH($D536,품목목록!$A$3:$A$302,0)),"미등록품번"))</f>
        <v/>
      </c>
      <c r="F536" s="12" t="str">
        <f aca="false">IF($D536="","",IFERROR(INDEX(품목목록!$C$3:$C$302,MATCH($D536,품목목록!$A$3:$A$302,0)),""))</f>
        <v/>
      </c>
      <c r="G536" s="12" t="str">
        <f aca="false">IF($D536="","",IFERROR(INDEX(품목목록!$D$3:$D$302,MATCH($D536,품목목록!$A$3:$A$302,0)),""))</f>
        <v/>
      </c>
      <c r="H536" s="12" t="str">
        <f aca="false">IF($D536="","",IFERROR(INDEX(품목목록!$E$3:$E$302,MATCH($D536,품목목록!$A$3:$A$302,0)),""))</f>
        <v/>
      </c>
      <c r="I536" s="14"/>
      <c r="J536" s="10"/>
      <c r="K536" s="10"/>
      <c r="L536" s="10"/>
      <c r="M536" s="15" t="str">
        <f aca="false">IF($A536="","",SUMIFS(처리내역!$E$3:$E$1502,처리내역!$B$3:$B$1502,$A536))</f>
        <v/>
      </c>
      <c r="N536" s="15" t="str">
        <f aca="false">IF($A536="","",IF($I536="","",$I536-$M536))</f>
        <v/>
      </c>
      <c r="O536" s="12" t="str">
        <f aca="false">IF($A536="","",IF($I536="","",IF($M536=0,"미처리",IF($N536&lt;=0,"완료","부분처리"))))</f>
        <v/>
      </c>
    </row>
    <row r="537" customFormat="false" ht="15" hidden="false" customHeight="true" outlineLevel="0" collapsed="false">
      <c r="A537" s="12" t="str">
        <f aca="false">IF($B537="","",TEXT($B537,"yymm")&amp;"-"&amp;TEXT(COUNTIFS($B$3:$B537,"&gt;="&amp;DATE(YEAR($B537),MONTH($B537),1),$B$3:$B537,"&lt;="&amp;EOMONTH($B537,0)),"000"))</f>
        <v/>
      </c>
      <c r="B537" s="13"/>
      <c r="C537" s="10"/>
      <c r="D537" s="10"/>
      <c r="E537" s="12" t="str">
        <f aca="false">IF($D537="","",IFERROR(INDEX(품목목록!$B$3:$B$302,MATCH($D537,품목목록!$A$3:$A$302,0)),"미등록품번"))</f>
        <v/>
      </c>
      <c r="F537" s="12" t="str">
        <f aca="false">IF($D537="","",IFERROR(INDEX(품목목록!$C$3:$C$302,MATCH($D537,품목목록!$A$3:$A$302,0)),""))</f>
        <v/>
      </c>
      <c r="G537" s="12" t="str">
        <f aca="false">IF($D537="","",IFERROR(INDEX(품목목록!$D$3:$D$302,MATCH($D537,품목목록!$A$3:$A$302,0)),""))</f>
        <v/>
      </c>
      <c r="H537" s="12" t="str">
        <f aca="false">IF($D537="","",IFERROR(INDEX(품목목록!$E$3:$E$302,MATCH($D537,품목목록!$A$3:$A$302,0)),""))</f>
        <v/>
      </c>
      <c r="I537" s="14"/>
      <c r="J537" s="10"/>
      <c r="K537" s="10"/>
      <c r="L537" s="10"/>
      <c r="M537" s="15" t="str">
        <f aca="false">IF($A537="","",SUMIFS(처리내역!$E$3:$E$1502,처리내역!$B$3:$B$1502,$A537))</f>
        <v/>
      </c>
      <c r="N537" s="15" t="str">
        <f aca="false">IF($A537="","",IF($I537="","",$I537-$M537))</f>
        <v/>
      </c>
      <c r="O537" s="12" t="str">
        <f aca="false">IF($A537="","",IF($I537="","",IF($M537=0,"미처리",IF($N537&lt;=0,"완료","부분처리"))))</f>
        <v/>
      </c>
    </row>
    <row r="538" customFormat="false" ht="15" hidden="false" customHeight="true" outlineLevel="0" collapsed="false">
      <c r="A538" s="12" t="str">
        <f aca="false">IF($B538="","",TEXT($B538,"yymm")&amp;"-"&amp;TEXT(COUNTIFS($B$3:$B538,"&gt;="&amp;DATE(YEAR($B538),MONTH($B538),1),$B$3:$B538,"&lt;="&amp;EOMONTH($B538,0)),"000"))</f>
        <v/>
      </c>
      <c r="B538" s="13"/>
      <c r="C538" s="10"/>
      <c r="D538" s="10"/>
      <c r="E538" s="12" t="str">
        <f aca="false">IF($D538="","",IFERROR(INDEX(품목목록!$B$3:$B$302,MATCH($D538,품목목록!$A$3:$A$302,0)),"미등록품번"))</f>
        <v/>
      </c>
      <c r="F538" s="12" t="str">
        <f aca="false">IF($D538="","",IFERROR(INDEX(품목목록!$C$3:$C$302,MATCH($D538,품목목록!$A$3:$A$302,0)),""))</f>
        <v/>
      </c>
      <c r="G538" s="12" t="str">
        <f aca="false">IF($D538="","",IFERROR(INDEX(품목목록!$D$3:$D$302,MATCH($D538,품목목록!$A$3:$A$302,0)),""))</f>
        <v/>
      </c>
      <c r="H538" s="12" t="str">
        <f aca="false">IF($D538="","",IFERROR(INDEX(품목목록!$E$3:$E$302,MATCH($D538,품목목록!$A$3:$A$302,0)),""))</f>
        <v/>
      </c>
      <c r="I538" s="14"/>
      <c r="J538" s="10"/>
      <c r="K538" s="10"/>
      <c r="L538" s="10"/>
      <c r="M538" s="15" t="str">
        <f aca="false">IF($A538="","",SUMIFS(처리내역!$E$3:$E$1502,처리내역!$B$3:$B$1502,$A538))</f>
        <v/>
      </c>
      <c r="N538" s="15" t="str">
        <f aca="false">IF($A538="","",IF($I538="","",$I538-$M538))</f>
        <v/>
      </c>
      <c r="O538" s="12" t="str">
        <f aca="false">IF($A538="","",IF($I538="","",IF($M538=0,"미처리",IF($N538&lt;=0,"완료","부분처리"))))</f>
        <v/>
      </c>
    </row>
    <row r="539" customFormat="false" ht="15" hidden="false" customHeight="true" outlineLevel="0" collapsed="false">
      <c r="A539" s="12" t="str">
        <f aca="false">IF($B539="","",TEXT($B539,"yymm")&amp;"-"&amp;TEXT(COUNTIFS($B$3:$B539,"&gt;="&amp;DATE(YEAR($B539),MONTH($B539),1),$B$3:$B539,"&lt;="&amp;EOMONTH($B539,0)),"000"))</f>
        <v/>
      </c>
      <c r="B539" s="13"/>
      <c r="C539" s="10"/>
      <c r="D539" s="10"/>
      <c r="E539" s="12" t="str">
        <f aca="false">IF($D539="","",IFERROR(INDEX(품목목록!$B$3:$B$302,MATCH($D539,품목목록!$A$3:$A$302,0)),"미등록품번"))</f>
        <v/>
      </c>
      <c r="F539" s="12" t="str">
        <f aca="false">IF($D539="","",IFERROR(INDEX(품목목록!$C$3:$C$302,MATCH($D539,품목목록!$A$3:$A$302,0)),""))</f>
        <v/>
      </c>
      <c r="G539" s="12" t="str">
        <f aca="false">IF($D539="","",IFERROR(INDEX(품목목록!$D$3:$D$302,MATCH($D539,품목목록!$A$3:$A$302,0)),""))</f>
        <v/>
      </c>
      <c r="H539" s="12" t="str">
        <f aca="false">IF($D539="","",IFERROR(INDEX(품목목록!$E$3:$E$302,MATCH($D539,품목목록!$A$3:$A$302,0)),""))</f>
        <v/>
      </c>
      <c r="I539" s="14"/>
      <c r="J539" s="10"/>
      <c r="K539" s="10"/>
      <c r="L539" s="10"/>
      <c r="M539" s="15" t="str">
        <f aca="false">IF($A539="","",SUMIFS(처리내역!$E$3:$E$1502,처리내역!$B$3:$B$1502,$A539))</f>
        <v/>
      </c>
      <c r="N539" s="15" t="str">
        <f aca="false">IF($A539="","",IF($I539="","",$I539-$M539))</f>
        <v/>
      </c>
      <c r="O539" s="12" t="str">
        <f aca="false">IF($A539="","",IF($I539="","",IF($M539=0,"미처리",IF($N539&lt;=0,"완료","부분처리"))))</f>
        <v/>
      </c>
    </row>
    <row r="540" customFormat="false" ht="15" hidden="false" customHeight="true" outlineLevel="0" collapsed="false">
      <c r="A540" s="12" t="str">
        <f aca="false">IF($B540="","",TEXT($B540,"yymm")&amp;"-"&amp;TEXT(COUNTIFS($B$3:$B540,"&gt;="&amp;DATE(YEAR($B540),MONTH($B540),1),$B$3:$B540,"&lt;="&amp;EOMONTH($B540,0)),"000"))</f>
        <v/>
      </c>
      <c r="B540" s="13"/>
      <c r="C540" s="10"/>
      <c r="D540" s="10"/>
      <c r="E540" s="12" t="str">
        <f aca="false">IF($D540="","",IFERROR(INDEX(품목목록!$B$3:$B$302,MATCH($D540,품목목록!$A$3:$A$302,0)),"미등록품번"))</f>
        <v/>
      </c>
      <c r="F540" s="12" t="str">
        <f aca="false">IF($D540="","",IFERROR(INDEX(품목목록!$C$3:$C$302,MATCH($D540,품목목록!$A$3:$A$302,0)),""))</f>
        <v/>
      </c>
      <c r="G540" s="12" t="str">
        <f aca="false">IF($D540="","",IFERROR(INDEX(품목목록!$D$3:$D$302,MATCH($D540,품목목록!$A$3:$A$302,0)),""))</f>
        <v/>
      </c>
      <c r="H540" s="12" t="str">
        <f aca="false">IF($D540="","",IFERROR(INDEX(품목목록!$E$3:$E$302,MATCH($D540,품목목록!$A$3:$A$302,0)),""))</f>
        <v/>
      </c>
      <c r="I540" s="14"/>
      <c r="J540" s="10"/>
      <c r="K540" s="10"/>
      <c r="L540" s="10"/>
      <c r="M540" s="15" t="str">
        <f aca="false">IF($A540="","",SUMIFS(처리내역!$E$3:$E$1502,처리내역!$B$3:$B$1502,$A540))</f>
        <v/>
      </c>
      <c r="N540" s="15" t="str">
        <f aca="false">IF($A540="","",IF($I540="","",$I540-$M540))</f>
        <v/>
      </c>
      <c r="O540" s="12" t="str">
        <f aca="false">IF($A540="","",IF($I540="","",IF($M540=0,"미처리",IF($N540&lt;=0,"완료","부분처리"))))</f>
        <v/>
      </c>
    </row>
    <row r="541" customFormat="false" ht="15" hidden="false" customHeight="true" outlineLevel="0" collapsed="false">
      <c r="A541" s="12" t="str">
        <f aca="false">IF($B541="","",TEXT($B541,"yymm")&amp;"-"&amp;TEXT(COUNTIFS($B$3:$B541,"&gt;="&amp;DATE(YEAR($B541),MONTH($B541),1),$B$3:$B541,"&lt;="&amp;EOMONTH($B541,0)),"000"))</f>
        <v/>
      </c>
      <c r="B541" s="13"/>
      <c r="C541" s="10"/>
      <c r="D541" s="10"/>
      <c r="E541" s="12" t="str">
        <f aca="false">IF($D541="","",IFERROR(INDEX(품목목록!$B$3:$B$302,MATCH($D541,품목목록!$A$3:$A$302,0)),"미등록품번"))</f>
        <v/>
      </c>
      <c r="F541" s="12" t="str">
        <f aca="false">IF($D541="","",IFERROR(INDEX(품목목록!$C$3:$C$302,MATCH($D541,품목목록!$A$3:$A$302,0)),""))</f>
        <v/>
      </c>
      <c r="G541" s="12" t="str">
        <f aca="false">IF($D541="","",IFERROR(INDEX(품목목록!$D$3:$D$302,MATCH($D541,품목목록!$A$3:$A$302,0)),""))</f>
        <v/>
      </c>
      <c r="H541" s="12" t="str">
        <f aca="false">IF($D541="","",IFERROR(INDEX(품목목록!$E$3:$E$302,MATCH($D541,품목목록!$A$3:$A$302,0)),""))</f>
        <v/>
      </c>
      <c r="I541" s="14"/>
      <c r="J541" s="10"/>
      <c r="K541" s="10"/>
      <c r="L541" s="10"/>
      <c r="M541" s="15" t="str">
        <f aca="false">IF($A541="","",SUMIFS(처리내역!$E$3:$E$1502,처리내역!$B$3:$B$1502,$A541))</f>
        <v/>
      </c>
      <c r="N541" s="15" t="str">
        <f aca="false">IF($A541="","",IF($I541="","",$I541-$M541))</f>
        <v/>
      </c>
      <c r="O541" s="12" t="str">
        <f aca="false">IF($A541="","",IF($I541="","",IF($M541=0,"미처리",IF($N541&lt;=0,"완료","부분처리"))))</f>
        <v/>
      </c>
    </row>
    <row r="542" customFormat="false" ht="15" hidden="false" customHeight="true" outlineLevel="0" collapsed="false">
      <c r="A542" s="12" t="str">
        <f aca="false">IF($B542="","",TEXT($B542,"yymm")&amp;"-"&amp;TEXT(COUNTIFS($B$3:$B542,"&gt;="&amp;DATE(YEAR($B542),MONTH($B542),1),$B$3:$B542,"&lt;="&amp;EOMONTH($B542,0)),"000"))</f>
        <v/>
      </c>
      <c r="B542" s="13"/>
      <c r="C542" s="10"/>
      <c r="D542" s="10"/>
      <c r="E542" s="12" t="str">
        <f aca="false">IF($D542="","",IFERROR(INDEX(품목목록!$B$3:$B$302,MATCH($D542,품목목록!$A$3:$A$302,0)),"미등록품번"))</f>
        <v/>
      </c>
      <c r="F542" s="12" t="str">
        <f aca="false">IF($D542="","",IFERROR(INDEX(품목목록!$C$3:$C$302,MATCH($D542,품목목록!$A$3:$A$302,0)),""))</f>
        <v/>
      </c>
      <c r="G542" s="12" t="str">
        <f aca="false">IF($D542="","",IFERROR(INDEX(품목목록!$D$3:$D$302,MATCH($D542,품목목록!$A$3:$A$302,0)),""))</f>
        <v/>
      </c>
      <c r="H542" s="12" t="str">
        <f aca="false">IF($D542="","",IFERROR(INDEX(품목목록!$E$3:$E$302,MATCH($D542,품목목록!$A$3:$A$302,0)),""))</f>
        <v/>
      </c>
      <c r="I542" s="14"/>
      <c r="J542" s="10"/>
      <c r="K542" s="10"/>
      <c r="L542" s="10"/>
      <c r="M542" s="15" t="str">
        <f aca="false">IF($A542="","",SUMIFS(처리내역!$E$3:$E$1502,처리내역!$B$3:$B$1502,$A542))</f>
        <v/>
      </c>
      <c r="N542" s="15" t="str">
        <f aca="false">IF($A542="","",IF($I542="","",$I542-$M542))</f>
        <v/>
      </c>
      <c r="O542" s="12" t="str">
        <f aca="false">IF($A542="","",IF($I542="","",IF($M542=0,"미처리",IF($N542&lt;=0,"완료","부분처리"))))</f>
        <v/>
      </c>
    </row>
    <row r="543" customFormat="false" ht="15" hidden="false" customHeight="true" outlineLevel="0" collapsed="false">
      <c r="A543" s="12" t="str">
        <f aca="false">IF($B543="","",TEXT($B543,"yymm")&amp;"-"&amp;TEXT(COUNTIFS($B$3:$B543,"&gt;="&amp;DATE(YEAR($B543),MONTH($B543),1),$B$3:$B543,"&lt;="&amp;EOMONTH($B543,0)),"000"))</f>
        <v/>
      </c>
      <c r="B543" s="13"/>
      <c r="C543" s="10"/>
      <c r="D543" s="10"/>
      <c r="E543" s="12" t="str">
        <f aca="false">IF($D543="","",IFERROR(INDEX(품목목록!$B$3:$B$302,MATCH($D543,품목목록!$A$3:$A$302,0)),"미등록품번"))</f>
        <v/>
      </c>
      <c r="F543" s="12" t="str">
        <f aca="false">IF($D543="","",IFERROR(INDEX(품목목록!$C$3:$C$302,MATCH($D543,품목목록!$A$3:$A$302,0)),""))</f>
        <v/>
      </c>
      <c r="G543" s="12" t="str">
        <f aca="false">IF($D543="","",IFERROR(INDEX(품목목록!$D$3:$D$302,MATCH($D543,품목목록!$A$3:$A$302,0)),""))</f>
        <v/>
      </c>
      <c r="H543" s="12" t="str">
        <f aca="false">IF($D543="","",IFERROR(INDEX(품목목록!$E$3:$E$302,MATCH($D543,품목목록!$A$3:$A$302,0)),""))</f>
        <v/>
      </c>
      <c r="I543" s="14"/>
      <c r="J543" s="10"/>
      <c r="K543" s="10"/>
      <c r="L543" s="10"/>
      <c r="M543" s="15" t="str">
        <f aca="false">IF($A543="","",SUMIFS(처리내역!$E$3:$E$1502,처리내역!$B$3:$B$1502,$A543))</f>
        <v/>
      </c>
      <c r="N543" s="15" t="str">
        <f aca="false">IF($A543="","",IF($I543="","",$I543-$M543))</f>
        <v/>
      </c>
      <c r="O543" s="12" t="str">
        <f aca="false">IF($A543="","",IF($I543="","",IF($M543=0,"미처리",IF($N543&lt;=0,"완료","부분처리"))))</f>
        <v/>
      </c>
    </row>
    <row r="544" customFormat="false" ht="15" hidden="false" customHeight="true" outlineLevel="0" collapsed="false">
      <c r="A544" s="12" t="str">
        <f aca="false">IF($B544="","",TEXT($B544,"yymm")&amp;"-"&amp;TEXT(COUNTIFS($B$3:$B544,"&gt;="&amp;DATE(YEAR($B544),MONTH($B544),1),$B$3:$B544,"&lt;="&amp;EOMONTH($B544,0)),"000"))</f>
        <v/>
      </c>
      <c r="B544" s="13"/>
      <c r="C544" s="10"/>
      <c r="D544" s="10"/>
      <c r="E544" s="12" t="str">
        <f aca="false">IF($D544="","",IFERROR(INDEX(품목목록!$B$3:$B$302,MATCH($D544,품목목록!$A$3:$A$302,0)),"미등록품번"))</f>
        <v/>
      </c>
      <c r="F544" s="12" t="str">
        <f aca="false">IF($D544="","",IFERROR(INDEX(품목목록!$C$3:$C$302,MATCH($D544,품목목록!$A$3:$A$302,0)),""))</f>
        <v/>
      </c>
      <c r="G544" s="12" t="str">
        <f aca="false">IF($D544="","",IFERROR(INDEX(품목목록!$D$3:$D$302,MATCH($D544,품목목록!$A$3:$A$302,0)),""))</f>
        <v/>
      </c>
      <c r="H544" s="12" t="str">
        <f aca="false">IF($D544="","",IFERROR(INDEX(품목목록!$E$3:$E$302,MATCH($D544,품목목록!$A$3:$A$302,0)),""))</f>
        <v/>
      </c>
      <c r="I544" s="14"/>
      <c r="J544" s="10"/>
      <c r="K544" s="10"/>
      <c r="L544" s="10"/>
      <c r="M544" s="15" t="str">
        <f aca="false">IF($A544="","",SUMIFS(처리내역!$E$3:$E$1502,처리내역!$B$3:$B$1502,$A544))</f>
        <v/>
      </c>
      <c r="N544" s="15" t="str">
        <f aca="false">IF($A544="","",IF($I544="","",$I544-$M544))</f>
        <v/>
      </c>
      <c r="O544" s="12" t="str">
        <f aca="false">IF($A544="","",IF($I544="","",IF($M544=0,"미처리",IF($N544&lt;=0,"완료","부분처리"))))</f>
        <v/>
      </c>
    </row>
    <row r="545" customFormat="false" ht="15" hidden="false" customHeight="true" outlineLevel="0" collapsed="false">
      <c r="A545" s="12" t="str">
        <f aca="false">IF($B545="","",TEXT($B545,"yymm")&amp;"-"&amp;TEXT(COUNTIFS($B$3:$B545,"&gt;="&amp;DATE(YEAR($B545),MONTH($B545),1),$B$3:$B545,"&lt;="&amp;EOMONTH($B545,0)),"000"))</f>
        <v/>
      </c>
      <c r="B545" s="13"/>
      <c r="C545" s="10"/>
      <c r="D545" s="10"/>
      <c r="E545" s="12" t="str">
        <f aca="false">IF($D545="","",IFERROR(INDEX(품목목록!$B$3:$B$302,MATCH($D545,품목목록!$A$3:$A$302,0)),"미등록품번"))</f>
        <v/>
      </c>
      <c r="F545" s="12" t="str">
        <f aca="false">IF($D545="","",IFERROR(INDEX(품목목록!$C$3:$C$302,MATCH($D545,품목목록!$A$3:$A$302,0)),""))</f>
        <v/>
      </c>
      <c r="G545" s="12" t="str">
        <f aca="false">IF($D545="","",IFERROR(INDEX(품목목록!$D$3:$D$302,MATCH($D545,품목목록!$A$3:$A$302,0)),""))</f>
        <v/>
      </c>
      <c r="H545" s="12" t="str">
        <f aca="false">IF($D545="","",IFERROR(INDEX(품목목록!$E$3:$E$302,MATCH($D545,품목목록!$A$3:$A$302,0)),""))</f>
        <v/>
      </c>
      <c r="I545" s="14"/>
      <c r="J545" s="10"/>
      <c r="K545" s="10"/>
      <c r="L545" s="10"/>
      <c r="M545" s="15" t="str">
        <f aca="false">IF($A545="","",SUMIFS(처리내역!$E$3:$E$1502,처리내역!$B$3:$B$1502,$A545))</f>
        <v/>
      </c>
      <c r="N545" s="15" t="str">
        <f aca="false">IF($A545="","",IF($I545="","",$I545-$M545))</f>
        <v/>
      </c>
      <c r="O545" s="12" t="str">
        <f aca="false">IF($A545="","",IF($I545="","",IF($M545=0,"미처리",IF($N545&lt;=0,"완료","부분처리"))))</f>
        <v/>
      </c>
    </row>
    <row r="546" customFormat="false" ht="15" hidden="false" customHeight="true" outlineLevel="0" collapsed="false">
      <c r="A546" s="12" t="str">
        <f aca="false">IF($B546="","",TEXT($B546,"yymm")&amp;"-"&amp;TEXT(COUNTIFS($B$3:$B546,"&gt;="&amp;DATE(YEAR($B546),MONTH($B546),1),$B$3:$B546,"&lt;="&amp;EOMONTH($B546,0)),"000"))</f>
        <v/>
      </c>
      <c r="B546" s="13"/>
      <c r="C546" s="10"/>
      <c r="D546" s="10"/>
      <c r="E546" s="12" t="str">
        <f aca="false">IF($D546="","",IFERROR(INDEX(품목목록!$B$3:$B$302,MATCH($D546,품목목록!$A$3:$A$302,0)),"미등록품번"))</f>
        <v/>
      </c>
      <c r="F546" s="12" t="str">
        <f aca="false">IF($D546="","",IFERROR(INDEX(품목목록!$C$3:$C$302,MATCH($D546,품목목록!$A$3:$A$302,0)),""))</f>
        <v/>
      </c>
      <c r="G546" s="12" t="str">
        <f aca="false">IF($D546="","",IFERROR(INDEX(품목목록!$D$3:$D$302,MATCH($D546,품목목록!$A$3:$A$302,0)),""))</f>
        <v/>
      </c>
      <c r="H546" s="12" t="str">
        <f aca="false">IF($D546="","",IFERROR(INDEX(품목목록!$E$3:$E$302,MATCH($D546,품목목록!$A$3:$A$302,0)),""))</f>
        <v/>
      </c>
      <c r="I546" s="14"/>
      <c r="J546" s="10"/>
      <c r="K546" s="10"/>
      <c r="L546" s="10"/>
      <c r="M546" s="15" t="str">
        <f aca="false">IF($A546="","",SUMIFS(처리내역!$E$3:$E$1502,처리내역!$B$3:$B$1502,$A546))</f>
        <v/>
      </c>
      <c r="N546" s="15" t="str">
        <f aca="false">IF($A546="","",IF($I546="","",$I546-$M546))</f>
        <v/>
      </c>
      <c r="O546" s="12" t="str">
        <f aca="false">IF($A546="","",IF($I546="","",IF($M546=0,"미처리",IF($N546&lt;=0,"완료","부분처리"))))</f>
        <v/>
      </c>
    </row>
    <row r="547" customFormat="false" ht="15" hidden="false" customHeight="true" outlineLevel="0" collapsed="false">
      <c r="A547" s="12" t="str">
        <f aca="false">IF($B547="","",TEXT($B547,"yymm")&amp;"-"&amp;TEXT(COUNTIFS($B$3:$B547,"&gt;="&amp;DATE(YEAR($B547),MONTH($B547),1),$B$3:$B547,"&lt;="&amp;EOMONTH($B547,0)),"000"))</f>
        <v/>
      </c>
      <c r="B547" s="13"/>
      <c r="C547" s="10"/>
      <c r="D547" s="10"/>
      <c r="E547" s="12" t="str">
        <f aca="false">IF($D547="","",IFERROR(INDEX(품목목록!$B$3:$B$302,MATCH($D547,품목목록!$A$3:$A$302,0)),"미등록품번"))</f>
        <v/>
      </c>
      <c r="F547" s="12" t="str">
        <f aca="false">IF($D547="","",IFERROR(INDEX(품목목록!$C$3:$C$302,MATCH($D547,품목목록!$A$3:$A$302,0)),""))</f>
        <v/>
      </c>
      <c r="G547" s="12" t="str">
        <f aca="false">IF($D547="","",IFERROR(INDEX(품목목록!$D$3:$D$302,MATCH($D547,품목목록!$A$3:$A$302,0)),""))</f>
        <v/>
      </c>
      <c r="H547" s="12" t="str">
        <f aca="false">IF($D547="","",IFERROR(INDEX(품목목록!$E$3:$E$302,MATCH($D547,품목목록!$A$3:$A$302,0)),""))</f>
        <v/>
      </c>
      <c r="I547" s="14"/>
      <c r="J547" s="10"/>
      <c r="K547" s="10"/>
      <c r="L547" s="10"/>
      <c r="M547" s="15" t="str">
        <f aca="false">IF($A547="","",SUMIFS(처리내역!$E$3:$E$1502,처리내역!$B$3:$B$1502,$A547))</f>
        <v/>
      </c>
      <c r="N547" s="15" t="str">
        <f aca="false">IF($A547="","",IF($I547="","",$I547-$M547))</f>
        <v/>
      </c>
      <c r="O547" s="12" t="str">
        <f aca="false">IF($A547="","",IF($I547="","",IF($M547=0,"미처리",IF($N547&lt;=0,"완료","부분처리"))))</f>
        <v/>
      </c>
    </row>
    <row r="548" customFormat="false" ht="15" hidden="false" customHeight="true" outlineLevel="0" collapsed="false">
      <c r="A548" s="12" t="str">
        <f aca="false">IF($B548="","",TEXT($B548,"yymm")&amp;"-"&amp;TEXT(COUNTIFS($B$3:$B548,"&gt;="&amp;DATE(YEAR($B548),MONTH($B548),1),$B$3:$B548,"&lt;="&amp;EOMONTH($B548,0)),"000"))</f>
        <v/>
      </c>
      <c r="B548" s="13"/>
      <c r="C548" s="10"/>
      <c r="D548" s="10"/>
      <c r="E548" s="12" t="str">
        <f aca="false">IF($D548="","",IFERROR(INDEX(품목목록!$B$3:$B$302,MATCH($D548,품목목록!$A$3:$A$302,0)),"미등록품번"))</f>
        <v/>
      </c>
      <c r="F548" s="12" t="str">
        <f aca="false">IF($D548="","",IFERROR(INDEX(품목목록!$C$3:$C$302,MATCH($D548,품목목록!$A$3:$A$302,0)),""))</f>
        <v/>
      </c>
      <c r="G548" s="12" t="str">
        <f aca="false">IF($D548="","",IFERROR(INDEX(품목목록!$D$3:$D$302,MATCH($D548,품목목록!$A$3:$A$302,0)),""))</f>
        <v/>
      </c>
      <c r="H548" s="12" t="str">
        <f aca="false">IF($D548="","",IFERROR(INDEX(품목목록!$E$3:$E$302,MATCH($D548,품목목록!$A$3:$A$302,0)),""))</f>
        <v/>
      </c>
      <c r="I548" s="14"/>
      <c r="J548" s="10"/>
      <c r="K548" s="10"/>
      <c r="L548" s="10"/>
      <c r="M548" s="15" t="str">
        <f aca="false">IF($A548="","",SUMIFS(처리내역!$E$3:$E$1502,처리내역!$B$3:$B$1502,$A548))</f>
        <v/>
      </c>
      <c r="N548" s="15" t="str">
        <f aca="false">IF($A548="","",IF($I548="","",$I548-$M548))</f>
        <v/>
      </c>
      <c r="O548" s="12" t="str">
        <f aca="false">IF($A548="","",IF($I548="","",IF($M548=0,"미처리",IF($N548&lt;=0,"완료","부분처리"))))</f>
        <v/>
      </c>
    </row>
    <row r="549" customFormat="false" ht="15" hidden="false" customHeight="true" outlineLevel="0" collapsed="false">
      <c r="A549" s="12" t="str">
        <f aca="false">IF($B549="","",TEXT($B549,"yymm")&amp;"-"&amp;TEXT(COUNTIFS($B$3:$B549,"&gt;="&amp;DATE(YEAR($B549),MONTH($B549),1),$B$3:$B549,"&lt;="&amp;EOMONTH($B549,0)),"000"))</f>
        <v/>
      </c>
      <c r="B549" s="13"/>
      <c r="C549" s="10"/>
      <c r="D549" s="10"/>
      <c r="E549" s="12" t="str">
        <f aca="false">IF($D549="","",IFERROR(INDEX(품목목록!$B$3:$B$302,MATCH($D549,품목목록!$A$3:$A$302,0)),"미등록품번"))</f>
        <v/>
      </c>
      <c r="F549" s="12" t="str">
        <f aca="false">IF($D549="","",IFERROR(INDEX(품목목록!$C$3:$C$302,MATCH($D549,품목목록!$A$3:$A$302,0)),""))</f>
        <v/>
      </c>
      <c r="G549" s="12" t="str">
        <f aca="false">IF($D549="","",IFERROR(INDEX(품목목록!$D$3:$D$302,MATCH($D549,품목목록!$A$3:$A$302,0)),""))</f>
        <v/>
      </c>
      <c r="H549" s="12" t="str">
        <f aca="false">IF($D549="","",IFERROR(INDEX(품목목록!$E$3:$E$302,MATCH($D549,품목목록!$A$3:$A$302,0)),""))</f>
        <v/>
      </c>
      <c r="I549" s="14"/>
      <c r="J549" s="10"/>
      <c r="K549" s="10"/>
      <c r="L549" s="10"/>
      <c r="M549" s="15" t="str">
        <f aca="false">IF($A549="","",SUMIFS(처리내역!$E$3:$E$1502,처리내역!$B$3:$B$1502,$A549))</f>
        <v/>
      </c>
      <c r="N549" s="15" t="str">
        <f aca="false">IF($A549="","",IF($I549="","",$I549-$M549))</f>
        <v/>
      </c>
      <c r="O549" s="12" t="str">
        <f aca="false">IF($A549="","",IF($I549="","",IF($M549=0,"미처리",IF($N549&lt;=0,"완료","부분처리"))))</f>
        <v/>
      </c>
    </row>
    <row r="550" customFormat="false" ht="15" hidden="false" customHeight="true" outlineLevel="0" collapsed="false">
      <c r="A550" s="12" t="str">
        <f aca="false">IF($B550="","",TEXT($B550,"yymm")&amp;"-"&amp;TEXT(COUNTIFS($B$3:$B550,"&gt;="&amp;DATE(YEAR($B550),MONTH($B550),1),$B$3:$B550,"&lt;="&amp;EOMONTH($B550,0)),"000"))</f>
        <v/>
      </c>
      <c r="B550" s="13"/>
      <c r="C550" s="10"/>
      <c r="D550" s="10"/>
      <c r="E550" s="12" t="str">
        <f aca="false">IF($D550="","",IFERROR(INDEX(품목목록!$B$3:$B$302,MATCH($D550,품목목록!$A$3:$A$302,0)),"미등록품번"))</f>
        <v/>
      </c>
      <c r="F550" s="12" t="str">
        <f aca="false">IF($D550="","",IFERROR(INDEX(품목목록!$C$3:$C$302,MATCH($D550,품목목록!$A$3:$A$302,0)),""))</f>
        <v/>
      </c>
      <c r="G550" s="12" t="str">
        <f aca="false">IF($D550="","",IFERROR(INDEX(품목목록!$D$3:$D$302,MATCH($D550,품목목록!$A$3:$A$302,0)),""))</f>
        <v/>
      </c>
      <c r="H550" s="12" t="str">
        <f aca="false">IF($D550="","",IFERROR(INDEX(품목목록!$E$3:$E$302,MATCH($D550,품목목록!$A$3:$A$302,0)),""))</f>
        <v/>
      </c>
      <c r="I550" s="14"/>
      <c r="J550" s="10"/>
      <c r="K550" s="10"/>
      <c r="L550" s="10"/>
      <c r="M550" s="15" t="str">
        <f aca="false">IF($A550="","",SUMIFS(처리내역!$E$3:$E$1502,처리내역!$B$3:$B$1502,$A550))</f>
        <v/>
      </c>
      <c r="N550" s="15" t="str">
        <f aca="false">IF($A550="","",IF($I550="","",$I550-$M550))</f>
        <v/>
      </c>
      <c r="O550" s="12" t="str">
        <f aca="false">IF($A550="","",IF($I550="","",IF($M550=0,"미처리",IF($N550&lt;=0,"완료","부분처리"))))</f>
        <v/>
      </c>
    </row>
    <row r="551" customFormat="false" ht="15" hidden="false" customHeight="true" outlineLevel="0" collapsed="false">
      <c r="A551" s="12" t="str">
        <f aca="false">IF($B551="","",TEXT($B551,"yymm")&amp;"-"&amp;TEXT(COUNTIFS($B$3:$B551,"&gt;="&amp;DATE(YEAR($B551),MONTH($B551),1),$B$3:$B551,"&lt;="&amp;EOMONTH($B551,0)),"000"))</f>
        <v/>
      </c>
      <c r="B551" s="13"/>
      <c r="C551" s="10"/>
      <c r="D551" s="10"/>
      <c r="E551" s="12" t="str">
        <f aca="false">IF($D551="","",IFERROR(INDEX(품목목록!$B$3:$B$302,MATCH($D551,품목목록!$A$3:$A$302,0)),"미등록품번"))</f>
        <v/>
      </c>
      <c r="F551" s="12" t="str">
        <f aca="false">IF($D551="","",IFERROR(INDEX(품목목록!$C$3:$C$302,MATCH($D551,품목목록!$A$3:$A$302,0)),""))</f>
        <v/>
      </c>
      <c r="G551" s="12" t="str">
        <f aca="false">IF($D551="","",IFERROR(INDEX(품목목록!$D$3:$D$302,MATCH($D551,품목목록!$A$3:$A$302,0)),""))</f>
        <v/>
      </c>
      <c r="H551" s="12" t="str">
        <f aca="false">IF($D551="","",IFERROR(INDEX(품목목록!$E$3:$E$302,MATCH($D551,품목목록!$A$3:$A$302,0)),""))</f>
        <v/>
      </c>
      <c r="I551" s="14"/>
      <c r="J551" s="10"/>
      <c r="K551" s="10"/>
      <c r="L551" s="10"/>
      <c r="M551" s="15" t="str">
        <f aca="false">IF($A551="","",SUMIFS(처리내역!$E$3:$E$1502,처리내역!$B$3:$B$1502,$A551))</f>
        <v/>
      </c>
      <c r="N551" s="15" t="str">
        <f aca="false">IF($A551="","",IF($I551="","",$I551-$M551))</f>
        <v/>
      </c>
      <c r="O551" s="12" t="str">
        <f aca="false">IF($A551="","",IF($I551="","",IF($M551=0,"미처리",IF($N551&lt;=0,"완료","부분처리"))))</f>
        <v/>
      </c>
    </row>
    <row r="552" customFormat="false" ht="15" hidden="false" customHeight="true" outlineLevel="0" collapsed="false">
      <c r="A552" s="12" t="str">
        <f aca="false">IF($B552="","",TEXT($B552,"yymm")&amp;"-"&amp;TEXT(COUNTIFS($B$3:$B552,"&gt;="&amp;DATE(YEAR($B552),MONTH($B552),1),$B$3:$B552,"&lt;="&amp;EOMONTH($B552,0)),"000"))</f>
        <v/>
      </c>
      <c r="B552" s="13"/>
      <c r="C552" s="10"/>
      <c r="D552" s="10"/>
      <c r="E552" s="12" t="str">
        <f aca="false">IF($D552="","",IFERROR(INDEX(품목목록!$B$3:$B$302,MATCH($D552,품목목록!$A$3:$A$302,0)),"미등록품번"))</f>
        <v/>
      </c>
      <c r="F552" s="12" t="str">
        <f aca="false">IF($D552="","",IFERROR(INDEX(품목목록!$C$3:$C$302,MATCH($D552,품목목록!$A$3:$A$302,0)),""))</f>
        <v/>
      </c>
      <c r="G552" s="12" t="str">
        <f aca="false">IF($D552="","",IFERROR(INDEX(품목목록!$D$3:$D$302,MATCH($D552,품목목록!$A$3:$A$302,0)),""))</f>
        <v/>
      </c>
      <c r="H552" s="12" t="str">
        <f aca="false">IF($D552="","",IFERROR(INDEX(품목목록!$E$3:$E$302,MATCH($D552,품목목록!$A$3:$A$302,0)),""))</f>
        <v/>
      </c>
      <c r="I552" s="14"/>
      <c r="J552" s="10"/>
      <c r="K552" s="10"/>
      <c r="L552" s="10"/>
      <c r="M552" s="15" t="str">
        <f aca="false">IF($A552="","",SUMIFS(처리내역!$E$3:$E$1502,처리내역!$B$3:$B$1502,$A552))</f>
        <v/>
      </c>
      <c r="N552" s="15" t="str">
        <f aca="false">IF($A552="","",IF($I552="","",$I552-$M552))</f>
        <v/>
      </c>
      <c r="O552" s="12" t="str">
        <f aca="false">IF($A552="","",IF($I552="","",IF($M552=0,"미처리",IF($N552&lt;=0,"완료","부분처리"))))</f>
        <v/>
      </c>
    </row>
    <row r="553" customFormat="false" ht="15" hidden="false" customHeight="true" outlineLevel="0" collapsed="false">
      <c r="A553" s="12" t="str">
        <f aca="false">IF($B553="","",TEXT($B553,"yymm")&amp;"-"&amp;TEXT(COUNTIFS($B$3:$B553,"&gt;="&amp;DATE(YEAR($B553),MONTH($B553),1),$B$3:$B553,"&lt;="&amp;EOMONTH($B553,0)),"000"))</f>
        <v/>
      </c>
      <c r="B553" s="13"/>
      <c r="C553" s="10"/>
      <c r="D553" s="10"/>
      <c r="E553" s="12" t="str">
        <f aca="false">IF($D553="","",IFERROR(INDEX(품목목록!$B$3:$B$302,MATCH($D553,품목목록!$A$3:$A$302,0)),"미등록품번"))</f>
        <v/>
      </c>
      <c r="F553" s="12" t="str">
        <f aca="false">IF($D553="","",IFERROR(INDEX(품목목록!$C$3:$C$302,MATCH($D553,품목목록!$A$3:$A$302,0)),""))</f>
        <v/>
      </c>
      <c r="G553" s="12" t="str">
        <f aca="false">IF($D553="","",IFERROR(INDEX(품목목록!$D$3:$D$302,MATCH($D553,품목목록!$A$3:$A$302,0)),""))</f>
        <v/>
      </c>
      <c r="H553" s="12" t="str">
        <f aca="false">IF($D553="","",IFERROR(INDEX(품목목록!$E$3:$E$302,MATCH($D553,품목목록!$A$3:$A$302,0)),""))</f>
        <v/>
      </c>
      <c r="I553" s="14"/>
      <c r="J553" s="10"/>
      <c r="K553" s="10"/>
      <c r="L553" s="10"/>
      <c r="M553" s="15" t="str">
        <f aca="false">IF($A553="","",SUMIFS(처리내역!$E$3:$E$1502,처리내역!$B$3:$B$1502,$A553))</f>
        <v/>
      </c>
      <c r="N553" s="15" t="str">
        <f aca="false">IF($A553="","",IF($I553="","",$I553-$M553))</f>
        <v/>
      </c>
      <c r="O553" s="12" t="str">
        <f aca="false">IF($A553="","",IF($I553="","",IF($M553=0,"미처리",IF($N553&lt;=0,"완료","부분처리"))))</f>
        <v/>
      </c>
    </row>
    <row r="554" customFormat="false" ht="15" hidden="false" customHeight="true" outlineLevel="0" collapsed="false">
      <c r="A554" s="12" t="str">
        <f aca="false">IF($B554="","",TEXT($B554,"yymm")&amp;"-"&amp;TEXT(COUNTIFS($B$3:$B554,"&gt;="&amp;DATE(YEAR($B554),MONTH($B554),1),$B$3:$B554,"&lt;="&amp;EOMONTH($B554,0)),"000"))</f>
        <v/>
      </c>
      <c r="B554" s="13"/>
      <c r="C554" s="10"/>
      <c r="D554" s="10"/>
      <c r="E554" s="12" t="str">
        <f aca="false">IF($D554="","",IFERROR(INDEX(품목목록!$B$3:$B$302,MATCH($D554,품목목록!$A$3:$A$302,0)),"미등록품번"))</f>
        <v/>
      </c>
      <c r="F554" s="12" t="str">
        <f aca="false">IF($D554="","",IFERROR(INDEX(품목목록!$C$3:$C$302,MATCH($D554,품목목록!$A$3:$A$302,0)),""))</f>
        <v/>
      </c>
      <c r="G554" s="12" t="str">
        <f aca="false">IF($D554="","",IFERROR(INDEX(품목목록!$D$3:$D$302,MATCH($D554,품목목록!$A$3:$A$302,0)),""))</f>
        <v/>
      </c>
      <c r="H554" s="12" t="str">
        <f aca="false">IF($D554="","",IFERROR(INDEX(품목목록!$E$3:$E$302,MATCH($D554,품목목록!$A$3:$A$302,0)),""))</f>
        <v/>
      </c>
      <c r="I554" s="14"/>
      <c r="J554" s="10"/>
      <c r="K554" s="10"/>
      <c r="L554" s="10"/>
      <c r="M554" s="15" t="str">
        <f aca="false">IF($A554="","",SUMIFS(처리내역!$E$3:$E$1502,처리내역!$B$3:$B$1502,$A554))</f>
        <v/>
      </c>
      <c r="N554" s="15" t="str">
        <f aca="false">IF($A554="","",IF($I554="","",$I554-$M554))</f>
        <v/>
      </c>
      <c r="O554" s="12" t="str">
        <f aca="false">IF($A554="","",IF($I554="","",IF($M554=0,"미처리",IF($N554&lt;=0,"완료","부분처리"))))</f>
        <v/>
      </c>
    </row>
    <row r="555" customFormat="false" ht="15" hidden="false" customHeight="true" outlineLevel="0" collapsed="false">
      <c r="A555" s="12" t="str">
        <f aca="false">IF($B555="","",TEXT($B555,"yymm")&amp;"-"&amp;TEXT(COUNTIFS($B$3:$B555,"&gt;="&amp;DATE(YEAR($B555),MONTH($B555),1),$B$3:$B555,"&lt;="&amp;EOMONTH($B555,0)),"000"))</f>
        <v/>
      </c>
      <c r="B555" s="13"/>
      <c r="C555" s="10"/>
      <c r="D555" s="10"/>
      <c r="E555" s="12" t="str">
        <f aca="false">IF($D555="","",IFERROR(INDEX(품목목록!$B$3:$B$302,MATCH($D555,품목목록!$A$3:$A$302,0)),"미등록품번"))</f>
        <v/>
      </c>
      <c r="F555" s="12" t="str">
        <f aca="false">IF($D555="","",IFERROR(INDEX(품목목록!$C$3:$C$302,MATCH($D555,품목목록!$A$3:$A$302,0)),""))</f>
        <v/>
      </c>
      <c r="G555" s="12" t="str">
        <f aca="false">IF($D555="","",IFERROR(INDEX(품목목록!$D$3:$D$302,MATCH($D555,품목목록!$A$3:$A$302,0)),""))</f>
        <v/>
      </c>
      <c r="H555" s="12" t="str">
        <f aca="false">IF($D555="","",IFERROR(INDEX(품목목록!$E$3:$E$302,MATCH($D555,품목목록!$A$3:$A$302,0)),""))</f>
        <v/>
      </c>
      <c r="I555" s="14"/>
      <c r="J555" s="10"/>
      <c r="K555" s="10"/>
      <c r="L555" s="10"/>
      <c r="M555" s="15" t="str">
        <f aca="false">IF($A555="","",SUMIFS(처리내역!$E$3:$E$1502,처리내역!$B$3:$B$1502,$A555))</f>
        <v/>
      </c>
      <c r="N555" s="15" t="str">
        <f aca="false">IF($A555="","",IF($I555="","",$I555-$M555))</f>
        <v/>
      </c>
      <c r="O555" s="12" t="str">
        <f aca="false">IF($A555="","",IF($I555="","",IF($M555=0,"미처리",IF($N555&lt;=0,"완료","부분처리"))))</f>
        <v/>
      </c>
    </row>
    <row r="556" customFormat="false" ht="15" hidden="false" customHeight="true" outlineLevel="0" collapsed="false">
      <c r="A556" s="12" t="str">
        <f aca="false">IF($B556="","",TEXT($B556,"yymm")&amp;"-"&amp;TEXT(COUNTIFS($B$3:$B556,"&gt;="&amp;DATE(YEAR($B556),MONTH($B556),1),$B$3:$B556,"&lt;="&amp;EOMONTH($B556,0)),"000"))</f>
        <v/>
      </c>
      <c r="B556" s="13"/>
      <c r="C556" s="10"/>
      <c r="D556" s="10"/>
      <c r="E556" s="12" t="str">
        <f aca="false">IF($D556="","",IFERROR(INDEX(품목목록!$B$3:$B$302,MATCH($D556,품목목록!$A$3:$A$302,0)),"미등록품번"))</f>
        <v/>
      </c>
      <c r="F556" s="12" t="str">
        <f aca="false">IF($D556="","",IFERROR(INDEX(품목목록!$C$3:$C$302,MATCH($D556,품목목록!$A$3:$A$302,0)),""))</f>
        <v/>
      </c>
      <c r="G556" s="12" t="str">
        <f aca="false">IF($D556="","",IFERROR(INDEX(품목목록!$D$3:$D$302,MATCH($D556,품목목록!$A$3:$A$302,0)),""))</f>
        <v/>
      </c>
      <c r="H556" s="12" t="str">
        <f aca="false">IF($D556="","",IFERROR(INDEX(품목목록!$E$3:$E$302,MATCH($D556,품목목록!$A$3:$A$302,0)),""))</f>
        <v/>
      </c>
      <c r="I556" s="14"/>
      <c r="J556" s="10"/>
      <c r="K556" s="10"/>
      <c r="L556" s="10"/>
      <c r="M556" s="15" t="str">
        <f aca="false">IF($A556="","",SUMIFS(처리내역!$E$3:$E$1502,처리내역!$B$3:$B$1502,$A556))</f>
        <v/>
      </c>
      <c r="N556" s="15" t="str">
        <f aca="false">IF($A556="","",IF($I556="","",$I556-$M556))</f>
        <v/>
      </c>
      <c r="O556" s="12" t="str">
        <f aca="false">IF($A556="","",IF($I556="","",IF($M556=0,"미처리",IF($N556&lt;=0,"완료","부분처리"))))</f>
        <v/>
      </c>
    </row>
    <row r="557" customFormat="false" ht="15" hidden="false" customHeight="true" outlineLevel="0" collapsed="false">
      <c r="A557" s="12" t="str">
        <f aca="false">IF($B557="","",TEXT($B557,"yymm")&amp;"-"&amp;TEXT(COUNTIFS($B$3:$B557,"&gt;="&amp;DATE(YEAR($B557),MONTH($B557),1),$B$3:$B557,"&lt;="&amp;EOMONTH($B557,0)),"000"))</f>
        <v/>
      </c>
      <c r="B557" s="13"/>
      <c r="C557" s="10"/>
      <c r="D557" s="10"/>
      <c r="E557" s="12" t="str">
        <f aca="false">IF($D557="","",IFERROR(INDEX(품목목록!$B$3:$B$302,MATCH($D557,품목목록!$A$3:$A$302,0)),"미등록품번"))</f>
        <v/>
      </c>
      <c r="F557" s="12" t="str">
        <f aca="false">IF($D557="","",IFERROR(INDEX(품목목록!$C$3:$C$302,MATCH($D557,품목목록!$A$3:$A$302,0)),""))</f>
        <v/>
      </c>
      <c r="G557" s="12" t="str">
        <f aca="false">IF($D557="","",IFERROR(INDEX(품목목록!$D$3:$D$302,MATCH($D557,품목목록!$A$3:$A$302,0)),""))</f>
        <v/>
      </c>
      <c r="H557" s="12" t="str">
        <f aca="false">IF($D557="","",IFERROR(INDEX(품목목록!$E$3:$E$302,MATCH($D557,품목목록!$A$3:$A$302,0)),""))</f>
        <v/>
      </c>
      <c r="I557" s="14"/>
      <c r="J557" s="10"/>
      <c r="K557" s="10"/>
      <c r="L557" s="10"/>
      <c r="M557" s="15" t="str">
        <f aca="false">IF($A557="","",SUMIFS(처리내역!$E$3:$E$1502,처리내역!$B$3:$B$1502,$A557))</f>
        <v/>
      </c>
      <c r="N557" s="15" t="str">
        <f aca="false">IF($A557="","",IF($I557="","",$I557-$M557))</f>
        <v/>
      </c>
      <c r="O557" s="12" t="str">
        <f aca="false">IF($A557="","",IF($I557="","",IF($M557=0,"미처리",IF($N557&lt;=0,"완료","부분처리"))))</f>
        <v/>
      </c>
    </row>
    <row r="558" customFormat="false" ht="15" hidden="false" customHeight="true" outlineLevel="0" collapsed="false">
      <c r="A558" s="12" t="str">
        <f aca="false">IF($B558="","",TEXT($B558,"yymm")&amp;"-"&amp;TEXT(COUNTIFS($B$3:$B558,"&gt;="&amp;DATE(YEAR($B558),MONTH($B558),1),$B$3:$B558,"&lt;="&amp;EOMONTH($B558,0)),"000"))</f>
        <v/>
      </c>
      <c r="B558" s="13"/>
      <c r="C558" s="10"/>
      <c r="D558" s="10"/>
      <c r="E558" s="12" t="str">
        <f aca="false">IF($D558="","",IFERROR(INDEX(품목목록!$B$3:$B$302,MATCH($D558,품목목록!$A$3:$A$302,0)),"미등록품번"))</f>
        <v/>
      </c>
      <c r="F558" s="12" t="str">
        <f aca="false">IF($D558="","",IFERROR(INDEX(품목목록!$C$3:$C$302,MATCH($D558,품목목록!$A$3:$A$302,0)),""))</f>
        <v/>
      </c>
      <c r="G558" s="12" t="str">
        <f aca="false">IF($D558="","",IFERROR(INDEX(품목목록!$D$3:$D$302,MATCH($D558,품목목록!$A$3:$A$302,0)),""))</f>
        <v/>
      </c>
      <c r="H558" s="12" t="str">
        <f aca="false">IF($D558="","",IFERROR(INDEX(품목목록!$E$3:$E$302,MATCH($D558,품목목록!$A$3:$A$302,0)),""))</f>
        <v/>
      </c>
      <c r="I558" s="14"/>
      <c r="J558" s="10"/>
      <c r="K558" s="10"/>
      <c r="L558" s="10"/>
      <c r="M558" s="15" t="str">
        <f aca="false">IF($A558="","",SUMIFS(처리내역!$E$3:$E$1502,처리내역!$B$3:$B$1502,$A558))</f>
        <v/>
      </c>
      <c r="N558" s="15" t="str">
        <f aca="false">IF($A558="","",IF($I558="","",$I558-$M558))</f>
        <v/>
      </c>
      <c r="O558" s="12" t="str">
        <f aca="false">IF($A558="","",IF($I558="","",IF($M558=0,"미처리",IF($N558&lt;=0,"완료","부분처리"))))</f>
        <v/>
      </c>
    </row>
    <row r="559" customFormat="false" ht="15" hidden="false" customHeight="true" outlineLevel="0" collapsed="false">
      <c r="A559" s="12" t="str">
        <f aca="false">IF($B559="","",TEXT($B559,"yymm")&amp;"-"&amp;TEXT(COUNTIFS($B$3:$B559,"&gt;="&amp;DATE(YEAR($B559),MONTH($B559),1),$B$3:$B559,"&lt;="&amp;EOMONTH($B559,0)),"000"))</f>
        <v/>
      </c>
      <c r="B559" s="13"/>
      <c r="C559" s="10"/>
      <c r="D559" s="10"/>
      <c r="E559" s="12" t="str">
        <f aca="false">IF($D559="","",IFERROR(INDEX(품목목록!$B$3:$B$302,MATCH($D559,품목목록!$A$3:$A$302,0)),"미등록품번"))</f>
        <v/>
      </c>
      <c r="F559" s="12" t="str">
        <f aca="false">IF($D559="","",IFERROR(INDEX(품목목록!$C$3:$C$302,MATCH($D559,품목목록!$A$3:$A$302,0)),""))</f>
        <v/>
      </c>
      <c r="G559" s="12" t="str">
        <f aca="false">IF($D559="","",IFERROR(INDEX(품목목록!$D$3:$D$302,MATCH($D559,품목목록!$A$3:$A$302,0)),""))</f>
        <v/>
      </c>
      <c r="H559" s="12" t="str">
        <f aca="false">IF($D559="","",IFERROR(INDEX(품목목록!$E$3:$E$302,MATCH($D559,품목목록!$A$3:$A$302,0)),""))</f>
        <v/>
      </c>
      <c r="I559" s="14"/>
      <c r="J559" s="10"/>
      <c r="K559" s="10"/>
      <c r="L559" s="10"/>
      <c r="M559" s="15" t="str">
        <f aca="false">IF($A559="","",SUMIFS(처리내역!$E$3:$E$1502,처리내역!$B$3:$B$1502,$A559))</f>
        <v/>
      </c>
      <c r="N559" s="15" t="str">
        <f aca="false">IF($A559="","",IF($I559="","",$I559-$M559))</f>
        <v/>
      </c>
      <c r="O559" s="12" t="str">
        <f aca="false">IF($A559="","",IF($I559="","",IF($M559=0,"미처리",IF($N559&lt;=0,"완료","부분처리"))))</f>
        <v/>
      </c>
    </row>
    <row r="560" customFormat="false" ht="15" hidden="false" customHeight="true" outlineLevel="0" collapsed="false">
      <c r="A560" s="12" t="str">
        <f aca="false">IF($B560="","",TEXT($B560,"yymm")&amp;"-"&amp;TEXT(COUNTIFS($B$3:$B560,"&gt;="&amp;DATE(YEAR($B560),MONTH($B560),1),$B$3:$B560,"&lt;="&amp;EOMONTH($B560,0)),"000"))</f>
        <v/>
      </c>
      <c r="B560" s="13"/>
      <c r="C560" s="10"/>
      <c r="D560" s="10"/>
      <c r="E560" s="12" t="str">
        <f aca="false">IF($D560="","",IFERROR(INDEX(품목목록!$B$3:$B$302,MATCH($D560,품목목록!$A$3:$A$302,0)),"미등록품번"))</f>
        <v/>
      </c>
      <c r="F560" s="12" t="str">
        <f aca="false">IF($D560="","",IFERROR(INDEX(품목목록!$C$3:$C$302,MATCH($D560,품목목록!$A$3:$A$302,0)),""))</f>
        <v/>
      </c>
      <c r="G560" s="12" t="str">
        <f aca="false">IF($D560="","",IFERROR(INDEX(품목목록!$D$3:$D$302,MATCH($D560,품목목록!$A$3:$A$302,0)),""))</f>
        <v/>
      </c>
      <c r="H560" s="12" t="str">
        <f aca="false">IF($D560="","",IFERROR(INDEX(품목목록!$E$3:$E$302,MATCH($D560,품목목록!$A$3:$A$302,0)),""))</f>
        <v/>
      </c>
      <c r="I560" s="14"/>
      <c r="J560" s="10"/>
      <c r="K560" s="10"/>
      <c r="L560" s="10"/>
      <c r="M560" s="15" t="str">
        <f aca="false">IF($A560="","",SUMIFS(처리내역!$E$3:$E$1502,처리내역!$B$3:$B$1502,$A560))</f>
        <v/>
      </c>
      <c r="N560" s="15" t="str">
        <f aca="false">IF($A560="","",IF($I560="","",$I560-$M560))</f>
        <v/>
      </c>
      <c r="O560" s="12" t="str">
        <f aca="false">IF($A560="","",IF($I560="","",IF($M560=0,"미처리",IF($N560&lt;=0,"완료","부분처리"))))</f>
        <v/>
      </c>
    </row>
    <row r="561" customFormat="false" ht="15" hidden="false" customHeight="true" outlineLevel="0" collapsed="false">
      <c r="A561" s="12" t="str">
        <f aca="false">IF($B561="","",TEXT($B561,"yymm")&amp;"-"&amp;TEXT(COUNTIFS($B$3:$B561,"&gt;="&amp;DATE(YEAR($B561),MONTH($B561),1),$B$3:$B561,"&lt;="&amp;EOMONTH($B561,0)),"000"))</f>
        <v/>
      </c>
      <c r="B561" s="13"/>
      <c r="C561" s="10"/>
      <c r="D561" s="10"/>
      <c r="E561" s="12" t="str">
        <f aca="false">IF($D561="","",IFERROR(INDEX(품목목록!$B$3:$B$302,MATCH($D561,품목목록!$A$3:$A$302,0)),"미등록품번"))</f>
        <v/>
      </c>
      <c r="F561" s="12" t="str">
        <f aca="false">IF($D561="","",IFERROR(INDEX(품목목록!$C$3:$C$302,MATCH($D561,품목목록!$A$3:$A$302,0)),""))</f>
        <v/>
      </c>
      <c r="G561" s="12" t="str">
        <f aca="false">IF($D561="","",IFERROR(INDEX(품목목록!$D$3:$D$302,MATCH($D561,품목목록!$A$3:$A$302,0)),""))</f>
        <v/>
      </c>
      <c r="H561" s="12" t="str">
        <f aca="false">IF($D561="","",IFERROR(INDEX(품목목록!$E$3:$E$302,MATCH($D561,품목목록!$A$3:$A$302,0)),""))</f>
        <v/>
      </c>
      <c r="I561" s="14"/>
      <c r="J561" s="10"/>
      <c r="K561" s="10"/>
      <c r="L561" s="10"/>
      <c r="M561" s="15" t="str">
        <f aca="false">IF($A561="","",SUMIFS(처리내역!$E$3:$E$1502,처리내역!$B$3:$B$1502,$A561))</f>
        <v/>
      </c>
      <c r="N561" s="15" t="str">
        <f aca="false">IF($A561="","",IF($I561="","",$I561-$M561))</f>
        <v/>
      </c>
      <c r="O561" s="12" t="str">
        <f aca="false">IF($A561="","",IF($I561="","",IF($M561=0,"미처리",IF($N561&lt;=0,"완료","부분처리"))))</f>
        <v/>
      </c>
    </row>
    <row r="562" customFormat="false" ht="15" hidden="false" customHeight="true" outlineLevel="0" collapsed="false">
      <c r="A562" s="12" t="str">
        <f aca="false">IF($B562="","",TEXT($B562,"yymm")&amp;"-"&amp;TEXT(COUNTIFS($B$3:$B562,"&gt;="&amp;DATE(YEAR($B562),MONTH($B562),1),$B$3:$B562,"&lt;="&amp;EOMONTH($B562,0)),"000"))</f>
        <v/>
      </c>
      <c r="B562" s="13"/>
      <c r="C562" s="10"/>
      <c r="D562" s="10"/>
      <c r="E562" s="12" t="str">
        <f aca="false">IF($D562="","",IFERROR(INDEX(품목목록!$B$3:$B$302,MATCH($D562,품목목록!$A$3:$A$302,0)),"미등록품번"))</f>
        <v/>
      </c>
      <c r="F562" s="12" t="str">
        <f aca="false">IF($D562="","",IFERROR(INDEX(품목목록!$C$3:$C$302,MATCH($D562,품목목록!$A$3:$A$302,0)),""))</f>
        <v/>
      </c>
      <c r="G562" s="12" t="str">
        <f aca="false">IF($D562="","",IFERROR(INDEX(품목목록!$D$3:$D$302,MATCH($D562,품목목록!$A$3:$A$302,0)),""))</f>
        <v/>
      </c>
      <c r="H562" s="12" t="str">
        <f aca="false">IF($D562="","",IFERROR(INDEX(품목목록!$E$3:$E$302,MATCH($D562,품목목록!$A$3:$A$302,0)),""))</f>
        <v/>
      </c>
      <c r="I562" s="14"/>
      <c r="J562" s="10"/>
      <c r="K562" s="10"/>
      <c r="L562" s="10"/>
      <c r="M562" s="15" t="str">
        <f aca="false">IF($A562="","",SUMIFS(처리내역!$E$3:$E$1502,처리내역!$B$3:$B$1502,$A562))</f>
        <v/>
      </c>
      <c r="N562" s="15" t="str">
        <f aca="false">IF($A562="","",IF($I562="","",$I562-$M562))</f>
        <v/>
      </c>
      <c r="O562" s="12" t="str">
        <f aca="false">IF($A562="","",IF($I562="","",IF($M562=0,"미처리",IF($N562&lt;=0,"완료","부분처리"))))</f>
        <v/>
      </c>
    </row>
    <row r="563" customFormat="false" ht="15" hidden="false" customHeight="true" outlineLevel="0" collapsed="false">
      <c r="A563" s="12" t="str">
        <f aca="false">IF($B563="","",TEXT($B563,"yymm")&amp;"-"&amp;TEXT(COUNTIFS($B$3:$B563,"&gt;="&amp;DATE(YEAR($B563),MONTH($B563),1),$B$3:$B563,"&lt;="&amp;EOMONTH($B563,0)),"000"))</f>
        <v/>
      </c>
      <c r="B563" s="13"/>
      <c r="C563" s="10"/>
      <c r="D563" s="10"/>
      <c r="E563" s="12" t="str">
        <f aca="false">IF($D563="","",IFERROR(INDEX(품목목록!$B$3:$B$302,MATCH($D563,품목목록!$A$3:$A$302,0)),"미등록품번"))</f>
        <v/>
      </c>
      <c r="F563" s="12" t="str">
        <f aca="false">IF($D563="","",IFERROR(INDEX(품목목록!$C$3:$C$302,MATCH($D563,품목목록!$A$3:$A$302,0)),""))</f>
        <v/>
      </c>
      <c r="G563" s="12" t="str">
        <f aca="false">IF($D563="","",IFERROR(INDEX(품목목록!$D$3:$D$302,MATCH($D563,품목목록!$A$3:$A$302,0)),""))</f>
        <v/>
      </c>
      <c r="H563" s="12" t="str">
        <f aca="false">IF($D563="","",IFERROR(INDEX(품목목록!$E$3:$E$302,MATCH($D563,품목목록!$A$3:$A$302,0)),""))</f>
        <v/>
      </c>
      <c r="I563" s="14"/>
      <c r="J563" s="10"/>
      <c r="K563" s="10"/>
      <c r="L563" s="10"/>
      <c r="M563" s="15" t="str">
        <f aca="false">IF($A563="","",SUMIFS(처리내역!$E$3:$E$1502,처리내역!$B$3:$B$1502,$A563))</f>
        <v/>
      </c>
      <c r="N563" s="15" t="str">
        <f aca="false">IF($A563="","",IF($I563="","",$I563-$M563))</f>
        <v/>
      </c>
      <c r="O563" s="12" t="str">
        <f aca="false">IF($A563="","",IF($I563="","",IF($M563=0,"미처리",IF($N563&lt;=0,"완료","부분처리"))))</f>
        <v/>
      </c>
    </row>
    <row r="564" customFormat="false" ht="15" hidden="false" customHeight="true" outlineLevel="0" collapsed="false">
      <c r="A564" s="12" t="str">
        <f aca="false">IF($B564="","",TEXT($B564,"yymm")&amp;"-"&amp;TEXT(COUNTIFS($B$3:$B564,"&gt;="&amp;DATE(YEAR($B564),MONTH($B564),1),$B$3:$B564,"&lt;="&amp;EOMONTH($B564,0)),"000"))</f>
        <v/>
      </c>
      <c r="B564" s="13"/>
      <c r="C564" s="10"/>
      <c r="D564" s="10"/>
      <c r="E564" s="12" t="str">
        <f aca="false">IF($D564="","",IFERROR(INDEX(품목목록!$B$3:$B$302,MATCH($D564,품목목록!$A$3:$A$302,0)),"미등록품번"))</f>
        <v/>
      </c>
      <c r="F564" s="12" t="str">
        <f aca="false">IF($D564="","",IFERROR(INDEX(품목목록!$C$3:$C$302,MATCH($D564,품목목록!$A$3:$A$302,0)),""))</f>
        <v/>
      </c>
      <c r="G564" s="12" t="str">
        <f aca="false">IF($D564="","",IFERROR(INDEX(품목목록!$D$3:$D$302,MATCH($D564,품목목록!$A$3:$A$302,0)),""))</f>
        <v/>
      </c>
      <c r="H564" s="12" t="str">
        <f aca="false">IF($D564="","",IFERROR(INDEX(품목목록!$E$3:$E$302,MATCH($D564,품목목록!$A$3:$A$302,0)),""))</f>
        <v/>
      </c>
      <c r="I564" s="14"/>
      <c r="J564" s="10"/>
      <c r="K564" s="10"/>
      <c r="L564" s="10"/>
      <c r="M564" s="15" t="str">
        <f aca="false">IF($A564="","",SUMIFS(처리내역!$E$3:$E$1502,처리내역!$B$3:$B$1502,$A564))</f>
        <v/>
      </c>
      <c r="N564" s="15" t="str">
        <f aca="false">IF($A564="","",IF($I564="","",$I564-$M564))</f>
        <v/>
      </c>
      <c r="O564" s="12" t="str">
        <f aca="false">IF($A564="","",IF($I564="","",IF($M564=0,"미처리",IF($N564&lt;=0,"완료","부분처리"))))</f>
        <v/>
      </c>
    </row>
    <row r="565" customFormat="false" ht="15" hidden="false" customHeight="true" outlineLevel="0" collapsed="false">
      <c r="A565" s="12" t="str">
        <f aca="false">IF($B565="","",TEXT($B565,"yymm")&amp;"-"&amp;TEXT(COUNTIFS($B$3:$B565,"&gt;="&amp;DATE(YEAR($B565),MONTH($B565),1),$B$3:$B565,"&lt;="&amp;EOMONTH($B565,0)),"000"))</f>
        <v/>
      </c>
      <c r="B565" s="13"/>
      <c r="C565" s="10"/>
      <c r="D565" s="10"/>
      <c r="E565" s="12" t="str">
        <f aca="false">IF($D565="","",IFERROR(INDEX(품목목록!$B$3:$B$302,MATCH($D565,품목목록!$A$3:$A$302,0)),"미등록품번"))</f>
        <v/>
      </c>
      <c r="F565" s="12" t="str">
        <f aca="false">IF($D565="","",IFERROR(INDEX(품목목록!$C$3:$C$302,MATCH($D565,품목목록!$A$3:$A$302,0)),""))</f>
        <v/>
      </c>
      <c r="G565" s="12" t="str">
        <f aca="false">IF($D565="","",IFERROR(INDEX(품목목록!$D$3:$D$302,MATCH($D565,품목목록!$A$3:$A$302,0)),""))</f>
        <v/>
      </c>
      <c r="H565" s="12" t="str">
        <f aca="false">IF($D565="","",IFERROR(INDEX(품목목록!$E$3:$E$302,MATCH($D565,품목목록!$A$3:$A$302,0)),""))</f>
        <v/>
      </c>
      <c r="I565" s="14"/>
      <c r="J565" s="10"/>
      <c r="K565" s="10"/>
      <c r="L565" s="10"/>
      <c r="M565" s="15" t="str">
        <f aca="false">IF($A565="","",SUMIFS(처리내역!$E$3:$E$1502,처리내역!$B$3:$B$1502,$A565))</f>
        <v/>
      </c>
      <c r="N565" s="15" t="str">
        <f aca="false">IF($A565="","",IF($I565="","",$I565-$M565))</f>
        <v/>
      </c>
      <c r="O565" s="12" t="str">
        <f aca="false">IF($A565="","",IF($I565="","",IF($M565=0,"미처리",IF($N565&lt;=0,"완료","부분처리"))))</f>
        <v/>
      </c>
    </row>
    <row r="566" customFormat="false" ht="15" hidden="false" customHeight="true" outlineLevel="0" collapsed="false">
      <c r="A566" s="12" t="str">
        <f aca="false">IF($B566="","",TEXT($B566,"yymm")&amp;"-"&amp;TEXT(COUNTIFS($B$3:$B566,"&gt;="&amp;DATE(YEAR($B566),MONTH($B566),1),$B$3:$B566,"&lt;="&amp;EOMONTH($B566,0)),"000"))</f>
        <v/>
      </c>
      <c r="B566" s="13"/>
      <c r="C566" s="10"/>
      <c r="D566" s="10"/>
      <c r="E566" s="12" t="str">
        <f aca="false">IF($D566="","",IFERROR(INDEX(품목목록!$B$3:$B$302,MATCH($D566,품목목록!$A$3:$A$302,0)),"미등록품번"))</f>
        <v/>
      </c>
      <c r="F566" s="12" t="str">
        <f aca="false">IF($D566="","",IFERROR(INDEX(품목목록!$C$3:$C$302,MATCH($D566,품목목록!$A$3:$A$302,0)),""))</f>
        <v/>
      </c>
      <c r="G566" s="12" t="str">
        <f aca="false">IF($D566="","",IFERROR(INDEX(품목목록!$D$3:$D$302,MATCH($D566,품목목록!$A$3:$A$302,0)),""))</f>
        <v/>
      </c>
      <c r="H566" s="12" t="str">
        <f aca="false">IF($D566="","",IFERROR(INDEX(품목목록!$E$3:$E$302,MATCH($D566,품목목록!$A$3:$A$302,0)),""))</f>
        <v/>
      </c>
      <c r="I566" s="14"/>
      <c r="J566" s="10"/>
      <c r="K566" s="10"/>
      <c r="L566" s="10"/>
      <c r="M566" s="15" t="str">
        <f aca="false">IF($A566="","",SUMIFS(처리내역!$E$3:$E$1502,처리내역!$B$3:$B$1502,$A566))</f>
        <v/>
      </c>
      <c r="N566" s="15" t="str">
        <f aca="false">IF($A566="","",IF($I566="","",$I566-$M566))</f>
        <v/>
      </c>
      <c r="O566" s="12" t="str">
        <f aca="false">IF($A566="","",IF($I566="","",IF($M566=0,"미처리",IF($N566&lt;=0,"완료","부분처리"))))</f>
        <v/>
      </c>
    </row>
    <row r="567" customFormat="false" ht="15" hidden="false" customHeight="true" outlineLevel="0" collapsed="false">
      <c r="A567" s="12" t="str">
        <f aca="false">IF($B567="","",TEXT($B567,"yymm")&amp;"-"&amp;TEXT(COUNTIFS($B$3:$B567,"&gt;="&amp;DATE(YEAR($B567),MONTH($B567),1),$B$3:$B567,"&lt;="&amp;EOMONTH($B567,0)),"000"))</f>
        <v/>
      </c>
      <c r="B567" s="13"/>
      <c r="C567" s="10"/>
      <c r="D567" s="10"/>
      <c r="E567" s="12" t="str">
        <f aca="false">IF($D567="","",IFERROR(INDEX(품목목록!$B$3:$B$302,MATCH($D567,품목목록!$A$3:$A$302,0)),"미등록품번"))</f>
        <v/>
      </c>
      <c r="F567" s="12" t="str">
        <f aca="false">IF($D567="","",IFERROR(INDEX(품목목록!$C$3:$C$302,MATCH($D567,품목목록!$A$3:$A$302,0)),""))</f>
        <v/>
      </c>
      <c r="G567" s="12" t="str">
        <f aca="false">IF($D567="","",IFERROR(INDEX(품목목록!$D$3:$D$302,MATCH($D567,품목목록!$A$3:$A$302,0)),""))</f>
        <v/>
      </c>
      <c r="H567" s="12" t="str">
        <f aca="false">IF($D567="","",IFERROR(INDEX(품목목록!$E$3:$E$302,MATCH($D567,품목목록!$A$3:$A$302,0)),""))</f>
        <v/>
      </c>
      <c r="I567" s="14"/>
      <c r="J567" s="10"/>
      <c r="K567" s="10"/>
      <c r="L567" s="10"/>
      <c r="M567" s="15" t="str">
        <f aca="false">IF($A567="","",SUMIFS(처리내역!$E$3:$E$1502,처리내역!$B$3:$B$1502,$A567))</f>
        <v/>
      </c>
      <c r="N567" s="15" t="str">
        <f aca="false">IF($A567="","",IF($I567="","",$I567-$M567))</f>
        <v/>
      </c>
      <c r="O567" s="12" t="str">
        <f aca="false">IF($A567="","",IF($I567="","",IF($M567=0,"미처리",IF($N567&lt;=0,"완료","부분처리"))))</f>
        <v/>
      </c>
    </row>
    <row r="568" customFormat="false" ht="15" hidden="false" customHeight="true" outlineLevel="0" collapsed="false">
      <c r="A568" s="12" t="str">
        <f aca="false">IF($B568="","",TEXT($B568,"yymm")&amp;"-"&amp;TEXT(COUNTIFS($B$3:$B568,"&gt;="&amp;DATE(YEAR($B568),MONTH($B568),1),$B$3:$B568,"&lt;="&amp;EOMONTH($B568,0)),"000"))</f>
        <v/>
      </c>
      <c r="B568" s="13"/>
      <c r="C568" s="10"/>
      <c r="D568" s="10"/>
      <c r="E568" s="12" t="str">
        <f aca="false">IF($D568="","",IFERROR(INDEX(품목목록!$B$3:$B$302,MATCH($D568,품목목록!$A$3:$A$302,0)),"미등록품번"))</f>
        <v/>
      </c>
      <c r="F568" s="12" t="str">
        <f aca="false">IF($D568="","",IFERROR(INDEX(품목목록!$C$3:$C$302,MATCH($D568,품목목록!$A$3:$A$302,0)),""))</f>
        <v/>
      </c>
      <c r="G568" s="12" t="str">
        <f aca="false">IF($D568="","",IFERROR(INDEX(품목목록!$D$3:$D$302,MATCH($D568,품목목록!$A$3:$A$302,0)),""))</f>
        <v/>
      </c>
      <c r="H568" s="12" t="str">
        <f aca="false">IF($D568="","",IFERROR(INDEX(품목목록!$E$3:$E$302,MATCH($D568,품목목록!$A$3:$A$302,0)),""))</f>
        <v/>
      </c>
      <c r="I568" s="14"/>
      <c r="J568" s="10"/>
      <c r="K568" s="10"/>
      <c r="L568" s="10"/>
      <c r="M568" s="15" t="str">
        <f aca="false">IF($A568="","",SUMIFS(처리내역!$E$3:$E$1502,처리내역!$B$3:$B$1502,$A568))</f>
        <v/>
      </c>
      <c r="N568" s="15" t="str">
        <f aca="false">IF($A568="","",IF($I568="","",$I568-$M568))</f>
        <v/>
      </c>
      <c r="O568" s="12" t="str">
        <f aca="false">IF($A568="","",IF($I568="","",IF($M568=0,"미처리",IF($N568&lt;=0,"완료","부분처리"))))</f>
        <v/>
      </c>
    </row>
    <row r="569" customFormat="false" ht="15" hidden="false" customHeight="true" outlineLevel="0" collapsed="false">
      <c r="A569" s="12" t="str">
        <f aca="false">IF($B569="","",TEXT($B569,"yymm")&amp;"-"&amp;TEXT(COUNTIFS($B$3:$B569,"&gt;="&amp;DATE(YEAR($B569),MONTH($B569),1),$B$3:$B569,"&lt;="&amp;EOMONTH($B569,0)),"000"))</f>
        <v/>
      </c>
      <c r="B569" s="13"/>
      <c r="C569" s="10"/>
      <c r="D569" s="10"/>
      <c r="E569" s="12" t="str">
        <f aca="false">IF($D569="","",IFERROR(INDEX(품목목록!$B$3:$B$302,MATCH($D569,품목목록!$A$3:$A$302,0)),"미등록품번"))</f>
        <v/>
      </c>
      <c r="F569" s="12" t="str">
        <f aca="false">IF($D569="","",IFERROR(INDEX(품목목록!$C$3:$C$302,MATCH($D569,품목목록!$A$3:$A$302,0)),""))</f>
        <v/>
      </c>
      <c r="G569" s="12" t="str">
        <f aca="false">IF($D569="","",IFERROR(INDEX(품목목록!$D$3:$D$302,MATCH($D569,품목목록!$A$3:$A$302,0)),""))</f>
        <v/>
      </c>
      <c r="H569" s="12" t="str">
        <f aca="false">IF($D569="","",IFERROR(INDEX(품목목록!$E$3:$E$302,MATCH($D569,품목목록!$A$3:$A$302,0)),""))</f>
        <v/>
      </c>
      <c r="I569" s="14"/>
      <c r="J569" s="10"/>
      <c r="K569" s="10"/>
      <c r="L569" s="10"/>
      <c r="M569" s="15" t="str">
        <f aca="false">IF($A569="","",SUMIFS(처리내역!$E$3:$E$1502,처리내역!$B$3:$B$1502,$A569))</f>
        <v/>
      </c>
      <c r="N569" s="15" t="str">
        <f aca="false">IF($A569="","",IF($I569="","",$I569-$M569))</f>
        <v/>
      </c>
      <c r="O569" s="12" t="str">
        <f aca="false">IF($A569="","",IF($I569="","",IF($M569=0,"미처리",IF($N569&lt;=0,"완료","부분처리"))))</f>
        <v/>
      </c>
    </row>
    <row r="570" customFormat="false" ht="15" hidden="false" customHeight="true" outlineLevel="0" collapsed="false">
      <c r="A570" s="12" t="str">
        <f aca="false">IF($B570="","",TEXT($B570,"yymm")&amp;"-"&amp;TEXT(COUNTIFS($B$3:$B570,"&gt;="&amp;DATE(YEAR($B570),MONTH($B570),1),$B$3:$B570,"&lt;="&amp;EOMONTH($B570,0)),"000"))</f>
        <v/>
      </c>
      <c r="B570" s="13"/>
      <c r="C570" s="10"/>
      <c r="D570" s="10"/>
      <c r="E570" s="12" t="str">
        <f aca="false">IF($D570="","",IFERROR(INDEX(품목목록!$B$3:$B$302,MATCH($D570,품목목록!$A$3:$A$302,0)),"미등록품번"))</f>
        <v/>
      </c>
      <c r="F570" s="12" t="str">
        <f aca="false">IF($D570="","",IFERROR(INDEX(품목목록!$C$3:$C$302,MATCH($D570,품목목록!$A$3:$A$302,0)),""))</f>
        <v/>
      </c>
      <c r="G570" s="12" t="str">
        <f aca="false">IF($D570="","",IFERROR(INDEX(품목목록!$D$3:$D$302,MATCH($D570,품목목록!$A$3:$A$302,0)),""))</f>
        <v/>
      </c>
      <c r="H570" s="12" t="str">
        <f aca="false">IF($D570="","",IFERROR(INDEX(품목목록!$E$3:$E$302,MATCH($D570,품목목록!$A$3:$A$302,0)),""))</f>
        <v/>
      </c>
      <c r="I570" s="14"/>
      <c r="J570" s="10"/>
      <c r="K570" s="10"/>
      <c r="L570" s="10"/>
      <c r="M570" s="15" t="str">
        <f aca="false">IF($A570="","",SUMIFS(처리내역!$E$3:$E$1502,처리내역!$B$3:$B$1502,$A570))</f>
        <v/>
      </c>
      <c r="N570" s="15" t="str">
        <f aca="false">IF($A570="","",IF($I570="","",$I570-$M570))</f>
        <v/>
      </c>
      <c r="O570" s="12" t="str">
        <f aca="false">IF($A570="","",IF($I570="","",IF($M570=0,"미처리",IF($N570&lt;=0,"완료","부분처리"))))</f>
        <v/>
      </c>
    </row>
    <row r="571" customFormat="false" ht="15" hidden="false" customHeight="true" outlineLevel="0" collapsed="false">
      <c r="A571" s="12" t="str">
        <f aca="false">IF($B571="","",TEXT($B571,"yymm")&amp;"-"&amp;TEXT(COUNTIFS($B$3:$B571,"&gt;="&amp;DATE(YEAR($B571),MONTH($B571),1),$B$3:$B571,"&lt;="&amp;EOMONTH($B571,0)),"000"))</f>
        <v/>
      </c>
      <c r="B571" s="13"/>
      <c r="C571" s="10"/>
      <c r="D571" s="10"/>
      <c r="E571" s="12" t="str">
        <f aca="false">IF($D571="","",IFERROR(INDEX(품목목록!$B$3:$B$302,MATCH($D571,품목목록!$A$3:$A$302,0)),"미등록품번"))</f>
        <v/>
      </c>
      <c r="F571" s="12" t="str">
        <f aca="false">IF($D571="","",IFERROR(INDEX(품목목록!$C$3:$C$302,MATCH($D571,품목목록!$A$3:$A$302,0)),""))</f>
        <v/>
      </c>
      <c r="G571" s="12" t="str">
        <f aca="false">IF($D571="","",IFERROR(INDEX(품목목록!$D$3:$D$302,MATCH($D571,품목목록!$A$3:$A$302,0)),""))</f>
        <v/>
      </c>
      <c r="H571" s="12" t="str">
        <f aca="false">IF($D571="","",IFERROR(INDEX(품목목록!$E$3:$E$302,MATCH($D571,품목목록!$A$3:$A$302,0)),""))</f>
        <v/>
      </c>
      <c r="I571" s="14"/>
      <c r="J571" s="10"/>
      <c r="K571" s="10"/>
      <c r="L571" s="10"/>
      <c r="M571" s="15" t="str">
        <f aca="false">IF($A571="","",SUMIFS(처리내역!$E$3:$E$1502,처리내역!$B$3:$B$1502,$A571))</f>
        <v/>
      </c>
      <c r="N571" s="15" t="str">
        <f aca="false">IF($A571="","",IF($I571="","",$I571-$M571))</f>
        <v/>
      </c>
      <c r="O571" s="12" t="str">
        <f aca="false">IF($A571="","",IF($I571="","",IF($M571=0,"미처리",IF($N571&lt;=0,"완료","부분처리"))))</f>
        <v/>
      </c>
    </row>
    <row r="572" customFormat="false" ht="15" hidden="false" customHeight="true" outlineLevel="0" collapsed="false">
      <c r="A572" s="12" t="str">
        <f aca="false">IF($B572="","",TEXT($B572,"yymm")&amp;"-"&amp;TEXT(COUNTIFS($B$3:$B572,"&gt;="&amp;DATE(YEAR($B572),MONTH($B572),1),$B$3:$B572,"&lt;="&amp;EOMONTH($B572,0)),"000"))</f>
        <v/>
      </c>
      <c r="B572" s="13"/>
      <c r="C572" s="10"/>
      <c r="D572" s="10"/>
      <c r="E572" s="12" t="str">
        <f aca="false">IF($D572="","",IFERROR(INDEX(품목목록!$B$3:$B$302,MATCH($D572,품목목록!$A$3:$A$302,0)),"미등록품번"))</f>
        <v/>
      </c>
      <c r="F572" s="12" t="str">
        <f aca="false">IF($D572="","",IFERROR(INDEX(품목목록!$C$3:$C$302,MATCH($D572,품목목록!$A$3:$A$302,0)),""))</f>
        <v/>
      </c>
      <c r="G572" s="12" t="str">
        <f aca="false">IF($D572="","",IFERROR(INDEX(품목목록!$D$3:$D$302,MATCH($D572,품목목록!$A$3:$A$302,0)),""))</f>
        <v/>
      </c>
      <c r="H572" s="12" t="str">
        <f aca="false">IF($D572="","",IFERROR(INDEX(품목목록!$E$3:$E$302,MATCH($D572,품목목록!$A$3:$A$302,0)),""))</f>
        <v/>
      </c>
      <c r="I572" s="14"/>
      <c r="J572" s="10"/>
      <c r="K572" s="10"/>
      <c r="L572" s="10"/>
      <c r="M572" s="15" t="str">
        <f aca="false">IF($A572="","",SUMIFS(처리내역!$E$3:$E$1502,처리내역!$B$3:$B$1502,$A572))</f>
        <v/>
      </c>
      <c r="N572" s="15" t="str">
        <f aca="false">IF($A572="","",IF($I572="","",$I572-$M572))</f>
        <v/>
      </c>
      <c r="O572" s="12" t="str">
        <f aca="false">IF($A572="","",IF($I572="","",IF($M572=0,"미처리",IF($N572&lt;=0,"완료","부분처리"))))</f>
        <v/>
      </c>
    </row>
    <row r="573" customFormat="false" ht="15" hidden="false" customHeight="true" outlineLevel="0" collapsed="false">
      <c r="A573" s="12" t="str">
        <f aca="false">IF($B573="","",TEXT($B573,"yymm")&amp;"-"&amp;TEXT(COUNTIFS($B$3:$B573,"&gt;="&amp;DATE(YEAR($B573),MONTH($B573),1),$B$3:$B573,"&lt;="&amp;EOMONTH($B573,0)),"000"))</f>
        <v/>
      </c>
      <c r="B573" s="13"/>
      <c r="C573" s="10"/>
      <c r="D573" s="10"/>
      <c r="E573" s="12" t="str">
        <f aca="false">IF($D573="","",IFERROR(INDEX(품목목록!$B$3:$B$302,MATCH($D573,품목목록!$A$3:$A$302,0)),"미등록품번"))</f>
        <v/>
      </c>
      <c r="F573" s="12" t="str">
        <f aca="false">IF($D573="","",IFERROR(INDEX(품목목록!$C$3:$C$302,MATCH($D573,품목목록!$A$3:$A$302,0)),""))</f>
        <v/>
      </c>
      <c r="G573" s="12" t="str">
        <f aca="false">IF($D573="","",IFERROR(INDEX(품목목록!$D$3:$D$302,MATCH($D573,품목목록!$A$3:$A$302,0)),""))</f>
        <v/>
      </c>
      <c r="H573" s="12" t="str">
        <f aca="false">IF($D573="","",IFERROR(INDEX(품목목록!$E$3:$E$302,MATCH($D573,품목목록!$A$3:$A$302,0)),""))</f>
        <v/>
      </c>
      <c r="I573" s="14"/>
      <c r="J573" s="10"/>
      <c r="K573" s="10"/>
      <c r="L573" s="10"/>
      <c r="M573" s="15" t="str">
        <f aca="false">IF($A573="","",SUMIFS(처리내역!$E$3:$E$1502,처리내역!$B$3:$B$1502,$A573))</f>
        <v/>
      </c>
      <c r="N573" s="15" t="str">
        <f aca="false">IF($A573="","",IF($I573="","",$I573-$M573))</f>
        <v/>
      </c>
      <c r="O573" s="12" t="str">
        <f aca="false">IF($A573="","",IF($I573="","",IF($M573=0,"미처리",IF($N573&lt;=0,"완료","부분처리"))))</f>
        <v/>
      </c>
    </row>
    <row r="574" customFormat="false" ht="15" hidden="false" customHeight="true" outlineLevel="0" collapsed="false">
      <c r="A574" s="12" t="str">
        <f aca="false">IF($B574="","",TEXT($B574,"yymm")&amp;"-"&amp;TEXT(COUNTIFS($B$3:$B574,"&gt;="&amp;DATE(YEAR($B574),MONTH($B574),1),$B$3:$B574,"&lt;="&amp;EOMONTH($B574,0)),"000"))</f>
        <v/>
      </c>
      <c r="B574" s="13"/>
      <c r="C574" s="10"/>
      <c r="D574" s="10"/>
      <c r="E574" s="12" t="str">
        <f aca="false">IF($D574="","",IFERROR(INDEX(품목목록!$B$3:$B$302,MATCH($D574,품목목록!$A$3:$A$302,0)),"미등록품번"))</f>
        <v/>
      </c>
      <c r="F574" s="12" t="str">
        <f aca="false">IF($D574="","",IFERROR(INDEX(품목목록!$C$3:$C$302,MATCH($D574,품목목록!$A$3:$A$302,0)),""))</f>
        <v/>
      </c>
      <c r="G574" s="12" t="str">
        <f aca="false">IF($D574="","",IFERROR(INDEX(품목목록!$D$3:$D$302,MATCH($D574,품목목록!$A$3:$A$302,0)),""))</f>
        <v/>
      </c>
      <c r="H574" s="12" t="str">
        <f aca="false">IF($D574="","",IFERROR(INDEX(품목목록!$E$3:$E$302,MATCH($D574,품목목록!$A$3:$A$302,0)),""))</f>
        <v/>
      </c>
      <c r="I574" s="14"/>
      <c r="J574" s="10"/>
      <c r="K574" s="10"/>
      <c r="L574" s="10"/>
      <c r="M574" s="15" t="str">
        <f aca="false">IF($A574="","",SUMIFS(처리내역!$E$3:$E$1502,처리내역!$B$3:$B$1502,$A574))</f>
        <v/>
      </c>
      <c r="N574" s="15" t="str">
        <f aca="false">IF($A574="","",IF($I574="","",$I574-$M574))</f>
        <v/>
      </c>
      <c r="O574" s="12" t="str">
        <f aca="false">IF($A574="","",IF($I574="","",IF($M574=0,"미처리",IF($N574&lt;=0,"완료","부분처리"))))</f>
        <v/>
      </c>
    </row>
    <row r="575" customFormat="false" ht="15" hidden="false" customHeight="true" outlineLevel="0" collapsed="false">
      <c r="A575" s="12" t="str">
        <f aca="false">IF($B575="","",TEXT($B575,"yymm")&amp;"-"&amp;TEXT(COUNTIFS($B$3:$B575,"&gt;="&amp;DATE(YEAR($B575),MONTH($B575),1),$B$3:$B575,"&lt;="&amp;EOMONTH($B575,0)),"000"))</f>
        <v/>
      </c>
      <c r="B575" s="13"/>
      <c r="C575" s="10"/>
      <c r="D575" s="10"/>
      <c r="E575" s="12" t="str">
        <f aca="false">IF($D575="","",IFERROR(INDEX(품목목록!$B$3:$B$302,MATCH($D575,품목목록!$A$3:$A$302,0)),"미등록품번"))</f>
        <v/>
      </c>
      <c r="F575" s="12" t="str">
        <f aca="false">IF($D575="","",IFERROR(INDEX(품목목록!$C$3:$C$302,MATCH($D575,품목목록!$A$3:$A$302,0)),""))</f>
        <v/>
      </c>
      <c r="G575" s="12" t="str">
        <f aca="false">IF($D575="","",IFERROR(INDEX(품목목록!$D$3:$D$302,MATCH($D575,품목목록!$A$3:$A$302,0)),""))</f>
        <v/>
      </c>
      <c r="H575" s="12" t="str">
        <f aca="false">IF($D575="","",IFERROR(INDEX(품목목록!$E$3:$E$302,MATCH($D575,품목목록!$A$3:$A$302,0)),""))</f>
        <v/>
      </c>
      <c r="I575" s="14"/>
      <c r="J575" s="10"/>
      <c r="K575" s="10"/>
      <c r="L575" s="10"/>
      <c r="M575" s="15" t="str">
        <f aca="false">IF($A575="","",SUMIFS(처리내역!$E$3:$E$1502,처리내역!$B$3:$B$1502,$A575))</f>
        <v/>
      </c>
      <c r="N575" s="15" t="str">
        <f aca="false">IF($A575="","",IF($I575="","",$I575-$M575))</f>
        <v/>
      </c>
      <c r="O575" s="12" t="str">
        <f aca="false">IF($A575="","",IF($I575="","",IF($M575=0,"미처리",IF($N575&lt;=0,"완료","부분처리"))))</f>
        <v/>
      </c>
    </row>
    <row r="576" customFormat="false" ht="15" hidden="false" customHeight="true" outlineLevel="0" collapsed="false">
      <c r="A576" s="12" t="str">
        <f aca="false">IF($B576="","",TEXT($B576,"yymm")&amp;"-"&amp;TEXT(COUNTIFS($B$3:$B576,"&gt;="&amp;DATE(YEAR($B576),MONTH($B576),1),$B$3:$B576,"&lt;="&amp;EOMONTH($B576,0)),"000"))</f>
        <v/>
      </c>
      <c r="B576" s="13"/>
      <c r="C576" s="10"/>
      <c r="D576" s="10"/>
      <c r="E576" s="12" t="str">
        <f aca="false">IF($D576="","",IFERROR(INDEX(품목목록!$B$3:$B$302,MATCH($D576,품목목록!$A$3:$A$302,0)),"미등록품번"))</f>
        <v/>
      </c>
      <c r="F576" s="12" t="str">
        <f aca="false">IF($D576="","",IFERROR(INDEX(품목목록!$C$3:$C$302,MATCH($D576,품목목록!$A$3:$A$302,0)),""))</f>
        <v/>
      </c>
      <c r="G576" s="12" t="str">
        <f aca="false">IF($D576="","",IFERROR(INDEX(품목목록!$D$3:$D$302,MATCH($D576,품목목록!$A$3:$A$302,0)),""))</f>
        <v/>
      </c>
      <c r="H576" s="12" t="str">
        <f aca="false">IF($D576="","",IFERROR(INDEX(품목목록!$E$3:$E$302,MATCH($D576,품목목록!$A$3:$A$302,0)),""))</f>
        <v/>
      </c>
      <c r="I576" s="14"/>
      <c r="J576" s="10"/>
      <c r="K576" s="10"/>
      <c r="L576" s="10"/>
      <c r="M576" s="15" t="str">
        <f aca="false">IF($A576="","",SUMIFS(처리내역!$E$3:$E$1502,처리내역!$B$3:$B$1502,$A576))</f>
        <v/>
      </c>
      <c r="N576" s="15" t="str">
        <f aca="false">IF($A576="","",IF($I576="","",$I576-$M576))</f>
        <v/>
      </c>
      <c r="O576" s="12" t="str">
        <f aca="false">IF($A576="","",IF($I576="","",IF($M576=0,"미처리",IF($N576&lt;=0,"완료","부분처리"))))</f>
        <v/>
      </c>
    </row>
    <row r="577" customFormat="false" ht="15" hidden="false" customHeight="true" outlineLevel="0" collapsed="false">
      <c r="A577" s="12" t="str">
        <f aca="false">IF($B577="","",TEXT($B577,"yymm")&amp;"-"&amp;TEXT(COUNTIFS($B$3:$B577,"&gt;="&amp;DATE(YEAR($B577),MONTH($B577),1),$B$3:$B577,"&lt;="&amp;EOMONTH($B577,0)),"000"))</f>
        <v/>
      </c>
      <c r="B577" s="13"/>
      <c r="C577" s="10"/>
      <c r="D577" s="10"/>
      <c r="E577" s="12" t="str">
        <f aca="false">IF($D577="","",IFERROR(INDEX(품목목록!$B$3:$B$302,MATCH($D577,품목목록!$A$3:$A$302,0)),"미등록품번"))</f>
        <v/>
      </c>
      <c r="F577" s="12" t="str">
        <f aca="false">IF($D577="","",IFERROR(INDEX(품목목록!$C$3:$C$302,MATCH($D577,품목목록!$A$3:$A$302,0)),""))</f>
        <v/>
      </c>
      <c r="G577" s="12" t="str">
        <f aca="false">IF($D577="","",IFERROR(INDEX(품목목록!$D$3:$D$302,MATCH($D577,품목목록!$A$3:$A$302,0)),""))</f>
        <v/>
      </c>
      <c r="H577" s="12" t="str">
        <f aca="false">IF($D577="","",IFERROR(INDEX(품목목록!$E$3:$E$302,MATCH($D577,품목목록!$A$3:$A$302,0)),""))</f>
        <v/>
      </c>
      <c r="I577" s="14"/>
      <c r="J577" s="10"/>
      <c r="K577" s="10"/>
      <c r="L577" s="10"/>
      <c r="M577" s="15" t="str">
        <f aca="false">IF($A577="","",SUMIFS(처리내역!$E$3:$E$1502,처리내역!$B$3:$B$1502,$A577))</f>
        <v/>
      </c>
      <c r="N577" s="15" t="str">
        <f aca="false">IF($A577="","",IF($I577="","",$I577-$M577))</f>
        <v/>
      </c>
      <c r="O577" s="12" t="str">
        <f aca="false">IF($A577="","",IF($I577="","",IF($M577=0,"미처리",IF($N577&lt;=0,"완료","부분처리"))))</f>
        <v/>
      </c>
    </row>
    <row r="578" customFormat="false" ht="15" hidden="false" customHeight="true" outlineLevel="0" collapsed="false">
      <c r="A578" s="12" t="str">
        <f aca="false">IF($B578="","",TEXT($B578,"yymm")&amp;"-"&amp;TEXT(COUNTIFS($B$3:$B578,"&gt;="&amp;DATE(YEAR($B578),MONTH($B578),1),$B$3:$B578,"&lt;="&amp;EOMONTH($B578,0)),"000"))</f>
        <v/>
      </c>
      <c r="B578" s="13"/>
      <c r="C578" s="10"/>
      <c r="D578" s="10"/>
      <c r="E578" s="12" t="str">
        <f aca="false">IF($D578="","",IFERROR(INDEX(품목목록!$B$3:$B$302,MATCH($D578,품목목록!$A$3:$A$302,0)),"미등록품번"))</f>
        <v/>
      </c>
      <c r="F578" s="12" t="str">
        <f aca="false">IF($D578="","",IFERROR(INDEX(품목목록!$C$3:$C$302,MATCH($D578,품목목록!$A$3:$A$302,0)),""))</f>
        <v/>
      </c>
      <c r="G578" s="12" t="str">
        <f aca="false">IF($D578="","",IFERROR(INDEX(품목목록!$D$3:$D$302,MATCH($D578,품목목록!$A$3:$A$302,0)),""))</f>
        <v/>
      </c>
      <c r="H578" s="12" t="str">
        <f aca="false">IF($D578="","",IFERROR(INDEX(품목목록!$E$3:$E$302,MATCH($D578,품목목록!$A$3:$A$302,0)),""))</f>
        <v/>
      </c>
      <c r="I578" s="14"/>
      <c r="J578" s="10"/>
      <c r="K578" s="10"/>
      <c r="L578" s="10"/>
      <c r="M578" s="15" t="str">
        <f aca="false">IF($A578="","",SUMIFS(처리내역!$E$3:$E$1502,처리내역!$B$3:$B$1502,$A578))</f>
        <v/>
      </c>
      <c r="N578" s="15" t="str">
        <f aca="false">IF($A578="","",IF($I578="","",$I578-$M578))</f>
        <v/>
      </c>
      <c r="O578" s="12" t="str">
        <f aca="false">IF($A578="","",IF($I578="","",IF($M578=0,"미처리",IF($N578&lt;=0,"완료","부분처리"))))</f>
        <v/>
      </c>
    </row>
    <row r="579" customFormat="false" ht="15" hidden="false" customHeight="true" outlineLevel="0" collapsed="false">
      <c r="A579" s="12" t="str">
        <f aca="false">IF($B579="","",TEXT($B579,"yymm")&amp;"-"&amp;TEXT(COUNTIFS($B$3:$B579,"&gt;="&amp;DATE(YEAR($B579),MONTH($B579),1),$B$3:$B579,"&lt;="&amp;EOMONTH($B579,0)),"000"))</f>
        <v/>
      </c>
      <c r="B579" s="13"/>
      <c r="C579" s="10"/>
      <c r="D579" s="10"/>
      <c r="E579" s="12" t="str">
        <f aca="false">IF($D579="","",IFERROR(INDEX(품목목록!$B$3:$B$302,MATCH($D579,품목목록!$A$3:$A$302,0)),"미등록품번"))</f>
        <v/>
      </c>
      <c r="F579" s="12" t="str">
        <f aca="false">IF($D579="","",IFERROR(INDEX(품목목록!$C$3:$C$302,MATCH($D579,품목목록!$A$3:$A$302,0)),""))</f>
        <v/>
      </c>
      <c r="G579" s="12" t="str">
        <f aca="false">IF($D579="","",IFERROR(INDEX(품목목록!$D$3:$D$302,MATCH($D579,품목목록!$A$3:$A$302,0)),""))</f>
        <v/>
      </c>
      <c r="H579" s="12" t="str">
        <f aca="false">IF($D579="","",IFERROR(INDEX(품목목록!$E$3:$E$302,MATCH($D579,품목목록!$A$3:$A$302,0)),""))</f>
        <v/>
      </c>
      <c r="I579" s="14"/>
      <c r="J579" s="10"/>
      <c r="K579" s="10"/>
      <c r="L579" s="10"/>
      <c r="M579" s="15" t="str">
        <f aca="false">IF($A579="","",SUMIFS(처리내역!$E$3:$E$1502,처리내역!$B$3:$B$1502,$A579))</f>
        <v/>
      </c>
      <c r="N579" s="15" t="str">
        <f aca="false">IF($A579="","",IF($I579="","",$I579-$M579))</f>
        <v/>
      </c>
      <c r="O579" s="12" t="str">
        <f aca="false">IF($A579="","",IF($I579="","",IF($M579=0,"미처리",IF($N579&lt;=0,"완료","부분처리"))))</f>
        <v/>
      </c>
    </row>
    <row r="580" customFormat="false" ht="15" hidden="false" customHeight="true" outlineLevel="0" collapsed="false">
      <c r="A580" s="12" t="str">
        <f aca="false">IF($B580="","",TEXT($B580,"yymm")&amp;"-"&amp;TEXT(COUNTIFS($B$3:$B580,"&gt;="&amp;DATE(YEAR($B580),MONTH($B580),1),$B$3:$B580,"&lt;="&amp;EOMONTH($B580,0)),"000"))</f>
        <v/>
      </c>
      <c r="B580" s="13"/>
      <c r="C580" s="10"/>
      <c r="D580" s="10"/>
      <c r="E580" s="12" t="str">
        <f aca="false">IF($D580="","",IFERROR(INDEX(품목목록!$B$3:$B$302,MATCH($D580,품목목록!$A$3:$A$302,0)),"미등록품번"))</f>
        <v/>
      </c>
      <c r="F580" s="12" t="str">
        <f aca="false">IF($D580="","",IFERROR(INDEX(품목목록!$C$3:$C$302,MATCH($D580,품목목록!$A$3:$A$302,0)),""))</f>
        <v/>
      </c>
      <c r="G580" s="12" t="str">
        <f aca="false">IF($D580="","",IFERROR(INDEX(품목목록!$D$3:$D$302,MATCH($D580,품목목록!$A$3:$A$302,0)),""))</f>
        <v/>
      </c>
      <c r="H580" s="12" t="str">
        <f aca="false">IF($D580="","",IFERROR(INDEX(품목목록!$E$3:$E$302,MATCH($D580,품목목록!$A$3:$A$302,0)),""))</f>
        <v/>
      </c>
      <c r="I580" s="14"/>
      <c r="J580" s="10"/>
      <c r="K580" s="10"/>
      <c r="L580" s="10"/>
      <c r="M580" s="15" t="str">
        <f aca="false">IF($A580="","",SUMIFS(처리내역!$E$3:$E$1502,처리내역!$B$3:$B$1502,$A580))</f>
        <v/>
      </c>
      <c r="N580" s="15" t="str">
        <f aca="false">IF($A580="","",IF($I580="","",$I580-$M580))</f>
        <v/>
      </c>
      <c r="O580" s="12" t="str">
        <f aca="false">IF($A580="","",IF($I580="","",IF($M580=0,"미처리",IF($N580&lt;=0,"완료","부분처리"))))</f>
        <v/>
      </c>
    </row>
    <row r="581" customFormat="false" ht="15" hidden="false" customHeight="true" outlineLevel="0" collapsed="false">
      <c r="A581" s="12" t="str">
        <f aca="false">IF($B581="","",TEXT($B581,"yymm")&amp;"-"&amp;TEXT(COUNTIFS($B$3:$B581,"&gt;="&amp;DATE(YEAR($B581),MONTH($B581),1),$B$3:$B581,"&lt;="&amp;EOMONTH($B581,0)),"000"))</f>
        <v/>
      </c>
      <c r="B581" s="13"/>
      <c r="C581" s="10"/>
      <c r="D581" s="10"/>
      <c r="E581" s="12" t="str">
        <f aca="false">IF($D581="","",IFERROR(INDEX(품목목록!$B$3:$B$302,MATCH($D581,품목목록!$A$3:$A$302,0)),"미등록품번"))</f>
        <v/>
      </c>
      <c r="F581" s="12" t="str">
        <f aca="false">IF($D581="","",IFERROR(INDEX(품목목록!$C$3:$C$302,MATCH($D581,품목목록!$A$3:$A$302,0)),""))</f>
        <v/>
      </c>
      <c r="G581" s="12" t="str">
        <f aca="false">IF($D581="","",IFERROR(INDEX(품목목록!$D$3:$D$302,MATCH($D581,품목목록!$A$3:$A$302,0)),""))</f>
        <v/>
      </c>
      <c r="H581" s="12" t="str">
        <f aca="false">IF($D581="","",IFERROR(INDEX(품목목록!$E$3:$E$302,MATCH($D581,품목목록!$A$3:$A$302,0)),""))</f>
        <v/>
      </c>
      <c r="I581" s="14"/>
      <c r="J581" s="10"/>
      <c r="K581" s="10"/>
      <c r="L581" s="10"/>
      <c r="M581" s="15" t="str">
        <f aca="false">IF($A581="","",SUMIFS(처리내역!$E$3:$E$1502,처리내역!$B$3:$B$1502,$A581))</f>
        <v/>
      </c>
      <c r="N581" s="15" t="str">
        <f aca="false">IF($A581="","",IF($I581="","",$I581-$M581))</f>
        <v/>
      </c>
      <c r="O581" s="12" t="str">
        <f aca="false">IF($A581="","",IF($I581="","",IF($M581=0,"미처리",IF($N581&lt;=0,"완료","부분처리"))))</f>
        <v/>
      </c>
    </row>
    <row r="582" customFormat="false" ht="15" hidden="false" customHeight="true" outlineLevel="0" collapsed="false">
      <c r="A582" s="12" t="str">
        <f aca="false">IF($B582="","",TEXT($B582,"yymm")&amp;"-"&amp;TEXT(COUNTIFS($B$3:$B582,"&gt;="&amp;DATE(YEAR($B582),MONTH($B582),1),$B$3:$B582,"&lt;="&amp;EOMONTH($B582,0)),"000"))</f>
        <v/>
      </c>
      <c r="B582" s="13"/>
      <c r="C582" s="10"/>
      <c r="D582" s="10"/>
      <c r="E582" s="12" t="str">
        <f aca="false">IF($D582="","",IFERROR(INDEX(품목목록!$B$3:$B$302,MATCH($D582,품목목록!$A$3:$A$302,0)),"미등록품번"))</f>
        <v/>
      </c>
      <c r="F582" s="12" t="str">
        <f aca="false">IF($D582="","",IFERROR(INDEX(품목목록!$C$3:$C$302,MATCH($D582,품목목록!$A$3:$A$302,0)),""))</f>
        <v/>
      </c>
      <c r="G582" s="12" t="str">
        <f aca="false">IF($D582="","",IFERROR(INDEX(품목목록!$D$3:$D$302,MATCH($D582,품목목록!$A$3:$A$302,0)),""))</f>
        <v/>
      </c>
      <c r="H582" s="12" t="str">
        <f aca="false">IF($D582="","",IFERROR(INDEX(품목목록!$E$3:$E$302,MATCH($D582,품목목록!$A$3:$A$302,0)),""))</f>
        <v/>
      </c>
      <c r="I582" s="14"/>
      <c r="J582" s="10"/>
      <c r="K582" s="10"/>
      <c r="L582" s="10"/>
      <c r="M582" s="15" t="str">
        <f aca="false">IF($A582="","",SUMIFS(처리내역!$E$3:$E$1502,처리내역!$B$3:$B$1502,$A582))</f>
        <v/>
      </c>
      <c r="N582" s="15" t="str">
        <f aca="false">IF($A582="","",IF($I582="","",$I582-$M582))</f>
        <v/>
      </c>
      <c r="O582" s="12" t="str">
        <f aca="false">IF($A582="","",IF($I582="","",IF($M582=0,"미처리",IF($N582&lt;=0,"완료","부분처리"))))</f>
        <v/>
      </c>
    </row>
    <row r="583" customFormat="false" ht="15" hidden="false" customHeight="true" outlineLevel="0" collapsed="false">
      <c r="A583" s="12" t="str">
        <f aca="false">IF($B583="","",TEXT($B583,"yymm")&amp;"-"&amp;TEXT(COUNTIFS($B$3:$B583,"&gt;="&amp;DATE(YEAR($B583),MONTH($B583),1),$B$3:$B583,"&lt;="&amp;EOMONTH($B583,0)),"000"))</f>
        <v/>
      </c>
      <c r="B583" s="13"/>
      <c r="C583" s="10"/>
      <c r="D583" s="10"/>
      <c r="E583" s="12" t="str">
        <f aca="false">IF($D583="","",IFERROR(INDEX(품목목록!$B$3:$B$302,MATCH($D583,품목목록!$A$3:$A$302,0)),"미등록품번"))</f>
        <v/>
      </c>
      <c r="F583" s="12" t="str">
        <f aca="false">IF($D583="","",IFERROR(INDEX(품목목록!$C$3:$C$302,MATCH($D583,품목목록!$A$3:$A$302,0)),""))</f>
        <v/>
      </c>
      <c r="G583" s="12" t="str">
        <f aca="false">IF($D583="","",IFERROR(INDEX(품목목록!$D$3:$D$302,MATCH($D583,품목목록!$A$3:$A$302,0)),""))</f>
        <v/>
      </c>
      <c r="H583" s="12" t="str">
        <f aca="false">IF($D583="","",IFERROR(INDEX(품목목록!$E$3:$E$302,MATCH($D583,품목목록!$A$3:$A$302,0)),""))</f>
        <v/>
      </c>
      <c r="I583" s="14"/>
      <c r="J583" s="10"/>
      <c r="K583" s="10"/>
      <c r="L583" s="10"/>
      <c r="M583" s="15" t="str">
        <f aca="false">IF($A583="","",SUMIFS(처리내역!$E$3:$E$1502,처리내역!$B$3:$B$1502,$A583))</f>
        <v/>
      </c>
      <c r="N583" s="15" t="str">
        <f aca="false">IF($A583="","",IF($I583="","",$I583-$M583))</f>
        <v/>
      </c>
      <c r="O583" s="12" t="str">
        <f aca="false">IF($A583="","",IF($I583="","",IF($M583=0,"미처리",IF($N583&lt;=0,"완료","부분처리"))))</f>
        <v/>
      </c>
    </row>
    <row r="584" customFormat="false" ht="15" hidden="false" customHeight="true" outlineLevel="0" collapsed="false">
      <c r="A584" s="12" t="str">
        <f aca="false">IF($B584="","",TEXT($B584,"yymm")&amp;"-"&amp;TEXT(COUNTIFS($B$3:$B584,"&gt;="&amp;DATE(YEAR($B584),MONTH($B584),1),$B$3:$B584,"&lt;="&amp;EOMONTH($B584,0)),"000"))</f>
        <v/>
      </c>
      <c r="B584" s="13"/>
      <c r="C584" s="10"/>
      <c r="D584" s="10"/>
      <c r="E584" s="12" t="str">
        <f aca="false">IF($D584="","",IFERROR(INDEX(품목목록!$B$3:$B$302,MATCH($D584,품목목록!$A$3:$A$302,0)),"미등록품번"))</f>
        <v/>
      </c>
      <c r="F584" s="12" t="str">
        <f aca="false">IF($D584="","",IFERROR(INDEX(품목목록!$C$3:$C$302,MATCH($D584,품목목록!$A$3:$A$302,0)),""))</f>
        <v/>
      </c>
      <c r="G584" s="12" t="str">
        <f aca="false">IF($D584="","",IFERROR(INDEX(품목목록!$D$3:$D$302,MATCH($D584,품목목록!$A$3:$A$302,0)),""))</f>
        <v/>
      </c>
      <c r="H584" s="12" t="str">
        <f aca="false">IF($D584="","",IFERROR(INDEX(품목목록!$E$3:$E$302,MATCH($D584,품목목록!$A$3:$A$302,0)),""))</f>
        <v/>
      </c>
      <c r="I584" s="14"/>
      <c r="J584" s="10"/>
      <c r="K584" s="10"/>
      <c r="L584" s="10"/>
      <c r="M584" s="15" t="str">
        <f aca="false">IF($A584="","",SUMIFS(처리내역!$E$3:$E$1502,처리내역!$B$3:$B$1502,$A584))</f>
        <v/>
      </c>
      <c r="N584" s="15" t="str">
        <f aca="false">IF($A584="","",IF($I584="","",$I584-$M584))</f>
        <v/>
      </c>
      <c r="O584" s="12" t="str">
        <f aca="false">IF($A584="","",IF($I584="","",IF($M584=0,"미처리",IF($N584&lt;=0,"완료","부분처리"))))</f>
        <v/>
      </c>
    </row>
    <row r="585" customFormat="false" ht="15" hidden="false" customHeight="true" outlineLevel="0" collapsed="false">
      <c r="A585" s="12" t="str">
        <f aca="false">IF($B585="","",TEXT($B585,"yymm")&amp;"-"&amp;TEXT(COUNTIFS($B$3:$B585,"&gt;="&amp;DATE(YEAR($B585),MONTH($B585),1),$B$3:$B585,"&lt;="&amp;EOMONTH($B585,0)),"000"))</f>
        <v/>
      </c>
      <c r="B585" s="13"/>
      <c r="C585" s="10"/>
      <c r="D585" s="10"/>
      <c r="E585" s="12" t="str">
        <f aca="false">IF($D585="","",IFERROR(INDEX(품목목록!$B$3:$B$302,MATCH($D585,품목목록!$A$3:$A$302,0)),"미등록품번"))</f>
        <v/>
      </c>
      <c r="F585" s="12" t="str">
        <f aca="false">IF($D585="","",IFERROR(INDEX(품목목록!$C$3:$C$302,MATCH($D585,품목목록!$A$3:$A$302,0)),""))</f>
        <v/>
      </c>
      <c r="G585" s="12" t="str">
        <f aca="false">IF($D585="","",IFERROR(INDEX(품목목록!$D$3:$D$302,MATCH($D585,품목목록!$A$3:$A$302,0)),""))</f>
        <v/>
      </c>
      <c r="H585" s="12" t="str">
        <f aca="false">IF($D585="","",IFERROR(INDEX(품목목록!$E$3:$E$302,MATCH($D585,품목목록!$A$3:$A$302,0)),""))</f>
        <v/>
      </c>
      <c r="I585" s="14"/>
      <c r="J585" s="10"/>
      <c r="K585" s="10"/>
      <c r="L585" s="10"/>
      <c r="M585" s="15" t="str">
        <f aca="false">IF($A585="","",SUMIFS(처리내역!$E$3:$E$1502,처리내역!$B$3:$B$1502,$A585))</f>
        <v/>
      </c>
      <c r="N585" s="15" t="str">
        <f aca="false">IF($A585="","",IF($I585="","",$I585-$M585))</f>
        <v/>
      </c>
      <c r="O585" s="12" t="str">
        <f aca="false">IF($A585="","",IF($I585="","",IF($M585=0,"미처리",IF($N585&lt;=0,"완료","부분처리"))))</f>
        <v/>
      </c>
    </row>
    <row r="586" customFormat="false" ht="15" hidden="false" customHeight="true" outlineLevel="0" collapsed="false">
      <c r="A586" s="12" t="str">
        <f aca="false">IF($B586="","",TEXT($B586,"yymm")&amp;"-"&amp;TEXT(COUNTIFS($B$3:$B586,"&gt;="&amp;DATE(YEAR($B586),MONTH($B586),1),$B$3:$B586,"&lt;="&amp;EOMONTH($B586,0)),"000"))</f>
        <v/>
      </c>
      <c r="B586" s="13"/>
      <c r="C586" s="10"/>
      <c r="D586" s="10"/>
      <c r="E586" s="12" t="str">
        <f aca="false">IF($D586="","",IFERROR(INDEX(품목목록!$B$3:$B$302,MATCH($D586,품목목록!$A$3:$A$302,0)),"미등록품번"))</f>
        <v/>
      </c>
      <c r="F586" s="12" t="str">
        <f aca="false">IF($D586="","",IFERROR(INDEX(품목목록!$C$3:$C$302,MATCH($D586,품목목록!$A$3:$A$302,0)),""))</f>
        <v/>
      </c>
      <c r="G586" s="12" t="str">
        <f aca="false">IF($D586="","",IFERROR(INDEX(품목목록!$D$3:$D$302,MATCH($D586,품목목록!$A$3:$A$302,0)),""))</f>
        <v/>
      </c>
      <c r="H586" s="12" t="str">
        <f aca="false">IF($D586="","",IFERROR(INDEX(품목목록!$E$3:$E$302,MATCH($D586,품목목록!$A$3:$A$302,0)),""))</f>
        <v/>
      </c>
      <c r="I586" s="14"/>
      <c r="J586" s="10"/>
      <c r="K586" s="10"/>
      <c r="L586" s="10"/>
      <c r="M586" s="15" t="str">
        <f aca="false">IF($A586="","",SUMIFS(처리내역!$E$3:$E$1502,처리내역!$B$3:$B$1502,$A586))</f>
        <v/>
      </c>
      <c r="N586" s="15" t="str">
        <f aca="false">IF($A586="","",IF($I586="","",$I586-$M586))</f>
        <v/>
      </c>
      <c r="O586" s="12" t="str">
        <f aca="false">IF($A586="","",IF($I586="","",IF($M586=0,"미처리",IF($N586&lt;=0,"완료","부분처리"))))</f>
        <v/>
      </c>
    </row>
    <row r="587" customFormat="false" ht="15" hidden="false" customHeight="true" outlineLevel="0" collapsed="false">
      <c r="A587" s="12" t="str">
        <f aca="false">IF($B587="","",TEXT($B587,"yymm")&amp;"-"&amp;TEXT(COUNTIFS($B$3:$B587,"&gt;="&amp;DATE(YEAR($B587),MONTH($B587),1),$B$3:$B587,"&lt;="&amp;EOMONTH($B587,0)),"000"))</f>
        <v/>
      </c>
      <c r="B587" s="13"/>
      <c r="C587" s="10"/>
      <c r="D587" s="10"/>
      <c r="E587" s="12" t="str">
        <f aca="false">IF($D587="","",IFERROR(INDEX(품목목록!$B$3:$B$302,MATCH($D587,품목목록!$A$3:$A$302,0)),"미등록품번"))</f>
        <v/>
      </c>
      <c r="F587" s="12" t="str">
        <f aca="false">IF($D587="","",IFERROR(INDEX(품목목록!$C$3:$C$302,MATCH($D587,품목목록!$A$3:$A$302,0)),""))</f>
        <v/>
      </c>
      <c r="G587" s="12" t="str">
        <f aca="false">IF($D587="","",IFERROR(INDEX(품목목록!$D$3:$D$302,MATCH($D587,품목목록!$A$3:$A$302,0)),""))</f>
        <v/>
      </c>
      <c r="H587" s="12" t="str">
        <f aca="false">IF($D587="","",IFERROR(INDEX(품목목록!$E$3:$E$302,MATCH($D587,품목목록!$A$3:$A$302,0)),""))</f>
        <v/>
      </c>
      <c r="I587" s="14"/>
      <c r="J587" s="10"/>
      <c r="K587" s="10"/>
      <c r="L587" s="10"/>
      <c r="M587" s="15" t="str">
        <f aca="false">IF($A587="","",SUMIFS(처리내역!$E$3:$E$1502,처리내역!$B$3:$B$1502,$A587))</f>
        <v/>
      </c>
      <c r="N587" s="15" t="str">
        <f aca="false">IF($A587="","",IF($I587="","",$I587-$M587))</f>
        <v/>
      </c>
      <c r="O587" s="12" t="str">
        <f aca="false">IF($A587="","",IF($I587="","",IF($M587=0,"미처리",IF($N587&lt;=0,"완료","부분처리"))))</f>
        <v/>
      </c>
    </row>
    <row r="588" customFormat="false" ht="15" hidden="false" customHeight="true" outlineLevel="0" collapsed="false">
      <c r="A588" s="12" t="str">
        <f aca="false">IF($B588="","",TEXT($B588,"yymm")&amp;"-"&amp;TEXT(COUNTIFS($B$3:$B588,"&gt;="&amp;DATE(YEAR($B588),MONTH($B588),1),$B$3:$B588,"&lt;="&amp;EOMONTH($B588,0)),"000"))</f>
        <v/>
      </c>
      <c r="B588" s="13"/>
      <c r="C588" s="10"/>
      <c r="D588" s="10"/>
      <c r="E588" s="12" t="str">
        <f aca="false">IF($D588="","",IFERROR(INDEX(품목목록!$B$3:$B$302,MATCH($D588,품목목록!$A$3:$A$302,0)),"미등록품번"))</f>
        <v/>
      </c>
      <c r="F588" s="12" t="str">
        <f aca="false">IF($D588="","",IFERROR(INDEX(품목목록!$C$3:$C$302,MATCH($D588,품목목록!$A$3:$A$302,0)),""))</f>
        <v/>
      </c>
      <c r="G588" s="12" t="str">
        <f aca="false">IF($D588="","",IFERROR(INDEX(품목목록!$D$3:$D$302,MATCH($D588,품목목록!$A$3:$A$302,0)),""))</f>
        <v/>
      </c>
      <c r="H588" s="12" t="str">
        <f aca="false">IF($D588="","",IFERROR(INDEX(품목목록!$E$3:$E$302,MATCH($D588,품목목록!$A$3:$A$302,0)),""))</f>
        <v/>
      </c>
      <c r="I588" s="14"/>
      <c r="J588" s="10"/>
      <c r="K588" s="10"/>
      <c r="L588" s="10"/>
      <c r="M588" s="15" t="str">
        <f aca="false">IF($A588="","",SUMIFS(처리내역!$E$3:$E$1502,처리내역!$B$3:$B$1502,$A588))</f>
        <v/>
      </c>
      <c r="N588" s="15" t="str">
        <f aca="false">IF($A588="","",IF($I588="","",$I588-$M588))</f>
        <v/>
      </c>
      <c r="O588" s="12" t="str">
        <f aca="false">IF($A588="","",IF($I588="","",IF($M588=0,"미처리",IF($N588&lt;=0,"완료","부분처리"))))</f>
        <v/>
      </c>
    </row>
    <row r="589" customFormat="false" ht="15" hidden="false" customHeight="true" outlineLevel="0" collapsed="false">
      <c r="A589" s="12" t="str">
        <f aca="false">IF($B589="","",TEXT($B589,"yymm")&amp;"-"&amp;TEXT(COUNTIFS($B$3:$B589,"&gt;="&amp;DATE(YEAR($B589),MONTH($B589),1),$B$3:$B589,"&lt;="&amp;EOMONTH($B589,0)),"000"))</f>
        <v/>
      </c>
      <c r="B589" s="13"/>
      <c r="C589" s="10"/>
      <c r="D589" s="10"/>
      <c r="E589" s="12" t="str">
        <f aca="false">IF($D589="","",IFERROR(INDEX(품목목록!$B$3:$B$302,MATCH($D589,품목목록!$A$3:$A$302,0)),"미등록품번"))</f>
        <v/>
      </c>
      <c r="F589" s="12" t="str">
        <f aca="false">IF($D589="","",IFERROR(INDEX(품목목록!$C$3:$C$302,MATCH($D589,품목목록!$A$3:$A$302,0)),""))</f>
        <v/>
      </c>
      <c r="G589" s="12" t="str">
        <f aca="false">IF($D589="","",IFERROR(INDEX(품목목록!$D$3:$D$302,MATCH($D589,품목목록!$A$3:$A$302,0)),""))</f>
        <v/>
      </c>
      <c r="H589" s="12" t="str">
        <f aca="false">IF($D589="","",IFERROR(INDEX(품목목록!$E$3:$E$302,MATCH($D589,품목목록!$A$3:$A$302,0)),""))</f>
        <v/>
      </c>
      <c r="I589" s="14"/>
      <c r="J589" s="10"/>
      <c r="K589" s="10"/>
      <c r="L589" s="10"/>
      <c r="M589" s="15" t="str">
        <f aca="false">IF($A589="","",SUMIFS(처리내역!$E$3:$E$1502,처리내역!$B$3:$B$1502,$A589))</f>
        <v/>
      </c>
      <c r="N589" s="15" t="str">
        <f aca="false">IF($A589="","",IF($I589="","",$I589-$M589))</f>
        <v/>
      </c>
      <c r="O589" s="12" t="str">
        <f aca="false">IF($A589="","",IF($I589="","",IF($M589=0,"미처리",IF($N589&lt;=0,"완료","부분처리"))))</f>
        <v/>
      </c>
    </row>
    <row r="590" customFormat="false" ht="15" hidden="false" customHeight="true" outlineLevel="0" collapsed="false">
      <c r="A590" s="12" t="str">
        <f aca="false">IF($B590="","",TEXT($B590,"yymm")&amp;"-"&amp;TEXT(COUNTIFS($B$3:$B590,"&gt;="&amp;DATE(YEAR($B590),MONTH($B590),1),$B$3:$B590,"&lt;="&amp;EOMONTH($B590,0)),"000"))</f>
        <v/>
      </c>
      <c r="B590" s="13"/>
      <c r="C590" s="10"/>
      <c r="D590" s="10"/>
      <c r="E590" s="12" t="str">
        <f aca="false">IF($D590="","",IFERROR(INDEX(품목목록!$B$3:$B$302,MATCH($D590,품목목록!$A$3:$A$302,0)),"미등록품번"))</f>
        <v/>
      </c>
      <c r="F590" s="12" t="str">
        <f aca="false">IF($D590="","",IFERROR(INDEX(품목목록!$C$3:$C$302,MATCH($D590,품목목록!$A$3:$A$302,0)),""))</f>
        <v/>
      </c>
      <c r="G590" s="12" t="str">
        <f aca="false">IF($D590="","",IFERROR(INDEX(품목목록!$D$3:$D$302,MATCH($D590,품목목록!$A$3:$A$302,0)),""))</f>
        <v/>
      </c>
      <c r="H590" s="12" t="str">
        <f aca="false">IF($D590="","",IFERROR(INDEX(품목목록!$E$3:$E$302,MATCH($D590,품목목록!$A$3:$A$302,0)),""))</f>
        <v/>
      </c>
      <c r="I590" s="14"/>
      <c r="J590" s="10"/>
      <c r="K590" s="10"/>
      <c r="L590" s="10"/>
      <c r="M590" s="15" t="str">
        <f aca="false">IF($A590="","",SUMIFS(처리내역!$E$3:$E$1502,처리내역!$B$3:$B$1502,$A590))</f>
        <v/>
      </c>
      <c r="N590" s="15" t="str">
        <f aca="false">IF($A590="","",IF($I590="","",$I590-$M590))</f>
        <v/>
      </c>
      <c r="O590" s="12" t="str">
        <f aca="false">IF($A590="","",IF($I590="","",IF($M590=0,"미처리",IF($N590&lt;=0,"완료","부분처리"))))</f>
        <v/>
      </c>
    </row>
    <row r="591" customFormat="false" ht="15" hidden="false" customHeight="true" outlineLevel="0" collapsed="false">
      <c r="A591" s="12" t="str">
        <f aca="false">IF($B591="","",TEXT($B591,"yymm")&amp;"-"&amp;TEXT(COUNTIFS($B$3:$B591,"&gt;="&amp;DATE(YEAR($B591),MONTH($B591),1),$B$3:$B591,"&lt;="&amp;EOMONTH($B591,0)),"000"))</f>
        <v/>
      </c>
      <c r="B591" s="13"/>
      <c r="C591" s="10"/>
      <c r="D591" s="10"/>
      <c r="E591" s="12" t="str">
        <f aca="false">IF($D591="","",IFERROR(INDEX(품목목록!$B$3:$B$302,MATCH($D591,품목목록!$A$3:$A$302,0)),"미등록품번"))</f>
        <v/>
      </c>
      <c r="F591" s="12" t="str">
        <f aca="false">IF($D591="","",IFERROR(INDEX(품목목록!$C$3:$C$302,MATCH($D591,품목목록!$A$3:$A$302,0)),""))</f>
        <v/>
      </c>
      <c r="G591" s="12" t="str">
        <f aca="false">IF($D591="","",IFERROR(INDEX(품목목록!$D$3:$D$302,MATCH($D591,품목목록!$A$3:$A$302,0)),""))</f>
        <v/>
      </c>
      <c r="H591" s="12" t="str">
        <f aca="false">IF($D591="","",IFERROR(INDEX(품목목록!$E$3:$E$302,MATCH($D591,품목목록!$A$3:$A$302,0)),""))</f>
        <v/>
      </c>
      <c r="I591" s="14"/>
      <c r="J591" s="10"/>
      <c r="K591" s="10"/>
      <c r="L591" s="10"/>
      <c r="M591" s="15" t="str">
        <f aca="false">IF($A591="","",SUMIFS(처리내역!$E$3:$E$1502,처리내역!$B$3:$B$1502,$A591))</f>
        <v/>
      </c>
      <c r="N591" s="15" t="str">
        <f aca="false">IF($A591="","",IF($I591="","",$I591-$M591))</f>
        <v/>
      </c>
      <c r="O591" s="12" t="str">
        <f aca="false">IF($A591="","",IF($I591="","",IF($M591=0,"미처리",IF($N591&lt;=0,"완료","부분처리"))))</f>
        <v/>
      </c>
    </row>
    <row r="592" customFormat="false" ht="15" hidden="false" customHeight="true" outlineLevel="0" collapsed="false">
      <c r="A592" s="12" t="str">
        <f aca="false">IF($B592="","",TEXT($B592,"yymm")&amp;"-"&amp;TEXT(COUNTIFS($B$3:$B592,"&gt;="&amp;DATE(YEAR($B592),MONTH($B592),1),$B$3:$B592,"&lt;="&amp;EOMONTH($B592,0)),"000"))</f>
        <v/>
      </c>
      <c r="B592" s="13"/>
      <c r="C592" s="10"/>
      <c r="D592" s="10"/>
      <c r="E592" s="12" t="str">
        <f aca="false">IF($D592="","",IFERROR(INDEX(품목목록!$B$3:$B$302,MATCH($D592,품목목록!$A$3:$A$302,0)),"미등록품번"))</f>
        <v/>
      </c>
      <c r="F592" s="12" t="str">
        <f aca="false">IF($D592="","",IFERROR(INDEX(품목목록!$C$3:$C$302,MATCH($D592,품목목록!$A$3:$A$302,0)),""))</f>
        <v/>
      </c>
      <c r="G592" s="12" t="str">
        <f aca="false">IF($D592="","",IFERROR(INDEX(품목목록!$D$3:$D$302,MATCH($D592,품목목록!$A$3:$A$302,0)),""))</f>
        <v/>
      </c>
      <c r="H592" s="12" t="str">
        <f aca="false">IF($D592="","",IFERROR(INDEX(품목목록!$E$3:$E$302,MATCH($D592,품목목록!$A$3:$A$302,0)),""))</f>
        <v/>
      </c>
      <c r="I592" s="14"/>
      <c r="J592" s="10"/>
      <c r="K592" s="10"/>
      <c r="L592" s="10"/>
      <c r="M592" s="15" t="str">
        <f aca="false">IF($A592="","",SUMIFS(처리내역!$E$3:$E$1502,처리내역!$B$3:$B$1502,$A592))</f>
        <v/>
      </c>
      <c r="N592" s="15" t="str">
        <f aca="false">IF($A592="","",IF($I592="","",$I592-$M592))</f>
        <v/>
      </c>
      <c r="O592" s="12" t="str">
        <f aca="false">IF($A592="","",IF($I592="","",IF($M592=0,"미처리",IF($N592&lt;=0,"완료","부분처리"))))</f>
        <v/>
      </c>
    </row>
    <row r="593" customFormat="false" ht="15" hidden="false" customHeight="true" outlineLevel="0" collapsed="false">
      <c r="A593" s="12" t="str">
        <f aca="false">IF($B593="","",TEXT($B593,"yymm")&amp;"-"&amp;TEXT(COUNTIFS($B$3:$B593,"&gt;="&amp;DATE(YEAR($B593),MONTH($B593),1),$B$3:$B593,"&lt;="&amp;EOMONTH($B593,0)),"000"))</f>
        <v/>
      </c>
      <c r="B593" s="13"/>
      <c r="C593" s="10"/>
      <c r="D593" s="10"/>
      <c r="E593" s="12" t="str">
        <f aca="false">IF($D593="","",IFERROR(INDEX(품목목록!$B$3:$B$302,MATCH($D593,품목목록!$A$3:$A$302,0)),"미등록품번"))</f>
        <v/>
      </c>
      <c r="F593" s="12" t="str">
        <f aca="false">IF($D593="","",IFERROR(INDEX(품목목록!$C$3:$C$302,MATCH($D593,품목목록!$A$3:$A$302,0)),""))</f>
        <v/>
      </c>
      <c r="G593" s="12" t="str">
        <f aca="false">IF($D593="","",IFERROR(INDEX(품목목록!$D$3:$D$302,MATCH($D593,품목목록!$A$3:$A$302,0)),""))</f>
        <v/>
      </c>
      <c r="H593" s="12" t="str">
        <f aca="false">IF($D593="","",IFERROR(INDEX(품목목록!$E$3:$E$302,MATCH($D593,품목목록!$A$3:$A$302,0)),""))</f>
        <v/>
      </c>
      <c r="I593" s="14"/>
      <c r="J593" s="10"/>
      <c r="K593" s="10"/>
      <c r="L593" s="10"/>
      <c r="M593" s="15" t="str">
        <f aca="false">IF($A593="","",SUMIFS(처리내역!$E$3:$E$1502,처리내역!$B$3:$B$1502,$A593))</f>
        <v/>
      </c>
      <c r="N593" s="15" t="str">
        <f aca="false">IF($A593="","",IF($I593="","",$I593-$M593))</f>
        <v/>
      </c>
      <c r="O593" s="12" t="str">
        <f aca="false">IF($A593="","",IF($I593="","",IF($M593=0,"미처리",IF($N593&lt;=0,"완료","부분처리"))))</f>
        <v/>
      </c>
    </row>
    <row r="594" customFormat="false" ht="15" hidden="false" customHeight="true" outlineLevel="0" collapsed="false">
      <c r="A594" s="12" t="str">
        <f aca="false">IF($B594="","",TEXT($B594,"yymm")&amp;"-"&amp;TEXT(COUNTIFS($B$3:$B594,"&gt;="&amp;DATE(YEAR($B594),MONTH($B594),1),$B$3:$B594,"&lt;="&amp;EOMONTH($B594,0)),"000"))</f>
        <v/>
      </c>
      <c r="B594" s="13"/>
      <c r="C594" s="10"/>
      <c r="D594" s="10"/>
      <c r="E594" s="12" t="str">
        <f aca="false">IF($D594="","",IFERROR(INDEX(품목목록!$B$3:$B$302,MATCH($D594,품목목록!$A$3:$A$302,0)),"미등록품번"))</f>
        <v/>
      </c>
      <c r="F594" s="12" t="str">
        <f aca="false">IF($D594="","",IFERROR(INDEX(품목목록!$C$3:$C$302,MATCH($D594,품목목록!$A$3:$A$302,0)),""))</f>
        <v/>
      </c>
      <c r="G594" s="12" t="str">
        <f aca="false">IF($D594="","",IFERROR(INDEX(품목목록!$D$3:$D$302,MATCH($D594,품목목록!$A$3:$A$302,0)),""))</f>
        <v/>
      </c>
      <c r="H594" s="12" t="str">
        <f aca="false">IF($D594="","",IFERROR(INDEX(품목목록!$E$3:$E$302,MATCH($D594,품목목록!$A$3:$A$302,0)),""))</f>
        <v/>
      </c>
      <c r="I594" s="14"/>
      <c r="J594" s="10"/>
      <c r="K594" s="10"/>
      <c r="L594" s="10"/>
      <c r="M594" s="15" t="str">
        <f aca="false">IF($A594="","",SUMIFS(처리내역!$E$3:$E$1502,처리내역!$B$3:$B$1502,$A594))</f>
        <v/>
      </c>
      <c r="N594" s="15" t="str">
        <f aca="false">IF($A594="","",IF($I594="","",$I594-$M594))</f>
        <v/>
      </c>
      <c r="O594" s="12" t="str">
        <f aca="false">IF($A594="","",IF($I594="","",IF($M594=0,"미처리",IF($N594&lt;=0,"완료","부분처리"))))</f>
        <v/>
      </c>
    </row>
    <row r="595" customFormat="false" ht="15" hidden="false" customHeight="true" outlineLevel="0" collapsed="false">
      <c r="A595" s="12" t="str">
        <f aca="false">IF($B595="","",TEXT($B595,"yymm")&amp;"-"&amp;TEXT(COUNTIFS($B$3:$B595,"&gt;="&amp;DATE(YEAR($B595),MONTH($B595),1),$B$3:$B595,"&lt;="&amp;EOMONTH($B595,0)),"000"))</f>
        <v/>
      </c>
      <c r="B595" s="13"/>
      <c r="C595" s="10"/>
      <c r="D595" s="10"/>
      <c r="E595" s="12" t="str">
        <f aca="false">IF($D595="","",IFERROR(INDEX(품목목록!$B$3:$B$302,MATCH($D595,품목목록!$A$3:$A$302,0)),"미등록품번"))</f>
        <v/>
      </c>
      <c r="F595" s="12" t="str">
        <f aca="false">IF($D595="","",IFERROR(INDEX(품목목록!$C$3:$C$302,MATCH($D595,품목목록!$A$3:$A$302,0)),""))</f>
        <v/>
      </c>
      <c r="G595" s="12" t="str">
        <f aca="false">IF($D595="","",IFERROR(INDEX(품목목록!$D$3:$D$302,MATCH($D595,품목목록!$A$3:$A$302,0)),""))</f>
        <v/>
      </c>
      <c r="H595" s="12" t="str">
        <f aca="false">IF($D595="","",IFERROR(INDEX(품목목록!$E$3:$E$302,MATCH($D595,품목목록!$A$3:$A$302,0)),""))</f>
        <v/>
      </c>
      <c r="I595" s="14"/>
      <c r="J595" s="10"/>
      <c r="K595" s="10"/>
      <c r="L595" s="10"/>
      <c r="M595" s="15" t="str">
        <f aca="false">IF($A595="","",SUMIFS(처리내역!$E$3:$E$1502,처리내역!$B$3:$B$1502,$A595))</f>
        <v/>
      </c>
      <c r="N595" s="15" t="str">
        <f aca="false">IF($A595="","",IF($I595="","",$I595-$M595))</f>
        <v/>
      </c>
      <c r="O595" s="12" t="str">
        <f aca="false">IF($A595="","",IF($I595="","",IF($M595=0,"미처리",IF($N595&lt;=0,"완료","부분처리"))))</f>
        <v/>
      </c>
    </row>
    <row r="596" customFormat="false" ht="15" hidden="false" customHeight="true" outlineLevel="0" collapsed="false">
      <c r="A596" s="12" t="str">
        <f aca="false">IF($B596="","",TEXT($B596,"yymm")&amp;"-"&amp;TEXT(COUNTIFS($B$3:$B596,"&gt;="&amp;DATE(YEAR($B596),MONTH($B596),1),$B$3:$B596,"&lt;="&amp;EOMONTH($B596,0)),"000"))</f>
        <v/>
      </c>
      <c r="B596" s="13"/>
      <c r="C596" s="10"/>
      <c r="D596" s="10"/>
      <c r="E596" s="12" t="str">
        <f aca="false">IF($D596="","",IFERROR(INDEX(품목목록!$B$3:$B$302,MATCH($D596,품목목록!$A$3:$A$302,0)),"미등록품번"))</f>
        <v/>
      </c>
      <c r="F596" s="12" t="str">
        <f aca="false">IF($D596="","",IFERROR(INDEX(품목목록!$C$3:$C$302,MATCH($D596,품목목록!$A$3:$A$302,0)),""))</f>
        <v/>
      </c>
      <c r="G596" s="12" t="str">
        <f aca="false">IF($D596="","",IFERROR(INDEX(품목목록!$D$3:$D$302,MATCH($D596,품목목록!$A$3:$A$302,0)),""))</f>
        <v/>
      </c>
      <c r="H596" s="12" t="str">
        <f aca="false">IF($D596="","",IFERROR(INDEX(품목목록!$E$3:$E$302,MATCH($D596,품목목록!$A$3:$A$302,0)),""))</f>
        <v/>
      </c>
      <c r="I596" s="14"/>
      <c r="J596" s="10"/>
      <c r="K596" s="10"/>
      <c r="L596" s="10"/>
      <c r="M596" s="15" t="str">
        <f aca="false">IF($A596="","",SUMIFS(처리내역!$E$3:$E$1502,처리내역!$B$3:$B$1502,$A596))</f>
        <v/>
      </c>
      <c r="N596" s="15" t="str">
        <f aca="false">IF($A596="","",IF($I596="","",$I596-$M596))</f>
        <v/>
      </c>
      <c r="O596" s="12" t="str">
        <f aca="false">IF($A596="","",IF($I596="","",IF($M596=0,"미처리",IF($N596&lt;=0,"완료","부분처리"))))</f>
        <v/>
      </c>
    </row>
    <row r="597" customFormat="false" ht="15" hidden="false" customHeight="true" outlineLevel="0" collapsed="false">
      <c r="A597" s="12" t="str">
        <f aca="false">IF($B597="","",TEXT($B597,"yymm")&amp;"-"&amp;TEXT(COUNTIFS($B$3:$B597,"&gt;="&amp;DATE(YEAR($B597),MONTH($B597),1),$B$3:$B597,"&lt;="&amp;EOMONTH($B597,0)),"000"))</f>
        <v/>
      </c>
      <c r="B597" s="13"/>
      <c r="C597" s="10"/>
      <c r="D597" s="10"/>
      <c r="E597" s="12" t="str">
        <f aca="false">IF($D597="","",IFERROR(INDEX(품목목록!$B$3:$B$302,MATCH($D597,품목목록!$A$3:$A$302,0)),"미등록품번"))</f>
        <v/>
      </c>
      <c r="F597" s="12" t="str">
        <f aca="false">IF($D597="","",IFERROR(INDEX(품목목록!$C$3:$C$302,MATCH($D597,품목목록!$A$3:$A$302,0)),""))</f>
        <v/>
      </c>
      <c r="G597" s="12" t="str">
        <f aca="false">IF($D597="","",IFERROR(INDEX(품목목록!$D$3:$D$302,MATCH($D597,품목목록!$A$3:$A$302,0)),""))</f>
        <v/>
      </c>
      <c r="H597" s="12" t="str">
        <f aca="false">IF($D597="","",IFERROR(INDEX(품목목록!$E$3:$E$302,MATCH($D597,품목목록!$A$3:$A$302,0)),""))</f>
        <v/>
      </c>
      <c r="I597" s="14"/>
      <c r="J597" s="10"/>
      <c r="K597" s="10"/>
      <c r="L597" s="10"/>
      <c r="M597" s="15" t="str">
        <f aca="false">IF($A597="","",SUMIFS(처리내역!$E$3:$E$1502,처리내역!$B$3:$B$1502,$A597))</f>
        <v/>
      </c>
      <c r="N597" s="15" t="str">
        <f aca="false">IF($A597="","",IF($I597="","",$I597-$M597))</f>
        <v/>
      </c>
      <c r="O597" s="12" t="str">
        <f aca="false">IF($A597="","",IF($I597="","",IF($M597=0,"미처리",IF($N597&lt;=0,"완료","부분처리"))))</f>
        <v/>
      </c>
    </row>
    <row r="598" customFormat="false" ht="15" hidden="false" customHeight="true" outlineLevel="0" collapsed="false">
      <c r="A598" s="12" t="str">
        <f aca="false">IF($B598="","",TEXT($B598,"yymm")&amp;"-"&amp;TEXT(COUNTIFS($B$3:$B598,"&gt;="&amp;DATE(YEAR($B598),MONTH($B598),1),$B$3:$B598,"&lt;="&amp;EOMONTH($B598,0)),"000"))</f>
        <v/>
      </c>
      <c r="B598" s="13"/>
      <c r="C598" s="10"/>
      <c r="D598" s="10"/>
      <c r="E598" s="12" t="str">
        <f aca="false">IF($D598="","",IFERROR(INDEX(품목목록!$B$3:$B$302,MATCH($D598,품목목록!$A$3:$A$302,0)),"미등록품번"))</f>
        <v/>
      </c>
      <c r="F598" s="12" t="str">
        <f aca="false">IF($D598="","",IFERROR(INDEX(품목목록!$C$3:$C$302,MATCH($D598,품목목록!$A$3:$A$302,0)),""))</f>
        <v/>
      </c>
      <c r="G598" s="12" t="str">
        <f aca="false">IF($D598="","",IFERROR(INDEX(품목목록!$D$3:$D$302,MATCH($D598,품목목록!$A$3:$A$302,0)),""))</f>
        <v/>
      </c>
      <c r="H598" s="12" t="str">
        <f aca="false">IF($D598="","",IFERROR(INDEX(품목목록!$E$3:$E$302,MATCH($D598,품목목록!$A$3:$A$302,0)),""))</f>
        <v/>
      </c>
      <c r="I598" s="14"/>
      <c r="J598" s="10"/>
      <c r="K598" s="10"/>
      <c r="L598" s="10"/>
      <c r="M598" s="15" t="str">
        <f aca="false">IF($A598="","",SUMIFS(처리내역!$E$3:$E$1502,처리내역!$B$3:$B$1502,$A598))</f>
        <v/>
      </c>
      <c r="N598" s="15" t="str">
        <f aca="false">IF($A598="","",IF($I598="","",$I598-$M598))</f>
        <v/>
      </c>
      <c r="O598" s="12" t="str">
        <f aca="false">IF($A598="","",IF($I598="","",IF($M598=0,"미처리",IF($N598&lt;=0,"완료","부분처리"))))</f>
        <v/>
      </c>
    </row>
    <row r="599" customFormat="false" ht="15" hidden="false" customHeight="true" outlineLevel="0" collapsed="false">
      <c r="A599" s="12" t="str">
        <f aca="false">IF($B599="","",TEXT($B599,"yymm")&amp;"-"&amp;TEXT(COUNTIFS($B$3:$B599,"&gt;="&amp;DATE(YEAR($B599),MONTH($B599),1),$B$3:$B599,"&lt;="&amp;EOMONTH($B599,0)),"000"))</f>
        <v/>
      </c>
      <c r="B599" s="13"/>
      <c r="C599" s="10"/>
      <c r="D599" s="10"/>
      <c r="E599" s="12" t="str">
        <f aca="false">IF($D599="","",IFERROR(INDEX(품목목록!$B$3:$B$302,MATCH($D599,품목목록!$A$3:$A$302,0)),"미등록품번"))</f>
        <v/>
      </c>
      <c r="F599" s="12" t="str">
        <f aca="false">IF($D599="","",IFERROR(INDEX(품목목록!$C$3:$C$302,MATCH($D599,품목목록!$A$3:$A$302,0)),""))</f>
        <v/>
      </c>
      <c r="G599" s="12" t="str">
        <f aca="false">IF($D599="","",IFERROR(INDEX(품목목록!$D$3:$D$302,MATCH($D599,품목목록!$A$3:$A$302,0)),""))</f>
        <v/>
      </c>
      <c r="H599" s="12" t="str">
        <f aca="false">IF($D599="","",IFERROR(INDEX(품목목록!$E$3:$E$302,MATCH($D599,품목목록!$A$3:$A$302,0)),""))</f>
        <v/>
      </c>
      <c r="I599" s="14"/>
      <c r="J599" s="10"/>
      <c r="K599" s="10"/>
      <c r="L599" s="10"/>
      <c r="M599" s="15" t="str">
        <f aca="false">IF($A599="","",SUMIFS(처리내역!$E$3:$E$1502,처리내역!$B$3:$B$1502,$A599))</f>
        <v/>
      </c>
      <c r="N599" s="15" t="str">
        <f aca="false">IF($A599="","",IF($I599="","",$I599-$M599))</f>
        <v/>
      </c>
      <c r="O599" s="12" t="str">
        <f aca="false">IF($A599="","",IF($I599="","",IF($M599=0,"미처리",IF($N599&lt;=0,"완료","부분처리"))))</f>
        <v/>
      </c>
    </row>
    <row r="600" customFormat="false" ht="15" hidden="false" customHeight="true" outlineLevel="0" collapsed="false">
      <c r="A600" s="12" t="str">
        <f aca="false">IF($B600="","",TEXT($B600,"yymm")&amp;"-"&amp;TEXT(COUNTIFS($B$3:$B600,"&gt;="&amp;DATE(YEAR($B600),MONTH($B600),1),$B$3:$B600,"&lt;="&amp;EOMONTH($B600,0)),"000"))</f>
        <v/>
      </c>
      <c r="B600" s="13"/>
      <c r="C600" s="10"/>
      <c r="D600" s="10"/>
      <c r="E600" s="12" t="str">
        <f aca="false">IF($D600="","",IFERROR(INDEX(품목목록!$B$3:$B$302,MATCH($D600,품목목록!$A$3:$A$302,0)),"미등록품번"))</f>
        <v/>
      </c>
      <c r="F600" s="12" t="str">
        <f aca="false">IF($D600="","",IFERROR(INDEX(품목목록!$C$3:$C$302,MATCH($D600,품목목록!$A$3:$A$302,0)),""))</f>
        <v/>
      </c>
      <c r="G600" s="12" t="str">
        <f aca="false">IF($D600="","",IFERROR(INDEX(품목목록!$D$3:$D$302,MATCH($D600,품목목록!$A$3:$A$302,0)),""))</f>
        <v/>
      </c>
      <c r="H600" s="12" t="str">
        <f aca="false">IF($D600="","",IFERROR(INDEX(품목목록!$E$3:$E$302,MATCH($D600,품목목록!$A$3:$A$302,0)),""))</f>
        <v/>
      </c>
      <c r="I600" s="14"/>
      <c r="J600" s="10"/>
      <c r="K600" s="10"/>
      <c r="L600" s="10"/>
      <c r="M600" s="15" t="str">
        <f aca="false">IF($A600="","",SUMIFS(처리내역!$E$3:$E$1502,처리내역!$B$3:$B$1502,$A600))</f>
        <v/>
      </c>
      <c r="N600" s="15" t="str">
        <f aca="false">IF($A600="","",IF($I600="","",$I600-$M600))</f>
        <v/>
      </c>
      <c r="O600" s="12" t="str">
        <f aca="false">IF($A600="","",IF($I600="","",IF($M600=0,"미처리",IF($N600&lt;=0,"완료","부분처리"))))</f>
        <v/>
      </c>
    </row>
    <row r="601" customFormat="false" ht="15" hidden="false" customHeight="true" outlineLevel="0" collapsed="false">
      <c r="A601" s="12" t="str">
        <f aca="false">IF($B601="","",TEXT($B601,"yymm")&amp;"-"&amp;TEXT(COUNTIFS($B$3:$B601,"&gt;="&amp;DATE(YEAR($B601),MONTH($B601),1),$B$3:$B601,"&lt;="&amp;EOMONTH($B601,0)),"000"))</f>
        <v/>
      </c>
      <c r="B601" s="13"/>
      <c r="C601" s="10"/>
      <c r="D601" s="10"/>
      <c r="E601" s="12" t="str">
        <f aca="false">IF($D601="","",IFERROR(INDEX(품목목록!$B$3:$B$302,MATCH($D601,품목목록!$A$3:$A$302,0)),"미등록품번"))</f>
        <v/>
      </c>
      <c r="F601" s="12" t="str">
        <f aca="false">IF($D601="","",IFERROR(INDEX(품목목록!$C$3:$C$302,MATCH($D601,품목목록!$A$3:$A$302,0)),""))</f>
        <v/>
      </c>
      <c r="G601" s="12" t="str">
        <f aca="false">IF($D601="","",IFERROR(INDEX(품목목록!$D$3:$D$302,MATCH($D601,품목목록!$A$3:$A$302,0)),""))</f>
        <v/>
      </c>
      <c r="H601" s="12" t="str">
        <f aca="false">IF($D601="","",IFERROR(INDEX(품목목록!$E$3:$E$302,MATCH($D601,품목목록!$A$3:$A$302,0)),""))</f>
        <v/>
      </c>
      <c r="I601" s="14"/>
      <c r="J601" s="10"/>
      <c r="K601" s="10"/>
      <c r="L601" s="10"/>
      <c r="M601" s="15" t="str">
        <f aca="false">IF($A601="","",SUMIFS(처리내역!$E$3:$E$1502,처리내역!$B$3:$B$1502,$A601))</f>
        <v/>
      </c>
      <c r="N601" s="15" t="str">
        <f aca="false">IF($A601="","",IF($I601="","",$I601-$M601))</f>
        <v/>
      </c>
      <c r="O601" s="12" t="str">
        <f aca="false">IF($A601="","",IF($I601="","",IF($M601=0,"미처리",IF($N601&lt;=0,"완료","부분처리"))))</f>
        <v/>
      </c>
    </row>
    <row r="602" customFormat="false" ht="15" hidden="false" customHeight="true" outlineLevel="0" collapsed="false">
      <c r="A602" s="12" t="str">
        <f aca="false">IF($B602="","",TEXT($B602,"yymm")&amp;"-"&amp;TEXT(COUNTIFS($B$3:$B602,"&gt;="&amp;DATE(YEAR($B602),MONTH($B602),1),$B$3:$B602,"&lt;="&amp;EOMONTH($B602,0)),"000"))</f>
        <v/>
      </c>
      <c r="B602" s="13"/>
      <c r="C602" s="10"/>
      <c r="D602" s="10"/>
      <c r="E602" s="12" t="str">
        <f aca="false">IF($D602="","",IFERROR(INDEX(품목목록!$B$3:$B$302,MATCH($D602,품목목록!$A$3:$A$302,0)),"미등록품번"))</f>
        <v/>
      </c>
      <c r="F602" s="12" t="str">
        <f aca="false">IF($D602="","",IFERROR(INDEX(품목목록!$C$3:$C$302,MATCH($D602,품목목록!$A$3:$A$302,0)),""))</f>
        <v/>
      </c>
      <c r="G602" s="12" t="str">
        <f aca="false">IF($D602="","",IFERROR(INDEX(품목목록!$D$3:$D$302,MATCH($D602,품목목록!$A$3:$A$302,0)),""))</f>
        <v/>
      </c>
      <c r="H602" s="12" t="str">
        <f aca="false">IF($D602="","",IFERROR(INDEX(품목목록!$E$3:$E$302,MATCH($D602,품목목록!$A$3:$A$302,0)),""))</f>
        <v/>
      </c>
      <c r="I602" s="14"/>
      <c r="J602" s="10"/>
      <c r="K602" s="10"/>
      <c r="L602" s="10"/>
      <c r="M602" s="15" t="str">
        <f aca="false">IF($A602="","",SUMIFS(처리내역!$E$3:$E$1502,처리내역!$B$3:$B$1502,$A602))</f>
        <v/>
      </c>
      <c r="N602" s="15" t="str">
        <f aca="false">IF($A602="","",IF($I602="","",$I602-$M602))</f>
        <v/>
      </c>
      <c r="O602" s="12" t="str">
        <f aca="false">IF($A602="","",IF($I602="","",IF($M602=0,"미처리",IF($N602&lt;=0,"완료","부분처리"))))</f>
        <v/>
      </c>
    </row>
    <row r="603" customFormat="false" ht="15" hidden="false" customHeight="true" outlineLevel="0" collapsed="false">
      <c r="A603" s="12" t="str">
        <f aca="false">IF($B603="","",TEXT($B603,"yymm")&amp;"-"&amp;TEXT(COUNTIFS($B$3:$B603,"&gt;="&amp;DATE(YEAR($B603),MONTH($B603),1),$B$3:$B603,"&lt;="&amp;EOMONTH($B603,0)),"000"))</f>
        <v/>
      </c>
      <c r="B603" s="13"/>
      <c r="C603" s="10"/>
      <c r="D603" s="10"/>
      <c r="E603" s="12" t="str">
        <f aca="false">IF($D603="","",IFERROR(INDEX(품목목록!$B$3:$B$302,MATCH($D603,품목목록!$A$3:$A$302,0)),"미등록품번"))</f>
        <v/>
      </c>
      <c r="F603" s="12" t="str">
        <f aca="false">IF($D603="","",IFERROR(INDEX(품목목록!$C$3:$C$302,MATCH($D603,품목목록!$A$3:$A$302,0)),""))</f>
        <v/>
      </c>
      <c r="G603" s="12" t="str">
        <f aca="false">IF($D603="","",IFERROR(INDEX(품목목록!$D$3:$D$302,MATCH($D603,품목목록!$A$3:$A$302,0)),""))</f>
        <v/>
      </c>
      <c r="H603" s="12" t="str">
        <f aca="false">IF($D603="","",IFERROR(INDEX(품목목록!$E$3:$E$302,MATCH($D603,품목목록!$A$3:$A$302,0)),""))</f>
        <v/>
      </c>
      <c r="I603" s="14"/>
      <c r="J603" s="10"/>
      <c r="K603" s="10"/>
      <c r="L603" s="10"/>
      <c r="M603" s="15" t="str">
        <f aca="false">IF($A603="","",SUMIFS(처리내역!$E$3:$E$1502,처리내역!$B$3:$B$1502,$A603))</f>
        <v/>
      </c>
      <c r="N603" s="15" t="str">
        <f aca="false">IF($A603="","",IF($I603="","",$I603-$M603))</f>
        <v/>
      </c>
      <c r="O603" s="12" t="str">
        <f aca="false">IF($A603="","",IF($I603="","",IF($M603=0,"미처리",IF($N603&lt;=0,"완료","부분처리"))))</f>
        <v/>
      </c>
    </row>
    <row r="604" customFormat="false" ht="15" hidden="false" customHeight="true" outlineLevel="0" collapsed="false">
      <c r="A604" s="12" t="str">
        <f aca="false">IF($B604="","",TEXT($B604,"yymm")&amp;"-"&amp;TEXT(COUNTIFS($B$3:$B604,"&gt;="&amp;DATE(YEAR($B604),MONTH($B604),1),$B$3:$B604,"&lt;="&amp;EOMONTH($B604,0)),"000"))</f>
        <v/>
      </c>
      <c r="B604" s="13"/>
      <c r="C604" s="10"/>
      <c r="D604" s="10"/>
      <c r="E604" s="12" t="str">
        <f aca="false">IF($D604="","",IFERROR(INDEX(품목목록!$B$3:$B$302,MATCH($D604,품목목록!$A$3:$A$302,0)),"미등록품번"))</f>
        <v/>
      </c>
      <c r="F604" s="12" t="str">
        <f aca="false">IF($D604="","",IFERROR(INDEX(품목목록!$C$3:$C$302,MATCH($D604,품목목록!$A$3:$A$302,0)),""))</f>
        <v/>
      </c>
      <c r="G604" s="12" t="str">
        <f aca="false">IF($D604="","",IFERROR(INDEX(품목목록!$D$3:$D$302,MATCH($D604,품목목록!$A$3:$A$302,0)),""))</f>
        <v/>
      </c>
      <c r="H604" s="12" t="str">
        <f aca="false">IF($D604="","",IFERROR(INDEX(품목목록!$E$3:$E$302,MATCH($D604,품목목록!$A$3:$A$302,0)),""))</f>
        <v/>
      </c>
      <c r="I604" s="14"/>
      <c r="J604" s="10"/>
      <c r="K604" s="10"/>
      <c r="L604" s="10"/>
      <c r="M604" s="15" t="str">
        <f aca="false">IF($A604="","",SUMIFS(처리내역!$E$3:$E$1502,처리내역!$B$3:$B$1502,$A604))</f>
        <v/>
      </c>
      <c r="N604" s="15" t="str">
        <f aca="false">IF($A604="","",IF($I604="","",$I604-$M604))</f>
        <v/>
      </c>
      <c r="O604" s="12" t="str">
        <f aca="false">IF($A604="","",IF($I604="","",IF($M604=0,"미처리",IF($N604&lt;=0,"완료","부분처리"))))</f>
        <v/>
      </c>
    </row>
    <row r="605" customFormat="false" ht="15" hidden="false" customHeight="true" outlineLevel="0" collapsed="false">
      <c r="A605" s="12" t="str">
        <f aca="false">IF($B605="","",TEXT($B605,"yymm")&amp;"-"&amp;TEXT(COUNTIFS($B$3:$B605,"&gt;="&amp;DATE(YEAR($B605),MONTH($B605),1),$B$3:$B605,"&lt;="&amp;EOMONTH($B605,0)),"000"))</f>
        <v/>
      </c>
      <c r="B605" s="13"/>
      <c r="C605" s="10"/>
      <c r="D605" s="10"/>
      <c r="E605" s="12" t="str">
        <f aca="false">IF($D605="","",IFERROR(INDEX(품목목록!$B$3:$B$302,MATCH($D605,품목목록!$A$3:$A$302,0)),"미등록품번"))</f>
        <v/>
      </c>
      <c r="F605" s="12" t="str">
        <f aca="false">IF($D605="","",IFERROR(INDEX(품목목록!$C$3:$C$302,MATCH($D605,품목목록!$A$3:$A$302,0)),""))</f>
        <v/>
      </c>
      <c r="G605" s="12" t="str">
        <f aca="false">IF($D605="","",IFERROR(INDEX(품목목록!$D$3:$D$302,MATCH($D605,품목목록!$A$3:$A$302,0)),""))</f>
        <v/>
      </c>
      <c r="H605" s="12" t="str">
        <f aca="false">IF($D605="","",IFERROR(INDEX(품목목록!$E$3:$E$302,MATCH($D605,품목목록!$A$3:$A$302,0)),""))</f>
        <v/>
      </c>
      <c r="I605" s="14"/>
      <c r="J605" s="10"/>
      <c r="K605" s="10"/>
      <c r="L605" s="10"/>
      <c r="M605" s="15" t="str">
        <f aca="false">IF($A605="","",SUMIFS(처리내역!$E$3:$E$1502,처리내역!$B$3:$B$1502,$A605))</f>
        <v/>
      </c>
      <c r="N605" s="15" t="str">
        <f aca="false">IF($A605="","",IF($I605="","",$I605-$M605))</f>
        <v/>
      </c>
      <c r="O605" s="12" t="str">
        <f aca="false">IF($A605="","",IF($I605="","",IF($M605=0,"미처리",IF($N605&lt;=0,"완료","부분처리"))))</f>
        <v/>
      </c>
    </row>
    <row r="606" customFormat="false" ht="15" hidden="false" customHeight="true" outlineLevel="0" collapsed="false">
      <c r="A606" s="12" t="str">
        <f aca="false">IF($B606="","",TEXT($B606,"yymm")&amp;"-"&amp;TEXT(COUNTIFS($B$3:$B606,"&gt;="&amp;DATE(YEAR($B606),MONTH($B606),1),$B$3:$B606,"&lt;="&amp;EOMONTH($B606,0)),"000"))</f>
        <v/>
      </c>
      <c r="B606" s="13"/>
      <c r="C606" s="10"/>
      <c r="D606" s="10"/>
      <c r="E606" s="12" t="str">
        <f aca="false">IF($D606="","",IFERROR(INDEX(품목목록!$B$3:$B$302,MATCH($D606,품목목록!$A$3:$A$302,0)),"미등록품번"))</f>
        <v/>
      </c>
      <c r="F606" s="12" t="str">
        <f aca="false">IF($D606="","",IFERROR(INDEX(품목목록!$C$3:$C$302,MATCH($D606,품목목록!$A$3:$A$302,0)),""))</f>
        <v/>
      </c>
      <c r="G606" s="12" t="str">
        <f aca="false">IF($D606="","",IFERROR(INDEX(품목목록!$D$3:$D$302,MATCH($D606,품목목록!$A$3:$A$302,0)),""))</f>
        <v/>
      </c>
      <c r="H606" s="12" t="str">
        <f aca="false">IF($D606="","",IFERROR(INDEX(품목목록!$E$3:$E$302,MATCH($D606,품목목록!$A$3:$A$302,0)),""))</f>
        <v/>
      </c>
      <c r="I606" s="14"/>
      <c r="J606" s="10"/>
      <c r="K606" s="10"/>
      <c r="L606" s="10"/>
      <c r="M606" s="15" t="str">
        <f aca="false">IF($A606="","",SUMIFS(처리내역!$E$3:$E$1502,처리내역!$B$3:$B$1502,$A606))</f>
        <v/>
      </c>
      <c r="N606" s="15" t="str">
        <f aca="false">IF($A606="","",IF($I606="","",$I606-$M606))</f>
        <v/>
      </c>
      <c r="O606" s="12" t="str">
        <f aca="false">IF($A606="","",IF($I606="","",IF($M606=0,"미처리",IF($N606&lt;=0,"완료","부분처리"))))</f>
        <v/>
      </c>
    </row>
    <row r="607" customFormat="false" ht="15" hidden="false" customHeight="true" outlineLevel="0" collapsed="false">
      <c r="A607" s="12" t="str">
        <f aca="false">IF($B607="","",TEXT($B607,"yymm")&amp;"-"&amp;TEXT(COUNTIFS($B$3:$B607,"&gt;="&amp;DATE(YEAR($B607),MONTH($B607),1),$B$3:$B607,"&lt;="&amp;EOMONTH($B607,0)),"000"))</f>
        <v/>
      </c>
      <c r="B607" s="13"/>
      <c r="C607" s="10"/>
      <c r="D607" s="10"/>
      <c r="E607" s="12" t="str">
        <f aca="false">IF($D607="","",IFERROR(INDEX(품목목록!$B$3:$B$302,MATCH($D607,품목목록!$A$3:$A$302,0)),"미등록품번"))</f>
        <v/>
      </c>
      <c r="F607" s="12" t="str">
        <f aca="false">IF($D607="","",IFERROR(INDEX(품목목록!$C$3:$C$302,MATCH($D607,품목목록!$A$3:$A$302,0)),""))</f>
        <v/>
      </c>
      <c r="G607" s="12" t="str">
        <f aca="false">IF($D607="","",IFERROR(INDEX(품목목록!$D$3:$D$302,MATCH($D607,품목목록!$A$3:$A$302,0)),""))</f>
        <v/>
      </c>
      <c r="H607" s="12" t="str">
        <f aca="false">IF($D607="","",IFERROR(INDEX(품목목록!$E$3:$E$302,MATCH($D607,품목목록!$A$3:$A$302,0)),""))</f>
        <v/>
      </c>
      <c r="I607" s="14"/>
      <c r="J607" s="10"/>
      <c r="K607" s="10"/>
      <c r="L607" s="10"/>
      <c r="M607" s="15" t="str">
        <f aca="false">IF($A607="","",SUMIFS(처리내역!$E$3:$E$1502,처리내역!$B$3:$B$1502,$A607))</f>
        <v/>
      </c>
      <c r="N607" s="15" t="str">
        <f aca="false">IF($A607="","",IF($I607="","",$I607-$M607))</f>
        <v/>
      </c>
      <c r="O607" s="12" t="str">
        <f aca="false">IF($A607="","",IF($I607="","",IF($M607=0,"미처리",IF($N607&lt;=0,"완료","부분처리"))))</f>
        <v/>
      </c>
    </row>
    <row r="608" customFormat="false" ht="15" hidden="false" customHeight="true" outlineLevel="0" collapsed="false">
      <c r="A608" s="12" t="str">
        <f aca="false">IF($B608="","",TEXT($B608,"yymm")&amp;"-"&amp;TEXT(COUNTIFS($B$3:$B608,"&gt;="&amp;DATE(YEAR($B608),MONTH($B608),1),$B$3:$B608,"&lt;="&amp;EOMONTH($B608,0)),"000"))</f>
        <v/>
      </c>
      <c r="B608" s="13"/>
      <c r="C608" s="10"/>
      <c r="D608" s="10"/>
      <c r="E608" s="12" t="str">
        <f aca="false">IF($D608="","",IFERROR(INDEX(품목목록!$B$3:$B$302,MATCH($D608,품목목록!$A$3:$A$302,0)),"미등록품번"))</f>
        <v/>
      </c>
      <c r="F608" s="12" t="str">
        <f aca="false">IF($D608="","",IFERROR(INDEX(품목목록!$C$3:$C$302,MATCH($D608,품목목록!$A$3:$A$302,0)),""))</f>
        <v/>
      </c>
      <c r="G608" s="12" t="str">
        <f aca="false">IF($D608="","",IFERROR(INDEX(품목목록!$D$3:$D$302,MATCH($D608,품목목록!$A$3:$A$302,0)),""))</f>
        <v/>
      </c>
      <c r="H608" s="12" t="str">
        <f aca="false">IF($D608="","",IFERROR(INDEX(품목목록!$E$3:$E$302,MATCH($D608,품목목록!$A$3:$A$302,0)),""))</f>
        <v/>
      </c>
      <c r="I608" s="14"/>
      <c r="J608" s="10"/>
      <c r="K608" s="10"/>
      <c r="L608" s="10"/>
      <c r="M608" s="15" t="str">
        <f aca="false">IF($A608="","",SUMIFS(처리내역!$E$3:$E$1502,처리내역!$B$3:$B$1502,$A608))</f>
        <v/>
      </c>
      <c r="N608" s="15" t="str">
        <f aca="false">IF($A608="","",IF($I608="","",$I608-$M608))</f>
        <v/>
      </c>
      <c r="O608" s="12" t="str">
        <f aca="false">IF($A608="","",IF($I608="","",IF($M608=0,"미처리",IF($N608&lt;=0,"완료","부분처리"))))</f>
        <v/>
      </c>
    </row>
    <row r="609" customFormat="false" ht="15" hidden="false" customHeight="true" outlineLevel="0" collapsed="false">
      <c r="A609" s="12" t="str">
        <f aca="false">IF($B609="","",TEXT($B609,"yymm")&amp;"-"&amp;TEXT(COUNTIFS($B$3:$B609,"&gt;="&amp;DATE(YEAR($B609),MONTH($B609),1),$B$3:$B609,"&lt;="&amp;EOMONTH($B609,0)),"000"))</f>
        <v/>
      </c>
      <c r="B609" s="13"/>
      <c r="C609" s="10"/>
      <c r="D609" s="10"/>
      <c r="E609" s="12" t="str">
        <f aca="false">IF($D609="","",IFERROR(INDEX(품목목록!$B$3:$B$302,MATCH($D609,품목목록!$A$3:$A$302,0)),"미등록품번"))</f>
        <v/>
      </c>
      <c r="F609" s="12" t="str">
        <f aca="false">IF($D609="","",IFERROR(INDEX(품목목록!$C$3:$C$302,MATCH($D609,품목목록!$A$3:$A$302,0)),""))</f>
        <v/>
      </c>
      <c r="G609" s="12" t="str">
        <f aca="false">IF($D609="","",IFERROR(INDEX(품목목록!$D$3:$D$302,MATCH($D609,품목목록!$A$3:$A$302,0)),""))</f>
        <v/>
      </c>
      <c r="H609" s="12" t="str">
        <f aca="false">IF($D609="","",IFERROR(INDEX(품목목록!$E$3:$E$302,MATCH($D609,품목목록!$A$3:$A$302,0)),""))</f>
        <v/>
      </c>
      <c r="I609" s="14"/>
      <c r="J609" s="10"/>
      <c r="K609" s="10"/>
      <c r="L609" s="10"/>
      <c r="M609" s="15" t="str">
        <f aca="false">IF($A609="","",SUMIFS(처리내역!$E$3:$E$1502,처리내역!$B$3:$B$1502,$A609))</f>
        <v/>
      </c>
      <c r="N609" s="15" t="str">
        <f aca="false">IF($A609="","",IF($I609="","",$I609-$M609))</f>
        <v/>
      </c>
      <c r="O609" s="12" t="str">
        <f aca="false">IF($A609="","",IF($I609="","",IF($M609=0,"미처리",IF($N609&lt;=0,"완료","부분처리"))))</f>
        <v/>
      </c>
    </row>
    <row r="610" customFormat="false" ht="15" hidden="false" customHeight="true" outlineLevel="0" collapsed="false">
      <c r="A610" s="12" t="str">
        <f aca="false">IF($B610="","",TEXT($B610,"yymm")&amp;"-"&amp;TEXT(COUNTIFS($B$3:$B610,"&gt;="&amp;DATE(YEAR($B610),MONTH($B610),1),$B$3:$B610,"&lt;="&amp;EOMONTH($B610,0)),"000"))</f>
        <v/>
      </c>
      <c r="B610" s="13"/>
      <c r="C610" s="10"/>
      <c r="D610" s="10"/>
      <c r="E610" s="12" t="str">
        <f aca="false">IF($D610="","",IFERROR(INDEX(품목목록!$B$3:$B$302,MATCH($D610,품목목록!$A$3:$A$302,0)),"미등록품번"))</f>
        <v/>
      </c>
      <c r="F610" s="12" t="str">
        <f aca="false">IF($D610="","",IFERROR(INDEX(품목목록!$C$3:$C$302,MATCH($D610,품목목록!$A$3:$A$302,0)),""))</f>
        <v/>
      </c>
      <c r="G610" s="12" t="str">
        <f aca="false">IF($D610="","",IFERROR(INDEX(품목목록!$D$3:$D$302,MATCH($D610,품목목록!$A$3:$A$302,0)),""))</f>
        <v/>
      </c>
      <c r="H610" s="12" t="str">
        <f aca="false">IF($D610="","",IFERROR(INDEX(품목목록!$E$3:$E$302,MATCH($D610,품목목록!$A$3:$A$302,0)),""))</f>
        <v/>
      </c>
      <c r="I610" s="14"/>
      <c r="J610" s="10"/>
      <c r="K610" s="10"/>
      <c r="L610" s="10"/>
      <c r="M610" s="15" t="str">
        <f aca="false">IF($A610="","",SUMIFS(처리내역!$E$3:$E$1502,처리내역!$B$3:$B$1502,$A610))</f>
        <v/>
      </c>
      <c r="N610" s="15" t="str">
        <f aca="false">IF($A610="","",IF($I610="","",$I610-$M610))</f>
        <v/>
      </c>
      <c r="O610" s="12" t="str">
        <f aca="false">IF($A610="","",IF($I610="","",IF($M610=0,"미처리",IF($N610&lt;=0,"완료","부분처리"))))</f>
        <v/>
      </c>
    </row>
    <row r="611" customFormat="false" ht="15" hidden="false" customHeight="true" outlineLevel="0" collapsed="false">
      <c r="A611" s="12" t="str">
        <f aca="false">IF($B611="","",TEXT($B611,"yymm")&amp;"-"&amp;TEXT(COUNTIFS($B$3:$B611,"&gt;="&amp;DATE(YEAR($B611),MONTH($B611),1),$B$3:$B611,"&lt;="&amp;EOMONTH($B611,0)),"000"))</f>
        <v/>
      </c>
      <c r="B611" s="13"/>
      <c r="C611" s="10"/>
      <c r="D611" s="10"/>
      <c r="E611" s="12" t="str">
        <f aca="false">IF($D611="","",IFERROR(INDEX(품목목록!$B$3:$B$302,MATCH($D611,품목목록!$A$3:$A$302,0)),"미등록품번"))</f>
        <v/>
      </c>
      <c r="F611" s="12" t="str">
        <f aca="false">IF($D611="","",IFERROR(INDEX(품목목록!$C$3:$C$302,MATCH($D611,품목목록!$A$3:$A$302,0)),""))</f>
        <v/>
      </c>
      <c r="G611" s="12" t="str">
        <f aca="false">IF($D611="","",IFERROR(INDEX(품목목록!$D$3:$D$302,MATCH($D611,품목목록!$A$3:$A$302,0)),""))</f>
        <v/>
      </c>
      <c r="H611" s="12" t="str">
        <f aca="false">IF($D611="","",IFERROR(INDEX(품목목록!$E$3:$E$302,MATCH($D611,품목목록!$A$3:$A$302,0)),""))</f>
        <v/>
      </c>
      <c r="I611" s="14"/>
      <c r="J611" s="10"/>
      <c r="K611" s="10"/>
      <c r="L611" s="10"/>
      <c r="M611" s="15" t="str">
        <f aca="false">IF($A611="","",SUMIFS(처리내역!$E$3:$E$1502,처리내역!$B$3:$B$1502,$A611))</f>
        <v/>
      </c>
      <c r="N611" s="15" t="str">
        <f aca="false">IF($A611="","",IF($I611="","",$I611-$M611))</f>
        <v/>
      </c>
      <c r="O611" s="12" t="str">
        <f aca="false">IF($A611="","",IF($I611="","",IF($M611=0,"미처리",IF($N611&lt;=0,"완료","부분처리"))))</f>
        <v/>
      </c>
    </row>
    <row r="612" customFormat="false" ht="15" hidden="false" customHeight="true" outlineLevel="0" collapsed="false">
      <c r="A612" s="12" t="str">
        <f aca="false">IF($B612="","",TEXT($B612,"yymm")&amp;"-"&amp;TEXT(COUNTIFS($B$3:$B612,"&gt;="&amp;DATE(YEAR($B612),MONTH($B612),1),$B$3:$B612,"&lt;="&amp;EOMONTH($B612,0)),"000"))</f>
        <v/>
      </c>
      <c r="B612" s="13"/>
      <c r="C612" s="10"/>
      <c r="D612" s="10"/>
      <c r="E612" s="12" t="str">
        <f aca="false">IF($D612="","",IFERROR(INDEX(품목목록!$B$3:$B$302,MATCH($D612,품목목록!$A$3:$A$302,0)),"미등록품번"))</f>
        <v/>
      </c>
      <c r="F612" s="12" t="str">
        <f aca="false">IF($D612="","",IFERROR(INDEX(품목목록!$C$3:$C$302,MATCH($D612,품목목록!$A$3:$A$302,0)),""))</f>
        <v/>
      </c>
      <c r="G612" s="12" t="str">
        <f aca="false">IF($D612="","",IFERROR(INDEX(품목목록!$D$3:$D$302,MATCH($D612,품목목록!$A$3:$A$302,0)),""))</f>
        <v/>
      </c>
      <c r="H612" s="12" t="str">
        <f aca="false">IF($D612="","",IFERROR(INDEX(품목목록!$E$3:$E$302,MATCH($D612,품목목록!$A$3:$A$302,0)),""))</f>
        <v/>
      </c>
      <c r="I612" s="14"/>
      <c r="J612" s="10"/>
      <c r="K612" s="10"/>
      <c r="L612" s="10"/>
      <c r="M612" s="15" t="str">
        <f aca="false">IF($A612="","",SUMIFS(처리내역!$E$3:$E$1502,처리내역!$B$3:$B$1502,$A612))</f>
        <v/>
      </c>
      <c r="N612" s="15" t="str">
        <f aca="false">IF($A612="","",IF($I612="","",$I612-$M612))</f>
        <v/>
      </c>
      <c r="O612" s="12" t="str">
        <f aca="false">IF($A612="","",IF($I612="","",IF($M612=0,"미처리",IF($N612&lt;=0,"완료","부분처리"))))</f>
        <v/>
      </c>
    </row>
    <row r="613" customFormat="false" ht="15" hidden="false" customHeight="true" outlineLevel="0" collapsed="false">
      <c r="A613" s="12" t="str">
        <f aca="false">IF($B613="","",TEXT($B613,"yymm")&amp;"-"&amp;TEXT(COUNTIFS($B$3:$B613,"&gt;="&amp;DATE(YEAR($B613),MONTH($B613),1),$B$3:$B613,"&lt;="&amp;EOMONTH($B613,0)),"000"))</f>
        <v/>
      </c>
      <c r="B613" s="13"/>
      <c r="C613" s="10"/>
      <c r="D613" s="10"/>
      <c r="E613" s="12" t="str">
        <f aca="false">IF($D613="","",IFERROR(INDEX(품목목록!$B$3:$B$302,MATCH($D613,품목목록!$A$3:$A$302,0)),"미등록품번"))</f>
        <v/>
      </c>
      <c r="F613" s="12" t="str">
        <f aca="false">IF($D613="","",IFERROR(INDEX(품목목록!$C$3:$C$302,MATCH($D613,품목목록!$A$3:$A$302,0)),""))</f>
        <v/>
      </c>
      <c r="G613" s="12" t="str">
        <f aca="false">IF($D613="","",IFERROR(INDEX(품목목록!$D$3:$D$302,MATCH($D613,품목목록!$A$3:$A$302,0)),""))</f>
        <v/>
      </c>
      <c r="H613" s="12" t="str">
        <f aca="false">IF($D613="","",IFERROR(INDEX(품목목록!$E$3:$E$302,MATCH($D613,품목목록!$A$3:$A$302,0)),""))</f>
        <v/>
      </c>
      <c r="I613" s="14"/>
      <c r="J613" s="10"/>
      <c r="K613" s="10"/>
      <c r="L613" s="10"/>
      <c r="M613" s="15" t="str">
        <f aca="false">IF($A613="","",SUMIFS(처리내역!$E$3:$E$1502,처리내역!$B$3:$B$1502,$A613))</f>
        <v/>
      </c>
      <c r="N613" s="15" t="str">
        <f aca="false">IF($A613="","",IF($I613="","",$I613-$M613))</f>
        <v/>
      </c>
      <c r="O613" s="12" t="str">
        <f aca="false">IF($A613="","",IF($I613="","",IF($M613=0,"미처리",IF($N613&lt;=0,"완료","부분처리"))))</f>
        <v/>
      </c>
    </row>
    <row r="614" customFormat="false" ht="15" hidden="false" customHeight="true" outlineLevel="0" collapsed="false">
      <c r="A614" s="12" t="str">
        <f aca="false">IF($B614="","",TEXT($B614,"yymm")&amp;"-"&amp;TEXT(COUNTIFS($B$3:$B614,"&gt;="&amp;DATE(YEAR($B614),MONTH($B614),1),$B$3:$B614,"&lt;="&amp;EOMONTH($B614,0)),"000"))</f>
        <v/>
      </c>
      <c r="B614" s="13"/>
      <c r="C614" s="10"/>
      <c r="D614" s="10"/>
      <c r="E614" s="12" t="str">
        <f aca="false">IF($D614="","",IFERROR(INDEX(품목목록!$B$3:$B$302,MATCH($D614,품목목록!$A$3:$A$302,0)),"미등록품번"))</f>
        <v/>
      </c>
      <c r="F614" s="12" t="str">
        <f aca="false">IF($D614="","",IFERROR(INDEX(품목목록!$C$3:$C$302,MATCH($D614,품목목록!$A$3:$A$302,0)),""))</f>
        <v/>
      </c>
      <c r="G614" s="12" t="str">
        <f aca="false">IF($D614="","",IFERROR(INDEX(품목목록!$D$3:$D$302,MATCH($D614,품목목록!$A$3:$A$302,0)),""))</f>
        <v/>
      </c>
      <c r="H614" s="12" t="str">
        <f aca="false">IF($D614="","",IFERROR(INDEX(품목목록!$E$3:$E$302,MATCH($D614,품목목록!$A$3:$A$302,0)),""))</f>
        <v/>
      </c>
      <c r="I614" s="14"/>
      <c r="J614" s="10"/>
      <c r="K614" s="10"/>
      <c r="L614" s="10"/>
      <c r="M614" s="15" t="str">
        <f aca="false">IF($A614="","",SUMIFS(처리내역!$E$3:$E$1502,처리내역!$B$3:$B$1502,$A614))</f>
        <v/>
      </c>
      <c r="N614" s="15" t="str">
        <f aca="false">IF($A614="","",IF($I614="","",$I614-$M614))</f>
        <v/>
      </c>
      <c r="O614" s="12" t="str">
        <f aca="false">IF($A614="","",IF($I614="","",IF($M614=0,"미처리",IF($N614&lt;=0,"완료","부분처리"))))</f>
        <v/>
      </c>
    </row>
    <row r="615" customFormat="false" ht="15" hidden="false" customHeight="true" outlineLevel="0" collapsed="false">
      <c r="A615" s="12" t="str">
        <f aca="false">IF($B615="","",TEXT($B615,"yymm")&amp;"-"&amp;TEXT(COUNTIFS($B$3:$B615,"&gt;="&amp;DATE(YEAR($B615),MONTH($B615),1),$B$3:$B615,"&lt;="&amp;EOMONTH($B615,0)),"000"))</f>
        <v/>
      </c>
      <c r="B615" s="13"/>
      <c r="C615" s="10"/>
      <c r="D615" s="10"/>
      <c r="E615" s="12" t="str">
        <f aca="false">IF($D615="","",IFERROR(INDEX(품목목록!$B$3:$B$302,MATCH($D615,품목목록!$A$3:$A$302,0)),"미등록품번"))</f>
        <v/>
      </c>
      <c r="F615" s="12" t="str">
        <f aca="false">IF($D615="","",IFERROR(INDEX(품목목록!$C$3:$C$302,MATCH($D615,품목목록!$A$3:$A$302,0)),""))</f>
        <v/>
      </c>
      <c r="G615" s="12" t="str">
        <f aca="false">IF($D615="","",IFERROR(INDEX(품목목록!$D$3:$D$302,MATCH($D615,품목목록!$A$3:$A$302,0)),""))</f>
        <v/>
      </c>
      <c r="H615" s="12" t="str">
        <f aca="false">IF($D615="","",IFERROR(INDEX(품목목록!$E$3:$E$302,MATCH($D615,품목목록!$A$3:$A$302,0)),""))</f>
        <v/>
      </c>
      <c r="I615" s="14"/>
      <c r="J615" s="10"/>
      <c r="K615" s="10"/>
      <c r="L615" s="10"/>
      <c r="M615" s="15" t="str">
        <f aca="false">IF($A615="","",SUMIFS(처리내역!$E$3:$E$1502,처리내역!$B$3:$B$1502,$A615))</f>
        <v/>
      </c>
      <c r="N615" s="15" t="str">
        <f aca="false">IF($A615="","",IF($I615="","",$I615-$M615))</f>
        <v/>
      </c>
      <c r="O615" s="12" t="str">
        <f aca="false">IF($A615="","",IF($I615="","",IF($M615=0,"미처리",IF($N615&lt;=0,"완료","부분처리"))))</f>
        <v/>
      </c>
    </row>
    <row r="616" customFormat="false" ht="15" hidden="false" customHeight="true" outlineLevel="0" collapsed="false">
      <c r="A616" s="12" t="str">
        <f aca="false">IF($B616="","",TEXT($B616,"yymm")&amp;"-"&amp;TEXT(COUNTIFS($B$3:$B616,"&gt;="&amp;DATE(YEAR($B616),MONTH($B616),1),$B$3:$B616,"&lt;="&amp;EOMONTH($B616,0)),"000"))</f>
        <v/>
      </c>
      <c r="B616" s="13"/>
      <c r="C616" s="10"/>
      <c r="D616" s="10"/>
      <c r="E616" s="12" t="str">
        <f aca="false">IF($D616="","",IFERROR(INDEX(품목목록!$B$3:$B$302,MATCH($D616,품목목록!$A$3:$A$302,0)),"미등록품번"))</f>
        <v/>
      </c>
      <c r="F616" s="12" t="str">
        <f aca="false">IF($D616="","",IFERROR(INDEX(품목목록!$C$3:$C$302,MATCH($D616,품목목록!$A$3:$A$302,0)),""))</f>
        <v/>
      </c>
      <c r="G616" s="12" t="str">
        <f aca="false">IF($D616="","",IFERROR(INDEX(품목목록!$D$3:$D$302,MATCH($D616,품목목록!$A$3:$A$302,0)),""))</f>
        <v/>
      </c>
      <c r="H616" s="12" t="str">
        <f aca="false">IF($D616="","",IFERROR(INDEX(품목목록!$E$3:$E$302,MATCH($D616,품목목록!$A$3:$A$302,0)),""))</f>
        <v/>
      </c>
      <c r="I616" s="14"/>
      <c r="J616" s="10"/>
      <c r="K616" s="10"/>
      <c r="L616" s="10"/>
      <c r="M616" s="15" t="str">
        <f aca="false">IF($A616="","",SUMIFS(처리내역!$E$3:$E$1502,처리내역!$B$3:$B$1502,$A616))</f>
        <v/>
      </c>
      <c r="N616" s="15" t="str">
        <f aca="false">IF($A616="","",IF($I616="","",$I616-$M616))</f>
        <v/>
      </c>
      <c r="O616" s="12" t="str">
        <f aca="false">IF($A616="","",IF($I616="","",IF($M616=0,"미처리",IF($N616&lt;=0,"완료","부분처리"))))</f>
        <v/>
      </c>
    </row>
    <row r="617" customFormat="false" ht="15" hidden="false" customHeight="true" outlineLevel="0" collapsed="false">
      <c r="A617" s="12" t="str">
        <f aca="false">IF($B617="","",TEXT($B617,"yymm")&amp;"-"&amp;TEXT(COUNTIFS($B$3:$B617,"&gt;="&amp;DATE(YEAR($B617),MONTH($B617),1),$B$3:$B617,"&lt;="&amp;EOMONTH($B617,0)),"000"))</f>
        <v/>
      </c>
      <c r="B617" s="13"/>
      <c r="C617" s="10"/>
      <c r="D617" s="10"/>
      <c r="E617" s="12" t="str">
        <f aca="false">IF($D617="","",IFERROR(INDEX(품목목록!$B$3:$B$302,MATCH($D617,품목목록!$A$3:$A$302,0)),"미등록품번"))</f>
        <v/>
      </c>
      <c r="F617" s="12" t="str">
        <f aca="false">IF($D617="","",IFERROR(INDEX(품목목록!$C$3:$C$302,MATCH($D617,품목목록!$A$3:$A$302,0)),""))</f>
        <v/>
      </c>
      <c r="G617" s="12" t="str">
        <f aca="false">IF($D617="","",IFERROR(INDEX(품목목록!$D$3:$D$302,MATCH($D617,품목목록!$A$3:$A$302,0)),""))</f>
        <v/>
      </c>
      <c r="H617" s="12" t="str">
        <f aca="false">IF($D617="","",IFERROR(INDEX(품목목록!$E$3:$E$302,MATCH($D617,품목목록!$A$3:$A$302,0)),""))</f>
        <v/>
      </c>
      <c r="I617" s="14"/>
      <c r="J617" s="10"/>
      <c r="K617" s="10"/>
      <c r="L617" s="10"/>
      <c r="M617" s="15" t="str">
        <f aca="false">IF($A617="","",SUMIFS(처리내역!$E$3:$E$1502,처리내역!$B$3:$B$1502,$A617))</f>
        <v/>
      </c>
      <c r="N617" s="15" t="str">
        <f aca="false">IF($A617="","",IF($I617="","",$I617-$M617))</f>
        <v/>
      </c>
      <c r="O617" s="12" t="str">
        <f aca="false">IF($A617="","",IF($I617="","",IF($M617=0,"미처리",IF($N617&lt;=0,"완료","부분처리"))))</f>
        <v/>
      </c>
    </row>
    <row r="618" customFormat="false" ht="15" hidden="false" customHeight="true" outlineLevel="0" collapsed="false">
      <c r="A618" s="12" t="str">
        <f aca="false">IF($B618="","",TEXT($B618,"yymm")&amp;"-"&amp;TEXT(COUNTIFS($B$3:$B618,"&gt;="&amp;DATE(YEAR($B618),MONTH($B618),1),$B$3:$B618,"&lt;="&amp;EOMONTH($B618,0)),"000"))</f>
        <v/>
      </c>
      <c r="B618" s="13"/>
      <c r="C618" s="10"/>
      <c r="D618" s="10"/>
      <c r="E618" s="12" t="str">
        <f aca="false">IF($D618="","",IFERROR(INDEX(품목목록!$B$3:$B$302,MATCH($D618,품목목록!$A$3:$A$302,0)),"미등록품번"))</f>
        <v/>
      </c>
      <c r="F618" s="12" t="str">
        <f aca="false">IF($D618="","",IFERROR(INDEX(품목목록!$C$3:$C$302,MATCH($D618,품목목록!$A$3:$A$302,0)),""))</f>
        <v/>
      </c>
      <c r="G618" s="12" t="str">
        <f aca="false">IF($D618="","",IFERROR(INDEX(품목목록!$D$3:$D$302,MATCH($D618,품목목록!$A$3:$A$302,0)),""))</f>
        <v/>
      </c>
      <c r="H618" s="12" t="str">
        <f aca="false">IF($D618="","",IFERROR(INDEX(품목목록!$E$3:$E$302,MATCH($D618,품목목록!$A$3:$A$302,0)),""))</f>
        <v/>
      </c>
      <c r="I618" s="14"/>
      <c r="J618" s="10"/>
      <c r="K618" s="10"/>
      <c r="L618" s="10"/>
      <c r="M618" s="15" t="str">
        <f aca="false">IF($A618="","",SUMIFS(처리내역!$E$3:$E$1502,처리내역!$B$3:$B$1502,$A618))</f>
        <v/>
      </c>
      <c r="N618" s="15" t="str">
        <f aca="false">IF($A618="","",IF($I618="","",$I618-$M618))</f>
        <v/>
      </c>
      <c r="O618" s="12" t="str">
        <f aca="false">IF($A618="","",IF($I618="","",IF($M618=0,"미처리",IF($N618&lt;=0,"완료","부분처리"))))</f>
        <v/>
      </c>
    </row>
    <row r="619" customFormat="false" ht="15" hidden="false" customHeight="true" outlineLevel="0" collapsed="false">
      <c r="A619" s="12" t="str">
        <f aca="false">IF($B619="","",TEXT($B619,"yymm")&amp;"-"&amp;TEXT(COUNTIFS($B$3:$B619,"&gt;="&amp;DATE(YEAR($B619),MONTH($B619),1),$B$3:$B619,"&lt;="&amp;EOMONTH($B619,0)),"000"))</f>
        <v/>
      </c>
      <c r="B619" s="13"/>
      <c r="C619" s="10"/>
      <c r="D619" s="10"/>
      <c r="E619" s="12" t="str">
        <f aca="false">IF($D619="","",IFERROR(INDEX(품목목록!$B$3:$B$302,MATCH($D619,품목목록!$A$3:$A$302,0)),"미등록품번"))</f>
        <v/>
      </c>
      <c r="F619" s="12" t="str">
        <f aca="false">IF($D619="","",IFERROR(INDEX(품목목록!$C$3:$C$302,MATCH($D619,품목목록!$A$3:$A$302,0)),""))</f>
        <v/>
      </c>
      <c r="G619" s="12" t="str">
        <f aca="false">IF($D619="","",IFERROR(INDEX(품목목록!$D$3:$D$302,MATCH($D619,품목목록!$A$3:$A$302,0)),""))</f>
        <v/>
      </c>
      <c r="H619" s="12" t="str">
        <f aca="false">IF($D619="","",IFERROR(INDEX(품목목록!$E$3:$E$302,MATCH($D619,품목목록!$A$3:$A$302,0)),""))</f>
        <v/>
      </c>
      <c r="I619" s="14"/>
      <c r="J619" s="10"/>
      <c r="K619" s="10"/>
      <c r="L619" s="10"/>
      <c r="M619" s="15" t="str">
        <f aca="false">IF($A619="","",SUMIFS(처리내역!$E$3:$E$1502,처리내역!$B$3:$B$1502,$A619))</f>
        <v/>
      </c>
      <c r="N619" s="15" t="str">
        <f aca="false">IF($A619="","",IF($I619="","",$I619-$M619))</f>
        <v/>
      </c>
      <c r="O619" s="12" t="str">
        <f aca="false">IF($A619="","",IF($I619="","",IF($M619=0,"미처리",IF($N619&lt;=0,"완료","부분처리"))))</f>
        <v/>
      </c>
    </row>
    <row r="620" customFormat="false" ht="15" hidden="false" customHeight="true" outlineLevel="0" collapsed="false">
      <c r="A620" s="12" t="str">
        <f aca="false">IF($B620="","",TEXT($B620,"yymm")&amp;"-"&amp;TEXT(COUNTIFS($B$3:$B620,"&gt;="&amp;DATE(YEAR($B620),MONTH($B620),1),$B$3:$B620,"&lt;="&amp;EOMONTH($B620,0)),"000"))</f>
        <v/>
      </c>
      <c r="B620" s="13"/>
      <c r="C620" s="10"/>
      <c r="D620" s="10"/>
      <c r="E620" s="12" t="str">
        <f aca="false">IF($D620="","",IFERROR(INDEX(품목목록!$B$3:$B$302,MATCH($D620,품목목록!$A$3:$A$302,0)),"미등록품번"))</f>
        <v/>
      </c>
      <c r="F620" s="12" t="str">
        <f aca="false">IF($D620="","",IFERROR(INDEX(품목목록!$C$3:$C$302,MATCH($D620,품목목록!$A$3:$A$302,0)),""))</f>
        <v/>
      </c>
      <c r="G620" s="12" t="str">
        <f aca="false">IF($D620="","",IFERROR(INDEX(품목목록!$D$3:$D$302,MATCH($D620,품목목록!$A$3:$A$302,0)),""))</f>
        <v/>
      </c>
      <c r="H620" s="12" t="str">
        <f aca="false">IF($D620="","",IFERROR(INDEX(품목목록!$E$3:$E$302,MATCH($D620,품목목록!$A$3:$A$302,0)),""))</f>
        <v/>
      </c>
      <c r="I620" s="14"/>
      <c r="J620" s="10"/>
      <c r="K620" s="10"/>
      <c r="L620" s="10"/>
      <c r="M620" s="15" t="str">
        <f aca="false">IF($A620="","",SUMIFS(처리내역!$E$3:$E$1502,처리내역!$B$3:$B$1502,$A620))</f>
        <v/>
      </c>
      <c r="N620" s="15" t="str">
        <f aca="false">IF($A620="","",IF($I620="","",$I620-$M620))</f>
        <v/>
      </c>
      <c r="O620" s="12" t="str">
        <f aca="false">IF($A620="","",IF($I620="","",IF($M620=0,"미처리",IF($N620&lt;=0,"완료","부분처리"))))</f>
        <v/>
      </c>
    </row>
    <row r="621" customFormat="false" ht="15" hidden="false" customHeight="true" outlineLevel="0" collapsed="false">
      <c r="A621" s="12" t="str">
        <f aca="false">IF($B621="","",TEXT($B621,"yymm")&amp;"-"&amp;TEXT(COUNTIFS($B$3:$B621,"&gt;="&amp;DATE(YEAR($B621),MONTH($B621),1),$B$3:$B621,"&lt;="&amp;EOMONTH($B621,0)),"000"))</f>
        <v/>
      </c>
      <c r="B621" s="13"/>
      <c r="C621" s="10"/>
      <c r="D621" s="10"/>
      <c r="E621" s="12" t="str">
        <f aca="false">IF($D621="","",IFERROR(INDEX(품목목록!$B$3:$B$302,MATCH($D621,품목목록!$A$3:$A$302,0)),"미등록품번"))</f>
        <v/>
      </c>
      <c r="F621" s="12" t="str">
        <f aca="false">IF($D621="","",IFERROR(INDEX(품목목록!$C$3:$C$302,MATCH($D621,품목목록!$A$3:$A$302,0)),""))</f>
        <v/>
      </c>
      <c r="G621" s="12" t="str">
        <f aca="false">IF($D621="","",IFERROR(INDEX(품목목록!$D$3:$D$302,MATCH($D621,품목목록!$A$3:$A$302,0)),""))</f>
        <v/>
      </c>
      <c r="H621" s="12" t="str">
        <f aca="false">IF($D621="","",IFERROR(INDEX(품목목록!$E$3:$E$302,MATCH($D621,품목목록!$A$3:$A$302,0)),""))</f>
        <v/>
      </c>
      <c r="I621" s="14"/>
      <c r="J621" s="10"/>
      <c r="K621" s="10"/>
      <c r="L621" s="10"/>
      <c r="M621" s="15" t="str">
        <f aca="false">IF($A621="","",SUMIFS(처리내역!$E$3:$E$1502,처리내역!$B$3:$B$1502,$A621))</f>
        <v/>
      </c>
      <c r="N621" s="15" t="str">
        <f aca="false">IF($A621="","",IF($I621="","",$I621-$M621))</f>
        <v/>
      </c>
      <c r="O621" s="12" t="str">
        <f aca="false">IF($A621="","",IF($I621="","",IF($M621=0,"미처리",IF($N621&lt;=0,"완료","부분처리"))))</f>
        <v/>
      </c>
    </row>
    <row r="622" customFormat="false" ht="15" hidden="false" customHeight="true" outlineLevel="0" collapsed="false">
      <c r="A622" s="12" t="str">
        <f aca="false">IF($B622="","",TEXT($B622,"yymm")&amp;"-"&amp;TEXT(COUNTIFS($B$3:$B622,"&gt;="&amp;DATE(YEAR($B622),MONTH($B622),1),$B$3:$B622,"&lt;="&amp;EOMONTH($B622,0)),"000"))</f>
        <v/>
      </c>
      <c r="B622" s="13"/>
      <c r="C622" s="10"/>
      <c r="D622" s="10"/>
      <c r="E622" s="12" t="str">
        <f aca="false">IF($D622="","",IFERROR(INDEX(품목목록!$B$3:$B$302,MATCH($D622,품목목록!$A$3:$A$302,0)),"미등록품번"))</f>
        <v/>
      </c>
      <c r="F622" s="12" t="str">
        <f aca="false">IF($D622="","",IFERROR(INDEX(품목목록!$C$3:$C$302,MATCH($D622,품목목록!$A$3:$A$302,0)),""))</f>
        <v/>
      </c>
      <c r="G622" s="12" t="str">
        <f aca="false">IF($D622="","",IFERROR(INDEX(품목목록!$D$3:$D$302,MATCH($D622,품목목록!$A$3:$A$302,0)),""))</f>
        <v/>
      </c>
      <c r="H622" s="12" t="str">
        <f aca="false">IF($D622="","",IFERROR(INDEX(품목목록!$E$3:$E$302,MATCH($D622,품목목록!$A$3:$A$302,0)),""))</f>
        <v/>
      </c>
      <c r="I622" s="14"/>
      <c r="J622" s="10"/>
      <c r="K622" s="10"/>
      <c r="L622" s="10"/>
      <c r="M622" s="15" t="str">
        <f aca="false">IF($A622="","",SUMIFS(처리내역!$E$3:$E$1502,처리내역!$B$3:$B$1502,$A622))</f>
        <v/>
      </c>
      <c r="N622" s="15" t="str">
        <f aca="false">IF($A622="","",IF($I622="","",$I622-$M622))</f>
        <v/>
      </c>
      <c r="O622" s="12" t="str">
        <f aca="false">IF($A622="","",IF($I622="","",IF($M622=0,"미처리",IF($N622&lt;=0,"완료","부분처리"))))</f>
        <v/>
      </c>
    </row>
    <row r="623" customFormat="false" ht="15" hidden="false" customHeight="true" outlineLevel="0" collapsed="false">
      <c r="A623" s="12" t="str">
        <f aca="false">IF($B623="","",TEXT($B623,"yymm")&amp;"-"&amp;TEXT(COUNTIFS($B$3:$B623,"&gt;="&amp;DATE(YEAR($B623),MONTH($B623),1),$B$3:$B623,"&lt;="&amp;EOMONTH($B623,0)),"000"))</f>
        <v/>
      </c>
      <c r="B623" s="13"/>
      <c r="C623" s="10"/>
      <c r="D623" s="10"/>
      <c r="E623" s="12" t="str">
        <f aca="false">IF($D623="","",IFERROR(INDEX(품목목록!$B$3:$B$302,MATCH($D623,품목목록!$A$3:$A$302,0)),"미등록품번"))</f>
        <v/>
      </c>
      <c r="F623" s="12" t="str">
        <f aca="false">IF($D623="","",IFERROR(INDEX(품목목록!$C$3:$C$302,MATCH($D623,품목목록!$A$3:$A$302,0)),""))</f>
        <v/>
      </c>
      <c r="G623" s="12" t="str">
        <f aca="false">IF($D623="","",IFERROR(INDEX(품목목록!$D$3:$D$302,MATCH($D623,품목목록!$A$3:$A$302,0)),""))</f>
        <v/>
      </c>
      <c r="H623" s="12" t="str">
        <f aca="false">IF($D623="","",IFERROR(INDEX(품목목록!$E$3:$E$302,MATCH($D623,품목목록!$A$3:$A$302,0)),""))</f>
        <v/>
      </c>
      <c r="I623" s="14"/>
      <c r="J623" s="10"/>
      <c r="K623" s="10"/>
      <c r="L623" s="10"/>
      <c r="M623" s="15" t="str">
        <f aca="false">IF($A623="","",SUMIFS(처리내역!$E$3:$E$1502,처리내역!$B$3:$B$1502,$A623))</f>
        <v/>
      </c>
      <c r="N623" s="15" t="str">
        <f aca="false">IF($A623="","",IF($I623="","",$I623-$M623))</f>
        <v/>
      </c>
      <c r="O623" s="12" t="str">
        <f aca="false">IF($A623="","",IF($I623="","",IF($M623=0,"미처리",IF($N623&lt;=0,"완료","부분처리"))))</f>
        <v/>
      </c>
    </row>
    <row r="624" customFormat="false" ht="15" hidden="false" customHeight="true" outlineLevel="0" collapsed="false">
      <c r="A624" s="12" t="str">
        <f aca="false">IF($B624="","",TEXT($B624,"yymm")&amp;"-"&amp;TEXT(COUNTIFS($B$3:$B624,"&gt;="&amp;DATE(YEAR($B624),MONTH($B624),1),$B$3:$B624,"&lt;="&amp;EOMONTH($B624,0)),"000"))</f>
        <v/>
      </c>
      <c r="B624" s="13"/>
      <c r="C624" s="10"/>
      <c r="D624" s="10"/>
      <c r="E624" s="12" t="str">
        <f aca="false">IF($D624="","",IFERROR(INDEX(품목목록!$B$3:$B$302,MATCH($D624,품목목록!$A$3:$A$302,0)),"미등록품번"))</f>
        <v/>
      </c>
      <c r="F624" s="12" t="str">
        <f aca="false">IF($D624="","",IFERROR(INDEX(품목목록!$C$3:$C$302,MATCH($D624,품목목록!$A$3:$A$302,0)),""))</f>
        <v/>
      </c>
      <c r="G624" s="12" t="str">
        <f aca="false">IF($D624="","",IFERROR(INDEX(품목목록!$D$3:$D$302,MATCH($D624,품목목록!$A$3:$A$302,0)),""))</f>
        <v/>
      </c>
      <c r="H624" s="12" t="str">
        <f aca="false">IF($D624="","",IFERROR(INDEX(품목목록!$E$3:$E$302,MATCH($D624,품목목록!$A$3:$A$302,0)),""))</f>
        <v/>
      </c>
      <c r="I624" s="14"/>
      <c r="J624" s="10"/>
      <c r="K624" s="10"/>
      <c r="L624" s="10"/>
      <c r="M624" s="15" t="str">
        <f aca="false">IF($A624="","",SUMIFS(처리내역!$E$3:$E$1502,처리내역!$B$3:$B$1502,$A624))</f>
        <v/>
      </c>
      <c r="N624" s="15" t="str">
        <f aca="false">IF($A624="","",IF($I624="","",$I624-$M624))</f>
        <v/>
      </c>
      <c r="O624" s="12" t="str">
        <f aca="false">IF($A624="","",IF($I624="","",IF($M624=0,"미처리",IF($N624&lt;=0,"완료","부분처리"))))</f>
        <v/>
      </c>
    </row>
    <row r="625" customFormat="false" ht="15" hidden="false" customHeight="true" outlineLevel="0" collapsed="false">
      <c r="A625" s="12" t="str">
        <f aca="false">IF($B625="","",TEXT($B625,"yymm")&amp;"-"&amp;TEXT(COUNTIFS($B$3:$B625,"&gt;="&amp;DATE(YEAR($B625),MONTH($B625),1),$B$3:$B625,"&lt;="&amp;EOMONTH($B625,0)),"000"))</f>
        <v/>
      </c>
      <c r="B625" s="13"/>
      <c r="C625" s="10"/>
      <c r="D625" s="10"/>
      <c r="E625" s="12" t="str">
        <f aca="false">IF($D625="","",IFERROR(INDEX(품목목록!$B$3:$B$302,MATCH($D625,품목목록!$A$3:$A$302,0)),"미등록품번"))</f>
        <v/>
      </c>
      <c r="F625" s="12" t="str">
        <f aca="false">IF($D625="","",IFERROR(INDEX(품목목록!$C$3:$C$302,MATCH($D625,품목목록!$A$3:$A$302,0)),""))</f>
        <v/>
      </c>
      <c r="G625" s="12" t="str">
        <f aca="false">IF($D625="","",IFERROR(INDEX(품목목록!$D$3:$D$302,MATCH($D625,품목목록!$A$3:$A$302,0)),""))</f>
        <v/>
      </c>
      <c r="H625" s="12" t="str">
        <f aca="false">IF($D625="","",IFERROR(INDEX(품목목록!$E$3:$E$302,MATCH($D625,품목목록!$A$3:$A$302,0)),""))</f>
        <v/>
      </c>
      <c r="I625" s="14"/>
      <c r="J625" s="10"/>
      <c r="K625" s="10"/>
      <c r="L625" s="10"/>
      <c r="M625" s="15" t="str">
        <f aca="false">IF($A625="","",SUMIFS(처리내역!$E$3:$E$1502,처리내역!$B$3:$B$1502,$A625))</f>
        <v/>
      </c>
      <c r="N625" s="15" t="str">
        <f aca="false">IF($A625="","",IF($I625="","",$I625-$M625))</f>
        <v/>
      </c>
      <c r="O625" s="12" t="str">
        <f aca="false">IF($A625="","",IF($I625="","",IF($M625=0,"미처리",IF($N625&lt;=0,"완료","부분처리"))))</f>
        <v/>
      </c>
    </row>
    <row r="626" customFormat="false" ht="15" hidden="false" customHeight="true" outlineLevel="0" collapsed="false">
      <c r="A626" s="12" t="str">
        <f aca="false">IF($B626="","",TEXT($B626,"yymm")&amp;"-"&amp;TEXT(COUNTIFS($B$3:$B626,"&gt;="&amp;DATE(YEAR($B626),MONTH($B626),1),$B$3:$B626,"&lt;="&amp;EOMONTH($B626,0)),"000"))</f>
        <v/>
      </c>
      <c r="B626" s="13"/>
      <c r="C626" s="10"/>
      <c r="D626" s="10"/>
      <c r="E626" s="12" t="str">
        <f aca="false">IF($D626="","",IFERROR(INDEX(품목목록!$B$3:$B$302,MATCH($D626,품목목록!$A$3:$A$302,0)),"미등록품번"))</f>
        <v/>
      </c>
      <c r="F626" s="12" t="str">
        <f aca="false">IF($D626="","",IFERROR(INDEX(품목목록!$C$3:$C$302,MATCH($D626,품목목록!$A$3:$A$302,0)),""))</f>
        <v/>
      </c>
      <c r="G626" s="12" t="str">
        <f aca="false">IF($D626="","",IFERROR(INDEX(품목목록!$D$3:$D$302,MATCH($D626,품목목록!$A$3:$A$302,0)),""))</f>
        <v/>
      </c>
      <c r="H626" s="12" t="str">
        <f aca="false">IF($D626="","",IFERROR(INDEX(품목목록!$E$3:$E$302,MATCH($D626,품목목록!$A$3:$A$302,0)),""))</f>
        <v/>
      </c>
      <c r="I626" s="14"/>
      <c r="J626" s="10"/>
      <c r="K626" s="10"/>
      <c r="L626" s="10"/>
      <c r="M626" s="15" t="str">
        <f aca="false">IF($A626="","",SUMIFS(처리내역!$E$3:$E$1502,처리내역!$B$3:$B$1502,$A626))</f>
        <v/>
      </c>
      <c r="N626" s="15" t="str">
        <f aca="false">IF($A626="","",IF($I626="","",$I626-$M626))</f>
        <v/>
      </c>
      <c r="O626" s="12" t="str">
        <f aca="false">IF($A626="","",IF($I626="","",IF($M626=0,"미처리",IF($N626&lt;=0,"완료","부분처리"))))</f>
        <v/>
      </c>
    </row>
    <row r="627" customFormat="false" ht="15" hidden="false" customHeight="true" outlineLevel="0" collapsed="false">
      <c r="A627" s="12" t="str">
        <f aca="false">IF($B627="","",TEXT($B627,"yymm")&amp;"-"&amp;TEXT(COUNTIFS($B$3:$B627,"&gt;="&amp;DATE(YEAR($B627),MONTH($B627),1),$B$3:$B627,"&lt;="&amp;EOMONTH($B627,0)),"000"))</f>
        <v/>
      </c>
      <c r="B627" s="13"/>
      <c r="C627" s="10"/>
      <c r="D627" s="10"/>
      <c r="E627" s="12" t="str">
        <f aca="false">IF($D627="","",IFERROR(INDEX(품목목록!$B$3:$B$302,MATCH($D627,품목목록!$A$3:$A$302,0)),"미등록품번"))</f>
        <v/>
      </c>
      <c r="F627" s="12" t="str">
        <f aca="false">IF($D627="","",IFERROR(INDEX(품목목록!$C$3:$C$302,MATCH($D627,품목목록!$A$3:$A$302,0)),""))</f>
        <v/>
      </c>
      <c r="G627" s="12" t="str">
        <f aca="false">IF($D627="","",IFERROR(INDEX(품목목록!$D$3:$D$302,MATCH($D627,품목목록!$A$3:$A$302,0)),""))</f>
        <v/>
      </c>
      <c r="H627" s="12" t="str">
        <f aca="false">IF($D627="","",IFERROR(INDEX(품목목록!$E$3:$E$302,MATCH($D627,품목목록!$A$3:$A$302,0)),""))</f>
        <v/>
      </c>
      <c r="I627" s="14"/>
      <c r="J627" s="10"/>
      <c r="K627" s="10"/>
      <c r="L627" s="10"/>
      <c r="M627" s="15" t="str">
        <f aca="false">IF($A627="","",SUMIFS(처리내역!$E$3:$E$1502,처리내역!$B$3:$B$1502,$A627))</f>
        <v/>
      </c>
      <c r="N627" s="15" t="str">
        <f aca="false">IF($A627="","",IF($I627="","",$I627-$M627))</f>
        <v/>
      </c>
      <c r="O627" s="12" t="str">
        <f aca="false">IF($A627="","",IF($I627="","",IF($M627=0,"미처리",IF($N627&lt;=0,"완료","부분처리"))))</f>
        <v/>
      </c>
    </row>
    <row r="628" customFormat="false" ht="15" hidden="false" customHeight="true" outlineLevel="0" collapsed="false">
      <c r="A628" s="12" t="str">
        <f aca="false">IF($B628="","",TEXT($B628,"yymm")&amp;"-"&amp;TEXT(COUNTIFS($B$3:$B628,"&gt;="&amp;DATE(YEAR($B628),MONTH($B628),1),$B$3:$B628,"&lt;="&amp;EOMONTH($B628,0)),"000"))</f>
        <v/>
      </c>
      <c r="B628" s="13"/>
      <c r="C628" s="10"/>
      <c r="D628" s="10"/>
      <c r="E628" s="12" t="str">
        <f aca="false">IF($D628="","",IFERROR(INDEX(품목목록!$B$3:$B$302,MATCH($D628,품목목록!$A$3:$A$302,0)),"미등록품번"))</f>
        <v/>
      </c>
      <c r="F628" s="12" t="str">
        <f aca="false">IF($D628="","",IFERROR(INDEX(품목목록!$C$3:$C$302,MATCH($D628,품목목록!$A$3:$A$302,0)),""))</f>
        <v/>
      </c>
      <c r="G628" s="12" t="str">
        <f aca="false">IF($D628="","",IFERROR(INDEX(품목목록!$D$3:$D$302,MATCH($D628,품목목록!$A$3:$A$302,0)),""))</f>
        <v/>
      </c>
      <c r="H628" s="12" t="str">
        <f aca="false">IF($D628="","",IFERROR(INDEX(품목목록!$E$3:$E$302,MATCH($D628,품목목록!$A$3:$A$302,0)),""))</f>
        <v/>
      </c>
      <c r="I628" s="14"/>
      <c r="J628" s="10"/>
      <c r="K628" s="10"/>
      <c r="L628" s="10"/>
      <c r="M628" s="15" t="str">
        <f aca="false">IF($A628="","",SUMIFS(처리내역!$E$3:$E$1502,처리내역!$B$3:$B$1502,$A628))</f>
        <v/>
      </c>
      <c r="N628" s="15" t="str">
        <f aca="false">IF($A628="","",IF($I628="","",$I628-$M628))</f>
        <v/>
      </c>
      <c r="O628" s="12" t="str">
        <f aca="false">IF($A628="","",IF($I628="","",IF($M628=0,"미처리",IF($N628&lt;=0,"완료","부분처리"))))</f>
        <v/>
      </c>
    </row>
    <row r="629" customFormat="false" ht="15" hidden="false" customHeight="true" outlineLevel="0" collapsed="false">
      <c r="A629" s="12" t="str">
        <f aca="false">IF($B629="","",TEXT($B629,"yymm")&amp;"-"&amp;TEXT(COUNTIFS($B$3:$B629,"&gt;="&amp;DATE(YEAR($B629),MONTH($B629),1),$B$3:$B629,"&lt;="&amp;EOMONTH($B629,0)),"000"))</f>
        <v/>
      </c>
      <c r="B629" s="13"/>
      <c r="C629" s="10"/>
      <c r="D629" s="10"/>
      <c r="E629" s="12" t="str">
        <f aca="false">IF($D629="","",IFERROR(INDEX(품목목록!$B$3:$B$302,MATCH($D629,품목목록!$A$3:$A$302,0)),"미등록품번"))</f>
        <v/>
      </c>
      <c r="F629" s="12" t="str">
        <f aca="false">IF($D629="","",IFERROR(INDEX(품목목록!$C$3:$C$302,MATCH($D629,품목목록!$A$3:$A$302,0)),""))</f>
        <v/>
      </c>
      <c r="G629" s="12" t="str">
        <f aca="false">IF($D629="","",IFERROR(INDEX(품목목록!$D$3:$D$302,MATCH($D629,품목목록!$A$3:$A$302,0)),""))</f>
        <v/>
      </c>
      <c r="H629" s="12" t="str">
        <f aca="false">IF($D629="","",IFERROR(INDEX(품목목록!$E$3:$E$302,MATCH($D629,품목목록!$A$3:$A$302,0)),""))</f>
        <v/>
      </c>
      <c r="I629" s="14"/>
      <c r="J629" s="10"/>
      <c r="K629" s="10"/>
      <c r="L629" s="10"/>
      <c r="M629" s="15" t="str">
        <f aca="false">IF($A629="","",SUMIFS(처리내역!$E$3:$E$1502,처리내역!$B$3:$B$1502,$A629))</f>
        <v/>
      </c>
      <c r="N629" s="15" t="str">
        <f aca="false">IF($A629="","",IF($I629="","",$I629-$M629))</f>
        <v/>
      </c>
      <c r="O629" s="12" t="str">
        <f aca="false">IF($A629="","",IF($I629="","",IF($M629=0,"미처리",IF($N629&lt;=0,"완료","부분처리"))))</f>
        <v/>
      </c>
    </row>
    <row r="630" customFormat="false" ht="15" hidden="false" customHeight="true" outlineLevel="0" collapsed="false">
      <c r="A630" s="12" t="str">
        <f aca="false">IF($B630="","",TEXT($B630,"yymm")&amp;"-"&amp;TEXT(COUNTIFS($B$3:$B630,"&gt;="&amp;DATE(YEAR($B630),MONTH($B630),1),$B$3:$B630,"&lt;="&amp;EOMONTH($B630,0)),"000"))</f>
        <v/>
      </c>
      <c r="B630" s="13"/>
      <c r="C630" s="10"/>
      <c r="D630" s="10"/>
      <c r="E630" s="12" t="str">
        <f aca="false">IF($D630="","",IFERROR(INDEX(품목목록!$B$3:$B$302,MATCH($D630,품목목록!$A$3:$A$302,0)),"미등록품번"))</f>
        <v/>
      </c>
      <c r="F630" s="12" t="str">
        <f aca="false">IF($D630="","",IFERROR(INDEX(품목목록!$C$3:$C$302,MATCH($D630,품목목록!$A$3:$A$302,0)),""))</f>
        <v/>
      </c>
      <c r="G630" s="12" t="str">
        <f aca="false">IF($D630="","",IFERROR(INDEX(품목목록!$D$3:$D$302,MATCH($D630,품목목록!$A$3:$A$302,0)),""))</f>
        <v/>
      </c>
      <c r="H630" s="12" t="str">
        <f aca="false">IF($D630="","",IFERROR(INDEX(품목목록!$E$3:$E$302,MATCH($D630,품목목록!$A$3:$A$302,0)),""))</f>
        <v/>
      </c>
      <c r="I630" s="14"/>
      <c r="J630" s="10"/>
      <c r="K630" s="10"/>
      <c r="L630" s="10"/>
      <c r="M630" s="15" t="str">
        <f aca="false">IF($A630="","",SUMIFS(처리내역!$E$3:$E$1502,처리내역!$B$3:$B$1502,$A630))</f>
        <v/>
      </c>
      <c r="N630" s="15" t="str">
        <f aca="false">IF($A630="","",IF($I630="","",$I630-$M630))</f>
        <v/>
      </c>
      <c r="O630" s="12" t="str">
        <f aca="false">IF($A630="","",IF($I630="","",IF($M630=0,"미처리",IF($N630&lt;=0,"완료","부분처리"))))</f>
        <v/>
      </c>
    </row>
    <row r="631" customFormat="false" ht="15" hidden="false" customHeight="true" outlineLevel="0" collapsed="false">
      <c r="A631" s="12" t="str">
        <f aca="false">IF($B631="","",TEXT($B631,"yymm")&amp;"-"&amp;TEXT(COUNTIFS($B$3:$B631,"&gt;="&amp;DATE(YEAR($B631),MONTH($B631),1),$B$3:$B631,"&lt;="&amp;EOMONTH($B631,0)),"000"))</f>
        <v/>
      </c>
      <c r="B631" s="13"/>
      <c r="C631" s="10"/>
      <c r="D631" s="10"/>
      <c r="E631" s="12" t="str">
        <f aca="false">IF($D631="","",IFERROR(INDEX(품목목록!$B$3:$B$302,MATCH($D631,품목목록!$A$3:$A$302,0)),"미등록품번"))</f>
        <v/>
      </c>
      <c r="F631" s="12" t="str">
        <f aca="false">IF($D631="","",IFERROR(INDEX(품목목록!$C$3:$C$302,MATCH($D631,품목목록!$A$3:$A$302,0)),""))</f>
        <v/>
      </c>
      <c r="G631" s="12" t="str">
        <f aca="false">IF($D631="","",IFERROR(INDEX(품목목록!$D$3:$D$302,MATCH($D631,품목목록!$A$3:$A$302,0)),""))</f>
        <v/>
      </c>
      <c r="H631" s="12" t="str">
        <f aca="false">IF($D631="","",IFERROR(INDEX(품목목록!$E$3:$E$302,MATCH($D631,품목목록!$A$3:$A$302,0)),""))</f>
        <v/>
      </c>
      <c r="I631" s="14"/>
      <c r="J631" s="10"/>
      <c r="K631" s="10"/>
      <c r="L631" s="10"/>
      <c r="M631" s="15" t="str">
        <f aca="false">IF($A631="","",SUMIFS(처리내역!$E$3:$E$1502,처리내역!$B$3:$B$1502,$A631))</f>
        <v/>
      </c>
      <c r="N631" s="15" t="str">
        <f aca="false">IF($A631="","",IF($I631="","",$I631-$M631))</f>
        <v/>
      </c>
      <c r="O631" s="12" t="str">
        <f aca="false">IF($A631="","",IF($I631="","",IF($M631=0,"미처리",IF($N631&lt;=0,"완료","부분처리"))))</f>
        <v/>
      </c>
    </row>
    <row r="632" customFormat="false" ht="15" hidden="false" customHeight="true" outlineLevel="0" collapsed="false">
      <c r="A632" s="12" t="str">
        <f aca="false">IF($B632="","",TEXT($B632,"yymm")&amp;"-"&amp;TEXT(COUNTIFS($B$3:$B632,"&gt;="&amp;DATE(YEAR($B632),MONTH($B632),1),$B$3:$B632,"&lt;="&amp;EOMONTH($B632,0)),"000"))</f>
        <v/>
      </c>
      <c r="B632" s="13"/>
      <c r="C632" s="10"/>
      <c r="D632" s="10"/>
      <c r="E632" s="12" t="str">
        <f aca="false">IF($D632="","",IFERROR(INDEX(품목목록!$B$3:$B$302,MATCH($D632,품목목록!$A$3:$A$302,0)),"미등록품번"))</f>
        <v/>
      </c>
      <c r="F632" s="12" t="str">
        <f aca="false">IF($D632="","",IFERROR(INDEX(품목목록!$C$3:$C$302,MATCH($D632,품목목록!$A$3:$A$302,0)),""))</f>
        <v/>
      </c>
      <c r="G632" s="12" t="str">
        <f aca="false">IF($D632="","",IFERROR(INDEX(품목목록!$D$3:$D$302,MATCH($D632,품목목록!$A$3:$A$302,0)),""))</f>
        <v/>
      </c>
      <c r="H632" s="12" t="str">
        <f aca="false">IF($D632="","",IFERROR(INDEX(품목목록!$E$3:$E$302,MATCH($D632,품목목록!$A$3:$A$302,0)),""))</f>
        <v/>
      </c>
      <c r="I632" s="14"/>
      <c r="J632" s="10"/>
      <c r="K632" s="10"/>
      <c r="L632" s="10"/>
      <c r="M632" s="15" t="str">
        <f aca="false">IF($A632="","",SUMIFS(처리내역!$E$3:$E$1502,처리내역!$B$3:$B$1502,$A632))</f>
        <v/>
      </c>
      <c r="N632" s="15" t="str">
        <f aca="false">IF($A632="","",IF($I632="","",$I632-$M632))</f>
        <v/>
      </c>
      <c r="O632" s="12" t="str">
        <f aca="false">IF($A632="","",IF($I632="","",IF($M632=0,"미처리",IF($N632&lt;=0,"완료","부분처리"))))</f>
        <v/>
      </c>
    </row>
    <row r="633" customFormat="false" ht="15" hidden="false" customHeight="true" outlineLevel="0" collapsed="false">
      <c r="A633" s="12" t="str">
        <f aca="false">IF($B633="","",TEXT($B633,"yymm")&amp;"-"&amp;TEXT(COUNTIFS($B$3:$B633,"&gt;="&amp;DATE(YEAR($B633),MONTH($B633),1),$B$3:$B633,"&lt;="&amp;EOMONTH($B633,0)),"000"))</f>
        <v/>
      </c>
      <c r="B633" s="13"/>
      <c r="C633" s="10"/>
      <c r="D633" s="10"/>
      <c r="E633" s="12" t="str">
        <f aca="false">IF($D633="","",IFERROR(INDEX(품목목록!$B$3:$B$302,MATCH($D633,품목목록!$A$3:$A$302,0)),"미등록품번"))</f>
        <v/>
      </c>
      <c r="F633" s="12" t="str">
        <f aca="false">IF($D633="","",IFERROR(INDEX(품목목록!$C$3:$C$302,MATCH($D633,품목목록!$A$3:$A$302,0)),""))</f>
        <v/>
      </c>
      <c r="G633" s="12" t="str">
        <f aca="false">IF($D633="","",IFERROR(INDEX(품목목록!$D$3:$D$302,MATCH($D633,품목목록!$A$3:$A$302,0)),""))</f>
        <v/>
      </c>
      <c r="H633" s="12" t="str">
        <f aca="false">IF($D633="","",IFERROR(INDEX(품목목록!$E$3:$E$302,MATCH($D633,품목목록!$A$3:$A$302,0)),""))</f>
        <v/>
      </c>
      <c r="I633" s="14"/>
      <c r="J633" s="10"/>
      <c r="K633" s="10"/>
      <c r="L633" s="10"/>
      <c r="M633" s="15" t="str">
        <f aca="false">IF($A633="","",SUMIFS(처리내역!$E$3:$E$1502,처리내역!$B$3:$B$1502,$A633))</f>
        <v/>
      </c>
      <c r="N633" s="15" t="str">
        <f aca="false">IF($A633="","",IF($I633="","",$I633-$M633))</f>
        <v/>
      </c>
      <c r="O633" s="12" t="str">
        <f aca="false">IF($A633="","",IF($I633="","",IF($M633=0,"미처리",IF($N633&lt;=0,"완료","부분처리"))))</f>
        <v/>
      </c>
    </row>
    <row r="634" customFormat="false" ht="15" hidden="false" customHeight="true" outlineLevel="0" collapsed="false">
      <c r="A634" s="12" t="str">
        <f aca="false">IF($B634="","",TEXT($B634,"yymm")&amp;"-"&amp;TEXT(COUNTIFS($B$3:$B634,"&gt;="&amp;DATE(YEAR($B634),MONTH($B634),1),$B$3:$B634,"&lt;="&amp;EOMONTH($B634,0)),"000"))</f>
        <v/>
      </c>
      <c r="B634" s="13"/>
      <c r="C634" s="10"/>
      <c r="D634" s="10"/>
      <c r="E634" s="12" t="str">
        <f aca="false">IF($D634="","",IFERROR(INDEX(품목목록!$B$3:$B$302,MATCH($D634,품목목록!$A$3:$A$302,0)),"미등록품번"))</f>
        <v/>
      </c>
      <c r="F634" s="12" t="str">
        <f aca="false">IF($D634="","",IFERROR(INDEX(품목목록!$C$3:$C$302,MATCH($D634,품목목록!$A$3:$A$302,0)),""))</f>
        <v/>
      </c>
      <c r="G634" s="12" t="str">
        <f aca="false">IF($D634="","",IFERROR(INDEX(품목목록!$D$3:$D$302,MATCH($D634,품목목록!$A$3:$A$302,0)),""))</f>
        <v/>
      </c>
      <c r="H634" s="12" t="str">
        <f aca="false">IF($D634="","",IFERROR(INDEX(품목목록!$E$3:$E$302,MATCH($D634,품목목록!$A$3:$A$302,0)),""))</f>
        <v/>
      </c>
      <c r="I634" s="14"/>
      <c r="J634" s="10"/>
      <c r="K634" s="10"/>
      <c r="L634" s="10"/>
      <c r="M634" s="15" t="str">
        <f aca="false">IF($A634="","",SUMIFS(처리내역!$E$3:$E$1502,처리내역!$B$3:$B$1502,$A634))</f>
        <v/>
      </c>
      <c r="N634" s="15" t="str">
        <f aca="false">IF($A634="","",IF($I634="","",$I634-$M634))</f>
        <v/>
      </c>
      <c r="O634" s="12" t="str">
        <f aca="false">IF($A634="","",IF($I634="","",IF($M634=0,"미처리",IF($N634&lt;=0,"완료","부분처리"))))</f>
        <v/>
      </c>
    </row>
    <row r="635" customFormat="false" ht="15" hidden="false" customHeight="true" outlineLevel="0" collapsed="false">
      <c r="A635" s="12" t="str">
        <f aca="false">IF($B635="","",TEXT($B635,"yymm")&amp;"-"&amp;TEXT(COUNTIFS($B$3:$B635,"&gt;="&amp;DATE(YEAR($B635),MONTH($B635),1),$B$3:$B635,"&lt;="&amp;EOMONTH($B635,0)),"000"))</f>
        <v/>
      </c>
      <c r="B635" s="13"/>
      <c r="C635" s="10"/>
      <c r="D635" s="10"/>
      <c r="E635" s="12" t="str">
        <f aca="false">IF($D635="","",IFERROR(INDEX(품목목록!$B$3:$B$302,MATCH($D635,품목목록!$A$3:$A$302,0)),"미등록품번"))</f>
        <v/>
      </c>
      <c r="F635" s="12" t="str">
        <f aca="false">IF($D635="","",IFERROR(INDEX(품목목록!$C$3:$C$302,MATCH($D635,품목목록!$A$3:$A$302,0)),""))</f>
        <v/>
      </c>
      <c r="G635" s="12" t="str">
        <f aca="false">IF($D635="","",IFERROR(INDEX(품목목록!$D$3:$D$302,MATCH($D635,품목목록!$A$3:$A$302,0)),""))</f>
        <v/>
      </c>
      <c r="H635" s="12" t="str">
        <f aca="false">IF($D635="","",IFERROR(INDEX(품목목록!$E$3:$E$302,MATCH($D635,품목목록!$A$3:$A$302,0)),""))</f>
        <v/>
      </c>
      <c r="I635" s="14"/>
      <c r="J635" s="10"/>
      <c r="K635" s="10"/>
      <c r="L635" s="10"/>
      <c r="M635" s="15" t="str">
        <f aca="false">IF($A635="","",SUMIFS(처리내역!$E$3:$E$1502,처리내역!$B$3:$B$1502,$A635))</f>
        <v/>
      </c>
      <c r="N635" s="15" t="str">
        <f aca="false">IF($A635="","",IF($I635="","",$I635-$M635))</f>
        <v/>
      </c>
      <c r="O635" s="12" t="str">
        <f aca="false">IF($A635="","",IF($I635="","",IF($M635=0,"미처리",IF($N635&lt;=0,"완료","부분처리"))))</f>
        <v/>
      </c>
    </row>
    <row r="636" customFormat="false" ht="15" hidden="false" customHeight="true" outlineLevel="0" collapsed="false">
      <c r="A636" s="12" t="str">
        <f aca="false">IF($B636="","",TEXT($B636,"yymm")&amp;"-"&amp;TEXT(COUNTIFS($B$3:$B636,"&gt;="&amp;DATE(YEAR($B636),MONTH($B636),1),$B$3:$B636,"&lt;="&amp;EOMONTH($B636,0)),"000"))</f>
        <v/>
      </c>
      <c r="B636" s="13"/>
      <c r="C636" s="10"/>
      <c r="D636" s="10"/>
      <c r="E636" s="12" t="str">
        <f aca="false">IF($D636="","",IFERROR(INDEX(품목목록!$B$3:$B$302,MATCH($D636,품목목록!$A$3:$A$302,0)),"미등록품번"))</f>
        <v/>
      </c>
      <c r="F636" s="12" t="str">
        <f aca="false">IF($D636="","",IFERROR(INDEX(품목목록!$C$3:$C$302,MATCH($D636,품목목록!$A$3:$A$302,0)),""))</f>
        <v/>
      </c>
      <c r="G636" s="12" t="str">
        <f aca="false">IF($D636="","",IFERROR(INDEX(품목목록!$D$3:$D$302,MATCH($D636,품목목록!$A$3:$A$302,0)),""))</f>
        <v/>
      </c>
      <c r="H636" s="12" t="str">
        <f aca="false">IF($D636="","",IFERROR(INDEX(품목목록!$E$3:$E$302,MATCH($D636,품목목록!$A$3:$A$302,0)),""))</f>
        <v/>
      </c>
      <c r="I636" s="14"/>
      <c r="J636" s="10"/>
      <c r="K636" s="10"/>
      <c r="L636" s="10"/>
      <c r="M636" s="15" t="str">
        <f aca="false">IF($A636="","",SUMIFS(처리내역!$E$3:$E$1502,처리내역!$B$3:$B$1502,$A636))</f>
        <v/>
      </c>
      <c r="N636" s="15" t="str">
        <f aca="false">IF($A636="","",IF($I636="","",$I636-$M636))</f>
        <v/>
      </c>
      <c r="O636" s="12" t="str">
        <f aca="false">IF($A636="","",IF($I636="","",IF($M636=0,"미처리",IF($N636&lt;=0,"완료","부분처리"))))</f>
        <v/>
      </c>
    </row>
    <row r="637" customFormat="false" ht="15" hidden="false" customHeight="true" outlineLevel="0" collapsed="false">
      <c r="A637" s="12" t="str">
        <f aca="false">IF($B637="","",TEXT($B637,"yymm")&amp;"-"&amp;TEXT(COUNTIFS($B$3:$B637,"&gt;="&amp;DATE(YEAR($B637),MONTH($B637),1),$B$3:$B637,"&lt;="&amp;EOMONTH($B637,0)),"000"))</f>
        <v/>
      </c>
      <c r="B637" s="13"/>
      <c r="C637" s="10"/>
      <c r="D637" s="10"/>
      <c r="E637" s="12" t="str">
        <f aca="false">IF($D637="","",IFERROR(INDEX(품목목록!$B$3:$B$302,MATCH($D637,품목목록!$A$3:$A$302,0)),"미등록품번"))</f>
        <v/>
      </c>
      <c r="F637" s="12" t="str">
        <f aca="false">IF($D637="","",IFERROR(INDEX(품목목록!$C$3:$C$302,MATCH($D637,품목목록!$A$3:$A$302,0)),""))</f>
        <v/>
      </c>
      <c r="G637" s="12" t="str">
        <f aca="false">IF($D637="","",IFERROR(INDEX(품목목록!$D$3:$D$302,MATCH($D637,품목목록!$A$3:$A$302,0)),""))</f>
        <v/>
      </c>
      <c r="H637" s="12" t="str">
        <f aca="false">IF($D637="","",IFERROR(INDEX(품목목록!$E$3:$E$302,MATCH($D637,품목목록!$A$3:$A$302,0)),""))</f>
        <v/>
      </c>
      <c r="I637" s="14"/>
      <c r="J637" s="10"/>
      <c r="K637" s="10"/>
      <c r="L637" s="10"/>
      <c r="M637" s="15" t="str">
        <f aca="false">IF($A637="","",SUMIFS(처리내역!$E$3:$E$1502,처리내역!$B$3:$B$1502,$A637))</f>
        <v/>
      </c>
      <c r="N637" s="15" t="str">
        <f aca="false">IF($A637="","",IF($I637="","",$I637-$M637))</f>
        <v/>
      </c>
      <c r="O637" s="12" t="str">
        <f aca="false">IF($A637="","",IF($I637="","",IF($M637=0,"미처리",IF($N637&lt;=0,"완료","부분처리"))))</f>
        <v/>
      </c>
    </row>
    <row r="638" customFormat="false" ht="15" hidden="false" customHeight="true" outlineLevel="0" collapsed="false">
      <c r="A638" s="12" t="str">
        <f aca="false">IF($B638="","",TEXT($B638,"yymm")&amp;"-"&amp;TEXT(COUNTIFS($B$3:$B638,"&gt;="&amp;DATE(YEAR($B638),MONTH($B638),1),$B$3:$B638,"&lt;="&amp;EOMONTH($B638,0)),"000"))</f>
        <v/>
      </c>
      <c r="B638" s="13"/>
      <c r="C638" s="10"/>
      <c r="D638" s="10"/>
      <c r="E638" s="12" t="str">
        <f aca="false">IF($D638="","",IFERROR(INDEX(품목목록!$B$3:$B$302,MATCH($D638,품목목록!$A$3:$A$302,0)),"미등록품번"))</f>
        <v/>
      </c>
      <c r="F638" s="12" t="str">
        <f aca="false">IF($D638="","",IFERROR(INDEX(품목목록!$C$3:$C$302,MATCH($D638,품목목록!$A$3:$A$302,0)),""))</f>
        <v/>
      </c>
      <c r="G638" s="12" t="str">
        <f aca="false">IF($D638="","",IFERROR(INDEX(품목목록!$D$3:$D$302,MATCH($D638,품목목록!$A$3:$A$302,0)),""))</f>
        <v/>
      </c>
      <c r="H638" s="12" t="str">
        <f aca="false">IF($D638="","",IFERROR(INDEX(품목목록!$E$3:$E$302,MATCH($D638,품목목록!$A$3:$A$302,0)),""))</f>
        <v/>
      </c>
      <c r="I638" s="14"/>
      <c r="J638" s="10"/>
      <c r="K638" s="10"/>
      <c r="L638" s="10"/>
      <c r="M638" s="15" t="str">
        <f aca="false">IF($A638="","",SUMIFS(처리내역!$E$3:$E$1502,처리내역!$B$3:$B$1502,$A638))</f>
        <v/>
      </c>
      <c r="N638" s="15" t="str">
        <f aca="false">IF($A638="","",IF($I638="","",$I638-$M638))</f>
        <v/>
      </c>
      <c r="O638" s="12" t="str">
        <f aca="false">IF($A638="","",IF($I638="","",IF($M638=0,"미처리",IF($N638&lt;=0,"완료","부분처리"))))</f>
        <v/>
      </c>
    </row>
    <row r="639" customFormat="false" ht="15" hidden="false" customHeight="true" outlineLevel="0" collapsed="false">
      <c r="A639" s="12" t="str">
        <f aca="false">IF($B639="","",TEXT($B639,"yymm")&amp;"-"&amp;TEXT(COUNTIFS($B$3:$B639,"&gt;="&amp;DATE(YEAR($B639),MONTH($B639),1),$B$3:$B639,"&lt;="&amp;EOMONTH($B639,0)),"000"))</f>
        <v/>
      </c>
      <c r="B639" s="13"/>
      <c r="C639" s="10"/>
      <c r="D639" s="10"/>
      <c r="E639" s="12" t="str">
        <f aca="false">IF($D639="","",IFERROR(INDEX(품목목록!$B$3:$B$302,MATCH($D639,품목목록!$A$3:$A$302,0)),"미등록품번"))</f>
        <v/>
      </c>
      <c r="F639" s="12" t="str">
        <f aca="false">IF($D639="","",IFERROR(INDEX(품목목록!$C$3:$C$302,MATCH($D639,품목목록!$A$3:$A$302,0)),""))</f>
        <v/>
      </c>
      <c r="G639" s="12" t="str">
        <f aca="false">IF($D639="","",IFERROR(INDEX(품목목록!$D$3:$D$302,MATCH($D639,품목목록!$A$3:$A$302,0)),""))</f>
        <v/>
      </c>
      <c r="H639" s="12" t="str">
        <f aca="false">IF($D639="","",IFERROR(INDEX(품목목록!$E$3:$E$302,MATCH($D639,품목목록!$A$3:$A$302,0)),""))</f>
        <v/>
      </c>
      <c r="I639" s="14"/>
      <c r="J639" s="10"/>
      <c r="K639" s="10"/>
      <c r="L639" s="10"/>
      <c r="M639" s="15" t="str">
        <f aca="false">IF($A639="","",SUMIFS(처리내역!$E$3:$E$1502,처리내역!$B$3:$B$1502,$A639))</f>
        <v/>
      </c>
      <c r="N639" s="15" t="str">
        <f aca="false">IF($A639="","",IF($I639="","",$I639-$M639))</f>
        <v/>
      </c>
      <c r="O639" s="12" t="str">
        <f aca="false">IF($A639="","",IF($I639="","",IF($M639=0,"미처리",IF($N639&lt;=0,"완료","부분처리"))))</f>
        <v/>
      </c>
    </row>
    <row r="640" customFormat="false" ht="15" hidden="false" customHeight="true" outlineLevel="0" collapsed="false">
      <c r="A640" s="12" t="str">
        <f aca="false">IF($B640="","",TEXT($B640,"yymm")&amp;"-"&amp;TEXT(COUNTIFS($B$3:$B640,"&gt;="&amp;DATE(YEAR($B640),MONTH($B640),1),$B$3:$B640,"&lt;="&amp;EOMONTH($B640,0)),"000"))</f>
        <v/>
      </c>
      <c r="B640" s="13"/>
      <c r="C640" s="10"/>
      <c r="D640" s="10"/>
      <c r="E640" s="12" t="str">
        <f aca="false">IF($D640="","",IFERROR(INDEX(품목목록!$B$3:$B$302,MATCH($D640,품목목록!$A$3:$A$302,0)),"미등록품번"))</f>
        <v/>
      </c>
      <c r="F640" s="12" t="str">
        <f aca="false">IF($D640="","",IFERROR(INDEX(품목목록!$C$3:$C$302,MATCH($D640,품목목록!$A$3:$A$302,0)),""))</f>
        <v/>
      </c>
      <c r="G640" s="12" t="str">
        <f aca="false">IF($D640="","",IFERROR(INDEX(품목목록!$D$3:$D$302,MATCH($D640,품목목록!$A$3:$A$302,0)),""))</f>
        <v/>
      </c>
      <c r="H640" s="12" t="str">
        <f aca="false">IF($D640="","",IFERROR(INDEX(품목목록!$E$3:$E$302,MATCH($D640,품목목록!$A$3:$A$302,0)),""))</f>
        <v/>
      </c>
      <c r="I640" s="14"/>
      <c r="J640" s="10"/>
      <c r="K640" s="10"/>
      <c r="L640" s="10"/>
      <c r="M640" s="15" t="str">
        <f aca="false">IF($A640="","",SUMIFS(처리내역!$E$3:$E$1502,처리내역!$B$3:$B$1502,$A640))</f>
        <v/>
      </c>
      <c r="N640" s="15" t="str">
        <f aca="false">IF($A640="","",IF($I640="","",$I640-$M640))</f>
        <v/>
      </c>
      <c r="O640" s="12" t="str">
        <f aca="false">IF($A640="","",IF($I640="","",IF($M640=0,"미처리",IF($N640&lt;=0,"완료","부분처리"))))</f>
        <v/>
      </c>
    </row>
    <row r="641" customFormat="false" ht="15" hidden="false" customHeight="true" outlineLevel="0" collapsed="false">
      <c r="A641" s="12" t="str">
        <f aca="false">IF($B641="","",TEXT($B641,"yymm")&amp;"-"&amp;TEXT(COUNTIFS($B$3:$B641,"&gt;="&amp;DATE(YEAR($B641),MONTH($B641),1),$B$3:$B641,"&lt;="&amp;EOMONTH($B641,0)),"000"))</f>
        <v/>
      </c>
      <c r="B641" s="13"/>
      <c r="C641" s="10"/>
      <c r="D641" s="10"/>
      <c r="E641" s="12" t="str">
        <f aca="false">IF($D641="","",IFERROR(INDEX(품목목록!$B$3:$B$302,MATCH($D641,품목목록!$A$3:$A$302,0)),"미등록품번"))</f>
        <v/>
      </c>
      <c r="F641" s="12" t="str">
        <f aca="false">IF($D641="","",IFERROR(INDEX(품목목록!$C$3:$C$302,MATCH($D641,품목목록!$A$3:$A$302,0)),""))</f>
        <v/>
      </c>
      <c r="G641" s="12" t="str">
        <f aca="false">IF($D641="","",IFERROR(INDEX(품목목록!$D$3:$D$302,MATCH($D641,품목목록!$A$3:$A$302,0)),""))</f>
        <v/>
      </c>
      <c r="H641" s="12" t="str">
        <f aca="false">IF($D641="","",IFERROR(INDEX(품목목록!$E$3:$E$302,MATCH($D641,품목목록!$A$3:$A$302,0)),""))</f>
        <v/>
      </c>
      <c r="I641" s="14"/>
      <c r="J641" s="10"/>
      <c r="K641" s="10"/>
      <c r="L641" s="10"/>
      <c r="M641" s="15" t="str">
        <f aca="false">IF($A641="","",SUMIFS(처리내역!$E$3:$E$1502,처리내역!$B$3:$B$1502,$A641))</f>
        <v/>
      </c>
      <c r="N641" s="15" t="str">
        <f aca="false">IF($A641="","",IF($I641="","",$I641-$M641))</f>
        <v/>
      </c>
      <c r="O641" s="12" t="str">
        <f aca="false">IF($A641="","",IF($I641="","",IF($M641=0,"미처리",IF($N641&lt;=0,"완료","부분처리"))))</f>
        <v/>
      </c>
    </row>
    <row r="642" customFormat="false" ht="15" hidden="false" customHeight="true" outlineLevel="0" collapsed="false">
      <c r="A642" s="12" t="str">
        <f aca="false">IF($B642="","",TEXT($B642,"yymm")&amp;"-"&amp;TEXT(COUNTIFS($B$3:$B642,"&gt;="&amp;DATE(YEAR($B642),MONTH($B642),1),$B$3:$B642,"&lt;="&amp;EOMONTH($B642,0)),"000"))</f>
        <v/>
      </c>
      <c r="B642" s="13"/>
      <c r="C642" s="10"/>
      <c r="D642" s="10"/>
      <c r="E642" s="12" t="str">
        <f aca="false">IF($D642="","",IFERROR(INDEX(품목목록!$B$3:$B$302,MATCH($D642,품목목록!$A$3:$A$302,0)),"미등록품번"))</f>
        <v/>
      </c>
      <c r="F642" s="12" t="str">
        <f aca="false">IF($D642="","",IFERROR(INDEX(품목목록!$C$3:$C$302,MATCH($D642,품목목록!$A$3:$A$302,0)),""))</f>
        <v/>
      </c>
      <c r="G642" s="12" t="str">
        <f aca="false">IF($D642="","",IFERROR(INDEX(품목목록!$D$3:$D$302,MATCH($D642,품목목록!$A$3:$A$302,0)),""))</f>
        <v/>
      </c>
      <c r="H642" s="12" t="str">
        <f aca="false">IF($D642="","",IFERROR(INDEX(품목목록!$E$3:$E$302,MATCH($D642,품목목록!$A$3:$A$302,0)),""))</f>
        <v/>
      </c>
      <c r="I642" s="14"/>
      <c r="J642" s="10"/>
      <c r="K642" s="10"/>
      <c r="L642" s="10"/>
      <c r="M642" s="15" t="str">
        <f aca="false">IF($A642="","",SUMIFS(처리내역!$E$3:$E$1502,처리내역!$B$3:$B$1502,$A642))</f>
        <v/>
      </c>
      <c r="N642" s="15" t="str">
        <f aca="false">IF($A642="","",IF($I642="","",$I642-$M642))</f>
        <v/>
      </c>
      <c r="O642" s="12" t="str">
        <f aca="false">IF($A642="","",IF($I642="","",IF($M642=0,"미처리",IF($N642&lt;=0,"완료","부분처리"))))</f>
        <v/>
      </c>
    </row>
    <row r="643" customFormat="false" ht="15" hidden="false" customHeight="true" outlineLevel="0" collapsed="false">
      <c r="A643" s="12" t="str">
        <f aca="false">IF($B643="","",TEXT($B643,"yymm")&amp;"-"&amp;TEXT(COUNTIFS($B$3:$B643,"&gt;="&amp;DATE(YEAR($B643),MONTH($B643),1),$B$3:$B643,"&lt;="&amp;EOMONTH($B643,0)),"000"))</f>
        <v/>
      </c>
      <c r="B643" s="13"/>
      <c r="C643" s="10"/>
      <c r="D643" s="10"/>
      <c r="E643" s="12" t="str">
        <f aca="false">IF($D643="","",IFERROR(INDEX(품목목록!$B$3:$B$302,MATCH($D643,품목목록!$A$3:$A$302,0)),"미등록품번"))</f>
        <v/>
      </c>
      <c r="F643" s="12" t="str">
        <f aca="false">IF($D643="","",IFERROR(INDEX(품목목록!$C$3:$C$302,MATCH($D643,품목목록!$A$3:$A$302,0)),""))</f>
        <v/>
      </c>
      <c r="G643" s="12" t="str">
        <f aca="false">IF($D643="","",IFERROR(INDEX(품목목록!$D$3:$D$302,MATCH($D643,품목목록!$A$3:$A$302,0)),""))</f>
        <v/>
      </c>
      <c r="H643" s="12" t="str">
        <f aca="false">IF($D643="","",IFERROR(INDEX(품목목록!$E$3:$E$302,MATCH($D643,품목목록!$A$3:$A$302,0)),""))</f>
        <v/>
      </c>
      <c r="I643" s="14"/>
      <c r="J643" s="10"/>
      <c r="K643" s="10"/>
      <c r="L643" s="10"/>
      <c r="M643" s="15" t="str">
        <f aca="false">IF($A643="","",SUMIFS(처리내역!$E$3:$E$1502,처리내역!$B$3:$B$1502,$A643))</f>
        <v/>
      </c>
      <c r="N643" s="15" t="str">
        <f aca="false">IF($A643="","",IF($I643="","",$I643-$M643))</f>
        <v/>
      </c>
      <c r="O643" s="12" t="str">
        <f aca="false">IF($A643="","",IF($I643="","",IF($M643=0,"미처리",IF($N643&lt;=0,"완료","부분처리"))))</f>
        <v/>
      </c>
    </row>
    <row r="644" customFormat="false" ht="15" hidden="false" customHeight="true" outlineLevel="0" collapsed="false">
      <c r="A644" s="12" t="str">
        <f aca="false">IF($B644="","",TEXT($B644,"yymm")&amp;"-"&amp;TEXT(COUNTIFS($B$3:$B644,"&gt;="&amp;DATE(YEAR($B644),MONTH($B644),1),$B$3:$B644,"&lt;="&amp;EOMONTH($B644,0)),"000"))</f>
        <v/>
      </c>
      <c r="B644" s="13"/>
      <c r="C644" s="10"/>
      <c r="D644" s="10"/>
      <c r="E644" s="12" t="str">
        <f aca="false">IF($D644="","",IFERROR(INDEX(품목목록!$B$3:$B$302,MATCH($D644,품목목록!$A$3:$A$302,0)),"미등록품번"))</f>
        <v/>
      </c>
      <c r="F644" s="12" t="str">
        <f aca="false">IF($D644="","",IFERROR(INDEX(품목목록!$C$3:$C$302,MATCH($D644,품목목록!$A$3:$A$302,0)),""))</f>
        <v/>
      </c>
      <c r="G644" s="12" t="str">
        <f aca="false">IF($D644="","",IFERROR(INDEX(품목목록!$D$3:$D$302,MATCH($D644,품목목록!$A$3:$A$302,0)),""))</f>
        <v/>
      </c>
      <c r="H644" s="12" t="str">
        <f aca="false">IF($D644="","",IFERROR(INDEX(품목목록!$E$3:$E$302,MATCH($D644,품목목록!$A$3:$A$302,0)),""))</f>
        <v/>
      </c>
      <c r="I644" s="14"/>
      <c r="J644" s="10"/>
      <c r="K644" s="10"/>
      <c r="L644" s="10"/>
      <c r="M644" s="15" t="str">
        <f aca="false">IF($A644="","",SUMIFS(처리내역!$E$3:$E$1502,처리내역!$B$3:$B$1502,$A644))</f>
        <v/>
      </c>
      <c r="N644" s="15" t="str">
        <f aca="false">IF($A644="","",IF($I644="","",$I644-$M644))</f>
        <v/>
      </c>
      <c r="O644" s="12" t="str">
        <f aca="false">IF($A644="","",IF($I644="","",IF($M644=0,"미처리",IF($N644&lt;=0,"완료","부분처리"))))</f>
        <v/>
      </c>
    </row>
    <row r="645" customFormat="false" ht="15" hidden="false" customHeight="true" outlineLevel="0" collapsed="false">
      <c r="A645" s="12" t="str">
        <f aca="false">IF($B645="","",TEXT($B645,"yymm")&amp;"-"&amp;TEXT(COUNTIFS($B$3:$B645,"&gt;="&amp;DATE(YEAR($B645),MONTH($B645),1),$B$3:$B645,"&lt;="&amp;EOMONTH($B645,0)),"000"))</f>
        <v/>
      </c>
      <c r="B645" s="13"/>
      <c r="C645" s="10"/>
      <c r="D645" s="10"/>
      <c r="E645" s="12" t="str">
        <f aca="false">IF($D645="","",IFERROR(INDEX(품목목록!$B$3:$B$302,MATCH($D645,품목목록!$A$3:$A$302,0)),"미등록품번"))</f>
        <v/>
      </c>
      <c r="F645" s="12" t="str">
        <f aca="false">IF($D645="","",IFERROR(INDEX(품목목록!$C$3:$C$302,MATCH($D645,품목목록!$A$3:$A$302,0)),""))</f>
        <v/>
      </c>
      <c r="G645" s="12" t="str">
        <f aca="false">IF($D645="","",IFERROR(INDEX(품목목록!$D$3:$D$302,MATCH($D645,품목목록!$A$3:$A$302,0)),""))</f>
        <v/>
      </c>
      <c r="H645" s="12" t="str">
        <f aca="false">IF($D645="","",IFERROR(INDEX(품목목록!$E$3:$E$302,MATCH($D645,품목목록!$A$3:$A$302,0)),""))</f>
        <v/>
      </c>
      <c r="I645" s="14"/>
      <c r="J645" s="10"/>
      <c r="K645" s="10"/>
      <c r="L645" s="10"/>
      <c r="M645" s="15" t="str">
        <f aca="false">IF($A645="","",SUMIFS(처리내역!$E$3:$E$1502,처리내역!$B$3:$B$1502,$A645))</f>
        <v/>
      </c>
      <c r="N645" s="15" t="str">
        <f aca="false">IF($A645="","",IF($I645="","",$I645-$M645))</f>
        <v/>
      </c>
      <c r="O645" s="12" t="str">
        <f aca="false">IF($A645="","",IF($I645="","",IF($M645=0,"미처리",IF($N645&lt;=0,"완료","부분처리"))))</f>
        <v/>
      </c>
    </row>
    <row r="646" customFormat="false" ht="15" hidden="false" customHeight="true" outlineLevel="0" collapsed="false">
      <c r="A646" s="12" t="str">
        <f aca="false">IF($B646="","",TEXT($B646,"yymm")&amp;"-"&amp;TEXT(COUNTIFS($B$3:$B646,"&gt;="&amp;DATE(YEAR($B646),MONTH($B646),1),$B$3:$B646,"&lt;="&amp;EOMONTH($B646,0)),"000"))</f>
        <v/>
      </c>
      <c r="B646" s="13"/>
      <c r="C646" s="10"/>
      <c r="D646" s="10"/>
      <c r="E646" s="12" t="str">
        <f aca="false">IF($D646="","",IFERROR(INDEX(품목목록!$B$3:$B$302,MATCH($D646,품목목록!$A$3:$A$302,0)),"미등록품번"))</f>
        <v/>
      </c>
      <c r="F646" s="12" t="str">
        <f aca="false">IF($D646="","",IFERROR(INDEX(품목목록!$C$3:$C$302,MATCH($D646,품목목록!$A$3:$A$302,0)),""))</f>
        <v/>
      </c>
      <c r="G646" s="12" t="str">
        <f aca="false">IF($D646="","",IFERROR(INDEX(품목목록!$D$3:$D$302,MATCH($D646,품목목록!$A$3:$A$302,0)),""))</f>
        <v/>
      </c>
      <c r="H646" s="12" t="str">
        <f aca="false">IF($D646="","",IFERROR(INDEX(품목목록!$E$3:$E$302,MATCH($D646,품목목록!$A$3:$A$302,0)),""))</f>
        <v/>
      </c>
      <c r="I646" s="14"/>
      <c r="J646" s="10"/>
      <c r="K646" s="10"/>
      <c r="L646" s="10"/>
      <c r="M646" s="15" t="str">
        <f aca="false">IF($A646="","",SUMIFS(처리내역!$E$3:$E$1502,처리내역!$B$3:$B$1502,$A646))</f>
        <v/>
      </c>
      <c r="N646" s="15" t="str">
        <f aca="false">IF($A646="","",IF($I646="","",$I646-$M646))</f>
        <v/>
      </c>
      <c r="O646" s="12" t="str">
        <f aca="false">IF($A646="","",IF($I646="","",IF($M646=0,"미처리",IF($N646&lt;=0,"완료","부분처리"))))</f>
        <v/>
      </c>
    </row>
    <row r="647" customFormat="false" ht="15" hidden="false" customHeight="true" outlineLevel="0" collapsed="false">
      <c r="A647" s="12" t="str">
        <f aca="false">IF($B647="","",TEXT($B647,"yymm")&amp;"-"&amp;TEXT(COUNTIFS($B$3:$B647,"&gt;="&amp;DATE(YEAR($B647),MONTH($B647),1),$B$3:$B647,"&lt;="&amp;EOMONTH($B647,0)),"000"))</f>
        <v/>
      </c>
      <c r="B647" s="13"/>
      <c r="C647" s="10"/>
      <c r="D647" s="10"/>
      <c r="E647" s="12" t="str">
        <f aca="false">IF($D647="","",IFERROR(INDEX(품목목록!$B$3:$B$302,MATCH($D647,품목목록!$A$3:$A$302,0)),"미등록품번"))</f>
        <v/>
      </c>
      <c r="F647" s="12" t="str">
        <f aca="false">IF($D647="","",IFERROR(INDEX(품목목록!$C$3:$C$302,MATCH($D647,품목목록!$A$3:$A$302,0)),""))</f>
        <v/>
      </c>
      <c r="G647" s="12" t="str">
        <f aca="false">IF($D647="","",IFERROR(INDEX(품목목록!$D$3:$D$302,MATCH($D647,품목목록!$A$3:$A$302,0)),""))</f>
        <v/>
      </c>
      <c r="H647" s="12" t="str">
        <f aca="false">IF($D647="","",IFERROR(INDEX(품목목록!$E$3:$E$302,MATCH($D647,품목목록!$A$3:$A$302,0)),""))</f>
        <v/>
      </c>
      <c r="I647" s="14"/>
      <c r="J647" s="10"/>
      <c r="K647" s="10"/>
      <c r="L647" s="10"/>
      <c r="M647" s="15" t="str">
        <f aca="false">IF($A647="","",SUMIFS(처리내역!$E$3:$E$1502,처리내역!$B$3:$B$1502,$A647))</f>
        <v/>
      </c>
      <c r="N647" s="15" t="str">
        <f aca="false">IF($A647="","",IF($I647="","",$I647-$M647))</f>
        <v/>
      </c>
      <c r="O647" s="12" t="str">
        <f aca="false">IF($A647="","",IF($I647="","",IF($M647=0,"미처리",IF($N647&lt;=0,"완료","부분처리"))))</f>
        <v/>
      </c>
    </row>
    <row r="648" customFormat="false" ht="15" hidden="false" customHeight="true" outlineLevel="0" collapsed="false">
      <c r="A648" s="12" t="str">
        <f aca="false">IF($B648="","",TEXT($B648,"yymm")&amp;"-"&amp;TEXT(COUNTIFS($B$3:$B648,"&gt;="&amp;DATE(YEAR($B648),MONTH($B648),1),$B$3:$B648,"&lt;="&amp;EOMONTH($B648,0)),"000"))</f>
        <v/>
      </c>
      <c r="B648" s="13"/>
      <c r="C648" s="10"/>
      <c r="D648" s="10"/>
      <c r="E648" s="12" t="str">
        <f aca="false">IF($D648="","",IFERROR(INDEX(품목목록!$B$3:$B$302,MATCH($D648,품목목록!$A$3:$A$302,0)),"미등록품번"))</f>
        <v/>
      </c>
      <c r="F648" s="12" t="str">
        <f aca="false">IF($D648="","",IFERROR(INDEX(품목목록!$C$3:$C$302,MATCH($D648,품목목록!$A$3:$A$302,0)),""))</f>
        <v/>
      </c>
      <c r="G648" s="12" t="str">
        <f aca="false">IF($D648="","",IFERROR(INDEX(품목목록!$D$3:$D$302,MATCH($D648,품목목록!$A$3:$A$302,0)),""))</f>
        <v/>
      </c>
      <c r="H648" s="12" t="str">
        <f aca="false">IF($D648="","",IFERROR(INDEX(품목목록!$E$3:$E$302,MATCH($D648,품목목록!$A$3:$A$302,0)),""))</f>
        <v/>
      </c>
      <c r="I648" s="14"/>
      <c r="J648" s="10"/>
      <c r="K648" s="10"/>
      <c r="L648" s="10"/>
      <c r="M648" s="15" t="str">
        <f aca="false">IF($A648="","",SUMIFS(처리내역!$E$3:$E$1502,처리내역!$B$3:$B$1502,$A648))</f>
        <v/>
      </c>
      <c r="N648" s="15" t="str">
        <f aca="false">IF($A648="","",IF($I648="","",$I648-$M648))</f>
        <v/>
      </c>
      <c r="O648" s="12" t="str">
        <f aca="false">IF($A648="","",IF($I648="","",IF($M648=0,"미처리",IF($N648&lt;=0,"완료","부분처리"))))</f>
        <v/>
      </c>
    </row>
    <row r="649" customFormat="false" ht="15" hidden="false" customHeight="true" outlineLevel="0" collapsed="false">
      <c r="A649" s="12" t="str">
        <f aca="false">IF($B649="","",TEXT($B649,"yymm")&amp;"-"&amp;TEXT(COUNTIFS($B$3:$B649,"&gt;="&amp;DATE(YEAR($B649),MONTH($B649),1),$B$3:$B649,"&lt;="&amp;EOMONTH($B649,0)),"000"))</f>
        <v/>
      </c>
      <c r="B649" s="13"/>
      <c r="C649" s="10"/>
      <c r="D649" s="10"/>
      <c r="E649" s="12" t="str">
        <f aca="false">IF($D649="","",IFERROR(INDEX(품목목록!$B$3:$B$302,MATCH($D649,품목목록!$A$3:$A$302,0)),"미등록품번"))</f>
        <v/>
      </c>
      <c r="F649" s="12" t="str">
        <f aca="false">IF($D649="","",IFERROR(INDEX(품목목록!$C$3:$C$302,MATCH($D649,품목목록!$A$3:$A$302,0)),""))</f>
        <v/>
      </c>
      <c r="G649" s="12" t="str">
        <f aca="false">IF($D649="","",IFERROR(INDEX(품목목록!$D$3:$D$302,MATCH($D649,품목목록!$A$3:$A$302,0)),""))</f>
        <v/>
      </c>
      <c r="H649" s="12" t="str">
        <f aca="false">IF($D649="","",IFERROR(INDEX(품목목록!$E$3:$E$302,MATCH($D649,품목목록!$A$3:$A$302,0)),""))</f>
        <v/>
      </c>
      <c r="I649" s="14"/>
      <c r="J649" s="10"/>
      <c r="K649" s="10"/>
      <c r="L649" s="10"/>
      <c r="M649" s="15" t="str">
        <f aca="false">IF($A649="","",SUMIFS(처리내역!$E$3:$E$1502,처리내역!$B$3:$B$1502,$A649))</f>
        <v/>
      </c>
      <c r="N649" s="15" t="str">
        <f aca="false">IF($A649="","",IF($I649="","",$I649-$M649))</f>
        <v/>
      </c>
      <c r="O649" s="12" t="str">
        <f aca="false">IF($A649="","",IF($I649="","",IF($M649=0,"미처리",IF($N649&lt;=0,"완료","부분처리"))))</f>
        <v/>
      </c>
    </row>
    <row r="650" customFormat="false" ht="15" hidden="false" customHeight="true" outlineLevel="0" collapsed="false">
      <c r="A650" s="12" t="str">
        <f aca="false">IF($B650="","",TEXT($B650,"yymm")&amp;"-"&amp;TEXT(COUNTIFS($B$3:$B650,"&gt;="&amp;DATE(YEAR($B650),MONTH($B650),1),$B$3:$B650,"&lt;="&amp;EOMONTH($B650,0)),"000"))</f>
        <v/>
      </c>
      <c r="B650" s="13"/>
      <c r="C650" s="10"/>
      <c r="D650" s="10"/>
      <c r="E650" s="12" t="str">
        <f aca="false">IF($D650="","",IFERROR(INDEX(품목목록!$B$3:$B$302,MATCH($D650,품목목록!$A$3:$A$302,0)),"미등록품번"))</f>
        <v/>
      </c>
      <c r="F650" s="12" t="str">
        <f aca="false">IF($D650="","",IFERROR(INDEX(품목목록!$C$3:$C$302,MATCH($D650,품목목록!$A$3:$A$302,0)),""))</f>
        <v/>
      </c>
      <c r="G650" s="12" t="str">
        <f aca="false">IF($D650="","",IFERROR(INDEX(품목목록!$D$3:$D$302,MATCH($D650,품목목록!$A$3:$A$302,0)),""))</f>
        <v/>
      </c>
      <c r="H650" s="12" t="str">
        <f aca="false">IF($D650="","",IFERROR(INDEX(품목목록!$E$3:$E$302,MATCH($D650,품목목록!$A$3:$A$302,0)),""))</f>
        <v/>
      </c>
      <c r="I650" s="14"/>
      <c r="J650" s="10"/>
      <c r="K650" s="10"/>
      <c r="L650" s="10"/>
      <c r="M650" s="15" t="str">
        <f aca="false">IF($A650="","",SUMIFS(처리내역!$E$3:$E$1502,처리내역!$B$3:$B$1502,$A650))</f>
        <v/>
      </c>
      <c r="N650" s="15" t="str">
        <f aca="false">IF($A650="","",IF($I650="","",$I650-$M650))</f>
        <v/>
      </c>
      <c r="O650" s="12" t="str">
        <f aca="false">IF($A650="","",IF($I650="","",IF($M650=0,"미처리",IF($N650&lt;=0,"완료","부분처리"))))</f>
        <v/>
      </c>
    </row>
    <row r="651" customFormat="false" ht="15" hidden="false" customHeight="true" outlineLevel="0" collapsed="false">
      <c r="A651" s="12" t="str">
        <f aca="false">IF($B651="","",TEXT($B651,"yymm")&amp;"-"&amp;TEXT(COUNTIFS($B$3:$B651,"&gt;="&amp;DATE(YEAR($B651),MONTH($B651),1),$B$3:$B651,"&lt;="&amp;EOMONTH($B651,0)),"000"))</f>
        <v/>
      </c>
      <c r="B651" s="13"/>
      <c r="C651" s="10"/>
      <c r="D651" s="10"/>
      <c r="E651" s="12" t="str">
        <f aca="false">IF($D651="","",IFERROR(INDEX(품목목록!$B$3:$B$302,MATCH($D651,품목목록!$A$3:$A$302,0)),"미등록품번"))</f>
        <v/>
      </c>
      <c r="F651" s="12" t="str">
        <f aca="false">IF($D651="","",IFERROR(INDEX(품목목록!$C$3:$C$302,MATCH($D651,품목목록!$A$3:$A$302,0)),""))</f>
        <v/>
      </c>
      <c r="G651" s="12" t="str">
        <f aca="false">IF($D651="","",IFERROR(INDEX(품목목록!$D$3:$D$302,MATCH($D651,품목목록!$A$3:$A$302,0)),""))</f>
        <v/>
      </c>
      <c r="H651" s="12" t="str">
        <f aca="false">IF($D651="","",IFERROR(INDEX(품목목록!$E$3:$E$302,MATCH($D651,품목목록!$A$3:$A$302,0)),""))</f>
        <v/>
      </c>
      <c r="I651" s="14"/>
      <c r="J651" s="10"/>
      <c r="K651" s="10"/>
      <c r="L651" s="10"/>
      <c r="M651" s="15" t="str">
        <f aca="false">IF($A651="","",SUMIFS(처리내역!$E$3:$E$1502,처리내역!$B$3:$B$1502,$A651))</f>
        <v/>
      </c>
      <c r="N651" s="15" t="str">
        <f aca="false">IF($A651="","",IF($I651="","",$I651-$M651))</f>
        <v/>
      </c>
      <c r="O651" s="12" t="str">
        <f aca="false">IF($A651="","",IF($I651="","",IF($M651=0,"미처리",IF($N651&lt;=0,"완료","부분처리"))))</f>
        <v/>
      </c>
    </row>
    <row r="652" customFormat="false" ht="15" hidden="false" customHeight="true" outlineLevel="0" collapsed="false">
      <c r="A652" s="12" t="str">
        <f aca="false">IF($B652="","",TEXT($B652,"yymm")&amp;"-"&amp;TEXT(COUNTIFS($B$3:$B652,"&gt;="&amp;DATE(YEAR($B652),MONTH($B652),1),$B$3:$B652,"&lt;="&amp;EOMONTH($B652,0)),"000"))</f>
        <v/>
      </c>
      <c r="B652" s="13"/>
      <c r="C652" s="10"/>
      <c r="D652" s="10"/>
      <c r="E652" s="12" t="str">
        <f aca="false">IF($D652="","",IFERROR(INDEX(품목목록!$B$3:$B$302,MATCH($D652,품목목록!$A$3:$A$302,0)),"미등록품번"))</f>
        <v/>
      </c>
      <c r="F652" s="12" t="str">
        <f aca="false">IF($D652="","",IFERROR(INDEX(품목목록!$C$3:$C$302,MATCH($D652,품목목록!$A$3:$A$302,0)),""))</f>
        <v/>
      </c>
      <c r="G652" s="12" t="str">
        <f aca="false">IF($D652="","",IFERROR(INDEX(품목목록!$D$3:$D$302,MATCH($D652,품목목록!$A$3:$A$302,0)),""))</f>
        <v/>
      </c>
      <c r="H652" s="12" t="str">
        <f aca="false">IF($D652="","",IFERROR(INDEX(품목목록!$E$3:$E$302,MATCH($D652,품목목록!$A$3:$A$302,0)),""))</f>
        <v/>
      </c>
      <c r="I652" s="14"/>
      <c r="J652" s="10"/>
      <c r="K652" s="10"/>
      <c r="L652" s="10"/>
      <c r="M652" s="15" t="str">
        <f aca="false">IF($A652="","",SUMIFS(처리내역!$E$3:$E$1502,처리내역!$B$3:$B$1502,$A652))</f>
        <v/>
      </c>
      <c r="N652" s="15" t="str">
        <f aca="false">IF($A652="","",IF($I652="","",$I652-$M652))</f>
        <v/>
      </c>
      <c r="O652" s="12" t="str">
        <f aca="false">IF($A652="","",IF($I652="","",IF($M652=0,"미처리",IF($N652&lt;=0,"완료","부분처리"))))</f>
        <v/>
      </c>
    </row>
    <row r="653" customFormat="false" ht="15" hidden="false" customHeight="true" outlineLevel="0" collapsed="false">
      <c r="A653" s="12" t="str">
        <f aca="false">IF($B653="","",TEXT($B653,"yymm")&amp;"-"&amp;TEXT(COUNTIFS($B$3:$B653,"&gt;="&amp;DATE(YEAR($B653),MONTH($B653),1),$B$3:$B653,"&lt;="&amp;EOMONTH($B653,0)),"000"))</f>
        <v/>
      </c>
      <c r="B653" s="13"/>
      <c r="C653" s="10"/>
      <c r="D653" s="10"/>
      <c r="E653" s="12" t="str">
        <f aca="false">IF($D653="","",IFERROR(INDEX(품목목록!$B$3:$B$302,MATCH($D653,품목목록!$A$3:$A$302,0)),"미등록품번"))</f>
        <v/>
      </c>
      <c r="F653" s="12" t="str">
        <f aca="false">IF($D653="","",IFERROR(INDEX(품목목록!$C$3:$C$302,MATCH($D653,품목목록!$A$3:$A$302,0)),""))</f>
        <v/>
      </c>
      <c r="G653" s="12" t="str">
        <f aca="false">IF($D653="","",IFERROR(INDEX(품목목록!$D$3:$D$302,MATCH($D653,품목목록!$A$3:$A$302,0)),""))</f>
        <v/>
      </c>
      <c r="H653" s="12" t="str">
        <f aca="false">IF($D653="","",IFERROR(INDEX(품목목록!$E$3:$E$302,MATCH($D653,품목목록!$A$3:$A$302,0)),""))</f>
        <v/>
      </c>
      <c r="I653" s="14"/>
      <c r="J653" s="10"/>
      <c r="K653" s="10"/>
      <c r="L653" s="10"/>
      <c r="M653" s="15" t="str">
        <f aca="false">IF($A653="","",SUMIFS(처리내역!$E$3:$E$1502,처리내역!$B$3:$B$1502,$A653))</f>
        <v/>
      </c>
      <c r="N653" s="15" t="str">
        <f aca="false">IF($A653="","",IF($I653="","",$I653-$M653))</f>
        <v/>
      </c>
      <c r="O653" s="12" t="str">
        <f aca="false">IF($A653="","",IF($I653="","",IF($M653=0,"미처리",IF($N653&lt;=0,"완료","부분처리"))))</f>
        <v/>
      </c>
    </row>
    <row r="654" customFormat="false" ht="15" hidden="false" customHeight="true" outlineLevel="0" collapsed="false">
      <c r="A654" s="12" t="str">
        <f aca="false">IF($B654="","",TEXT($B654,"yymm")&amp;"-"&amp;TEXT(COUNTIFS($B$3:$B654,"&gt;="&amp;DATE(YEAR($B654),MONTH($B654),1),$B$3:$B654,"&lt;="&amp;EOMONTH($B654,0)),"000"))</f>
        <v/>
      </c>
      <c r="B654" s="13"/>
      <c r="C654" s="10"/>
      <c r="D654" s="10"/>
      <c r="E654" s="12" t="str">
        <f aca="false">IF($D654="","",IFERROR(INDEX(품목목록!$B$3:$B$302,MATCH($D654,품목목록!$A$3:$A$302,0)),"미등록품번"))</f>
        <v/>
      </c>
      <c r="F654" s="12" t="str">
        <f aca="false">IF($D654="","",IFERROR(INDEX(품목목록!$C$3:$C$302,MATCH($D654,품목목록!$A$3:$A$302,0)),""))</f>
        <v/>
      </c>
      <c r="G654" s="12" t="str">
        <f aca="false">IF($D654="","",IFERROR(INDEX(품목목록!$D$3:$D$302,MATCH($D654,품목목록!$A$3:$A$302,0)),""))</f>
        <v/>
      </c>
      <c r="H654" s="12" t="str">
        <f aca="false">IF($D654="","",IFERROR(INDEX(품목목록!$E$3:$E$302,MATCH($D654,품목목록!$A$3:$A$302,0)),""))</f>
        <v/>
      </c>
      <c r="I654" s="14"/>
      <c r="J654" s="10"/>
      <c r="K654" s="10"/>
      <c r="L654" s="10"/>
      <c r="M654" s="15" t="str">
        <f aca="false">IF($A654="","",SUMIFS(처리내역!$E$3:$E$1502,처리내역!$B$3:$B$1502,$A654))</f>
        <v/>
      </c>
      <c r="N654" s="15" t="str">
        <f aca="false">IF($A654="","",IF($I654="","",$I654-$M654))</f>
        <v/>
      </c>
      <c r="O654" s="12" t="str">
        <f aca="false">IF($A654="","",IF($I654="","",IF($M654=0,"미처리",IF($N654&lt;=0,"완료","부분처리"))))</f>
        <v/>
      </c>
    </row>
    <row r="655" customFormat="false" ht="15" hidden="false" customHeight="true" outlineLevel="0" collapsed="false">
      <c r="A655" s="12" t="str">
        <f aca="false">IF($B655="","",TEXT($B655,"yymm")&amp;"-"&amp;TEXT(COUNTIFS($B$3:$B655,"&gt;="&amp;DATE(YEAR($B655),MONTH($B655),1),$B$3:$B655,"&lt;="&amp;EOMONTH($B655,0)),"000"))</f>
        <v/>
      </c>
      <c r="B655" s="13"/>
      <c r="C655" s="10"/>
      <c r="D655" s="10"/>
      <c r="E655" s="12" t="str">
        <f aca="false">IF($D655="","",IFERROR(INDEX(품목목록!$B$3:$B$302,MATCH($D655,품목목록!$A$3:$A$302,0)),"미등록품번"))</f>
        <v/>
      </c>
      <c r="F655" s="12" t="str">
        <f aca="false">IF($D655="","",IFERROR(INDEX(품목목록!$C$3:$C$302,MATCH($D655,품목목록!$A$3:$A$302,0)),""))</f>
        <v/>
      </c>
      <c r="G655" s="12" t="str">
        <f aca="false">IF($D655="","",IFERROR(INDEX(품목목록!$D$3:$D$302,MATCH($D655,품목목록!$A$3:$A$302,0)),""))</f>
        <v/>
      </c>
      <c r="H655" s="12" t="str">
        <f aca="false">IF($D655="","",IFERROR(INDEX(품목목록!$E$3:$E$302,MATCH($D655,품목목록!$A$3:$A$302,0)),""))</f>
        <v/>
      </c>
      <c r="I655" s="14"/>
      <c r="J655" s="10"/>
      <c r="K655" s="10"/>
      <c r="L655" s="10"/>
      <c r="M655" s="15" t="str">
        <f aca="false">IF($A655="","",SUMIFS(처리내역!$E$3:$E$1502,처리내역!$B$3:$B$1502,$A655))</f>
        <v/>
      </c>
      <c r="N655" s="15" t="str">
        <f aca="false">IF($A655="","",IF($I655="","",$I655-$M655))</f>
        <v/>
      </c>
      <c r="O655" s="12" t="str">
        <f aca="false">IF($A655="","",IF($I655="","",IF($M655=0,"미처리",IF($N655&lt;=0,"완료","부분처리"))))</f>
        <v/>
      </c>
    </row>
    <row r="656" customFormat="false" ht="15" hidden="false" customHeight="true" outlineLevel="0" collapsed="false">
      <c r="A656" s="12" t="str">
        <f aca="false">IF($B656="","",TEXT($B656,"yymm")&amp;"-"&amp;TEXT(COUNTIFS($B$3:$B656,"&gt;="&amp;DATE(YEAR($B656),MONTH($B656),1),$B$3:$B656,"&lt;="&amp;EOMONTH($B656,0)),"000"))</f>
        <v/>
      </c>
      <c r="B656" s="13"/>
      <c r="C656" s="10"/>
      <c r="D656" s="10"/>
      <c r="E656" s="12" t="str">
        <f aca="false">IF($D656="","",IFERROR(INDEX(품목목록!$B$3:$B$302,MATCH($D656,품목목록!$A$3:$A$302,0)),"미등록품번"))</f>
        <v/>
      </c>
      <c r="F656" s="12" t="str">
        <f aca="false">IF($D656="","",IFERROR(INDEX(품목목록!$C$3:$C$302,MATCH($D656,품목목록!$A$3:$A$302,0)),""))</f>
        <v/>
      </c>
      <c r="G656" s="12" t="str">
        <f aca="false">IF($D656="","",IFERROR(INDEX(품목목록!$D$3:$D$302,MATCH($D656,품목목록!$A$3:$A$302,0)),""))</f>
        <v/>
      </c>
      <c r="H656" s="12" t="str">
        <f aca="false">IF($D656="","",IFERROR(INDEX(품목목록!$E$3:$E$302,MATCH($D656,품목목록!$A$3:$A$302,0)),""))</f>
        <v/>
      </c>
      <c r="I656" s="14"/>
      <c r="J656" s="10"/>
      <c r="K656" s="10"/>
      <c r="L656" s="10"/>
      <c r="M656" s="15" t="str">
        <f aca="false">IF($A656="","",SUMIFS(처리내역!$E$3:$E$1502,처리내역!$B$3:$B$1502,$A656))</f>
        <v/>
      </c>
      <c r="N656" s="15" t="str">
        <f aca="false">IF($A656="","",IF($I656="","",$I656-$M656))</f>
        <v/>
      </c>
      <c r="O656" s="12" t="str">
        <f aca="false">IF($A656="","",IF($I656="","",IF($M656=0,"미처리",IF($N656&lt;=0,"완료","부분처리"))))</f>
        <v/>
      </c>
    </row>
    <row r="657" customFormat="false" ht="15" hidden="false" customHeight="true" outlineLevel="0" collapsed="false">
      <c r="A657" s="12" t="str">
        <f aca="false">IF($B657="","",TEXT($B657,"yymm")&amp;"-"&amp;TEXT(COUNTIFS($B$3:$B657,"&gt;="&amp;DATE(YEAR($B657),MONTH($B657),1),$B$3:$B657,"&lt;="&amp;EOMONTH($B657,0)),"000"))</f>
        <v/>
      </c>
      <c r="B657" s="13"/>
      <c r="C657" s="10"/>
      <c r="D657" s="10"/>
      <c r="E657" s="12" t="str">
        <f aca="false">IF($D657="","",IFERROR(INDEX(품목목록!$B$3:$B$302,MATCH($D657,품목목록!$A$3:$A$302,0)),"미등록품번"))</f>
        <v/>
      </c>
      <c r="F657" s="12" t="str">
        <f aca="false">IF($D657="","",IFERROR(INDEX(품목목록!$C$3:$C$302,MATCH($D657,품목목록!$A$3:$A$302,0)),""))</f>
        <v/>
      </c>
      <c r="G657" s="12" t="str">
        <f aca="false">IF($D657="","",IFERROR(INDEX(품목목록!$D$3:$D$302,MATCH($D657,품목목록!$A$3:$A$302,0)),""))</f>
        <v/>
      </c>
      <c r="H657" s="12" t="str">
        <f aca="false">IF($D657="","",IFERROR(INDEX(품목목록!$E$3:$E$302,MATCH($D657,품목목록!$A$3:$A$302,0)),""))</f>
        <v/>
      </c>
      <c r="I657" s="14"/>
      <c r="J657" s="10"/>
      <c r="K657" s="10"/>
      <c r="L657" s="10"/>
      <c r="M657" s="15" t="str">
        <f aca="false">IF($A657="","",SUMIFS(처리내역!$E$3:$E$1502,처리내역!$B$3:$B$1502,$A657))</f>
        <v/>
      </c>
      <c r="N657" s="15" t="str">
        <f aca="false">IF($A657="","",IF($I657="","",$I657-$M657))</f>
        <v/>
      </c>
      <c r="O657" s="12" t="str">
        <f aca="false">IF($A657="","",IF($I657="","",IF($M657=0,"미처리",IF($N657&lt;=0,"완료","부분처리"))))</f>
        <v/>
      </c>
    </row>
    <row r="658" customFormat="false" ht="15" hidden="false" customHeight="true" outlineLevel="0" collapsed="false">
      <c r="A658" s="12" t="str">
        <f aca="false">IF($B658="","",TEXT($B658,"yymm")&amp;"-"&amp;TEXT(COUNTIFS($B$3:$B658,"&gt;="&amp;DATE(YEAR($B658),MONTH($B658),1),$B$3:$B658,"&lt;="&amp;EOMONTH($B658,0)),"000"))</f>
        <v/>
      </c>
      <c r="B658" s="13"/>
      <c r="C658" s="10"/>
      <c r="D658" s="10"/>
      <c r="E658" s="12" t="str">
        <f aca="false">IF($D658="","",IFERROR(INDEX(품목목록!$B$3:$B$302,MATCH($D658,품목목록!$A$3:$A$302,0)),"미등록품번"))</f>
        <v/>
      </c>
      <c r="F658" s="12" t="str">
        <f aca="false">IF($D658="","",IFERROR(INDEX(품목목록!$C$3:$C$302,MATCH($D658,품목목록!$A$3:$A$302,0)),""))</f>
        <v/>
      </c>
      <c r="G658" s="12" t="str">
        <f aca="false">IF($D658="","",IFERROR(INDEX(품목목록!$D$3:$D$302,MATCH($D658,품목목록!$A$3:$A$302,0)),""))</f>
        <v/>
      </c>
      <c r="H658" s="12" t="str">
        <f aca="false">IF($D658="","",IFERROR(INDEX(품목목록!$E$3:$E$302,MATCH($D658,품목목록!$A$3:$A$302,0)),""))</f>
        <v/>
      </c>
      <c r="I658" s="14"/>
      <c r="J658" s="10"/>
      <c r="K658" s="10"/>
      <c r="L658" s="10"/>
      <c r="M658" s="15" t="str">
        <f aca="false">IF($A658="","",SUMIFS(처리내역!$E$3:$E$1502,처리내역!$B$3:$B$1502,$A658))</f>
        <v/>
      </c>
      <c r="N658" s="15" t="str">
        <f aca="false">IF($A658="","",IF($I658="","",$I658-$M658))</f>
        <v/>
      </c>
      <c r="O658" s="12" t="str">
        <f aca="false">IF($A658="","",IF($I658="","",IF($M658=0,"미처리",IF($N658&lt;=0,"완료","부분처리"))))</f>
        <v/>
      </c>
    </row>
    <row r="659" customFormat="false" ht="15" hidden="false" customHeight="true" outlineLevel="0" collapsed="false">
      <c r="A659" s="12" t="str">
        <f aca="false">IF($B659="","",TEXT($B659,"yymm")&amp;"-"&amp;TEXT(COUNTIFS($B$3:$B659,"&gt;="&amp;DATE(YEAR($B659),MONTH($B659),1),$B$3:$B659,"&lt;="&amp;EOMONTH($B659,0)),"000"))</f>
        <v/>
      </c>
      <c r="B659" s="13"/>
      <c r="C659" s="10"/>
      <c r="D659" s="10"/>
      <c r="E659" s="12" t="str">
        <f aca="false">IF($D659="","",IFERROR(INDEX(품목목록!$B$3:$B$302,MATCH($D659,품목목록!$A$3:$A$302,0)),"미등록품번"))</f>
        <v/>
      </c>
      <c r="F659" s="12" t="str">
        <f aca="false">IF($D659="","",IFERROR(INDEX(품목목록!$C$3:$C$302,MATCH($D659,품목목록!$A$3:$A$302,0)),""))</f>
        <v/>
      </c>
      <c r="G659" s="12" t="str">
        <f aca="false">IF($D659="","",IFERROR(INDEX(품목목록!$D$3:$D$302,MATCH($D659,품목목록!$A$3:$A$302,0)),""))</f>
        <v/>
      </c>
      <c r="H659" s="12" t="str">
        <f aca="false">IF($D659="","",IFERROR(INDEX(품목목록!$E$3:$E$302,MATCH($D659,품목목록!$A$3:$A$302,0)),""))</f>
        <v/>
      </c>
      <c r="I659" s="14"/>
      <c r="J659" s="10"/>
      <c r="K659" s="10"/>
      <c r="L659" s="10"/>
      <c r="M659" s="15" t="str">
        <f aca="false">IF($A659="","",SUMIFS(처리내역!$E$3:$E$1502,처리내역!$B$3:$B$1502,$A659))</f>
        <v/>
      </c>
      <c r="N659" s="15" t="str">
        <f aca="false">IF($A659="","",IF($I659="","",$I659-$M659))</f>
        <v/>
      </c>
      <c r="O659" s="12" t="str">
        <f aca="false">IF($A659="","",IF($I659="","",IF($M659=0,"미처리",IF($N659&lt;=0,"완료","부분처리"))))</f>
        <v/>
      </c>
    </row>
    <row r="660" customFormat="false" ht="15" hidden="false" customHeight="true" outlineLevel="0" collapsed="false">
      <c r="A660" s="12" t="str">
        <f aca="false">IF($B660="","",TEXT($B660,"yymm")&amp;"-"&amp;TEXT(COUNTIFS($B$3:$B660,"&gt;="&amp;DATE(YEAR($B660),MONTH($B660),1),$B$3:$B660,"&lt;="&amp;EOMONTH($B660,0)),"000"))</f>
        <v/>
      </c>
      <c r="B660" s="13"/>
      <c r="C660" s="10"/>
      <c r="D660" s="10"/>
      <c r="E660" s="12" t="str">
        <f aca="false">IF($D660="","",IFERROR(INDEX(품목목록!$B$3:$B$302,MATCH($D660,품목목록!$A$3:$A$302,0)),"미등록품번"))</f>
        <v/>
      </c>
      <c r="F660" s="12" t="str">
        <f aca="false">IF($D660="","",IFERROR(INDEX(품목목록!$C$3:$C$302,MATCH($D660,품목목록!$A$3:$A$302,0)),""))</f>
        <v/>
      </c>
      <c r="G660" s="12" t="str">
        <f aca="false">IF($D660="","",IFERROR(INDEX(품목목록!$D$3:$D$302,MATCH($D660,품목목록!$A$3:$A$302,0)),""))</f>
        <v/>
      </c>
      <c r="H660" s="12" t="str">
        <f aca="false">IF($D660="","",IFERROR(INDEX(품목목록!$E$3:$E$302,MATCH($D660,품목목록!$A$3:$A$302,0)),""))</f>
        <v/>
      </c>
      <c r="I660" s="14"/>
      <c r="J660" s="10"/>
      <c r="K660" s="10"/>
      <c r="L660" s="10"/>
      <c r="M660" s="15" t="str">
        <f aca="false">IF($A660="","",SUMIFS(처리내역!$E$3:$E$1502,처리내역!$B$3:$B$1502,$A660))</f>
        <v/>
      </c>
      <c r="N660" s="15" t="str">
        <f aca="false">IF($A660="","",IF($I660="","",$I660-$M660))</f>
        <v/>
      </c>
      <c r="O660" s="12" t="str">
        <f aca="false">IF($A660="","",IF($I660="","",IF($M660=0,"미처리",IF($N660&lt;=0,"완료","부분처리"))))</f>
        <v/>
      </c>
    </row>
    <row r="661" customFormat="false" ht="15" hidden="false" customHeight="true" outlineLevel="0" collapsed="false">
      <c r="A661" s="12" t="str">
        <f aca="false">IF($B661="","",TEXT($B661,"yymm")&amp;"-"&amp;TEXT(COUNTIFS($B$3:$B661,"&gt;="&amp;DATE(YEAR($B661),MONTH($B661),1),$B$3:$B661,"&lt;="&amp;EOMONTH($B661,0)),"000"))</f>
        <v/>
      </c>
      <c r="B661" s="13"/>
      <c r="C661" s="10"/>
      <c r="D661" s="10"/>
      <c r="E661" s="12" t="str">
        <f aca="false">IF($D661="","",IFERROR(INDEX(품목목록!$B$3:$B$302,MATCH($D661,품목목록!$A$3:$A$302,0)),"미등록품번"))</f>
        <v/>
      </c>
      <c r="F661" s="12" t="str">
        <f aca="false">IF($D661="","",IFERROR(INDEX(품목목록!$C$3:$C$302,MATCH($D661,품목목록!$A$3:$A$302,0)),""))</f>
        <v/>
      </c>
      <c r="G661" s="12" t="str">
        <f aca="false">IF($D661="","",IFERROR(INDEX(품목목록!$D$3:$D$302,MATCH($D661,품목목록!$A$3:$A$302,0)),""))</f>
        <v/>
      </c>
      <c r="H661" s="12" t="str">
        <f aca="false">IF($D661="","",IFERROR(INDEX(품목목록!$E$3:$E$302,MATCH($D661,품목목록!$A$3:$A$302,0)),""))</f>
        <v/>
      </c>
      <c r="I661" s="14"/>
      <c r="J661" s="10"/>
      <c r="K661" s="10"/>
      <c r="L661" s="10"/>
      <c r="M661" s="15" t="str">
        <f aca="false">IF($A661="","",SUMIFS(처리내역!$E$3:$E$1502,처리내역!$B$3:$B$1502,$A661))</f>
        <v/>
      </c>
      <c r="N661" s="15" t="str">
        <f aca="false">IF($A661="","",IF($I661="","",$I661-$M661))</f>
        <v/>
      </c>
      <c r="O661" s="12" t="str">
        <f aca="false">IF($A661="","",IF($I661="","",IF($M661=0,"미처리",IF($N661&lt;=0,"완료","부분처리"))))</f>
        <v/>
      </c>
    </row>
    <row r="662" customFormat="false" ht="15" hidden="false" customHeight="true" outlineLevel="0" collapsed="false">
      <c r="A662" s="12" t="str">
        <f aca="false">IF($B662="","",TEXT($B662,"yymm")&amp;"-"&amp;TEXT(COUNTIFS($B$3:$B662,"&gt;="&amp;DATE(YEAR($B662),MONTH($B662),1),$B$3:$B662,"&lt;="&amp;EOMONTH($B662,0)),"000"))</f>
        <v/>
      </c>
      <c r="B662" s="13"/>
      <c r="C662" s="10"/>
      <c r="D662" s="10"/>
      <c r="E662" s="12" t="str">
        <f aca="false">IF($D662="","",IFERROR(INDEX(품목목록!$B$3:$B$302,MATCH($D662,품목목록!$A$3:$A$302,0)),"미등록품번"))</f>
        <v/>
      </c>
      <c r="F662" s="12" t="str">
        <f aca="false">IF($D662="","",IFERROR(INDEX(품목목록!$C$3:$C$302,MATCH($D662,품목목록!$A$3:$A$302,0)),""))</f>
        <v/>
      </c>
      <c r="G662" s="12" t="str">
        <f aca="false">IF($D662="","",IFERROR(INDEX(품목목록!$D$3:$D$302,MATCH($D662,품목목록!$A$3:$A$302,0)),""))</f>
        <v/>
      </c>
      <c r="H662" s="12" t="str">
        <f aca="false">IF($D662="","",IFERROR(INDEX(품목목록!$E$3:$E$302,MATCH($D662,품목목록!$A$3:$A$302,0)),""))</f>
        <v/>
      </c>
      <c r="I662" s="14"/>
      <c r="J662" s="10"/>
      <c r="K662" s="10"/>
      <c r="L662" s="10"/>
      <c r="M662" s="15" t="str">
        <f aca="false">IF($A662="","",SUMIFS(처리내역!$E$3:$E$1502,처리내역!$B$3:$B$1502,$A662))</f>
        <v/>
      </c>
      <c r="N662" s="15" t="str">
        <f aca="false">IF($A662="","",IF($I662="","",$I662-$M662))</f>
        <v/>
      </c>
      <c r="O662" s="12" t="str">
        <f aca="false">IF($A662="","",IF($I662="","",IF($M662=0,"미처리",IF($N662&lt;=0,"완료","부분처리"))))</f>
        <v/>
      </c>
    </row>
    <row r="663" customFormat="false" ht="15" hidden="false" customHeight="true" outlineLevel="0" collapsed="false">
      <c r="A663" s="12" t="str">
        <f aca="false">IF($B663="","",TEXT($B663,"yymm")&amp;"-"&amp;TEXT(COUNTIFS($B$3:$B663,"&gt;="&amp;DATE(YEAR($B663),MONTH($B663),1),$B$3:$B663,"&lt;="&amp;EOMONTH($B663,0)),"000"))</f>
        <v/>
      </c>
      <c r="B663" s="13"/>
      <c r="C663" s="10"/>
      <c r="D663" s="10"/>
      <c r="E663" s="12" t="str">
        <f aca="false">IF($D663="","",IFERROR(INDEX(품목목록!$B$3:$B$302,MATCH($D663,품목목록!$A$3:$A$302,0)),"미등록품번"))</f>
        <v/>
      </c>
      <c r="F663" s="12" t="str">
        <f aca="false">IF($D663="","",IFERROR(INDEX(품목목록!$C$3:$C$302,MATCH($D663,품목목록!$A$3:$A$302,0)),""))</f>
        <v/>
      </c>
      <c r="G663" s="12" t="str">
        <f aca="false">IF($D663="","",IFERROR(INDEX(품목목록!$D$3:$D$302,MATCH($D663,품목목록!$A$3:$A$302,0)),""))</f>
        <v/>
      </c>
      <c r="H663" s="12" t="str">
        <f aca="false">IF($D663="","",IFERROR(INDEX(품목목록!$E$3:$E$302,MATCH($D663,품목목록!$A$3:$A$302,0)),""))</f>
        <v/>
      </c>
      <c r="I663" s="14"/>
      <c r="J663" s="10"/>
      <c r="K663" s="10"/>
      <c r="L663" s="10"/>
      <c r="M663" s="15" t="str">
        <f aca="false">IF($A663="","",SUMIFS(처리내역!$E$3:$E$1502,처리내역!$B$3:$B$1502,$A663))</f>
        <v/>
      </c>
      <c r="N663" s="15" t="str">
        <f aca="false">IF($A663="","",IF($I663="","",$I663-$M663))</f>
        <v/>
      </c>
      <c r="O663" s="12" t="str">
        <f aca="false">IF($A663="","",IF($I663="","",IF($M663=0,"미처리",IF($N663&lt;=0,"완료","부분처리"))))</f>
        <v/>
      </c>
    </row>
    <row r="664" customFormat="false" ht="15" hidden="false" customHeight="true" outlineLevel="0" collapsed="false">
      <c r="A664" s="12" t="str">
        <f aca="false">IF($B664="","",TEXT($B664,"yymm")&amp;"-"&amp;TEXT(COUNTIFS($B$3:$B664,"&gt;="&amp;DATE(YEAR($B664),MONTH($B664),1),$B$3:$B664,"&lt;="&amp;EOMONTH($B664,0)),"000"))</f>
        <v/>
      </c>
      <c r="B664" s="13"/>
      <c r="C664" s="10"/>
      <c r="D664" s="10"/>
      <c r="E664" s="12" t="str">
        <f aca="false">IF($D664="","",IFERROR(INDEX(품목목록!$B$3:$B$302,MATCH($D664,품목목록!$A$3:$A$302,0)),"미등록품번"))</f>
        <v/>
      </c>
      <c r="F664" s="12" t="str">
        <f aca="false">IF($D664="","",IFERROR(INDEX(품목목록!$C$3:$C$302,MATCH($D664,품목목록!$A$3:$A$302,0)),""))</f>
        <v/>
      </c>
      <c r="G664" s="12" t="str">
        <f aca="false">IF($D664="","",IFERROR(INDEX(품목목록!$D$3:$D$302,MATCH($D664,품목목록!$A$3:$A$302,0)),""))</f>
        <v/>
      </c>
      <c r="H664" s="12" t="str">
        <f aca="false">IF($D664="","",IFERROR(INDEX(품목목록!$E$3:$E$302,MATCH($D664,품목목록!$A$3:$A$302,0)),""))</f>
        <v/>
      </c>
      <c r="I664" s="14"/>
      <c r="J664" s="10"/>
      <c r="K664" s="10"/>
      <c r="L664" s="10"/>
      <c r="M664" s="15" t="str">
        <f aca="false">IF($A664="","",SUMIFS(처리내역!$E$3:$E$1502,처리내역!$B$3:$B$1502,$A664))</f>
        <v/>
      </c>
      <c r="N664" s="15" t="str">
        <f aca="false">IF($A664="","",IF($I664="","",$I664-$M664))</f>
        <v/>
      </c>
      <c r="O664" s="12" t="str">
        <f aca="false">IF($A664="","",IF($I664="","",IF($M664=0,"미처리",IF($N664&lt;=0,"완료","부분처리"))))</f>
        <v/>
      </c>
    </row>
    <row r="665" customFormat="false" ht="15" hidden="false" customHeight="true" outlineLevel="0" collapsed="false">
      <c r="A665" s="12" t="str">
        <f aca="false">IF($B665="","",TEXT($B665,"yymm")&amp;"-"&amp;TEXT(COUNTIFS($B$3:$B665,"&gt;="&amp;DATE(YEAR($B665),MONTH($B665),1),$B$3:$B665,"&lt;="&amp;EOMONTH($B665,0)),"000"))</f>
        <v/>
      </c>
      <c r="B665" s="13"/>
      <c r="C665" s="10"/>
      <c r="D665" s="10"/>
      <c r="E665" s="12" t="str">
        <f aca="false">IF($D665="","",IFERROR(INDEX(품목목록!$B$3:$B$302,MATCH($D665,품목목록!$A$3:$A$302,0)),"미등록품번"))</f>
        <v/>
      </c>
      <c r="F665" s="12" t="str">
        <f aca="false">IF($D665="","",IFERROR(INDEX(품목목록!$C$3:$C$302,MATCH($D665,품목목록!$A$3:$A$302,0)),""))</f>
        <v/>
      </c>
      <c r="G665" s="12" t="str">
        <f aca="false">IF($D665="","",IFERROR(INDEX(품목목록!$D$3:$D$302,MATCH($D665,품목목록!$A$3:$A$302,0)),""))</f>
        <v/>
      </c>
      <c r="H665" s="12" t="str">
        <f aca="false">IF($D665="","",IFERROR(INDEX(품목목록!$E$3:$E$302,MATCH($D665,품목목록!$A$3:$A$302,0)),""))</f>
        <v/>
      </c>
      <c r="I665" s="14"/>
      <c r="J665" s="10"/>
      <c r="K665" s="10"/>
      <c r="L665" s="10"/>
      <c r="M665" s="15" t="str">
        <f aca="false">IF($A665="","",SUMIFS(처리내역!$E$3:$E$1502,처리내역!$B$3:$B$1502,$A665))</f>
        <v/>
      </c>
      <c r="N665" s="15" t="str">
        <f aca="false">IF($A665="","",IF($I665="","",$I665-$M665))</f>
        <v/>
      </c>
      <c r="O665" s="12" t="str">
        <f aca="false">IF($A665="","",IF($I665="","",IF($M665=0,"미처리",IF($N665&lt;=0,"완료","부분처리"))))</f>
        <v/>
      </c>
    </row>
    <row r="666" customFormat="false" ht="15" hidden="false" customHeight="true" outlineLevel="0" collapsed="false">
      <c r="A666" s="12" t="str">
        <f aca="false">IF($B666="","",TEXT($B666,"yymm")&amp;"-"&amp;TEXT(COUNTIFS($B$3:$B666,"&gt;="&amp;DATE(YEAR($B666),MONTH($B666),1),$B$3:$B666,"&lt;="&amp;EOMONTH($B666,0)),"000"))</f>
        <v/>
      </c>
      <c r="B666" s="13"/>
      <c r="C666" s="10"/>
      <c r="D666" s="10"/>
      <c r="E666" s="12" t="str">
        <f aca="false">IF($D666="","",IFERROR(INDEX(품목목록!$B$3:$B$302,MATCH($D666,품목목록!$A$3:$A$302,0)),"미등록품번"))</f>
        <v/>
      </c>
      <c r="F666" s="12" t="str">
        <f aca="false">IF($D666="","",IFERROR(INDEX(품목목록!$C$3:$C$302,MATCH($D666,품목목록!$A$3:$A$302,0)),""))</f>
        <v/>
      </c>
      <c r="G666" s="12" t="str">
        <f aca="false">IF($D666="","",IFERROR(INDEX(품목목록!$D$3:$D$302,MATCH($D666,품목목록!$A$3:$A$302,0)),""))</f>
        <v/>
      </c>
      <c r="H666" s="12" t="str">
        <f aca="false">IF($D666="","",IFERROR(INDEX(품목목록!$E$3:$E$302,MATCH($D666,품목목록!$A$3:$A$302,0)),""))</f>
        <v/>
      </c>
      <c r="I666" s="14"/>
      <c r="J666" s="10"/>
      <c r="K666" s="10"/>
      <c r="L666" s="10"/>
      <c r="M666" s="15" t="str">
        <f aca="false">IF($A666="","",SUMIFS(처리내역!$E$3:$E$1502,처리내역!$B$3:$B$1502,$A666))</f>
        <v/>
      </c>
      <c r="N666" s="15" t="str">
        <f aca="false">IF($A666="","",IF($I666="","",$I666-$M666))</f>
        <v/>
      </c>
      <c r="O666" s="12" t="str">
        <f aca="false">IF($A666="","",IF($I666="","",IF($M666=0,"미처리",IF($N666&lt;=0,"완료","부분처리"))))</f>
        <v/>
      </c>
    </row>
    <row r="667" customFormat="false" ht="15" hidden="false" customHeight="true" outlineLevel="0" collapsed="false">
      <c r="A667" s="12" t="str">
        <f aca="false">IF($B667="","",TEXT($B667,"yymm")&amp;"-"&amp;TEXT(COUNTIFS($B$3:$B667,"&gt;="&amp;DATE(YEAR($B667),MONTH($B667),1),$B$3:$B667,"&lt;="&amp;EOMONTH($B667,0)),"000"))</f>
        <v/>
      </c>
      <c r="B667" s="13"/>
      <c r="C667" s="10"/>
      <c r="D667" s="10"/>
      <c r="E667" s="12" t="str">
        <f aca="false">IF($D667="","",IFERROR(INDEX(품목목록!$B$3:$B$302,MATCH($D667,품목목록!$A$3:$A$302,0)),"미등록품번"))</f>
        <v/>
      </c>
      <c r="F667" s="12" t="str">
        <f aca="false">IF($D667="","",IFERROR(INDEX(품목목록!$C$3:$C$302,MATCH($D667,품목목록!$A$3:$A$302,0)),""))</f>
        <v/>
      </c>
      <c r="G667" s="12" t="str">
        <f aca="false">IF($D667="","",IFERROR(INDEX(품목목록!$D$3:$D$302,MATCH($D667,품목목록!$A$3:$A$302,0)),""))</f>
        <v/>
      </c>
      <c r="H667" s="12" t="str">
        <f aca="false">IF($D667="","",IFERROR(INDEX(품목목록!$E$3:$E$302,MATCH($D667,품목목록!$A$3:$A$302,0)),""))</f>
        <v/>
      </c>
      <c r="I667" s="14"/>
      <c r="J667" s="10"/>
      <c r="K667" s="10"/>
      <c r="L667" s="10"/>
      <c r="M667" s="15" t="str">
        <f aca="false">IF($A667="","",SUMIFS(처리내역!$E$3:$E$1502,처리내역!$B$3:$B$1502,$A667))</f>
        <v/>
      </c>
      <c r="N667" s="15" t="str">
        <f aca="false">IF($A667="","",IF($I667="","",$I667-$M667))</f>
        <v/>
      </c>
      <c r="O667" s="12" t="str">
        <f aca="false">IF($A667="","",IF($I667="","",IF($M667=0,"미처리",IF($N667&lt;=0,"완료","부분처리"))))</f>
        <v/>
      </c>
    </row>
    <row r="668" customFormat="false" ht="15" hidden="false" customHeight="true" outlineLevel="0" collapsed="false">
      <c r="A668" s="12" t="str">
        <f aca="false">IF($B668="","",TEXT($B668,"yymm")&amp;"-"&amp;TEXT(COUNTIFS($B$3:$B668,"&gt;="&amp;DATE(YEAR($B668),MONTH($B668),1),$B$3:$B668,"&lt;="&amp;EOMONTH($B668,0)),"000"))</f>
        <v/>
      </c>
      <c r="B668" s="13"/>
      <c r="C668" s="10"/>
      <c r="D668" s="10"/>
      <c r="E668" s="12" t="str">
        <f aca="false">IF($D668="","",IFERROR(INDEX(품목목록!$B$3:$B$302,MATCH($D668,품목목록!$A$3:$A$302,0)),"미등록품번"))</f>
        <v/>
      </c>
      <c r="F668" s="12" t="str">
        <f aca="false">IF($D668="","",IFERROR(INDEX(품목목록!$C$3:$C$302,MATCH($D668,품목목록!$A$3:$A$302,0)),""))</f>
        <v/>
      </c>
      <c r="G668" s="12" t="str">
        <f aca="false">IF($D668="","",IFERROR(INDEX(품목목록!$D$3:$D$302,MATCH($D668,품목목록!$A$3:$A$302,0)),""))</f>
        <v/>
      </c>
      <c r="H668" s="12" t="str">
        <f aca="false">IF($D668="","",IFERROR(INDEX(품목목록!$E$3:$E$302,MATCH($D668,품목목록!$A$3:$A$302,0)),""))</f>
        <v/>
      </c>
      <c r="I668" s="14"/>
      <c r="J668" s="10"/>
      <c r="K668" s="10"/>
      <c r="L668" s="10"/>
      <c r="M668" s="15" t="str">
        <f aca="false">IF($A668="","",SUMIFS(처리내역!$E$3:$E$1502,처리내역!$B$3:$B$1502,$A668))</f>
        <v/>
      </c>
      <c r="N668" s="15" t="str">
        <f aca="false">IF($A668="","",IF($I668="","",$I668-$M668))</f>
        <v/>
      </c>
      <c r="O668" s="12" t="str">
        <f aca="false">IF($A668="","",IF($I668="","",IF($M668=0,"미처리",IF($N668&lt;=0,"완료","부분처리"))))</f>
        <v/>
      </c>
    </row>
    <row r="669" customFormat="false" ht="15" hidden="false" customHeight="true" outlineLevel="0" collapsed="false">
      <c r="A669" s="12" t="str">
        <f aca="false">IF($B669="","",TEXT($B669,"yymm")&amp;"-"&amp;TEXT(COUNTIFS($B$3:$B669,"&gt;="&amp;DATE(YEAR($B669),MONTH($B669),1),$B$3:$B669,"&lt;="&amp;EOMONTH($B669,0)),"000"))</f>
        <v/>
      </c>
      <c r="B669" s="13"/>
      <c r="C669" s="10"/>
      <c r="D669" s="10"/>
      <c r="E669" s="12" t="str">
        <f aca="false">IF($D669="","",IFERROR(INDEX(품목목록!$B$3:$B$302,MATCH($D669,품목목록!$A$3:$A$302,0)),"미등록품번"))</f>
        <v/>
      </c>
      <c r="F669" s="12" t="str">
        <f aca="false">IF($D669="","",IFERROR(INDEX(품목목록!$C$3:$C$302,MATCH($D669,품목목록!$A$3:$A$302,0)),""))</f>
        <v/>
      </c>
      <c r="G669" s="12" t="str">
        <f aca="false">IF($D669="","",IFERROR(INDEX(품목목록!$D$3:$D$302,MATCH($D669,품목목록!$A$3:$A$302,0)),""))</f>
        <v/>
      </c>
      <c r="H669" s="12" t="str">
        <f aca="false">IF($D669="","",IFERROR(INDEX(품목목록!$E$3:$E$302,MATCH($D669,품목목록!$A$3:$A$302,0)),""))</f>
        <v/>
      </c>
      <c r="I669" s="14"/>
      <c r="J669" s="10"/>
      <c r="K669" s="10"/>
      <c r="L669" s="10"/>
      <c r="M669" s="15" t="str">
        <f aca="false">IF($A669="","",SUMIFS(처리내역!$E$3:$E$1502,처리내역!$B$3:$B$1502,$A669))</f>
        <v/>
      </c>
      <c r="N669" s="15" t="str">
        <f aca="false">IF($A669="","",IF($I669="","",$I669-$M669))</f>
        <v/>
      </c>
      <c r="O669" s="12" t="str">
        <f aca="false">IF($A669="","",IF($I669="","",IF($M669=0,"미처리",IF($N669&lt;=0,"완료","부분처리"))))</f>
        <v/>
      </c>
    </row>
    <row r="670" customFormat="false" ht="15" hidden="false" customHeight="true" outlineLevel="0" collapsed="false">
      <c r="A670" s="12" t="str">
        <f aca="false">IF($B670="","",TEXT($B670,"yymm")&amp;"-"&amp;TEXT(COUNTIFS($B$3:$B670,"&gt;="&amp;DATE(YEAR($B670),MONTH($B670),1),$B$3:$B670,"&lt;="&amp;EOMONTH($B670,0)),"000"))</f>
        <v/>
      </c>
      <c r="B670" s="13"/>
      <c r="C670" s="10"/>
      <c r="D670" s="10"/>
      <c r="E670" s="12" t="str">
        <f aca="false">IF($D670="","",IFERROR(INDEX(품목목록!$B$3:$B$302,MATCH($D670,품목목록!$A$3:$A$302,0)),"미등록품번"))</f>
        <v/>
      </c>
      <c r="F670" s="12" t="str">
        <f aca="false">IF($D670="","",IFERROR(INDEX(품목목록!$C$3:$C$302,MATCH($D670,품목목록!$A$3:$A$302,0)),""))</f>
        <v/>
      </c>
      <c r="G670" s="12" t="str">
        <f aca="false">IF($D670="","",IFERROR(INDEX(품목목록!$D$3:$D$302,MATCH($D670,품목목록!$A$3:$A$302,0)),""))</f>
        <v/>
      </c>
      <c r="H670" s="12" t="str">
        <f aca="false">IF($D670="","",IFERROR(INDEX(품목목록!$E$3:$E$302,MATCH($D670,품목목록!$A$3:$A$302,0)),""))</f>
        <v/>
      </c>
      <c r="I670" s="14"/>
      <c r="J670" s="10"/>
      <c r="K670" s="10"/>
      <c r="L670" s="10"/>
      <c r="M670" s="15" t="str">
        <f aca="false">IF($A670="","",SUMIFS(처리내역!$E$3:$E$1502,처리내역!$B$3:$B$1502,$A670))</f>
        <v/>
      </c>
      <c r="N670" s="15" t="str">
        <f aca="false">IF($A670="","",IF($I670="","",$I670-$M670))</f>
        <v/>
      </c>
      <c r="O670" s="12" t="str">
        <f aca="false">IF($A670="","",IF($I670="","",IF($M670=0,"미처리",IF($N670&lt;=0,"완료","부분처리"))))</f>
        <v/>
      </c>
    </row>
    <row r="671" customFormat="false" ht="15" hidden="false" customHeight="true" outlineLevel="0" collapsed="false">
      <c r="A671" s="12" t="str">
        <f aca="false">IF($B671="","",TEXT($B671,"yymm")&amp;"-"&amp;TEXT(COUNTIFS($B$3:$B671,"&gt;="&amp;DATE(YEAR($B671),MONTH($B671),1),$B$3:$B671,"&lt;="&amp;EOMONTH($B671,0)),"000"))</f>
        <v/>
      </c>
      <c r="B671" s="13"/>
      <c r="C671" s="10"/>
      <c r="D671" s="10"/>
      <c r="E671" s="12" t="str">
        <f aca="false">IF($D671="","",IFERROR(INDEX(품목목록!$B$3:$B$302,MATCH($D671,품목목록!$A$3:$A$302,0)),"미등록품번"))</f>
        <v/>
      </c>
      <c r="F671" s="12" t="str">
        <f aca="false">IF($D671="","",IFERROR(INDEX(품목목록!$C$3:$C$302,MATCH($D671,품목목록!$A$3:$A$302,0)),""))</f>
        <v/>
      </c>
      <c r="G671" s="12" t="str">
        <f aca="false">IF($D671="","",IFERROR(INDEX(품목목록!$D$3:$D$302,MATCH($D671,품목목록!$A$3:$A$302,0)),""))</f>
        <v/>
      </c>
      <c r="H671" s="12" t="str">
        <f aca="false">IF($D671="","",IFERROR(INDEX(품목목록!$E$3:$E$302,MATCH($D671,품목목록!$A$3:$A$302,0)),""))</f>
        <v/>
      </c>
      <c r="I671" s="14"/>
      <c r="J671" s="10"/>
      <c r="K671" s="10"/>
      <c r="L671" s="10"/>
      <c r="M671" s="15" t="str">
        <f aca="false">IF($A671="","",SUMIFS(처리내역!$E$3:$E$1502,처리내역!$B$3:$B$1502,$A671))</f>
        <v/>
      </c>
      <c r="N671" s="15" t="str">
        <f aca="false">IF($A671="","",IF($I671="","",$I671-$M671))</f>
        <v/>
      </c>
      <c r="O671" s="12" t="str">
        <f aca="false">IF($A671="","",IF($I671="","",IF($M671=0,"미처리",IF($N671&lt;=0,"완료","부분처리"))))</f>
        <v/>
      </c>
    </row>
    <row r="672" customFormat="false" ht="15" hidden="false" customHeight="true" outlineLevel="0" collapsed="false">
      <c r="A672" s="12" t="str">
        <f aca="false">IF($B672="","",TEXT($B672,"yymm")&amp;"-"&amp;TEXT(COUNTIFS($B$3:$B672,"&gt;="&amp;DATE(YEAR($B672),MONTH($B672),1),$B$3:$B672,"&lt;="&amp;EOMONTH($B672,0)),"000"))</f>
        <v/>
      </c>
      <c r="B672" s="13"/>
      <c r="C672" s="10"/>
      <c r="D672" s="10"/>
      <c r="E672" s="12" t="str">
        <f aca="false">IF($D672="","",IFERROR(INDEX(품목목록!$B$3:$B$302,MATCH($D672,품목목록!$A$3:$A$302,0)),"미등록품번"))</f>
        <v/>
      </c>
      <c r="F672" s="12" t="str">
        <f aca="false">IF($D672="","",IFERROR(INDEX(품목목록!$C$3:$C$302,MATCH($D672,품목목록!$A$3:$A$302,0)),""))</f>
        <v/>
      </c>
      <c r="G672" s="12" t="str">
        <f aca="false">IF($D672="","",IFERROR(INDEX(품목목록!$D$3:$D$302,MATCH($D672,품목목록!$A$3:$A$302,0)),""))</f>
        <v/>
      </c>
      <c r="H672" s="12" t="str">
        <f aca="false">IF($D672="","",IFERROR(INDEX(품목목록!$E$3:$E$302,MATCH($D672,품목목록!$A$3:$A$302,0)),""))</f>
        <v/>
      </c>
      <c r="I672" s="14"/>
      <c r="J672" s="10"/>
      <c r="K672" s="10"/>
      <c r="L672" s="10"/>
      <c r="M672" s="15" t="str">
        <f aca="false">IF($A672="","",SUMIFS(처리내역!$E$3:$E$1502,처리내역!$B$3:$B$1502,$A672))</f>
        <v/>
      </c>
      <c r="N672" s="15" t="str">
        <f aca="false">IF($A672="","",IF($I672="","",$I672-$M672))</f>
        <v/>
      </c>
      <c r="O672" s="12" t="str">
        <f aca="false">IF($A672="","",IF($I672="","",IF($M672=0,"미처리",IF($N672&lt;=0,"완료","부분처리"))))</f>
        <v/>
      </c>
    </row>
    <row r="673" customFormat="false" ht="15" hidden="false" customHeight="true" outlineLevel="0" collapsed="false">
      <c r="A673" s="12" t="str">
        <f aca="false">IF($B673="","",TEXT($B673,"yymm")&amp;"-"&amp;TEXT(COUNTIFS($B$3:$B673,"&gt;="&amp;DATE(YEAR($B673),MONTH($B673),1),$B$3:$B673,"&lt;="&amp;EOMONTH($B673,0)),"000"))</f>
        <v/>
      </c>
      <c r="B673" s="13"/>
      <c r="C673" s="10"/>
      <c r="D673" s="10"/>
      <c r="E673" s="12" t="str">
        <f aca="false">IF($D673="","",IFERROR(INDEX(품목목록!$B$3:$B$302,MATCH($D673,품목목록!$A$3:$A$302,0)),"미등록품번"))</f>
        <v/>
      </c>
      <c r="F673" s="12" t="str">
        <f aca="false">IF($D673="","",IFERROR(INDEX(품목목록!$C$3:$C$302,MATCH($D673,품목목록!$A$3:$A$302,0)),""))</f>
        <v/>
      </c>
      <c r="G673" s="12" t="str">
        <f aca="false">IF($D673="","",IFERROR(INDEX(품목목록!$D$3:$D$302,MATCH($D673,품목목록!$A$3:$A$302,0)),""))</f>
        <v/>
      </c>
      <c r="H673" s="12" t="str">
        <f aca="false">IF($D673="","",IFERROR(INDEX(품목목록!$E$3:$E$302,MATCH($D673,품목목록!$A$3:$A$302,0)),""))</f>
        <v/>
      </c>
      <c r="I673" s="14"/>
      <c r="J673" s="10"/>
      <c r="K673" s="10"/>
      <c r="L673" s="10"/>
      <c r="M673" s="15" t="str">
        <f aca="false">IF($A673="","",SUMIFS(처리내역!$E$3:$E$1502,처리내역!$B$3:$B$1502,$A673))</f>
        <v/>
      </c>
      <c r="N673" s="15" t="str">
        <f aca="false">IF($A673="","",IF($I673="","",$I673-$M673))</f>
        <v/>
      </c>
      <c r="O673" s="12" t="str">
        <f aca="false">IF($A673="","",IF($I673="","",IF($M673=0,"미처리",IF($N673&lt;=0,"완료","부분처리"))))</f>
        <v/>
      </c>
    </row>
    <row r="674" customFormat="false" ht="15" hidden="false" customHeight="true" outlineLevel="0" collapsed="false">
      <c r="A674" s="12" t="str">
        <f aca="false">IF($B674="","",TEXT($B674,"yymm")&amp;"-"&amp;TEXT(COUNTIFS($B$3:$B674,"&gt;="&amp;DATE(YEAR($B674),MONTH($B674),1),$B$3:$B674,"&lt;="&amp;EOMONTH($B674,0)),"000"))</f>
        <v/>
      </c>
      <c r="B674" s="13"/>
      <c r="C674" s="10"/>
      <c r="D674" s="10"/>
      <c r="E674" s="12" t="str">
        <f aca="false">IF($D674="","",IFERROR(INDEX(품목목록!$B$3:$B$302,MATCH($D674,품목목록!$A$3:$A$302,0)),"미등록품번"))</f>
        <v/>
      </c>
      <c r="F674" s="12" t="str">
        <f aca="false">IF($D674="","",IFERROR(INDEX(품목목록!$C$3:$C$302,MATCH($D674,품목목록!$A$3:$A$302,0)),""))</f>
        <v/>
      </c>
      <c r="G674" s="12" t="str">
        <f aca="false">IF($D674="","",IFERROR(INDEX(품목목록!$D$3:$D$302,MATCH($D674,품목목록!$A$3:$A$302,0)),""))</f>
        <v/>
      </c>
      <c r="H674" s="12" t="str">
        <f aca="false">IF($D674="","",IFERROR(INDEX(품목목록!$E$3:$E$302,MATCH($D674,품목목록!$A$3:$A$302,0)),""))</f>
        <v/>
      </c>
      <c r="I674" s="14"/>
      <c r="J674" s="10"/>
      <c r="K674" s="10"/>
      <c r="L674" s="10"/>
      <c r="M674" s="15" t="str">
        <f aca="false">IF($A674="","",SUMIFS(처리내역!$E$3:$E$1502,처리내역!$B$3:$B$1502,$A674))</f>
        <v/>
      </c>
      <c r="N674" s="15" t="str">
        <f aca="false">IF($A674="","",IF($I674="","",$I674-$M674))</f>
        <v/>
      </c>
      <c r="O674" s="12" t="str">
        <f aca="false">IF($A674="","",IF($I674="","",IF($M674=0,"미처리",IF($N674&lt;=0,"완료","부분처리"))))</f>
        <v/>
      </c>
    </row>
    <row r="675" customFormat="false" ht="15" hidden="false" customHeight="true" outlineLevel="0" collapsed="false">
      <c r="A675" s="12" t="str">
        <f aca="false">IF($B675="","",TEXT($B675,"yymm")&amp;"-"&amp;TEXT(COUNTIFS($B$3:$B675,"&gt;="&amp;DATE(YEAR($B675),MONTH($B675),1),$B$3:$B675,"&lt;="&amp;EOMONTH($B675,0)),"000"))</f>
        <v/>
      </c>
      <c r="B675" s="13"/>
      <c r="C675" s="10"/>
      <c r="D675" s="10"/>
      <c r="E675" s="12" t="str">
        <f aca="false">IF($D675="","",IFERROR(INDEX(품목목록!$B$3:$B$302,MATCH($D675,품목목록!$A$3:$A$302,0)),"미등록품번"))</f>
        <v/>
      </c>
      <c r="F675" s="12" t="str">
        <f aca="false">IF($D675="","",IFERROR(INDEX(품목목록!$C$3:$C$302,MATCH($D675,품목목록!$A$3:$A$302,0)),""))</f>
        <v/>
      </c>
      <c r="G675" s="12" t="str">
        <f aca="false">IF($D675="","",IFERROR(INDEX(품목목록!$D$3:$D$302,MATCH($D675,품목목록!$A$3:$A$302,0)),""))</f>
        <v/>
      </c>
      <c r="H675" s="12" t="str">
        <f aca="false">IF($D675="","",IFERROR(INDEX(품목목록!$E$3:$E$302,MATCH($D675,품목목록!$A$3:$A$302,0)),""))</f>
        <v/>
      </c>
      <c r="I675" s="14"/>
      <c r="J675" s="10"/>
      <c r="K675" s="10"/>
      <c r="L675" s="10"/>
      <c r="M675" s="15" t="str">
        <f aca="false">IF($A675="","",SUMIFS(처리내역!$E$3:$E$1502,처리내역!$B$3:$B$1502,$A675))</f>
        <v/>
      </c>
      <c r="N675" s="15" t="str">
        <f aca="false">IF($A675="","",IF($I675="","",$I675-$M675))</f>
        <v/>
      </c>
      <c r="O675" s="12" t="str">
        <f aca="false">IF($A675="","",IF($I675="","",IF($M675=0,"미처리",IF($N675&lt;=0,"완료","부분처리"))))</f>
        <v/>
      </c>
    </row>
    <row r="676" customFormat="false" ht="15" hidden="false" customHeight="true" outlineLevel="0" collapsed="false">
      <c r="A676" s="12" t="str">
        <f aca="false">IF($B676="","",TEXT($B676,"yymm")&amp;"-"&amp;TEXT(COUNTIFS($B$3:$B676,"&gt;="&amp;DATE(YEAR($B676),MONTH($B676),1),$B$3:$B676,"&lt;="&amp;EOMONTH($B676,0)),"000"))</f>
        <v/>
      </c>
      <c r="B676" s="13"/>
      <c r="C676" s="10"/>
      <c r="D676" s="10"/>
      <c r="E676" s="12" t="str">
        <f aca="false">IF($D676="","",IFERROR(INDEX(품목목록!$B$3:$B$302,MATCH($D676,품목목록!$A$3:$A$302,0)),"미등록품번"))</f>
        <v/>
      </c>
      <c r="F676" s="12" t="str">
        <f aca="false">IF($D676="","",IFERROR(INDEX(품목목록!$C$3:$C$302,MATCH($D676,품목목록!$A$3:$A$302,0)),""))</f>
        <v/>
      </c>
      <c r="G676" s="12" t="str">
        <f aca="false">IF($D676="","",IFERROR(INDEX(품목목록!$D$3:$D$302,MATCH($D676,품목목록!$A$3:$A$302,0)),""))</f>
        <v/>
      </c>
      <c r="H676" s="12" t="str">
        <f aca="false">IF($D676="","",IFERROR(INDEX(품목목록!$E$3:$E$302,MATCH($D676,품목목록!$A$3:$A$302,0)),""))</f>
        <v/>
      </c>
      <c r="I676" s="14"/>
      <c r="J676" s="10"/>
      <c r="K676" s="10"/>
      <c r="L676" s="10"/>
      <c r="M676" s="15" t="str">
        <f aca="false">IF($A676="","",SUMIFS(처리내역!$E$3:$E$1502,처리내역!$B$3:$B$1502,$A676))</f>
        <v/>
      </c>
      <c r="N676" s="15" t="str">
        <f aca="false">IF($A676="","",IF($I676="","",$I676-$M676))</f>
        <v/>
      </c>
      <c r="O676" s="12" t="str">
        <f aca="false">IF($A676="","",IF($I676="","",IF($M676=0,"미처리",IF($N676&lt;=0,"완료","부분처리"))))</f>
        <v/>
      </c>
    </row>
    <row r="677" customFormat="false" ht="15" hidden="false" customHeight="true" outlineLevel="0" collapsed="false">
      <c r="A677" s="12" t="str">
        <f aca="false">IF($B677="","",TEXT($B677,"yymm")&amp;"-"&amp;TEXT(COUNTIFS($B$3:$B677,"&gt;="&amp;DATE(YEAR($B677),MONTH($B677),1),$B$3:$B677,"&lt;="&amp;EOMONTH($B677,0)),"000"))</f>
        <v/>
      </c>
      <c r="B677" s="13"/>
      <c r="C677" s="10"/>
      <c r="D677" s="10"/>
      <c r="E677" s="12" t="str">
        <f aca="false">IF($D677="","",IFERROR(INDEX(품목목록!$B$3:$B$302,MATCH($D677,품목목록!$A$3:$A$302,0)),"미등록품번"))</f>
        <v/>
      </c>
      <c r="F677" s="12" t="str">
        <f aca="false">IF($D677="","",IFERROR(INDEX(품목목록!$C$3:$C$302,MATCH($D677,품목목록!$A$3:$A$302,0)),""))</f>
        <v/>
      </c>
      <c r="G677" s="12" t="str">
        <f aca="false">IF($D677="","",IFERROR(INDEX(품목목록!$D$3:$D$302,MATCH($D677,품목목록!$A$3:$A$302,0)),""))</f>
        <v/>
      </c>
      <c r="H677" s="12" t="str">
        <f aca="false">IF($D677="","",IFERROR(INDEX(품목목록!$E$3:$E$302,MATCH($D677,품목목록!$A$3:$A$302,0)),""))</f>
        <v/>
      </c>
      <c r="I677" s="14"/>
      <c r="J677" s="10"/>
      <c r="K677" s="10"/>
      <c r="L677" s="10"/>
      <c r="M677" s="15" t="str">
        <f aca="false">IF($A677="","",SUMIFS(처리내역!$E$3:$E$1502,처리내역!$B$3:$B$1502,$A677))</f>
        <v/>
      </c>
      <c r="N677" s="15" t="str">
        <f aca="false">IF($A677="","",IF($I677="","",$I677-$M677))</f>
        <v/>
      </c>
      <c r="O677" s="12" t="str">
        <f aca="false">IF($A677="","",IF($I677="","",IF($M677=0,"미처리",IF($N677&lt;=0,"완료","부분처리"))))</f>
        <v/>
      </c>
    </row>
    <row r="678" customFormat="false" ht="15" hidden="false" customHeight="true" outlineLevel="0" collapsed="false">
      <c r="A678" s="12" t="str">
        <f aca="false">IF($B678="","",TEXT($B678,"yymm")&amp;"-"&amp;TEXT(COUNTIFS($B$3:$B678,"&gt;="&amp;DATE(YEAR($B678),MONTH($B678),1),$B$3:$B678,"&lt;="&amp;EOMONTH($B678,0)),"000"))</f>
        <v/>
      </c>
      <c r="B678" s="13"/>
      <c r="C678" s="10"/>
      <c r="D678" s="10"/>
      <c r="E678" s="12" t="str">
        <f aca="false">IF($D678="","",IFERROR(INDEX(품목목록!$B$3:$B$302,MATCH($D678,품목목록!$A$3:$A$302,0)),"미등록품번"))</f>
        <v/>
      </c>
      <c r="F678" s="12" t="str">
        <f aca="false">IF($D678="","",IFERROR(INDEX(품목목록!$C$3:$C$302,MATCH($D678,품목목록!$A$3:$A$302,0)),""))</f>
        <v/>
      </c>
      <c r="G678" s="12" t="str">
        <f aca="false">IF($D678="","",IFERROR(INDEX(품목목록!$D$3:$D$302,MATCH($D678,품목목록!$A$3:$A$302,0)),""))</f>
        <v/>
      </c>
      <c r="H678" s="12" t="str">
        <f aca="false">IF($D678="","",IFERROR(INDEX(품목목록!$E$3:$E$302,MATCH($D678,품목목록!$A$3:$A$302,0)),""))</f>
        <v/>
      </c>
      <c r="I678" s="14"/>
      <c r="J678" s="10"/>
      <c r="K678" s="10"/>
      <c r="L678" s="10"/>
      <c r="M678" s="15" t="str">
        <f aca="false">IF($A678="","",SUMIFS(처리내역!$E$3:$E$1502,처리내역!$B$3:$B$1502,$A678))</f>
        <v/>
      </c>
      <c r="N678" s="15" t="str">
        <f aca="false">IF($A678="","",IF($I678="","",$I678-$M678))</f>
        <v/>
      </c>
      <c r="O678" s="12" t="str">
        <f aca="false">IF($A678="","",IF($I678="","",IF($M678=0,"미처리",IF($N678&lt;=0,"완료","부분처리"))))</f>
        <v/>
      </c>
    </row>
    <row r="679" customFormat="false" ht="15" hidden="false" customHeight="true" outlineLevel="0" collapsed="false">
      <c r="A679" s="12" t="str">
        <f aca="false">IF($B679="","",TEXT($B679,"yymm")&amp;"-"&amp;TEXT(COUNTIFS($B$3:$B679,"&gt;="&amp;DATE(YEAR($B679),MONTH($B679),1),$B$3:$B679,"&lt;="&amp;EOMONTH($B679,0)),"000"))</f>
        <v/>
      </c>
      <c r="B679" s="13"/>
      <c r="C679" s="10"/>
      <c r="D679" s="10"/>
      <c r="E679" s="12" t="str">
        <f aca="false">IF($D679="","",IFERROR(INDEX(품목목록!$B$3:$B$302,MATCH($D679,품목목록!$A$3:$A$302,0)),"미등록품번"))</f>
        <v/>
      </c>
      <c r="F679" s="12" t="str">
        <f aca="false">IF($D679="","",IFERROR(INDEX(품목목록!$C$3:$C$302,MATCH($D679,품목목록!$A$3:$A$302,0)),""))</f>
        <v/>
      </c>
      <c r="G679" s="12" t="str">
        <f aca="false">IF($D679="","",IFERROR(INDEX(품목목록!$D$3:$D$302,MATCH($D679,품목목록!$A$3:$A$302,0)),""))</f>
        <v/>
      </c>
      <c r="H679" s="12" t="str">
        <f aca="false">IF($D679="","",IFERROR(INDEX(품목목록!$E$3:$E$302,MATCH($D679,품목목록!$A$3:$A$302,0)),""))</f>
        <v/>
      </c>
      <c r="I679" s="14"/>
      <c r="J679" s="10"/>
      <c r="K679" s="10"/>
      <c r="L679" s="10"/>
      <c r="M679" s="15" t="str">
        <f aca="false">IF($A679="","",SUMIFS(처리내역!$E$3:$E$1502,처리내역!$B$3:$B$1502,$A679))</f>
        <v/>
      </c>
      <c r="N679" s="15" t="str">
        <f aca="false">IF($A679="","",IF($I679="","",$I679-$M679))</f>
        <v/>
      </c>
      <c r="O679" s="12" t="str">
        <f aca="false">IF($A679="","",IF($I679="","",IF($M679=0,"미처리",IF($N679&lt;=0,"완료","부분처리"))))</f>
        <v/>
      </c>
    </row>
    <row r="680" customFormat="false" ht="15" hidden="false" customHeight="true" outlineLevel="0" collapsed="false">
      <c r="A680" s="12" t="str">
        <f aca="false">IF($B680="","",TEXT($B680,"yymm")&amp;"-"&amp;TEXT(COUNTIFS($B$3:$B680,"&gt;="&amp;DATE(YEAR($B680),MONTH($B680),1),$B$3:$B680,"&lt;="&amp;EOMONTH($B680,0)),"000"))</f>
        <v/>
      </c>
      <c r="B680" s="13"/>
      <c r="C680" s="10"/>
      <c r="D680" s="10"/>
      <c r="E680" s="12" t="str">
        <f aca="false">IF($D680="","",IFERROR(INDEX(품목목록!$B$3:$B$302,MATCH($D680,품목목록!$A$3:$A$302,0)),"미등록품번"))</f>
        <v/>
      </c>
      <c r="F680" s="12" t="str">
        <f aca="false">IF($D680="","",IFERROR(INDEX(품목목록!$C$3:$C$302,MATCH($D680,품목목록!$A$3:$A$302,0)),""))</f>
        <v/>
      </c>
      <c r="G680" s="12" t="str">
        <f aca="false">IF($D680="","",IFERROR(INDEX(품목목록!$D$3:$D$302,MATCH($D680,품목목록!$A$3:$A$302,0)),""))</f>
        <v/>
      </c>
      <c r="H680" s="12" t="str">
        <f aca="false">IF($D680="","",IFERROR(INDEX(품목목록!$E$3:$E$302,MATCH($D680,품목목록!$A$3:$A$302,0)),""))</f>
        <v/>
      </c>
      <c r="I680" s="14"/>
      <c r="J680" s="10"/>
      <c r="K680" s="10"/>
      <c r="L680" s="10"/>
      <c r="M680" s="15" t="str">
        <f aca="false">IF($A680="","",SUMIFS(처리내역!$E$3:$E$1502,처리내역!$B$3:$B$1502,$A680))</f>
        <v/>
      </c>
      <c r="N680" s="15" t="str">
        <f aca="false">IF($A680="","",IF($I680="","",$I680-$M680))</f>
        <v/>
      </c>
      <c r="O680" s="12" t="str">
        <f aca="false">IF($A680="","",IF($I680="","",IF($M680=0,"미처리",IF($N680&lt;=0,"완료","부분처리"))))</f>
        <v/>
      </c>
    </row>
    <row r="681" customFormat="false" ht="15" hidden="false" customHeight="true" outlineLevel="0" collapsed="false">
      <c r="A681" s="12" t="str">
        <f aca="false">IF($B681="","",TEXT($B681,"yymm")&amp;"-"&amp;TEXT(COUNTIFS($B$3:$B681,"&gt;="&amp;DATE(YEAR($B681),MONTH($B681),1),$B$3:$B681,"&lt;="&amp;EOMONTH($B681,0)),"000"))</f>
        <v/>
      </c>
      <c r="B681" s="13"/>
      <c r="C681" s="10"/>
      <c r="D681" s="10"/>
      <c r="E681" s="12" t="str">
        <f aca="false">IF($D681="","",IFERROR(INDEX(품목목록!$B$3:$B$302,MATCH($D681,품목목록!$A$3:$A$302,0)),"미등록품번"))</f>
        <v/>
      </c>
      <c r="F681" s="12" t="str">
        <f aca="false">IF($D681="","",IFERROR(INDEX(품목목록!$C$3:$C$302,MATCH($D681,품목목록!$A$3:$A$302,0)),""))</f>
        <v/>
      </c>
      <c r="G681" s="12" t="str">
        <f aca="false">IF($D681="","",IFERROR(INDEX(품목목록!$D$3:$D$302,MATCH($D681,품목목록!$A$3:$A$302,0)),""))</f>
        <v/>
      </c>
      <c r="H681" s="12" t="str">
        <f aca="false">IF($D681="","",IFERROR(INDEX(품목목록!$E$3:$E$302,MATCH($D681,품목목록!$A$3:$A$302,0)),""))</f>
        <v/>
      </c>
      <c r="I681" s="14"/>
      <c r="J681" s="10"/>
      <c r="K681" s="10"/>
      <c r="L681" s="10"/>
      <c r="M681" s="15" t="str">
        <f aca="false">IF($A681="","",SUMIFS(처리내역!$E$3:$E$1502,처리내역!$B$3:$B$1502,$A681))</f>
        <v/>
      </c>
      <c r="N681" s="15" t="str">
        <f aca="false">IF($A681="","",IF($I681="","",$I681-$M681))</f>
        <v/>
      </c>
      <c r="O681" s="12" t="str">
        <f aca="false">IF($A681="","",IF($I681="","",IF($M681=0,"미처리",IF($N681&lt;=0,"완료","부분처리"))))</f>
        <v/>
      </c>
    </row>
    <row r="682" customFormat="false" ht="15" hidden="false" customHeight="true" outlineLevel="0" collapsed="false">
      <c r="A682" s="12" t="str">
        <f aca="false">IF($B682="","",TEXT($B682,"yymm")&amp;"-"&amp;TEXT(COUNTIFS($B$3:$B682,"&gt;="&amp;DATE(YEAR($B682),MONTH($B682),1),$B$3:$B682,"&lt;="&amp;EOMONTH($B682,0)),"000"))</f>
        <v/>
      </c>
      <c r="B682" s="13"/>
      <c r="C682" s="10"/>
      <c r="D682" s="10"/>
      <c r="E682" s="12" t="str">
        <f aca="false">IF($D682="","",IFERROR(INDEX(품목목록!$B$3:$B$302,MATCH($D682,품목목록!$A$3:$A$302,0)),"미등록품번"))</f>
        <v/>
      </c>
      <c r="F682" s="12" t="str">
        <f aca="false">IF($D682="","",IFERROR(INDEX(품목목록!$C$3:$C$302,MATCH($D682,품목목록!$A$3:$A$302,0)),""))</f>
        <v/>
      </c>
      <c r="G682" s="12" t="str">
        <f aca="false">IF($D682="","",IFERROR(INDEX(품목목록!$D$3:$D$302,MATCH($D682,품목목록!$A$3:$A$302,0)),""))</f>
        <v/>
      </c>
      <c r="H682" s="12" t="str">
        <f aca="false">IF($D682="","",IFERROR(INDEX(품목목록!$E$3:$E$302,MATCH($D682,품목목록!$A$3:$A$302,0)),""))</f>
        <v/>
      </c>
      <c r="I682" s="14"/>
      <c r="J682" s="10"/>
      <c r="K682" s="10"/>
      <c r="L682" s="10"/>
      <c r="M682" s="15" t="str">
        <f aca="false">IF($A682="","",SUMIFS(처리내역!$E$3:$E$1502,처리내역!$B$3:$B$1502,$A682))</f>
        <v/>
      </c>
      <c r="N682" s="15" t="str">
        <f aca="false">IF($A682="","",IF($I682="","",$I682-$M682))</f>
        <v/>
      </c>
      <c r="O682" s="12" t="str">
        <f aca="false">IF($A682="","",IF($I682="","",IF($M682=0,"미처리",IF($N682&lt;=0,"완료","부분처리"))))</f>
        <v/>
      </c>
    </row>
    <row r="683" customFormat="false" ht="15" hidden="false" customHeight="true" outlineLevel="0" collapsed="false">
      <c r="A683" s="12" t="str">
        <f aca="false">IF($B683="","",TEXT($B683,"yymm")&amp;"-"&amp;TEXT(COUNTIFS($B$3:$B683,"&gt;="&amp;DATE(YEAR($B683),MONTH($B683),1),$B$3:$B683,"&lt;="&amp;EOMONTH($B683,0)),"000"))</f>
        <v/>
      </c>
      <c r="B683" s="13"/>
      <c r="C683" s="10"/>
      <c r="D683" s="10"/>
      <c r="E683" s="12" t="str">
        <f aca="false">IF($D683="","",IFERROR(INDEX(품목목록!$B$3:$B$302,MATCH($D683,품목목록!$A$3:$A$302,0)),"미등록품번"))</f>
        <v/>
      </c>
      <c r="F683" s="12" t="str">
        <f aca="false">IF($D683="","",IFERROR(INDEX(품목목록!$C$3:$C$302,MATCH($D683,품목목록!$A$3:$A$302,0)),""))</f>
        <v/>
      </c>
      <c r="G683" s="12" t="str">
        <f aca="false">IF($D683="","",IFERROR(INDEX(품목목록!$D$3:$D$302,MATCH($D683,품목목록!$A$3:$A$302,0)),""))</f>
        <v/>
      </c>
      <c r="H683" s="12" t="str">
        <f aca="false">IF($D683="","",IFERROR(INDEX(품목목록!$E$3:$E$302,MATCH($D683,품목목록!$A$3:$A$302,0)),""))</f>
        <v/>
      </c>
      <c r="I683" s="14"/>
      <c r="J683" s="10"/>
      <c r="K683" s="10"/>
      <c r="L683" s="10"/>
      <c r="M683" s="15" t="str">
        <f aca="false">IF($A683="","",SUMIFS(처리내역!$E$3:$E$1502,처리내역!$B$3:$B$1502,$A683))</f>
        <v/>
      </c>
      <c r="N683" s="15" t="str">
        <f aca="false">IF($A683="","",IF($I683="","",$I683-$M683))</f>
        <v/>
      </c>
      <c r="O683" s="12" t="str">
        <f aca="false">IF($A683="","",IF($I683="","",IF($M683=0,"미처리",IF($N683&lt;=0,"완료","부분처리"))))</f>
        <v/>
      </c>
    </row>
    <row r="684" customFormat="false" ht="15" hidden="false" customHeight="true" outlineLevel="0" collapsed="false">
      <c r="A684" s="12" t="str">
        <f aca="false">IF($B684="","",TEXT($B684,"yymm")&amp;"-"&amp;TEXT(COUNTIFS($B$3:$B684,"&gt;="&amp;DATE(YEAR($B684),MONTH($B684),1),$B$3:$B684,"&lt;="&amp;EOMONTH($B684,0)),"000"))</f>
        <v/>
      </c>
      <c r="B684" s="13"/>
      <c r="C684" s="10"/>
      <c r="D684" s="10"/>
      <c r="E684" s="12" t="str">
        <f aca="false">IF($D684="","",IFERROR(INDEX(품목목록!$B$3:$B$302,MATCH($D684,품목목록!$A$3:$A$302,0)),"미등록품번"))</f>
        <v/>
      </c>
      <c r="F684" s="12" t="str">
        <f aca="false">IF($D684="","",IFERROR(INDEX(품목목록!$C$3:$C$302,MATCH($D684,품목목록!$A$3:$A$302,0)),""))</f>
        <v/>
      </c>
      <c r="G684" s="12" t="str">
        <f aca="false">IF($D684="","",IFERROR(INDEX(품목목록!$D$3:$D$302,MATCH($D684,품목목록!$A$3:$A$302,0)),""))</f>
        <v/>
      </c>
      <c r="H684" s="12" t="str">
        <f aca="false">IF($D684="","",IFERROR(INDEX(품목목록!$E$3:$E$302,MATCH($D684,품목목록!$A$3:$A$302,0)),""))</f>
        <v/>
      </c>
      <c r="I684" s="14"/>
      <c r="J684" s="10"/>
      <c r="K684" s="10"/>
      <c r="L684" s="10"/>
      <c r="M684" s="15" t="str">
        <f aca="false">IF($A684="","",SUMIFS(처리내역!$E$3:$E$1502,처리내역!$B$3:$B$1502,$A684))</f>
        <v/>
      </c>
      <c r="N684" s="15" t="str">
        <f aca="false">IF($A684="","",IF($I684="","",$I684-$M684))</f>
        <v/>
      </c>
      <c r="O684" s="12" t="str">
        <f aca="false">IF($A684="","",IF($I684="","",IF($M684=0,"미처리",IF($N684&lt;=0,"완료","부분처리"))))</f>
        <v/>
      </c>
    </row>
    <row r="685" customFormat="false" ht="15" hidden="false" customHeight="true" outlineLevel="0" collapsed="false">
      <c r="A685" s="12" t="str">
        <f aca="false">IF($B685="","",TEXT($B685,"yymm")&amp;"-"&amp;TEXT(COUNTIFS($B$3:$B685,"&gt;="&amp;DATE(YEAR($B685),MONTH($B685),1),$B$3:$B685,"&lt;="&amp;EOMONTH($B685,0)),"000"))</f>
        <v/>
      </c>
      <c r="B685" s="13"/>
      <c r="C685" s="10"/>
      <c r="D685" s="10"/>
      <c r="E685" s="12" t="str">
        <f aca="false">IF($D685="","",IFERROR(INDEX(품목목록!$B$3:$B$302,MATCH($D685,품목목록!$A$3:$A$302,0)),"미등록품번"))</f>
        <v/>
      </c>
      <c r="F685" s="12" t="str">
        <f aca="false">IF($D685="","",IFERROR(INDEX(품목목록!$C$3:$C$302,MATCH($D685,품목목록!$A$3:$A$302,0)),""))</f>
        <v/>
      </c>
      <c r="G685" s="12" t="str">
        <f aca="false">IF($D685="","",IFERROR(INDEX(품목목록!$D$3:$D$302,MATCH($D685,품목목록!$A$3:$A$302,0)),""))</f>
        <v/>
      </c>
      <c r="H685" s="12" t="str">
        <f aca="false">IF($D685="","",IFERROR(INDEX(품목목록!$E$3:$E$302,MATCH($D685,품목목록!$A$3:$A$302,0)),""))</f>
        <v/>
      </c>
      <c r="I685" s="14"/>
      <c r="J685" s="10"/>
      <c r="K685" s="10"/>
      <c r="L685" s="10"/>
      <c r="M685" s="15" t="str">
        <f aca="false">IF($A685="","",SUMIFS(처리내역!$E$3:$E$1502,처리내역!$B$3:$B$1502,$A685))</f>
        <v/>
      </c>
      <c r="N685" s="15" t="str">
        <f aca="false">IF($A685="","",IF($I685="","",$I685-$M685))</f>
        <v/>
      </c>
      <c r="O685" s="12" t="str">
        <f aca="false">IF($A685="","",IF($I685="","",IF($M685=0,"미처리",IF($N685&lt;=0,"완료","부분처리"))))</f>
        <v/>
      </c>
    </row>
    <row r="686" customFormat="false" ht="15" hidden="false" customHeight="true" outlineLevel="0" collapsed="false">
      <c r="A686" s="12" t="str">
        <f aca="false">IF($B686="","",TEXT($B686,"yymm")&amp;"-"&amp;TEXT(COUNTIFS($B$3:$B686,"&gt;="&amp;DATE(YEAR($B686),MONTH($B686),1),$B$3:$B686,"&lt;="&amp;EOMONTH($B686,0)),"000"))</f>
        <v/>
      </c>
      <c r="B686" s="13"/>
      <c r="C686" s="10"/>
      <c r="D686" s="10"/>
      <c r="E686" s="12" t="str">
        <f aca="false">IF($D686="","",IFERROR(INDEX(품목목록!$B$3:$B$302,MATCH($D686,품목목록!$A$3:$A$302,0)),"미등록품번"))</f>
        <v/>
      </c>
      <c r="F686" s="12" t="str">
        <f aca="false">IF($D686="","",IFERROR(INDEX(품목목록!$C$3:$C$302,MATCH($D686,품목목록!$A$3:$A$302,0)),""))</f>
        <v/>
      </c>
      <c r="G686" s="12" t="str">
        <f aca="false">IF($D686="","",IFERROR(INDEX(품목목록!$D$3:$D$302,MATCH($D686,품목목록!$A$3:$A$302,0)),""))</f>
        <v/>
      </c>
      <c r="H686" s="12" t="str">
        <f aca="false">IF($D686="","",IFERROR(INDEX(품목목록!$E$3:$E$302,MATCH($D686,품목목록!$A$3:$A$302,0)),""))</f>
        <v/>
      </c>
      <c r="I686" s="14"/>
      <c r="J686" s="10"/>
      <c r="K686" s="10"/>
      <c r="L686" s="10"/>
      <c r="M686" s="15" t="str">
        <f aca="false">IF($A686="","",SUMIFS(처리내역!$E$3:$E$1502,처리내역!$B$3:$B$1502,$A686))</f>
        <v/>
      </c>
      <c r="N686" s="15" t="str">
        <f aca="false">IF($A686="","",IF($I686="","",$I686-$M686))</f>
        <v/>
      </c>
      <c r="O686" s="12" t="str">
        <f aca="false">IF($A686="","",IF($I686="","",IF($M686=0,"미처리",IF($N686&lt;=0,"완료","부분처리"))))</f>
        <v/>
      </c>
    </row>
    <row r="687" customFormat="false" ht="15" hidden="false" customHeight="true" outlineLevel="0" collapsed="false">
      <c r="A687" s="12" t="str">
        <f aca="false">IF($B687="","",TEXT($B687,"yymm")&amp;"-"&amp;TEXT(COUNTIFS($B$3:$B687,"&gt;="&amp;DATE(YEAR($B687),MONTH($B687),1),$B$3:$B687,"&lt;="&amp;EOMONTH($B687,0)),"000"))</f>
        <v/>
      </c>
      <c r="B687" s="13"/>
      <c r="C687" s="10"/>
      <c r="D687" s="10"/>
      <c r="E687" s="12" t="str">
        <f aca="false">IF($D687="","",IFERROR(INDEX(품목목록!$B$3:$B$302,MATCH($D687,품목목록!$A$3:$A$302,0)),"미등록품번"))</f>
        <v/>
      </c>
      <c r="F687" s="12" t="str">
        <f aca="false">IF($D687="","",IFERROR(INDEX(품목목록!$C$3:$C$302,MATCH($D687,품목목록!$A$3:$A$302,0)),""))</f>
        <v/>
      </c>
      <c r="G687" s="12" t="str">
        <f aca="false">IF($D687="","",IFERROR(INDEX(품목목록!$D$3:$D$302,MATCH($D687,품목목록!$A$3:$A$302,0)),""))</f>
        <v/>
      </c>
      <c r="H687" s="12" t="str">
        <f aca="false">IF($D687="","",IFERROR(INDEX(품목목록!$E$3:$E$302,MATCH($D687,품목목록!$A$3:$A$302,0)),""))</f>
        <v/>
      </c>
      <c r="I687" s="14"/>
      <c r="J687" s="10"/>
      <c r="K687" s="10"/>
      <c r="L687" s="10"/>
      <c r="M687" s="15" t="str">
        <f aca="false">IF($A687="","",SUMIFS(처리내역!$E$3:$E$1502,처리내역!$B$3:$B$1502,$A687))</f>
        <v/>
      </c>
      <c r="N687" s="15" t="str">
        <f aca="false">IF($A687="","",IF($I687="","",$I687-$M687))</f>
        <v/>
      </c>
      <c r="O687" s="12" t="str">
        <f aca="false">IF($A687="","",IF($I687="","",IF($M687=0,"미처리",IF($N687&lt;=0,"완료","부분처리"))))</f>
        <v/>
      </c>
    </row>
    <row r="688" customFormat="false" ht="15" hidden="false" customHeight="true" outlineLevel="0" collapsed="false">
      <c r="A688" s="12" t="str">
        <f aca="false">IF($B688="","",TEXT($B688,"yymm")&amp;"-"&amp;TEXT(COUNTIFS($B$3:$B688,"&gt;="&amp;DATE(YEAR($B688),MONTH($B688),1),$B$3:$B688,"&lt;="&amp;EOMONTH($B688,0)),"000"))</f>
        <v/>
      </c>
      <c r="B688" s="13"/>
      <c r="C688" s="10"/>
      <c r="D688" s="10"/>
      <c r="E688" s="12" t="str">
        <f aca="false">IF($D688="","",IFERROR(INDEX(품목목록!$B$3:$B$302,MATCH($D688,품목목록!$A$3:$A$302,0)),"미등록품번"))</f>
        <v/>
      </c>
      <c r="F688" s="12" t="str">
        <f aca="false">IF($D688="","",IFERROR(INDEX(품목목록!$C$3:$C$302,MATCH($D688,품목목록!$A$3:$A$302,0)),""))</f>
        <v/>
      </c>
      <c r="G688" s="12" t="str">
        <f aca="false">IF($D688="","",IFERROR(INDEX(품목목록!$D$3:$D$302,MATCH($D688,품목목록!$A$3:$A$302,0)),""))</f>
        <v/>
      </c>
      <c r="H688" s="12" t="str">
        <f aca="false">IF($D688="","",IFERROR(INDEX(품목목록!$E$3:$E$302,MATCH($D688,품목목록!$A$3:$A$302,0)),""))</f>
        <v/>
      </c>
      <c r="I688" s="14"/>
      <c r="J688" s="10"/>
      <c r="K688" s="10"/>
      <c r="L688" s="10"/>
      <c r="M688" s="15" t="str">
        <f aca="false">IF($A688="","",SUMIFS(처리내역!$E$3:$E$1502,처리내역!$B$3:$B$1502,$A688))</f>
        <v/>
      </c>
      <c r="N688" s="15" t="str">
        <f aca="false">IF($A688="","",IF($I688="","",$I688-$M688))</f>
        <v/>
      </c>
      <c r="O688" s="12" t="str">
        <f aca="false">IF($A688="","",IF($I688="","",IF($M688=0,"미처리",IF($N688&lt;=0,"완료","부분처리"))))</f>
        <v/>
      </c>
    </row>
    <row r="689" customFormat="false" ht="15" hidden="false" customHeight="true" outlineLevel="0" collapsed="false">
      <c r="A689" s="12" t="str">
        <f aca="false">IF($B689="","",TEXT($B689,"yymm")&amp;"-"&amp;TEXT(COUNTIFS($B$3:$B689,"&gt;="&amp;DATE(YEAR($B689),MONTH($B689),1),$B$3:$B689,"&lt;="&amp;EOMONTH($B689,0)),"000"))</f>
        <v/>
      </c>
      <c r="B689" s="13"/>
      <c r="C689" s="10"/>
      <c r="D689" s="10"/>
      <c r="E689" s="12" t="str">
        <f aca="false">IF($D689="","",IFERROR(INDEX(품목목록!$B$3:$B$302,MATCH($D689,품목목록!$A$3:$A$302,0)),"미등록품번"))</f>
        <v/>
      </c>
      <c r="F689" s="12" t="str">
        <f aca="false">IF($D689="","",IFERROR(INDEX(품목목록!$C$3:$C$302,MATCH($D689,품목목록!$A$3:$A$302,0)),""))</f>
        <v/>
      </c>
      <c r="G689" s="12" t="str">
        <f aca="false">IF($D689="","",IFERROR(INDEX(품목목록!$D$3:$D$302,MATCH($D689,품목목록!$A$3:$A$302,0)),""))</f>
        <v/>
      </c>
      <c r="H689" s="12" t="str">
        <f aca="false">IF($D689="","",IFERROR(INDEX(품목목록!$E$3:$E$302,MATCH($D689,품목목록!$A$3:$A$302,0)),""))</f>
        <v/>
      </c>
      <c r="I689" s="14"/>
      <c r="J689" s="10"/>
      <c r="K689" s="10"/>
      <c r="L689" s="10"/>
      <c r="M689" s="15" t="str">
        <f aca="false">IF($A689="","",SUMIFS(처리내역!$E$3:$E$1502,처리내역!$B$3:$B$1502,$A689))</f>
        <v/>
      </c>
      <c r="N689" s="15" t="str">
        <f aca="false">IF($A689="","",IF($I689="","",$I689-$M689))</f>
        <v/>
      </c>
      <c r="O689" s="12" t="str">
        <f aca="false">IF($A689="","",IF($I689="","",IF($M689=0,"미처리",IF($N689&lt;=0,"완료","부분처리"))))</f>
        <v/>
      </c>
    </row>
    <row r="690" customFormat="false" ht="15" hidden="false" customHeight="true" outlineLevel="0" collapsed="false">
      <c r="A690" s="12" t="str">
        <f aca="false">IF($B690="","",TEXT($B690,"yymm")&amp;"-"&amp;TEXT(COUNTIFS($B$3:$B690,"&gt;="&amp;DATE(YEAR($B690),MONTH($B690),1),$B$3:$B690,"&lt;="&amp;EOMONTH($B690,0)),"000"))</f>
        <v/>
      </c>
      <c r="B690" s="13"/>
      <c r="C690" s="10"/>
      <c r="D690" s="10"/>
      <c r="E690" s="12" t="str">
        <f aca="false">IF($D690="","",IFERROR(INDEX(품목목록!$B$3:$B$302,MATCH($D690,품목목록!$A$3:$A$302,0)),"미등록품번"))</f>
        <v/>
      </c>
      <c r="F690" s="12" t="str">
        <f aca="false">IF($D690="","",IFERROR(INDEX(품목목록!$C$3:$C$302,MATCH($D690,품목목록!$A$3:$A$302,0)),""))</f>
        <v/>
      </c>
      <c r="G690" s="12" t="str">
        <f aca="false">IF($D690="","",IFERROR(INDEX(품목목록!$D$3:$D$302,MATCH($D690,품목목록!$A$3:$A$302,0)),""))</f>
        <v/>
      </c>
      <c r="H690" s="12" t="str">
        <f aca="false">IF($D690="","",IFERROR(INDEX(품목목록!$E$3:$E$302,MATCH($D690,품목목록!$A$3:$A$302,0)),""))</f>
        <v/>
      </c>
      <c r="I690" s="14"/>
      <c r="J690" s="10"/>
      <c r="K690" s="10"/>
      <c r="L690" s="10"/>
      <c r="M690" s="15" t="str">
        <f aca="false">IF($A690="","",SUMIFS(처리내역!$E$3:$E$1502,처리내역!$B$3:$B$1502,$A690))</f>
        <v/>
      </c>
      <c r="N690" s="15" t="str">
        <f aca="false">IF($A690="","",IF($I690="","",$I690-$M690))</f>
        <v/>
      </c>
      <c r="O690" s="12" t="str">
        <f aca="false">IF($A690="","",IF($I690="","",IF($M690=0,"미처리",IF($N690&lt;=0,"완료","부분처리"))))</f>
        <v/>
      </c>
    </row>
    <row r="691" customFormat="false" ht="15" hidden="false" customHeight="true" outlineLevel="0" collapsed="false">
      <c r="A691" s="12" t="str">
        <f aca="false">IF($B691="","",TEXT($B691,"yymm")&amp;"-"&amp;TEXT(COUNTIFS($B$3:$B691,"&gt;="&amp;DATE(YEAR($B691),MONTH($B691),1),$B$3:$B691,"&lt;="&amp;EOMONTH($B691,0)),"000"))</f>
        <v/>
      </c>
      <c r="B691" s="13"/>
      <c r="C691" s="10"/>
      <c r="D691" s="10"/>
      <c r="E691" s="12" t="str">
        <f aca="false">IF($D691="","",IFERROR(INDEX(품목목록!$B$3:$B$302,MATCH($D691,품목목록!$A$3:$A$302,0)),"미등록품번"))</f>
        <v/>
      </c>
      <c r="F691" s="12" t="str">
        <f aca="false">IF($D691="","",IFERROR(INDEX(품목목록!$C$3:$C$302,MATCH($D691,품목목록!$A$3:$A$302,0)),""))</f>
        <v/>
      </c>
      <c r="G691" s="12" t="str">
        <f aca="false">IF($D691="","",IFERROR(INDEX(품목목록!$D$3:$D$302,MATCH($D691,품목목록!$A$3:$A$302,0)),""))</f>
        <v/>
      </c>
      <c r="H691" s="12" t="str">
        <f aca="false">IF($D691="","",IFERROR(INDEX(품목목록!$E$3:$E$302,MATCH($D691,품목목록!$A$3:$A$302,0)),""))</f>
        <v/>
      </c>
      <c r="I691" s="14"/>
      <c r="J691" s="10"/>
      <c r="K691" s="10"/>
      <c r="L691" s="10"/>
      <c r="M691" s="15" t="str">
        <f aca="false">IF($A691="","",SUMIFS(처리내역!$E$3:$E$1502,처리내역!$B$3:$B$1502,$A691))</f>
        <v/>
      </c>
      <c r="N691" s="15" t="str">
        <f aca="false">IF($A691="","",IF($I691="","",$I691-$M691))</f>
        <v/>
      </c>
      <c r="O691" s="12" t="str">
        <f aca="false">IF($A691="","",IF($I691="","",IF($M691=0,"미처리",IF($N691&lt;=0,"완료","부분처리"))))</f>
        <v/>
      </c>
    </row>
    <row r="692" customFormat="false" ht="15" hidden="false" customHeight="true" outlineLevel="0" collapsed="false">
      <c r="A692" s="12" t="str">
        <f aca="false">IF($B692="","",TEXT($B692,"yymm")&amp;"-"&amp;TEXT(COUNTIFS($B$3:$B692,"&gt;="&amp;DATE(YEAR($B692),MONTH($B692),1),$B$3:$B692,"&lt;="&amp;EOMONTH($B692,0)),"000"))</f>
        <v/>
      </c>
      <c r="B692" s="13"/>
      <c r="C692" s="10"/>
      <c r="D692" s="10"/>
      <c r="E692" s="12" t="str">
        <f aca="false">IF($D692="","",IFERROR(INDEX(품목목록!$B$3:$B$302,MATCH($D692,품목목록!$A$3:$A$302,0)),"미등록품번"))</f>
        <v/>
      </c>
      <c r="F692" s="12" t="str">
        <f aca="false">IF($D692="","",IFERROR(INDEX(품목목록!$C$3:$C$302,MATCH($D692,품목목록!$A$3:$A$302,0)),""))</f>
        <v/>
      </c>
      <c r="G692" s="12" t="str">
        <f aca="false">IF($D692="","",IFERROR(INDEX(품목목록!$D$3:$D$302,MATCH($D692,품목목록!$A$3:$A$302,0)),""))</f>
        <v/>
      </c>
      <c r="H692" s="12" t="str">
        <f aca="false">IF($D692="","",IFERROR(INDEX(품목목록!$E$3:$E$302,MATCH($D692,품목목록!$A$3:$A$302,0)),""))</f>
        <v/>
      </c>
      <c r="I692" s="14"/>
      <c r="J692" s="10"/>
      <c r="K692" s="10"/>
      <c r="L692" s="10"/>
      <c r="M692" s="15" t="str">
        <f aca="false">IF($A692="","",SUMIFS(처리내역!$E$3:$E$1502,처리내역!$B$3:$B$1502,$A692))</f>
        <v/>
      </c>
      <c r="N692" s="15" t="str">
        <f aca="false">IF($A692="","",IF($I692="","",$I692-$M692))</f>
        <v/>
      </c>
      <c r="O692" s="12" t="str">
        <f aca="false">IF($A692="","",IF($I692="","",IF($M692=0,"미처리",IF($N692&lt;=0,"완료","부분처리"))))</f>
        <v/>
      </c>
    </row>
    <row r="693" customFormat="false" ht="15" hidden="false" customHeight="true" outlineLevel="0" collapsed="false">
      <c r="A693" s="12" t="str">
        <f aca="false">IF($B693="","",TEXT($B693,"yymm")&amp;"-"&amp;TEXT(COUNTIFS($B$3:$B693,"&gt;="&amp;DATE(YEAR($B693),MONTH($B693),1),$B$3:$B693,"&lt;="&amp;EOMONTH($B693,0)),"000"))</f>
        <v/>
      </c>
      <c r="B693" s="13"/>
      <c r="C693" s="10"/>
      <c r="D693" s="10"/>
      <c r="E693" s="12" t="str">
        <f aca="false">IF($D693="","",IFERROR(INDEX(품목목록!$B$3:$B$302,MATCH($D693,품목목록!$A$3:$A$302,0)),"미등록품번"))</f>
        <v/>
      </c>
      <c r="F693" s="12" t="str">
        <f aca="false">IF($D693="","",IFERROR(INDEX(품목목록!$C$3:$C$302,MATCH($D693,품목목록!$A$3:$A$302,0)),""))</f>
        <v/>
      </c>
      <c r="G693" s="12" t="str">
        <f aca="false">IF($D693="","",IFERROR(INDEX(품목목록!$D$3:$D$302,MATCH($D693,품목목록!$A$3:$A$302,0)),""))</f>
        <v/>
      </c>
      <c r="H693" s="12" t="str">
        <f aca="false">IF($D693="","",IFERROR(INDEX(품목목록!$E$3:$E$302,MATCH($D693,품목목록!$A$3:$A$302,0)),""))</f>
        <v/>
      </c>
      <c r="I693" s="14"/>
      <c r="J693" s="10"/>
      <c r="K693" s="10"/>
      <c r="L693" s="10"/>
      <c r="M693" s="15" t="str">
        <f aca="false">IF($A693="","",SUMIFS(처리내역!$E$3:$E$1502,처리내역!$B$3:$B$1502,$A693))</f>
        <v/>
      </c>
      <c r="N693" s="15" t="str">
        <f aca="false">IF($A693="","",IF($I693="","",$I693-$M693))</f>
        <v/>
      </c>
      <c r="O693" s="12" t="str">
        <f aca="false">IF($A693="","",IF($I693="","",IF($M693=0,"미처리",IF($N693&lt;=0,"완료","부분처리"))))</f>
        <v/>
      </c>
    </row>
    <row r="694" customFormat="false" ht="15" hidden="false" customHeight="true" outlineLevel="0" collapsed="false">
      <c r="A694" s="12" t="str">
        <f aca="false">IF($B694="","",TEXT($B694,"yymm")&amp;"-"&amp;TEXT(COUNTIFS($B$3:$B694,"&gt;="&amp;DATE(YEAR($B694),MONTH($B694),1),$B$3:$B694,"&lt;="&amp;EOMONTH($B694,0)),"000"))</f>
        <v/>
      </c>
      <c r="B694" s="13"/>
      <c r="C694" s="10"/>
      <c r="D694" s="10"/>
      <c r="E694" s="12" t="str">
        <f aca="false">IF($D694="","",IFERROR(INDEX(품목목록!$B$3:$B$302,MATCH($D694,품목목록!$A$3:$A$302,0)),"미등록품번"))</f>
        <v/>
      </c>
      <c r="F694" s="12" t="str">
        <f aca="false">IF($D694="","",IFERROR(INDEX(품목목록!$C$3:$C$302,MATCH($D694,품목목록!$A$3:$A$302,0)),""))</f>
        <v/>
      </c>
      <c r="G694" s="12" t="str">
        <f aca="false">IF($D694="","",IFERROR(INDEX(품목목록!$D$3:$D$302,MATCH($D694,품목목록!$A$3:$A$302,0)),""))</f>
        <v/>
      </c>
      <c r="H694" s="12" t="str">
        <f aca="false">IF($D694="","",IFERROR(INDEX(품목목록!$E$3:$E$302,MATCH($D694,품목목록!$A$3:$A$302,0)),""))</f>
        <v/>
      </c>
      <c r="I694" s="14"/>
      <c r="J694" s="10"/>
      <c r="K694" s="10"/>
      <c r="L694" s="10"/>
      <c r="M694" s="15" t="str">
        <f aca="false">IF($A694="","",SUMIFS(처리내역!$E$3:$E$1502,처리내역!$B$3:$B$1502,$A694))</f>
        <v/>
      </c>
      <c r="N694" s="15" t="str">
        <f aca="false">IF($A694="","",IF($I694="","",$I694-$M694))</f>
        <v/>
      </c>
      <c r="O694" s="12" t="str">
        <f aca="false">IF($A694="","",IF($I694="","",IF($M694=0,"미처리",IF($N694&lt;=0,"완료","부분처리"))))</f>
        <v/>
      </c>
    </row>
    <row r="695" customFormat="false" ht="15" hidden="false" customHeight="true" outlineLevel="0" collapsed="false">
      <c r="A695" s="12" t="str">
        <f aca="false">IF($B695="","",TEXT($B695,"yymm")&amp;"-"&amp;TEXT(COUNTIFS($B$3:$B695,"&gt;="&amp;DATE(YEAR($B695),MONTH($B695),1),$B$3:$B695,"&lt;="&amp;EOMONTH($B695,0)),"000"))</f>
        <v/>
      </c>
      <c r="B695" s="13"/>
      <c r="C695" s="10"/>
      <c r="D695" s="10"/>
      <c r="E695" s="12" t="str">
        <f aca="false">IF($D695="","",IFERROR(INDEX(품목목록!$B$3:$B$302,MATCH($D695,품목목록!$A$3:$A$302,0)),"미등록품번"))</f>
        <v/>
      </c>
      <c r="F695" s="12" t="str">
        <f aca="false">IF($D695="","",IFERROR(INDEX(품목목록!$C$3:$C$302,MATCH($D695,품목목록!$A$3:$A$302,0)),""))</f>
        <v/>
      </c>
      <c r="G695" s="12" t="str">
        <f aca="false">IF($D695="","",IFERROR(INDEX(품목목록!$D$3:$D$302,MATCH($D695,품목목록!$A$3:$A$302,0)),""))</f>
        <v/>
      </c>
      <c r="H695" s="12" t="str">
        <f aca="false">IF($D695="","",IFERROR(INDEX(품목목록!$E$3:$E$302,MATCH($D695,품목목록!$A$3:$A$302,0)),""))</f>
        <v/>
      </c>
      <c r="I695" s="14"/>
      <c r="J695" s="10"/>
      <c r="K695" s="10"/>
      <c r="L695" s="10"/>
      <c r="M695" s="15" t="str">
        <f aca="false">IF($A695="","",SUMIFS(처리내역!$E$3:$E$1502,처리내역!$B$3:$B$1502,$A695))</f>
        <v/>
      </c>
      <c r="N695" s="15" t="str">
        <f aca="false">IF($A695="","",IF($I695="","",$I695-$M695))</f>
        <v/>
      </c>
      <c r="O695" s="12" t="str">
        <f aca="false">IF($A695="","",IF($I695="","",IF($M695=0,"미처리",IF($N695&lt;=0,"완료","부분처리"))))</f>
        <v/>
      </c>
    </row>
    <row r="696" customFormat="false" ht="15" hidden="false" customHeight="true" outlineLevel="0" collapsed="false">
      <c r="A696" s="12" t="str">
        <f aca="false">IF($B696="","",TEXT($B696,"yymm")&amp;"-"&amp;TEXT(COUNTIFS($B$3:$B696,"&gt;="&amp;DATE(YEAR($B696),MONTH($B696),1),$B$3:$B696,"&lt;="&amp;EOMONTH($B696,0)),"000"))</f>
        <v/>
      </c>
      <c r="B696" s="13"/>
      <c r="C696" s="10"/>
      <c r="D696" s="10"/>
      <c r="E696" s="12" t="str">
        <f aca="false">IF($D696="","",IFERROR(INDEX(품목목록!$B$3:$B$302,MATCH($D696,품목목록!$A$3:$A$302,0)),"미등록품번"))</f>
        <v/>
      </c>
      <c r="F696" s="12" t="str">
        <f aca="false">IF($D696="","",IFERROR(INDEX(품목목록!$C$3:$C$302,MATCH($D696,품목목록!$A$3:$A$302,0)),""))</f>
        <v/>
      </c>
      <c r="G696" s="12" t="str">
        <f aca="false">IF($D696="","",IFERROR(INDEX(품목목록!$D$3:$D$302,MATCH($D696,품목목록!$A$3:$A$302,0)),""))</f>
        <v/>
      </c>
      <c r="H696" s="12" t="str">
        <f aca="false">IF($D696="","",IFERROR(INDEX(품목목록!$E$3:$E$302,MATCH($D696,품목목록!$A$3:$A$302,0)),""))</f>
        <v/>
      </c>
      <c r="I696" s="14"/>
      <c r="J696" s="10"/>
      <c r="K696" s="10"/>
      <c r="L696" s="10"/>
      <c r="M696" s="15" t="str">
        <f aca="false">IF($A696="","",SUMIFS(처리내역!$E$3:$E$1502,처리내역!$B$3:$B$1502,$A696))</f>
        <v/>
      </c>
      <c r="N696" s="15" t="str">
        <f aca="false">IF($A696="","",IF($I696="","",$I696-$M696))</f>
        <v/>
      </c>
      <c r="O696" s="12" t="str">
        <f aca="false">IF($A696="","",IF($I696="","",IF($M696=0,"미처리",IF($N696&lt;=0,"완료","부분처리"))))</f>
        <v/>
      </c>
    </row>
    <row r="697" customFormat="false" ht="15" hidden="false" customHeight="true" outlineLevel="0" collapsed="false">
      <c r="A697" s="12" t="str">
        <f aca="false">IF($B697="","",TEXT($B697,"yymm")&amp;"-"&amp;TEXT(COUNTIFS($B$3:$B697,"&gt;="&amp;DATE(YEAR($B697),MONTH($B697),1),$B$3:$B697,"&lt;="&amp;EOMONTH($B697,0)),"000"))</f>
        <v/>
      </c>
      <c r="B697" s="13"/>
      <c r="C697" s="10"/>
      <c r="D697" s="10"/>
      <c r="E697" s="12" t="str">
        <f aca="false">IF($D697="","",IFERROR(INDEX(품목목록!$B$3:$B$302,MATCH($D697,품목목록!$A$3:$A$302,0)),"미등록품번"))</f>
        <v/>
      </c>
      <c r="F697" s="12" t="str">
        <f aca="false">IF($D697="","",IFERROR(INDEX(품목목록!$C$3:$C$302,MATCH($D697,품목목록!$A$3:$A$302,0)),""))</f>
        <v/>
      </c>
      <c r="G697" s="12" t="str">
        <f aca="false">IF($D697="","",IFERROR(INDEX(품목목록!$D$3:$D$302,MATCH($D697,품목목록!$A$3:$A$302,0)),""))</f>
        <v/>
      </c>
      <c r="H697" s="12" t="str">
        <f aca="false">IF($D697="","",IFERROR(INDEX(품목목록!$E$3:$E$302,MATCH($D697,품목목록!$A$3:$A$302,0)),""))</f>
        <v/>
      </c>
      <c r="I697" s="14"/>
      <c r="J697" s="10"/>
      <c r="K697" s="10"/>
      <c r="L697" s="10"/>
      <c r="M697" s="15" t="str">
        <f aca="false">IF($A697="","",SUMIFS(처리내역!$E$3:$E$1502,처리내역!$B$3:$B$1502,$A697))</f>
        <v/>
      </c>
      <c r="N697" s="15" t="str">
        <f aca="false">IF($A697="","",IF($I697="","",$I697-$M697))</f>
        <v/>
      </c>
      <c r="O697" s="12" t="str">
        <f aca="false">IF($A697="","",IF($I697="","",IF($M697=0,"미처리",IF($N697&lt;=0,"완료","부분처리"))))</f>
        <v/>
      </c>
    </row>
    <row r="698" customFormat="false" ht="15" hidden="false" customHeight="true" outlineLevel="0" collapsed="false">
      <c r="A698" s="12" t="str">
        <f aca="false">IF($B698="","",TEXT($B698,"yymm")&amp;"-"&amp;TEXT(COUNTIFS($B$3:$B698,"&gt;="&amp;DATE(YEAR($B698),MONTH($B698),1),$B$3:$B698,"&lt;="&amp;EOMONTH($B698,0)),"000"))</f>
        <v/>
      </c>
      <c r="B698" s="13"/>
      <c r="C698" s="10"/>
      <c r="D698" s="10"/>
      <c r="E698" s="12" t="str">
        <f aca="false">IF($D698="","",IFERROR(INDEX(품목목록!$B$3:$B$302,MATCH($D698,품목목록!$A$3:$A$302,0)),"미등록품번"))</f>
        <v/>
      </c>
      <c r="F698" s="12" t="str">
        <f aca="false">IF($D698="","",IFERROR(INDEX(품목목록!$C$3:$C$302,MATCH($D698,품목목록!$A$3:$A$302,0)),""))</f>
        <v/>
      </c>
      <c r="G698" s="12" t="str">
        <f aca="false">IF($D698="","",IFERROR(INDEX(품목목록!$D$3:$D$302,MATCH($D698,품목목록!$A$3:$A$302,0)),""))</f>
        <v/>
      </c>
      <c r="H698" s="12" t="str">
        <f aca="false">IF($D698="","",IFERROR(INDEX(품목목록!$E$3:$E$302,MATCH($D698,품목목록!$A$3:$A$302,0)),""))</f>
        <v/>
      </c>
      <c r="I698" s="14"/>
      <c r="J698" s="10"/>
      <c r="K698" s="10"/>
      <c r="L698" s="10"/>
      <c r="M698" s="15" t="str">
        <f aca="false">IF($A698="","",SUMIFS(처리내역!$E$3:$E$1502,처리내역!$B$3:$B$1502,$A698))</f>
        <v/>
      </c>
      <c r="N698" s="15" t="str">
        <f aca="false">IF($A698="","",IF($I698="","",$I698-$M698))</f>
        <v/>
      </c>
      <c r="O698" s="12" t="str">
        <f aca="false">IF($A698="","",IF($I698="","",IF($M698=0,"미처리",IF($N698&lt;=0,"완료","부분처리"))))</f>
        <v/>
      </c>
    </row>
    <row r="699" customFormat="false" ht="15" hidden="false" customHeight="true" outlineLevel="0" collapsed="false">
      <c r="A699" s="12" t="str">
        <f aca="false">IF($B699="","",TEXT($B699,"yymm")&amp;"-"&amp;TEXT(COUNTIFS($B$3:$B699,"&gt;="&amp;DATE(YEAR($B699),MONTH($B699),1),$B$3:$B699,"&lt;="&amp;EOMONTH($B699,0)),"000"))</f>
        <v/>
      </c>
      <c r="B699" s="13"/>
      <c r="C699" s="10"/>
      <c r="D699" s="10"/>
      <c r="E699" s="12" t="str">
        <f aca="false">IF($D699="","",IFERROR(INDEX(품목목록!$B$3:$B$302,MATCH($D699,품목목록!$A$3:$A$302,0)),"미등록품번"))</f>
        <v/>
      </c>
      <c r="F699" s="12" t="str">
        <f aca="false">IF($D699="","",IFERROR(INDEX(품목목록!$C$3:$C$302,MATCH($D699,품목목록!$A$3:$A$302,0)),""))</f>
        <v/>
      </c>
      <c r="G699" s="12" t="str">
        <f aca="false">IF($D699="","",IFERROR(INDEX(품목목록!$D$3:$D$302,MATCH($D699,품목목록!$A$3:$A$302,0)),""))</f>
        <v/>
      </c>
      <c r="H699" s="12" t="str">
        <f aca="false">IF($D699="","",IFERROR(INDEX(품목목록!$E$3:$E$302,MATCH($D699,품목목록!$A$3:$A$302,0)),""))</f>
        <v/>
      </c>
      <c r="I699" s="14"/>
      <c r="J699" s="10"/>
      <c r="K699" s="10"/>
      <c r="L699" s="10"/>
      <c r="M699" s="15" t="str">
        <f aca="false">IF($A699="","",SUMIFS(처리내역!$E$3:$E$1502,처리내역!$B$3:$B$1502,$A699))</f>
        <v/>
      </c>
      <c r="N699" s="15" t="str">
        <f aca="false">IF($A699="","",IF($I699="","",$I699-$M699))</f>
        <v/>
      </c>
      <c r="O699" s="12" t="str">
        <f aca="false">IF($A699="","",IF($I699="","",IF($M699=0,"미처리",IF($N699&lt;=0,"완료","부분처리"))))</f>
        <v/>
      </c>
    </row>
    <row r="700" customFormat="false" ht="15" hidden="false" customHeight="true" outlineLevel="0" collapsed="false">
      <c r="A700" s="12" t="str">
        <f aca="false">IF($B700="","",TEXT($B700,"yymm")&amp;"-"&amp;TEXT(COUNTIFS($B$3:$B700,"&gt;="&amp;DATE(YEAR($B700),MONTH($B700),1),$B$3:$B700,"&lt;="&amp;EOMONTH($B700,0)),"000"))</f>
        <v/>
      </c>
      <c r="B700" s="13"/>
      <c r="C700" s="10"/>
      <c r="D700" s="10"/>
      <c r="E700" s="12" t="str">
        <f aca="false">IF($D700="","",IFERROR(INDEX(품목목록!$B$3:$B$302,MATCH($D700,품목목록!$A$3:$A$302,0)),"미등록품번"))</f>
        <v/>
      </c>
      <c r="F700" s="12" t="str">
        <f aca="false">IF($D700="","",IFERROR(INDEX(품목목록!$C$3:$C$302,MATCH($D700,품목목록!$A$3:$A$302,0)),""))</f>
        <v/>
      </c>
      <c r="G700" s="12" t="str">
        <f aca="false">IF($D700="","",IFERROR(INDEX(품목목록!$D$3:$D$302,MATCH($D700,품목목록!$A$3:$A$302,0)),""))</f>
        <v/>
      </c>
      <c r="H700" s="12" t="str">
        <f aca="false">IF($D700="","",IFERROR(INDEX(품목목록!$E$3:$E$302,MATCH($D700,품목목록!$A$3:$A$302,0)),""))</f>
        <v/>
      </c>
      <c r="I700" s="14"/>
      <c r="J700" s="10"/>
      <c r="K700" s="10"/>
      <c r="L700" s="10"/>
      <c r="M700" s="15" t="str">
        <f aca="false">IF($A700="","",SUMIFS(처리내역!$E$3:$E$1502,처리내역!$B$3:$B$1502,$A700))</f>
        <v/>
      </c>
      <c r="N700" s="15" t="str">
        <f aca="false">IF($A700="","",IF($I700="","",$I700-$M700))</f>
        <v/>
      </c>
      <c r="O700" s="12" t="str">
        <f aca="false">IF($A700="","",IF($I700="","",IF($M700=0,"미처리",IF($N700&lt;=0,"완료","부분처리"))))</f>
        <v/>
      </c>
    </row>
    <row r="701" customFormat="false" ht="15" hidden="false" customHeight="true" outlineLevel="0" collapsed="false">
      <c r="A701" s="12" t="str">
        <f aca="false">IF($B701="","",TEXT($B701,"yymm")&amp;"-"&amp;TEXT(COUNTIFS($B$3:$B701,"&gt;="&amp;DATE(YEAR($B701),MONTH($B701),1),$B$3:$B701,"&lt;="&amp;EOMONTH($B701,0)),"000"))</f>
        <v/>
      </c>
      <c r="B701" s="13"/>
      <c r="C701" s="10"/>
      <c r="D701" s="10"/>
      <c r="E701" s="12" t="str">
        <f aca="false">IF($D701="","",IFERROR(INDEX(품목목록!$B$3:$B$302,MATCH($D701,품목목록!$A$3:$A$302,0)),"미등록품번"))</f>
        <v/>
      </c>
      <c r="F701" s="12" t="str">
        <f aca="false">IF($D701="","",IFERROR(INDEX(품목목록!$C$3:$C$302,MATCH($D701,품목목록!$A$3:$A$302,0)),""))</f>
        <v/>
      </c>
      <c r="G701" s="12" t="str">
        <f aca="false">IF($D701="","",IFERROR(INDEX(품목목록!$D$3:$D$302,MATCH($D701,품목목록!$A$3:$A$302,0)),""))</f>
        <v/>
      </c>
      <c r="H701" s="12" t="str">
        <f aca="false">IF($D701="","",IFERROR(INDEX(품목목록!$E$3:$E$302,MATCH($D701,품목목록!$A$3:$A$302,0)),""))</f>
        <v/>
      </c>
      <c r="I701" s="14"/>
      <c r="J701" s="10"/>
      <c r="K701" s="10"/>
      <c r="L701" s="10"/>
      <c r="M701" s="15" t="str">
        <f aca="false">IF($A701="","",SUMIFS(처리내역!$E$3:$E$1502,처리내역!$B$3:$B$1502,$A701))</f>
        <v/>
      </c>
      <c r="N701" s="15" t="str">
        <f aca="false">IF($A701="","",IF($I701="","",$I701-$M701))</f>
        <v/>
      </c>
      <c r="O701" s="12" t="str">
        <f aca="false">IF($A701="","",IF($I701="","",IF($M701=0,"미처리",IF($N701&lt;=0,"완료","부분처리"))))</f>
        <v/>
      </c>
    </row>
    <row r="702" customFormat="false" ht="15" hidden="false" customHeight="true" outlineLevel="0" collapsed="false">
      <c r="A702" s="12" t="str">
        <f aca="false">IF($B702="","",TEXT($B702,"yymm")&amp;"-"&amp;TEXT(COUNTIFS($B$3:$B702,"&gt;="&amp;DATE(YEAR($B702),MONTH($B702),1),$B$3:$B702,"&lt;="&amp;EOMONTH($B702,0)),"000"))</f>
        <v/>
      </c>
      <c r="B702" s="13"/>
      <c r="C702" s="10"/>
      <c r="D702" s="10"/>
      <c r="E702" s="12" t="str">
        <f aca="false">IF($D702="","",IFERROR(INDEX(품목목록!$B$3:$B$302,MATCH($D702,품목목록!$A$3:$A$302,0)),"미등록품번"))</f>
        <v/>
      </c>
      <c r="F702" s="12" t="str">
        <f aca="false">IF($D702="","",IFERROR(INDEX(품목목록!$C$3:$C$302,MATCH($D702,품목목록!$A$3:$A$302,0)),""))</f>
        <v/>
      </c>
      <c r="G702" s="12" t="str">
        <f aca="false">IF($D702="","",IFERROR(INDEX(품목목록!$D$3:$D$302,MATCH($D702,품목목록!$A$3:$A$302,0)),""))</f>
        <v/>
      </c>
      <c r="H702" s="12" t="str">
        <f aca="false">IF($D702="","",IFERROR(INDEX(품목목록!$E$3:$E$302,MATCH($D702,품목목록!$A$3:$A$302,0)),""))</f>
        <v/>
      </c>
      <c r="I702" s="14"/>
      <c r="J702" s="10"/>
      <c r="K702" s="10"/>
      <c r="L702" s="10"/>
      <c r="M702" s="15" t="str">
        <f aca="false">IF($A702="","",SUMIFS(처리내역!$E$3:$E$1502,처리내역!$B$3:$B$1502,$A702))</f>
        <v/>
      </c>
      <c r="N702" s="15" t="str">
        <f aca="false">IF($A702="","",IF($I702="","",$I702-$M702))</f>
        <v/>
      </c>
      <c r="O702" s="12" t="str">
        <f aca="false">IF($A702="","",IF($I702="","",IF($M702=0,"미처리",IF($N702&lt;=0,"완료","부분처리"))))</f>
        <v/>
      </c>
    </row>
    <row r="703" customFormat="false" ht="15" hidden="false" customHeight="true" outlineLevel="0" collapsed="false">
      <c r="A703" s="12" t="str">
        <f aca="false">IF($B703="","",TEXT($B703,"yymm")&amp;"-"&amp;TEXT(COUNTIFS($B$3:$B703,"&gt;="&amp;DATE(YEAR($B703),MONTH($B703),1),$B$3:$B703,"&lt;="&amp;EOMONTH($B703,0)),"000"))</f>
        <v/>
      </c>
      <c r="B703" s="13"/>
      <c r="C703" s="10"/>
      <c r="D703" s="10"/>
      <c r="E703" s="12" t="str">
        <f aca="false">IF($D703="","",IFERROR(INDEX(품목목록!$B$3:$B$302,MATCH($D703,품목목록!$A$3:$A$302,0)),"미등록품번"))</f>
        <v/>
      </c>
      <c r="F703" s="12" t="str">
        <f aca="false">IF($D703="","",IFERROR(INDEX(품목목록!$C$3:$C$302,MATCH($D703,품목목록!$A$3:$A$302,0)),""))</f>
        <v/>
      </c>
      <c r="G703" s="12" t="str">
        <f aca="false">IF($D703="","",IFERROR(INDEX(품목목록!$D$3:$D$302,MATCH($D703,품목목록!$A$3:$A$302,0)),""))</f>
        <v/>
      </c>
      <c r="H703" s="12" t="str">
        <f aca="false">IF($D703="","",IFERROR(INDEX(품목목록!$E$3:$E$302,MATCH($D703,품목목록!$A$3:$A$302,0)),""))</f>
        <v/>
      </c>
      <c r="I703" s="14"/>
      <c r="J703" s="10"/>
      <c r="K703" s="10"/>
      <c r="L703" s="10"/>
      <c r="M703" s="15" t="str">
        <f aca="false">IF($A703="","",SUMIFS(처리내역!$E$3:$E$1502,처리내역!$B$3:$B$1502,$A703))</f>
        <v/>
      </c>
      <c r="N703" s="15" t="str">
        <f aca="false">IF($A703="","",IF($I703="","",$I703-$M703))</f>
        <v/>
      </c>
      <c r="O703" s="12" t="str">
        <f aca="false">IF($A703="","",IF($I703="","",IF($M703=0,"미처리",IF($N703&lt;=0,"완료","부분처리"))))</f>
        <v/>
      </c>
    </row>
    <row r="704" customFormat="false" ht="15" hidden="false" customHeight="true" outlineLevel="0" collapsed="false">
      <c r="A704" s="12" t="str">
        <f aca="false">IF($B704="","",TEXT($B704,"yymm")&amp;"-"&amp;TEXT(COUNTIFS($B$3:$B704,"&gt;="&amp;DATE(YEAR($B704),MONTH($B704),1),$B$3:$B704,"&lt;="&amp;EOMONTH($B704,0)),"000"))</f>
        <v/>
      </c>
      <c r="B704" s="13"/>
      <c r="C704" s="10"/>
      <c r="D704" s="10"/>
      <c r="E704" s="12" t="str">
        <f aca="false">IF($D704="","",IFERROR(INDEX(품목목록!$B$3:$B$302,MATCH($D704,품목목록!$A$3:$A$302,0)),"미등록품번"))</f>
        <v/>
      </c>
      <c r="F704" s="12" t="str">
        <f aca="false">IF($D704="","",IFERROR(INDEX(품목목록!$C$3:$C$302,MATCH($D704,품목목록!$A$3:$A$302,0)),""))</f>
        <v/>
      </c>
      <c r="G704" s="12" t="str">
        <f aca="false">IF($D704="","",IFERROR(INDEX(품목목록!$D$3:$D$302,MATCH($D704,품목목록!$A$3:$A$302,0)),""))</f>
        <v/>
      </c>
      <c r="H704" s="12" t="str">
        <f aca="false">IF($D704="","",IFERROR(INDEX(품목목록!$E$3:$E$302,MATCH($D704,품목목록!$A$3:$A$302,0)),""))</f>
        <v/>
      </c>
      <c r="I704" s="14"/>
      <c r="J704" s="10"/>
      <c r="K704" s="10"/>
      <c r="L704" s="10"/>
      <c r="M704" s="15" t="str">
        <f aca="false">IF($A704="","",SUMIFS(처리내역!$E$3:$E$1502,처리내역!$B$3:$B$1502,$A704))</f>
        <v/>
      </c>
      <c r="N704" s="15" t="str">
        <f aca="false">IF($A704="","",IF($I704="","",$I704-$M704))</f>
        <v/>
      </c>
      <c r="O704" s="12" t="str">
        <f aca="false">IF($A704="","",IF($I704="","",IF($M704=0,"미처리",IF($N704&lt;=0,"완료","부분처리"))))</f>
        <v/>
      </c>
    </row>
    <row r="705" customFormat="false" ht="15" hidden="false" customHeight="true" outlineLevel="0" collapsed="false">
      <c r="A705" s="12" t="str">
        <f aca="false">IF($B705="","",TEXT($B705,"yymm")&amp;"-"&amp;TEXT(COUNTIFS($B$3:$B705,"&gt;="&amp;DATE(YEAR($B705),MONTH($B705),1),$B$3:$B705,"&lt;="&amp;EOMONTH($B705,0)),"000"))</f>
        <v/>
      </c>
      <c r="B705" s="13"/>
      <c r="C705" s="10"/>
      <c r="D705" s="10"/>
      <c r="E705" s="12" t="str">
        <f aca="false">IF($D705="","",IFERROR(INDEX(품목목록!$B$3:$B$302,MATCH($D705,품목목록!$A$3:$A$302,0)),"미등록품번"))</f>
        <v/>
      </c>
      <c r="F705" s="12" t="str">
        <f aca="false">IF($D705="","",IFERROR(INDEX(품목목록!$C$3:$C$302,MATCH($D705,품목목록!$A$3:$A$302,0)),""))</f>
        <v/>
      </c>
      <c r="G705" s="12" t="str">
        <f aca="false">IF($D705="","",IFERROR(INDEX(품목목록!$D$3:$D$302,MATCH($D705,품목목록!$A$3:$A$302,0)),""))</f>
        <v/>
      </c>
      <c r="H705" s="12" t="str">
        <f aca="false">IF($D705="","",IFERROR(INDEX(품목목록!$E$3:$E$302,MATCH($D705,품목목록!$A$3:$A$302,0)),""))</f>
        <v/>
      </c>
      <c r="I705" s="14"/>
      <c r="J705" s="10"/>
      <c r="K705" s="10"/>
      <c r="L705" s="10"/>
      <c r="M705" s="15" t="str">
        <f aca="false">IF($A705="","",SUMIFS(처리내역!$E$3:$E$1502,처리내역!$B$3:$B$1502,$A705))</f>
        <v/>
      </c>
      <c r="N705" s="15" t="str">
        <f aca="false">IF($A705="","",IF($I705="","",$I705-$M705))</f>
        <v/>
      </c>
      <c r="O705" s="12" t="str">
        <f aca="false">IF($A705="","",IF($I705="","",IF($M705=0,"미처리",IF($N705&lt;=0,"완료","부분처리"))))</f>
        <v/>
      </c>
    </row>
    <row r="706" customFormat="false" ht="15" hidden="false" customHeight="true" outlineLevel="0" collapsed="false">
      <c r="A706" s="12" t="str">
        <f aca="false">IF($B706="","",TEXT($B706,"yymm")&amp;"-"&amp;TEXT(COUNTIFS($B$3:$B706,"&gt;="&amp;DATE(YEAR($B706),MONTH($B706),1),$B$3:$B706,"&lt;="&amp;EOMONTH($B706,0)),"000"))</f>
        <v/>
      </c>
      <c r="B706" s="13"/>
      <c r="C706" s="10"/>
      <c r="D706" s="10"/>
      <c r="E706" s="12" t="str">
        <f aca="false">IF($D706="","",IFERROR(INDEX(품목목록!$B$3:$B$302,MATCH($D706,품목목록!$A$3:$A$302,0)),"미등록품번"))</f>
        <v/>
      </c>
      <c r="F706" s="12" t="str">
        <f aca="false">IF($D706="","",IFERROR(INDEX(품목목록!$C$3:$C$302,MATCH($D706,품목목록!$A$3:$A$302,0)),""))</f>
        <v/>
      </c>
      <c r="G706" s="12" t="str">
        <f aca="false">IF($D706="","",IFERROR(INDEX(품목목록!$D$3:$D$302,MATCH($D706,품목목록!$A$3:$A$302,0)),""))</f>
        <v/>
      </c>
      <c r="H706" s="12" t="str">
        <f aca="false">IF($D706="","",IFERROR(INDEX(품목목록!$E$3:$E$302,MATCH($D706,품목목록!$A$3:$A$302,0)),""))</f>
        <v/>
      </c>
      <c r="I706" s="14"/>
      <c r="J706" s="10"/>
      <c r="K706" s="10"/>
      <c r="L706" s="10"/>
      <c r="M706" s="15" t="str">
        <f aca="false">IF($A706="","",SUMIFS(처리내역!$E$3:$E$1502,처리내역!$B$3:$B$1502,$A706))</f>
        <v/>
      </c>
      <c r="N706" s="15" t="str">
        <f aca="false">IF($A706="","",IF($I706="","",$I706-$M706))</f>
        <v/>
      </c>
      <c r="O706" s="12" t="str">
        <f aca="false">IF($A706="","",IF($I706="","",IF($M706=0,"미처리",IF($N706&lt;=0,"완료","부분처리"))))</f>
        <v/>
      </c>
    </row>
    <row r="707" customFormat="false" ht="15" hidden="false" customHeight="true" outlineLevel="0" collapsed="false">
      <c r="A707" s="12" t="str">
        <f aca="false">IF($B707="","",TEXT($B707,"yymm")&amp;"-"&amp;TEXT(COUNTIFS($B$3:$B707,"&gt;="&amp;DATE(YEAR($B707),MONTH($B707),1),$B$3:$B707,"&lt;="&amp;EOMONTH($B707,0)),"000"))</f>
        <v/>
      </c>
      <c r="B707" s="13"/>
      <c r="C707" s="10"/>
      <c r="D707" s="10"/>
      <c r="E707" s="12" t="str">
        <f aca="false">IF($D707="","",IFERROR(INDEX(품목목록!$B$3:$B$302,MATCH($D707,품목목록!$A$3:$A$302,0)),"미등록품번"))</f>
        <v/>
      </c>
      <c r="F707" s="12" t="str">
        <f aca="false">IF($D707="","",IFERROR(INDEX(품목목록!$C$3:$C$302,MATCH($D707,품목목록!$A$3:$A$302,0)),""))</f>
        <v/>
      </c>
      <c r="G707" s="12" t="str">
        <f aca="false">IF($D707="","",IFERROR(INDEX(품목목록!$D$3:$D$302,MATCH($D707,품목목록!$A$3:$A$302,0)),""))</f>
        <v/>
      </c>
      <c r="H707" s="12" t="str">
        <f aca="false">IF($D707="","",IFERROR(INDEX(품목목록!$E$3:$E$302,MATCH($D707,품목목록!$A$3:$A$302,0)),""))</f>
        <v/>
      </c>
      <c r="I707" s="14"/>
      <c r="J707" s="10"/>
      <c r="K707" s="10"/>
      <c r="L707" s="10"/>
      <c r="M707" s="15" t="str">
        <f aca="false">IF($A707="","",SUMIFS(처리내역!$E$3:$E$1502,처리내역!$B$3:$B$1502,$A707))</f>
        <v/>
      </c>
      <c r="N707" s="15" t="str">
        <f aca="false">IF($A707="","",IF($I707="","",$I707-$M707))</f>
        <v/>
      </c>
      <c r="O707" s="12" t="str">
        <f aca="false">IF($A707="","",IF($I707="","",IF($M707=0,"미처리",IF($N707&lt;=0,"완료","부분처리"))))</f>
        <v/>
      </c>
    </row>
    <row r="708" customFormat="false" ht="15" hidden="false" customHeight="true" outlineLevel="0" collapsed="false">
      <c r="A708" s="12" t="str">
        <f aca="false">IF($B708="","",TEXT($B708,"yymm")&amp;"-"&amp;TEXT(COUNTIFS($B$3:$B708,"&gt;="&amp;DATE(YEAR($B708),MONTH($B708),1),$B$3:$B708,"&lt;="&amp;EOMONTH($B708,0)),"000"))</f>
        <v/>
      </c>
      <c r="B708" s="13"/>
      <c r="C708" s="10"/>
      <c r="D708" s="10"/>
      <c r="E708" s="12" t="str">
        <f aca="false">IF($D708="","",IFERROR(INDEX(품목목록!$B$3:$B$302,MATCH($D708,품목목록!$A$3:$A$302,0)),"미등록품번"))</f>
        <v/>
      </c>
      <c r="F708" s="12" t="str">
        <f aca="false">IF($D708="","",IFERROR(INDEX(품목목록!$C$3:$C$302,MATCH($D708,품목목록!$A$3:$A$302,0)),""))</f>
        <v/>
      </c>
      <c r="G708" s="12" t="str">
        <f aca="false">IF($D708="","",IFERROR(INDEX(품목목록!$D$3:$D$302,MATCH($D708,품목목록!$A$3:$A$302,0)),""))</f>
        <v/>
      </c>
      <c r="H708" s="12" t="str">
        <f aca="false">IF($D708="","",IFERROR(INDEX(품목목록!$E$3:$E$302,MATCH($D708,품목목록!$A$3:$A$302,0)),""))</f>
        <v/>
      </c>
      <c r="I708" s="14"/>
      <c r="J708" s="10"/>
      <c r="K708" s="10"/>
      <c r="L708" s="10"/>
      <c r="M708" s="15" t="str">
        <f aca="false">IF($A708="","",SUMIFS(처리내역!$E$3:$E$1502,처리내역!$B$3:$B$1502,$A708))</f>
        <v/>
      </c>
      <c r="N708" s="15" t="str">
        <f aca="false">IF($A708="","",IF($I708="","",$I708-$M708))</f>
        <v/>
      </c>
      <c r="O708" s="12" t="str">
        <f aca="false">IF($A708="","",IF($I708="","",IF($M708=0,"미처리",IF($N708&lt;=0,"완료","부분처리"))))</f>
        <v/>
      </c>
    </row>
    <row r="709" customFormat="false" ht="15" hidden="false" customHeight="true" outlineLevel="0" collapsed="false">
      <c r="A709" s="12" t="str">
        <f aca="false">IF($B709="","",TEXT($B709,"yymm")&amp;"-"&amp;TEXT(COUNTIFS($B$3:$B709,"&gt;="&amp;DATE(YEAR($B709),MONTH($B709),1),$B$3:$B709,"&lt;="&amp;EOMONTH($B709,0)),"000"))</f>
        <v/>
      </c>
      <c r="B709" s="13"/>
      <c r="C709" s="10"/>
      <c r="D709" s="10"/>
      <c r="E709" s="12" t="str">
        <f aca="false">IF($D709="","",IFERROR(INDEX(품목목록!$B$3:$B$302,MATCH($D709,품목목록!$A$3:$A$302,0)),"미등록품번"))</f>
        <v/>
      </c>
      <c r="F709" s="12" t="str">
        <f aca="false">IF($D709="","",IFERROR(INDEX(품목목록!$C$3:$C$302,MATCH($D709,품목목록!$A$3:$A$302,0)),""))</f>
        <v/>
      </c>
      <c r="G709" s="12" t="str">
        <f aca="false">IF($D709="","",IFERROR(INDEX(품목목록!$D$3:$D$302,MATCH($D709,품목목록!$A$3:$A$302,0)),""))</f>
        <v/>
      </c>
      <c r="H709" s="12" t="str">
        <f aca="false">IF($D709="","",IFERROR(INDEX(품목목록!$E$3:$E$302,MATCH($D709,품목목록!$A$3:$A$302,0)),""))</f>
        <v/>
      </c>
      <c r="I709" s="14"/>
      <c r="J709" s="10"/>
      <c r="K709" s="10"/>
      <c r="L709" s="10"/>
      <c r="M709" s="15" t="str">
        <f aca="false">IF($A709="","",SUMIFS(처리내역!$E$3:$E$1502,처리내역!$B$3:$B$1502,$A709))</f>
        <v/>
      </c>
      <c r="N709" s="15" t="str">
        <f aca="false">IF($A709="","",IF($I709="","",$I709-$M709))</f>
        <v/>
      </c>
      <c r="O709" s="12" t="str">
        <f aca="false">IF($A709="","",IF($I709="","",IF($M709=0,"미처리",IF($N709&lt;=0,"완료","부분처리"))))</f>
        <v/>
      </c>
    </row>
    <row r="710" customFormat="false" ht="15" hidden="false" customHeight="true" outlineLevel="0" collapsed="false">
      <c r="A710" s="12" t="str">
        <f aca="false">IF($B710="","",TEXT($B710,"yymm")&amp;"-"&amp;TEXT(COUNTIFS($B$3:$B710,"&gt;="&amp;DATE(YEAR($B710),MONTH($B710),1),$B$3:$B710,"&lt;="&amp;EOMONTH($B710,0)),"000"))</f>
        <v/>
      </c>
      <c r="B710" s="13"/>
      <c r="C710" s="10"/>
      <c r="D710" s="10"/>
      <c r="E710" s="12" t="str">
        <f aca="false">IF($D710="","",IFERROR(INDEX(품목목록!$B$3:$B$302,MATCH($D710,품목목록!$A$3:$A$302,0)),"미등록품번"))</f>
        <v/>
      </c>
      <c r="F710" s="12" t="str">
        <f aca="false">IF($D710="","",IFERROR(INDEX(품목목록!$C$3:$C$302,MATCH($D710,품목목록!$A$3:$A$302,0)),""))</f>
        <v/>
      </c>
      <c r="G710" s="12" t="str">
        <f aca="false">IF($D710="","",IFERROR(INDEX(품목목록!$D$3:$D$302,MATCH($D710,품목목록!$A$3:$A$302,0)),""))</f>
        <v/>
      </c>
      <c r="H710" s="12" t="str">
        <f aca="false">IF($D710="","",IFERROR(INDEX(품목목록!$E$3:$E$302,MATCH($D710,품목목록!$A$3:$A$302,0)),""))</f>
        <v/>
      </c>
      <c r="I710" s="14"/>
      <c r="J710" s="10"/>
      <c r="K710" s="10"/>
      <c r="L710" s="10"/>
      <c r="M710" s="15" t="str">
        <f aca="false">IF($A710="","",SUMIFS(처리내역!$E$3:$E$1502,처리내역!$B$3:$B$1502,$A710))</f>
        <v/>
      </c>
      <c r="N710" s="15" t="str">
        <f aca="false">IF($A710="","",IF($I710="","",$I710-$M710))</f>
        <v/>
      </c>
      <c r="O710" s="12" t="str">
        <f aca="false">IF($A710="","",IF($I710="","",IF($M710=0,"미처리",IF($N710&lt;=0,"완료","부분처리"))))</f>
        <v/>
      </c>
    </row>
    <row r="711" customFormat="false" ht="15" hidden="false" customHeight="true" outlineLevel="0" collapsed="false">
      <c r="A711" s="12" t="str">
        <f aca="false">IF($B711="","",TEXT($B711,"yymm")&amp;"-"&amp;TEXT(COUNTIFS($B$3:$B711,"&gt;="&amp;DATE(YEAR($B711),MONTH($B711),1),$B$3:$B711,"&lt;="&amp;EOMONTH($B711,0)),"000"))</f>
        <v/>
      </c>
      <c r="B711" s="13"/>
      <c r="C711" s="10"/>
      <c r="D711" s="10"/>
      <c r="E711" s="12" t="str">
        <f aca="false">IF($D711="","",IFERROR(INDEX(품목목록!$B$3:$B$302,MATCH($D711,품목목록!$A$3:$A$302,0)),"미등록품번"))</f>
        <v/>
      </c>
      <c r="F711" s="12" t="str">
        <f aca="false">IF($D711="","",IFERROR(INDEX(품목목록!$C$3:$C$302,MATCH($D711,품목목록!$A$3:$A$302,0)),""))</f>
        <v/>
      </c>
      <c r="G711" s="12" t="str">
        <f aca="false">IF($D711="","",IFERROR(INDEX(품목목록!$D$3:$D$302,MATCH($D711,품목목록!$A$3:$A$302,0)),""))</f>
        <v/>
      </c>
      <c r="H711" s="12" t="str">
        <f aca="false">IF($D711="","",IFERROR(INDEX(품목목록!$E$3:$E$302,MATCH($D711,품목목록!$A$3:$A$302,0)),""))</f>
        <v/>
      </c>
      <c r="I711" s="14"/>
      <c r="J711" s="10"/>
      <c r="K711" s="10"/>
      <c r="L711" s="10"/>
      <c r="M711" s="15" t="str">
        <f aca="false">IF($A711="","",SUMIFS(처리내역!$E$3:$E$1502,처리내역!$B$3:$B$1502,$A711))</f>
        <v/>
      </c>
      <c r="N711" s="15" t="str">
        <f aca="false">IF($A711="","",IF($I711="","",$I711-$M711))</f>
        <v/>
      </c>
      <c r="O711" s="12" t="str">
        <f aca="false">IF($A711="","",IF($I711="","",IF($M711=0,"미처리",IF($N711&lt;=0,"완료","부분처리"))))</f>
        <v/>
      </c>
    </row>
    <row r="712" customFormat="false" ht="15" hidden="false" customHeight="true" outlineLevel="0" collapsed="false">
      <c r="A712" s="12" t="str">
        <f aca="false">IF($B712="","",TEXT($B712,"yymm")&amp;"-"&amp;TEXT(COUNTIFS($B$3:$B712,"&gt;="&amp;DATE(YEAR($B712),MONTH($B712),1),$B$3:$B712,"&lt;="&amp;EOMONTH($B712,0)),"000"))</f>
        <v/>
      </c>
      <c r="B712" s="13"/>
      <c r="C712" s="10"/>
      <c r="D712" s="10"/>
      <c r="E712" s="12" t="str">
        <f aca="false">IF($D712="","",IFERROR(INDEX(품목목록!$B$3:$B$302,MATCH($D712,품목목록!$A$3:$A$302,0)),"미등록품번"))</f>
        <v/>
      </c>
      <c r="F712" s="12" t="str">
        <f aca="false">IF($D712="","",IFERROR(INDEX(품목목록!$C$3:$C$302,MATCH($D712,품목목록!$A$3:$A$302,0)),""))</f>
        <v/>
      </c>
      <c r="G712" s="12" t="str">
        <f aca="false">IF($D712="","",IFERROR(INDEX(품목목록!$D$3:$D$302,MATCH($D712,품목목록!$A$3:$A$302,0)),""))</f>
        <v/>
      </c>
      <c r="H712" s="12" t="str">
        <f aca="false">IF($D712="","",IFERROR(INDEX(품목목록!$E$3:$E$302,MATCH($D712,품목목록!$A$3:$A$302,0)),""))</f>
        <v/>
      </c>
      <c r="I712" s="14"/>
      <c r="J712" s="10"/>
      <c r="K712" s="10"/>
      <c r="L712" s="10"/>
      <c r="M712" s="15" t="str">
        <f aca="false">IF($A712="","",SUMIFS(처리내역!$E$3:$E$1502,처리내역!$B$3:$B$1502,$A712))</f>
        <v/>
      </c>
      <c r="N712" s="15" t="str">
        <f aca="false">IF($A712="","",IF($I712="","",$I712-$M712))</f>
        <v/>
      </c>
      <c r="O712" s="12" t="str">
        <f aca="false">IF($A712="","",IF($I712="","",IF($M712=0,"미처리",IF($N712&lt;=0,"완료","부분처리"))))</f>
        <v/>
      </c>
    </row>
    <row r="713" customFormat="false" ht="15" hidden="false" customHeight="true" outlineLevel="0" collapsed="false">
      <c r="A713" s="12" t="str">
        <f aca="false">IF($B713="","",TEXT($B713,"yymm")&amp;"-"&amp;TEXT(COUNTIFS($B$3:$B713,"&gt;="&amp;DATE(YEAR($B713),MONTH($B713),1),$B$3:$B713,"&lt;="&amp;EOMONTH($B713,0)),"000"))</f>
        <v/>
      </c>
      <c r="B713" s="13"/>
      <c r="C713" s="10"/>
      <c r="D713" s="10"/>
      <c r="E713" s="12" t="str">
        <f aca="false">IF($D713="","",IFERROR(INDEX(품목목록!$B$3:$B$302,MATCH($D713,품목목록!$A$3:$A$302,0)),"미등록품번"))</f>
        <v/>
      </c>
      <c r="F713" s="12" t="str">
        <f aca="false">IF($D713="","",IFERROR(INDEX(품목목록!$C$3:$C$302,MATCH($D713,품목목록!$A$3:$A$302,0)),""))</f>
        <v/>
      </c>
      <c r="G713" s="12" t="str">
        <f aca="false">IF($D713="","",IFERROR(INDEX(품목목록!$D$3:$D$302,MATCH($D713,품목목록!$A$3:$A$302,0)),""))</f>
        <v/>
      </c>
      <c r="H713" s="12" t="str">
        <f aca="false">IF($D713="","",IFERROR(INDEX(품목목록!$E$3:$E$302,MATCH($D713,품목목록!$A$3:$A$302,0)),""))</f>
        <v/>
      </c>
      <c r="I713" s="14"/>
      <c r="J713" s="10"/>
      <c r="K713" s="10"/>
      <c r="L713" s="10"/>
      <c r="M713" s="15" t="str">
        <f aca="false">IF($A713="","",SUMIFS(처리내역!$E$3:$E$1502,처리내역!$B$3:$B$1502,$A713))</f>
        <v/>
      </c>
      <c r="N713" s="15" t="str">
        <f aca="false">IF($A713="","",IF($I713="","",$I713-$M713))</f>
        <v/>
      </c>
      <c r="O713" s="12" t="str">
        <f aca="false">IF($A713="","",IF($I713="","",IF($M713=0,"미처리",IF($N713&lt;=0,"완료","부분처리"))))</f>
        <v/>
      </c>
    </row>
    <row r="714" customFormat="false" ht="15" hidden="false" customHeight="true" outlineLevel="0" collapsed="false">
      <c r="A714" s="12" t="str">
        <f aca="false">IF($B714="","",TEXT($B714,"yymm")&amp;"-"&amp;TEXT(COUNTIFS($B$3:$B714,"&gt;="&amp;DATE(YEAR($B714),MONTH($B714),1),$B$3:$B714,"&lt;="&amp;EOMONTH($B714,0)),"000"))</f>
        <v/>
      </c>
      <c r="B714" s="13"/>
      <c r="C714" s="10"/>
      <c r="D714" s="10"/>
      <c r="E714" s="12" t="str">
        <f aca="false">IF($D714="","",IFERROR(INDEX(품목목록!$B$3:$B$302,MATCH($D714,품목목록!$A$3:$A$302,0)),"미등록품번"))</f>
        <v/>
      </c>
      <c r="F714" s="12" t="str">
        <f aca="false">IF($D714="","",IFERROR(INDEX(품목목록!$C$3:$C$302,MATCH($D714,품목목록!$A$3:$A$302,0)),""))</f>
        <v/>
      </c>
      <c r="G714" s="12" t="str">
        <f aca="false">IF($D714="","",IFERROR(INDEX(품목목록!$D$3:$D$302,MATCH($D714,품목목록!$A$3:$A$302,0)),""))</f>
        <v/>
      </c>
      <c r="H714" s="12" t="str">
        <f aca="false">IF($D714="","",IFERROR(INDEX(품목목록!$E$3:$E$302,MATCH($D714,품목목록!$A$3:$A$302,0)),""))</f>
        <v/>
      </c>
      <c r="I714" s="14"/>
      <c r="J714" s="10"/>
      <c r="K714" s="10"/>
      <c r="L714" s="10"/>
      <c r="M714" s="15" t="str">
        <f aca="false">IF($A714="","",SUMIFS(처리내역!$E$3:$E$1502,처리내역!$B$3:$B$1502,$A714))</f>
        <v/>
      </c>
      <c r="N714" s="15" t="str">
        <f aca="false">IF($A714="","",IF($I714="","",$I714-$M714))</f>
        <v/>
      </c>
      <c r="O714" s="12" t="str">
        <f aca="false">IF($A714="","",IF($I714="","",IF($M714=0,"미처리",IF($N714&lt;=0,"완료","부분처리"))))</f>
        <v/>
      </c>
    </row>
    <row r="715" customFormat="false" ht="15" hidden="false" customHeight="true" outlineLevel="0" collapsed="false">
      <c r="A715" s="12" t="str">
        <f aca="false">IF($B715="","",TEXT($B715,"yymm")&amp;"-"&amp;TEXT(COUNTIFS($B$3:$B715,"&gt;="&amp;DATE(YEAR($B715),MONTH($B715),1),$B$3:$B715,"&lt;="&amp;EOMONTH($B715,0)),"000"))</f>
        <v/>
      </c>
      <c r="B715" s="13"/>
      <c r="C715" s="10"/>
      <c r="D715" s="10"/>
      <c r="E715" s="12" t="str">
        <f aca="false">IF($D715="","",IFERROR(INDEX(품목목록!$B$3:$B$302,MATCH($D715,품목목록!$A$3:$A$302,0)),"미등록품번"))</f>
        <v/>
      </c>
      <c r="F715" s="12" t="str">
        <f aca="false">IF($D715="","",IFERROR(INDEX(품목목록!$C$3:$C$302,MATCH($D715,품목목록!$A$3:$A$302,0)),""))</f>
        <v/>
      </c>
      <c r="G715" s="12" t="str">
        <f aca="false">IF($D715="","",IFERROR(INDEX(품목목록!$D$3:$D$302,MATCH($D715,품목목록!$A$3:$A$302,0)),""))</f>
        <v/>
      </c>
      <c r="H715" s="12" t="str">
        <f aca="false">IF($D715="","",IFERROR(INDEX(품목목록!$E$3:$E$302,MATCH($D715,품목목록!$A$3:$A$302,0)),""))</f>
        <v/>
      </c>
      <c r="I715" s="14"/>
      <c r="J715" s="10"/>
      <c r="K715" s="10"/>
      <c r="L715" s="10"/>
      <c r="M715" s="15" t="str">
        <f aca="false">IF($A715="","",SUMIFS(처리내역!$E$3:$E$1502,처리내역!$B$3:$B$1502,$A715))</f>
        <v/>
      </c>
      <c r="N715" s="15" t="str">
        <f aca="false">IF($A715="","",IF($I715="","",$I715-$M715))</f>
        <v/>
      </c>
      <c r="O715" s="12" t="str">
        <f aca="false">IF($A715="","",IF($I715="","",IF($M715=0,"미처리",IF($N715&lt;=0,"완료","부분처리"))))</f>
        <v/>
      </c>
    </row>
    <row r="716" customFormat="false" ht="15" hidden="false" customHeight="true" outlineLevel="0" collapsed="false">
      <c r="A716" s="12" t="str">
        <f aca="false">IF($B716="","",TEXT($B716,"yymm")&amp;"-"&amp;TEXT(COUNTIFS($B$3:$B716,"&gt;="&amp;DATE(YEAR($B716),MONTH($B716),1),$B$3:$B716,"&lt;="&amp;EOMONTH($B716,0)),"000"))</f>
        <v/>
      </c>
      <c r="B716" s="13"/>
      <c r="C716" s="10"/>
      <c r="D716" s="10"/>
      <c r="E716" s="12" t="str">
        <f aca="false">IF($D716="","",IFERROR(INDEX(품목목록!$B$3:$B$302,MATCH($D716,품목목록!$A$3:$A$302,0)),"미등록품번"))</f>
        <v/>
      </c>
      <c r="F716" s="12" t="str">
        <f aca="false">IF($D716="","",IFERROR(INDEX(품목목록!$C$3:$C$302,MATCH($D716,품목목록!$A$3:$A$302,0)),""))</f>
        <v/>
      </c>
      <c r="G716" s="12" t="str">
        <f aca="false">IF($D716="","",IFERROR(INDEX(품목목록!$D$3:$D$302,MATCH($D716,품목목록!$A$3:$A$302,0)),""))</f>
        <v/>
      </c>
      <c r="H716" s="12" t="str">
        <f aca="false">IF($D716="","",IFERROR(INDEX(품목목록!$E$3:$E$302,MATCH($D716,품목목록!$A$3:$A$302,0)),""))</f>
        <v/>
      </c>
      <c r="I716" s="14"/>
      <c r="J716" s="10"/>
      <c r="K716" s="10"/>
      <c r="L716" s="10"/>
      <c r="M716" s="15" t="str">
        <f aca="false">IF($A716="","",SUMIFS(처리내역!$E$3:$E$1502,처리내역!$B$3:$B$1502,$A716))</f>
        <v/>
      </c>
      <c r="N716" s="15" t="str">
        <f aca="false">IF($A716="","",IF($I716="","",$I716-$M716))</f>
        <v/>
      </c>
      <c r="O716" s="12" t="str">
        <f aca="false">IF($A716="","",IF($I716="","",IF($M716=0,"미처리",IF($N716&lt;=0,"완료","부분처리"))))</f>
        <v/>
      </c>
    </row>
    <row r="717" customFormat="false" ht="15" hidden="false" customHeight="true" outlineLevel="0" collapsed="false">
      <c r="A717" s="12" t="str">
        <f aca="false">IF($B717="","",TEXT($B717,"yymm")&amp;"-"&amp;TEXT(COUNTIFS($B$3:$B717,"&gt;="&amp;DATE(YEAR($B717),MONTH($B717),1),$B$3:$B717,"&lt;="&amp;EOMONTH($B717,0)),"000"))</f>
        <v/>
      </c>
      <c r="B717" s="13"/>
      <c r="C717" s="10"/>
      <c r="D717" s="10"/>
      <c r="E717" s="12" t="str">
        <f aca="false">IF($D717="","",IFERROR(INDEX(품목목록!$B$3:$B$302,MATCH($D717,품목목록!$A$3:$A$302,0)),"미등록품번"))</f>
        <v/>
      </c>
      <c r="F717" s="12" t="str">
        <f aca="false">IF($D717="","",IFERROR(INDEX(품목목록!$C$3:$C$302,MATCH($D717,품목목록!$A$3:$A$302,0)),""))</f>
        <v/>
      </c>
      <c r="G717" s="12" t="str">
        <f aca="false">IF($D717="","",IFERROR(INDEX(품목목록!$D$3:$D$302,MATCH($D717,품목목록!$A$3:$A$302,0)),""))</f>
        <v/>
      </c>
      <c r="H717" s="12" t="str">
        <f aca="false">IF($D717="","",IFERROR(INDEX(품목목록!$E$3:$E$302,MATCH($D717,품목목록!$A$3:$A$302,0)),""))</f>
        <v/>
      </c>
      <c r="I717" s="14"/>
      <c r="J717" s="10"/>
      <c r="K717" s="10"/>
      <c r="L717" s="10"/>
      <c r="M717" s="15" t="str">
        <f aca="false">IF($A717="","",SUMIFS(처리내역!$E$3:$E$1502,처리내역!$B$3:$B$1502,$A717))</f>
        <v/>
      </c>
      <c r="N717" s="15" t="str">
        <f aca="false">IF($A717="","",IF($I717="","",$I717-$M717))</f>
        <v/>
      </c>
      <c r="O717" s="12" t="str">
        <f aca="false">IF($A717="","",IF($I717="","",IF($M717=0,"미처리",IF($N717&lt;=0,"완료","부분처리"))))</f>
        <v/>
      </c>
    </row>
    <row r="718" customFormat="false" ht="15" hidden="false" customHeight="true" outlineLevel="0" collapsed="false">
      <c r="A718" s="12" t="str">
        <f aca="false">IF($B718="","",TEXT($B718,"yymm")&amp;"-"&amp;TEXT(COUNTIFS($B$3:$B718,"&gt;="&amp;DATE(YEAR($B718),MONTH($B718),1),$B$3:$B718,"&lt;="&amp;EOMONTH($B718,0)),"000"))</f>
        <v/>
      </c>
      <c r="B718" s="13"/>
      <c r="C718" s="10"/>
      <c r="D718" s="10"/>
      <c r="E718" s="12" t="str">
        <f aca="false">IF($D718="","",IFERROR(INDEX(품목목록!$B$3:$B$302,MATCH($D718,품목목록!$A$3:$A$302,0)),"미등록품번"))</f>
        <v/>
      </c>
      <c r="F718" s="12" t="str">
        <f aca="false">IF($D718="","",IFERROR(INDEX(품목목록!$C$3:$C$302,MATCH($D718,품목목록!$A$3:$A$302,0)),""))</f>
        <v/>
      </c>
      <c r="G718" s="12" t="str">
        <f aca="false">IF($D718="","",IFERROR(INDEX(품목목록!$D$3:$D$302,MATCH($D718,품목목록!$A$3:$A$302,0)),""))</f>
        <v/>
      </c>
      <c r="H718" s="12" t="str">
        <f aca="false">IF($D718="","",IFERROR(INDEX(품목목록!$E$3:$E$302,MATCH($D718,품목목록!$A$3:$A$302,0)),""))</f>
        <v/>
      </c>
      <c r="I718" s="14"/>
      <c r="J718" s="10"/>
      <c r="K718" s="10"/>
      <c r="L718" s="10"/>
      <c r="M718" s="15" t="str">
        <f aca="false">IF($A718="","",SUMIFS(처리내역!$E$3:$E$1502,처리내역!$B$3:$B$1502,$A718))</f>
        <v/>
      </c>
      <c r="N718" s="15" t="str">
        <f aca="false">IF($A718="","",IF($I718="","",$I718-$M718))</f>
        <v/>
      </c>
      <c r="O718" s="12" t="str">
        <f aca="false">IF($A718="","",IF($I718="","",IF($M718=0,"미처리",IF($N718&lt;=0,"완료","부분처리"))))</f>
        <v/>
      </c>
    </row>
    <row r="719" customFormat="false" ht="15" hidden="false" customHeight="true" outlineLevel="0" collapsed="false">
      <c r="A719" s="12" t="str">
        <f aca="false">IF($B719="","",TEXT($B719,"yymm")&amp;"-"&amp;TEXT(COUNTIFS($B$3:$B719,"&gt;="&amp;DATE(YEAR($B719),MONTH($B719),1),$B$3:$B719,"&lt;="&amp;EOMONTH($B719,0)),"000"))</f>
        <v/>
      </c>
      <c r="B719" s="13"/>
      <c r="C719" s="10"/>
      <c r="D719" s="10"/>
      <c r="E719" s="12" t="str">
        <f aca="false">IF($D719="","",IFERROR(INDEX(품목목록!$B$3:$B$302,MATCH($D719,품목목록!$A$3:$A$302,0)),"미등록품번"))</f>
        <v/>
      </c>
      <c r="F719" s="12" t="str">
        <f aca="false">IF($D719="","",IFERROR(INDEX(품목목록!$C$3:$C$302,MATCH($D719,품목목록!$A$3:$A$302,0)),""))</f>
        <v/>
      </c>
      <c r="G719" s="12" t="str">
        <f aca="false">IF($D719="","",IFERROR(INDEX(품목목록!$D$3:$D$302,MATCH($D719,품목목록!$A$3:$A$302,0)),""))</f>
        <v/>
      </c>
      <c r="H719" s="12" t="str">
        <f aca="false">IF($D719="","",IFERROR(INDEX(품목목록!$E$3:$E$302,MATCH($D719,품목목록!$A$3:$A$302,0)),""))</f>
        <v/>
      </c>
      <c r="I719" s="14"/>
      <c r="J719" s="10"/>
      <c r="K719" s="10"/>
      <c r="L719" s="10"/>
      <c r="M719" s="15" t="str">
        <f aca="false">IF($A719="","",SUMIFS(처리내역!$E$3:$E$1502,처리내역!$B$3:$B$1502,$A719))</f>
        <v/>
      </c>
      <c r="N719" s="15" t="str">
        <f aca="false">IF($A719="","",IF($I719="","",$I719-$M719))</f>
        <v/>
      </c>
      <c r="O719" s="12" t="str">
        <f aca="false">IF($A719="","",IF($I719="","",IF($M719=0,"미처리",IF($N719&lt;=0,"완료","부분처리"))))</f>
        <v/>
      </c>
    </row>
    <row r="720" customFormat="false" ht="15" hidden="false" customHeight="true" outlineLevel="0" collapsed="false">
      <c r="A720" s="12" t="str">
        <f aca="false">IF($B720="","",TEXT($B720,"yymm")&amp;"-"&amp;TEXT(COUNTIFS($B$3:$B720,"&gt;="&amp;DATE(YEAR($B720),MONTH($B720),1),$B$3:$B720,"&lt;="&amp;EOMONTH($B720,0)),"000"))</f>
        <v/>
      </c>
      <c r="B720" s="13"/>
      <c r="C720" s="10"/>
      <c r="D720" s="10"/>
      <c r="E720" s="12" t="str">
        <f aca="false">IF($D720="","",IFERROR(INDEX(품목목록!$B$3:$B$302,MATCH($D720,품목목록!$A$3:$A$302,0)),"미등록품번"))</f>
        <v/>
      </c>
      <c r="F720" s="12" t="str">
        <f aca="false">IF($D720="","",IFERROR(INDEX(품목목록!$C$3:$C$302,MATCH($D720,품목목록!$A$3:$A$302,0)),""))</f>
        <v/>
      </c>
      <c r="G720" s="12" t="str">
        <f aca="false">IF($D720="","",IFERROR(INDEX(품목목록!$D$3:$D$302,MATCH($D720,품목목록!$A$3:$A$302,0)),""))</f>
        <v/>
      </c>
      <c r="H720" s="12" t="str">
        <f aca="false">IF($D720="","",IFERROR(INDEX(품목목록!$E$3:$E$302,MATCH($D720,품목목록!$A$3:$A$302,0)),""))</f>
        <v/>
      </c>
      <c r="I720" s="14"/>
      <c r="J720" s="10"/>
      <c r="K720" s="10"/>
      <c r="L720" s="10"/>
      <c r="M720" s="15" t="str">
        <f aca="false">IF($A720="","",SUMIFS(처리내역!$E$3:$E$1502,처리내역!$B$3:$B$1502,$A720))</f>
        <v/>
      </c>
      <c r="N720" s="15" t="str">
        <f aca="false">IF($A720="","",IF($I720="","",$I720-$M720))</f>
        <v/>
      </c>
      <c r="O720" s="12" t="str">
        <f aca="false">IF($A720="","",IF($I720="","",IF($M720=0,"미처리",IF($N720&lt;=0,"완료","부분처리"))))</f>
        <v/>
      </c>
    </row>
    <row r="721" customFormat="false" ht="15" hidden="false" customHeight="true" outlineLevel="0" collapsed="false">
      <c r="A721" s="12" t="str">
        <f aca="false">IF($B721="","",TEXT($B721,"yymm")&amp;"-"&amp;TEXT(COUNTIFS($B$3:$B721,"&gt;="&amp;DATE(YEAR($B721),MONTH($B721),1),$B$3:$B721,"&lt;="&amp;EOMONTH($B721,0)),"000"))</f>
        <v/>
      </c>
      <c r="B721" s="13"/>
      <c r="C721" s="10"/>
      <c r="D721" s="10"/>
      <c r="E721" s="12" t="str">
        <f aca="false">IF($D721="","",IFERROR(INDEX(품목목록!$B$3:$B$302,MATCH($D721,품목목록!$A$3:$A$302,0)),"미등록품번"))</f>
        <v/>
      </c>
      <c r="F721" s="12" t="str">
        <f aca="false">IF($D721="","",IFERROR(INDEX(품목목록!$C$3:$C$302,MATCH($D721,품목목록!$A$3:$A$302,0)),""))</f>
        <v/>
      </c>
      <c r="G721" s="12" t="str">
        <f aca="false">IF($D721="","",IFERROR(INDEX(품목목록!$D$3:$D$302,MATCH($D721,품목목록!$A$3:$A$302,0)),""))</f>
        <v/>
      </c>
      <c r="H721" s="12" t="str">
        <f aca="false">IF($D721="","",IFERROR(INDEX(품목목록!$E$3:$E$302,MATCH($D721,품목목록!$A$3:$A$302,0)),""))</f>
        <v/>
      </c>
      <c r="I721" s="14"/>
      <c r="J721" s="10"/>
      <c r="K721" s="10"/>
      <c r="L721" s="10"/>
      <c r="M721" s="15" t="str">
        <f aca="false">IF($A721="","",SUMIFS(처리내역!$E$3:$E$1502,처리내역!$B$3:$B$1502,$A721))</f>
        <v/>
      </c>
      <c r="N721" s="15" t="str">
        <f aca="false">IF($A721="","",IF($I721="","",$I721-$M721))</f>
        <v/>
      </c>
      <c r="O721" s="12" t="str">
        <f aca="false">IF($A721="","",IF($I721="","",IF($M721=0,"미처리",IF($N721&lt;=0,"완료","부분처리"))))</f>
        <v/>
      </c>
    </row>
    <row r="722" customFormat="false" ht="15" hidden="false" customHeight="true" outlineLevel="0" collapsed="false">
      <c r="A722" s="12" t="str">
        <f aca="false">IF($B722="","",TEXT($B722,"yymm")&amp;"-"&amp;TEXT(COUNTIFS($B$3:$B722,"&gt;="&amp;DATE(YEAR($B722),MONTH($B722),1),$B$3:$B722,"&lt;="&amp;EOMONTH($B722,0)),"000"))</f>
        <v/>
      </c>
      <c r="B722" s="13"/>
      <c r="C722" s="10"/>
      <c r="D722" s="10"/>
      <c r="E722" s="12" t="str">
        <f aca="false">IF($D722="","",IFERROR(INDEX(품목목록!$B$3:$B$302,MATCH($D722,품목목록!$A$3:$A$302,0)),"미등록품번"))</f>
        <v/>
      </c>
      <c r="F722" s="12" t="str">
        <f aca="false">IF($D722="","",IFERROR(INDEX(품목목록!$C$3:$C$302,MATCH($D722,품목목록!$A$3:$A$302,0)),""))</f>
        <v/>
      </c>
      <c r="G722" s="12" t="str">
        <f aca="false">IF($D722="","",IFERROR(INDEX(품목목록!$D$3:$D$302,MATCH($D722,품목목록!$A$3:$A$302,0)),""))</f>
        <v/>
      </c>
      <c r="H722" s="12" t="str">
        <f aca="false">IF($D722="","",IFERROR(INDEX(품목목록!$E$3:$E$302,MATCH($D722,품목목록!$A$3:$A$302,0)),""))</f>
        <v/>
      </c>
      <c r="I722" s="14"/>
      <c r="J722" s="10"/>
      <c r="K722" s="10"/>
      <c r="L722" s="10"/>
      <c r="M722" s="15" t="str">
        <f aca="false">IF($A722="","",SUMIFS(처리내역!$E$3:$E$1502,처리내역!$B$3:$B$1502,$A722))</f>
        <v/>
      </c>
      <c r="N722" s="15" t="str">
        <f aca="false">IF($A722="","",IF($I722="","",$I722-$M722))</f>
        <v/>
      </c>
      <c r="O722" s="12" t="str">
        <f aca="false">IF($A722="","",IF($I722="","",IF($M722=0,"미처리",IF($N722&lt;=0,"완료","부분처리"))))</f>
        <v/>
      </c>
    </row>
    <row r="723" customFormat="false" ht="15" hidden="false" customHeight="true" outlineLevel="0" collapsed="false">
      <c r="A723" s="12" t="str">
        <f aca="false">IF($B723="","",TEXT($B723,"yymm")&amp;"-"&amp;TEXT(COUNTIFS($B$3:$B723,"&gt;="&amp;DATE(YEAR($B723),MONTH($B723),1),$B$3:$B723,"&lt;="&amp;EOMONTH($B723,0)),"000"))</f>
        <v/>
      </c>
      <c r="B723" s="13"/>
      <c r="C723" s="10"/>
      <c r="D723" s="10"/>
      <c r="E723" s="12" t="str">
        <f aca="false">IF($D723="","",IFERROR(INDEX(품목목록!$B$3:$B$302,MATCH($D723,품목목록!$A$3:$A$302,0)),"미등록품번"))</f>
        <v/>
      </c>
      <c r="F723" s="12" t="str">
        <f aca="false">IF($D723="","",IFERROR(INDEX(품목목록!$C$3:$C$302,MATCH($D723,품목목록!$A$3:$A$302,0)),""))</f>
        <v/>
      </c>
      <c r="G723" s="12" t="str">
        <f aca="false">IF($D723="","",IFERROR(INDEX(품목목록!$D$3:$D$302,MATCH($D723,품목목록!$A$3:$A$302,0)),""))</f>
        <v/>
      </c>
      <c r="H723" s="12" t="str">
        <f aca="false">IF($D723="","",IFERROR(INDEX(품목목록!$E$3:$E$302,MATCH($D723,품목목록!$A$3:$A$302,0)),""))</f>
        <v/>
      </c>
      <c r="I723" s="14"/>
      <c r="J723" s="10"/>
      <c r="K723" s="10"/>
      <c r="L723" s="10"/>
      <c r="M723" s="15" t="str">
        <f aca="false">IF($A723="","",SUMIFS(처리내역!$E$3:$E$1502,처리내역!$B$3:$B$1502,$A723))</f>
        <v/>
      </c>
      <c r="N723" s="15" t="str">
        <f aca="false">IF($A723="","",IF($I723="","",$I723-$M723))</f>
        <v/>
      </c>
      <c r="O723" s="12" t="str">
        <f aca="false">IF($A723="","",IF($I723="","",IF($M723=0,"미처리",IF($N723&lt;=0,"완료","부분처리"))))</f>
        <v/>
      </c>
    </row>
    <row r="724" customFormat="false" ht="15" hidden="false" customHeight="true" outlineLevel="0" collapsed="false">
      <c r="A724" s="12" t="str">
        <f aca="false">IF($B724="","",TEXT($B724,"yymm")&amp;"-"&amp;TEXT(COUNTIFS($B$3:$B724,"&gt;="&amp;DATE(YEAR($B724),MONTH($B724),1),$B$3:$B724,"&lt;="&amp;EOMONTH($B724,0)),"000"))</f>
        <v/>
      </c>
      <c r="B724" s="13"/>
      <c r="C724" s="10"/>
      <c r="D724" s="10"/>
      <c r="E724" s="12" t="str">
        <f aca="false">IF($D724="","",IFERROR(INDEX(품목목록!$B$3:$B$302,MATCH($D724,품목목록!$A$3:$A$302,0)),"미등록품번"))</f>
        <v/>
      </c>
      <c r="F724" s="12" t="str">
        <f aca="false">IF($D724="","",IFERROR(INDEX(품목목록!$C$3:$C$302,MATCH($D724,품목목록!$A$3:$A$302,0)),""))</f>
        <v/>
      </c>
      <c r="G724" s="12" t="str">
        <f aca="false">IF($D724="","",IFERROR(INDEX(품목목록!$D$3:$D$302,MATCH($D724,품목목록!$A$3:$A$302,0)),""))</f>
        <v/>
      </c>
      <c r="H724" s="12" t="str">
        <f aca="false">IF($D724="","",IFERROR(INDEX(품목목록!$E$3:$E$302,MATCH($D724,품목목록!$A$3:$A$302,0)),""))</f>
        <v/>
      </c>
      <c r="I724" s="14"/>
      <c r="J724" s="10"/>
      <c r="K724" s="10"/>
      <c r="L724" s="10"/>
      <c r="M724" s="15" t="str">
        <f aca="false">IF($A724="","",SUMIFS(처리내역!$E$3:$E$1502,처리내역!$B$3:$B$1502,$A724))</f>
        <v/>
      </c>
      <c r="N724" s="15" t="str">
        <f aca="false">IF($A724="","",IF($I724="","",$I724-$M724))</f>
        <v/>
      </c>
      <c r="O724" s="12" t="str">
        <f aca="false">IF($A724="","",IF($I724="","",IF($M724=0,"미처리",IF($N724&lt;=0,"완료","부분처리"))))</f>
        <v/>
      </c>
    </row>
    <row r="725" customFormat="false" ht="15" hidden="false" customHeight="true" outlineLevel="0" collapsed="false">
      <c r="A725" s="12" t="str">
        <f aca="false">IF($B725="","",TEXT($B725,"yymm")&amp;"-"&amp;TEXT(COUNTIFS($B$3:$B725,"&gt;="&amp;DATE(YEAR($B725),MONTH($B725),1),$B$3:$B725,"&lt;="&amp;EOMONTH($B725,0)),"000"))</f>
        <v/>
      </c>
      <c r="B725" s="13"/>
      <c r="C725" s="10"/>
      <c r="D725" s="10"/>
      <c r="E725" s="12" t="str">
        <f aca="false">IF($D725="","",IFERROR(INDEX(품목목록!$B$3:$B$302,MATCH($D725,품목목록!$A$3:$A$302,0)),"미등록품번"))</f>
        <v/>
      </c>
      <c r="F725" s="12" t="str">
        <f aca="false">IF($D725="","",IFERROR(INDEX(품목목록!$C$3:$C$302,MATCH($D725,품목목록!$A$3:$A$302,0)),""))</f>
        <v/>
      </c>
      <c r="G725" s="12" t="str">
        <f aca="false">IF($D725="","",IFERROR(INDEX(품목목록!$D$3:$D$302,MATCH($D725,품목목록!$A$3:$A$302,0)),""))</f>
        <v/>
      </c>
      <c r="H725" s="12" t="str">
        <f aca="false">IF($D725="","",IFERROR(INDEX(품목목록!$E$3:$E$302,MATCH($D725,품목목록!$A$3:$A$302,0)),""))</f>
        <v/>
      </c>
      <c r="I725" s="14"/>
      <c r="J725" s="10"/>
      <c r="K725" s="10"/>
      <c r="L725" s="10"/>
      <c r="M725" s="15" t="str">
        <f aca="false">IF($A725="","",SUMIFS(처리내역!$E$3:$E$1502,처리내역!$B$3:$B$1502,$A725))</f>
        <v/>
      </c>
      <c r="N725" s="15" t="str">
        <f aca="false">IF($A725="","",IF($I725="","",$I725-$M725))</f>
        <v/>
      </c>
      <c r="O725" s="12" t="str">
        <f aca="false">IF($A725="","",IF($I725="","",IF($M725=0,"미처리",IF($N725&lt;=0,"완료","부분처리"))))</f>
        <v/>
      </c>
    </row>
    <row r="726" customFormat="false" ht="15" hidden="false" customHeight="true" outlineLevel="0" collapsed="false">
      <c r="A726" s="12" t="str">
        <f aca="false">IF($B726="","",TEXT($B726,"yymm")&amp;"-"&amp;TEXT(COUNTIFS($B$3:$B726,"&gt;="&amp;DATE(YEAR($B726),MONTH($B726),1),$B$3:$B726,"&lt;="&amp;EOMONTH($B726,0)),"000"))</f>
        <v/>
      </c>
      <c r="B726" s="13"/>
      <c r="C726" s="10"/>
      <c r="D726" s="10"/>
      <c r="E726" s="12" t="str">
        <f aca="false">IF($D726="","",IFERROR(INDEX(품목목록!$B$3:$B$302,MATCH($D726,품목목록!$A$3:$A$302,0)),"미등록품번"))</f>
        <v/>
      </c>
      <c r="F726" s="12" t="str">
        <f aca="false">IF($D726="","",IFERROR(INDEX(품목목록!$C$3:$C$302,MATCH($D726,품목목록!$A$3:$A$302,0)),""))</f>
        <v/>
      </c>
      <c r="G726" s="12" t="str">
        <f aca="false">IF($D726="","",IFERROR(INDEX(품목목록!$D$3:$D$302,MATCH($D726,품목목록!$A$3:$A$302,0)),""))</f>
        <v/>
      </c>
      <c r="H726" s="12" t="str">
        <f aca="false">IF($D726="","",IFERROR(INDEX(품목목록!$E$3:$E$302,MATCH($D726,품목목록!$A$3:$A$302,0)),""))</f>
        <v/>
      </c>
      <c r="I726" s="14"/>
      <c r="J726" s="10"/>
      <c r="K726" s="10"/>
      <c r="L726" s="10"/>
      <c r="M726" s="15" t="str">
        <f aca="false">IF($A726="","",SUMIFS(처리내역!$E$3:$E$1502,처리내역!$B$3:$B$1502,$A726))</f>
        <v/>
      </c>
      <c r="N726" s="15" t="str">
        <f aca="false">IF($A726="","",IF($I726="","",$I726-$M726))</f>
        <v/>
      </c>
      <c r="O726" s="12" t="str">
        <f aca="false">IF($A726="","",IF($I726="","",IF($M726=0,"미처리",IF($N726&lt;=0,"완료","부분처리"))))</f>
        <v/>
      </c>
    </row>
    <row r="727" customFormat="false" ht="15" hidden="false" customHeight="true" outlineLevel="0" collapsed="false">
      <c r="A727" s="12" t="str">
        <f aca="false">IF($B727="","",TEXT($B727,"yymm")&amp;"-"&amp;TEXT(COUNTIFS($B$3:$B727,"&gt;="&amp;DATE(YEAR($B727),MONTH($B727),1),$B$3:$B727,"&lt;="&amp;EOMONTH($B727,0)),"000"))</f>
        <v/>
      </c>
      <c r="B727" s="13"/>
      <c r="C727" s="10"/>
      <c r="D727" s="10"/>
      <c r="E727" s="12" t="str">
        <f aca="false">IF($D727="","",IFERROR(INDEX(품목목록!$B$3:$B$302,MATCH($D727,품목목록!$A$3:$A$302,0)),"미등록품번"))</f>
        <v/>
      </c>
      <c r="F727" s="12" t="str">
        <f aca="false">IF($D727="","",IFERROR(INDEX(품목목록!$C$3:$C$302,MATCH($D727,품목목록!$A$3:$A$302,0)),""))</f>
        <v/>
      </c>
      <c r="G727" s="12" t="str">
        <f aca="false">IF($D727="","",IFERROR(INDEX(품목목록!$D$3:$D$302,MATCH($D727,품목목록!$A$3:$A$302,0)),""))</f>
        <v/>
      </c>
      <c r="H727" s="12" t="str">
        <f aca="false">IF($D727="","",IFERROR(INDEX(품목목록!$E$3:$E$302,MATCH($D727,품목목록!$A$3:$A$302,0)),""))</f>
        <v/>
      </c>
      <c r="I727" s="14"/>
      <c r="J727" s="10"/>
      <c r="K727" s="10"/>
      <c r="L727" s="10"/>
      <c r="M727" s="15" t="str">
        <f aca="false">IF($A727="","",SUMIFS(처리내역!$E$3:$E$1502,처리내역!$B$3:$B$1502,$A727))</f>
        <v/>
      </c>
      <c r="N727" s="15" t="str">
        <f aca="false">IF($A727="","",IF($I727="","",$I727-$M727))</f>
        <v/>
      </c>
      <c r="O727" s="12" t="str">
        <f aca="false">IF($A727="","",IF($I727="","",IF($M727=0,"미처리",IF($N727&lt;=0,"완료","부분처리"))))</f>
        <v/>
      </c>
    </row>
    <row r="728" customFormat="false" ht="15" hidden="false" customHeight="true" outlineLevel="0" collapsed="false">
      <c r="A728" s="12" t="str">
        <f aca="false">IF($B728="","",TEXT($B728,"yymm")&amp;"-"&amp;TEXT(COUNTIFS($B$3:$B728,"&gt;="&amp;DATE(YEAR($B728),MONTH($B728),1),$B$3:$B728,"&lt;="&amp;EOMONTH($B728,0)),"000"))</f>
        <v/>
      </c>
      <c r="B728" s="13"/>
      <c r="C728" s="10"/>
      <c r="D728" s="10"/>
      <c r="E728" s="12" t="str">
        <f aca="false">IF($D728="","",IFERROR(INDEX(품목목록!$B$3:$B$302,MATCH($D728,품목목록!$A$3:$A$302,0)),"미등록품번"))</f>
        <v/>
      </c>
      <c r="F728" s="12" t="str">
        <f aca="false">IF($D728="","",IFERROR(INDEX(품목목록!$C$3:$C$302,MATCH($D728,품목목록!$A$3:$A$302,0)),""))</f>
        <v/>
      </c>
      <c r="G728" s="12" t="str">
        <f aca="false">IF($D728="","",IFERROR(INDEX(품목목록!$D$3:$D$302,MATCH($D728,품목목록!$A$3:$A$302,0)),""))</f>
        <v/>
      </c>
      <c r="H728" s="12" t="str">
        <f aca="false">IF($D728="","",IFERROR(INDEX(품목목록!$E$3:$E$302,MATCH($D728,품목목록!$A$3:$A$302,0)),""))</f>
        <v/>
      </c>
      <c r="I728" s="14"/>
      <c r="J728" s="10"/>
      <c r="K728" s="10"/>
      <c r="L728" s="10"/>
      <c r="M728" s="15" t="str">
        <f aca="false">IF($A728="","",SUMIFS(처리내역!$E$3:$E$1502,처리내역!$B$3:$B$1502,$A728))</f>
        <v/>
      </c>
      <c r="N728" s="15" t="str">
        <f aca="false">IF($A728="","",IF($I728="","",$I728-$M728))</f>
        <v/>
      </c>
      <c r="O728" s="12" t="str">
        <f aca="false">IF($A728="","",IF($I728="","",IF($M728=0,"미처리",IF($N728&lt;=0,"완료","부분처리"))))</f>
        <v/>
      </c>
    </row>
    <row r="729" customFormat="false" ht="15" hidden="false" customHeight="true" outlineLevel="0" collapsed="false">
      <c r="A729" s="12" t="str">
        <f aca="false">IF($B729="","",TEXT($B729,"yymm")&amp;"-"&amp;TEXT(COUNTIFS($B$3:$B729,"&gt;="&amp;DATE(YEAR($B729),MONTH($B729),1),$B$3:$B729,"&lt;="&amp;EOMONTH($B729,0)),"000"))</f>
        <v/>
      </c>
      <c r="B729" s="13"/>
      <c r="C729" s="10"/>
      <c r="D729" s="10"/>
      <c r="E729" s="12" t="str">
        <f aca="false">IF($D729="","",IFERROR(INDEX(품목목록!$B$3:$B$302,MATCH($D729,품목목록!$A$3:$A$302,0)),"미등록품번"))</f>
        <v/>
      </c>
      <c r="F729" s="12" t="str">
        <f aca="false">IF($D729="","",IFERROR(INDEX(품목목록!$C$3:$C$302,MATCH($D729,품목목록!$A$3:$A$302,0)),""))</f>
        <v/>
      </c>
      <c r="G729" s="12" t="str">
        <f aca="false">IF($D729="","",IFERROR(INDEX(품목목록!$D$3:$D$302,MATCH($D729,품목목록!$A$3:$A$302,0)),""))</f>
        <v/>
      </c>
      <c r="H729" s="12" t="str">
        <f aca="false">IF($D729="","",IFERROR(INDEX(품목목록!$E$3:$E$302,MATCH($D729,품목목록!$A$3:$A$302,0)),""))</f>
        <v/>
      </c>
      <c r="I729" s="14"/>
      <c r="J729" s="10"/>
      <c r="K729" s="10"/>
      <c r="L729" s="10"/>
      <c r="M729" s="15" t="str">
        <f aca="false">IF($A729="","",SUMIFS(처리내역!$E$3:$E$1502,처리내역!$B$3:$B$1502,$A729))</f>
        <v/>
      </c>
      <c r="N729" s="15" t="str">
        <f aca="false">IF($A729="","",IF($I729="","",$I729-$M729))</f>
        <v/>
      </c>
      <c r="O729" s="12" t="str">
        <f aca="false">IF($A729="","",IF($I729="","",IF($M729=0,"미처리",IF($N729&lt;=0,"완료","부분처리"))))</f>
        <v/>
      </c>
    </row>
    <row r="730" customFormat="false" ht="15" hidden="false" customHeight="true" outlineLevel="0" collapsed="false">
      <c r="A730" s="12" t="str">
        <f aca="false">IF($B730="","",TEXT($B730,"yymm")&amp;"-"&amp;TEXT(COUNTIFS($B$3:$B730,"&gt;="&amp;DATE(YEAR($B730),MONTH($B730),1),$B$3:$B730,"&lt;="&amp;EOMONTH($B730,0)),"000"))</f>
        <v/>
      </c>
      <c r="B730" s="13"/>
      <c r="C730" s="10"/>
      <c r="D730" s="10"/>
      <c r="E730" s="12" t="str">
        <f aca="false">IF($D730="","",IFERROR(INDEX(품목목록!$B$3:$B$302,MATCH($D730,품목목록!$A$3:$A$302,0)),"미등록품번"))</f>
        <v/>
      </c>
      <c r="F730" s="12" t="str">
        <f aca="false">IF($D730="","",IFERROR(INDEX(품목목록!$C$3:$C$302,MATCH($D730,품목목록!$A$3:$A$302,0)),""))</f>
        <v/>
      </c>
      <c r="G730" s="12" t="str">
        <f aca="false">IF($D730="","",IFERROR(INDEX(품목목록!$D$3:$D$302,MATCH($D730,품목목록!$A$3:$A$302,0)),""))</f>
        <v/>
      </c>
      <c r="H730" s="12" t="str">
        <f aca="false">IF($D730="","",IFERROR(INDEX(품목목록!$E$3:$E$302,MATCH($D730,품목목록!$A$3:$A$302,0)),""))</f>
        <v/>
      </c>
      <c r="I730" s="14"/>
      <c r="J730" s="10"/>
      <c r="K730" s="10"/>
      <c r="L730" s="10"/>
      <c r="M730" s="15" t="str">
        <f aca="false">IF($A730="","",SUMIFS(처리내역!$E$3:$E$1502,처리내역!$B$3:$B$1502,$A730))</f>
        <v/>
      </c>
      <c r="N730" s="15" t="str">
        <f aca="false">IF($A730="","",IF($I730="","",$I730-$M730))</f>
        <v/>
      </c>
      <c r="O730" s="12" t="str">
        <f aca="false">IF($A730="","",IF($I730="","",IF($M730=0,"미처리",IF($N730&lt;=0,"완료","부분처리"))))</f>
        <v/>
      </c>
    </row>
    <row r="731" customFormat="false" ht="15" hidden="false" customHeight="true" outlineLevel="0" collapsed="false">
      <c r="A731" s="12" t="str">
        <f aca="false">IF($B731="","",TEXT($B731,"yymm")&amp;"-"&amp;TEXT(COUNTIFS($B$3:$B731,"&gt;="&amp;DATE(YEAR($B731),MONTH($B731),1),$B$3:$B731,"&lt;="&amp;EOMONTH($B731,0)),"000"))</f>
        <v/>
      </c>
      <c r="B731" s="13"/>
      <c r="C731" s="10"/>
      <c r="D731" s="10"/>
      <c r="E731" s="12" t="str">
        <f aca="false">IF($D731="","",IFERROR(INDEX(품목목록!$B$3:$B$302,MATCH($D731,품목목록!$A$3:$A$302,0)),"미등록품번"))</f>
        <v/>
      </c>
      <c r="F731" s="12" t="str">
        <f aca="false">IF($D731="","",IFERROR(INDEX(품목목록!$C$3:$C$302,MATCH($D731,품목목록!$A$3:$A$302,0)),""))</f>
        <v/>
      </c>
      <c r="G731" s="12" t="str">
        <f aca="false">IF($D731="","",IFERROR(INDEX(품목목록!$D$3:$D$302,MATCH($D731,품목목록!$A$3:$A$302,0)),""))</f>
        <v/>
      </c>
      <c r="H731" s="12" t="str">
        <f aca="false">IF($D731="","",IFERROR(INDEX(품목목록!$E$3:$E$302,MATCH($D731,품목목록!$A$3:$A$302,0)),""))</f>
        <v/>
      </c>
      <c r="I731" s="14"/>
      <c r="J731" s="10"/>
      <c r="K731" s="10"/>
      <c r="L731" s="10"/>
      <c r="M731" s="15" t="str">
        <f aca="false">IF($A731="","",SUMIFS(처리내역!$E$3:$E$1502,처리내역!$B$3:$B$1502,$A731))</f>
        <v/>
      </c>
      <c r="N731" s="15" t="str">
        <f aca="false">IF($A731="","",IF($I731="","",$I731-$M731))</f>
        <v/>
      </c>
      <c r="O731" s="12" t="str">
        <f aca="false">IF($A731="","",IF($I731="","",IF($M731=0,"미처리",IF($N731&lt;=0,"완료","부분처리"))))</f>
        <v/>
      </c>
    </row>
    <row r="732" customFormat="false" ht="15" hidden="false" customHeight="true" outlineLevel="0" collapsed="false">
      <c r="A732" s="12" t="str">
        <f aca="false">IF($B732="","",TEXT($B732,"yymm")&amp;"-"&amp;TEXT(COUNTIFS($B$3:$B732,"&gt;="&amp;DATE(YEAR($B732),MONTH($B732),1),$B$3:$B732,"&lt;="&amp;EOMONTH($B732,0)),"000"))</f>
        <v/>
      </c>
      <c r="B732" s="13"/>
      <c r="C732" s="10"/>
      <c r="D732" s="10"/>
      <c r="E732" s="12" t="str">
        <f aca="false">IF($D732="","",IFERROR(INDEX(품목목록!$B$3:$B$302,MATCH($D732,품목목록!$A$3:$A$302,0)),"미등록품번"))</f>
        <v/>
      </c>
      <c r="F732" s="12" t="str">
        <f aca="false">IF($D732="","",IFERROR(INDEX(품목목록!$C$3:$C$302,MATCH($D732,품목목록!$A$3:$A$302,0)),""))</f>
        <v/>
      </c>
      <c r="G732" s="12" t="str">
        <f aca="false">IF($D732="","",IFERROR(INDEX(품목목록!$D$3:$D$302,MATCH($D732,품목목록!$A$3:$A$302,0)),""))</f>
        <v/>
      </c>
      <c r="H732" s="12" t="str">
        <f aca="false">IF($D732="","",IFERROR(INDEX(품목목록!$E$3:$E$302,MATCH($D732,품목목록!$A$3:$A$302,0)),""))</f>
        <v/>
      </c>
      <c r="I732" s="14"/>
      <c r="J732" s="10"/>
      <c r="K732" s="10"/>
      <c r="L732" s="10"/>
      <c r="M732" s="15" t="str">
        <f aca="false">IF($A732="","",SUMIFS(처리내역!$E$3:$E$1502,처리내역!$B$3:$B$1502,$A732))</f>
        <v/>
      </c>
      <c r="N732" s="15" t="str">
        <f aca="false">IF($A732="","",IF($I732="","",$I732-$M732))</f>
        <v/>
      </c>
      <c r="O732" s="12" t="str">
        <f aca="false">IF($A732="","",IF($I732="","",IF($M732=0,"미처리",IF($N732&lt;=0,"완료","부분처리"))))</f>
        <v/>
      </c>
    </row>
    <row r="733" customFormat="false" ht="15" hidden="false" customHeight="true" outlineLevel="0" collapsed="false">
      <c r="A733" s="12" t="str">
        <f aca="false">IF($B733="","",TEXT($B733,"yymm")&amp;"-"&amp;TEXT(COUNTIFS($B$3:$B733,"&gt;="&amp;DATE(YEAR($B733),MONTH($B733),1),$B$3:$B733,"&lt;="&amp;EOMONTH($B733,0)),"000"))</f>
        <v/>
      </c>
      <c r="B733" s="13"/>
      <c r="C733" s="10"/>
      <c r="D733" s="10"/>
      <c r="E733" s="12" t="str">
        <f aca="false">IF($D733="","",IFERROR(INDEX(품목목록!$B$3:$B$302,MATCH($D733,품목목록!$A$3:$A$302,0)),"미등록품번"))</f>
        <v/>
      </c>
      <c r="F733" s="12" t="str">
        <f aca="false">IF($D733="","",IFERROR(INDEX(품목목록!$C$3:$C$302,MATCH($D733,품목목록!$A$3:$A$302,0)),""))</f>
        <v/>
      </c>
      <c r="G733" s="12" t="str">
        <f aca="false">IF($D733="","",IFERROR(INDEX(품목목록!$D$3:$D$302,MATCH($D733,품목목록!$A$3:$A$302,0)),""))</f>
        <v/>
      </c>
      <c r="H733" s="12" t="str">
        <f aca="false">IF($D733="","",IFERROR(INDEX(품목목록!$E$3:$E$302,MATCH($D733,품목목록!$A$3:$A$302,0)),""))</f>
        <v/>
      </c>
      <c r="I733" s="14"/>
      <c r="J733" s="10"/>
      <c r="K733" s="10"/>
      <c r="L733" s="10"/>
      <c r="M733" s="15" t="str">
        <f aca="false">IF($A733="","",SUMIFS(처리내역!$E$3:$E$1502,처리내역!$B$3:$B$1502,$A733))</f>
        <v/>
      </c>
      <c r="N733" s="15" t="str">
        <f aca="false">IF($A733="","",IF($I733="","",$I733-$M733))</f>
        <v/>
      </c>
      <c r="O733" s="12" t="str">
        <f aca="false">IF($A733="","",IF($I733="","",IF($M733=0,"미처리",IF($N733&lt;=0,"완료","부분처리"))))</f>
        <v/>
      </c>
    </row>
    <row r="734" customFormat="false" ht="15" hidden="false" customHeight="true" outlineLevel="0" collapsed="false">
      <c r="A734" s="12" t="str">
        <f aca="false">IF($B734="","",TEXT($B734,"yymm")&amp;"-"&amp;TEXT(COUNTIFS($B$3:$B734,"&gt;="&amp;DATE(YEAR($B734),MONTH($B734),1),$B$3:$B734,"&lt;="&amp;EOMONTH($B734,0)),"000"))</f>
        <v/>
      </c>
      <c r="B734" s="13"/>
      <c r="C734" s="10"/>
      <c r="D734" s="10"/>
      <c r="E734" s="12" t="str">
        <f aca="false">IF($D734="","",IFERROR(INDEX(품목목록!$B$3:$B$302,MATCH($D734,품목목록!$A$3:$A$302,0)),"미등록품번"))</f>
        <v/>
      </c>
      <c r="F734" s="12" t="str">
        <f aca="false">IF($D734="","",IFERROR(INDEX(품목목록!$C$3:$C$302,MATCH($D734,품목목록!$A$3:$A$302,0)),""))</f>
        <v/>
      </c>
      <c r="G734" s="12" t="str">
        <f aca="false">IF($D734="","",IFERROR(INDEX(품목목록!$D$3:$D$302,MATCH($D734,품목목록!$A$3:$A$302,0)),""))</f>
        <v/>
      </c>
      <c r="H734" s="12" t="str">
        <f aca="false">IF($D734="","",IFERROR(INDEX(품목목록!$E$3:$E$302,MATCH($D734,품목목록!$A$3:$A$302,0)),""))</f>
        <v/>
      </c>
      <c r="I734" s="14"/>
      <c r="J734" s="10"/>
      <c r="K734" s="10"/>
      <c r="L734" s="10"/>
      <c r="M734" s="15" t="str">
        <f aca="false">IF($A734="","",SUMIFS(처리내역!$E$3:$E$1502,처리내역!$B$3:$B$1502,$A734))</f>
        <v/>
      </c>
      <c r="N734" s="15" t="str">
        <f aca="false">IF($A734="","",IF($I734="","",$I734-$M734))</f>
        <v/>
      </c>
      <c r="O734" s="12" t="str">
        <f aca="false">IF($A734="","",IF($I734="","",IF($M734=0,"미처리",IF($N734&lt;=0,"완료","부분처리"))))</f>
        <v/>
      </c>
    </row>
    <row r="735" customFormat="false" ht="15" hidden="false" customHeight="true" outlineLevel="0" collapsed="false">
      <c r="A735" s="12" t="str">
        <f aca="false">IF($B735="","",TEXT($B735,"yymm")&amp;"-"&amp;TEXT(COUNTIFS($B$3:$B735,"&gt;="&amp;DATE(YEAR($B735),MONTH($B735),1),$B$3:$B735,"&lt;="&amp;EOMONTH($B735,0)),"000"))</f>
        <v/>
      </c>
      <c r="B735" s="13"/>
      <c r="C735" s="10"/>
      <c r="D735" s="10"/>
      <c r="E735" s="12" t="str">
        <f aca="false">IF($D735="","",IFERROR(INDEX(품목목록!$B$3:$B$302,MATCH($D735,품목목록!$A$3:$A$302,0)),"미등록품번"))</f>
        <v/>
      </c>
      <c r="F735" s="12" t="str">
        <f aca="false">IF($D735="","",IFERROR(INDEX(품목목록!$C$3:$C$302,MATCH($D735,품목목록!$A$3:$A$302,0)),""))</f>
        <v/>
      </c>
      <c r="G735" s="12" t="str">
        <f aca="false">IF($D735="","",IFERROR(INDEX(품목목록!$D$3:$D$302,MATCH($D735,품목목록!$A$3:$A$302,0)),""))</f>
        <v/>
      </c>
      <c r="H735" s="12" t="str">
        <f aca="false">IF($D735="","",IFERROR(INDEX(품목목록!$E$3:$E$302,MATCH($D735,품목목록!$A$3:$A$302,0)),""))</f>
        <v/>
      </c>
      <c r="I735" s="14"/>
      <c r="J735" s="10"/>
      <c r="K735" s="10"/>
      <c r="L735" s="10"/>
      <c r="M735" s="15" t="str">
        <f aca="false">IF($A735="","",SUMIFS(처리내역!$E$3:$E$1502,처리내역!$B$3:$B$1502,$A735))</f>
        <v/>
      </c>
      <c r="N735" s="15" t="str">
        <f aca="false">IF($A735="","",IF($I735="","",$I735-$M735))</f>
        <v/>
      </c>
      <c r="O735" s="12" t="str">
        <f aca="false">IF($A735="","",IF($I735="","",IF($M735=0,"미처리",IF($N735&lt;=0,"완료","부분처리"))))</f>
        <v/>
      </c>
    </row>
    <row r="736" customFormat="false" ht="15" hidden="false" customHeight="true" outlineLevel="0" collapsed="false">
      <c r="A736" s="12" t="str">
        <f aca="false">IF($B736="","",TEXT($B736,"yymm")&amp;"-"&amp;TEXT(COUNTIFS($B$3:$B736,"&gt;="&amp;DATE(YEAR($B736),MONTH($B736),1),$B$3:$B736,"&lt;="&amp;EOMONTH($B736,0)),"000"))</f>
        <v/>
      </c>
      <c r="B736" s="13"/>
      <c r="C736" s="10"/>
      <c r="D736" s="10"/>
      <c r="E736" s="12" t="str">
        <f aca="false">IF($D736="","",IFERROR(INDEX(품목목록!$B$3:$B$302,MATCH($D736,품목목록!$A$3:$A$302,0)),"미등록품번"))</f>
        <v/>
      </c>
      <c r="F736" s="12" t="str">
        <f aca="false">IF($D736="","",IFERROR(INDEX(품목목록!$C$3:$C$302,MATCH($D736,품목목록!$A$3:$A$302,0)),""))</f>
        <v/>
      </c>
      <c r="G736" s="12" t="str">
        <f aca="false">IF($D736="","",IFERROR(INDEX(품목목록!$D$3:$D$302,MATCH($D736,품목목록!$A$3:$A$302,0)),""))</f>
        <v/>
      </c>
      <c r="H736" s="12" t="str">
        <f aca="false">IF($D736="","",IFERROR(INDEX(품목목록!$E$3:$E$302,MATCH($D736,품목목록!$A$3:$A$302,0)),""))</f>
        <v/>
      </c>
      <c r="I736" s="14"/>
      <c r="J736" s="10"/>
      <c r="K736" s="10"/>
      <c r="L736" s="10"/>
      <c r="M736" s="15" t="str">
        <f aca="false">IF($A736="","",SUMIFS(처리내역!$E$3:$E$1502,처리내역!$B$3:$B$1502,$A736))</f>
        <v/>
      </c>
      <c r="N736" s="15" t="str">
        <f aca="false">IF($A736="","",IF($I736="","",$I736-$M736))</f>
        <v/>
      </c>
      <c r="O736" s="12" t="str">
        <f aca="false">IF($A736="","",IF($I736="","",IF($M736=0,"미처리",IF($N736&lt;=0,"완료","부분처리"))))</f>
        <v/>
      </c>
    </row>
    <row r="737" customFormat="false" ht="15" hidden="false" customHeight="true" outlineLevel="0" collapsed="false">
      <c r="A737" s="12" t="str">
        <f aca="false">IF($B737="","",TEXT($B737,"yymm")&amp;"-"&amp;TEXT(COUNTIFS($B$3:$B737,"&gt;="&amp;DATE(YEAR($B737),MONTH($B737),1),$B$3:$B737,"&lt;="&amp;EOMONTH($B737,0)),"000"))</f>
        <v/>
      </c>
      <c r="B737" s="13"/>
      <c r="C737" s="10"/>
      <c r="D737" s="10"/>
      <c r="E737" s="12" t="str">
        <f aca="false">IF($D737="","",IFERROR(INDEX(품목목록!$B$3:$B$302,MATCH($D737,품목목록!$A$3:$A$302,0)),"미등록품번"))</f>
        <v/>
      </c>
      <c r="F737" s="12" t="str">
        <f aca="false">IF($D737="","",IFERROR(INDEX(품목목록!$C$3:$C$302,MATCH($D737,품목목록!$A$3:$A$302,0)),""))</f>
        <v/>
      </c>
      <c r="G737" s="12" t="str">
        <f aca="false">IF($D737="","",IFERROR(INDEX(품목목록!$D$3:$D$302,MATCH($D737,품목목록!$A$3:$A$302,0)),""))</f>
        <v/>
      </c>
      <c r="H737" s="12" t="str">
        <f aca="false">IF($D737="","",IFERROR(INDEX(품목목록!$E$3:$E$302,MATCH($D737,품목목록!$A$3:$A$302,0)),""))</f>
        <v/>
      </c>
      <c r="I737" s="14"/>
      <c r="J737" s="10"/>
      <c r="K737" s="10"/>
      <c r="L737" s="10"/>
      <c r="M737" s="15" t="str">
        <f aca="false">IF($A737="","",SUMIFS(처리내역!$E$3:$E$1502,처리내역!$B$3:$B$1502,$A737))</f>
        <v/>
      </c>
      <c r="N737" s="15" t="str">
        <f aca="false">IF($A737="","",IF($I737="","",$I737-$M737))</f>
        <v/>
      </c>
      <c r="O737" s="12" t="str">
        <f aca="false">IF($A737="","",IF($I737="","",IF($M737=0,"미처리",IF($N737&lt;=0,"완료","부분처리"))))</f>
        <v/>
      </c>
    </row>
    <row r="738" customFormat="false" ht="15" hidden="false" customHeight="true" outlineLevel="0" collapsed="false">
      <c r="A738" s="12" t="str">
        <f aca="false">IF($B738="","",TEXT($B738,"yymm")&amp;"-"&amp;TEXT(COUNTIFS($B$3:$B738,"&gt;="&amp;DATE(YEAR($B738),MONTH($B738),1),$B$3:$B738,"&lt;="&amp;EOMONTH($B738,0)),"000"))</f>
        <v/>
      </c>
      <c r="B738" s="13"/>
      <c r="C738" s="10"/>
      <c r="D738" s="10"/>
      <c r="E738" s="12" t="str">
        <f aca="false">IF($D738="","",IFERROR(INDEX(품목목록!$B$3:$B$302,MATCH($D738,품목목록!$A$3:$A$302,0)),"미등록품번"))</f>
        <v/>
      </c>
      <c r="F738" s="12" t="str">
        <f aca="false">IF($D738="","",IFERROR(INDEX(품목목록!$C$3:$C$302,MATCH($D738,품목목록!$A$3:$A$302,0)),""))</f>
        <v/>
      </c>
      <c r="G738" s="12" t="str">
        <f aca="false">IF($D738="","",IFERROR(INDEX(품목목록!$D$3:$D$302,MATCH($D738,품목목록!$A$3:$A$302,0)),""))</f>
        <v/>
      </c>
      <c r="H738" s="12" t="str">
        <f aca="false">IF($D738="","",IFERROR(INDEX(품목목록!$E$3:$E$302,MATCH($D738,품목목록!$A$3:$A$302,0)),""))</f>
        <v/>
      </c>
      <c r="I738" s="14"/>
      <c r="J738" s="10"/>
      <c r="K738" s="10"/>
      <c r="L738" s="10"/>
      <c r="M738" s="15" t="str">
        <f aca="false">IF($A738="","",SUMIFS(처리내역!$E$3:$E$1502,처리내역!$B$3:$B$1502,$A738))</f>
        <v/>
      </c>
      <c r="N738" s="15" t="str">
        <f aca="false">IF($A738="","",IF($I738="","",$I738-$M738))</f>
        <v/>
      </c>
      <c r="O738" s="12" t="str">
        <f aca="false">IF($A738="","",IF($I738="","",IF($M738=0,"미처리",IF($N738&lt;=0,"완료","부분처리"))))</f>
        <v/>
      </c>
    </row>
    <row r="739" customFormat="false" ht="15" hidden="false" customHeight="true" outlineLevel="0" collapsed="false">
      <c r="A739" s="12" t="str">
        <f aca="false">IF($B739="","",TEXT($B739,"yymm")&amp;"-"&amp;TEXT(COUNTIFS($B$3:$B739,"&gt;="&amp;DATE(YEAR($B739),MONTH($B739),1),$B$3:$B739,"&lt;="&amp;EOMONTH($B739,0)),"000"))</f>
        <v/>
      </c>
      <c r="B739" s="13"/>
      <c r="C739" s="10"/>
      <c r="D739" s="10"/>
      <c r="E739" s="12" t="str">
        <f aca="false">IF($D739="","",IFERROR(INDEX(품목목록!$B$3:$B$302,MATCH($D739,품목목록!$A$3:$A$302,0)),"미등록품번"))</f>
        <v/>
      </c>
      <c r="F739" s="12" t="str">
        <f aca="false">IF($D739="","",IFERROR(INDEX(품목목록!$C$3:$C$302,MATCH($D739,품목목록!$A$3:$A$302,0)),""))</f>
        <v/>
      </c>
      <c r="G739" s="12" t="str">
        <f aca="false">IF($D739="","",IFERROR(INDEX(품목목록!$D$3:$D$302,MATCH($D739,품목목록!$A$3:$A$302,0)),""))</f>
        <v/>
      </c>
      <c r="H739" s="12" t="str">
        <f aca="false">IF($D739="","",IFERROR(INDEX(품목목록!$E$3:$E$302,MATCH($D739,품목목록!$A$3:$A$302,0)),""))</f>
        <v/>
      </c>
      <c r="I739" s="14"/>
      <c r="J739" s="10"/>
      <c r="K739" s="10"/>
      <c r="L739" s="10"/>
      <c r="M739" s="15" t="str">
        <f aca="false">IF($A739="","",SUMIFS(처리내역!$E$3:$E$1502,처리내역!$B$3:$B$1502,$A739))</f>
        <v/>
      </c>
      <c r="N739" s="15" t="str">
        <f aca="false">IF($A739="","",IF($I739="","",$I739-$M739))</f>
        <v/>
      </c>
      <c r="O739" s="12" t="str">
        <f aca="false">IF($A739="","",IF($I739="","",IF($M739=0,"미처리",IF($N739&lt;=0,"완료","부분처리"))))</f>
        <v/>
      </c>
    </row>
    <row r="740" customFormat="false" ht="15" hidden="false" customHeight="true" outlineLevel="0" collapsed="false">
      <c r="A740" s="12" t="str">
        <f aca="false">IF($B740="","",TEXT($B740,"yymm")&amp;"-"&amp;TEXT(COUNTIFS($B$3:$B740,"&gt;="&amp;DATE(YEAR($B740),MONTH($B740),1),$B$3:$B740,"&lt;="&amp;EOMONTH($B740,0)),"000"))</f>
        <v/>
      </c>
      <c r="B740" s="13"/>
      <c r="C740" s="10"/>
      <c r="D740" s="10"/>
      <c r="E740" s="12" t="str">
        <f aca="false">IF($D740="","",IFERROR(INDEX(품목목록!$B$3:$B$302,MATCH($D740,품목목록!$A$3:$A$302,0)),"미등록품번"))</f>
        <v/>
      </c>
      <c r="F740" s="12" t="str">
        <f aca="false">IF($D740="","",IFERROR(INDEX(품목목록!$C$3:$C$302,MATCH($D740,품목목록!$A$3:$A$302,0)),""))</f>
        <v/>
      </c>
      <c r="G740" s="12" t="str">
        <f aca="false">IF($D740="","",IFERROR(INDEX(품목목록!$D$3:$D$302,MATCH($D740,품목목록!$A$3:$A$302,0)),""))</f>
        <v/>
      </c>
      <c r="H740" s="12" t="str">
        <f aca="false">IF($D740="","",IFERROR(INDEX(품목목록!$E$3:$E$302,MATCH($D740,품목목록!$A$3:$A$302,0)),""))</f>
        <v/>
      </c>
      <c r="I740" s="14"/>
      <c r="J740" s="10"/>
      <c r="K740" s="10"/>
      <c r="L740" s="10"/>
      <c r="M740" s="15" t="str">
        <f aca="false">IF($A740="","",SUMIFS(처리내역!$E$3:$E$1502,처리내역!$B$3:$B$1502,$A740))</f>
        <v/>
      </c>
      <c r="N740" s="15" t="str">
        <f aca="false">IF($A740="","",IF($I740="","",$I740-$M740))</f>
        <v/>
      </c>
      <c r="O740" s="12" t="str">
        <f aca="false">IF($A740="","",IF($I740="","",IF($M740=0,"미처리",IF($N740&lt;=0,"완료","부분처리"))))</f>
        <v/>
      </c>
    </row>
    <row r="741" customFormat="false" ht="15" hidden="false" customHeight="true" outlineLevel="0" collapsed="false">
      <c r="A741" s="12" t="str">
        <f aca="false">IF($B741="","",TEXT($B741,"yymm")&amp;"-"&amp;TEXT(COUNTIFS($B$3:$B741,"&gt;="&amp;DATE(YEAR($B741),MONTH($B741),1),$B$3:$B741,"&lt;="&amp;EOMONTH($B741,0)),"000"))</f>
        <v/>
      </c>
      <c r="B741" s="13"/>
      <c r="C741" s="10"/>
      <c r="D741" s="10"/>
      <c r="E741" s="12" t="str">
        <f aca="false">IF($D741="","",IFERROR(INDEX(품목목록!$B$3:$B$302,MATCH($D741,품목목록!$A$3:$A$302,0)),"미등록품번"))</f>
        <v/>
      </c>
      <c r="F741" s="12" t="str">
        <f aca="false">IF($D741="","",IFERROR(INDEX(품목목록!$C$3:$C$302,MATCH($D741,품목목록!$A$3:$A$302,0)),""))</f>
        <v/>
      </c>
      <c r="G741" s="12" t="str">
        <f aca="false">IF($D741="","",IFERROR(INDEX(품목목록!$D$3:$D$302,MATCH($D741,품목목록!$A$3:$A$302,0)),""))</f>
        <v/>
      </c>
      <c r="H741" s="12" t="str">
        <f aca="false">IF($D741="","",IFERROR(INDEX(품목목록!$E$3:$E$302,MATCH($D741,품목목록!$A$3:$A$302,0)),""))</f>
        <v/>
      </c>
      <c r="I741" s="14"/>
      <c r="J741" s="10"/>
      <c r="K741" s="10"/>
      <c r="L741" s="10"/>
      <c r="M741" s="15" t="str">
        <f aca="false">IF($A741="","",SUMIFS(처리내역!$E$3:$E$1502,처리내역!$B$3:$B$1502,$A741))</f>
        <v/>
      </c>
      <c r="N741" s="15" t="str">
        <f aca="false">IF($A741="","",IF($I741="","",$I741-$M741))</f>
        <v/>
      </c>
      <c r="O741" s="12" t="str">
        <f aca="false">IF($A741="","",IF($I741="","",IF($M741=0,"미처리",IF($N741&lt;=0,"완료","부분처리"))))</f>
        <v/>
      </c>
    </row>
    <row r="742" customFormat="false" ht="15" hidden="false" customHeight="true" outlineLevel="0" collapsed="false">
      <c r="A742" s="12" t="str">
        <f aca="false">IF($B742="","",TEXT($B742,"yymm")&amp;"-"&amp;TEXT(COUNTIFS($B$3:$B742,"&gt;="&amp;DATE(YEAR($B742),MONTH($B742),1),$B$3:$B742,"&lt;="&amp;EOMONTH($B742,0)),"000"))</f>
        <v/>
      </c>
      <c r="B742" s="13"/>
      <c r="C742" s="10"/>
      <c r="D742" s="10"/>
      <c r="E742" s="12" t="str">
        <f aca="false">IF($D742="","",IFERROR(INDEX(품목목록!$B$3:$B$302,MATCH($D742,품목목록!$A$3:$A$302,0)),"미등록품번"))</f>
        <v/>
      </c>
      <c r="F742" s="12" t="str">
        <f aca="false">IF($D742="","",IFERROR(INDEX(품목목록!$C$3:$C$302,MATCH($D742,품목목록!$A$3:$A$302,0)),""))</f>
        <v/>
      </c>
      <c r="G742" s="12" t="str">
        <f aca="false">IF($D742="","",IFERROR(INDEX(품목목록!$D$3:$D$302,MATCH($D742,품목목록!$A$3:$A$302,0)),""))</f>
        <v/>
      </c>
      <c r="H742" s="12" t="str">
        <f aca="false">IF($D742="","",IFERROR(INDEX(품목목록!$E$3:$E$302,MATCH($D742,품목목록!$A$3:$A$302,0)),""))</f>
        <v/>
      </c>
      <c r="I742" s="14"/>
      <c r="J742" s="10"/>
      <c r="K742" s="10"/>
      <c r="L742" s="10"/>
      <c r="M742" s="15" t="str">
        <f aca="false">IF($A742="","",SUMIFS(처리내역!$E$3:$E$1502,처리내역!$B$3:$B$1502,$A742))</f>
        <v/>
      </c>
      <c r="N742" s="15" t="str">
        <f aca="false">IF($A742="","",IF($I742="","",$I742-$M742))</f>
        <v/>
      </c>
      <c r="O742" s="12" t="str">
        <f aca="false">IF($A742="","",IF($I742="","",IF($M742=0,"미처리",IF($N742&lt;=0,"완료","부분처리"))))</f>
        <v/>
      </c>
    </row>
    <row r="743" customFormat="false" ht="15" hidden="false" customHeight="true" outlineLevel="0" collapsed="false">
      <c r="A743" s="12" t="str">
        <f aca="false">IF($B743="","",TEXT($B743,"yymm")&amp;"-"&amp;TEXT(COUNTIFS($B$3:$B743,"&gt;="&amp;DATE(YEAR($B743),MONTH($B743),1),$B$3:$B743,"&lt;="&amp;EOMONTH($B743,0)),"000"))</f>
        <v/>
      </c>
      <c r="B743" s="13"/>
      <c r="C743" s="10"/>
      <c r="D743" s="10"/>
      <c r="E743" s="12" t="str">
        <f aca="false">IF($D743="","",IFERROR(INDEX(품목목록!$B$3:$B$302,MATCH($D743,품목목록!$A$3:$A$302,0)),"미등록품번"))</f>
        <v/>
      </c>
      <c r="F743" s="12" t="str">
        <f aca="false">IF($D743="","",IFERROR(INDEX(품목목록!$C$3:$C$302,MATCH($D743,품목목록!$A$3:$A$302,0)),""))</f>
        <v/>
      </c>
      <c r="G743" s="12" t="str">
        <f aca="false">IF($D743="","",IFERROR(INDEX(품목목록!$D$3:$D$302,MATCH($D743,품목목록!$A$3:$A$302,0)),""))</f>
        <v/>
      </c>
      <c r="H743" s="12" t="str">
        <f aca="false">IF($D743="","",IFERROR(INDEX(품목목록!$E$3:$E$302,MATCH($D743,품목목록!$A$3:$A$302,0)),""))</f>
        <v/>
      </c>
      <c r="I743" s="14"/>
      <c r="J743" s="10"/>
      <c r="K743" s="10"/>
      <c r="L743" s="10"/>
      <c r="M743" s="15" t="str">
        <f aca="false">IF($A743="","",SUMIFS(처리내역!$E$3:$E$1502,처리내역!$B$3:$B$1502,$A743))</f>
        <v/>
      </c>
      <c r="N743" s="15" t="str">
        <f aca="false">IF($A743="","",IF($I743="","",$I743-$M743))</f>
        <v/>
      </c>
      <c r="O743" s="12" t="str">
        <f aca="false">IF($A743="","",IF($I743="","",IF($M743=0,"미처리",IF($N743&lt;=0,"완료","부분처리"))))</f>
        <v/>
      </c>
    </row>
    <row r="744" customFormat="false" ht="15" hidden="false" customHeight="true" outlineLevel="0" collapsed="false">
      <c r="A744" s="12" t="str">
        <f aca="false">IF($B744="","",TEXT($B744,"yymm")&amp;"-"&amp;TEXT(COUNTIFS($B$3:$B744,"&gt;="&amp;DATE(YEAR($B744),MONTH($B744),1),$B$3:$B744,"&lt;="&amp;EOMONTH($B744,0)),"000"))</f>
        <v/>
      </c>
      <c r="B744" s="13"/>
      <c r="C744" s="10"/>
      <c r="D744" s="10"/>
      <c r="E744" s="12" t="str">
        <f aca="false">IF($D744="","",IFERROR(INDEX(품목목록!$B$3:$B$302,MATCH($D744,품목목록!$A$3:$A$302,0)),"미등록품번"))</f>
        <v/>
      </c>
      <c r="F744" s="12" t="str">
        <f aca="false">IF($D744="","",IFERROR(INDEX(품목목록!$C$3:$C$302,MATCH($D744,품목목록!$A$3:$A$302,0)),""))</f>
        <v/>
      </c>
      <c r="G744" s="12" t="str">
        <f aca="false">IF($D744="","",IFERROR(INDEX(품목목록!$D$3:$D$302,MATCH($D744,품목목록!$A$3:$A$302,0)),""))</f>
        <v/>
      </c>
      <c r="H744" s="12" t="str">
        <f aca="false">IF($D744="","",IFERROR(INDEX(품목목록!$E$3:$E$302,MATCH($D744,품목목록!$A$3:$A$302,0)),""))</f>
        <v/>
      </c>
      <c r="I744" s="14"/>
      <c r="J744" s="10"/>
      <c r="K744" s="10"/>
      <c r="L744" s="10"/>
      <c r="M744" s="15" t="str">
        <f aca="false">IF($A744="","",SUMIFS(처리내역!$E$3:$E$1502,처리내역!$B$3:$B$1502,$A744))</f>
        <v/>
      </c>
      <c r="N744" s="15" t="str">
        <f aca="false">IF($A744="","",IF($I744="","",$I744-$M744))</f>
        <v/>
      </c>
      <c r="O744" s="12" t="str">
        <f aca="false">IF($A744="","",IF($I744="","",IF($M744=0,"미처리",IF($N744&lt;=0,"완료","부분처리"))))</f>
        <v/>
      </c>
    </row>
    <row r="745" customFormat="false" ht="15" hidden="false" customHeight="true" outlineLevel="0" collapsed="false">
      <c r="A745" s="12" t="str">
        <f aca="false">IF($B745="","",TEXT($B745,"yymm")&amp;"-"&amp;TEXT(COUNTIFS($B$3:$B745,"&gt;="&amp;DATE(YEAR($B745),MONTH($B745),1),$B$3:$B745,"&lt;="&amp;EOMONTH($B745,0)),"000"))</f>
        <v/>
      </c>
      <c r="B745" s="13"/>
      <c r="C745" s="10"/>
      <c r="D745" s="10"/>
      <c r="E745" s="12" t="str">
        <f aca="false">IF($D745="","",IFERROR(INDEX(품목목록!$B$3:$B$302,MATCH($D745,품목목록!$A$3:$A$302,0)),"미등록품번"))</f>
        <v/>
      </c>
      <c r="F745" s="12" t="str">
        <f aca="false">IF($D745="","",IFERROR(INDEX(품목목록!$C$3:$C$302,MATCH($D745,품목목록!$A$3:$A$302,0)),""))</f>
        <v/>
      </c>
      <c r="G745" s="12" t="str">
        <f aca="false">IF($D745="","",IFERROR(INDEX(품목목록!$D$3:$D$302,MATCH($D745,품목목록!$A$3:$A$302,0)),""))</f>
        <v/>
      </c>
      <c r="H745" s="12" t="str">
        <f aca="false">IF($D745="","",IFERROR(INDEX(품목목록!$E$3:$E$302,MATCH($D745,품목목록!$A$3:$A$302,0)),""))</f>
        <v/>
      </c>
      <c r="I745" s="14"/>
      <c r="J745" s="10"/>
      <c r="K745" s="10"/>
      <c r="L745" s="10"/>
      <c r="M745" s="15" t="str">
        <f aca="false">IF($A745="","",SUMIFS(처리내역!$E$3:$E$1502,처리내역!$B$3:$B$1502,$A745))</f>
        <v/>
      </c>
      <c r="N745" s="15" t="str">
        <f aca="false">IF($A745="","",IF($I745="","",$I745-$M745))</f>
        <v/>
      </c>
      <c r="O745" s="12" t="str">
        <f aca="false">IF($A745="","",IF($I745="","",IF($M745=0,"미처리",IF($N745&lt;=0,"완료","부분처리"))))</f>
        <v/>
      </c>
    </row>
    <row r="746" customFormat="false" ht="15" hidden="false" customHeight="true" outlineLevel="0" collapsed="false">
      <c r="A746" s="12" t="str">
        <f aca="false">IF($B746="","",TEXT($B746,"yymm")&amp;"-"&amp;TEXT(COUNTIFS($B$3:$B746,"&gt;="&amp;DATE(YEAR($B746),MONTH($B746),1),$B$3:$B746,"&lt;="&amp;EOMONTH($B746,0)),"000"))</f>
        <v/>
      </c>
      <c r="B746" s="13"/>
      <c r="C746" s="10"/>
      <c r="D746" s="10"/>
      <c r="E746" s="12" t="str">
        <f aca="false">IF($D746="","",IFERROR(INDEX(품목목록!$B$3:$B$302,MATCH($D746,품목목록!$A$3:$A$302,0)),"미등록품번"))</f>
        <v/>
      </c>
      <c r="F746" s="12" t="str">
        <f aca="false">IF($D746="","",IFERROR(INDEX(품목목록!$C$3:$C$302,MATCH($D746,품목목록!$A$3:$A$302,0)),""))</f>
        <v/>
      </c>
      <c r="G746" s="12" t="str">
        <f aca="false">IF($D746="","",IFERROR(INDEX(품목목록!$D$3:$D$302,MATCH($D746,품목목록!$A$3:$A$302,0)),""))</f>
        <v/>
      </c>
      <c r="H746" s="12" t="str">
        <f aca="false">IF($D746="","",IFERROR(INDEX(품목목록!$E$3:$E$302,MATCH($D746,품목목록!$A$3:$A$302,0)),""))</f>
        <v/>
      </c>
      <c r="I746" s="14"/>
      <c r="J746" s="10"/>
      <c r="K746" s="10"/>
      <c r="L746" s="10"/>
      <c r="M746" s="15" t="str">
        <f aca="false">IF($A746="","",SUMIFS(처리내역!$E$3:$E$1502,처리내역!$B$3:$B$1502,$A746))</f>
        <v/>
      </c>
      <c r="N746" s="15" t="str">
        <f aca="false">IF($A746="","",IF($I746="","",$I746-$M746))</f>
        <v/>
      </c>
      <c r="O746" s="12" t="str">
        <f aca="false">IF($A746="","",IF($I746="","",IF($M746=0,"미처리",IF($N746&lt;=0,"완료","부분처리"))))</f>
        <v/>
      </c>
    </row>
    <row r="747" customFormat="false" ht="15" hidden="false" customHeight="true" outlineLevel="0" collapsed="false">
      <c r="A747" s="12" t="str">
        <f aca="false">IF($B747="","",TEXT($B747,"yymm")&amp;"-"&amp;TEXT(COUNTIFS($B$3:$B747,"&gt;="&amp;DATE(YEAR($B747),MONTH($B747),1),$B$3:$B747,"&lt;="&amp;EOMONTH($B747,0)),"000"))</f>
        <v/>
      </c>
      <c r="B747" s="13"/>
      <c r="C747" s="10"/>
      <c r="D747" s="10"/>
      <c r="E747" s="12" t="str">
        <f aca="false">IF($D747="","",IFERROR(INDEX(품목목록!$B$3:$B$302,MATCH($D747,품목목록!$A$3:$A$302,0)),"미등록품번"))</f>
        <v/>
      </c>
      <c r="F747" s="12" t="str">
        <f aca="false">IF($D747="","",IFERROR(INDEX(품목목록!$C$3:$C$302,MATCH($D747,품목목록!$A$3:$A$302,0)),""))</f>
        <v/>
      </c>
      <c r="G747" s="12" t="str">
        <f aca="false">IF($D747="","",IFERROR(INDEX(품목목록!$D$3:$D$302,MATCH($D747,품목목록!$A$3:$A$302,0)),""))</f>
        <v/>
      </c>
      <c r="H747" s="12" t="str">
        <f aca="false">IF($D747="","",IFERROR(INDEX(품목목록!$E$3:$E$302,MATCH($D747,품목목록!$A$3:$A$302,0)),""))</f>
        <v/>
      </c>
      <c r="I747" s="14"/>
      <c r="J747" s="10"/>
      <c r="K747" s="10"/>
      <c r="L747" s="10"/>
      <c r="M747" s="15" t="str">
        <f aca="false">IF($A747="","",SUMIFS(처리내역!$E$3:$E$1502,처리내역!$B$3:$B$1502,$A747))</f>
        <v/>
      </c>
      <c r="N747" s="15" t="str">
        <f aca="false">IF($A747="","",IF($I747="","",$I747-$M747))</f>
        <v/>
      </c>
      <c r="O747" s="12" t="str">
        <f aca="false">IF($A747="","",IF($I747="","",IF($M747=0,"미처리",IF($N747&lt;=0,"완료","부분처리"))))</f>
        <v/>
      </c>
    </row>
    <row r="748" customFormat="false" ht="15" hidden="false" customHeight="true" outlineLevel="0" collapsed="false">
      <c r="A748" s="12" t="str">
        <f aca="false">IF($B748="","",TEXT($B748,"yymm")&amp;"-"&amp;TEXT(COUNTIFS($B$3:$B748,"&gt;="&amp;DATE(YEAR($B748),MONTH($B748),1),$B$3:$B748,"&lt;="&amp;EOMONTH($B748,0)),"000"))</f>
        <v/>
      </c>
      <c r="B748" s="13"/>
      <c r="C748" s="10"/>
      <c r="D748" s="10"/>
      <c r="E748" s="12" t="str">
        <f aca="false">IF($D748="","",IFERROR(INDEX(품목목록!$B$3:$B$302,MATCH($D748,품목목록!$A$3:$A$302,0)),"미등록품번"))</f>
        <v/>
      </c>
      <c r="F748" s="12" t="str">
        <f aca="false">IF($D748="","",IFERROR(INDEX(품목목록!$C$3:$C$302,MATCH($D748,품목목록!$A$3:$A$302,0)),""))</f>
        <v/>
      </c>
      <c r="G748" s="12" t="str">
        <f aca="false">IF($D748="","",IFERROR(INDEX(품목목록!$D$3:$D$302,MATCH($D748,품목목록!$A$3:$A$302,0)),""))</f>
        <v/>
      </c>
      <c r="H748" s="12" t="str">
        <f aca="false">IF($D748="","",IFERROR(INDEX(품목목록!$E$3:$E$302,MATCH($D748,품목목록!$A$3:$A$302,0)),""))</f>
        <v/>
      </c>
      <c r="I748" s="14"/>
      <c r="J748" s="10"/>
      <c r="K748" s="10"/>
      <c r="L748" s="10"/>
      <c r="M748" s="15" t="str">
        <f aca="false">IF($A748="","",SUMIFS(처리내역!$E$3:$E$1502,처리내역!$B$3:$B$1502,$A748))</f>
        <v/>
      </c>
      <c r="N748" s="15" t="str">
        <f aca="false">IF($A748="","",IF($I748="","",$I748-$M748))</f>
        <v/>
      </c>
      <c r="O748" s="12" t="str">
        <f aca="false">IF($A748="","",IF($I748="","",IF($M748=0,"미처리",IF($N748&lt;=0,"완료","부분처리"))))</f>
        <v/>
      </c>
    </row>
    <row r="749" customFormat="false" ht="15" hidden="false" customHeight="true" outlineLevel="0" collapsed="false">
      <c r="A749" s="12" t="str">
        <f aca="false">IF($B749="","",TEXT($B749,"yymm")&amp;"-"&amp;TEXT(COUNTIFS($B$3:$B749,"&gt;="&amp;DATE(YEAR($B749),MONTH($B749),1),$B$3:$B749,"&lt;="&amp;EOMONTH($B749,0)),"000"))</f>
        <v/>
      </c>
      <c r="B749" s="13"/>
      <c r="C749" s="10"/>
      <c r="D749" s="10"/>
      <c r="E749" s="12" t="str">
        <f aca="false">IF($D749="","",IFERROR(INDEX(품목목록!$B$3:$B$302,MATCH($D749,품목목록!$A$3:$A$302,0)),"미등록품번"))</f>
        <v/>
      </c>
      <c r="F749" s="12" t="str">
        <f aca="false">IF($D749="","",IFERROR(INDEX(품목목록!$C$3:$C$302,MATCH($D749,품목목록!$A$3:$A$302,0)),""))</f>
        <v/>
      </c>
      <c r="G749" s="12" t="str">
        <f aca="false">IF($D749="","",IFERROR(INDEX(품목목록!$D$3:$D$302,MATCH($D749,품목목록!$A$3:$A$302,0)),""))</f>
        <v/>
      </c>
      <c r="H749" s="12" t="str">
        <f aca="false">IF($D749="","",IFERROR(INDEX(품목목록!$E$3:$E$302,MATCH($D749,품목목록!$A$3:$A$302,0)),""))</f>
        <v/>
      </c>
      <c r="I749" s="14"/>
      <c r="J749" s="10"/>
      <c r="K749" s="10"/>
      <c r="L749" s="10"/>
      <c r="M749" s="15" t="str">
        <f aca="false">IF($A749="","",SUMIFS(처리내역!$E$3:$E$1502,처리내역!$B$3:$B$1502,$A749))</f>
        <v/>
      </c>
      <c r="N749" s="15" t="str">
        <f aca="false">IF($A749="","",IF($I749="","",$I749-$M749))</f>
        <v/>
      </c>
      <c r="O749" s="12" t="str">
        <f aca="false">IF($A749="","",IF($I749="","",IF($M749=0,"미처리",IF($N749&lt;=0,"완료","부분처리"))))</f>
        <v/>
      </c>
    </row>
    <row r="750" customFormat="false" ht="15" hidden="false" customHeight="true" outlineLevel="0" collapsed="false">
      <c r="A750" s="12" t="str">
        <f aca="false">IF($B750="","",TEXT($B750,"yymm")&amp;"-"&amp;TEXT(COUNTIFS($B$3:$B750,"&gt;="&amp;DATE(YEAR($B750),MONTH($B750),1),$B$3:$B750,"&lt;="&amp;EOMONTH($B750,0)),"000"))</f>
        <v/>
      </c>
      <c r="B750" s="13"/>
      <c r="C750" s="10"/>
      <c r="D750" s="10"/>
      <c r="E750" s="12" t="str">
        <f aca="false">IF($D750="","",IFERROR(INDEX(품목목록!$B$3:$B$302,MATCH($D750,품목목록!$A$3:$A$302,0)),"미등록품번"))</f>
        <v/>
      </c>
      <c r="F750" s="12" t="str">
        <f aca="false">IF($D750="","",IFERROR(INDEX(품목목록!$C$3:$C$302,MATCH($D750,품목목록!$A$3:$A$302,0)),""))</f>
        <v/>
      </c>
      <c r="G750" s="12" t="str">
        <f aca="false">IF($D750="","",IFERROR(INDEX(품목목록!$D$3:$D$302,MATCH($D750,품목목록!$A$3:$A$302,0)),""))</f>
        <v/>
      </c>
      <c r="H750" s="12" t="str">
        <f aca="false">IF($D750="","",IFERROR(INDEX(품목목록!$E$3:$E$302,MATCH($D750,품목목록!$A$3:$A$302,0)),""))</f>
        <v/>
      </c>
      <c r="I750" s="14"/>
      <c r="J750" s="10"/>
      <c r="K750" s="10"/>
      <c r="L750" s="10"/>
      <c r="M750" s="15" t="str">
        <f aca="false">IF($A750="","",SUMIFS(처리내역!$E$3:$E$1502,처리내역!$B$3:$B$1502,$A750))</f>
        <v/>
      </c>
      <c r="N750" s="15" t="str">
        <f aca="false">IF($A750="","",IF($I750="","",$I750-$M750))</f>
        <v/>
      </c>
      <c r="O750" s="12" t="str">
        <f aca="false">IF($A750="","",IF($I750="","",IF($M750=0,"미처리",IF($N750&lt;=0,"완료","부분처리"))))</f>
        <v/>
      </c>
    </row>
    <row r="751" customFormat="false" ht="15" hidden="false" customHeight="true" outlineLevel="0" collapsed="false">
      <c r="A751" s="12" t="str">
        <f aca="false">IF($B751="","",TEXT($B751,"yymm")&amp;"-"&amp;TEXT(COUNTIFS($B$3:$B751,"&gt;="&amp;DATE(YEAR($B751),MONTH($B751),1),$B$3:$B751,"&lt;="&amp;EOMONTH($B751,0)),"000"))</f>
        <v/>
      </c>
      <c r="B751" s="13"/>
      <c r="C751" s="10"/>
      <c r="D751" s="10"/>
      <c r="E751" s="12" t="str">
        <f aca="false">IF($D751="","",IFERROR(INDEX(품목목록!$B$3:$B$302,MATCH($D751,품목목록!$A$3:$A$302,0)),"미등록품번"))</f>
        <v/>
      </c>
      <c r="F751" s="12" t="str">
        <f aca="false">IF($D751="","",IFERROR(INDEX(품목목록!$C$3:$C$302,MATCH($D751,품목목록!$A$3:$A$302,0)),""))</f>
        <v/>
      </c>
      <c r="G751" s="12" t="str">
        <f aca="false">IF($D751="","",IFERROR(INDEX(품목목록!$D$3:$D$302,MATCH($D751,품목목록!$A$3:$A$302,0)),""))</f>
        <v/>
      </c>
      <c r="H751" s="12" t="str">
        <f aca="false">IF($D751="","",IFERROR(INDEX(품목목록!$E$3:$E$302,MATCH($D751,품목목록!$A$3:$A$302,0)),""))</f>
        <v/>
      </c>
      <c r="I751" s="14"/>
      <c r="J751" s="10"/>
      <c r="K751" s="10"/>
      <c r="L751" s="10"/>
      <c r="M751" s="15" t="str">
        <f aca="false">IF($A751="","",SUMIFS(처리내역!$E$3:$E$1502,처리내역!$B$3:$B$1502,$A751))</f>
        <v/>
      </c>
      <c r="N751" s="15" t="str">
        <f aca="false">IF($A751="","",IF($I751="","",$I751-$M751))</f>
        <v/>
      </c>
      <c r="O751" s="12" t="str">
        <f aca="false">IF($A751="","",IF($I751="","",IF($M751=0,"미처리",IF($N751&lt;=0,"완료","부분처리"))))</f>
        <v/>
      </c>
    </row>
    <row r="752" customFormat="false" ht="15" hidden="false" customHeight="true" outlineLevel="0" collapsed="false">
      <c r="A752" s="12" t="str">
        <f aca="false">IF($B752="","",TEXT($B752,"yymm")&amp;"-"&amp;TEXT(COUNTIFS($B$3:$B752,"&gt;="&amp;DATE(YEAR($B752),MONTH($B752),1),$B$3:$B752,"&lt;="&amp;EOMONTH($B752,0)),"000"))</f>
        <v/>
      </c>
      <c r="B752" s="13"/>
      <c r="C752" s="10"/>
      <c r="D752" s="10"/>
      <c r="E752" s="12" t="str">
        <f aca="false">IF($D752="","",IFERROR(INDEX(품목목록!$B$3:$B$302,MATCH($D752,품목목록!$A$3:$A$302,0)),"미등록품번"))</f>
        <v/>
      </c>
      <c r="F752" s="12" t="str">
        <f aca="false">IF($D752="","",IFERROR(INDEX(품목목록!$C$3:$C$302,MATCH($D752,품목목록!$A$3:$A$302,0)),""))</f>
        <v/>
      </c>
      <c r="G752" s="12" t="str">
        <f aca="false">IF($D752="","",IFERROR(INDEX(품목목록!$D$3:$D$302,MATCH($D752,품목목록!$A$3:$A$302,0)),""))</f>
        <v/>
      </c>
      <c r="H752" s="12" t="str">
        <f aca="false">IF($D752="","",IFERROR(INDEX(품목목록!$E$3:$E$302,MATCH($D752,품목목록!$A$3:$A$302,0)),""))</f>
        <v/>
      </c>
      <c r="I752" s="14"/>
      <c r="J752" s="10"/>
      <c r="K752" s="10"/>
      <c r="L752" s="10"/>
      <c r="M752" s="15" t="str">
        <f aca="false">IF($A752="","",SUMIFS(처리내역!$E$3:$E$1502,처리내역!$B$3:$B$1502,$A752))</f>
        <v/>
      </c>
      <c r="N752" s="15" t="str">
        <f aca="false">IF($A752="","",IF($I752="","",$I752-$M752))</f>
        <v/>
      </c>
      <c r="O752" s="12" t="str">
        <f aca="false">IF($A752="","",IF($I752="","",IF($M752=0,"미처리",IF($N752&lt;=0,"완료","부분처리"))))</f>
        <v/>
      </c>
    </row>
    <row r="753" customFormat="false" ht="15" hidden="false" customHeight="true" outlineLevel="0" collapsed="false">
      <c r="A753" s="12" t="str">
        <f aca="false">IF($B753="","",TEXT($B753,"yymm")&amp;"-"&amp;TEXT(COUNTIFS($B$3:$B753,"&gt;="&amp;DATE(YEAR($B753),MONTH($B753),1),$B$3:$B753,"&lt;="&amp;EOMONTH($B753,0)),"000"))</f>
        <v/>
      </c>
      <c r="B753" s="13"/>
      <c r="C753" s="10"/>
      <c r="D753" s="10"/>
      <c r="E753" s="12" t="str">
        <f aca="false">IF($D753="","",IFERROR(INDEX(품목목록!$B$3:$B$302,MATCH($D753,품목목록!$A$3:$A$302,0)),"미등록품번"))</f>
        <v/>
      </c>
      <c r="F753" s="12" t="str">
        <f aca="false">IF($D753="","",IFERROR(INDEX(품목목록!$C$3:$C$302,MATCH($D753,품목목록!$A$3:$A$302,0)),""))</f>
        <v/>
      </c>
      <c r="G753" s="12" t="str">
        <f aca="false">IF($D753="","",IFERROR(INDEX(품목목록!$D$3:$D$302,MATCH($D753,품목목록!$A$3:$A$302,0)),""))</f>
        <v/>
      </c>
      <c r="H753" s="12" t="str">
        <f aca="false">IF($D753="","",IFERROR(INDEX(품목목록!$E$3:$E$302,MATCH($D753,품목목록!$A$3:$A$302,0)),""))</f>
        <v/>
      </c>
      <c r="I753" s="14"/>
      <c r="J753" s="10"/>
      <c r="K753" s="10"/>
      <c r="L753" s="10"/>
      <c r="M753" s="15" t="str">
        <f aca="false">IF($A753="","",SUMIFS(처리내역!$E$3:$E$1502,처리내역!$B$3:$B$1502,$A753))</f>
        <v/>
      </c>
      <c r="N753" s="15" t="str">
        <f aca="false">IF($A753="","",IF($I753="","",$I753-$M753))</f>
        <v/>
      </c>
      <c r="O753" s="12" t="str">
        <f aca="false">IF($A753="","",IF($I753="","",IF($M753=0,"미처리",IF($N753&lt;=0,"완료","부분처리"))))</f>
        <v/>
      </c>
    </row>
    <row r="754" customFormat="false" ht="15" hidden="false" customHeight="true" outlineLevel="0" collapsed="false">
      <c r="A754" s="12" t="str">
        <f aca="false">IF($B754="","",TEXT($B754,"yymm")&amp;"-"&amp;TEXT(COUNTIFS($B$3:$B754,"&gt;="&amp;DATE(YEAR($B754),MONTH($B754),1),$B$3:$B754,"&lt;="&amp;EOMONTH($B754,0)),"000"))</f>
        <v/>
      </c>
      <c r="B754" s="13"/>
      <c r="C754" s="10"/>
      <c r="D754" s="10"/>
      <c r="E754" s="12" t="str">
        <f aca="false">IF($D754="","",IFERROR(INDEX(품목목록!$B$3:$B$302,MATCH($D754,품목목록!$A$3:$A$302,0)),"미등록품번"))</f>
        <v/>
      </c>
      <c r="F754" s="12" t="str">
        <f aca="false">IF($D754="","",IFERROR(INDEX(품목목록!$C$3:$C$302,MATCH($D754,품목목록!$A$3:$A$302,0)),""))</f>
        <v/>
      </c>
      <c r="G754" s="12" t="str">
        <f aca="false">IF($D754="","",IFERROR(INDEX(품목목록!$D$3:$D$302,MATCH($D754,품목목록!$A$3:$A$302,0)),""))</f>
        <v/>
      </c>
      <c r="H754" s="12" t="str">
        <f aca="false">IF($D754="","",IFERROR(INDEX(품목목록!$E$3:$E$302,MATCH($D754,품목목록!$A$3:$A$302,0)),""))</f>
        <v/>
      </c>
      <c r="I754" s="14"/>
      <c r="J754" s="10"/>
      <c r="K754" s="10"/>
      <c r="L754" s="10"/>
      <c r="M754" s="15" t="str">
        <f aca="false">IF($A754="","",SUMIFS(처리내역!$E$3:$E$1502,처리내역!$B$3:$B$1502,$A754))</f>
        <v/>
      </c>
      <c r="N754" s="15" t="str">
        <f aca="false">IF($A754="","",IF($I754="","",$I754-$M754))</f>
        <v/>
      </c>
      <c r="O754" s="12" t="str">
        <f aca="false">IF($A754="","",IF($I754="","",IF($M754=0,"미처리",IF($N754&lt;=0,"완료","부분처리"))))</f>
        <v/>
      </c>
    </row>
    <row r="755" customFormat="false" ht="15" hidden="false" customHeight="true" outlineLevel="0" collapsed="false">
      <c r="A755" s="12" t="str">
        <f aca="false">IF($B755="","",TEXT($B755,"yymm")&amp;"-"&amp;TEXT(COUNTIFS($B$3:$B755,"&gt;="&amp;DATE(YEAR($B755),MONTH($B755),1),$B$3:$B755,"&lt;="&amp;EOMONTH($B755,0)),"000"))</f>
        <v/>
      </c>
      <c r="B755" s="13"/>
      <c r="C755" s="10"/>
      <c r="D755" s="10"/>
      <c r="E755" s="12" t="str">
        <f aca="false">IF($D755="","",IFERROR(INDEX(품목목록!$B$3:$B$302,MATCH($D755,품목목록!$A$3:$A$302,0)),"미등록품번"))</f>
        <v/>
      </c>
      <c r="F755" s="12" t="str">
        <f aca="false">IF($D755="","",IFERROR(INDEX(품목목록!$C$3:$C$302,MATCH($D755,품목목록!$A$3:$A$302,0)),""))</f>
        <v/>
      </c>
      <c r="G755" s="12" t="str">
        <f aca="false">IF($D755="","",IFERROR(INDEX(품목목록!$D$3:$D$302,MATCH($D755,품목목록!$A$3:$A$302,0)),""))</f>
        <v/>
      </c>
      <c r="H755" s="12" t="str">
        <f aca="false">IF($D755="","",IFERROR(INDEX(품목목록!$E$3:$E$302,MATCH($D755,품목목록!$A$3:$A$302,0)),""))</f>
        <v/>
      </c>
      <c r="I755" s="14"/>
      <c r="J755" s="10"/>
      <c r="K755" s="10"/>
      <c r="L755" s="10"/>
      <c r="M755" s="15" t="str">
        <f aca="false">IF($A755="","",SUMIFS(처리내역!$E$3:$E$1502,처리내역!$B$3:$B$1502,$A755))</f>
        <v/>
      </c>
      <c r="N755" s="15" t="str">
        <f aca="false">IF($A755="","",IF($I755="","",$I755-$M755))</f>
        <v/>
      </c>
      <c r="O755" s="12" t="str">
        <f aca="false">IF($A755="","",IF($I755="","",IF($M755=0,"미처리",IF($N755&lt;=0,"완료","부분처리"))))</f>
        <v/>
      </c>
    </row>
    <row r="756" customFormat="false" ht="15" hidden="false" customHeight="true" outlineLevel="0" collapsed="false">
      <c r="A756" s="12" t="str">
        <f aca="false">IF($B756="","",TEXT($B756,"yymm")&amp;"-"&amp;TEXT(COUNTIFS($B$3:$B756,"&gt;="&amp;DATE(YEAR($B756),MONTH($B756),1),$B$3:$B756,"&lt;="&amp;EOMONTH($B756,0)),"000"))</f>
        <v/>
      </c>
      <c r="B756" s="13"/>
      <c r="C756" s="10"/>
      <c r="D756" s="10"/>
      <c r="E756" s="12" t="str">
        <f aca="false">IF($D756="","",IFERROR(INDEX(품목목록!$B$3:$B$302,MATCH($D756,품목목록!$A$3:$A$302,0)),"미등록품번"))</f>
        <v/>
      </c>
      <c r="F756" s="12" t="str">
        <f aca="false">IF($D756="","",IFERROR(INDEX(품목목록!$C$3:$C$302,MATCH($D756,품목목록!$A$3:$A$302,0)),""))</f>
        <v/>
      </c>
      <c r="G756" s="12" t="str">
        <f aca="false">IF($D756="","",IFERROR(INDEX(품목목록!$D$3:$D$302,MATCH($D756,품목목록!$A$3:$A$302,0)),""))</f>
        <v/>
      </c>
      <c r="H756" s="12" t="str">
        <f aca="false">IF($D756="","",IFERROR(INDEX(품목목록!$E$3:$E$302,MATCH($D756,품목목록!$A$3:$A$302,0)),""))</f>
        <v/>
      </c>
      <c r="I756" s="14"/>
      <c r="J756" s="10"/>
      <c r="K756" s="10"/>
      <c r="L756" s="10"/>
      <c r="M756" s="15" t="str">
        <f aca="false">IF($A756="","",SUMIFS(처리내역!$E$3:$E$1502,처리내역!$B$3:$B$1502,$A756))</f>
        <v/>
      </c>
      <c r="N756" s="15" t="str">
        <f aca="false">IF($A756="","",IF($I756="","",$I756-$M756))</f>
        <v/>
      </c>
      <c r="O756" s="12" t="str">
        <f aca="false">IF($A756="","",IF($I756="","",IF($M756=0,"미처리",IF($N756&lt;=0,"완료","부분처리"))))</f>
        <v/>
      </c>
    </row>
    <row r="757" customFormat="false" ht="15" hidden="false" customHeight="true" outlineLevel="0" collapsed="false">
      <c r="A757" s="12" t="str">
        <f aca="false">IF($B757="","",TEXT($B757,"yymm")&amp;"-"&amp;TEXT(COUNTIFS($B$3:$B757,"&gt;="&amp;DATE(YEAR($B757),MONTH($B757),1),$B$3:$B757,"&lt;="&amp;EOMONTH($B757,0)),"000"))</f>
        <v/>
      </c>
      <c r="B757" s="13"/>
      <c r="C757" s="10"/>
      <c r="D757" s="10"/>
      <c r="E757" s="12" t="str">
        <f aca="false">IF($D757="","",IFERROR(INDEX(품목목록!$B$3:$B$302,MATCH($D757,품목목록!$A$3:$A$302,0)),"미등록품번"))</f>
        <v/>
      </c>
      <c r="F757" s="12" t="str">
        <f aca="false">IF($D757="","",IFERROR(INDEX(품목목록!$C$3:$C$302,MATCH($D757,품목목록!$A$3:$A$302,0)),""))</f>
        <v/>
      </c>
      <c r="G757" s="12" t="str">
        <f aca="false">IF($D757="","",IFERROR(INDEX(품목목록!$D$3:$D$302,MATCH($D757,품목목록!$A$3:$A$302,0)),""))</f>
        <v/>
      </c>
      <c r="H757" s="12" t="str">
        <f aca="false">IF($D757="","",IFERROR(INDEX(품목목록!$E$3:$E$302,MATCH($D757,품목목록!$A$3:$A$302,0)),""))</f>
        <v/>
      </c>
      <c r="I757" s="14"/>
      <c r="J757" s="10"/>
      <c r="K757" s="10"/>
      <c r="L757" s="10"/>
      <c r="M757" s="15" t="str">
        <f aca="false">IF($A757="","",SUMIFS(처리내역!$E$3:$E$1502,처리내역!$B$3:$B$1502,$A757))</f>
        <v/>
      </c>
      <c r="N757" s="15" t="str">
        <f aca="false">IF($A757="","",IF($I757="","",$I757-$M757))</f>
        <v/>
      </c>
      <c r="O757" s="12" t="str">
        <f aca="false">IF($A757="","",IF($I757="","",IF($M757=0,"미처리",IF($N757&lt;=0,"완료","부분처리"))))</f>
        <v/>
      </c>
    </row>
    <row r="758" customFormat="false" ht="15" hidden="false" customHeight="true" outlineLevel="0" collapsed="false">
      <c r="A758" s="12" t="str">
        <f aca="false">IF($B758="","",TEXT($B758,"yymm")&amp;"-"&amp;TEXT(COUNTIFS($B$3:$B758,"&gt;="&amp;DATE(YEAR($B758),MONTH($B758),1),$B$3:$B758,"&lt;="&amp;EOMONTH($B758,0)),"000"))</f>
        <v/>
      </c>
      <c r="B758" s="13"/>
      <c r="C758" s="10"/>
      <c r="D758" s="10"/>
      <c r="E758" s="12" t="str">
        <f aca="false">IF($D758="","",IFERROR(INDEX(품목목록!$B$3:$B$302,MATCH($D758,품목목록!$A$3:$A$302,0)),"미등록품번"))</f>
        <v/>
      </c>
      <c r="F758" s="12" t="str">
        <f aca="false">IF($D758="","",IFERROR(INDEX(품목목록!$C$3:$C$302,MATCH($D758,품목목록!$A$3:$A$302,0)),""))</f>
        <v/>
      </c>
      <c r="G758" s="12" t="str">
        <f aca="false">IF($D758="","",IFERROR(INDEX(품목목록!$D$3:$D$302,MATCH($D758,품목목록!$A$3:$A$302,0)),""))</f>
        <v/>
      </c>
      <c r="H758" s="12" t="str">
        <f aca="false">IF($D758="","",IFERROR(INDEX(품목목록!$E$3:$E$302,MATCH($D758,품목목록!$A$3:$A$302,0)),""))</f>
        <v/>
      </c>
      <c r="I758" s="14"/>
      <c r="J758" s="10"/>
      <c r="K758" s="10"/>
      <c r="L758" s="10"/>
      <c r="M758" s="15" t="str">
        <f aca="false">IF($A758="","",SUMIFS(처리내역!$E$3:$E$1502,처리내역!$B$3:$B$1502,$A758))</f>
        <v/>
      </c>
      <c r="N758" s="15" t="str">
        <f aca="false">IF($A758="","",IF($I758="","",$I758-$M758))</f>
        <v/>
      </c>
      <c r="O758" s="12" t="str">
        <f aca="false">IF($A758="","",IF($I758="","",IF($M758=0,"미처리",IF($N758&lt;=0,"완료","부분처리"))))</f>
        <v/>
      </c>
    </row>
    <row r="759" customFormat="false" ht="15" hidden="false" customHeight="true" outlineLevel="0" collapsed="false">
      <c r="A759" s="12" t="str">
        <f aca="false">IF($B759="","",TEXT($B759,"yymm")&amp;"-"&amp;TEXT(COUNTIFS($B$3:$B759,"&gt;="&amp;DATE(YEAR($B759),MONTH($B759),1),$B$3:$B759,"&lt;="&amp;EOMONTH($B759,0)),"000"))</f>
        <v/>
      </c>
      <c r="B759" s="13"/>
      <c r="C759" s="10"/>
      <c r="D759" s="10"/>
      <c r="E759" s="12" t="str">
        <f aca="false">IF($D759="","",IFERROR(INDEX(품목목록!$B$3:$B$302,MATCH($D759,품목목록!$A$3:$A$302,0)),"미등록품번"))</f>
        <v/>
      </c>
      <c r="F759" s="12" t="str">
        <f aca="false">IF($D759="","",IFERROR(INDEX(품목목록!$C$3:$C$302,MATCH($D759,품목목록!$A$3:$A$302,0)),""))</f>
        <v/>
      </c>
      <c r="G759" s="12" t="str">
        <f aca="false">IF($D759="","",IFERROR(INDEX(품목목록!$D$3:$D$302,MATCH($D759,품목목록!$A$3:$A$302,0)),""))</f>
        <v/>
      </c>
      <c r="H759" s="12" t="str">
        <f aca="false">IF($D759="","",IFERROR(INDEX(품목목록!$E$3:$E$302,MATCH($D759,품목목록!$A$3:$A$302,0)),""))</f>
        <v/>
      </c>
      <c r="I759" s="14"/>
      <c r="J759" s="10"/>
      <c r="K759" s="10"/>
      <c r="L759" s="10"/>
      <c r="M759" s="15" t="str">
        <f aca="false">IF($A759="","",SUMIFS(처리내역!$E$3:$E$1502,처리내역!$B$3:$B$1502,$A759))</f>
        <v/>
      </c>
      <c r="N759" s="15" t="str">
        <f aca="false">IF($A759="","",IF($I759="","",$I759-$M759))</f>
        <v/>
      </c>
      <c r="O759" s="12" t="str">
        <f aca="false">IF($A759="","",IF($I759="","",IF($M759=0,"미처리",IF($N759&lt;=0,"완료","부분처리"))))</f>
        <v/>
      </c>
    </row>
    <row r="760" customFormat="false" ht="15" hidden="false" customHeight="true" outlineLevel="0" collapsed="false">
      <c r="A760" s="12" t="str">
        <f aca="false">IF($B760="","",TEXT($B760,"yymm")&amp;"-"&amp;TEXT(COUNTIFS($B$3:$B760,"&gt;="&amp;DATE(YEAR($B760),MONTH($B760),1),$B$3:$B760,"&lt;="&amp;EOMONTH($B760,0)),"000"))</f>
        <v/>
      </c>
      <c r="B760" s="13"/>
      <c r="C760" s="10"/>
      <c r="D760" s="10"/>
      <c r="E760" s="12" t="str">
        <f aca="false">IF($D760="","",IFERROR(INDEX(품목목록!$B$3:$B$302,MATCH($D760,품목목록!$A$3:$A$302,0)),"미등록품번"))</f>
        <v/>
      </c>
      <c r="F760" s="12" t="str">
        <f aca="false">IF($D760="","",IFERROR(INDEX(품목목록!$C$3:$C$302,MATCH($D760,품목목록!$A$3:$A$302,0)),""))</f>
        <v/>
      </c>
      <c r="G760" s="12" t="str">
        <f aca="false">IF($D760="","",IFERROR(INDEX(품목목록!$D$3:$D$302,MATCH($D760,품목목록!$A$3:$A$302,0)),""))</f>
        <v/>
      </c>
      <c r="H760" s="12" t="str">
        <f aca="false">IF($D760="","",IFERROR(INDEX(품목목록!$E$3:$E$302,MATCH($D760,품목목록!$A$3:$A$302,0)),""))</f>
        <v/>
      </c>
      <c r="I760" s="14"/>
      <c r="J760" s="10"/>
      <c r="K760" s="10"/>
      <c r="L760" s="10"/>
      <c r="M760" s="15" t="str">
        <f aca="false">IF($A760="","",SUMIFS(처리내역!$E$3:$E$1502,처리내역!$B$3:$B$1502,$A760))</f>
        <v/>
      </c>
      <c r="N760" s="15" t="str">
        <f aca="false">IF($A760="","",IF($I760="","",$I760-$M760))</f>
        <v/>
      </c>
      <c r="O760" s="12" t="str">
        <f aca="false">IF($A760="","",IF($I760="","",IF($M760=0,"미처리",IF($N760&lt;=0,"완료","부분처리"))))</f>
        <v/>
      </c>
    </row>
    <row r="761" customFormat="false" ht="15" hidden="false" customHeight="true" outlineLevel="0" collapsed="false">
      <c r="A761" s="12" t="str">
        <f aca="false">IF($B761="","",TEXT($B761,"yymm")&amp;"-"&amp;TEXT(COUNTIFS($B$3:$B761,"&gt;="&amp;DATE(YEAR($B761),MONTH($B761),1),$B$3:$B761,"&lt;="&amp;EOMONTH($B761,0)),"000"))</f>
        <v/>
      </c>
      <c r="B761" s="13"/>
      <c r="C761" s="10"/>
      <c r="D761" s="10"/>
      <c r="E761" s="12" t="str">
        <f aca="false">IF($D761="","",IFERROR(INDEX(품목목록!$B$3:$B$302,MATCH($D761,품목목록!$A$3:$A$302,0)),"미등록품번"))</f>
        <v/>
      </c>
      <c r="F761" s="12" t="str">
        <f aca="false">IF($D761="","",IFERROR(INDEX(품목목록!$C$3:$C$302,MATCH($D761,품목목록!$A$3:$A$302,0)),""))</f>
        <v/>
      </c>
      <c r="G761" s="12" t="str">
        <f aca="false">IF($D761="","",IFERROR(INDEX(품목목록!$D$3:$D$302,MATCH($D761,품목목록!$A$3:$A$302,0)),""))</f>
        <v/>
      </c>
      <c r="H761" s="12" t="str">
        <f aca="false">IF($D761="","",IFERROR(INDEX(품목목록!$E$3:$E$302,MATCH($D761,품목목록!$A$3:$A$302,0)),""))</f>
        <v/>
      </c>
      <c r="I761" s="14"/>
      <c r="J761" s="10"/>
      <c r="K761" s="10"/>
      <c r="L761" s="10"/>
      <c r="M761" s="15" t="str">
        <f aca="false">IF($A761="","",SUMIFS(처리내역!$E$3:$E$1502,처리내역!$B$3:$B$1502,$A761))</f>
        <v/>
      </c>
      <c r="N761" s="15" t="str">
        <f aca="false">IF($A761="","",IF($I761="","",$I761-$M761))</f>
        <v/>
      </c>
      <c r="O761" s="12" t="str">
        <f aca="false">IF($A761="","",IF($I761="","",IF($M761=0,"미처리",IF($N761&lt;=0,"완료","부분처리"))))</f>
        <v/>
      </c>
    </row>
    <row r="762" customFormat="false" ht="15" hidden="false" customHeight="true" outlineLevel="0" collapsed="false">
      <c r="A762" s="12" t="str">
        <f aca="false">IF($B762="","",TEXT($B762,"yymm")&amp;"-"&amp;TEXT(COUNTIFS($B$3:$B762,"&gt;="&amp;DATE(YEAR($B762),MONTH($B762),1),$B$3:$B762,"&lt;="&amp;EOMONTH($B762,0)),"000"))</f>
        <v/>
      </c>
      <c r="B762" s="13"/>
      <c r="C762" s="10"/>
      <c r="D762" s="10"/>
      <c r="E762" s="12" t="str">
        <f aca="false">IF($D762="","",IFERROR(INDEX(품목목록!$B$3:$B$302,MATCH($D762,품목목록!$A$3:$A$302,0)),"미등록품번"))</f>
        <v/>
      </c>
      <c r="F762" s="12" t="str">
        <f aca="false">IF($D762="","",IFERROR(INDEX(품목목록!$C$3:$C$302,MATCH($D762,품목목록!$A$3:$A$302,0)),""))</f>
        <v/>
      </c>
      <c r="G762" s="12" t="str">
        <f aca="false">IF($D762="","",IFERROR(INDEX(품목목록!$D$3:$D$302,MATCH($D762,품목목록!$A$3:$A$302,0)),""))</f>
        <v/>
      </c>
      <c r="H762" s="12" t="str">
        <f aca="false">IF($D762="","",IFERROR(INDEX(품목목록!$E$3:$E$302,MATCH($D762,품목목록!$A$3:$A$302,0)),""))</f>
        <v/>
      </c>
      <c r="I762" s="14"/>
      <c r="J762" s="10"/>
      <c r="K762" s="10"/>
      <c r="L762" s="10"/>
      <c r="M762" s="15" t="str">
        <f aca="false">IF($A762="","",SUMIFS(처리내역!$E$3:$E$1502,처리내역!$B$3:$B$1502,$A762))</f>
        <v/>
      </c>
      <c r="N762" s="15" t="str">
        <f aca="false">IF($A762="","",IF($I762="","",$I762-$M762))</f>
        <v/>
      </c>
      <c r="O762" s="12" t="str">
        <f aca="false">IF($A762="","",IF($I762="","",IF($M762=0,"미처리",IF($N762&lt;=0,"완료","부분처리"))))</f>
        <v/>
      </c>
    </row>
    <row r="763" customFormat="false" ht="15" hidden="false" customHeight="true" outlineLevel="0" collapsed="false">
      <c r="A763" s="12" t="str">
        <f aca="false">IF($B763="","",TEXT($B763,"yymm")&amp;"-"&amp;TEXT(COUNTIFS($B$3:$B763,"&gt;="&amp;DATE(YEAR($B763),MONTH($B763),1),$B$3:$B763,"&lt;="&amp;EOMONTH($B763,0)),"000"))</f>
        <v/>
      </c>
      <c r="B763" s="13"/>
      <c r="C763" s="10"/>
      <c r="D763" s="10"/>
      <c r="E763" s="12" t="str">
        <f aca="false">IF($D763="","",IFERROR(INDEX(품목목록!$B$3:$B$302,MATCH($D763,품목목록!$A$3:$A$302,0)),"미등록품번"))</f>
        <v/>
      </c>
      <c r="F763" s="12" t="str">
        <f aca="false">IF($D763="","",IFERROR(INDEX(품목목록!$C$3:$C$302,MATCH($D763,품목목록!$A$3:$A$302,0)),""))</f>
        <v/>
      </c>
      <c r="G763" s="12" t="str">
        <f aca="false">IF($D763="","",IFERROR(INDEX(품목목록!$D$3:$D$302,MATCH($D763,품목목록!$A$3:$A$302,0)),""))</f>
        <v/>
      </c>
      <c r="H763" s="12" t="str">
        <f aca="false">IF($D763="","",IFERROR(INDEX(품목목록!$E$3:$E$302,MATCH($D763,품목목록!$A$3:$A$302,0)),""))</f>
        <v/>
      </c>
      <c r="I763" s="14"/>
      <c r="J763" s="10"/>
      <c r="K763" s="10"/>
      <c r="L763" s="10"/>
      <c r="M763" s="15" t="str">
        <f aca="false">IF($A763="","",SUMIFS(처리내역!$E$3:$E$1502,처리내역!$B$3:$B$1502,$A763))</f>
        <v/>
      </c>
      <c r="N763" s="15" t="str">
        <f aca="false">IF($A763="","",IF($I763="","",$I763-$M763))</f>
        <v/>
      </c>
      <c r="O763" s="12" t="str">
        <f aca="false">IF($A763="","",IF($I763="","",IF($M763=0,"미처리",IF($N763&lt;=0,"완료","부분처리"))))</f>
        <v/>
      </c>
    </row>
    <row r="764" customFormat="false" ht="15" hidden="false" customHeight="true" outlineLevel="0" collapsed="false">
      <c r="A764" s="12" t="str">
        <f aca="false">IF($B764="","",TEXT($B764,"yymm")&amp;"-"&amp;TEXT(COUNTIFS($B$3:$B764,"&gt;="&amp;DATE(YEAR($B764),MONTH($B764),1),$B$3:$B764,"&lt;="&amp;EOMONTH($B764,0)),"000"))</f>
        <v/>
      </c>
      <c r="B764" s="13"/>
      <c r="C764" s="10"/>
      <c r="D764" s="10"/>
      <c r="E764" s="12" t="str">
        <f aca="false">IF($D764="","",IFERROR(INDEX(품목목록!$B$3:$B$302,MATCH($D764,품목목록!$A$3:$A$302,0)),"미등록품번"))</f>
        <v/>
      </c>
      <c r="F764" s="12" t="str">
        <f aca="false">IF($D764="","",IFERROR(INDEX(품목목록!$C$3:$C$302,MATCH($D764,품목목록!$A$3:$A$302,0)),""))</f>
        <v/>
      </c>
      <c r="G764" s="12" t="str">
        <f aca="false">IF($D764="","",IFERROR(INDEX(품목목록!$D$3:$D$302,MATCH($D764,품목목록!$A$3:$A$302,0)),""))</f>
        <v/>
      </c>
      <c r="H764" s="12" t="str">
        <f aca="false">IF($D764="","",IFERROR(INDEX(품목목록!$E$3:$E$302,MATCH($D764,품목목록!$A$3:$A$302,0)),""))</f>
        <v/>
      </c>
      <c r="I764" s="14"/>
      <c r="J764" s="10"/>
      <c r="K764" s="10"/>
      <c r="L764" s="10"/>
      <c r="M764" s="15" t="str">
        <f aca="false">IF($A764="","",SUMIFS(처리내역!$E$3:$E$1502,처리내역!$B$3:$B$1502,$A764))</f>
        <v/>
      </c>
      <c r="N764" s="15" t="str">
        <f aca="false">IF($A764="","",IF($I764="","",$I764-$M764))</f>
        <v/>
      </c>
      <c r="O764" s="12" t="str">
        <f aca="false">IF($A764="","",IF($I764="","",IF($M764=0,"미처리",IF($N764&lt;=0,"완료","부분처리"))))</f>
        <v/>
      </c>
    </row>
    <row r="765" customFormat="false" ht="15" hidden="false" customHeight="true" outlineLevel="0" collapsed="false">
      <c r="A765" s="12" t="str">
        <f aca="false">IF($B765="","",TEXT($B765,"yymm")&amp;"-"&amp;TEXT(COUNTIFS($B$3:$B765,"&gt;="&amp;DATE(YEAR($B765),MONTH($B765),1),$B$3:$B765,"&lt;="&amp;EOMONTH($B765,0)),"000"))</f>
        <v/>
      </c>
      <c r="B765" s="13"/>
      <c r="C765" s="10"/>
      <c r="D765" s="10"/>
      <c r="E765" s="12" t="str">
        <f aca="false">IF($D765="","",IFERROR(INDEX(품목목록!$B$3:$B$302,MATCH($D765,품목목록!$A$3:$A$302,0)),"미등록품번"))</f>
        <v/>
      </c>
      <c r="F765" s="12" t="str">
        <f aca="false">IF($D765="","",IFERROR(INDEX(품목목록!$C$3:$C$302,MATCH($D765,품목목록!$A$3:$A$302,0)),""))</f>
        <v/>
      </c>
      <c r="G765" s="12" t="str">
        <f aca="false">IF($D765="","",IFERROR(INDEX(품목목록!$D$3:$D$302,MATCH($D765,품목목록!$A$3:$A$302,0)),""))</f>
        <v/>
      </c>
      <c r="H765" s="12" t="str">
        <f aca="false">IF($D765="","",IFERROR(INDEX(품목목록!$E$3:$E$302,MATCH($D765,품목목록!$A$3:$A$302,0)),""))</f>
        <v/>
      </c>
      <c r="I765" s="14"/>
      <c r="J765" s="10"/>
      <c r="K765" s="10"/>
      <c r="L765" s="10"/>
      <c r="M765" s="15" t="str">
        <f aca="false">IF($A765="","",SUMIFS(처리내역!$E$3:$E$1502,처리내역!$B$3:$B$1502,$A765))</f>
        <v/>
      </c>
      <c r="N765" s="15" t="str">
        <f aca="false">IF($A765="","",IF($I765="","",$I765-$M765))</f>
        <v/>
      </c>
      <c r="O765" s="12" t="str">
        <f aca="false">IF($A765="","",IF($I765="","",IF($M765=0,"미처리",IF($N765&lt;=0,"완료","부분처리"))))</f>
        <v/>
      </c>
    </row>
    <row r="766" customFormat="false" ht="15" hidden="false" customHeight="true" outlineLevel="0" collapsed="false">
      <c r="A766" s="12" t="str">
        <f aca="false">IF($B766="","",TEXT($B766,"yymm")&amp;"-"&amp;TEXT(COUNTIFS($B$3:$B766,"&gt;="&amp;DATE(YEAR($B766),MONTH($B766),1),$B$3:$B766,"&lt;="&amp;EOMONTH($B766,0)),"000"))</f>
        <v/>
      </c>
      <c r="B766" s="13"/>
      <c r="C766" s="10"/>
      <c r="D766" s="10"/>
      <c r="E766" s="12" t="str">
        <f aca="false">IF($D766="","",IFERROR(INDEX(품목목록!$B$3:$B$302,MATCH($D766,품목목록!$A$3:$A$302,0)),"미등록품번"))</f>
        <v/>
      </c>
      <c r="F766" s="12" t="str">
        <f aca="false">IF($D766="","",IFERROR(INDEX(품목목록!$C$3:$C$302,MATCH($D766,품목목록!$A$3:$A$302,0)),""))</f>
        <v/>
      </c>
      <c r="G766" s="12" t="str">
        <f aca="false">IF($D766="","",IFERROR(INDEX(품목목록!$D$3:$D$302,MATCH($D766,품목목록!$A$3:$A$302,0)),""))</f>
        <v/>
      </c>
      <c r="H766" s="12" t="str">
        <f aca="false">IF($D766="","",IFERROR(INDEX(품목목록!$E$3:$E$302,MATCH($D766,품목목록!$A$3:$A$302,0)),""))</f>
        <v/>
      </c>
      <c r="I766" s="14"/>
      <c r="J766" s="10"/>
      <c r="K766" s="10"/>
      <c r="L766" s="10"/>
      <c r="M766" s="15" t="str">
        <f aca="false">IF($A766="","",SUMIFS(처리내역!$E$3:$E$1502,처리내역!$B$3:$B$1502,$A766))</f>
        <v/>
      </c>
      <c r="N766" s="15" t="str">
        <f aca="false">IF($A766="","",IF($I766="","",$I766-$M766))</f>
        <v/>
      </c>
      <c r="O766" s="12" t="str">
        <f aca="false">IF($A766="","",IF($I766="","",IF($M766=0,"미처리",IF($N766&lt;=0,"완료","부분처리"))))</f>
        <v/>
      </c>
    </row>
    <row r="767" customFormat="false" ht="15" hidden="false" customHeight="true" outlineLevel="0" collapsed="false">
      <c r="A767" s="12" t="str">
        <f aca="false">IF($B767="","",TEXT($B767,"yymm")&amp;"-"&amp;TEXT(COUNTIFS($B$3:$B767,"&gt;="&amp;DATE(YEAR($B767),MONTH($B767),1),$B$3:$B767,"&lt;="&amp;EOMONTH($B767,0)),"000"))</f>
        <v/>
      </c>
      <c r="B767" s="13"/>
      <c r="C767" s="10"/>
      <c r="D767" s="10"/>
      <c r="E767" s="12" t="str">
        <f aca="false">IF($D767="","",IFERROR(INDEX(품목목록!$B$3:$B$302,MATCH($D767,품목목록!$A$3:$A$302,0)),"미등록품번"))</f>
        <v/>
      </c>
      <c r="F767" s="12" t="str">
        <f aca="false">IF($D767="","",IFERROR(INDEX(품목목록!$C$3:$C$302,MATCH($D767,품목목록!$A$3:$A$302,0)),""))</f>
        <v/>
      </c>
      <c r="G767" s="12" t="str">
        <f aca="false">IF($D767="","",IFERROR(INDEX(품목목록!$D$3:$D$302,MATCH($D767,품목목록!$A$3:$A$302,0)),""))</f>
        <v/>
      </c>
      <c r="H767" s="12" t="str">
        <f aca="false">IF($D767="","",IFERROR(INDEX(품목목록!$E$3:$E$302,MATCH($D767,품목목록!$A$3:$A$302,0)),""))</f>
        <v/>
      </c>
      <c r="I767" s="14"/>
      <c r="J767" s="10"/>
      <c r="K767" s="10"/>
      <c r="L767" s="10"/>
      <c r="M767" s="15" t="str">
        <f aca="false">IF($A767="","",SUMIFS(처리내역!$E$3:$E$1502,처리내역!$B$3:$B$1502,$A767))</f>
        <v/>
      </c>
      <c r="N767" s="15" t="str">
        <f aca="false">IF($A767="","",IF($I767="","",$I767-$M767))</f>
        <v/>
      </c>
      <c r="O767" s="12" t="str">
        <f aca="false">IF($A767="","",IF($I767="","",IF($M767=0,"미처리",IF($N767&lt;=0,"완료","부분처리"))))</f>
        <v/>
      </c>
    </row>
    <row r="768" customFormat="false" ht="15" hidden="false" customHeight="true" outlineLevel="0" collapsed="false">
      <c r="A768" s="12" t="str">
        <f aca="false">IF($B768="","",TEXT($B768,"yymm")&amp;"-"&amp;TEXT(COUNTIFS($B$3:$B768,"&gt;="&amp;DATE(YEAR($B768),MONTH($B768),1),$B$3:$B768,"&lt;="&amp;EOMONTH($B768,0)),"000"))</f>
        <v/>
      </c>
      <c r="B768" s="13"/>
      <c r="C768" s="10"/>
      <c r="D768" s="10"/>
      <c r="E768" s="12" t="str">
        <f aca="false">IF($D768="","",IFERROR(INDEX(품목목록!$B$3:$B$302,MATCH($D768,품목목록!$A$3:$A$302,0)),"미등록품번"))</f>
        <v/>
      </c>
      <c r="F768" s="12" t="str">
        <f aca="false">IF($D768="","",IFERROR(INDEX(품목목록!$C$3:$C$302,MATCH($D768,품목목록!$A$3:$A$302,0)),""))</f>
        <v/>
      </c>
      <c r="G768" s="12" t="str">
        <f aca="false">IF($D768="","",IFERROR(INDEX(품목목록!$D$3:$D$302,MATCH($D768,품목목록!$A$3:$A$302,0)),""))</f>
        <v/>
      </c>
      <c r="H768" s="12" t="str">
        <f aca="false">IF($D768="","",IFERROR(INDEX(품목목록!$E$3:$E$302,MATCH($D768,품목목록!$A$3:$A$302,0)),""))</f>
        <v/>
      </c>
      <c r="I768" s="14"/>
      <c r="J768" s="10"/>
      <c r="K768" s="10"/>
      <c r="L768" s="10"/>
      <c r="M768" s="15" t="str">
        <f aca="false">IF($A768="","",SUMIFS(처리내역!$E$3:$E$1502,처리내역!$B$3:$B$1502,$A768))</f>
        <v/>
      </c>
      <c r="N768" s="15" t="str">
        <f aca="false">IF($A768="","",IF($I768="","",$I768-$M768))</f>
        <v/>
      </c>
      <c r="O768" s="12" t="str">
        <f aca="false">IF($A768="","",IF($I768="","",IF($M768=0,"미처리",IF($N768&lt;=0,"완료","부분처리"))))</f>
        <v/>
      </c>
    </row>
    <row r="769" customFormat="false" ht="15" hidden="false" customHeight="true" outlineLevel="0" collapsed="false">
      <c r="A769" s="12" t="str">
        <f aca="false">IF($B769="","",TEXT($B769,"yymm")&amp;"-"&amp;TEXT(COUNTIFS($B$3:$B769,"&gt;="&amp;DATE(YEAR($B769),MONTH($B769),1),$B$3:$B769,"&lt;="&amp;EOMONTH($B769,0)),"000"))</f>
        <v/>
      </c>
      <c r="B769" s="13"/>
      <c r="C769" s="10"/>
      <c r="D769" s="10"/>
      <c r="E769" s="12" t="str">
        <f aca="false">IF($D769="","",IFERROR(INDEX(품목목록!$B$3:$B$302,MATCH($D769,품목목록!$A$3:$A$302,0)),"미등록품번"))</f>
        <v/>
      </c>
      <c r="F769" s="12" t="str">
        <f aca="false">IF($D769="","",IFERROR(INDEX(품목목록!$C$3:$C$302,MATCH($D769,품목목록!$A$3:$A$302,0)),""))</f>
        <v/>
      </c>
      <c r="G769" s="12" t="str">
        <f aca="false">IF($D769="","",IFERROR(INDEX(품목목록!$D$3:$D$302,MATCH($D769,품목목록!$A$3:$A$302,0)),""))</f>
        <v/>
      </c>
      <c r="H769" s="12" t="str">
        <f aca="false">IF($D769="","",IFERROR(INDEX(품목목록!$E$3:$E$302,MATCH($D769,품목목록!$A$3:$A$302,0)),""))</f>
        <v/>
      </c>
      <c r="I769" s="14"/>
      <c r="J769" s="10"/>
      <c r="K769" s="10"/>
      <c r="L769" s="10"/>
      <c r="M769" s="15" t="str">
        <f aca="false">IF($A769="","",SUMIFS(처리내역!$E$3:$E$1502,처리내역!$B$3:$B$1502,$A769))</f>
        <v/>
      </c>
      <c r="N769" s="15" t="str">
        <f aca="false">IF($A769="","",IF($I769="","",$I769-$M769))</f>
        <v/>
      </c>
      <c r="O769" s="12" t="str">
        <f aca="false">IF($A769="","",IF($I769="","",IF($M769=0,"미처리",IF($N769&lt;=0,"완료","부분처리"))))</f>
        <v/>
      </c>
    </row>
    <row r="770" customFormat="false" ht="15" hidden="false" customHeight="true" outlineLevel="0" collapsed="false">
      <c r="A770" s="12" t="str">
        <f aca="false">IF($B770="","",TEXT($B770,"yymm")&amp;"-"&amp;TEXT(COUNTIFS($B$3:$B770,"&gt;="&amp;DATE(YEAR($B770),MONTH($B770),1),$B$3:$B770,"&lt;="&amp;EOMONTH($B770,0)),"000"))</f>
        <v/>
      </c>
      <c r="B770" s="13"/>
      <c r="C770" s="10"/>
      <c r="D770" s="10"/>
      <c r="E770" s="12" t="str">
        <f aca="false">IF($D770="","",IFERROR(INDEX(품목목록!$B$3:$B$302,MATCH($D770,품목목록!$A$3:$A$302,0)),"미등록품번"))</f>
        <v/>
      </c>
      <c r="F770" s="12" t="str">
        <f aca="false">IF($D770="","",IFERROR(INDEX(품목목록!$C$3:$C$302,MATCH($D770,품목목록!$A$3:$A$302,0)),""))</f>
        <v/>
      </c>
      <c r="G770" s="12" t="str">
        <f aca="false">IF($D770="","",IFERROR(INDEX(품목목록!$D$3:$D$302,MATCH($D770,품목목록!$A$3:$A$302,0)),""))</f>
        <v/>
      </c>
      <c r="H770" s="12" t="str">
        <f aca="false">IF($D770="","",IFERROR(INDEX(품목목록!$E$3:$E$302,MATCH($D770,품목목록!$A$3:$A$302,0)),""))</f>
        <v/>
      </c>
      <c r="I770" s="14"/>
      <c r="J770" s="10"/>
      <c r="K770" s="10"/>
      <c r="L770" s="10"/>
      <c r="M770" s="15" t="str">
        <f aca="false">IF($A770="","",SUMIFS(처리내역!$E$3:$E$1502,처리내역!$B$3:$B$1502,$A770))</f>
        <v/>
      </c>
      <c r="N770" s="15" t="str">
        <f aca="false">IF($A770="","",IF($I770="","",$I770-$M770))</f>
        <v/>
      </c>
      <c r="O770" s="12" t="str">
        <f aca="false">IF($A770="","",IF($I770="","",IF($M770=0,"미처리",IF($N770&lt;=0,"완료","부분처리"))))</f>
        <v/>
      </c>
    </row>
    <row r="771" customFormat="false" ht="15" hidden="false" customHeight="true" outlineLevel="0" collapsed="false">
      <c r="A771" s="12" t="str">
        <f aca="false">IF($B771="","",TEXT($B771,"yymm")&amp;"-"&amp;TEXT(COUNTIFS($B$3:$B771,"&gt;="&amp;DATE(YEAR($B771),MONTH($B771),1),$B$3:$B771,"&lt;="&amp;EOMONTH($B771,0)),"000"))</f>
        <v/>
      </c>
      <c r="B771" s="13"/>
      <c r="C771" s="10"/>
      <c r="D771" s="10"/>
      <c r="E771" s="12" t="str">
        <f aca="false">IF($D771="","",IFERROR(INDEX(품목목록!$B$3:$B$302,MATCH($D771,품목목록!$A$3:$A$302,0)),"미등록품번"))</f>
        <v/>
      </c>
      <c r="F771" s="12" t="str">
        <f aca="false">IF($D771="","",IFERROR(INDEX(품목목록!$C$3:$C$302,MATCH($D771,품목목록!$A$3:$A$302,0)),""))</f>
        <v/>
      </c>
      <c r="G771" s="12" t="str">
        <f aca="false">IF($D771="","",IFERROR(INDEX(품목목록!$D$3:$D$302,MATCH($D771,품목목록!$A$3:$A$302,0)),""))</f>
        <v/>
      </c>
      <c r="H771" s="12" t="str">
        <f aca="false">IF($D771="","",IFERROR(INDEX(품목목록!$E$3:$E$302,MATCH($D771,품목목록!$A$3:$A$302,0)),""))</f>
        <v/>
      </c>
      <c r="I771" s="14"/>
      <c r="J771" s="10"/>
      <c r="K771" s="10"/>
      <c r="L771" s="10"/>
      <c r="M771" s="15" t="str">
        <f aca="false">IF($A771="","",SUMIFS(처리내역!$E$3:$E$1502,처리내역!$B$3:$B$1502,$A771))</f>
        <v/>
      </c>
      <c r="N771" s="15" t="str">
        <f aca="false">IF($A771="","",IF($I771="","",$I771-$M771))</f>
        <v/>
      </c>
      <c r="O771" s="12" t="str">
        <f aca="false">IF($A771="","",IF($I771="","",IF($M771=0,"미처리",IF($N771&lt;=0,"완료","부분처리"))))</f>
        <v/>
      </c>
    </row>
    <row r="772" customFormat="false" ht="15" hidden="false" customHeight="true" outlineLevel="0" collapsed="false">
      <c r="A772" s="12" t="str">
        <f aca="false">IF($B772="","",TEXT($B772,"yymm")&amp;"-"&amp;TEXT(COUNTIFS($B$3:$B772,"&gt;="&amp;DATE(YEAR($B772),MONTH($B772),1),$B$3:$B772,"&lt;="&amp;EOMONTH($B772,0)),"000"))</f>
        <v/>
      </c>
      <c r="B772" s="13"/>
      <c r="C772" s="10"/>
      <c r="D772" s="10"/>
      <c r="E772" s="12" t="str">
        <f aca="false">IF($D772="","",IFERROR(INDEX(품목목록!$B$3:$B$302,MATCH($D772,품목목록!$A$3:$A$302,0)),"미등록품번"))</f>
        <v/>
      </c>
      <c r="F772" s="12" t="str">
        <f aca="false">IF($D772="","",IFERROR(INDEX(품목목록!$C$3:$C$302,MATCH($D772,품목목록!$A$3:$A$302,0)),""))</f>
        <v/>
      </c>
      <c r="G772" s="12" t="str">
        <f aca="false">IF($D772="","",IFERROR(INDEX(품목목록!$D$3:$D$302,MATCH($D772,품목목록!$A$3:$A$302,0)),""))</f>
        <v/>
      </c>
      <c r="H772" s="12" t="str">
        <f aca="false">IF($D772="","",IFERROR(INDEX(품목목록!$E$3:$E$302,MATCH($D772,품목목록!$A$3:$A$302,0)),""))</f>
        <v/>
      </c>
      <c r="I772" s="14"/>
      <c r="J772" s="10"/>
      <c r="K772" s="10"/>
      <c r="L772" s="10"/>
      <c r="M772" s="15" t="str">
        <f aca="false">IF($A772="","",SUMIFS(처리내역!$E$3:$E$1502,처리내역!$B$3:$B$1502,$A772))</f>
        <v/>
      </c>
      <c r="N772" s="15" t="str">
        <f aca="false">IF($A772="","",IF($I772="","",$I772-$M772))</f>
        <v/>
      </c>
      <c r="O772" s="12" t="str">
        <f aca="false">IF($A772="","",IF($I772="","",IF($M772=0,"미처리",IF($N772&lt;=0,"완료","부분처리"))))</f>
        <v/>
      </c>
    </row>
    <row r="773" customFormat="false" ht="15" hidden="false" customHeight="true" outlineLevel="0" collapsed="false">
      <c r="A773" s="12" t="str">
        <f aca="false">IF($B773="","",TEXT($B773,"yymm")&amp;"-"&amp;TEXT(COUNTIFS($B$3:$B773,"&gt;="&amp;DATE(YEAR($B773),MONTH($B773),1),$B$3:$B773,"&lt;="&amp;EOMONTH($B773,0)),"000"))</f>
        <v/>
      </c>
      <c r="B773" s="13"/>
      <c r="C773" s="10"/>
      <c r="D773" s="10"/>
      <c r="E773" s="12" t="str">
        <f aca="false">IF($D773="","",IFERROR(INDEX(품목목록!$B$3:$B$302,MATCH($D773,품목목록!$A$3:$A$302,0)),"미등록품번"))</f>
        <v/>
      </c>
      <c r="F773" s="12" t="str">
        <f aca="false">IF($D773="","",IFERROR(INDEX(품목목록!$C$3:$C$302,MATCH($D773,품목목록!$A$3:$A$302,0)),""))</f>
        <v/>
      </c>
      <c r="G773" s="12" t="str">
        <f aca="false">IF($D773="","",IFERROR(INDEX(품목목록!$D$3:$D$302,MATCH($D773,품목목록!$A$3:$A$302,0)),""))</f>
        <v/>
      </c>
      <c r="H773" s="12" t="str">
        <f aca="false">IF($D773="","",IFERROR(INDEX(품목목록!$E$3:$E$302,MATCH($D773,품목목록!$A$3:$A$302,0)),""))</f>
        <v/>
      </c>
      <c r="I773" s="14"/>
      <c r="J773" s="10"/>
      <c r="K773" s="10"/>
      <c r="L773" s="10"/>
      <c r="M773" s="15" t="str">
        <f aca="false">IF($A773="","",SUMIFS(처리내역!$E$3:$E$1502,처리내역!$B$3:$B$1502,$A773))</f>
        <v/>
      </c>
      <c r="N773" s="15" t="str">
        <f aca="false">IF($A773="","",IF($I773="","",$I773-$M773))</f>
        <v/>
      </c>
      <c r="O773" s="12" t="str">
        <f aca="false">IF($A773="","",IF($I773="","",IF($M773=0,"미처리",IF($N773&lt;=0,"완료","부분처리"))))</f>
        <v/>
      </c>
    </row>
    <row r="774" customFormat="false" ht="15" hidden="false" customHeight="true" outlineLevel="0" collapsed="false">
      <c r="A774" s="12" t="str">
        <f aca="false">IF($B774="","",TEXT($B774,"yymm")&amp;"-"&amp;TEXT(COUNTIFS($B$3:$B774,"&gt;="&amp;DATE(YEAR($B774),MONTH($B774),1),$B$3:$B774,"&lt;="&amp;EOMONTH($B774,0)),"000"))</f>
        <v/>
      </c>
      <c r="B774" s="13"/>
      <c r="C774" s="10"/>
      <c r="D774" s="10"/>
      <c r="E774" s="12" t="str">
        <f aca="false">IF($D774="","",IFERROR(INDEX(품목목록!$B$3:$B$302,MATCH($D774,품목목록!$A$3:$A$302,0)),"미등록품번"))</f>
        <v/>
      </c>
      <c r="F774" s="12" t="str">
        <f aca="false">IF($D774="","",IFERROR(INDEX(품목목록!$C$3:$C$302,MATCH($D774,품목목록!$A$3:$A$302,0)),""))</f>
        <v/>
      </c>
      <c r="G774" s="12" t="str">
        <f aca="false">IF($D774="","",IFERROR(INDEX(품목목록!$D$3:$D$302,MATCH($D774,품목목록!$A$3:$A$302,0)),""))</f>
        <v/>
      </c>
      <c r="H774" s="12" t="str">
        <f aca="false">IF($D774="","",IFERROR(INDEX(품목목록!$E$3:$E$302,MATCH($D774,품목목록!$A$3:$A$302,0)),""))</f>
        <v/>
      </c>
      <c r="I774" s="14"/>
      <c r="J774" s="10"/>
      <c r="K774" s="10"/>
      <c r="L774" s="10"/>
      <c r="M774" s="15" t="str">
        <f aca="false">IF($A774="","",SUMIFS(처리내역!$E$3:$E$1502,처리내역!$B$3:$B$1502,$A774))</f>
        <v/>
      </c>
      <c r="N774" s="15" t="str">
        <f aca="false">IF($A774="","",IF($I774="","",$I774-$M774))</f>
        <v/>
      </c>
      <c r="O774" s="12" t="str">
        <f aca="false">IF($A774="","",IF($I774="","",IF($M774=0,"미처리",IF($N774&lt;=0,"완료","부분처리"))))</f>
        <v/>
      </c>
    </row>
    <row r="775" customFormat="false" ht="15" hidden="false" customHeight="true" outlineLevel="0" collapsed="false">
      <c r="A775" s="12" t="str">
        <f aca="false">IF($B775="","",TEXT($B775,"yymm")&amp;"-"&amp;TEXT(COUNTIFS($B$3:$B775,"&gt;="&amp;DATE(YEAR($B775),MONTH($B775),1),$B$3:$B775,"&lt;="&amp;EOMONTH($B775,0)),"000"))</f>
        <v/>
      </c>
      <c r="B775" s="13"/>
      <c r="C775" s="10"/>
      <c r="D775" s="10"/>
      <c r="E775" s="12" t="str">
        <f aca="false">IF($D775="","",IFERROR(INDEX(품목목록!$B$3:$B$302,MATCH($D775,품목목록!$A$3:$A$302,0)),"미등록품번"))</f>
        <v/>
      </c>
      <c r="F775" s="12" t="str">
        <f aca="false">IF($D775="","",IFERROR(INDEX(품목목록!$C$3:$C$302,MATCH($D775,품목목록!$A$3:$A$302,0)),""))</f>
        <v/>
      </c>
      <c r="G775" s="12" t="str">
        <f aca="false">IF($D775="","",IFERROR(INDEX(품목목록!$D$3:$D$302,MATCH($D775,품목목록!$A$3:$A$302,0)),""))</f>
        <v/>
      </c>
      <c r="H775" s="12" t="str">
        <f aca="false">IF($D775="","",IFERROR(INDEX(품목목록!$E$3:$E$302,MATCH($D775,품목목록!$A$3:$A$302,0)),""))</f>
        <v/>
      </c>
      <c r="I775" s="14"/>
      <c r="J775" s="10"/>
      <c r="K775" s="10"/>
      <c r="L775" s="10"/>
      <c r="M775" s="15" t="str">
        <f aca="false">IF($A775="","",SUMIFS(처리내역!$E$3:$E$1502,처리내역!$B$3:$B$1502,$A775))</f>
        <v/>
      </c>
      <c r="N775" s="15" t="str">
        <f aca="false">IF($A775="","",IF($I775="","",$I775-$M775))</f>
        <v/>
      </c>
      <c r="O775" s="12" t="str">
        <f aca="false">IF($A775="","",IF($I775="","",IF($M775=0,"미처리",IF($N775&lt;=0,"완료","부분처리"))))</f>
        <v/>
      </c>
    </row>
    <row r="776" customFormat="false" ht="15" hidden="false" customHeight="true" outlineLevel="0" collapsed="false">
      <c r="A776" s="12" t="str">
        <f aca="false">IF($B776="","",TEXT($B776,"yymm")&amp;"-"&amp;TEXT(COUNTIFS($B$3:$B776,"&gt;="&amp;DATE(YEAR($B776),MONTH($B776),1),$B$3:$B776,"&lt;="&amp;EOMONTH($B776,0)),"000"))</f>
        <v/>
      </c>
      <c r="B776" s="13"/>
      <c r="C776" s="10"/>
      <c r="D776" s="10"/>
      <c r="E776" s="12" t="str">
        <f aca="false">IF($D776="","",IFERROR(INDEX(품목목록!$B$3:$B$302,MATCH($D776,품목목록!$A$3:$A$302,0)),"미등록품번"))</f>
        <v/>
      </c>
      <c r="F776" s="12" t="str">
        <f aca="false">IF($D776="","",IFERROR(INDEX(품목목록!$C$3:$C$302,MATCH($D776,품목목록!$A$3:$A$302,0)),""))</f>
        <v/>
      </c>
      <c r="G776" s="12" t="str">
        <f aca="false">IF($D776="","",IFERROR(INDEX(품목목록!$D$3:$D$302,MATCH($D776,품목목록!$A$3:$A$302,0)),""))</f>
        <v/>
      </c>
      <c r="H776" s="12" t="str">
        <f aca="false">IF($D776="","",IFERROR(INDEX(품목목록!$E$3:$E$302,MATCH($D776,품목목록!$A$3:$A$302,0)),""))</f>
        <v/>
      </c>
      <c r="I776" s="14"/>
      <c r="J776" s="10"/>
      <c r="K776" s="10"/>
      <c r="L776" s="10"/>
      <c r="M776" s="15" t="str">
        <f aca="false">IF($A776="","",SUMIFS(처리내역!$E$3:$E$1502,처리내역!$B$3:$B$1502,$A776))</f>
        <v/>
      </c>
      <c r="N776" s="15" t="str">
        <f aca="false">IF($A776="","",IF($I776="","",$I776-$M776))</f>
        <v/>
      </c>
      <c r="O776" s="12" t="str">
        <f aca="false">IF($A776="","",IF($I776="","",IF($M776=0,"미처리",IF($N776&lt;=0,"완료","부분처리"))))</f>
        <v/>
      </c>
    </row>
    <row r="777" customFormat="false" ht="15" hidden="false" customHeight="true" outlineLevel="0" collapsed="false">
      <c r="A777" s="12" t="str">
        <f aca="false">IF($B777="","",TEXT($B777,"yymm")&amp;"-"&amp;TEXT(COUNTIFS($B$3:$B777,"&gt;="&amp;DATE(YEAR($B777),MONTH($B777),1),$B$3:$B777,"&lt;="&amp;EOMONTH($B777,0)),"000"))</f>
        <v/>
      </c>
      <c r="B777" s="13"/>
      <c r="C777" s="10"/>
      <c r="D777" s="10"/>
      <c r="E777" s="12" t="str">
        <f aca="false">IF($D777="","",IFERROR(INDEX(품목목록!$B$3:$B$302,MATCH($D777,품목목록!$A$3:$A$302,0)),"미등록품번"))</f>
        <v/>
      </c>
      <c r="F777" s="12" t="str">
        <f aca="false">IF($D777="","",IFERROR(INDEX(품목목록!$C$3:$C$302,MATCH($D777,품목목록!$A$3:$A$302,0)),""))</f>
        <v/>
      </c>
      <c r="G777" s="12" t="str">
        <f aca="false">IF($D777="","",IFERROR(INDEX(품목목록!$D$3:$D$302,MATCH($D777,품목목록!$A$3:$A$302,0)),""))</f>
        <v/>
      </c>
      <c r="H777" s="12" t="str">
        <f aca="false">IF($D777="","",IFERROR(INDEX(품목목록!$E$3:$E$302,MATCH($D777,품목목록!$A$3:$A$302,0)),""))</f>
        <v/>
      </c>
      <c r="I777" s="14"/>
      <c r="J777" s="10"/>
      <c r="K777" s="10"/>
      <c r="L777" s="10"/>
      <c r="M777" s="15" t="str">
        <f aca="false">IF($A777="","",SUMIFS(처리내역!$E$3:$E$1502,처리내역!$B$3:$B$1502,$A777))</f>
        <v/>
      </c>
      <c r="N777" s="15" t="str">
        <f aca="false">IF($A777="","",IF($I777="","",$I777-$M777))</f>
        <v/>
      </c>
      <c r="O777" s="12" t="str">
        <f aca="false">IF($A777="","",IF($I777="","",IF($M777=0,"미처리",IF($N777&lt;=0,"완료","부분처리"))))</f>
        <v/>
      </c>
    </row>
    <row r="778" customFormat="false" ht="15" hidden="false" customHeight="true" outlineLevel="0" collapsed="false">
      <c r="A778" s="12" t="str">
        <f aca="false">IF($B778="","",TEXT($B778,"yymm")&amp;"-"&amp;TEXT(COUNTIFS($B$3:$B778,"&gt;="&amp;DATE(YEAR($B778),MONTH($B778),1),$B$3:$B778,"&lt;="&amp;EOMONTH($B778,0)),"000"))</f>
        <v/>
      </c>
      <c r="B778" s="13"/>
      <c r="C778" s="10"/>
      <c r="D778" s="10"/>
      <c r="E778" s="12" t="str">
        <f aca="false">IF($D778="","",IFERROR(INDEX(품목목록!$B$3:$B$302,MATCH($D778,품목목록!$A$3:$A$302,0)),"미등록품번"))</f>
        <v/>
      </c>
      <c r="F778" s="12" t="str">
        <f aca="false">IF($D778="","",IFERROR(INDEX(품목목록!$C$3:$C$302,MATCH($D778,품목목록!$A$3:$A$302,0)),""))</f>
        <v/>
      </c>
      <c r="G778" s="12" t="str">
        <f aca="false">IF($D778="","",IFERROR(INDEX(품목목록!$D$3:$D$302,MATCH($D778,품목목록!$A$3:$A$302,0)),""))</f>
        <v/>
      </c>
      <c r="H778" s="12" t="str">
        <f aca="false">IF($D778="","",IFERROR(INDEX(품목목록!$E$3:$E$302,MATCH($D778,품목목록!$A$3:$A$302,0)),""))</f>
        <v/>
      </c>
      <c r="I778" s="14"/>
      <c r="J778" s="10"/>
      <c r="K778" s="10"/>
      <c r="L778" s="10"/>
      <c r="M778" s="15" t="str">
        <f aca="false">IF($A778="","",SUMIFS(처리내역!$E$3:$E$1502,처리내역!$B$3:$B$1502,$A778))</f>
        <v/>
      </c>
      <c r="N778" s="15" t="str">
        <f aca="false">IF($A778="","",IF($I778="","",$I778-$M778))</f>
        <v/>
      </c>
      <c r="O778" s="12" t="str">
        <f aca="false">IF($A778="","",IF($I778="","",IF($M778=0,"미처리",IF($N778&lt;=0,"완료","부분처리"))))</f>
        <v/>
      </c>
    </row>
    <row r="779" customFormat="false" ht="15" hidden="false" customHeight="true" outlineLevel="0" collapsed="false">
      <c r="A779" s="12" t="str">
        <f aca="false">IF($B779="","",TEXT($B779,"yymm")&amp;"-"&amp;TEXT(COUNTIFS($B$3:$B779,"&gt;="&amp;DATE(YEAR($B779),MONTH($B779),1),$B$3:$B779,"&lt;="&amp;EOMONTH($B779,0)),"000"))</f>
        <v/>
      </c>
      <c r="B779" s="13"/>
      <c r="C779" s="10"/>
      <c r="D779" s="10"/>
      <c r="E779" s="12" t="str">
        <f aca="false">IF($D779="","",IFERROR(INDEX(품목목록!$B$3:$B$302,MATCH($D779,품목목록!$A$3:$A$302,0)),"미등록품번"))</f>
        <v/>
      </c>
      <c r="F779" s="12" t="str">
        <f aca="false">IF($D779="","",IFERROR(INDEX(품목목록!$C$3:$C$302,MATCH($D779,품목목록!$A$3:$A$302,0)),""))</f>
        <v/>
      </c>
      <c r="G779" s="12" t="str">
        <f aca="false">IF($D779="","",IFERROR(INDEX(품목목록!$D$3:$D$302,MATCH($D779,품목목록!$A$3:$A$302,0)),""))</f>
        <v/>
      </c>
      <c r="H779" s="12" t="str">
        <f aca="false">IF($D779="","",IFERROR(INDEX(품목목록!$E$3:$E$302,MATCH($D779,품목목록!$A$3:$A$302,0)),""))</f>
        <v/>
      </c>
      <c r="I779" s="14"/>
      <c r="J779" s="10"/>
      <c r="K779" s="10"/>
      <c r="L779" s="10"/>
      <c r="M779" s="15" t="str">
        <f aca="false">IF($A779="","",SUMIFS(처리내역!$E$3:$E$1502,처리내역!$B$3:$B$1502,$A779))</f>
        <v/>
      </c>
      <c r="N779" s="15" t="str">
        <f aca="false">IF($A779="","",IF($I779="","",$I779-$M779))</f>
        <v/>
      </c>
      <c r="O779" s="12" t="str">
        <f aca="false">IF($A779="","",IF($I779="","",IF($M779=0,"미처리",IF($N779&lt;=0,"완료","부분처리"))))</f>
        <v/>
      </c>
    </row>
    <row r="780" customFormat="false" ht="15" hidden="false" customHeight="true" outlineLevel="0" collapsed="false">
      <c r="A780" s="12" t="str">
        <f aca="false">IF($B780="","",TEXT($B780,"yymm")&amp;"-"&amp;TEXT(COUNTIFS($B$3:$B780,"&gt;="&amp;DATE(YEAR($B780),MONTH($B780),1),$B$3:$B780,"&lt;="&amp;EOMONTH($B780,0)),"000"))</f>
        <v/>
      </c>
      <c r="B780" s="13"/>
      <c r="C780" s="10"/>
      <c r="D780" s="10"/>
      <c r="E780" s="12" t="str">
        <f aca="false">IF($D780="","",IFERROR(INDEX(품목목록!$B$3:$B$302,MATCH($D780,품목목록!$A$3:$A$302,0)),"미등록품번"))</f>
        <v/>
      </c>
      <c r="F780" s="12" t="str">
        <f aca="false">IF($D780="","",IFERROR(INDEX(품목목록!$C$3:$C$302,MATCH($D780,품목목록!$A$3:$A$302,0)),""))</f>
        <v/>
      </c>
      <c r="G780" s="12" t="str">
        <f aca="false">IF($D780="","",IFERROR(INDEX(품목목록!$D$3:$D$302,MATCH($D780,품목목록!$A$3:$A$302,0)),""))</f>
        <v/>
      </c>
      <c r="H780" s="12" t="str">
        <f aca="false">IF($D780="","",IFERROR(INDEX(품목목록!$E$3:$E$302,MATCH($D780,품목목록!$A$3:$A$302,0)),""))</f>
        <v/>
      </c>
      <c r="I780" s="14"/>
      <c r="J780" s="10"/>
      <c r="K780" s="10"/>
      <c r="L780" s="10"/>
      <c r="M780" s="15" t="str">
        <f aca="false">IF($A780="","",SUMIFS(처리내역!$E$3:$E$1502,처리내역!$B$3:$B$1502,$A780))</f>
        <v/>
      </c>
      <c r="N780" s="15" t="str">
        <f aca="false">IF($A780="","",IF($I780="","",$I780-$M780))</f>
        <v/>
      </c>
      <c r="O780" s="12" t="str">
        <f aca="false">IF($A780="","",IF($I780="","",IF($M780=0,"미처리",IF($N780&lt;=0,"완료","부분처리"))))</f>
        <v/>
      </c>
    </row>
    <row r="781" customFormat="false" ht="15" hidden="false" customHeight="true" outlineLevel="0" collapsed="false">
      <c r="A781" s="12" t="str">
        <f aca="false">IF($B781="","",TEXT($B781,"yymm")&amp;"-"&amp;TEXT(COUNTIFS($B$3:$B781,"&gt;="&amp;DATE(YEAR($B781),MONTH($B781),1),$B$3:$B781,"&lt;="&amp;EOMONTH($B781,0)),"000"))</f>
        <v/>
      </c>
      <c r="B781" s="13"/>
      <c r="C781" s="10"/>
      <c r="D781" s="10"/>
      <c r="E781" s="12" t="str">
        <f aca="false">IF($D781="","",IFERROR(INDEX(품목목록!$B$3:$B$302,MATCH($D781,품목목록!$A$3:$A$302,0)),"미등록품번"))</f>
        <v/>
      </c>
      <c r="F781" s="12" t="str">
        <f aca="false">IF($D781="","",IFERROR(INDEX(품목목록!$C$3:$C$302,MATCH($D781,품목목록!$A$3:$A$302,0)),""))</f>
        <v/>
      </c>
      <c r="G781" s="12" t="str">
        <f aca="false">IF($D781="","",IFERROR(INDEX(품목목록!$D$3:$D$302,MATCH($D781,품목목록!$A$3:$A$302,0)),""))</f>
        <v/>
      </c>
      <c r="H781" s="12" t="str">
        <f aca="false">IF($D781="","",IFERROR(INDEX(품목목록!$E$3:$E$302,MATCH($D781,품목목록!$A$3:$A$302,0)),""))</f>
        <v/>
      </c>
      <c r="I781" s="14"/>
      <c r="J781" s="10"/>
      <c r="K781" s="10"/>
      <c r="L781" s="10"/>
      <c r="M781" s="15" t="str">
        <f aca="false">IF($A781="","",SUMIFS(처리내역!$E$3:$E$1502,처리내역!$B$3:$B$1502,$A781))</f>
        <v/>
      </c>
      <c r="N781" s="15" t="str">
        <f aca="false">IF($A781="","",IF($I781="","",$I781-$M781))</f>
        <v/>
      </c>
      <c r="O781" s="12" t="str">
        <f aca="false">IF($A781="","",IF($I781="","",IF($M781=0,"미처리",IF($N781&lt;=0,"완료","부분처리"))))</f>
        <v/>
      </c>
    </row>
    <row r="782" customFormat="false" ht="15" hidden="false" customHeight="true" outlineLevel="0" collapsed="false">
      <c r="A782" s="12" t="str">
        <f aca="false">IF($B782="","",TEXT($B782,"yymm")&amp;"-"&amp;TEXT(COUNTIFS($B$3:$B782,"&gt;="&amp;DATE(YEAR($B782),MONTH($B782),1),$B$3:$B782,"&lt;="&amp;EOMONTH($B782,0)),"000"))</f>
        <v/>
      </c>
      <c r="B782" s="13"/>
      <c r="C782" s="10"/>
      <c r="D782" s="10"/>
      <c r="E782" s="12" t="str">
        <f aca="false">IF($D782="","",IFERROR(INDEX(품목목록!$B$3:$B$302,MATCH($D782,품목목록!$A$3:$A$302,0)),"미등록품번"))</f>
        <v/>
      </c>
      <c r="F782" s="12" t="str">
        <f aca="false">IF($D782="","",IFERROR(INDEX(품목목록!$C$3:$C$302,MATCH($D782,품목목록!$A$3:$A$302,0)),""))</f>
        <v/>
      </c>
      <c r="G782" s="12" t="str">
        <f aca="false">IF($D782="","",IFERROR(INDEX(품목목록!$D$3:$D$302,MATCH($D782,품목목록!$A$3:$A$302,0)),""))</f>
        <v/>
      </c>
      <c r="H782" s="12" t="str">
        <f aca="false">IF($D782="","",IFERROR(INDEX(품목목록!$E$3:$E$302,MATCH($D782,품목목록!$A$3:$A$302,0)),""))</f>
        <v/>
      </c>
      <c r="I782" s="14"/>
      <c r="J782" s="10"/>
      <c r="K782" s="10"/>
      <c r="L782" s="10"/>
      <c r="M782" s="15" t="str">
        <f aca="false">IF($A782="","",SUMIFS(처리내역!$E$3:$E$1502,처리내역!$B$3:$B$1502,$A782))</f>
        <v/>
      </c>
      <c r="N782" s="15" t="str">
        <f aca="false">IF($A782="","",IF($I782="","",$I782-$M782))</f>
        <v/>
      </c>
      <c r="O782" s="12" t="str">
        <f aca="false">IF($A782="","",IF($I782="","",IF($M782=0,"미처리",IF($N782&lt;=0,"완료","부분처리"))))</f>
        <v/>
      </c>
    </row>
    <row r="783" customFormat="false" ht="15" hidden="false" customHeight="true" outlineLevel="0" collapsed="false">
      <c r="A783" s="12" t="str">
        <f aca="false">IF($B783="","",TEXT($B783,"yymm")&amp;"-"&amp;TEXT(COUNTIFS($B$3:$B783,"&gt;="&amp;DATE(YEAR($B783),MONTH($B783),1),$B$3:$B783,"&lt;="&amp;EOMONTH($B783,0)),"000"))</f>
        <v/>
      </c>
      <c r="B783" s="13"/>
      <c r="C783" s="10"/>
      <c r="D783" s="10"/>
      <c r="E783" s="12" t="str">
        <f aca="false">IF($D783="","",IFERROR(INDEX(품목목록!$B$3:$B$302,MATCH($D783,품목목록!$A$3:$A$302,0)),"미등록품번"))</f>
        <v/>
      </c>
      <c r="F783" s="12" t="str">
        <f aca="false">IF($D783="","",IFERROR(INDEX(품목목록!$C$3:$C$302,MATCH($D783,품목목록!$A$3:$A$302,0)),""))</f>
        <v/>
      </c>
      <c r="G783" s="12" t="str">
        <f aca="false">IF($D783="","",IFERROR(INDEX(품목목록!$D$3:$D$302,MATCH($D783,품목목록!$A$3:$A$302,0)),""))</f>
        <v/>
      </c>
      <c r="H783" s="12" t="str">
        <f aca="false">IF($D783="","",IFERROR(INDEX(품목목록!$E$3:$E$302,MATCH($D783,품목목록!$A$3:$A$302,0)),""))</f>
        <v/>
      </c>
      <c r="I783" s="14"/>
      <c r="J783" s="10"/>
      <c r="K783" s="10"/>
      <c r="L783" s="10"/>
      <c r="M783" s="15" t="str">
        <f aca="false">IF($A783="","",SUMIFS(처리내역!$E$3:$E$1502,처리내역!$B$3:$B$1502,$A783))</f>
        <v/>
      </c>
      <c r="N783" s="15" t="str">
        <f aca="false">IF($A783="","",IF($I783="","",$I783-$M783))</f>
        <v/>
      </c>
      <c r="O783" s="12" t="str">
        <f aca="false">IF($A783="","",IF($I783="","",IF($M783=0,"미처리",IF($N783&lt;=0,"완료","부분처리"))))</f>
        <v/>
      </c>
    </row>
    <row r="784" customFormat="false" ht="15" hidden="false" customHeight="true" outlineLevel="0" collapsed="false">
      <c r="A784" s="12" t="str">
        <f aca="false">IF($B784="","",TEXT($B784,"yymm")&amp;"-"&amp;TEXT(COUNTIFS($B$3:$B784,"&gt;="&amp;DATE(YEAR($B784),MONTH($B784),1),$B$3:$B784,"&lt;="&amp;EOMONTH($B784,0)),"000"))</f>
        <v/>
      </c>
      <c r="B784" s="13"/>
      <c r="C784" s="10"/>
      <c r="D784" s="10"/>
      <c r="E784" s="12" t="str">
        <f aca="false">IF($D784="","",IFERROR(INDEX(품목목록!$B$3:$B$302,MATCH($D784,품목목록!$A$3:$A$302,0)),"미등록품번"))</f>
        <v/>
      </c>
      <c r="F784" s="12" t="str">
        <f aca="false">IF($D784="","",IFERROR(INDEX(품목목록!$C$3:$C$302,MATCH($D784,품목목록!$A$3:$A$302,0)),""))</f>
        <v/>
      </c>
      <c r="G784" s="12" t="str">
        <f aca="false">IF($D784="","",IFERROR(INDEX(품목목록!$D$3:$D$302,MATCH($D784,품목목록!$A$3:$A$302,0)),""))</f>
        <v/>
      </c>
      <c r="H784" s="12" t="str">
        <f aca="false">IF($D784="","",IFERROR(INDEX(품목목록!$E$3:$E$302,MATCH($D784,품목목록!$A$3:$A$302,0)),""))</f>
        <v/>
      </c>
      <c r="I784" s="14"/>
      <c r="J784" s="10"/>
      <c r="K784" s="10"/>
      <c r="L784" s="10"/>
      <c r="M784" s="15" t="str">
        <f aca="false">IF($A784="","",SUMIFS(처리내역!$E$3:$E$1502,처리내역!$B$3:$B$1502,$A784))</f>
        <v/>
      </c>
      <c r="N784" s="15" t="str">
        <f aca="false">IF($A784="","",IF($I784="","",$I784-$M784))</f>
        <v/>
      </c>
      <c r="O784" s="12" t="str">
        <f aca="false">IF($A784="","",IF($I784="","",IF($M784=0,"미처리",IF($N784&lt;=0,"완료","부분처리"))))</f>
        <v/>
      </c>
    </row>
    <row r="785" customFormat="false" ht="15" hidden="false" customHeight="true" outlineLevel="0" collapsed="false">
      <c r="A785" s="12" t="str">
        <f aca="false">IF($B785="","",TEXT($B785,"yymm")&amp;"-"&amp;TEXT(COUNTIFS($B$3:$B785,"&gt;="&amp;DATE(YEAR($B785),MONTH($B785),1),$B$3:$B785,"&lt;="&amp;EOMONTH($B785,0)),"000"))</f>
        <v/>
      </c>
      <c r="B785" s="13"/>
      <c r="C785" s="10"/>
      <c r="D785" s="10"/>
      <c r="E785" s="12" t="str">
        <f aca="false">IF($D785="","",IFERROR(INDEX(품목목록!$B$3:$B$302,MATCH($D785,품목목록!$A$3:$A$302,0)),"미등록품번"))</f>
        <v/>
      </c>
      <c r="F785" s="12" t="str">
        <f aca="false">IF($D785="","",IFERROR(INDEX(품목목록!$C$3:$C$302,MATCH($D785,품목목록!$A$3:$A$302,0)),""))</f>
        <v/>
      </c>
      <c r="G785" s="12" t="str">
        <f aca="false">IF($D785="","",IFERROR(INDEX(품목목록!$D$3:$D$302,MATCH($D785,품목목록!$A$3:$A$302,0)),""))</f>
        <v/>
      </c>
      <c r="H785" s="12" t="str">
        <f aca="false">IF($D785="","",IFERROR(INDEX(품목목록!$E$3:$E$302,MATCH($D785,품목목록!$A$3:$A$302,0)),""))</f>
        <v/>
      </c>
      <c r="I785" s="14"/>
      <c r="J785" s="10"/>
      <c r="K785" s="10"/>
      <c r="L785" s="10"/>
      <c r="M785" s="15" t="str">
        <f aca="false">IF($A785="","",SUMIFS(처리내역!$E$3:$E$1502,처리내역!$B$3:$B$1502,$A785))</f>
        <v/>
      </c>
      <c r="N785" s="15" t="str">
        <f aca="false">IF($A785="","",IF($I785="","",$I785-$M785))</f>
        <v/>
      </c>
      <c r="O785" s="12" t="str">
        <f aca="false">IF($A785="","",IF($I785="","",IF($M785=0,"미처리",IF($N785&lt;=0,"완료","부분처리"))))</f>
        <v/>
      </c>
    </row>
    <row r="786" customFormat="false" ht="15" hidden="false" customHeight="true" outlineLevel="0" collapsed="false">
      <c r="A786" s="12" t="str">
        <f aca="false">IF($B786="","",TEXT($B786,"yymm")&amp;"-"&amp;TEXT(COUNTIFS($B$3:$B786,"&gt;="&amp;DATE(YEAR($B786),MONTH($B786),1),$B$3:$B786,"&lt;="&amp;EOMONTH($B786,0)),"000"))</f>
        <v/>
      </c>
      <c r="B786" s="13"/>
      <c r="C786" s="10"/>
      <c r="D786" s="10"/>
      <c r="E786" s="12" t="str">
        <f aca="false">IF($D786="","",IFERROR(INDEX(품목목록!$B$3:$B$302,MATCH($D786,품목목록!$A$3:$A$302,0)),"미등록품번"))</f>
        <v/>
      </c>
      <c r="F786" s="12" t="str">
        <f aca="false">IF($D786="","",IFERROR(INDEX(품목목록!$C$3:$C$302,MATCH($D786,품목목록!$A$3:$A$302,0)),""))</f>
        <v/>
      </c>
      <c r="G786" s="12" t="str">
        <f aca="false">IF($D786="","",IFERROR(INDEX(품목목록!$D$3:$D$302,MATCH($D786,품목목록!$A$3:$A$302,0)),""))</f>
        <v/>
      </c>
      <c r="H786" s="12" t="str">
        <f aca="false">IF($D786="","",IFERROR(INDEX(품목목록!$E$3:$E$302,MATCH($D786,품목목록!$A$3:$A$302,0)),""))</f>
        <v/>
      </c>
      <c r="I786" s="14"/>
      <c r="J786" s="10"/>
      <c r="K786" s="10"/>
      <c r="L786" s="10"/>
      <c r="M786" s="15" t="str">
        <f aca="false">IF($A786="","",SUMIFS(처리내역!$E$3:$E$1502,처리내역!$B$3:$B$1502,$A786))</f>
        <v/>
      </c>
      <c r="N786" s="15" t="str">
        <f aca="false">IF($A786="","",IF($I786="","",$I786-$M786))</f>
        <v/>
      </c>
      <c r="O786" s="12" t="str">
        <f aca="false">IF($A786="","",IF($I786="","",IF($M786=0,"미처리",IF($N786&lt;=0,"완료","부분처리"))))</f>
        <v/>
      </c>
    </row>
    <row r="787" customFormat="false" ht="15" hidden="false" customHeight="true" outlineLevel="0" collapsed="false">
      <c r="A787" s="12" t="str">
        <f aca="false">IF($B787="","",TEXT($B787,"yymm")&amp;"-"&amp;TEXT(COUNTIFS($B$3:$B787,"&gt;="&amp;DATE(YEAR($B787),MONTH($B787),1),$B$3:$B787,"&lt;="&amp;EOMONTH($B787,0)),"000"))</f>
        <v/>
      </c>
      <c r="B787" s="13"/>
      <c r="C787" s="10"/>
      <c r="D787" s="10"/>
      <c r="E787" s="12" t="str">
        <f aca="false">IF($D787="","",IFERROR(INDEX(품목목록!$B$3:$B$302,MATCH($D787,품목목록!$A$3:$A$302,0)),"미등록품번"))</f>
        <v/>
      </c>
      <c r="F787" s="12" t="str">
        <f aca="false">IF($D787="","",IFERROR(INDEX(품목목록!$C$3:$C$302,MATCH($D787,품목목록!$A$3:$A$302,0)),""))</f>
        <v/>
      </c>
      <c r="G787" s="12" t="str">
        <f aca="false">IF($D787="","",IFERROR(INDEX(품목목록!$D$3:$D$302,MATCH($D787,품목목록!$A$3:$A$302,0)),""))</f>
        <v/>
      </c>
      <c r="H787" s="12" t="str">
        <f aca="false">IF($D787="","",IFERROR(INDEX(품목목록!$E$3:$E$302,MATCH($D787,품목목록!$A$3:$A$302,0)),""))</f>
        <v/>
      </c>
      <c r="I787" s="14"/>
      <c r="J787" s="10"/>
      <c r="K787" s="10"/>
      <c r="L787" s="10"/>
      <c r="M787" s="15" t="str">
        <f aca="false">IF($A787="","",SUMIFS(처리내역!$E$3:$E$1502,처리내역!$B$3:$B$1502,$A787))</f>
        <v/>
      </c>
      <c r="N787" s="15" t="str">
        <f aca="false">IF($A787="","",IF($I787="","",$I787-$M787))</f>
        <v/>
      </c>
      <c r="O787" s="12" t="str">
        <f aca="false">IF($A787="","",IF($I787="","",IF($M787=0,"미처리",IF($N787&lt;=0,"완료","부분처리"))))</f>
        <v/>
      </c>
    </row>
    <row r="788" customFormat="false" ht="15" hidden="false" customHeight="true" outlineLevel="0" collapsed="false">
      <c r="A788" s="12" t="str">
        <f aca="false">IF($B788="","",TEXT($B788,"yymm")&amp;"-"&amp;TEXT(COUNTIFS($B$3:$B788,"&gt;="&amp;DATE(YEAR($B788),MONTH($B788),1),$B$3:$B788,"&lt;="&amp;EOMONTH($B788,0)),"000"))</f>
        <v/>
      </c>
      <c r="B788" s="13"/>
      <c r="C788" s="10"/>
      <c r="D788" s="10"/>
      <c r="E788" s="12" t="str">
        <f aca="false">IF($D788="","",IFERROR(INDEX(품목목록!$B$3:$B$302,MATCH($D788,품목목록!$A$3:$A$302,0)),"미등록품번"))</f>
        <v/>
      </c>
      <c r="F788" s="12" t="str">
        <f aca="false">IF($D788="","",IFERROR(INDEX(품목목록!$C$3:$C$302,MATCH($D788,품목목록!$A$3:$A$302,0)),""))</f>
        <v/>
      </c>
      <c r="G788" s="12" t="str">
        <f aca="false">IF($D788="","",IFERROR(INDEX(품목목록!$D$3:$D$302,MATCH($D788,품목목록!$A$3:$A$302,0)),""))</f>
        <v/>
      </c>
      <c r="H788" s="12" t="str">
        <f aca="false">IF($D788="","",IFERROR(INDEX(품목목록!$E$3:$E$302,MATCH($D788,품목목록!$A$3:$A$302,0)),""))</f>
        <v/>
      </c>
      <c r="I788" s="14"/>
      <c r="J788" s="10"/>
      <c r="K788" s="10"/>
      <c r="L788" s="10"/>
      <c r="M788" s="15" t="str">
        <f aca="false">IF($A788="","",SUMIFS(처리내역!$E$3:$E$1502,처리내역!$B$3:$B$1502,$A788))</f>
        <v/>
      </c>
      <c r="N788" s="15" t="str">
        <f aca="false">IF($A788="","",IF($I788="","",$I788-$M788))</f>
        <v/>
      </c>
      <c r="O788" s="12" t="str">
        <f aca="false">IF($A788="","",IF($I788="","",IF($M788=0,"미처리",IF($N788&lt;=0,"완료","부분처리"))))</f>
        <v/>
      </c>
    </row>
    <row r="789" customFormat="false" ht="15" hidden="false" customHeight="true" outlineLevel="0" collapsed="false">
      <c r="A789" s="12" t="str">
        <f aca="false">IF($B789="","",TEXT($B789,"yymm")&amp;"-"&amp;TEXT(COUNTIFS($B$3:$B789,"&gt;="&amp;DATE(YEAR($B789),MONTH($B789),1),$B$3:$B789,"&lt;="&amp;EOMONTH($B789,0)),"000"))</f>
        <v/>
      </c>
      <c r="B789" s="13"/>
      <c r="C789" s="10"/>
      <c r="D789" s="10"/>
      <c r="E789" s="12" t="str">
        <f aca="false">IF($D789="","",IFERROR(INDEX(품목목록!$B$3:$B$302,MATCH($D789,품목목록!$A$3:$A$302,0)),"미등록품번"))</f>
        <v/>
      </c>
      <c r="F789" s="12" t="str">
        <f aca="false">IF($D789="","",IFERROR(INDEX(품목목록!$C$3:$C$302,MATCH($D789,품목목록!$A$3:$A$302,0)),""))</f>
        <v/>
      </c>
      <c r="G789" s="12" t="str">
        <f aca="false">IF($D789="","",IFERROR(INDEX(품목목록!$D$3:$D$302,MATCH($D789,품목목록!$A$3:$A$302,0)),""))</f>
        <v/>
      </c>
      <c r="H789" s="12" t="str">
        <f aca="false">IF($D789="","",IFERROR(INDEX(품목목록!$E$3:$E$302,MATCH($D789,품목목록!$A$3:$A$302,0)),""))</f>
        <v/>
      </c>
      <c r="I789" s="14"/>
      <c r="J789" s="10"/>
      <c r="K789" s="10"/>
      <c r="L789" s="10"/>
      <c r="M789" s="15" t="str">
        <f aca="false">IF($A789="","",SUMIFS(처리내역!$E$3:$E$1502,처리내역!$B$3:$B$1502,$A789))</f>
        <v/>
      </c>
      <c r="N789" s="15" t="str">
        <f aca="false">IF($A789="","",IF($I789="","",$I789-$M789))</f>
        <v/>
      </c>
      <c r="O789" s="12" t="str">
        <f aca="false">IF($A789="","",IF($I789="","",IF($M789=0,"미처리",IF($N789&lt;=0,"완료","부분처리"))))</f>
        <v/>
      </c>
    </row>
    <row r="790" customFormat="false" ht="15" hidden="false" customHeight="true" outlineLevel="0" collapsed="false">
      <c r="A790" s="12" t="str">
        <f aca="false">IF($B790="","",TEXT($B790,"yymm")&amp;"-"&amp;TEXT(COUNTIFS($B$3:$B790,"&gt;="&amp;DATE(YEAR($B790),MONTH($B790),1),$B$3:$B790,"&lt;="&amp;EOMONTH($B790,0)),"000"))</f>
        <v/>
      </c>
      <c r="B790" s="13"/>
      <c r="C790" s="10"/>
      <c r="D790" s="10"/>
      <c r="E790" s="12" t="str">
        <f aca="false">IF($D790="","",IFERROR(INDEX(품목목록!$B$3:$B$302,MATCH($D790,품목목록!$A$3:$A$302,0)),"미등록품번"))</f>
        <v/>
      </c>
      <c r="F790" s="12" t="str">
        <f aca="false">IF($D790="","",IFERROR(INDEX(품목목록!$C$3:$C$302,MATCH($D790,품목목록!$A$3:$A$302,0)),""))</f>
        <v/>
      </c>
      <c r="G790" s="12" t="str">
        <f aca="false">IF($D790="","",IFERROR(INDEX(품목목록!$D$3:$D$302,MATCH($D790,품목목록!$A$3:$A$302,0)),""))</f>
        <v/>
      </c>
      <c r="H790" s="12" t="str">
        <f aca="false">IF($D790="","",IFERROR(INDEX(품목목록!$E$3:$E$302,MATCH($D790,품목목록!$A$3:$A$302,0)),""))</f>
        <v/>
      </c>
      <c r="I790" s="14"/>
      <c r="J790" s="10"/>
      <c r="K790" s="10"/>
      <c r="L790" s="10"/>
      <c r="M790" s="15" t="str">
        <f aca="false">IF($A790="","",SUMIFS(처리내역!$E$3:$E$1502,처리내역!$B$3:$B$1502,$A790))</f>
        <v/>
      </c>
      <c r="N790" s="15" t="str">
        <f aca="false">IF($A790="","",IF($I790="","",$I790-$M790))</f>
        <v/>
      </c>
      <c r="O790" s="12" t="str">
        <f aca="false">IF($A790="","",IF($I790="","",IF($M790=0,"미처리",IF($N790&lt;=0,"완료","부분처리"))))</f>
        <v/>
      </c>
    </row>
    <row r="791" customFormat="false" ht="15" hidden="false" customHeight="true" outlineLevel="0" collapsed="false">
      <c r="A791" s="12" t="str">
        <f aca="false">IF($B791="","",TEXT($B791,"yymm")&amp;"-"&amp;TEXT(COUNTIFS($B$3:$B791,"&gt;="&amp;DATE(YEAR($B791),MONTH($B791),1),$B$3:$B791,"&lt;="&amp;EOMONTH($B791,0)),"000"))</f>
        <v/>
      </c>
      <c r="B791" s="13"/>
      <c r="C791" s="10"/>
      <c r="D791" s="10"/>
      <c r="E791" s="12" t="str">
        <f aca="false">IF($D791="","",IFERROR(INDEX(품목목록!$B$3:$B$302,MATCH($D791,품목목록!$A$3:$A$302,0)),"미등록품번"))</f>
        <v/>
      </c>
      <c r="F791" s="12" t="str">
        <f aca="false">IF($D791="","",IFERROR(INDEX(품목목록!$C$3:$C$302,MATCH($D791,품목목록!$A$3:$A$302,0)),""))</f>
        <v/>
      </c>
      <c r="G791" s="12" t="str">
        <f aca="false">IF($D791="","",IFERROR(INDEX(품목목록!$D$3:$D$302,MATCH($D791,품목목록!$A$3:$A$302,0)),""))</f>
        <v/>
      </c>
      <c r="H791" s="12" t="str">
        <f aca="false">IF($D791="","",IFERROR(INDEX(품목목록!$E$3:$E$302,MATCH($D791,품목목록!$A$3:$A$302,0)),""))</f>
        <v/>
      </c>
      <c r="I791" s="14"/>
      <c r="J791" s="10"/>
      <c r="K791" s="10"/>
      <c r="L791" s="10"/>
      <c r="M791" s="15" t="str">
        <f aca="false">IF($A791="","",SUMIFS(처리내역!$E$3:$E$1502,처리내역!$B$3:$B$1502,$A791))</f>
        <v/>
      </c>
      <c r="N791" s="15" t="str">
        <f aca="false">IF($A791="","",IF($I791="","",$I791-$M791))</f>
        <v/>
      </c>
      <c r="O791" s="12" t="str">
        <f aca="false">IF($A791="","",IF($I791="","",IF($M791=0,"미처리",IF($N791&lt;=0,"완료","부분처리"))))</f>
        <v/>
      </c>
    </row>
    <row r="792" customFormat="false" ht="15" hidden="false" customHeight="true" outlineLevel="0" collapsed="false">
      <c r="A792" s="12" t="str">
        <f aca="false">IF($B792="","",TEXT($B792,"yymm")&amp;"-"&amp;TEXT(COUNTIFS($B$3:$B792,"&gt;="&amp;DATE(YEAR($B792),MONTH($B792),1),$B$3:$B792,"&lt;="&amp;EOMONTH($B792,0)),"000"))</f>
        <v/>
      </c>
      <c r="B792" s="13"/>
      <c r="C792" s="10"/>
      <c r="D792" s="10"/>
      <c r="E792" s="12" t="str">
        <f aca="false">IF($D792="","",IFERROR(INDEX(품목목록!$B$3:$B$302,MATCH($D792,품목목록!$A$3:$A$302,0)),"미등록품번"))</f>
        <v/>
      </c>
      <c r="F792" s="12" t="str">
        <f aca="false">IF($D792="","",IFERROR(INDEX(품목목록!$C$3:$C$302,MATCH($D792,품목목록!$A$3:$A$302,0)),""))</f>
        <v/>
      </c>
      <c r="G792" s="12" t="str">
        <f aca="false">IF($D792="","",IFERROR(INDEX(품목목록!$D$3:$D$302,MATCH($D792,품목목록!$A$3:$A$302,0)),""))</f>
        <v/>
      </c>
      <c r="H792" s="12" t="str">
        <f aca="false">IF($D792="","",IFERROR(INDEX(품목목록!$E$3:$E$302,MATCH($D792,품목목록!$A$3:$A$302,0)),""))</f>
        <v/>
      </c>
      <c r="I792" s="14"/>
      <c r="J792" s="10"/>
      <c r="K792" s="10"/>
      <c r="L792" s="10"/>
      <c r="M792" s="15" t="str">
        <f aca="false">IF($A792="","",SUMIFS(처리내역!$E$3:$E$1502,처리내역!$B$3:$B$1502,$A792))</f>
        <v/>
      </c>
      <c r="N792" s="15" t="str">
        <f aca="false">IF($A792="","",IF($I792="","",$I792-$M792))</f>
        <v/>
      </c>
      <c r="O792" s="12" t="str">
        <f aca="false">IF($A792="","",IF($I792="","",IF($M792=0,"미처리",IF($N792&lt;=0,"완료","부분처리"))))</f>
        <v/>
      </c>
    </row>
    <row r="793" customFormat="false" ht="15" hidden="false" customHeight="true" outlineLevel="0" collapsed="false">
      <c r="A793" s="12" t="str">
        <f aca="false">IF($B793="","",TEXT($B793,"yymm")&amp;"-"&amp;TEXT(COUNTIFS($B$3:$B793,"&gt;="&amp;DATE(YEAR($B793),MONTH($B793),1),$B$3:$B793,"&lt;="&amp;EOMONTH($B793,0)),"000"))</f>
        <v/>
      </c>
      <c r="B793" s="13"/>
      <c r="C793" s="10"/>
      <c r="D793" s="10"/>
      <c r="E793" s="12" t="str">
        <f aca="false">IF($D793="","",IFERROR(INDEX(품목목록!$B$3:$B$302,MATCH($D793,품목목록!$A$3:$A$302,0)),"미등록품번"))</f>
        <v/>
      </c>
      <c r="F793" s="12" t="str">
        <f aca="false">IF($D793="","",IFERROR(INDEX(품목목록!$C$3:$C$302,MATCH($D793,품목목록!$A$3:$A$302,0)),""))</f>
        <v/>
      </c>
      <c r="G793" s="12" t="str">
        <f aca="false">IF($D793="","",IFERROR(INDEX(품목목록!$D$3:$D$302,MATCH($D793,품목목록!$A$3:$A$302,0)),""))</f>
        <v/>
      </c>
      <c r="H793" s="12" t="str">
        <f aca="false">IF($D793="","",IFERROR(INDEX(품목목록!$E$3:$E$302,MATCH($D793,품목목록!$A$3:$A$302,0)),""))</f>
        <v/>
      </c>
      <c r="I793" s="14"/>
      <c r="J793" s="10"/>
      <c r="K793" s="10"/>
      <c r="L793" s="10"/>
      <c r="M793" s="15" t="str">
        <f aca="false">IF($A793="","",SUMIFS(처리내역!$E$3:$E$1502,처리내역!$B$3:$B$1502,$A793))</f>
        <v/>
      </c>
      <c r="N793" s="15" t="str">
        <f aca="false">IF($A793="","",IF($I793="","",$I793-$M793))</f>
        <v/>
      </c>
      <c r="O793" s="12" t="str">
        <f aca="false">IF($A793="","",IF($I793="","",IF($M793=0,"미처리",IF($N793&lt;=0,"완료","부분처리"))))</f>
        <v/>
      </c>
    </row>
    <row r="794" customFormat="false" ht="15" hidden="false" customHeight="true" outlineLevel="0" collapsed="false">
      <c r="A794" s="12" t="str">
        <f aca="false">IF($B794="","",TEXT($B794,"yymm")&amp;"-"&amp;TEXT(COUNTIFS($B$3:$B794,"&gt;="&amp;DATE(YEAR($B794),MONTH($B794),1),$B$3:$B794,"&lt;="&amp;EOMONTH($B794,0)),"000"))</f>
        <v/>
      </c>
      <c r="B794" s="13"/>
      <c r="C794" s="10"/>
      <c r="D794" s="10"/>
      <c r="E794" s="12" t="str">
        <f aca="false">IF($D794="","",IFERROR(INDEX(품목목록!$B$3:$B$302,MATCH($D794,품목목록!$A$3:$A$302,0)),"미등록품번"))</f>
        <v/>
      </c>
      <c r="F794" s="12" t="str">
        <f aca="false">IF($D794="","",IFERROR(INDEX(품목목록!$C$3:$C$302,MATCH($D794,품목목록!$A$3:$A$302,0)),""))</f>
        <v/>
      </c>
      <c r="G794" s="12" t="str">
        <f aca="false">IF($D794="","",IFERROR(INDEX(품목목록!$D$3:$D$302,MATCH($D794,품목목록!$A$3:$A$302,0)),""))</f>
        <v/>
      </c>
      <c r="H794" s="12" t="str">
        <f aca="false">IF($D794="","",IFERROR(INDEX(품목목록!$E$3:$E$302,MATCH($D794,품목목록!$A$3:$A$302,0)),""))</f>
        <v/>
      </c>
      <c r="I794" s="14"/>
      <c r="J794" s="10"/>
      <c r="K794" s="10"/>
      <c r="L794" s="10"/>
      <c r="M794" s="15" t="str">
        <f aca="false">IF($A794="","",SUMIFS(처리내역!$E$3:$E$1502,처리내역!$B$3:$B$1502,$A794))</f>
        <v/>
      </c>
      <c r="N794" s="15" t="str">
        <f aca="false">IF($A794="","",IF($I794="","",$I794-$M794))</f>
        <v/>
      </c>
      <c r="O794" s="12" t="str">
        <f aca="false">IF($A794="","",IF($I794="","",IF($M794=0,"미처리",IF($N794&lt;=0,"완료","부분처리"))))</f>
        <v/>
      </c>
    </row>
    <row r="795" customFormat="false" ht="15" hidden="false" customHeight="true" outlineLevel="0" collapsed="false">
      <c r="A795" s="12" t="str">
        <f aca="false">IF($B795="","",TEXT($B795,"yymm")&amp;"-"&amp;TEXT(COUNTIFS($B$3:$B795,"&gt;="&amp;DATE(YEAR($B795),MONTH($B795),1),$B$3:$B795,"&lt;="&amp;EOMONTH($B795,0)),"000"))</f>
        <v/>
      </c>
      <c r="B795" s="13"/>
      <c r="C795" s="10"/>
      <c r="D795" s="10"/>
      <c r="E795" s="12" t="str">
        <f aca="false">IF($D795="","",IFERROR(INDEX(품목목록!$B$3:$B$302,MATCH($D795,품목목록!$A$3:$A$302,0)),"미등록품번"))</f>
        <v/>
      </c>
      <c r="F795" s="12" t="str">
        <f aca="false">IF($D795="","",IFERROR(INDEX(품목목록!$C$3:$C$302,MATCH($D795,품목목록!$A$3:$A$302,0)),""))</f>
        <v/>
      </c>
      <c r="G795" s="12" t="str">
        <f aca="false">IF($D795="","",IFERROR(INDEX(품목목록!$D$3:$D$302,MATCH($D795,품목목록!$A$3:$A$302,0)),""))</f>
        <v/>
      </c>
      <c r="H795" s="12" t="str">
        <f aca="false">IF($D795="","",IFERROR(INDEX(품목목록!$E$3:$E$302,MATCH($D795,품목목록!$A$3:$A$302,0)),""))</f>
        <v/>
      </c>
      <c r="I795" s="14"/>
      <c r="J795" s="10"/>
      <c r="K795" s="10"/>
      <c r="L795" s="10"/>
      <c r="M795" s="15" t="str">
        <f aca="false">IF($A795="","",SUMIFS(처리내역!$E$3:$E$1502,처리내역!$B$3:$B$1502,$A795))</f>
        <v/>
      </c>
      <c r="N795" s="15" t="str">
        <f aca="false">IF($A795="","",IF($I795="","",$I795-$M795))</f>
        <v/>
      </c>
      <c r="O795" s="12" t="str">
        <f aca="false">IF($A795="","",IF($I795="","",IF($M795=0,"미처리",IF($N795&lt;=0,"완료","부분처리"))))</f>
        <v/>
      </c>
    </row>
    <row r="796" customFormat="false" ht="15" hidden="false" customHeight="true" outlineLevel="0" collapsed="false">
      <c r="A796" s="12" t="str">
        <f aca="false">IF($B796="","",TEXT($B796,"yymm")&amp;"-"&amp;TEXT(COUNTIFS($B$3:$B796,"&gt;="&amp;DATE(YEAR($B796),MONTH($B796),1),$B$3:$B796,"&lt;="&amp;EOMONTH($B796,0)),"000"))</f>
        <v/>
      </c>
      <c r="B796" s="13"/>
      <c r="C796" s="10"/>
      <c r="D796" s="10"/>
      <c r="E796" s="12" t="str">
        <f aca="false">IF($D796="","",IFERROR(INDEX(품목목록!$B$3:$B$302,MATCH($D796,품목목록!$A$3:$A$302,0)),"미등록품번"))</f>
        <v/>
      </c>
      <c r="F796" s="12" t="str">
        <f aca="false">IF($D796="","",IFERROR(INDEX(품목목록!$C$3:$C$302,MATCH($D796,품목목록!$A$3:$A$302,0)),""))</f>
        <v/>
      </c>
      <c r="G796" s="12" t="str">
        <f aca="false">IF($D796="","",IFERROR(INDEX(품목목록!$D$3:$D$302,MATCH($D796,품목목록!$A$3:$A$302,0)),""))</f>
        <v/>
      </c>
      <c r="H796" s="12" t="str">
        <f aca="false">IF($D796="","",IFERROR(INDEX(품목목록!$E$3:$E$302,MATCH($D796,품목목록!$A$3:$A$302,0)),""))</f>
        <v/>
      </c>
      <c r="I796" s="14"/>
      <c r="J796" s="10"/>
      <c r="K796" s="10"/>
      <c r="L796" s="10"/>
      <c r="M796" s="15" t="str">
        <f aca="false">IF($A796="","",SUMIFS(처리내역!$E$3:$E$1502,처리내역!$B$3:$B$1502,$A796))</f>
        <v/>
      </c>
      <c r="N796" s="15" t="str">
        <f aca="false">IF($A796="","",IF($I796="","",$I796-$M796))</f>
        <v/>
      </c>
      <c r="O796" s="12" t="str">
        <f aca="false">IF($A796="","",IF($I796="","",IF($M796=0,"미처리",IF($N796&lt;=0,"완료","부분처리"))))</f>
        <v/>
      </c>
    </row>
    <row r="797" customFormat="false" ht="15" hidden="false" customHeight="true" outlineLevel="0" collapsed="false">
      <c r="A797" s="12" t="str">
        <f aca="false">IF($B797="","",TEXT($B797,"yymm")&amp;"-"&amp;TEXT(COUNTIFS($B$3:$B797,"&gt;="&amp;DATE(YEAR($B797),MONTH($B797),1),$B$3:$B797,"&lt;="&amp;EOMONTH($B797,0)),"000"))</f>
        <v/>
      </c>
      <c r="B797" s="13"/>
      <c r="C797" s="10"/>
      <c r="D797" s="10"/>
      <c r="E797" s="12" t="str">
        <f aca="false">IF($D797="","",IFERROR(INDEX(품목목록!$B$3:$B$302,MATCH($D797,품목목록!$A$3:$A$302,0)),"미등록품번"))</f>
        <v/>
      </c>
      <c r="F797" s="12" t="str">
        <f aca="false">IF($D797="","",IFERROR(INDEX(품목목록!$C$3:$C$302,MATCH($D797,품목목록!$A$3:$A$302,0)),""))</f>
        <v/>
      </c>
      <c r="G797" s="12" t="str">
        <f aca="false">IF($D797="","",IFERROR(INDEX(품목목록!$D$3:$D$302,MATCH($D797,품목목록!$A$3:$A$302,0)),""))</f>
        <v/>
      </c>
      <c r="H797" s="12" t="str">
        <f aca="false">IF($D797="","",IFERROR(INDEX(품목목록!$E$3:$E$302,MATCH($D797,품목목록!$A$3:$A$302,0)),""))</f>
        <v/>
      </c>
      <c r="I797" s="14"/>
      <c r="J797" s="10"/>
      <c r="K797" s="10"/>
      <c r="L797" s="10"/>
      <c r="M797" s="15" t="str">
        <f aca="false">IF($A797="","",SUMIFS(처리내역!$E$3:$E$1502,처리내역!$B$3:$B$1502,$A797))</f>
        <v/>
      </c>
      <c r="N797" s="15" t="str">
        <f aca="false">IF($A797="","",IF($I797="","",$I797-$M797))</f>
        <v/>
      </c>
      <c r="O797" s="12" t="str">
        <f aca="false">IF($A797="","",IF($I797="","",IF($M797=0,"미처리",IF($N797&lt;=0,"완료","부분처리"))))</f>
        <v/>
      </c>
    </row>
    <row r="798" customFormat="false" ht="15" hidden="false" customHeight="true" outlineLevel="0" collapsed="false">
      <c r="A798" s="12" t="str">
        <f aca="false">IF($B798="","",TEXT($B798,"yymm")&amp;"-"&amp;TEXT(COUNTIFS($B$3:$B798,"&gt;="&amp;DATE(YEAR($B798),MONTH($B798),1),$B$3:$B798,"&lt;="&amp;EOMONTH($B798,0)),"000"))</f>
        <v/>
      </c>
      <c r="B798" s="13"/>
      <c r="C798" s="10"/>
      <c r="D798" s="10"/>
      <c r="E798" s="12" t="str">
        <f aca="false">IF($D798="","",IFERROR(INDEX(품목목록!$B$3:$B$302,MATCH($D798,품목목록!$A$3:$A$302,0)),"미등록품번"))</f>
        <v/>
      </c>
      <c r="F798" s="12" t="str">
        <f aca="false">IF($D798="","",IFERROR(INDEX(품목목록!$C$3:$C$302,MATCH($D798,품목목록!$A$3:$A$302,0)),""))</f>
        <v/>
      </c>
      <c r="G798" s="12" t="str">
        <f aca="false">IF($D798="","",IFERROR(INDEX(품목목록!$D$3:$D$302,MATCH($D798,품목목록!$A$3:$A$302,0)),""))</f>
        <v/>
      </c>
      <c r="H798" s="12" t="str">
        <f aca="false">IF($D798="","",IFERROR(INDEX(품목목록!$E$3:$E$302,MATCH($D798,품목목록!$A$3:$A$302,0)),""))</f>
        <v/>
      </c>
      <c r="I798" s="14"/>
      <c r="J798" s="10"/>
      <c r="K798" s="10"/>
      <c r="L798" s="10"/>
      <c r="M798" s="15" t="str">
        <f aca="false">IF($A798="","",SUMIFS(처리내역!$E$3:$E$1502,처리내역!$B$3:$B$1502,$A798))</f>
        <v/>
      </c>
      <c r="N798" s="15" t="str">
        <f aca="false">IF($A798="","",IF($I798="","",$I798-$M798))</f>
        <v/>
      </c>
      <c r="O798" s="12" t="str">
        <f aca="false">IF($A798="","",IF($I798="","",IF($M798=0,"미처리",IF($N798&lt;=0,"완료","부분처리"))))</f>
        <v/>
      </c>
    </row>
    <row r="799" customFormat="false" ht="15" hidden="false" customHeight="true" outlineLevel="0" collapsed="false">
      <c r="A799" s="12" t="str">
        <f aca="false">IF($B799="","",TEXT($B799,"yymm")&amp;"-"&amp;TEXT(COUNTIFS($B$3:$B799,"&gt;="&amp;DATE(YEAR($B799),MONTH($B799),1),$B$3:$B799,"&lt;="&amp;EOMONTH($B799,0)),"000"))</f>
        <v/>
      </c>
      <c r="B799" s="13"/>
      <c r="C799" s="10"/>
      <c r="D799" s="10"/>
      <c r="E799" s="12" t="str">
        <f aca="false">IF($D799="","",IFERROR(INDEX(품목목록!$B$3:$B$302,MATCH($D799,품목목록!$A$3:$A$302,0)),"미등록품번"))</f>
        <v/>
      </c>
      <c r="F799" s="12" t="str">
        <f aca="false">IF($D799="","",IFERROR(INDEX(품목목록!$C$3:$C$302,MATCH($D799,품목목록!$A$3:$A$302,0)),""))</f>
        <v/>
      </c>
      <c r="G799" s="12" t="str">
        <f aca="false">IF($D799="","",IFERROR(INDEX(품목목록!$D$3:$D$302,MATCH($D799,품목목록!$A$3:$A$302,0)),""))</f>
        <v/>
      </c>
      <c r="H799" s="12" t="str">
        <f aca="false">IF($D799="","",IFERROR(INDEX(품목목록!$E$3:$E$302,MATCH($D799,품목목록!$A$3:$A$302,0)),""))</f>
        <v/>
      </c>
      <c r="I799" s="14"/>
      <c r="J799" s="10"/>
      <c r="K799" s="10"/>
      <c r="L799" s="10"/>
      <c r="M799" s="15" t="str">
        <f aca="false">IF($A799="","",SUMIFS(처리내역!$E$3:$E$1502,처리내역!$B$3:$B$1502,$A799))</f>
        <v/>
      </c>
      <c r="N799" s="15" t="str">
        <f aca="false">IF($A799="","",IF($I799="","",$I799-$M799))</f>
        <v/>
      </c>
      <c r="O799" s="12" t="str">
        <f aca="false">IF($A799="","",IF($I799="","",IF($M799=0,"미처리",IF($N799&lt;=0,"완료","부분처리"))))</f>
        <v/>
      </c>
    </row>
    <row r="800" customFormat="false" ht="15" hidden="false" customHeight="true" outlineLevel="0" collapsed="false">
      <c r="A800" s="12" t="str">
        <f aca="false">IF($B800="","",TEXT($B800,"yymm")&amp;"-"&amp;TEXT(COUNTIFS($B$3:$B800,"&gt;="&amp;DATE(YEAR($B800),MONTH($B800),1),$B$3:$B800,"&lt;="&amp;EOMONTH($B800,0)),"000"))</f>
        <v/>
      </c>
      <c r="B800" s="13"/>
      <c r="C800" s="10"/>
      <c r="D800" s="10"/>
      <c r="E800" s="12" t="str">
        <f aca="false">IF($D800="","",IFERROR(INDEX(품목목록!$B$3:$B$302,MATCH($D800,품목목록!$A$3:$A$302,0)),"미등록품번"))</f>
        <v/>
      </c>
      <c r="F800" s="12" t="str">
        <f aca="false">IF($D800="","",IFERROR(INDEX(품목목록!$C$3:$C$302,MATCH($D800,품목목록!$A$3:$A$302,0)),""))</f>
        <v/>
      </c>
      <c r="G800" s="12" t="str">
        <f aca="false">IF($D800="","",IFERROR(INDEX(품목목록!$D$3:$D$302,MATCH($D800,품목목록!$A$3:$A$302,0)),""))</f>
        <v/>
      </c>
      <c r="H800" s="12" t="str">
        <f aca="false">IF($D800="","",IFERROR(INDEX(품목목록!$E$3:$E$302,MATCH($D800,품목목록!$A$3:$A$302,0)),""))</f>
        <v/>
      </c>
      <c r="I800" s="14"/>
      <c r="J800" s="10"/>
      <c r="K800" s="10"/>
      <c r="L800" s="10"/>
      <c r="M800" s="15" t="str">
        <f aca="false">IF($A800="","",SUMIFS(처리내역!$E$3:$E$1502,처리내역!$B$3:$B$1502,$A800))</f>
        <v/>
      </c>
      <c r="N800" s="15" t="str">
        <f aca="false">IF($A800="","",IF($I800="","",$I800-$M800))</f>
        <v/>
      </c>
      <c r="O800" s="12" t="str">
        <f aca="false">IF($A800="","",IF($I800="","",IF($M800=0,"미처리",IF($N800&lt;=0,"완료","부분처리"))))</f>
        <v/>
      </c>
    </row>
    <row r="801" customFormat="false" ht="15" hidden="false" customHeight="true" outlineLevel="0" collapsed="false">
      <c r="A801" s="12" t="str">
        <f aca="false">IF($B801="","",TEXT($B801,"yymm")&amp;"-"&amp;TEXT(COUNTIFS($B$3:$B801,"&gt;="&amp;DATE(YEAR($B801),MONTH($B801),1),$B$3:$B801,"&lt;="&amp;EOMONTH($B801,0)),"000"))</f>
        <v/>
      </c>
      <c r="B801" s="13"/>
      <c r="C801" s="10"/>
      <c r="D801" s="10"/>
      <c r="E801" s="12" t="str">
        <f aca="false">IF($D801="","",IFERROR(INDEX(품목목록!$B$3:$B$302,MATCH($D801,품목목록!$A$3:$A$302,0)),"미등록품번"))</f>
        <v/>
      </c>
      <c r="F801" s="12" t="str">
        <f aca="false">IF($D801="","",IFERROR(INDEX(품목목록!$C$3:$C$302,MATCH($D801,품목목록!$A$3:$A$302,0)),""))</f>
        <v/>
      </c>
      <c r="G801" s="12" t="str">
        <f aca="false">IF($D801="","",IFERROR(INDEX(품목목록!$D$3:$D$302,MATCH($D801,품목목록!$A$3:$A$302,0)),""))</f>
        <v/>
      </c>
      <c r="H801" s="12" t="str">
        <f aca="false">IF($D801="","",IFERROR(INDEX(품목목록!$E$3:$E$302,MATCH($D801,품목목록!$A$3:$A$302,0)),""))</f>
        <v/>
      </c>
      <c r="I801" s="14"/>
      <c r="J801" s="10"/>
      <c r="K801" s="10"/>
      <c r="L801" s="10"/>
      <c r="M801" s="15" t="str">
        <f aca="false">IF($A801="","",SUMIFS(처리내역!$E$3:$E$1502,처리내역!$B$3:$B$1502,$A801))</f>
        <v/>
      </c>
      <c r="N801" s="15" t="str">
        <f aca="false">IF($A801="","",IF($I801="","",$I801-$M801))</f>
        <v/>
      </c>
      <c r="O801" s="12" t="str">
        <f aca="false">IF($A801="","",IF($I801="","",IF($M801=0,"미처리",IF($N801&lt;=0,"완료","부분처리"))))</f>
        <v/>
      </c>
    </row>
    <row r="802" customFormat="false" ht="15" hidden="false" customHeight="true" outlineLevel="0" collapsed="false">
      <c r="A802" s="12" t="str">
        <f aca="false">IF($B802="","",TEXT($B802,"yymm")&amp;"-"&amp;TEXT(COUNTIFS($B$3:$B802,"&gt;="&amp;DATE(YEAR($B802),MONTH($B802),1),$B$3:$B802,"&lt;="&amp;EOMONTH($B802,0)),"000"))</f>
        <v/>
      </c>
      <c r="B802" s="13"/>
      <c r="C802" s="10"/>
      <c r="D802" s="10"/>
      <c r="E802" s="12" t="str">
        <f aca="false">IF($D802="","",IFERROR(INDEX(품목목록!$B$3:$B$302,MATCH($D802,품목목록!$A$3:$A$302,0)),"미등록품번"))</f>
        <v/>
      </c>
      <c r="F802" s="12" t="str">
        <f aca="false">IF($D802="","",IFERROR(INDEX(품목목록!$C$3:$C$302,MATCH($D802,품목목록!$A$3:$A$302,0)),""))</f>
        <v/>
      </c>
      <c r="G802" s="12" t="str">
        <f aca="false">IF($D802="","",IFERROR(INDEX(품목목록!$D$3:$D$302,MATCH($D802,품목목록!$A$3:$A$302,0)),""))</f>
        <v/>
      </c>
      <c r="H802" s="12" t="str">
        <f aca="false">IF($D802="","",IFERROR(INDEX(품목목록!$E$3:$E$302,MATCH($D802,품목목록!$A$3:$A$302,0)),""))</f>
        <v/>
      </c>
      <c r="I802" s="14"/>
      <c r="J802" s="10"/>
      <c r="K802" s="10"/>
      <c r="L802" s="10"/>
      <c r="M802" s="15" t="str">
        <f aca="false">IF($A802="","",SUMIFS(처리내역!$E$3:$E$1502,처리내역!$B$3:$B$1502,$A802))</f>
        <v/>
      </c>
      <c r="N802" s="15" t="str">
        <f aca="false">IF($A802="","",IF($I802="","",$I802-$M802))</f>
        <v/>
      </c>
      <c r="O802" s="12" t="str">
        <f aca="false">IF($A802="","",IF($I802="","",IF($M802=0,"미처리",IF($N802&lt;=0,"완료","부분처리"))))</f>
        <v/>
      </c>
    </row>
    <row r="803" customFormat="false" ht="15" hidden="false" customHeight="true" outlineLevel="0" collapsed="false">
      <c r="A803" s="12" t="str">
        <f aca="false">IF($B803="","",TEXT($B803,"yymm")&amp;"-"&amp;TEXT(COUNTIFS($B$3:$B803,"&gt;="&amp;DATE(YEAR($B803),MONTH($B803),1),$B$3:$B803,"&lt;="&amp;EOMONTH($B803,0)),"000"))</f>
        <v/>
      </c>
      <c r="B803" s="13"/>
      <c r="C803" s="10"/>
      <c r="D803" s="10"/>
      <c r="E803" s="12" t="str">
        <f aca="false">IF($D803="","",IFERROR(INDEX(품목목록!$B$3:$B$302,MATCH($D803,품목목록!$A$3:$A$302,0)),"미등록품번"))</f>
        <v/>
      </c>
      <c r="F803" s="12" t="str">
        <f aca="false">IF($D803="","",IFERROR(INDEX(품목목록!$C$3:$C$302,MATCH($D803,품목목록!$A$3:$A$302,0)),""))</f>
        <v/>
      </c>
      <c r="G803" s="12" t="str">
        <f aca="false">IF($D803="","",IFERROR(INDEX(품목목록!$D$3:$D$302,MATCH($D803,품목목록!$A$3:$A$302,0)),""))</f>
        <v/>
      </c>
      <c r="H803" s="12" t="str">
        <f aca="false">IF($D803="","",IFERROR(INDEX(품목목록!$E$3:$E$302,MATCH($D803,품목목록!$A$3:$A$302,0)),""))</f>
        <v/>
      </c>
      <c r="I803" s="14"/>
      <c r="J803" s="10"/>
      <c r="K803" s="10"/>
      <c r="L803" s="10"/>
      <c r="M803" s="15" t="str">
        <f aca="false">IF($A803="","",SUMIFS(처리내역!$E$3:$E$1502,처리내역!$B$3:$B$1502,$A803))</f>
        <v/>
      </c>
      <c r="N803" s="15" t="str">
        <f aca="false">IF($A803="","",IF($I803="","",$I803-$M803))</f>
        <v/>
      </c>
      <c r="O803" s="12" t="str">
        <f aca="false">IF($A803="","",IF($I803="","",IF($M803=0,"미처리",IF($N803&lt;=0,"완료","부분처리"))))</f>
        <v/>
      </c>
    </row>
    <row r="804" customFormat="false" ht="15" hidden="false" customHeight="true" outlineLevel="0" collapsed="false">
      <c r="A804" s="12" t="str">
        <f aca="false">IF($B804="","",TEXT($B804,"yymm")&amp;"-"&amp;TEXT(COUNTIFS($B$3:$B804,"&gt;="&amp;DATE(YEAR($B804),MONTH($B804),1),$B$3:$B804,"&lt;="&amp;EOMONTH($B804,0)),"000"))</f>
        <v/>
      </c>
      <c r="B804" s="13"/>
      <c r="C804" s="10"/>
      <c r="D804" s="10"/>
      <c r="E804" s="12" t="str">
        <f aca="false">IF($D804="","",IFERROR(INDEX(품목목록!$B$3:$B$302,MATCH($D804,품목목록!$A$3:$A$302,0)),"미등록품번"))</f>
        <v/>
      </c>
      <c r="F804" s="12" t="str">
        <f aca="false">IF($D804="","",IFERROR(INDEX(품목목록!$C$3:$C$302,MATCH($D804,품목목록!$A$3:$A$302,0)),""))</f>
        <v/>
      </c>
      <c r="G804" s="12" t="str">
        <f aca="false">IF($D804="","",IFERROR(INDEX(품목목록!$D$3:$D$302,MATCH($D804,품목목록!$A$3:$A$302,0)),""))</f>
        <v/>
      </c>
      <c r="H804" s="12" t="str">
        <f aca="false">IF($D804="","",IFERROR(INDEX(품목목록!$E$3:$E$302,MATCH($D804,품목목록!$A$3:$A$302,0)),""))</f>
        <v/>
      </c>
      <c r="I804" s="14"/>
      <c r="J804" s="10"/>
      <c r="K804" s="10"/>
      <c r="L804" s="10"/>
      <c r="M804" s="15" t="str">
        <f aca="false">IF($A804="","",SUMIFS(처리내역!$E$3:$E$1502,처리내역!$B$3:$B$1502,$A804))</f>
        <v/>
      </c>
      <c r="N804" s="15" t="str">
        <f aca="false">IF($A804="","",IF($I804="","",$I804-$M804))</f>
        <v/>
      </c>
      <c r="O804" s="12" t="str">
        <f aca="false">IF($A804="","",IF($I804="","",IF($M804=0,"미처리",IF($N804&lt;=0,"완료","부분처리"))))</f>
        <v/>
      </c>
    </row>
    <row r="805" customFormat="false" ht="15" hidden="false" customHeight="true" outlineLevel="0" collapsed="false">
      <c r="A805" s="12" t="str">
        <f aca="false">IF($B805="","",TEXT($B805,"yymm")&amp;"-"&amp;TEXT(COUNTIFS($B$3:$B805,"&gt;="&amp;DATE(YEAR($B805),MONTH($B805),1),$B$3:$B805,"&lt;="&amp;EOMONTH($B805,0)),"000"))</f>
        <v/>
      </c>
      <c r="B805" s="13"/>
      <c r="C805" s="10"/>
      <c r="D805" s="10"/>
      <c r="E805" s="12" t="str">
        <f aca="false">IF($D805="","",IFERROR(INDEX(품목목록!$B$3:$B$302,MATCH($D805,품목목록!$A$3:$A$302,0)),"미등록품번"))</f>
        <v/>
      </c>
      <c r="F805" s="12" t="str">
        <f aca="false">IF($D805="","",IFERROR(INDEX(품목목록!$C$3:$C$302,MATCH($D805,품목목록!$A$3:$A$302,0)),""))</f>
        <v/>
      </c>
      <c r="G805" s="12" t="str">
        <f aca="false">IF($D805="","",IFERROR(INDEX(품목목록!$D$3:$D$302,MATCH($D805,품목목록!$A$3:$A$302,0)),""))</f>
        <v/>
      </c>
      <c r="H805" s="12" t="str">
        <f aca="false">IF($D805="","",IFERROR(INDEX(품목목록!$E$3:$E$302,MATCH($D805,품목목록!$A$3:$A$302,0)),""))</f>
        <v/>
      </c>
      <c r="I805" s="14"/>
      <c r="J805" s="10"/>
      <c r="K805" s="10"/>
      <c r="L805" s="10"/>
      <c r="M805" s="15" t="str">
        <f aca="false">IF($A805="","",SUMIFS(처리내역!$E$3:$E$1502,처리내역!$B$3:$B$1502,$A805))</f>
        <v/>
      </c>
      <c r="N805" s="15" t="str">
        <f aca="false">IF($A805="","",IF($I805="","",$I805-$M805))</f>
        <v/>
      </c>
      <c r="O805" s="12" t="str">
        <f aca="false">IF($A805="","",IF($I805="","",IF($M805=0,"미처리",IF($N805&lt;=0,"완료","부분처리"))))</f>
        <v/>
      </c>
    </row>
    <row r="806" customFormat="false" ht="15" hidden="false" customHeight="true" outlineLevel="0" collapsed="false">
      <c r="A806" s="12" t="str">
        <f aca="false">IF($B806="","",TEXT($B806,"yymm")&amp;"-"&amp;TEXT(COUNTIFS($B$3:$B806,"&gt;="&amp;DATE(YEAR($B806),MONTH($B806),1),$B$3:$B806,"&lt;="&amp;EOMONTH($B806,0)),"000"))</f>
        <v/>
      </c>
      <c r="B806" s="13"/>
      <c r="C806" s="10"/>
      <c r="D806" s="10"/>
      <c r="E806" s="12" t="str">
        <f aca="false">IF($D806="","",IFERROR(INDEX(품목목록!$B$3:$B$302,MATCH($D806,품목목록!$A$3:$A$302,0)),"미등록품번"))</f>
        <v/>
      </c>
      <c r="F806" s="12" t="str">
        <f aca="false">IF($D806="","",IFERROR(INDEX(품목목록!$C$3:$C$302,MATCH($D806,품목목록!$A$3:$A$302,0)),""))</f>
        <v/>
      </c>
      <c r="G806" s="12" t="str">
        <f aca="false">IF($D806="","",IFERROR(INDEX(품목목록!$D$3:$D$302,MATCH($D806,품목목록!$A$3:$A$302,0)),""))</f>
        <v/>
      </c>
      <c r="H806" s="12" t="str">
        <f aca="false">IF($D806="","",IFERROR(INDEX(품목목록!$E$3:$E$302,MATCH($D806,품목목록!$A$3:$A$302,0)),""))</f>
        <v/>
      </c>
      <c r="I806" s="14"/>
      <c r="J806" s="10"/>
      <c r="K806" s="10"/>
      <c r="L806" s="10"/>
      <c r="M806" s="15" t="str">
        <f aca="false">IF($A806="","",SUMIFS(처리내역!$E$3:$E$1502,처리내역!$B$3:$B$1502,$A806))</f>
        <v/>
      </c>
      <c r="N806" s="15" t="str">
        <f aca="false">IF($A806="","",IF($I806="","",$I806-$M806))</f>
        <v/>
      </c>
      <c r="O806" s="12" t="str">
        <f aca="false">IF($A806="","",IF($I806="","",IF($M806=0,"미처리",IF($N806&lt;=0,"완료","부분처리"))))</f>
        <v/>
      </c>
    </row>
    <row r="807" customFormat="false" ht="15" hidden="false" customHeight="true" outlineLevel="0" collapsed="false">
      <c r="A807" s="12" t="str">
        <f aca="false">IF($B807="","",TEXT($B807,"yymm")&amp;"-"&amp;TEXT(COUNTIFS($B$3:$B807,"&gt;="&amp;DATE(YEAR($B807),MONTH($B807),1),$B$3:$B807,"&lt;="&amp;EOMONTH($B807,0)),"000"))</f>
        <v/>
      </c>
      <c r="B807" s="13"/>
      <c r="C807" s="10"/>
      <c r="D807" s="10"/>
      <c r="E807" s="12" t="str">
        <f aca="false">IF($D807="","",IFERROR(INDEX(품목목록!$B$3:$B$302,MATCH($D807,품목목록!$A$3:$A$302,0)),"미등록품번"))</f>
        <v/>
      </c>
      <c r="F807" s="12" t="str">
        <f aca="false">IF($D807="","",IFERROR(INDEX(품목목록!$C$3:$C$302,MATCH($D807,품목목록!$A$3:$A$302,0)),""))</f>
        <v/>
      </c>
      <c r="G807" s="12" t="str">
        <f aca="false">IF($D807="","",IFERROR(INDEX(품목목록!$D$3:$D$302,MATCH($D807,품목목록!$A$3:$A$302,0)),""))</f>
        <v/>
      </c>
      <c r="H807" s="12" t="str">
        <f aca="false">IF($D807="","",IFERROR(INDEX(품목목록!$E$3:$E$302,MATCH($D807,품목목록!$A$3:$A$302,0)),""))</f>
        <v/>
      </c>
      <c r="I807" s="14"/>
      <c r="J807" s="10"/>
      <c r="K807" s="10"/>
      <c r="L807" s="10"/>
      <c r="M807" s="15" t="str">
        <f aca="false">IF($A807="","",SUMIFS(처리내역!$E$3:$E$1502,처리내역!$B$3:$B$1502,$A807))</f>
        <v/>
      </c>
      <c r="N807" s="15" t="str">
        <f aca="false">IF($A807="","",IF($I807="","",$I807-$M807))</f>
        <v/>
      </c>
      <c r="O807" s="12" t="str">
        <f aca="false">IF($A807="","",IF($I807="","",IF($M807=0,"미처리",IF($N807&lt;=0,"완료","부분처리"))))</f>
        <v/>
      </c>
    </row>
    <row r="808" customFormat="false" ht="15" hidden="false" customHeight="true" outlineLevel="0" collapsed="false">
      <c r="A808" s="12" t="str">
        <f aca="false">IF($B808="","",TEXT($B808,"yymm")&amp;"-"&amp;TEXT(COUNTIFS($B$3:$B808,"&gt;="&amp;DATE(YEAR($B808),MONTH($B808),1),$B$3:$B808,"&lt;="&amp;EOMONTH($B808,0)),"000"))</f>
        <v/>
      </c>
      <c r="B808" s="13"/>
      <c r="C808" s="10"/>
      <c r="D808" s="10"/>
      <c r="E808" s="12" t="str">
        <f aca="false">IF($D808="","",IFERROR(INDEX(품목목록!$B$3:$B$302,MATCH($D808,품목목록!$A$3:$A$302,0)),"미등록품번"))</f>
        <v/>
      </c>
      <c r="F808" s="12" t="str">
        <f aca="false">IF($D808="","",IFERROR(INDEX(품목목록!$C$3:$C$302,MATCH($D808,품목목록!$A$3:$A$302,0)),""))</f>
        <v/>
      </c>
      <c r="G808" s="12" t="str">
        <f aca="false">IF($D808="","",IFERROR(INDEX(품목목록!$D$3:$D$302,MATCH($D808,품목목록!$A$3:$A$302,0)),""))</f>
        <v/>
      </c>
      <c r="H808" s="12" t="str">
        <f aca="false">IF($D808="","",IFERROR(INDEX(품목목록!$E$3:$E$302,MATCH($D808,품목목록!$A$3:$A$302,0)),""))</f>
        <v/>
      </c>
      <c r="I808" s="14"/>
      <c r="J808" s="10"/>
      <c r="K808" s="10"/>
      <c r="L808" s="10"/>
      <c r="M808" s="15" t="str">
        <f aca="false">IF($A808="","",SUMIFS(처리내역!$E$3:$E$1502,처리내역!$B$3:$B$1502,$A808))</f>
        <v/>
      </c>
      <c r="N808" s="15" t="str">
        <f aca="false">IF($A808="","",IF($I808="","",$I808-$M808))</f>
        <v/>
      </c>
      <c r="O808" s="12" t="str">
        <f aca="false">IF($A808="","",IF($I808="","",IF($M808=0,"미처리",IF($N808&lt;=0,"완료","부분처리"))))</f>
        <v/>
      </c>
    </row>
    <row r="809" customFormat="false" ht="15" hidden="false" customHeight="true" outlineLevel="0" collapsed="false">
      <c r="A809" s="12" t="str">
        <f aca="false">IF($B809="","",TEXT($B809,"yymm")&amp;"-"&amp;TEXT(COUNTIFS($B$3:$B809,"&gt;="&amp;DATE(YEAR($B809),MONTH($B809),1),$B$3:$B809,"&lt;="&amp;EOMONTH($B809,0)),"000"))</f>
        <v/>
      </c>
      <c r="B809" s="13"/>
      <c r="C809" s="10"/>
      <c r="D809" s="10"/>
      <c r="E809" s="12" t="str">
        <f aca="false">IF($D809="","",IFERROR(INDEX(품목목록!$B$3:$B$302,MATCH($D809,품목목록!$A$3:$A$302,0)),"미등록품번"))</f>
        <v/>
      </c>
      <c r="F809" s="12" t="str">
        <f aca="false">IF($D809="","",IFERROR(INDEX(품목목록!$C$3:$C$302,MATCH($D809,품목목록!$A$3:$A$302,0)),""))</f>
        <v/>
      </c>
      <c r="G809" s="12" t="str">
        <f aca="false">IF($D809="","",IFERROR(INDEX(품목목록!$D$3:$D$302,MATCH($D809,품목목록!$A$3:$A$302,0)),""))</f>
        <v/>
      </c>
      <c r="H809" s="12" t="str">
        <f aca="false">IF($D809="","",IFERROR(INDEX(품목목록!$E$3:$E$302,MATCH($D809,품목목록!$A$3:$A$302,0)),""))</f>
        <v/>
      </c>
      <c r="I809" s="14"/>
      <c r="J809" s="10"/>
      <c r="K809" s="10"/>
      <c r="L809" s="10"/>
      <c r="M809" s="15" t="str">
        <f aca="false">IF($A809="","",SUMIFS(처리내역!$E$3:$E$1502,처리내역!$B$3:$B$1502,$A809))</f>
        <v/>
      </c>
      <c r="N809" s="15" t="str">
        <f aca="false">IF($A809="","",IF($I809="","",$I809-$M809))</f>
        <v/>
      </c>
      <c r="O809" s="12" t="str">
        <f aca="false">IF($A809="","",IF($I809="","",IF($M809=0,"미처리",IF($N809&lt;=0,"완료","부분처리"))))</f>
        <v/>
      </c>
    </row>
    <row r="810" customFormat="false" ht="15" hidden="false" customHeight="true" outlineLevel="0" collapsed="false">
      <c r="A810" s="12" t="str">
        <f aca="false">IF($B810="","",TEXT($B810,"yymm")&amp;"-"&amp;TEXT(COUNTIFS($B$3:$B810,"&gt;="&amp;DATE(YEAR($B810),MONTH($B810),1),$B$3:$B810,"&lt;="&amp;EOMONTH($B810,0)),"000"))</f>
        <v/>
      </c>
      <c r="B810" s="13"/>
      <c r="C810" s="10"/>
      <c r="D810" s="10"/>
      <c r="E810" s="12" t="str">
        <f aca="false">IF($D810="","",IFERROR(INDEX(품목목록!$B$3:$B$302,MATCH($D810,품목목록!$A$3:$A$302,0)),"미등록품번"))</f>
        <v/>
      </c>
      <c r="F810" s="12" t="str">
        <f aca="false">IF($D810="","",IFERROR(INDEX(품목목록!$C$3:$C$302,MATCH($D810,품목목록!$A$3:$A$302,0)),""))</f>
        <v/>
      </c>
      <c r="G810" s="12" t="str">
        <f aca="false">IF($D810="","",IFERROR(INDEX(품목목록!$D$3:$D$302,MATCH($D810,품목목록!$A$3:$A$302,0)),""))</f>
        <v/>
      </c>
      <c r="H810" s="12" t="str">
        <f aca="false">IF($D810="","",IFERROR(INDEX(품목목록!$E$3:$E$302,MATCH($D810,품목목록!$A$3:$A$302,0)),""))</f>
        <v/>
      </c>
      <c r="I810" s="14"/>
      <c r="J810" s="10"/>
      <c r="K810" s="10"/>
      <c r="L810" s="10"/>
      <c r="M810" s="15" t="str">
        <f aca="false">IF($A810="","",SUMIFS(처리내역!$E$3:$E$1502,처리내역!$B$3:$B$1502,$A810))</f>
        <v/>
      </c>
      <c r="N810" s="15" t="str">
        <f aca="false">IF($A810="","",IF($I810="","",$I810-$M810))</f>
        <v/>
      </c>
      <c r="O810" s="12" t="str">
        <f aca="false">IF($A810="","",IF($I810="","",IF($M810=0,"미처리",IF($N810&lt;=0,"완료","부분처리"))))</f>
        <v/>
      </c>
    </row>
    <row r="811" customFormat="false" ht="15" hidden="false" customHeight="true" outlineLevel="0" collapsed="false">
      <c r="A811" s="12" t="str">
        <f aca="false">IF($B811="","",TEXT($B811,"yymm")&amp;"-"&amp;TEXT(COUNTIFS($B$3:$B811,"&gt;="&amp;DATE(YEAR($B811),MONTH($B811),1),$B$3:$B811,"&lt;="&amp;EOMONTH($B811,0)),"000"))</f>
        <v/>
      </c>
      <c r="B811" s="13"/>
      <c r="C811" s="10"/>
      <c r="D811" s="10"/>
      <c r="E811" s="12" t="str">
        <f aca="false">IF($D811="","",IFERROR(INDEX(품목목록!$B$3:$B$302,MATCH($D811,품목목록!$A$3:$A$302,0)),"미등록품번"))</f>
        <v/>
      </c>
      <c r="F811" s="12" t="str">
        <f aca="false">IF($D811="","",IFERROR(INDEX(품목목록!$C$3:$C$302,MATCH($D811,품목목록!$A$3:$A$302,0)),""))</f>
        <v/>
      </c>
      <c r="G811" s="12" t="str">
        <f aca="false">IF($D811="","",IFERROR(INDEX(품목목록!$D$3:$D$302,MATCH($D811,품목목록!$A$3:$A$302,0)),""))</f>
        <v/>
      </c>
      <c r="H811" s="12" t="str">
        <f aca="false">IF($D811="","",IFERROR(INDEX(품목목록!$E$3:$E$302,MATCH($D811,품목목록!$A$3:$A$302,0)),""))</f>
        <v/>
      </c>
      <c r="I811" s="14"/>
      <c r="J811" s="10"/>
      <c r="K811" s="10"/>
      <c r="L811" s="10"/>
      <c r="M811" s="15" t="str">
        <f aca="false">IF($A811="","",SUMIFS(처리내역!$E$3:$E$1502,처리내역!$B$3:$B$1502,$A811))</f>
        <v/>
      </c>
      <c r="N811" s="15" t="str">
        <f aca="false">IF($A811="","",IF($I811="","",$I811-$M811))</f>
        <v/>
      </c>
      <c r="O811" s="12" t="str">
        <f aca="false">IF($A811="","",IF($I811="","",IF($M811=0,"미처리",IF($N811&lt;=0,"완료","부분처리"))))</f>
        <v/>
      </c>
    </row>
    <row r="812" customFormat="false" ht="15" hidden="false" customHeight="true" outlineLevel="0" collapsed="false">
      <c r="A812" s="12" t="str">
        <f aca="false">IF($B812="","",TEXT($B812,"yymm")&amp;"-"&amp;TEXT(COUNTIFS($B$3:$B812,"&gt;="&amp;DATE(YEAR($B812),MONTH($B812),1),$B$3:$B812,"&lt;="&amp;EOMONTH($B812,0)),"000"))</f>
        <v/>
      </c>
      <c r="B812" s="13"/>
      <c r="C812" s="10"/>
      <c r="D812" s="10"/>
      <c r="E812" s="12" t="str">
        <f aca="false">IF($D812="","",IFERROR(INDEX(품목목록!$B$3:$B$302,MATCH($D812,품목목록!$A$3:$A$302,0)),"미등록품번"))</f>
        <v/>
      </c>
      <c r="F812" s="12" t="str">
        <f aca="false">IF($D812="","",IFERROR(INDEX(품목목록!$C$3:$C$302,MATCH($D812,품목목록!$A$3:$A$302,0)),""))</f>
        <v/>
      </c>
      <c r="G812" s="12" t="str">
        <f aca="false">IF($D812="","",IFERROR(INDEX(품목목록!$D$3:$D$302,MATCH($D812,품목목록!$A$3:$A$302,0)),""))</f>
        <v/>
      </c>
      <c r="H812" s="12" t="str">
        <f aca="false">IF($D812="","",IFERROR(INDEX(품목목록!$E$3:$E$302,MATCH($D812,품목목록!$A$3:$A$302,0)),""))</f>
        <v/>
      </c>
      <c r="I812" s="14"/>
      <c r="J812" s="10"/>
      <c r="K812" s="10"/>
      <c r="L812" s="10"/>
      <c r="M812" s="15" t="str">
        <f aca="false">IF($A812="","",SUMIFS(처리내역!$E$3:$E$1502,처리내역!$B$3:$B$1502,$A812))</f>
        <v/>
      </c>
      <c r="N812" s="15" t="str">
        <f aca="false">IF($A812="","",IF($I812="","",$I812-$M812))</f>
        <v/>
      </c>
      <c r="O812" s="12" t="str">
        <f aca="false">IF($A812="","",IF($I812="","",IF($M812=0,"미처리",IF($N812&lt;=0,"완료","부분처리"))))</f>
        <v/>
      </c>
    </row>
    <row r="813" customFormat="false" ht="15" hidden="false" customHeight="true" outlineLevel="0" collapsed="false">
      <c r="A813" s="12" t="str">
        <f aca="false">IF($B813="","",TEXT($B813,"yymm")&amp;"-"&amp;TEXT(COUNTIFS($B$3:$B813,"&gt;="&amp;DATE(YEAR($B813),MONTH($B813),1),$B$3:$B813,"&lt;="&amp;EOMONTH($B813,0)),"000"))</f>
        <v/>
      </c>
      <c r="B813" s="13"/>
      <c r="C813" s="10"/>
      <c r="D813" s="10"/>
      <c r="E813" s="12" t="str">
        <f aca="false">IF($D813="","",IFERROR(INDEX(품목목록!$B$3:$B$302,MATCH($D813,품목목록!$A$3:$A$302,0)),"미등록품번"))</f>
        <v/>
      </c>
      <c r="F813" s="12" t="str">
        <f aca="false">IF($D813="","",IFERROR(INDEX(품목목록!$C$3:$C$302,MATCH($D813,품목목록!$A$3:$A$302,0)),""))</f>
        <v/>
      </c>
      <c r="G813" s="12" t="str">
        <f aca="false">IF($D813="","",IFERROR(INDEX(품목목록!$D$3:$D$302,MATCH($D813,품목목록!$A$3:$A$302,0)),""))</f>
        <v/>
      </c>
      <c r="H813" s="12" t="str">
        <f aca="false">IF($D813="","",IFERROR(INDEX(품목목록!$E$3:$E$302,MATCH($D813,품목목록!$A$3:$A$302,0)),""))</f>
        <v/>
      </c>
      <c r="I813" s="14"/>
      <c r="J813" s="10"/>
      <c r="K813" s="10"/>
      <c r="L813" s="10"/>
      <c r="M813" s="15" t="str">
        <f aca="false">IF($A813="","",SUMIFS(처리내역!$E$3:$E$1502,처리내역!$B$3:$B$1502,$A813))</f>
        <v/>
      </c>
      <c r="N813" s="15" t="str">
        <f aca="false">IF($A813="","",IF($I813="","",$I813-$M813))</f>
        <v/>
      </c>
      <c r="O813" s="12" t="str">
        <f aca="false">IF($A813="","",IF($I813="","",IF($M813=0,"미처리",IF($N813&lt;=0,"완료","부분처리"))))</f>
        <v/>
      </c>
    </row>
    <row r="814" customFormat="false" ht="15" hidden="false" customHeight="true" outlineLevel="0" collapsed="false">
      <c r="A814" s="12" t="str">
        <f aca="false">IF($B814="","",TEXT($B814,"yymm")&amp;"-"&amp;TEXT(COUNTIFS($B$3:$B814,"&gt;="&amp;DATE(YEAR($B814),MONTH($B814),1),$B$3:$B814,"&lt;="&amp;EOMONTH($B814,0)),"000"))</f>
        <v/>
      </c>
      <c r="B814" s="13"/>
      <c r="C814" s="10"/>
      <c r="D814" s="10"/>
      <c r="E814" s="12" t="str">
        <f aca="false">IF($D814="","",IFERROR(INDEX(품목목록!$B$3:$B$302,MATCH($D814,품목목록!$A$3:$A$302,0)),"미등록품번"))</f>
        <v/>
      </c>
      <c r="F814" s="12" t="str">
        <f aca="false">IF($D814="","",IFERROR(INDEX(품목목록!$C$3:$C$302,MATCH($D814,품목목록!$A$3:$A$302,0)),""))</f>
        <v/>
      </c>
      <c r="G814" s="12" t="str">
        <f aca="false">IF($D814="","",IFERROR(INDEX(품목목록!$D$3:$D$302,MATCH($D814,품목목록!$A$3:$A$302,0)),""))</f>
        <v/>
      </c>
      <c r="H814" s="12" t="str">
        <f aca="false">IF($D814="","",IFERROR(INDEX(품목목록!$E$3:$E$302,MATCH($D814,품목목록!$A$3:$A$302,0)),""))</f>
        <v/>
      </c>
      <c r="I814" s="14"/>
      <c r="J814" s="10"/>
      <c r="K814" s="10"/>
      <c r="L814" s="10"/>
      <c r="M814" s="15" t="str">
        <f aca="false">IF($A814="","",SUMIFS(처리내역!$E$3:$E$1502,처리내역!$B$3:$B$1502,$A814))</f>
        <v/>
      </c>
      <c r="N814" s="15" t="str">
        <f aca="false">IF($A814="","",IF($I814="","",$I814-$M814))</f>
        <v/>
      </c>
      <c r="O814" s="12" t="str">
        <f aca="false">IF($A814="","",IF($I814="","",IF($M814=0,"미처리",IF($N814&lt;=0,"완료","부분처리"))))</f>
        <v/>
      </c>
    </row>
    <row r="815" customFormat="false" ht="15" hidden="false" customHeight="true" outlineLevel="0" collapsed="false">
      <c r="A815" s="12" t="str">
        <f aca="false">IF($B815="","",TEXT($B815,"yymm")&amp;"-"&amp;TEXT(COUNTIFS($B$3:$B815,"&gt;="&amp;DATE(YEAR($B815),MONTH($B815),1),$B$3:$B815,"&lt;="&amp;EOMONTH($B815,0)),"000"))</f>
        <v/>
      </c>
      <c r="B815" s="13"/>
      <c r="C815" s="10"/>
      <c r="D815" s="10"/>
      <c r="E815" s="12" t="str">
        <f aca="false">IF($D815="","",IFERROR(INDEX(품목목록!$B$3:$B$302,MATCH($D815,품목목록!$A$3:$A$302,0)),"미등록품번"))</f>
        <v/>
      </c>
      <c r="F815" s="12" t="str">
        <f aca="false">IF($D815="","",IFERROR(INDEX(품목목록!$C$3:$C$302,MATCH($D815,품목목록!$A$3:$A$302,0)),""))</f>
        <v/>
      </c>
      <c r="G815" s="12" t="str">
        <f aca="false">IF($D815="","",IFERROR(INDEX(품목목록!$D$3:$D$302,MATCH($D815,품목목록!$A$3:$A$302,0)),""))</f>
        <v/>
      </c>
      <c r="H815" s="12" t="str">
        <f aca="false">IF($D815="","",IFERROR(INDEX(품목목록!$E$3:$E$302,MATCH($D815,품목목록!$A$3:$A$302,0)),""))</f>
        <v/>
      </c>
      <c r="I815" s="14"/>
      <c r="J815" s="10"/>
      <c r="K815" s="10"/>
      <c r="L815" s="10"/>
      <c r="M815" s="15" t="str">
        <f aca="false">IF($A815="","",SUMIFS(처리내역!$E$3:$E$1502,처리내역!$B$3:$B$1502,$A815))</f>
        <v/>
      </c>
      <c r="N815" s="15" t="str">
        <f aca="false">IF($A815="","",IF($I815="","",$I815-$M815))</f>
        <v/>
      </c>
      <c r="O815" s="12" t="str">
        <f aca="false">IF($A815="","",IF($I815="","",IF($M815=0,"미처리",IF($N815&lt;=0,"완료","부분처리"))))</f>
        <v/>
      </c>
    </row>
    <row r="816" customFormat="false" ht="15" hidden="false" customHeight="true" outlineLevel="0" collapsed="false">
      <c r="A816" s="12" t="str">
        <f aca="false">IF($B816="","",TEXT($B816,"yymm")&amp;"-"&amp;TEXT(COUNTIFS($B$3:$B816,"&gt;="&amp;DATE(YEAR($B816),MONTH($B816),1),$B$3:$B816,"&lt;="&amp;EOMONTH($B816,0)),"000"))</f>
        <v/>
      </c>
      <c r="B816" s="13"/>
      <c r="C816" s="10"/>
      <c r="D816" s="10"/>
      <c r="E816" s="12" t="str">
        <f aca="false">IF($D816="","",IFERROR(INDEX(품목목록!$B$3:$B$302,MATCH($D816,품목목록!$A$3:$A$302,0)),"미등록품번"))</f>
        <v/>
      </c>
      <c r="F816" s="12" t="str">
        <f aca="false">IF($D816="","",IFERROR(INDEX(품목목록!$C$3:$C$302,MATCH($D816,품목목록!$A$3:$A$302,0)),""))</f>
        <v/>
      </c>
      <c r="G816" s="12" t="str">
        <f aca="false">IF($D816="","",IFERROR(INDEX(품목목록!$D$3:$D$302,MATCH($D816,품목목록!$A$3:$A$302,0)),""))</f>
        <v/>
      </c>
      <c r="H816" s="12" t="str">
        <f aca="false">IF($D816="","",IFERROR(INDEX(품목목록!$E$3:$E$302,MATCH($D816,품목목록!$A$3:$A$302,0)),""))</f>
        <v/>
      </c>
      <c r="I816" s="14"/>
      <c r="J816" s="10"/>
      <c r="K816" s="10"/>
      <c r="L816" s="10"/>
      <c r="M816" s="15" t="str">
        <f aca="false">IF($A816="","",SUMIFS(처리내역!$E$3:$E$1502,처리내역!$B$3:$B$1502,$A816))</f>
        <v/>
      </c>
      <c r="N816" s="15" t="str">
        <f aca="false">IF($A816="","",IF($I816="","",$I816-$M816))</f>
        <v/>
      </c>
      <c r="O816" s="12" t="str">
        <f aca="false">IF($A816="","",IF($I816="","",IF($M816=0,"미처리",IF($N816&lt;=0,"완료","부분처리"))))</f>
        <v/>
      </c>
    </row>
    <row r="817" customFormat="false" ht="15" hidden="false" customHeight="true" outlineLevel="0" collapsed="false">
      <c r="A817" s="12" t="str">
        <f aca="false">IF($B817="","",TEXT($B817,"yymm")&amp;"-"&amp;TEXT(COUNTIFS($B$3:$B817,"&gt;="&amp;DATE(YEAR($B817),MONTH($B817),1),$B$3:$B817,"&lt;="&amp;EOMONTH($B817,0)),"000"))</f>
        <v/>
      </c>
      <c r="B817" s="13"/>
      <c r="C817" s="10"/>
      <c r="D817" s="10"/>
      <c r="E817" s="12" t="str">
        <f aca="false">IF($D817="","",IFERROR(INDEX(품목목록!$B$3:$B$302,MATCH($D817,품목목록!$A$3:$A$302,0)),"미등록품번"))</f>
        <v/>
      </c>
      <c r="F817" s="12" t="str">
        <f aca="false">IF($D817="","",IFERROR(INDEX(품목목록!$C$3:$C$302,MATCH($D817,품목목록!$A$3:$A$302,0)),""))</f>
        <v/>
      </c>
      <c r="G817" s="12" t="str">
        <f aca="false">IF($D817="","",IFERROR(INDEX(품목목록!$D$3:$D$302,MATCH($D817,품목목록!$A$3:$A$302,0)),""))</f>
        <v/>
      </c>
      <c r="H817" s="12" t="str">
        <f aca="false">IF($D817="","",IFERROR(INDEX(품목목록!$E$3:$E$302,MATCH($D817,품목목록!$A$3:$A$302,0)),""))</f>
        <v/>
      </c>
      <c r="I817" s="14"/>
      <c r="J817" s="10"/>
      <c r="K817" s="10"/>
      <c r="L817" s="10"/>
      <c r="M817" s="15" t="str">
        <f aca="false">IF($A817="","",SUMIFS(처리내역!$E$3:$E$1502,처리내역!$B$3:$B$1502,$A817))</f>
        <v/>
      </c>
      <c r="N817" s="15" t="str">
        <f aca="false">IF($A817="","",IF($I817="","",$I817-$M817))</f>
        <v/>
      </c>
      <c r="O817" s="12" t="str">
        <f aca="false">IF($A817="","",IF($I817="","",IF($M817=0,"미처리",IF($N817&lt;=0,"완료","부분처리"))))</f>
        <v/>
      </c>
    </row>
    <row r="818" customFormat="false" ht="15" hidden="false" customHeight="true" outlineLevel="0" collapsed="false">
      <c r="A818" s="12" t="str">
        <f aca="false">IF($B818="","",TEXT($B818,"yymm")&amp;"-"&amp;TEXT(COUNTIFS($B$3:$B818,"&gt;="&amp;DATE(YEAR($B818),MONTH($B818),1),$B$3:$B818,"&lt;="&amp;EOMONTH($B818,0)),"000"))</f>
        <v/>
      </c>
      <c r="B818" s="13"/>
      <c r="C818" s="10"/>
      <c r="D818" s="10"/>
      <c r="E818" s="12" t="str">
        <f aca="false">IF($D818="","",IFERROR(INDEX(품목목록!$B$3:$B$302,MATCH($D818,품목목록!$A$3:$A$302,0)),"미등록품번"))</f>
        <v/>
      </c>
      <c r="F818" s="12" t="str">
        <f aca="false">IF($D818="","",IFERROR(INDEX(품목목록!$C$3:$C$302,MATCH($D818,품목목록!$A$3:$A$302,0)),""))</f>
        <v/>
      </c>
      <c r="G818" s="12" t="str">
        <f aca="false">IF($D818="","",IFERROR(INDEX(품목목록!$D$3:$D$302,MATCH($D818,품목목록!$A$3:$A$302,0)),""))</f>
        <v/>
      </c>
      <c r="H818" s="12" t="str">
        <f aca="false">IF($D818="","",IFERROR(INDEX(품목목록!$E$3:$E$302,MATCH($D818,품목목록!$A$3:$A$302,0)),""))</f>
        <v/>
      </c>
      <c r="I818" s="14"/>
      <c r="J818" s="10"/>
      <c r="K818" s="10"/>
      <c r="L818" s="10"/>
      <c r="M818" s="15" t="str">
        <f aca="false">IF($A818="","",SUMIFS(처리내역!$E$3:$E$1502,처리내역!$B$3:$B$1502,$A818))</f>
        <v/>
      </c>
      <c r="N818" s="15" t="str">
        <f aca="false">IF($A818="","",IF($I818="","",$I818-$M818))</f>
        <v/>
      </c>
      <c r="O818" s="12" t="str">
        <f aca="false">IF($A818="","",IF($I818="","",IF($M818=0,"미처리",IF($N818&lt;=0,"완료","부분처리"))))</f>
        <v/>
      </c>
    </row>
    <row r="819" customFormat="false" ht="15" hidden="false" customHeight="true" outlineLevel="0" collapsed="false">
      <c r="A819" s="12" t="str">
        <f aca="false">IF($B819="","",TEXT($B819,"yymm")&amp;"-"&amp;TEXT(COUNTIFS($B$3:$B819,"&gt;="&amp;DATE(YEAR($B819),MONTH($B819),1),$B$3:$B819,"&lt;="&amp;EOMONTH($B819,0)),"000"))</f>
        <v/>
      </c>
      <c r="B819" s="13"/>
      <c r="C819" s="10"/>
      <c r="D819" s="10"/>
      <c r="E819" s="12" t="str">
        <f aca="false">IF($D819="","",IFERROR(INDEX(품목목록!$B$3:$B$302,MATCH($D819,품목목록!$A$3:$A$302,0)),"미등록품번"))</f>
        <v/>
      </c>
      <c r="F819" s="12" t="str">
        <f aca="false">IF($D819="","",IFERROR(INDEX(품목목록!$C$3:$C$302,MATCH($D819,품목목록!$A$3:$A$302,0)),""))</f>
        <v/>
      </c>
      <c r="G819" s="12" t="str">
        <f aca="false">IF($D819="","",IFERROR(INDEX(품목목록!$D$3:$D$302,MATCH($D819,품목목록!$A$3:$A$302,0)),""))</f>
        <v/>
      </c>
      <c r="H819" s="12" t="str">
        <f aca="false">IF($D819="","",IFERROR(INDEX(품목목록!$E$3:$E$302,MATCH($D819,품목목록!$A$3:$A$302,0)),""))</f>
        <v/>
      </c>
      <c r="I819" s="14"/>
      <c r="J819" s="10"/>
      <c r="K819" s="10"/>
      <c r="L819" s="10"/>
      <c r="M819" s="15" t="str">
        <f aca="false">IF($A819="","",SUMIFS(처리내역!$E$3:$E$1502,처리내역!$B$3:$B$1502,$A819))</f>
        <v/>
      </c>
      <c r="N819" s="15" t="str">
        <f aca="false">IF($A819="","",IF($I819="","",$I819-$M819))</f>
        <v/>
      </c>
      <c r="O819" s="12" t="str">
        <f aca="false">IF($A819="","",IF($I819="","",IF($M819=0,"미처리",IF($N819&lt;=0,"완료","부분처리"))))</f>
        <v/>
      </c>
    </row>
    <row r="820" customFormat="false" ht="15" hidden="false" customHeight="true" outlineLevel="0" collapsed="false">
      <c r="A820" s="12" t="str">
        <f aca="false">IF($B820="","",TEXT($B820,"yymm")&amp;"-"&amp;TEXT(COUNTIFS($B$3:$B820,"&gt;="&amp;DATE(YEAR($B820),MONTH($B820),1),$B$3:$B820,"&lt;="&amp;EOMONTH($B820,0)),"000"))</f>
        <v/>
      </c>
      <c r="B820" s="13"/>
      <c r="C820" s="10"/>
      <c r="D820" s="10"/>
      <c r="E820" s="12" t="str">
        <f aca="false">IF($D820="","",IFERROR(INDEX(품목목록!$B$3:$B$302,MATCH($D820,품목목록!$A$3:$A$302,0)),"미등록품번"))</f>
        <v/>
      </c>
      <c r="F820" s="12" t="str">
        <f aca="false">IF($D820="","",IFERROR(INDEX(품목목록!$C$3:$C$302,MATCH($D820,품목목록!$A$3:$A$302,0)),""))</f>
        <v/>
      </c>
      <c r="G820" s="12" t="str">
        <f aca="false">IF($D820="","",IFERROR(INDEX(품목목록!$D$3:$D$302,MATCH($D820,품목목록!$A$3:$A$302,0)),""))</f>
        <v/>
      </c>
      <c r="H820" s="12" t="str">
        <f aca="false">IF($D820="","",IFERROR(INDEX(품목목록!$E$3:$E$302,MATCH($D820,품목목록!$A$3:$A$302,0)),""))</f>
        <v/>
      </c>
      <c r="I820" s="14"/>
      <c r="J820" s="10"/>
      <c r="K820" s="10"/>
      <c r="L820" s="10"/>
      <c r="M820" s="15" t="str">
        <f aca="false">IF($A820="","",SUMIFS(처리내역!$E$3:$E$1502,처리내역!$B$3:$B$1502,$A820))</f>
        <v/>
      </c>
      <c r="N820" s="15" t="str">
        <f aca="false">IF($A820="","",IF($I820="","",$I820-$M820))</f>
        <v/>
      </c>
      <c r="O820" s="12" t="str">
        <f aca="false">IF($A820="","",IF($I820="","",IF($M820=0,"미처리",IF($N820&lt;=0,"완료","부분처리"))))</f>
        <v/>
      </c>
    </row>
    <row r="821" customFormat="false" ht="15" hidden="false" customHeight="true" outlineLevel="0" collapsed="false">
      <c r="A821" s="12" t="str">
        <f aca="false">IF($B821="","",TEXT($B821,"yymm")&amp;"-"&amp;TEXT(COUNTIFS($B$3:$B821,"&gt;="&amp;DATE(YEAR($B821),MONTH($B821),1),$B$3:$B821,"&lt;="&amp;EOMONTH($B821,0)),"000"))</f>
        <v/>
      </c>
      <c r="B821" s="13"/>
      <c r="C821" s="10"/>
      <c r="D821" s="10"/>
      <c r="E821" s="12" t="str">
        <f aca="false">IF($D821="","",IFERROR(INDEX(품목목록!$B$3:$B$302,MATCH($D821,품목목록!$A$3:$A$302,0)),"미등록품번"))</f>
        <v/>
      </c>
      <c r="F821" s="12" t="str">
        <f aca="false">IF($D821="","",IFERROR(INDEX(품목목록!$C$3:$C$302,MATCH($D821,품목목록!$A$3:$A$302,0)),""))</f>
        <v/>
      </c>
      <c r="G821" s="12" t="str">
        <f aca="false">IF($D821="","",IFERROR(INDEX(품목목록!$D$3:$D$302,MATCH($D821,품목목록!$A$3:$A$302,0)),""))</f>
        <v/>
      </c>
      <c r="H821" s="12" t="str">
        <f aca="false">IF($D821="","",IFERROR(INDEX(품목목록!$E$3:$E$302,MATCH($D821,품목목록!$A$3:$A$302,0)),""))</f>
        <v/>
      </c>
      <c r="I821" s="14"/>
      <c r="J821" s="10"/>
      <c r="K821" s="10"/>
      <c r="L821" s="10"/>
      <c r="M821" s="15" t="str">
        <f aca="false">IF($A821="","",SUMIFS(처리내역!$E$3:$E$1502,처리내역!$B$3:$B$1502,$A821))</f>
        <v/>
      </c>
      <c r="N821" s="15" t="str">
        <f aca="false">IF($A821="","",IF($I821="","",$I821-$M821))</f>
        <v/>
      </c>
      <c r="O821" s="12" t="str">
        <f aca="false">IF($A821="","",IF($I821="","",IF($M821=0,"미처리",IF($N821&lt;=0,"완료","부분처리"))))</f>
        <v/>
      </c>
    </row>
    <row r="822" customFormat="false" ht="15" hidden="false" customHeight="true" outlineLevel="0" collapsed="false">
      <c r="A822" s="12" t="str">
        <f aca="false">IF($B822="","",TEXT($B822,"yymm")&amp;"-"&amp;TEXT(COUNTIFS($B$3:$B822,"&gt;="&amp;DATE(YEAR($B822),MONTH($B822),1),$B$3:$B822,"&lt;="&amp;EOMONTH($B822,0)),"000"))</f>
        <v/>
      </c>
      <c r="B822" s="13"/>
      <c r="C822" s="10"/>
      <c r="D822" s="10"/>
      <c r="E822" s="12" t="str">
        <f aca="false">IF($D822="","",IFERROR(INDEX(품목목록!$B$3:$B$302,MATCH($D822,품목목록!$A$3:$A$302,0)),"미등록품번"))</f>
        <v/>
      </c>
      <c r="F822" s="12" t="str">
        <f aca="false">IF($D822="","",IFERROR(INDEX(품목목록!$C$3:$C$302,MATCH($D822,품목목록!$A$3:$A$302,0)),""))</f>
        <v/>
      </c>
      <c r="G822" s="12" t="str">
        <f aca="false">IF($D822="","",IFERROR(INDEX(품목목록!$D$3:$D$302,MATCH($D822,품목목록!$A$3:$A$302,0)),""))</f>
        <v/>
      </c>
      <c r="H822" s="12" t="str">
        <f aca="false">IF($D822="","",IFERROR(INDEX(품목목록!$E$3:$E$302,MATCH($D822,품목목록!$A$3:$A$302,0)),""))</f>
        <v/>
      </c>
      <c r="I822" s="14"/>
      <c r="J822" s="10"/>
      <c r="K822" s="10"/>
      <c r="L822" s="10"/>
      <c r="M822" s="15" t="str">
        <f aca="false">IF($A822="","",SUMIFS(처리내역!$E$3:$E$1502,처리내역!$B$3:$B$1502,$A822))</f>
        <v/>
      </c>
      <c r="N822" s="15" t="str">
        <f aca="false">IF($A822="","",IF($I822="","",$I822-$M822))</f>
        <v/>
      </c>
      <c r="O822" s="12" t="str">
        <f aca="false">IF($A822="","",IF($I822="","",IF($M822=0,"미처리",IF($N822&lt;=0,"완료","부분처리"))))</f>
        <v/>
      </c>
    </row>
    <row r="823" customFormat="false" ht="15" hidden="false" customHeight="true" outlineLevel="0" collapsed="false">
      <c r="A823" s="12" t="str">
        <f aca="false">IF($B823="","",TEXT($B823,"yymm")&amp;"-"&amp;TEXT(COUNTIFS($B$3:$B823,"&gt;="&amp;DATE(YEAR($B823),MONTH($B823),1),$B$3:$B823,"&lt;="&amp;EOMONTH($B823,0)),"000"))</f>
        <v/>
      </c>
      <c r="B823" s="13"/>
      <c r="C823" s="10"/>
      <c r="D823" s="10"/>
      <c r="E823" s="12" t="str">
        <f aca="false">IF($D823="","",IFERROR(INDEX(품목목록!$B$3:$B$302,MATCH($D823,품목목록!$A$3:$A$302,0)),"미등록품번"))</f>
        <v/>
      </c>
      <c r="F823" s="12" t="str">
        <f aca="false">IF($D823="","",IFERROR(INDEX(품목목록!$C$3:$C$302,MATCH($D823,품목목록!$A$3:$A$302,0)),""))</f>
        <v/>
      </c>
      <c r="G823" s="12" t="str">
        <f aca="false">IF($D823="","",IFERROR(INDEX(품목목록!$D$3:$D$302,MATCH($D823,품목목록!$A$3:$A$302,0)),""))</f>
        <v/>
      </c>
      <c r="H823" s="12" t="str">
        <f aca="false">IF($D823="","",IFERROR(INDEX(품목목록!$E$3:$E$302,MATCH($D823,품목목록!$A$3:$A$302,0)),""))</f>
        <v/>
      </c>
      <c r="I823" s="14"/>
      <c r="J823" s="10"/>
      <c r="K823" s="10"/>
      <c r="L823" s="10"/>
      <c r="M823" s="15" t="str">
        <f aca="false">IF($A823="","",SUMIFS(처리내역!$E$3:$E$1502,처리내역!$B$3:$B$1502,$A823))</f>
        <v/>
      </c>
      <c r="N823" s="15" t="str">
        <f aca="false">IF($A823="","",IF($I823="","",$I823-$M823))</f>
        <v/>
      </c>
      <c r="O823" s="12" t="str">
        <f aca="false">IF($A823="","",IF($I823="","",IF($M823=0,"미처리",IF($N823&lt;=0,"완료","부분처리"))))</f>
        <v/>
      </c>
    </row>
    <row r="824" customFormat="false" ht="15" hidden="false" customHeight="true" outlineLevel="0" collapsed="false">
      <c r="A824" s="12" t="str">
        <f aca="false">IF($B824="","",TEXT($B824,"yymm")&amp;"-"&amp;TEXT(COUNTIFS($B$3:$B824,"&gt;="&amp;DATE(YEAR($B824),MONTH($B824),1),$B$3:$B824,"&lt;="&amp;EOMONTH($B824,0)),"000"))</f>
        <v/>
      </c>
      <c r="B824" s="13"/>
      <c r="C824" s="10"/>
      <c r="D824" s="10"/>
      <c r="E824" s="12" t="str">
        <f aca="false">IF($D824="","",IFERROR(INDEX(품목목록!$B$3:$B$302,MATCH($D824,품목목록!$A$3:$A$302,0)),"미등록품번"))</f>
        <v/>
      </c>
      <c r="F824" s="12" t="str">
        <f aca="false">IF($D824="","",IFERROR(INDEX(품목목록!$C$3:$C$302,MATCH($D824,품목목록!$A$3:$A$302,0)),""))</f>
        <v/>
      </c>
      <c r="G824" s="12" t="str">
        <f aca="false">IF($D824="","",IFERROR(INDEX(품목목록!$D$3:$D$302,MATCH($D824,품목목록!$A$3:$A$302,0)),""))</f>
        <v/>
      </c>
      <c r="H824" s="12" t="str">
        <f aca="false">IF($D824="","",IFERROR(INDEX(품목목록!$E$3:$E$302,MATCH($D824,품목목록!$A$3:$A$302,0)),""))</f>
        <v/>
      </c>
      <c r="I824" s="14"/>
      <c r="J824" s="10"/>
      <c r="K824" s="10"/>
      <c r="L824" s="10"/>
      <c r="M824" s="15" t="str">
        <f aca="false">IF($A824="","",SUMIFS(처리내역!$E$3:$E$1502,처리내역!$B$3:$B$1502,$A824))</f>
        <v/>
      </c>
      <c r="N824" s="15" t="str">
        <f aca="false">IF($A824="","",IF($I824="","",$I824-$M824))</f>
        <v/>
      </c>
      <c r="O824" s="12" t="str">
        <f aca="false">IF($A824="","",IF($I824="","",IF($M824=0,"미처리",IF($N824&lt;=0,"완료","부분처리"))))</f>
        <v/>
      </c>
    </row>
    <row r="825" customFormat="false" ht="15" hidden="false" customHeight="true" outlineLevel="0" collapsed="false">
      <c r="A825" s="12" t="str">
        <f aca="false">IF($B825="","",TEXT($B825,"yymm")&amp;"-"&amp;TEXT(COUNTIFS($B$3:$B825,"&gt;="&amp;DATE(YEAR($B825),MONTH($B825),1),$B$3:$B825,"&lt;="&amp;EOMONTH($B825,0)),"000"))</f>
        <v/>
      </c>
      <c r="B825" s="13"/>
      <c r="C825" s="10"/>
      <c r="D825" s="10"/>
      <c r="E825" s="12" t="str">
        <f aca="false">IF($D825="","",IFERROR(INDEX(품목목록!$B$3:$B$302,MATCH($D825,품목목록!$A$3:$A$302,0)),"미등록품번"))</f>
        <v/>
      </c>
      <c r="F825" s="12" t="str">
        <f aca="false">IF($D825="","",IFERROR(INDEX(품목목록!$C$3:$C$302,MATCH($D825,품목목록!$A$3:$A$302,0)),""))</f>
        <v/>
      </c>
      <c r="G825" s="12" t="str">
        <f aca="false">IF($D825="","",IFERROR(INDEX(품목목록!$D$3:$D$302,MATCH($D825,품목목록!$A$3:$A$302,0)),""))</f>
        <v/>
      </c>
      <c r="H825" s="12" t="str">
        <f aca="false">IF($D825="","",IFERROR(INDEX(품목목록!$E$3:$E$302,MATCH($D825,품목목록!$A$3:$A$302,0)),""))</f>
        <v/>
      </c>
      <c r="I825" s="14"/>
      <c r="J825" s="10"/>
      <c r="K825" s="10"/>
      <c r="L825" s="10"/>
      <c r="M825" s="15" t="str">
        <f aca="false">IF($A825="","",SUMIFS(처리내역!$E$3:$E$1502,처리내역!$B$3:$B$1502,$A825))</f>
        <v/>
      </c>
      <c r="N825" s="15" t="str">
        <f aca="false">IF($A825="","",IF($I825="","",$I825-$M825))</f>
        <v/>
      </c>
      <c r="O825" s="12" t="str">
        <f aca="false">IF($A825="","",IF($I825="","",IF($M825=0,"미처리",IF($N825&lt;=0,"완료","부분처리"))))</f>
        <v/>
      </c>
    </row>
    <row r="826" customFormat="false" ht="15" hidden="false" customHeight="true" outlineLevel="0" collapsed="false">
      <c r="A826" s="12" t="str">
        <f aca="false">IF($B826="","",TEXT($B826,"yymm")&amp;"-"&amp;TEXT(COUNTIFS($B$3:$B826,"&gt;="&amp;DATE(YEAR($B826),MONTH($B826),1),$B$3:$B826,"&lt;="&amp;EOMONTH($B826,0)),"000"))</f>
        <v/>
      </c>
      <c r="B826" s="13"/>
      <c r="C826" s="10"/>
      <c r="D826" s="10"/>
      <c r="E826" s="12" t="str">
        <f aca="false">IF($D826="","",IFERROR(INDEX(품목목록!$B$3:$B$302,MATCH($D826,품목목록!$A$3:$A$302,0)),"미등록품번"))</f>
        <v/>
      </c>
      <c r="F826" s="12" t="str">
        <f aca="false">IF($D826="","",IFERROR(INDEX(품목목록!$C$3:$C$302,MATCH($D826,품목목록!$A$3:$A$302,0)),""))</f>
        <v/>
      </c>
      <c r="G826" s="12" t="str">
        <f aca="false">IF($D826="","",IFERROR(INDEX(품목목록!$D$3:$D$302,MATCH($D826,품목목록!$A$3:$A$302,0)),""))</f>
        <v/>
      </c>
      <c r="H826" s="12" t="str">
        <f aca="false">IF($D826="","",IFERROR(INDEX(품목목록!$E$3:$E$302,MATCH($D826,품목목록!$A$3:$A$302,0)),""))</f>
        <v/>
      </c>
      <c r="I826" s="14"/>
      <c r="J826" s="10"/>
      <c r="K826" s="10"/>
      <c r="L826" s="10"/>
      <c r="M826" s="15" t="str">
        <f aca="false">IF($A826="","",SUMIFS(처리내역!$E$3:$E$1502,처리내역!$B$3:$B$1502,$A826))</f>
        <v/>
      </c>
      <c r="N826" s="15" t="str">
        <f aca="false">IF($A826="","",IF($I826="","",$I826-$M826))</f>
        <v/>
      </c>
      <c r="O826" s="12" t="str">
        <f aca="false">IF($A826="","",IF($I826="","",IF($M826=0,"미처리",IF($N826&lt;=0,"완료","부분처리"))))</f>
        <v/>
      </c>
    </row>
    <row r="827" customFormat="false" ht="15" hidden="false" customHeight="true" outlineLevel="0" collapsed="false">
      <c r="A827" s="12" t="str">
        <f aca="false">IF($B827="","",TEXT($B827,"yymm")&amp;"-"&amp;TEXT(COUNTIFS($B$3:$B827,"&gt;="&amp;DATE(YEAR($B827),MONTH($B827),1),$B$3:$B827,"&lt;="&amp;EOMONTH($B827,0)),"000"))</f>
        <v/>
      </c>
      <c r="B827" s="13"/>
      <c r="C827" s="10"/>
      <c r="D827" s="10"/>
      <c r="E827" s="12" t="str">
        <f aca="false">IF($D827="","",IFERROR(INDEX(품목목록!$B$3:$B$302,MATCH($D827,품목목록!$A$3:$A$302,0)),"미등록품번"))</f>
        <v/>
      </c>
      <c r="F827" s="12" t="str">
        <f aca="false">IF($D827="","",IFERROR(INDEX(품목목록!$C$3:$C$302,MATCH($D827,품목목록!$A$3:$A$302,0)),""))</f>
        <v/>
      </c>
      <c r="G827" s="12" t="str">
        <f aca="false">IF($D827="","",IFERROR(INDEX(품목목록!$D$3:$D$302,MATCH($D827,품목목록!$A$3:$A$302,0)),""))</f>
        <v/>
      </c>
      <c r="H827" s="12" t="str">
        <f aca="false">IF($D827="","",IFERROR(INDEX(품목목록!$E$3:$E$302,MATCH($D827,품목목록!$A$3:$A$302,0)),""))</f>
        <v/>
      </c>
      <c r="I827" s="14"/>
      <c r="J827" s="10"/>
      <c r="K827" s="10"/>
      <c r="L827" s="10"/>
      <c r="M827" s="15" t="str">
        <f aca="false">IF($A827="","",SUMIFS(처리내역!$E$3:$E$1502,처리내역!$B$3:$B$1502,$A827))</f>
        <v/>
      </c>
      <c r="N827" s="15" t="str">
        <f aca="false">IF($A827="","",IF($I827="","",$I827-$M827))</f>
        <v/>
      </c>
      <c r="O827" s="12" t="str">
        <f aca="false">IF($A827="","",IF($I827="","",IF($M827=0,"미처리",IF($N827&lt;=0,"완료","부분처리"))))</f>
        <v/>
      </c>
    </row>
    <row r="828" customFormat="false" ht="15" hidden="false" customHeight="true" outlineLevel="0" collapsed="false">
      <c r="A828" s="12" t="str">
        <f aca="false">IF($B828="","",TEXT($B828,"yymm")&amp;"-"&amp;TEXT(COUNTIFS($B$3:$B828,"&gt;="&amp;DATE(YEAR($B828),MONTH($B828),1),$B$3:$B828,"&lt;="&amp;EOMONTH($B828,0)),"000"))</f>
        <v/>
      </c>
      <c r="B828" s="13"/>
      <c r="C828" s="10"/>
      <c r="D828" s="10"/>
      <c r="E828" s="12" t="str">
        <f aca="false">IF($D828="","",IFERROR(INDEX(품목목록!$B$3:$B$302,MATCH($D828,품목목록!$A$3:$A$302,0)),"미등록품번"))</f>
        <v/>
      </c>
      <c r="F828" s="12" t="str">
        <f aca="false">IF($D828="","",IFERROR(INDEX(품목목록!$C$3:$C$302,MATCH($D828,품목목록!$A$3:$A$302,0)),""))</f>
        <v/>
      </c>
      <c r="G828" s="12" t="str">
        <f aca="false">IF($D828="","",IFERROR(INDEX(품목목록!$D$3:$D$302,MATCH($D828,품목목록!$A$3:$A$302,0)),""))</f>
        <v/>
      </c>
      <c r="H828" s="12" t="str">
        <f aca="false">IF($D828="","",IFERROR(INDEX(품목목록!$E$3:$E$302,MATCH($D828,품목목록!$A$3:$A$302,0)),""))</f>
        <v/>
      </c>
      <c r="I828" s="14"/>
      <c r="J828" s="10"/>
      <c r="K828" s="10"/>
      <c r="L828" s="10"/>
      <c r="M828" s="15" t="str">
        <f aca="false">IF($A828="","",SUMIFS(처리내역!$E$3:$E$1502,처리내역!$B$3:$B$1502,$A828))</f>
        <v/>
      </c>
      <c r="N828" s="15" t="str">
        <f aca="false">IF($A828="","",IF($I828="","",$I828-$M828))</f>
        <v/>
      </c>
      <c r="O828" s="12" t="str">
        <f aca="false">IF($A828="","",IF($I828="","",IF($M828=0,"미처리",IF($N828&lt;=0,"완료","부분처리"))))</f>
        <v/>
      </c>
    </row>
    <row r="829" customFormat="false" ht="15" hidden="false" customHeight="true" outlineLevel="0" collapsed="false">
      <c r="A829" s="12" t="str">
        <f aca="false">IF($B829="","",TEXT($B829,"yymm")&amp;"-"&amp;TEXT(COUNTIFS($B$3:$B829,"&gt;="&amp;DATE(YEAR($B829),MONTH($B829),1),$B$3:$B829,"&lt;="&amp;EOMONTH($B829,0)),"000"))</f>
        <v/>
      </c>
      <c r="B829" s="13"/>
      <c r="C829" s="10"/>
      <c r="D829" s="10"/>
      <c r="E829" s="12" t="str">
        <f aca="false">IF($D829="","",IFERROR(INDEX(품목목록!$B$3:$B$302,MATCH($D829,품목목록!$A$3:$A$302,0)),"미등록품번"))</f>
        <v/>
      </c>
      <c r="F829" s="12" t="str">
        <f aca="false">IF($D829="","",IFERROR(INDEX(품목목록!$C$3:$C$302,MATCH($D829,품목목록!$A$3:$A$302,0)),""))</f>
        <v/>
      </c>
      <c r="G829" s="12" t="str">
        <f aca="false">IF($D829="","",IFERROR(INDEX(품목목록!$D$3:$D$302,MATCH($D829,품목목록!$A$3:$A$302,0)),""))</f>
        <v/>
      </c>
      <c r="H829" s="12" t="str">
        <f aca="false">IF($D829="","",IFERROR(INDEX(품목목록!$E$3:$E$302,MATCH($D829,품목목록!$A$3:$A$302,0)),""))</f>
        <v/>
      </c>
      <c r="I829" s="14"/>
      <c r="J829" s="10"/>
      <c r="K829" s="10"/>
      <c r="L829" s="10"/>
      <c r="M829" s="15" t="str">
        <f aca="false">IF($A829="","",SUMIFS(처리내역!$E$3:$E$1502,처리내역!$B$3:$B$1502,$A829))</f>
        <v/>
      </c>
      <c r="N829" s="15" t="str">
        <f aca="false">IF($A829="","",IF($I829="","",$I829-$M829))</f>
        <v/>
      </c>
      <c r="O829" s="12" t="str">
        <f aca="false">IF($A829="","",IF($I829="","",IF($M829=0,"미처리",IF($N829&lt;=0,"완료","부분처리"))))</f>
        <v/>
      </c>
    </row>
    <row r="830" customFormat="false" ht="15" hidden="false" customHeight="true" outlineLevel="0" collapsed="false">
      <c r="A830" s="12" t="str">
        <f aca="false">IF($B830="","",TEXT($B830,"yymm")&amp;"-"&amp;TEXT(COUNTIFS($B$3:$B830,"&gt;="&amp;DATE(YEAR($B830),MONTH($B830),1),$B$3:$B830,"&lt;="&amp;EOMONTH($B830,0)),"000"))</f>
        <v/>
      </c>
      <c r="B830" s="13"/>
      <c r="C830" s="10"/>
      <c r="D830" s="10"/>
      <c r="E830" s="12" t="str">
        <f aca="false">IF($D830="","",IFERROR(INDEX(품목목록!$B$3:$B$302,MATCH($D830,품목목록!$A$3:$A$302,0)),"미등록품번"))</f>
        <v/>
      </c>
      <c r="F830" s="12" t="str">
        <f aca="false">IF($D830="","",IFERROR(INDEX(품목목록!$C$3:$C$302,MATCH($D830,품목목록!$A$3:$A$302,0)),""))</f>
        <v/>
      </c>
      <c r="G830" s="12" t="str">
        <f aca="false">IF($D830="","",IFERROR(INDEX(품목목록!$D$3:$D$302,MATCH($D830,품목목록!$A$3:$A$302,0)),""))</f>
        <v/>
      </c>
      <c r="H830" s="12" t="str">
        <f aca="false">IF($D830="","",IFERROR(INDEX(품목목록!$E$3:$E$302,MATCH($D830,품목목록!$A$3:$A$302,0)),""))</f>
        <v/>
      </c>
      <c r="I830" s="14"/>
      <c r="J830" s="10"/>
      <c r="K830" s="10"/>
      <c r="L830" s="10"/>
      <c r="M830" s="15" t="str">
        <f aca="false">IF($A830="","",SUMIFS(처리내역!$E$3:$E$1502,처리내역!$B$3:$B$1502,$A830))</f>
        <v/>
      </c>
      <c r="N830" s="15" t="str">
        <f aca="false">IF($A830="","",IF($I830="","",$I830-$M830))</f>
        <v/>
      </c>
      <c r="O830" s="12" t="str">
        <f aca="false">IF($A830="","",IF($I830="","",IF($M830=0,"미처리",IF($N830&lt;=0,"완료","부분처리"))))</f>
        <v/>
      </c>
    </row>
    <row r="831" customFormat="false" ht="15" hidden="false" customHeight="true" outlineLevel="0" collapsed="false">
      <c r="A831" s="12" t="str">
        <f aca="false">IF($B831="","",TEXT($B831,"yymm")&amp;"-"&amp;TEXT(COUNTIFS($B$3:$B831,"&gt;="&amp;DATE(YEAR($B831),MONTH($B831),1),$B$3:$B831,"&lt;="&amp;EOMONTH($B831,0)),"000"))</f>
        <v/>
      </c>
      <c r="B831" s="13"/>
      <c r="C831" s="10"/>
      <c r="D831" s="10"/>
      <c r="E831" s="12" t="str">
        <f aca="false">IF($D831="","",IFERROR(INDEX(품목목록!$B$3:$B$302,MATCH($D831,품목목록!$A$3:$A$302,0)),"미등록품번"))</f>
        <v/>
      </c>
      <c r="F831" s="12" t="str">
        <f aca="false">IF($D831="","",IFERROR(INDEX(품목목록!$C$3:$C$302,MATCH($D831,품목목록!$A$3:$A$302,0)),""))</f>
        <v/>
      </c>
      <c r="G831" s="12" t="str">
        <f aca="false">IF($D831="","",IFERROR(INDEX(품목목록!$D$3:$D$302,MATCH($D831,품목목록!$A$3:$A$302,0)),""))</f>
        <v/>
      </c>
      <c r="H831" s="12" t="str">
        <f aca="false">IF($D831="","",IFERROR(INDEX(품목목록!$E$3:$E$302,MATCH($D831,품목목록!$A$3:$A$302,0)),""))</f>
        <v/>
      </c>
      <c r="I831" s="14"/>
      <c r="J831" s="10"/>
      <c r="K831" s="10"/>
      <c r="L831" s="10"/>
      <c r="M831" s="15" t="str">
        <f aca="false">IF($A831="","",SUMIFS(처리내역!$E$3:$E$1502,처리내역!$B$3:$B$1502,$A831))</f>
        <v/>
      </c>
      <c r="N831" s="15" t="str">
        <f aca="false">IF($A831="","",IF($I831="","",$I831-$M831))</f>
        <v/>
      </c>
      <c r="O831" s="12" t="str">
        <f aca="false">IF($A831="","",IF($I831="","",IF($M831=0,"미처리",IF($N831&lt;=0,"완료","부분처리"))))</f>
        <v/>
      </c>
    </row>
    <row r="832" customFormat="false" ht="15" hidden="false" customHeight="true" outlineLevel="0" collapsed="false">
      <c r="A832" s="12" t="str">
        <f aca="false">IF($B832="","",TEXT($B832,"yymm")&amp;"-"&amp;TEXT(COUNTIFS($B$3:$B832,"&gt;="&amp;DATE(YEAR($B832),MONTH($B832),1),$B$3:$B832,"&lt;="&amp;EOMONTH($B832,0)),"000"))</f>
        <v/>
      </c>
      <c r="B832" s="13"/>
      <c r="C832" s="10"/>
      <c r="D832" s="10"/>
      <c r="E832" s="12" t="str">
        <f aca="false">IF($D832="","",IFERROR(INDEX(품목목록!$B$3:$B$302,MATCH($D832,품목목록!$A$3:$A$302,0)),"미등록품번"))</f>
        <v/>
      </c>
      <c r="F832" s="12" t="str">
        <f aca="false">IF($D832="","",IFERROR(INDEX(품목목록!$C$3:$C$302,MATCH($D832,품목목록!$A$3:$A$302,0)),""))</f>
        <v/>
      </c>
      <c r="G832" s="12" t="str">
        <f aca="false">IF($D832="","",IFERROR(INDEX(품목목록!$D$3:$D$302,MATCH($D832,품목목록!$A$3:$A$302,0)),""))</f>
        <v/>
      </c>
      <c r="H832" s="12" t="str">
        <f aca="false">IF($D832="","",IFERROR(INDEX(품목목록!$E$3:$E$302,MATCH($D832,품목목록!$A$3:$A$302,0)),""))</f>
        <v/>
      </c>
      <c r="I832" s="14"/>
      <c r="J832" s="10"/>
      <c r="K832" s="10"/>
      <c r="L832" s="10"/>
      <c r="M832" s="15" t="str">
        <f aca="false">IF($A832="","",SUMIFS(처리내역!$E$3:$E$1502,처리내역!$B$3:$B$1502,$A832))</f>
        <v/>
      </c>
      <c r="N832" s="15" t="str">
        <f aca="false">IF($A832="","",IF($I832="","",$I832-$M832))</f>
        <v/>
      </c>
      <c r="O832" s="12" t="str">
        <f aca="false">IF($A832="","",IF($I832="","",IF($M832=0,"미처리",IF($N832&lt;=0,"완료","부분처리"))))</f>
        <v/>
      </c>
    </row>
    <row r="833" customFormat="false" ht="15" hidden="false" customHeight="true" outlineLevel="0" collapsed="false">
      <c r="A833" s="12" t="str">
        <f aca="false">IF($B833="","",TEXT($B833,"yymm")&amp;"-"&amp;TEXT(COUNTIFS($B$3:$B833,"&gt;="&amp;DATE(YEAR($B833),MONTH($B833),1),$B$3:$B833,"&lt;="&amp;EOMONTH($B833,0)),"000"))</f>
        <v/>
      </c>
      <c r="B833" s="13"/>
      <c r="C833" s="10"/>
      <c r="D833" s="10"/>
      <c r="E833" s="12" t="str">
        <f aca="false">IF($D833="","",IFERROR(INDEX(품목목록!$B$3:$B$302,MATCH($D833,품목목록!$A$3:$A$302,0)),"미등록품번"))</f>
        <v/>
      </c>
      <c r="F833" s="12" t="str">
        <f aca="false">IF($D833="","",IFERROR(INDEX(품목목록!$C$3:$C$302,MATCH($D833,품목목록!$A$3:$A$302,0)),""))</f>
        <v/>
      </c>
      <c r="G833" s="12" t="str">
        <f aca="false">IF($D833="","",IFERROR(INDEX(품목목록!$D$3:$D$302,MATCH($D833,품목목록!$A$3:$A$302,0)),""))</f>
        <v/>
      </c>
      <c r="H833" s="12" t="str">
        <f aca="false">IF($D833="","",IFERROR(INDEX(품목목록!$E$3:$E$302,MATCH($D833,품목목록!$A$3:$A$302,0)),""))</f>
        <v/>
      </c>
      <c r="I833" s="14"/>
      <c r="J833" s="10"/>
      <c r="K833" s="10"/>
      <c r="L833" s="10"/>
      <c r="M833" s="15" t="str">
        <f aca="false">IF($A833="","",SUMIFS(처리내역!$E$3:$E$1502,처리내역!$B$3:$B$1502,$A833))</f>
        <v/>
      </c>
      <c r="N833" s="15" t="str">
        <f aca="false">IF($A833="","",IF($I833="","",$I833-$M833))</f>
        <v/>
      </c>
      <c r="O833" s="12" t="str">
        <f aca="false">IF($A833="","",IF($I833="","",IF($M833=0,"미처리",IF($N833&lt;=0,"완료","부분처리"))))</f>
        <v/>
      </c>
    </row>
    <row r="834" customFormat="false" ht="15" hidden="false" customHeight="true" outlineLevel="0" collapsed="false">
      <c r="A834" s="12" t="str">
        <f aca="false">IF($B834="","",TEXT($B834,"yymm")&amp;"-"&amp;TEXT(COUNTIFS($B$3:$B834,"&gt;="&amp;DATE(YEAR($B834),MONTH($B834),1),$B$3:$B834,"&lt;="&amp;EOMONTH($B834,0)),"000"))</f>
        <v/>
      </c>
      <c r="B834" s="13"/>
      <c r="C834" s="10"/>
      <c r="D834" s="10"/>
      <c r="E834" s="12" t="str">
        <f aca="false">IF($D834="","",IFERROR(INDEX(품목목록!$B$3:$B$302,MATCH($D834,품목목록!$A$3:$A$302,0)),"미등록품번"))</f>
        <v/>
      </c>
      <c r="F834" s="12" t="str">
        <f aca="false">IF($D834="","",IFERROR(INDEX(품목목록!$C$3:$C$302,MATCH($D834,품목목록!$A$3:$A$302,0)),""))</f>
        <v/>
      </c>
      <c r="G834" s="12" t="str">
        <f aca="false">IF($D834="","",IFERROR(INDEX(품목목록!$D$3:$D$302,MATCH($D834,품목목록!$A$3:$A$302,0)),""))</f>
        <v/>
      </c>
      <c r="H834" s="12" t="str">
        <f aca="false">IF($D834="","",IFERROR(INDEX(품목목록!$E$3:$E$302,MATCH($D834,품목목록!$A$3:$A$302,0)),""))</f>
        <v/>
      </c>
      <c r="I834" s="14"/>
      <c r="J834" s="10"/>
      <c r="K834" s="10"/>
      <c r="L834" s="10"/>
      <c r="M834" s="15" t="str">
        <f aca="false">IF($A834="","",SUMIFS(처리내역!$E$3:$E$1502,처리내역!$B$3:$B$1502,$A834))</f>
        <v/>
      </c>
      <c r="N834" s="15" t="str">
        <f aca="false">IF($A834="","",IF($I834="","",$I834-$M834))</f>
        <v/>
      </c>
      <c r="O834" s="12" t="str">
        <f aca="false">IF($A834="","",IF($I834="","",IF($M834=0,"미처리",IF($N834&lt;=0,"완료","부분처리"))))</f>
        <v/>
      </c>
    </row>
    <row r="835" customFormat="false" ht="15" hidden="false" customHeight="true" outlineLevel="0" collapsed="false">
      <c r="A835" s="12" t="str">
        <f aca="false">IF($B835="","",TEXT($B835,"yymm")&amp;"-"&amp;TEXT(COUNTIFS($B$3:$B835,"&gt;="&amp;DATE(YEAR($B835),MONTH($B835),1),$B$3:$B835,"&lt;="&amp;EOMONTH($B835,0)),"000"))</f>
        <v/>
      </c>
      <c r="B835" s="13"/>
      <c r="C835" s="10"/>
      <c r="D835" s="10"/>
      <c r="E835" s="12" t="str">
        <f aca="false">IF($D835="","",IFERROR(INDEX(품목목록!$B$3:$B$302,MATCH($D835,품목목록!$A$3:$A$302,0)),"미등록품번"))</f>
        <v/>
      </c>
      <c r="F835" s="12" t="str">
        <f aca="false">IF($D835="","",IFERROR(INDEX(품목목록!$C$3:$C$302,MATCH($D835,품목목록!$A$3:$A$302,0)),""))</f>
        <v/>
      </c>
      <c r="G835" s="12" t="str">
        <f aca="false">IF($D835="","",IFERROR(INDEX(품목목록!$D$3:$D$302,MATCH($D835,품목목록!$A$3:$A$302,0)),""))</f>
        <v/>
      </c>
      <c r="H835" s="12" t="str">
        <f aca="false">IF($D835="","",IFERROR(INDEX(품목목록!$E$3:$E$302,MATCH($D835,품목목록!$A$3:$A$302,0)),""))</f>
        <v/>
      </c>
      <c r="I835" s="14"/>
      <c r="J835" s="10"/>
      <c r="K835" s="10"/>
      <c r="L835" s="10"/>
      <c r="M835" s="15" t="str">
        <f aca="false">IF($A835="","",SUMIFS(처리내역!$E$3:$E$1502,처리내역!$B$3:$B$1502,$A835))</f>
        <v/>
      </c>
      <c r="N835" s="15" t="str">
        <f aca="false">IF($A835="","",IF($I835="","",$I835-$M835))</f>
        <v/>
      </c>
      <c r="O835" s="12" t="str">
        <f aca="false">IF($A835="","",IF($I835="","",IF($M835=0,"미처리",IF($N835&lt;=0,"완료","부분처리"))))</f>
        <v/>
      </c>
    </row>
    <row r="836" customFormat="false" ht="15" hidden="false" customHeight="true" outlineLevel="0" collapsed="false">
      <c r="A836" s="12" t="str">
        <f aca="false">IF($B836="","",TEXT($B836,"yymm")&amp;"-"&amp;TEXT(COUNTIFS($B$3:$B836,"&gt;="&amp;DATE(YEAR($B836),MONTH($B836),1),$B$3:$B836,"&lt;="&amp;EOMONTH($B836,0)),"000"))</f>
        <v/>
      </c>
      <c r="B836" s="13"/>
      <c r="C836" s="10"/>
      <c r="D836" s="10"/>
      <c r="E836" s="12" t="str">
        <f aca="false">IF($D836="","",IFERROR(INDEX(품목목록!$B$3:$B$302,MATCH($D836,품목목록!$A$3:$A$302,0)),"미등록품번"))</f>
        <v/>
      </c>
      <c r="F836" s="12" t="str">
        <f aca="false">IF($D836="","",IFERROR(INDEX(품목목록!$C$3:$C$302,MATCH($D836,품목목록!$A$3:$A$302,0)),""))</f>
        <v/>
      </c>
      <c r="G836" s="12" t="str">
        <f aca="false">IF($D836="","",IFERROR(INDEX(품목목록!$D$3:$D$302,MATCH($D836,품목목록!$A$3:$A$302,0)),""))</f>
        <v/>
      </c>
      <c r="H836" s="12" t="str">
        <f aca="false">IF($D836="","",IFERROR(INDEX(품목목록!$E$3:$E$302,MATCH($D836,품목목록!$A$3:$A$302,0)),""))</f>
        <v/>
      </c>
      <c r="I836" s="14"/>
      <c r="J836" s="10"/>
      <c r="K836" s="10"/>
      <c r="L836" s="10"/>
      <c r="M836" s="15" t="str">
        <f aca="false">IF($A836="","",SUMIFS(처리내역!$E$3:$E$1502,처리내역!$B$3:$B$1502,$A836))</f>
        <v/>
      </c>
      <c r="N836" s="15" t="str">
        <f aca="false">IF($A836="","",IF($I836="","",$I836-$M836))</f>
        <v/>
      </c>
      <c r="O836" s="12" t="str">
        <f aca="false">IF($A836="","",IF($I836="","",IF($M836=0,"미처리",IF($N836&lt;=0,"완료","부분처리"))))</f>
        <v/>
      </c>
    </row>
    <row r="837" customFormat="false" ht="15" hidden="false" customHeight="true" outlineLevel="0" collapsed="false">
      <c r="A837" s="12" t="str">
        <f aca="false">IF($B837="","",TEXT($B837,"yymm")&amp;"-"&amp;TEXT(COUNTIFS($B$3:$B837,"&gt;="&amp;DATE(YEAR($B837),MONTH($B837),1),$B$3:$B837,"&lt;="&amp;EOMONTH($B837,0)),"000"))</f>
        <v/>
      </c>
      <c r="B837" s="13"/>
      <c r="C837" s="10"/>
      <c r="D837" s="10"/>
      <c r="E837" s="12" t="str">
        <f aca="false">IF($D837="","",IFERROR(INDEX(품목목록!$B$3:$B$302,MATCH($D837,품목목록!$A$3:$A$302,0)),"미등록품번"))</f>
        <v/>
      </c>
      <c r="F837" s="12" t="str">
        <f aca="false">IF($D837="","",IFERROR(INDEX(품목목록!$C$3:$C$302,MATCH($D837,품목목록!$A$3:$A$302,0)),""))</f>
        <v/>
      </c>
      <c r="G837" s="12" t="str">
        <f aca="false">IF($D837="","",IFERROR(INDEX(품목목록!$D$3:$D$302,MATCH($D837,품목목록!$A$3:$A$302,0)),""))</f>
        <v/>
      </c>
      <c r="H837" s="12" t="str">
        <f aca="false">IF($D837="","",IFERROR(INDEX(품목목록!$E$3:$E$302,MATCH($D837,품목목록!$A$3:$A$302,0)),""))</f>
        <v/>
      </c>
      <c r="I837" s="14"/>
      <c r="J837" s="10"/>
      <c r="K837" s="10"/>
      <c r="L837" s="10"/>
      <c r="M837" s="15" t="str">
        <f aca="false">IF($A837="","",SUMIFS(처리내역!$E$3:$E$1502,처리내역!$B$3:$B$1502,$A837))</f>
        <v/>
      </c>
      <c r="N837" s="15" t="str">
        <f aca="false">IF($A837="","",IF($I837="","",$I837-$M837))</f>
        <v/>
      </c>
      <c r="O837" s="12" t="str">
        <f aca="false">IF($A837="","",IF($I837="","",IF($M837=0,"미처리",IF($N837&lt;=0,"완료","부분처리"))))</f>
        <v/>
      </c>
    </row>
    <row r="838" customFormat="false" ht="15" hidden="false" customHeight="true" outlineLevel="0" collapsed="false">
      <c r="A838" s="12" t="str">
        <f aca="false">IF($B838="","",TEXT($B838,"yymm")&amp;"-"&amp;TEXT(COUNTIFS($B$3:$B838,"&gt;="&amp;DATE(YEAR($B838),MONTH($B838),1),$B$3:$B838,"&lt;="&amp;EOMONTH($B838,0)),"000"))</f>
        <v/>
      </c>
      <c r="B838" s="13"/>
      <c r="C838" s="10"/>
      <c r="D838" s="10"/>
      <c r="E838" s="12" t="str">
        <f aca="false">IF($D838="","",IFERROR(INDEX(품목목록!$B$3:$B$302,MATCH($D838,품목목록!$A$3:$A$302,0)),"미등록품번"))</f>
        <v/>
      </c>
      <c r="F838" s="12" t="str">
        <f aca="false">IF($D838="","",IFERROR(INDEX(품목목록!$C$3:$C$302,MATCH($D838,품목목록!$A$3:$A$302,0)),""))</f>
        <v/>
      </c>
      <c r="G838" s="12" t="str">
        <f aca="false">IF($D838="","",IFERROR(INDEX(품목목록!$D$3:$D$302,MATCH($D838,품목목록!$A$3:$A$302,0)),""))</f>
        <v/>
      </c>
      <c r="H838" s="12" t="str">
        <f aca="false">IF($D838="","",IFERROR(INDEX(품목목록!$E$3:$E$302,MATCH($D838,품목목록!$A$3:$A$302,0)),""))</f>
        <v/>
      </c>
      <c r="I838" s="14"/>
      <c r="J838" s="10"/>
      <c r="K838" s="10"/>
      <c r="L838" s="10"/>
      <c r="M838" s="15" t="str">
        <f aca="false">IF($A838="","",SUMIFS(처리내역!$E$3:$E$1502,처리내역!$B$3:$B$1502,$A838))</f>
        <v/>
      </c>
      <c r="N838" s="15" t="str">
        <f aca="false">IF($A838="","",IF($I838="","",$I838-$M838))</f>
        <v/>
      </c>
      <c r="O838" s="12" t="str">
        <f aca="false">IF($A838="","",IF($I838="","",IF($M838=0,"미처리",IF($N838&lt;=0,"완료","부분처리"))))</f>
        <v/>
      </c>
    </row>
    <row r="839" customFormat="false" ht="15" hidden="false" customHeight="true" outlineLevel="0" collapsed="false">
      <c r="A839" s="12" t="str">
        <f aca="false">IF($B839="","",TEXT($B839,"yymm")&amp;"-"&amp;TEXT(COUNTIFS($B$3:$B839,"&gt;="&amp;DATE(YEAR($B839),MONTH($B839),1),$B$3:$B839,"&lt;="&amp;EOMONTH($B839,0)),"000"))</f>
        <v/>
      </c>
      <c r="B839" s="13"/>
      <c r="C839" s="10"/>
      <c r="D839" s="10"/>
      <c r="E839" s="12" t="str">
        <f aca="false">IF($D839="","",IFERROR(INDEX(품목목록!$B$3:$B$302,MATCH($D839,품목목록!$A$3:$A$302,0)),"미등록품번"))</f>
        <v/>
      </c>
      <c r="F839" s="12" t="str">
        <f aca="false">IF($D839="","",IFERROR(INDEX(품목목록!$C$3:$C$302,MATCH($D839,품목목록!$A$3:$A$302,0)),""))</f>
        <v/>
      </c>
      <c r="G839" s="12" t="str">
        <f aca="false">IF($D839="","",IFERROR(INDEX(품목목록!$D$3:$D$302,MATCH($D839,품목목록!$A$3:$A$302,0)),""))</f>
        <v/>
      </c>
      <c r="H839" s="12" t="str">
        <f aca="false">IF($D839="","",IFERROR(INDEX(품목목록!$E$3:$E$302,MATCH($D839,품목목록!$A$3:$A$302,0)),""))</f>
        <v/>
      </c>
      <c r="I839" s="14"/>
      <c r="J839" s="10"/>
      <c r="K839" s="10"/>
      <c r="L839" s="10"/>
      <c r="M839" s="15" t="str">
        <f aca="false">IF($A839="","",SUMIFS(처리내역!$E$3:$E$1502,처리내역!$B$3:$B$1502,$A839))</f>
        <v/>
      </c>
      <c r="N839" s="15" t="str">
        <f aca="false">IF($A839="","",IF($I839="","",$I839-$M839))</f>
        <v/>
      </c>
      <c r="O839" s="12" t="str">
        <f aca="false">IF($A839="","",IF($I839="","",IF($M839=0,"미처리",IF($N839&lt;=0,"완료","부분처리"))))</f>
        <v/>
      </c>
    </row>
    <row r="840" customFormat="false" ht="15" hidden="false" customHeight="true" outlineLevel="0" collapsed="false">
      <c r="A840" s="12" t="str">
        <f aca="false">IF($B840="","",TEXT($B840,"yymm")&amp;"-"&amp;TEXT(COUNTIFS($B$3:$B840,"&gt;="&amp;DATE(YEAR($B840),MONTH($B840),1),$B$3:$B840,"&lt;="&amp;EOMONTH($B840,0)),"000"))</f>
        <v/>
      </c>
      <c r="B840" s="13"/>
      <c r="C840" s="10"/>
      <c r="D840" s="10"/>
      <c r="E840" s="12" t="str">
        <f aca="false">IF($D840="","",IFERROR(INDEX(품목목록!$B$3:$B$302,MATCH($D840,품목목록!$A$3:$A$302,0)),"미등록품번"))</f>
        <v/>
      </c>
      <c r="F840" s="12" t="str">
        <f aca="false">IF($D840="","",IFERROR(INDEX(품목목록!$C$3:$C$302,MATCH($D840,품목목록!$A$3:$A$302,0)),""))</f>
        <v/>
      </c>
      <c r="G840" s="12" t="str">
        <f aca="false">IF($D840="","",IFERROR(INDEX(품목목록!$D$3:$D$302,MATCH($D840,품목목록!$A$3:$A$302,0)),""))</f>
        <v/>
      </c>
      <c r="H840" s="12" t="str">
        <f aca="false">IF($D840="","",IFERROR(INDEX(품목목록!$E$3:$E$302,MATCH($D840,품목목록!$A$3:$A$302,0)),""))</f>
        <v/>
      </c>
      <c r="I840" s="14"/>
      <c r="J840" s="10"/>
      <c r="K840" s="10"/>
      <c r="L840" s="10"/>
      <c r="M840" s="15" t="str">
        <f aca="false">IF($A840="","",SUMIFS(처리내역!$E$3:$E$1502,처리내역!$B$3:$B$1502,$A840))</f>
        <v/>
      </c>
      <c r="N840" s="15" t="str">
        <f aca="false">IF($A840="","",IF($I840="","",$I840-$M840))</f>
        <v/>
      </c>
      <c r="O840" s="12" t="str">
        <f aca="false">IF($A840="","",IF($I840="","",IF($M840=0,"미처리",IF($N840&lt;=0,"완료","부분처리"))))</f>
        <v/>
      </c>
    </row>
    <row r="841" customFormat="false" ht="15" hidden="false" customHeight="true" outlineLevel="0" collapsed="false">
      <c r="A841" s="12" t="str">
        <f aca="false">IF($B841="","",TEXT($B841,"yymm")&amp;"-"&amp;TEXT(COUNTIFS($B$3:$B841,"&gt;="&amp;DATE(YEAR($B841),MONTH($B841),1),$B$3:$B841,"&lt;="&amp;EOMONTH($B841,0)),"000"))</f>
        <v/>
      </c>
      <c r="B841" s="13"/>
      <c r="C841" s="10"/>
      <c r="D841" s="10"/>
      <c r="E841" s="12" t="str">
        <f aca="false">IF($D841="","",IFERROR(INDEX(품목목록!$B$3:$B$302,MATCH($D841,품목목록!$A$3:$A$302,0)),"미등록품번"))</f>
        <v/>
      </c>
      <c r="F841" s="12" t="str">
        <f aca="false">IF($D841="","",IFERROR(INDEX(품목목록!$C$3:$C$302,MATCH($D841,품목목록!$A$3:$A$302,0)),""))</f>
        <v/>
      </c>
      <c r="G841" s="12" t="str">
        <f aca="false">IF($D841="","",IFERROR(INDEX(품목목록!$D$3:$D$302,MATCH($D841,품목목록!$A$3:$A$302,0)),""))</f>
        <v/>
      </c>
      <c r="H841" s="12" t="str">
        <f aca="false">IF($D841="","",IFERROR(INDEX(품목목록!$E$3:$E$302,MATCH($D841,품목목록!$A$3:$A$302,0)),""))</f>
        <v/>
      </c>
      <c r="I841" s="14"/>
      <c r="J841" s="10"/>
      <c r="K841" s="10"/>
      <c r="L841" s="10"/>
      <c r="M841" s="15" t="str">
        <f aca="false">IF($A841="","",SUMIFS(처리내역!$E$3:$E$1502,처리내역!$B$3:$B$1502,$A841))</f>
        <v/>
      </c>
      <c r="N841" s="15" t="str">
        <f aca="false">IF($A841="","",IF($I841="","",$I841-$M841))</f>
        <v/>
      </c>
      <c r="O841" s="12" t="str">
        <f aca="false">IF($A841="","",IF($I841="","",IF($M841=0,"미처리",IF($N841&lt;=0,"완료","부분처리"))))</f>
        <v/>
      </c>
    </row>
    <row r="842" customFormat="false" ht="15" hidden="false" customHeight="true" outlineLevel="0" collapsed="false">
      <c r="A842" s="12" t="str">
        <f aca="false">IF($B842="","",TEXT($B842,"yymm")&amp;"-"&amp;TEXT(COUNTIFS($B$3:$B842,"&gt;="&amp;DATE(YEAR($B842),MONTH($B842),1),$B$3:$B842,"&lt;="&amp;EOMONTH($B842,0)),"000"))</f>
        <v/>
      </c>
      <c r="B842" s="13"/>
      <c r="C842" s="10"/>
      <c r="D842" s="10"/>
      <c r="E842" s="12" t="str">
        <f aca="false">IF($D842="","",IFERROR(INDEX(품목목록!$B$3:$B$302,MATCH($D842,품목목록!$A$3:$A$302,0)),"미등록품번"))</f>
        <v/>
      </c>
      <c r="F842" s="12" t="str">
        <f aca="false">IF($D842="","",IFERROR(INDEX(품목목록!$C$3:$C$302,MATCH($D842,품목목록!$A$3:$A$302,0)),""))</f>
        <v/>
      </c>
      <c r="G842" s="12" t="str">
        <f aca="false">IF($D842="","",IFERROR(INDEX(품목목록!$D$3:$D$302,MATCH($D842,품목목록!$A$3:$A$302,0)),""))</f>
        <v/>
      </c>
      <c r="H842" s="12" t="str">
        <f aca="false">IF($D842="","",IFERROR(INDEX(품목목록!$E$3:$E$302,MATCH($D842,품목목록!$A$3:$A$302,0)),""))</f>
        <v/>
      </c>
      <c r="I842" s="14"/>
      <c r="J842" s="10"/>
      <c r="K842" s="10"/>
      <c r="L842" s="10"/>
      <c r="M842" s="15" t="str">
        <f aca="false">IF($A842="","",SUMIFS(처리내역!$E$3:$E$1502,처리내역!$B$3:$B$1502,$A842))</f>
        <v/>
      </c>
      <c r="N842" s="15" t="str">
        <f aca="false">IF($A842="","",IF($I842="","",$I842-$M842))</f>
        <v/>
      </c>
      <c r="O842" s="12" t="str">
        <f aca="false">IF($A842="","",IF($I842="","",IF($M842=0,"미처리",IF($N842&lt;=0,"완료","부분처리"))))</f>
        <v/>
      </c>
    </row>
    <row r="843" customFormat="false" ht="15" hidden="false" customHeight="true" outlineLevel="0" collapsed="false">
      <c r="A843" s="12" t="str">
        <f aca="false">IF($B843="","",TEXT($B843,"yymm")&amp;"-"&amp;TEXT(COUNTIFS($B$3:$B843,"&gt;="&amp;DATE(YEAR($B843),MONTH($B843),1),$B$3:$B843,"&lt;="&amp;EOMONTH($B843,0)),"000"))</f>
        <v/>
      </c>
      <c r="B843" s="13"/>
      <c r="C843" s="10"/>
      <c r="D843" s="10"/>
      <c r="E843" s="12" t="str">
        <f aca="false">IF($D843="","",IFERROR(INDEX(품목목록!$B$3:$B$302,MATCH($D843,품목목록!$A$3:$A$302,0)),"미등록품번"))</f>
        <v/>
      </c>
      <c r="F843" s="12" t="str">
        <f aca="false">IF($D843="","",IFERROR(INDEX(품목목록!$C$3:$C$302,MATCH($D843,품목목록!$A$3:$A$302,0)),""))</f>
        <v/>
      </c>
      <c r="G843" s="12" t="str">
        <f aca="false">IF($D843="","",IFERROR(INDEX(품목목록!$D$3:$D$302,MATCH($D843,품목목록!$A$3:$A$302,0)),""))</f>
        <v/>
      </c>
      <c r="H843" s="12" t="str">
        <f aca="false">IF($D843="","",IFERROR(INDEX(품목목록!$E$3:$E$302,MATCH($D843,품목목록!$A$3:$A$302,0)),""))</f>
        <v/>
      </c>
      <c r="I843" s="14"/>
      <c r="J843" s="10"/>
      <c r="K843" s="10"/>
      <c r="L843" s="10"/>
      <c r="M843" s="15" t="str">
        <f aca="false">IF($A843="","",SUMIFS(처리내역!$E$3:$E$1502,처리내역!$B$3:$B$1502,$A843))</f>
        <v/>
      </c>
      <c r="N843" s="15" t="str">
        <f aca="false">IF($A843="","",IF($I843="","",$I843-$M843))</f>
        <v/>
      </c>
      <c r="O843" s="12" t="str">
        <f aca="false">IF($A843="","",IF($I843="","",IF($M843=0,"미처리",IF($N843&lt;=0,"완료","부분처리"))))</f>
        <v/>
      </c>
    </row>
    <row r="844" customFormat="false" ht="15" hidden="false" customHeight="true" outlineLevel="0" collapsed="false">
      <c r="A844" s="12" t="str">
        <f aca="false">IF($B844="","",TEXT($B844,"yymm")&amp;"-"&amp;TEXT(COUNTIFS($B$3:$B844,"&gt;="&amp;DATE(YEAR($B844),MONTH($B844),1),$B$3:$B844,"&lt;="&amp;EOMONTH($B844,0)),"000"))</f>
        <v/>
      </c>
      <c r="B844" s="13"/>
      <c r="C844" s="10"/>
      <c r="D844" s="10"/>
      <c r="E844" s="12" t="str">
        <f aca="false">IF($D844="","",IFERROR(INDEX(품목목록!$B$3:$B$302,MATCH($D844,품목목록!$A$3:$A$302,0)),"미등록품번"))</f>
        <v/>
      </c>
      <c r="F844" s="12" t="str">
        <f aca="false">IF($D844="","",IFERROR(INDEX(품목목록!$C$3:$C$302,MATCH($D844,품목목록!$A$3:$A$302,0)),""))</f>
        <v/>
      </c>
      <c r="G844" s="12" t="str">
        <f aca="false">IF($D844="","",IFERROR(INDEX(품목목록!$D$3:$D$302,MATCH($D844,품목목록!$A$3:$A$302,0)),""))</f>
        <v/>
      </c>
      <c r="H844" s="12" t="str">
        <f aca="false">IF($D844="","",IFERROR(INDEX(품목목록!$E$3:$E$302,MATCH($D844,품목목록!$A$3:$A$302,0)),""))</f>
        <v/>
      </c>
      <c r="I844" s="14"/>
      <c r="J844" s="10"/>
      <c r="K844" s="10"/>
      <c r="L844" s="10"/>
      <c r="M844" s="15" t="str">
        <f aca="false">IF($A844="","",SUMIFS(처리내역!$E$3:$E$1502,처리내역!$B$3:$B$1502,$A844))</f>
        <v/>
      </c>
      <c r="N844" s="15" t="str">
        <f aca="false">IF($A844="","",IF($I844="","",$I844-$M844))</f>
        <v/>
      </c>
      <c r="O844" s="12" t="str">
        <f aca="false">IF($A844="","",IF($I844="","",IF($M844=0,"미처리",IF($N844&lt;=0,"완료","부분처리"))))</f>
        <v/>
      </c>
    </row>
    <row r="845" customFormat="false" ht="15" hidden="false" customHeight="true" outlineLevel="0" collapsed="false">
      <c r="A845" s="12" t="str">
        <f aca="false">IF($B845="","",TEXT($B845,"yymm")&amp;"-"&amp;TEXT(COUNTIFS($B$3:$B845,"&gt;="&amp;DATE(YEAR($B845),MONTH($B845),1),$B$3:$B845,"&lt;="&amp;EOMONTH($B845,0)),"000"))</f>
        <v/>
      </c>
      <c r="B845" s="13"/>
      <c r="C845" s="10"/>
      <c r="D845" s="10"/>
      <c r="E845" s="12" t="str">
        <f aca="false">IF($D845="","",IFERROR(INDEX(품목목록!$B$3:$B$302,MATCH($D845,품목목록!$A$3:$A$302,0)),"미등록품번"))</f>
        <v/>
      </c>
      <c r="F845" s="12" t="str">
        <f aca="false">IF($D845="","",IFERROR(INDEX(품목목록!$C$3:$C$302,MATCH($D845,품목목록!$A$3:$A$302,0)),""))</f>
        <v/>
      </c>
      <c r="G845" s="12" t="str">
        <f aca="false">IF($D845="","",IFERROR(INDEX(품목목록!$D$3:$D$302,MATCH($D845,품목목록!$A$3:$A$302,0)),""))</f>
        <v/>
      </c>
      <c r="H845" s="12" t="str">
        <f aca="false">IF($D845="","",IFERROR(INDEX(품목목록!$E$3:$E$302,MATCH($D845,품목목록!$A$3:$A$302,0)),""))</f>
        <v/>
      </c>
      <c r="I845" s="14"/>
      <c r="J845" s="10"/>
      <c r="K845" s="10"/>
      <c r="L845" s="10"/>
      <c r="M845" s="15" t="str">
        <f aca="false">IF($A845="","",SUMIFS(처리내역!$E$3:$E$1502,처리내역!$B$3:$B$1502,$A845))</f>
        <v/>
      </c>
      <c r="N845" s="15" t="str">
        <f aca="false">IF($A845="","",IF($I845="","",$I845-$M845))</f>
        <v/>
      </c>
      <c r="O845" s="12" t="str">
        <f aca="false">IF($A845="","",IF($I845="","",IF($M845=0,"미처리",IF($N845&lt;=0,"완료","부분처리"))))</f>
        <v/>
      </c>
    </row>
    <row r="846" customFormat="false" ht="15" hidden="false" customHeight="true" outlineLevel="0" collapsed="false">
      <c r="A846" s="12" t="str">
        <f aca="false">IF($B846="","",TEXT($B846,"yymm")&amp;"-"&amp;TEXT(COUNTIFS($B$3:$B846,"&gt;="&amp;DATE(YEAR($B846),MONTH($B846),1),$B$3:$B846,"&lt;="&amp;EOMONTH($B846,0)),"000"))</f>
        <v/>
      </c>
      <c r="B846" s="13"/>
      <c r="C846" s="10"/>
      <c r="D846" s="10"/>
      <c r="E846" s="12" t="str">
        <f aca="false">IF($D846="","",IFERROR(INDEX(품목목록!$B$3:$B$302,MATCH($D846,품목목록!$A$3:$A$302,0)),"미등록품번"))</f>
        <v/>
      </c>
      <c r="F846" s="12" t="str">
        <f aca="false">IF($D846="","",IFERROR(INDEX(품목목록!$C$3:$C$302,MATCH($D846,품목목록!$A$3:$A$302,0)),""))</f>
        <v/>
      </c>
      <c r="G846" s="12" t="str">
        <f aca="false">IF($D846="","",IFERROR(INDEX(품목목록!$D$3:$D$302,MATCH($D846,품목목록!$A$3:$A$302,0)),""))</f>
        <v/>
      </c>
      <c r="H846" s="12" t="str">
        <f aca="false">IF($D846="","",IFERROR(INDEX(품목목록!$E$3:$E$302,MATCH($D846,품목목록!$A$3:$A$302,0)),""))</f>
        <v/>
      </c>
      <c r="I846" s="14"/>
      <c r="J846" s="10"/>
      <c r="K846" s="10"/>
      <c r="L846" s="10"/>
      <c r="M846" s="15" t="str">
        <f aca="false">IF($A846="","",SUMIFS(처리내역!$E$3:$E$1502,처리내역!$B$3:$B$1502,$A846))</f>
        <v/>
      </c>
      <c r="N846" s="15" t="str">
        <f aca="false">IF($A846="","",IF($I846="","",$I846-$M846))</f>
        <v/>
      </c>
      <c r="O846" s="12" t="str">
        <f aca="false">IF($A846="","",IF($I846="","",IF($M846=0,"미처리",IF($N846&lt;=0,"완료","부분처리"))))</f>
        <v/>
      </c>
    </row>
    <row r="847" customFormat="false" ht="15" hidden="false" customHeight="true" outlineLevel="0" collapsed="false">
      <c r="A847" s="12" t="str">
        <f aca="false">IF($B847="","",TEXT($B847,"yymm")&amp;"-"&amp;TEXT(COUNTIFS($B$3:$B847,"&gt;="&amp;DATE(YEAR($B847),MONTH($B847),1),$B$3:$B847,"&lt;="&amp;EOMONTH($B847,0)),"000"))</f>
        <v/>
      </c>
      <c r="B847" s="13"/>
      <c r="C847" s="10"/>
      <c r="D847" s="10"/>
      <c r="E847" s="12" t="str">
        <f aca="false">IF($D847="","",IFERROR(INDEX(품목목록!$B$3:$B$302,MATCH($D847,품목목록!$A$3:$A$302,0)),"미등록품번"))</f>
        <v/>
      </c>
      <c r="F847" s="12" t="str">
        <f aca="false">IF($D847="","",IFERROR(INDEX(품목목록!$C$3:$C$302,MATCH($D847,품목목록!$A$3:$A$302,0)),""))</f>
        <v/>
      </c>
      <c r="G847" s="12" t="str">
        <f aca="false">IF($D847="","",IFERROR(INDEX(품목목록!$D$3:$D$302,MATCH($D847,품목목록!$A$3:$A$302,0)),""))</f>
        <v/>
      </c>
      <c r="H847" s="12" t="str">
        <f aca="false">IF($D847="","",IFERROR(INDEX(품목목록!$E$3:$E$302,MATCH($D847,품목목록!$A$3:$A$302,0)),""))</f>
        <v/>
      </c>
      <c r="I847" s="14"/>
      <c r="J847" s="10"/>
      <c r="K847" s="10"/>
      <c r="L847" s="10"/>
      <c r="M847" s="15" t="str">
        <f aca="false">IF($A847="","",SUMIFS(처리내역!$E$3:$E$1502,처리내역!$B$3:$B$1502,$A847))</f>
        <v/>
      </c>
      <c r="N847" s="15" t="str">
        <f aca="false">IF($A847="","",IF($I847="","",$I847-$M847))</f>
        <v/>
      </c>
      <c r="O847" s="12" t="str">
        <f aca="false">IF($A847="","",IF($I847="","",IF($M847=0,"미처리",IF($N847&lt;=0,"완료","부분처리"))))</f>
        <v/>
      </c>
    </row>
    <row r="848" customFormat="false" ht="15" hidden="false" customHeight="true" outlineLevel="0" collapsed="false">
      <c r="A848" s="12" t="str">
        <f aca="false">IF($B848="","",TEXT($B848,"yymm")&amp;"-"&amp;TEXT(COUNTIFS($B$3:$B848,"&gt;="&amp;DATE(YEAR($B848),MONTH($B848),1),$B$3:$B848,"&lt;="&amp;EOMONTH($B848,0)),"000"))</f>
        <v/>
      </c>
      <c r="B848" s="13"/>
      <c r="C848" s="10"/>
      <c r="D848" s="10"/>
      <c r="E848" s="12" t="str">
        <f aca="false">IF($D848="","",IFERROR(INDEX(품목목록!$B$3:$B$302,MATCH($D848,품목목록!$A$3:$A$302,0)),"미등록품번"))</f>
        <v/>
      </c>
      <c r="F848" s="12" t="str">
        <f aca="false">IF($D848="","",IFERROR(INDEX(품목목록!$C$3:$C$302,MATCH($D848,품목목록!$A$3:$A$302,0)),""))</f>
        <v/>
      </c>
      <c r="G848" s="12" t="str">
        <f aca="false">IF($D848="","",IFERROR(INDEX(품목목록!$D$3:$D$302,MATCH($D848,품목목록!$A$3:$A$302,0)),""))</f>
        <v/>
      </c>
      <c r="H848" s="12" t="str">
        <f aca="false">IF($D848="","",IFERROR(INDEX(품목목록!$E$3:$E$302,MATCH($D848,품목목록!$A$3:$A$302,0)),""))</f>
        <v/>
      </c>
      <c r="I848" s="14"/>
      <c r="J848" s="10"/>
      <c r="K848" s="10"/>
      <c r="L848" s="10"/>
      <c r="M848" s="15" t="str">
        <f aca="false">IF($A848="","",SUMIFS(처리내역!$E$3:$E$1502,처리내역!$B$3:$B$1502,$A848))</f>
        <v/>
      </c>
      <c r="N848" s="15" t="str">
        <f aca="false">IF($A848="","",IF($I848="","",$I848-$M848))</f>
        <v/>
      </c>
      <c r="O848" s="12" t="str">
        <f aca="false">IF($A848="","",IF($I848="","",IF($M848=0,"미처리",IF($N848&lt;=0,"완료","부분처리"))))</f>
        <v/>
      </c>
    </row>
    <row r="849" customFormat="false" ht="15" hidden="false" customHeight="true" outlineLevel="0" collapsed="false">
      <c r="A849" s="12" t="str">
        <f aca="false">IF($B849="","",TEXT($B849,"yymm")&amp;"-"&amp;TEXT(COUNTIFS($B$3:$B849,"&gt;="&amp;DATE(YEAR($B849),MONTH($B849),1),$B$3:$B849,"&lt;="&amp;EOMONTH($B849,0)),"000"))</f>
        <v/>
      </c>
      <c r="B849" s="13"/>
      <c r="C849" s="10"/>
      <c r="D849" s="10"/>
      <c r="E849" s="12" t="str">
        <f aca="false">IF($D849="","",IFERROR(INDEX(품목목록!$B$3:$B$302,MATCH($D849,품목목록!$A$3:$A$302,0)),"미등록품번"))</f>
        <v/>
      </c>
      <c r="F849" s="12" t="str">
        <f aca="false">IF($D849="","",IFERROR(INDEX(품목목록!$C$3:$C$302,MATCH($D849,품목목록!$A$3:$A$302,0)),""))</f>
        <v/>
      </c>
      <c r="G849" s="12" t="str">
        <f aca="false">IF($D849="","",IFERROR(INDEX(품목목록!$D$3:$D$302,MATCH($D849,품목목록!$A$3:$A$302,0)),""))</f>
        <v/>
      </c>
      <c r="H849" s="12" t="str">
        <f aca="false">IF($D849="","",IFERROR(INDEX(품목목록!$E$3:$E$302,MATCH($D849,품목목록!$A$3:$A$302,0)),""))</f>
        <v/>
      </c>
      <c r="I849" s="14"/>
      <c r="J849" s="10"/>
      <c r="K849" s="10"/>
      <c r="L849" s="10"/>
      <c r="M849" s="15" t="str">
        <f aca="false">IF($A849="","",SUMIFS(처리내역!$E$3:$E$1502,처리내역!$B$3:$B$1502,$A849))</f>
        <v/>
      </c>
      <c r="N849" s="15" t="str">
        <f aca="false">IF($A849="","",IF($I849="","",$I849-$M849))</f>
        <v/>
      </c>
      <c r="O849" s="12" t="str">
        <f aca="false">IF($A849="","",IF($I849="","",IF($M849=0,"미처리",IF($N849&lt;=0,"완료","부분처리"))))</f>
        <v/>
      </c>
    </row>
    <row r="850" customFormat="false" ht="15" hidden="false" customHeight="true" outlineLevel="0" collapsed="false">
      <c r="A850" s="12" t="str">
        <f aca="false">IF($B850="","",TEXT($B850,"yymm")&amp;"-"&amp;TEXT(COUNTIFS($B$3:$B850,"&gt;="&amp;DATE(YEAR($B850),MONTH($B850),1),$B$3:$B850,"&lt;="&amp;EOMONTH($B850,0)),"000"))</f>
        <v/>
      </c>
      <c r="B850" s="13"/>
      <c r="C850" s="10"/>
      <c r="D850" s="10"/>
      <c r="E850" s="12" t="str">
        <f aca="false">IF($D850="","",IFERROR(INDEX(품목목록!$B$3:$B$302,MATCH($D850,품목목록!$A$3:$A$302,0)),"미등록품번"))</f>
        <v/>
      </c>
      <c r="F850" s="12" t="str">
        <f aca="false">IF($D850="","",IFERROR(INDEX(품목목록!$C$3:$C$302,MATCH($D850,품목목록!$A$3:$A$302,0)),""))</f>
        <v/>
      </c>
      <c r="G850" s="12" t="str">
        <f aca="false">IF($D850="","",IFERROR(INDEX(품목목록!$D$3:$D$302,MATCH($D850,품목목록!$A$3:$A$302,0)),""))</f>
        <v/>
      </c>
      <c r="H850" s="12" t="str">
        <f aca="false">IF($D850="","",IFERROR(INDEX(품목목록!$E$3:$E$302,MATCH($D850,품목목록!$A$3:$A$302,0)),""))</f>
        <v/>
      </c>
      <c r="I850" s="14"/>
      <c r="J850" s="10"/>
      <c r="K850" s="10"/>
      <c r="L850" s="10"/>
      <c r="M850" s="15" t="str">
        <f aca="false">IF($A850="","",SUMIFS(처리내역!$E$3:$E$1502,처리내역!$B$3:$B$1502,$A850))</f>
        <v/>
      </c>
      <c r="N850" s="15" t="str">
        <f aca="false">IF($A850="","",IF($I850="","",$I850-$M850))</f>
        <v/>
      </c>
      <c r="O850" s="12" t="str">
        <f aca="false">IF($A850="","",IF($I850="","",IF($M850=0,"미처리",IF($N850&lt;=0,"완료","부분처리"))))</f>
        <v/>
      </c>
    </row>
    <row r="851" customFormat="false" ht="15" hidden="false" customHeight="true" outlineLevel="0" collapsed="false">
      <c r="A851" s="12" t="str">
        <f aca="false">IF($B851="","",TEXT($B851,"yymm")&amp;"-"&amp;TEXT(COUNTIFS($B$3:$B851,"&gt;="&amp;DATE(YEAR($B851),MONTH($B851),1),$B$3:$B851,"&lt;="&amp;EOMONTH($B851,0)),"000"))</f>
        <v/>
      </c>
      <c r="B851" s="13"/>
      <c r="C851" s="10"/>
      <c r="D851" s="10"/>
      <c r="E851" s="12" t="str">
        <f aca="false">IF($D851="","",IFERROR(INDEX(품목목록!$B$3:$B$302,MATCH($D851,품목목록!$A$3:$A$302,0)),"미등록품번"))</f>
        <v/>
      </c>
      <c r="F851" s="12" t="str">
        <f aca="false">IF($D851="","",IFERROR(INDEX(품목목록!$C$3:$C$302,MATCH($D851,품목목록!$A$3:$A$302,0)),""))</f>
        <v/>
      </c>
      <c r="G851" s="12" t="str">
        <f aca="false">IF($D851="","",IFERROR(INDEX(품목목록!$D$3:$D$302,MATCH($D851,품목목록!$A$3:$A$302,0)),""))</f>
        <v/>
      </c>
      <c r="H851" s="12" t="str">
        <f aca="false">IF($D851="","",IFERROR(INDEX(품목목록!$E$3:$E$302,MATCH($D851,품목목록!$A$3:$A$302,0)),""))</f>
        <v/>
      </c>
      <c r="I851" s="14"/>
      <c r="J851" s="10"/>
      <c r="K851" s="10"/>
      <c r="L851" s="10"/>
      <c r="M851" s="15" t="str">
        <f aca="false">IF($A851="","",SUMIFS(처리내역!$E$3:$E$1502,처리내역!$B$3:$B$1502,$A851))</f>
        <v/>
      </c>
      <c r="N851" s="15" t="str">
        <f aca="false">IF($A851="","",IF($I851="","",$I851-$M851))</f>
        <v/>
      </c>
      <c r="O851" s="12" t="str">
        <f aca="false">IF($A851="","",IF($I851="","",IF($M851=0,"미처리",IF($N851&lt;=0,"완료","부분처리"))))</f>
        <v/>
      </c>
    </row>
    <row r="852" customFormat="false" ht="15" hidden="false" customHeight="true" outlineLevel="0" collapsed="false">
      <c r="A852" s="12" t="str">
        <f aca="false">IF($B852="","",TEXT($B852,"yymm")&amp;"-"&amp;TEXT(COUNTIFS($B$3:$B852,"&gt;="&amp;DATE(YEAR($B852),MONTH($B852),1),$B$3:$B852,"&lt;="&amp;EOMONTH($B852,0)),"000"))</f>
        <v/>
      </c>
      <c r="B852" s="13"/>
      <c r="C852" s="10"/>
      <c r="D852" s="10"/>
      <c r="E852" s="12" t="str">
        <f aca="false">IF($D852="","",IFERROR(INDEX(품목목록!$B$3:$B$302,MATCH($D852,품목목록!$A$3:$A$302,0)),"미등록품번"))</f>
        <v/>
      </c>
      <c r="F852" s="12" t="str">
        <f aca="false">IF($D852="","",IFERROR(INDEX(품목목록!$C$3:$C$302,MATCH($D852,품목목록!$A$3:$A$302,0)),""))</f>
        <v/>
      </c>
      <c r="G852" s="12" t="str">
        <f aca="false">IF($D852="","",IFERROR(INDEX(품목목록!$D$3:$D$302,MATCH($D852,품목목록!$A$3:$A$302,0)),""))</f>
        <v/>
      </c>
      <c r="H852" s="12" t="str">
        <f aca="false">IF($D852="","",IFERROR(INDEX(품목목록!$E$3:$E$302,MATCH($D852,품목목록!$A$3:$A$302,0)),""))</f>
        <v/>
      </c>
      <c r="I852" s="14"/>
      <c r="J852" s="10"/>
      <c r="K852" s="10"/>
      <c r="L852" s="10"/>
      <c r="M852" s="15" t="str">
        <f aca="false">IF($A852="","",SUMIFS(처리내역!$E$3:$E$1502,처리내역!$B$3:$B$1502,$A852))</f>
        <v/>
      </c>
      <c r="N852" s="15" t="str">
        <f aca="false">IF($A852="","",IF($I852="","",$I852-$M852))</f>
        <v/>
      </c>
      <c r="O852" s="12" t="str">
        <f aca="false">IF($A852="","",IF($I852="","",IF($M852=0,"미처리",IF($N852&lt;=0,"완료","부분처리"))))</f>
        <v/>
      </c>
    </row>
    <row r="853" customFormat="false" ht="15" hidden="false" customHeight="true" outlineLevel="0" collapsed="false">
      <c r="A853" s="12" t="str">
        <f aca="false">IF($B853="","",TEXT($B853,"yymm")&amp;"-"&amp;TEXT(COUNTIFS($B$3:$B853,"&gt;="&amp;DATE(YEAR($B853),MONTH($B853),1),$B$3:$B853,"&lt;="&amp;EOMONTH($B853,0)),"000"))</f>
        <v/>
      </c>
      <c r="B853" s="13"/>
      <c r="C853" s="10"/>
      <c r="D853" s="10"/>
      <c r="E853" s="12" t="str">
        <f aca="false">IF($D853="","",IFERROR(INDEX(품목목록!$B$3:$B$302,MATCH($D853,품목목록!$A$3:$A$302,0)),"미등록품번"))</f>
        <v/>
      </c>
      <c r="F853" s="12" t="str">
        <f aca="false">IF($D853="","",IFERROR(INDEX(품목목록!$C$3:$C$302,MATCH($D853,품목목록!$A$3:$A$302,0)),""))</f>
        <v/>
      </c>
      <c r="G853" s="12" t="str">
        <f aca="false">IF($D853="","",IFERROR(INDEX(품목목록!$D$3:$D$302,MATCH($D853,품목목록!$A$3:$A$302,0)),""))</f>
        <v/>
      </c>
      <c r="H853" s="12" t="str">
        <f aca="false">IF($D853="","",IFERROR(INDEX(품목목록!$E$3:$E$302,MATCH($D853,품목목록!$A$3:$A$302,0)),""))</f>
        <v/>
      </c>
      <c r="I853" s="14"/>
      <c r="J853" s="10"/>
      <c r="K853" s="10"/>
      <c r="L853" s="10"/>
      <c r="M853" s="15" t="str">
        <f aca="false">IF($A853="","",SUMIFS(처리내역!$E$3:$E$1502,처리내역!$B$3:$B$1502,$A853))</f>
        <v/>
      </c>
      <c r="N853" s="15" t="str">
        <f aca="false">IF($A853="","",IF($I853="","",$I853-$M853))</f>
        <v/>
      </c>
      <c r="O853" s="12" t="str">
        <f aca="false">IF($A853="","",IF($I853="","",IF($M853=0,"미처리",IF($N853&lt;=0,"완료","부분처리"))))</f>
        <v/>
      </c>
    </row>
    <row r="854" customFormat="false" ht="15" hidden="false" customHeight="true" outlineLevel="0" collapsed="false">
      <c r="A854" s="12" t="str">
        <f aca="false">IF($B854="","",TEXT($B854,"yymm")&amp;"-"&amp;TEXT(COUNTIFS($B$3:$B854,"&gt;="&amp;DATE(YEAR($B854),MONTH($B854),1),$B$3:$B854,"&lt;="&amp;EOMONTH($B854,0)),"000"))</f>
        <v/>
      </c>
      <c r="B854" s="13"/>
      <c r="C854" s="10"/>
      <c r="D854" s="10"/>
      <c r="E854" s="12" t="str">
        <f aca="false">IF($D854="","",IFERROR(INDEX(품목목록!$B$3:$B$302,MATCH($D854,품목목록!$A$3:$A$302,0)),"미등록품번"))</f>
        <v/>
      </c>
      <c r="F854" s="12" t="str">
        <f aca="false">IF($D854="","",IFERROR(INDEX(품목목록!$C$3:$C$302,MATCH($D854,품목목록!$A$3:$A$302,0)),""))</f>
        <v/>
      </c>
      <c r="G854" s="12" t="str">
        <f aca="false">IF($D854="","",IFERROR(INDEX(품목목록!$D$3:$D$302,MATCH($D854,품목목록!$A$3:$A$302,0)),""))</f>
        <v/>
      </c>
      <c r="H854" s="12" t="str">
        <f aca="false">IF($D854="","",IFERROR(INDEX(품목목록!$E$3:$E$302,MATCH($D854,품목목록!$A$3:$A$302,0)),""))</f>
        <v/>
      </c>
      <c r="I854" s="14"/>
      <c r="J854" s="10"/>
      <c r="K854" s="10"/>
      <c r="L854" s="10"/>
      <c r="M854" s="15" t="str">
        <f aca="false">IF($A854="","",SUMIFS(처리내역!$E$3:$E$1502,처리내역!$B$3:$B$1502,$A854))</f>
        <v/>
      </c>
      <c r="N854" s="15" t="str">
        <f aca="false">IF($A854="","",IF($I854="","",$I854-$M854))</f>
        <v/>
      </c>
      <c r="O854" s="12" t="str">
        <f aca="false">IF($A854="","",IF($I854="","",IF($M854=0,"미처리",IF($N854&lt;=0,"완료","부분처리"))))</f>
        <v/>
      </c>
    </row>
    <row r="855" customFormat="false" ht="15" hidden="false" customHeight="true" outlineLevel="0" collapsed="false">
      <c r="A855" s="12" t="str">
        <f aca="false">IF($B855="","",TEXT($B855,"yymm")&amp;"-"&amp;TEXT(COUNTIFS($B$3:$B855,"&gt;="&amp;DATE(YEAR($B855),MONTH($B855),1),$B$3:$B855,"&lt;="&amp;EOMONTH($B855,0)),"000"))</f>
        <v/>
      </c>
      <c r="B855" s="13"/>
      <c r="C855" s="10"/>
      <c r="D855" s="10"/>
      <c r="E855" s="12" t="str">
        <f aca="false">IF($D855="","",IFERROR(INDEX(품목목록!$B$3:$B$302,MATCH($D855,품목목록!$A$3:$A$302,0)),"미등록품번"))</f>
        <v/>
      </c>
      <c r="F855" s="12" t="str">
        <f aca="false">IF($D855="","",IFERROR(INDEX(품목목록!$C$3:$C$302,MATCH($D855,품목목록!$A$3:$A$302,0)),""))</f>
        <v/>
      </c>
      <c r="G855" s="12" t="str">
        <f aca="false">IF($D855="","",IFERROR(INDEX(품목목록!$D$3:$D$302,MATCH($D855,품목목록!$A$3:$A$302,0)),""))</f>
        <v/>
      </c>
      <c r="H855" s="12" t="str">
        <f aca="false">IF($D855="","",IFERROR(INDEX(품목목록!$E$3:$E$302,MATCH($D855,품목목록!$A$3:$A$302,0)),""))</f>
        <v/>
      </c>
      <c r="I855" s="14"/>
      <c r="J855" s="10"/>
      <c r="K855" s="10"/>
      <c r="L855" s="10"/>
      <c r="M855" s="15" t="str">
        <f aca="false">IF($A855="","",SUMIFS(처리내역!$E$3:$E$1502,처리내역!$B$3:$B$1502,$A855))</f>
        <v/>
      </c>
      <c r="N855" s="15" t="str">
        <f aca="false">IF($A855="","",IF($I855="","",$I855-$M855))</f>
        <v/>
      </c>
      <c r="O855" s="12" t="str">
        <f aca="false">IF($A855="","",IF($I855="","",IF($M855=0,"미처리",IF($N855&lt;=0,"완료","부분처리"))))</f>
        <v/>
      </c>
    </row>
    <row r="856" customFormat="false" ht="15" hidden="false" customHeight="true" outlineLevel="0" collapsed="false">
      <c r="A856" s="12" t="str">
        <f aca="false">IF($B856="","",TEXT($B856,"yymm")&amp;"-"&amp;TEXT(COUNTIFS($B$3:$B856,"&gt;="&amp;DATE(YEAR($B856),MONTH($B856),1),$B$3:$B856,"&lt;="&amp;EOMONTH($B856,0)),"000"))</f>
        <v/>
      </c>
      <c r="B856" s="13"/>
      <c r="C856" s="10"/>
      <c r="D856" s="10"/>
      <c r="E856" s="12" t="str">
        <f aca="false">IF($D856="","",IFERROR(INDEX(품목목록!$B$3:$B$302,MATCH($D856,품목목록!$A$3:$A$302,0)),"미등록품번"))</f>
        <v/>
      </c>
      <c r="F856" s="12" t="str">
        <f aca="false">IF($D856="","",IFERROR(INDEX(품목목록!$C$3:$C$302,MATCH($D856,품목목록!$A$3:$A$302,0)),""))</f>
        <v/>
      </c>
      <c r="G856" s="12" t="str">
        <f aca="false">IF($D856="","",IFERROR(INDEX(품목목록!$D$3:$D$302,MATCH($D856,품목목록!$A$3:$A$302,0)),""))</f>
        <v/>
      </c>
      <c r="H856" s="12" t="str">
        <f aca="false">IF($D856="","",IFERROR(INDEX(품목목록!$E$3:$E$302,MATCH($D856,품목목록!$A$3:$A$302,0)),""))</f>
        <v/>
      </c>
      <c r="I856" s="14"/>
      <c r="J856" s="10"/>
      <c r="K856" s="10"/>
      <c r="L856" s="10"/>
      <c r="M856" s="15" t="str">
        <f aca="false">IF($A856="","",SUMIFS(처리내역!$E$3:$E$1502,처리내역!$B$3:$B$1502,$A856))</f>
        <v/>
      </c>
      <c r="N856" s="15" t="str">
        <f aca="false">IF($A856="","",IF($I856="","",$I856-$M856))</f>
        <v/>
      </c>
      <c r="O856" s="12" t="str">
        <f aca="false">IF($A856="","",IF($I856="","",IF($M856=0,"미처리",IF($N856&lt;=0,"완료","부분처리"))))</f>
        <v/>
      </c>
    </row>
    <row r="857" customFormat="false" ht="15" hidden="false" customHeight="true" outlineLevel="0" collapsed="false">
      <c r="A857" s="12" t="str">
        <f aca="false">IF($B857="","",TEXT($B857,"yymm")&amp;"-"&amp;TEXT(COUNTIFS($B$3:$B857,"&gt;="&amp;DATE(YEAR($B857),MONTH($B857),1),$B$3:$B857,"&lt;="&amp;EOMONTH($B857,0)),"000"))</f>
        <v/>
      </c>
      <c r="B857" s="13"/>
      <c r="C857" s="10"/>
      <c r="D857" s="10"/>
      <c r="E857" s="12" t="str">
        <f aca="false">IF($D857="","",IFERROR(INDEX(품목목록!$B$3:$B$302,MATCH($D857,품목목록!$A$3:$A$302,0)),"미등록품번"))</f>
        <v/>
      </c>
      <c r="F857" s="12" t="str">
        <f aca="false">IF($D857="","",IFERROR(INDEX(품목목록!$C$3:$C$302,MATCH($D857,품목목록!$A$3:$A$302,0)),""))</f>
        <v/>
      </c>
      <c r="G857" s="12" t="str">
        <f aca="false">IF($D857="","",IFERROR(INDEX(품목목록!$D$3:$D$302,MATCH($D857,품목목록!$A$3:$A$302,0)),""))</f>
        <v/>
      </c>
      <c r="H857" s="12" t="str">
        <f aca="false">IF($D857="","",IFERROR(INDEX(품목목록!$E$3:$E$302,MATCH($D857,품목목록!$A$3:$A$302,0)),""))</f>
        <v/>
      </c>
      <c r="I857" s="14"/>
      <c r="J857" s="10"/>
      <c r="K857" s="10"/>
      <c r="L857" s="10"/>
      <c r="M857" s="15" t="str">
        <f aca="false">IF($A857="","",SUMIFS(처리내역!$E$3:$E$1502,처리내역!$B$3:$B$1502,$A857))</f>
        <v/>
      </c>
      <c r="N857" s="15" t="str">
        <f aca="false">IF($A857="","",IF($I857="","",$I857-$M857))</f>
        <v/>
      </c>
      <c r="O857" s="12" t="str">
        <f aca="false">IF($A857="","",IF($I857="","",IF($M857=0,"미처리",IF($N857&lt;=0,"완료","부분처리"))))</f>
        <v/>
      </c>
    </row>
    <row r="858" customFormat="false" ht="15" hidden="false" customHeight="true" outlineLevel="0" collapsed="false">
      <c r="A858" s="12" t="str">
        <f aca="false">IF($B858="","",TEXT($B858,"yymm")&amp;"-"&amp;TEXT(COUNTIFS($B$3:$B858,"&gt;="&amp;DATE(YEAR($B858),MONTH($B858),1),$B$3:$B858,"&lt;="&amp;EOMONTH($B858,0)),"000"))</f>
        <v/>
      </c>
      <c r="B858" s="13"/>
      <c r="C858" s="10"/>
      <c r="D858" s="10"/>
      <c r="E858" s="12" t="str">
        <f aca="false">IF($D858="","",IFERROR(INDEX(품목목록!$B$3:$B$302,MATCH($D858,품목목록!$A$3:$A$302,0)),"미등록품번"))</f>
        <v/>
      </c>
      <c r="F858" s="12" t="str">
        <f aca="false">IF($D858="","",IFERROR(INDEX(품목목록!$C$3:$C$302,MATCH($D858,품목목록!$A$3:$A$302,0)),""))</f>
        <v/>
      </c>
      <c r="G858" s="12" t="str">
        <f aca="false">IF($D858="","",IFERROR(INDEX(품목목록!$D$3:$D$302,MATCH($D858,품목목록!$A$3:$A$302,0)),""))</f>
        <v/>
      </c>
      <c r="H858" s="12" t="str">
        <f aca="false">IF($D858="","",IFERROR(INDEX(품목목록!$E$3:$E$302,MATCH($D858,품목목록!$A$3:$A$302,0)),""))</f>
        <v/>
      </c>
      <c r="I858" s="14"/>
      <c r="J858" s="10"/>
      <c r="K858" s="10"/>
      <c r="L858" s="10"/>
      <c r="M858" s="15" t="str">
        <f aca="false">IF($A858="","",SUMIFS(처리내역!$E$3:$E$1502,처리내역!$B$3:$B$1502,$A858))</f>
        <v/>
      </c>
      <c r="N858" s="15" t="str">
        <f aca="false">IF($A858="","",IF($I858="","",$I858-$M858))</f>
        <v/>
      </c>
      <c r="O858" s="12" t="str">
        <f aca="false">IF($A858="","",IF($I858="","",IF($M858=0,"미처리",IF($N858&lt;=0,"완료","부분처리"))))</f>
        <v/>
      </c>
    </row>
    <row r="859" customFormat="false" ht="15" hidden="false" customHeight="true" outlineLevel="0" collapsed="false">
      <c r="A859" s="12" t="str">
        <f aca="false">IF($B859="","",TEXT($B859,"yymm")&amp;"-"&amp;TEXT(COUNTIFS($B$3:$B859,"&gt;="&amp;DATE(YEAR($B859),MONTH($B859),1),$B$3:$B859,"&lt;="&amp;EOMONTH($B859,0)),"000"))</f>
        <v/>
      </c>
      <c r="B859" s="13"/>
      <c r="C859" s="10"/>
      <c r="D859" s="10"/>
      <c r="E859" s="12" t="str">
        <f aca="false">IF($D859="","",IFERROR(INDEX(품목목록!$B$3:$B$302,MATCH($D859,품목목록!$A$3:$A$302,0)),"미등록품번"))</f>
        <v/>
      </c>
      <c r="F859" s="12" t="str">
        <f aca="false">IF($D859="","",IFERROR(INDEX(품목목록!$C$3:$C$302,MATCH($D859,품목목록!$A$3:$A$302,0)),""))</f>
        <v/>
      </c>
      <c r="G859" s="12" t="str">
        <f aca="false">IF($D859="","",IFERROR(INDEX(품목목록!$D$3:$D$302,MATCH($D859,품목목록!$A$3:$A$302,0)),""))</f>
        <v/>
      </c>
      <c r="H859" s="12" t="str">
        <f aca="false">IF($D859="","",IFERROR(INDEX(품목목록!$E$3:$E$302,MATCH($D859,품목목록!$A$3:$A$302,0)),""))</f>
        <v/>
      </c>
      <c r="I859" s="14"/>
      <c r="J859" s="10"/>
      <c r="K859" s="10"/>
      <c r="L859" s="10"/>
      <c r="M859" s="15" t="str">
        <f aca="false">IF($A859="","",SUMIFS(처리내역!$E$3:$E$1502,처리내역!$B$3:$B$1502,$A859))</f>
        <v/>
      </c>
      <c r="N859" s="15" t="str">
        <f aca="false">IF($A859="","",IF($I859="","",$I859-$M859))</f>
        <v/>
      </c>
      <c r="O859" s="12" t="str">
        <f aca="false">IF($A859="","",IF($I859="","",IF($M859=0,"미처리",IF($N859&lt;=0,"완료","부분처리"))))</f>
        <v/>
      </c>
    </row>
    <row r="860" customFormat="false" ht="15" hidden="false" customHeight="true" outlineLevel="0" collapsed="false">
      <c r="A860" s="12" t="str">
        <f aca="false">IF($B860="","",TEXT($B860,"yymm")&amp;"-"&amp;TEXT(COUNTIFS($B$3:$B860,"&gt;="&amp;DATE(YEAR($B860),MONTH($B860),1),$B$3:$B860,"&lt;="&amp;EOMONTH($B860,0)),"000"))</f>
        <v/>
      </c>
      <c r="B860" s="13"/>
      <c r="C860" s="10"/>
      <c r="D860" s="10"/>
      <c r="E860" s="12" t="str">
        <f aca="false">IF($D860="","",IFERROR(INDEX(품목목록!$B$3:$B$302,MATCH($D860,품목목록!$A$3:$A$302,0)),"미등록품번"))</f>
        <v/>
      </c>
      <c r="F860" s="12" t="str">
        <f aca="false">IF($D860="","",IFERROR(INDEX(품목목록!$C$3:$C$302,MATCH($D860,품목목록!$A$3:$A$302,0)),""))</f>
        <v/>
      </c>
      <c r="G860" s="12" t="str">
        <f aca="false">IF($D860="","",IFERROR(INDEX(품목목록!$D$3:$D$302,MATCH($D860,품목목록!$A$3:$A$302,0)),""))</f>
        <v/>
      </c>
      <c r="H860" s="12" t="str">
        <f aca="false">IF($D860="","",IFERROR(INDEX(품목목록!$E$3:$E$302,MATCH($D860,품목목록!$A$3:$A$302,0)),""))</f>
        <v/>
      </c>
      <c r="I860" s="14"/>
      <c r="J860" s="10"/>
      <c r="K860" s="10"/>
      <c r="L860" s="10"/>
      <c r="M860" s="15" t="str">
        <f aca="false">IF($A860="","",SUMIFS(처리내역!$E$3:$E$1502,처리내역!$B$3:$B$1502,$A860))</f>
        <v/>
      </c>
      <c r="N860" s="15" t="str">
        <f aca="false">IF($A860="","",IF($I860="","",$I860-$M860))</f>
        <v/>
      </c>
      <c r="O860" s="12" t="str">
        <f aca="false">IF($A860="","",IF($I860="","",IF($M860=0,"미처리",IF($N860&lt;=0,"완료","부분처리"))))</f>
        <v/>
      </c>
    </row>
    <row r="861" customFormat="false" ht="15" hidden="false" customHeight="true" outlineLevel="0" collapsed="false">
      <c r="A861" s="12" t="str">
        <f aca="false">IF($B861="","",TEXT($B861,"yymm")&amp;"-"&amp;TEXT(COUNTIFS($B$3:$B861,"&gt;="&amp;DATE(YEAR($B861),MONTH($B861),1),$B$3:$B861,"&lt;="&amp;EOMONTH($B861,0)),"000"))</f>
        <v/>
      </c>
      <c r="B861" s="13"/>
      <c r="C861" s="10"/>
      <c r="D861" s="10"/>
      <c r="E861" s="12" t="str">
        <f aca="false">IF($D861="","",IFERROR(INDEX(품목목록!$B$3:$B$302,MATCH($D861,품목목록!$A$3:$A$302,0)),"미등록품번"))</f>
        <v/>
      </c>
      <c r="F861" s="12" t="str">
        <f aca="false">IF($D861="","",IFERROR(INDEX(품목목록!$C$3:$C$302,MATCH($D861,품목목록!$A$3:$A$302,0)),""))</f>
        <v/>
      </c>
      <c r="G861" s="12" t="str">
        <f aca="false">IF($D861="","",IFERROR(INDEX(품목목록!$D$3:$D$302,MATCH($D861,품목목록!$A$3:$A$302,0)),""))</f>
        <v/>
      </c>
      <c r="H861" s="12" t="str">
        <f aca="false">IF($D861="","",IFERROR(INDEX(품목목록!$E$3:$E$302,MATCH($D861,품목목록!$A$3:$A$302,0)),""))</f>
        <v/>
      </c>
      <c r="I861" s="14"/>
      <c r="J861" s="10"/>
      <c r="K861" s="10"/>
      <c r="L861" s="10"/>
      <c r="M861" s="15" t="str">
        <f aca="false">IF($A861="","",SUMIFS(처리내역!$E$3:$E$1502,처리내역!$B$3:$B$1502,$A861))</f>
        <v/>
      </c>
      <c r="N861" s="15" t="str">
        <f aca="false">IF($A861="","",IF($I861="","",$I861-$M861))</f>
        <v/>
      </c>
      <c r="O861" s="12" t="str">
        <f aca="false">IF($A861="","",IF($I861="","",IF($M861=0,"미처리",IF($N861&lt;=0,"완료","부분처리"))))</f>
        <v/>
      </c>
    </row>
    <row r="862" customFormat="false" ht="15" hidden="false" customHeight="true" outlineLevel="0" collapsed="false">
      <c r="A862" s="12" t="str">
        <f aca="false">IF($B862="","",TEXT($B862,"yymm")&amp;"-"&amp;TEXT(COUNTIFS($B$3:$B862,"&gt;="&amp;DATE(YEAR($B862),MONTH($B862),1),$B$3:$B862,"&lt;="&amp;EOMONTH($B862,0)),"000"))</f>
        <v/>
      </c>
      <c r="B862" s="13"/>
      <c r="C862" s="10"/>
      <c r="D862" s="10"/>
      <c r="E862" s="12" t="str">
        <f aca="false">IF($D862="","",IFERROR(INDEX(품목목록!$B$3:$B$302,MATCH($D862,품목목록!$A$3:$A$302,0)),"미등록품번"))</f>
        <v/>
      </c>
      <c r="F862" s="12" t="str">
        <f aca="false">IF($D862="","",IFERROR(INDEX(품목목록!$C$3:$C$302,MATCH($D862,품목목록!$A$3:$A$302,0)),""))</f>
        <v/>
      </c>
      <c r="G862" s="12" t="str">
        <f aca="false">IF($D862="","",IFERROR(INDEX(품목목록!$D$3:$D$302,MATCH($D862,품목목록!$A$3:$A$302,0)),""))</f>
        <v/>
      </c>
      <c r="H862" s="12" t="str">
        <f aca="false">IF($D862="","",IFERROR(INDEX(품목목록!$E$3:$E$302,MATCH($D862,품목목록!$A$3:$A$302,0)),""))</f>
        <v/>
      </c>
      <c r="I862" s="14"/>
      <c r="J862" s="10"/>
      <c r="K862" s="10"/>
      <c r="L862" s="10"/>
      <c r="M862" s="15" t="str">
        <f aca="false">IF($A862="","",SUMIFS(처리내역!$E$3:$E$1502,처리내역!$B$3:$B$1502,$A862))</f>
        <v/>
      </c>
      <c r="N862" s="15" t="str">
        <f aca="false">IF($A862="","",IF($I862="","",$I862-$M862))</f>
        <v/>
      </c>
      <c r="O862" s="12" t="str">
        <f aca="false">IF($A862="","",IF($I862="","",IF($M862=0,"미처리",IF($N862&lt;=0,"완료","부분처리"))))</f>
        <v/>
      </c>
    </row>
    <row r="863" customFormat="false" ht="15" hidden="false" customHeight="true" outlineLevel="0" collapsed="false">
      <c r="A863" s="12" t="str">
        <f aca="false">IF($B863="","",TEXT($B863,"yymm")&amp;"-"&amp;TEXT(COUNTIFS($B$3:$B863,"&gt;="&amp;DATE(YEAR($B863),MONTH($B863),1),$B$3:$B863,"&lt;="&amp;EOMONTH($B863,0)),"000"))</f>
        <v/>
      </c>
      <c r="B863" s="13"/>
      <c r="C863" s="10"/>
      <c r="D863" s="10"/>
      <c r="E863" s="12" t="str">
        <f aca="false">IF($D863="","",IFERROR(INDEX(품목목록!$B$3:$B$302,MATCH($D863,품목목록!$A$3:$A$302,0)),"미등록품번"))</f>
        <v/>
      </c>
      <c r="F863" s="12" t="str">
        <f aca="false">IF($D863="","",IFERROR(INDEX(품목목록!$C$3:$C$302,MATCH($D863,품목목록!$A$3:$A$302,0)),""))</f>
        <v/>
      </c>
      <c r="G863" s="12" t="str">
        <f aca="false">IF($D863="","",IFERROR(INDEX(품목목록!$D$3:$D$302,MATCH($D863,품목목록!$A$3:$A$302,0)),""))</f>
        <v/>
      </c>
      <c r="H863" s="12" t="str">
        <f aca="false">IF($D863="","",IFERROR(INDEX(품목목록!$E$3:$E$302,MATCH($D863,품목목록!$A$3:$A$302,0)),""))</f>
        <v/>
      </c>
      <c r="I863" s="14"/>
      <c r="J863" s="10"/>
      <c r="K863" s="10"/>
      <c r="L863" s="10"/>
      <c r="M863" s="15" t="str">
        <f aca="false">IF($A863="","",SUMIFS(처리내역!$E$3:$E$1502,처리내역!$B$3:$B$1502,$A863))</f>
        <v/>
      </c>
      <c r="N863" s="15" t="str">
        <f aca="false">IF($A863="","",IF($I863="","",$I863-$M863))</f>
        <v/>
      </c>
      <c r="O863" s="12" t="str">
        <f aca="false">IF($A863="","",IF($I863="","",IF($M863=0,"미처리",IF($N863&lt;=0,"완료","부분처리"))))</f>
        <v/>
      </c>
    </row>
    <row r="864" customFormat="false" ht="15" hidden="false" customHeight="true" outlineLevel="0" collapsed="false">
      <c r="A864" s="12" t="str">
        <f aca="false">IF($B864="","",TEXT($B864,"yymm")&amp;"-"&amp;TEXT(COUNTIFS($B$3:$B864,"&gt;="&amp;DATE(YEAR($B864),MONTH($B864),1),$B$3:$B864,"&lt;="&amp;EOMONTH($B864,0)),"000"))</f>
        <v/>
      </c>
      <c r="B864" s="13"/>
      <c r="C864" s="10"/>
      <c r="D864" s="10"/>
      <c r="E864" s="12" t="str">
        <f aca="false">IF($D864="","",IFERROR(INDEX(품목목록!$B$3:$B$302,MATCH($D864,품목목록!$A$3:$A$302,0)),"미등록품번"))</f>
        <v/>
      </c>
      <c r="F864" s="12" t="str">
        <f aca="false">IF($D864="","",IFERROR(INDEX(품목목록!$C$3:$C$302,MATCH($D864,품목목록!$A$3:$A$302,0)),""))</f>
        <v/>
      </c>
      <c r="G864" s="12" t="str">
        <f aca="false">IF($D864="","",IFERROR(INDEX(품목목록!$D$3:$D$302,MATCH($D864,품목목록!$A$3:$A$302,0)),""))</f>
        <v/>
      </c>
      <c r="H864" s="12" t="str">
        <f aca="false">IF($D864="","",IFERROR(INDEX(품목목록!$E$3:$E$302,MATCH($D864,품목목록!$A$3:$A$302,0)),""))</f>
        <v/>
      </c>
      <c r="I864" s="14"/>
      <c r="J864" s="10"/>
      <c r="K864" s="10"/>
      <c r="L864" s="10"/>
      <c r="M864" s="15" t="str">
        <f aca="false">IF($A864="","",SUMIFS(처리내역!$E$3:$E$1502,처리내역!$B$3:$B$1502,$A864))</f>
        <v/>
      </c>
      <c r="N864" s="15" t="str">
        <f aca="false">IF($A864="","",IF($I864="","",$I864-$M864))</f>
        <v/>
      </c>
      <c r="O864" s="12" t="str">
        <f aca="false">IF($A864="","",IF($I864="","",IF($M864=0,"미처리",IF($N864&lt;=0,"완료","부분처리"))))</f>
        <v/>
      </c>
    </row>
    <row r="865" customFormat="false" ht="15" hidden="false" customHeight="true" outlineLevel="0" collapsed="false">
      <c r="A865" s="12" t="str">
        <f aca="false">IF($B865="","",TEXT($B865,"yymm")&amp;"-"&amp;TEXT(COUNTIFS($B$3:$B865,"&gt;="&amp;DATE(YEAR($B865),MONTH($B865),1),$B$3:$B865,"&lt;="&amp;EOMONTH($B865,0)),"000"))</f>
        <v/>
      </c>
      <c r="B865" s="13"/>
      <c r="C865" s="10"/>
      <c r="D865" s="10"/>
      <c r="E865" s="12" t="str">
        <f aca="false">IF($D865="","",IFERROR(INDEX(품목목록!$B$3:$B$302,MATCH($D865,품목목록!$A$3:$A$302,0)),"미등록품번"))</f>
        <v/>
      </c>
      <c r="F865" s="12" t="str">
        <f aca="false">IF($D865="","",IFERROR(INDEX(품목목록!$C$3:$C$302,MATCH($D865,품목목록!$A$3:$A$302,0)),""))</f>
        <v/>
      </c>
      <c r="G865" s="12" t="str">
        <f aca="false">IF($D865="","",IFERROR(INDEX(품목목록!$D$3:$D$302,MATCH($D865,품목목록!$A$3:$A$302,0)),""))</f>
        <v/>
      </c>
      <c r="H865" s="12" t="str">
        <f aca="false">IF($D865="","",IFERROR(INDEX(품목목록!$E$3:$E$302,MATCH($D865,품목목록!$A$3:$A$302,0)),""))</f>
        <v/>
      </c>
      <c r="I865" s="14"/>
      <c r="J865" s="10"/>
      <c r="K865" s="10"/>
      <c r="L865" s="10"/>
      <c r="M865" s="15" t="str">
        <f aca="false">IF($A865="","",SUMIFS(처리내역!$E$3:$E$1502,처리내역!$B$3:$B$1502,$A865))</f>
        <v/>
      </c>
      <c r="N865" s="15" t="str">
        <f aca="false">IF($A865="","",IF($I865="","",$I865-$M865))</f>
        <v/>
      </c>
      <c r="O865" s="12" t="str">
        <f aca="false">IF($A865="","",IF($I865="","",IF($M865=0,"미처리",IF($N865&lt;=0,"완료","부분처리"))))</f>
        <v/>
      </c>
    </row>
    <row r="866" customFormat="false" ht="15" hidden="false" customHeight="true" outlineLevel="0" collapsed="false">
      <c r="A866" s="12" t="str">
        <f aca="false">IF($B866="","",TEXT($B866,"yymm")&amp;"-"&amp;TEXT(COUNTIFS($B$3:$B866,"&gt;="&amp;DATE(YEAR($B866),MONTH($B866),1),$B$3:$B866,"&lt;="&amp;EOMONTH($B866,0)),"000"))</f>
        <v/>
      </c>
      <c r="B866" s="13"/>
      <c r="C866" s="10"/>
      <c r="D866" s="10"/>
      <c r="E866" s="12" t="str">
        <f aca="false">IF($D866="","",IFERROR(INDEX(품목목록!$B$3:$B$302,MATCH($D866,품목목록!$A$3:$A$302,0)),"미등록품번"))</f>
        <v/>
      </c>
      <c r="F866" s="12" t="str">
        <f aca="false">IF($D866="","",IFERROR(INDEX(품목목록!$C$3:$C$302,MATCH($D866,품목목록!$A$3:$A$302,0)),""))</f>
        <v/>
      </c>
      <c r="G866" s="12" t="str">
        <f aca="false">IF($D866="","",IFERROR(INDEX(품목목록!$D$3:$D$302,MATCH($D866,품목목록!$A$3:$A$302,0)),""))</f>
        <v/>
      </c>
      <c r="H866" s="12" t="str">
        <f aca="false">IF($D866="","",IFERROR(INDEX(품목목록!$E$3:$E$302,MATCH($D866,품목목록!$A$3:$A$302,0)),""))</f>
        <v/>
      </c>
      <c r="I866" s="14"/>
      <c r="J866" s="10"/>
      <c r="K866" s="10"/>
      <c r="L866" s="10"/>
      <c r="M866" s="15" t="str">
        <f aca="false">IF($A866="","",SUMIFS(처리내역!$E$3:$E$1502,처리내역!$B$3:$B$1502,$A866))</f>
        <v/>
      </c>
      <c r="N866" s="15" t="str">
        <f aca="false">IF($A866="","",IF($I866="","",$I866-$M866))</f>
        <v/>
      </c>
      <c r="O866" s="12" t="str">
        <f aca="false">IF($A866="","",IF($I866="","",IF($M866=0,"미처리",IF($N866&lt;=0,"완료","부분처리"))))</f>
        <v/>
      </c>
    </row>
    <row r="867" customFormat="false" ht="15" hidden="false" customHeight="true" outlineLevel="0" collapsed="false">
      <c r="A867" s="12" t="str">
        <f aca="false">IF($B867="","",TEXT($B867,"yymm")&amp;"-"&amp;TEXT(COUNTIFS($B$3:$B867,"&gt;="&amp;DATE(YEAR($B867),MONTH($B867),1),$B$3:$B867,"&lt;="&amp;EOMONTH($B867,0)),"000"))</f>
        <v/>
      </c>
      <c r="B867" s="13"/>
      <c r="C867" s="10"/>
      <c r="D867" s="10"/>
      <c r="E867" s="12" t="str">
        <f aca="false">IF($D867="","",IFERROR(INDEX(품목목록!$B$3:$B$302,MATCH($D867,품목목록!$A$3:$A$302,0)),"미등록품번"))</f>
        <v/>
      </c>
      <c r="F867" s="12" t="str">
        <f aca="false">IF($D867="","",IFERROR(INDEX(품목목록!$C$3:$C$302,MATCH($D867,품목목록!$A$3:$A$302,0)),""))</f>
        <v/>
      </c>
      <c r="G867" s="12" t="str">
        <f aca="false">IF($D867="","",IFERROR(INDEX(품목목록!$D$3:$D$302,MATCH($D867,품목목록!$A$3:$A$302,0)),""))</f>
        <v/>
      </c>
      <c r="H867" s="12" t="str">
        <f aca="false">IF($D867="","",IFERROR(INDEX(품목목록!$E$3:$E$302,MATCH($D867,품목목록!$A$3:$A$302,0)),""))</f>
        <v/>
      </c>
      <c r="I867" s="14"/>
      <c r="J867" s="10"/>
      <c r="K867" s="10"/>
      <c r="L867" s="10"/>
      <c r="M867" s="15" t="str">
        <f aca="false">IF($A867="","",SUMIFS(처리내역!$E$3:$E$1502,처리내역!$B$3:$B$1502,$A867))</f>
        <v/>
      </c>
      <c r="N867" s="15" t="str">
        <f aca="false">IF($A867="","",IF($I867="","",$I867-$M867))</f>
        <v/>
      </c>
      <c r="O867" s="12" t="str">
        <f aca="false">IF($A867="","",IF($I867="","",IF($M867=0,"미처리",IF($N867&lt;=0,"완료","부분처리"))))</f>
        <v/>
      </c>
    </row>
    <row r="868" customFormat="false" ht="15" hidden="false" customHeight="true" outlineLevel="0" collapsed="false">
      <c r="A868" s="12" t="str">
        <f aca="false">IF($B868="","",TEXT($B868,"yymm")&amp;"-"&amp;TEXT(COUNTIFS($B$3:$B868,"&gt;="&amp;DATE(YEAR($B868),MONTH($B868),1),$B$3:$B868,"&lt;="&amp;EOMONTH($B868,0)),"000"))</f>
        <v/>
      </c>
      <c r="B868" s="13"/>
      <c r="C868" s="10"/>
      <c r="D868" s="10"/>
      <c r="E868" s="12" t="str">
        <f aca="false">IF($D868="","",IFERROR(INDEX(품목목록!$B$3:$B$302,MATCH($D868,품목목록!$A$3:$A$302,0)),"미등록품번"))</f>
        <v/>
      </c>
      <c r="F868" s="12" t="str">
        <f aca="false">IF($D868="","",IFERROR(INDEX(품목목록!$C$3:$C$302,MATCH($D868,품목목록!$A$3:$A$302,0)),""))</f>
        <v/>
      </c>
      <c r="G868" s="12" t="str">
        <f aca="false">IF($D868="","",IFERROR(INDEX(품목목록!$D$3:$D$302,MATCH($D868,품목목록!$A$3:$A$302,0)),""))</f>
        <v/>
      </c>
      <c r="H868" s="12" t="str">
        <f aca="false">IF($D868="","",IFERROR(INDEX(품목목록!$E$3:$E$302,MATCH($D868,품목목록!$A$3:$A$302,0)),""))</f>
        <v/>
      </c>
      <c r="I868" s="14"/>
      <c r="J868" s="10"/>
      <c r="K868" s="10"/>
      <c r="L868" s="10"/>
      <c r="M868" s="15" t="str">
        <f aca="false">IF($A868="","",SUMIFS(처리내역!$E$3:$E$1502,처리내역!$B$3:$B$1502,$A868))</f>
        <v/>
      </c>
      <c r="N868" s="15" t="str">
        <f aca="false">IF($A868="","",IF($I868="","",$I868-$M868))</f>
        <v/>
      </c>
      <c r="O868" s="12" t="str">
        <f aca="false">IF($A868="","",IF($I868="","",IF($M868=0,"미처리",IF($N868&lt;=0,"완료","부분처리"))))</f>
        <v/>
      </c>
    </row>
    <row r="869" customFormat="false" ht="15" hidden="false" customHeight="true" outlineLevel="0" collapsed="false">
      <c r="A869" s="12" t="str">
        <f aca="false">IF($B869="","",TEXT($B869,"yymm")&amp;"-"&amp;TEXT(COUNTIFS($B$3:$B869,"&gt;="&amp;DATE(YEAR($B869),MONTH($B869),1),$B$3:$B869,"&lt;="&amp;EOMONTH($B869,0)),"000"))</f>
        <v/>
      </c>
      <c r="B869" s="13"/>
      <c r="C869" s="10"/>
      <c r="D869" s="10"/>
      <c r="E869" s="12" t="str">
        <f aca="false">IF($D869="","",IFERROR(INDEX(품목목록!$B$3:$B$302,MATCH($D869,품목목록!$A$3:$A$302,0)),"미등록품번"))</f>
        <v/>
      </c>
      <c r="F869" s="12" t="str">
        <f aca="false">IF($D869="","",IFERROR(INDEX(품목목록!$C$3:$C$302,MATCH($D869,품목목록!$A$3:$A$302,0)),""))</f>
        <v/>
      </c>
      <c r="G869" s="12" t="str">
        <f aca="false">IF($D869="","",IFERROR(INDEX(품목목록!$D$3:$D$302,MATCH($D869,품목목록!$A$3:$A$302,0)),""))</f>
        <v/>
      </c>
      <c r="H869" s="12" t="str">
        <f aca="false">IF($D869="","",IFERROR(INDEX(품목목록!$E$3:$E$302,MATCH($D869,품목목록!$A$3:$A$302,0)),""))</f>
        <v/>
      </c>
      <c r="I869" s="14"/>
      <c r="J869" s="10"/>
      <c r="K869" s="10"/>
      <c r="L869" s="10"/>
      <c r="M869" s="15" t="str">
        <f aca="false">IF($A869="","",SUMIFS(처리내역!$E$3:$E$1502,처리내역!$B$3:$B$1502,$A869))</f>
        <v/>
      </c>
      <c r="N869" s="15" t="str">
        <f aca="false">IF($A869="","",IF($I869="","",$I869-$M869))</f>
        <v/>
      </c>
      <c r="O869" s="12" t="str">
        <f aca="false">IF($A869="","",IF($I869="","",IF($M869=0,"미처리",IF($N869&lt;=0,"완료","부분처리"))))</f>
        <v/>
      </c>
    </row>
    <row r="870" customFormat="false" ht="15" hidden="false" customHeight="true" outlineLevel="0" collapsed="false">
      <c r="A870" s="12" t="str">
        <f aca="false">IF($B870="","",TEXT($B870,"yymm")&amp;"-"&amp;TEXT(COUNTIFS($B$3:$B870,"&gt;="&amp;DATE(YEAR($B870),MONTH($B870),1),$B$3:$B870,"&lt;="&amp;EOMONTH($B870,0)),"000"))</f>
        <v/>
      </c>
      <c r="B870" s="13"/>
      <c r="C870" s="10"/>
      <c r="D870" s="10"/>
      <c r="E870" s="12" t="str">
        <f aca="false">IF($D870="","",IFERROR(INDEX(품목목록!$B$3:$B$302,MATCH($D870,품목목록!$A$3:$A$302,0)),"미등록품번"))</f>
        <v/>
      </c>
      <c r="F870" s="12" t="str">
        <f aca="false">IF($D870="","",IFERROR(INDEX(품목목록!$C$3:$C$302,MATCH($D870,품목목록!$A$3:$A$302,0)),""))</f>
        <v/>
      </c>
      <c r="G870" s="12" t="str">
        <f aca="false">IF($D870="","",IFERROR(INDEX(품목목록!$D$3:$D$302,MATCH($D870,품목목록!$A$3:$A$302,0)),""))</f>
        <v/>
      </c>
      <c r="H870" s="12" t="str">
        <f aca="false">IF($D870="","",IFERROR(INDEX(품목목록!$E$3:$E$302,MATCH($D870,품목목록!$A$3:$A$302,0)),""))</f>
        <v/>
      </c>
      <c r="I870" s="14"/>
      <c r="J870" s="10"/>
      <c r="K870" s="10"/>
      <c r="L870" s="10"/>
      <c r="M870" s="15" t="str">
        <f aca="false">IF($A870="","",SUMIFS(처리내역!$E$3:$E$1502,처리내역!$B$3:$B$1502,$A870))</f>
        <v/>
      </c>
      <c r="N870" s="15" t="str">
        <f aca="false">IF($A870="","",IF($I870="","",$I870-$M870))</f>
        <v/>
      </c>
      <c r="O870" s="12" t="str">
        <f aca="false">IF($A870="","",IF($I870="","",IF($M870=0,"미처리",IF($N870&lt;=0,"완료","부분처리"))))</f>
        <v/>
      </c>
    </row>
    <row r="871" customFormat="false" ht="15" hidden="false" customHeight="true" outlineLevel="0" collapsed="false">
      <c r="A871" s="12" t="str">
        <f aca="false">IF($B871="","",TEXT($B871,"yymm")&amp;"-"&amp;TEXT(COUNTIFS($B$3:$B871,"&gt;="&amp;DATE(YEAR($B871),MONTH($B871),1),$B$3:$B871,"&lt;="&amp;EOMONTH($B871,0)),"000"))</f>
        <v/>
      </c>
      <c r="B871" s="13"/>
      <c r="C871" s="10"/>
      <c r="D871" s="10"/>
      <c r="E871" s="12" t="str">
        <f aca="false">IF($D871="","",IFERROR(INDEX(품목목록!$B$3:$B$302,MATCH($D871,품목목록!$A$3:$A$302,0)),"미등록품번"))</f>
        <v/>
      </c>
      <c r="F871" s="12" t="str">
        <f aca="false">IF($D871="","",IFERROR(INDEX(품목목록!$C$3:$C$302,MATCH($D871,품목목록!$A$3:$A$302,0)),""))</f>
        <v/>
      </c>
      <c r="G871" s="12" t="str">
        <f aca="false">IF($D871="","",IFERROR(INDEX(품목목록!$D$3:$D$302,MATCH($D871,품목목록!$A$3:$A$302,0)),""))</f>
        <v/>
      </c>
      <c r="H871" s="12" t="str">
        <f aca="false">IF($D871="","",IFERROR(INDEX(품목목록!$E$3:$E$302,MATCH($D871,품목목록!$A$3:$A$302,0)),""))</f>
        <v/>
      </c>
      <c r="I871" s="14"/>
      <c r="J871" s="10"/>
      <c r="K871" s="10"/>
      <c r="L871" s="10"/>
      <c r="M871" s="15" t="str">
        <f aca="false">IF($A871="","",SUMIFS(처리내역!$E$3:$E$1502,처리내역!$B$3:$B$1502,$A871))</f>
        <v/>
      </c>
      <c r="N871" s="15" t="str">
        <f aca="false">IF($A871="","",IF($I871="","",$I871-$M871))</f>
        <v/>
      </c>
      <c r="O871" s="12" t="str">
        <f aca="false">IF($A871="","",IF($I871="","",IF($M871=0,"미처리",IF($N871&lt;=0,"완료","부분처리"))))</f>
        <v/>
      </c>
    </row>
    <row r="872" customFormat="false" ht="15" hidden="false" customHeight="true" outlineLevel="0" collapsed="false">
      <c r="A872" s="12" t="str">
        <f aca="false">IF($B872="","",TEXT($B872,"yymm")&amp;"-"&amp;TEXT(COUNTIFS($B$3:$B872,"&gt;="&amp;DATE(YEAR($B872),MONTH($B872),1),$B$3:$B872,"&lt;="&amp;EOMONTH($B872,0)),"000"))</f>
        <v/>
      </c>
      <c r="B872" s="13"/>
      <c r="C872" s="10"/>
      <c r="D872" s="10"/>
      <c r="E872" s="12" t="str">
        <f aca="false">IF($D872="","",IFERROR(INDEX(품목목록!$B$3:$B$302,MATCH($D872,품목목록!$A$3:$A$302,0)),"미등록품번"))</f>
        <v/>
      </c>
      <c r="F872" s="12" t="str">
        <f aca="false">IF($D872="","",IFERROR(INDEX(품목목록!$C$3:$C$302,MATCH($D872,품목목록!$A$3:$A$302,0)),""))</f>
        <v/>
      </c>
      <c r="G872" s="12" t="str">
        <f aca="false">IF($D872="","",IFERROR(INDEX(품목목록!$D$3:$D$302,MATCH($D872,품목목록!$A$3:$A$302,0)),""))</f>
        <v/>
      </c>
      <c r="H872" s="12" t="str">
        <f aca="false">IF($D872="","",IFERROR(INDEX(품목목록!$E$3:$E$302,MATCH($D872,품목목록!$A$3:$A$302,0)),""))</f>
        <v/>
      </c>
      <c r="I872" s="14"/>
      <c r="J872" s="10"/>
      <c r="K872" s="10"/>
      <c r="L872" s="10"/>
      <c r="M872" s="15" t="str">
        <f aca="false">IF($A872="","",SUMIFS(처리내역!$E$3:$E$1502,처리내역!$B$3:$B$1502,$A872))</f>
        <v/>
      </c>
      <c r="N872" s="15" t="str">
        <f aca="false">IF($A872="","",IF($I872="","",$I872-$M872))</f>
        <v/>
      </c>
      <c r="O872" s="12" t="str">
        <f aca="false">IF($A872="","",IF($I872="","",IF($M872=0,"미처리",IF($N872&lt;=0,"완료","부분처리"))))</f>
        <v/>
      </c>
    </row>
    <row r="873" customFormat="false" ht="15" hidden="false" customHeight="true" outlineLevel="0" collapsed="false">
      <c r="A873" s="12" t="str">
        <f aca="false">IF($B873="","",TEXT($B873,"yymm")&amp;"-"&amp;TEXT(COUNTIFS($B$3:$B873,"&gt;="&amp;DATE(YEAR($B873),MONTH($B873),1),$B$3:$B873,"&lt;="&amp;EOMONTH($B873,0)),"000"))</f>
        <v/>
      </c>
      <c r="B873" s="13"/>
      <c r="C873" s="10"/>
      <c r="D873" s="10"/>
      <c r="E873" s="12" t="str">
        <f aca="false">IF($D873="","",IFERROR(INDEX(품목목록!$B$3:$B$302,MATCH($D873,품목목록!$A$3:$A$302,0)),"미등록품번"))</f>
        <v/>
      </c>
      <c r="F873" s="12" t="str">
        <f aca="false">IF($D873="","",IFERROR(INDEX(품목목록!$C$3:$C$302,MATCH($D873,품목목록!$A$3:$A$302,0)),""))</f>
        <v/>
      </c>
      <c r="G873" s="12" t="str">
        <f aca="false">IF($D873="","",IFERROR(INDEX(품목목록!$D$3:$D$302,MATCH($D873,품목목록!$A$3:$A$302,0)),""))</f>
        <v/>
      </c>
      <c r="H873" s="12" t="str">
        <f aca="false">IF($D873="","",IFERROR(INDEX(품목목록!$E$3:$E$302,MATCH($D873,품목목록!$A$3:$A$302,0)),""))</f>
        <v/>
      </c>
      <c r="I873" s="14"/>
      <c r="J873" s="10"/>
      <c r="K873" s="10"/>
      <c r="L873" s="10"/>
      <c r="M873" s="15" t="str">
        <f aca="false">IF($A873="","",SUMIFS(처리내역!$E$3:$E$1502,처리내역!$B$3:$B$1502,$A873))</f>
        <v/>
      </c>
      <c r="N873" s="15" t="str">
        <f aca="false">IF($A873="","",IF($I873="","",$I873-$M873))</f>
        <v/>
      </c>
      <c r="O873" s="12" t="str">
        <f aca="false">IF($A873="","",IF($I873="","",IF($M873=0,"미처리",IF($N873&lt;=0,"완료","부분처리"))))</f>
        <v/>
      </c>
    </row>
    <row r="874" customFormat="false" ht="15" hidden="false" customHeight="true" outlineLevel="0" collapsed="false">
      <c r="A874" s="12" t="str">
        <f aca="false">IF($B874="","",TEXT($B874,"yymm")&amp;"-"&amp;TEXT(COUNTIFS($B$3:$B874,"&gt;="&amp;DATE(YEAR($B874),MONTH($B874),1),$B$3:$B874,"&lt;="&amp;EOMONTH($B874,0)),"000"))</f>
        <v/>
      </c>
      <c r="B874" s="13"/>
      <c r="C874" s="10"/>
      <c r="D874" s="10"/>
      <c r="E874" s="12" t="str">
        <f aca="false">IF($D874="","",IFERROR(INDEX(품목목록!$B$3:$B$302,MATCH($D874,품목목록!$A$3:$A$302,0)),"미등록품번"))</f>
        <v/>
      </c>
      <c r="F874" s="12" t="str">
        <f aca="false">IF($D874="","",IFERROR(INDEX(품목목록!$C$3:$C$302,MATCH($D874,품목목록!$A$3:$A$302,0)),""))</f>
        <v/>
      </c>
      <c r="G874" s="12" t="str">
        <f aca="false">IF($D874="","",IFERROR(INDEX(품목목록!$D$3:$D$302,MATCH($D874,품목목록!$A$3:$A$302,0)),""))</f>
        <v/>
      </c>
      <c r="H874" s="12" t="str">
        <f aca="false">IF($D874="","",IFERROR(INDEX(품목목록!$E$3:$E$302,MATCH($D874,품목목록!$A$3:$A$302,0)),""))</f>
        <v/>
      </c>
      <c r="I874" s="14"/>
      <c r="J874" s="10"/>
      <c r="K874" s="10"/>
      <c r="L874" s="10"/>
      <c r="M874" s="15" t="str">
        <f aca="false">IF($A874="","",SUMIFS(처리내역!$E$3:$E$1502,처리내역!$B$3:$B$1502,$A874))</f>
        <v/>
      </c>
      <c r="N874" s="15" t="str">
        <f aca="false">IF($A874="","",IF($I874="","",$I874-$M874))</f>
        <v/>
      </c>
      <c r="O874" s="12" t="str">
        <f aca="false">IF($A874="","",IF($I874="","",IF($M874=0,"미처리",IF($N874&lt;=0,"완료","부분처리"))))</f>
        <v/>
      </c>
    </row>
    <row r="875" customFormat="false" ht="15" hidden="false" customHeight="true" outlineLevel="0" collapsed="false">
      <c r="A875" s="12" t="str">
        <f aca="false">IF($B875="","",TEXT($B875,"yymm")&amp;"-"&amp;TEXT(COUNTIFS($B$3:$B875,"&gt;="&amp;DATE(YEAR($B875),MONTH($B875),1),$B$3:$B875,"&lt;="&amp;EOMONTH($B875,0)),"000"))</f>
        <v/>
      </c>
      <c r="B875" s="13"/>
      <c r="C875" s="10"/>
      <c r="D875" s="10"/>
      <c r="E875" s="12" t="str">
        <f aca="false">IF($D875="","",IFERROR(INDEX(품목목록!$B$3:$B$302,MATCH($D875,품목목록!$A$3:$A$302,0)),"미등록품번"))</f>
        <v/>
      </c>
      <c r="F875" s="12" t="str">
        <f aca="false">IF($D875="","",IFERROR(INDEX(품목목록!$C$3:$C$302,MATCH($D875,품목목록!$A$3:$A$302,0)),""))</f>
        <v/>
      </c>
      <c r="G875" s="12" t="str">
        <f aca="false">IF($D875="","",IFERROR(INDEX(품목목록!$D$3:$D$302,MATCH($D875,품목목록!$A$3:$A$302,0)),""))</f>
        <v/>
      </c>
      <c r="H875" s="12" t="str">
        <f aca="false">IF($D875="","",IFERROR(INDEX(품목목록!$E$3:$E$302,MATCH($D875,품목목록!$A$3:$A$302,0)),""))</f>
        <v/>
      </c>
      <c r="I875" s="14"/>
      <c r="J875" s="10"/>
      <c r="K875" s="10"/>
      <c r="L875" s="10"/>
      <c r="M875" s="15" t="str">
        <f aca="false">IF($A875="","",SUMIFS(처리내역!$E$3:$E$1502,처리내역!$B$3:$B$1502,$A875))</f>
        <v/>
      </c>
      <c r="N875" s="15" t="str">
        <f aca="false">IF($A875="","",IF($I875="","",$I875-$M875))</f>
        <v/>
      </c>
      <c r="O875" s="12" t="str">
        <f aca="false">IF($A875="","",IF($I875="","",IF($M875=0,"미처리",IF($N875&lt;=0,"완료","부분처리"))))</f>
        <v/>
      </c>
    </row>
    <row r="876" customFormat="false" ht="15" hidden="false" customHeight="true" outlineLevel="0" collapsed="false">
      <c r="A876" s="12" t="str">
        <f aca="false">IF($B876="","",TEXT($B876,"yymm")&amp;"-"&amp;TEXT(COUNTIFS($B$3:$B876,"&gt;="&amp;DATE(YEAR($B876),MONTH($B876),1),$B$3:$B876,"&lt;="&amp;EOMONTH($B876,0)),"000"))</f>
        <v/>
      </c>
      <c r="B876" s="13"/>
      <c r="C876" s="10"/>
      <c r="D876" s="10"/>
      <c r="E876" s="12" t="str">
        <f aca="false">IF($D876="","",IFERROR(INDEX(품목목록!$B$3:$B$302,MATCH($D876,품목목록!$A$3:$A$302,0)),"미등록품번"))</f>
        <v/>
      </c>
      <c r="F876" s="12" t="str">
        <f aca="false">IF($D876="","",IFERROR(INDEX(품목목록!$C$3:$C$302,MATCH($D876,품목목록!$A$3:$A$302,0)),""))</f>
        <v/>
      </c>
      <c r="G876" s="12" t="str">
        <f aca="false">IF($D876="","",IFERROR(INDEX(품목목록!$D$3:$D$302,MATCH($D876,품목목록!$A$3:$A$302,0)),""))</f>
        <v/>
      </c>
      <c r="H876" s="12" t="str">
        <f aca="false">IF($D876="","",IFERROR(INDEX(품목목록!$E$3:$E$302,MATCH($D876,품목목록!$A$3:$A$302,0)),""))</f>
        <v/>
      </c>
      <c r="I876" s="14"/>
      <c r="J876" s="10"/>
      <c r="K876" s="10"/>
      <c r="L876" s="10"/>
      <c r="M876" s="15" t="str">
        <f aca="false">IF($A876="","",SUMIFS(처리내역!$E$3:$E$1502,처리내역!$B$3:$B$1502,$A876))</f>
        <v/>
      </c>
      <c r="N876" s="15" t="str">
        <f aca="false">IF($A876="","",IF($I876="","",$I876-$M876))</f>
        <v/>
      </c>
      <c r="O876" s="12" t="str">
        <f aca="false">IF($A876="","",IF($I876="","",IF($M876=0,"미처리",IF($N876&lt;=0,"완료","부분처리"))))</f>
        <v/>
      </c>
    </row>
    <row r="877" customFormat="false" ht="15" hidden="false" customHeight="true" outlineLevel="0" collapsed="false">
      <c r="A877" s="12" t="str">
        <f aca="false">IF($B877="","",TEXT($B877,"yymm")&amp;"-"&amp;TEXT(COUNTIFS($B$3:$B877,"&gt;="&amp;DATE(YEAR($B877),MONTH($B877),1),$B$3:$B877,"&lt;="&amp;EOMONTH($B877,0)),"000"))</f>
        <v/>
      </c>
      <c r="B877" s="13"/>
      <c r="C877" s="10"/>
      <c r="D877" s="10"/>
      <c r="E877" s="12" t="str">
        <f aca="false">IF($D877="","",IFERROR(INDEX(품목목록!$B$3:$B$302,MATCH($D877,품목목록!$A$3:$A$302,0)),"미등록품번"))</f>
        <v/>
      </c>
      <c r="F877" s="12" t="str">
        <f aca="false">IF($D877="","",IFERROR(INDEX(품목목록!$C$3:$C$302,MATCH($D877,품목목록!$A$3:$A$302,0)),""))</f>
        <v/>
      </c>
      <c r="G877" s="12" t="str">
        <f aca="false">IF($D877="","",IFERROR(INDEX(품목목록!$D$3:$D$302,MATCH($D877,품목목록!$A$3:$A$302,0)),""))</f>
        <v/>
      </c>
      <c r="H877" s="12" t="str">
        <f aca="false">IF($D877="","",IFERROR(INDEX(품목목록!$E$3:$E$302,MATCH($D877,품목목록!$A$3:$A$302,0)),""))</f>
        <v/>
      </c>
      <c r="I877" s="14"/>
      <c r="J877" s="10"/>
      <c r="K877" s="10"/>
      <c r="L877" s="10"/>
      <c r="M877" s="15" t="str">
        <f aca="false">IF($A877="","",SUMIFS(처리내역!$E$3:$E$1502,처리내역!$B$3:$B$1502,$A877))</f>
        <v/>
      </c>
      <c r="N877" s="15" t="str">
        <f aca="false">IF($A877="","",IF($I877="","",$I877-$M877))</f>
        <v/>
      </c>
      <c r="O877" s="12" t="str">
        <f aca="false">IF($A877="","",IF($I877="","",IF($M877=0,"미처리",IF($N877&lt;=0,"완료","부분처리"))))</f>
        <v/>
      </c>
    </row>
    <row r="878" customFormat="false" ht="15" hidden="false" customHeight="true" outlineLevel="0" collapsed="false">
      <c r="A878" s="12" t="str">
        <f aca="false">IF($B878="","",TEXT($B878,"yymm")&amp;"-"&amp;TEXT(COUNTIFS($B$3:$B878,"&gt;="&amp;DATE(YEAR($B878),MONTH($B878),1),$B$3:$B878,"&lt;="&amp;EOMONTH($B878,0)),"000"))</f>
        <v/>
      </c>
      <c r="B878" s="13"/>
      <c r="C878" s="10"/>
      <c r="D878" s="10"/>
      <c r="E878" s="12" t="str">
        <f aca="false">IF($D878="","",IFERROR(INDEX(품목목록!$B$3:$B$302,MATCH($D878,품목목록!$A$3:$A$302,0)),"미등록품번"))</f>
        <v/>
      </c>
      <c r="F878" s="12" t="str">
        <f aca="false">IF($D878="","",IFERROR(INDEX(품목목록!$C$3:$C$302,MATCH($D878,품목목록!$A$3:$A$302,0)),""))</f>
        <v/>
      </c>
      <c r="G878" s="12" t="str">
        <f aca="false">IF($D878="","",IFERROR(INDEX(품목목록!$D$3:$D$302,MATCH($D878,품목목록!$A$3:$A$302,0)),""))</f>
        <v/>
      </c>
      <c r="H878" s="12" t="str">
        <f aca="false">IF($D878="","",IFERROR(INDEX(품목목록!$E$3:$E$302,MATCH($D878,품목목록!$A$3:$A$302,0)),""))</f>
        <v/>
      </c>
      <c r="I878" s="14"/>
      <c r="J878" s="10"/>
      <c r="K878" s="10"/>
      <c r="L878" s="10"/>
      <c r="M878" s="15" t="str">
        <f aca="false">IF($A878="","",SUMIFS(처리내역!$E$3:$E$1502,처리내역!$B$3:$B$1502,$A878))</f>
        <v/>
      </c>
      <c r="N878" s="15" t="str">
        <f aca="false">IF($A878="","",IF($I878="","",$I878-$M878))</f>
        <v/>
      </c>
      <c r="O878" s="12" t="str">
        <f aca="false">IF($A878="","",IF($I878="","",IF($M878=0,"미처리",IF($N878&lt;=0,"완료","부분처리"))))</f>
        <v/>
      </c>
    </row>
    <row r="879" customFormat="false" ht="15" hidden="false" customHeight="true" outlineLevel="0" collapsed="false">
      <c r="A879" s="12" t="str">
        <f aca="false">IF($B879="","",TEXT($B879,"yymm")&amp;"-"&amp;TEXT(COUNTIFS($B$3:$B879,"&gt;="&amp;DATE(YEAR($B879),MONTH($B879),1),$B$3:$B879,"&lt;="&amp;EOMONTH($B879,0)),"000"))</f>
        <v/>
      </c>
      <c r="B879" s="13"/>
      <c r="C879" s="10"/>
      <c r="D879" s="10"/>
      <c r="E879" s="12" t="str">
        <f aca="false">IF($D879="","",IFERROR(INDEX(품목목록!$B$3:$B$302,MATCH($D879,품목목록!$A$3:$A$302,0)),"미등록품번"))</f>
        <v/>
      </c>
      <c r="F879" s="12" t="str">
        <f aca="false">IF($D879="","",IFERROR(INDEX(품목목록!$C$3:$C$302,MATCH($D879,품목목록!$A$3:$A$302,0)),""))</f>
        <v/>
      </c>
      <c r="G879" s="12" t="str">
        <f aca="false">IF($D879="","",IFERROR(INDEX(품목목록!$D$3:$D$302,MATCH($D879,품목목록!$A$3:$A$302,0)),""))</f>
        <v/>
      </c>
      <c r="H879" s="12" t="str">
        <f aca="false">IF($D879="","",IFERROR(INDEX(품목목록!$E$3:$E$302,MATCH($D879,품목목록!$A$3:$A$302,0)),""))</f>
        <v/>
      </c>
      <c r="I879" s="14"/>
      <c r="J879" s="10"/>
      <c r="K879" s="10"/>
      <c r="L879" s="10"/>
      <c r="M879" s="15" t="str">
        <f aca="false">IF($A879="","",SUMIFS(처리내역!$E$3:$E$1502,처리내역!$B$3:$B$1502,$A879))</f>
        <v/>
      </c>
      <c r="N879" s="15" t="str">
        <f aca="false">IF($A879="","",IF($I879="","",$I879-$M879))</f>
        <v/>
      </c>
      <c r="O879" s="12" t="str">
        <f aca="false">IF($A879="","",IF($I879="","",IF($M879=0,"미처리",IF($N879&lt;=0,"완료","부분처리"))))</f>
        <v/>
      </c>
    </row>
    <row r="880" customFormat="false" ht="15" hidden="false" customHeight="true" outlineLevel="0" collapsed="false">
      <c r="A880" s="12" t="str">
        <f aca="false">IF($B880="","",TEXT($B880,"yymm")&amp;"-"&amp;TEXT(COUNTIFS($B$3:$B880,"&gt;="&amp;DATE(YEAR($B880),MONTH($B880),1),$B$3:$B880,"&lt;="&amp;EOMONTH($B880,0)),"000"))</f>
        <v/>
      </c>
      <c r="B880" s="13"/>
      <c r="C880" s="10"/>
      <c r="D880" s="10"/>
      <c r="E880" s="12" t="str">
        <f aca="false">IF($D880="","",IFERROR(INDEX(품목목록!$B$3:$B$302,MATCH($D880,품목목록!$A$3:$A$302,0)),"미등록품번"))</f>
        <v/>
      </c>
      <c r="F880" s="12" t="str">
        <f aca="false">IF($D880="","",IFERROR(INDEX(품목목록!$C$3:$C$302,MATCH($D880,품목목록!$A$3:$A$302,0)),""))</f>
        <v/>
      </c>
      <c r="G880" s="12" t="str">
        <f aca="false">IF($D880="","",IFERROR(INDEX(품목목록!$D$3:$D$302,MATCH($D880,품목목록!$A$3:$A$302,0)),""))</f>
        <v/>
      </c>
      <c r="H880" s="12" t="str">
        <f aca="false">IF($D880="","",IFERROR(INDEX(품목목록!$E$3:$E$302,MATCH($D880,품목목록!$A$3:$A$302,0)),""))</f>
        <v/>
      </c>
      <c r="I880" s="14"/>
      <c r="J880" s="10"/>
      <c r="K880" s="10"/>
      <c r="L880" s="10"/>
      <c r="M880" s="15" t="str">
        <f aca="false">IF($A880="","",SUMIFS(처리내역!$E$3:$E$1502,처리내역!$B$3:$B$1502,$A880))</f>
        <v/>
      </c>
      <c r="N880" s="15" t="str">
        <f aca="false">IF($A880="","",IF($I880="","",$I880-$M880))</f>
        <v/>
      </c>
      <c r="O880" s="12" t="str">
        <f aca="false">IF($A880="","",IF($I880="","",IF($M880=0,"미처리",IF($N880&lt;=0,"완료","부분처리"))))</f>
        <v/>
      </c>
    </row>
    <row r="881" customFormat="false" ht="15" hidden="false" customHeight="true" outlineLevel="0" collapsed="false">
      <c r="A881" s="12" t="str">
        <f aca="false">IF($B881="","",TEXT($B881,"yymm")&amp;"-"&amp;TEXT(COUNTIFS($B$3:$B881,"&gt;="&amp;DATE(YEAR($B881),MONTH($B881),1),$B$3:$B881,"&lt;="&amp;EOMONTH($B881,0)),"000"))</f>
        <v/>
      </c>
      <c r="B881" s="13"/>
      <c r="C881" s="10"/>
      <c r="D881" s="10"/>
      <c r="E881" s="12" t="str">
        <f aca="false">IF($D881="","",IFERROR(INDEX(품목목록!$B$3:$B$302,MATCH($D881,품목목록!$A$3:$A$302,0)),"미등록품번"))</f>
        <v/>
      </c>
      <c r="F881" s="12" t="str">
        <f aca="false">IF($D881="","",IFERROR(INDEX(품목목록!$C$3:$C$302,MATCH($D881,품목목록!$A$3:$A$302,0)),""))</f>
        <v/>
      </c>
      <c r="G881" s="12" t="str">
        <f aca="false">IF($D881="","",IFERROR(INDEX(품목목록!$D$3:$D$302,MATCH($D881,품목목록!$A$3:$A$302,0)),""))</f>
        <v/>
      </c>
      <c r="H881" s="12" t="str">
        <f aca="false">IF($D881="","",IFERROR(INDEX(품목목록!$E$3:$E$302,MATCH($D881,품목목록!$A$3:$A$302,0)),""))</f>
        <v/>
      </c>
      <c r="I881" s="14"/>
      <c r="J881" s="10"/>
      <c r="K881" s="10"/>
      <c r="L881" s="10"/>
      <c r="M881" s="15" t="str">
        <f aca="false">IF($A881="","",SUMIFS(처리내역!$E$3:$E$1502,처리내역!$B$3:$B$1502,$A881))</f>
        <v/>
      </c>
      <c r="N881" s="15" t="str">
        <f aca="false">IF($A881="","",IF($I881="","",$I881-$M881))</f>
        <v/>
      </c>
      <c r="O881" s="12" t="str">
        <f aca="false">IF($A881="","",IF($I881="","",IF($M881=0,"미처리",IF($N881&lt;=0,"완료","부분처리"))))</f>
        <v/>
      </c>
    </row>
    <row r="882" customFormat="false" ht="15" hidden="false" customHeight="true" outlineLevel="0" collapsed="false">
      <c r="A882" s="12" t="str">
        <f aca="false">IF($B882="","",TEXT($B882,"yymm")&amp;"-"&amp;TEXT(COUNTIFS($B$3:$B882,"&gt;="&amp;DATE(YEAR($B882),MONTH($B882),1),$B$3:$B882,"&lt;="&amp;EOMONTH($B882,0)),"000"))</f>
        <v/>
      </c>
      <c r="B882" s="13"/>
      <c r="C882" s="10"/>
      <c r="D882" s="10"/>
      <c r="E882" s="12" t="str">
        <f aca="false">IF($D882="","",IFERROR(INDEX(품목목록!$B$3:$B$302,MATCH($D882,품목목록!$A$3:$A$302,0)),"미등록품번"))</f>
        <v/>
      </c>
      <c r="F882" s="12" t="str">
        <f aca="false">IF($D882="","",IFERROR(INDEX(품목목록!$C$3:$C$302,MATCH($D882,품목목록!$A$3:$A$302,0)),""))</f>
        <v/>
      </c>
      <c r="G882" s="12" t="str">
        <f aca="false">IF($D882="","",IFERROR(INDEX(품목목록!$D$3:$D$302,MATCH($D882,품목목록!$A$3:$A$302,0)),""))</f>
        <v/>
      </c>
      <c r="H882" s="12" t="str">
        <f aca="false">IF($D882="","",IFERROR(INDEX(품목목록!$E$3:$E$302,MATCH($D882,품목목록!$A$3:$A$302,0)),""))</f>
        <v/>
      </c>
      <c r="I882" s="14"/>
      <c r="J882" s="10"/>
      <c r="K882" s="10"/>
      <c r="L882" s="10"/>
      <c r="M882" s="15" t="str">
        <f aca="false">IF($A882="","",SUMIFS(처리내역!$E$3:$E$1502,처리내역!$B$3:$B$1502,$A882))</f>
        <v/>
      </c>
      <c r="N882" s="15" t="str">
        <f aca="false">IF($A882="","",IF($I882="","",$I882-$M882))</f>
        <v/>
      </c>
      <c r="O882" s="12" t="str">
        <f aca="false">IF($A882="","",IF($I882="","",IF($M882=0,"미처리",IF($N882&lt;=0,"완료","부분처리"))))</f>
        <v/>
      </c>
    </row>
    <row r="883" customFormat="false" ht="15" hidden="false" customHeight="true" outlineLevel="0" collapsed="false">
      <c r="A883" s="12" t="str">
        <f aca="false">IF($B883="","",TEXT($B883,"yymm")&amp;"-"&amp;TEXT(COUNTIFS($B$3:$B883,"&gt;="&amp;DATE(YEAR($B883),MONTH($B883),1),$B$3:$B883,"&lt;="&amp;EOMONTH($B883,0)),"000"))</f>
        <v/>
      </c>
      <c r="B883" s="13"/>
      <c r="C883" s="10"/>
      <c r="D883" s="10"/>
      <c r="E883" s="12" t="str">
        <f aca="false">IF($D883="","",IFERROR(INDEX(품목목록!$B$3:$B$302,MATCH($D883,품목목록!$A$3:$A$302,0)),"미등록품번"))</f>
        <v/>
      </c>
      <c r="F883" s="12" t="str">
        <f aca="false">IF($D883="","",IFERROR(INDEX(품목목록!$C$3:$C$302,MATCH($D883,품목목록!$A$3:$A$302,0)),""))</f>
        <v/>
      </c>
      <c r="G883" s="12" t="str">
        <f aca="false">IF($D883="","",IFERROR(INDEX(품목목록!$D$3:$D$302,MATCH($D883,품목목록!$A$3:$A$302,0)),""))</f>
        <v/>
      </c>
      <c r="H883" s="12" t="str">
        <f aca="false">IF($D883="","",IFERROR(INDEX(품목목록!$E$3:$E$302,MATCH($D883,품목목록!$A$3:$A$302,0)),""))</f>
        <v/>
      </c>
      <c r="I883" s="14"/>
      <c r="J883" s="10"/>
      <c r="K883" s="10"/>
      <c r="L883" s="10"/>
      <c r="M883" s="15" t="str">
        <f aca="false">IF($A883="","",SUMIFS(처리내역!$E$3:$E$1502,처리내역!$B$3:$B$1502,$A883))</f>
        <v/>
      </c>
      <c r="N883" s="15" t="str">
        <f aca="false">IF($A883="","",IF($I883="","",$I883-$M883))</f>
        <v/>
      </c>
      <c r="O883" s="12" t="str">
        <f aca="false">IF($A883="","",IF($I883="","",IF($M883=0,"미처리",IF($N883&lt;=0,"완료","부분처리"))))</f>
        <v/>
      </c>
    </row>
    <row r="884" customFormat="false" ht="15" hidden="false" customHeight="true" outlineLevel="0" collapsed="false">
      <c r="A884" s="12" t="str">
        <f aca="false">IF($B884="","",TEXT($B884,"yymm")&amp;"-"&amp;TEXT(COUNTIFS($B$3:$B884,"&gt;="&amp;DATE(YEAR($B884),MONTH($B884),1),$B$3:$B884,"&lt;="&amp;EOMONTH($B884,0)),"000"))</f>
        <v/>
      </c>
      <c r="B884" s="13"/>
      <c r="C884" s="10"/>
      <c r="D884" s="10"/>
      <c r="E884" s="12" t="str">
        <f aca="false">IF($D884="","",IFERROR(INDEX(품목목록!$B$3:$B$302,MATCH($D884,품목목록!$A$3:$A$302,0)),"미등록품번"))</f>
        <v/>
      </c>
      <c r="F884" s="12" t="str">
        <f aca="false">IF($D884="","",IFERROR(INDEX(품목목록!$C$3:$C$302,MATCH($D884,품목목록!$A$3:$A$302,0)),""))</f>
        <v/>
      </c>
      <c r="G884" s="12" t="str">
        <f aca="false">IF($D884="","",IFERROR(INDEX(품목목록!$D$3:$D$302,MATCH($D884,품목목록!$A$3:$A$302,0)),""))</f>
        <v/>
      </c>
      <c r="H884" s="12" t="str">
        <f aca="false">IF($D884="","",IFERROR(INDEX(품목목록!$E$3:$E$302,MATCH($D884,품목목록!$A$3:$A$302,0)),""))</f>
        <v/>
      </c>
      <c r="I884" s="14"/>
      <c r="J884" s="10"/>
      <c r="K884" s="10"/>
      <c r="L884" s="10"/>
      <c r="M884" s="15" t="str">
        <f aca="false">IF($A884="","",SUMIFS(처리내역!$E$3:$E$1502,처리내역!$B$3:$B$1502,$A884))</f>
        <v/>
      </c>
      <c r="N884" s="15" t="str">
        <f aca="false">IF($A884="","",IF($I884="","",$I884-$M884))</f>
        <v/>
      </c>
      <c r="O884" s="12" t="str">
        <f aca="false">IF($A884="","",IF($I884="","",IF($M884=0,"미처리",IF($N884&lt;=0,"완료","부분처리"))))</f>
        <v/>
      </c>
    </row>
    <row r="885" customFormat="false" ht="15" hidden="false" customHeight="true" outlineLevel="0" collapsed="false">
      <c r="A885" s="12" t="str">
        <f aca="false">IF($B885="","",TEXT($B885,"yymm")&amp;"-"&amp;TEXT(COUNTIFS($B$3:$B885,"&gt;="&amp;DATE(YEAR($B885),MONTH($B885),1),$B$3:$B885,"&lt;="&amp;EOMONTH($B885,0)),"000"))</f>
        <v/>
      </c>
      <c r="B885" s="13"/>
      <c r="C885" s="10"/>
      <c r="D885" s="10"/>
      <c r="E885" s="12" t="str">
        <f aca="false">IF($D885="","",IFERROR(INDEX(품목목록!$B$3:$B$302,MATCH($D885,품목목록!$A$3:$A$302,0)),"미등록품번"))</f>
        <v/>
      </c>
      <c r="F885" s="12" t="str">
        <f aca="false">IF($D885="","",IFERROR(INDEX(품목목록!$C$3:$C$302,MATCH($D885,품목목록!$A$3:$A$302,0)),""))</f>
        <v/>
      </c>
      <c r="G885" s="12" t="str">
        <f aca="false">IF($D885="","",IFERROR(INDEX(품목목록!$D$3:$D$302,MATCH($D885,품목목록!$A$3:$A$302,0)),""))</f>
        <v/>
      </c>
      <c r="H885" s="12" t="str">
        <f aca="false">IF($D885="","",IFERROR(INDEX(품목목록!$E$3:$E$302,MATCH($D885,품목목록!$A$3:$A$302,0)),""))</f>
        <v/>
      </c>
      <c r="I885" s="14"/>
      <c r="J885" s="10"/>
      <c r="K885" s="10"/>
      <c r="L885" s="10"/>
      <c r="M885" s="15" t="str">
        <f aca="false">IF($A885="","",SUMIFS(처리내역!$E$3:$E$1502,처리내역!$B$3:$B$1502,$A885))</f>
        <v/>
      </c>
      <c r="N885" s="15" t="str">
        <f aca="false">IF($A885="","",IF($I885="","",$I885-$M885))</f>
        <v/>
      </c>
      <c r="O885" s="12" t="str">
        <f aca="false">IF($A885="","",IF($I885="","",IF($M885=0,"미처리",IF($N885&lt;=0,"완료","부분처리"))))</f>
        <v/>
      </c>
    </row>
    <row r="886" customFormat="false" ht="15" hidden="false" customHeight="true" outlineLevel="0" collapsed="false">
      <c r="A886" s="12" t="str">
        <f aca="false">IF($B886="","",TEXT($B886,"yymm")&amp;"-"&amp;TEXT(COUNTIFS($B$3:$B886,"&gt;="&amp;DATE(YEAR($B886),MONTH($B886),1),$B$3:$B886,"&lt;="&amp;EOMONTH($B886,0)),"000"))</f>
        <v/>
      </c>
      <c r="B886" s="13"/>
      <c r="C886" s="10"/>
      <c r="D886" s="10"/>
      <c r="E886" s="12" t="str">
        <f aca="false">IF($D886="","",IFERROR(INDEX(품목목록!$B$3:$B$302,MATCH($D886,품목목록!$A$3:$A$302,0)),"미등록품번"))</f>
        <v/>
      </c>
      <c r="F886" s="12" t="str">
        <f aca="false">IF($D886="","",IFERROR(INDEX(품목목록!$C$3:$C$302,MATCH($D886,품목목록!$A$3:$A$302,0)),""))</f>
        <v/>
      </c>
      <c r="G886" s="12" t="str">
        <f aca="false">IF($D886="","",IFERROR(INDEX(품목목록!$D$3:$D$302,MATCH($D886,품목목록!$A$3:$A$302,0)),""))</f>
        <v/>
      </c>
      <c r="H886" s="12" t="str">
        <f aca="false">IF($D886="","",IFERROR(INDEX(품목목록!$E$3:$E$302,MATCH($D886,품목목록!$A$3:$A$302,0)),""))</f>
        <v/>
      </c>
      <c r="I886" s="14"/>
      <c r="J886" s="10"/>
      <c r="K886" s="10"/>
      <c r="L886" s="10"/>
      <c r="M886" s="15" t="str">
        <f aca="false">IF($A886="","",SUMIFS(처리내역!$E$3:$E$1502,처리내역!$B$3:$B$1502,$A886))</f>
        <v/>
      </c>
      <c r="N886" s="15" t="str">
        <f aca="false">IF($A886="","",IF($I886="","",$I886-$M886))</f>
        <v/>
      </c>
      <c r="O886" s="12" t="str">
        <f aca="false">IF($A886="","",IF($I886="","",IF($M886=0,"미처리",IF($N886&lt;=0,"완료","부분처리"))))</f>
        <v/>
      </c>
    </row>
    <row r="887" customFormat="false" ht="15" hidden="false" customHeight="true" outlineLevel="0" collapsed="false">
      <c r="A887" s="12" t="str">
        <f aca="false">IF($B887="","",TEXT($B887,"yymm")&amp;"-"&amp;TEXT(COUNTIFS($B$3:$B887,"&gt;="&amp;DATE(YEAR($B887),MONTH($B887),1),$B$3:$B887,"&lt;="&amp;EOMONTH($B887,0)),"000"))</f>
        <v/>
      </c>
      <c r="B887" s="13"/>
      <c r="C887" s="10"/>
      <c r="D887" s="10"/>
      <c r="E887" s="12" t="str">
        <f aca="false">IF($D887="","",IFERROR(INDEX(품목목록!$B$3:$B$302,MATCH($D887,품목목록!$A$3:$A$302,0)),"미등록품번"))</f>
        <v/>
      </c>
      <c r="F887" s="12" t="str">
        <f aca="false">IF($D887="","",IFERROR(INDEX(품목목록!$C$3:$C$302,MATCH($D887,품목목록!$A$3:$A$302,0)),""))</f>
        <v/>
      </c>
      <c r="G887" s="12" t="str">
        <f aca="false">IF($D887="","",IFERROR(INDEX(품목목록!$D$3:$D$302,MATCH($D887,품목목록!$A$3:$A$302,0)),""))</f>
        <v/>
      </c>
      <c r="H887" s="12" t="str">
        <f aca="false">IF($D887="","",IFERROR(INDEX(품목목록!$E$3:$E$302,MATCH($D887,품목목록!$A$3:$A$302,0)),""))</f>
        <v/>
      </c>
      <c r="I887" s="14"/>
      <c r="J887" s="10"/>
      <c r="K887" s="10"/>
      <c r="L887" s="10"/>
      <c r="M887" s="15" t="str">
        <f aca="false">IF($A887="","",SUMIFS(처리내역!$E$3:$E$1502,처리내역!$B$3:$B$1502,$A887))</f>
        <v/>
      </c>
      <c r="N887" s="15" t="str">
        <f aca="false">IF($A887="","",IF($I887="","",$I887-$M887))</f>
        <v/>
      </c>
      <c r="O887" s="12" t="str">
        <f aca="false">IF($A887="","",IF($I887="","",IF($M887=0,"미처리",IF($N887&lt;=0,"완료","부분처리"))))</f>
        <v/>
      </c>
    </row>
    <row r="888" customFormat="false" ht="15" hidden="false" customHeight="true" outlineLevel="0" collapsed="false">
      <c r="A888" s="12" t="str">
        <f aca="false">IF($B888="","",TEXT($B888,"yymm")&amp;"-"&amp;TEXT(COUNTIFS($B$3:$B888,"&gt;="&amp;DATE(YEAR($B888),MONTH($B888),1),$B$3:$B888,"&lt;="&amp;EOMONTH($B888,0)),"000"))</f>
        <v/>
      </c>
      <c r="B888" s="13"/>
      <c r="C888" s="10"/>
      <c r="D888" s="10"/>
      <c r="E888" s="12" t="str">
        <f aca="false">IF($D888="","",IFERROR(INDEX(품목목록!$B$3:$B$302,MATCH($D888,품목목록!$A$3:$A$302,0)),"미등록품번"))</f>
        <v/>
      </c>
      <c r="F888" s="12" t="str">
        <f aca="false">IF($D888="","",IFERROR(INDEX(품목목록!$C$3:$C$302,MATCH($D888,품목목록!$A$3:$A$302,0)),""))</f>
        <v/>
      </c>
      <c r="G888" s="12" t="str">
        <f aca="false">IF($D888="","",IFERROR(INDEX(품목목록!$D$3:$D$302,MATCH($D888,품목목록!$A$3:$A$302,0)),""))</f>
        <v/>
      </c>
      <c r="H888" s="12" t="str">
        <f aca="false">IF($D888="","",IFERROR(INDEX(품목목록!$E$3:$E$302,MATCH($D888,품목목록!$A$3:$A$302,0)),""))</f>
        <v/>
      </c>
      <c r="I888" s="14"/>
      <c r="J888" s="10"/>
      <c r="K888" s="10"/>
      <c r="L888" s="10"/>
      <c r="M888" s="15" t="str">
        <f aca="false">IF($A888="","",SUMIFS(처리내역!$E$3:$E$1502,처리내역!$B$3:$B$1502,$A888))</f>
        <v/>
      </c>
      <c r="N888" s="15" t="str">
        <f aca="false">IF($A888="","",IF($I888="","",$I888-$M888))</f>
        <v/>
      </c>
      <c r="O888" s="12" t="str">
        <f aca="false">IF($A888="","",IF($I888="","",IF($M888=0,"미처리",IF($N888&lt;=0,"완료","부분처리"))))</f>
        <v/>
      </c>
    </row>
    <row r="889" customFormat="false" ht="15" hidden="false" customHeight="true" outlineLevel="0" collapsed="false">
      <c r="A889" s="12" t="str">
        <f aca="false">IF($B889="","",TEXT($B889,"yymm")&amp;"-"&amp;TEXT(COUNTIFS($B$3:$B889,"&gt;="&amp;DATE(YEAR($B889),MONTH($B889),1),$B$3:$B889,"&lt;="&amp;EOMONTH($B889,0)),"000"))</f>
        <v/>
      </c>
      <c r="B889" s="13"/>
      <c r="C889" s="10"/>
      <c r="D889" s="10"/>
      <c r="E889" s="12" t="str">
        <f aca="false">IF($D889="","",IFERROR(INDEX(품목목록!$B$3:$B$302,MATCH($D889,품목목록!$A$3:$A$302,0)),"미등록품번"))</f>
        <v/>
      </c>
      <c r="F889" s="12" t="str">
        <f aca="false">IF($D889="","",IFERROR(INDEX(품목목록!$C$3:$C$302,MATCH($D889,품목목록!$A$3:$A$302,0)),""))</f>
        <v/>
      </c>
      <c r="G889" s="12" t="str">
        <f aca="false">IF($D889="","",IFERROR(INDEX(품목목록!$D$3:$D$302,MATCH($D889,품목목록!$A$3:$A$302,0)),""))</f>
        <v/>
      </c>
      <c r="H889" s="12" t="str">
        <f aca="false">IF($D889="","",IFERROR(INDEX(품목목록!$E$3:$E$302,MATCH($D889,품목목록!$A$3:$A$302,0)),""))</f>
        <v/>
      </c>
      <c r="I889" s="14"/>
      <c r="J889" s="10"/>
      <c r="K889" s="10"/>
      <c r="L889" s="10"/>
      <c r="M889" s="15" t="str">
        <f aca="false">IF($A889="","",SUMIFS(처리내역!$E$3:$E$1502,처리내역!$B$3:$B$1502,$A889))</f>
        <v/>
      </c>
      <c r="N889" s="15" t="str">
        <f aca="false">IF($A889="","",IF($I889="","",$I889-$M889))</f>
        <v/>
      </c>
      <c r="O889" s="12" t="str">
        <f aca="false">IF($A889="","",IF($I889="","",IF($M889=0,"미처리",IF($N889&lt;=0,"완료","부분처리"))))</f>
        <v/>
      </c>
    </row>
    <row r="890" customFormat="false" ht="15" hidden="false" customHeight="true" outlineLevel="0" collapsed="false">
      <c r="A890" s="12" t="str">
        <f aca="false">IF($B890="","",TEXT($B890,"yymm")&amp;"-"&amp;TEXT(COUNTIFS($B$3:$B890,"&gt;="&amp;DATE(YEAR($B890),MONTH($B890),1),$B$3:$B890,"&lt;="&amp;EOMONTH($B890,0)),"000"))</f>
        <v/>
      </c>
      <c r="B890" s="13"/>
      <c r="C890" s="10"/>
      <c r="D890" s="10"/>
      <c r="E890" s="12" t="str">
        <f aca="false">IF($D890="","",IFERROR(INDEX(품목목록!$B$3:$B$302,MATCH($D890,품목목록!$A$3:$A$302,0)),"미등록품번"))</f>
        <v/>
      </c>
      <c r="F890" s="12" t="str">
        <f aca="false">IF($D890="","",IFERROR(INDEX(품목목록!$C$3:$C$302,MATCH($D890,품목목록!$A$3:$A$302,0)),""))</f>
        <v/>
      </c>
      <c r="G890" s="12" t="str">
        <f aca="false">IF($D890="","",IFERROR(INDEX(품목목록!$D$3:$D$302,MATCH($D890,품목목록!$A$3:$A$302,0)),""))</f>
        <v/>
      </c>
      <c r="H890" s="12" t="str">
        <f aca="false">IF($D890="","",IFERROR(INDEX(품목목록!$E$3:$E$302,MATCH($D890,품목목록!$A$3:$A$302,0)),""))</f>
        <v/>
      </c>
      <c r="I890" s="14"/>
      <c r="J890" s="10"/>
      <c r="K890" s="10"/>
      <c r="L890" s="10"/>
      <c r="M890" s="15" t="str">
        <f aca="false">IF($A890="","",SUMIFS(처리내역!$E$3:$E$1502,처리내역!$B$3:$B$1502,$A890))</f>
        <v/>
      </c>
      <c r="N890" s="15" t="str">
        <f aca="false">IF($A890="","",IF($I890="","",$I890-$M890))</f>
        <v/>
      </c>
      <c r="O890" s="12" t="str">
        <f aca="false">IF($A890="","",IF($I890="","",IF($M890=0,"미처리",IF($N890&lt;=0,"완료","부분처리"))))</f>
        <v/>
      </c>
    </row>
    <row r="891" customFormat="false" ht="15" hidden="false" customHeight="true" outlineLevel="0" collapsed="false">
      <c r="A891" s="12" t="str">
        <f aca="false">IF($B891="","",TEXT($B891,"yymm")&amp;"-"&amp;TEXT(COUNTIFS($B$3:$B891,"&gt;="&amp;DATE(YEAR($B891),MONTH($B891),1),$B$3:$B891,"&lt;="&amp;EOMONTH($B891,0)),"000"))</f>
        <v/>
      </c>
      <c r="B891" s="13"/>
      <c r="C891" s="10"/>
      <c r="D891" s="10"/>
      <c r="E891" s="12" t="str">
        <f aca="false">IF($D891="","",IFERROR(INDEX(품목목록!$B$3:$B$302,MATCH($D891,품목목록!$A$3:$A$302,0)),"미등록품번"))</f>
        <v/>
      </c>
      <c r="F891" s="12" t="str">
        <f aca="false">IF($D891="","",IFERROR(INDEX(품목목록!$C$3:$C$302,MATCH($D891,품목목록!$A$3:$A$302,0)),""))</f>
        <v/>
      </c>
      <c r="G891" s="12" t="str">
        <f aca="false">IF($D891="","",IFERROR(INDEX(품목목록!$D$3:$D$302,MATCH($D891,품목목록!$A$3:$A$302,0)),""))</f>
        <v/>
      </c>
      <c r="H891" s="12" t="str">
        <f aca="false">IF($D891="","",IFERROR(INDEX(품목목록!$E$3:$E$302,MATCH($D891,품목목록!$A$3:$A$302,0)),""))</f>
        <v/>
      </c>
      <c r="I891" s="14"/>
      <c r="J891" s="10"/>
      <c r="K891" s="10"/>
      <c r="L891" s="10"/>
      <c r="M891" s="15" t="str">
        <f aca="false">IF($A891="","",SUMIFS(처리내역!$E$3:$E$1502,처리내역!$B$3:$B$1502,$A891))</f>
        <v/>
      </c>
      <c r="N891" s="15" t="str">
        <f aca="false">IF($A891="","",IF($I891="","",$I891-$M891))</f>
        <v/>
      </c>
      <c r="O891" s="12" t="str">
        <f aca="false">IF($A891="","",IF($I891="","",IF($M891=0,"미처리",IF($N891&lt;=0,"완료","부분처리"))))</f>
        <v/>
      </c>
    </row>
    <row r="892" customFormat="false" ht="15" hidden="false" customHeight="true" outlineLevel="0" collapsed="false">
      <c r="A892" s="12" t="str">
        <f aca="false">IF($B892="","",TEXT($B892,"yymm")&amp;"-"&amp;TEXT(COUNTIFS($B$3:$B892,"&gt;="&amp;DATE(YEAR($B892),MONTH($B892),1),$B$3:$B892,"&lt;="&amp;EOMONTH($B892,0)),"000"))</f>
        <v/>
      </c>
      <c r="B892" s="13"/>
      <c r="C892" s="10"/>
      <c r="D892" s="10"/>
      <c r="E892" s="12" t="str">
        <f aca="false">IF($D892="","",IFERROR(INDEX(품목목록!$B$3:$B$302,MATCH($D892,품목목록!$A$3:$A$302,0)),"미등록품번"))</f>
        <v/>
      </c>
      <c r="F892" s="12" t="str">
        <f aca="false">IF($D892="","",IFERROR(INDEX(품목목록!$C$3:$C$302,MATCH($D892,품목목록!$A$3:$A$302,0)),""))</f>
        <v/>
      </c>
      <c r="G892" s="12" t="str">
        <f aca="false">IF($D892="","",IFERROR(INDEX(품목목록!$D$3:$D$302,MATCH($D892,품목목록!$A$3:$A$302,0)),""))</f>
        <v/>
      </c>
      <c r="H892" s="12" t="str">
        <f aca="false">IF($D892="","",IFERROR(INDEX(품목목록!$E$3:$E$302,MATCH($D892,품목목록!$A$3:$A$302,0)),""))</f>
        <v/>
      </c>
      <c r="I892" s="14"/>
      <c r="J892" s="10"/>
      <c r="K892" s="10"/>
      <c r="L892" s="10"/>
      <c r="M892" s="15" t="str">
        <f aca="false">IF($A892="","",SUMIFS(처리내역!$E$3:$E$1502,처리내역!$B$3:$B$1502,$A892))</f>
        <v/>
      </c>
      <c r="N892" s="15" t="str">
        <f aca="false">IF($A892="","",IF($I892="","",$I892-$M892))</f>
        <v/>
      </c>
      <c r="O892" s="12" t="str">
        <f aca="false">IF($A892="","",IF($I892="","",IF($M892=0,"미처리",IF($N892&lt;=0,"완료","부분처리"))))</f>
        <v/>
      </c>
    </row>
    <row r="893" customFormat="false" ht="15" hidden="false" customHeight="true" outlineLevel="0" collapsed="false">
      <c r="A893" s="12" t="str">
        <f aca="false">IF($B893="","",TEXT($B893,"yymm")&amp;"-"&amp;TEXT(COUNTIFS($B$3:$B893,"&gt;="&amp;DATE(YEAR($B893),MONTH($B893),1),$B$3:$B893,"&lt;="&amp;EOMONTH($B893,0)),"000"))</f>
        <v/>
      </c>
      <c r="B893" s="13"/>
      <c r="C893" s="10"/>
      <c r="D893" s="10"/>
      <c r="E893" s="12" t="str">
        <f aca="false">IF($D893="","",IFERROR(INDEX(품목목록!$B$3:$B$302,MATCH($D893,품목목록!$A$3:$A$302,0)),"미등록품번"))</f>
        <v/>
      </c>
      <c r="F893" s="12" t="str">
        <f aca="false">IF($D893="","",IFERROR(INDEX(품목목록!$C$3:$C$302,MATCH($D893,품목목록!$A$3:$A$302,0)),""))</f>
        <v/>
      </c>
      <c r="G893" s="12" t="str">
        <f aca="false">IF($D893="","",IFERROR(INDEX(품목목록!$D$3:$D$302,MATCH($D893,품목목록!$A$3:$A$302,0)),""))</f>
        <v/>
      </c>
      <c r="H893" s="12" t="str">
        <f aca="false">IF($D893="","",IFERROR(INDEX(품목목록!$E$3:$E$302,MATCH($D893,품목목록!$A$3:$A$302,0)),""))</f>
        <v/>
      </c>
      <c r="I893" s="14"/>
      <c r="J893" s="10"/>
      <c r="K893" s="10"/>
      <c r="L893" s="10"/>
      <c r="M893" s="15" t="str">
        <f aca="false">IF($A893="","",SUMIFS(처리내역!$E$3:$E$1502,처리내역!$B$3:$B$1502,$A893))</f>
        <v/>
      </c>
      <c r="N893" s="15" t="str">
        <f aca="false">IF($A893="","",IF($I893="","",$I893-$M893))</f>
        <v/>
      </c>
      <c r="O893" s="12" t="str">
        <f aca="false">IF($A893="","",IF($I893="","",IF($M893=0,"미처리",IF($N893&lt;=0,"완료","부분처리"))))</f>
        <v/>
      </c>
    </row>
    <row r="894" customFormat="false" ht="15" hidden="false" customHeight="true" outlineLevel="0" collapsed="false">
      <c r="A894" s="12" t="str">
        <f aca="false">IF($B894="","",TEXT($B894,"yymm")&amp;"-"&amp;TEXT(COUNTIFS($B$3:$B894,"&gt;="&amp;DATE(YEAR($B894),MONTH($B894),1),$B$3:$B894,"&lt;="&amp;EOMONTH($B894,0)),"000"))</f>
        <v/>
      </c>
      <c r="B894" s="13"/>
      <c r="C894" s="10"/>
      <c r="D894" s="10"/>
      <c r="E894" s="12" t="str">
        <f aca="false">IF($D894="","",IFERROR(INDEX(품목목록!$B$3:$B$302,MATCH($D894,품목목록!$A$3:$A$302,0)),"미등록품번"))</f>
        <v/>
      </c>
      <c r="F894" s="12" t="str">
        <f aca="false">IF($D894="","",IFERROR(INDEX(품목목록!$C$3:$C$302,MATCH($D894,품목목록!$A$3:$A$302,0)),""))</f>
        <v/>
      </c>
      <c r="G894" s="12" t="str">
        <f aca="false">IF($D894="","",IFERROR(INDEX(품목목록!$D$3:$D$302,MATCH($D894,품목목록!$A$3:$A$302,0)),""))</f>
        <v/>
      </c>
      <c r="H894" s="12" t="str">
        <f aca="false">IF($D894="","",IFERROR(INDEX(품목목록!$E$3:$E$302,MATCH($D894,품목목록!$A$3:$A$302,0)),""))</f>
        <v/>
      </c>
      <c r="I894" s="14"/>
      <c r="J894" s="10"/>
      <c r="K894" s="10"/>
      <c r="L894" s="10"/>
      <c r="M894" s="15" t="str">
        <f aca="false">IF($A894="","",SUMIFS(처리내역!$E$3:$E$1502,처리내역!$B$3:$B$1502,$A894))</f>
        <v/>
      </c>
      <c r="N894" s="15" t="str">
        <f aca="false">IF($A894="","",IF($I894="","",$I894-$M894))</f>
        <v/>
      </c>
      <c r="O894" s="12" t="str">
        <f aca="false">IF($A894="","",IF($I894="","",IF($M894=0,"미처리",IF($N894&lt;=0,"완료","부분처리"))))</f>
        <v/>
      </c>
    </row>
    <row r="895" customFormat="false" ht="15" hidden="false" customHeight="true" outlineLevel="0" collapsed="false">
      <c r="A895" s="12" t="str">
        <f aca="false">IF($B895="","",TEXT($B895,"yymm")&amp;"-"&amp;TEXT(COUNTIFS($B$3:$B895,"&gt;="&amp;DATE(YEAR($B895),MONTH($B895),1),$B$3:$B895,"&lt;="&amp;EOMONTH($B895,0)),"000"))</f>
        <v/>
      </c>
      <c r="B895" s="13"/>
      <c r="C895" s="10"/>
      <c r="D895" s="10"/>
      <c r="E895" s="12" t="str">
        <f aca="false">IF($D895="","",IFERROR(INDEX(품목목록!$B$3:$B$302,MATCH($D895,품목목록!$A$3:$A$302,0)),"미등록품번"))</f>
        <v/>
      </c>
      <c r="F895" s="12" t="str">
        <f aca="false">IF($D895="","",IFERROR(INDEX(품목목록!$C$3:$C$302,MATCH($D895,품목목록!$A$3:$A$302,0)),""))</f>
        <v/>
      </c>
      <c r="G895" s="12" t="str">
        <f aca="false">IF($D895="","",IFERROR(INDEX(품목목록!$D$3:$D$302,MATCH($D895,품목목록!$A$3:$A$302,0)),""))</f>
        <v/>
      </c>
      <c r="H895" s="12" t="str">
        <f aca="false">IF($D895="","",IFERROR(INDEX(품목목록!$E$3:$E$302,MATCH($D895,품목목록!$A$3:$A$302,0)),""))</f>
        <v/>
      </c>
      <c r="I895" s="14"/>
      <c r="J895" s="10"/>
      <c r="K895" s="10"/>
      <c r="L895" s="10"/>
      <c r="M895" s="15" t="str">
        <f aca="false">IF($A895="","",SUMIFS(처리내역!$E$3:$E$1502,처리내역!$B$3:$B$1502,$A895))</f>
        <v/>
      </c>
      <c r="N895" s="15" t="str">
        <f aca="false">IF($A895="","",IF($I895="","",$I895-$M895))</f>
        <v/>
      </c>
      <c r="O895" s="12" t="str">
        <f aca="false">IF($A895="","",IF($I895="","",IF($M895=0,"미처리",IF($N895&lt;=0,"완료","부분처리"))))</f>
        <v/>
      </c>
    </row>
    <row r="896" customFormat="false" ht="15" hidden="false" customHeight="true" outlineLevel="0" collapsed="false">
      <c r="A896" s="12" t="str">
        <f aca="false">IF($B896="","",TEXT($B896,"yymm")&amp;"-"&amp;TEXT(COUNTIFS($B$3:$B896,"&gt;="&amp;DATE(YEAR($B896),MONTH($B896),1),$B$3:$B896,"&lt;="&amp;EOMONTH($B896,0)),"000"))</f>
        <v/>
      </c>
      <c r="B896" s="13"/>
      <c r="C896" s="10"/>
      <c r="D896" s="10"/>
      <c r="E896" s="12" t="str">
        <f aca="false">IF($D896="","",IFERROR(INDEX(품목목록!$B$3:$B$302,MATCH($D896,품목목록!$A$3:$A$302,0)),"미등록품번"))</f>
        <v/>
      </c>
      <c r="F896" s="12" t="str">
        <f aca="false">IF($D896="","",IFERROR(INDEX(품목목록!$C$3:$C$302,MATCH($D896,품목목록!$A$3:$A$302,0)),""))</f>
        <v/>
      </c>
      <c r="G896" s="12" t="str">
        <f aca="false">IF($D896="","",IFERROR(INDEX(품목목록!$D$3:$D$302,MATCH($D896,품목목록!$A$3:$A$302,0)),""))</f>
        <v/>
      </c>
      <c r="H896" s="12" t="str">
        <f aca="false">IF($D896="","",IFERROR(INDEX(품목목록!$E$3:$E$302,MATCH($D896,품목목록!$A$3:$A$302,0)),""))</f>
        <v/>
      </c>
      <c r="I896" s="14"/>
      <c r="J896" s="10"/>
      <c r="K896" s="10"/>
      <c r="L896" s="10"/>
      <c r="M896" s="15" t="str">
        <f aca="false">IF($A896="","",SUMIFS(처리내역!$E$3:$E$1502,처리내역!$B$3:$B$1502,$A896))</f>
        <v/>
      </c>
      <c r="N896" s="15" t="str">
        <f aca="false">IF($A896="","",IF($I896="","",$I896-$M896))</f>
        <v/>
      </c>
      <c r="O896" s="12" t="str">
        <f aca="false">IF($A896="","",IF($I896="","",IF($M896=0,"미처리",IF($N896&lt;=0,"완료","부분처리"))))</f>
        <v/>
      </c>
    </row>
    <row r="897" customFormat="false" ht="15" hidden="false" customHeight="true" outlineLevel="0" collapsed="false">
      <c r="A897" s="12" t="str">
        <f aca="false">IF($B897="","",TEXT($B897,"yymm")&amp;"-"&amp;TEXT(COUNTIFS($B$3:$B897,"&gt;="&amp;DATE(YEAR($B897),MONTH($B897),1),$B$3:$B897,"&lt;="&amp;EOMONTH($B897,0)),"000"))</f>
        <v/>
      </c>
      <c r="B897" s="13"/>
      <c r="C897" s="10"/>
      <c r="D897" s="10"/>
      <c r="E897" s="12" t="str">
        <f aca="false">IF($D897="","",IFERROR(INDEX(품목목록!$B$3:$B$302,MATCH($D897,품목목록!$A$3:$A$302,0)),"미등록품번"))</f>
        <v/>
      </c>
      <c r="F897" s="12" t="str">
        <f aca="false">IF($D897="","",IFERROR(INDEX(품목목록!$C$3:$C$302,MATCH($D897,품목목록!$A$3:$A$302,0)),""))</f>
        <v/>
      </c>
      <c r="G897" s="12" t="str">
        <f aca="false">IF($D897="","",IFERROR(INDEX(품목목록!$D$3:$D$302,MATCH($D897,품목목록!$A$3:$A$302,0)),""))</f>
        <v/>
      </c>
      <c r="H897" s="12" t="str">
        <f aca="false">IF($D897="","",IFERROR(INDEX(품목목록!$E$3:$E$302,MATCH($D897,품목목록!$A$3:$A$302,0)),""))</f>
        <v/>
      </c>
      <c r="I897" s="14"/>
      <c r="J897" s="10"/>
      <c r="K897" s="10"/>
      <c r="L897" s="10"/>
      <c r="M897" s="15" t="str">
        <f aca="false">IF($A897="","",SUMIFS(처리내역!$E$3:$E$1502,처리내역!$B$3:$B$1502,$A897))</f>
        <v/>
      </c>
      <c r="N897" s="15" t="str">
        <f aca="false">IF($A897="","",IF($I897="","",$I897-$M897))</f>
        <v/>
      </c>
      <c r="O897" s="12" t="str">
        <f aca="false">IF($A897="","",IF($I897="","",IF($M897=0,"미처리",IF($N897&lt;=0,"완료","부분처리"))))</f>
        <v/>
      </c>
    </row>
    <row r="898" customFormat="false" ht="15" hidden="false" customHeight="true" outlineLevel="0" collapsed="false">
      <c r="A898" s="12" t="str">
        <f aca="false">IF($B898="","",TEXT($B898,"yymm")&amp;"-"&amp;TEXT(COUNTIFS($B$3:$B898,"&gt;="&amp;DATE(YEAR($B898),MONTH($B898),1),$B$3:$B898,"&lt;="&amp;EOMONTH($B898,0)),"000"))</f>
        <v/>
      </c>
      <c r="B898" s="13"/>
      <c r="C898" s="10"/>
      <c r="D898" s="10"/>
      <c r="E898" s="12" t="str">
        <f aca="false">IF($D898="","",IFERROR(INDEX(품목목록!$B$3:$B$302,MATCH($D898,품목목록!$A$3:$A$302,0)),"미등록품번"))</f>
        <v/>
      </c>
      <c r="F898" s="12" t="str">
        <f aca="false">IF($D898="","",IFERROR(INDEX(품목목록!$C$3:$C$302,MATCH($D898,품목목록!$A$3:$A$302,0)),""))</f>
        <v/>
      </c>
      <c r="G898" s="12" t="str">
        <f aca="false">IF($D898="","",IFERROR(INDEX(품목목록!$D$3:$D$302,MATCH($D898,품목목록!$A$3:$A$302,0)),""))</f>
        <v/>
      </c>
      <c r="H898" s="12" t="str">
        <f aca="false">IF($D898="","",IFERROR(INDEX(품목목록!$E$3:$E$302,MATCH($D898,품목목록!$A$3:$A$302,0)),""))</f>
        <v/>
      </c>
      <c r="I898" s="14"/>
      <c r="J898" s="10"/>
      <c r="K898" s="10"/>
      <c r="L898" s="10"/>
      <c r="M898" s="15" t="str">
        <f aca="false">IF($A898="","",SUMIFS(처리내역!$E$3:$E$1502,처리내역!$B$3:$B$1502,$A898))</f>
        <v/>
      </c>
      <c r="N898" s="15" t="str">
        <f aca="false">IF($A898="","",IF($I898="","",$I898-$M898))</f>
        <v/>
      </c>
      <c r="O898" s="12" t="str">
        <f aca="false">IF($A898="","",IF($I898="","",IF($M898=0,"미처리",IF($N898&lt;=0,"완료","부분처리"))))</f>
        <v/>
      </c>
    </row>
    <row r="899" customFormat="false" ht="15" hidden="false" customHeight="true" outlineLevel="0" collapsed="false">
      <c r="A899" s="12" t="str">
        <f aca="false">IF($B899="","",TEXT($B899,"yymm")&amp;"-"&amp;TEXT(COUNTIFS($B$3:$B899,"&gt;="&amp;DATE(YEAR($B899),MONTH($B899),1),$B$3:$B899,"&lt;="&amp;EOMONTH($B899,0)),"000"))</f>
        <v/>
      </c>
      <c r="B899" s="13"/>
      <c r="C899" s="10"/>
      <c r="D899" s="10"/>
      <c r="E899" s="12" t="str">
        <f aca="false">IF($D899="","",IFERROR(INDEX(품목목록!$B$3:$B$302,MATCH($D899,품목목록!$A$3:$A$302,0)),"미등록품번"))</f>
        <v/>
      </c>
      <c r="F899" s="12" t="str">
        <f aca="false">IF($D899="","",IFERROR(INDEX(품목목록!$C$3:$C$302,MATCH($D899,품목목록!$A$3:$A$302,0)),""))</f>
        <v/>
      </c>
      <c r="G899" s="12" t="str">
        <f aca="false">IF($D899="","",IFERROR(INDEX(품목목록!$D$3:$D$302,MATCH($D899,품목목록!$A$3:$A$302,0)),""))</f>
        <v/>
      </c>
      <c r="H899" s="12" t="str">
        <f aca="false">IF($D899="","",IFERROR(INDEX(품목목록!$E$3:$E$302,MATCH($D899,품목목록!$A$3:$A$302,0)),""))</f>
        <v/>
      </c>
      <c r="I899" s="14"/>
      <c r="J899" s="10"/>
      <c r="K899" s="10"/>
      <c r="L899" s="10"/>
      <c r="M899" s="15" t="str">
        <f aca="false">IF($A899="","",SUMIFS(처리내역!$E$3:$E$1502,처리내역!$B$3:$B$1502,$A899))</f>
        <v/>
      </c>
      <c r="N899" s="15" t="str">
        <f aca="false">IF($A899="","",IF($I899="","",$I899-$M899))</f>
        <v/>
      </c>
      <c r="O899" s="12" t="str">
        <f aca="false">IF($A899="","",IF($I899="","",IF($M899=0,"미처리",IF($N899&lt;=0,"완료","부분처리"))))</f>
        <v/>
      </c>
    </row>
    <row r="900" customFormat="false" ht="15" hidden="false" customHeight="true" outlineLevel="0" collapsed="false">
      <c r="A900" s="12" t="str">
        <f aca="false">IF($B900="","",TEXT($B900,"yymm")&amp;"-"&amp;TEXT(COUNTIFS($B$3:$B900,"&gt;="&amp;DATE(YEAR($B900),MONTH($B900),1),$B$3:$B900,"&lt;="&amp;EOMONTH($B900,0)),"000"))</f>
        <v/>
      </c>
      <c r="B900" s="13"/>
      <c r="C900" s="10"/>
      <c r="D900" s="10"/>
      <c r="E900" s="12" t="str">
        <f aca="false">IF($D900="","",IFERROR(INDEX(품목목록!$B$3:$B$302,MATCH($D900,품목목록!$A$3:$A$302,0)),"미등록품번"))</f>
        <v/>
      </c>
      <c r="F900" s="12" t="str">
        <f aca="false">IF($D900="","",IFERROR(INDEX(품목목록!$C$3:$C$302,MATCH($D900,품목목록!$A$3:$A$302,0)),""))</f>
        <v/>
      </c>
      <c r="G900" s="12" t="str">
        <f aca="false">IF($D900="","",IFERROR(INDEX(품목목록!$D$3:$D$302,MATCH($D900,품목목록!$A$3:$A$302,0)),""))</f>
        <v/>
      </c>
      <c r="H900" s="12" t="str">
        <f aca="false">IF($D900="","",IFERROR(INDEX(품목목록!$E$3:$E$302,MATCH($D900,품목목록!$A$3:$A$302,0)),""))</f>
        <v/>
      </c>
      <c r="I900" s="14"/>
      <c r="J900" s="10"/>
      <c r="K900" s="10"/>
      <c r="L900" s="10"/>
      <c r="M900" s="15" t="str">
        <f aca="false">IF($A900="","",SUMIFS(처리내역!$E$3:$E$1502,처리내역!$B$3:$B$1502,$A900))</f>
        <v/>
      </c>
      <c r="N900" s="15" t="str">
        <f aca="false">IF($A900="","",IF($I900="","",$I900-$M900))</f>
        <v/>
      </c>
      <c r="O900" s="12" t="str">
        <f aca="false">IF($A900="","",IF($I900="","",IF($M900=0,"미처리",IF($N900&lt;=0,"완료","부분처리"))))</f>
        <v/>
      </c>
    </row>
    <row r="901" customFormat="false" ht="15" hidden="false" customHeight="true" outlineLevel="0" collapsed="false">
      <c r="A901" s="12" t="str">
        <f aca="false">IF($B901="","",TEXT($B901,"yymm")&amp;"-"&amp;TEXT(COUNTIFS($B$3:$B901,"&gt;="&amp;DATE(YEAR($B901),MONTH($B901),1),$B$3:$B901,"&lt;="&amp;EOMONTH($B901,0)),"000"))</f>
        <v/>
      </c>
      <c r="B901" s="13"/>
      <c r="C901" s="10"/>
      <c r="D901" s="10"/>
      <c r="E901" s="12" t="str">
        <f aca="false">IF($D901="","",IFERROR(INDEX(품목목록!$B$3:$B$302,MATCH($D901,품목목록!$A$3:$A$302,0)),"미등록품번"))</f>
        <v/>
      </c>
      <c r="F901" s="12" t="str">
        <f aca="false">IF($D901="","",IFERROR(INDEX(품목목록!$C$3:$C$302,MATCH($D901,품목목록!$A$3:$A$302,0)),""))</f>
        <v/>
      </c>
      <c r="G901" s="12" t="str">
        <f aca="false">IF($D901="","",IFERROR(INDEX(품목목록!$D$3:$D$302,MATCH($D901,품목목록!$A$3:$A$302,0)),""))</f>
        <v/>
      </c>
      <c r="H901" s="12" t="str">
        <f aca="false">IF($D901="","",IFERROR(INDEX(품목목록!$E$3:$E$302,MATCH($D901,품목목록!$A$3:$A$302,0)),""))</f>
        <v/>
      </c>
      <c r="I901" s="14"/>
      <c r="J901" s="10"/>
      <c r="K901" s="10"/>
      <c r="L901" s="10"/>
      <c r="M901" s="15" t="str">
        <f aca="false">IF($A901="","",SUMIFS(처리내역!$E$3:$E$1502,처리내역!$B$3:$B$1502,$A901))</f>
        <v/>
      </c>
      <c r="N901" s="15" t="str">
        <f aca="false">IF($A901="","",IF($I901="","",$I901-$M901))</f>
        <v/>
      </c>
      <c r="O901" s="12" t="str">
        <f aca="false">IF($A901="","",IF($I901="","",IF($M901=0,"미처리",IF($N901&lt;=0,"완료","부분처리"))))</f>
        <v/>
      </c>
    </row>
    <row r="902" customFormat="false" ht="15" hidden="false" customHeight="true" outlineLevel="0" collapsed="false">
      <c r="A902" s="12" t="str">
        <f aca="false">IF($B902="","",TEXT($B902,"yymm")&amp;"-"&amp;TEXT(COUNTIFS($B$3:$B902,"&gt;="&amp;DATE(YEAR($B902),MONTH($B902),1),$B$3:$B902,"&lt;="&amp;EOMONTH($B902,0)),"000"))</f>
        <v/>
      </c>
      <c r="B902" s="13"/>
      <c r="C902" s="10"/>
      <c r="D902" s="10"/>
      <c r="E902" s="12" t="str">
        <f aca="false">IF($D902="","",IFERROR(INDEX(품목목록!$B$3:$B$302,MATCH($D902,품목목록!$A$3:$A$302,0)),"미등록품번"))</f>
        <v/>
      </c>
      <c r="F902" s="12" t="str">
        <f aca="false">IF($D902="","",IFERROR(INDEX(품목목록!$C$3:$C$302,MATCH($D902,품목목록!$A$3:$A$302,0)),""))</f>
        <v/>
      </c>
      <c r="G902" s="12" t="str">
        <f aca="false">IF($D902="","",IFERROR(INDEX(품목목록!$D$3:$D$302,MATCH($D902,품목목록!$A$3:$A$302,0)),""))</f>
        <v/>
      </c>
      <c r="H902" s="12" t="str">
        <f aca="false">IF($D902="","",IFERROR(INDEX(품목목록!$E$3:$E$302,MATCH($D902,품목목록!$A$3:$A$302,0)),""))</f>
        <v/>
      </c>
      <c r="I902" s="14"/>
      <c r="J902" s="10"/>
      <c r="K902" s="10"/>
      <c r="L902" s="10"/>
      <c r="M902" s="15" t="str">
        <f aca="false">IF($A902="","",SUMIFS(처리내역!$E$3:$E$1502,처리내역!$B$3:$B$1502,$A902))</f>
        <v/>
      </c>
      <c r="N902" s="15" t="str">
        <f aca="false">IF($A902="","",IF($I902="","",$I902-$M902))</f>
        <v/>
      </c>
      <c r="O902" s="12" t="str">
        <f aca="false">IF($A902="","",IF($I902="","",IF($M902=0,"미처리",IF($N902&lt;=0,"완료","부분처리"))))</f>
        <v/>
      </c>
    </row>
    <row r="903" customFormat="false" ht="15" hidden="false" customHeight="true" outlineLevel="0" collapsed="false">
      <c r="A903" s="12" t="str">
        <f aca="false">IF($B903="","",TEXT($B903,"yymm")&amp;"-"&amp;TEXT(COUNTIFS($B$3:$B903,"&gt;="&amp;DATE(YEAR($B903),MONTH($B903),1),$B$3:$B903,"&lt;="&amp;EOMONTH($B903,0)),"000"))</f>
        <v/>
      </c>
      <c r="B903" s="13"/>
      <c r="C903" s="10"/>
      <c r="D903" s="10"/>
      <c r="E903" s="12" t="str">
        <f aca="false">IF($D903="","",IFERROR(INDEX(품목목록!$B$3:$B$302,MATCH($D903,품목목록!$A$3:$A$302,0)),"미등록품번"))</f>
        <v/>
      </c>
      <c r="F903" s="12" t="str">
        <f aca="false">IF($D903="","",IFERROR(INDEX(품목목록!$C$3:$C$302,MATCH($D903,품목목록!$A$3:$A$302,0)),""))</f>
        <v/>
      </c>
      <c r="G903" s="12" t="str">
        <f aca="false">IF($D903="","",IFERROR(INDEX(품목목록!$D$3:$D$302,MATCH($D903,품목목록!$A$3:$A$302,0)),""))</f>
        <v/>
      </c>
      <c r="H903" s="12" t="str">
        <f aca="false">IF($D903="","",IFERROR(INDEX(품목목록!$E$3:$E$302,MATCH($D903,품목목록!$A$3:$A$302,0)),""))</f>
        <v/>
      </c>
      <c r="I903" s="14"/>
      <c r="J903" s="10"/>
      <c r="K903" s="10"/>
      <c r="L903" s="10"/>
      <c r="M903" s="15" t="str">
        <f aca="false">IF($A903="","",SUMIFS(처리내역!$E$3:$E$1502,처리내역!$B$3:$B$1502,$A903))</f>
        <v/>
      </c>
      <c r="N903" s="15" t="str">
        <f aca="false">IF($A903="","",IF($I903="","",$I903-$M903))</f>
        <v/>
      </c>
      <c r="O903" s="12" t="str">
        <f aca="false">IF($A903="","",IF($I903="","",IF($M903=0,"미처리",IF($N903&lt;=0,"완료","부분처리"))))</f>
        <v/>
      </c>
    </row>
    <row r="904" customFormat="false" ht="15" hidden="false" customHeight="true" outlineLevel="0" collapsed="false">
      <c r="A904" s="12" t="str">
        <f aca="false">IF($B904="","",TEXT($B904,"yymm")&amp;"-"&amp;TEXT(COUNTIFS($B$3:$B904,"&gt;="&amp;DATE(YEAR($B904),MONTH($B904),1),$B$3:$B904,"&lt;="&amp;EOMONTH($B904,0)),"000"))</f>
        <v/>
      </c>
      <c r="B904" s="13"/>
      <c r="C904" s="10"/>
      <c r="D904" s="10"/>
      <c r="E904" s="12" t="str">
        <f aca="false">IF($D904="","",IFERROR(INDEX(품목목록!$B$3:$B$302,MATCH($D904,품목목록!$A$3:$A$302,0)),"미등록품번"))</f>
        <v/>
      </c>
      <c r="F904" s="12" t="str">
        <f aca="false">IF($D904="","",IFERROR(INDEX(품목목록!$C$3:$C$302,MATCH($D904,품목목록!$A$3:$A$302,0)),""))</f>
        <v/>
      </c>
      <c r="G904" s="12" t="str">
        <f aca="false">IF($D904="","",IFERROR(INDEX(품목목록!$D$3:$D$302,MATCH($D904,품목목록!$A$3:$A$302,0)),""))</f>
        <v/>
      </c>
      <c r="H904" s="12" t="str">
        <f aca="false">IF($D904="","",IFERROR(INDEX(품목목록!$E$3:$E$302,MATCH($D904,품목목록!$A$3:$A$302,0)),""))</f>
        <v/>
      </c>
      <c r="I904" s="14"/>
      <c r="J904" s="10"/>
      <c r="K904" s="10"/>
      <c r="L904" s="10"/>
      <c r="M904" s="15" t="str">
        <f aca="false">IF($A904="","",SUMIFS(처리내역!$E$3:$E$1502,처리내역!$B$3:$B$1502,$A904))</f>
        <v/>
      </c>
      <c r="N904" s="15" t="str">
        <f aca="false">IF($A904="","",IF($I904="","",$I904-$M904))</f>
        <v/>
      </c>
      <c r="O904" s="12" t="str">
        <f aca="false">IF($A904="","",IF($I904="","",IF($M904=0,"미처리",IF($N904&lt;=0,"완료","부분처리"))))</f>
        <v/>
      </c>
    </row>
    <row r="905" customFormat="false" ht="15" hidden="false" customHeight="true" outlineLevel="0" collapsed="false">
      <c r="A905" s="12" t="str">
        <f aca="false">IF($B905="","",TEXT($B905,"yymm")&amp;"-"&amp;TEXT(COUNTIFS($B$3:$B905,"&gt;="&amp;DATE(YEAR($B905),MONTH($B905),1),$B$3:$B905,"&lt;="&amp;EOMONTH($B905,0)),"000"))</f>
        <v/>
      </c>
      <c r="B905" s="13"/>
      <c r="C905" s="10"/>
      <c r="D905" s="10"/>
      <c r="E905" s="12" t="str">
        <f aca="false">IF($D905="","",IFERROR(INDEX(품목목록!$B$3:$B$302,MATCH($D905,품목목록!$A$3:$A$302,0)),"미등록품번"))</f>
        <v/>
      </c>
      <c r="F905" s="12" t="str">
        <f aca="false">IF($D905="","",IFERROR(INDEX(품목목록!$C$3:$C$302,MATCH($D905,품목목록!$A$3:$A$302,0)),""))</f>
        <v/>
      </c>
      <c r="G905" s="12" t="str">
        <f aca="false">IF($D905="","",IFERROR(INDEX(품목목록!$D$3:$D$302,MATCH($D905,품목목록!$A$3:$A$302,0)),""))</f>
        <v/>
      </c>
      <c r="H905" s="12" t="str">
        <f aca="false">IF($D905="","",IFERROR(INDEX(품목목록!$E$3:$E$302,MATCH($D905,품목목록!$A$3:$A$302,0)),""))</f>
        <v/>
      </c>
      <c r="I905" s="14"/>
      <c r="J905" s="10"/>
      <c r="K905" s="10"/>
      <c r="L905" s="10"/>
      <c r="M905" s="15" t="str">
        <f aca="false">IF($A905="","",SUMIFS(처리내역!$E$3:$E$1502,처리내역!$B$3:$B$1502,$A905))</f>
        <v/>
      </c>
      <c r="N905" s="15" t="str">
        <f aca="false">IF($A905="","",IF($I905="","",$I905-$M905))</f>
        <v/>
      </c>
      <c r="O905" s="12" t="str">
        <f aca="false">IF($A905="","",IF($I905="","",IF($M905=0,"미처리",IF($N905&lt;=0,"완료","부분처리"))))</f>
        <v/>
      </c>
    </row>
    <row r="906" customFormat="false" ht="15" hidden="false" customHeight="true" outlineLevel="0" collapsed="false">
      <c r="A906" s="12" t="str">
        <f aca="false">IF($B906="","",TEXT($B906,"yymm")&amp;"-"&amp;TEXT(COUNTIFS($B$3:$B906,"&gt;="&amp;DATE(YEAR($B906),MONTH($B906),1),$B$3:$B906,"&lt;="&amp;EOMONTH($B906,0)),"000"))</f>
        <v/>
      </c>
      <c r="B906" s="13"/>
      <c r="C906" s="10"/>
      <c r="D906" s="10"/>
      <c r="E906" s="12" t="str">
        <f aca="false">IF($D906="","",IFERROR(INDEX(품목목록!$B$3:$B$302,MATCH($D906,품목목록!$A$3:$A$302,0)),"미등록품번"))</f>
        <v/>
      </c>
      <c r="F906" s="12" t="str">
        <f aca="false">IF($D906="","",IFERROR(INDEX(품목목록!$C$3:$C$302,MATCH($D906,품목목록!$A$3:$A$302,0)),""))</f>
        <v/>
      </c>
      <c r="G906" s="12" t="str">
        <f aca="false">IF($D906="","",IFERROR(INDEX(품목목록!$D$3:$D$302,MATCH($D906,품목목록!$A$3:$A$302,0)),""))</f>
        <v/>
      </c>
      <c r="H906" s="12" t="str">
        <f aca="false">IF($D906="","",IFERROR(INDEX(품목목록!$E$3:$E$302,MATCH($D906,품목목록!$A$3:$A$302,0)),""))</f>
        <v/>
      </c>
      <c r="I906" s="14"/>
      <c r="J906" s="10"/>
      <c r="K906" s="10"/>
      <c r="L906" s="10"/>
      <c r="M906" s="15" t="str">
        <f aca="false">IF($A906="","",SUMIFS(처리내역!$E$3:$E$1502,처리내역!$B$3:$B$1502,$A906))</f>
        <v/>
      </c>
      <c r="N906" s="15" t="str">
        <f aca="false">IF($A906="","",IF($I906="","",$I906-$M906))</f>
        <v/>
      </c>
      <c r="O906" s="12" t="str">
        <f aca="false">IF($A906="","",IF($I906="","",IF($M906=0,"미처리",IF($N906&lt;=0,"완료","부분처리"))))</f>
        <v/>
      </c>
    </row>
    <row r="907" customFormat="false" ht="15" hidden="false" customHeight="true" outlineLevel="0" collapsed="false">
      <c r="A907" s="12" t="str">
        <f aca="false">IF($B907="","",TEXT($B907,"yymm")&amp;"-"&amp;TEXT(COUNTIFS($B$3:$B907,"&gt;="&amp;DATE(YEAR($B907),MONTH($B907),1),$B$3:$B907,"&lt;="&amp;EOMONTH($B907,0)),"000"))</f>
        <v/>
      </c>
      <c r="B907" s="13"/>
      <c r="C907" s="10"/>
      <c r="D907" s="10"/>
      <c r="E907" s="12" t="str">
        <f aca="false">IF($D907="","",IFERROR(INDEX(품목목록!$B$3:$B$302,MATCH($D907,품목목록!$A$3:$A$302,0)),"미등록품번"))</f>
        <v/>
      </c>
      <c r="F907" s="12" t="str">
        <f aca="false">IF($D907="","",IFERROR(INDEX(품목목록!$C$3:$C$302,MATCH($D907,품목목록!$A$3:$A$302,0)),""))</f>
        <v/>
      </c>
      <c r="G907" s="12" t="str">
        <f aca="false">IF($D907="","",IFERROR(INDEX(품목목록!$D$3:$D$302,MATCH($D907,품목목록!$A$3:$A$302,0)),""))</f>
        <v/>
      </c>
      <c r="H907" s="12" t="str">
        <f aca="false">IF($D907="","",IFERROR(INDEX(품목목록!$E$3:$E$302,MATCH($D907,품목목록!$A$3:$A$302,0)),""))</f>
        <v/>
      </c>
      <c r="I907" s="14"/>
      <c r="J907" s="10"/>
      <c r="K907" s="10"/>
      <c r="L907" s="10"/>
      <c r="M907" s="15" t="str">
        <f aca="false">IF($A907="","",SUMIFS(처리내역!$E$3:$E$1502,처리내역!$B$3:$B$1502,$A907))</f>
        <v/>
      </c>
      <c r="N907" s="15" t="str">
        <f aca="false">IF($A907="","",IF($I907="","",$I907-$M907))</f>
        <v/>
      </c>
      <c r="O907" s="12" t="str">
        <f aca="false">IF($A907="","",IF($I907="","",IF($M907=0,"미처리",IF($N907&lt;=0,"완료","부분처리"))))</f>
        <v/>
      </c>
    </row>
    <row r="908" customFormat="false" ht="15" hidden="false" customHeight="true" outlineLevel="0" collapsed="false">
      <c r="A908" s="12" t="str">
        <f aca="false">IF($B908="","",TEXT($B908,"yymm")&amp;"-"&amp;TEXT(COUNTIFS($B$3:$B908,"&gt;="&amp;DATE(YEAR($B908),MONTH($B908),1),$B$3:$B908,"&lt;="&amp;EOMONTH($B908,0)),"000"))</f>
        <v/>
      </c>
      <c r="B908" s="13"/>
      <c r="C908" s="10"/>
      <c r="D908" s="10"/>
      <c r="E908" s="12" t="str">
        <f aca="false">IF($D908="","",IFERROR(INDEX(품목목록!$B$3:$B$302,MATCH($D908,품목목록!$A$3:$A$302,0)),"미등록품번"))</f>
        <v/>
      </c>
      <c r="F908" s="12" t="str">
        <f aca="false">IF($D908="","",IFERROR(INDEX(품목목록!$C$3:$C$302,MATCH($D908,품목목록!$A$3:$A$302,0)),""))</f>
        <v/>
      </c>
      <c r="G908" s="12" t="str">
        <f aca="false">IF($D908="","",IFERROR(INDEX(품목목록!$D$3:$D$302,MATCH($D908,품목목록!$A$3:$A$302,0)),""))</f>
        <v/>
      </c>
      <c r="H908" s="12" t="str">
        <f aca="false">IF($D908="","",IFERROR(INDEX(품목목록!$E$3:$E$302,MATCH($D908,품목목록!$A$3:$A$302,0)),""))</f>
        <v/>
      </c>
      <c r="I908" s="14"/>
      <c r="J908" s="10"/>
      <c r="K908" s="10"/>
      <c r="L908" s="10"/>
      <c r="M908" s="15" t="str">
        <f aca="false">IF($A908="","",SUMIFS(처리내역!$E$3:$E$1502,처리내역!$B$3:$B$1502,$A908))</f>
        <v/>
      </c>
      <c r="N908" s="15" t="str">
        <f aca="false">IF($A908="","",IF($I908="","",$I908-$M908))</f>
        <v/>
      </c>
      <c r="O908" s="12" t="str">
        <f aca="false">IF($A908="","",IF($I908="","",IF($M908=0,"미처리",IF($N908&lt;=0,"완료","부분처리"))))</f>
        <v/>
      </c>
    </row>
    <row r="909" customFormat="false" ht="15" hidden="false" customHeight="true" outlineLevel="0" collapsed="false">
      <c r="A909" s="12" t="str">
        <f aca="false">IF($B909="","",TEXT($B909,"yymm")&amp;"-"&amp;TEXT(COUNTIFS($B$3:$B909,"&gt;="&amp;DATE(YEAR($B909),MONTH($B909),1),$B$3:$B909,"&lt;="&amp;EOMONTH($B909,0)),"000"))</f>
        <v/>
      </c>
      <c r="B909" s="13"/>
      <c r="C909" s="10"/>
      <c r="D909" s="10"/>
      <c r="E909" s="12" t="str">
        <f aca="false">IF($D909="","",IFERROR(INDEX(품목목록!$B$3:$B$302,MATCH($D909,품목목록!$A$3:$A$302,0)),"미등록품번"))</f>
        <v/>
      </c>
      <c r="F909" s="12" t="str">
        <f aca="false">IF($D909="","",IFERROR(INDEX(품목목록!$C$3:$C$302,MATCH($D909,품목목록!$A$3:$A$302,0)),""))</f>
        <v/>
      </c>
      <c r="G909" s="12" t="str">
        <f aca="false">IF($D909="","",IFERROR(INDEX(품목목록!$D$3:$D$302,MATCH($D909,품목목록!$A$3:$A$302,0)),""))</f>
        <v/>
      </c>
      <c r="H909" s="12" t="str">
        <f aca="false">IF($D909="","",IFERROR(INDEX(품목목록!$E$3:$E$302,MATCH($D909,품목목록!$A$3:$A$302,0)),""))</f>
        <v/>
      </c>
      <c r="I909" s="14"/>
      <c r="J909" s="10"/>
      <c r="K909" s="10"/>
      <c r="L909" s="10"/>
      <c r="M909" s="15" t="str">
        <f aca="false">IF($A909="","",SUMIFS(처리내역!$E$3:$E$1502,처리내역!$B$3:$B$1502,$A909))</f>
        <v/>
      </c>
      <c r="N909" s="15" t="str">
        <f aca="false">IF($A909="","",IF($I909="","",$I909-$M909))</f>
        <v/>
      </c>
      <c r="O909" s="12" t="str">
        <f aca="false">IF($A909="","",IF($I909="","",IF($M909=0,"미처리",IF($N909&lt;=0,"완료","부분처리"))))</f>
        <v/>
      </c>
    </row>
    <row r="910" customFormat="false" ht="15" hidden="false" customHeight="true" outlineLevel="0" collapsed="false">
      <c r="A910" s="12" t="str">
        <f aca="false">IF($B910="","",TEXT($B910,"yymm")&amp;"-"&amp;TEXT(COUNTIFS($B$3:$B910,"&gt;="&amp;DATE(YEAR($B910),MONTH($B910),1),$B$3:$B910,"&lt;="&amp;EOMONTH($B910,0)),"000"))</f>
        <v/>
      </c>
      <c r="B910" s="13"/>
      <c r="C910" s="10"/>
      <c r="D910" s="10"/>
      <c r="E910" s="12" t="str">
        <f aca="false">IF($D910="","",IFERROR(INDEX(품목목록!$B$3:$B$302,MATCH($D910,품목목록!$A$3:$A$302,0)),"미등록품번"))</f>
        <v/>
      </c>
      <c r="F910" s="12" t="str">
        <f aca="false">IF($D910="","",IFERROR(INDEX(품목목록!$C$3:$C$302,MATCH($D910,품목목록!$A$3:$A$302,0)),""))</f>
        <v/>
      </c>
      <c r="G910" s="12" t="str">
        <f aca="false">IF($D910="","",IFERROR(INDEX(품목목록!$D$3:$D$302,MATCH($D910,품목목록!$A$3:$A$302,0)),""))</f>
        <v/>
      </c>
      <c r="H910" s="12" t="str">
        <f aca="false">IF($D910="","",IFERROR(INDEX(품목목록!$E$3:$E$302,MATCH($D910,품목목록!$A$3:$A$302,0)),""))</f>
        <v/>
      </c>
      <c r="I910" s="14"/>
      <c r="J910" s="10"/>
      <c r="K910" s="10"/>
      <c r="L910" s="10"/>
      <c r="M910" s="15" t="str">
        <f aca="false">IF($A910="","",SUMIFS(처리내역!$E$3:$E$1502,처리내역!$B$3:$B$1502,$A910))</f>
        <v/>
      </c>
      <c r="N910" s="15" t="str">
        <f aca="false">IF($A910="","",IF($I910="","",$I910-$M910))</f>
        <v/>
      </c>
      <c r="O910" s="12" t="str">
        <f aca="false">IF($A910="","",IF($I910="","",IF($M910=0,"미처리",IF($N910&lt;=0,"완료","부분처리"))))</f>
        <v/>
      </c>
    </row>
    <row r="911" customFormat="false" ht="15" hidden="false" customHeight="true" outlineLevel="0" collapsed="false">
      <c r="A911" s="12" t="str">
        <f aca="false">IF($B911="","",TEXT($B911,"yymm")&amp;"-"&amp;TEXT(COUNTIFS($B$3:$B911,"&gt;="&amp;DATE(YEAR($B911),MONTH($B911),1),$B$3:$B911,"&lt;="&amp;EOMONTH($B911,0)),"000"))</f>
        <v/>
      </c>
      <c r="B911" s="13"/>
      <c r="C911" s="10"/>
      <c r="D911" s="10"/>
      <c r="E911" s="12" t="str">
        <f aca="false">IF($D911="","",IFERROR(INDEX(품목목록!$B$3:$B$302,MATCH($D911,품목목록!$A$3:$A$302,0)),"미등록품번"))</f>
        <v/>
      </c>
      <c r="F911" s="12" t="str">
        <f aca="false">IF($D911="","",IFERROR(INDEX(품목목록!$C$3:$C$302,MATCH($D911,품목목록!$A$3:$A$302,0)),""))</f>
        <v/>
      </c>
      <c r="G911" s="12" t="str">
        <f aca="false">IF($D911="","",IFERROR(INDEX(품목목록!$D$3:$D$302,MATCH($D911,품목목록!$A$3:$A$302,0)),""))</f>
        <v/>
      </c>
      <c r="H911" s="12" t="str">
        <f aca="false">IF($D911="","",IFERROR(INDEX(품목목록!$E$3:$E$302,MATCH($D911,품목목록!$A$3:$A$302,0)),""))</f>
        <v/>
      </c>
      <c r="I911" s="14"/>
      <c r="J911" s="10"/>
      <c r="K911" s="10"/>
      <c r="L911" s="10"/>
      <c r="M911" s="15" t="str">
        <f aca="false">IF($A911="","",SUMIFS(처리내역!$E$3:$E$1502,처리내역!$B$3:$B$1502,$A911))</f>
        <v/>
      </c>
      <c r="N911" s="15" t="str">
        <f aca="false">IF($A911="","",IF($I911="","",$I911-$M911))</f>
        <v/>
      </c>
      <c r="O911" s="12" t="str">
        <f aca="false">IF($A911="","",IF($I911="","",IF($M911=0,"미처리",IF($N911&lt;=0,"완료","부분처리"))))</f>
        <v/>
      </c>
    </row>
    <row r="912" customFormat="false" ht="15" hidden="false" customHeight="true" outlineLevel="0" collapsed="false">
      <c r="A912" s="12" t="str">
        <f aca="false">IF($B912="","",TEXT($B912,"yymm")&amp;"-"&amp;TEXT(COUNTIFS($B$3:$B912,"&gt;="&amp;DATE(YEAR($B912),MONTH($B912),1),$B$3:$B912,"&lt;="&amp;EOMONTH($B912,0)),"000"))</f>
        <v/>
      </c>
      <c r="B912" s="13"/>
      <c r="C912" s="10"/>
      <c r="D912" s="10"/>
      <c r="E912" s="12" t="str">
        <f aca="false">IF($D912="","",IFERROR(INDEX(품목목록!$B$3:$B$302,MATCH($D912,품목목록!$A$3:$A$302,0)),"미등록품번"))</f>
        <v/>
      </c>
      <c r="F912" s="12" t="str">
        <f aca="false">IF($D912="","",IFERROR(INDEX(품목목록!$C$3:$C$302,MATCH($D912,품목목록!$A$3:$A$302,0)),""))</f>
        <v/>
      </c>
      <c r="G912" s="12" t="str">
        <f aca="false">IF($D912="","",IFERROR(INDEX(품목목록!$D$3:$D$302,MATCH($D912,품목목록!$A$3:$A$302,0)),""))</f>
        <v/>
      </c>
      <c r="H912" s="12" t="str">
        <f aca="false">IF($D912="","",IFERROR(INDEX(품목목록!$E$3:$E$302,MATCH($D912,품목목록!$A$3:$A$302,0)),""))</f>
        <v/>
      </c>
      <c r="I912" s="14"/>
      <c r="J912" s="10"/>
      <c r="K912" s="10"/>
      <c r="L912" s="10"/>
      <c r="M912" s="15" t="str">
        <f aca="false">IF($A912="","",SUMIFS(처리내역!$E$3:$E$1502,처리내역!$B$3:$B$1502,$A912))</f>
        <v/>
      </c>
      <c r="N912" s="15" t="str">
        <f aca="false">IF($A912="","",IF($I912="","",$I912-$M912))</f>
        <v/>
      </c>
      <c r="O912" s="12" t="str">
        <f aca="false">IF($A912="","",IF($I912="","",IF($M912=0,"미처리",IF($N912&lt;=0,"완료","부분처리"))))</f>
        <v/>
      </c>
    </row>
    <row r="913" customFormat="false" ht="15" hidden="false" customHeight="true" outlineLevel="0" collapsed="false">
      <c r="A913" s="12" t="str">
        <f aca="false">IF($B913="","",TEXT($B913,"yymm")&amp;"-"&amp;TEXT(COUNTIFS($B$3:$B913,"&gt;="&amp;DATE(YEAR($B913),MONTH($B913),1),$B$3:$B913,"&lt;="&amp;EOMONTH($B913,0)),"000"))</f>
        <v/>
      </c>
      <c r="B913" s="13"/>
      <c r="C913" s="10"/>
      <c r="D913" s="10"/>
      <c r="E913" s="12" t="str">
        <f aca="false">IF($D913="","",IFERROR(INDEX(품목목록!$B$3:$B$302,MATCH($D913,품목목록!$A$3:$A$302,0)),"미등록품번"))</f>
        <v/>
      </c>
      <c r="F913" s="12" t="str">
        <f aca="false">IF($D913="","",IFERROR(INDEX(품목목록!$C$3:$C$302,MATCH($D913,품목목록!$A$3:$A$302,0)),""))</f>
        <v/>
      </c>
      <c r="G913" s="12" t="str">
        <f aca="false">IF($D913="","",IFERROR(INDEX(품목목록!$D$3:$D$302,MATCH($D913,품목목록!$A$3:$A$302,0)),""))</f>
        <v/>
      </c>
      <c r="H913" s="12" t="str">
        <f aca="false">IF($D913="","",IFERROR(INDEX(품목목록!$E$3:$E$302,MATCH($D913,품목목록!$A$3:$A$302,0)),""))</f>
        <v/>
      </c>
      <c r="I913" s="14"/>
      <c r="J913" s="10"/>
      <c r="K913" s="10"/>
      <c r="L913" s="10"/>
      <c r="M913" s="15" t="str">
        <f aca="false">IF($A913="","",SUMIFS(처리내역!$E$3:$E$1502,처리내역!$B$3:$B$1502,$A913))</f>
        <v/>
      </c>
      <c r="N913" s="15" t="str">
        <f aca="false">IF($A913="","",IF($I913="","",$I913-$M913))</f>
        <v/>
      </c>
      <c r="O913" s="12" t="str">
        <f aca="false">IF($A913="","",IF($I913="","",IF($M913=0,"미처리",IF($N913&lt;=0,"완료","부분처리"))))</f>
        <v/>
      </c>
    </row>
    <row r="914" customFormat="false" ht="15" hidden="false" customHeight="true" outlineLevel="0" collapsed="false">
      <c r="A914" s="12" t="str">
        <f aca="false">IF($B914="","",TEXT($B914,"yymm")&amp;"-"&amp;TEXT(COUNTIFS($B$3:$B914,"&gt;="&amp;DATE(YEAR($B914),MONTH($B914),1),$B$3:$B914,"&lt;="&amp;EOMONTH($B914,0)),"000"))</f>
        <v/>
      </c>
      <c r="B914" s="13"/>
      <c r="C914" s="10"/>
      <c r="D914" s="10"/>
      <c r="E914" s="12" t="str">
        <f aca="false">IF($D914="","",IFERROR(INDEX(품목목록!$B$3:$B$302,MATCH($D914,품목목록!$A$3:$A$302,0)),"미등록품번"))</f>
        <v/>
      </c>
      <c r="F914" s="12" t="str">
        <f aca="false">IF($D914="","",IFERROR(INDEX(품목목록!$C$3:$C$302,MATCH($D914,품목목록!$A$3:$A$302,0)),""))</f>
        <v/>
      </c>
      <c r="G914" s="12" t="str">
        <f aca="false">IF($D914="","",IFERROR(INDEX(품목목록!$D$3:$D$302,MATCH($D914,품목목록!$A$3:$A$302,0)),""))</f>
        <v/>
      </c>
      <c r="H914" s="12" t="str">
        <f aca="false">IF($D914="","",IFERROR(INDEX(품목목록!$E$3:$E$302,MATCH($D914,품목목록!$A$3:$A$302,0)),""))</f>
        <v/>
      </c>
      <c r="I914" s="14"/>
      <c r="J914" s="10"/>
      <c r="K914" s="10"/>
      <c r="L914" s="10"/>
      <c r="M914" s="15" t="str">
        <f aca="false">IF($A914="","",SUMIFS(처리내역!$E$3:$E$1502,처리내역!$B$3:$B$1502,$A914))</f>
        <v/>
      </c>
      <c r="N914" s="15" t="str">
        <f aca="false">IF($A914="","",IF($I914="","",$I914-$M914))</f>
        <v/>
      </c>
      <c r="O914" s="12" t="str">
        <f aca="false">IF($A914="","",IF($I914="","",IF($M914=0,"미처리",IF($N914&lt;=0,"완료","부분처리"))))</f>
        <v/>
      </c>
    </row>
    <row r="915" customFormat="false" ht="15" hidden="false" customHeight="true" outlineLevel="0" collapsed="false">
      <c r="A915" s="12" t="str">
        <f aca="false">IF($B915="","",TEXT($B915,"yymm")&amp;"-"&amp;TEXT(COUNTIFS($B$3:$B915,"&gt;="&amp;DATE(YEAR($B915),MONTH($B915),1),$B$3:$B915,"&lt;="&amp;EOMONTH($B915,0)),"000"))</f>
        <v/>
      </c>
      <c r="B915" s="13"/>
      <c r="C915" s="10"/>
      <c r="D915" s="10"/>
      <c r="E915" s="12" t="str">
        <f aca="false">IF($D915="","",IFERROR(INDEX(품목목록!$B$3:$B$302,MATCH($D915,품목목록!$A$3:$A$302,0)),"미등록품번"))</f>
        <v/>
      </c>
      <c r="F915" s="12" t="str">
        <f aca="false">IF($D915="","",IFERROR(INDEX(품목목록!$C$3:$C$302,MATCH($D915,품목목록!$A$3:$A$302,0)),""))</f>
        <v/>
      </c>
      <c r="G915" s="12" t="str">
        <f aca="false">IF($D915="","",IFERROR(INDEX(품목목록!$D$3:$D$302,MATCH($D915,품목목록!$A$3:$A$302,0)),""))</f>
        <v/>
      </c>
      <c r="H915" s="12" t="str">
        <f aca="false">IF($D915="","",IFERROR(INDEX(품목목록!$E$3:$E$302,MATCH($D915,품목목록!$A$3:$A$302,0)),""))</f>
        <v/>
      </c>
      <c r="I915" s="14"/>
      <c r="J915" s="10"/>
      <c r="K915" s="10"/>
      <c r="L915" s="10"/>
      <c r="M915" s="15" t="str">
        <f aca="false">IF($A915="","",SUMIFS(처리내역!$E$3:$E$1502,처리내역!$B$3:$B$1502,$A915))</f>
        <v/>
      </c>
      <c r="N915" s="15" t="str">
        <f aca="false">IF($A915="","",IF($I915="","",$I915-$M915))</f>
        <v/>
      </c>
      <c r="O915" s="12" t="str">
        <f aca="false">IF($A915="","",IF($I915="","",IF($M915=0,"미처리",IF($N915&lt;=0,"완료","부분처리"))))</f>
        <v/>
      </c>
    </row>
    <row r="916" customFormat="false" ht="15" hidden="false" customHeight="true" outlineLevel="0" collapsed="false">
      <c r="A916" s="12" t="str">
        <f aca="false">IF($B916="","",TEXT($B916,"yymm")&amp;"-"&amp;TEXT(COUNTIFS($B$3:$B916,"&gt;="&amp;DATE(YEAR($B916),MONTH($B916),1),$B$3:$B916,"&lt;="&amp;EOMONTH($B916,0)),"000"))</f>
        <v/>
      </c>
      <c r="B916" s="13"/>
      <c r="C916" s="10"/>
      <c r="D916" s="10"/>
      <c r="E916" s="12" t="str">
        <f aca="false">IF($D916="","",IFERROR(INDEX(품목목록!$B$3:$B$302,MATCH($D916,품목목록!$A$3:$A$302,0)),"미등록품번"))</f>
        <v/>
      </c>
      <c r="F916" s="12" t="str">
        <f aca="false">IF($D916="","",IFERROR(INDEX(품목목록!$C$3:$C$302,MATCH($D916,품목목록!$A$3:$A$302,0)),""))</f>
        <v/>
      </c>
      <c r="G916" s="12" t="str">
        <f aca="false">IF($D916="","",IFERROR(INDEX(품목목록!$D$3:$D$302,MATCH($D916,품목목록!$A$3:$A$302,0)),""))</f>
        <v/>
      </c>
      <c r="H916" s="12" t="str">
        <f aca="false">IF($D916="","",IFERROR(INDEX(품목목록!$E$3:$E$302,MATCH($D916,품목목록!$A$3:$A$302,0)),""))</f>
        <v/>
      </c>
      <c r="I916" s="14"/>
      <c r="J916" s="10"/>
      <c r="K916" s="10"/>
      <c r="L916" s="10"/>
      <c r="M916" s="15" t="str">
        <f aca="false">IF($A916="","",SUMIFS(처리내역!$E$3:$E$1502,처리내역!$B$3:$B$1502,$A916))</f>
        <v/>
      </c>
      <c r="N916" s="15" t="str">
        <f aca="false">IF($A916="","",IF($I916="","",$I916-$M916))</f>
        <v/>
      </c>
      <c r="O916" s="12" t="str">
        <f aca="false">IF($A916="","",IF($I916="","",IF($M916=0,"미처리",IF($N916&lt;=0,"완료","부분처리"))))</f>
        <v/>
      </c>
    </row>
    <row r="917" customFormat="false" ht="15" hidden="false" customHeight="true" outlineLevel="0" collapsed="false">
      <c r="A917" s="12" t="str">
        <f aca="false">IF($B917="","",TEXT($B917,"yymm")&amp;"-"&amp;TEXT(COUNTIFS($B$3:$B917,"&gt;="&amp;DATE(YEAR($B917),MONTH($B917),1),$B$3:$B917,"&lt;="&amp;EOMONTH($B917,0)),"000"))</f>
        <v/>
      </c>
      <c r="B917" s="13"/>
      <c r="C917" s="10"/>
      <c r="D917" s="10"/>
      <c r="E917" s="12" t="str">
        <f aca="false">IF($D917="","",IFERROR(INDEX(품목목록!$B$3:$B$302,MATCH($D917,품목목록!$A$3:$A$302,0)),"미등록품번"))</f>
        <v/>
      </c>
      <c r="F917" s="12" t="str">
        <f aca="false">IF($D917="","",IFERROR(INDEX(품목목록!$C$3:$C$302,MATCH($D917,품목목록!$A$3:$A$302,0)),""))</f>
        <v/>
      </c>
      <c r="G917" s="12" t="str">
        <f aca="false">IF($D917="","",IFERROR(INDEX(품목목록!$D$3:$D$302,MATCH($D917,품목목록!$A$3:$A$302,0)),""))</f>
        <v/>
      </c>
      <c r="H917" s="12" t="str">
        <f aca="false">IF($D917="","",IFERROR(INDEX(품목목록!$E$3:$E$302,MATCH($D917,품목목록!$A$3:$A$302,0)),""))</f>
        <v/>
      </c>
      <c r="I917" s="14"/>
      <c r="J917" s="10"/>
      <c r="K917" s="10"/>
      <c r="L917" s="10"/>
      <c r="M917" s="15" t="str">
        <f aca="false">IF($A917="","",SUMIFS(처리내역!$E$3:$E$1502,처리내역!$B$3:$B$1502,$A917))</f>
        <v/>
      </c>
      <c r="N917" s="15" t="str">
        <f aca="false">IF($A917="","",IF($I917="","",$I917-$M917))</f>
        <v/>
      </c>
      <c r="O917" s="12" t="str">
        <f aca="false">IF($A917="","",IF($I917="","",IF($M917=0,"미처리",IF($N917&lt;=0,"완료","부분처리"))))</f>
        <v/>
      </c>
    </row>
    <row r="918" customFormat="false" ht="15" hidden="false" customHeight="true" outlineLevel="0" collapsed="false">
      <c r="A918" s="12" t="str">
        <f aca="false">IF($B918="","",TEXT($B918,"yymm")&amp;"-"&amp;TEXT(COUNTIFS($B$3:$B918,"&gt;="&amp;DATE(YEAR($B918),MONTH($B918),1),$B$3:$B918,"&lt;="&amp;EOMONTH($B918,0)),"000"))</f>
        <v/>
      </c>
      <c r="B918" s="13"/>
      <c r="C918" s="10"/>
      <c r="D918" s="10"/>
      <c r="E918" s="12" t="str">
        <f aca="false">IF($D918="","",IFERROR(INDEX(품목목록!$B$3:$B$302,MATCH($D918,품목목록!$A$3:$A$302,0)),"미등록품번"))</f>
        <v/>
      </c>
      <c r="F918" s="12" t="str">
        <f aca="false">IF($D918="","",IFERROR(INDEX(품목목록!$C$3:$C$302,MATCH($D918,품목목록!$A$3:$A$302,0)),""))</f>
        <v/>
      </c>
      <c r="G918" s="12" t="str">
        <f aca="false">IF($D918="","",IFERROR(INDEX(품목목록!$D$3:$D$302,MATCH($D918,품목목록!$A$3:$A$302,0)),""))</f>
        <v/>
      </c>
      <c r="H918" s="12" t="str">
        <f aca="false">IF($D918="","",IFERROR(INDEX(품목목록!$E$3:$E$302,MATCH($D918,품목목록!$A$3:$A$302,0)),""))</f>
        <v/>
      </c>
      <c r="I918" s="14"/>
      <c r="J918" s="10"/>
      <c r="K918" s="10"/>
      <c r="L918" s="10"/>
      <c r="M918" s="15" t="str">
        <f aca="false">IF($A918="","",SUMIFS(처리내역!$E$3:$E$1502,처리내역!$B$3:$B$1502,$A918))</f>
        <v/>
      </c>
      <c r="N918" s="15" t="str">
        <f aca="false">IF($A918="","",IF($I918="","",$I918-$M918))</f>
        <v/>
      </c>
      <c r="O918" s="12" t="str">
        <f aca="false">IF($A918="","",IF($I918="","",IF($M918=0,"미처리",IF($N918&lt;=0,"완료","부분처리"))))</f>
        <v/>
      </c>
    </row>
    <row r="919" customFormat="false" ht="15" hidden="false" customHeight="true" outlineLevel="0" collapsed="false">
      <c r="A919" s="12" t="str">
        <f aca="false">IF($B919="","",TEXT($B919,"yymm")&amp;"-"&amp;TEXT(COUNTIFS($B$3:$B919,"&gt;="&amp;DATE(YEAR($B919),MONTH($B919),1),$B$3:$B919,"&lt;="&amp;EOMONTH($B919,0)),"000"))</f>
        <v/>
      </c>
      <c r="B919" s="13"/>
      <c r="C919" s="10"/>
      <c r="D919" s="10"/>
      <c r="E919" s="12" t="str">
        <f aca="false">IF($D919="","",IFERROR(INDEX(품목목록!$B$3:$B$302,MATCH($D919,품목목록!$A$3:$A$302,0)),"미등록품번"))</f>
        <v/>
      </c>
      <c r="F919" s="12" t="str">
        <f aca="false">IF($D919="","",IFERROR(INDEX(품목목록!$C$3:$C$302,MATCH($D919,품목목록!$A$3:$A$302,0)),""))</f>
        <v/>
      </c>
      <c r="G919" s="12" t="str">
        <f aca="false">IF($D919="","",IFERROR(INDEX(품목목록!$D$3:$D$302,MATCH($D919,품목목록!$A$3:$A$302,0)),""))</f>
        <v/>
      </c>
      <c r="H919" s="12" t="str">
        <f aca="false">IF($D919="","",IFERROR(INDEX(품목목록!$E$3:$E$302,MATCH($D919,품목목록!$A$3:$A$302,0)),""))</f>
        <v/>
      </c>
      <c r="I919" s="14"/>
      <c r="J919" s="10"/>
      <c r="K919" s="10"/>
      <c r="L919" s="10"/>
      <c r="M919" s="15" t="str">
        <f aca="false">IF($A919="","",SUMIFS(처리내역!$E$3:$E$1502,처리내역!$B$3:$B$1502,$A919))</f>
        <v/>
      </c>
      <c r="N919" s="15" t="str">
        <f aca="false">IF($A919="","",IF($I919="","",$I919-$M919))</f>
        <v/>
      </c>
      <c r="O919" s="12" t="str">
        <f aca="false">IF($A919="","",IF($I919="","",IF($M919=0,"미처리",IF($N919&lt;=0,"완료","부분처리"))))</f>
        <v/>
      </c>
    </row>
    <row r="920" customFormat="false" ht="15" hidden="false" customHeight="true" outlineLevel="0" collapsed="false">
      <c r="A920" s="12" t="str">
        <f aca="false">IF($B920="","",TEXT($B920,"yymm")&amp;"-"&amp;TEXT(COUNTIFS($B$3:$B920,"&gt;="&amp;DATE(YEAR($B920),MONTH($B920),1),$B$3:$B920,"&lt;="&amp;EOMONTH($B920,0)),"000"))</f>
        <v/>
      </c>
      <c r="B920" s="13"/>
      <c r="C920" s="10"/>
      <c r="D920" s="10"/>
      <c r="E920" s="12" t="str">
        <f aca="false">IF($D920="","",IFERROR(INDEX(품목목록!$B$3:$B$302,MATCH($D920,품목목록!$A$3:$A$302,0)),"미등록품번"))</f>
        <v/>
      </c>
      <c r="F920" s="12" t="str">
        <f aca="false">IF($D920="","",IFERROR(INDEX(품목목록!$C$3:$C$302,MATCH($D920,품목목록!$A$3:$A$302,0)),""))</f>
        <v/>
      </c>
      <c r="G920" s="12" t="str">
        <f aca="false">IF($D920="","",IFERROR(INDEX(품목목록!$D$3:$D$302,MATCH($D920,품목목록!$A$3:$A$302,0)),""))</f>
        <v/>
      </c>
      <c r="H920" s="12" t="str">
        <f aca="false">IF($D920="","",IFERROR(INDEX(품목목록!$E$3:$E$302,MATCH($D920,품목목록!$A$3:$A$302,0)),""))</f>
        <v/>
      </c>
      <c r="I920" s="14"/>
      <c r="J920" s="10"/>
      <c r="K920" s="10"/>
      <c r="L920" s="10"/>
      <c r="M920" s="15" t="str">
        <f aca="false">IF($A920="","",SUMIFS(처리내역!$E$3:$E$1502,처리내역!$B$3:$B$1502,$A920))</f>
        <v/>
      </c>
      <c r="N920" s="15" t="str">
        <f aca="false">IF($A920="","",IF($I920="","",$I920-$M920))</f>
        <v/>
      </c>
      <c r="O920" s="12" t="str">
        <f aca="false">IF($A920="","",IF($I920="","",IF($M920=0,"미처리",IF($N920&lt;=0,"완료","부분처리"))))</f>
        <v/>
      </c>
    </row>
    <row r="921" customFormat="false" ht="15" hidden="false" customHeight="true" outlineLevel="0" collapsed="false">
      <c r="A921" s="12" t="str">
        <f aca="false">IF($B921="","",TEXT($B921,"yymm")&amp;"-"&amp;TEXT(COUNTIFS($B$3:$B921,"&gt;="&amp;DATE(YEAR($B921),MONTH($B921),1),$B$3:$B921,"&lt;="&amp;EOMONTH($B921,0)),"000"))</f>
        <v/>
      </c>
      <c r="B921" s="13"/>
      <c r="C921" s="10"/>
      <c r="D921" s="10"/>
      <c r="E921" s="12" t="str">
        <f aca="false">IF($D921="","",IFERROR(INDEX(품목목록!$B$3:$B$302,MATCH($D921,품목목록!$A$3:$A$302,0)),"미등록품번"))</f>
        <v/>
      </c>
      <c r="F921" s="12" t="str">
        <f aca="false">IF($D921="","",IFERROR(INDEX(품목목록!$C$3:$C$302,MATCH($D921,품목목록!$A$3:$A$302,0)),""))</f>
        <v/>
      </c>
      <c r="G921" s="12" t="str">
        <f aca="false">IF($D921="","",IFERROR(INDEX(품목목록!$D$3:$D$302,MATCH($D921,품목목록!$A$3:$A$302,0)),""))</f>
        <v/>
      </c>
      <c r="H921" s="12" t="str">
        <f aca="false">IF($D921="","",IFERROR(INDEX(품목목록!$E$3:$E$302,MATCH($D921,품목목록!$A$3:$A$302,0)),""))</f>
        <v/>
      </c>
      <c r="I921" s="14"/>
      <c r="J921" s="10"/>
      <c r="K921" s="10"/>
      <c r="L921" s="10"/>
      <c r="M921" s="15" t="str">
        <f aca="false">IF($A921="","",SUMIFS(처리내역!$E$3:$E$1502,처리내역!$B$3:$B$1502,$A921))</f>
        <v/>
      </c>
      <c r="N921" s="15" t="str">
        <f aca="false">IF($A921="","",IF($I921="","",$I921-$M921))</f>
        <v/>
      </c>
      <c r="O921" s="12" t="str">
        <f aca="false">IF($A921="","",IF($I921="","",IF($M921=0,"미처리",IF($N921&lt;=0,"완료","부분처리"))))</f>
        <v/>
      </c>
    </row>
    <row r="922" customFormat="false" ht="15" hidden="false" customHeight="true" outlineLevel="0" collapsed="false">
      <c r="A922" s="12" t="str">
        <f aca="false">IF($B922="","",TEXT($B922,"yymm")&amp;"-"&amp;TEXT(COUNTIFS($B$3:$B922,"&gt;="&amp;DATE(YEAR($B922),MONTH($B922),1),$B$3:$B922,"&lt;="&amp;EOMONTH($B922,0)),"000"))</f>
        <v/>
      </c>
      <c r="B922" s="13"/>
      <c r="C922" s="10"/>
      <c r="D922" s="10"/>
      <c r="E922" s="12" t="str">
        <f aca="false">IF($D922="","",IFERROR(INDEX(품목목록!$B$3:$B$302,MATCH($D922,품목목록!$A$3:$A$302,0)),"미등록품번"))</f>
        <v/>
      </c>
      <c r="F922" s="12" t="str">
        <f aca="false">IF($D922="","",IFERROR(INDEX(품목목록!$C$3:$C$302,MATCH($D922,품목목록!$A$3:$A$302,0)),""))</f>
        <v/>
      </c>
      <c r="G922" s="12" t="str">
        <f aca="false">IF($D922="","",IFERROR(INDEX(품목목록!$D$3:$D$302,MATCH($D922,품목목록!$A$3:$A$302,0)),""))</f>
        <v/>
      </c>
      <c r="H922" s="12" t="str">
        <f aca="false">IF($D922="","",IFERROR(INDEX(품목목록!$E$3:$E$302,MATCH($D922,품목목록!$A$3:$A$302,0)),""))</f>
        <v/>
      </c>
      <c r="I922" s="14"/>
      <c r="J922" s="10"/>
      <c r="K922" s="10"/>
      <c r="L922" s="10"/>
      <c r="M922" s="15" t="str">
        <f aca="false">IF($A922="","",SUMIFS(처리내역!$E$3:$E$1502,처리내역!$B$3:$B$1502,$A922))</f>
        <v/>
      </c>
      <c r="N922" s="15" t="str">
        <f aca="false">IF($A922="","",IF($I922="","",$I922-$M922))</f>
        <v/>
      </c>
      <c r="O922" s="12" t="str">
        <f aca="false">IF($A922="","",IF($I922="","",IF($M922=0,"미처리",IF($N922&lt;=0,"완료","부분처리"))))</f>
        <v/>
      </c>
    </row>
    <row r="923" customFormat="false" ht="15" hidden="false" customHeight="true" outlineLevel="0" collapsed="false">
      <c r="A923" s="12" t="str">
        <f aca="false">IF($B923="","",TEXT($B923,"yymm")&amp;"-"&amp;TEXT(COUNTIFS($B$3:$B923,"&gt;="&amp;DATE(YEAR($B923),MONTH($B923),1),$B$3:$B923,"&lt;="&amp;EOMONTH($B923,0)),"000"))</f>
        <v/>
      </c>
      <c r="B923" s="13"/>
      <c r="C923" s="10"/>
      <c r="D923" s="10"/>
      <c r="E923" s="12" t="str">
        <f aca="false">IF($D923="","",IFERROR(INDEX(품목목록!$B$3:$B$302,MATCH($D923,품목목록!$A$3:$A$302,0)),"미등록품번"))</f>
        <v/>
      </c>
      <c r="F923" s="12" t="str">
        <f aca="false">IF($D923="","",IFERROR(INDEX(품목목록!$C$3:$C$302,MATCH($D923,품목목록!$A$3:$A$302,0)),""))</f>
        <v/>
      </c>
      <c r="G923" s="12" t="str">
        <f aca="false">IF($D923="","",IFERROR(INDEX(품목목록!$D$3:$D$302,MATCH($D923,품목목록!$A$3:$A$302,0)),""))</f>
        <v/>
      </c>
      <c r="H923" s="12" t="str">
        <f aca="false">IF($D923="","",IFERROR(INDEX(품목목록!$E$3:$E$302,MATCH($D923,품목목록!$A$3:$A$302,0)),""))</f>
        <v/>
      </c>
      <c r="I923" s="14"/>
      <c r="J923" s="10"/>
      <c r="K923" s="10"/>
      <c r="L923" s="10"/>
      <c r="M923" s="15" t="str">
        <f aca="false">IF($A923="","",SUMIFS(처리내역!$E$3:$E$1502,처리내역!$B$3:$B$1502,$A923))</f>
        <v/>
      </c>
      <c r="N923" s="15" t="str">
        <f aca="false">IF($A923="","",IF($I923="","",$I923-$M923))</f>
        <v/>
      </c>
      <c r="O923" s="12" t="str">
        <f aca="false">IF($A923="","",IF($I923="","",IF($M923=0,"미처리",IF($N923&lt;=0,"완료","부분처리"))))</f>
        <v/>
      </c>
    </row>
    <row r="924" customFormat="false" ht="15" hidden="false" customHeight="true" outlineLevel="0" collapsed="false">
      <c r="A924" s="12" t="str">
        <f aca="false">IF($B924="","",TEXT($B924,"yymm")&amp;"-"&amp;TEXT(COUNTIFS($B$3:$B924,"&gt;="&amp;DATE(YEAR($B924),MONTH($B924),1),$B$3:$B924,"&lt;="&amp;EOMONTH($B924,0)),"000"))</f>
        <v/>
      </c>
      <c r="B924" s="13"/>
      <c r="C924" s="10"/>
      <c r="D924" s="10"/>
      <c r="E924" s="12" t="str">
        <f aca="false">IF($D924="","",IFERROR(INDEX(품목목록!$B$3:$B$302,MATCH($D924,품목목록!$A$3:$A$302,0)),"미등록품번"))</f>
        <v/>
      </c>
      <c r="F924" s="12" t="str">
        <f aca="false">IF($D924="","",IFERROR(INDEX(품목목록!$C$3:$C$302,MATCH($D924,품목목록!$A$3:$A$302,0)),""))</f>
        <v/>
      </c>
      <c r="G924" s="12" t="str">
        <f aca="false">IF($D924="","",IFERROR(INDEX(품목목록!$D$3:$D$302,MATCH($D924,품목목록!$A$3:$A$302,0)),""))</f>
        <v/>
      </c>
      <c r="H924" s="12" t="str">
        <f aca="false">IF($D924="","",IFERROR(INDEX(품목목록!$E$3:$E$302,MATCH($D924,품목목록!$A$3:$A$302,0)),""))</f>
        <v/>
      </c>
      <c r="I924" s="14"/>
      <c r="J924" s="10"/>
      <c r="K924" s="10"/>
      <c r="L924" s="10"/>
      <c r="M924" s="15" t="str">
        <f aca="false">IF($A924="","",SUMIFS(처리내역!$E$3:$E$1502,처리내역!$B$3:$B$1502,$A924))</f>
        <v/>
      </c>
      <c r="N924" s="15" t="str">
        <f aca="false">IF($A924="","",IF($I924="","",$I924-$M924))</f>
        <v/>
      </c>
      <c r="O924" s="12" t="str">
        <f aca="false">IF($A924="","",IF($I924="","",IF($M924=0,"미처리",IF($N924&lt;=0,"완료","부분처리"))))</f>
        <v/>
      </c>
    </row>
    <row r="925" customFormat="false" ht="15" hidden="false" customHeight="true" outlineLevel="0" collapsed="false">
      <c r="A925" s="12" t="str">
        <f aca="false">IF($B925="","",TEXT($B925,"yymm")&amp;"-"&amp;TEXT(COUNTIFS($B$3:$B925,"&gt;="&amp;DATE(YEAR($B925),MONTH($B925),1),$B$3:$B925,"&lt;="&amp;EOMONTH($B925,0)),"000"))</f>
        <v/>
      </c>
      <c r="B925" s="13"/>
      <c r="C925" s="10"/>
      <c r="D925" s="10"/>
      <c r="E925" s="12" t="str">
        <f aca="false">IF($D925="","",IFERROR(INDEX(품목목록!$B$3:$B$302,MATCH($D925,품목목록!$A$3:$A$302,0)),"미등록품번"))</f>
        <v/>
      </c>
      <c r="F925" s="12" t="str">
        <f aca="false">IF($D925="","",IFERROR(INDEX(품목목록!$C$3:$C$302,MATCH($D925,품목목록!$A$3:$A$302,0)),""))</f>
        <v/>
      </c>
      <c r="G925" s="12" t="str">
        <f aca="false">IF($D925="","",IFERROR(INDEX(품목목록!$D$3:$D$302,MATCH($D925,품목목록!$A$3:$A$302,0)),""))</f>
        <v/>
      </c>
      <c r="H925" s="12" t="str">
        <f aca="false">IF($D925="","",IFERROR(INDEX(품목목록!$E$3:$E$302,MATCH($D925,품목목록!$A$3:$A$302,0)),""))</f>
        <v/>
      </c>
      <c r="I925" s="14"/>
      <c r="J925" s="10"/>
      <c r="K925" s="10"/>
      <c r="L925" s="10"/>
      <c r="M925" s="15" t="str">
        <f aca="false">IF($A925="","",SUMIFS(처리내역!$E$3:$E$1502,처리내역!$B$3:$B$1502,$A925))</f>
        <v/>
      </c>
      <c r="N925" s="15" t="str">
        <f aca="false">IF($A925="","",IF($I925="","",$I925-$M925))</f>
        <v/>
      </c>
      <c r="O925" s="12" t="str">
        <f aca="false">IF($A925="","",IF($I925="","",IF($M925=0,"미처리",IF($N925&lt;=0,"완료","부분처리"))))</f>
        <v/>
      </c>
    </row>
    <row r="926" customFormat="false" ht="15" hidden="false" customHeight="true" outlineLevel="0" collapsed="false">
      <c r="A926" s="12" t="str">
        <f aca="false">IF($B926="","",TEXT($B926,"yymm")&amp;"-"&amp;TEXT(COUNTIFS($B$3:$B926,"&gt;="&amp;DATE(YEAR($B926),MONTH($B926),1),$B$3:$B926,"&lt;="&amp;EOMONTH($B926,0)),"000"))</f>
        <v/>
      </c>
      <c r="B926" s="13"/>
      <c r="C926" s="10"/>
      <c r="D926" s="10"/>
      <c r="E926" s="12" t="str">
        <f aca="false">IF($D926="","",IFERROR(INDEX(품목목록!$B$3:$B$302,MATCH($D926,품목목록!$A$3:$A$302,0)),"미등록품번"))</f>
        <v/>
      </c>
      <c r="F926" s="12" t="str">
        <f aca="false">IF($D926="","",IFERROR(INDEX(품목목록!$C$3:$C$302,MATCH($D926,품목목록!$A$3:$A$302,0)),""))</f>
        <v/>
      </c>
      <c r="G926" s="12" t="str">
        <f aca="false">IF($D926="","",IFERROR(INDEX(품목목록!$D$3:$D$302,MATCH($D926,품목목록!$A$3:$A$302,0)),""))</f>
        <v/>
      </c>
      <c r="H926" s="12" t="str">
        <f aca="false">IF($D926="","",IFERROR(INDEX(품목목록!$E$3:$E$302,MATCH($D926,품목목록!$A$3:$A$302,0)),""))</f>
        <v/>
      </c>
      <c r="I926" s="14"/>
      <c r="J926" s="10"/>
      <c r="K926" s="10"/>
      <c r="L926" s="10"/>
      <c r="M926" s="15" t="str">
        <f aca="false">IF($A926="","",SUMIFS(처리내역!$E$3:$E$1502,처리내역!$B$3:$B$1502,$A926))</f>
        <v/>
      </c>
      <c r="N926" s="15" t="str">
        <f aca="false">IF($A926="","",IF($I926="","",$I926-$M926))</f>
        <v/>
      </c>
      <c r="O926" s="12" t="str">
        <f aca="false">IF($A926="","",IF($I926="","",IF($M926=0,"미처리",IF($N926&lt;=0,"완료","부분처리"))))</f>
        <v/>
      </c>
    </row>
    <row r="927" customFormat="false" ht="15" hidden="false" customHeight="true" outlineLevel="0" collapsed="false">
      <c r="A927" s="12" t="str">
        <f aca="false">IF($B927="","",TEXT($B927,"yymm")&amp;"-"&amp;TEXT(COUNTIFS($B$3:$B927,"&gt;="&amp;DATE(YEAR($B927),MONTH($B927),1),$B$3:$B927,"&lt;="&amp;EOMONTH($B927,0)),"000"))</f>
        <v/>
      </c>
      <c r="B927" s="13"/>
      <c r="C927" s="10"/>
      <c r="D927" s="10"/>
      <c r="E927" s="12" t="str">
        <f aca="false">IF($D927="","",IFERROR(INDEX(품목목록!$B$3:$B$302,MATCH($D927,품목목록!$A$3:$A$302,0)),"미등록품번"))</f>
        <v/>
      </c>
      <c r="F927" s="12" t="str">
        <f aca="false">IF($D927="","",IFERROR(INDEX(품목목록!$C$3:$C$302,MATCH($D927,품목목록!$A$3:$A$302,0)),""))</f>
        <v/>
      </c>
      <c r="G927" s="12" t="str">
        <f aca="false">IF($D927="","",IFERROR(INDEX(품목목록!$D$3:$D$302,MATCH($D927,품목목록!$A$3:$A$302,0)),""))</f>
        <v/>
      </c>
      <c r="H927" s="12" t="str">
        <f aca="false">IF($D927="","",IFERROR(INDEX(품목목록!$E$3:$E$302,MATCH($D927,품목목록!$A$3:$A$302,0)),""))</f>
        <v/>
      </c>
      <c r="I927" s="14"/>
      <c r="J927" s="10"/>
      <c r="K927" s="10"/>
      <c r="L927" s="10"/>
      <c r="M927" s="15" t="str">
        <f aca="false">IF($A927="","",SUMIFS(처리내역!$E$3:$E$1502,처리내역!$B$3:$B$1502,$A927))</f>
        <v/>
      </c>
      <c r="N927" s="15" t="str">
        <f aca="false">IF($A927="","",IF($I927="","",$I927-$M927))</f>
        <v/>
      </c>
      <c r="O927" s="12" t="str">
        <f aca="false">IF($A927="","",IF($I927="","",IF($M927=0,"미처리",IF($N927&lt;=0,"완료","부분처리"))))</f>
        <v/>
      </c>
    </row>
    <row r="928" customFormat="false" ht="15" hidden="false" customHeight="true" outlineLevel="0" collapsed="false">
      <c r="A928" s="12" t="str">
        <f aca="false">IF($B928="","",TEXT($B928,"yymm")&amp;"-"&amp;TEXT(COUNTIFS($B$3:$B928,"&gt;="&amp;DATE(YEAR($B928),MONTH($B928),1),$B$3:$B928,"&lt;="&amp;EOMONTH($B928,0)),"000"))</f>
        <v/>
      </c>
      <c r="B928" s="13"/>
      <c r="C928" s="10"/>
      <c r="D928" s="10"/>
      <c r="E928" s="12" t="str">
        <f aca="false">IF($D928="","",IFERROR(INDEX(품목목록!$B$3:$B$302,MATCH($D928,품목목록!$A$3:$A$302,0)),"미등록품번"))</f>
        <v/>
      </c>
      <c r="F928" s="12" t="str">
        <f aca="false">IF($D928="","",IFERROR(INDEX(품목목록!$C$3:$C$302,MATCH($D928,품목목록!$A$3:$A$302,0)),""))</f>
        <v/>
      </c>
      <c r="G928" s="12" t="str">
        <f aca="false">IF($D928="","",IFERROR(INDEX(품목목록!$D$3:$D$302,MATCH($D928,품목목록!$A$3:$A$302,0)),""))</f>
        <v/>
      </c>
      <c r="H928" s="12" t="str">
        <f aca="false">IF($D928="","",IFERROR(INDEX(품목목록!$E$3:$E$302,MATCH($D928,품목목록!$A$3:$A$302,0)),""))</f>
        <v/>
      </c>
      <c r="I928" s="14"/>
      <c r="J928" s="10"/>
      <c r="K928" s="10"/>
      <c r="L928" s="10"/>
      <c r="M928" s="15" t="str">
        <f aca="false">IF($A928="","",SUMIFS(처리내역!$E$3:$E$1502,처리내역!$B$3:$B$1502,$A928))</f>
        <v/>
      </c>
      <c r="N928" s="15" t="str">
        <f aca="false">IF($A928="","",IF($I928="","",$I928-$M928))</f>
        <v/>
      </c>
      <c r="O928" s="12" t="str">
        <f aca="false">IF($A928="","",IF($I928="","",IF($M928=0,"미처리",IF($N928&lt;=0,"완료","부분처리"))))</f>
        <v/>
      </c>
    </row>
    <row r="929" customFormat="false" ht="15" hidden="false" customHeight="true" outlineLevel="0" collapsed="false">
      <c r="A929" s="12" t="str">
        <f aca="false">IF($B929="","",TEXT($B929,"yymm")&amp;"-"&amp;TEXT(COUNTIFS($B$3:$B929,"&gt;="&amp;DATE(YEAR($B929),MONTH($B929),1),$B$3:$B929,"&lt;="&amp;EOMONTH($B929,0)),"000"))</f>
        <v/>
      </c>
      <c r="B929" s="13"/>
      <c r="C929" s="10"/>
      <c r="D929" s="10"/>
      <c r="E929" s="12" t="str">
        <f aca="false">IF($D929="","",IFERROR(INDEX(품목목록!$B$3:$B$302,MATCH($D929,품목목록!$A$3:$A$302,0)),"미등록품번"))</f>
        <v/>
      </c>
      <c r="F929" s="12" t="str">
        <f aca="false">IF($D929="","",IFERROR(INDEX(품목목록!$C$3:$C$302,MATCH($D929,품목목록!$A$3:$A$302,0)),""))</f>
        <v/>
      </c>
      <c r="G929" s="12" t="str">
        <f aca="false">IF($D929="","",IFERROR(INDEX(품목목록!$D$3:$D$302,MATCH($D929,품목목록!$A$3:$A$302,0)),""))</f>
        <v/>
      </c>
      <c r="H929" s="12" t="str">
        <f aca="false">IF($D929="","",IFERROR(INDEX(품목목록!$E$3:$E$302,MATCH($D929,품목목록!$A$3:$A$302,0)),""))</f>
        <v/>
      </c>
      <c r="I929" s="14"/>
      <c r="J929" s="10"/>
      <c r="K929" s="10"/>
      <c r="L929" s="10"/>
      <c r="M929" s="15" t="str">
        <f aca="false">IF($A929="","",SUMIFS(처리내역!$E$3:$E$1502,처리내역!$B$3:$B$1502,$A929))</f>
        <v/>
      </c>
      <c r="N929" s="15" t="str">
        <f aca="false">IF($A929="","",IF($I929="","",$I929-$M929))</f>
        <v/>
      </c>
      <c r="O929" s="12" t="str">
        <f aca="false">IF($A929="","",IF($I929="","",IF($M929=0,"미처리",IF($N929&lt;=0,"완료","부분처리"))))</f>
        <v/>
      </c>
    </row>
    <row r="930" customFormat="false" ht="15" hidden="false" customHeight="true" outlineLevel="0" collapsed="false">
      <c r="A930" s="12" t="str">
        <f aca="false">IF($B930="","",TEXT($B930,"yymm")&amp;"-"&amp;TEXT(COUNTIFS($B$3:$B930,"&gt;="&amp;DATE(YEAR($B930),MONTH($B930),1),$B$3:$B930,"&lt;="&amp;EOMONTH($B930,0)),"000"))</f>
        <v/>
      </c>
      <c r="B930" s="13"/>
      <c r="C930" s="10"/>
      <c r="D930" s="10"/>
      <c r="E930" s="12" t="str">
        <f aca="false">IF($D930="","",IFERROR(INDEX(품목목록!$B$3:$B$302,MATCH($D930,품목목록!$A$3:$A$302,0)),"미등록품번"))</f>
        <v/>
      </c>
      <c r="F930" s="12" t="str">
        <f aca="false">IF($D930="","",IFERROR(INDEX(품목목록!$C$3:$C$302,MATCH($D930,품목목록!$A$3:$A$302,0)),""))</f>
        <v/>
      </c>
      <c r="G930" s="12" t="str">
        <f aca="false">IF($D930="","",IFERROR(INDEX(품목목록!$D$3:$D$302,MATCH($D930,품목목록!$A$3:$A$302,0)),""))</f>
        <v/>
      </c>
      <c r="H930" s="12" t="str">
        <f aca="false">IF($D930="","",IFERROR(INDEX(품목목록!$E$3:$E$302,MATCH($D930,품목목록!$A$3:$A$302,0)),""))</f>
        <v/>
      </c>
      <c r="I930" s="14"/>
      <c r="J930" s="10"/>
      <c r="K930" s="10"/>
      <c r="L930" s="10"/>
      <c r="M930" s="15" t="str">
        <f aca="false">IF($A930="","",SUMIFS(처리내역!$E$3:$E$1502,처리내역!$B$3:$B$1502,$A930))</f>
        <v/>
      </c>
      <c r="N930" s="15" t="str">
        <f aca="false">IF($A930="","",IF($I930="","",$I930-$M930))</f>
        <v/>
      </c>
      <c r="O930" s="12" t="str">
        <f aca="false">IF($A930="","",IF($I930="","",IF($M930=0,"미처리",IF($N930&lt;=0,"완료","부분처리"))))</f>
        <v/>
      </c>
    </row>
    <row r="931" customFormat="false" ht="15" hidden="false" customHeight="true" outlineLevel="0" collapsed="false">
      <c r="A931" s="12" t="str">
        <f aca="false">IF($B931="","",TEXT($B931,"yymm")&amp;"-"&amp;TEXT(COUNTIFS($B$3:$B931,"&gt;="&amp;DATE(YEAR($B931),MONTH($B931),1),$B$3:$B931,"&lt;="&amp;EOMONTH($B931,0)),"000"))</f>
        <v/>
      </c>
      <c r="B931" s="13"/>
      <c r="C931" s="10"/>
      <c r="D931" s="10"/>
      <c r="E931" s="12" t="str">
        <f aca="false">IF($D931="","",IFERROR(INDEX(품목목록!$B$3:$B$302,MATCH($D931,품목목록!$A$3:$A$302,0)),"미등록품번"))</f>
        <v/>
      </c>
      <c r="F931" s="12" t="str">
        <f aca="false">IF($D931="","",IFERROR(INDEX(품목목록!$C$3:$C$302,MATCH($D931,품목목록!$A$3:$A$302,0)),""))</f>
        <v/>
      </c>
      <c r="G931" s="12" t="str">
        <f aca="false">IF($D931="","",IFERROR(INDEX(품목목록!$D$3:$D$302,MATCH($D931,품목목록!$A$3:$A$302,0)),""))</f>
        <v/>
      </c>
      <c r="H931" s="12" t="str">
        <f aca="false">IF($D931="","",IFERROR(INDEX(품목목록!$E$3:$E$302,MATCH($D931,품목목록!$A$3:$A$302,0)),""))</f>
        <v/>
      </c>
      <c r="I931" s="14"/>
      <c r="J931" s="10"/>
      <c r="K931" s="10"/>
      <c r="L931" s="10"/>
      <c r="M931" s="15" t="str">
        <f aca="false">IF($A931="","",SUMIFS(처리내역!$E$3:$E$1502,처리내역!$B$3:$B$1502,$A931))</f>
        <v/>
      </c>
      <c r="N931" s="15" t="str">
        <f aca="false">IF($A931="","",IF($I931="","",$I931-$M931))</f>
        <v/>
      </c>
      <c r="O931" s="12" t="str">
        <f aca="false">IF($A931="","",IF($I931="","",IF($M931=0,"미처리",IF($N931&lt;=0,"완료","부분처리"))))</f>
        <v/>
      </c>
    </row>
    <row r="932" customFormat="false" ht="15" hidden="false" customHeight="true" outlineLevel="0" collapsed="false">
      <c r="A932" s="12" t="str">
        <f aca="false">IF($B932="","",TEXT($B932,"yymm")&amp;"-"&amp;TEXT(COUNTIFS($B$3:$B932,"&gt;="&amp;DATE(YEAR($B932),MONTH($B932),1),$B$3:$B932,"&lt;="&amp;EOMONTH($B932,0)),"000"))</f>
        <v/>
      </c>
      <c r="B932" s="13"/>
      <c r="C932" s="10"/>
      <c r="D932" s="10"/>
      <c r="E932" s="12" t="str">
        <f aca="false">IF($D932="","",IFERROR(INDEX(품목목록!$B$3:$B$302,MATCH($D932,품목목록!$A$3:$A$302,0)),"미등록품번"))</f>
        <v/>
      </c>
      <c r="F932" s="12" t="str">
        <f aca="false">IF($D932="","",IFERROR(INDEX(품목목록!$C$3:$C$302,MATCH($D932,품목목록!$A$3:$A$302,0)),""))</f>
        <v/>
      </c>
      <c r="G932" s="12" t="str">
        <f aca="false">IF($D932="","",IFERROR(INDEX(품목목록!$D$3:$D$302,MATCH($D932,품목목록!$A$3:$A$302,0)),""))</f>
        <v/>
      </c>
      <c r="H932" s="12" t="str">
        <f aca="false">IF($D932="","",IFERROR(INDEX(품목목록!$E$3:$E$302,MATCH($D932,품목목록!$A$3:$A$302,0)),""))</f>
        <v/>
      </c>
      <c r="I932" s="14"/>
      <c r="J932" s="10"/>
      <c r="K932" s="10"/>
      <c r="L932" s="10"/>
      <c r="M932" s="15" t="str">
        <f aca="false">IF($A932="","",SUMIFS(처리내역!$E$3:$E$1502,처리내역!$B$3:$B$1502,$A932))</f>
        <v/>
      </c>
      <c r="N932" s="15" t="str">
        <f aca="false">IF($A932="","",IF($I932="","",$I932-$M932))</f>
        <v/>
      </c>
      <c r="O932" s="12" t="str">
        <f aca="false">IF($A932="","",IF($I932="","",IF($M932=0,"미처리",IF($N932&lt;=0,"완료","부분처리"))))</f>
        <v/>
      </c>
    </row>
    <row r="933" customFormat="false" ht="15" hidden="false" customHeight="true" outlineLevel="0" collapsed="false">
      <c r="A933" s="12" t="str">
        <f aca="false">IF($B933="","",TEXT($B933,"yymm")&amp;"-"&amp;TEXT(COUNTIFS($B$3:$B933,"&gt;="&amp;DATE(YEAR($B933),MONTH($B933),1),$B$3:$B933,"&lt;="&amp;EOMONTH($B933,0)),"000"))</f>
        <v/>
      </c>
      <c r="B933" s="13"/>
      <c r="C933" s="10"/>
      <c r="D933" s="10"/>
      <c r="E933" s="12" t="str">
        <f aca="false">IF($D933="","",IFERROR(INDEX(품목목록!$B$3:$B$302,MATCH($D933,품목목록!$A$3:$A$302,0)),"미등록품번"))</f>
        <v/>
      </c>
      <c r="F933" s="12" t="str">
        <f aca="false">IF($D933="","",IFERROR(INDEX(품목목록!$C$3:$C$302,MATCH($D933,품목목록!$A$3:$A$302,0)),""))</f>
        <v/>
      </c>
      <c r="G933" s="12" t="str">
        <f aca="false">IF($D933="","",IFERROR(INDEX(품목목록!$D$3:$D$302,MATCH($D933,품목목록!$A$3:$A$302,0)),""))</f>
        <v/>
      </c>
      <c r="H933" s="12" t="str">
        <f aca="false">IF($D933="","",IFERROR(INDEX(품목목록!$E$3:$E$302,MATCH($D933,품목목록!$A$3:$A$302,0)),""))</f>
        <v/>
      </c>
      <c r="I933" s="14"/>
      <c r="J933" s="10"/>
      <c r="K933" s="10"/>
      <c r="L933" s="10"/>
      <c r="M933" s="15" t="str">
        <f aca="false">IF($A933="","",SUMIFS(처리내역!$E$3:$E$1502,처리내역!$B$3:$B$1502,$A933))</f>
        <v/>
      </c>
      <c r="N933" s="15" t="str">
        <f aca="false">IF($A933="","",IF($I933="","",$I933-$M933))</f>
        <v/>
      </c>
      <c r="O933" s="12" t="str">
        <f aca="false">IF($A933="","",IF($I933="","",IF($M933=0,"미처리",IF($N933&lt;=0,"완료","부분처리"))))</f>
        <v/>
      </c>
    </row>
    <row r="934" customFormat="false" ht="15" hidden="false" customHeight="true" outlineLevel="0" collapsed="false">
      <c r="A934" s="12" t="str">
        <f aca="false">IF($B934="","",TEXT($B934,"yymm")&amp;"-"&amp;TEXT(COUNTIFS($B$3:$B934,"&gt;="&amp;DATE(YEAR($B934),MONTH($B934),1),$B$3:$B934,"&lt;="&amp;EOMONTH($B934,0)),"000"))</f>
        <v/>
      </c>
      <c r="B934" s="13"/>
      <c r="C934" s="10"/>
      <c r="D934" s="10"/>
      <c r="E934" s="12" t="str">
        <f aca="false">IF($D934="","",IFERROR(INDEX(품목목록!$B$3:$B$302,MATCH($D934,품목목록!$A$3:$A$302,0)),"미등록품번"))</f>
        <v/>
      </c>
      <c r="F934" s="12" t="str">
        <f aca="false">IF($D934="","",IFERROR(INDEX(품목목록!$C$3:$C$302,MATCH($D934,품목목록!$A$3:$A$302,0)),""))</f>
        <v/>
      </c>
      <c r="G934" s="12" t="str">
        <f aca="false">IF($D934="","",IFERROR(INDEX(품목목록!$D$3:$D$302,MATCH($D934,품목목록!$A$3:$A$302,0)),""))</f>
        <v/>
      </c>
      <c r="H934" s="12" t="str">
        <f aca="false">IF($D934="","",IFERROR(INDEX(품목목록!$E$3:$E$302,MATCH($D934,품목목록!$A$3:$A$302,0)),""))</f>
        <v/>
      </c>
      <c r="I934" s="14"/>
      <c r="J934" s="10"/>
      <c r="K934" s="10"/>
      <c r="L934" s="10"/>
      <c r="M934" s="15" t="str">
        <f aca="false">IF($A934="","",SUMIFS(처리내역!$E$3:$E$1502,처리내역!$B$3:$B$1502,$A934))</f>
        <v/>
      </c>
      <c r="N934" s="15" t="str">
        <f aca="false">IF($A934="","",IF($I934="","",$I934-$M934))</f>
        <v/>
      </c>
      <c r="O934" s="12" t="str">
        <f aca="false">IF($A934="","",IF($I934="","",IF($M934=0,"미처리",IF($N934&lt;=0,"완료","부분처리"))))</f>
        <v/>
      </c>
    </row>
    <row r="935" customFormat="false" ht="15" hidden="false" customHeight="true" outlineLevel="0" collapsed="false">
      <c r="A935" s="12" t="str">
        <f aca="false">IF($B935="","",TEXT($B935,"yymm")&amp;"-"&amp;TEXT(COUNTIFS($B$3:$B935,"&gt;="&amp;DATE(YEAR($B935),MONTH($B935),1),$B$3:$B935,"&lt;="&amp;EOMONTH($B935,0)),"000"))</f>
        <v/>
      </c>
      <c r="B935" s="13"/>
      <c r="C935" s="10"/>
      <c r="D935" s="10"/>
      <c r="E935" s="12" t="str">
        <f aca="false">IF($D935="","",IFERROR(INDEX(품목목록!$B$3:$B$302,MATCH($D935,품목목록!$A$3:$A$302,0)),"미등록품번"))</f>
        <v/>
      </c>
      <c r="F935" s="12" t="str">
        <f aca="false">IF($D935="","",IFERROR(INDEX(품목목록!$C$3:$C$302,MATCH($D935,품목목록!$A$3:$A$302,0)),""))</f>
        <v/>
      </c>
      <c r="G935" s="12" t="str">
        <f aca="false">IF($D935="","",IFERROR(INDEX(품목목록!$D$3:$D$302,MATCH($D935,품목목록!$A$3:$A$302,0)),""))</f>
        <v/>
      </c>
      <c r="H935" s="12" t="str">
        <f aca="false">IF($D935="","",IFERROR(INDEX(품목목록!$E$3:$E$302,MATCH($D935,품목목록!$A$3:$A$302,0)),""))</f>
        <v/>
      </c>
      <c r="I935" s="14"/>
      <c r="J935" s="10"/>
      <c r="K935" s="10"/>
      <c r="L935" s="10"/>
      <c r="M935" s="15" t="str">
        <f aca="false">IF($A935="","",SUMIFS(처리내역!$E$3:$E$1502,처리내역!$B$3:$B$1502,$A935))</f>
        <v/>
      </c>
      <c r="N935" s="15" t="str">
        <f aca="false">IF($A935="","",IF($I935="","",$I935-$M935))</f>
        <v/>
      </c>
      <c r="O935" s="12" t="str">
        <f aca="false">IF($A935="","",IF($I935="","",IF($M935=0,"미처리",IF($N935&lt;=0,"완료","부분처리"))))</f>
        <v/>
      </c>
    </row>
    <row r="936" customFormat="false" ht="15" hidden="false" customHeight="true" outlineLevel="0" collapsed="false">
      <c r="A936" s="12" t="str">
        <f aca="false">IF($B936="","",TEXT($B936,"yymm")&amp;"-"&amp;TEXT(COUNTIFS($B$3:$B936,"&gt;="&amp;DATE(YEAR($B936),MONTH($B936),1),$B$3:$B936,"&lt;="&amp;EOMONTH($B936,0)),"000"))</f>
        <v/>
      </c>
      <c r="B936" s="13"/>
      <c r="C936" s="10"/>
      <c r="D936" s="10"/>
      <c r="E936" s="12" t="str">
        <f aca="false">IF($D936="","",IFERROR(INDEX(품목목록!$B$3:$B$302,MATCH($D936,품목목록!$A$3:$A$302,0)),"미등록품번"))</f>
        <v/>
      </c>
      <c r="F936" s="12" t="str">
        <f aca="false">IF($D936="","",IFERROR(INDEX(품목목록!$C$3:$C$302,MATCH($D936,품목목록!$A$3:$A$302,0)),""))</f>
        <v/>
      </c>
      <c r="G936" s="12" t="str">
        <f aca="false">IF($D936="","",IFERROR(INDEX(품목목록!$D$3:$D$302,MATCH($D936,품목목록!$A$3:$A$302,0)),""))</f>
        <v/>
      </c>
      <c r="H936" s="12" t="str">
        <f aca="false">IF($D936="","",IFERROR(INDEX(품목목록!$E$3:$E$302,MATCH($D936,품목목록!$A$3:$A$302,0)),""))</f>
        <v/>
      </c>
      <c r="I936" s="14"/>
      <c r="J936" s="10"/>
      <c r="K936" s="10"/>
      <c r="L936" s="10"/>
      <c r="M936" s="15" t="str">
        <f aca="false">IF($A936="","",SUMIFS(처리내역!$E$3:$E$1502,처리내역!$B$3:$B$1502,$A936))</f>
        <v/>
      </c>
      <c r="N936" s="15" t="str">
        <f aca="false">IF($A936="","",IF($I936="","",$I936-$M936))</f>
        <v/>
      </c>
      <c r="O936" s="12" t="str">
        <f aca="false">IF($A936="","",IF($I936="","",IF($M936=0,"미처리",IF($N936&lt;=0,"완료","부분처리"))))</f>
        <v/>
      </c>
    </row>
    <row r="937" customFormat="false" ht="15" hidden="false" customHeight="true" outlineLevel="0" collapsed="false">
      <c r="A937" s="12" t="str">
        <f aca="false">IF($B937="","",TEXT($B937,"yymm")&amp;"-"&amp;TEXT(COUNTIFS($B$3:$B937,"&gt;="&amp;DATE(YEAR($B937),MONTH($B937),1),$B$3:$B937,"&lt;="&amp;EOMONTH($B937,0)),"000"))</f>
        <v/>
      </c>
      <c r="B937" s="13"/>
      <c r="C937" s="10"/>
      <c r="D937" s="10"/>
      <c r="E937" s="12" t="str">
        <f aca="false">IF($D937="","",IFERROR(INDEX(품목목록!$B$3:$B$302,MATCH($D937,품목목록!$A$3:$A$302,0)),"미등록품번"))</f>
        <v/>
      </c>
      <c r="F937" s="12" t="str">
        <f aca="false">IF($D937="","",IFERROR(INDEX(품목목록!$C$3:$C$302,MATCH($D937,품목목록!$A$3:$A$302,0)),""))</f>
        <v/>
      </c>
      <c r="G937" s="12" t="str">
        <f aca="false">IF($D937="","",IFERROR(INDEX(품목목록!$D$3:$D$302,MATCH($D937,품목목록!$A$3:$A$302,0)),""))</f>
        <v/>
      </c>
      <c r="H937" s="12" t="str">
        <f aca="false">IF($D937="","",IFERROR(INDEX(품목목록!$E$3:$E$302,MATCH($D937,품목목록!$A$3:$A$302,0)),""))</f>
        <v/>
      </c>
      <c r="I937" s="14"/>
      <c r="J937" s="10"/>
      <c r="K937" s="10"/>
      <c r="L937" s="10"/>
      <c r="M937" s="15" t="str">
        <f aca="false">IF($A937="","",SUMIFS(처리내역!$E$3:$E$1502,처리내역!$B$3:$B$1502,$A937))</f>
        <v/>
      </c>
      <c r="N937" s="15" t="str">
        <f aca="false">IF($A937="","",IF($I937="","",$I937-$M937))</f>
        <v/>
      </c>
      <c r="O937" s="12" t="str">
        <f aca="false">IF($A937="","",IF($I937="","",IF($M937=0,"미처리",IF($N937&lt;=0,"완료","부분처리"))))</f>
        <v/>
      </c>
    </row>
    <row r="938" customFormat="false" ht="15" hidden="false" customHeight="true" outlineLevel="0" collapsed="false">
      <c r="A938" s="12" t="str">
        <f aca="false">IF($B938="","",TEXT($B938,"yymm")&amp;"-"&amp;TEXT(COUNTIFS($B$3:$B938,"&gt;="&amp;DATE(YEAR($B938),MONTH($B938),1),$B$3:$B938,"&lt;="&amp;EOMONTH($B938,0)),"000"))</f>
        <v/>
      </c>
      <c r="B938" s="13"/>
      <c r="C938" s="10"/>
      <c r="D938" s="10"/>
      <c r="E938" s="12" t="str">
        <f aca="false">IF($D938="","",IFERROR(INDEX(품목목록!$B$3:$B$302,MATCH($D938,품목목록!$A$3:$A$302,0)),"미등록품번"))</f>
        <v/>
      </c>
      <c r="F938" s="12" t="str">
        <f aca="false">IF($D938="","",IFERROR(INDEX(품목목록!$C$3:$C$302,MATCH($D938,품목목록!$A$3:$A$302,0)),""))</f>
        <v/>
      </c>
      <c r="G938" s="12" t="str">
        <f aca="false">IF($D938="","",IFERROR(INDEX(품목목록!$D$3:$D$302,MATCH($D938,품목목록!$A$3:$A$302,0)),""))</f>
        <v/>
      </c>
      <c r="H938" s="12" t="str">
        <f aca="false">IF($D938="","",IFERROR(INDEX(품목목록!$E$3:$E$302,MATCH($D938,품목목록!$A$3:$A$302,0)),""))</f>
        <v/>
      </c>
      <c r="I938" s="14"/>
      <c r="J938" s="10"/>
      <c r="K938" s="10"/>
      <c r="L938" s="10"/>
      <c r="M938" s="15" t="str">
        <f aca="false">IF($A938="","",SUMIFS(처리내역!$E$3:$E$1502,처리내역!$B$3:$B$1502,$A938))</f>
        <v/>
      </c>
      <c r="N938" s="15" t="str">
        <f aca="false">IF($A938="","",IF($I938="","",$I938-$M938))</f>
        <v/>
      </c>
      <c r="O938" s="12" t="str">
        <f aca="false">IF($A938="","",IF($I938="","",IF($M938=0,"미처리",IF($N938&lt;=0,"완료","부분처리"))))</f>
        <v/>
      </c>
    </row>
    <row r="939" customFormat="false" ht="15" hidden="false" customHeight="true" outlineLevel="0" collapsed="false">
      <c r="A939" s="12" t="str">
        <f aca="false">IF($B939="","",TEXT($B939,"yymm")&amp;"-"&amp;TEXT(COUNTIFS($B$3:$B939,"&gt;="&amp;DATE(YEAR($B939),MONTH($B939),1),$B$3:$B939,"&lt;="&amp;EOMONTH($B939,0)),"000"))</f>
        <v/>
      </c>
      <c r="B939" s="13"/>
      <c r="C939" s="10"/>
      <c r="D939" s="10"/>
      <c r="E939" s="12" t="str">
        <f aca="false">IF($D939="","",IFERROR(INDEX(품목목록!$B$3:$B$302,MATCH($D939,품목목록!$A$3:$A$302,0)),"미등록품번"))</f>
        <v/>
      </c>
      <c r="F939" s="12" t="str">
        <f aca="false">IF($D939="","",IFERROR(INDEX(품목목록!$C$3:$C$302,MATCH($D939,품목목록!$A$3:$A$302,0)),""))</f>
        <v/>
      </c>
      <c r="G939" s="12" t="str">
        <f aca="false">IF($D939="","",IFERROR(INDEX(품목목록!$D$3:$D$302,MATCH($D939,품목목록!$A$3:$A$302,0)),""))</f>
        <v/>
      </c>
      <c r="H939" s="12" t="str">
        <f aca="false">IF($D939="","",IFERROR(INDEX(품목목록!$E$3:$E$302,MATCH($D939,품목목록!$A$3:$A$302,0)),""))</f>
        <v/>
      </c>
      <c r="I939" s="14"/>
      <c r="J939" s="10"/>
      <c r="K939" s="10"/>
      <c r="L939" s="10"/>
      <c r="M939" s="15" t="str">
        <f aca="false">IF($A939="","",SUMIFS(처리내역!$E$3:$E$1502,처리내역!$B$3:$B$1502,$A939))</f>
        <v/>
      </c>
      <c r="N939" s="15" t="str">
        <f aca="false">IF($A939="","",IF($I939="","",$I939-$M939))</f>
        <v/>
      </c>
      <c r="O939" s="12" t="str">
        <f aca="false">IF($A939="","",IF($I939="","",IF($M939=0,"미처리",IF($N939&lt;=0,"완료","부분처리"))))</f>
        <v/>
      </c>
    </row>
    <row r="940" customFormat="false" ht="15" hidden="false" customHeight="true" outlineLevel="0" collapsed="false">
      <c r="A940" s="12" t="str">
        <f aca="false">IF($B940="","",TEXT($B940,"yymm")&amp;"-"&amp;TEXT(COUNTIFS($B$3:$B940,"&gt;="&amp;DATE(YEAR($B940),MONTH($B940),1),$B$3:$B940,"&lt;="&amp;EOMONTH($B940,0)),"000"))</f>
        <v/>
      </c>
      <c r="B940" s="13"/>
      <c r="C940" s="10"/>
      <c r="D940" s="10"/>
      <c r="E940" s="12" t="str">
        <f aca="false">IF($D940="","",IFERROR(INDEX(품목목록!$B$3:$B$302,MATCH($D940,품목목록!$A$3:$A$302,0)),"미등록품번"))</f>
        <v/>
      </c>
      <c r="F940" s="12" t="str">
        <f aca="false">IF($D940="","",IFERROR(INDEX(품목목록!$C$3:$C$302,MATCH($D940,품목목록!$A$3:$A$302,0)),""))</f>
        <v/>
      </c>
      <c r="G940" s="12" t="str">
        <f aca="false">IF($D940="","",IFERROR(INDEX(품목목록!$D$3:$D$302,MATCH($D940,품목목록!$A$3:$A$302,0)),""))</f>
        <v/>
      </c>
      <c r="H940" s="12" t="str">
        <f aca="false">IF($D940="","",IFERROR(INDEX(품목목록!$E$3:$E$302,MATCH($D940,품목목록!$A$3:$A$302,0)),""))</f>
        <v/>
      </c>
      <c r="I940" s="14"/>
      <c r="J940" s="10"/>
      <c r="K940" s="10"/>
      <c r="L940" s="10"/>
      <c r="M940" s="15" t="str">
        <f aca="false">IF($A940="","",SUMIFS(처리내역!$E$3:$E$1502,처리내역!$B$3:$B$1502,$A940))</f>
        <v/>
      </c>
      <c r="N940" s="15" t="str">
        <f aca="false">IF($A940="","",IF($I940="","",$I940-$M940))</f>
        <v/>
      </c>
      <c r="O940" s="12" t="str">
        <f aca="false">IF($A940="","",IF($I940="","",IF($M940=0,"미처리",IF($N940&lt;=0,"완료","부분처리"))))</f>
        <v/>
      </c>
    </row>
    <row r="941" customFormat="false" ht="15" hidden="false" customHeight="true" outlineLevel="0" collapsed="false">
      <c r="A941" s="12" t="str">
        <f aca="false">IF($B941="","",TEXT($B941,"yymm")&amp;"-"&amp;TEXT(COUNTIFS($B$3:$B941,"&gt;="&amp;DATE(YEAR($B941),MONTH($B941),1),$B$3:$B941,"&lt;="&amp;EOMONTH($B941,0)),"000"))</f>
        <v/>
      </c>
      <c r="B941" s="13"/>
      <c r="C941" s="10"/>
      <c r="D941" s="10"/>
      <c r="E941" s="12" t="str">
        <f aca="false">IF($D941="","",IFERROR(INDEX(품목목록!$B$3:$B$302,MATCH($D941,품목목록!$A$3:$A$302,0)),"미등록품번"))</f>
        <v/>
      </c>
      <c r="F941" s="12" t="str">
        <f aca="false">IF($D941="","",IFERROR(INDEX(품목목록!$C$3:$C$302,MATCH($D941,품목목록!$A$3:$A$302,0)),""))</f>
        <v/>
      </c>
      <c r="G941" s="12" t="str">
        <f aca="false">IF($D941="","",IFERROR(INDEX(품목목록!$D$3:$D$302,MATCH($D941,품목목록!$A$3:$A$302,0)),""))</f>
        <v/>
      </c>
      <c r="H941" s="12" t="str">
        <f aca="false">IF($D941="","",IFERROR(INDEX(품목목록!$E$3:$E$302,MATCH($D941,품목목록!$A$3:$A$302,0)),""))</f>
        <v/>
      </c>
      <c r="I941" s="14"/>
      <c r="J941" s="10"/>
      <c r="K941" s="10"/>
      <c r="L941" s="10"/>
      <c r="M941" s="15" t="str">
        <f aca="false">IF($A941="","",SUMIFS(처리내역!$E$3:$E$1502,처리내역!$B$3:$B$1502,$A941))</f>
        <v/>
      </c>
      <c r="N941" s="15" t="str">
        <f aca="false">IF($A941="","",IF($I941="","",$I941-$M941))</f>
        <v/>
      </c>
      <c r="O941" s="12" t="str">
        <f aca="false">IF($A941="","",IF($I941="","",IF($M941=0,"미처리",IF($N941&lt;=0,"완료","부분처리"))))</f>
        <v/>
      </c>
    </row>
    <row r="942" customFormat="false" ht="15" hidden="false" customHeight="true" outlineLevel="0" collapsed="false">
      <c r="A942" s="12" t="str">
        <f aca="false">IF($B942="","",TEXT($B942,"yymm")&amp;"-"&amp;TEXT(COUNTIFS($B$3:$B942,"&gt;="&amp;DATE(YEAR($B942),MONTH($B942),1),$B$3:$B942,"&lt;="&amp;EOMONTH($B942,0)),"000"))</f>
        <v/>
      </c>
      <c r="B942" s="13"/>
      <c r="C942" s="10"/>
      <c r="D942" s="10"/>
      <c r="E942" s="12" t="str">
        <f aca="false">IF($D942="","",IFERROR(INDEX(품목목록!$B$3:$B$302,MATCH($D942,품목목록!$A$3:$A$302,0)),"미등록품번"))</f>
        <v/>
      </c>
      <c r="F942" s="12" t="str">
        <f aca="false">IF($D942="","",IFERROR(INDEX(품목목록!$C$3:$C$302,MATCH($D942,품목목록!$A$3:$A$302,0)),""))</f>
        <v/>
      </c>
      <c r="G942" s="12" t="str">
        <f aca="false">IF($D942="","",IFERROR(INDEX(품목목록!$D$3:$D$302,MATCH($D942,품목목록!$A$3:$A$302,0)),""))</f>
        <v/>
      </c>
      <c r="H942" s="12" t="str">
        <f aca="false">IF($D942="","",IFERROR(INDEX(품목목록!$E$3:$E$302,MATCH($D942,품목목록!$A$3:$A$302,0)),""))</f>
        <v/>
      </c>
      <c r="I942" s="14"/>
      <c r="J942" s="10"/>
      <c r="K942" s="10"/>
      <c r="L942" s="10"/>
      <c r="M942" s="15" t="str">
        <f aca="false">IF($A942="","",SUMIFS(처리내역!$E$3:$E$1502,처리내역!$B$3:$B$1502,$A942))</f>
        <v/>
      </c>
      <c r="N942" s="15" t="str">
        <f aca="false">IF($A942="","",IF($I942="","",$I942-$M942))</f>
        <v/>
      </c>
      <c r="O942" s="12" t="str">
        <f aca="false">IF($A942="","",IF($I942="","",IF($M942=0,"미처리",IF($N942&lt;=0,"완료","부분처리"))))</f>
        <v/>
      </c>
    </row>
    <row r="943" customFormat="false" ht="15" hidden="false" customHeight="true" outlineLevel="0" collapsed="false">
      <c r="A943" s="12" t="str">
        <f aca="false">IF($B943="","",TEXT($B943,"yymm")&amp;"-"&amp;TEXT(COUNTIFS($B$3:$B943,"&gt;="&amp;DATE(YEAR($B943),MONTH($B943),1),$B$3:$B943,"&lt;="&amp;EOMONTH($B943,0)),"000"))</f>
        <v/>
      </c>
      <c r="B943" s="13"/>
      <c r="C943" s="10"/>
      <c r="D943" s="10"/>
      <c r="E943" s="12" t="str">
        <f aca="false">IF($D943="","",IFERROR(INDEX(품목목록!$B$3:$B$302,MATCH($D943,품목목록!$A$3:$A$302,0)),"미등록품번"))</f>
        <v/>
      </c>
      <c r="F943" s="12" t="str">
        <f aca="false">IF($D943="","",IFERROR(INDEX(품목목록!$C$3:$C$302,MATCH($D943,품목목록!$A$3:$A$302,0)),""))</f>
        <v/>
      </c>
      <c r="G943" s="12" t="str">
        <f aca="false">IF($D943="","",IFERROR(INDEX(품목목록!$D$3:$D$302,MATCH($D943,품목목록!$A$3:$A$302,0)),""))</f>
        <v/>
      </c>
      <c r="H943" s="12" t="str">
        <f aca="false">IF($D943="","",IFERROR(INDEX(품목목록!$E$3:$E$302,MATCH($D943,품목목록!$A$3:$A$302,0)),""))</f>
        <v/>
      </c>
      <c r="I943" s="14"/>
      <c r="J943" s="10"/>
      <c r="K943" s="10"/>
      <c r="L943" s="10"/>
      <c r="M943" s="15" t="str">
        <f aca="false">IF($A943="","",SUMIFS(처리내역!$E$3:$E$1502,처리내역!$B$3:$B$1502,$A943))</f>
        <v/>
      </c>
      <c r="N943" s="15" t="str">
        <f aca="false">IF($A943="","",IF($I943="","",$I943-$M943))</f>
        <v/>
      </c>
      <c r="O943" s="12" t="str">
        <f aca="false">IF($A943="","",IF($I943="","",IF($M943=0,"미처리",IF($N943&lt;=0,"완료","부분처리"))))</f>
        <v/>
      </c>
    </row>
    <row r="944" customFormat="false" ht="15" hidden="false" customHeight="true" outlineLevel="0" collapsed="false">
      <c r="A944" s="12" t="str">
        <f aca="false">IF($B944="","",TEXT($B944,"yymm")&amp;"-"&amp;TEXT(COUNTIFS($B$3:$B944,"&gt;="&amp;DATE(YEAR($B944),MONTH($B944),1),$B$3:$B944,"&lt;="&amp;EOMONTH($B944,0)),"000"))</f>
        <v/>
      </c>
      <c r="B944" s="13"/>
      <c r="C944" s="10"/>
      <c r="D944" s="10"/>
      <c r="E944" s="12" t="str">
        <f aca="false">IF($D944="","",IFERROR(INDEX(품목목록!$B$3:$B$302,MATCH($D944,품목목록!$A$3:$A$302,0)),"미등록품번"))</f>
        <v/>
      </c>
      <c r="F944" s="12" t="str">
        <f aca="false">IF($D944="","",IFERROR(INDEX(품목목록!$C$3:$C$302,MATCH($D944,품목목록!$A$3:$A$302,0)),""))</f>
        <v/>
      </c>
      <c r="G944" s="12" t="str">
        <f aca="false">IF($D944="","",IFERROR(INDEX(품목목록!$D$3:$D$302,MATCH($D944,품목목록!$A$3:$A$302,0)),""))</f>
        <v/>
      </c>
      <c r="H944" s="12" t="str">
        <f aca="false">IF($D944="","",IFERROR(INDEX(품목목록!$E$3:$E$302,MATCH($D944,품목목록!$A$3:$A$302,0)),""))</f>
        <v/>
      </c>
      <c r="I944" s="14"/>
      <c r="J944" s="10"/>
      <c r="K944" s="10"/>
      <c r="L944" s="10"/>
      <c r="M944" s="15" t="str">
        <f aca="false">IF($A944="","",SUMIFS(처리내역!$E$3:$E$1502,처리내역!$B$3:$B$1502,$A944))</f>
        <v/>
      </c>
      <c r="N944" s="15" t="str">
        <f aca="false">IF($A944="","",IF($I944="","",$I944-$M944))</f>
        <v/>
      </c>
      <c r="O944" s="12" t="str">
        <f aca="false">IF($A944="","",IF($I944="","",IF($M944=0,"미처리",IF($N944&lt;=0,"완료","부분처리"))))</f>
        <v/>
      </c>
    </row>
    <row r="945" customFormat="false" ht="15" hidden="false" customHeight="true" outlineLevel="0" collapsed="false">
      <c r="A945" s="12" t="str">
        <f aca="false">IF($B945="","",TEXT($B945,"yymm")&amp;"-"&amp;TEXT(COUNTIFS($B$3:$B945,"&gt;="&amp;DATE(YEAR($B945),MONTH($B945),1),$B$3:$B945,"&lt;="&amp;EOMONTH($B945,0)),"000"))</f>
        <v/>
      </c>
      <c r="B945" s="13"/>
      <c r="C945" s="10"/>
      <c r="D945" s="10"/>
      <c r="E945" s="12" t="str">
        <f aca="false">IF($D945="","",IFERROR(INDEX(품목목록!$B$3:$B$302,MATCH($D945,품목목록!$A$3:$A$302,0)),"미등록품번"))</f>
        <v/>
      </c>
      <c r="F945" s="12" t="str">
        <f aca="false">IF($D945="","",IFERROR(INDEX(품목목록!$C$3:$C$302,MATCH($D945,품목목록!$A$3:$A$302,0)),""))</f>
        <v/>
      </c>
      <c r="G945" s="12" t="str">
        <f aca="false">IF($D945="","",IFERROR(INDEX(품목목록!$D$3:$D$302,MATCH($D945,품목목록!$A$3:$A$302,0)),""))</f>
        <v/>
      </c>
      <c r="H945" s="12" t="str">
        <f aca="false">IF($D945="","",IFERROR(INDEX(품목목록!$E$3:$E$302,MATCH($D945,품목목록!$A$3:$A$302,0)),""))</f>
        <v/>
      </c>
      <c r="I945" s="14"/>
      <c r="J945" s="10"/>
      <c r="K945" s="10"/>
      <c r="L945" s="10"/>
      <c r="M945" s="15" t="str">
        <f aca="false">IF($A945="","",SUMIFS(처리내역!$E$3:$E$1502,처리내역!$B$3:$B$1502,$A945))</f>
        <v/>
      </c>
      <c r="N945" s="15" t="str">
        <f aca="false">IF($A945="","",IF($I945="","",$I945-$M945))</f>
        <v/>
      </c>
      <c r="O945" s="12" t="str">
        <f aca="false">IF($A945="","",IF($I945="","",IF($M945=0,"미처리",IF($N945&lt;=0,"완료","부분처리"))))</f>
        <v/>
      </c>
    </row>
    <row r="946" customFormat="false" ht="15" hidden="false" customHeight="true" outlineLevel="0" collapsed="false">
      <c r="A946" s="12" t="str">
        <f aca="false">IF($B946="","",TEXT($B946,"yymm")&amp;"-"&amp;TEXT(COUNTIFS($B$3:$B946,"&gt;="&amp;DATE(YEAR($B946),MONTH($B946),1),$B$3:$B946,"&lt;="&amp;EOMONTH($B946,0)),"000"))</f>
        <v/>
      </c>
      <c r="B946" s="13"/>
      <c r="C946" s="10"/>
      <c r="D946" s="10"/>
      <c r="E946" s="12" t="str">
        <f aca="false">IF($D946="","",IFERROR(INDEX(품목목록!$B$3:$B$302,MATCH($D946,품목목록!$A$3:$A$302,0)),"미등록품번"))</f>
        <v/>
      </c>
      <c r="F946" s="12" t="str">
        <f aca="false">IF($D946="","",IFERROR(INDEX(품목목록!$C$3:$C$302,MATCH($D946,품목목록!$A$3:$A$302,0)),""))</f>
        <v/>
      </c>
      <c r="G946" s="12" t="str">
        <f aca="false">IF($D946="","",IFERROR(INDEX(품목목록!$D$3:$D$302,MATCH($D946,품목목록!$A$3:$A$302,0)),""))</f>
        <v/>
      </c>
      <c r="H946" s="12" t="str">
        <f aca="false">IF($D946="","",IFERROR(INDEX(품목목록!$E$3:$E$302,MATCH($D946,품목목록!$A$3:$A$302,0)),""))</f>
        <v/>
      </c>
      <c r="I946" s="14"/>
      <c r="J946" s="10"/>
      <c r="K946" s="10"/>
      <c r="L946" s="10"/>
      <c r="M946" s="15" t="str">
        <f aca="false">IF($A946="","",SUMIFS(처리내역!$E$3:$E$1502,처리내역!$B$3:$B$1502,$A946))</f>
        <v/>
      </c>
      <c r="N946" s="15" t="str">
        <f aca="false">IF($A946="","",IF($I946="","",$I946-$M946))</f>
        <v/>
      </c>
      <c r="O946" s="12" t="str">
        <f aca="false">IF($A946="","",IF($I946="","",IF($M946=0,"미처리",IF($N946&lt;=0,"완료","부분처리"))))</f>
        <v/>
      </c>
    </row>
    <row r="947" customFormat="false" ht="15" hidden="false" customHeight="true" outlineLevel="0" collapsed="false">
      <c r="A947" s="12" t="str">
        <f aca="false">IF($B947="","",TEXT($B947,"yymm")&amp;"-"&amp;TEXT(COUNTIFS($B$3:$B947,"&gt;="&amp;DATE(YEAR($B947),MONTH($B947),1),$B$3:$B947,"&lt;="&amp;EOMONTH($B947,0)),"000"))</f>
        <v/>
      </c>
      <c r="B947" s="13"/>
      <c r="C947" s="10"/>
      <c r="D947" s="10"/>
      <c r="E947" s="12" t="str">
        <f aca="false">IF($D947="","",IFERROR(INDEX(품목목록!$B$3:$B$302,MATCH($D947,품목목록!$A$3:$A$302,0)),"미등록품번"))</f>
        <v/>
      </c>
      <c r="F947" s="12" t="str">
        <f aca="false">IF($D947="","",IFERROR(INDEX(품목목록!$C$3:$C$302,MATCH($D947,품목목록!$A$3:$A$302,0)),""))</f>
        <v/>
      </c>
      <c r="G947" s="12" t="str">
        <f aca="false">IF($D947="","",IFERROR(INDEX(품목목록!$D$3:$D$302,MATCH($D947,품목목록!$A$3:$A$302,0)),""))</f>
        <v/>
      </c>
      <c r="H947" s="12" t="str">
        <f aca="false">IF($D947="","",IFERROR(INDEX(품목목록!$E$3:$E$302,MATCH($D947,품목목록!$A$3:$A$302,0)),""))</f>
        <v/>
      </c>
      <c r="I947" s="14"/>
      <c r="J947" s="10"/>
      <c r="K947" s="10"/>
      <c r="L947" s="10"/>
      <c r="M947" s="15" t="str">
        <f aca="false">IF($A947="","",SUMIFS(처리내역!$E$3:$E$1502,처리내역!$B$3:$B$1502,$A947))</f>
        <v/>
      </c>
      <c r="N947" s="15" t="str">
        <f aca="false">IF($A947="","",IF($I947="","",$I947-$M947))</f>
        <v/>
      </c>
      <c r="O947" s="12" t="str">
        <f aca="false">IF($A947="","",IF($I947="","",IF($M947=0,"미처리",IF($N947&lt;=0,"완료","부분처리"))))</f>
        <v/>
      </c>
    </row>
    <row r="948" customFormat="false" ht="15" hidden="false" customHeight="true" outlineLevel="0" collapsed="false">
      <c r="A948" s="12" t="str">
        <f aca="false">IF($B948="","",TEXT($B948,"yymm")&amp;"-"&amp;TEXT(COUNTIFS($B$3:$B948,"&gt;="&amp;DATE(YEAR($B948),MONTH($B948),1),$B$3:$B948,"&lt;="&amp;EOMONTH($B948,0)),"000"))</f>
        <v/>
      </c>
      <c r="B948" s="13"/>
      <c r="C948" s="10"/>
      <c r="D948" s="10"/>
      <c r="E948" s="12" t="str">
        <f aca="false">IF($D948="","",IFERROR(INDEX(품목목록!$B$3:$B$302,MATCH($D948,품목목록!$A$3:$A$302,0)),"미등록품번"))</f>
        <v/>
      </c>
      <c r="F948" s="12" t="str">
        <f aca="false">IF($D948="","",IFERROR(INDEX(품목목록!$C$3:$C$302,MATCH($D948,품목목록!$A$3:$A$302,0)),""))</f>
        <v/>
      </c>
      <c r="G948" s="12" t="str">
        <f aca="false">IF($D948="","",IFERROR(INDEX(품목목록!$D$3:$D$302,MATCH($D948,품목목록!$A$3:$A$302,0)),""))</f>
        <v/>
      </c>
      <c r="H948" s="12" t="str">
        <f aca="false">IF($D948="","",IFERROR(INDEX(품목목록!$E$3:$E$302,MATCH($D948,품목목록!$A$3:$A$302,0)),""))</f>
        <v/>
      </c>
      <c r="I948" s="14"/>
      <c r="J948" s="10"/>
      <c r="K948" s="10"/>
      <c r="L948" s="10"/>
      <c r="M948" s="15" t="str">
        <f aca="false">IF($A948="","",SUMIFS(처리내역!$E$3:$E$1502,처리내역!$B$3:$B$1502,$A948))</f>
        <v/>
      </c>
      <c r="N948" s="15" t="str">
        <f aca="false">IF($A948="","",IF($I948="","",$I948-$M948))</f>
        <v/>
      </c>
      <c r="O948" s="12" t="str">
        <f aca="false">IF($A948="","",IF($I948="","",IF($M948=0,"미처리",IF($N948&lt;=0,"완료","부분처리"))))</f>
        <v/>
      </c>
    </row>
    <row r="949" customFormat="false" ht="15" hidden="false" customHeight="true" outlineLevel="0" collapsed="false">
      <c r="A949" s="12" t="str">
        <f aca="false">IF($B949="","",TEXT($B949,"yymm")&amp;"-"&amp;TEXT(COUNTIFS($B$3:$B949,"&gt;="&amp;DATE(YEAR($B949),MONTH($B949),1),$B$3:$B949,"&lt;="&amp;EOMONTH($B949,0)),"000"))</f>
        <v/>
      </c>
      <c r="B949" s="13"/>
      <c r="C949" s="10"/>
      <c r="D949" s="10"/>
      <c r="E949" s="12" t="str">
        <f aca="false">IF($D949="","",IFERROR(INDEX(품목목록!$B$3:$B$302,MATCH($D949,품목목록!$A$3:$A$302,0)),"미등록품번"))</f>
        <v/>
      </c>
      <c r="F949" s="12" t="str">
        <f aca="false">IF($D949="","",IFERROR(INDEX(품목목록!$C$3:$C$302,MATCH($D949,품목목록!$A$3:$A$302,0)),""))</f>
        <v/>
      </c>
      <c r="G949" s="12" t="str">
        <f aca="false">IF($D949="","",IFERROR(INDEX(품목목록!$D$3:$D$302,MATCH($D949,품목목록!$A$3:$A$302,0)),""))</f>
        <v/>
      </c>
      <c r="H949" s="12" t="str">
        <f aca="false">IF($D949="","",IFERROR(INDEX(품목목록!$E$3:$E$302,MATCH($D949,품목목록!$A$3:$A$302,0)),""))</f>
        <v/>
      </c>
      <c r="I949" s="14"/>
      <c r="J949" s="10"/>
      <c r="K949" s="10"/>
      <c r="L949" s="10"/>
      <c r="M949" s="15" t="str">
        <f aca="false">IF($A949="","",SUMIFS(처리내역!$E$3:$E$1502,처리내역!$B$3:$B$1502,$A949))</f>
        <v/>
      </c>
      <c r="N949" s="15" t="str">
        <f aca="false">IF($A949="","",IF($I949="","",$I949-$M949))</f>
        <v/>
      </c>
      <c r="O949" s="12" t="str">
        <f aca="false">IF($A949="","",IF($I949="","",IF($M949=0,"미처리",IF($N949&lt;=0,"완료","부분처리"))))</f>
        <v/>
      </c>
    </row>
    <row r="950" customFormat="false" ht="15" hidden="false" customHeight="true" outlineLevel="0" collapsed="false">
      <c r="A950" s="12" t="str">
        <f aca="false">IF($B950="","",TEXT($B950,"yymm")&amp;"-"&amp;TEXT(COUNTIFS($B$3:$B950,"&gt;="&amp;DATE(YEAR($B950),MONTH($B950),1),$B$3:$B950,"&lt;="&amp;EOMONTH($B950,0)),"000"))</f>
        <v/>
      </c>
      <c r="B950" s="13"/>
      <c r="C950" s="10"/>
      <c r="D950" s="10"/>
      <c r="E950" s="12" t="str">
        <f aca="false">IF($D950="","",IFERROR(INDEX(품목목록!$B$3:$B$302,MATCH($D950,품목목록!$A$3:$A$302,0)),"미등록품번"))</f>
        <v/>
      </c>
      <c r="F950" s="12" t="str">
        <f aca="false">IF($D950="","",IFERROR(INDEX(품목목록!$C$3:$C$302,MATCH($D950,품목목록!$A$3:$A$302,0)),""))</f>
        <v/>
      </c>
      <c r="G950" s="12" t="str">
        <f aca="false">IF($D950="","",IFERROR(INDEX(품목목록!$D$3:$D$302,MATCH($D950,품목목록!$A$3:$A$302,0)),""))</f>
        <v/>
      </c>
      <c r="H950" s="12" t="str">
        <f aca="false">IF($D950="","",IFERROR(INDEX(품목목록!$E$3:$E$302,MATCH($D950,품목목록!$A$3:$A$302,0)),""))</f>
        <v/>
      </c>
      <c r="I950" s="14"/>
      <c r="J950" s="10"/>
      <c r="K950" s="10"/>
      <c r="L950" s="10"/>
      <c r="M950" s="15" t="str">
        <f aca="false">IF($A950="","",SUMIFS(처리내역!$E$3:$E$1502,처리내역!$B$3:$B$1502,$A950))</f>
        <v/>
      </c>
      <c r="N950" s="15" t="str">
        <f aca="false">IF($A950="","",IF($I950="","",$I950-$M950))</f>
        <v/>
      </c>
      <c r="O950" s="12" t="str">
        <f aca="false">IF($A950="","",IF($I950="","",IF($M950=0,"미처리",IF($N950&lt;=0,"완료","부분처리"))))</f>
        <v/>
      </c>
    </row>
    <row r="951" customFormat="false" ht="15" hidden="false" customHeight="true" outlineLevel="0" collapsed="false">
      <c r="A951" s="12" t="str">
        <f aca="false">IF($B951="","",TEXT($B951,"yymm")&amp;"-"&amp;TEXT(COUNTIFS($B$3:$B951,"&gt;="&amp;DATE(YEAR($B951),MONTH($B951),1),$B$3:$B951,"&lt;="&amp;EOMONTH($B951,0)),"000"))</f>
        <v/>
      </c>
      <c r="B951" s="13"/>
      <c r="C951" s="10"/>
      <c r="D951" s="10"/>
      <c r="E951" s="12" t="str">
        <f aca="false">IF($D951="","",IFERROR(INDEX(품목목록!$B$3:$B$302,MATCH($D951,품목목록!$A$3:$A$302,0)),"미등록품번"))</f>
        <v/>
      </c>
      <c r="F951" s="12" t="str">
        <f aca="false">IF($D951="","",IFERROR(INDEX(품목목록!$C$3:$C$302,MATCH($D951,품목목록!$A$3:$A$302,0)),""))</f>
        <v/>
      </c>
      <c r="G951" s="12" t="str">
        <f aca="false">IF($D951="","",IFERROR(INDEX(품목목록!$D$3:$D$302,MATCH($D951,품목목록!$A$3:$A$302,0)),""))</f>
        <v/>
      </c>
      <c r="H951" s="12" t="str">
        <f aca="false">IF($D951="","",IFERROR(INDEX(품목목록!$E$3:$E$302,MATCH($D951,품목목록!$A$3:$A$302,0)),""))</f>
        <v/>
      </c>
      <c r="I951" s="14"/>
      <c r="J951" s="10"/>
      <c r="K951" s="10"/>
      <c r="L951" s="10"/>
      <c r="M951" s="15" t="str">
        <f aca="false">IF($A951="","",SUMIFS(처리내역!$E$3:$E$1502,처리내역!$B$3:$B$1502,$A951))</f>
        <v/>
      </c>
      <c r="N951" s="15" t="str">
        <f aca="false">IF($A951="","",IF($I951="","",$I951-$M951))</f>
        <v/>
      </c>
      <c r="O951" s="12" t="str">
        <f aca="false">IF($A951="","",IF($I951="","",IF($M951=0,"미처리",IF($N951&lt;=0,"완료","부분처리"))))</f>
        <v/>
      </c>
    </row>
    <row r="952" customFormat="false" ht="15" hidden="false" customHeight="true" outlineLevel="0" collapsed="false">
      <c r="A952" s="12" t="str">
        <f aca="false">IF($B952="","",TEXT($B952,"yymm")&amp;"-"&amp;TEXT(COUNTIFS($B$3:$B952,"&gt;="&amp;DATE(YEAR($B952),MONTH($B952),1),$B$3:$B952,"&lt;="&amp;EOMONTH($B952,0)),"000"))</f>
        <v/>
      </c>
      <c r="B952" s="13"/>
      <c r="C952" s="10"/>
      <c r="D952" s="10"/>
      <c r="E952" s="12" t="str">
        <f aca="false">IF($D952="","",IFERROR(INDEX(품목목록!$B$3:$B$302,MATCH($D952,품목목록!$A$3:$A$302,0)),"미등록품번"))</f>
        <v/>
      </c>
      <c r="F952" s="12" t="str">
        <f aca="false">IF($D952="","",IFERROR(INDEX(품목목록!$C$3:$C$302,MATCH($D952,품목목록!$A$3:$A$302,0)),""))</f>
        <v/>
      </c>
      <c r="G952" s="12" t="str">
        <f aca="false">IF($D952="","",IFERROR(INDEX(품목목록!$D$3:$D$302,MATCH($D952,품목목록!$A$3:$A$302,0)),""))</f>
        <v/>
      </c>
      <c r="H952" s="12" t="str">
        <f aca="false">IF($D952="","",IFERROR(INDEX(품목목록!$E$3:$E$302,MATCH($D952,품목목록!$A$3:$A$302,0)),""))</f>
        <v/>
      </c>
      <c r="I952" s="14"/>
      <c r="J952" s="10"/>
      <c r="K952" s="10"/>
      <c r="L952" s="10"/>
      <c r="M952" s="15" t="str">
        <f aca="false">IF($A952="","",SUMIFS(처리내역!$E$3:$E$1502,처리내역!$B$3:$B$1502,$A952))</f>
        <v/>
      </c>
      <c r="N952" s="15" t="str">
        <f aca="false">IF($A952="","",IF($I952="","",$I952-$M952))</f>
        <v/>
      </c>
      <c r="O952" s="12" t="str">
        <f aca="false">IF($A952="","",IF($I952="","",IF($M952=0,"미처리",IF($N952&lt;=0,"완료","부분처리"))))</f>
        <v/>
      </c>
    </row>
    <row r="953" customFormat="false" ht="15" hidden="false" customHeight="true" outlineLevel="0" collapsed="false">
      <c r="A953" s="12" t="str">
        <f aca="false">IF($B953="","",TEXT($B953,"yymm")&amp;"-"&amp;TEXT(COUNTIFS($B$3:$B953,"&gt;="&amp;DATE(YEAR($B953),MONTH($B953),1),$B$3:$B953,"&lt;="&amp;EOMONTH($B953,0)),"000"))</f>
        <v/>
      </c>
      <c r="B953" s="13"/>
      <c r="C953" s="10"/>
      <c r="D953" s="10"/>
      <c r="E953" s="12" t="str">
        <f aca="false">IF($D953="","",IFERROR(INDEX(품목목록!$B$3:$B$302,MATCH($D953,품목목록!$A$3:$A$302,0)),"미등록품번"))</f>
        <v/>
      </c>
      <c r="F953" s="12" t="str">
        <f aca="false">IF($D953="","",IFERROR(INDEX(품목목록!$C$3:$C$302,MATCH($D953,품목목록!$A$3:$A$302,0)),""))</f>
        <v/>
      </c>
      <c r="G953" s="12" t="str">
        <f aca="false">IF($D953="","",IFERROR(INDEX(품목목록!$D$3:$D$302,MATCH($D953,품목목록!$A$3:$A$302,0)),""))</f>
        <v/>
      </c>
      <c r="H953" s="12" t="str">
        <f aca="false">IF($D953="","",IFERROR(INDEX(품목목록!$E$3:$E$302,MATCH($D953,품목목록!$A$3:$A$302,0)),""))</f>
        <v/>
      </c>
      <c r="I953" s="14"/>
      <c r="J953" s="10"/>
      <c r="K953" s="10"/>
      <c r="L953" s="10"/>
      <c r="M953" s="15" t="str">
        <f aca="false">IF($A953="","",SUMIFS(처리내역!$E$3:$E$1502,처리내역!$B$3:$B$1502,$A953))</f>
        <v/>
      </c>
      <c r="N953" s="15" t="str">
        <f aca="false">IF($A953="","",IF($I953="","",$I953-$M953))</f>
        <v/>
      </c>
      <c r="O953" s="12" t="str">
        <f aca="false">IF($A953="","",IF($I953="","",IF($M953=0,"미처리",IF($N953&lt;=0,"완료","부분처리"))))</f>
        <v/>
      </c>
    </row>
    <row r="954" customFormat="false" ht="15" hidden="false" customHeight="true" outlineLevel="0" collapsed="false">
      <c r="A954" s="12" t="str">
        <f aca="false">IF($B954="","",TEXT($B954,"yymm")&amp;"-"&amp;TEXT(COUNTIFS($B$3:$B954,"&gt;="&amp;DATE(YEAR($B954),MONTH($B954),1),$B$3:$B954,"&lt;="&amp;EOMONTH($B954,0)),"000"))</f>
        <v/>
      </c>
      <c r="B954" s="13"/>
      <c r="C954" s="10"/>
      <c r="D954" s="10"/>
      <c r="E954" s="12" t="str">
        <f aca="false">IF($D954="","",IFERROR(INDEX(품목목록!$B$3:$B$302,MATCH($D954,품목목록!$A$3:$A$302,0)),"미등록품번"))</f>
        <v/>
      </c>
      <c r="F954" s="12" t="str">
        <f aca="false">IF($D954="","",IFERROR(INDEX(품목목록!$C$3:$C$302,MATCH($D954,품목목록!$A$3:$A$302,0)),""))</f>
        <v/>
      </c>
      <c r="G954" s="12" t="str">
        <f aca="false">IF($D954="","",IFERROR(INDEX(품목목록!$D$3:$D$302,MATCH($D954,품목목록!$A$3:$A$302,0)),""))</f>
        <v/>
      </c>
      <c r="H954" s="12" t="str">
        <f aca="false">IF($D954="","",IFERROR(INDEX(품목목록!$E$3:$E$302,MATCH($D954,품목목록!$A$3:$A$302,0)),""))</f>
        <v/>
      </c>
      <c r="I954" s="14"/>
      <c r="J954" s="10"/>
      <c r="K954" s="10"/>
      <c r="L954" s="10"/>
      <c r="M954" s="15" t="str">
        <f aca="false">IF($A954="","",SUMIFS(처리내역!$E$3:$E$1502,처리내역!$B$3:$B$1502,$A954))</f>
        <v/>
      </c>
      <c r="N954" s="15" t="str">
        <f aca="false">IF($A954="","",IF($I954="","",$I954-$M954))</f>
        <v/>
      </c>
      <c r="O954" s="12" t="str">
        <f aca="false">IF($A954="","",IF($I954="","",IF($M954=0,"미처리",IF($N954&lt;=0,"완료","부분처리"))))</f>
        <v/>
      </c>
    </row>
    <row r="955" customFormat="false" ht="15" hidden="false" customHeight="true" outlineLevel="0" collapsed="false">
      <c r="A955" s="12" t="str">
        <f aca="false">IF($B955="","",TEXT($B955,"yymm")&amp;"-"&amp;TEXT(COUNTIFS($B$3:$B955,"&gt;="&amp;DATE(YEAR($B955),MONTH($B955),1),$B$3:$B955,"&lt;="&amp;EOMONTH($B955,0)),"000"))</f>
        <v/>
      </c>
      <c r="B955" s="13"/>
      <c r="C955" s="10"/>
      <c r="D955" s="10"/>
      <c r="E955" s="12" t="str">
        <f aca="false">IF($D955="","",IFERROR(INDEX(품목목록!$B$3:$B$302,MATCH($D955,품목목록!$A$3:$A$302,0)),"미등록품번"))</f>
        <v/>
      </c>
      <c r="F955" s="12" t="str">
        <f aca="false">IF($D955="","",IFERROR(INDEX(품목목록!$C$3:$C$302,MATCH($D955,품목목록!$A$3:$A$302,0)),""))</f>
        <v/>
      </c>
      <c r="G955" s="12" t="str">
        <f aca="false">IF($D955="","",IFERROR(INDEX(품목목록!$D$3:$D$302,MATCH($D955,품목목록!$A$3:$A$302,0)),""))</f>
        <v/>
      </c>
      <c r="H955" s="12" t="str">
        <f aca="false">IF($D955="","",IFERROR(INDEX(품목목록!$E$3:$E$302,MATCH($D955,품목목록!$A$3:$A$302,0)),""))</f>
        <v/>
      </c>
      <c r="I955" s="14"/>
      <c r="J955" s="10"/>
      <c r="K955" s="10"/>
      <c r="L955" s="10"/>
      <c r="M955" s="15" t="str">
        <f aca="false">IF($A955="","",SUMIFS(처리내역!$E$3:$E$1502,처리내역!$B$3:$B$1502,$A955))</f>
        <v/>
      </c>
      <c r="N955" s="15" t="str">
        <f aca="false">IF($A955="","",IF($I955="","",$I955-$M955))</f>
        <v/>
      </c>
      <c r="O955" s="12" t="str">
        <f aca="false">IF($A955="","",IF($I955="","",IF($M955=0,"미처리",IF($N955&lt;=0,"완료","부분처리"))))</f>
        <v/>
      </c>
    </row>
    <row r="956" customFormat="false" ht="15" hidden="false" customHeight="true" outlineLevel="0" collapsed="false">
      <c r="A956" s="12" t="str">
        <f aca="false">IF($B956="","",TEXT($B956,"yymm")&amp;"-"&amp;TEXT(COUNTIFS($B$3:$B956,"&gt;="&amp;DATE(YEAR($B956),MONTH($B956),1),$B$3:$B956,"&lt;="&amp;EOMONTH($B956,0)),"000"))</f>
        <v/>
      </c>
      <c r="B956" s="13"/>
      <c r="C956" s="10"/>
      <c r="D956" s="10"/>
      <c r="E956" s="12" t="str">
        <f aca="false">IF($D956="","",IFERROR(INDEX(품목목록!$B$3:$B$302,MATCH($D956,품목목록!$A$3:$A$302,0)),"미등록품번"))</f>
        <v/>
      </c>
      <c r="F956" s="12" t="str">
        <f aca="false">IF($D956="","",IFERROR(INDEX(품목목록!$C$3:$C$302,MATCH($D956,품목목록!$A$3:$A$302,0)),""))</f>
        <v/>
      </c>
      <c r="G956" s="12" t="str">
        <f aca="false">IF($D956="","",IFERROR(INDEX(품목목록!$D$3:$D$302,MATCH($D956,품목목록!$A$3:$A$302,0)),""))</f>
        <v/>
      </c>
      <c r="H956" s="12" t="str">
        <f aca="false">IF($D956="","",IFERROR(INDEX(품목목록!$E$3:$E$302,MATCH($D956,품목목록!$A$3:$A$302,0)),""))</f>
        <v/>
      </c>
      <c r="I956" s="14"/>
      <c r="J956" s="10"/>
      <c r="K956" s="10"/>
      <c r="L956" s="10"/>
      <c r="M956" s="15" t="str">
        <f aca="false">IF($A956="","",SUMIFS(처리내역!$E$3:$E$1502,처리내역!$B$3:$B$1502,$A956))</f>
        <v/>
      </c>
      <c r="N956" s="15" t="str">
        <f aca="false">IF($A956="","",IF($I956="","",$I956-$M956))</f>
        <v/>
      </c>
      <c r="O956" s="12" t="str">
        <f aca="false">IF($A956="","",IF($I956="","",IF($M956=0,"미처리",IF($N956&lt;=0,"완료","부분처리"))))</f>
        <v/>
      </c>
    </row>
    <row r="957" customFormat="false" ht="15" hidden="false" customHeight="true" outlineLevel="0" collapsed="false">
      <c r="A957" s="12" t="str">
        <f aca="false">IF($B957="","",TEXT($B957,"yymm")&amp;"-"&amp;TEXT(COUNTIFS($B$3:$B957,"&gt;="&amp;DATE(YEAR($B957),MONTH($B957),1),$B$3:$B957,"&lt;="&amp;EOMONTH($B957,0)),"000"))</f>
        <v/>
      </c>
      <c r="B957" s="13"/>
      <c r="C957" s="10"/>
      <c r="D957" s="10"/>
      <c r="E957" s="12" t="str">
        <f aca="false">IF($D957="","",IFERROR(INDEX(품목목록!$B$3:$B$302,MATCH($D957,품목목록!$A$3:$A$302,0)),"미등록품번"))</f>
        <v/>
      </c>
      <c r="F957" s="12" t="str">
        <f aca="false">IF($D957="","",IFERROR(INDEX(품목목록!$C$3:$C$302,MATCH($D957,품목목록!$A$3:$A$302,0)),""))</f>
        <v/>
      </c>
      <c r="G957" s="12" t="str">
        <f aca="false">IF($D957="","",IFERROR(INDEX(품목목록!$D$3:$D$302,MATCH($D957,품목목록!$A$3:$A$302,0)),""))</f>
        <v/>
      </c>
      <c r="H957" s="12" t="str">
        <f aca="false">IF($D957="","",IFERROR(INDEX(품목목록!$E$3:$E$302,MATCH($D957,품목목록!$A$3:$A$302,0)),""))</f>
        <v/>
      </c>
      <c r="I957" s="14"/>
      <c r="J957" s="10"/>
      <c r="K957" s="10"/>
      <c r="L957" s="10"/>
      <c r="M957" s="15" t="str">
        <f aca="false">IF($A957="","",SUMIFS(처리내역!$E$3:$E$1502,처리내역!$B$3:$B$1502,$A957))</f>
        <v/>
      </c>
      <c r="N957" s="15" t="str">
        <f aca="false">IF($A957="","",IF($I957="","",$I957-$M957))</f>
        <v/>
      </c>
      <c r="O957" s="12" t="str">
        <f aca="false">IF($A957="","",IF($I957="","",IF($M957=0,"미처리",IF($N957&lt;=0,"완료","부분처리"))))</f>
        <v/>
      </c>
    </row>
    <row r="958" customFormat="false" ht="15" hidden="false" customHeight="true" outlineLevel="0" collapsed="false">
      <c r="A958" s="12" t="str">
        <f aca="false">IF($B958="","",TEXT($B958,"yymm")&amp;"-"&amp;TEXT(COUNTIFS($B$3:$B958,"&gt;="&amp;DATE(YEAR($B958),MONTH($B958),1),$B$3:$B958,"&lt;="&amp;EOMONTH($B958,0)),"000"))</f>
        <v/>
      </c>
      <c r="B958" s="13"/>
      <c r="C958" s="10"/>
      <c r="D958" s="10"/>
      <c r="E958" s="12" t="str">
        <f aca="false">IF($D958="","",IFERROR(INDEX(품목목록!$B$3:$B$302,MATCH($D958,품목목록!$A$3:$A$302,0)),"미등록품번"))</f>
        <v/>
      </c>
      <c r="F958" s="12" t="str">
        <f aca="false">IF($D958="","",IFERROR(INDEX(품목목록!$C$3:$C$302,MATCH($D958,품목목록!$A$3:$A$302,0)),""))</f>
        <v/>
      </c>
      <c r="G958" s="12" t="str">
        <f aca="false">IF($D958="","",IFERROR(INDEX(품목목록!$D$3:$D$302,MATCH($D958,품목목록!$A$3:$A$302,0)),""))</f>
        <v/>
      </c>
      <c r="H958" s="12" t="str">
        <f aca="false">IF($D958="","",IFERROR(INDEX(품목목록!$E$3:$E$302,MATCH($D958,품목목록!$A$3:$A$302,0)),""))</f>
        <v/>
      </c>
      <c r="I958" s="14"/>
      <c r="J958" s="10"/>
      <c r="K958" s="10"/>
      <c r="L958" s="10"/>
      <c r="M958" s="15" t="str">
        <f aca="false">IF($A958="","",SUMIFS(처리내역!$E$3:$E$1502,처리내역!$B$3:$B$1502,$A958))</f>
        <v/>
      </c>
      <c r="N958" s="15" t="str">
        <f aca="false">IF($A958="","",IF($I958="","",$I958-$M958))</f>
        <v/>
      </c>
      <c r="O958" s="12" t="str">
        <f aca="false">IF($A958="","",IF($I958="","",IF($M958=0,"미처리",IF($N958&lt;=0,"완료","부분처리"))))</f>
        <v/>
      </c>
    </row>
    <row r="959" customFormat="false" ht="15" hidden="false" customHeight="true" outlineLevel="0" collapsed="false">
      <c r="A959" s="12" t="str">
        <f aca="false">IF($B959="","",TEXT($B959,"yymm")&amp;"-"&amp;TEXT(COUNTIFS($B$3:$B959,"&gt;="&amp;DATE(YEAR($B959),MONTH($B959),1),$B$3:$B959,"&lt;="&amp;EOMONTH($B959,0)),"000"))</f>
        <v/>
      </c>
      <c r="B959" s="13"/>
      <c r="C959" s="10"/>
      <c r="D959" s="10"/>
      <c r="E959" s="12" t="str">
        <f aca="false">IF($D959="","",IFERROR(INDEX(품목목록!$B$3:$B$302,MATCH($D959,품목목록!$A$3:$A$302,0)),"미등록품번"))</f>
        <v/>
      </c>
      <c r="F959" s="12" t="str">
        <f aca="false">IF($D959="","",IFERROR(INDEX(품목목록!$C$3:$C$302,MATCH($D959,품목목록!$A$3:$A$302,0)),""))</f>
        <v/>
      </c>
      <c r="G959" s="12" t="str">
        <f aca="false">IF($D959="","",IFERROR(INDEX(품목목록!$D$3:$D$302,MATCH($D959,품목목록!$A$3:$A$302,0)),""))</f>
        <v/>
      </c>
      <c r="H959" s="12" t="str">
        <f aca="false">IF($D959="","",IFERROR(INDEX(품목목록!$E$3:$E$302,MATCH($D959,품목목록!$A$3:$A$302,0)),""))</f>
        <v/>
      </c>
      <c r="I959" s="14"/>
      <c r="J959" s="10"/>
      <c r="K959" s="10"/>
      <c r="L959" s="10"/>
      <c r="M959" s="15" t="str">
        <f aca="false">IF($A959="","",SUMIFS(처리내역!$E$3:$E$1502,처리내역!$B$3:$B$1502,$A959))</f>
        <v/>
      </c>
      <c r="N959" s="15" t="str">
        <f aca="false">IF($A959="","",IF($I959="","",$I959-$M959))</f>
        <v/>
      </c>
      <c r="O959" s="12" t="str">
        <f aca="false">IF($A959="","",IF($I959="","",IF($M959=0,"미처리",IF($N959&lt;=0,"완료","부분처리"))))</f>
        <v/>
      </c>
    </row>
    <row r="960" customFormat="false" ht="15" hidden="false" customHeight="true" outlineLevel="0" collapsed="false">
      <c r="A960" s="12" t="str">
        <f aca="false">IF($B960="","",TEXT($B960,"yymm")&amp;"-"&amp;TEXT(COUNTIFS($B$3:$B960,"&gt;="&amp;DATE(YEAR($B960),MONTH($B960),1),$B$3:$B960,"&lt;="&amp;EOMONTH($B960,0)),"000"))</f>
        <v/>
      </c>
      <c r="B960" s="13"/>
      <c r="C960" s="10"/>
      <c r="D960" s="10"/>
      <c r="E960" s="12" t="str">
        <f aca="false">IF($D960="","",IFERROR(INDEX(품목목록!$B$3:$B$302,MATCH($D960,품목목록!$A$3:$A$302,0)),"미등록품번"))</f>
        <v/>
      </c>
      <c r="F960" s="12" t="str">
        <f aca="false">IF($D960="","",IFERROR(INDEX(품목목록!$C$3:$C$302,MATCH($D960,품목목록!$A$3:$A$302,0)),""))</f>
        <v/>
      </c>
      <c r="G960" s="12" t="str">
        <f aca="false">IF($D960="","",IFERROR(INDEX(품목목록!$D$3:$D$302,MATCH($D960,품목목록!$A$3:$A$302,0)),""))</f>
        <v/>
      </c>
      <c r="H960" s="12" t="str">
        <f aca="false">IF($D960="","",IFERROR(INDEX(품목목록!$E$3:$E$302,MATCH($D960,품목목록!$A$3:$A$302,0)),""))</f>
        <v/>
      </c>
      <c r="I960" s="14"/>
      <c r="J960" s="10"/>
      <c r="K960" s="10"/>
      <c r="L960" s="10"/>
      <c r="M960" s="15" t="str">
        <f aca="false">IF($A960="","",SUMIFS(처리내역!$E$3:$E$1502,처리내역!$B$3:$B$1502,$A960))</f>
        <v/>
      </c>
      <c r="N960" s="15" t="str">
        <f aca="false">IF($A960="","",IF($I960="","",$I960-$M960))</f>
        <v/>
      </c>
      <c r="O960" s="12" t="str">
        <f aca="false">IF($A960="","",IF($I960="","",IF($M960=0,"미처리",IF($N960&lt;=0,"완료","부분처리"))))</f>
        <v/>
      </c>
    </row>
    <row r="961" customFormat="false" ht="15" hidden="false" customHeight="true" outlineLevel="0" collapsed="false">
      <c r="A961" s="12" t="str">
        <f aca="false">IF($B961="","",TEXT($B961,"yymm")&amp;"-"&amp;TEXT(COUNTIFS($B$3:$B961,"&gt;="&amp;DATE(YEAR($B961),MONTH($B961),1),$B$3:$B961,"&lt;="&amp;EOMONTH($B961,0)),"000"))</f>
        <v/>
      </c>
      <c r="B961" s="13"/>
      <c r="C961" s="10"/>
      <c r="D961" s="10"/>
      <c r="E961" s="12" t="str">
        <f aca="false">IF($D961="","",IFERROR(INDEX(품목목록!$B$3:$B$302,MATCH($D961,품목목록!$A$3:$A$302,0)),"미등록품번"))</f>
        <v/>
      </c>
      <c r="F961" s="12" t="str">
        <f aca="false">IF($D961="","",IFERROR(INDEX(품목목록!$C$3:$C$302,MATCH($D961,품목목록!$A$3:$A$302,0)),""))</f>
        <v/>
      </c>
      <c r="G961" s="12" t="str">
        <f aca="false">IF($D961="","",IFERROR(INDEX(품목목록!$D$3:$D$302,MATCH($D961,품목목록!$A$3:$A$302,0)),""))</f>
        <v/>
      </c>
      <c r="H961" s="12" t="str">
        <f aca="false">IF($D961="","",IFERROR(INDEX(품목목록!$E$3:$E$302,MATCH($D961,품목목록!$A$3:$A$302,0)),""))</f>
        <v/>
      </c>
      <c r="I961" s="14"/>
      <c r="J961" s="10"/>
      <c r="K961" s="10"/>
      <c r="L961" s="10"/>
      <c r="M961" s="15" t="str">
        <f aca="false">IF($A961="","",SUMIFS(처리내역!$E$3:$E$1502,처리내역!$B$3:$B$1502,$A961))</f>
        <v/>
      </c>
      <c r="N961" s="15" t="str">
        <f aca="false">IF($A961="","",IF($I961="","",$I961-$M961))</f>
        <v/>
      </c>
      <c r="O961" s="12" t="str">
        <f aca="false">IF($A961="","",IF($I961="","",IF($M961=0,"미처리",IF($N961&lt;=0,"완료","부분처리"))))</f>
        <v/>
      </c>
    </row>
    <row r="962" customFormat="false" ht="15" hidden="false" customHeight="true" outlineLevel="0" collapsed="false">
      <c r="A962" s="12" t="str">
        <f aca="false">IF($B962="","",TEXT($B962,"yymm")&amp;"-"&amp;TEXT(COUNTIFS($B$3:$B962,"&gt;="&amp;DATE(YEAR($B962),MONTH($B962),1),$B$3:$B962,"&lt;="&amp;EOMONTH($B962,0)),"000"))</f>
        <v/>
      </c>
      <c r="B962" s="13"/>
      <c r="C962" s="10"/>
      <c r="D962" s="10"/>
      <c r="E962" s="12" t="str">
        <f aca="false">IF($D962="","",IFERROR(INDEX(품목목록!$B$3:$B$302,MATCH($D962,품목목록!$A$3:$A$302,0)),"미등록품번"))</f>
        <v/>
      </c>
      <c r="F962" s="12" t="str">
        <f aca="false">IF($D962="","",IFERROR(INDEX(품목목록!$C$3:$C$302,MATCH($D962,품목목록!$A$3:$A$302,0)),""))</f>
        <v/>
      </c>
      <c r="G962" s="12" t="str">
        <f aca="false">IF($D962="","",IFERROR(INDEX(품목목록!$D$3:$D$302,MATCH($D962,품목목록!$A$3:$A$302,0)),""))</f>
        <v/>
      </c>
      <c r="H962" s="12" t="str">
        <f aca="false">IF($D962="","",IFERROR(INDEX(품목목록!$E$3:$E$302,MATCH($D962,품목목록!$A$3:$A$302,0)),""))</f>
        <v/>
      </c>
      <c r="I962" s="14"/>
      <c r="J962" s="10"/>
      <c r="K962" s="10"/>
      <c r="L962" s="10"/>
      <c r="M962" s="15" t="str">
        <f aca="false">IF($A962="","",SUMIFS(처리내역!$E$3:$E$1502,처리내역!$B$3:$B$1502,$A962))</f>
        <v/>
      </c>
      <c r="N962" s="15" t="str">
        <f aca="false">IF($A962="","",IF($I962="","",$I962-$M962))</f>
        <v/>
      </c>
      <c r="O962" s="12" t="str">
        <f aca="false">IF($A962="","",IF($I962="","",IF($M962=0,"미처리",IF($N962&lt;=0,"완료","부분처리"))))</f>
        <v/>
      </c>
    </row>
    <row r="963" customFormat="false" ht="15" hidden="false" customHeight="true" outlineLevel="0" collapsed="false">
      <c r="A963" s="12" t="str">
        <f aca="false">IF($B963="","",TEXT($B963,"yymm")&amp;"-"&amp;TEXT(COUNTIFS($B$3:$B963,"&gt;="&amp;DATE(YEAR($B963),MONTH($B963),1),$B$3:$B963,"&lt;="&amp;EOMONTH($B963,0)),"000"))</f>
        <v/>
      </c>
      <c r="B963" s="13"/>
      <c r="C963" s="10"/>
      <c r="D963" s="10"/>
      <c r="E963" s="12" t="str">
        <f aca="false">IF($D963="","",IFERROR(INDEX(품목목록!$B$3:$B$302,MATCH($D963,품목목록!$A$3:$A$302,0)),"미등록품번"))</f>
        <v/>
      </c>
      <c r="F963" s="12" t="str">
        <f aca="false">IF($D963="","",IFERROR(INDEX(품목목록!$C$3:$C$302,MATCH($D963,품목목록!$A$3:$A$302,0)),""))</f>
        <v/>
      </c>
      <c r="G963" s="12" t="str">
        <f aca="false">IF($D963="","",IFERROR(INDEX(품목목록!$D$3:$D$302,MATCH($D963,품목목록!$A$3:$A$302,0)),""))</f>
        <v/>
      </c>
      <c r="H963" s="12" t="str">
        <f aca="false">IF($D963="","",IFERROR(INDEX(품목목록!$E$3:$E$302,MATCH($D963,품목목록!$A$3:$A$302,0)),""))</f>
        <v/>
      </c>
      <c r="I963" s="14"/>
      <c r="J963" s="10"/>
      <c r="K963" s="10"/>
      <c r="L963" s="10"/>
      <c r="M963" s="15" t="str">
        <f aca="false">IF($A963="","",SUMIFS(처리내역!$E$3:$E$1502,처리내역!$B$3:$B$1502,$A963))</f>
        <v/>
      </c>
      <c r="N963" s="15" t="str">
        <f aca="false">IF($A963="","",IF($I963="","",$I963-$M963))</f>
        <v/>
      </c>
      <c r="O963" s="12" t="str">
        <f aca="false">IF($A963="","",IF($I963="","",IF($M963=0,"미처리",IF($N963&lt;=0,"완료","부분처리"))))</f>
        <v/>
      </c>
    </row>
    <row r="964" customFormat="false" ht="15" hidden="false" customHeight="true" outlineLevel="0" collapsed="false">
      <c r="A964" s="12" t="str">
        <f aca="false">IF($B964="","",TEXT($B964,"yymm")&amp;"-"&amp;TEXT(COUNTIFS($B$3:$B964,"&gt;="&amp;DATE(YEAR($B964),MONTH($B964),1),$B$3:$B964,"&lt;="&amp;EOMONTH($B964,0)),"000"))</f>
        <v/>
      </c>
      <c r="B964" s="13"/>
      <c r="C964" s="10"/>
      <c r="D964" s="10"/>
      <c r="E964" s="12" t="str">
        <f aca="false">IF($D964="","",IFERROR(INDEX(품목목록!$B$3:$B$302,MATCH($D964,품목목록!$A$3:$A$302,0)),"미등록품번"))</f>
        <v/>
      </c>
      <c r="F964" s="12" t="str">
        <f aca="false">IF($D964="","",IFERROR(INDEX(품목목록!$C$3:$C$302,MATCH($D964,품목목록!$A$3:$A$302,0)),""))</f>
        <v/>
      </c>
      <c r="G964" s="12" t="str">
        <f aca="false">IF($D964="","",IFERROR(INDEX(품목목록!$D$3:$D$302,MATCH($D964,품목목록!$A$3:$A$302,0)),""))</f>
        <v/>
      </c>
      <c r="H964" s="12" t="str">
        <f aca="false">IF($D964="","",IFERROR(INDEX(품목목록!$E$3:$E$302,MATCH($D964,품목목록!$A$3:$A$302,0)),""))</f>
        <v/>
      </c>
      <c r="I964" s="14"/>
      <c r="J964" s="10"/>
      <c r="K964" s="10"/>
      <c r="L964" s="10"/>
      <c r="M964" s="15" t="str">
        <f aca="false">IF($A964="","",SUMIFS(처리내역!$E$3:$E$1502,처리내역!$B$3:$B$1502,$A964))</f>
        <v/>
      </c>
      <c r="N964" s="15" t="str">
        <f aca="false">IF($A964="","",IF($I964="","",$I964-$M964))</f>
        <v/>
      </c>
      <c r="O964" s="12" t="str">
        <f aca="false">IF($A964="","",IF($I964="","",IF($M964=0,"미처리",IF($N964&lt;=0,"완료","부분처리"))))</f>
        <v/>
      </c>
    </row>
    <row r="965" customFormat="false" ht="15" hidden="false" customHeight="true" outlineLevel="0" collapsed="false">
      <c r="A965" s="12" t="str">
        <f aca="false">IF($B965="","",TEXT($B965,"yymm")&amp;"-"&amp;TEXT(COUNTIFS($B$3:$B965,"&gt;="&amp;DATE(YEAR($B965),MONTH($B965),1),$B$3:$B965,"&lt;="&amp;EOMONTH($B965,0)),"000"))</f>
        <v/>
      </c>
      <c r="B965" s="13"/>
      <c r="C965" s="10"/>
      <c r="D965" s="10"/>
      <c r="E965" s="12" t="str">
        <f aca="false">IF($D965="","",IFERROR(INDEX(품목목록!$B$3:$B$302,MATCH($D965,품목목록!$A$3:$A$302,0)),"미등록품번"))</f>
        <v/>
      </c>
      <c r="F965" s="12" t="str">
        <f aca="false">IF($D965="","",IFERROR(INDEX(품목목록!$C$3:$C$302,MATCH($D965,품목목록!$A$3:$A$302,0)),""))</f>
        <v/>
      </c>
      <c r="G965" s="12" t="str">
        <f aca="false">IF($D965="","",IFERROR(INDEX(품목목록!$D$3:$D$302,MATCH($D965,품목목록!$A$3:$A$302,0)),""))</f>
        <v/>
      </c>
      <c r="H965" s="12" t="str">
        <f aca="false">IF($D965="","",IFERROR(INDEX(품목목록!$E$3:$E$302,MATCH($D965,품목목록!$A$3:$A$302,0)),""))</f>
        <v/>
      </c>
      <c r="I965" s="14"/>
      <c r="J965" s="10"/>
      <c r="K965" s="10"/>
      <c r="L965" s="10"/>
      <c r="M965" s="15" t="str">
        <f aca="false">IF($A965="","",SUMIFS(처리내역!$E$3:$E$1502,처리내역!$B$3:$B$1502,$A965))</f>
        <v/>
      </c>
      <c r="N965" s="15" t="str">
        <f aca="false">IF($A965="","",IF($I965="","",$I965-$M965))</f>
        <v/>
      </c>
      <c r="O965" s="12" t="str">
        <f aca="false">IF($A965="","",IF($I965="","",IF($M965=0,"미처리",IF($N965&lt;=0,"완료","부분처리"))))</f>
        <v/>
      </c>
    </row>
    <row r="966" customFormat="false" ht="15" hidden="false" customHeight="true" outlineLevel="0" collapsed="false">
      <c r="A966" s="12" t="str">
        <f aca="false">IF($B966="","",TEXT($B966,"yymm")&amp;"-"&amp;TEXT(COUNTIFS($B$3:$B966,"&gt;="&amp;DATE(YEAR($B966),MONTH($B966),1),$B$3:$B966,"&lt;="&amp;EOMONTH($B966,0)),"000"))</f>
        <v/>
      </c>
      <c r="B966" s="13"/>
      <c r="C966" s="10"/>
      <c r="D966" s="10"/>
      <c r="E966" s="12" t="str">
        <f aca="false">IF($D966="","",IFERROR(INDEX(품목목록!$B$3:$B$302,MATCH($D966,품목목록!$A$3:$A$302,0)),"미등록품번"))</f>
        <v/>
      </c>
      <c r="F966" s="12" t="str">
        <f aca="false">IF($D966="","",IFERROR(INDEX(품목목록!$C$3:$C$302,MATCH($D966,품목목록!$A$3:$A$302,0)),""))</f>
        <v/>
      </c>
      <c r="G966" s="12" t="str">
        <f aca="false">IF($D966="","",IFERROR(INDEX(품목목록!$D$3:$D$302,MATCH($D966,품목목록!$A$3:$A$302,0)),""))</f>
        <v/>
      </c>
      <c r="H966" s="12" t="str">
        <f aca="false">IF($D966="","",IFERROR(INDEX(품목목록!$E$3:$E$302,MATCH($D966,품목목록!$A$3:$A$302,0)),""))</f>
        <v/>
      </c>
      <c r="I966" s="14"/>
      <c r="J966" s="10"/>
      <c r="K966" s="10"/>
      <c r="L966" s="10"/>
      <c r="M966" s="15" t="str">
        <f aca="false">IF($A966="","",SUMIFS(처리내역!$E$3:$E$1502,처리내역!$B$3:$B$1502,$A966))</f>
        <v/>
      </c>
      <c r="N966" s="15" t="str">
        <f aca="false">IF($A966="","",IF($I966="","",$I966-$M966))</f>
        <v/>
      </c>
      <c r="O966" s="12" t="str">
        <f aca="false">IF($A966="","",IF($I966="","",IF($M966=0,"미처리",IF($N966&lt;=0,"완료","부분처리"))))</f>
        <v/>
      </c>
    </row>
    <row r="967" customFormat="false" ht="15" hidden="false" customHeight="true" outlineLevel="0" collapsed="false">
      <c r="A967" s="12" t="str">
        <f aca="false">IF($B967="","",TEXT($B967,"yymm")&amp;"-"&amp;TEXT(COUNTIFS($B$3:$B967,"&gt;="&amp;DATE(YEAR($B967),MONTH($B967),1),$B$3:$B967,"&lt;="&amp;EOMONTH($B967,0)),"000"))</f>
        <v/>
      </c>
      <c r="B967" s="13"/>
      <c r="C967" s="10"/>
      <c r="D967" s="10"/>
      <c r="E967" s="12" t="str">
        <f aca="false">IF($D967="","",IFERROR(INDEX(품목목록!$B$3:$B$302,MATCH($D967,품목목록!$A$3:$A$302,0)),"미등록품번"))</f>
        <v/>
      </c>
      <c r="F967" s="12" t="str">
        <f aca="false">IF($D967="","",IFERROR(INDEX(품목목록!$C$3:$C$302,MATCH($D967,품목목록!$A$3:$A$302,0)),""))</f>
        <v/>
      </c>
      <c r="G967" s="12" t="str">
        <f aca="false">IF($D967="","",IFERROR(INDEX(품목목록!$D$3:$D$302,MATCH($D967,품목목록!$A$3:$A$302,0)),""))</f>
        <v/>
      </c>
      <c r="H967" s="12" t="str">
        <f aca="false">IF($D967="","",IFERROR(INDEX(품목목록!$E$3:$E$302,MATCH($D967,품목목록!$A$3:$A$302,0)),""))</f>
        <v/>
      </c>
      <c r="I967" s="14"/>
      <c r="J967" s="10"/>
      <c r="K967" s="10"/>
      <c r="L967" s="10"/>
      <c r="M967" s="15" t="str">
        <f aca="false">IF($A967="","",SUMIFS(처리내역!$E$3:$E$1502,처리내역!$B$3:$B$1502,$A967))</f>
        <v/>
      </c>
      <c r="N967" s="15" t="str">
        <f aca="false">IF($A967="","",IF($I967="","",$I967-$M967))</f>
        <v/>
      </c>
      <c r="O967" s="12" t="str">
        <f aca="false">IF($A967="","",IF($I967="","",IF($M967=0,"미처리",IF($N967&lt;=0,"완료","부분처리"))))</f>
        <v/>
      </c>
    </row>
    <row r="968" customFormat="false" ht="15" hidden="false" customHeight="true" outlineLevel="0" collapsed="false">
      <c r="A968" s="12" t="str">
        <f aca="false">IF($B968="","",TEXT($B968,"yymm")&amp;"-"&amp;TEXT(COUNTIFS($B$3:$B968,"&gt;="&amp;DATE(YEAR($B968),MONTH($B968),1),$B$3:$B968,"&lt;="&amp;EOMONTH($B968,0)),"000"))</f>
        <v/>
      </c>
      <c r="B968" s="13"/>
      <c r="C968" s="10"/>
      <c r="D968" s="10"/>
      <c r="E968" s="12" t="str">
        <f aca="false">IF($D968="","",IFERROR(INDEX(품목목록!$B$3:$B$302,MATCH($D968,품목목록!$A$3:$A$302,0)),"미등록품번"))</f>
        <v/>
      </c>
      <c r="F968" s="12" t="str">
        <f aca="false">IF($D968="","",IFERROR(INDEX(품목목록!$C$3:$C$302,MATCH($D968,품목목록!$A$3:$A$302,0)),""))</f>
        <v/>
      </c>
      <c r="G968" s="12" t="str">
        <f aca="false">IF($D968="","",IFERROR(INDEX(품목목록!$D$3:$D$302,MATCH($D968,품목목록!$A$3:$A$302,0)),""))</f>
        <v/>
      </c>
      <c r="H968" s="12" t="str">
        <f aca="false">IF($D968="","",IFERROR(INDEX(품목목록!$E$3:$E$302,MATCH($D968,품목목록!$A$3:$A$302,0)),""))</f>
        <v/>
      </c>
      <c r="I968" s="14"/>
      <c r="J968" s="10"/>
      <c r="K968" s="10"/>
      <c r="L968" s="10"/>
      <c r="M968" s="15" t="str">
        <f aca="false">IF($A968="","",SUMIFS(처리내역!$E$3:$E$1502,처리내역!$B$3:$B$1502,$A968))</f>
        <v/>
      </c>
      <c r="N968" s="15" t="str">
        <f aca="false">IF($A968="","",IF($I968="","",$I968-$M968))</f>
        <v/>
      </c>
      <c r="O968" s="12" t="str">
        <f aca="false">IF($A968="","",IF($I968="","",IF($M968=0,"미처리",IF($N968&lt;=0,"완료","부분처리"))))</f>
        <v/>
      </c>
    </row>
    <row r="969" customFormat="false" ht="15" hidden="false" customHeight="true" outlineLevel="0" collapsed="false">
      <c r="A969" s="12" t="str">
        <f aca="false">IF($B969="","",TEXT($B969,"yymm")&amp;"-"&amp;TEXT(COUNTIFS($B$3:$B969,"&gt;="&amp;DATE(YEAR($B969),MONTH($B969),1),$B$3:$B969,"&lt;="&amp;EOMONTH($B969,0)),"000"))</f>
        <v/>
      </c>
      <c r="B969" s="13"/>
      <c r="C969" s="10"/>
      <c r="D969" s="10"/>
      <c r="E969" s="12" t="str">
        <f aca="false">IF($D969="","",IFERROR(INDEX(품목목록!$B$3:$B$302,MATCH($D969,품목목록!$A$3:$A$302,0)),"미등록품번"))</f>
        <v/>
      </c>
      <c r="F969" s="12" t="str">
        <f aca="false">IF($D969="","",IFERROR(INDEX(품목목록!$C$3:$C$302,MATCH($D969,품목목록!$A$3:$A$302,0)),""))</f>
        <v/>
      </c>
      <c r="G969" s="12" t="str">
        <f aca="false">IF($D969="","",IFERROR(INDEX(품목목록!$D$3:$D$302,MATCH($D969,품목목록!$A$3:$A$302,0)),""))</f>
        <v/>
      </c>
      <c r="H969" s="12" t="str">
        <f aca="false">IF($D969="","",IFERROR(INDEX(품목목록!$E$3:$E$302,MATCH($D969,품목목록!$A$3:$A$302,0)),""))</f>
        <v/>
      </c>
      <c r="I969" s="14"/>
      <c r="J969" s="10"/>
      <c r="K969" s="10"/>
      <c r="L969" s="10"/>
      <c r="M969" s="15" t="str">
        <f aca="false">IF($A969="","",SUMIFS(처리내역!$E$3:$E$1502,처리내역!$B$3:$B$1502,$A969))</f>
        <v/>
      </c>
      <c r="N969" s="15" t="str">
        <f aca="false">IF($A969="","",IF($I969="","",$I969-$M969))</f>
        <v/>
      </c>
      <c r="O969" s="12" t="str">
        <f aca="false">IF($A969="","",IF($I969="","",IF($M969=0,"미처리",IF($N969&lt;=0,"완료","부분처리"))))</f>
        <v/>
      </c>
    </row>
    <row r="970" customFormat="false" ht="15" hidden="false" customHeight="true" outlineLevel="0" collapsed="false">
      <c r="A970" s="12" t="str">
        <f aca="false">IF($B970="","",TEXT($B970,"yymm")&amp;"-"&amp;TEXT(COUNTIFS($B$3:$B970,"&gt;="&amp;DATE(YEAR($B970),MONTH($B970),1),$B$3:$B970,"&lt;="&amp;EOMONTH($B970,0)),"000"))</f>
        <v/>
      </c>
      <c r="B970" s="13"/>
      <c r="C970" s="10"/>
      <c r="D970" s="10"/>
      <c r="E970" s="12" t="str">
        <f aca="false">IF($D970="","",IFERROR(INDEX(품목목록!$B$3:$B$302,MATCH($D970,품목목록!$A$3:$A$302,0)),"미등록품번"))</f>
        <v/>
      </c>
      <c r="F970" s="12" t="str">
        <f aca="false">IF($D970="","",IFERROR(INDEX(품목목록!$C$3:$C$302,MATCH($D970,품목목록!$A$3:$A$302,0)),""))</f>
        <v/>
      </c>
      <c r="G970" s="12" t="str">
        <f aca="false">IF($D970="","",IFERROR(INDEX(품목목록!$D$3:$D$302,MATCH($D970,품목목록!$A$3:$A$302,0)),""))</f>
        <v/>
      </c>
      <c r="H970" s="12" t="str">
        <f aca="false">IF($D970="","",IFERROR(INDEX(품목목록!$E$3:$E$302,MATCH($D970,품목목록!$A$3:$A$302,0)),""))</f>
        <v/>
      </c>
      <c r="I970" s="14"/>
      <c r="J970" s="10"/>
      <c r="K970" s="10"/>
      <c r="L970" s="10"/>
      <c r="M970" s="15" t="str">
        <f aca="false">IF($A970="","",SUMIFS(처리내역!$E$3:$E$1502,처리내역!$B$3:$B$1502,$A970))</f>
        <v/>
      </c>
      <c r="N970" s="15" t="str">
        <f aca="false">IF($A970="","",IF($I970="","",$I970-$M970))</f>
        <v/>
      </c>
      <c r="O970" s="12" t="str">
        <f aca="false">IF($A970="","",IF($I970="","",IF($M970=0,"미처리",IF($N970&lt;=0,"완료","부분처리"))))</f>
        <v/>
      </c>
    </row>
    <row r="971" customFormat="false" ht="15" hidden="false" customHeight="true" outlineLevel="0" collapsed="false">
      <c r="A971" s="12" t="str">
        <f aca="false">IF($B971="","",TEXT($B971,"yymm")&amp;"-"&amp;TEXT(COUNTIFS($B$3:$B971,"&gt;="&amp;DATE(YEAR($B971),MONTH($B971),1),$B$3:$B971,"&lt;="&amp;EOMONTH($B971,0)),"000"))</f>
        <v/>
      </c>
      <c r="B971" s="13"/>
      <c r="C971" s="10"/>
      <c r="D971" s="10"/>
      <c r="E971" s="12" t="str">
        <f aca="false">IF($D971="","",IFERROR(INDEX(품목목록!$B$3:$B$302,MATCH($D971,품목목록!$A$3:$A$302,0)),"미등록품번"))</f>
        <v/>
      </c>
      <c r="F971" s="12" t="str">
        <f aca="false">IF($D971="","",IFERROR(INDEX(품목목록!$C$3:$C$302,MATCH($D971,품목목록!$A$3:$A$302,0)),""))</f>
        <v/>
      </c>
      <c r="G971" s="12" t="str">
        <f aca="false">IF($D971="","",IFERROR(INDEX(품목목록!$D$3:$D$302,MATCH($D971,품목목록!$A$3:$A$302,0)),""))</f>
        <v/>
      </c>
      <c r="H971" s="12" t="str">
        <f aca="false">IF($D971="","",IFERROR(INDEX(품목목록!$E$3:$E$302,MATCH($D971,품목목록!$A$3:$A$302,0)),""))</f>
        <v/>
      </c>
      <c r="I971" s="14"/>
      <c r="J971" s="10"/>
      <c r="K971" s="10"/>
      <c r="L971" s="10"/>
      <c r="M971" s="15" t="str">
        <f aca="false">IF($A971="","",SUMIFS(처리내역!$E$3:$E$1502,처리내역!$B$3:$B$1502,$A971))</f>
        <v/>
      </c>
      <c r="N971" s="15" t="str">
        <f aca="false">IF($A971="","",IF($I971="","",$I971-$M971))</f>
        <v/>
      </c>
      <c r="O971" s="12" t="str">
        <f aca="false">IF($A971="","",IF($I971="","",IF($M971=0,"미처리",IF($N971&lt;=0,"완료","부분처리"))))</f>
        <v/>
      </c>
    </row>
    <row r="972" customFormat="false" ht="15" hidden="false" customHeight="true" outlineLevel="0" collapsed="false">
      <c r="A972" s="12" t="str">
        <f aca="false">IF($B972="","",TEXT($B972,"yymm")&amp;"-"&amp;TEXT(COUNTIFS($B$3:$B972,"&gt;="&amp;DATE(YEAR($B972),MONTH($B972),1),$B$3:$B972,"&lt;="&amp;EOMONTH($B972,0)),"000"))</f>
        <v/>
      </c>
      <c r="B972" s="13"/>
      <c r="C972" s="10"/>
      <c r="D972" s="10"/>
      <c r="E972" s="12" t="str">
        <f aca="false">IF($D972="","",IFERROR(INDEX(품목목록!$B$3:$B$302,MATCH($D972,품목목록!$A$3:$A$302,0)),"미등록품번"))</f>
        <v/>
      </c>
      <c r="F972" s="12" t="str">
        <f aca="false">IF($D972="","",IFERROR(INDEX(품목목록!$C$3:$C$302,MATCH($D972,품목목록!$A$3:$A$302,0)),""))</f>
        <v/>
      </c>
      <c r="G972" s="12" t="str">
        <f aca="false">IF($D972="","",IFERROR(INDEX(품목목록!$D$3:$D$302,MATCH($D972,품목목록!$A$3:$A$302,0)),""))</f>
        <v/>
      </c>
      <c r="H972" s="12" t="str">
        <f aca="false">IF($D972="","",IFERROR(INDEX(품목목록!$E$3:$E$302,MATCH($D972,품목목록!$A$3:$A$302,0)),""))</f>
        <v/>
      </c>
      <c r="I972" s="14"/>
      <c r="J972" s="10"/>
      <c r="K972" s="10"/>
      <c r="L972" s="10"/>
      <c r="M972" s="15" t="str">
        <f aca="false">IF($A972="","",SUMIFS(처리내역!$E$3:$E$1502,처리내역!$B$3:$B$1502,$A972))</f>
        <v/>
      </c>
      <c r="N972" s="15" t="str">
        <f aca="false">IF($A972="","",IF($I972="","",$I972-$M972))</f>
        <v/>
      </c>
      <c r="O972" s="12" t="str">
        <f aca="false">IF($A972="","",IF($I972="","",IF($M972=0,"미처리",IF($N972&lt;=0,"완료","부분처리"))))</f>
        <v/>
      </c>
    </row>
    <row r="973" customFormat="false" ht="15" hidden="false" customHeight="true" outlineLevel="0" collapsed="false">
      <c r="A973" s="12" t="str">
        <f aca="false">IF($B973="","",TEXT($B973,"yymm")&amp;"-"&amp;TEXT(COUNTIFS($B$3:$B973,"&gt;="&amp;DATE(YEAR($B973),MONTH($B973),1),$B$3:$B973,"&lt;="&amp;EOMONTH($B973,0)),"000"))</f>
        <v/>
      </c>
      <c r="B973" s="13"/>
      <c r="C973" s="10"/>
      <c r="D973" s="10"/>
      <c r="E973" s="12" t="str">
        <f aca="false">IF($D973="","",IFERROR(INDEX(품목목록!$B$3:$B$302,MATCH($D973,품목목록!$A$3:$A$302,0)),"미등록품번"))</f>
        <v/>
      </c>
      <c r="F973" s="12" t="str">
        <f aca="false">IF($D973="","",IFERROR(INDEX(품목목록!$C$3:$C$302,MATCH($D973,품목목록!$A$3:$A$302,0)),""))</f>
        <v/>
      </c>
      <c r="G973" s="12" t="str">
        <f aca="false">IF($D973="","",IFERROR(INDEX(품목목록!$D$3:$D$302,MATCH($D973,품목목록!$A$3:$A$302,0)),""))</f>
        <v/>
      </c>
      <c r="H973" s="12" t="str">
        <f aca="false">IF($D973="","",IFERROR(INDEX(품목목록!$E$3:$E$302,MATCH($D973,품목목록!$A$3:$A$302,0)),""))</f>
        <v/>
      </c>
      <c r="I973" s="14"/>
      <c r="J973" s="10"/>
      <c r="K973" s="10"/>
      <c r="L973" s="10"/>
      <c r="M973" s="15" t="str">
        <f aca="false">IF($A973="","",SUMIFS(처리내역!$E$3:$E$1502,처리내역!$B$3:$B$1502,$A973))</f>
        <v/>
      </c>
      <c r="N973" s="15" t="str">
        <f aca="false">IF($A973="","",IF($I973="","",$I973-$M973))</f>
        <v/>
      </c>
      <c r="O973" s="12" t="str">
        <f aca="false">IF($A973="","",IF($I973="","",IF($M973=0,"미처리",IF($N973&lt;=0,"완료","부분처리"))))</f>
        <v/>
      </c>
    </row>
    <row r="974" customFormat="false" ht="15" hidden="false" customHeight="true" outlineLevel="0" collapsed="false">
      <c r="A974" s="12" t="str">
        <f aca="false">IF($B974="","",TEXT($B974,"yymm")&amp;"-"&amp;TEXT(COUNTIFS($B$3:$B974,"&gt;="&amp;DATE(YEAR($B974),MONTH($B974),1),$B$3:$B974,"&lt;="&amp;EOMONTH($B974,0)),"000"))</f>
        <v/>
      </c>
      <c r="B974" s="13"/>
      <c r="C974" s="10"/>
      <c r="D974" s="10"/>
      <c r="E974" s="12" t="str">
        <f aca="false">IF($D974="","",IFERROR(INDEX(품목목록!$B$3:$B$302,MATCH($D974,품목목록!$A$3:$A$302,0)),"미등록품번"))</f>
        <v/>
      </c>
      <c r="F974" s="12" t="str">
        <f aca="false">IF($D974="","",IFERROR(INDEX(품목목록!$C$3:$C$302,MATCH($D974,품목목록!$A$3:$A$302,0)),""))</f>
        <v/>
      </c>
      <c r="G974" s="12" t="str">
        <f aca="false">IF($D974="","",IFERROR(INDEX(품목목록!$D$3:$D$302,MATCH($D974,품목목록!$A$3:$A$302,0)),""))</f>
        <v/>
      </c>
      <c r="H974" s="12" t="str">
        <f aca="false">IF($D974="","",IFERROR(INDEX(품목목록!$E$3:$E$302,MATCH($D974,품목목록!$A$3:$A$302,0)),""))</f>
        <v/>
      </c>
      <c r="I974" s="14"/>
      <c r="J974" s="10"/>
      <c r="K974" s="10"/>
      <c r="L974" s="10"/>
      <c r="M974" s="15" t="str">
        <f aca="false">IF($A974="","",SUMIFS(처리내역!$E$3:$E$1502,처리내역!$B$3:$B$1502,$A974))</f>
        <v/>
      </c>
      <c r="N974" s="15" t="str">
        <f aca="false">IF($A974="","",IF($I974="","",$I974-$M974))</f>
        <v/>
      </c>
      <c r="O974" s="12" t="str">
        <f aca="false">IF($A974="","",IF($I974="","",IF($M974=0,"미처리",IF($N974&lt;=0,"완료","부분처리"))))</f>
        <v/>
      </c>
    </row>
    <row r="975" customFormat="false" ht="15" hidden="false" customHeight="true" outlineLevel="0" collapsed="false">
      <c r="A975" s="12" t="str">
        <f aca="false">IF($B975="","",TEXT($B975,"yymm")&amp;"-"&amp;TEXT(COUNTIFS($B$3:$B975,"&gt;="&amp;DATE(YEAR($B975),MONTH($B975),1),$B$3:$B975,"&lt;="&amp;EOMONTH($B975,0)),"000"))</f>
        <v/>
      </c>
      <c r="B975" s="13"/>
      <c r="C975" s="10"/>
      <c r="D975" s="10"/>
      <c r="E975" s="12" t="str">
        <f aca="false">IF($D975="","",IFERROR(INDEX(품목목록!$B$3:$B$302,MATCH($D975,품목목록!$A$3:$A$302,0)),"미등록품번"))</f>
        <v/>
      </c>
      <c r="F975" s="12" t="str">
        <f aca="false">IF($D975="","",IFERROR(INDEX(품목목록!$C$3:$C$302,MATCH($D975,품목목록!$A$3:$A$302,0)),""))</f>
        <v/>
      </c>
      <c r="G975" s="12" t="str">
        <f aca="false">IF($D975="","",IFERROR(INDEX(품목목록!$D$3:$D$302,MATCH($D975,품목목록!$A$3:$A$302,0)),""))</f>
        <v/>
      </c>
      <c r="H975" s="12" t="str">
        <f aca="false">IF($D975="","",IFERROR(INDEX(품목목록!$E$3:$E$302,MATCH($D975,품목목록!$A$3:$A$302,0)),""))</f>
        <v/>
      </c>
      <c r="I975" s="14"/>
      <c r="J975" s="10"/>
      <c r="K975" s="10"/>
      <c r="L975" s="10"/>
      <c r="M975" s="15" t="str">
        <f aca="false">IF($A975="","",SUMIFS(처리내역!$E$3:$E$1502,처리내역!$B$3:$B$1502,$A975))</f>
        <v/>
      </c>
      <c r="N975" s="15" t="str">
        <f aca="false">IF($A975="","",IF($I975="","",$I975-$M975))</f>
        <v/>
      </c>
      <c r="O975" s="12" t="str">
        <f aca="false">IF($A975="","",IF($I975="","",IF($M975=0,"미처리",IF($N975&lt;=0,"완료","부분처리"))))</f>
        <v/>
      </c>
    </row>
    <row r="976" customFormat="false" ht="15" hidden="false" customHeight="true" outlineLevel="0" collapsed="false">
      <c r="A976" s="12" t="str">
        <f aca="false">IF($B976="","",TEXT($B976,"yymm")&amp;"-"&amp;TEXT(COUNTIFS($B$3:$B976,"&gt;="&amp;DATE(YEAR($B976),MONTH($B976),1),$B$3:$B976,"&lt;="&amp;EOMONTH($B976,0)),"000"))</f>
        <v/>
      </c>
      <c r="B976" s="13"/>
      <c r="C976" s="10"/>
      <c r="D976" s="10"/>
      <c r="E976" s="12" t="str">
        <f aca="false">IF($D976="","",IFERROR(INDEX(품목목록!$B$3:$B$302,MATCH($D976,품목목록!$A$3:$A$302,0)),"미등록품번"))</f>
        <v/>
      </c>
      <c r="F976" s="12" t="str">
        <f aca="false">IF($D976="","",IFERROR(INDEX(품목목록!$C$3:$C$302,MATCH($D976,품목목록!$A$3:$A$302,0)),""))</f>
        <v/>
      </c>
      <c r="G976" s="12" t="str">
        <f aca="false">IF($D976="","",IFERROR(INDEX(품목목록!$D$3:$D$302,MATCH($D976,품목목록!$A$3:$A$302,0)),""))</f>
        <v/>
      </c>
      <c r="H976" s="12" t="str">
        <f aca="false">IF($D976="","",IFERROR(INDEX(품목목록!$E$3:$E$302,MATCH($D976,품목목록!$A$3:$A$302,0)),""))</f>
        <v/>
      </c>
      <c r="I976" s="14"/>
      <c r="J976" s="10"/>
      <c r="K976" s="10"/>
      <c r="L976" s="10"/>
      <c r="M976" s="15" t="str">
        <f aca="false">IF($A976="","",SUMIFS(처리내역!$E$3:$E$1502,처리내역!$B$3:$B$1502,$A976))</f>
        <v/>
      </c>
      <c r="N976" s="15" t="str">
        <f aca="false">IF($A976="","",IF($I976="","",$I976-$M976))</f>
        <v/>
      </c>
      <c r="O976" s="12" t="str">
        <f aca="false">IF($A976="","",IF($I976="","",IF($M976=0,"미처리",IF($N976&lt;=0,"완료","부분처리"))))</f>
        <v/>
      </c>
    </row>
    <row r="977" customFormat="false" ht="15" hidden="false" customHeight="true" outlineLevel="0" collapsed="false">
      <c r="A977" s="12" t="str">
        <f aca="false">IF($B977="","",TEXT($B977,"yymm")&amp;"-"&amp;TEXT(COUNTIFS($B$3:$B977,"&gt;="&amp;DATE(YEAR($B977),MONTH($B977),1),$B$3:$B977,"&lt;="&amp;EOMONTH($B977,0)),"000"))</f>
        <v/>
      </c>
      <c r="B977" s="13"/>
      <c r="C977" s="10"/>
      <c r="D977" s="10"/>
      <c r="E977" s="12" t="str">
        <f aca="false">IF($D977="","",IFERROR(INDEX(품목목록!$B$3:$B$302,MATCH($D977,품목목록!$A$3:$A$302,0)),"미등록품번"))</f>
        <v/>
      </c>
      <c r="F977" s="12" t="str">
        <f aca="false">IF($D977="","",IFERROR(INDEX(품목목록!$C$3:$C$302,MATCH($D977,품목목록!$A$3:$A$302,0)),""))</f>
        <v/>
      </c>
      <c r="G977" s="12" t="str">
        <f aca="false">IF($D977="","",IFERROR(INDEX(품목목록!$D$3:$D$302,MATCH($D977,품목목록!$A$3:$A$302,0)),""))</f>
        <v/>
      </c>
      <c r="H977" s="12" t="str">
        <f aca="false">IF($D977="","",IFERROR(INDEX(품목목록!$E$3:$E$302,MATCH($D977,품목목록!$A$3:$A$302,0)),""))</f>
        <v/>
      </c>
      <c r="I977" s="14"/>
      <c r="J977" s="10"/>
      <c r="K977" s="10"/>
      <c r="L977" s="10"/>
      <c r="M977" s="15" t="str">
        <f aca="false">IF($A977="","",SUMIFS(처리내역!$E$3:$E$1502,처리내역!$B$3:$B$1502,$A977))</f>
        <v/>
      </c>
      <c r="N977" s="15" t="str">
        <f aca="false">IF($A977="","",IF($I977="","",$I977-$M977))</f>
        <v/>
      </c>
      <c r="O977" s="12" t="str">
        <f aca="false">IF($A977="","",IF($I977="","",IF($M977=0,"미처리",IF($N977&lt;=0,"완료","부분처리"))))</f>
        <v/>
      </c>
    </row>
    <row r="978" customFormat="false" ht="15" hidden="false" customHeight="true" outlineLevel="0" collapsed="false">
      <c r="A978" s="12" t="str">
        <f aca="false">IF($B978="","",TEXT($B978,"yymm")&amp;"-"&amp;TEXT(COUNTIFS($B$3:$B978,"&gt;="&amp;DATE(YEAR($B978),MONTH($B978),1),$B$3:$B978,"&lt;="&amp;EOMONTH($B978,0)),"000"))</f>
        <v/>
      </c>
      <c r="B978" s="13"/>
      <c r="C978" s="10"/>
      <c r="D978" s="10"/>
      <c r="E978" s="12" t="str">
        <f aca="false">IF($D978="","",IFERROR(INDEX(품목목록!$B$3:$B$302,MATCH($D978,품목목록!$A$3:$A$302,0)),"미등록품번"))</f>
        <v/>
      </c>
      <c r="F978" s="12" t="str">
        <f aca="false">IF($D978="","",IFERROR(INDEX(품목목록!$C$3:$C$302,MATCH($D978,품목목록!$A$3:$A$302,0)),""))</f>
        <v/>
      </c>
      <c r="G978" s="12" t="str">
        <f aca="false">IF($D978="","",IFERROR(INDEX(품목목록!$D$3:$D$302,MATCH($D978,품목목록!$A$3:$A$302,0)),""))</f>
        <v/>
      </c>
      <c r="H978" s="12" t="str">
        <f aca="false">IF($D978="","",IFERROR(INDEX(품목목록!$E$3:$E$302,MATCH($D978,품목목록!$A$3:$A$302,0)),""))</f>
        <v/>
      </c>
      <c r="I978" s="14"/>
      <c r="J978" s="10"/>
      <c r="K978" s="10"/>
      <c r="L978" s="10"/>
      <c r="M978" s="15" t="str">
        <f aca="false">IF($A978="","",SUMIFS(처리내역!$E$3:$E$1502,처리내역!$B$3:$B$1502,$A978))</f>
        <v/>
      </c>
      <c r="N978" s="15" t="str">
        <f aca="false">IF($A978="","",IF($I978="","",$I978-$M978))</f>
        <v/>
      </c>
      <c r="O978" s="12" t="str">
        <f aca="false">IF($A978="","",IF($I978="","",IF($M978=0,"미처리",IF($N978&lt;=0,"완료","부분처리"))))</f>
        <v/>
      </c>
    </row>
    <row r="979" customFormat="false" ht="15" hidden="false" customHeight="true" outlineLevel="0" collapsed="false">
      <c r="A979" s="12" t="str">
        <f aca="false">IF($B979="","",TEXT($B979,"yymm")&amp;"-"&amp;TEXT(COUNTIFS($B$3:$B979,"&gt;="&amp;DATE(YEAR($B979),MONTH($B979),1),$B$3:$B979,"&lt;="&amp;EOMONTH($B979,0)),"000"))</f>
        <v/>
      </c>
      <c r="B979" s="13"/>
      <c r="C979" s="10"/>
      <c r="D979" s="10"/>
      <c r="E979" s="12" t="str">
        <f aca="false">IF($D979="","",IFERROR(INDEX(품목목록!$B$3:$B$302,MATCH($D979,품목목록!$A$3:$A$302,0)),"미등록품번"))</f>
        <v/>
      </c>
      <c r="F979" s="12" t="str">
        <f aca="false">IF($D979="","",IFERROR(INDEX(품목목록!$C$3:$C$302,MATCH($D979,품목목록!$A$3:$A$302,0)),""))</f>
        <v/>
      </c>
      <c r="G979" s="12" t="str">
        <f aca="false">IF($D979="","",IFERROR(INDEX(품목목록!$D$3:$D$302,MATCH($D979,품목목록!$A$3:$A$302,0)),""))</f>
        <v/>
      </c>
      <c r="H979" s="12" t="str">
        <f aca="false">IF($D979="","",IFERROR(INDEX(품목목록!$E$3:$E$302,MATCH($D979,품목목록!$A$3:$A$302,0)),""))</f>
        <v/>
      </c>
      <c r="I979" s="14"/>
      <c r="J979" s="10"/>
      <c r="K979" s="10"/>
      <c r="L979" s="10"/>
      <c r="M979" s="15" t="str">
        <f aca="false">IF($A979="","",SUMIFS(처리내역!$E$3:$E$1502,처리내역!$B$3:$B$1502,$A979))</f>
        <v/>
      </c>
      <c r="N979" s="15" t="str">
        <f aca="false">IF($A979="","",IF($I979="","",$I979-$M979))</f>
        <v/>
      </c>
      <c r="O979" s="12" t="str">
        <f aca="false">IF($A979="","",IF($I979="","",IF($M979=0,"미처리",IF($N979&lt;=0,"완료","부분처리"))))</f>
        <v/>
      </c>
    </row>
    <row r="980" customFormat="false" ht="15" hidden="false" customHeight="true" outlineLevel="0" collapsed="false">
      <c r="A980" s="12" t="str">
        <f aca="false">IF($B980="","",TEXT($B980,"yymm")&amp;"-"&amp;TEXT(COUNTIFS($B$3:$B980,"&gt;="&amp;DATE(YEAR($B980),MONTH($B980),1),$B$3:$B980,"&lt;="&amp;EOMONTH($B980,0)),"000"))</f>
        <v/>
      </c>
      <c r="B980" s="13"/>
      <c r="C980" s="10"/>
      <c r="D980" s="10"/>
      <c r="E980" s="12" t="str">
        <f aca="false">IF($D980="","",IFERROR(INDEX(품목목록!$B$3:$B$302,MATCH($D980,품목목록!$A$3:$A$302,0)),"미등록품번"))</f>
        <v/>
      </c>
      <c r="F980" s="12" t="str">
        <f aca="false">IF($D980="","",IFERROR(INDEX(품목목록!$C$3:$C$302,MATCH($D980,품목목록!$A$3:$A$302,0)),""))</f>
        <v/>
      </c>
      <c r="G980" s="12" t="str">
        <f aca="false">IF($D980="","",IFERROR(INDEX(품목목록!$D$3:$D$302,MATCH($D980,품목목록!$A$3:$A$302,0)),""))</f>
        <v/>
      </c>
      <c r="H980" s="12" t="str">
        <f aca="false">IF($D980="","",IFERROR(INDEX(품목목록!$E$3:$E$302,MATCH($D980,품목목록!$A$3:$A$302,0)),""))</f>
        <v/>
      </c>
      <c r="I980" s="14"/>
      <c r="J980" s="10"/>
      <c r="K980" s="10"/>
      <c r="L980" s="10"/>
      <c r="M980" s="15" t="str">
        <f aca="false">IF($A980="","",SUMIFS(처리내역!$E$3:$E$1502,처리내역!$B$3:$B$1502,$A980))</f>
        <v/>
      </c>
      <c r="N980" s="15" t="str">
        <f aca="false">IF($A980="","",IF($I980="","",$I980-$M980))</f>
        <v/>
      </c>
      <c r="O980" s="12" t="str">
        <f aca="false">IF($A980="","",IF($I980="","",IF($M980=0,"미처리",IF($N980&lt;=0,"완료","부분처리"))))</f>
        <v/>
      </c>
    </row>
    <row r="981" customFormat="false" ht="15" hidden="false" customHeight="true" outlineLevel="0" collapsed="false">
      <c r="A981" s="12" t="str">
        <f aca="false">IF($B981="","",TEXT($B981,"yymm")&amp;"-"&amp;TEXT(COUNTIFS($B$3:$B981,"&gt;="&amp;DATE(YEAR($B981),MONTH($B981),1),$B$3:$B981,"&lt;="&amp;EOMONTH($B981,0)),"000"))</f>
        <v/>
      </c>
      <c r="B981" s="13"/>
      <c r="C981" s="10"/>
      <c r="D981" s="10"/>
      <c r="E981" s="12" t="str">
        <f aca="false">IF($D981="","",IFERROR(INDEX(품목목록!$B$3:$B$302,MATCH($D981,품목목록!$A$3:$A$302,0)),"미등록품번"))</f>
        <v/>
      </c>
      <c r="F981" s="12" t="str">
        <f aca="false">IF($D981="","",IFERROR(INDEX(품목목록!$C$3:$C$302,MATCH($D981,품목목록!$A$3:$A$302,0)),""))</f>
        <v/>
      </c>
      <c r="G981" s="12" t="str">
        <f aca="false">IF($D981="","",IFERROR(INDEX(품목목록!$D$3:$D$302,MATCH($D981,품목목록!$A$3:$A$302,0)),""))</f>
        <v/>
      </c>
      <c r="H981" s="12" t="str">
        <f aca="false">IF($D981="","",IFERROR(INDEX(품목목록!$E$3:$E$302,MATCH($D981,품목목록!$A$3:$A$302,0)),""))</f>
        <v/>
      </c>
      <c r="I981" s="14"/>
      <c r="J981" s="10"/>
      <c r="K981" s="10"/>
      <c r="L981" s="10"/>
      <c r="M981" s="15" t="str">
        <f aca="false">IF($A981="","",SUMIFS(처리내역!$E$3:$E$1502,처리내역!$B$3:$B$1502,$A981))</f>
        <v/>
      </c>
      <c r="N981" s="15" t="str">
        <f aca="false">IF($A981="","",IF($I981="","",$I981-$M981))</f>
        <v/>
      </c>
      <c r="O981" s="12" t="str">
        <f aca="false">IF($A981="","",IF($I981="","",IF($M981=0,"미처리",IF($N981&lt;=0,"완료","부분처리"))))</f>
        <v/>
      </c>
    </row>
    <row r="982" customFormat="false" ht="15" hidden="false" customHeight="true" outlineLevel="0" collapsed="false">
      <c r="A982" s="12" t="str">
        <f aca="false">IF($B982="","",TEXT($B982,"yymm")&amp;"-"&amp;TEXT(COUNTIFS($B$3:$B982,"&gt;="&amp;DATE(YEAR($B982),MONTH($B982),1),$B$3:$B982,"&lt;="&amp;EOMONTH($B982,0)),"000"))</f>
        <v/>
      </c>
      <c r="B982" s="13"/>
      <c r="C982" s="10"/>
      <c r="D982" s="10"/>
      <c r="E982" s="12" t="str">
        <f aca="false">IF($D982="","",IFERROR(INDEX(품목목록!$B$3:$B$302,MATCH($D982,품목목록!$A$3:$A$302,0)),"미등록품번"))</f>
        <v/>
      </c>
      <c r="F982" s="12" t="str">
        <f aca="false">IF($D982="","",IFERROR(INDEX(품목목록!$C$3:$C$302,MATCH($D982,품목목록!$A$3:$A$302,0)),""))</f>
        <v/>
      </c>
      <c r="G982" s="12" t="str">
        <f aca="false">IF($D982="","",IFERROR(INDEX(품목목록!$D$3:$D$302,MATCH($D982,품목목록!$A$3:$A$302,0)),""))</f>
        <v/>
      </c>
      <c r="H982" s="12" t="str">
        <f aca="false">IF($D982="","",IFERROR(INDEX(품목목록!$E$3:$E$302,MATCH($D982,품목목록!$A$3:$A$302,0)),""))</f>
        <v/>
      </c>
      <c r="I982" s="14"/>
      <c r="J982" s="10"/>
      <c r="K982" s="10"/>
      <c r="L982" s="10"/>
      <c r="M982" s="15" t="str">
        <f aca="false">IF($A982="","",SUMIFS(처리내역!$E$3:$E$1502,처리내역!$B$3:$B$1502,$A982))</f>
        <v/>
      </c>
      <c r="N982" s="15" t="str">
        <f aca="false">IF($A982="","",IF($I982="","",$I982-$M982))</f>
        <v/>
      </c>
      <c r="O982" s="12" t="str">
        <f aca="false">IF($A982="","",IF($I982="","",IF($M982=0,"미처리",IF($N982&lt;=0,"완료","부분처리"))))</f>
        <v/>
      </c>
    </row>
    <row r="983" customFormat="false" ht="15" hidden="false" customHeight="true" outlineLevel="0" collapsed="false">
      <c r="A983" s="12" t="str">
        <f aca="false">IF($B983="","",TEXT($B983,"yymm")&amp;"-"&amp;TEXT(COUNTIFS($B$3:$B983,"&gt;="&amp;DATE(YEAR($B983),MONTH($B983),1),$B$3:$B983,"&lt;="&amp;EOMONTH($B983,0)),"000"))</f>
        <v/>
      </c>
      <c r="B983" s="13"/>
      <c r="C983" s="10"/>
      <c r="D983" s="10"/>
      <c r="E983" s="12" t="str">
        <f aca="false">IF($D983="","",IFERROR(INDEX(품목목록!$B$3:$B$302,MATCH($D983,품목목록!$A$3:$A$302,0)),"미등록품번"))</f>
        <v/>
      </c>
      <c r="F983" s="12" t="str">
        <f aca="false">IF($D983="","",IFERROR(INDEX(품목목록!$C$3:$C$302,MATCH($D983,품목목록!$A$3:$A$302,0)),""))</f>
        <v/>
      </c>
      <c r="G983" s="12" t="str">
        <f aca="false">IF($D983="","",IFERROR(INDEX(품목목록!$D$3:$D$302,MATCH($D983,품목목록!$A$3:$A$302,0)),""))</f>
        <v/>
      </c>
      <c r="H983" s="12" t="str">
        <f aca="false">IF($D983="","",IFERROR(INDEX(품목목록!$E$3:$E$302,MATCH($D983,품목목록!$A$3:$A$302,0)),""))</f>
        <v/>
      </c>
      <c r="I983" s="14"/>
      <c r="J983" s="10"/>
      <c r="K983" s="10"/>
      <c r="L983" s="10"/>
      <c r="M983" s="15" t="str">
        <f aca="false">IF($A983="","",SUMIFS(처리내역!$E$3:$E$1502,처리내역!$B$3:$B$1502,$A983))</f>
        <v/>
      </c>
      <c r="N983" s="15" t="str">
        <f aca="false">IF($A983="","",IF($I983="","",$I983-$M983))</f>
        <v/>
      </c>
      <c r="O983" s="12" t="str">
        <f aca="false">IF($A983="","",IF($I983="","",IF($M983=0,"미처리",IF($N983&lt;=0,"완료","부분처리"))))</f>
        <v/>
      </c>
    </row>
    <row r="984" customFormat="false" ht="15" hidden="false" customHeight="true" outlineLevel="0" collapsed="false">
      <c r="A984" s="12" t="str">
        <f aca="false">IF($B984="","",TEXT($B984,"yymm")&amp;"-"&amp;TEXT(COUNTIFS($B$3:$B984,"&gt;="&amp;DATE(YEAR($B984),MONTH($B984),1),$B$3:$B984,"&lt;="&amp;EOMONTH($B984,0)),"000"))</f>
        <v/>
      </c>
      <c r="B984" s="13"/>
      <c r="C984" s="10"/>
      <c r="D984" s="10"/>
      <c r="E984" s="12" t="str">
        <f aca="false">IF($D984="","",IFERROR(INDEX(품목목록!$B$3:$B$302,MATCH($D984,품목목록!$A$3:$A$302,0)),"미등록품번"))</f>
        <v/>
      </c>
      <c r="F984" s="12" t="str">
        <f aca="false">IF($D984="","",IFERROR(INDEX(품목목록!$C$3:$C$302,MATCH($D984,품목목록!$A$3:$A$302,0)),""))</f>
        <v/>
      </c>
      <c r="G984" s="12" t="str">
        <f aca="false">IF($D984="","",IFERROR(INDEX(품목목록!$D$3:$D$302,MATCH($D984,품목목록!$A$3:$A$302,0)),""))</f>
        <v/>
      </c>
      <c r="H984" s="12" t="str">
        <f aca="false">IF($D984="","",IFERROR(INDEX(품목목록!$E$3:$E$302,MATCH($D984,품목목록!$A$3:$A$302,0)),""))</f>
        <v/>
      </c>
      <c r="I984" s="14"/>
      <c r="J984" s="10"/>
      <c r="K984" s="10"/>
      <c r="L984" s="10"/>
      <c r="M984" s="15" t="str">
        <f aca="false">IF($A984="","",SUMIFS(처리내역!$E$3:$E$1502,처리내역!$B$3:$B$1502,$A984))</f>
        <v/>
      </c>
      <c r="N984" s="15" t="str">
        <f aca="false">IF($A984="","",IF($I984="","",$I984-$M984))</f>
        <v/>
      </c>
      <c r="O984" s="12" t="str">
        <f aca="false">IF($A984="","",IF($I984="","",IF($M984=0,"미처리",IF($N984&lt;=0,"완료","부분처리"))))</f>
        <v/>
      </c>
    </row>
    <row r="985" customFormat="false" ht="15" hidden="false" customHeight="true" outlineLevel="0" collapsed="false">
      <c r="A985" s="12" t="str">
        <f aca="false">IF($B985="","",TEXT($B985,"yymm")&amp;"-"&amp;TEXT(COUNTIFS($B$3:$B985,"&gt;="&amp;DATE(YEAR($B985),MONTH($B985),1),$B$3:$B985,"&lt;="&amp;EOMONTH($B985,0)),"000"))</f>
        <v/>
      </c>
      <c r="B985" s="13"/>
      <c r="C985" s="10"/>
      <c r="D985" s="10"/>
      <c r="E985" s="12" t="str">
        <f aca="false">IF($D985="","",IFERROR(INDEX(품목목록!$B$3:$B$302,MATCH($D985,품목목록!$A$3:$A$302,0)),"미등록품번"))</f>
        <v/>
      </c>
      <c r="F985" s="12" t="str">
        <f aca="false">IF($D985="","",IFERROR(INDEX(품목목록!$C$3:$C$302,MATCH($D985,품목목록!$A$3:$A$302,0)),""))</f>
        <v/>
      </c>
      <c r="G985" s="12" t="str">
        <f aca="false">IF($D985="","",IFERROR(INDEX(품목목록!$D$3:$D$302,MATCH($D985,품목목록!$A$3:$A$302,0)),""))</f>
        <v/>
      </c>
      <c r="H985" s="12" t="str">
        <f aca="false">IF($D985="","",IFERROR(INDEX(품목목록!$E$3:$E$302,MATCH($D985,품목목록!$A$3:$A$302,0)),""))</f>
        <v/>
      </c>
      <c r="I985" s="14"/>
      <c r="J985" s="10"/>
      <c r="K985" s="10"/>
      <c r="L985" s="10"/>
      <c r="M985" s="15" t="str">
        <f aca="false">IF($A985="","",SUMIFS(처리내역!$E$3:$E$1502,처리내역!$B$3:$B$1502,$A985))</f>
        <v/>
      </c>
      <c r="N985" s="15" t="str">
        <f aca="false">IF($A985="","",IF($I985="","",$I985-$M985))</f>
        <v/>
      </c>
      <c r="O985" s="12" t="str">
        <f aca="false">IF($A985="","",IF($I985="","",IF($M985=0,"미처리",IF($N985&lt;=0,"완료","부분처리"))))</f>
        <v/>
      </c>
    </row>
    <row r="986" customFormat="false" ht="15" hidden="false" customHeight="true" outlineLevel="0" collapsed="false">
      <c r="A986" s="12" t="str">
        <f aca="false">IF($B986="","",TEXT($B986,"yymm")&amp;"-"&amp;TEXT(COUNTIFS($B$3:$B986,"&gt;="&amp;DATE(YEAR($B986),MONTH($B986),1),$B$3:$B986,"&lt;="&amp;EOMONTH($B986,0)),"000"))</f>
        <v/>
      </c>
      <c r="B986" s="13"/>
      <c r="C986" s="10"/>
      <c r="D986" s="10"/>
      <c r="E986" s="12" t="str">
        <f aca="false">IF($D986="","",IFERROR(INDEX(품목목록!$B$3:$B$302,MATCH($D986,품목목록!$A$3:$A$302,0)),"미등록품번"))</f>
        <v/>
      </c>
      <c r="F986" s="12" t="str">
        <f aca="false">IF($D986="","",IFERROR(INDEX(품목목록!$C$3:$C$302,MATCH($D986,품목목록!$A$3:$A$302,0)),""))</f>
        <v/>
      </c>
      <c r="G986" s="12" t="str">
        <f aca="false">IF($D986="","",IFERROR(INDEX(품목목록!$D$3:$D$302,MATCH($D986,품목목록!$A$3:$A$302,0)),""))</f>
        <v/>
      </c>
      <c r="H986" s="12" t="str">
        <f aca="false">IF($D986="","",IFERROR(INDEX(품목목록!$E$3:$E$302,MATCH($D986,품목목록!$A$3:$A$302,0)),""))</f>
        <v/>
      </c>
      <c r="I986" s="14"/>
      <c r="J986" s="10"/>
      <c r="K986" s="10"/>
      <c r="L986" s="10"/>
      <c r="M986" s="15" t="str">
        <f aca="false">IF($A986="","",SUMIFS(처리내역!$E$3:$E$1502,처리내역!$B$3:$B$1502,$A986))</f>
        <v/>
      </c>
      <c r="N986" s="15" t="str">
        <f aca="false">IF($A986="","",IF($I986="","",$I986-$M986))</f>
        <v/>
      </c>
      <c r="O986" s="12" t="str">
        <f aca="false">IF($A986="","",IF($I986="","",IF($M986=0,"미처리",IF($N986&lt;=0,"완료","부분처리"))))</f>
        <v/>
      </c>
    </row>
    <row r="987" customFormat="false" ht="15" hidden="false" customHeight="true" outlineLevel="0" collapsed="false">
      <c r="A987" s="12" t="str">
        <f aca="false">IF($B987="","",TEXT($B987,"yymm")&amp;"-"&amp;TEXT(COUNTIFS($B$3:$B987,"&gt;="&amp;DATE(YEAR($B987),MONTH($B987),1),$B$3:$B987,"&lt;="&amp;EOMONTH($B987,0)),"000"))</f>
        <v/>
      </c>
      <c r="B987" s="13"/>
      <c r="C987" s="10"/>
      <c r="D987" s="10"/>
      <c r="E987" s="12" t="str">
        <f aca="false">IF($D987="","",IFERROR(INDEX(품목목록!$B$3:$B$302,MATCH($D987,품목목록!$A$3:$A$302,0)),"미등록품번"))</f>
        <v/>
      </c>
      <c r="F987" s="12" t="str">
        <f aca="false">IF($D987="","",IFERROR(INDEX(품목목록!$C$3:$C$302,MATCH($D987,품목목록!$A$3:$A$302,0)),""))</f>
        <v/>
      </c>
      <c r="G987" s="12" t="str">
        <f aca="false">IF($D987="","",IFERROR(INDEX(품목목록!$D$3:$D$302,MATCH($D987,품목목록!$A$3:$A$302,0)),""))</f>
        <v/>
      </c>
      <c r="H987" s="12" t="str">
        <f aca="false">IF($D987="","",IFERROR(INDEX(품목목록!$E$3:$E$302,MATCH($D987,품목목록!$A$3:$A$302,0)),""))</f>
        <v/>
      </c>
      <c r="I987" s="14"/>
      <c r="J987" s="10"/>
      <c r="K987" s="10"/>
      <c r="L987" s="10"/>
      <c r="M987" s="15" t="str">
        <f aca="false">IF($A987="","",SUMIFS(처리내역!$E$3:$E$1502,처리내역!$B$3:$B$1502,$A987))</f>
        <v/>
      </c>
      <c r="N987" s="15" t="str">
        <f aca="false">IF($A987="","",IF($I987="","",$I987-$M987))</f>
        <v/>
      </c>
      <c r="O987" s="12" t="str">
        <f aca="false">IF($A987="","",IF($I987="","",IF($M987=0,"미처리",IF($N987&lt;=0,"완료","부분처리"))))</f>
        <v/>
      </c>
    </row>
    <row r="988" customFormat="false" ht="15" hidden="false" customHeight="true" outlineLevel="0" collapsed="false">
      <c r="A988" s="12" t="str">
        <f aca="false">IF($B988="","",TEXT($B988,"yymm")&amp;"-"&amp;TEXT(COUNTIFS($B$3:$B988,"&gt;="&amp;DATE(YEAR($B988),MONTH($B988),1),$B$3:$B988,"&lt;="&amp;EOMONTH($B988,0)),"000"))</f>
        <v/>
      </c>
      <c r="B988" s="13"/>
      <c r="C988" s="10"/>
      <c r="D988" s="10"/>
      <c r="E988" s="12" t="str">
        <f aca="false">IF($D988="","",IFERROR(INDEX(품목목록!$B$3:$B$302,MATCH($D988,품목목록!$A$3:$A$302,0)),"미등록품번"))</f>
        <v/>
      </c>
      <c r="F988" s="12" t="str">
        <f aca="false">IF($D988="","",IFERROR(INDEX(품목목록!$C$3:$C$302,MATCH($D988,품목목록!$A$3:$A$302,0)),""))</f>
        <v/>
      </c>
      <c r="G988" s="12" t="str">
        <f aca="false">IF($D988="","",IFERROR(INDEX(품목목록!$D$3:$D$302,MATCH($D988,품목목록!$A$3:$A$302,0)),""))</f>
        <v/>
      </c>
      <c r="H988" s="12" t="str">
        <f aca="false">IF($D988="","",IFERROR(INDEX(품목목록!$E$3:$E$302,MATCH($D988,품목목록!$A$3:$A$302,0)),""))</f>
        <v/>
      </c>
      <c r="I988" s="14"/>
      <c r="J988" s="10"/>
      <c r="K988" s="10"/>
      <c r="L988" s="10"/>
      <c r="M988" s="15" t="str">
        <f aca="false">IF($A988="","",SUMIFS(처리내역!$E$3:$E$1502,처리내역!$B$3:$B$1502,$A988))</f>
        <v/>
      </c>
      <c r="N988" s="15" t="str">
        <f aca="false">IF($A988="","",IF($I988="","",$I988-$M988))</f>
        <v/>
      </c>
      <c r="O988" s="12" t="str">
        <f aca="false">IF($A988="","",IF($I988="","",IF($M988=0,"미처리",IF($N988&lt;=0,"완료","부분처리"))))</f>
        <v/>
      </c>
    </row>
    <row r="989" customFormat="false" ht="15" hidden="false" customHeight="true" outlineLevel="0" collapsed="false">
      <c r="A989" s="12" t="str">
        <f aca="false">IF($B989="","",TEXT($B989,"yymm")&amp;"-"&amp;TEXT(COUNTIFS($B$3:$B989,"&gt;="&amp;DATE(YEAR($B989),MONTH($B989),1),$B$3:$B989,"&lt;="&amp;EOMONTH($B989,0)),"000"))</f>
        <v/>
      </c>
      <c r="B989" s="13"/>
      <c r="C989" s="10"/>
      <c r="D989" s="10"/>
      <c r="E989" s="12" t="str">
        <f aca="false">IF($D989="","",IFERROR(INDEX(품목목록!$B$3:$B$302,MATCH($D989,품목목록!$A$3:$A$302,0)),"미등록품번"))</f>
        <v/>
      </c>
      <c r="F989" s="12" t="str">
        <f aca="false">IF($D989="","",IFERROR(INDEX(품목목록!$C$3:$C$302,MATCH($D989,품목목록!$A$3:$A$302,0)),""))</f>
        <v/>
      </c>
      <c r="G989" s="12" t="str">
        <f aca="false">IF($D989="","",IFERROR(INDEX(품목목록!$D$3:$D$302,MATCH($D989,품목목록!$A$3:$A$302,0)),""))</f>
        <v/>
      </c>
      <c r="H989" s="12" t="str">
        <f aca="false">IF($D989="","",IFERROR(INDEX(품목목록!$E$3:$E$302,MATCH($D989,품목목록!$A$3:$A$302,0)),""))</f>
        <v/>
      </c>
      <c r="I989" s="14"/>
      <c r="J989" s="10"/>
      <c r="K989" s="10"/>
      <c r="L989" s="10"/>
      <c r="M989" s="15" t="str">
        <f aca="false">IF($A989="","",SUMIFS(처리내역!$E$3:$E$1502,처리내역!$B$3:$B$1502,$A989))</f>
        <v/>
      </c>
      <c r="N989" s="15" t="str">
        <f aca="false">IF($A989="","",IF($I989="","",$I989-$M989))</f>
        <v/>
      </c>
      <c r="O989" s="12" t="str">
        <f aca="false">IF($A989="","",IF($I989="","",IF($M989=0,"미처리",IF($N989&lt;=0,"완료","부분처리"))))</f>
        <v/>
      </c>
    </row>
    <row r="990" customFormat="false" ht="15" hidden="false" customHeight="true" outlineLevel="0" collapsed="false">
      <c r="A990" s="12" t="str">
        <f aca="false">IF($B990="","",TEXT($B990,"yymm")&amp;"-"&amp;TEXT(COUNTIFS($B$3:$B990,"&gt;="&amp;DATE(YEAR($B990),MONTH($B990),1),$B$3:$B990,"&lt;="&amp;EOMONTH($B990,0)),"000"))</f>
        <v/>
      </c>
      <c r="B990" s="13"/>
      <c r="C990" s="10"/>
      <c r="D990" s="10"/>
      <c r="E990" s="12" t="str">
        <f aca="false">IF($D990="","",IFERROR(INDEX(품목목록!$B$3:$B$302,MATCH($D990,품목목록!$A$3:$A$302,0)),"미등록품번"))</f>
        <v/>
      </c>
      <c r="F990" s="12" t="str">
        <f aca="false">IF($D990="","",IFERROR(INDEX(품목목록!$C$3:$C$302,MATCH($D990,품목목록!$A$3:$A$302,0)),""))</f>
        <v/>
      </c>
      <c r="G990" s="12" t="str">
        <f aca="false">IF($D990="","",IFERROR(INDEX(품목목록!$D$3:$D$302,MATCH($D990,품목목록!$A$3:$A$302,0)),""))</f>
        <v/>
      </c>
      <c r="H990" s="12" t="str">
        <f aca="false">IF($D990="","",IFERROR(INDEX(품목목록!$E$3:$E$302,MATCH($D990,품목목록!$A$3:$A$302,0)),""))</f>
        <v/>
      </c>
      <c r="I990" s="14"/>
      <c r="J990" s="10"/>
      <c r="K990" s="10"/>
      <c r="L990" s="10"/>
      <c r="M990" s="15" t="str">
        <f aca="false">IF($A990="","",SUMIFS(처리내역!$E$3:$E$1502,처리내역!$B$3:$B$1502,$A990))</f>
        <v/>
      </c>
      <c r="N990" s="15" t="str">
        <f aca="false">IF($A990="","",IF($I990="","",$I990-$M990))</f>
        <v/>
      </c>
      <c r="O990" s="12" t="str">
        <f aca="false">IF($A990="","",IF($I990="","",IF($M990=0,"미처리",IF($N990&lt;=0,"완료","부분처리"))))</f>
        <v/>
      </c>
    </row>
    <row r="991" customFormat="false" ht="15" hidden="false" customHeight="true" outlineLevel="0" collapsed="false">
      <c r="A991" s="12" t="str">
        <f aca="false">IF($B991="","",TEXT($B991,"yymm")&amp;"-"&amp;TEXT(COUNTIFS($B$3:$B991,"&gt;="&amp;DATE(YEAR($B991),MONTH($B991),1),$B$3:$B991,"&lt;="&amp;EOMONTH($B991,0)),"000"))</f>
        <v/>
      </c>
      <c r="B991" s="13"/>
      <c r="C991" s="10"/>
      <c r="D991" s="10"/>
      <c r="E991" s="12" t="str">
        <f aca="false">IF($D991="","",IFERROR(INDEX(품목목록!$B$3:$B$302,MATCH($D991,품목목록!$A$3:$A$302,0)),"미등록품번"))</f>
        <v/>
      </c>
      <c r="F991" s="12" t="str">
        <f aca="false">IF($D991="","",IFERROR(INDEX(품목목록!$C$3:$C$302,MATCH($D991,품목목록!$A$3:$A$302,0)),""))</f>
        <v/>
      </c>
      <c r="G991" s="12" t="str">
        <f aca="false">IF($D991="","",IFERROR(INDEX(품목목록!$D$3:$D$302,MATCH($D991,품목목록!$A$3:$A$302,0)),""))</f>
        <v/>
      </c>
      <c r="H991" s="12" t="str">
        <f aca="false">IF($D991="","",IFERROR(INDEX(품목목록!$E$3:$E$302,MATCH($D991,품목목록!$A$3:$A$302,0)),""))</f>
        <v/>
      </c>
      <c r="I991" s="14"/>
      <c r="J991" s="10"/>
      <c r="K991" s="10"/>
      <c r="L991" s="10"/>
      <c r="M991" s="15" t="str">
        <f aca="false">IF($A991="","",SUMIFS(처리내역!$E$3:$E$1502,처리내역!$B$3:$B$1502,$A991))</f>
        <v/>
      </c>
      <c r="N991" s="15" t="str">
        <f aca="false">IF($A991="","",IF($I991="","",$I991-$M991))</f>
        <v/>
      </c>
      <c r="O991" s="12" t="str">
        <f aca="false">IF($A991="","",IF($I991="","",IF($M991=0,"미처리",IF($N991&lt;=0,"완료","부분처리"))))</f>
        <v/>
      </c>
    </row>
    <row r="992" customFormat="false" ht="15" hidden="false" customHeight="true" outlineLevel="0" collapsed="false">
      <c r="A992" s="12" t="str">
        <f aca="false">IF($B992="","",TEXT($B992,"yymm")&amp;"-"&amp;TEXT(COUNTIFS($B$3:$B992,"&gt;="&amp;DATE(YEAR($B992),MONTH($B992),1),$B$3:$B992,"&lt;="&amp;EOMONTH($B992,0)),"000"))</f>
        <v/>
      </c>
      <c r="B992" s="13"/>
      <c r="C992" s="10"/>
      <c r="D992" s="10"/>
      <c r="E992" s="12" t="str">
        <f aca="false">IF($D992="","",IFERROR(INDEX(품목목록!$B$3:$B$302,MATCH($D992,품목목록!$A$3:$A$302,0)),"미등록품번"))</f>
        <v/>
      </c>
      <c r="F992" s="12" t="str">
        <f aca="false">IF($D992="","",IFERROR(INDEX(품목목록!$C$3:$C$302,MATCH($D992,품목목록!$A$3:$A$302,0)),""))</f>
        <v/>
      </c>
      <c r="G992" s="12" t="str">
        <f aca="false">IF($D992="","",IFERROR(INDEX(품목목록!$D$3:$D$302,MATCH($D992,품목목록!$A$3:$A$302,0)),""))</f>
        <v/>
      </c>
      <c r="H992" s="12" t="str">
        <f aca="false">IF($D992="","",IFERROR(INDEX(품목목록!$E$3:$E$302,MATCH($D992,품목목록!$A$3:$A$302,0)),""))</f>
        <v/>
      </c>
      <c r="I992" s="14"/>
      <c r="J992" s="10"/>
      <c r="K992" s="10"/>
      <c r="L992" s="10"/>
      <c r="M992" s="15" t="str">
        <f aca="false">IF($A992="","",SUMIFS(처리내역!$E$3:$E$1502,처리내역!$B$3:$B$1502,$A992))</f>
        <v/>
      </c>
      <c r="N992" s="15" t="str">
        <f aca="false">IF($A992="","",IF($I992="","",$I992-$M992))</f>
        <v/>
      </c>
      <c r="O992" s="12" t="str">
        <f aca="false">IF($A992="","",IF($I992="","",IF($M992=0,"미처리",IF($N992&lt;=0,"완료","부분처리"))))</f>
        <v/>
      </c>
    </row>
    <row r="993" customFormat="false" ht="15" hidden="false" customHeight="true" outlineLevel="0" collapsed="false">
      <c r="A993" s="12" t="str">
        <f aca="false">IF($B993="","",TEXT($B993,"yymm")&amp;"-"&amp;TEXT(COUNTIFS($B$3:$B993,"&gt;="&amp;DATE(YEAR($B993),MONTH($B993),1),$B$3:$B993,"&lt;="&amp;EOMONTH($B993,0)),"000"))</f>
        <v/>
      </c>
      <c r="B993" s="13"/>
      <c r="C993" s="10"/>
      <c r="D993" s="10"/>
      <c r="E993" s="12" t="str">
        <f aca="false">IF($D993="","",IFERROR(INDEX(품목목록!$B$3:$B$302,MATCH($D993,품목목록!$A$3:$A$302,0)),"미등록품번"))</f>
        <v/>
      </c>
      <c r="F993" s="12" t="str">
        <f aca="false">IF($D993="","",IFERROR(INDEX(품목목록!$C$3:$C$302,MATCH($D993,품목목록!$A$3:$A$302,0)),""))</f>
        <v/>
      </c>
      <c r="G993" s="12" t="str">
        <f aca="false">IF($D993="","",IFERROR(INDEX(품목목록!$D$3:$D$302,MATCH($D993,품목목록!$A$3:$A$302,0)),""))</f>
        <v/>
      </c>
      <c r="H993" s="12" t="str">
        <f aca="false">IF($D993="","",IFERROR(INDEX(품목목록!$E$3:$E$302,MATCH($D993,품목목록!$A$3:$A$302,0)),""))</f>
        <v/>
      </c>
      <c r="I993" s="14"/>
      <c r="J993" s="10"/>
      <c r="K993" s="10"/>
      <c r="L993" s="10"/>
      <c r="M993" s="15" t="str">
        <f aca="false">IF($A993="","",SUMIFS(처리내역!$E$3:$E$1502,처리내역!$B$3:$B$1502,$A993))</f>
        <v/>
      </c>
      <c r="N993" s="15" t="str">
        <f aca="false">IF($A993="","",IF($I993="","",$I993-$M993))</f>
        <v/>
      </c>
      <c r="O993" s="12" t="str">
        <f aca="false">IF($A993="","",IF($I993="","",IF($M993=0,"미처리",IF($N993&lt;=0,"완료","부분처리"))))</f>
        <v/>
      </c>
    </row>
    <row r="994" customFormat="false" ht="15" hidden="false" customHeight="true" outlineLevel="0" collapsed="false">
      <c r="A994" s="12" t="str">
        <f aca="false">IF($B994="","",TEXT($B994,"yymm")&amp;"-"&amp;TEXT(COUNTIFS($B$3:$B994,"&gt;="&amp;DATE(YEAR($B994),MONTH($B994),1),$B$3:$B994,"&lt;="&amp;EOMONTH($B994,0)),"000"))</f>
        <v/>
      </c>
      <c r="B994" s="13"/>
      <c r="C994" s="10"/>
      <c r="D994" s="10"/>
      <c r="E994" s="12" t="str">
        <f aca="false">IF($D994="","",IFERROR(INDEX(품목목록!$B$3:$B$302,MATCH($D994,품목목록!$A$3:$A$302,0)),"미등록품번"))</f>
        <v/>
      </c>
      <c r="F994" s="12" t="str">
        <f aca="false">IF($D994="","",IFERROR(INDEX(품목목록!$C$3:$C$302,MATCH($D994,품목목록!$A$3:$A$302,0)),""))</f>
        <v/>
      </c>
      <c r="G994" s="12" t="str">
        <f aca="false">IF($D994="","",IFERROR(INDEX(품목목록!$D$3:$D$302,MATCH($D994,품목목록!$A$3:$A$302,0)),""))</f>
        <v/>
      </c>
      <c r="H994" s="12" t="str">
        <f aca="false">IF($D994="","",IFERROR(INDEX(품목목록!$E$3:$E$302,MATCH($D994,품목목록!$A$3:$A$302,0)),""))</f>
        <v/>
      </c>
      <c r="I994" s="14"/>
      <c r="J994" s="10"/>
      <c r="K994" s="10"/>
      <c r="L994" s="10"/>
      <c r="M994" s="15" t="str">
        <f aca="false">IF($A994="","",SUMIFS(처리내역!$E$3:$E$1502,처리내역!$B$3:$B$1502,$A994))</f>
        <v/>
      </c>
      <c r="N994" s="15" t="str">
        <f aca="false">IF($A994="","",IF($I994="","",$I994-$M994))</f>
        <v/>
      </c>
      <c r="O994" s="12" t="str">
        <f aca="false">IF($A994="","",IF($I994="","",IF($M994=0,"미처리",IF($N994&lt;=0,"완료","부분처리"))))</f>
        <v/>
      </c>
    </row>
    <row r="995" customFormat="false" ht="15" hidden="false" customHeight="true" outlineLevel="0" collapsed="false">
      <c r="A995" s="12" t="str">
        <f aca="false">IF($B995="","",TEXT($B995,"yymm")&amp;"-"&amp;TEXT(COUNTIFS($B$3:$B995,"&gt;="&amp;DATE(YEAR($B995),MONTH($B995),1),$B$3:$B995,"&lt;="&amp;EOMONTH($B995,0)),"000"))</f>
        <v/>
      </c>
      <c r="B995" s="13"/>
      <c r="C995" s="10"/>
      <c r="D995" s="10"/>
      <c r="E995" s="12" t="str">
        <f aca="false">IF($D995="","",IFERROR(INDEX(품목목록!$B$3:$B$302,MATCH($D995,품목목록!$A$3:$A$302,0)),"미등록품번"))</f>
        <v/>
      </c>
      <c r="F995" s="12" t="str">
        <f aca="false">IF($D995="","",IFERROR(INDEX(품목목록!$C$3:$C$302,MATCH($D995,품목목록!$A$3:$A$302,0)),""))</f>
        <v/>
      </c>
      <c r="G995" s="12" t="str">
        <f aca="false">IF($D995="","",IFERROR(INDEX(품목목록!$D$3:$D$302,MATCH($D995,품목목록!$A$3:$A$302,0)),""))</f>
        <v/>
      </c>
      <c r="H995" s="12" t="str">
        <f aca="false">IF($D995="","",IFERROR(INDEX(품목목록!$E$3:$E$302,MATCH($D995,품목목록!$A$3:$A$302,0)),""))</f>
        <v/>
      </c>
      <c r="I995" s="14"/>
      <c r="J995" s="10"/>
      <c r="K995" s="10"/>
      <c r="L995" s="10"/>
      <c r="M995" s="15" t="str">
        <f aca="false">IF($A995="","",SUMIFS(처리내역!$E$3:$E$1502,처리내역!$B$3:$B$1502,$A995))</f>
        <v/>
      </c>
      <c r="N995" s="15" t="str">
        <f aca="false">IF($A995="","",IF($I995="","",$I995-$M995))</f>
        <v/>
      </c>
      <c r="O995" s="12" t="str">
        <f aca="false">IF($A995="","",IF($I995="","",IF($M995=0,"미처리",IF($N995&lt;=0,"완료","부분처리"))))</f>
        <v/>
      </c>
    </row>
    <row r="996" customFormat="false" ht="15" hidden="false" customHeight="true" outlineLevel="0" collapsed="false">
      <c r="A996" s="12" t="str">
        <f aca="false">IF($B996="","",TEXT($B996,"yymm")&amp;"-"&amp;TEXT(COUNTIFS($B$3:$B996,"&gt;="&amp;DATE(YEAR($B996),MONTH($B996),1),$B$3:$B996,"&lt;="&amp;EOMONTH($B996,0)),"000"))</f>
        <v/>
      </c>
      <c r="B996" s="13"/>
      <c r="C996" s="10"/>
      <c r="D996" s="10"/>
      <c r="E996" s="12" t="str">
        <f aca="false">IF($D996="","",IFERROR(INDEX(품목목록!$B$3:$B$302,MATCH($D996,품목목록!$A$3:$A$302,0)),"미등록품번"))</f>
        <v/>
      </c>
      <c r="F996" s="12" t="str">
        <f aca="false">IF($D996="","",IFERROR(INDEX(품목목록!$C$3:$C$302,MATCH($D996,품목목록!$A$3:$A$302,0)),""))</f>
        <v/>
      </c>
      <c r="G996" s="12" t="str">
        <f aca="false">IF($D996="","",IFERROR(INDEX(품목목록!$D$3:$D$302,MATCH($D996,품목목록!$A$3:$A$302,0)),""))</f>
        <v/>
      </c>
      <c r="H996" s="12" t="str">
        <f aca="false">IF($D996="","",IFERROR(INDEX(품목목록!$E$3:$E$302,MATCH($D996,품목목록!$A$3:$A$302,0)),""))</f>
        <v/>
      </c>
      <c r="I996" s="14"/>
      <c r="J996" s="10"/>
      <c r="K996" s="10"/>
      <c r="L996" s="10"/>
      <c r="M996" s="15" t="str">
        <f aca="false">IF($A996="","",SUMIFS(처리내역!$E$3:$E$1502,처리내역!$B$3:$B$1502,$A996))</f>
        <v/>
      </c>
      <c r="N996" s="15" t="str">
        <f aca="false">IF($A996="","",IF($I996="","",$I996-$M996))</f>
        <v/>
      </c>
      <c r="O996" s="12" t="str">
        <f aca="false">IF($A996="","",IF($I996="","",IF($M996=0,"미처리",IF($N996&lt;=0,"완료","부분처리"))))</f>
        <v/>
      </c>
    </row>
    <row r="997" customFormat="false" ht="15" hidden="false" customHeight="true" outlineLevel="0" collapsed="false">
      <c r="A997" s="12" t="str">
        <f aca="false">IF($B997="","",TEXT($B997,"yymm")&amp;"-"&amp;TEXT(COUNTIFS($B$3:$B997,"&gt;="&amp;DATE(YEAR($B997),MONTH($B997),1),$B$3:$B997,"&lt;="&amp;EOMONTH($B997,0)),"000"))</f>
        <v/>
      </c>
      <c r="B997" s="13"/>
      <c r="C997" s="10"/>
      <c r="D997" s="10"/>
      <c r="E997" s="12" t="str">
        <f aca="false">IF($D997="","",IFERROR(INDEX(품목목록!$B$3:$B$302,MATCH($D997,품목목록!$A$3:$A$302,0)),"미등록품번"))</f>
        <v/>
      </c>
      <c r="F997" s="12" t="str">
        <f aca="false">IF($D997="","",IFERROR(INDEX(품목목록!$C$3:$C$302,MATCH($D997,품목목록!$A$3:$A$302,0)),""))</f>
        <v/>
      </c>
      <c r="G997" s="12" t="str">
        <f aca="false">IF($D997="","",IFERROR(INDEX(품목목록!$D$3:$D$302,MATCH($D997,품목목록!$A$3:$A$302,0)),""))</f>
        <v/>
      </c>
      <c r="H997" s="12" t="str">
        <f aca="false">IF($D997="","",IFERROR(INDEX(품목목록!$E$3:$E$302,MATCH($D997,품목목록!$A$3:$A$302,0)),""))</f>
        <v/>
      </c>
      <c r="I997" s="14"/>
      <c r="J997" s="10"/>
      <c r="K997" s="10"/>
      <c r="L997" s="10"/>
      <c r="M997" s="15" t="str">
        <f aca="false">IF($A997="","",SUMIFS(처리내역!$E$3:$E$1502,처리내역!$B$3:$B$1502,$A997))</f>
        <v/>
      </c>
      <c r="N997" s="15" t="str">
        <f aca="false">IF($A997="","",IF($I997="","",$I997-$M997))</f>
        <v/>
      </c>
      <c r="O997" s="12" t="str">
        <f aca="false">IF($A997="","",IF($I997="","",IF($M997=0,"미처리",IF($N997&lt;=0,"완료","부분처리"))))</f>
        <v/>
      </c>
    </row>
    <row r="998" customFormat="false" ht="15" hidden="false" customHeight="true" outlineLevel="0" collapsed="false">
      <c r="A998" s="12" t="str">
        <f aca="false">IF($B998="","",TEXT($B998,"yymm")&amp;"-"&amp;TEXT(COUNTIFS($B$3:$B998,"&gt;="&amp;DATE(YEAR($B998),MONTH($B998),1),$B$3:$B998,"&lt;="&amp;EOMONTH($B998,0)),"000"))</f>
        <v/>
      </c>
      <c r="B998" s="13"/>
      <c r="C998" s="10"/>
      <c r="D998" s="10"/>
      <c r="E998" s="12" t="str">
        <f aca="false">IF($D998="","",IFERROR(INDEX(품목목록!$B$3:$B$302,MATCH($D998,품목목록!$A$3:$A$302,0)),"미등록품번"))</f>
        <v/>
      </c>
      <c r="F998" s="12" t="str">
        <f aca="false">IF($D998="","",IFERROR(INDEX(품목목록!$C$3:$C$302,MATCH($D998,품목목록!$A$3:$A$302,0)),""))</f>
        <v/>
      </c>
      <c r="G998" s="12" t="str">
        <f aca="false">IF($D998="","",IFERROR(INDEX(품목목록!$D$3:$D$302,MATCH($D998,품목목록!$A$3:$A$302,0)),""))</f>
        <v/>
      </c>
      <c r="H998" s="12" t="str">
        <f aca="false">IF($D998="","",IFERROR(INDEX(품목목록!$E$3:$E$302,MATCH($D998,품목목록!$A$3:$A$302,0)),""))</f>
        <v/>
      </c>
      <c r="I998" s="14"/>
      <c r="J998" s="10"/>
      <c r="K998" s="10"/>
      <c r="L998" s="10"/>
      <c r="M998" s="15" t="str">
        <f aca="false">IF($A998="","",SUMIFS(처리내역!$E$3:$E$1502,처리내역!$B$3:$B$1502,$A998))</f>
        <v/>
      </c>
      <c r="N998" s="15" t="str">
        <f aca="false">IF($A998="","",IF($I998="","",$I998-$M998))</f>
        <v/>
      </c>
      <c r="O998" s="12" t="str">
        <f aca="false">IF($A998="","",IF($I998="","",IF($M998=0,"미처리",IF($N998&lt;=0,"완료","부분처리"))))</f>
        <v/>
      </c>
    </row>
    <row r="999" customFormat="false" ht="15" hidden="false" customHeight="true" outlineLevel="0" collapsed="false">
      <c r="A999" s="12" t="str">
        <f aca="false">IF($B999="","",TEXT($B999,"yymm")&amp;"-"&amp;TEXT(COUNTIFS($B$3:$B999,"&gt;="&amp;DATE(YEAR($B999),MONTH($B999),1),$B$3:$B999,"&lt;="&amp;EOMONTH($B999,0)),"000"))</f>
        <v/>
      </c>
      <c r="B999" s="13"/>
      <c r="C999" s="10"/>
      <c r="D999" s="10"/>
      <c r="E999" s="12" t="str">
        <f aca="false">IF($D999="","",IFERROR(INDEX(품목목록!$B$3:$B$302,MATCH($D999,품목목록!$A$3:$A$302,0)),"미등록품번"))</f>
        <v/>
      </c>
      <c r="F999" s="12" t="str">
        <f aca="false">IF($D999="","",IFERROR(INDEX(품목목록!$C$3:$C$302,MATCH($D999,품목목록!$A$3:$A$302,0)),""))</f>
        <v/>
      </c>
      <c r="G999" s="12" t="str">
        <f aca="false">IF($D999="","",IFERROR(INDEX(품목목록!$D$3:$D$302,MATCH($D999,품목목록!$A$3:$A$302,0)),""))</f>
        <v/>
      </c>
      <c r="H999" s="12" t="str">
        <f aca="false">IF($D999="","",IFERROR(INDEX(품목목록!$E$3:$E$302,MATCH($D999,품목목록!$A$3:$A$302,0)),""))</f>
        <v/>
      </c>
      <c r="I999" s="14"/>
      <c r="J999" s="10"/>
      <c r="K999" s="10"/>
      <c r="L999" s="10"/>
      <c r="M999" s="15" t="str">
        <f aca="false">IF($A999="","",SUMIFS(처리내역!$E$3:$E$1502,처리내역!$B$3:$B$1502,$A999))</f>
        <v/>
      </c>
      <c r="N999" s="15" t="str">
        <f aca="false">IF($A999="","",IF($I999="","",$I999-$M999))</f>
        <v/>
      </c>
      <c r="O999" s="12" t="str">
        <f aca="false">IF($A999="","",IF($I999="","",IF($M999=0,"미처리",IF($N999&lt;=0,"완료","부분처리"))))</f>
        <v/>
      </c>
    </row>
    <row r="1000" customFormat="false" ht="15" hidden="false" customHeight="true" outlineLevel="0" collapsed="false">
      <c r="A1000" s="12" t="str">
        <f aca="false">IF($B1000="","",TEXT($B1000,"yymm")&amp;"-"&amp;TEXT(COUNTIFS($B$3:$B1000,"&gt;="&amp;DATE(YEAR($B1000),MONTH($B1000),1),$B$3:$B1000,"&lt;="&amp;EOMONTH($B1000,0)),"000"))</f>
        <v/>
      </c>
      <c r="B1000" s="13"/>
      <c r="C1000" s="10"/>
      <c r="D1000" s="10"/>
      <c r="E1000" s="12" t="str">
        <f aca="false">IF($D1000="","",IFERROR(INDEX(품목목록!$B$3:$B$302,MATCH($D1000,품목목록!$A$3:$A$302,0)),"미등록품번"))</f>
        <v/>
      </c>
      <c r="F1000" s="12" t="str">
        <f aca="false">IF($D1000="","",IFERROR(INDEX(품목목록!$C$3:$C$302,MATCH($D1000,품목목록!$A$3:$A$302,0)),""))</f>
        <v/>
      </c>
      <c r="G1000" s="12" t="str">
        <f aca="false">IF($D1000="","",IFERROR(INDEX(품목목록!$D$3:$D$302,MATCH($D1000,품목목록!$A$3:$A$302,0)),""))</f>
        <v/>
      </c>
      <c r="H1000" s="12" t="str">
        <f aca="false">IF($D1000="","",IFERROR(INDEX(품목목록!$E$3:$E$302,MATCH($D1000,품목목록!$A$3:$A$302,0)),""))</f>
        <v/>
      </c>
      <c r="I1000" s="14"/>
      <c r="J1000" s="10"/>
      <c r="K1000" s="10"/>
      <c r="L1000" s="10"/>
      <c r="M1000" s="15" t="str">
        <f aca="false">IF($A1000="","",SUMIFS(처리내역!$E$3:$E$1502,처리내역!$B$3:$B$1502,$A1000))</f>
        <v/>
      </c>
      <c r="N1000" s="15" t="str">
        <f aca="false">IF($A1000="","",IF($I1000="","",$I1000-$M1000))</f>
        <v/>
      </c>
      <c r="O1000" s="12" t="str">
        <f aca="false">IF($A1000="","",IF($I1000="","",IF($M1000=0,"미처리",IF($N1000&lt;=0,"완료","부분처리"))))</f>
        <v/>
      </c>
    </row>
    <row r="1001" customFormat="false" ht="15" hidden="false" customHeight="true" outlineLevel="0" collapsed="false">
      <c r="A1001" s="12" t="str">
        <f aca="false">IF($B1001="","",TEXT($B1001,"yymm")&amp;"-"&amp;TEXT(COUNTIFS($B$3:$B1001,"&gt;="&amp;DATE(YEAR($B1001),MONTH($B1001),1),$B$3:$B1001,"&lt;="&amp;EOMONTH($B1001,0)),"000"))</f>
        <v/>
      </c>
      <c r="B1001" s="13"/>
      <c r="C1001" s="10"/>
      <c r="D1001" s="10"/>
      <c r="E1001" s="12" t="str">
        <f aca="false">IF($D1001="","",IFERROR(INDEX(품목목록!$B$3:$B$302,MATCH($D1001,품목목록!$A$3:$A$302,0)),"미등록품번"))</f>
        <v/>
      </c>
      <c r="F1001" s="12" t="str">
        <f aca="false">IF($D1001="","",IFERROR(INDEX(품목목록!$C$3:$C$302,MATCH($D1001,품목목록!$A$3:$A$302,0)),""))</f>
        <v/>
      </c>
      <c r="G1001" s="12" t="str">
        <f aca="false">IF($D1001="","",IFERROR(INDEX(품목목록!$D$3:$D$302,MATCH($D1001,품목목록!$A$3:$A$302,0)),""))</f>
        <v/>
      </c>
      <c r="H1001" s="12" t="str">
        <f aca="false">IF($D1001="","",IFERROR(INDEX(품목목록!$E$3:$E$302,MATCH($D1001,품목목록!$A$3:$A$302,0)),""))</f>
        <v/>
      </c>
      <c r="I1001" s="14"/>
      <c r="J1001" s="10"/>
      <c r="K1001" s="10"/>
      <c r="L1001" s="10"/>
      <c r="M1001" s="15" t="str">
        <f aca="false">IF($A1001="","",SUMIFS(처리내역!$E$3:$E$1502,처리내역!$B$3:$B$1502,$A1001))</f>
        <v/>
      </c>
      <c r="N1001" s="15" t="str">
        <f aca="false">IF($A1001="","",IF($I1001="","",$I1001-$M1001))</f>
        <v/>
      </c>
      <c r="O1001" s="12" t="str">
        <f aca="false">IF($A1001="","",IF($I1001="","",IF($M1001=0,"미처리",IF($N1001&lt;=0,"완료","부분처리"))))</f>
        <v/>
      </c>
    </row>
    <row r="1002" customFormat="false" ht="15" hidden="false" customHeight="true" outlineLevel="0" collapsed="false">
      <c r="A1002" s="12" t="str">
        <f aca="false">IF($B1002="","",TEXT($B1002,"yymm")&amp;"-"&amp;TEXT(COUNTIFS($B$3:$B1002,"&gt;="&amp;DATE(YEAR($B1002),MONTH($B1002),1),$B$3:$B1002,"&lt;="&amp;EOMONTH($B1002,0)),"000"))</f>
        <v/>
      </c>
      <c r="B1002" s="13"/>
      <c r="C1002" s="10"/>
      <c r="D1002" s="10"/>
      <c r="E1002" s="12" t="str">
        <f aca="false">IF($D1002="","",IFERROR(INDEX(품목목록!$B$3:$B$302,MATCH($D1002,품목목록!$A$3:$A$302,0)),"미등록품번"))</f>
        <v/>
      </c>
      <c r="F1002" s="12" t="str">
        <f aca="false">IF($D1002="","",IFERROR(INDEX(품목목록!$C$3:$C$302,MATCH($D1002,품목목록!$A$3:$A$302,0)),""))</f>
        <v/>
      </c>
      <c r="G1002" s="12" t="str">
        <f aca="false">IF($D1002="","",IFERROR(INDEX(품목목록!$D$3:$D$302,MATCH($D1002,품목목록!$A$3:$A$302,0)),""))</f>
        <v/>
      </c>
      <c r="H1002" s="12" t="str">
        <f aca="false">IF($D1002="","",IFERROR(INDEX(품목목록!$E$3:$E$302,MATCH($D1002,품목목록!$A$3:$A$302,0)),""))</f>
        <v/>
      </c>
      <c r="I1002" s="14"/>
      <c r="J1002" s="10"/>
      <c r="K1002" s="10"/>
      <c r="L1002" s="10"/>
      <c r="M1002" s="15" t="str">
        <f aca="false">IF($A1002="","",SUMIFS(처리내역!$E$3:$E$1502,처리내역!$B$3:$B$1502,$A1002))</f>
        <v/>
      </c>
      <c r="N1002" s="15" t="str">
        <f aca="false">IF($A1002="","",IF($I1002="","",$I1002-$M1002))</f>
        <v/>
      </c>
      <c r="O1002" s="12" t="str">
        <f aca="false">IF($A1002="","",IF($I1002="","",IF($M1002=0,"미처리",IF($N1002&lt;=0,"완료","부분처리"))))</f>
        <v/>
      </c>
    </row>
    <row r="1004" customFormat="false" ht="15" hidden="false" customHeight="true" outlineLevel="0" collapsed="false">
      <c r="A1004" s="6" t="s">
        <v>77</v>
      </c>
    </row>
  </sheetData>
  <mergeCells count="1">
    <mergeCell ref="A1:O1"/>
  </mergeCells>
  <conditionalFormatting sqref="A3:O1002">
    <cfRule type="expression" priority="2" aboveAverage="0" equalAverage="0" bottom="0" percent="0" rank="0" text="" dxfId="0">
      <formula>$O3="완료"</formula>
    </cfRule>
    <cfRule type="expression" priority="3" aboveAverage="0" equalAverage="0" bottom="0" percent="0" rank="0" text="" dxfId="1">
      <formula>AND($O3&lt;&gt;"완료",$O3&lt;&gt;"",TODAY()-$B3&gt;사용안내!$C$17)</formula>
    </cfRule>
    <cfRule type="expression" priority="4" aboveAverage="0" equalAverage="0" bottom="0" percent="0" rank="0" text="" dxfId="2">
      <formula>$O3="부분처리"</formula>
    </cfRule>
  </conditionalFormatting>
  <dataValidations count="4">
    <dataValidation allowBlank="true" errorStyle="stop" operator="between" showDropDown="false" showErrorMessage="false" showInputMessage="false" sqref="C3:C1002" type="list">
      <formula1>거래처목록!$A$3:$A$302</formula1>
      <formula2>0</formula2>
    </dataValidation>
    <dataValidation allowBlank="true" errorStyle="stop" operator="between" showDropDown="false" showErrorMessage="false" showInputMessage="false" sqref="D3:D1002" type="list">
      <formula1>품목목록!$A$3:$A$302</formula1>
      <formula2>0</formula2>
    </dataValidation>
    <dataValidation allowBlank="true" errorStyle="stop" operator="between" showDropDown="false" showErrorMessage="false" showInputMessage="false" sqref="J3:J1002" type="list">
      <formula1>"반품,불량,교환"</formula1>
      <formula2>0</formula2>
    </dataValidation>
    <dataValidation allowBlank="true" errorStyle="stop" operator="between" showDropDown="false" showErrorMessage="false" showInputMessage="false" sqref="K3:K1002" type="list">
      <formula1>"파손,오염,수량부족,규격상이,오배송,유통기한,고객변심,기타"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8" min="8" style="1" width="26"/>
  </cols>
  <sheetData>
    <row r="1" customFormat="false" ht="25.5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8" t="s">
        <v>79</v>
      </c>
      <c r="B2" s="8" t="s">
        <v>80</v>
      </c>
      <c r="C2" s="11" t="s">
        <v>67</v>
      </c>
      <c r="D2" s="8" t="s">
        <v>81</v>
      </c>
      <c r="E2" s="8" t="s">
        <v>82</v>
      </c>
      <c r="F2" s="8" t="s">
        <v>83</v>
      </c>
      <c r="G2" s="8" t="s">
        <v>84</v>
      </c>
      <c r="H2" s="8" t="s">
        <v>85</v>
      </c>
    </row>
    <row r="3" customFormat="false" ht="15" hidden="false" customHeight="true" outlineLevel="0" collapsed="false">
      <c r="A3" s="13" t="n">
        <v>46266</v>
      </c>
      <c r="B3" s="10" t="inlineStr">
        <is>
          <t>2608-001</t>
        </is>
      </c>
      <c r="C3" s="12" t="str">
        <f aca="false">IF($B3="","",IFERROR(INDEX(반품접수!$E$3:$E$1002,MATCH($B3,반품접수!$A$3:$A$1002,0)),"접수번호없음"))</f>
        <v>원단 롤</v>
      </c>
      <c r="D3" s="10" t="inlineStr">
        <is>
          <t>폐기</t>
        </is>
      </c>
      <c r="E3" s="14" t="n">
        <v>2</v>
      </c>
      <c r="F3" s="10" t="inlineStr">
        <is>
          <t>김검사</t>
        </is>
      </c>
      <c r="G3" s="16" t="n">
        <v>60000</v>
      </c>
      <c r="H3" s="10" t="inlineStr">
        <is>
          <t>← 예시 행입니다. 지우고 쓰세요.</t>
        </is>
      </c>
    </row>
    <row r="4" customFormat="false" ht="15" hidden="false" customHeight="true" outlineLevel="0" collapsed="false">
      <c r="A4" s="13" t="n">
        <v>46269</v>
      </c>
      <c r="B4" s="10" t="inlineStr">
        <is>
          <t>2609-001</t>
        </is>
      </c>
      <c r="C4" s="12" t="str">
        <f aca="false">IF($B4="","",IFERROR(INDEX(반품접수!$E$3:$E$1002,MATCH($B4,반품접수!$A$3:$A$1002,0)),"접수번호없음"))</f>
        <v>접착제</v>
      </c>
      <c r="D4" s="10" t="inlineStr">
        <is>
          <t>반송</t>
        </is>
      </c>
      <c r="E4" s="14" t="n">
        <v>2</v>
      </c>
      <c r="F4" s="10" t="inlineStr">
        <is>
          <t>김검사</t>
        </is>
      </c>
      <c r="G4" s="16" t="n">
        <v>30000</v>
      </c>
      <c r="H4" s="10"/>
    </row>
    <row r="5" customFormat="false" ht="15" hidden="false" customHeight="true" outlineLevel="0" collapsed="false">
      <c r="A5" s="13" t="n">
        <v>46273</v>
      </c>
      <c r="B5" s="10" t="inlineStr">
        <is>
          <t>2609-002</t>
        </is>
      </c>
      <c r="C5" s="12" t="str">
        <f aca="false">IF($B5="","",IFERROR(INDEX(반품접수!$E$3:$E$1002,MATCH($B5,반품접수!$A$3:$A$1002,0)),"접수번호없음"))</f>
        <v>포장박스</v>
      </c>
      <c r="D5" s="10" t="inlineStr">
        <is>
          <t>재입고</t>
        </is>
      </c>
      <c r="E5" s="14" t="n">
        <v>30</v>
      </c>
      <c r="F5" s="10" t="inlineStr">
        <is>
          <t>이검사</t>
        </is>
      </c>
      <c r="G5" s="16"/>
      <c r="H5" s="10"/>
    </row>
    <row r="6" customFormat="false" ht="15" hidden="false" customHeight="true" outlineLevel="0" collapsed="false">
      <c r="A6" s="13" t="n">
        <v>46273</v>
      </c>
      <c r="B6" s="10" t="inlineStr">
        <is>
          <t>2609-002</t>
        </is>
      </c>
      <c r="C6" s="12" t="str">
        <f aca="false">IF($B6="","",IFERROR(INDEX(반품접수!$E$3:$E$1002,MATCH($B6,반품접수!$A$3:$A$1002,0)),"접수번호없음"))</f>
        <v>포장박스</v>
      </c>
      <c r="D6" s="10" t="inlineStr">
        <is>
          <t>폐기</t>
        </is>
      </c>
      <c r="E6" s="14" t="n">
        <v>20</v>
      </c>
      <c r="F6" s="10" t="inlineStr">
        <is>
          <t>이검사</t>
        </is>
      </c>
      <c r="G6" s="16" t="n">
        <v>40000</v>
      </c>
      <c r="H6" s="10"/>
    </row>
    <row r="7" customFormat="false" ht="15" hidden="false" customHeight="true" outlineLevel="0" collapsed="false">
      <c r="A7" s="13"/>
      <c r="B7" s="10"/>
      <c r="C7" s="12" t="str">
        <f aca="false">IF($B7="","",IFERROR(INDEX(반품접수!$E$3:$E$1002,MATCH($B7,반품접수!$A$3:$A$1002,0)),"접수번호없음"))</f>
        <v/>
      </c>
      <c r="D7" s="10"/>
      <c r="E7" s="14"/>
      <c r="F7" s="10"/>
      <c r="G7" s="16"/>
      <c r="H7" s="10"/>
    </row>
    <row r="8" customFormat="false" ht="15" hidden="false" customHeight="true" outlineLevel="0" collapsed="false">
      <c r="A8" s="13"/>
      <c r="B8" s="10"/>
      <c r="C8" s="12" t="str">
        <f aca="false">IF($B8="","",IFERROR(INDEX(반품접수!$E$3:$E$1002,MATCH($B8,반품접수!$A$3:$A$1002,0)),"접수번호없음"))</f>
        <v/>
      </c>
      <c r="D8" s="10"/>
      <c r="E8" s="14"/>
      <c r="F8" s="10"/>
      <c r="G8" s="16"/>
      <c r="H8" s="10"/>
    </row>
    <row r="9" customFormat="false" ht="15" hidden="false" customHeight="true" outlineLevel="0" collapsed="false">
      <c r="A9" s="13"/>
      <c r="B9" s="10"/>
      <c r="C9" s="12" t="str">
        <f aca="false">IF($B9="","",IFERROR(INDEX(반품접수!$E$3:$E$1002,MATCH($B9,반품접수!$A$3:$A$1002,0)),"접수번호없음"))</f>
        <v/>
      </c>
      <c r="D9" s="10"/>
      <c r="E9" s="14"/>
      <c r="F9" s="10"/>
      <c r="G9" s="16"/>
      <c r="H9" s="10"/>
    </row>
    <row r="10" customFormat="false" ht="15" hidden="false" customHeight="true" outlineLevel="0" collapsed="false">
      <c r="A10" s="13"/>
      <c r="B10" s="10"/>
      <c r="C10" s="12" t="str">
        <f aca="false">IF($B10="","",IFERROR(INDEX(반품접수!$E$3:$E$1002,MATCH($B10,반품접수!$A$3:$A$1002,0)),"접수번호없음"))</f>
        <v/>
      </c>
      <c r="D10" s="10"/>
      <c r="E10" s="14"/>
      <c r="F10" s="10"/>
      <c r="G10" s="16"/>
      <c r="H10" s="10"/>
    </row>
    <row r="11" customFormat="false" ht="15" hidden="false" customHeight="true" outlineLevel="0" collapsed="false">
      <c r="A11" s="13"/>
      <c r="B11" s="10"/>
      <c r="C11" s="12" t="str">
        <f aca="false">IF($B11="","",IFERROR(INDEX(반품접수!$E$3:$E$1002,MATCH($B11,반품접수!$A$3:$A$1002,0)),"접수번호없음"))</f>
        <v/>
      </c>
      <c r="D11" s="10"/>
      <c r="E11" s="14"/>
      <c r="F11" s="10"/>
      <c r="G11" s="16"/>
      <c r="H11" s="10"/>
    </row>
    <row r="12" customFormat="false" ht="15" hidden="false" customHeight="true" outlineLevel="0" collapsed="false">
      <c r="A12" s="13"/>
      <c r="B12" s="10"/>
      <c r="C12" s="12" t="str">
        <f aca="false">IF($B12="","",IFERROR(INDEX(반품접수!$E$3:$E$1002,MATCH($B12,반품접수!$A$3:$A$1002,0)),"접수번호없음"))</f>
        <v/>
      </c>
      <c r="D12" s="10"/>
      <c r="E12" s="14"/>
      <c r="F12" s="10"/>
      <c r="G12" s="16"/>
      <c r="H12" s="10"/>
    </row>
    <row r="13" customFormat="false" ht="15" hidden="false" customHeight="true" outlineLevel="0" collapsed="false">
      <c r="A13" s="13"/>
      <c r="B13" s="10"/>
      <c r="C13" s="12" t="str">
        <f aca="false">IF($B13="","",IFERROR(INDEX(반품접수!$E$3:$E$1002,MATCH($B13,반품접수!$A$3:$A$1002,0)),"접수번호없음"))</f>
        <v/>
      </c>
      <c r="D13" s="10"/>
      <c r="E13" s="14"/>
      <c r="F13" s="10"/>
      <c r="G13" s="16"/>
      <c r="H13" s="10"/>
    </row>
    <row r="14" customFormat="false" ht="15" hidden="false" customHeight="true" outlineLevel="0" collapsed="false">
      <c r="A14" s="13"/>
      <c r="B14" s="10"/>
      <c r="C14" s="12" t="str">
        <f aca="false">IF($B14="","",IFERROR(INDEX(반품접수!$E$3:$E$1002,MATCH($B14,반품접수!$A$3:$A$1002,0)),"접수번호없음"))</f>
        <v/>
      </c>
      <c r="D14" s="10"/>
      <c r="E14" s="14"/>
      <c r="F14" s="10"/>
      <c r="G14" s="16"/>
      <c r="H14" s="10"/>
    </row>
    <row r="15" customFormat="false" ht="15" hidden="false" customHeight="true" outlineLevel="0" collapsed="false">
      <c r="A15" s="13"/>
      <c r="B15" s="10"/>
      <c r="C15" s="12" t="str">
        <f aca="false">IF($B15="","",IFERROR(INDEX(반품접수!$E$3:$E$1002,MATCH($B15,반품접수!$A$3:$A$1002,0)),"접수번호없음"))</f>
        <v/>
      </c>
      <c r="D15" s="10"/>
      <c r="E15" s="14"/>
      <c r="F15" s="10"/>
      <c r="G15" s="16"/>
      <c r="H15" s="10"/>
    </row>
    <row r="16" customFormat="false" ht="15" hidden="false" customHeight="true" outlineLevel="0" collapsed="false">
      <c r="A16" s="13"/>
      <c r="B16" s="10"/>
      <c r="C16" s="12" t="str">
        <f aca="false">IF($B16="","",IFERROR(INDEX(반품접수!$E$3:$E$1002,MATCH($B16,반품접수!$A$3:$A$1002,0)),"접수번호없음"))</f>
        <v/>
      </c>
      <c r="D16" s="10"/>
      <c r="E16" s="14"/>
      <c r="F16" s="10"/>
      <c r="G16" s="16"/>
      <c r="H16" s="10"/>
    </row>
    <row r="17" customFormat="false" ht="15" hidden="false" customHeight="true" outlineLevel="0" collapsed="false">
      <c r="A17" s="13"/>
      <c r="B17" s="10"/>
      <c r="C17" s="12" t="str">
        <f aca="false">IF($B17="","",IFERROR(INDEX(반품접수!$E$3:$E$1002,MATCH($B17,반품접수!$A$3:$A$1002,0)),"접수번호없음"))</f>
        <v/>
      </c>
      <c r="D17" s="10"/>
      <c r="E17" s="14"/>
      <c r="F17" s="10"/>
      <c r="G17" s="16"/>
      <c r="H17" s="10"/>
    </row>
    <row r="18" customFormat="false" ht="15" hidden="false" customHeight="true" outlineLevel="0" collapsed="false">
      <c r="A18" s="13"/>
      <c r="B18" s="10"/>
      <c r="C18" s="12" t="str">
        <f aca="false">IF($B18="","",IFERROR(INDEX(반품접수!$E$3:$E$1002,MATCH($B18,반품접수!$A$3:$A$1002,0)),"접수번호없음"))</f>
        <v/>
      </c>
      <c r="D18" s="10"/>
      <c r="E18" s="14"/>
      <c r="F18" s="10"/>
      <c r="G18" s="16"/>
      <c r="H18" s="10"/>
    </row>
    <row r="19" customFormat="false" ht="15" hidden="false" customHeight="true" outlineLevel="0" collapsed="false">
      <c r="A19" s="13"/>
      <c r="B19" s="10"/>
      <c r="C19" s="12" t="str">
        <f aca="false">IF($B19="","",IFERROR(INDEX(반품접수!$E$3:$E$1002,MATCH($B19,반품접수!$A$3:$A$1002,0)),"접수번호없음"))</f>
        <v/>
      </c>
      <c r="D19" s="10"/>
      <c r="E19" s="14"/>
      <c r="F19" s="10"/>
      <c r="G19" s="16"/>
      <c r="H19" s="10"/>
    </row>
    <row r="20" customFormat="false" ht="15" hidden="false" customHeight="true" outlineLevel="0" collapsed="false">
      <c r="A20" s="13"/>
      <c r="B20" s="10"/>
      <c r="C20" s="12" t="str">
        <f aca="false">IF($B20="","",IFERROR(INDEX(반품접수!$E$3:$E$1002,MATCH($B20,반품접수!$A$3:$A$1002,0)),"접수번호없음"))</f>
        <v/>
      </c>
      <c r="D20" s="10"/>
      <c r="E20" s="14"/>
      <c r="F20" s="10"/>
      <c r="G20" s="16"/>
      <c r="H20" s="10"/>
    </row>
    <row r="21" customFormat="false" ht="15" hidden="false" customHeight="true" outlineLevel="0" collapsed="false">
      <c r="A21" s="13"/>
      <c r="B21" s="10"/>
      <c r="C21" s="12" t="str">
        <f aca="false">IF($B21="","",IFERROR(INDEX(반품접수!$E$3:$E$1002,MATCH($B21,반품접수!$A$3:$A$1002,0)),"접수번호없음"))</f>
        <v/>
      </c>
      <c r="D21" s="10"/>
      <c r="E21" s="14"/>
      <c r="F21" s="10"/>
      <c r="G21" s="16"/>
      <c r="H21" s="10"/>
    </row>
    <row r="22" customFormat="false" ht="15" hidden="false" customHeight="true" outlineLevel="0" collapsed="false">
      <c r="A22" s="13"/>
      <c r="B22" s="10"/>
      <c r="C22" s="12" t="str">
        <f aca="false">IF($B22="","",IFERROR(INDEX(반품접수!$E$3:$E$1002,MATCH($B22,반품접수!$A$3:$A$1002,0)),"접수번호없음"))</f>
        <v/>
      </c>
      <c r="D22" s="10"/>
      <c r="E22" s="14"/>
      <c r="F22" s="10"/>
      <c r="G22" s="16"/>
      <c r="H22" s="10"/>
    </row>
    <row r="23" customFormat="false" ht="15" hidden="false" customHeight="true" outlineLevel="0" collapsed="false">
      <c r="A23" s="13"/>
      <c r="B23" s="10"/>
      <c r="C23" s="12" t="str">
        <f aca="false">IF($B23="","",IFERROR(INDEX(반품접수!$E$3:$E$1002,MATCH($B23,반품접수!$A$3:$A$1002,0)),"접수번호없음"))</f>
        <v/>
      </c>
      <c r="D23" s="10"/>
      <c r="E23" s="14"/>
      <c r="F23" s="10"/>
      <c r="G23" s="16"/>
      <c r="H23" s="10"/>
    </row>
    <row r="24" customFormat="false" ht="15" hidden="false" customHeight="true" outlineLevel="0" collapsed="false">
      <c r="A24" s="13"/>
      <c r="B24" s="10"/>
      <c r="C24" s="12" t="str">
        <f aca="false">IF($B24="","",IFERROR(INDEX(반품접수!$E$3:$E$1002,MATCH($B24,반품접수!$A$3:$A$1002,0)),"접수번호없음"))</f>
        <v/>
      </c>
      <c r="D24" s="10"/>
      <c r="E24" s="14"/>
      <c r="F24" s="10"/>
      <c r="G24" s="16"/>
      <c r="H24" s="10"/>
    </row>
    <row r="25" customFormat="false" ht="15" hidden="false" customHeight="true" outlineLevel="0" collapsed="false">
      <c r="A25" s="13"/>
      <c r="B25" s="10"/>
      <c r="C25" s="12" t="str">
        <f aca="false">IF($B25="","",IFERROR(INDEX(반품접수!$E$3:$E$1002,MATCH($B25,반품접수!$A$3:$A$1002,0)),"접수번호없음"))</f>
        <v/>
      </c>
      <c r="D25" s="10"/>
      <c r="E25" s="14"/>
      <c r="F25" s="10"/>
      <c r="G25" s="16"/>
      <c r="H25" s="10"/>
    </row>
    <row r="26" customFormat="false" ht="15" hidden="false" customHeight="true" outlineLevel="0" collapsed="false">
      <c r="A26" s="13"/>
      <c r="B26" s="10"/>
      <c r="C26" s="12" t="str">
        <f aca="false">IF($B26="","",IFERROR(INDEX(반품접수!$E$3:$E$1002,MATCH($B26,반품접수!$A$3:$A$1002,0)),"접수번호없음"))</f>
        <v/>
      </c>
      <c r="D26" s="10"/>
      <c r="E26" s="14"/>
      <c r="F26" s="10"/>
      <c r="G26" s="16"/>
      <c r="H26" s="10"/>
    </row>
    <row r="27" customFormat="false" ht="15" hidden="false" customHeight="true" outlineLevel="0" collapsed="false">
      <c r="A27" s="13"/>
      <c r="B27" s="10"/>
      <c r="C27" s="12" t="str">
        <f aca="false">IF($B27="","",IFERROR(INDEX(반품접수!$E$3:$E$1002,MATCH($B27,반품접수!$A$3:$A$1002,0)),"접수번호없음"))</f>
        <v/>
      </c>
      <c r="D27" s="10"/>
      <c r="E27" s="14"/>
      <c r="F27" s="10"/>
      <c r="G27" s="16"/>
      <c r="H27" s="10"/>
    </row>
    <row r="28" customFormat="false" ht="15" hidden="false" customHeight="true" outlineLevel="0" collapsed="false">
      <c r="A28" s="13"/>
      <c r="B28" s="10"/>
      <c r="C28" s="12" t="str">
        <f aca="false">IF($B28="","",IFERROR(INDEX(반품접수!$E$3:$E$1002,MATCH($B28,반품접수!$A$3:$A$1002,0)),"접수번호없음"))</f>
        <v/>
      </c>
      <c r="D28" s="10"/>
      <c r="E28" s="14"/>
      <c r="F28" s="10"/>
      <c r="G28" s="16"/>
      <c r="H28" s="10"/>
    </row>
    <row r="29" customFormat="false" ht="15" hidden="false" customHeight="true" outlineLevel="0" collapsed="false">
      <c r="A29" s="13"/>
      <c r="B29" s="10"/>
      <c r="C29" s="12" t="str">
        <f aca="false">IF($B29="","",IFERROR(INDEX(반품접수!$E$3:$E$1002,MATCH($B29,반품접수!$A$3:$A$1002,0)),"접수번호없음"))</f>
        <v/>
      </c>
      <c r="D29" s="10"/>
      <c r="E29" s="14"/>
      <c r="F29" s="10"/>
      <c r="G29" s="16"/>
      <c r="H29" s="10"/>
    </row>
    <row r="30" customFormat="false" ht="15" hidden="false" customHeight="true" outlineLevel="0" collapsed="false">
      <c r="A30" s="13"/>
      <c r="B30" s="10"/>
      <c r="C30" s="12" t="str">
        <f aca="false">IF($B30="","",IFERROR(INDEX(반품접수!$E$3:$E$1002,MATCH($B30,반품접수!$A$3:$A$1002,0)),"접수번호없음"))</f>
        <v/>
      </c>
      <c r="D30" s="10"/>
      <c r="E30" s="14"/>
      <c r="F30" s="10"/>
      <c r="G30" s="16"/>
      <c r="H30" s="10"/>
    </row>
    <row r="31" customFormat="false" ht="15" hidden="false" customHeight="true" outlineLevel="0" collapsed="false">
      <c r="A31" s="13"/>
      <c r="B31" s="10"/>
      <c r="C31" s="12" t="str">
        <f aca="false">IF($B31="","",IFERROR(INDEX(반품접수!$E$3:$E$1002,MATCH($B31,반품접수!$A$3:$A$1002,0)),"접수번호없음"))</f>
        <v/>
      </c>
      <c r="D31" s="10"/>
      <c r="E31" s="14"/>
      <c r="F31" s="10"/>
      <c r="G31" s="16"/>
      <c r="H31" s="10"/>
    </row>
    <row r="32" customFormat="false" ht="15" hidden="false" customHeight="true" outlineLevel="0" collapsed="false">
      <c r="A32" s="13"/>
      <c r="B32" s="10"/>
      <c r="C32" s="12" t="str">
        <f aca="false">IF($B32="","",IFERROR(INDEX(반품접수!$E$3:$E$1002,MATCH($B32,반품접수!$A$3:$A$1002,0)),"접수번호없음"))</f>
        <v/>
      </c>
      <c r="D32" s="10"/>
      <c r="E32" s="14"/>
      <c r="F32" s="10"/>
      <c r="G32" s="16"/>
      <c r="H32" s="10"/>
    </row>
    <row r="33" customFormat="false" ht="15" hidden="false" customHeight="true" outlineLevel="0" collapsed="false">
      <c r="A33" s="13"/>
      <c r="B33" s="10"/>
      <c r="C33" s="12" t="str">
        <f aca="false">IF($B33="","",IFERROR(INDEX(반품접수!$E$3:$E$1002,MATCH($B33,반품접수!$A$3:$A$1002,0)),"접수번호없음"))</f>
        <v/>
      </c>
      <c r="D33" s="10"/>
      <c r="E33" s="14"/>
      <c r="F33" s="10"/>
      <c r="G33" s="16"/>
      <c r="H33" s="10"/>
    </row>
    <row r="34" customFormat="false" ht="15" hidden="false" customHeight="true" outlineLevel="0" collapsed="false">
      <c r="A34" s="13"/>
      <c r="B34" s="10"/>
      <c r="C34" s="12" t="str">
        <f aca="false">IF($B34="","",IFERROR(INDEX(반품접수!$E$3:$E$1002,MATCH($B34,반품접수!$A$3:$A$1002,0)),"접수번호없음"))</f>
        <v/>
      </c>
      <c r="D34" s="10"/>
      <c r="E34" s="14"/>
      <c r="F34" s="10"/>
      <c r="G34" s="16"/>
      <c r="H34" s="10"/>
    </row>
    <row r="35" customFormat="false" ht="15" hidden="false" customHeight="true" outlineLevel="0" collapsed="false">
      <c r="A35" s="13"/>
      <c r="B35" s="10"/>
      <c r="C35" s="12" t="str">
        <f aca="false">IF($B35="","",IFERROR(INDEX(반품접수!$E$3:$E$1002,MATCH($B35,반품접수!$A$3:$A$1002,0)),"접수번호없음"))</f>
        <v/>
      </c>
      <c r="D35" s="10"/>
      <c r="E35" s="14"/>
      <c r="F35" s="10"/>
      <c r="G35" s="16"/>
      <c r="H35" s="10"/>
    </row>
    <row r="36" customFormat="false" ht="15" hidden="false" customHeight="true" outlineLevel="0" collapsed="false">
      <c r="A36" s="13"/>
      <c r="B36" s="10"/>
      <c r="C36" s="12" t="str">
        <f aca="false">IF($B36="","",IFERROR(INDEX(반품접수!$E$3:$E$1002,MATCH($B36,반품접수!$A$3:$A$1002,0)),"접수번호없음"))</f>
        <v/>
      </c>
      <c r="D36" s="10"/>
      <c r="E36" s="14"/>
      <c r="F36" s="10"/>
      <c r="G36" s="16"/>
      <c r="H36" s="10"/>
    </row>
    <row r="37" customFormat="false" ht="15" hidden="false" customHeight="true" outlineLevel="0" collapsed="false">
      <c r="A37" s="13"/>
      <c r="B37" s="10"/>
      <c r="C37" s="12" t="str">
        <f aca="false">IF($B37="","",IFERROR(INDEX(반품접수!$E$3:$E$1002,MATCH($B37,반품접수!$A$3:$A$1002,0)),"접수번호없음"))</f>
        <v/>
      </c>
      <c r="D37" s="10"/>
      <c r="E37" s="14"/>
      <c r="F37" s="10"/>
      <c r="G37" s="16"/>
      <c r="H37" s="10"/>
    </row>
    <row r="38" customFormat="false" ht="15" hidden="false" customHeight="true" outlineLevel="0" collapsed="false">
      <c r="A38" s="13"/>
      <c r="B38" s="10"/>
      <c r="C38" s="12" t="str">
        <f aca="false">IF($B38="","",IFERROR(INDEX(반품접수!$E$3:$E$1002,MATCH($B38,반품접수!$A$3:$A$1002,0)),"접수번호없음"))</f>
        <v/>
      </c>
      <c r="D38" s="10"/>
      <c r="E38" s="14"/>
      <c r="F38" s="10"/>
      <c r="G38" s="16"/>
      <c r="H38" s="10"/>
    </row>
    <row r="39" customFormat="false" ht="15" hidden="false" customHeight="true" outlineLevel="0" collapsed="false">
      <c r="A39" s="13"/>
      <c r="B39" s="10"/>
      <c r="C39" s="12" t="str">
        <f aca="false">IF($B39="","",IFERROR(INDEX(반품접수!$E$3:$E$1002,MATCH($B39,반품접수!$A$3:$A$1002,0)),"접수번호없음"))</f>
        <v/>
      </c>
      <c r="D39" s="10"/>
      <c r="E39" s="14"/>
      <c r="F39" s="10"/>
      <c r="G39" s="16"/>
      <c r="H39" s="10"/>
    </row>
    <row r="40" customFormat="false" ht="15" hidden="false" customHeight="true" outlineLevel="0" collapsed="false">
      <c r="A40" s="13"/>
      <c r="B40" s="10"/>
      <c r="C40" s="12" t="str">
        <f aca="false">IF($B40="","",IFERROR(INDEX(반품접수!$E$3:$E$1002,MATCH($B40,반품접수!$A$3:$A$1002,0)),"접수번호없음"))</f>
        <v/>
      </c>
      <c r="D40" s="10"/>
      <c r="E40" s="14"/>
      <c r="F40" s="10"/>
      <c r="G40" s="16"/>
      <c r="H40" s="10"/>
    </row>
    <row r="41" customFormat="false" ht="15" hidden="false" customHeight="true" outlineLevel="0" collapsed="false">
      <c r="A41" s="13"/>
      <c r="B41" s="10"/>
      <c r="C41" s="12" t="str">
        <f aca="false">IF($B41="","",IFERROR(INDEX(반품접수!$E$3:$E$1002,MATCH($B41,반품접수!$A$3:$A$1002,0)),"접수번호없음"))</f>
        <v/>
      </c>
      <c r="D41" s="10"/>
      <c r="E41" s="14"/>
      <c r="F41" s="10"/>
      <c r="G41" s="16"/>
      <c r="H41" s="10"/>
    </row>
    <row r="42" customFormat="false" ht="15" hidden="false" customHeight="true" outlineLevel="0" collapsed="false">
      <c r="A42" s="13"/>
      <c r="B42" s="10"/>
      <c r="C42" s="12" t="str">
        <f aca="false">IF($B42="","",IFERROR(INDEX(반품접수!$E$3:$E$1002,MATCH($B42,반품접수!$A$3:$A$1002,0)),"접수번호없음"))</f>
        <v/>
      </c>
      <c r="D42" s="10"/>
      <c r="E42" s="14"/>
      <c r="F42" s="10"/>
      <c r="G42" s="16"/>
      <c r="H42" s="10"/>
    </row>
    <row r="43" customFormat="false" ht="15" hidden="false" customHeight="true" outlineLevel="0" collapsed="false">
      <c r="A43" s="13"/>
      <c r="B43" s="10"/>
      <c r="C43" s="12" t="str">
        <f aca="false">IF($B43="","",IFERROR(INDEX(반품접수!$E$3:$E$1002,MATCH($B43,반품접수!$A$3:$A$1002,0)),"접수번호없음"))</f>
        <v/>
      </c>
      <c r="D43" s="10"/>
      <c r="E43" s="14"/>
      <c r="F43" s="10"/>
      <c r="G43" s="16"/>
      <c r="H43" s="10"/>
    </row>
    <row r="44" customFormat="false" ht="15" hidden="false" customHeight="true" outlineLevel="0" collapsed="false">
      <c r="A44" s="13"/>
      <c r="B44" s="10"/>
      <c r="C44" s="12" t="str">
        <f aca="false">IF($B44="","",IFERROR(INDEX(반품접수!$E$3:$E$1002,MATCH($B44,반품접수!$A$3:$A$1002,0)),"접수번호없음"))</f>
        <v/>
      </c>
      <c r="D44" s="10"/>
      <c r="E44" s="14"/>
      <c r="F44" s="10"/>
      <c r="G44" s="16"/>
      <c r="H44" s="10"/>
    </row>
    <row r="45" customFormat="false" ht="15" hidden="false" customHeight="true" outlineLevel="0" collapsed="false">
      <c r="A45" s="13"/>
      <c r="B45" s="10"/>
      <c r="C45" s="12" t="str">
        <f aca="false">IF($B45="","",IFERROR(INDEX(반품접수!$E$3:$E$1002,MATCH($B45,반품접수!$A$3:$A$1002,0)),"접수번호없음"))</f>
        <v/>
      </c>
      <c r="D45" s="10"/>
      <c r="E45" s="14"/>
      <c r="F45" s="10"/>
      <c r="G45" s="16"/>
      <c r="H45" s="10"/>
    </row>
    <row r="46" customFormat="false" ht="15" hidden="false" customHeight="true" outlineLevel="0" collapsed="false">
      <c r="A46" s="13"/>
      <c r="B46" s="10"/>
      <c r="C46" s="12" t="str">
        <f aca="false">IF($B46="","",IFERROR(INDEX(반품접수!$E$3:$E$1002,MATCH($B46,반품접수!$A$3:$A$1002,0)),"접수번호없음"))</f>
        <v/>
      </c>
      <c r="D46" s="10"/>
      <c r="E46" s="14"/>
      <c r="F46" s="10"/>
      <c r="G46" s="16"/>
      <c r="H46" s="10"/>
    </row>
    <row r="47" customFormat="false" ht="15" hidden="false" customHeight="true" outlineLevel="0" collapsed="false">
      <c r="A47" s="13"/>
      <c r="B47" s="10"/>
      <c r="C47" s="12" t="str">
        <f aca="false">IF($B47="","",IFERROR(INDEX(반품접수!$E$3:$E$1002,MATCH($B47,반품접수!$A$3:$A$1002,0)),"접수번호없음"))</f>
        <v/>
      </c>
      <c r="D47" s="10"/>
      <c r="E47" s="14"/>
      <c r="F47" s="10"/>
      <c r="G47" s="16"/>
      <c r="H47" s="10"/>
    </row>
    <row r="48" customFormat="false" ht="15" hidden="false" customHeight="true" outlineLevel="0" collapsed="false">
      <c r="A48" s="13"/>
      <c r="B48" s="10"/>
      <c r="C48" s="12" t="str">
        <f aca="false">IF($B48="","",IFERROR(INDEX(반품접수!$E$3:$E$1002,MATCH($B48,반품접수!$A$3:$A$1002,0)),"접수번호없음"))</f>
        <v/>
      </c>
      <c r="D48" s="10"/>
      <c r="E48" s="14"/>
      <c r="F48" s="10"/>
      <c r="G48" s="16"/>
      <c r="H48" s="10"/>
    </row>
    <row r="49" customFormat="false" ht="15" hidden="false" customHeight="true" outlineLevel="0" collapsed="false">
      <c r="A49" s="13"/>
      <c r="B49" s="10"/>
      <c r="C49" s="12" t="str">
        <f aca="false">IF($B49="","",IFERROR(INDEX(반품접수!$E$3:$E$1002,MATCH($B49,반품접수!$A$3:$A$1002,0)),"접수번호없음"))</f>
        <v/>
      </c>
      <c r="D49" s="10"/>
      <c r="E49" s="14"/>
      <c r="F49" s="10"/>
      <c r="G49" s="16"/>
      <c r="H49" s="10"/>
    </row>
    <row r="50" customFormat="false" ht="15" hidden="false" customHeight="true" outlineLevel="0" collapsed="false">
      <c r="A50" s="13"/>
      <c r="B50" s="10"/>
      <c r="C50" s="12" t="str">
        <f aca="false">IF($B50="","",IFERROR(INDEX(반품접수!$E$3:$E$1002,MATCH($B50,반품접수!$A$3:$A$1002,0)),"접수번호없음"))</f>
        <v/>
      </c>
      <c r="D50" s="10"/>
      <c r="E50" s="14"/>
      <c r="F50" s="10"/>
      <c r="G50" s="16"/>
      <c r="H50" s="10"/>
    </row>
    <row r="51" customFormat="false" ht="15" hidden="false" customHeight="true" outlineLevel="0" collapsed="false">
      <c r="A51" s="13"/>
      <c r="B51" s="10"/>
      <c r="C51" s="12" t="str">
        <f aca="false">IF($B51="","",IFERROR(INDEX(반품접수!$E$3:$E$1002,MATCH($B51,반품접수!$A$3:$A$1002,0)),"접수번호없음"))</f>
        <v/>
      </c>
      <c r="D51" s="10"/>
      <c r="E51" s="14"/>
      <c r="F51" s="10"/>
      <c r="G51" s="16"/>
      <c r="H51" s="10"/>
    </row>
    <row r="52" customFormat="false" ht="15" hidden="false" customHeight="true" outlineLevel="0" collapsed="false">
      <c r="A52" s="13"/>
      <c r="B52" s="10"/>
      <c r="C52" s="12" t="str">
        <f aca="false">IF($B52="","",IFERROR(INDEX(반품접수!$E$3:$E$1002,MATCH($B52,반품접수!$A$3:$A$1002,0)),"접수번호없음"))</f>
        <v/>
      </c>
      <c r="D52" s="10"/>
      <c r="E52" s="14"/>
      <c r="F52" s="10"/>
      <c r="G52" s="16"/>
      <c r="H52" s="10"/>
    </row>
    <row r="53" customFormat="false" ht="15" hidden="false" customHeight="true" outlineLevel="0" collapsed="false">
      <c r="A53" s="13"/>
      <c r="B53" s="10"/>
      <c r="C53" s="12" t="str">
        <f aca="false">IF($B53="","",IFERROR(INDEX(반품접수!$E$3:$E$1002,MATCH($B53,반품접수!$A$3:$A$1002,0)),"접수번호없음"))</f>
        <v/>
      </c>
      <c r="D53" s="10"/>
      <c r="E53" s="14"/>
      <c r="F53" s="10"/>
      <c r="G53" s="16"/>
      <c r="H53" s="10"/>
    </row>
    <row r="54" customFormat="false" ht="15" hidden="false" customHeight="true" outlineLevel="0" collapsed="false">
      <c r="A54" s="13"/>
      <c r="B54" s="10"/>
      <c r="C54" s="12" t="str">
        <f aca="false">IF($B54="","",IFERROR(INDEX(반품접수!$E$3:$E$1002,MATCH($B54,반품접수!$A$3:$A$1002,0)),"접수번호없음"))</f>
        <v/>
      </c>
      <c r="D54" s="10"/>
      <c r="E54" s="14"/>
      <c r="F54" s="10"/>
      <c r="G54" s="16"/>
      <c r="H54" s="10"/>
    </row>
    <row r="55" customFormat="false" ht="15" hidden="false" customHeight="true" outlineLevel="0" collapsed="false">
      <c r="A55" s="13"/>
      <c r="B55" s="10"/>
      <c r="C55" s="12" t="str">
        <f aca="false">IF($B55="","",IFERROR(INDEX(반품접수!$E$3:$E$1002,MATCH($B55,반품접수!$A$3:$A$1002,0)),"접수번호없음"))</f>
        <v/>
      </c>
      <c r="D55" s="10"/>
      <c r="E55" s="14"/>
      <c r="F55" s="10"/>
      <c r="G55" s="16"/>
      <c r="H55" s="10"/>
    </row>
    <row r="56" customFormat="false" ht="15" hidden="false" customHeight="true" outlineLevel="0" collapsed="false">
      <c r="A56" s="13"/>
      <c r="B56" s="10"/>
      <c r="C56" s="12" t="str">
        <f aca="false">IF($B56="","",IFERROR(INDEX(반품접수!$E$3:$E$1002,MATCH($B56,반품접수!$A$3:$A$1002,0)),"접수번호없음"))</f>
        <v/>
      </c>
      <c r="D56" s="10"/>
      <c r="E56" s="14"/>
      <c r="F56" s="10"/>
      <c r="G56" s="16"/>
      <c r="H56" s="10"/>
    </row>
    <row r="57" customFormat="false" ht="15" hidden="false" customHeight="true" outlineLevel="0" collapsed="false">
      <c r="A57" s="13"/>
      <c r="B57" s="10"/>
      <c r="C57" s="12" t="str">
        <f aca="false">IF($B57="","",IFERROR(INDEX(반품접수!$E$3:$E$1002,MATCH($B57,반품접수!$A$3:$A$1002,0)),"접수번호없음"))</f>
        <v/>
      </c>
      <c r="D57" s="10"/>
      <c r="E57" s="14"/>
      <c r="F57" s="10"/>
      <c r="G57" s="16"/>
      <c r="H57" s="10"/>
    </row>
    <row r="58" customFormat="false" ht="15" hidden="false" customHeight="true" outlineLevel="0" collapsed="false">
      <c r="A58" s="13"/>
      <c r="B58" s="10"/>
      <c r="C58" s="12" t="str">
        <f aca="false">IF($B58="","",IFERROR(INDEX(반품접수!$E$3:$E$1002,MATCH($B58,반품접수!$A$3:$A$1002,0)),"접수번호없음"))</f>
        <v/>
      </c>
      <c r="D58" s="10"/>
      <c r="E58" s="14"/>
      <c r="F58" s="10"/>
      <c r="G58" s="16"/>
      <c r="H58" s="10"/>
    </row>
    <row r="59" customFormat="false" ht="15" hidden="false" customHeight="true" outlineLevel="0" collapsed="false">
      <c r="A59" s="13"/>
      <c r="B59" s="10"/>
      <c r="C59" s="12" t="str">
        <f aca="false">IF($B59="","",IFERROR(INDEX(반품접수!$E$3:$E$1002,MATCH($B59,반품접수!$A$3:$A$1002,0)),"접수번호없음"))</f>
        <v/>
      </c>
      <c r="D59" s="10"/>
      <c r="E59" s="14"/>
      <c r="F59" s="10"/>
      <c r="G59" s="16"/>
      <c r="H59" s="10"/>
    </row>
    <row r="60" customFormat="false" ht="15" hidden="false" customHeight="true" outlineLevel="0" collapsed="false">
      <c r="A60" s="13"/>
      <c r="B60" s="10"/>
      <c r="C60" s="12" t="str">
        <f aca="false">IF($B60="","",IFERROR(INDEX(반품접수!$E$3:$E$1002,MATCH($B60,반품접수!$A$3:$A$1002,0)),"접수번호없음"))</f>
        <v/>
      </c>
      <c r="D60" s="10"/>
      <c r="E60" s="14"/>
      <c r="F60" s="10"/>
      <c r="G60" s="16"/>
      <c r="H60" s="10"/>
    </row>
    <row r="61" customFormat="false" ht="15" hidden="false" customHeight="true" outlineLevel="0" collapsed="false">
      <c r="A61" s="13"/>
      <c r="B61" s="10"/>
      <c r="C61" s="12" t="str">
        <f aca="false">IF($B61="","",IFERROR(INDEX(반품접수!$E$3:$E$1002,MATCH($B61,반품접수!$A$3:$A$1002,0)),"접수번호없음"))</f>
        <v/>
      </c>
      <c r="D61" s="10"/>
      <c r="E61" s="14"/>
      <c r="F61" s="10"/>
      <c r="G61" s="16"/>
      <c r="H61" s="10"/>
    </row>
    <row r="62" customFormat="false" ht="15" hidden="false" customHeight="true" outlineLevel="0" collapsed="false">
      <c r="A62" s="13"/>
      <c r="B62" s="10"/>
      <c r="C62" s="12" t="str">
        <f aca="false">IF($B62="","",IFERROR(INDEX(반품접수!$E$3:$E$1002,MATCH($B62,반품접수!$A$3:$A$1002,0)),"접수번호없음"))</f>
        <v/>
      </c>
      <c r="D62" s="10"/>
      <c r="E62" s="14"/>
      <c r="F62" s="10"/>
      <c r="G62" s="16"/>
      <c r="H62" s="10"/>
    </row>
    <row r="63" customFormat="false" ht="15" hidden="false" customHeight="true" outlineLevel="0" collapsed="false">
      <c r="A63" s="13"/>
      <c r="B63" s="10"/>
      <c r="C63" s="12" t="str">
        <f aca="false">IF($B63="","",IFERROR(INDEX(반품접수!$E$3:$E$1002,MATCH($B63,반품접수!$A$3:$A$1002,0)),"접수번호없음"))</f>
        <v/>
      </c>
      <c r="D63" s="10"/>
      <c r="E63" s="14"/>
      <c r="F63" s="10"/>
      <c r="G63" s="16"/>
      <c r="H63" s="10"/>
    </row>
    <row r="64" customFormat="false" ht="15" hidden="false" customHeight="true" outlineLevel="0" collapsed="false">
      <c r="A64" s="13"/>
      <c r="B64" s="10"/>
      <c r="C64" s="12" t="str">
        <f aca="false">IF($B64="","",IFERROR(INDEX(반품접수!$E$3:$E$1002,MATCH($B64,반품접수!$A$3:$A$1002,0)),"접수번호없음"))</f>
        <v/>
      </c>
      <c r="D64" s="10"/>
      <c r="E64" s="14"/>
      <c r="F64" s="10"/>
      <c r="G64" s="16"/>
      <c r="H64" s="10"/>
    </row>
    <row r="65" customFormat="false" ht="15" hidden="false" customHeight="true" outlineLevel="0" collapsed="false">
      <c r="A65" s="13"/>
      <c r="B65" s="10"/>
      <c r="C65" s="12" t="str">
        <f aca="false">IF($B65="","",IFERROR(INDEX(반품접수!$E$3:$E$1002,MATCH($B65,반품접수!$A$3:$A$1002,0)),"접수번호없음"))</f>
        <v/>
      </c>
      <c r="D65" s="10"/>
      <c r="E65" s="14"/>
      <c r="F65" s="10"/>
      <c r="G65" s="16"/>
      <c r="H65" s="10"/>
    </row>
    <row r="66" customFormat="false" ht="15" hidden="false" customHeight="true" outlineLevel="0" collapsed="false">
      <c r="A66" s="13"/>
      <c r="B66" s="10"/>
      <c r="C66" s="12" t="str">
        <f aca="false">IF($B66="","",IFERROR(INDEX(반품접수!$E$3:$E$1002,MATCH($B66,반품접수!$A$3:$A$1002,0)),"접수번호없음"))</f>
        <v/>
      </c>
      <c r="D66" s="10"/>
      <c r="E66" s="14"/>
      <c r="F66" s="10"/>
      <c r="G66" s="16"/>
      <c r="H66" s="10"/>
    </row>
    <row r="67" customFormat="false" ht="15" hidden="false" customHeight="true" outlineLevel="0" collapsed="false">
      <c r="A67" s="13"/>
      <c r="B67" s="10"/>
      <c r="C67" s="12" t="str">
        <f aca="false">IF($B67="","",IFERROR(INDEX(반품접수!$E$3:$E$1002,MATCH($B67,반품접수!$A$3:$A$1002,0)),"접수번호없음"))</f>
        <v/>
      </c>
      <c r="D67" s="10"/>
      <c r="E67" s="14"/>
      <c r="F67" s="10"/>
      <c r="G67" s="16"/>
      <c r="H67" s="10"/>
    </row>
    <row r="68" customFormat="false" ht="15" hidden="false" customHeight="true" outlineLevel="0" collapsed="false">
      <c r="A68" s="13"/>
      <c r="B68" s="10"/>
      <c r="C68" s="12" t="str">
        <f aca="false">IF($B68="","",IFERROR(INDEX(반품접수!$E$3:$E$1002,MATCH($B68,반품접수!$A$3:$A$1002,0)),"접수번호없음"))</f>
        <v/>
      </c>
      <c r="D68" s="10"/>
      <c r="E68" s="14"/>
      <c r="F68" s="10"/>
      <c r="G68" s="16"/>
      <c r="H68" s="10"/>
    </row>
    <row r="69" customFormat="false" ht="15" hidden="false" customHeight="true" outlineLevel="0" collapsed="false">
      <c r="A69" s="13"/>
      <c r="B69" s="10"/>
      <c r="C69" s="12" t="str">
        <f aca="false">IF($B69="","",IFERROR(INDEX(반품접수!$E$3:$E$1002,MATCH($B69,반품접수!$A$3:$A$1002,0)),"접수번호없음"))</f>
        <v/>
      </c>
      <c r="D69" s="10"/>
      <c r="E69" s="14"/>
      <c r="F69" s="10"/>
      <c r="G69" s="16"/>
      <c r="H69" s="10"/>
    </row>
    <row r="70" customFormat="false" ht="15" hidden="false" customHeight="true" outlineLevel="0" collapsed="false">
      <c r="A70" s="13"/>
      <c r="B70" s="10"/>
      <c r="C70" s="12" t="str">
        <f aca="false">IF($B70="","",IFERROR(INDEX(반품접수!$E$3:$E$1002,MATCH($B70,반품접수!$A$3:$A$1002,0)),"접수번호없음"))</f>
        <v/>
      </c>
      <c r="D70" s="10"/>
      <c r="E70" s="14"/>
      <c r="F70" s="10"/>
      <c r="G70" s="16"/>
      <c r="H70" s="10"/>
    </row>
    <row r="71" customFormat="false" ht="15" hidden="false" customHeight="true" outlineLevel="0" collapsed="false">
      <c r="A71" s="13"/>
      <c r="B71" s="10"/>
      <c r="C71" s="12" t="str">
        <f aca="false">IF($B71="","",IFERROR(INDEX(반품접수!$E$3:$E$1002,MATCH($B71,반품접수!$A$3:$A$1002,0)),"접수번호없음"))</f>
        <v/>
      </c>
      <c r="D71" s="10"/>
      <c r="E71" s="14"/>
      <c r="F71" s="10"/>
      <c r="G71" s="16"/>
      <c r="H71" s="10"/>
    </row>
    <row r="72" customFormat="false" ht="15" hidden="false" customHeight="true" outlineLevel="0" collapsed="false">
      <c r="A72" s="13"/>
      <c r="B72" s="10"/>
      <c r="C72" s="12" t="str">
        <f aca="false">IF($B72="","",IFERROR(INDEX(반품접수!$E$3:$E$1002,MATCH($B72,반품접수!$A$3:$A$1002,0)),"접수번호없음"))</f>
        <v/>
      </c>
      <c r="D72" s="10"/>
      <c r="E72" s="14"/>
      <c r="F72" s="10"/>
      <c r="G72" s="16"/>
      <c r="H72" s="10"/>
    </row>
    <row r="73" customFormat="false" ht="15" hidden="false" customHeight="true" outlineLevel="0" collapsed="false">
      <c r="A73" s="13"/>
      <c r="B73" s="10"/>
      <c r="C73" s="12" t="str">
        <f aca="false">IF($B73="","",IFERROR(INDEX(반품접수!$E$3:$E$1002,MATCH($B73,반품접수!$A$3:$A$1002,0)),"접수번호없음"))</f>
        <v/>
      </c>
      <c r="D73" s="10"/>
      <c r="E73" s="14"/>
      <c r="F73" s="10"/>
      <c r="G73" s="16"/>
      <c r="H73" s="10"/>
    </row>
    <row r="74" customFormat="false" ht="15" hidden="false" customHeight="true" outlineLevel="0" collapsed="false">
      <c r="A74" s="13"/>
      <c r="B74" s="10"/>
      <c r="C74" s="12" t="str">
        <f aca="false">IF($B74="","",IFERROR(INDEX(반품접수!$E$3:$E$1002,MATCH($B74,반품접수!$A$3:$A$1002,0)),"접수번호없음"))</f>
        <v/>
      </c>
      <c r="D74" s="10"/>
      <c r="E74" s="14"/>
      <c r="F74" s="10"/>
      <c r="G74" s="16"/>
      <c r="H74" s="10"/>
    </row>
    <row r="75" customFormat="false" ht="15" hidden="false" customHeight="true" outlineLevel="0" collapsed="false">
      <c r="A75" s="13"/>
      <c r="B75" s="10"/>
      <c r="C75" s="12" t="str">
        <f aca="false">IF($B75="","",IFERROR(INDEX(반품접수!$E$3:$E$1002,MATCH($B75,반품접수!$A$3:$A$1002,0)),"접수번호없음"))</f>
        <v/>
      </c>
      <c r="D75" s="10"/>
      <c r="E75" s="14"/>
      <c r="F75" s="10"/>
      <c r="G75" s="16"/>
      <c r="H75" s="10"/>
    </row>
    <row r="76" customFormat="false" ht="15" hidden="false" customHeight="true" outlineLevel="0" collapsed="false">
      <c r="A76" s="13"/>
      <c r="B76" s="10"/>
      <c r="C76" s="12" t="str">
        <f aca="false">IF($B76="","",IFERROR(INDEX(반품접수!$E$3:$E$1002,MATCH($B76,반품접수!$A$3:$A$1002,0)),"접수번호없음"))</f>
        <v/>
      </c>
      <c r="D76" s="10"/>
      <c r="E76" s="14"/>
      <c r="F76" s="10"/>
      <c r="G76" s="16"/>
      <c r="H76" s="10"/>
    </row>
    <row r="77" customFormat="false" ht="15" hidden="false" customHeight="true" outlineLevel="0" collapsed="false">
      <c r="A77" s="13"/>
      <c r="B77" s="10"/>
      <c r="C77" s="12" t="str">
        <f aca="false">IF($B77="","",IFERROR(INDEX(반품접수!$E$3:$E$1002,MATCH($B77,반품접수!$A$3:$A$1002,0)),"접수번호없음"))</f>
        <v/>
      </c>
      <c r="D77" s="10"/>
      <c r="E77" s="14"/>
      <c r="F77" s="10"/>
      <c r="G77" s="16"/>
      <c r="H77" s="10"/>
    </row>
    <row r="78" customFormat="false" ht="15" hidden="false" customHeight="true" outlineLevel="0" collapsed="false">
      <c r="A78" s="13"/>
      <c r="B78" s="10"/>
      <c r="C78" s="12" t="str">
        <f aca="false">IF($B78="","",IFERROR(INDEX(반품접수!$E$3:$E$1002,MATCH($B78,반품접수!$A$3:$A$1002,0)),"접수번호없음"))</f>
        <v/>
      </c>
      <c r="D78" s="10"/>
      <c r="E78" s="14"/>
      <c r="F78" s="10"/>
      <c r="G78" s="16"/>
      <c r="H78" s="10"/>
    </row>
    <row r="79" customFormat="false" ht="15" hidden="false" customHeight="true" outlineLevel="0" collapsed="false">
      <c r="A79" s="13"/>
      <c r="B79" s="10"/>
      <c r="C79" s="12" t="str">
        <f aca="false">IF($B79="","",IFERROR(INDEX(반품접수!$E$3:$E$1002,MATCH($B79,반품접수!$A$3:$A$1002,0)),"접수번호없음"))</f>
        <v/>
      </c>
      <c r="D79" s="10"/>
      <c r="E79" s="14"/>
      <c r="F79" s="10"/>
      <c r="G79" s="16"/>
      <c r="H79" s="10"/>
    </row>
    <row r="80" customFormat="false" ht="15" hidden="false" customHeight="true" outlineLevel="0" collapsed="false">
      <c r="A80" s="13"/>
      <c r="B80" s="10"/>
      <c r="C80" s="12" t="str">
        <f aca="false">IF($B80="","",IFERROR(INDEX(반품접수!$E$3:$E$1002,MATCH($B80,반품접수!$A$3:$A$1002,0)),"접수번호없음"))</f>
        <v/>
      </c>
      <c r="D80" s="10"/>
      <c r="E80" s="14"/>
      <c r="F80" s="10"/>
      <c r="G80" s="16"/>
      <c r="H80" s="10"/>
    </row>
    <row r="81" customFormat="false" ht="15" hidden="false" customHeight="true" outlineLevel="0" collapsed="false">
      <c r="A81" s="13"/>
      <c r="B81" s="10"/>
      <c r="C81" s="12" t="str">
        <f aca="false">IF($B81="","",IFERROR(INDEX(반품접수!$E$3:$E$1002,MATCH($B81,반품접수!$A$3:$A$1002,0)),"접수번호없음"))</f>
        <v/>
      </c>
      <c r="D81" s="10"/>
      <c r="E81" s="14"/>
      <c r="F81" s="10"/>
      <c r="G81" s="16"/>
      <c r="H81" s="10"/>
    </row>
    <row r="82" customFormat="false" ht="15" hidden="false" customHeight="true" outlineLevel="0" collapsed="false">
      <c r="A82" s="13"/>
      <c r="B82" s="10"/>
      <c r="C82" s="12" t="str">
        <f aca="false">IF($B82="","",IFERROR(INDEX(반품접수!$E$3:$E$1002,MATCH($B82,반품접수!$A$3:$A$1002,0)),"접수번호없음"))</f>
        <v/>
      </c>
      <c r="D82" s="10"/>
      <c r="E82" s="14"/>
      <c r="F82" s="10"/>
      <c r="G82" s="16"/>
      <c r="H82" s="10"/>
    </row>
    <row r="83" customFormat="false" ht="15" hidden="false" customHeight="true" outlineLevel="0" collapsed="false">
      <c r="A83" s="13"/>
      <c r="B83" s="10"/>
      <c r="C83" s="12" t="str">
        <f aca="false">IF($B83="","",IFERROR(INDEX(반품접수!$E$3:$E$1002,MATCH($B83,반품접수!$A$3:$A$1002,0)),"접수번호없음"))</f>
        <v/>
      </c>
      <c r="D83" s="10"/>
      <c r="E83" s="14"/>
      <c r="F83" s="10"/>
      <c r="G83" s="16"/>
      <c r="H83" s="10"/>
    </row>
    <row r="84" customFormat="false" ht="15" hidden="false" customHeight="true" outlineLevel="0" collapsed="false">
      <c r="A84" s="13"/>
      <c r="B84" s="10"/>
      <c r="C84" s="12" t="str">
        <f aca="false">IF($B84="","",IFERROR(INDEX(반품접수!$E$3:$E$1002,MATCH($B84,반품접수!$A$3:$A$1002,0)),"접수번호없음"))</f>
        <v/>
      </c>
      <c r="D84" s="10"/>
      <c r="E84" s="14"/>
      <c r="F84" s="10"/>
      <c r="G84" s="16"/>
      <c r="H84" s="10"/>
    </row>
    <row r="85" customFormat="false" ht="15" hidden="false" customHeight="true" outlineLevel="0" collapsed="false">
      <c r="A85" s="13"/>
      <c r="B85" s="10"/>
      <c r="C85" s="12" t="str">
        <f aca="false">IF($B85="","",IFERROR(INDEX(반품접수!$E$3:$E$1002,MATCH($B85,반품접수!$A$3:$A$1002,0)),"접수번호없음"))</f>
        <v/>
      </c>
      <c r="D85" s="10"/>
      <c r="E85" s="14"/>
      <c r="F85" s="10"/>
      <c r="G85" s="16"/>
      <c r="H85" s="10"/>
    </row>
    <row r="86" customFormat="false" ht="15" hidden="false" customHeight="true" outlineLevel="0" collapsed="false">
      <c r="A86" s="13"/>
      <c r="B86" s="10"/>
      <c r="C86" s="12" t="str">
        <f aca="false">IF($B86="","",IFERROR(INDEX(반품접수!$E$3:$E$1002,MATCH($B86,반품접수!$A$3:$A$1002,0)),"접수번호없음"))</f>
        <v/>
      </c>
      <c r="D86" s="10"/>
      <c r="E86" s="14"/>
      <c r="F86" s="10"/>
      <c r="G86" s="16"/>
      <c r="H86" s="10"/>
    </row>
    <row r="87" customFormat="false" ht="15" hidden="false" customHeight="true" outlineLevel="0" collapsed="false">
      <c r="A87" s="13"/>
      <c r="B87" s="10"/>
      <c r="C87" s="12" t="str">
        <f aca="false">IF($B87="","",IFERROR(INDEX(반품접수!$E$3:$E$1002,MATCH($B87,반품접수!$A$3:$A$1002,0)),"접수번호없음"))</f>
        <v/>
      </c>
      <c r="D87" s="10"/>
      <c r="E87" s="14"/>
      <c r="F87" s="10"/>
      <c r="G87" s="16"/>
      <c r="H87" s="10"/>
    </row>
    <row r="88" customFormat="false" ht="15" hidden="false" customHeight="true" outlineLevel="0" collapsed="false">
      <c r="A88" s="13"/>
      <c r="B88" s="10"/>
      <c r="C88" s="12" t="str">
        <f aca="false">IF($B88="","",IFERROR(INDEX(반품접수!$E$3:$E$1002,MATCH($B88,반품접수!$A$3:$A$1002,0)),"접수번호없음"))</f>
        <v/>
      </c>
      <c r="D88" s="10"/>
      <c r="E88" s="14"/>
      <c r="F88" s="10"/>
      <c r="G88" s="16"/>
      <c r="H88" s="10"/>
    </row>
    <row r="89" customFormat="false" ht="15" hidden="false" customHeight="true" outlineLevel="0" collapsed="false">
      <c r="A89" s="13"/>
      <c r="B89" s="10"/>
      <c r="C89" s="12" t="str">
        <f aca="false">IF($B89="","",IFERROR(INDEX(반품접수!$E$3:$E$1002,MATCH($B89,반품접수!$A$3:$A$1002,0)),"접수번호없음"))</f>
        <v/>
      </c>
      <c r="D89" s="10"/>
      <c r="E89" s="14"/>
      <c r="F89" s="10"/>
      <c r="G89" s="16"/>
      <c r="H89" s="10"/>
    </row>
    <row r="90" customFormat="false" ht="15" hidden="false" customHeight="true" outlineLevel="0" collapsed="false">
      <c r="A90" s="13"/>
      <c r="B90" s="10"/>
      <c r="C90" s="12" t="str">
        <f aca="false">IF($B90="","",IFERROR(INDEX(반품접수!$E$3:$E$1002,MATCH($B90,반품접수!$A$3:$A$1002,0)),"접수번호없음"))</f>
        <v/>
      </c>
      <c r="D90" s="10"/>
      <c r="E90" s="14"/>
      <c r="F90" s="10"/>
      <c r="G90" s="16"/>
      <c r="H90" s="10"/>
    </row>
    <row r="91" customFormat="false" ht="15" hidden="false" customHeight="true" outlineLevel="0" collapsed="false">
      <c r="A91" s="13"/>
      <c r="B91" s="10"/>
      <c r="C91" s="12" t="str">
        <f aca="false">IF($B91="","",IFERROR(INDEX(반품접수!$E$3:$E$1002,MATCH($B91,반품접수!$A$3:$A$1002,0)),"접수번호없음"))</f>
        <v/>
      </c>
      <c r="D91" s="10"/>
      <c r="E91" s="14"/>
      <c r="F91" s="10"/>
      <c r="G91" s="16"/>
      <c r="H91" s="10"/>
    </row>
    <row r="92" customFormat="false" ht="15" hidden="false" customHeight="true" outlineLevel="0" collapsed="false">
      <c r="A92" s="13"/>
      <c r="B92" s="10"/>
      <c r="C92" s="12" t="str">
        <f aca="false">IF($B92="","",IFERROR(INDEX(반품접수!$E$3:$E$1002,MATCH($B92,반품접수!$A$3:$A$1002,0)),"접수번호없음"))</f>
        <v/>
      </c>
      <c r="D92" s="10"/>
      <c r="E92" s="14"/>
      <c r="F92" s="10"/>
      <c r="G92" s="16"/>
      <c r="H92" s="10"/>
    </row>
    <row r="93" customFormat="false" ht="15" hidden="false" customHeight="true" outlineLevel="0" collapsed="false">
      <c r="A93" s="13"/>
      <c r="B93" s="10"/>
      <c r="C93" s="12" t="str">
        <f aca="false">IF($B93="","",IFERROR(INDEX(반품접수!$E$3:$E$1002,MATCH($B93,반품접수!$A$3:$A$1002,0)),"접수번호없음"))</f>
        <v/>
      </c>
      <c r="D93" s="10"/>
      <c r="E93" s="14"/>
      <c r="F93" s="10"/>
      <c r="G93" s="16"/>
      <c r="H93" s="10"/>
    </row>
    <row r="94" customFormat="false" ht="15" hidden="false" customHeight="true" outlineLevel="0" collapsed="false">
      <c r="A94" s="13"/>
      <c r="B94" s="10"/>
      <c r="C94" s="12" t="str">
        <f aca="false">IF($B94="","",IFERROR(INDEX(반품접수!$E$3:$E$1002,MATCH($B94,반품접수!$A$3:$A$1002,0)),"접수번호없음"))</f>
        <v/>
      </c>
      <c r="D94" s="10"/>
      <c r="E94" s="14"/>
      <c r="F94" s="10"/>
      <c r="G94" s="16"/>
      <c r="H94" s="10"/>
    </row>
    <row r="95" customFormat="false" ht="15" hidden="false" customHeight="true" outlineLevel="0" collapsed="false">
      <c r="A95" s="13"/>
      <c r="B95" s="10"/>
      <c r="C95" s="12" t="str">
        <f aca="false">IF($B95="","",IFERROR(INDEX(반품접수!$E$3:$E$1002,MATCH($B95,반품접수!$A$3:$A$1002,0)),"접수번호없음"))</f>
        <v/>
      </c>
      <c r="D95" s="10"/>
      <c r="E95" s="14"/>
      <c r="F95" s="10"/>
      <c r="G95" s="16"/>
      <c r="H95" s="10"/>
    </row>
    <row r="96" customFormat="false" ht="15" hidden="false" customHeight="true" outlineLevel="0" collapsed="false">
      <c r="A96" s="13"/>
      <c r="B96" s="10"/>
      <c r="C96" s="12" t="str">
        <f aca="false">IF($B96="","",IFERROR(INDEX(반품접수!$E$3:$E$1002,MATCH($B96,반품접수!$A$3:$A$1002,0)),"접수번호없음"))</f>
        <v/>
      </c>
      <c r="D96" s="10"/>
      <c r="E96" s="14"/>
      <c r="F96" s="10"/>
      <c r="G96" s="16"/>
      <c r="H96" s="10"/>
    </row>
    <row r="97" customFormat="false" ht="15" hidden="false" customHeight="true" outlineLevel="0" collapsed="false">
      <c r="A97" s="13"/>
      <c r="B97" s="10"/>
      <c r="C97" s="12" t="str">
        <f aca="false">IF($B97="","",IFERROR(INDEX(반품접수!$E$3:$E$1002,MATCH($B97,반품접수!$A$3:$A$1002,0)),"접수번호없음"))</f>
        <v/>
      </c>
      <c r="D97" s="10"/>
      <c r="E97" s="14"/>
      <c r="F97" s="10"/>
      <c r="G97" s="16"/>
      <c r="H97" s="10"/>
    </row>
    <row r="98" customFormat="false" ht="15" hidden="false" customHeight="true" outlineLevel="0" collapsed="false">
      <c r="A98" s="13"/>
      <c r="B98" s="10"/>
      <c r="C98" s="12" t="str">
        <f aca="false">IF($B98="","",IFERROR(INDEX(반품접수!$E$3:$E$1002,MATCH($B98,반품접수!$A$3:$A$1002,0)),"접수번호없음"))</f>
        <v/>
      </c>
      <c r="D98" s="10"/>
      <c r="E98" s="14"/>
      <c r="F98" s="10"/>
      <c r="G98" s="16"/>
      <c r="H98" s="10"/>
    </row>
    <row r="99" customFormat="false" ht="15" hidden="false" customHeight="true" outlineLevel="0" collapsed="false">
      <c r="A99" s="13"/>
      <c r="B99" s="10"/>
      <c r="C99" s="12" t="str">
        <f aca="false">IF($B99="","",IFERROR(INDEX(반품접수!$E$3:$E$1002,MATCH($B99,반품접수!$A$3:$A$1002,0)),"접수번호없음"))</f>
        <v/>
      </c>
      <c r="D99" s="10"/>
      <c r="E99" s="14"/>
      <c r="F99" s="10"/>
      <c r="G99" s="16"/>
      <c r="H99" s="10"/>
    </row>
    <row r="100" customFormat="false" ht="15" hidden="false" customHeight="true" outlineLevel="0" collapsed="false">
      <c r="A100" s="13"/>
      <c r="B100" s="10"/>
      <c r="C100" s="12" t="str">
        <f aca="false">IF($B100="","",IFERROR(INDEX(반품접수!$E$3:$E$1002,MATCH($B100,반품접수!$A$3:$A$1002,0)),"접수번호없음"))</f>
        <v/>
      </c>
      <c r="D100" s="10"/>
      <c r="E100" s="14"/>
      <c r="F100" s="10"/>
      <c r="G100" s="16"/>
      <c r="H100" s="10"/>
    </row>
    <row r="101" customFormat="false" ht="15" hidden="false" customHeight="true" outlineLevel="0" collapsed="false">
      <c r="A101" s="13"/>
      <c r="B101" s="10"/>
      <c r="C101" s="12" t="str">
        <f aca="false">IF($B101="","",IFERROR(INDEX(반품접수!$E$3:$E$1002,MATCH($B101,반품접수!$A$3:$A$1002,0)),"접수번호없음"))</f>
        <v/>
      </c>
      <c r="D101" s="10"/>
      <c r="E101" s="14"/>
      <c r="F101" s="10"/>
      <c r="G101" s="16"/>
      <c r="H101" s="10"/>
    </row>
    <row r="102" customFormat="false" ht="15" hidden="false" customHeight="true" outlineLevel="0" collapsed="false">
      <c r="A102" s="13"/>
      <c r="B102" s="10"/>
      <c r="C102" s="12" t="str">
        <f aca="false">IF($B102="","",IFERROR(INDEX(반품접수!$E$3:$E$1002,MATCH($B102,반품접수!$A$3:$A$1002,0)),"접수번호없음"))</f>
        <v/>
      </c>
      <c r="D102" s="10"/>
      <c r="E102" s="14"/>
      <c r="F102" s="10"/>
      <c r="G102" s="16"/>
      <c r="H102" s="10"/>
    </row>
    <row r="103" customFormat="false" ht="15" hidden="false" customHeight="true" outlineLevel="0" collapsed="false">
      <c r="A103" s="13"/>
      <c r="B103" s="10"/>
      <c r="C103" s="12" t="str">
        <f aca="false">IF($B103="","",IFERROR(INDEX(반품접수!$E$3:$E$1002,MATCH($B103,반품접수!$A$3:$A$1002,0)),"접수번호없음"))</f>
        <v/>
      </c>
      <c r="D103" s="10"/>
      <c r="E103" s="14"/>
      <c r="F103" s="10"/>
      <c r="G103" s="16"/>
      <c r="H103" s="10"/>
    </row>
    <row r="104" customFormat="false" ht="15" hidden="false" customHeight="true" outlineLevel="0" collapsed="false">
      <c r="A104" s="13"/>
      <c r="B104" s="10"/>
      <c r="C104" s="12" t="str">
        <f aca="false">IF($B104="","",IFERROR(INDEX(반품접수!$E$3:$E$1002,MATCH($B104,반품접수!$A$3:$A$1002,0)),"접수번호없음"))</f>
        <v/>
      </c>
      <c r="D104" s="10"/>
      <c r="E104" s="14"/>
      <c r="F104" s="10"/>
      <c r="G104" s="16"/>
      <c r="H104" s="10"/>
    </row>
    <row r="105" customFormat="false" ht="15" hidden="false" customHeight="true" outlineLevel="0" collapsed="false">
      <c r="A105" s="13"/>
      <c r="B105" s="10"/>
      <c r="C105" s="12" t="str">
        <f aca="false">IF($B105="","",IFERROR(INDEX(반품접수!$E$3:$E$1002,MATCH($B105,반품접수!$A$3:$A$1002,0)),"접수번호없음"))</f>
        <v/>
      </c>
      <c r="D105" s="10"/>
      <c r="E105" s="14"/>
      <c r="F105" s="10"/>
      <c r="G105" s="16"/>
      <c r="H105" s="10"/>
    </row>
    <row r="106" customFormat="false" ht="15" hidden="false" customHeight="true" outlineLevel="0" collapsed="false">
      <c r="A106" s="13"/>
      <c r="B106" s="10"/>
      <c r="C106" s="12" t="str">
        <f aca="false">IF($B106="","",IFERROR(INDEX(반품접수!$E$3:$E$1002,MATCH($B106,반품접수!$A$3:$A$1002,0)),"접수번호없음"))</f>
        <v/>
      </c>
      <c r="D106" s="10"/>
      <c r="E106" s="14"/>
      <c r="F106" s="10"/>
      <c r="G106" s="16"/>
      <c r="H106" s="10"/>
    </row>
    <row r="107" customFormat="false" ht="15" hidden="false" customHeight="true" outlineLevel="0" collapsed="false">
      <c r="A107" s="13"/>
      <c r="B107" s="10"/>
      <c r="C107" s="12" t="str">
        <f aca="false">IF($B107="","",IFERROR(INDEX(반품접수!$E$3:$E$1002,MATCH($B107,반품접수!$A$3:$A$1002,0)),"접수번호없음"))</f>
        <v/>
      </c>
      <c r="D107" s="10"/>
      <c r="E107" s="14"/>
      <c r="F107" s="10"/>
      <c r="G107" s="16"/>
      <c r="H107" s="10"/>
    </row>
    <row r="108" customFormat="false" ht="15" hidden="false" customHeight="true" outlineLevel="0" collapsed="false">
      <c r="A108" s="13"/>
      <c r="B108" s="10"/>
      <c r="C108" s="12" t="str">
        <f aca="false">IF($B108="","",IFERROR(INDEX(반품접수!$E$3:$E$1002,MATCH($B108,반품접수!$A$3:$A$1002,0)),"접수번호없음"))</f>
        <v/>
      </c>
      <c r="D108" s="10"/>
      <c r="E108" s="14"/>
      <c r="F108" s="10"/>
      <c r="G108" s="16"/>
      <c r="H108" s="10"/>
    </row>
    <row r="109" customFormat="false" ht="15" hidden="false" customHeight="true" outlineLevel="0" collapsed="false">
      <c r="A109" s="13"/>
      <c r="B109" s="10"/>
      <c r="C109" s="12" t="str">
        <f aca="false">IF($B109="","",IFERROR(INDEX(반품접수!$E$3:$E$1002,MATCH($B109,반품접수!$A$3:$A$1002,0)),"접수번호없음"))</f>
        <v/>
      </c>
      <c r="D109" s="10"/>
      <c r="E109" s="14"/>
      <c r="F109" s="10"/>
      <c r="G109" s="16"/>
      <c r="H109" s="10"/>
    </row>
    <row r="110" customFormat="false" ht="15" hidden="false" customHeight="true" outlineLevel="0" collapsed="false">
      <c r="A110" s="13"/>
      <c r="B110" s="10"/>
      <c r="C110" s="12" t="str">
        <f aca="false">IF($B110="","",IFERROR(INDEX(반품접수!$E$3:$E$1002,MATCH($B110,반품접수!$A$3:$A$1002,0)),"접수번호없음"))</f>
        <v/>
      </c>
      <c r="D110" s="10"/>
      <c r="E110" s="14"/>
      <c r="F110" s="10"/>
      <c r="G110" s="16"/>
      <c r="H110" s="10"/>
    </row>
    <row r="111" customFormat="false" ht="15" hidden="false" customHeight="true" outlineLevel="0" collapsed="false">
      <c r="A111" s="13"/>
      <c r="B111" s="10"/>
      <c r="C111" s="12" t="str">
        <f aca="false">IF($B111="","",IFERROR(INDEX(반품접수!$E$3:$E$1002,MATCH($B111,반품접수!$A$3:$A$1002,0)),"접수번호없음"))</f>
        <v/>
      </c>
      <c r="D111" s="10"/>
      <c r="E111" s="14"/>
      <c r="F111" s="10"/>
      <c r="G111" s="16"/>
      <c r="H111" s="10"/>
    </row>
    <row r="112" customFormat="false" ht="15" hidden="false" customHeight="true" outlineLevel="0" collapsed="false">
      <c r="A112" s="13"/>
      <c r="B112" s="10"/>
      <c r="C112" s="12" t="str">
        <f aca="false">IF($B112="","",IFERROR(INDEX(반품접수!$E$3:$E$1002,MATCH($B112,반품접수!$A$3:$A$1002,0)),"접수번호없음"))</f>
        <v/>
      </c>
      <c r="D112" s="10"/>
      <c r="E112" s="14"/>
      <c r="F112" s="10"/>
      <c r="G112" s="16"/>
      <c r="H112" s="10"/>
    </row>
    <row r="113" customFormat="false" ht="15" hidden="false" customHeight="true" outlineLevel="0" collapsed="false">
      <c r="A113" s="13"/>
      <c r="B113" s="10"/>
      <c r="C113" s="12" t="str">
        <f aca="false">IF($B113="","",IFERROR(INDEX(반품접수!$E$3:$E$1002,MATCH($B113,반품접수!$A$3:$A$1002,0)),"접수번호없음"))</f>
        <v/>
      </c>
      <c r="D113" s="10"/>
      <c r="E113" s="14"/>
      <c r="F113" s="10"/>
      <c r="G113" s="16"/>
      <c r="H113" s="10"/>
    </row>
    <row r="114" customFormat="false" ht="15" hidden="false" customHeight="true" outlineLevel="0" collapsed="false">
      <c r="A114" s="13"/>
      <c r="B114" s="10"/>
      <c r="C114" s="12" t="str">
        <f aca="false">IF($B114="","",IFERROR(INDEX(반품접수!$E$3:$E$1002,MATCH($B114,반품접수!$A$3:$A$1002,0)),"접수번호없음"))</f>
        <v/>
      </c>
      <c r="D114" s="10"/>
      <c r="E114" s="14"/>
      <c r="F114" s="10"/>
      <c r="G114" s="16"/>
      <c r="H114" s="10"/>
    </row>
    <row r="115" customFormat="false" ht="15" hidden="false" customHeight="true" outlineLevel="0" collapsed="false">
      <c r="A115" s="13"/>
      <c r="B115" s="10"/>
      <c r="C115" s="12" t="str">
        <f aca="false">IF($B115="","",IFERROR(INDEX(반품접수!$E$3:$E$1002,MATCH($B115,반품접수!$A$3:$A$1002,0)),"접수번호없음"))</f>
        <v/>
      </c>
      <c r="D115" s="10"/>
      <c r="E115" s="14"/>
      <c r="F115" s="10"/>
      <c r="G115" s="16"/>
      <c r="H115" s="10"/>
    </row>
    <row r="116" customFormat="false" ht="15" hidden="false" customHeight="true" outlineLevel="0" collapsed="false">
      <c r="A116" s="13"/>
      <c r="B116" s="10"/>
      <c r="C116" s="12" t="str">
        <f aca="false">IF($B116="","",IFERROR(INDEX(반품접수!$E$3:$E$1002,MATCH($B116,반품접수!$A$3:$A$1002,0)),"접수번호없음"))</f>
        <v/>
      </c>
      <c r="D116" s="10"/>
      <c r="E116" s="14"/>
      <c r="F116" s="10"/>
      <c r="G116" s="16"/>
      <c r="H116" s="10"/>
    </row>
    <row r="117" customFormat="false" ht="15" hidden="false" customHeight="true" outlineLevel="0" collapsed="false">
      <c r="A117" s="13"/>
      <c r="B117" s="10"/>
      <c r="C117" s="12" t="str">
        <f aca="false">IF($B117="","",IFERROR(INDEX(반품접수!$E$3:$E$1002,MATCH($B117,반품접수!$A$3:$A$1002,0)),"접수번호없음"))</f>
        <v/>
      </c>
      <c r="D117" s="10"/>
      <c r="E117" s="14"/>
      <c r="F117" s="10"/>
      <c r="G117" s="16"/>
      <c r="H117" s="10"/>
    </row>
    <row r="118" customFormat="false" ht="15" hidden="false" customHeight="true" outlineLevel="0" collapsed="false">
      <c r="A118" s="13"/>
      <c r="B118" s="10"/>
      <c r="C118" s="12" t="str">
        <f aca="false">IF($B118="","",IFERROR(INDEX(반품접수!$E$3:$E$1002,MATCH($B118,반품접수!$A$3:$A$1002,0)),"접수번호없음"))</f>
        <v/>
      </c>
      <c r="D118" s="10"/>
      <c r="E118" s="14"/>
      <c r="F118" s="10"/>
      <c r="G118" s="16"/>
      <c r="H118" s="10"/>
    </row>
    <row r="119" customFormat="false" ht="15" hidden="false" customHeight="true" outlineLevel="0" collapsed="false">
      <c r="A119" s="13"/>
      <c r="B119" s="10"/>
      <c r="C119" s="12" t="str">
        <f aca="false">IF($B119="","",IFERROR(INDEX(반품접수!$E$3:$E$1002,MATCH($B119,반품접수!$A$3:$A$1002,0)),"접수번호없음"))</f>
        <v/>
      </c>
      <c r="D119" s="10"/>
      <c r="E119" s="14"/>
      <c r="F119" s="10"/>
      <c r="G119" s="16"/>
      <c r="H119" s="10"/>
    </row>
    <row r="120" customFormat="false" ht="15" hidden="false" customHeight="true" outlineLevel="0" collapsed="false">
      <c r="A120" s="13"/>
      <c r="B120" s="10"/>
      <c r="C120" s="12" t="str">
        <f aca="false">IF($B120="","",IFERROR(INDEX(반품접수!$E$3:$E$1002,MATCH($B120,반품접수!$A$3:$A$1002,0)),"접수번호없음"))</f>
        <v/>
      </c>
      <c r="D120" s="10"/>
      <c r="E120" s="14"/>
      <c r="F120" s="10"/>
      <c r="G120" s="16"/>
      <c r="H120" s="10"/>
    </row>
    <row r="121" customFormat="false" ht="15" hidden="false" customHeight="true" outlineLevel="0" collapsed="false">
      <c r="A121" s="13"/>
      <c r="B121" s="10"/>
      <c r="C121" s="12" t="str">
        <f aca="false">IF($B121="","",IFERROR(INDEX(반품접수!$E$3:$E$1002,MATCH($B121,반품접수!$A$3:$A$1002,0)),"접수번호없음"))</f>
        <v/>
      </c>
      <c r="D121" s="10"/>
      <c r="E121" s="14"/>
      <c r="F121" s="10"/>
      <c r="G121" s="16"/>
      <c r="H121" s="10"/>
    </row>
    <row r="122" customFormat="false" ht="15" hidden="false" customHeight="true" outlineLevel="0" collapsed="false">
      <c r="A122" s="13"/>
      <c r="B122" s="10"/>
      <c r="C122" s="12" t="str">
        <f aca="false">IF($B122="","",IFERROR(INDEX(반품접수!$E$3:$E$1002,MATCH($B122,반품접수!$A$3:$A$1002,0)),"접수번호없음"))</f>
        <v/>
      </c>
      <c r="D122" s="10"/>
      <c r="E122" s="14"/>
      <c r="F122" s="10"/>
      <c r="G122" s="16"/>
      <c r="H122" s="10"/>
    </row>
    <row r="123" customFormat="false" ht="15" hidden="false" customHeight="true" outlineLevel="0" collapsed="false">
      <c r="A123" s="13"/>
      <c r="B123" s="10"/>
      <c r="C123" s="12" t="str">
        <f aca="false">IF($B123="","",IFERROR(INDEX(반품접수!$E$3:$E$1002,MATCH($B123,반품접수!$A$3:$A$1002,0)),"접수번호없음"))</f>
        <v/>
      </c>
      <c r="D123" s="10"/>
      <c r="E123" s="14"/>
      <c r="F123" s="10"/>
      <c r="G123" s="16"/>
      <c r="H123" s="10"/>
    </row>
    <row r="124" customFormat="false" ht="15" hidden="false" customHeight="true" outlineLevel="0" collapsed="false">
      <c r="A124" s="13"/>
      <c r="B124" s="10"/>
      <c r="C124" s="12" t="str">
        <f aca="false">IF($B124="","",IFERROR(INDEX(반품접수!$E$3:$E$1002,MATCH($B124,반품접수!$A$3:$A$1002,0)),"접수번호없음"))</f>
        <v/>
      </c>
      <c r="D124" s="10"/>
      <c r="E124" s="14"/>
      <c r="F124" s="10"/>
      <c r="G124" s="16"/>
      <c r="H124" s="10"/>
    </row>
    <row r="125" customFormat="false" ht="15" hidden="false" customHeight="true" outlineLevel="0" collapsed="false">
      <c r="A125" s="13"/>
      <c r="B125" s="10"/>
      <c r="C125" s="12" t="str">
        <f aca="false">IF($B125="","",IFERROR(INDEX(반품접수!$E$3:$E$1002,MATCH($B125,반품접수!$A$3:$A$1002,0)),"접수번호없음"))</f>
        <v/>
      </c>
      <c r="D125" s="10"/>
      <c r="E125" s="14"/>
      <c r="F125" s="10"/>
      <c r="G125" s="16"/>
      <c r="H125" s="10"/>
    </row>
    <row r="126" customFormat="false" ht="15" hidden="false" customHeight="true" outlineLevel="0" collapsed="false">
      <c r="A126" s="13"/>
      <c r="B126" s="10"/>
      <c r="C126" s="12" t="str">
        <f aca="false">IF($B126="","",IFERROR(INDEX(반품접수!$E$3:$E$1002,MATCH($B126,반품접수!$A$3:$A$1002,0)),"접수번호없음"))</f>
        <v/>
      </c>
      <c r="D126" s="10"/>
      <c r="E126" s="14"/>
      <c r="F126" s="10"/>
      <c r="G126" s="16"/>
      <c r="H126" s="10"/>
    </row>
    <row r="127" customFormat="false" ht="15" hidden="false" customHeight="true" outlineLevel="0" collapsed="false">
      <c r="A127" s="13"/>
      <c r="B127" s="10"/>
      <c r="C127" s="12" t="str">
        <f aca="false">IF($B127="","",IFERROR(INDEX(반품접수!$E$3:$E$1002,MATCH($B127,반품접수!$A$3:$A$1002,0)),"접수번호없음"))</f>
        <v/>
      </c>
      <c r="D127" s="10"/>
      <c r="E127" s="14"/>
      <c r="F127" s="10"/>
      <c r="G127" s="16"/>
      <c r="H127" s="10"/>
    </row>
    <row r="128" customFormat="false" ht="15" hidden="false" customHeight="true" outlineLevel="0" collapsed="false">
      <c r="A128" s="13"/>
      <c r="B128" s="10"/>
      <c r="C128" s="12" t="str">
        <f aca="false">IF($B128="","",IFERROR(INDEX(반품접수!$E$3:$E$1002,MATCH($B128,반품접수!$A$3:$A$1002,0)),"접수번호없음"))</f>
        <v/>
      </c>
      <c r="D128" s="10"/>
      <c r="E128" s="14"/>
      <c r="F128" s="10"/>
      <c r="G128" s="16"/>
      <c r="H128" s="10"/>
    </row>
    <row r="129" customFormat="false" ht="15" hidden="false" customHeight="true" outlineLevel="0" collapsed="false">
      <c r="A129" s="13"/>
      <c r="B129" s="10"/>
      <c r="C129" s="12" t="str">
        <f aca="false">IF($B129="","",IFERROR(INDEX(반품접수!$E$3:$E$1002,MATCH($B129,반품접수!$A$3:$A$1002,0)),"접수번호없음"))</f>
        <v/>
      </c>
      <c r="D129" s="10"/>
      <c r="E129" s="14"/>
      <c r="F129" s="10"/>
      <c r="G129" s="16"/>
      <c r="H129" s="10"/>
    </row>
    <row r="130" customFormat="false" ht="15" hidden="false" customHeight="true" outlineLevel="0" collapsed="false">
      <c r="A130" s="13"/>
      <c r="B130" s="10"/>
      <c r="C130" s="12" t="str">
        <f aca="false">IF($B130="","",IFERROR(INDEX(반품접수!$E$3:$E$1002,MATCH($B130,반품접수!$A$3:$A$1002,0)),"접수번호없음"))</f>
        <v/>
      </c>
      <c r="D130" s="10"/>
      <c r="E130" s="14"/>
      <c r="F130" s="10"/>
      <c r="G130" s="16"/>
      <c r="H130" s="10"/>
    </row>
    <row r="131" customFormat="false" ht="15" hidden="false" customHeight="true" outlineLevel="0" collapsed="false">
      <c r="A131" s="13"/>
      <c r="B131" s="10"/>
      <c r="C131" s="12" t="str">
        <f aca="false">IF($B131="","",IFERROR(INDEX(반품접수!$E$3:$E$1002,MATCH($B131,반품접수!$A$3:$A$1002,0)),"접수번호없음"))</f>
        <v/>
      </c>
      <c r="D131" s="10"/>
      <c r="E131" s="14"/>
      <c r="F131" s="10"/>
      <c r="G131" s="16"/>
      <c r="H131" s="10"/>
    </row>
    <row r="132" customFormat="false" ht="15" hidden="false" customHeight="true" outlineLevel="0" collapsed="false">
      <c r="A132" s="13"/>
      <c r="B132" s="10"/>
      <c r="C132" s="12" t="str">
        <f aca="false">IF($B132="","",IFERROR(INDEX(반품접수!$E$3:$E$1002,MATCH($B132,반품접수!$A$3:$A$1002,0)),"접수번호없음"))</f>
        <v/>
      </c>
      <c r="D132" s="10"/>
      <c r="E132" s="14"/>
      <c r="F132" s="10"/>
      <c r="G132" s="16"/>
      <c r="H132" s="10"/>
    </row>
    <row r="133" customFormat="false" ht="15" hidden="false" customHeight="true" outlineLevel="0" collapsed="false">
      <c r="A133" s="13"/>
      <c r="B133" s="10"/>
      <c r="C133" s="12" t="str">
        <f aca="false">IF($B133="","",IFERROR(INDEX(반품접수!$E$3:$E$1002,MATCH($B133,반품접수!$A$3:$A$1002,0)),"접수번호없음"))</f>
        <v/>
      </c>
      <c r="D133" s="10"/>
      <c r="E133" s="14"/>
      <c r="F133" s="10"/>
      <c r="G133" s="16"/>
      <c r="H133" s="10"/>
    </row>
    <row r="134" customFormat="false" ht="15" hidden="false" customHeight="true" outlineLevel="0" collapsed="false">
      <c r="A134" s="13"/>
      <c r="B134" s="10"/>
      <c r="C134" s="12" t="str">
        <f aca="false">IF($B134="","",IFERROR(INDEX(반품접수!$E$3:$E$1002,MATCH($B134,반품접수!$A$3:$A$1002,0)),"접수번호없음"))</f>
        <v/>
      </c>
      <c r="D134" s="10"/>
      <c r="E134" s="14"/>
      <c r="F134" s="10"/>
      <c r="G134" s="16"/>
      <c r="H134" s="10"/>
    </row>
    <row r="135" customFormat="false" ht="15" hidden="false" customHeight="true" outlineLevel="0" collapsed="false">
      <c r="A135" s="13"/>
      <c r="B135" s="10"/>
      <c r="C135" s="12" t="str">
        <f aca="false">IF($B135="","",IFERROR(INDEX(반품접수!$E$3:$E$1002,MATCH($B135,반품접수!$A$3:$A$1002,0)),"접수번호없음"))</f>
        <v/>
      </c>
      <c r="D135" s="10"/>
      <c r="E135" s="14"/>
      <c r="F135" s="10"/>
      <c r="G135" s="16"/>
      <c r="H135" s="10"/>
    </row>
    <row r="136" customFormat="false" ht="15" hidden="false" customHeight="true" outlineLevel="0" collapsed="false">
      <c r="A136" s="13"/>
      <c r="B136" s="10"/>
      <c r="C136" s="12" t="str">
        <f aca="false">IF($B136="","",IFERROR(INDEX(반품접수!$E$3:$E$1002,MATCH($B136,반품접수!$A$3:$A$1002,0)),"접수번호없음"))</f>
        <v/>
      </c>
      <c r="D136" s="10"/>
      <c r="E136" s="14"/>
      <c r="F136" s="10"/>
      <c r="G136" s="16"/>
      <c r="H136" s="10"/>
    </row>
    <row r="137" customFormat="false" ht="15" hidden="false" customHeight="true" outlineLevel="0" collapsed="false">
      <c r="A137" s="13"/>
      <c r="B137" s="10"/>
      <c r="C137" s="12" t="str">
        <f aca="false">IF($B137="","",IFERROR(INDEX(반품접수!$E$3:$E$1002,MATCH($B137,반품접수!$A$3:$A$1002,0)),"접수번호없음"))</f>
        <v/>
      </c>
      <c r="D137" s="10"/>
      <c r="E137" s="14"/>
      <c r="F137" s="10"/>
      <c r="G137" s="16"/>
      <c r="H137" s="10"/>
    </row>
    <row r="138" customFormat="false" ht="15" hidden="false" customHeight="true" outlineLevel="0" collapsed="false">
      <c r="A138" s="13"/>
      <c r="B138" s="10"/>
      <c r="C138" s="12" t="str">
        <f aca="false">IF($B138="","",IFERROR(INDEX(반품접수!$E$3:$E$1002,MATCH($B138,반품접수!$A$3:$A$1002,0)),"접수번호없음"))</f>
        <v/>
      </c>
      <c r="D138" s="10"/>
      <c r="E138" s="14"/>
      <c r="F138" s="10"/>
      <c r="G138" s="16"/>
      <c r="H138" s="10"/>
    </row>
    <row r="139" customFormat="false" ht="15" hidden="false" customHeight="true" outlineLevel="0" collapsed="false">
      <c r="A139" s="13"/>
      <c r="B139" s="10"/>
      <c r="C139" s="12" t="str">
        <f aca="false">IF($B139="","",IFERROR(INDEX(반품접수!$E$3:$E$1002,MATCH($B139,반품접수!$A$3:$A$1002,0)),"접수번호없음"))</f>
        <v/>
      </c>
      <c r="D139" s="10"/>
      <c r="E139" s="14"/>
      <c r="F139" s="10"/>
      <c r="G139" s="16"/>
      <c r="H139" s="10"/>
    </row>
    <row r="140" customFormat="false" ht="15" hidden="false" customHeight="true" outlineLevel="0" collapsed="false">
      <c r="A140" s="13"/>
      <c r="B140" s="10"/>
      <c r="C140" s="12" t="str">
        <f aca="false">IF($B140="","",IFERROR(INDEX(반품접수!$E$3:$E$1002,MATCH($B140,반품접수!$A$3:$A$1002,0)),"접수번호없음"))</f>
        <v/>
      </c>
      <c r="D140" s="10"/>
      <c r="E140" s="14"/>
      <c r="F140" s="10"/>
      <c r="G140" s="16"/>
      <c r="H140" s="10"/>
    </row>
    <row r="141" customFormat="false" ht="15" hidden="false" customHeight="true" outlineLevel="0" collapsed="false">
      <c r="A141" s="13"/>
      <c r="B141" s="10"/>
      <c r="C141" s="12" t="str">
        <f aca="false">IF($B141="","",IFERROR(INDEX(반품접수!$E$3:$E$1002,MATCH($B141,반품접수!$A$3:$A$1002,0)),"접수번호없음"))</f>
        <v/>
      </c>
      <c r="D141" s="10"/>
      <c r="E141" s="14"/>
      <c r="F141" s="10"/>
      <c r="G141" s="16"/>
      <c r="H141" s="10"/>
    </row>
    <row r="142" customFormat="false" ht="15" hidden="false" customHeight="true" outlineLevel="0" collapsed="false">
      <c r="A142" s="13"/>
      <c r="B142" s="10"/>
      <c r="C142" s="12" t="str">
        <f aca="false">IF($B142="","",IFERROR(INDEX(반품접수!$E$3:$E$1002,MATCH($B142,반품접수!$A$3:$A$1002,0)),"접수번호없음"))</f>
        <v/>
      </c>
      <c r="D142" s="10"/>
      <c r="E142" s="14"/>
      <c r="F142" s="10"/>
      <c r="G142" s="16"/>
      <c r="H142" s="10"/>
    </row>
    <row r="143" customFormat="false" ht="15" hidden="false" customHeight="true" outlineLevel="0" collapsed="false">
      <c r="A143" s="13"/>
      <c r="B143" s="10"/>
      <c r="C143" s="12" t="str">
        <f aca="false">IF($B143="","",IFERROR(INDEX(반품접수!$E$3:$E$1002,MATCH($B143,반품접수!$A$3:$A$1002,0)),"접수번호없음"))</f>
        <v/>
      </c>
      <c r="D143" s="10"/>
      <c r="E143" s="14"/>
      <c r="F143" s="10"/>
      <c r="G143" s="16"/>
      <c r="H143" s="10"/>
    </row>
    <row r="144" customFormat="false" ht="15" hidden="false" customHeight="true" outlineLevel="0" collapsed="false">
      <c r="A144" s="13"/>
      <c r="B144" s="10"/>
      <c r="C144" s="12" t="str">
        <f aca="false">IF($B144="","",IFERROR(INDEX(반품접수!$E$3:$E$1002,MATCH($B144,반품접수!$A$3:$A$1002,0)),"접수번호없음"))</f>
        <v/>
      </c>
      <c r="D144" s="10"/>
      <c r="E144" s="14"/>
      <c r="F144" s="10"/>
      <c r="G144" s="16"/>
      <c r="H144" s="10"/>
    </row>
    <row r="145" customFormat="false" ht="15" hidden="false" customHeight="true" outlineLevel="0" collapsed="false">
      <c r="A145" s="13"/>
      <c r="B145" s="10"/>
      <c r="C145" s="12" t="str">
        <f aca="false">IF($B145="","",IFERROR(INDEX(반품접수!$E$3:$E$1002,MATCH($B145,반품접수!$A$3:$A$1002,0)),"접수번호없음"))</f>
        <v/>
      </c>
      <c r="D145" s="10"/>
      <c r="E145" s="14"/>
      <c r="F145" s="10"/>
      <c r="G145" s="16"/>
      <c r="H145" s="10"/>
    </row>
    <row r="146" customFormat="false" ht="15" hidden="false" customHeight="true" outlineLevel="0" collapsed="false">
      <c r="A146" s="13"/>
      <c r="B146" s="10"/>
      <c r="C146" s="12" t="str">
        <f aca="false">IF($B146="","",IFERROR(INDEX(반품접수!$E$3:$E$1002,MATCH($B146,반품접수!$A$3:$A$1002,0)),"접수번호없음"))</f>
        <v/>
      </c>
      <c r="D146" s="10"/>
      <c r="E146" s="14"/>
      <c r="F146" s="10"/>
      <c r="G146" s="16"/>
      <c r="H146" s="10"/>
    </row>
    <row r="147" customFormat="false" ht="15" hidden="false" customHeight="true" outlineLevel="0" collapsed="false">
      <c r="A147" s="13"/>
      <c r="B147" s="10"/>
      <c r="C147" s="12" t="str">
        <f aca="false">IF($B147="","",IFERROR(INDEX(반품접수!$E$3:$E$1002,MATCH($B147,반품접수!$A$3:$A$1002,0)),"접수번호없음"))</f>
        <v/>
      </c>
      <c r="D147" s="10"/>
      <c r="E147" s="14"/>
      <c r="F147" s="10"/>
      <c r="G147" s="16"/>
      <c r="H147" s="10"/>
    </row>
    <row r="148" customFormat="false" ht="15" hidden="false" customHeight="true" outlineLevel="0" collapsed="false">
      <c r="A148" s="13"/>
      <c r="B148" s="10"/>
      <c r="C148" s="12" t="str">
        <f aca="false">IF($B148="","",IFERROR(INDEX(반품접수!$E$3:$E$1002,MATCH($B148,반품접수!$A$3:$A$1002,0)),"접수번호없음"))</f>
        <v/>
      </c>
      <c r="D148" s="10"/>
      <c r="E148" s="14"/>
      <c r="F148" s="10"/>
      <c r="G148" s="16"/>
      <c r="H148" s="10"/>
    </row>
    <row r="149" customFormat="false" ht="15" hidden="false" customHeight="true" outlineLevel="0" collapsed="false">
      <c r="A149" s="13"/>
      <c r="B149" s="10"/>
      <c r="C149" s="12" t="str">
        <f aca="false">IF($B149="","",IFERROR(INDEX(반품접수!$E$3:$E$1002,MATCH($B149,반품접수!$A$3:$A$1002,0)),"접수번호없음"))</f>
        <v/>
      </c>
      <c r="D149" s="10"/>
      <c r="E149" s="14"/>
      <c r="F149" s="10"/>
      <c r="G149" s="16"/>
      <c r="H149" s="10"/>
    </row>
    <row r="150" customFormat="false" ht="15" hidden="false" customHeight="true" outlineLevel="0" collapsed="false">
      <c r="A150" s="13"/>
      <c r="B150" s="10"/>
      <c r="C150" s="12" t="str">
        <f aca="false">IF($B150="","",IFERROR(INDEX(반품접수!$E$3:$E$1002,MATCH($B150,반품접수!$A$3:$A$1002,0)),"접수번호없음"))</f>
        <v/>
      </c>
      <c r="D150" s="10"/>
      <c r="E150" s="14"/>
      <c r="F150" s="10"/>
      <c r="G150" s="16"/>
      <c r="H150" s="10"/>
    </row>
    <row r="151" customFormat="false" ht="15" hidden="false" customHeight="true" outlineLevel="0" collapsed="false">
      <c r="A151" s="13"/>
      <c r="B151" s="10"/>
      <c r="C151" s="12" t="str">
        <f aca="false">IF($B151="","",IFERROR(INDEX(반품접수!$E$3:$E$1002,MATCH($B151,반품접수!$A$3:$A$1002,0)),"접수번호없음"))</f>
        <v/>
      </c>
      <c r="D151" s="10"/>
      <c r="E151" s="14"/>
      <c r="F151" s="10"/>
      <c r="G151" s="16"/>
      <c r="H151" s="10"/>
    </row>
    <row r="152" customFormat="false" ht="15" hidden="false" customHeight="true" outlineLevel="0" collapsed="false">
      <c r="A152" s="13"/>
      <c r="B152" s="10"/>
      <c r="C152" s="12" t="str">
        <f aca="false">IF($B152="","",IFERROR(INDEX(반품접수!$E$3:$E$1002,MATCH($B152,반품접수!$A$3:$A$1002,0)),"접수번호없음"))</f>
        <v/>
      </c>
      <c r="D152" s="10"/>
      <c r="E152" s="14"/>
      <c r="F152" s="10"/>
      <c r="G152" s="16"/>
      <c r="H152" s="10"/>
    </row>
    <row r="153" customFormat="false" ht="15" hidden="false" customHeight="true" outlineLevel="0" collapsed="false">
      <c r="A153" s="13"/>
      <c r="B153" s="10"/>
      <c r="C153" s="12" t="str">
        <f aca="false">IF($B153="","",IFERROR(INDEX(반품접수!$E$3:$E$1002,MATCH($B153,반품접수!$A$3:$A$1002,0)),"접수번호없음"))</f>
        <v/>
      </c>
      <c r="D153" s="10"/>
      <c r="E153" s="14"/>
      <c r="F153" s="10"/>
      <c r="G153" s="16"/>
      <c r="H153" s="10"/>
    </row>
    <row r="154" customFormat="false" ht="15" hidden="false" customHeight="true" outlineLevel="0" collapsed="false">
      <c r="A154" s="13"/>
      <c r="B154" s="10"/>
      <c r="C154" s="12" t="str">
        <f aca="false">IF($B154="","",IFERROR(INDEX(반품접수!$E$3:$E$1002,MATCH($B154,반품접수!$A$3:$A$1002,0)),"접수번호없음"))</f>
        <v/>
      </c>
      <c r="D154" s="10"/>
      <c r="E154" s="14"/>
      <c r="F154" s="10"/>
      <c r="G154" s="16"/>
      <c r="H154" s="10"/>
    </row>
    <row r="155" customFormat="false" ht="15" hidden="false" customHeight="true" outlineLevel="0" collapsed="false">
      <c r="A155" s="13"/>
      <c r="B155" s="10"/>
      <c r="C155" s="12" t="str">
        <f aca="false">IF($B155="","",IFERROR(INDEX(반품접수!$E$3:$E$1002,MATCH($B155,반품접수!$A$3:$A$1002,0)),"접수번호없음"))</f>
        <v/>
      </c>
      <c r="D155" s="10"/>
      <c r="E155" s="14"/>
      <c r="F155" s="10"/>
      <c r="G155" s="16"/>
      <c r="H155" s="10"/>
    </row>
    <row r="156" customFormat="false" ht="15" hidden="false" customHeight="true" outlineLevel="0" collapsed="false">
      <c r="A156" s="13"/>
      <c r="B156" s="10"/>
      <c r="C156" s="12" t="str">
        <f aca="false">IF($B156="","",IFERROR(INDEX(반품접수!$E$3:$E$1002,MATCH($B156,반품접수!$A$3:$A$1002,0)),"접수번호없음"))</f>
        <v/>
      </c>
      <c r="D156" s="10"/>
      <c r="E156" s="14"/>
      <c r="F156" s="10"/>
      <c r="G156" s="16"/>
      <c r="H156" s="10"/>
    </row>
    <row r="157" customFormat="false" ht="15" hidden="false" customHeight="true" outlineLevel="0" collapsed="false">
      <c r="A157" s="13"/>
      <c r="B157" s="10"/>
      <c r="C157" s="12" t="str">
        <f aca="false">IF($B157="","",IFERROR(INDEX(반품접수!$E$3:$E$1002,MATCH($B157,반품접수!$A$3:$A$1002,0)),"접수번호없음"))</f>
        <v/>
      </c>
      <c r="D157" s="10"/>
      <c r="E157" s="14"/>
      <c r="F157" s="10"/>
      <c r="G157" s="16"/>
      <c r="H157" s="10"/>
    </row>
    <row r="158" customFormat="false" ht="15" hidden="false" customHeight="true" outlineLevel="0" collapsed="false">
      <c r="A158" s="13"/>
      <c r="B158" s="10"/>
      <c r="C158" s="12" t="str">
        <f aca="false">IF($B158="","",IFERROR(INDEX(반품접수!$E$3:$E$1002,MATCH($B158,반품접수!$A$3:$A$1002,0)),"접수번호없음"))</f>
        <v/>
      </c>
      <c r="D158" s="10"/>
      <c r="E158" s="14"/>
      <c r="F158" s="10"/>
      <c r="G158" s="16"/>
      <c r="H158" s="10"/>
    </row>
    <row r="159" customFormat="false" ht="15" hidden="false" customHeight="true" outlineLevel="0" collapsed="false">
      <c r="A159" s="13"/>
      <c r="B159" s="10"/>
      <c r="C159" s="12" t="str">
        <f aca="false">IF($B159="","",IFERROR(INDEX(반품접수!$E$3:$E$1002,MATCH($B159,반품접수!$A$3:$A$1002,0)),"접수번호없음"))</f>
        <v/>
      </c>
      <c r="D159" s="10"/>
      <c r="E159" s="14"/>
      <c r="F159" s="10"/>
      <c r="G159" s="16"/>
      <c r="H159" s="10"/>
    </row>
    <row r="160" customFormat="false" ht="15" hidden="false" customHeight="true" outlineLevel="0" collapsed="false">
      <c r="A160" s="13"/>
      <c r="B160" s="10"/>
      <c r="C160" s="12" t="str">
        <f aca="false">IF($B160="","",IFERROR(INDEX(반품접수!$E$3:$E$1002,MATCH($B160,반품접수!$A$3:$A$1002,0)),"접수번호없음"))</f>
        <v/>
      </c>
      <c r="D160" s="10"/>
      <c r="E160" s="14"/>
      <c r="F160" s="10"/>
      <c r="G160" s="16"/>
      <c r="H160" s="10"/>
    </row>
    <row r="161" customFormat="false" ht="15" hidden="false" customHeight="true" outlineLevel="0" collapsed="false">
      <c r="A161" s="13"/>
      <c r="B161" s="10"/>
      <c r="C161" s="12" t="str">
        <f aca="false">IF($B161="","",IFERROR(INDEX(반품접수!$E$3:$E$1002,MATCH($B161,반품접수!$A$3:$A$1002,0)),"접수번호없음"))</f>
        <v/>
      </c>
      <c r="D161" s="10"/>
      <c r="E161" s="14"/>
      <c r="F161" s="10"/>
      <c r="G161" s="16"/>
      <c r="H161" s="10"/>
    </row>
    <row r="162" customFormat="false" ht="15" hidden="false" customHeight="true" outlineLevel="0" collapsed="false">
      <c r="A162" s="13"/>
      <c r="B162" s="10"/>
      <c r="C162" s="12" t="str">
        <f aca="false">IF($B162="","",IFERROR(INDEX(반품접수!$E$3:$E$1002,MATCH($B162,반품접수!$A$3:$A$1002,0)),"접수번호없음"))</f>
        <v/>
      </c>
      <c r="D162" s="10"/>
      <c r="E162" s="14"/>
      <c r="F162" s="10"/>
      <c r="G162" s="16"/>
      <c r="H162" s="10"/>
    </row>
    <row r="163" customFormat="false" ht="15" hidden="false" customHeight="true" outlineLevel="0" collapsed="false">
      <c r="A163" s="13"/>
      <c r="B163" s="10"/>
      <c r="C163" s="12" t="str">
        <f aca="false">IF($B163="","",IFERROR(INDEX(반품접수!$E$3:$E$1002,MATCH($B163,반품접수!$A$3:$A$1002,0)),"접수번호없음"))</f>
        <v/>
      </c>
      <c r="D163" s="10"/>
      <c r="E163" s="14"/>
      <c r="F163" s="10"/>
      <c r="G163" s="16"/>
      <c r="H163" s="10"/>
    </row>
    <row r="164" customFormat="false" ht="15" hidden="false" customHeight="true" outlineLevel="0" collapsed="false">
      <c r="A164" s="13"/>
      <c r="B164" s="10"/>
      <c r="C164" s="12" t="str">
        <f aca="false">IF($B164="","",IFERROR(INDEX(반품접수!$E$3:$E$1002,MATCH($B164,반품접수!$A$3:$A$1002,0)),"접수번호없음"))</f>
        <v/>
      </c>
      <c r="D164" s="10"/>
      <c r="E164" s="14"/>
      <c r="F164" s="10"/>
      <c r="G164" s="16"/>
      <c r="H164" s="10"/>
    </row>
    <row r="165" customFormat="false" ht="15" hidden="false" customHeight="true" outlineLevel="0" collapsed="false">
      <c r="A165" s="13"/>
      <c r="B165" s="10"/>
      <c r="C165" s="12" t="str">
        <f aca="false">IF($B165="","",IFERROR(INDEX(반품접수!$E$3:$E$1002,MATCH($B165,반품접수!$A$3:$A$1002,0)),"접수번호없음"))</f>
        <v/>
      </c>
      <c r="D165" s="10"/>
      <c r="E165" s="14"/>
      <c r="F165" s="10"/>
      <c r="G165" s="16"/>
      <c r="H165" s="10"/>
    </row>
    <row r="166" customFormat="false" ht="15" hidden="false" customHeight="true" outlineLevel="0" collapsed="false">
      <c r="A166" s="13"/>
      <c r="B166" s="10"/>
      <c r="C166" s="12" t="str">
        <f aca="false">IF($B166="","",IFERROR(INDEX(반품접수!$E$3:$E$1002,MATCH($B166,반품접수!$A$3:$A$1002,0)),"접수번호없음"))</f>
        <v/>
      </c>
      <c r="D166" s="10"/>
      <c r="E166" s="14"/>
      <c r="F166" s="10"/>
      <c r="G166" s="16"/>
      <c r="H166" s="10"/>
    </row>
    <row r="167" customFormat="false" ht="15" hidden="false" customHeight="true" outlineLevel="0" collapsed="false">
      <c r="A167" s="13"/>
      <c r="B167" s="10"/>
      <c r="C167" s="12" t="str">
        <f aca="false">IF($B167="","",IFERROR(INDEX(반품접수!$E$3:$E$1002,MATCH($B167,반품접수!$A$3:$A$1002,0)),"접수번호없음"))</f>
        <v/>
      </c>
      <c r="D167" s="10"/>
      <c r="E167" s="14"/>
      <c r="F167" s="10"/>
      <c r="G167" s="16"/>
      <c r="H167" s="10"/>
    </row>
    <row r="168" customFormat="false" ht="15" hidden="false" customHeight="true" outlineLevel="0" collapsed="false">
      <c r="A168" s="13"/>
      <c r="B168" s="10"/>
      <c r="C168" s="12" t="str">
        <f aca="false">IF($B168="","",IFERROR(INDEX(반품접수!$E$3:$E$1002,MATCH($B168,반품접수!$A$3:$A$1002,0)),"접수번호없음"))</f>
        <v/>
      </c>
      <c r="D168" s="10"/>
      <c r="E168" s="14"/>
      <c r="F168" s="10"/>
      <c r="G168" s="16"/>
      <c r="H168" s="10"/>
    </row>
    <row r="169" customFormat="false" ht="15" hidden="false" customHeight="true" outlineLevel="0" collapsed="false">
      <c r="A169" s="13"/>
      <c r="B169" s="10"/>
      <c r="C169" s="12" t="str">
        <f aca="false">IF($B169="","",IFERROR(INDEX(반품접수!$E$3:$E$1002,MATCH($B169,반품접수!$A$3:$A$1002,0)),"접수번호없음"))</f>
        <v/>
      </c>
      <c r="D169" s="10"/>
      <c r="E169" s="14"/>
      <c r="F169" s="10"/>
      <c r="G169" s="16"/>
      <c r="H169" s="10"/>
    </row>
    <row r="170" customFormat="false" ht="15" hidden="false" customHeight="true" outlineLevel="0" collapsed="false">
      <c r="A170" s="13"/>
      <c r="B170" s="10"/>
      <c r="C170" s="12" t="str">
        <f aca="false">IF($B170="","",IFERROR(INDEX(반품접수!$E$3:$E$1002,MATCH($B170,반품접수!$A$3:$A$1002,0)),"접수번호없음"))</f>
        <v/>
      </c>
      <c r="D170" s="10"/>
      <c r="E170" s="14"/>
      <c r="F170" s="10"/>
      <c r="G170" s="16"/>
      <c r="H170" s="10"/>
    </row>
    <row r="171" customFormat="false" ht="15" hidden="false" customHeight="true" outlineLevel="0" collapsed="false">
      <c r="A171" s="13"/>
      <c r="B171" s="10"/>
      <c r="C171" s="12" t="str">
        <f aca="false">IF($B171="","",IFERROR(INDEX(반품접수!$E$3:$E$1002,MATCH($B171,반품접수!$A$3:$A$1002,0)),"접수번호없음"))</f>
        <v/>
      </c>
      <c r="D171" s="10"/>
      <c r="E171" s="14"/>
      <c r="F171" s="10"/>
      <c r="G171" s="16"/>
      <c r="H171" s="10"/>
    </row>
    <row r="172" customFormat="false" ht="15" hidden="false" customHeight="true" outlineLevel="0" collapsed="false">
      <c r="A172" s="13"/>
      <c r="B172" s="10"/>
      <c r="C172" s="12" t="str">
        <f aca="false">IF($B172="","",IFERROR(INDEX(반품접수!$E$3:$E$1002,MATCH($B172,반품접수!$A$3:$A$1002,0)),"접수번호없음"))</f>
        <v/>
      </c>
      <c r="D172" s="10"/>
      <c r="E172" s="14"/>
      <c r="F172" s="10"/>
      <c r="G172" s="16"/>
      <c r="H172" s="10"/>
    </row>
    <row r="173" customFormat="false" ht="15" hidden="false" customHeight="true" outlineLevel="0" collapsed="false">
      <c r="A173" s="13"/>
      <c r="B173" s="10"/>
      <c r="C173" s="12" t="str">
        <f aca="false">IF($B173="","",IFERROR(INDEX(반품접수!$E$3:$E$1002,MATCH($B173,반품접수!$A$3:$A$1002,0)),"접수번호없음"))</f>
        <v/>
      </c>
      <c r="D173" s="10"/>
      <c r="E173" s="14"/>
      <c r="F173" s="10"/>
      <c r="G173" s="16"/>
      <c r="H173" s="10"/>
    </row>
    <row r="174" customFormat="false" ht="15" hidden="false" customHeight="true" outlineLevel="0" collapsed="false">
      <c r="A174" s="13"/>
      <c r="B174" s="10"/>
      <c r="C174" s="12" t="str">
        <f aca="false">IF($B174="","",IFERROR(INDEX(반품접수!$E$3:$E$1002,MATCH($B174,반품접수!$A$3:$A$1002,0)),"접수번호없음"))</f>
        <v/>
      </c>
      <c r="D174" s="10"/>
      <c r="E174" s="14"/>
      <c r="F174" s="10"/>
      <c r="G174" s="16"/>
      <c r="H174" s="10"/>
    </row>
    <row r="175" customFormat="false" ht="15" hidden="false" customHeight="true" outlineLevel="0" collapsed="false">
      <c r="A175" s="13"/>
      <c r="B175" s="10"/>
      <c r="C175" s="12" t="str">
        <f aca="false">IF($B175="","",IFERROR(INDEX(반품접수!$E$3:$E$1002,MATCH($B175,반품접수!$A$3:$A$1002,0)),"접수번호없음"))</f>
        <v/>
      </c>
      <c r="D175" s="10"/>
      <c r="E175" s="14"/>
      <c r="F175" s="10"/>
      <c r="G175" s="16"/>
      <c r="H175" s="10"/>
    </row>
    <row r="176" customFormat="false" ht="15" hidden="false" customHeight="true" outlineLevel="0" collapsed="false">
      <c r="A176" s="13"/>
      <c r="B176" s="10"/>
      <c r="C176" s="12" t="str">
        <f aca="false">IF($B176="","",IFERROR(INDEX(반품접수!$E$3:$E$1002,MATCH($B176,반품접수!$A$3:$A$1002,0)),"접수번호없음"))</f>
        <v/>
      </c>
      <c r="D176" s="10"/>
      <c r="E176" s="14"/>
      <c r="F176" s="10"/>
      <c r="G176" s="16"/>
      <c r="H176" s="10"/>
    </row>
    <row r="177" customFormat="false" ht="15" hidden="false" customHeight="true" outlineLevel="0" collapsed="false">
      <c r="A177" s="13"/>
      <c r="B177" s="10"/>
      <c r="C177" s="12" t="str">
        <f aca="false">IF($B177="","",IFERROR(INDEX(반품접수!$E$3:$E$1002,MATCH($B177,반품접수!$A$3:$A$1002,0)),"접수번호없음"))</f>
        <v/>
      </c>
      <c r="D177" s="10"/>
      <c r="E177" s="14"/>
      <c r="F177" s="10"/>
      <c r="G177" s="16"/>
      <c r="H177" s="10"/>
    </row>
    <row r="178" customFormat="false" ht="15" hidden="false" customHeight="true" outlineLevel="0" collapsed="false">
      <c r="A178" s="13"/>
      <c r="B178" s="10"/>
      <c r="C178" s="12" t="str">
        <f aca="false">IF($B178="","",IFERROR(INDEX(반품접수!$E$3:$E$1002,MATCH($B178,반품접수!$A$3:$A$1002,0)),"접수번호없음"))</f>
        <v/>
      </c>
      <c r="D178" s="10"/>
      <c r="E178" s="14"/>
      <c r="F178" s="10"/>
      <c r="G178" s="16"/>
      <c r="H178" s="10"/>
    </row>
    <row r="179" customFormat="false" ht="15" hidden="false" customHeight="true" outlineLevel="0" collapsed="false">
      <c r="A179" s="13"/>
      <c r="B179" s="10"/>
      <c r="C179" s="12" t="str">
        <f aca="false">IF($B179="","",IFERROR(INDEX(반품접수!$E$3:$E$1002,MATCH($B179,반품접수!$A$3:$A$1002,0)),"접수번호없음"))</f>
        <v/>
      </c>
      <c r="D179" s="10"/>
      <c r="E179" s="14"/>
      <c r="F179" s="10"/>
      <c r="G179" s="16"/>
      <c r="H179" s="10"/>
    </row>
    <row r="180" customFormat="false" ht="15" hidden="false" customHeight="true" outlineLevel="0" collapsed="false">
      <c r="A180" s="13"/>
      <c r="B180" s="10"/>
      <c r="C180" s="12" t="str">
        <f aca="false">IF($B180="","",IFERROR(INDEX(반품접수!$E$3:$E$1002,MATCH($B180,반품접수!$A$3:$A$1002,0)),"접수번호없음"))</f>
        <v/>
      </c>
      <c r="D180" s="10"/>
      <c r="E180" s="14"/>
      <c r="F180" s="10"/>
      <c r="G180" s="16"/>
      <c r="H180" s="10"/>
    </row>
    <row r="181" customFormat="false" ht="15" hidden="false" customHeight="true" outlineLevel="0" collapsed="false">
      <c r="A181" s="13"/>
      <c r="B181" s="10"/>
      <c r="C181" s="12" t="str">
        <f aca="false">IF($B181="","",IFERROR(INDEX(반품접수!$E$3:$E$1002,MATCH($B181,반품접수!$A$3:$A$1002,0)),"접수번호없음"))</f>
        <v/>
      </c>
      <c r="D181" s="10"/>
      <c r="E181" s="14"/>
      <c r="F181" s="10"/>
      <c r="G181" s="16"/>
      <c r="H181" s="10"/>
    </row>
    <row r="182" customFormat="false" ht="15" hidden="false" customHeight="true" outlineLevel="0" collapsed="false">
      <c r="A182" s="13"/>
      <c r="B182" s="10"/>
      <c r="C182" s="12" t="str">
        <f aca="false">IF($B182="","",IFERROR(INDEX(반품접수!$E$3:$E$1002,MATCH($B182,반품접수!$A$3:$A$1002,0)),"접수번호없음"))</f>
        <v/>
      </c>
      <c r="D182" s="10"/>
      <c r="E182" s="14"/>
      <c r="F182" s="10"/>
      <c r="G182" s="16"/>
      <c r="H182" s="10"/>
    </row>
    <row r="183" customFormat="false" ht="15" hidden="false" customHeight="true" outlineLevel="0" collapsed="false">
      <c r="A183" s="13"/>
      <c r="B183" s="10"/>
      <c r="C183" s="12" t="str">
        <f aca="false">IF($B183="","",IFERROR(INDEX(반품접수!$E$3:$E$1002,MATCH($B183,반품접수!$A$3:$A$1002,0)),"접수번호없음"))</f>
        <v/>
      </c>
      <c r="D183" s="10"/>
      <c r="E183" s="14"/>
      <c r="F183" s="10"/>
      <c r="G183" s="16"/>
      <c r="H183" s="10"/>
    </row>
    <row r="184" customFormat="false" ht="15" hidden="false" customHeight="true" outlineLevel="0" collapsed="false">
      <c r="A184" s="13"/>
      <c r="B184" s="10"/>
      <c r="C184" s="12" t="str">
        <f aca="false">IF($B184="","",IFERROR(INDEX(반품접수!$E$3:$E$1002,MATCH($B184,반품접수!$A$3:$A$1002,0)),"접수번호없음"))</f>
        <v/>
      </c>
      <c r="D184" s="10"/>
      <c r="E184" s="14"/>
      <c r="F184" s="10"/>
      <c r="G184" s="16"/>
      <c r="H184" s="10"/>
    </row>
    <row r="185" customFormat="false" ht="15" hidden="false" customHeight="true" outlineLevel="0" collapsed="false">
      <c r="A185" s="13"/>
      <c r="B185" s="10"/>
      <c r="C185" s="12" t="str">
        <f aca="false">IF($B185="","",IFERROR(INDEX(반품접수!$E$3:$E$1002,MATCH($B185,반품접수!$A$3:$A$1002,0)),"접수번호없음"))</f>
        <v/>
      </c>
      <c r="D185" s="10"/>
      <c r="E185" s="14"/>
      <c r="F185" s="10"/>
      <c r="G185" s="16"/>
      <c r="H185" s="10"/>
    </row>
    <row r="186" customFormat="false" ht="15" hidden="false" customHeight="true" outlineLevel="0" collapsed="false">
      <c r="A186" s="13"/>
      <c r="B186" s="10"/>
      <c r="C186" s="12" t="str">
        <f aca="false">IF($B186="","",IFERROR(INDEX(반품접수!$E$3:$E$1002,MATCH($B186,반품접수!$A$3:$A$1002,0)),"접수번호없음"))</f>
        <v/>
      </c>
      <c r="D186" s="10"/>
      <c r="E186" s="14"/>
      <c r="F186" s="10"/>
      <c r="G186" s="16"/>
      <c r="H186" s="10"/>
    </row>
    <row r="187" customFormat="false" ht="15" hidden="false" customHeight="true" outlineLevel="0" collapsed="false">
      <c r="A187" s="13"/>
      <c r="B187" s="10"/>
      <c r="C187" s="12" t="str">
        <f aca="false">IF($B187="","",IFERROR(INDEX(반품접수!$E$3:$E$1002,MATCH($B187,반품접수!$A$3:$A$1002,0)),"접수번호없음"))</f>
        <v/>
      </c>
      <c r="D187" s="10"/>
      <c r="E187" s="14"/>
      <c r="F187" s="10"/>
      <c r="G187" s="16"/>
      <c r="H187" s="10"/>
    </row>
    <row r="188" customFormat="false" ht="15" hidden="false" customHeight="true" outlineLevel="0" collapsed="false">
      <c r="A188" s="13"/>
      <c r="B188" s="10"/>
      <c r="C188" s="12" t="str">
        <f aca="false">IF($B188="","",IFERROR(INDEX(반품접수!$E$3:$E$1002,MATCH($B188,반품접수!$A$3:$A$1002,0)),"접수번호없음"))</f>
        <v/>
      </c>
      <c r="D188" s="10"/>
      <c r="E188" s="14"/>
      <c r="F188" s="10"/>
      <c r="G188" s="16"/>
      <c r="H188" s="10"/>
    </row>
    <row r="189" customFormat="false" ht="15" hidden="false" customHeight="true" outlineLevel="0" collapsed="false">
      <c r="A189" s="13"/>
      <c r="B189" s="10"/>
      <c r="C189" s="12" t="str">
        <f aca="false">IF($B189="","",IFERROR(INDEX(반품접수!$E$3:$E$1002,MATCH($B189,반품접수!$A$3:$A$1002,0)),"접수번호없음"))</f>
        <v/>
      </c>
      <c r="D189" s="10"/>
      <c r="E189" s="14"/>
      <c r="F189" s="10"/>
      <c r="G189" s="16"/>
      <c r="H189" s="10"/>
    </row>
    <row r="190" customFormat="false" ht="15" hidden="false" customHeight="true" outlineLevel="0" collapsed="false">
      <c r="A190" s="13"/>
      <c r="B190" s="10"/>
      <c r="C190" s="12" t="str">
        <f aca="false">IF($B190="","",IFERROR(INDEX(반품접수!$E$3:$E$1002,MATCH($B190,반품접수!$A$3:$A$1002,0)),"접수번호없음"))</f>
        <v/>
      </c>
      <c r="D190" s="10"/>
      <c r="E190" s="14"/>
      <c r="F190" s="10"/>
      <c r="G190" s="16"/>
      <c r="H190" s="10"/>
    </row>
    <row r="191" customFormat="false" ht="15" hidden="false" customHeight="true" outlineLevel="0" collapsed="false">
      <c r="A191" s="13"/>
      <c r="B191" s="10"/>
      <c r="C191" s="12" t="str">
        <f aca="false">IF($B191="","",IFERROR(INDEX(반품접수!$E$3:$E$1002,MATCH($B191,반품접수!$A$3:$A$1002,0)),"접수번호없음"))</f>
        <v/>
      </c>
      <c r="D191" s="10"/>
      <c r="E191" s="14"/>
      <c r="F191" s="10"/>
      <c r="G191" s="16"/>
      <c r="H191" s="10"/>
    </row>
    <row r="192" customFormat="false" ht="15" hidden="false" customHeight="true" outlineLevel="0" collapsed="false">
      <c r="A192" s="13"/>
      <c r="B192" s="10"/>
      <c r="C192" s="12" t="str">
        <f aca="false">IF($B192="","",IFERROR(INDEX(반품접수!$E$3:$E$1002,MATCH($B192,반품접수!$A$3:$A$1002,0)),"접수번호없음"))</f>
        <v/>
      </c>
      <c r="D192" s="10"/>
      <c r="E192" s="14"/>
      <c r="F192" s="10"/>
      <c r="G192" s="16"/>
      <c r="H192" s="10"/>
    </row>
    <row r="193" customFormat="false" ht="15" hidden="false" customHeight="true" outlineLevel="0" collapsed="false">
      <c r="A193" s="13"/>
      <c r="B193" s="10"/>
      <c r="C193" s="12" t="str">
        <f aca="false">IF($B193="","",IFERROR(INDEX(반품접수!$E$3:$E$1002,MATCH($B193,반품접수!$A$3:$A$1002,0)),"접수번호없음"))</f>
        <v/>
      </c>
      <c r="D193" s="10"/>
      <c r="E193" s="14"/>
      <c r="F193" s="10"/>
      <c r="G193" s="16"/>
      <c r="H193" s="10"/>
    </row>
    <row r="194" customFormat="false" ht="15" hidden="false" customHeight="true" outlineLevel="0" collapsed="false">
      <c r="A194" s="13"/>
      <c r="B194" s="10"/>
      <c r="C194" s="12" t="str">
        <f aca="false">IF($B194="","",IFERROR(INDEX(반품접수!$E$3:$E$1002,MATCH($B194,반품접수!$A$3:$A$1002,0)),"접수번호없음"))</f>
        <v/>
      </c>
      <c r="D194" s="10"/>
      <c r="E194" s="14"/>
      <c r="F194" s="10"/>
      <c r="G194" s="16"/>
      <c r="H194" s="10"/>
    </row>
    <row r="195" customFormat="false" ht="15" hidden="false" customHeight="true" outlineLevel="0" collapsed="false">
      <c r="A195" s="13"/>
      <c r="B195" s="10"/>
      <c r="C195" s="12" t="str">
        <f aca="false">IF($B195="","",IFERROR(INDEX(반품접수!$E$3:$E$1002,MATCH($B195,반품접수!$A$3:$A$1002,0)),"접수번호없음"))</f>
        <v/>
      </c>
      <c r="D195" s="10"/>
      <c r="E195" s="14"/>
      <c r="F195" s="10"/>
      <c r="G195" s="16"/>
      <c r="H195" s="10"/>
    </row>
    <row r="196" customFormat="false" ht="15" hidden="false" customHeight="true" outlineLevel="0" collapsed="false">
      <c r="A196" s="13"/>
      <c r="B196" s="10"/>
      <c r="C196" s="12" t="str">
        <f aca="false">IF($B196="","",IFERROR(INDEX(반품접수!$E$3:$E$1002,MATCH($B196,반품접수!$A$3:$A$1002,0)),"접수번호없음"))</f>
        <v/>
      </c>
      <c r="D196" s="10"/>
      <c r="E196" s="14"/>
      <c r="F196" s="10"/>
      <c r="G196" s="16"/>
      <c r="H196" s="10"/>
    </row>
    <row r="197" customFormat="false" ht="15" hidden="false" customHeight="true" outlineLevel="0" collapsed="false">
      <c r="A197" s="13"/>
      <c r="B197" s="10"/>
      <c r="C197" s="12" t="str">
        <f aca="false">IF($B197="","",IFERROR(INDEX(반품접수!$E$3:$E$1002,MATCH($B197,반품접수!$A$3:$A$1002,0)),"접수번호없음"))</f>
        <v/>
      </c>
      <c r="D197" s="10"/>
      <c r="E197" s="14"/>
      <c r="F197" s="10"/>
      <c r="G197" s="16"/>
      <c r="H197" s="10"/>
    </row>
    <row r="198" customFormat="false" ht="15" hidden="false" customHeight="true" outlineLevel="0" collapsed="false">
      <c r="A198" s="13"/>
      <c r="B198" s="10"/>
      <c r="C198" s="12" t="str">
        <f aca="false">IF($B198="","",IFERROR(INDEX(반품접수!$E$3:$E$1002,MATCH($B198,반품접수!$A$3:$A$1002,0)),"접수번호없음"))</f>
        <v/>
      </c>
      <c r="D198" s="10"/>
      <c r="E198" s="14"/>
      <c r="F198" s="10"/>
      <c r="G198" s="16"/>
      <c r="H198" s="10"/>
    </row>
    <row r="199" customFormat="false" ht="15" hidden="false" customHeight="true" outlineLevel="0" collapsed="false">
      <c r="A199" s="13"/>
      <c r="B199" s="10"/>
      <c r="C199" s="12" t="str">
        <f aca="false">IF($B199="","",IFERROR(INDEX(반품접수!$E$3:$E$1002,MATCH($B199,반품접수!$A$3:$A$1002,0)),"접수번호없음"))</f>
        <v/>
      </c>
      <c r="D199" s="10"/>
      <c r="E199" s="14"/>
      <c r="F199" s="10"/>
      <c r="G199" s="16"/>
      <c r="H199" s="10"/>
    </row>
    <row r="200" customFormat="false" ht="15" hidden="false" customHeight="true" outlineLevel="0" collapsed="false">
      <c r="A200" s="13"/>
      <c r="B200" s="10"/>
      <c r="C200" s="12" t="str">
        <f aca="false">IF($B200="","",IFERROR(INDEX(반품접수!$E$3:$E$1002,MATCH($B200,반품접수!$A$3:$A$1002,0)),"접수번호없음"))</f>
        <v/>
      </c>
      <c r="D200" s="10"/>
      <c r="E200" s="14"/>
      <c r="F200" s="10"/>
      <c r="G200" s="16"/>
      <c r="H200" s="10"/>
    </row>
    <row r="201" customFormat="false" ht="15" hidden="false" customHeight="true" outlineLevel="0" collapsed="false">
      <c r="A201" s="13"/>
      <c r="B201" s="10"/>
      <c r="C201" s="12" t="str">
        <f aca="false">IF($B201="","",IFERROR(INDEX(반품접수!$E$3:$E$1002,MATCH($B201,반품접수!$A$3:$A$1002,0)),"접수번호없음"))</f>
        <v/>
      </c>
      <c r="D201" s="10"/>
      <c r="E201" s="14"/>
      <c r="F201" s="10"/>
      <c r="G201" s="16"/>
      <c r="H201" s="10"/>
    </row>
    <row r="202" customFormat="false" ht="15" hidden="false" customHeight="true" outlineLevel="0" collapsed="false">
      <c r="A202" s="13"/>
      <c r="B202" s="10"/>
      <c r="C202" s="12" t="str">
        <f aca="false">IF($B202="","",IFERROR(INDEX(반품접수!$E$3:$E$1002,MATCH($B202,반품접수!$A$3:$A$1002,0)),"접수번호없음"))</f>
        <v/>
      </c>
      <c r="D202" s="10"/>
      <c r="E202" s="14"/>
      <c r="F202" s="10"/>
      <c r="G202" s="16"/>
      <c r="H202" s="10"/>
    </row>
    <row r="203" customFormat="false" ht="15" hidden="false" customHeight="true" outlineLevel="0" collapsed="false">
      <c r="A203" s="13"/>
      <c r="B203" s="10"/>
      <c r="C203" s="12" t="str">
        <f aca="false">IF($B203="","",IFERROR(INDEX(반품접수!$E$3:$E$1002,MATCH($B203,반품접수!$A$3:$A$1002,0)),"접수번호없음"))</f>
        <v/>
      </c>
      <c r="D203" s="10"/>
      <c r="E203" s="14"/>
      <c r="F203" s="10"/>
      <c r="G203" s="16"/>
      <c r="H203" s="10"/>
    </row>
    <row r="204" customFormat="false" ht="15" hidden="false" customHeight="true" outlineLevel="0" collapsed="false">
      <c r="A204" s="13"/>
      <c r="B204" s="10"/>
      <c r="C204" s="12" t="str">
        <f aca="false">IF($B204="","",IFERROR(INDEX(반품접수!$E$3:$E$1002,MATCH($B204,반품접수!$A$3:$A$1002,0)),"접수번호없음"))</f>
        <v/>
      </c>
      <c r="D204" s="10"/>
      <c r="E204" s="14"/>
      <c r="F204" s="10"/>
      <c r="G204" s="16"/>
      <c r="H204" s="10"/>
    </row>
    <row r="205" customFormat="false" ht="15" hidden="false" customHeight="true" outlineLevel="0" collapsed="false">
      <c r="A205" s="13"/>
      <c r="B205" s="10"/>
      <c r="C205" s="12" t="str">
        <f aca="false">IF($B205="","",IFERROR(INDEX(반품접수!$E$3:$E$1002,MATCH($B205,반품접수!$A$3:$A$1002,0)),"접수번호없음"))</f>
        <v/>
      </c>
      <c r="D205" s="10"/>
      <c r="E205" s="14"/>
      <c r="F205" s="10"/>
      <c r="G205" s="16"/>
      <c r="H205" s="10"/>
    </row>
    <row r="206" customFormat="false" ht="15" hidden="false" customHeight="true" outlineLevel="0" collapsed="false">
      <c r="A206" s="13"/>
      <c r="B206" s="10"/>
      <c r="C206" s="12" t="str">
        <f aca="false">IF($B206="","",IFERROR(INDEX(반품접수!$E$3:$E$1002,MATCH($B206,반품접수!$A$3:$A$1002,0)),"접수번호없음"))</f>
        <v/>
      </c>
      <c r="D206" s="10"/>
      <c r="E206" s="14"/>
      <c r="F206" s="10"/>
      <c r="G206" s="16"/>
      <c r="H206" s="10"/>
    </row>
    <row r="207" customFormat="false" ht="15" hidden="false" customHeight="true" outlineLevel="0" collapsed="false">
      <c r="A207" s="13"/>
      <c r="B207" s="10"/>
      <c r="C207" s="12" t="str">
        <f aca="false">IF($B207="","",IFERROR(INDEX(반품접수!$E$3:$E$1002,MATCH($B207,반품접수!$A$3:$A$1002,0)),"접수번호없음"))</f>
        <v/>
      </c>
      <c r="D207" s="10"/>
      <c r="E207" s="14"/>
      <c r="F207" s="10"/>
      <c r="G207" s="16"/>
      <c r="H207" s="10"/>
    </row>
    <row r="208" customFormat="false" ht="15" hidden="false" customHeight="true" outlineLevel="0" collapsed="false">
      <c r="A208" s="13"/>
      <c r="B208" s="10"/>
      <c r="C208" s="12" t="str">
        <f aca="false">IF($B208="","",IFERROR(INDEX(반품접수!$E$3:$E$1002,MATCH($B208,반품접수!$A$3:$A$1002,0)),"접수번호없음"))</f>
        <v/>
      </c>
      <c r="D208" s="10"/>
      <c r="E208" s="14"/>
      <c r="F208" s="10"/>
      <c r="G208" s="16"/>
      <c r="H208" s="10"/>
    </row>
    <row r="209" customFormat="false" ht="15" hidden="false" customHeight="true" outlineLevel="0" collapsed="false">
      <c r="A209" s="13"/>
      <c r="B209" s="10"/>
      <c r="C209" s="12" t="str">
        <f aca="false">IF($B209="","",IFERROR(INDEX(반품접수!$E$3:$E$1002,MATCH($B209,반품접수!$A$3:$A$1002,0)),"접수번호없음"))</f>
        <v/>
      </c>
      <c r="D209" s="10"/>
      <c r="E209" s="14"/>
      <c r="F209" s="10"/>
      <c r="G209" s="16"/>
      <c r="H209" s="10"/>
    </row>
    <row r="210" customFormat="false" ht="15" hidden="false" customHeight="true" outlineLevel="0" collapsed="false">
      <c r="A210" s="13"/>
      <c r="B210" s="10"/>
      <c r="C210" s="12" t="str">
        <f aca="false">IF($B210="","",IFERROR(INDEX(반품접수!$E$3:$E$1002,MATCH($B210,반품접수!$A$3:$A$1002,0)),"접수번호없음"))</f>
        <v/>
      </c>
      <c r="D210" s="10"/>
      <c r="E210" s="14"/>
      <c r="F210" s="10"/>
      <c r="G210" s="16"/>
      <c r="H210" s="10"/>
    </row>
    <row r="211" customFormat="false" ht="15" hidden="false" customHeight="true" outlineLevel="0" collapsed="false">
      <c r="A211" s="13"/>
      <c r="B211" s="10"/>
      <c r="C211" s="12" t="str">
        <f aca="false">IF($B211="","",IFERROR(INDEX(반품접수!$E$3:$E$1002,MATCH($B211,반품접수!$A$3:$A$1002,0)),"접수번호없음"))</f>
        <v/>
      </c>
      <c r="D211" s="10"/>
      <c r="E211" s="14"/>
      <c r="F211" s="10"/>
      <c r="G211" s="16"/>
      <c r="H211" s="10"/>
    </row>
    <row r="212" customFormat="false" ht="15" hidden="false" customHeight="true" outlineLevel="0" collapsed="false">
      <c r="A212" s="13"/>
      <c r="B212" s="10"/>
      <c r="C212" s="12" t="str">
        <f aca="false">IF($B212="","",IFERROR(INDEX(반품접수!$E$3:$E$1002,MATCH($B212,반품접수!$A$3:$A$1002,0)),"접수번호없음"))</f>
        <v/>
      </c>
      <c r="D212" s="10"/>
      <c r="E212" s="14"/>
      <c r="F212" s="10"/>
      <c r="G212" s="16"/>
      <c r="H212" s="10"/>
    </row>
    <row r="213" customFormat="false" ht="15" hidden="false" customHeight="true" outlineLevel="0" collapsed="false">
      <c r="A213" s="13"/>
      <c r="B213" s="10"/>
      <c r="C213" s="12" t="str">
        <f aca="false">IF($B213="","",IFERROR(INDEX(반품접수!$E$3:$E$1002,MATCH($B213,반품접수!$A$3:$A$1002,0)),"접수번호없음"))</f>
        <v/>
      </c>
      <c r="D213" s="10"/>
      <c r="E213" s="14"/>
      <c r="F213" s="10"/>
      <c r="G213" s="16"/>
      <c r="H213" s="10"/>
    </row>
    <row r="214" customFormat="false" ht="15" hidden="false" customHeight="true" outlineLevel="0" collapsed="false">
      <c r="A214" s="13"/>
      <c r="B214" s="10"/>
      <c r="C214" s="12" t="str">
        <f aca="false">IF($B214="","",IFERROR(INDEX(반품접수!$E$3:$E$1002,MATCH($B214,반품접수!$A$3:$A$1002,0)),"접수번호없음"))</f>
        <v/>
      </c>
      <c r="D214" s="10"/>
      <c r="E214" s="14"/>
      <c r="F214" s="10"/>
      <c r="G214" s="16"/>
      <c r="H214" s="10"/>
    </row>
    <row r="215" customFormat="false" ht="15" hidden="false" customHeight="true" outlineLevel="0" collapsed="false">
      <c r="A215" s="13"/>
      <c r="B215" s="10"/>
      <c r="C215" s="12" t="str">
        <f aca="false">IF($B215="","",IFERROR(INDEX(반품접수!$E$3:$E$1002,MATCH($B215,반품접수!$A$3:$A$1002,0)),"접수번호없음"))</f>
        <v/>
      </c>
      <c r="D215" s="10"/>
      <c r="E215" s="14"/>
      <c r="F215" s="10"/>
      <c r="G215" s="16"/>
      <c r="H215" s="10"/>
    </row>
    <row r="216" customFormat="false" ht="15" hidden="false" customHeight="true" outlineLevel="0" collapsed="false">
      <c r="A216" s="13"/>
      <c r="B216" s="10"/>
      <c r="C216" s="12" t="str">
        <f aca="false">IF($B216="","",IFERROR(INDEX(반품접수!$E$3:$E$1002,MATCH($B216,반품접수!$A$3:$A$1002,0)),"접수번호없음"))</f>
        <v/>
      </c>
      <c r="D216" s="10"/>
      <c r="E216" s="14"/>
      <c r="F216" s="10"/>
      <c r="G216" s="16"/>
      <c r="H216" s="10"/>
    </row>
    <row r="217" customFormat="false" ht="15" hidden="false" customHeight="true" outlineLevel="0" collapsed="false">
      <c r="A217" s="13"/>
      <c r="B217" s="10"/>
      <c r="C217" s="12" t="str">
        <f aca="false">IF($B217="","",IFERROR(INDEX(반품접수!$E$3:$E$1002,MATCH($B217,반품접수!$A$3:$A$1002,0)),"접수번호없음"))</f>
        <v/>
      </c>
      <c r="D217" s="10"/>
      <c r="E217" s="14"/>
      <c r="F217" s="10"/>
      <c r="G217" s="16"/>
      <c r="H217" s="10"/>
    </row>
    <row r="218" customFormat="false" ht="15" hidden="false" customHeight="true" outlineLevel="0" collapsed="false">
      <c r="A218" s="13"/>
      <c r="B218" s="10"/>
      <c r="C218" s="12" t="str">
        <f aca="false">IF($B218="","",IFERROR(INDEX(반품접수!$E$3:$E$1002,MATCH($B218,반품접수!$A$3:$A$1002,0)),"접수번호없음"))</f>
        <v/>
      </c>
      <c r="D218" s="10"/>
      <c r="E218" s="14"/>
      <c r="F218" s="10"/>
      <c r="G218" s="16"/>
      <c r="H218" s="10"/>
    </row>
    <row r="219" customFormat="false" ht="15" hidden="false" customHeight="true" outlineLevel="0" collapsed="false">
      <c r="A219" s="13"/>
      <c r="B219" s="10"/>
      <c r="C219" s="12" t="str">
        <f aca="false">IF($B219="","",IFERROR(INDEX(반품접수!$E$3:$E$1002,MATCH($B219,반품접수!$A$3:$A$1002,0)),"접수번호없음"))</f>
        <v/>
      </c>
      <c r="D219" s="10"/>
      <c r="E219" s="14"/>
      <c r="F219" s="10"/>
      <c r="G219" s="16"/>
      <c r="H219" s="10"/>
    </row>
    <row r="220" customFormat="false" ht="15" hidden="false" customHeight="true" outlineLevel="0" collapsed="false">
      <c r="A220" s="13"/>
      <c r="B220" s="10"/>
      <c r="C220" s="12" t="str">
        <f aca="false">IF($B220="","",IFERROR(INDEX(반품접수!$E$3:$E$1002,MATCH($B220,반품접수!$A$3:$A$1002,0)),"접수번호없음"))</f>
        <v/>
      </c>
      <c r="D220" s="10"/>
      <c r="E220" s="14"/>
      <c r="F220" s="10"/>
      <c r="G220" s="16"/>
      <c r="H220" s="10"/>
    </row>
    <row r="221" customFormat="false" ht="15" hidden="false" customHeight="true" outlineLevel="0" collapsed="false">
      <c r="A221" s="13"/>
      <c r="B221" s="10"/>
      <c r="C221" s="12" t="str">
        <f aca="false">IF($B221="","",IFERROR(INDEX(반품접수!$E$3:$E$1002,MATCH($B221,반품접수!$A$3:$A$1002,0)),"접수번호없음"))</f>
        <v/>
      </c>
      <c r="D221" s="10"/>
      <c r="E221" s="14"/>
      <c r="F221" s="10"/>
      <c r="G221" s="16"/>
      <c r="H221" s="10"/>
    </row>
    <row r="222" customFormat="false" ht="15" hidden="false" customHeight="true" outlineLevel="0" collapsed="false">
      <c r="A222" s="13"/>
      <c r="B222" s="10"/>
      <c r="C222" s="12" t="str">
        <f aca="false">IF($B222="","",IFERROR(INDEX(반품접수!$E$3:$E$1002,MATCH($B222,반품접수!$A$3:$A$1002,0)),"접수번호없음"))</f>
        <v/>
      </c>
      <c r="D222" s="10"/>
      <c r="E222" s="14"/>
      <c r="F222" s="10"/>
      <c r="G222" s="16"/>
      <c r="H222" s="10"/>
    </row>
    <row r="223" customFormat="false" ht="15" hidden="false" customHeight="true" outlineLevel="0" collapsed="false">
      <c r="A223" s="13"/>
      <c r="B223" s="10"/>
      <c r="C223" s="12" t="str">
        <f aca="false">IF($B223="","",IFERROR(INDEX(반품접수!$E$3:$E$1002,MATCH($B223,반품접수!$A$3:$A$1002,0)),"접수번호없음"))</f>
        <v/>
      </c>
      <c r="D223" s="10"/>
      <c r="E223" s="14"/>
      <c r="F223" s="10"/>
      <c r="G223" s="16"/>
      <c r="H223" s="10"/>
    </row>
    <row r="224" customFormat="false" ht="15" hidden="false" customHeight="true" outlineLevel="0" collapsed="false">
      <c r="A224" s="13"/>
      <c r="B224" s="10"/>
      <c r="C224" s="12" t="str">
        <f aca="false">IF($B224="","",IFERROR(INDEX(반품접수!$E$3:$E$1002,MATCH($B224,반품접수!$A$3:$A$1002,0)),"접수번호없음"))</f>
        <v/>
      </c>
      <c r="D224" s="10"/>
      <c r="E224" s="14"/>
      <c r="F224" s="10"/>
      <c r="G224" s="16"/>
      <c r="H224" s="10"/>
    </row>
    <row r="225" customFormat="false" ht="15" hidden="false" customHeight="true" outlineLevel="0" collapsed="false">
      <c r="A225" s="13"/>
      <c r="B225" s="10"/>
      <c r="C225" s="12" t="str">
        <f aca="false">IF($B225="","",IFERROR(INDEX(반품접수!$E$3:$E$1002,MATCH($B225,반품접수!$A$3:$A$1002,0)),"접수번호없음"))</f>
        <v/>
      </c>
      <c r="D225" s="10"/>
      <c r="E225" s="14"/>
      <c r="F225" s="10"/>
      <c r="G225" s="16"/>
      <c r="H225" s="10"/>
    </row>
    <row r="226" customFormat="false" ht="15" hidden="false" customHeight="true" outlineLevel="0" collapsed="false">
      <c r="A226" s="13"/>
      <c r="B226" s="10"/>
      <c r="C226" s="12" t="str">
        <f aca="false">IF($B226="","",IFERROR(INDEX(반품접수!$E$3:$E$1002,MATCH($B226,반품접수!$A$3:$A$1002,0)),"접수번호없음"))</f>
        <v/>
      </c>
      <c r="D226" s="10"/>
      <c r="E226" s="14"/>
      <c r="F226" s="10"/>
      <c r="G226" s="16"/>
      <c r="H226" s="10"/>
    </row>
    <row r="227" customFormat="false" ht="15" hidden="false" customHeight="true" outlineLevel="0" collapsed="false">
      <c r="A227" s="13"/>
      <c r="B227" s="10"/>
      <c r="C227" s="12" t="str">
        <f aca="false">IF($B227="","",IFERROR(INDEX(반품접수!$E$3:$E$1002,MATCH($B227,반품접수!$A$3:$A$1002,0)),"접수번호없음"))</f>
        <v/>
      </c>
      <c r="D227" s="10"/>
      <c r="E227" s="14"/>
      <c r="F227" s="10"/>
      <c r="G227" s="16"/>
      <c r="H227" s="10"/>
    </row>
    <row r="228" customFormat="false" ht="15" hidden="false" customHeight="true" outlineLevel="0" collapsed="false">
      <c r="A228" s="13"/>
      <c r="B228" s="10"/>
      <c r="C228" s="12" t="str">
        <f aca="false">IF($B228="","",IFERROR(INDEX(반품접수!$E$3:$E$1002,MATCH($B228,반품접수!$A$3:$A$1002,0)),"접수번호없음"))</f>
        <v/>
      </c>
      <c r="D228" s="10"/>
      <c r="E228" s="14"/>
      <c r="F228" s="10"/>
      <c r="G228" s="16"/>
      <c r="H228" s="10"/>
    </row>
    <row r="229" customFormat="false" ht="15" hidden="false" customHeight="true" outlineLevel="0" collapsed="false">
      <c r="A229" s="13"/>
      <c r="B229" s="10"/>
      <c r="C229" s="12" t="str">
        <f aca="false">IF($B229="","",IFERROR(INDEX(반품접수!$E$3:$E$1002,MATCH($B229,반품접수!$A$3:$A$1002,0)),"접수번호없음"))</f>
        <v/>
      </c>
      <c r="D229" s="10"/>
      <c r="E229" s="14"/>
      <c r="F229" s="10"/>
      <c r="G229" s="16"/>
      <c r="H229" s="10"/>
    </row>
    <row r="230" customFormat="false" ht="15" hidden="false" customHeight="true" outlineLevel="0" collapsed="false">
      <c r="A230" s="13"/>
      <c r="B230" s="10"/>
      <c r="C230" s="12" t="str">
        <f aca="false">IF($B230="","",IFERROR(INDEX(반품접수!$E$3:$E$1002,MATCH($B230,반품접수!$A$3:$A$1002,0)),"접수번호없음"))</f>
        <v/>
      </c>
      <c r="D230" s="10"/>
      <c r="E230" s="14"/>
      <c r="F230" s="10"/>
      <c r="G230" s="16"/>
      <c r="H230" s="10"/>
    </row>
    <row r="231" customFormat="false" ht="15" hidden="false" customHeight="true" outlineLevel="0" collapsed="false">
      <c r="A231" s="13"/>
      <c r="B231" s="10"/>
      <c r="C231" s="12" t="str">
        <f aca="false">IF($B231="","",IFERROR(INDEX(반품접수!$E$3:$E$1002,MATCH($B231,반품접수!$A$3:$A$1002,0)),"접수번호없음"))</f>
        <v/>
      </c>
      <c r="D231" s="10"/>
      <c r="E231" s="14"/>
      <c r="F231" s="10"/>
      <c r="G231" s="16"/>
      <c r="H231" s="10"/>
    </row>
    <row r="232" customFormat="false" ht="15" hidden="false" customHeight="true" outlineLevel="0" collapsed="false">
      <c r="A232" s="13"/>
      <c r="B232" s="10"/>
      <c r="C232" s="12" t="str">
        <f aca="false">IF($B232="","",IFERROR(INDEX(반품접수!$E$3:$E$1002,MATCH($B232,반품접수!$A$3:$A$1002,0)),"접수번호없음"))</f>
        <v/>
      </c>
      <c r="D232" s="10"/>
      <c r="E232" s="14"/>
      <c r="F232" s="10"/>
      <c r="G232" s="16"/>
      <c r="H232" s="10"/>
    </row>
    <row r="233" customFormat="false" ht="15" hidden="false" customHeight="true" outlineLevel="0" collapsed="false">
      <c r="A233" s="13"/>
      <c r="B233" s="10"/>
      <c r="C233" s="12" t="str">
        <f aca="false">IF($B233="","",IFERROR(INDEX(반품접수!$E$3:$E$1002,MATCH($B233,반품접수!$A$3:$A$1002,0)),"접수번호없음"))</f>
        <v/>
      </c>
      <c r="D233" s="10"/>
      <c r="E233" s="14"/>
      <c r="F233" s="10"/>
      <c r="G233" s="16"/>
      <c r="H233" s="10"/>
    </row>
    <row r="234" customFormat="false" ht="15" hidden="false" customHeight="true" outlineLevel="0" collapsed="false">
      <c r="A234" s="13"/>
      <c r="B234" s="10"/>
      <c r="C234" s="12" t="str">
        <f aca="false">IF($B234="","",IFERROR(INDEX(반품접수!$E$3:$E$1002,MATCH($B234,반품접수!$A$3:$A$1002,0)),"접수번호없음"))</f>
        <v/>
      </c>
      <c r="D234" s="10"/>
      <c r="E234" s="14"/>
      <c r="F234" s="10"/>
      <c r="G234" s="16"/>
      <c r="H234" s="10"/>
    </row>
    <row r="235" customFormat="false" ht="15" hidden="false" customHeight="true" outlineLevel="0" collapsed="false">
      <c r="A235" s="13"/>
      <c r="B235" s="10"/>
      <c r="C235" s="12" t="str">
        <f aca="false">IF($B235="","",IFERROR(INDEX(반품접수!$E$3:$E$1002,MATCH($B235,반품접수!$A$3:$A$1002,0)),"접수번호없음"))</f>
        <v/>
      </c>
      <c r="D235" s="10"/>
      <c r="E235" s="14"/>
      <c r="F235" s="10"/>
      <c r="G235" s="16"/>
      <c r="H235" s="10"/>
    </row>
    <row r="236" customFormat="false" ht="15" hidden="false" customHeight="true" outlineLevel="0" collapsed="false">
      <c r="A236" s="13"/>
      <c r="B236" s="10"/>
      <c r="C236" s="12" t="str">
        <f aca="false">IF($B236="","",IFERROR(INDEX(반품접수!$E$3:$E$1002,MATCH($B236,반품접수!$A$3:$A$1002,0)),"접수번호없음"))</f>
        <v/>
      </c>
      <c r="D236" s="10"/>
      <c r="E236" s="14"/>
      <c r="F236" s="10"/>
      <c r="G236" s="16"/>
      <c r="H236" s="10"/>
    </row>
    <row r="237" customFormat="false" ht="15" hidden="false" customHeight="true" outlineLevel="0" collapsed="false">
      <c r="A237" s="13"/>
      <c r="B237" s="10"/>
      <c r="C237" s="12" t="str">
        <f aca="false">IF($B237="","",IFERROR(INDEX(반품접수!$E$3:$E$1002,MATCH($B237,반품접수!$A$3:$A$1002,0)),"접수번호없음"))</f>
        <v/>
      </c>
      <c r="D237" s="10"/>
      <c r="E237" s="14"/>
      <c r="F237" s="10"/>
      <c r="G237" s="16"/>
      <c r="H237" s="10"/>
    </row>
    <row r="238" customFormat="false" ht="15" hidden="false" customHeight="true" outlineLevel="0" collapsed="false">
      <c r="A238" s="13"/>
      <c r="B238" s="10"/>
      <c r="C238" s="12" t="str">
        <f aca="false">IF($B238="","",IFERROR(INDEX(반품접수!$E$3:$E$1002,MATCH($B238,반품접수!$A$3:$A$1002,0)),"접수번호없음"))</f>
        <v/>
      </c>
      <c r="D238" s="10"/>
      <c r="E238" s="14"/>
      <c r="F238" s="10"/>
      <c r="G238" s="16"/>
      <c r="H238" s="10"/>
    </row>
    <row r="239" customFormat="false" ht="15" hidden="false" customHeight="true" outlineLevel="0" collapsed="false">
      <c r="A239" s="13"/>
      <c r="B239" s="10"/>
      <c r="C239" s="12" t="str">
        <f aca="false">IF($B239="","",IFERROR(INDEX(반품접수!$E$3:$E$1002,MATCH($B239,반품접수!$A$3:$A$1002,0)),"접수번호없음"))</f>
        <v/>
      </c>
      <c r="D239" s="10"/>
      <c r="E239" s="14"/>
      <c r="F239" s="10"/>
      <c r="G239" s="16"/>
      <c r="H239" s="10"/>
    </row>
    <row r="240" customFormat="false" ht="15" hidden="false" customHeight="true" outlineLevel="0" collapsed="false">
      <c r="A240" s="13"/>
      <c r="B240" s="10"/>
      <c r="C240" s="12" t="str">
        <f aca="false">IF($B240="","",IFERROR(INDEX(반품접수!$E$3:$E$1002,MATCH($B240,반품접수!$A$3:$A$1002,0)),"접수번호없음"))</f>
        <v/>
      </c>
      <c r="D240" s="10"/>
      <c r="E240" s="14"/>
      <c r="F240" s="10"/>
      <c r="G240" s="16"/>
      <c r="H240" s="10"/>
    </row>
    <row r="241" customFormat="false" ht="15" hidden="false" customHeight="true" outlineLevel="0" collapsed="false">
      <c r="A241" s="13"/>
      <c r="B241" s="10"/>
      <c r="C241" s="12" t="str">
        <f aca="false">IF($B241="","",IFERROR(INDEX(반품접수!$E$3:$E$1002,MATCH($B241,반품접수!$A$3:$A$1002,0)),"접수번호없음"))</f>
        <v/>
      </c>
      <c r="D241" s="10"/>
      <c r="E241" s="14"/>
      <c r="F241" s="10"/>
      <c r="G241" s="16"/>
      <c r="H241" s="10"/>
    </row>
    <row r="242" customFormat="false" ht="15" hidden="false" customHeight="true" outlineLevel="0" collapsed="false">
      <c r="A242" s="13"/>
      <c r="B242" s="10"/>
      <c r="C242" s="12" t="str">
        <f aca="false">IF($B242="","",IFERROR(INDEX(반품접수!$E$3:$E$1002,MATCH($B242,반품접수!$A$3:$A$1002,0)),"접수번호없음"))</f>
        <v/>
      </c>
      <c r="D242" s="10"/>
      <c r="E242" s="14"/>
      <c r="F242" s="10"/>
      <c r="G242" s="16"/>
      <c r="H242" s="10"/>
    </row>
    <row r="243" customFormat="false" ht="15" hidden="false" customHeight="true" outlineLevel="0" collapsed="false">
      <c r="A243" s="13"/>
      <c r="B243" s="10"/>
      <c r="C243" s="12" t="str">
        <f aca="false">IF($B243="","",IFERROR(INDEX(반품접수!$E$3:$E$1002,MATCH($B243,반품접수!$A$3:$A$1002,0)),"접수번호없음"))</f>
        <v/>
      </c>
      <c r="D243" s="10"/>
      <c r="E243" s="14"/>
      <c r="F243" s="10"/>
      <c r="G243" s="16"/>
      <c r="H243" s="10"/>
    </row>
    <row r="244" customFormat="false" ht="15" hidden="false" customHeight="true" outlineLevel="0" collapsed="false">
      <c r="A244" s="13"/>
      <c r="B244" s="10"/>
      <c r="C244" s="12" t="str">
        <f aca="false">IF($B244="","",IFERROR(INDEX(반품접수!$E$3:$E$1002,MATCH($B244,반품접수!$A$3:$A$1002,0)),"접수번호없음"))</f>
        <v/>
      </c>
      <c r="D244" s="10"/>
      <c r="E244" s="14"/>
      <c r="F244" s="10"/>
      <c r="G244" s="16"/>
      <c r="H244" s="10"/>
    </row>
    <row r="245" customFormat="false" ht="15" hidden="false" customHeight="true" outlineLevel="0" collapsed="false">
      <c r="A245" s="13"/>
      <c r="B245" s="10"/>
      <c r="C245" s="12" t="str">
        <f aca="false">IF($B245="","",IFERROR(INDEX(반품접수!$E$3:$E$1002,MATCH($B245,반품접수!$A$3:$A$1002,0)),"접수번호없음"))</f>
        <v/>
      </c>
      <c r="D245" s="10"/>
      <c r="E245" s="14"/>
      <c r="F245" s="10"/>
      <c r="G245" s="16"/>
      <c r="H245" s="10"/>
    </row>
    <row r="246" customFormat="false" ht="15" hidden="false" customHeight="true" outlineLevel="0" collapsed="false">
      <c r="A246" s="13"/>
      <c r="B246" s="10"/>
      <c r="C246" s="12" t="str">
        <f aca="false">IF($B246="","",IFERROR(INDEX(반품접수!$E$3:$E$1002,MATCH($B246,반품접수!$A$3:$A$1002,0)),"접수번호없음"))</f>
        <v/>
      </c>
      <c r="D246" s="10"/>
      <c r="E246" s="14"/>
      <c r="F246" s="10"/>
      <c r="G246" s="16"/>
      <c r="H246" s="10"/>
    </row>
    <row r="247" customFormat="false" ht="15" hidden="false" customHeight="true" outlineLevel="0" collapsed="false">
      <c r="A247" s="13"/>
      <c r="B247" s="10"/>
      <c r="C247" s="12" t="str">
        <f aca="false">IF($B247="","",IFERROR(INDEX(반품접수!$E$3:$E$1002,MATCH($B247,반품접수!$A$3:$A$1002,0)),"접수번호없음"))</f>
        <v/>
      </c>
      <c r="D247" s="10"/>
      <c r="E247" s="14"/>
      <c r="F247" s="10"/>
      <c r="G247" s="16"/>
      <c r="H247" s="10"/>
    </row>
    <row r="248" customFormat="false" ht="15" hidden="false" customHeight="true" outlineLevel="0" collapsed="false">
      <c r="A248" s="13"/>
      <c r="B248" s="10"/>
      <c r="C248" s="12" t="str">
        <f aca="false">IF($B248="","",IFERROR(INDEX(반품접수!$E$3:$E$1002,MATCH($B248,반품접수!$A$3:$A$1002,0)),"접수번호없음"))</f>
        <v/>
      </c>
      <c r="D248" s="10"/>
      <c r="E248" s="14"/>
      <c r="F248" s="10"/>
      <c r="G248" s="16"/>
      <c r="H248" s="10"/>
    </row>
    <row r="249" customFormat="false" ht="15" hidden="false" customHeight="true" outlineLevel="0" collapsed="false">
      <c r="A249" s="13"/>
      <c r="B249" s="10"/>
      <c r="C249" s="12" t="str">
        <f aca="false">IF($B249="","",IFERROR(INDEX(반품접수!$E$3:$E$1002,MATCH($B249,반품접수!$A$3:$A$1002,0)),"접수번호없음"))</f>
        <v/>
      </c>
      <c r="D249" s="10"/>
      <c r="E249" s="14"/>
      <c r="F249" s="10"/>
      <c r="G249" s="16"/>
      <c r="H249" s="10"/>
    </row>
    <row r="250" customFormat="false" ht="15" hidden="false" customHeight="true" outlineLevel="0" collapsed="false">
      <c r="A250" s="13"/>
      <c r="B250" s="10"/>
      <c r="C250" s="12" t="str">
        <f aca="false">IF($B250="","",IFERROR(INDEX(반품접수!$E$3:$E$1002,MATCH($B250,반품접수!$A$3:$A$1002,0)),"접수번호없음"))</f>
        <v/>
      </c>
      <c r="D250" s="10"/>
      <c r="E250" s="14"/>
      <c r="F250" s="10"/>
      <c r="G250" s="16"/>
      <c r="H250" s="10"/>
    </row>
    <row r="251" customFormat="false" ht="15" hidden="false" customHeight="true" outlineLevel="0" collapsed="false">
      <c r="A251" s="13"/>
      <c r="B251" s="10"/>
      <c r="C251" s="12" t="str">
        <f aca="false">IF($B251="","",IFERROR(INDEX(반품접수!$E$3:$E$1002,MATCH($B251,반품접수!$A$3:$A$1002,0)),"접수번호없음"))</f>
        <v/>
      </c>
      <c r="D251" s="10"/>
      <c r="E251" s="14"/>
      <c r="F251" s="10"/>
      <c r="G251" s="16"/>
      <c r="H251" s="10"/>
    </row>
    <row r="252" customFormat="false" ht="15" hidden="false" customHeight="true" outlineLevel="0" collapsed="false">
      <c r="A252" s="13"/>
      <c r="B252" s="10"/>
      <c r="C252" s="12" t="str">
        <f aca="false">IF($B252="","",IFERROR(INDEX(반품접수!$E$3:$E$1002,MATCH($B252,반품접수!$A$3:$A$1002,0)),"접수번호없음"))</f>
        <v/>
      </c>
      <c r="D252" s="10"/>
      <c r="E252" s="14"/>
      <c r="F252" s="10"/>
      <c r="G252" s="16"/>
      <c r="H252" s="10"/>
    </row>
    <row r="253" customFormat="false" ht="15" hidden="false" customHeight="true" outlineLevel="0" collapsed="false">
      <c r="A253" s="13"/>
      <c r="B253" s="10"/>
      <c r="C253" s="12" t="str">
        <f aca="false">IF($B253="","",IFERROR(INDEX(반품접수!$E$3:$E$1002,MATCH($B253,반품접수!$A$3:$A$1002,0)),"접수번호없음"))</f>
        <v/>
      </c>
      <c r="D253" s="10"/>
      <c r="E253" s="14"/>
      <c r="F253" s="10"/>
      <c r="G253" s="16"/>
      <c r="H253" s="10"/>
    </row>
    <row r="254" customFormat="false" ht="15" hidden="false" customHeight="true" outlineLevel="0" collapsed="false">
      <c r="A254" s="13"/>
      <c r="B254" s="10"/>
      <c r="C254" s="12" t="str">
        <f aca="false">IF($B254="","",IFERROR(INDEX(반품접수!$E$3:$E$1002,MATCH($B254,반품접수!$A$3:$A$1002,0)),"접수번호없음"))</f>
        <v/>
      </c>
      <c r="D254" s="10"/>
      <c r="E254" s="14"/>
      <c r="F254" s="10"/>
      <c r="G254" s="16"/>
      <c r="H254" s="10"/>
    </row>
    <row r="255" customFormat="false" ht="15" hidden="false" customHeight="true" outlineLevel="0" collapsed="false">
      <c r="A255" s="13"/>
      <c r="B255" s="10"/>
      <c r="C255" s="12" t="str">
        <f aca="false">IF($B255="","",IFERROR(INDEX(반품접수!$E$3:$E$1002,MATCH($B255,반품접수!$A$3:$A$1002,0)),"접수번호없음"))</f>
        <v/>
      </c>
      <c r="D255" s="10"/>
      <c r="E255" s="14"/>
      <c r="F255" s="10"/>
      <c r="G255" s="16"/>
      <c r="H255" s="10"/>
    </row>
    <row r="256" customFormat="false" ht="15" hidden="false" customHeight="true" outlineLevel="0" collapsed="false">
      <c r="A256" s="13"/>
      <c r="B256" s="10"/>
      <c r="C256" s="12" t="str">
        <f aca="false">IF($B256="","",IFERROR(INDEX(반품접수!$E$3:$E$1002,MATCH($B256,반품접수!$A$3:$A$1002,0)),"접수번호없음"))</f>
        <v/>
      </c>
      <c r="D256" s="10"/>
      <c r="E256" s="14"/>
      <c r="F256" s="10"/>
      <c r="G256" s="16"/>
      <c r="H256" s="10"/>
    </row>
    <row r="257" customFormat="false" ht="15" hidden="false" customHeight="true" outlineLevel="0" collapsed="false">
      <c r="A257" s="13"/>
      <c r="B257" s="10"/>
      <c r="C257" s="12" t="str">
        <f aca="false">IF($B257="","",IFERROR(INDEX(반품접수!$E$3:$E$1002,MATCH($B257,반품접수!$A$3:$A$1002,0)),"접수번호없음"))</f>
        <v/>
      </c>
      <c r="D257" s="10"/>
      <c r="E257" s="14"/>
      <c r="F257" s="10"/>
      <c r="G257" s="16"/>
      <c r="H257" s="10"/>
    </row>
    <row r="258" customFormat="false" ht="15" hidden="false" customHeight="true" outlineLevel="0" collapsed="false">
      <c r="A258" s="13"/>
      <c r="B258" s="10"/>
      <c r="C258" s="12" t="str">
        <f aca="false">IF($B258="","",IFERROR(INDEX(반품접수!$E$3:$E$1002,MATCH($B258,반품접수!$A$3:$A$1002,0)),"접수번호없음"))</f>
        <v/>
      </c>
      <c r="D258" s="10"/>
      <c r="E258" s="14"/>
      <c r="F258" s="10"/>
      <c r="G258" s="16"/>
      <c r="H258" s="10"/>
    </row>
    <row r="259" customFormat="false" ht="15" hidden="false" customHeight="true" outlineLevel="0" collapsed="false">
      <c r="A259" s="13"/>
      <c r="B259" s="10"/>
      <c r="C259" s="12" t="str">
        <f aca="false">IF($B259="","",IFERROR(INDEX(반품접수!$E$3:$E$1002,MATCH($B259,반품접수!$A$3:$A$1002,0)),"접수번호없음"))</f>
        <v/>
      </c>
      <c r="D259" s="10"/>
      <c r="E259" s="14"/>
      <c r="F259" s="10"/>
      <c r="G259" s="16"/>
      <c r="H259" s="10"/>
    </row>
    <row r="260" customFormat="false" ht="15" hidden="false" customHeight="true" outlineLevel="0" collapsed="false">
      <c r="A260" s="13"/>
      <c r="B260" s="10"/>
      <c r="C260" s="12" t="str">
        <f aca="false">IF($B260="","",IFERROR(INDEX(반품접수!$E$3:$E$1002,MATCH($B260,반품접수!$A$3:$A$1002,0)),"접수번호없음"))</f>
        <v/>
      </c>
      <c r="D260" s="10"/>
      <c r="E260" s="14"/>
      <c r="F260" s="10"/>
      <c r="G260" s="16"/>
      <c r="H260" s="10"/>
    </row>
    <row r="261" customFormat="false" ht="15" hidden="false" customHeight="true" outlineLevel="0" collapsed="false">
      <c r="A261" s="13"/>
      <c r="B261" s="10"/>
      <c r="C261" s="12" t="str">
        <f aca="false">IF($B261="","",IFERROR(INDEX(반품접수!$E$3:$E$1002,MATCH($B261,반품접수!$A$3:$A$1002,0)),"접수번호없음"))</f>
        <v/>
      </c>
      <c r="D261" s="10"/>
      <c r="E261" s="14"/>
      <c r="F261" s="10"/>
      <c r="G261" s="16"/>
      <c r="H261" s="10"/>
    </row>
    <row r="262" customFormat="false" ht="15" hidden="false" customHeight="true" outlineLevel="0" collapsed="false">
      <c r="A262" s="13"/>
      <c r="B262" s="10"/>
      <c r="C262" s="12" t="str">
        <f aca="false">IF($B262="","",IFERROR(INDEX(반품접수!$E$3:$E$1002,MATCH($B262,반품접수!$A$3:$A$1002,0)),"접수번호없음"))</f>
        <v/>
      </c>
      <c r="D262" s="10"/>
      <c r="E262" s="14"/>
      <c r="F262" s="10"/>
      <c r="G262" s="16"/>
      <c r="H262" s="10"/>
    </row>
    <row r="263" customFormat="false" ht="15" hidden="false" customHeight="true" outlineLevel="0" collapsed="false">
      <c r="A263" s="13"/>
      <c r="B263" s="10"/>
      <c r="C263" s="12" t="str">
        <f aca="false">IF($B263="","",IFERROR(INDEX(반품접수!$E$3:$E$1002,MATCH($B263,반품접수!$A$3:$A$1002,0)),"접수번호없음"))</f>
        <v/>
      </c>
      <c r="D263" s="10"/>
      <c r="E263" s="14"/>
      <c r="F263" s="10"/>
      <c r="G263" s="16"/>
      <c r="H263" s="10"/>
    </row>
    <row r="264" customFormat="false" ht="15" hidden="false" customHeight="true" outlineLevel="0" collapsed="false">
      <c r="A264" s="13"/>
      <c r="B264" s="10"/>
      <c r="C264" s="12" t="str">
        <f aca="false">IF($B264="","",IFERROR(INDEX(반품접수!$E$3:$E$1002,MATCH($B264,반품접수!$A$3:$A$1002,0)),"접수번호없음"))</f>
        <v/>
      </c>
      <c r="D264" s="10"/>
      <c r="E264" s="14"/>
      <c r="F264" s="10"/>
      <c r="G264" s="16"/>
      <c r="H264" s="10"/>
    </row>
    <row r="265" customFormat="false" ht="15" hidden="false" customHeight="true" outlineLevel="0" collapsed="false">
      <c r="A265" s="13"/>
      <c r="B265" s="10"/>
      <c r="C265" s="12" t="str">
        <f aca="false">IF($B265="","",IFERROR(INDEX(반품접수!$E$3:$E$1002,MATCH($B265,반품접수!$A$3:$A$1002,0)),"접수번호없음"))</f>
        <v/>
      </c>
      <c r="D265" s="10"/>
      <c r="E265" s="14"/>
      <c r="F265" s="10"/>
      <c r="G265" s="16"/>
      <c r="H265" s="10"/>
    </row>
    <row r="266" customFormat="false" ht="15" hidden="false" customHeight="true" outlineLevel="0" collapsed="false">
      <c r="A266" s="13"/>
      <c r="B266" s="10"/>
      <c r="C266" s="12" t="str">
        <f aca="false">IF($B266="","",IFERROR(INDEX(반품접수!$E$3:$E$1002,MATCH($B266,반품접수!$A$3:$A$1002,0)),"접수번호없음"))</f>
        <v/>
      </c>
      <c r="D266" s="10"/>
      <c r="E266" s="14"/>
      <c r="F266" s="10"/>
      <c r="G266" s="16"/>
      <c r="H266" s="10"/>
    </row>
    <row r="267" customFormat="false" ht="15" hidden="false" customHeight="true" outlineLevel="0" collapsed="false">
      <c r="A267" s="13"/>
      <c r="B267" s="10"/>
      <c r="C267" s="12" t="str">
        <f aca="false">IF($B267="","",IFERROR(INDEX(반품접수!$E$3:$E$1002,MATCH($B267,반품접수!$A$3:$A$1002,0)),"접수번호없음"))</f>
        <v/>
      </c>
      <c r="D267" s="10"/>
      <c r="E267" s="14"/>
      <c r="F267" s="10"/>
      <c r="G267" s="16"/>
      <c r="H267" s="10"/>
    </row>
    <row r="268" customFormat="false" ht="15" hidden="false" customHeight="true" outlineLevel="0" collapsed="false">
      <c r="A268" s="13"/>
      <c r="B268" s="10"/>
      <c r="C268" s="12" t="str">
        <f aca="false">IF($B268="","",IFERROR(INDEX(반품접수!$E$3:$E$1002,MATCH($B268,반품접수!$A$3:$A$1002,0)),"접수번호없음"))</f>
        <v/>
      </c>
      <c r="D268" s="10"/>
      <c r="E268" s="14"/>
      <c r="F268" s="10"/>
      <c r="G268" s="16"/>
      <c r="H268" s="10"/>
    </row>
    <row r="269" customFormat="false" ht="15" hidden="false" customHeight="true" outlineLevel="0" collapsed="false">
      <c r="A269" s="13"/>
      <c r="B269" s="10"/>
      <c r="C269" s="12" t="str">
        <f aca="false">IF($B269="","",IFERROR(INDEX(반품접수!$E$3:$E$1002,MATCH($B269,반품접수!$A$3:$A$1002,0)),"접수번호없음"))</f>
        <v/>
      </c>
      <c r="D269" s="10"/>
      <c r="E269" s="14"/>
      <c r="F269" s="10"/>
      <c r="G269" s="16"/>
      <c r="H269" s="10"/>
    </row>
    <row r="270" customFormat="false" ht="15" hidden="false" customHeight="true" outlineLevel="0" collapsed="false">
      <c r="A270" s="13"/>
      <c r="B270" s="10"/>
      <c r="C270" s="12" t="str">
        <f aca="false">IF($B270="","",IFERROR(INDEX(반품접수!$E$3:$E$1002,MATCH($B270,반품접수!$A$3:$A$1002,0)),"접수번호없음"))</f>
        <v/>
      </c>
      <c r="D270" s="10"/>
      <c r="E270" s="14"/>
      <c r="F270" s="10"/>
      <c r="G270" s="16"/>
      <c r="H270" s="10"/>
    </row>
    <row r="271" customFormat="false" ht="15" hidden="false" customHeight="true" outlineLevel="0" collapsed="false">
      <c r="A271" s="13"/>
      <c r="B271" s="10"/>
      <c r="C271" s="12" t="str">
        <f aca="false">IF($B271="","",IFERROR(INDEX(반품접수!$E$3:$E$1002,MATCH($B271,반품접수!$A$3:$A$1002,0)),"접수번호없음"))</f>
        <v/>
      </c>
      <c r="D271" s="10"/>
      <c r="E271" s="14"/>
      <c r="F271" s="10"/>
      <c r="G271" s="16"/>
      <c r="H271" s="10"/>
    </row>
    <row r="272" customFormat="false" ht="15" hidden="false" customHeight="true" outlineLevel="0" collapsed="false">
      <c r="A272" s="13"/>
      <c r="B272" s="10"/>
      <c r="C272" s="12" t="str">
        <f aca="false">IF($B272="","",IFERROR(INDEX(반품접수!$E$3:$E$1002,MATCH($B272,반품접수!$A$3:$A$1002,0)),"접수번호없음"))</f>
        <v/>
      </c>
      <c r="D272" s="10"/>
      <c r="E272" s="14"/>
      <c r="F272" s="10"/>
      <c r="G272" s="16"/>
      <c r="H272" s="10"/>
    </row>
    <row r="273" customFormat="false" ht="15" hidden="false" customHeight="true" outlineLevel="0" collapsed="false">
      <c r="A273" s="13"/>
      <c r="B273" s="10"/>
      <c r="C273" s="12" t="str">
        <f aca="false">IF($B273="","",IFERROR(INDEX(반품접수!$E$3:$E$1002,MATCH($B273,반품접수!$A$3:$A$1002,0)),"접수번호없음"))</f>
        <v/>
      </c>
      <c r="D273" s="10"/>
      <c r="E273" s="14"/>
      <c r="F273" s="10"/>
      <c r="G273" s="16"/>
      <c r="H273" s="10"/>
    </row>
    <row r="274" customFormat="false" ht="15" hidden="false" customHeight="true" outlineLevel="0" collapsed="false">
      <c r="A274" s="13"/>
      <c r="B274" s="10"/>
      <c r="C274" s="12" t="str">
        <f aca="false">IF($B274="","",IFERROR(INDEX(반품접수!$E$3:$E$1002,MATCH($B274,반품접수!$A$3:$A$1002,0)),"접수번호없음"))</f>
        <v/>
      </c>
      <c r="D274" s="10"/>
      <c r="E274" s="14"/>
      <c r="F274" s="10"/>
      <c r="G274" s="16"/>
      <c r="H274" s="10"/>
    </row>
    <row r="275" customFormat="false" ht="15" hidden="false" customHeight="true" outlineLevel="0" collapsed="false">
      <c r="A275" s="13"/>
      <c r="B275" s="10"/>
      <c r="C275" s="12" t="str">
        <f aca="false">IF($B275="","",IFERROR(INDEX(반품접수!$E$3:$E$1002,MATCH($B275,반품접수!$A$3:$A$1002,0)),"접수번호없음"))</f>
        <v/>
      </c>
      <c r="D275" s="10"/>
      <c r="E275" s="14"/>
      <c r="F275" s="10"/>
      <c r="G275" s="16"/>
      <c r="H275" s="10"/>
    </row>
    <row r="276" customFormat="false" ht="15" hidden="false" customHeight="true" outlineLevel="0" collapsed="false">
      <c r="A276" s="13"/>
      <c r="B276" s="10"/>
      <c r="C276" s="12" t="str">
        <f aca="false">IF($B276="","",IFERROR(INDEX(반품접수!$E$3:$E$1002,MATCH($B276,반품접수!$A$3:$A$1002,0)),"접수번호없음"))</f>
        <v/>
      </c>
      <c r="D276" s="10"/>
      <c r="E276" s="14"/>
      <c r="F276" s="10"/>
      <c r="G276" s="16"/>
      <c r="H276" s="10"/>
    </row>
    <row r="277" customFormat="false" ht="15" hidden="false" customHeight="true" outlineLevel="0" collapsed="false">
      <c r="A277" s="13"/>
      <c r="B277" s="10"/>
      <c r="C277" s="12" t="str">
        <f aca="false">IF($B277="","",IFERROR(INDEX(반품접수!$E$3:$E$1002,MATCH($B277,반품접수!$A$3:$A$1002,0)),"접수번호없음"))</f>
        <v/>
      </c>
      <c r="D277" s="10"/>
      <c r="E277" s="14"/>
      <c r="F277" s="10"/>
      <c r="G277" s="16"/>
      <c r="H277" s="10"/>
    </row>
    <row r="278" customFormat="false" ht="15" hidden="false" customHeight="true" outlineLevel="0" collapsed="false">
      <c r="A278" s="13"/>
      <c r="B278" s="10"/>
      <c r="C278" s="12" t="str">
        <f aca="false">IF($B278="","",IFERROR(INDEX(반품접수!$E$3:$E$1002,MATCH($B278,반품접수!$A$3:$A$1002,0)),"접수번호없음"))</f>
        <v/>
      </c>
      <c r="D278" s="10"/>
      <c r="E278" s="14"/>
      <c r="F278" s="10"/>
      <c r="G278" s="16"/>
      <c r="H278" s="10"/>
    </row>
    <row r="279" customFormat="false" ht="15" hidden="false" customHeight="true" outlineLevel="0" collapsed="false">
      <c r="A279" s="13"/>
      <c r="B279" s="10"/>
      <c r="C279" s="12" t="str">
        <f aca="false">IF($B279="","",IFERROR(INDEX(반품접수!$E$3:$E$1002,MATCH($B279,반품접수!$A$3:$A$1002,0)),"접수번호없음"))</f>
        <v/>
      </c>
      <c r="D279" s="10"/>
      <c r="E279" s="14"/>
      <c r="F279" s="10"/>
      <c r="G279" s="16"/>
      <c r="H279" s="10"/>
    </row>
    <row r="280" customFormat="false" ht="15" hidden="false" customHeight="true" outlineLevel="0" collapsed="false">
      <c r="A280" s="13"/>
      <c r="B280" s="10"/>
      <c r="C280" s="12" t="str">
        <f aca="false">IF($B280="","",IFERROR(INDEX(반품접수!$E$3:$E$1002,MATCH($B280,반품접수!$A$3:$A$1002,0)),"접수번호없음"))</f>
        <v/>
      </c>
      <c r="D280" s="10"/>
      <c r="E280" s="14"/>
      <c r="F280" s="10"/>
      <c r="G280" s="16"/>
      <c r="H280" s="10"/>
    </row>
    <row r="281" customFormat="false" ht="15" hidden="false" customHeight="true" outlineLevel="0" collapsed="false">
      <c r="A281" s="13"/>
      <c r="B281" s="10"/>
      <c r="C281" s="12" t="str">
        <f aca="false">IF($B281="","",IFERROR(INDEX(반품접수!$E$3:$E$1002,MATCH($B281,반품접수!$A$3:$A$1002,0)),"접수번호없음"))</f>
        <v/>
      </c>
      <c r="D281" s="10"/>
      <c r="E281" s="14"/>
      <c r="F281" s="10"/>
      <c r="G281" s="16"/>
      <c r="H281" s="10"/>
    </row>
    <row r="282" customFormat="false" ht="15" hidden="false" customHeight="true" outlineLevel="0" collapsed="false">
      <c r="A282" s="13"/>
      <c r="B282" s="10"/>
      <c r="C282" s="12" t="str">
        <f aca="false">IF($B282="","",IFERROR(INDEX(반품접수!$E$3:$E$1002,MATCH($B282,반품접수!$A$3:$A$1002,0)),"접수번호없음"))</f>
        <v/>
      </c>
      <c r="D282" s="10"/>
      <c r="E282" s="14"/>
      <c r="F282" s="10"/>
      <c r="G282" s="16"/>
      <c r="H282" s="10"/>
    </row>
    <row r="283" customFormat="false" ht="15" hidden="false" customHeight="true" outlineLevel="0" collapsed="false">
      <c r="A283" s="13"/>
      <c r="B283" s="10"/>
      <c r="C283" s="12" t="str">
        <f aca="false">IF($B283="","",IFERROR(INDEX(반품접수!$E$3:$E$1002,MATCH($B283,반품접수!$A$3:$A$1002,0)),"접수번호없음"))</f>
        <v/>
      </c>
      <c r="D283" s="10"/>
      <c r="E283" s="14"/>
      <c r="F283" s="10"/>
      <c r="G283" s="16"/>
      <c r="H283" s="10"/>
    </row>
    <row r="284" customFormat="false" ht="15" hidden="false" customHeight="true" outlineLevel="0" collapsed="false">
      <c r="A284" s="13"/>
      <c r="B284" s="10"/>
      <c r="C284" s="12" t="str">
        <f aca="false">IF($B284="","",IFERROR(INDEX(반품접수!$E$3:$E$1002,MATCH($B284,반품접수!$A$3:$A$1002,0)),"접수번호없음"))</f>
        <v/>
      </c>
      <c r="D284" s="10"/>
      <c r="E284" s="14"/>
      <c r="F284" s="10"/>
      <c r="G284" s="16"/>
      <c r="H284" s="10"/>
    </row>
    <row r="285" customFormat="false" ht="15" hidden="false" customHeight="true" outlineLevel="0" collapsed="false">
      <c r="A285" s="13"/>
      <c r="B285" s="10"/>
      <c r="C285" s="12" t="str">
        <f aca="false">IF($B285="","",IFERROR(INDEX(반품접수!$E$3:$E$1002,MATCH($B285,반품접수!$A$3:$A$1002,0)),"접수번호없음"))</f>
        <v/>
      </c>
      <c r="D285" s="10"/>
      <c r="E285" s="14"/>
      <c r="F285" s="10"/>
      <c r="G285" s="16"/>
      <c r="H285" s="10"/>
    </row>
    <row r="286" customFormat="false" ht="15" hidden="false" customHeight="true" outlineLevel="0" collapsed="false">
      <c r="A286" s="13"/>
      <c r="B286" s="10"/>
      <c r="C286" s="12" t="str">
        <f aca="false">IF($B286="","",IFERROR(INDEX(반품접수!$E$3:$E$1002,MATCH($B286,반품접수!$A$3:$A$1002,0)),"접수번호없음"))</f>
        <v/>
      </c>
      <c r="D286" s="10"/>
      <c r="E286" s="14"/>
      <c r="F286" s="10"/>
      <c r="G286" s="16"/>
      <c r="H286" s="10"/>
    </row>
    <row r="287" customFormat="false" ht="15" hidden="false" customHeight="true" outlineLevel="0" collapsed="false">
      <c r="A287" s="13"/>
      <c r="B287" s="10"/>
      <c r="C287" s="12" t="str">
        <f aca="false">IF($B287="","",IFERROR(INDEX(반품접수!$E$3:$E$1002,MATCH($B287,반품접수!$A$3:$A$1002,0)),"접수번호없음"))</f>
        <v/>
      </c>
      <c r="D287" s="10"/>
      <c r="E287" s="14"/>
      <c r="F287" s="10"/>
      <c r="G287" s="16"/>
      <c r="H287" s="10"/>
    </row>
    <row r="288" customFormat="false" ht="15" hidden="false" customHeight="true" outlineLevel="0" collapsed="false">
      <c r="A288" s="13"/>
      <c r="B288" s="10"/>
      <c r="C288" s="12" t="str">
        <f aca="false">IF($B288="","",IFERROR(INDEX(반품접수!$E$3:$E$1002,MATCH($B288,반품접수!$A$3:$A$1002,0)),"접수번호없음"))</f>
        <v/>
      </c>
      <c r="D288" s="10"/>
      <c r="E288" s="14"/>
      <c r="F288" s="10"/>
      <c r="G288" s="16"/>
      <c r="H288" s="10"/>
    </row>
    <row r="289" customFormat="false" ht="15" hidden="false" customHeight="true" outlineLevel="0" collapsed="false">
      <c r="A289" s="13"/>
      <c r="B289" s="10"/>
      <c r="C289" s="12" t="str">
        <f aca="false">IF($B289="","",IFERROR(INDEX(반품접수!$E$3:$E$1002,MATCH($B289,반품접수!$A$3:$A$1002,0)),"접수번호없음"))</f>
        <v/>
      </c>
      <c r="D289" s="10"/>
      <c r="E289" s="14"/>
      <c r="F289" s="10"/>
      <c r="G289" s="16"/>
      <c r="H289" s="10"/>
    </row>
    <row r="290" customFormat="false" ht="15" hidden="false" customHeight="true" outlineLevel="0" collapsed="false">
      <c r="A290" s="13"/>
      <c r="B290" s="10"/>
      <c r="C290" s="12" t="str">
        <f aca="false">IF($B290="","",IFERROR(INDEX(반품접수!$E$3:$E$1002,MATCH($B290,반품접수!$A$3:$A$1002,0)),"접수번호없음"))</f>
        <v/>
      </c>
      <c r="D290" s="10"/>
      <c r="E290" s="14"/>
      <c r="F290" s="10"/>
      <c r="G290" s="16"/>
      <c r="H290" s="10"/>
    </row>
    <row r="291" customFormat="false" ht="15" hidden="false" customHeight="true" outlineLevel="0" collapsed="false">
      <c r="A291" s="13"/>
      <c r="B291" s="10"/>
      <c r="C291" s="12" t="str">
        <f aca="false">IF($B291="","",IFERROR(INDEX(반품접수!$E$3:$E$1002,MATCH($B291,반품접수!$A$3:$A$1002,0)),"접수번호없음"))</f>
        <v/>
      </c>
      <c r="D291" s="10"/>
      <c r="E291" s="14"/>
      <c r="F291" s="10"/>
      <c r="G291" s="16"/>
      <c r="H291" s="10"/>
    </row>
    <row r="292" customFormat="false" ht="15" hidden="false" customHeight="true" outlineLevel="0" collapsed="false">
      <c r="A292" s="13"/>
      <c r="B292" s="10"/>
      <c r="C292" s="12" t="str">
        <f aca="false">IF($B292="","",IFERROR(INDEX(반품접수!$E$3:$E$1002,MATCH($B292,반품접수!$A$3:$A$1002,0)),"접수번호없음"))</f>
        <v/>
      </c>
      <c r="D292" s="10"/>
      <c r="E292" s="14"/>
      <c r="F292" s="10"/>
      <c r="G292" s="16"/>
      <c r="H292" s="10"/>
    </row>
    <row r="293" customFormat="false" ht="15" hidden="false" customHeight="true" outlineLevel="0" collapsed="false">
      <c r="A293" s="13"/>
      <c r="B293" s="10"/>
      <c r="C293" s="12" t="str">
        <f aca="false">IF($B293="","",IFERROR(INDEX(반품접수!$E$3:$E$1002,MATCH($B293,반품접수!$A$3:$A$1002,0)),"접수번호없음"))</f>
        <v/>
      </c>
      <c r="D293" s="10"/>
      <c r="E293" s="14"/>
      <c r="F293" s="10"/>
      <c r="G293" s="16"/>
      <c r="H293" s="10"/>
    </row>
    <row r="294" customFormat="false" ht="15" hidden="false" customHeight="true" outlineLevel="0" collapsed="false">
      <c r="A294" s="13"/>
      <c r="B294" s="10"/>
      <c r="C294" s="12" t="str">
        <f aca="false">IF($B294="","",IFERROR(INDEX(반품접수!$E$3:$E$1002,MATCH($B294,반품접수!$A$3:$A$1002,0)),"접수번호없음"))</f>
        <v/>
      </c>
      <c r="D294" s="10"/>
      <c r="E294" s="14"/>
      <c r="F294" s="10"/>
      <c r="G294" s="16"/>
      <c r="H294" s="10"/>
    </row>
    <row r="295" customFormat="false" ht="15" hidden="false" customHeight="true" outlineLevel="0" collapsed="false">
      <c r="A295" s="13"/>
      <c r="B295" s="10"/>
      <c r="C295" s="12" t="str">
        <f aca="false">IF($B295="","",IFERROR(INDEX(반품접수!$E$3:$E$1002,MATCH($B295,반품접수!$A$3:$A$1002,0)),"접수번호없음"))</f>
        <v/>
      </c>
      <c r="D295" s="10"/>
      <c r="E295" s="14"/>
      <c r="F295" s="10"/>
      <c r="G295" s="16"/>
      <c r="H295" s="10"/>
    </row>
    <row r="296" customFormat="false" ht="15" hidden="false" customHeight="true" outlineLevel="0" collapsed="false">
      <c r="A296" s="13"/>
      <c r="B296" s="10"/>
      <c r="C296" s="12" t="str">
        <f aca="false">IF($B296="","",IFERROR(INDEX(반품접수!$E$3:$E$1002,MATCH($B296,반품접수!$A$3:$A$1002,0)),"접수번호없음"))</f>
        <v/>
      </c>
      <c r="D296" s="10"/>
      <c r="E296" s="14"/>
      <c r="F296" s="10"/>
      <c r="G296" s="16"/>
      <c r="H296" s="10"/>
    </row>
    <row r="297" customFormat="false" ht="15" hidden="false" customHeight="true" outlineLevel="0" collapsed="false">
      <c r="A297" s="13"/>
      <c r="B297" s="10"/>
      <c r="C297" s="12" t="str">
        <f aca="false">IF($B297="","",IFERROR(INDEX(반품접수!$E$3:$E$1002,MATCH($B297,반품접수!$A$3:$A$1002,0)),"접수번호없음"))</f>
        <v/>
      </c>
      <c r="D297" s="10"/>
      <c r="E297" s="14"/>
      <c r="F297" s="10"/>
      <c r="G297" s="16"/>
      <c r="H297" s="10"/>
    </row>
    <row r="298" customFormat="false" ht="15" hidden="false" customHeight="true" outlineLevel="0" collapsed="false">
      <c r="A298" s="13"/>
      <c r="B298" s="10"/>
      <c r="C298" s="12" t="str">
        <f aca="false">IF($B298="","",IFERROR(INDEX(반품접수!$E$3:$E$1002,MATCH($B298,반품접수!$A$3:$A$1002,0)),"접수번호없음"))</f>
        <v/>
      </c>
      <c r="D298" s="10"/>
      <c r="E298" s="14"/>
      <c r="F298" s="10"/>
      <c r="G298" s="16"/>
      <c r="H298" s="10"/>
    </row>
    <row r="299" customFormat="false" ht="15" hidden="false" customHeight="true" outlineLevel="0" collapsed="false">
      <c r="A299" s="13"/>
      <c r="B299" s="10"/>
      <c r="C299" s="12" t="str">
        <f aca="false">IF($B299="","",IFERROR(INDEX(반품접수!$E$3:$E$1002,MATCH($B299,반품접수!$A$3:$A$1002,0)),"접수번호없음"))</f>
        <v/>
      </c>
      <c r="D299" s="10"/>
      <c r="E299" s="14"/>
      <c r="F299" s="10"/>
      <c r="G299" s="16"/>
      <c r="H299" s="10"/>
    </row>
    <row r="300" customFormat="false" ht="15" hidden="false" customHeight="true" outlineLevel="0" collapsed="false">
      <c r="A300" s="13"/>
      <c r="B300" s="10"/>
      <c r="C300" s="12" t="str">
        <f aca="false">IF($B300="","",IFERROR(INDEX(반품접수!$E$3:$E$1002,MATCH($B300,반품접수!$A$3:$A$1002,0)),"접수번호없음"))</f>
        <v/>
      </c>
      <c r="D300" s="10"/>
      <c r="E300" s="14"/>
      <c r="F300" s="10"/>
      <c r="G300" s="16"/>
      <c r="H300" s="10"/>
    </row>
    <row r="301" customFormat="false" ht="15" hidden="false" customHeight="true" outlineLevel="0" collapsed="false">
      <c r="A301" s="13"/>
      <c r="B301" s="10"/>
      <c r="C301" s="12" t="str">
        <f aca="false">IF($B301="","",IFERROR(INDEX(반품접수!$E$3:$E$1002,MATCH($B301,반품접수!$A$3:$A$1002,0)),"접수번호없음"))</f>
        <v/>
      </c>
      <c r="D301" s="10"/>
      <c r="E301" s="14"/>
      <c r="F301" s="10"/>
      <c r="G301" s="16"/>
      <c r="H301" s="10"/>
    </row>
    <row r="302" customFormat="false" ht="15" hidden="false" customHeight="true" outlineLevel="0" collapsed="false">
      <c r="A302" s="13"/>
      <c r="B302" s="10"/>
      <c r="C302" s="12" t="str">
        <f aca="false">IF($B302="","",IFERROR(INDEX(반품접수!$E$3:$E$1002,MATCH($B302,반품접수!$A$3:$A$1002,0)),"접수번호없음"))</f>
        <v/>
      </c>
      <c r="D302" s="10"/>
      <c r="E302" s="14"/>
      <c r="F302" s="10"/>
      <c r="G302" s="16"/>
      <c r="H302" s="10"/>
    </row>
    <row r="303" customFormat="false" ht="15" hidden="false" customHeight="true" outlineLevel="0" collapsed="false">
      <c r="A303" s="13"/>
      <c r="B303" s="10"/>
      <c r="C303" s="12" t="str">
        <f aca="false">IF($B303="","",IFERROR(INDEX(반품접수!$E$3:$E$1002,MATCH($B303,반품접수!$A$3:$A$1002,0)),"접수번호없음"))</f>
        <v/>
      </c>
      <c r="D303" s="10"/>
      <c r="E303" s="14"/>
      <c r="F303" s="10"/>
      <c r="G303" s="16"/>
      <c r="H303" s="10"/>
    </row>
    <row r="304" customFormat="false" ht="15" hidden="false" customHeight="true" outlineLevel="0" collapsed="false">
      <c r="A304" s="13"/>
      <c r="B304" s="10"/>
      <c r="C304" s="12" t="str">
        <f aca="false">IF($B304="","",IFERROR(INDEX(반품접수!$E$3:$E$1002,MATCH($B304,반품접수!$A$3:$A$1002,0)),"접수번호없음"))</f>
        <v/>
      </c>
      <c r="D304" s="10"/>
      <c r="E304" s="14"/>
      <c r="F304" s="10"/>
      <c r="G304" s="16"/>
      <c r="H304" s="10"/>
    </row>
    <row r="305" customFormat="false" ht="15" hidden="false" customHeight="true" outlineLevel="0" collapsed="false">
      <c r="A305" s="13"/>
      <c r="B305" s="10"/>
      <c r="C305" s="12" t="str">
        <f aca="false">IF($B305="","",IFERROR(INDEX(반품접수!$E$3:$E$1002,MATCH($B305,반품접수!$A$3:$A$1002,0)),"접수번호없음"))</f>
        <v/>
      </c>
      <c r="D305" s="10"/>
      <c r="E305" s="14"/>
      <c r="F305" s="10"/>
      <c r="G305" s="16"/>
      <c r="H305" s="10"/>
    </row>
    <row r="306" customFormat="false" ht="15" hidden="false" customHeight="true" outlineLevel="0" collapsed="false">
      <c r="A306" s="13"/>
      <c r="B306" s="10"/>
      <c r="C306" s="12" t="str">
        <f aca="false">IF($B306="","",IFERROR(INDEX(반품접수!$E$3:$E$1002,MATCH($B306,반품접수!$A$3:$A$1002,0)),"접수번호없음"))</f>
        <v/>
      </c>
      <c r="D306" s="10"/>
      <c r="E306" s="14"/>
      <c r="F306" s="10"/>
      <c r="G306" s="16"/>
      <c r="H306" s="10"/>
    </row>
    <row r="307" customFormat="false" ht="15" hidden="false" customHeight="true" outlineLevel="0" collapsed="false">
      <c r="A307" s="13"/>
      <c r="B307" s="10"/>
      <c r="C307" s="12" t="str">
        <f aca="false">IF($B307="","",IFERROR(INDEX(반품접수!$E$3:$E$1002,MATCH($B307,반품접수!$A$3:$A$1002,0)),"접수번호없음"))</f>
        <v/>
      </c>
      <c r="D307" s="10"/>
      <c r="E307" s="14"/>
      <c r="F307" s="10"/>
      <c r="G307" s="16"/>
      <c r="H307" s="10"/>
    </row>
    <row r="308" customFormat="false" ht="15" hidden="false" customHeight="true" outlineLevel="0" collapsed="false">
      <c r="A308" s="13"/>
      <c r="B308" s="10"/>
      <c r="C308" s="12" t="str">
        <f aca="false">IF($B308="","",IFERROR(INDEX(반품접수!$E$3:$E$1002,MATCH($B308,반품접수!$A$3:$A$1002,0)),"접수번호없음"))</f>
        <v/>
      </c>
      <c r="D308" s="10"/>
      <c r="E308" s="14"/>
      <c r="F308" s="10"/>
      <c r="G308" s="16"/>
      <c r="H308" s="10"/>
    </row>
    <row r="309" customFormat="false" ht="15" hidden="false" customHeight="true" outlineLevel="0" collapsed="false">
      <c r="A309" s="13"/>
      <c r="B309" s="10"/>
      <c r="C309" s="12" t="str">
        <f aca="false">IF($B309="","",IFERROR(INDEX(반품접수!$E$3:$E$1002,MATCH($B309,반품접수!$A$3:$A$1002,0)),"접수번호없음"))</f>
        <v/>
      </c>
      <c r="D309" s="10"/>
      <c r="E309" s="14"/>
      <c r="F309" s="10"/>
      <c r="G309" s="16"/>
      <c r="H309" s="10"/>
    </row>
    <row r="310" customFormat="false" ht="15" hidden="false" customHeight="true" outlineLevel="0" collapsed="false">
      <c r="A310" s="13"/>
      <c r="B310" s="10"/>
      <c r="C310" s="12" t="str">
        <f aca="false">IF($B310="","",IFERROR(INDEX(반품접수!$E$3:$E$1002,MATCH($B310,반품접수!$A$3:$A$1002,0)),"접수번호없음"))</f>
        <v/>
      </c>
      <c r="D310" s="10"/>
      <c r="E310" s="14"/>
      <c r="F310" s="10"/>
      <c r="G310" s="16"/>
      <c r="H310" s="10"/>
    </row>
    <row r="311" customFormat="false" ht="15" hidden="false" customHeight="true" outlineLevel="0" collapsed="false">
      <c r="A311" s="13"/>
      <c r="B311" s="10"/>
      <c r="C311" s="12" t="str">
        <f aca="false">IF($B311="","",IFERROR(INDEX(반품접수!$E$3:$E$1002,MATCH($B311,반품접수!$A$3:$A$1002,0)),"접수번호없음"))</f>
        <v/>
      </c>
      <c r="D311" s="10"/>
      <c r="E311" s="14"/>
      <c r="F311" s="10"/>
      <c r="G311" s="16"/>
      <c r="H311" s="10"/>
    </row>
    <row r="312" customFormat="false" ht="15" hidden="false" customHeight="true" outlineLevel="0" collapsed="false">
      <c r="A312" s="13"/>
      <c r="B312" s="10"/>
      <c r="C312" s="12" t="str">
        <f aca="false">IF($B312="","",IFERROR(INDEX(반품접수!$E$3:$E$1002,MATCH($B312,반품접수!$A$3:$A$1002,0)),"접수번호없음"))</f>
        <v/>
      </c>
      <c r="D312" s="10"/>
      <c r="E312" s="14"/>
      <c r="F312" s="10"/>
      <c r="G312" s="16"/>
      <c r="H312" s="10"/>
    </row>
    <row r="313" customFormat="false" ht="15" hidden="false" customHeight="true" outlineLevel="0" collapsed="false">
      <c r="A313" s="13"/>
      <c r="B313" s="10"/>
      <c r="C313" s="12" t="str">
        <f aca="false">IF($B313="","",IFERROR(INDEX(반품접수!$E$3:$E$1002,MATCH($B313,반품접수!$A$3:$A$1002,0)),"접수번호없음"))</f>
        <v/>
      </c>
      <c r="D313" s="10"/>
      <c r="E313" s="14"/>
      <c r="F313" s="10"/>
      <c r="G313" s="16"/>
      <c r="H313" s="10"/>
    </row>
    <row r="314" customFormat="false" ht="15" hidden="false" customHeight="true" outlineLevel="0" collapsed="false">
      <c r="A314" s="13"/>
      <c r="B314" s="10"/>
      <c r="C314" s="12" t="str">
        <f aca="false">IF($B314="","",IFERROR(INDEX(반품접수!$E$3:$E$1002,MATCH($B314,반품접수!$A$3:$A$1002,0)),"접수번호없음"))</f>
        <v/>
      </c>
      <c r="D314" s="10"/>
      <c r="E314" s="14"/>
      <c r="F314" s="10"/>
      <c r="G314" s="16"/>
      <c r="H314" s="10"/>
    </row>
    <row r="315" customFormat="false" ht="15" hidden="false" customHeight="true" outlineLevel="0" collapsed="false">
      <c r="A315" s="13"/>
      <c r="B315" s="10"/>
      <c r="C315" s="12" t="str">
        <f aca="false">IF($B315="","",IFERROR(INDEX(반품접수!$E$3:$E$1002,MATCH($B315,반품접수!$A$3:$A$1002,0)),"접수번호없음"))</f>
        <v/>
      </c>
      <c r="D315" s="10"/>
      <c r="E315" s="14"/>
      <c r="F315" s="10"/>
      <c r="G315" s="16"/>
      <c r="H315" s="10"/>
    </row>
    <row r="316" customFormat="false" ht="15" hidden="false" customHeight="true" outlineLevel="0" collapsed="false">
      <c r="A316" s="13"/>
      <c r="B316" s="10"/>
      <c r="C316" s="12" t="str">
        <f aca="false">IF($B316="","",IFERROR(INDEX(반품접수!$E$3:$E$1002,MATCH($B316,반품접수!$A$3:$A$1002,0)),"접수번호없음"))</f>
        <v/>
      </c>
      <c r="D316" s="10"/>
      <c r="E316" s="14"/>
      <c r="F316" s="10"/>
      <c r="G316" s="16"/>
      <c r="H316" s="10"/>
    </row>
    <row r="317" customFormat="false" ht="15" hidden="false" customHeight="true" outlineLevel="0" collapsed="false">
      <c r="A317" s="13"/>
      <c r="B317" s="10"/>
      <c r="C317" s="12" t="str">
        <f aca="false">IF($B317="","",IFERROR(INDEX(반품접수!$E$3:$E$1002,MATCH($B317,반품접수!$A$3:$A$1002,0)),"접수번호없음"))</f>
        <v/>
      </c>
      <c r="D317" s="10"/>
      <c r="E317" s="14"/>
      <c r="F317" s="10"/>
      <c r="G317" s="16"/>
      <c r="H317" s="10"/>
    </row>
    <row r="318" customFormat="false" ht="15" hidden="false" customHeight="true" outlineLevel="0" collapsed="false">
      <c r="A318" s="13"/>
      <c r="B318" s="10"/>
      <c r="C318" s="12" t="str">
        <f aca="false">IF($B318="","",IFERROR(INDEX(반품접수!$E$3:$E$1002,MATCH($B318,반품접수!$A$3:$A$1002,0)),"접수번호없음"))</f>
        <v/>
      </c>
      <c r="D318" s="10"/>
      <c r="E318" s="14"/>
      <c r="F318" s="10"/>
      <c r="G318" s="16"/>
      <c r="H318" s="10"/>
    </row>
    <row r="319" customFormat="false" ht="15" hidden="false" customHeight="true" outlineLevel="0" collapsed="false">
      <c r="A319" s="13"/>
      <c r="B319" s="10"/>
      <c r="C319" s="12" t="str">
        <f aca="false">IF($B319="","",IFERROR(INDEX(반품접수!$E$3:$E$1002,MATCH($B319,반품접수!$A$3:$A$1002,0)),"접수번호없음"))</f>
        <v/>
      </c>
      <c r="D319" s="10"/>
      <c r="E319" s="14"/>
      <c r="F319" s="10"/>
      <c r="G319" s="16"/>
      <c r="H319" s="10"/>
    </row>
    <row r="320" customFormat="false" ht="15" hidden="false" customHeight="true" outlineLevel="0" collapsed="false">
      <c r="A320" s="13"/>
      <c r="B320" s="10"/>
      <c r="C320" s="12" t="str">
        <f aca="false">IF($B320="","",IFERROR(INDEX(반품접수!$E$3:$E$1002,MATCH($B320,반품접수!$A$3:$A$1002,0)),"접수번호없음"))</f>
        <v/>
      </c>
      <c r="D320" s="10"/>
      <c r="E320" s="14"/>
      <c r="F320" s="10"/>
      <c r="G320" s="16"/>
      <c r="H320" s="10"/>
    </row>
    <row r="321" customFormat="false" ht="15" hidden="false" customHeight="true" outlineLevel="0" collapsed="false">
      <c r="A321" s="13"/>
      <c r="B321" s="10"/>
      <c r="C321" s="12" t="str">
        <f aca="false">IF($B321="","",IFERROR(INDEX(반품접수!$E$3:$E$1002,MATCH($B321,반품접수!$A$3:$A$1002,0)),"접수번호없음"))</f>
        <v/>
      </c>
      <c r="D321" s="10"/>
      <c r="E321" s="14"/>
      <c r="F321" s="10"/>
      <c r="G321" s="16"/>
      <c r="H321" s="10"/>
    </row>
    <row r="322" customFormat="false" ht="15" hidden="false" customHeight="true" outlineLevel="0" collapsed="false">
      <c r="A322" s="13"/>
      <c r="B322" s="10"/>
      <c r="C322" s="12" t="str">
        <f aca="false">IF($B322="","",IFERROR(INDEX(반품접수!$E$3:$E$1002,MATCH($B322,반품접수!$A$3:$A$1002,0)),"접수번호없음"))</f>
        <v/>
      </c>
      <c r="D322" s="10"/>
      <c r="E322" s="14"/>
      <c r="F322" s="10"/>
      <c r="G322" s="16"/>
      <c r="H322" s="10"/>
    </row>
    <row r="323" customFormat="false" ht="15" hidden="false" customHeight="true" outlineLevel="0" collapsed="false">
      <c r="A323" s="13"/>
      <c r="B323" s="10"/>
      <c r="C323" s="12" t="str">
        <f aca="false">IF($B323="","",IFERROR(INDEX(반품접수!$E$3:$E$1002,MATCH($B323,반품접수!$A$3:$A$1002,0)),"접수번호없음"))</f>
        <v/>
      </c>
      <c r="D323" s="10"/>
      <c r="E323" s="14"/>
      <c r="F323" s="10"/>
      <c r="G323" s="16"/>
      <c r="H323" s="10"/>
    </row>
    <row r="324" customFormat="false" ht="15" hidden="false" customHeight="true" outlineLevel="0" collapsed="false">
      <c r="A324" s="13"/>
      <c r="B324" s="10"/>
      <c r="C324" s="12" t="str">
        <f aca="false">IF($B324="","",IFERROR(INDEX(반품접수!$E$3:$E$1002,MATCH($B324,반품접수!$A$3:$A$1002,0)),"접수번호없음"))</f>
        <v/>
      </c>
      <c r="D324" s="10"/>
      <c r="E324" s="14"/>
      <c r="F324" s="10"/>
      <c r="G324" s="16"/>
      <c r="H324" s="10"/>
    </row>
    <row r="325" customFormat="false" ht="15" hidden="false" customHeight="true" outlineLevel="0" collapsed="false">
      <c r="A325" s="13"/>
      <c r="B325" s="10"/>
      <c r="C325" s="12" t="str">
        <f aca="false">IF($B325="","",IFERROR(INDEX(반품접수!$E$3:$E$1002,MATCH($B325,반품접수!$A$3:$A$1002,0)),"접수번호없음"))</f>
        <v/>
      </c>
      <c r="D325" s="10"/>
      <c r="E325" s="14"/>
      <c r="F325" s="10"/>
      <c r="G325" s="16"/>
      <c r="H325" s="10"/>
    </row>
    <row r="326" customFormat="false" ht="15" hidden="false" customHeight="true" outlineLevel="0" collapsed="false">
      <c r="A326" s="13"/>
      <c r="B326" s="10"/>
      <c r="C326" s="12" t="str">
        <f aca="false">IF($B326="","",IFERROR(INDEX(반품접수!$E$3:$E$1002,MATCH($B326,반품접수!$A$3:$A$1002,0)),"접수번호없음"))</f>
        <v/>
      </c>
      <c r="D326" s="10"/>
      <c r="E326" s="14"/>
      <c r="F326" s="10"/>
      <c r="G326" s="16"/>
      <c r="H326" s="10"/>
    </row>
    <row r="327" customFormat="false" ht="15" hidden="false" customHeight="true" outlineLevel="0" collapsed="false">
      <c r="A327" s="13"/>
      <c r="B327" s="10"/>
      <c r="C327" s="12" t="str">
        <f aca="false">IF($B327="","",IFERROR(INDEX(반품접수!$E$3:$E$1002,MATCH($B327,반품접수!$A$3:$A$1002,0)),"접수번호없음"))</f>
        <v/>
      </c>
      <c r="D327" s="10"/>
      <c r="E327" s="14"/>
      <c r="F327" s="10"/>
      <c r="G327" s="16"/>
      <c r="H327" s="10"/>
    </row>
    <row r="328" customFormat="false" ht="15" hidden="false" customHeight="true" outlineLevel="0" collapsed="false">
      <c r="A328" s="13"/>
      <c r="B328" s="10"/>
      <c r="C328" s="12" t="str">
        <f aca="false">IF($B328="","",IFERROR(INDEX(반품접수!$E$3:$E$1002,MATCH($B328,반품접수!$A$3:$A$1002,0)),"접수번호없음"))</f>
        <v/>
      </c>
      <c r="D328" s="10"/>
      <c r="E328" s="14"/>
      <c r="F328" s="10"/>
      <c r="G328" s="16"/>
      <c r="H328" s="10"/>
    </row>
    <row r="329" customFormat="false" ht="15" hidden="false" customHeight="true" outlineLevel="0" collapsed="false">
      <c r="A329" s="13"/>
      <c r="B329" s="10"/>
      <c r="C329" s="12" t="str">
        <f aca="false">IF($B329="","",IFERROR(INDEX(반품접수!$E$3:$E$1002,MATCH($B329,반품접수!$A$3:$A$1002,0)),"접수번호없음"))</f>
        <v/>
      </c>
      <c r="D329" s="10"/>
      <c r="E329" s="14"/>
      <c r="F329" s="10"/>
      <c r="G329" s="16"/>
      <c r="H329" s="10"/>
    </row>
    <row r="330" customFormat="false" ht="15" hidden="false" customHeight="true" outlineLevel="0" collapsed="false">
      <c r="A330" s="13"/>
      <c r="B330" s="10"/>
      <c r="C330" s="12" t="str">
        <f aca="false">IF($B330="","",IFERROR(INDEX(반품접수!$E$3:$E$1002,MATCH($B330,반품접수!$A$3:$A$1002,0)),"접수번호없음"))</f>
        <v/>
      </c>
      <c r="D330" s="10"/>
      <c r="E330" s="14"/>
      <c r="F330" s="10"/>
      <c r="G330" s="16"/>
      <c r="H330" s="10"/>
    </row>
    <row r="331" customFormat="false" ht="15" hidden="false" customHeight="true" outlineLevel="0" collapsed="false">
      <c r="A331" s="13"/>
      <c r="B331" s="10"/>
      <c r="C331" s="12" t="str">
        <f aca="false">IF($B331="","",IFERROR(INDEX(반품접수!$E$3:$E$1002,MATCH($B331,반품접수!$A$3:$A$1002,0)),"접수번호없음"))</f>
        <v/>
      </c>
      <c r="D331" s="10"/>
      <c r="E331" s="14"/>
      <c r="F331" s="10"/>
      <c r="G331" s="16"/>
      <c r="H331" s="10"/>
    </row>
    <row r="332" customFormat="false" ht="15" hidden="false" customHeight="true" outlineLevel="0" collapsed="false">
      <c r="A332" s="13"/>
      <c r="B332" s="10"/>
      <c r="C332" s="12" t="str">
        <f aca="false">IF($B332="","",IFERROR(INDEX(반품접수!$E$3:$E$1002,MATCH($B332,반품접수!$A$3:$A$1002,0)),"접수번호없음"))</f>
        <v/>
      </c>
      <c r="D332" s="10"/>
      <c r="E332" s="14"/>
      <c r="F332" s="10"/>
      <c r="G332" s="16"/>
      <c r="H332" s="10"/>
    </row>
    <row r="333" customFormat="false" ht="15" hidden="false" customHeight="true" outlineLevel="0" collapsed="false">
      <c r="A333" s="13"/>
      <c r="B333" s="10"/>
      <c r="C333" s="12" t="str">
        <f aca="false">IF($B333="","",IFERROR(INDEX(반품접수!$E$3:$E$1002,MATCH($B333,반품접수!$A$3:$A$1002,0)),"접수번호없음"))</f>
        <v/>
      </c>
      <c r="D333" s="10"/>
      <c r="E333" s="14"/>
      <c r="F333" s="10"/>
      <c r="G333" s="16"/>
      <c r="H333" s="10"/>
    </row>
    <row r="334" customFormat="false" ht="15" hidden="false" customHeight="true" outlineLevel="0" collapsed="false">
      <c r="A334" s="13"/>
      <c r="B334" s="10"/>
      <c r="C334" s="12" t="str">
        <f aca="false">IF($B334="","",IFERROR(INDEX(반품접수!$E$3:$E$1002,MATCH($B334,반품접수!$A$3:$A$1002,0)),"접수번호없음"))</f>
        <v/>
      </c>
      <c r="D334" s="10"/>
      <c r="E334" s="14"/>
      <c r="F334" s="10"/>
      <c r="G334" s="16"/>
      <c r="H334" s="10"/>
    </row>
    <row r="335" customFormat="false" ht="15" hidden="false" customHeight="true" outlineLevel="0" collapsed="false">
      <c r="A335" s="13"/>
      <c r="B335" s="10"/>
      <c r="C335" s="12" t="str">
        <f aca="false">IF($B335="","",IFERROR(INDEX(반품접수!$E$3:$E$1002,MATCH($B335,반품접수!$A$3:$A$1002,0)),"접수번호없음"))</f>
        <v/>
      </c>
      <c r="D335" s="10"/>
      <c r="E335" s="14"/>
      <c r="F335" s="10"/>
      <c r="G335" s="16"/>
      <c r="H335" s="10"/>
    </row>
    <row r="336" customFormat="false" ht="15" hidden="false" customHeight="true" outlineLevel="0" collapsed="false">
      <c r="A336" s="13"/>
      <c r="B336" s="10"/>
      <c r="C336" s="12" t="str">
        <f aca="false">IF($B336="","",IFERROR(INDEX(반품접수!$E$3:$E$1002,MATCH($B336,반품접수!$A$3:$A$1002,0)),"접수번호없음"))</f>
        <v/>
      </c>
      <c r="D336" s="10"/>
      <c r="E336" s="14"/>
      <c r="F336" s="10"/>
      <c r="G336" s="16"/>
      <c r="H336" s="10"/>
    </row>
    <row r="337" customFormat="false" ht="15" hidden="false" customHeight="true" outlineLevel="0" collapsed="false">
      <c r="A337" s="13"/>
      <c r="B337" s="10"/>
      <c r="C337" s="12" t="str">
        <f aca="false">IF($B337="","",IFERROR(INDEX(반품접수!$E$3:$E$1002,MATCH($B337,반품접수!$A$3:$A$1002,0)),"접수번호없음"))</f>
        <v/>
      </c>
      <c r="D337" s="10"/>
      <c r="E337" s="14"/>
      <c r="F337" s="10"/>
      <c r="G337" s="16"/>
      <c r="H337" s="10"/>
    </row>
    <row r="338" customFormat="false" ht="15" hidden="false" customHeight="true" outlineLevel="0" collapsed="false">
      <c r="A338" s="13"/>
      <c r="B338" s="10"/>
      <c r="C338" s="12" t="str">
        <f aca="false">IF($B338="","",IFERROR(INDEX(반품접수!$E$3:$E$1002,MATCH($B338,반품접수!$A$3:$A$1002,0)),"접수번호없음"))</f>
        <v/>
      </c>
      <c r="D338" s="10"/>
      <c r="E338" s="14"/>
      <c r="F338" s="10"/>
      <c r="G338" s="16"/>
      <c r="H338" s="10"/>
    </row>
    <row r="339" customFormat="false" ht="15" hidden="false" customHeight="true" outlineLevel="0" collapsed="false">
      <c r="A339" s="13"/>
      <c r="B339" s="10"/>
      <c r="C339" s="12" t="str">
        <f aca="false">IF($B339="","",IFERROR(INDEX(반품접수!$E$3:$E$1002,MATCH($B339,반품접수!$A$3:$A$1002,0)),"접수번호없음"))</f>
        <v/>
      </c>
      <c r="D339" s="10"/>
      <c r="E339" s="14"/>
      <c r="F339" s="10"/>
      <c r="G339" s="16"/>
      <c r="H339" s="10"/>
    </row>
    <row r="340" customFormat="false" ht="15" hidden="false" customHeight="true" outlineLevel="0" collapsed="false">
      <c r="A340" s="13"/>
      <c r="B340" s="10"/>
      <c r="C340" s="12" t="str">
        <f aca="false">IF($B340="","",IFERROR(INDEX(반품접수!$E$3:$E$1002,MATCH($B340,반품접수!$A$3:$A$1002,0)),"접수번호없음"))</f>
        <v/>
      </c>
      <c r="D340" s="10"/>
      <c r="E340" s="14"/>
      <c r="F340" s="10"/>
      <c r="G340" s="16"/>
      <c r="H340" s="10"/>
    </row>
    <row r="341" customFormat="false" ht="15" hidden="false" customHeight="true" outlineLevel="0" collapsed="false">
      <c r="A341" s="13"/>
      <c r="B341" s="10"/>
      <c r="C341" s="12" t="str">
        <f aca="false">IF($B341="","",IFERROR(INDEX(반품접수!$E$3:$E$1002,MATCH($B341,반품접수!$A$3:$A$1002,0)),"접수번호없음"))</f>
        <v/>
      </c>
      <c r="D341" s="10"/>
      <c r="E341" s="14"/>
      <c r="F341" s="10"/>
      <c r="G341" s="16"/>
      <c r="H341" s="10"/>
    </row>
    <row r="342" customFormat="false" ht="15" hidden="false" customHeight="true" outlineLevel="0" collapsed="false">
      <c r="A342" s="13"/>
      <c r="B342" s="10"/>
      <c r="C342" s="12" t="str">
        <f aca="false">IF($B342="","",IFERROR(INDEX(반품접수!$E$3:$E$1002,MATCH($B342,반품접수!$A$3:$A$1002,0)),"접수번호없음"))</f>
        <v/>
      </c>
      <c r="D342" s="10"/>
      <c r="E342" s="14"/>
      <c r="F342" s="10"/>
      <c r="G342" s="16"/>
      <c r="H342" s="10"/>
    </row>
    <row r="343" customFormat="false" ht="15" hidden="false" customHeight="true" outlineLevel="0" collapsed="false">
      <c r="A343" s="13"/>
      <c r="B343" s="10"/>
      <c r="C343" s="12" t="str">
        <f aca="false">IF($B343="","",IFERROR(INDEX(반품접수!$E$3:$E$1002,MATCH($B343,반품접수!$A$3:$A$1002,0)),"접수번호없음"))</f>
        <v/>
      </c>
      <c r="D343" s="10"/>
      <c r="E343" s="14"/>
      <c r="F343" s="10"/>
      <c r="G343" s="16"/>
      <c r="H343" s="10"/>
    </row>
    <row r="344" customFormat="false" ht="15" hidden="false" customHeight="true" outlineLevel="0" collapsed="false">
      <c r="A344" s="13"/>
      <c r="B344" s="10"/>
      <c r="C344" s="12" t="str">
        <f aca="false">IF($B344="","",IFERROR(INDEX(반품접수!$E$3:$E$1002,MATCH($B344,반품접수!$A$3:$A$1002,0)),"접수번호없음"))</f>
        <v/>
      </c>
      <c r="D344" s="10"/>
      <c r="E344" s="14"/>
      <c r="F344" s="10"/>
      <c r="G344" s="16"/>
      <c r="H344" s="10"/>
    </row>
    <row r="345" customFormat="false" ht="15" hidden="false" customHeight="true" outlineLevel="0" collapsed="false">
      <c r="A345" s="13"/>
      <c r="B345" s="10"/>
      <c r="C345" s="12" t="str">
        <f aca="false">IF($B345="","",IFERROR(INDEX(반품접수!$E$3:$E$1002,MATCH($B345,반품접수!$A$3:$A$1002,0)),"접수번호없음"))</f>
        <v/>
      </c>
      <c r="D345" s="10"/>
      <c r="E345" s="14"/>
      <c r="F345" s="10"/>
      <c r="G345" s="16"/>
      <c r="H345" s="10"/>
    </row>
    <row r="346" customFormat="false" ht="15" hidden="false" customHeight="true" outlineLevel="0" collapsed="false">
      <c r="A346" s="13"/>
      <c r="B346" s="10"/>
      <c r="C346" s="12" t="str">
        <f aca="false">IF($B346="","",IFERROR(INDEX(반품접수!$E$3:$E$1002,MATCH($B346,반품접수!$A$3:$A$1002,0)),"접수번호없음"))</f>
        <v/>
      </c>
      <c r="D346" s="10"/>
      <c r="E346" s="14"/>
      <c r="F346" s="10"/>
      <c r="G346" s="16"/>
      <c r="H346" s="10"/>
    </row>
    <row r="347" customFormat="false" ht="15" hidden="false" customHeight="true" outlineLevel="0" collapsed="false">
      <c r="A347" s="13"/>
      <c r="B347" s="10"/>
      <c r="C347" s="12" t="str">
        <f aca="false">IF($B347="","",IFERROR(INDEX(반품접수!$E$3:$E$1002,MATCH($B347,반품접수!$A$3:$A$1002,0)),"접수번호없음"))</f>
        <v/>
      </c>
      <c r="D347" s="10"/>
      <c r="E347" s="14"/>
      <c r="F347" s="10"/>
      <c r="G347" s="16"/>
      <c r="H347" s="10"/>
    </row>
    <row r="348" customFormat="false" ht="15" hidden="false" customHeight="true" outlineLevel="0" collapsed="false">
      <c r="A348" s="13"/>
      <c r="B348" s="10"/>
      <c r="C348" s="12" t="str">
        <f aca="false">IF($B348="","",IFERROR(INDEX(반품접수!$E$3:$E$1002,MATCH($B348,반품접수!$A$3:$A$1002,0)),"접수번호없음"))</f>
        <v/>
      </c>
      <c r="D348" s="10"/>
      <c r="E348" s="14"/>
      <c r="F348" s="10"/>
      <c r="G348" s="16"/>
      <c r="H348" s="10"/>
    </row>
    <row r="349" customFormat="false" ht="15" hidden="false" customHeight="true" outlineLevel="0" collapsed="false">
      <c r="A349" s="13"/>
      <c r="B349" s="10"/>
      <c r="C349" s="12" t="str">
        <f aca="false">IF($B349="","",IFERROR(INDEX(반품접수!$E$3:$E$1002,MATCH($B349,반품접수!$A$3:$A$1002,0)),"접수번호없음"))</f>
        <v/>
      </c>
      <c r="D349" s="10"/>
      <c r="E349" s="14"/>
      <c r="F349" s="10"/>
      <c r="G349" s="16"/>
      <c r="H349" s="10"/>
    </row>
    <row r="350" customFormat="false" ht="15" hidden="false" customHeight="true" outlineLevel="0" collapsed="false">
      <c r="A350" s="13"/>
      <c r="B350" s="10"/>
      <c r="C350" s="12" t="str">
        <f aca="false">IF($B350="","",IFERROR(INDEX(반품접수!$E$3:$E$1002,MATCH($B350,반품접수!$A$3:$A$1002,0)),"접수번호없음"))</f>
        <v/>
      </c>
      <c r="D350" s="10"/>
      <c r="E350" s="14"/>
      <c r="F350" s="10"/>
      <c r="G350" s="16"/>
      <c r="H350" s="10"/>
    </row>
    <row r="351" customFormat="false" ht="15" hidden="false" customHeight="true" outlineLevel="0" collapsed="false">
      <c r="A351" s="13"/>
      <c r="B351" s="10"/>
      <c r="C351" s="12" t="str">
        <f aca="false">IF($B351="","",IFERROR(INDEX(반품접수!$E$3:$E$1002,MATCH($B351,반품접수!$A$3:$A$1002,0)),"접수번호없음"))</f>
        <v/>
      </c>
      <c r="D351" s="10"/>
      <c r="E351" s="14"/>
      <c r="F351" s="10"/>
      <c r="G351" s="16"/>
      <c r="H351" s="10"/>
    </row>
    <row r="352" customFormat="false" ht="15" hidden="false" customHeight="true" outlineLevel="0" collapsed="false">
      <c r="A352" s="13"/>
      <c r="B352" s="10"/>
      <c r="C352" s="12" t="str">
        <f aca="false">IF($B352="","",IFERROR(INDEX(반품접수!$E$3:$E$1002,MATCH($B352,반품접수!$A$3:$A$1002,0)),"접수번호없음"))</f>
        <v/>
      </c>
      <c r="D352" s="10"/>
      <c r="E352" s="14"/>
      <c r="F352" s="10"/>
      <c r="G352" s="16"/>
      <c r="H352" s="10"/>
    </row>
    <row r="353" customFormat="false" ht="15" hidden="false" customHeight="true" outlineLevel="0" collapsed="false">
      <c r="A353" s="13"/>
      <c r="B353" s="10"/>
      <c r="C353" s="12" t="str">
        <f aca="false">IF($B353="","",IFERROR(INDEX(반품접수!$E$3:$E$1002,MATCH($B353,반품접수!$A$3:$A$1002,0)),"접수번호없음"))</f>
        <v/>
      </c>
      <c r="D353" s="10"/>
      <c r="E353" s="14"/>
      <c r="F353" s="10"/>
      <c r="G353" s="16"/>
      <c r="H353" s="10"/>
    </row>
    <row r="354" customFormat="false" ht="15" hidden="false" customHeight="true" outlineLevel="0" collapsed="false">
      <c r="A354" s="13"/>
      <c r="B354" s="10"/>
      <c r="C354" s="12" t="str">
        <f aca="false">IF($B354="","",IFERROR(INDEX(반품접수!$E$3:$E$1002,MATCH($B354,반품접수!$A$3:$A$1002,0)),"접수번호없음"))</f>
        <v/>
      </c>
      <c r="D354" s="10"/>
      <c r="E354" s="14"/>
      <c r="F354" s="10"/>
      <c r="G354" s="16"/>
      <c r="H354" s="10"/>
    </row>
    <row r="355" customFormat="false" ht="15" hidden="false" customHeight="true" outlineLevel="0" collapsed="false">
      <c r="A355" s="13"/>
      <c r="B355" s="10"/>
      <c r="C355" s="12" t="str">
        <f aca="false">IF($B355="","",IFERROR(INDEX(반품접수!$E$3:$E$1002,MATCH($B355,반품접수!$A$3:$A$1002,0)),"접수번호없음"))</f>
        <v/>
      </c>
      <c r="D355" s="10"/>
      <c r="E355" s="14"/>
      <c r="F355" s="10"/>
      <c r="G355" s="16"/>
      <c r="H355" s="10"/>
    </row>
    <row r="356" customFormat="false" ht="15" hidden="false" customHeight="true" outlineLevel="0" collapsed="false">
      <c r="A356" s="13"/>
      <c r="B356" s="10"/>
      <c r="C356" s="12" t="str">
        <f aca="false">IF($B356="","",IFERROR(INDEX(반품접수!$E$3:$E$1002,MATCH($B356,반품접수!$A$3:$A$1002,0)),"접수번호없음"))</f>
        <v/>
      </c>
      <c r="D356" s="10"/>
      <c r="E356" s="14"/>
      <c r="F356" s="10"/>
      <c r="G356" s="16"/>
      <c r="H356" s="10"/>
    </row>
    <row r="357" customFormat="false" ht="15" hidden="false" customHeight="true" outlineLevel="0" collapsed="false">
      <c r="A357" s="13"/>
      <c r="B357" s="10"/>
      <c r="C357" s="12" t="str">
        <f aca="false">IF($B357="","",IFERROR(INDEX(반품접수!$E$3:$E$1002,MATCH($B357,반품접수!$A$3:$A$1002,0)),"접수번호없음"))</f>
        <v/>
      </c>
      <c r="D357" s="10"/>
      <c r="E357" s="14"/>
      <c r="F357" s="10"/>
      <c r="G357" s="16"/>
      <c r="H357" s="10"/>
    </row>
    <row r="358" customFormat="false" ht="15" hidden="false" customHeight="true" outlineLevel="0" collapsed="false">
      <c r="A358" s="13"/>
      <c r="B358" s="10"/>
      <c r="C358" s="12" t="str">
        <f aca="false">IF($B358="","",IFERROR(INDEX(반품접수!$E$3:$E$1002,MATCH($B358,반품접수!$A$3:$A$1002,0)),"접수번호없음"))</f>
        <v/>
      </c>
      <c r="D358" s="10"/>
      <c r="E358" s="14"/>
      <c r="F358" s="10"/>
      <c r="G358" s="16"/>
      <c r="H358" s="10"/>
    </row>
    <row r="359" customFormat="false" ht="15" hidden="false" customHeight="true" outlineLevel="0" collapsed="false">
      <c r="A359" s="13"/>
      <c r="B359" s="10"/>
      <c r="C359" s="12" t="str">
        <f aca="false">IF($B359="","",IFERROR(INDEX(반품접수!$E$3:$E$1002,MATCH($B359,반품접수!$A$3:$A$1002,0)),"접수번호없음"))</f>
        <v/>
      </c>
      <c r="D359" s="10"/>
      <c r="E359" s="14"/>
      <c r="F359" s="10"/>
      <c r="G359" s="16"/>
      <c r="H359" s="10"/>
    </row>
    <row r="360" customFormat="false" ht="15" hidden="false" customHeight="true" outlineLevel="0" collapsed="false">
      <c r="A360" s="13"/>
      <c r="B360" s="10"/>
      <c r="C360" s="12" t="str">
        <f aca="false">IF($B360="","",IFERROR(INDEX(반품접수!$E$3:$E$1002,MATCH($B360,반품접수!$A$3:$A$1002,0)),"접수번호없음"))</f>
        <v/>
      </c>
      <c r="D360" s="10"/>
      <c r="E360" s="14"/>
      <c r="F360" s="10"/>
      <c r="G360" s="16"/>
      <c r="H360" s="10"/>
    </row>
    <row r="361" customFormat="false" ht="15" hidden="false" customHeight="true" outlineLevel="0" collapsed="false">
      <c r="A361" s="13"/>
      <c r="B361" s="10"/>
      <c r="C361" s="12" t="str">
        <f aca="false">IF($B361="","",IFERROR(INDEX(반품접수!$E$3:$E$1002,MATCH($B361,반품접수!$A$3:$A$1002,0)),"접수번호없음"))</f>
        <v/>
      </c>
      <c r="D361" s="10"/>
      <c r="E361" s="14"/>
      <c r="F361" s="10"/>
      <c r="G361" s="16"/>
      <c r="H361" s="10"/>
    </row>
    <row r="362" customFormat="false" ht="15" hidden="false" customHeight="true" outlineLevel="0" collapsed="false">
      <c r="A362" s="13"/>
      <c r="B362" s="10"/>
      <c r="C362" s="12" t="str">
        <f aca="false">IF($B362="","",IFERROR(INDEX(반품접수!$E$3:$E$1002,MATCH($B362,반품접수!$A$3:$A$1002,0)),"접수번호없음"))</f>
        <v/>
      </c>
      <c r="D362" s="10"/>
      <c r="E362" s="14"/>
      <c r="F362" s="10"/>
      <c r="G362" s="16"/>
      <c r="H362" s="10"/>
    </row>
    <row r="363" customFormat="false" ht="15" hidden="false" customHeight="true" outlineLevel="0" collapsed="false">
      <c r="A363" s="13"/>
      <c r="B363" s="10"/>
      <c r="C363" s="12" t="str">
        <f aca="false">IF($B363="","",IFERROR(INDEX(반품접수!$E$3:$E$1002,MATCH($B363,반품접수!$A$3:$A$1002,0)),"접수번호없음"))</f>
        <v/>
      </c>
      <c r="D363" s="10"/>
      <c r="E363" s="14"/>
      <c r="F363" s="10"/>
      <c r="G363" s="16"/>
      <c r="H363" s="10"/>
    </row>
    <row r="364" customFormat="false" ht="15" hidden="false" customHeight="true" outlineLevel="0" collapsed="false">
      <c r="A364" s="13"/>
      <c r="B364" s="10"/>
      <c r="C364" s="12" t="str">
        <f aca="false">IF($B364="","",IFERROR(INDEX(반품접수!$E$3:$E$1002,MATCH($B364,반품접수!$A$3:$A$1002,0)),"접수번호없음"))</f>
        <v/>
      </c>
      <c r="D364" s="10"/>
      <c r="E364" s="14"/>
      <c r="F364" s="10"/>
      <c r="G364" s="16"/>
      <c r="H364" s="10"/>
    </row>
    <row r="365" customFormat="false" ht="15" hidden="false" customHeight="true" outlineLevel="0" collapsed="false">
      <c r="A365" s="13"/>
      <c r="B365" s="10"/>
      <c r="C365" s="12" t="str">
        <f aca="false">IF($B365="","",IFERROR(INDEX(반품접수!$E$3:$E$1002,MATCH($B365,반품접수!$A$3:$A$1002,0)),"접수번호없음"))</f>
        <v/>
      </c>
      <c r="D365" s="10"/>
      <c r="E365" s="14"/>
      <c r="F365" s="10"/>
      <c r="G365" s="16"/>
      <c r="H365" s="10"/>
    </row>
    <row r="366" customFormat="false" ht="15" hidden="false" customHeight="true" outlineLevel="0" collapsed="false">
      <c r="A366" s="13"/>
      <c r="B366" s="10"/>
      <c r="C366" s="12" t="str">
        <f aca="false">IF($B366="","",IFERROR(INDEX(반품접수!$E$3:$E$1002,MATCH($B366,반품접수!$A$3:$A$1002,0)),"접수번호없음"))</f>
        <v/>
      </c>
      <c r="D366" s="10"/>
      <c r="E366" s="14"/>
      <c r="F366" s="10"/>
      <c r="G366" s="16"/>
      <c r="H366" s="10"/>
    </row>
    <row r="367" customFormat="false" ht="15" hidden="false" customHeight="true" outlineLevel="0" collapsed="false">
      <c r="A367" s="13"/>
      <c r="B367" s="10"/>
      <c r="C367" s="12" t="str">
        <f aca="false">IF($B367="","",IFERROR(INDEX(반품접수!$E$3:$E$1002,MATCH($B367,반품접수!$A$3:$A$1002,0)),"접수번호없음"))</f>
        <v/>
      </c>
      <c r="D367" s="10"/>
      <c r="E367" s="14"/>
      <c r="F367" s="10"/>
      <c r="G367" s="16"/>
      <c r="H367" s="10"/>
    </row>
    <row r="368" customFormat="false" ht="15" hidden="false" customHeight="true" outlineLevel="0" collapsed="false">
      <c r="A368" s="13"/>
      <c r="B368" s="10"/>
      <c r="C368" s="12" t="str">
        <f aca="false">IF($B368="","",IFERROR(INDEX(반품접수!$E$3:$E$1002,MATCH($B368,반품접수!$A$3:$A$1002,0)),"접수번호없음"))</f>
        <v/>
      </c>
      <c r="D368" s="10"/>
      <c r="E368" s="14"/>
      <c r="F368" s="10"/>
      <c r="G368" s="16"/>
      <c r="H368" s="10"/>
    </row>
    <row r="369" customFormat="false" ht="15" hidden="false" customHeight="true" outlineLevel="0" collapsed="false">
      <c r="A369" s="13"/>
      <c r="B369" s="10"/>
      <c r="C369" s="12" t="str">
        <f aca="false">IF($B369="","",IFERROR(INDEX(반품접수!$E$3:$E$1002,MATCH($B369,반품접수!$A$3:$A$1002,0)),"접수번호없음"))</f>
        <v/>
      </c>
      <c r="D369" s="10"/>
      <c r="E369" s="14"/>
      <c r="F369" s="10"/>
      <c r="G369" s="16"/>
      <c r="H369" s="10"/>
    </row>
    <row r="370" customFormat="false" ht="15" hidden="false" customHeight="true" outlineLevel="0" collapsed="false">
      <c r="A370" s="13"/>
      <c r="B370" s="10"/>
      <c r="C370" s="12" t="str">
        <f aca="false">IF($B370="","",IFERROR(INDEX(반품접수!$E$3:$E$1002,MATCH($B370,반품접수!$A$3:$A$1002,0)),"접수번호없음"))</f>
        <v/>
      </c>
      <c r="D370" s="10"/>
      <c r="E370" s="14"/>
      <c r="F370" s="10"/>
      <c r="G370" s="16"/>
      <c r="H370" s="10"/>
    </row>
    <row r="371" customFormat="false" ht="15" hidden="false" customHeight="true" outlineLevel="0" collapsed="false">
      <c r="A371" s="13"/>
      <c r="B371" s="10"/>
      <c r="C371" s="12" t="str">
        <f aca="false">IF($B371="","",IFERROR(INDEX(반품접수!$E$3:$E$1002,MATCH($B371,반품접수!$A$3:$A$1002,0)),"접수번호없음"))</f>
        <v/>
      </c>
      <c r="D371" s="10"/>
      <c r="E371" s="14"/>
      <c r="F371" s="10"/>
      <c r="G371" s="16"/>
      <c r="H371" s="10"/>
    </row>
    <row r="372" customFormat="false" ht="15" hidden="false" customHeight="true" outlineLevel="0" collapsed="false">
      <c r="A372" s="13"/>
      <c r="B372" s="10"/>
      <c r="C372" s="12" t="str">
        <f aca="false">IF($B372="","",IFERROR(INDEX(반품접수!$E$3:$E$1002,MATCH($B372,반품접수!$A$3:$A$1002,0)),"접수번호없음"))</f>
        <v/>
      </c>
      <c r="D372" s="10"/>
      <c r="E372" s="14"/>
      <c r="F372" s="10"/>
      <c r="G372" s="16"/>
      <c r="H372" s="10"/>
    </row>
    <row r="373" customFormat="false" ht="15" hidden="false" customHeight="true" outlineLevel="0" collapsed="false">
      <c r="A373" s="13"/>
      <c r="B373" s="10"/>
      <c r="C373" s="12" t="str">
        <f aca="false">IF($B373="","",IFERROR(INDEX(반품접수!$E$3:$E$1002,MATCH($B373,반품접수!$A$3:$A$1002,0)),"접수번호없음"))</f>
        <v/>
      </c>
      <c r="D373" s="10"/>
      <c r="E373" s="14"/>
      <c r="F373" s="10"/>
      <c r="G373" s="16"/>
      <c r="H373" s="10"/>
    </row>
    <row r="374" customFormat="false" ht="15" hidden="false" customHeight="true" outlineLevel="0" collapsed="false">
      <c r="A374" s="13"/>
      <c r="B374" s="10"/>
      <c r="C374" s="12" t="str">
        <f aca="false">IF($B374="","",IFERROR(INDEX(반품접수!$E$3:$E$1002,MATCH($B374,반품접수!$A$3:$A$1002,0)),"접수번호없음"))</f>
        <v/>
      </c>
      <c r="D374" s="10"/>
      <c r="E374" s="14"/>
      <c r="F374" s="10"/>
      <c r="G374" s="16"/>
      <c r="H374" s="10"/>
    </row>
    <row r="375" customFormat="false" ht="15" hidden="false" customHeight="true" outlineLevel="0" collapsed="false">
      <c r="A375" s="13"/>
      <c r="B375" s="10"/>
      <c r="C375" s="12" t="str">
        <f aca="false">IF($B375="","",IFERROR(INDEX(반품접수!$E$3:$E$1002,MATCH($B375,반품접수!$A$3:$A$1002,0)),"접수번호없음"))</f>
        <v/>
      </c>
      <c r="D375" s="10"/>
      <c r="E375" s="14"/>
      <c r="F375" s="10"/>
      <c r="G375" s="16"/>
      <c r="H375" s="10"/>
    </row>
    <row r="376" customFormat="false" ht="15" hidden="false" customHeight="true" outlineLevel="0" collapsed="false">
      <c r="A376" s="13"/>
      <c r="B376" s="10"/>
      <c r="C376" s="12" t="str">
        <f aca="false">IF($B376="","",IFERROR(INDEX(반품접수!$E$3:$E$1002,MATCH($B376,반품접수!$A$3:$A$1002,0)),"접수번호없음"))</f>
        <v/>
      </c>
      <c r="D376" s="10"/>
      <c r="E376" s="14"/>
      <c r="F376" s="10"/>
      <c r="G376" s="16"/>
      <c r="H376" s="10"/>
    </row>
    <row r="377" customFormat="false" ht="15" hidden="false" customHeight="true" outlineLevel="0" collapsed="false">
      <c r="A377" s="13"/>
      <c r="B377" s="10"/>
      <c r="C377" s="12" t="str">
        <f aca="false">IF($B377="","",IFERROR(INDEX(반품접수!$E$3:$E$1002,MATCH($B377,반품접수!$A$3:$A$1002,0)),"접수번호없음"))</f>
        <v/>
      </c>
      <c r="D377" s="10"/>
      <c r="E377" s="14"/>
      <c r="F377" s="10"/>
      <c r="G377" s="16"/>
      <c r="H377" s="10"/>
    </row>
    <row r="378" customFormat="false" ht="15" hidden="false" customHeight="true" outlineLevel="0" collapsed="false">
      <c r="A378" s="13"/>
      <c r="B378" s="10"/>
      <c r="C378" s="12" t="str">
        <f aca="false">IF($B378="","",IFERROR(INDEX(반품접수!$E$3:$E$1002,MATCH($B378,반품접수!$A$3:$A$1002,0)),"접수번호없음"))</f>
        <v/>
      </c>
      <c r="D378" s="10"/>
      <c r="E378" s="14"/>
      <c r="F378" s="10"/>
      <c r="G378" s="16"/>
      <c r="H378" s="10"/>
    </row>
    <row r="379" customFormat="false" ht="15" hidden="false" customHeight="true" outlineLevel="0" collapsed="false">
      <c r="A379" s="13"/>
      <c r="B379" s="10"/>
      <c r="C379" s="12" t="str">
        <f aca="false">IF($B379="","",IFERROR(INDEX(반품접수!$E$3:$E$1002,MATCH($B379,반품접수!$A$3:$A$1002,0)),"접수번호없음"))</f>
        <v/>
      </c>
      <c r="D379" s="10"/>
      <c r="E379" s="14"/>
      <c r="F379" s="10"/>
      <c r="G379" s="16"/>
      <c r="H379" s="10"/>
    </row>
    <row r="380" customFormat="false" ht="15" hidden="false" customHeight="true" outlineLevel="0" collapsed="false">
      <c r="A380" s="13"/>
      <c r="B380" s="10"/>
      <c r="C380" s="12" t="str">
        <f aca="false">IF($B380="","",IFERROR(INDEX(반품접수!$E$3:$E$1002,MATCH($B380,반품접수!$A$3:$A$1002,0)),"접수번호없음"))</f>
        <v/>
      </c>
      <c r="D380" s="10"/>
      <c r="E380" s="14"/>
      <c r="F380" s="10"/>
      <c r="G380" s="16"/>
      <c r="H380" s="10"/>
    </row>
    <row r="381" customFormat="false" ht="15" hidden="false" customHeight="true" outlineLevel="0" collapsed="false">
      <c r="A381" s="13"/>
      <c r="B381" s="10"/>
      <c r="C381" s="12" t="str">
        <f aca="false">IF($B381="","",IFERROR(INDEX(반품접수!$E$3:$E$1002,MATCH($B381,반품접수!$A$3:$A$1002,0)),"접수번호없음"))</f>
        <v/>
      </c>
      <c r="D381" s="10"/>
      <c r="E381" s="14"/>
      <c r="F381" s="10"/>
      <c r="G381" s="16"/>
      <c r="H381" s="10"/>
    </row>
    <row r="382" customFormat="false" ht="15" hidden="false" customHeight="true" outlineLevel="0" collapsed="false">
      <c r="A382" s="13"/>
      <c r="B382" s="10"/>
      <c r="C382" s="12" t="str">
        <f aca="false">IF($B382="","",IFERROR(INDEX(반품접수!$E$3:$E$1002,MATCH($B382,반품접수!$A$3:$A$1002,0)),"접수번호없음"))</f>
        <v/>
      </c>
      <c r="D382" s="10"/>
      <c r="E382" s="14"/>
      <c r="F382" s="10"/>
      <c r="G382" s="16"/>
      <c r="H382" s="10"/>
    </row>
    <row r="383" customFormat="false" ht="15" hidden="false" customHeight="true" outlineLevel="0" collapsed="false">
      <c r="A383" s="13"/>
      <c r="B383" s="10"/>
      <c r="C383" s="12" t="str">
        <f aca="false">IF($B383="","",IFERROR(INDEX(반품접수!$E$3:$E$1002,MATCH($B383,반품접수!$A$3:$A$1002,0)),"접수번호없음"))</f>
        <v/>
      </c>
      <c r="D383" s="10"/>
      <c r="E383" s="14"/>
      <c r="F383" s="10"/>
      <c r="G383" s="16"/>
      <c r="H383" s="10"/>
    </row>
    <row r="384" customFormat="false" ht="15" hidden="false" customHeight="true" outlineLevel="0" collapsed="false">
      <c r="A384" s="13"/>
      <c r="B384" s="10"/>
      <c r="C384" s="12" t="str">
        <f aca="false">IF($B384="","",IFERROR(INDEX(반품접수!$E$3:$E$1002,MATCH($B384,반품접수!$A$3:$A$1002,0)),"접수번호없음"))</f>
        <v/>
      </c>
      <c r="D384" s="10"/>
      <c r="E384" s="14"/>
      <c r="F384" s="10"/>
      <c r="G384" s="16"/>
      <c r="H384" s="10"/>
    </row>
    <row r="385" customFormat="false" ht="15" hidden="false" customHeight="true" outlineLevel="0" collapsed="false">
      <c r="A385" s="13"/>
      <c r="B385" s="10"/>
      <c r="C385" s="12" t="str">
        <f aca="false">IF($B385="","",IFERROR(INDEX(반품접수!$E$3:$E$1002,MATCH($B385,반품접수!$A$3:$A$1002,0)),"접수번호없음"))</f>
        <v/>
      </c>
      <c r="D385" s="10"/>
      <c r="E385" s="14"/>
      <c r="F385" s="10"/>
      <c r="G385" s="16"/>
      <c r="H385" s="10"/>
    </row>
    <row r="386" customFormat="false" ht="15" hidden="false" customHeight="true" outlineLevel="0" collapsed="false">
      <c r="A386" s="13"/>
      <c r="B386" s="10"/>
      <c r="C386" s="12" t="str">
        <f aca="false">IF($B386="","",IFERROR(INDEX(반품접수!$E$3:$E$1002,MATCH($B386,반품접수!$A$3:$A$1002,0)),"접수번호없음"))</f>
        <v/>
      </c>
      <c r="D386" s="10"/>
      <c r="E386" s="14"/>
      <c r="F386" s="10"/>
      <c r="G386" s="16"/>
      <c r="H386" s="10"/>
    </row>
    <row r="387" customFormat="false" ht="15" hidden="false" customHeight="true" outlineLevel="0" collapsed="false">
      <c r="A387" s="13"/>
      <c r="B387" s="10"/>
      <c r="C387" s="12" t="str">
        <f aca="false">IF($B387="","",IFERROR(INDEX(반품접수!$E$3:$E$1002,MATCH($B387,반품접수!$A$3:$A$1002,0)),"접수번호없음"))</f>
        <v/>
      </c>
      <c r="D387" s="10"/>
      <c r="E387" s="14"/>
      <c r="F387" s="10"/>
      <c r="G387" s="16"/>
      <c r="H387" s="10"/>
    </row>
    <row r="388" customFormat="false" ht="15" hidden="false" customHeight="true" outlineLevel="0" collapsed="false">
      <c r="A388" s="13"/>
      <c r="B388" s="10"/>
      <c r="C388" s="12" t="str">
        <f aca="false">IF($B388="","",IFERROR(INDEX(반품접수!$E$3:$E$1002,MATCH($B388,반품접수!$A$3:$A$1002,0)),"접수번호없음"))</f>
        <v/>
      </c>
      <c r="D388" s="10"/>
      <c r="E388" s="14"/>
      <c r="F388" s="10"/>
      <c r="G388" s="16"/>
      <c r="H388" s="10"/>
    </row>
    <row r="389" customFormat="false" ht="15" hidden="false" customHeight="true" outlineLevel="0" collapsed="false">
      <c r="A389" s="13"/>
      <c r="B389" s="10"/>
      <c r="C389" s="12" t="str">
        <f aca="false">IF($B389="","",IFERROR(INDEX(반품접수!$E$3:$E$1002,MATCH($B389,반품접수!$A$3:$A$1002,0)),"접수번호없음"))</f>
        <v/>
      </c>
      <c r="D389" s="10"/>
      <c r="E389" s="14"/>
      <c r="F389" s="10"/>
      <c r="G389" s="16"/>
      <c r="H389" s="10"/>
    </row>
    <row r="390" customFormat="false" ht="15" hidden="false" customHeight="true" outlineLevel="0" collapsed="false">
      <c r="A390" s="13"/>
      <c r="B390" s="10"/>
      <c r="C390" s="12" t="str">
        <f aca="false">IF($B390="","",IFERROR(INDEX(반품접수!$E$3:$E$1002,MATCH($B390,반품접수!$A$3:$A$1002,0)),"접수번호없음"))</f>
        <v/>
      </c>
      <c r="D390" s="10"/>
      <c r="E390" s="14"/>
      <c r="F390" s="10"/>
      <c r="G390" s="16"/>
      <c r="H390" s="10"/>
    </row>
    <row r="391" customFormat="false" ht="15" hidden="false" customHeight="true" outlineLevel="0" collapsed="false">
      <c r="A391" s="13"/>
      <c r="B391" s="10"/>
      <c r="C391" s="12" t="str">
        <f aca="false">IF($B391="","",IFERROR(INDEX(반품접수!$E$3:$E$1002,MATCH($B391,반품접수!$A$3:$A$1002,0)),"접수번호없음"))</f>
        <v/>
      </c>
      <c r="D391" s="10"/>
      <c r="E391" s="14"/>
      <c r="F391" s="10"/>
      <c r="G391" s="16"/>
      <c r="H391" s="10"/>
    </row>
    <row r="392" customFormat="false" ht="15" hidden="false" customHeight="true" outlineLevel="0" collapsed="false">
      <c r="A392" s="13"/>
      <c r="B392" s="10"/>
      <c r="C392" s="12" t="str">
        <f aca="false">IF($B392="","",IFERROR(INDEX(반품접수!$E$3:$E$1002,MATCH($B392,반품접수!$A$3:$A$1002,0)),"접수번호없음"))</f>
        <v/>
      </c>
      <c r="D392" s="10"/>
      <c r="E392" s="14"/>
      <c r="F392" s="10"/>
      <c r="G392" s="16"/>
      <c r="H392" s="10"/>
    </row>
    <row r="393" customFormat="false" ht="15" hidden="false" customHeight="true" outlineLevel="0" collapsed="false">
      <c r="A393" s="13"/>
      <c r="B393" s="10"/>
      <c r="C393" s="12" t="str">
        <f aca="false">IF($B393="","",IFERROR(INDEX(반품접수!$E$3:$E$1002,MATCH($B393,반품접수!$A$3:$A$1002,0)),"접수번호없음"))</f>
        <v/>
      </c>
      <c r="D393" s="10"/>
      <c r="E393" s="14"/>
      <c r="F393" s="10"/>
      <c r="G393" s="16"/>
      <c r="H393" s="10"/>
    </row>
    <row r="394" customFormat="false" ht="15" hidden="false" customHeight="true" outlineLevel="0" collapsed="false">
      <c r="A394" s="13"/>
      <c r="B394" s="10"/>
      <c r="C394" s="12" t="str">
        <f aca="false">IF($B394="","",IFERROR(INDEX(반품접수!$E$3:$E$1002,MATCH($B394,반품접수!$A$3:$A$1002,0)),"접수번호없음"))</f>
        <v/>
      </c>
      <c r="D394" s="10"/>
      <c r="E394" s="14"/>
      <c r="F394" s="10"/>
      <c r="G394" s="16"/>
      <c r="H394" s="10"/>
    </row>
    <row r="395" customFormat="false" ht="15" hidden="false" customHeight="true" outlineLevel="0" collapsed="false">
      <c r="A395" s="13"/>
      <c r="B395" s="10"/>
      <c r="C395" s="12" t="str">
        <f aca="false">IF($B395="","",IFERROR(INDEX(반품접수!$E$3:$E$1002,MATCH($B395,반품접수!$A$3:$A$1002,0)),"접수번호없음"))</f>
        <v/>
      </c>
      <c r="D395" s="10"/>
      <c r="E395" s="14"/>
      <c r="F395" s="10"/>
      <c r="G395" s="16"/>
      <c r="H395" s="10"/>
    </row>
    <row r="396" customFormat="false" ht="15" hidden="false" customHeight="true" outlineLevel="0" collapsed="false">
      <c r="A396" s="13"/>
      <c r="B396" s="10"/>
      <c r="C396" s="12" t="str">
        <f aca="false">IF($B396="","",IFERROR(INDEX(반품접수!$E$3:$E$1002,MATCH($B396,반품접수!$A$3:$A$1002,0)),"접수번호없음"))</f>
        <v/>
      </c>
      <c r="D396" s="10"/>
      <c r="E396" s="14"/>
      <c r="F396" s="10"/>
      <c r="G396" s="16"/>
      <c r="H396" s="10"/>
    </row>
    <row r="397" customFormat="false" ht="15" hidden="false" customHeight="true" outlineLevel="0" collapsed="false">
      <c r="A397" s="13"/>
      <c r="B397" s="10"/>
      <c r="C397" s="12" t="str">
        <f aca="false">IF($B397="","",IFERROR(INDEX(반품접수!$E$3:$E$1002,MATCH($B397,반품접수!$A$3:$A$1002,0)),"접수번호없음"))</f>
        <v/>
      </c>
      <c r="D397" s="10"/>
      <c r="E397" s="14"/>
      <c r="F397" s="10"/>
      <c r="G397" s="16"/>
      <c r="H397" s="10"/>
    </row>
    <row r="398" customFormat="false" ht="15" hidden="false" customHeight="true" outlineLevel="0" collapsed="false">
      <c r="A398" s="13"/>
      <c r="B398" s="10"/>
      <c r="C398" s="12" t="str">
        <f aca="false">IF($B398="","",IFERROR(INDEX(반품접수!$E$3:$E$1002,MATCH($B398,반품접수!$A$3:$A$1002,0)),"접수번호없음"))</f>
        <v/>
      </c>
      <c r="D398" s="10"/>
      <c r="E398" s="14"/>
      <c r="F398" s="10"/>
      <c r="G398" s="16"/>
      <c r="H398" s="10"/>
    </row>
    <row r="399" customFormat="false" ht="15" hidden="false" customHeight="true" outlineLevel="0" collapsed="false">
      <c r="A399" s="13"/>
      <c r="B399" s="10"/>
      <c r="C399" s="12" t="str">
        <f aca="false">IF($B399="","",IFERROR(INDEX(반품접수!$E$3:$E$1002,MATCH($B399,반품접수!$A$3:$A$1002,0)),"접수번호없음"))</f>
        <v/>
      </c>
      <c r="D399" s="10"/>
      <c r="E399" s="14"/>
      <c r="F399" s="10"/>
      <c r="G399" s="16"/>
      <c r="H399" s="10"/>
    </row>
    <row r="400" customFormat="false" ht="15" hidden="false" customHeight="true" outlineLevel="0" collapsed="false">
      <c r="A400" s="13"/>
      <c r="B400" s="10"/>
      <c r="C400" s="12" t="str">
        <f aca="false">IF($B400="","",IFERROR(INDEX(반품접수!$E$3:$E$1002,MATCH($B400,반품접수!$A$3:$A$1002,0)),"접수번호없음"))</f>
        <v/>
      </c>
      <c r="D400" s="10"/>
      <c r="E400" s="14"/>
      <c r="F400" s="10"/>
      <c r="G400" s="16"/>
      <c r="H400" s="10"/>
    </row>
    <row r="401" customFormat="false" ht="15" hidden="false" customHeight="true" outlineLevel="0" collapsed="false">
      <c r="A401" s="13"/>
      <c r="B401" s="10"/>
      <c r="C401" s="12" t="str">
        <f aca="false">IF($B401="","",IFERROR(INDEX(반품접수!$E$3:$E$1002,MATCH($B401,반품접수!$A$3:$A$1002,0)),"접수번호없음"))</f>
        <v/>
      </c>
      <c r="D401" s="10"/>
      <c r="E401" s="14"/>
      <c r="F401" s="10"/>
      <c r="G401" s="16"/>
      <c r="H401" s="10"/>
    </row>
    <row r="402" customFormat="false" ht="15" hidden="false" customHeight="true" outlineLevel="0" collapsed="false">
      <c r="A402" s="13"/>
      <c r="B402" s="10"/>
      <c r="C402" s="12" t="str">
        <f aca="false">IF($B402="","",IFERROR(INDEX(반품접수!$E$3:$E$1002,MATCH($B402,반품접수!$A$3:$A$1002,0)),"접수번호없음"))</f>
        <v/>
      </c>
      <c r="D402" s="10"/>
      <c r="E402" s="14"/>
      <c r="F402" s="10"/>
      <c r="G402" s="16"/>
      <c r="H402" s="10"/>
    </row>
    <row r="403" customFormat="false" ht="15" hidden="false" customHeight="true" outlineLevel="0" collapsed="false">
      <c r="A403" s="13"/>
      <c r="B403" s="10"/>
      <c r="C403" s="12" t="str">
        <f aca="false">IF($B403="","",IFERROR(INDEX(반품접수!$E$3:$E$1002,MATCH($B403,반품접수!$A$3:$A$1002,0)),"접수번호없음"))</f>
        <v/>
      </c>
      <c r="D403" s="10"/>
      <c r="E403" s="14"/>
      <c r="F403" s="10"/>
      <c r="G403" s="16"/>
      <c r="H403" s="10"/>
    </row>
    <row r="404" customFormat="false" ht="15" hidden="false" customHeight="true" outlineLevel="0" collapsed="false">
      <c r="A404" s="13"/>
      <c r="B404" s="10"/>
      <c r="C404" s="12" t="str">
        <f aca="false">IF($B404="","",IFERROR(INDEX(반품접수!$E$3:$E$1002,MATCH($B404,반품접수!$A$3:$A$1002,0)),"접수번호없음"))</f>
        <v/>
      </c>
      <c r="D404" s="10"/>
      <c r="E404" s="14"/>
      <c r="F404" s="10"/>
      <c r="G404" s="16"/>
      <c r="H404" s="10"/>
    </row>
    <row r="405" customFormat="false" ht="15" hidden="false" customHeight="true" outlineLevel="0" collapsed="false">
      <c r="A405" s="13"/>
      <c r="B405" s="10"/>
      <c r="C405" s="12" t="str">
        <f aca="false">IF($B405="","",IFERROR(INDEX(반품접수!$E$3:$E$1002,MATCH($B405,반품접수!$A$3:$A$1002,0)),"접수번호없음"))</f>
        <v/>
      </c>
      <c r="D405" s="10"/>
      <c r="E405" s="14"/>
      <c r="F405" s="10"/>
      <c r="G405" s="16"/>
      <c r="H405" s="10"/>
    </row>
    <row r="406" customFormat="false" ht="15" hidden="false" customHeight="true" outlineLevel="0" collapsed="false">
      <c r="A406" s="13"/>
      <c r="B406" s="10"/>
      <c r="C406" s="12" t="str">
        <f aca="false">IF($B406="","",IFERROR(INDEX(반품접수!$E$3:$E$1002,MATCH($B406,반품접수!$A$3:$A$1002,0)),"접수번호없음"))</f>
        <v/>
      </c>
      <c r="D406" s="10"/>
      <c r="E406" s="14"/>
      <c r="F406" s="10"/>
      <c r="G406" s="16"/>
      <c r="H406" s="10"/>
    </row>
    <row r="407" customFormat="false" ht="15" hidden="false" customHeight="true" outlineLevel="0" collapsed="false">
      <c r="A407" s="13"/>
      <c r="B407" s="10"/>
      <c r="C407" s="12" t="str">
        <f aca="false">IF($B407="","",IFERROR(INDEX(반품접수!$E$3:$E$1002,MATCH($B407,반품접수!$A$3:$A$1002,0)),"접수번호없음"))</f>
        <v/>
      </c>
      <c r="D407" s="10"/>
      <c r="E407" s="14"/>
      <c r="F407" s="10"/>
      <c r="G407" s="16"/>
      <c r="H407" s="10"/>
    </row>
    <row r="408" customFormat="false" ht="15" hidden="false" customHeight="true" outlineLevel="0" collapsed="false">
      <c r="A408" s="13"/>
      <c r="B408" s="10"/>
      <c r="C408" s="12" t="str">
        <f aca="false">IF($B408="","",IFERROR(INDEX(반품접수!$E$3:$E$1002,MATCH($B408,반품접수!$A$3:$A$1002,0)),"접수번호없음"))</f>
        <v/>
      </c>
      <c r="D408" s="10"/>
      <c r="E408" s="14"/>
      <c r="F408" s="10"/>
      <c r="G408" s="16"/>
      <c r="H408" s="10"/>
    </row>
    <row r="409" customFormat="false" ht="15" hidden="false" customHeight="true" outlineLevel="0" collapsed="false">
      <c r="A409" s="13"/>
      <c r="B409" s="10"/>
      <c r="C409" s="12" t="str">
        <f aca="false">IF($B409="","",IFERROR(INDEX(반품접수!$E$3:$E$1002,MATCH($B409,반품접수!$A$3:$A$1002,0)),"접수번호없음"))</f>
        <v/>
      </c>
      <c r="D409" s="10"/>
      <c r="E409" s="14"/>
      <c r="F409" s="10"/>
      <c r="G409" s="16"/>
      <c r="H409" s="10"/>
    </row>
    <row r="410" customFormat="false" ht="15" hidden="false" customHeight="true" outlineLevel="0" collapsed="false">
      <c r="A410" s="13"/>
      <c r="B410" s="10"/>
      <c r="C410" s="12" t="str">
        <f aca="false">IF($B410="","",IFERROR(INDEX(반품접수!$E$3:$E$1002,MATCH($B410,반품접수!$A$3:$A$1002,0)),"접수번호없음"))</f>
        <v/>
      </c>
      <c r="D410" s="10"/>
      <c r="E410" s="14"/>
      <c r="F410" s="10"/>
      <c r="G410" s="16"/>
      <c r="H410" s="10"/>
    </row>
    <row r="411" customFormat="false" ht="15" hidden="false" customHeight="true" outlineLevel="0" collapsed="false">
      <c r="A411" s="13"/>
      <c r="B411" s="10"/>
      <c r="C411" s="12" t="str">
        <f aca="false">IF($B411="","",IFERROR(INDEX(반품접수!$E$3:$E$1002,MATCH($B411,반품접수!$A$3:$A$1002,0)),"접수번호없음"))</f>
        <v/>
      </c>
      <c r="D411" s="10"/>
      <c r="E411" s="14"/>
      <c r="F411" s="10"/>
      <c r="G411" s="16"/>
      <c r="H411" s="10"/>
    </row>
    <row r="412" customFormat="false" ht="15" hidden="false" customHeight="true" outlineLevel="0" collapsed="false">
      <c r="A412" s="13"/>
      <c r="B412" s="10"/>
      <c r="C412" s="12" t="str">
        <f aca="false">IF($B412="","",IFERROR(INDEX(반품접수!$E$3:$E$1002,MATCH($B412,반품접수!$A$3:$A$1002,0)),"접수번호없음"))</f>
        <v/>
      </c>
      <c r="D412" s="10"/>
      <c r="E412" s="14"/>
      <c r="F412" s="10"/>
      <c r="G412" s="16"/>
      <c r="H412" s="10"/>
    </row>
    <row r="413" customFormat="false" ht="15" hidden="false" customHeight="true" outlineLevel="0" collapsed="false">
      <c r="A413" s="13"/>
      <c r="B413" s="10"/>
      <c r="C413" s="12" t="str">
        <f aca="false">IF($B413="","",IFERROR(INDEX(반품접수!$E$3:$E$1002,MATCH($B413,반품접수!$A$3:$A$1002,0)),"접수번호없음"))</f>
        <v/>
      </c>
      <c r="D413" s="10"/>
      <c r="E413" s="14"/>
      <c r="F413" s="10"/>
      <c r="G413" s="16"/>
      <c r="H413" s="10"/>
    </row>
    <row r="414" customFormat="false" ht="15" hidden="false" customHeight="true" outlineLevel="0" collapsed="false">
      <c r="A414" s="13"/>
      <c r="B414" s="10"/>
      <c r="C414" s="12" t="str">
        <f aca="false">IF($B414="","",IFERROR(INDEX(반품접수!$E$3:$E$1002,MATCH($B414,반품접수!$A$3:$A$1002,0)),"접수번호없음"))</f>
        <v/>
      </c>
      <c r="D414" s="10"/>
      <c r="E414" s="14"/>
      <c r="F414" s="10"/>
      <c r="G414" s="16"/>
      <c r="H414" s="10"/>
    </row>
    <row r="415" customFormat="false" ht="15" hidden="false" customHeight="true" outlineLevel="0" collapsed="false">
      <c r="A415" s="13"/>
      <c r="B415" s="10"/>
      <c r="C415" s="12" t="str">
        <f aca="false">IF($B415="","",IFERROR(INDEX(반품접수!$E$3:$E$1002,MATCH($B415,반품접수!$A$3:$A$1002,0)),"접수번호없음"))</f>
        <v/>
      </c>
      <c r="D415" s="10"/>
      <c r="E415" s="14"/>
      <c r="F415" s="10"/>
      <c r="G415" s="16"/>
      <c r="H415" s="10"/>
    </row>
    <row r="416" customFormat="false" ht="15" hidden="false" customHeight="true" outlineLevel="0" collapsed="false">
      <c r="A416" s="13"/>
      <c r="B416" s="10"/>
      <c r="C416" s="12" t="str">
        <f aca="false">IF($B416="","",IFERROR(INDEX(반품접수!$E$3:$E$1002,MATCH($B416,반품접수!$A$3:$A$1002,0)),"접수번호없음"))</f>
        <v/>
      </c>
      <c r="D416" s="10"/>
      <c r="E416" s="14"/>
      <c r="F416" s="10"/>
      <c r="G416" s="16"/>
      <c r="H416" s="10"/>
    </row>
    <row r="417" customFormat="false" ht="15" hidden="false" customHeight="true" outlineLevel="0" collapsed="false">
      <c r="A417" s="13"/>
      <c r="B417" s="10"/>
      <c r="C417" s="12" t="str">
        <f aca="false">IF($B417="","",IFERROR(INDEX(반품접수!$E$3:$E$1002,MATCH($B417,반품접수!$A$3:$A$1002,0)),"접수번호없음"))</f>
        <v/>
      </c>
      <c r="D417" s="10"/>
      <c r="E417" s="14"/>
      <c r="F417" s="10"/>
      <c r="G417" s="16"/>
      <c r="H417" s="10"/>
    </row>
    <row r="418" customFormat="false" ht="15" hidden="false" customHeight="true" outlineLevel="0" collapsed="false">
      <c r="A418" s="13"/>
      <c r="B418" s="10"/>
      <c r="C418" s="12" t="str">
        <f aca="false">IF($B418="","",IFERROR(INDEX(반품접수!$E$3:$E$1002,MATCH($B418,반품접수!$A$3:$A$1002,0)),"접수번호없음"))</f>
        <v/>
      </c>
      <c r="D418" s="10"/>
      <c r="E418" s="14"/>
      <c r="F418" s="10"/>
      <c r="G418" s="16"/>
      <c r="H418" s="10"/>
    </row>
    <row r="419" customFormat="false" ht="15" hidden="false" customHeight="true" outlineLevel="0" collapsed="false">
      <c r="A419" s="13"/>
      <c r="B419" s="10"/>
      <c r="C419" s="12" t="str">
        <f aca="false">IF($B419="","",IFERROR(INDEX(반품접수!$E$3:$E$1002,MATCH($B419,반품접수!$A$3:$A$1002,0)),"접수번호없음"))</f>
        <v/>
      </c>
      <c r="D419" s="10"/>
      <c r="E419" s="14"/>
      <c r="F419" s="10"/>
      <c r="G419" s="16"/>
      <c r="H419" s="10"/>
    </row>
    <row r="420" customFormat="false" ht="15" hidden="false" customHeight="true" outlineLevel="0" collapsed="false">
      <c r="A420" s="13"/>
      <c r="B420" s="10"/>
      <c r="C420" s="12" t="str">
        <f aca="false">IF($B420="","",IFERROR(INDEX(반품접수!$E$3:$E$1002,MATCH($B420,반품접수!$A$3:$A$1002,0)),"접수번호없음"))</f>
        <v/>
      </c>
      <c r="D420" s="10"/>
      <c r="E420" s="14"/>
      <c r="F420" s="10"/>
      <c r="G420" s="16"/>
      <c r="H420" s="10"/>
    </row>
    <row r="421" customFormat="false" ht="15" hidden="false" customHeight="true" outlineLevel="0" collapsed="false">
      <c r="A421" s="13"/>
      <c r="B421" s="10"/>
      <c r="C421" s="12" t="str">
        <f aca="false">IF($B421="","",IFERROR(INDEX(반품접수!$E$3:$E$1002,MATCH($B421,반품접수!$A$3:$A$1002,0)),"접수번호없음"))</f>
        <v/>
      </c>
      <c r="D421" s="10"/>
      <c r="E421" s="14"/>
      <c r="F421" s="10"/>
      <c r="G421" s="16"/>
      <c r="H421" s="10"/>
    </row>
    <row r="422" customFormat="false" ht="15" hidden="false" customHeight="true" outlineLevel="0" collapsed="false">
      <c r="A422" s="13"/>
      <c r="B422" s="10"/>
      <c r="C422" s="12" t="str">
        <f aca="false">IF($B422="","",IFERROR(INDEX(반품접수!$E$3:$E$1002,MATCH($B422,반품접수!$A$3:$A$1002,0)),"접수번호없음"))</f>
        <v/>
      </c>
      <c r="D422" s="10"/>
      <c r="E422" s="14"/>
      <c r="F422" s="10"/>
      <c r="G422" s="16"/>
      <c r="H422" s="10"/>
    </row>
    <row r="423" customFormat="false" ht="15" hidden="false" customHeight="true" outlineLevel="0" collapsed="false">
      <c r="A423" s="13"/>
      <c r="B423" s="10"/>
      <c r="C423" s="12" t="str">
        <f aca="false">IF($B423="","",IFERROR(INDEX(반품접수!$E$3:$E$1002,MATCH($B423,반품접수!$A$3:$A$1002,0)),"접수번호없음"))</f>
        <v/>
      </c>
      <c r="D423" s="10"/>
      <c r="E423" s="14"/>
      <c r="F423" s="10"/>
      <c r="G423" s="16"/>
      <c r="H423" s="10"/>
    </row>
    <row r="424" customFormat="false" ht="15" hidden="false" customHeight="true" outlineLevel="0" collapsed="false">
      <c r="A424" s="13"/>
      <c r="B424" s="10"/>
      <c r="C424" s="12" t="str">
        <f aca="false">IF($B424="","",IFERROR(INDEX(반품접수!$E$3:$E$1002,MATCH($B424,반품접수!$A$3:$A$1002,0)),"접수번호없음"))</f>
        <v/>
      </c>
      <c r="D424" s="10"/>
      <c r="E424" s="14"/>
      <c r="F424" s="10"/>
      <c r="G424" s="16"/>
      <c r="H424" s="10"/>
    </row>
    <row r="425" customFormat="false" ht="15" hidden="false" customHeight="true" outlineLevel="0" collapsed="false">
      <c r="A425" s="13"/>
      <c r="B425" s="10"/>
      <c r="C425" s="12" t="str">
        <f aca="false">IF($B425="","",IFERROR(INDEX(반품접수!$E$3:$E$1002,MATCH($B425,반품접수!$A$3:$A$1002,0)),"접수번호없음"))</f>
        <v/>
      </c>
      <c r="D425" s="10"/>
      <c r="E425" s="14"/>
      <c r="F425" s="10"/>
      <c r="G425" s="16"/>
      <c r="H425" s="10"/>
    </row>
    <row r="426" customFormat="false" ht="15" hidden="false" customHeight="true" outlineLevel="0" collapsed="false">
      <c r="A426" s="13"/>
      <c r="B426" s="10"/>
      <c r="C426" s="12" t="str">
        <f aca="false">IF($B426="","",IFERROR(INDEX(반품접수!$E$3:$E$1002,MATCH($B426,반품접수!$A$3:$A$1002,0)),"접수번호없음"))</f>
        <v/>
      </c>
      <c r="D426" s="10"/>
      <c r="E426" s="14"/>
      <c r="F426" s="10"/>
      <c r="G426" s="16"/>
      <c r="H426" s="10"/>
    </row>
    <row r="427" customFormat="false" ht="15" hidden="false" customHeight="true" outlineLevel="0" collapsed="false">
      <c r="A427" s="13"/>
      <c r="B427" s="10"/>
      <c r="C427" s="12" t="str">
        <f aca="false">IF($B427="","",IFERROR(INDEX(반품접수!$E$3:$E$1002,MATCH($B427,반품접수!$A$3:$A$1002,0)),"접수번호없음"))</f>
        <v/>
      </c>
      <c r="D427" s="10"/>
      <c r="E427" s="14"/>
      <c r="F427" s="10"/>
      <c r="G427" s="16"/>
      <c r="H427" s="10"/>
    </row>
    <row r="428" customFormat="false" ht="15" hidden="false" customHeight="true" outlineLevel="0" collapsed="false">
      <c r="A428" s="13"/>
      <c r="B428" s="10"/>
      <c r="C428" s="12" t="str">
        <f aca="false">IF($B428="","",IFERROR(INDEX(반품접수!$E$3:$E$1002,MATCH($B428,반품접수!$A$3:$A$1002,0)),"접수번호없음"))</f>
        <v/>
      </c>
      <c r="D428" s="10"/>
      <c r="E428" s="14"/>
      <c r="F428" s="10"/>
      <c r="G428" s="16"/>
      <c r="H428" s="10"/>
    </row>
    <row r="429" customFormat="false" ht="15" hidden="false" customHeight="true" outlineLevel="0" collapsed="false">
      <c r="A429" s="13"/>
      <c r="B429" s="10"/>
      <c r="C429" s="12" t="str">
        <f aca="false">IF($B429="","",IFERROR(INDEX(반품접수!$E$3:$E$1002,MATCH($B429,반품접수!$A$3:$A$1002,0)),"접수번호없음"))</f>
        <v/>
      </c>
      <c r="D429" s="10"/>
      <c r="E429" s="14"/>
      <c r="F429" s="10"/>
      <c r="G429" s="16"/>
      <c r="H429" s="10"/>
    </row>
    <row r="430" customFormat="false" ht="15" hidden="false" customHeight="true" outlineLevel="0" collapsed="false">
      <c r="A430" s="13"/>
      <c r="B430" s="10"/>
      <c r="C430" s="12" t="str">
        <f aca="false">IF($B430="","",IFERROR(INDEX(반품접수!$E$3:$E$1002,MATCH($B430,반품접수!$A$3:$A$1002,0)),"접수번호없음"))</f>
        <v/>
      </c>
      <c r="D430" s="10"/>
      <c r="E430" s="14"/>
      <c r="F430" s="10"/>
      <c r="G430" s="16"/>
      <c r="H430" s="10"/>
    </row>
    <row r="431" customFormat="false" ht="15" hidden="false" customHeight="true" outlineLevel="0" collapsed="false">
      <c r="A431" s="13"/>
      <c r="B431" s="10"/>
      <c r="C431" s="12" t="str">
        <f aca="false">IF($B431="","",IFERROR(INDEX(반품접수!$E$3:$E$1002,MATCH($B431,반품접수!$A$3:$A$1002,0)),"접수번호없음"))</f>
        <v/>
      </c>
      <c r="D431" s="10"/>
      <c r="E431" s="14"/>
      <c r="F431" s="10"/>
      <c r="G431" s="16"/>
      <c r="H431" s="10"/>
    </row>
    <row r="432" customFormat="false" ht="15" hidden="false" customHeight="true" outlineLevel="0" collapsed="false">
      <c r="A432" s="13"/>
      <c r="B432" s="10"/>
      <c r="C432" s="12" t="str">
        <f aca="false">IF($B432="","",IFERROR(INDEX(반품접수!$E$3:$E$1002,MATCH($B432,반품접수!$A$3:$A$1002,0)),"접수번호없음"))</f>
        <v/>
      </c>
      <c r="D432" s="10"/>
      <c r="E432" s="14"/>
      <c r="F432" s="10"/>
      <c r="G432" s="16"/>
      <c r="H432" s="10"/>
    </row>
    <row r="433" customFormat="false" ht="15" hidden="false" customHeight="true" outlineLevel="0" collapsed="false">
      <c r="A433" s="13"/>
      <c r="B433" s="10"/>
      <c r="C433" s="12" t="str">
        <f aca="false">IF($B433="","",IFERROR(INDEX(반품접수!$E$3:$E$1002,MATCH($B433,반품접수!$A$3:$A$1002,0)),"접수번호없음"))</f>
        <v/>
      </c>
      <c r="D433" s="10"/>
      <c r="E433" s="14"/>
      <c r="F433" s="10"/>
      <c r="G433" s="16"/>
      <c r="H433" s="10"/>
    </row>
    <row r="434" customFormat="false" ht="15" hidden="false" customHeight="true" outlineLevel="0" collapsed="false">
      <c r="A434" s="13"/>
      <c r="B434" s="10"/>
      <c r="C434" s="12" t="str">
        <f aca="false">IF($B434="","",IFERROR(INDEX(반품접수!$E$3:$E$1002,MATCH($B434,반품접수!$A$3:$A$1002,0)),"접수번호없음"))</f>
        <v/>
      </c>
      <c r="D434" s="10"/>
      <c r="E434" s="14"/>
      <c r="F434" s="10"/>
      <c r="G434" s="16"/>
      <c r="H434" s="10"/>
    </row>
    <row r="435" customFormat="false" ht="15" hidden="false" customHeight="true" outlineLevel="0" collapsed="false">
      <c r="A435" s="13"/>
      <c r="B435" s="10"/>
      <c r="C435" s="12" t="str">
        <f aca="false">IF($B435="","",IFERROR(INDEX(반품접수!$E$3:$E$1002,MATCH($B435,반품접수!$A$3:$A$1002,0)),"접수번호없음"))</f>
        <v/>
      </c>
      <c r="D435" s="10"/>
      <c r="E435" s="14"/>
      <c r="F435" s="10"/>
      <c r="G435" s="16"/>
      <c r="H435" s="10"/>
    </row>
    <row r="436" customFormat="false" ht="15" hidden="false" customHeight="true" outlineLevel="0" collapsed="false">
      <c r="A436" s="13"/>
      <c r="B436" s="10"/>
      <c r="C436" s="12" t="str">
        <f aca="false">IF($B436="","",IFERROR(INDEX(반품접수!$E$3:$E$1002,MATCH($B436,반품접수!$A$3:$A$1002,0)),"접수번호없음"))</f>
        <v/>
      </c>
      <c r="D436" s="10"/>
      <c r="E436" s="14"/>
      <c r="F436" s="10"/>
      <c r="G436" s="16"/>
      <c r="H436" s="10"/>
    </row>
    <row r="437" customFormat="false" ht="15" hidden="false" customHeight="true" outlineLevel="0" collapsed="false">
      <c r="A437" s="13"/>
      <c r="B437" s="10"/>
      <c r="C437" s="12" t="str">
        <f aca="false">IF($B437="","",IFERROR(INDEX(반품접수!$E$3:$E$1002,MATCH($B437,반품접수!$A$3:$A$1002,0)),"접수번호없음"))</f>
        <v/>
      </c>
      <c r="D437" s="10"/>
      <c r="E437" s="14"/>
      <c r="F437" s="10"/>
      <c r="G437" s="16"/>
      <c r="H437" s="10"/>
    </row>
    <row r="438" customFormat="false" ht="15" hidden="false" customHeight="true" outlineLevel="0" collapsed="false">
      <c r="A438" s="13"/>
      <c r="B438" s="10"/>
      <c r="C438" s="12" t="str">
        <f aca="false">IF($B438="","",IFERROR(INDEX(반품접수!$E$3:$E$1002,MATCH($B438,반품접수!$A$3:$A$1002,0)),"접수번호없음"))</f>
        <v/>
      </c>
      <c r="D438" s="10"/>
      <c r="E438" s="14"/>
      <c r="F438" s="10"/>
      <c r="G438" s="16"/>
      <c r="H438" s="10"/>
    </row>
    <row r="439" customFormat="false" ht="15" hidden="false" customHeight="true" outlineLevel="0" collapsed="false">
      <c r="A439" s="13"/>
      <c r="B439" s="10"/>
      <c r="C439" s="12" t="str">
        <f aca="false">IF($B439="","",IFERROR(INDEX(반품접수!$E$3:$E$1002,MATCH($B439,반품접수!$A$3:$A$1002,0)),"접수번호없음"))</f>
        <v/>
      </c>
      <c r="D439" s="10"/>
      <c r="E439" s="14"/>
      <c r="F439" s="10"/>
      <c r="G439" s="16"/>
      <c r="H439" s="10"/>
    </row>
    <row r="440" customFormat="false" ht="15" hidden="false" customHeight="true" outlineLevel="0" collapsed="false">
      <c r="A440" s="13"/>
      <c r="B440" s="10"/>
      <c r="C440" s="12" t="str">
        <f aca="false">IF($B440="","",IFERROR(INDEX(반품접수!$E$3:$E$1002,MATCH($B440,반품접수!$A$3:$A$1002,0)),"접수번호없음"))</f>
        <v/>
      </c>
      <c r="D440" s="10"/>
      <c r="E440" s="14"/>
      <c r="F440" s="10"/>
      <c r="G440" s="16"/>
      <c r="H440" s="10"/>
    </row>
    <row r="441" customFormat="false" ht="15" hidden="false" customHeight="true" outlineLevel="0" collapsed="false">
      <c r="A441" s="13"/>
      <c r="B441" s="10"/>
      <c r="C441" s="12" t="str">
        <f aca="false">IF($B441="","",IFERROR(INDEX(반품접수!$E$3:$E$1002,MATCH($B441,반품접수!$A$3:$A$1002,0)),"접수번호없음"))</f>
        <v/>
      </c>
      <c r="D441" s="10"/>
      <c r="E441" s="14"/>
      <c r="F441" s="10"/>
      <c r="G441" s="16"/>
      <c r="H441" s="10"/>
    </row>
    <row r="442" customFormat="false" ht="15" hidden="false" customHeight="true" outlineLevel="0" collapsed="false">
      <c r="A442" s="13"/>
      <c r="B442" s="10"/>
      <c r="C442" s="12" t="str">
        <f aca="false">IF($B442="","",IFERROR(INDEX(반품접수!$E$3:$E$1002,MATCH($B442,반품접수!$A$3:$A$1002,0)),"접수번호없음"))</f>
        <v/>
      </c>
      <c r="D442" s="10"/>
      <c r="E442" s="14"/>
      <c r="F442" s="10"/>
      <c r="G442" s="16"/>
      <c r="H442" s="10"/>
    </row>
    <row r="443" customFormat="false" ht="15" hidden="false" customHeight="true" outlineLevel="0" collapsed="false">
      <c r="A443" s="13"/>
      <c r="B443" s="10"/>
      <c r="C443" s="12" t="str">
        <f aca="false">IF($B443="","",IFERROR(INDEX(반품접수!$E$3:$E$1002,MATCH($B443,반품접수!$A$3:$A$1002,0)),"접수번호없음"))</f>
        <v/>
      </c>
      <c r="D443" s="10"/>
      <c r="E443" s="14"/>
      <c r="F443" s="10"/>
      <c r="G443" s="16"/>
      <c r="H443" s="10"/>
    </row>
    <row r="444" customFormat="false" ht="15" hidden="false" customHeight="true" outlineLevel="0" collapsed="false">
      <c r="A444" s="13"/>
      <c r="B444" s="10"/>
      <c r="C444" s="12" t="str">
        <f aca="false">IF($B444="","",IFERROR(INDEX(반품접수!$E$3:$E$1002,MATCH($B444,반품접수!$A$3:$A$1002,0)),"접수번호없음"))</f>
        <v/>
      </c>
      <c r="D444" s="10"/>
      <c r="E444" s="14"/>
      <c r="F444" s="10"/>
      <c r="G444" s="16"/>
      <c r="H444" s="10"/>
    </row>
    <row r="445" customFormat="false" ht="15" hidden="false" customHeight="true" outlineLevel="0" collapsed="false">
      <c r="A445" s="13"/>
      <c r="B445" s="10"/>
      <c r="C445" s="12" t="str">
        <f aca="false">IF($B445="","",IFERROR(INDEX(반품접수!$E$3:$E$1002,MATCH($B445,반품접수!$A$3:$A$1002,0)),"접수번호없음"))</f>
        <v/>
      </c>
      <c r="D445" s="10"/>
      <c r="E445" s="14"/>
      <c r="F445" s="10"/>
      <c r="G445" s="16"/>
      <c r="H445" s="10"/>
    </row>
    <row r="446" customFormat="false" ht="15" hidden="false" customHeight="true" outlineLevel="0" collapsed="false">
      <c r="A446" s="13"/>
      <c r="B446" s="10"/>
      <c r="C446" s="12" t="str">
        <f aca="false">IF($B446="","",IFERROR(INDEX(반품접수!$E$3:$E$1002,MATCH($B446,반품접수!$A$3:$A$1002,0)),"접수번호없음"))</f>
        <v/>
      </c>
      <c r="D446" s="10"/>
      <c r="E446" s="14"/>
      <c r="F446" s="10"/>
      <c r="G446" s="16"/>
      <c r="H446" s="10"/>
    </row>
    <row r="447" customFormat="false" ht="15" hidden="false" customHeight="true" outlineLevel="0" collapsed="false">
      <c r="A447" s="13"/>
      <c r="B447" s="10"/>
      <c r="C447" s="12" t="str">
        <f aca="false">IF($B447="","",IFERROR(INDEX(반품접수!$E$3:$E$1002,MATCH($B447,반품접수!$A$3:$A$1002,0)),"접수번호없음"))</f>
        <v/>
      </c>
      <c r="D447" s="10"/>
      <c r="E447" s="14"/>
      <c r="F447" s="10"/>
      <c r="G447" s="16"/>
      <c r="H447" s="10"/>
    </row>
    <row r="448" customFormat="false" ht="15" hidden="false" customHeight="true" outlineLevel="0" collapsed="false">
      <c r="A448" s="13"/>
      <c r="B448" s="10"/>
      <c r="C448" s="12" t="str">
        <f aca="false">IF($B448="","",IFERROR(INDEX(반품접수!$E$3:$E$1002,MATCH($B448,반품접수!$A$3:$A$1002,0)),"접수번호없음"))</f>
        <v/>
      </c>
      <c r="D448" s="10"/>
      <c r="E448" s="14"/>
      <c r="F448" s="10"/>
      <c r="G448" s="16"/>
      <c r="H448" s="10"/>
    </row>
    <row r="449" customFormat="false" ht="15" hidden="false" customHeight="true" outlineLevel="0" collapsed="false">
      <c r="A449" s="13"/>
      <c r="B449" s="10"/>
      <c r="C449" s="12" t="str">
        <f aca="false">IF($B449="","",IFERROR(INDEX(반품접수!$E$3:$E$1002,MATCH($B449,반품접수!$A$3:$A$1002,0)),"접수번호없음"))</f>
        <v/>
      </c>
      <c r="D449" s="10"/>
      <c r="E449" s="14"/>
      <c r="F449" s="10"/>
      <c r="G449" s="16"/>
      <c r="H449" s="10"/>
    </row>
    <row r="450" customFormat="false" ht="15" hidden="false" customHeight="true" outlineLevel="0" collapsed="false">
      <c r="A450" s="13"/>
      <c r="B450" s="10"/>
      <c r="C450" s="12" t="str">
        <f aca="false">IF($B450="","",IFERROR(INDEX(반품접수!$E$3:$E$1002,MATCH($B450,반품접수!$A$3:$A$1002,0)),"접수번호없음"))</f>
        <v/>
      </c>
      <c r="D450" s="10"/>
      <c r="E450" s="14"/>
      <c r="F450" s="10"/>
      <c r="G450" s="16"/>
      <c r="H450" s="10"/>
    </row>
    <row r="451" customFormat="false" ht="15" hidden="false" customHeight="true" outlineLevel="0" collapsed="false">
      <c r="A451" s="13"/>
      <c r="B451" s="10"/>
      <c r="C451" s="12" t="str">
        <f aca="false">IF($B451="","",IFERROR(INDEX(반품접수!$E$3:$E$1002,MATCH($B451,반품접수!$A$3:$A$1002,0)),"접수번호없음"))</f>
        <v/>
      </c>
      <c r="D451" s="10"/>
      <c r="E451" s="14"/>
      <c r="F451" s="10"/>
      <c r="G451" s="16"/>
      <c r="H451" s="10"/>
    </row>
    <row r="452" customFormat="false" ht="15" hidden="false" customHeight="true" outlineLevel="0" collapsed="false">
      <c r="A452" s="13"/>
      <c r="B452" s="10"/>
      <c r="C452" s="12" t="str">
        <f aca="false">IF($B452="","",IFERROR(INDEX(반품접수!$E$3:$E$1002,MATCH($B452,반품접수!$A$3:$A$1002,0)),"접수번호없음"))</f>
        <v/>
      </c>
      <c r="D452" s="10"/>
      <c r="E452" s="14"/>
      <c r="F452" s="10"/>
      <c r="G452" s="16"/>
      <c r="H452" s="10"/>
    </row>
    <row r="453" customFormat="false" ht="15" hidden="false" customHeight="true" outlineLevel="0" collapsed="false">
      <c r="A453" s="13"/>
      <c r="B453" s="10"/>
      <c r="C453" s="12" t="str">
        <f aca="false">IF($B453="","",IFERROR(INDEX(반품접수!$E$3:$E$1002,MATCH($B453,반품접수!$A$3:$A$1002,0)),"접수번호없음"))</f>
        <v/>
      </c>
      <c r="D453" s="10"/>
      <c r="E453" s="14"/>
      <c r="F453" s="10"/>
      <c r="G453" s="16"/>
      <c r="H453" s="10"/>
    </row>
    <row r="454" customFormat="false" ht="15" hidden="false" customHeight="true" outlineLevel="0" collapsed="false">
      <c r="A454" s="13"/>
      <c r="B454" s="10"/>
      <c r="C454" s="12" t="str">
        <f aca="false">IF($B454="","",IFERROR(INDEX(반품접수!$E$3:$E$1002,MATCH($B454,반품접수!$A$3:$A$1002,0)),"접수번호없음"))</f>
        <v/>
      </c>
      <c r="D454" s="10"/>
      <c r="E454" s="14"/>
      <c r="F454" s="10"/>
      <c r="G454" s="16"/>
      <c r="H454" s="10"/>
    </row>
    <row r="455" customFormat="false" ht="15" hidden="false" customHeight="true" outlineLevel="0" collapsed="false">
      <c r="A455" s="13"/>
      <c r="B455" s="10"/>
      <c r="C455" s="12" t="str">
        <f aca="false">IF($B455="","",IFERROR(INDEX(반품접수!$E$3:$E$1002,MATCH($B455,반품접수!$A$3:$A$1002,0)),"접수번호없음"))</f>
        <v/>
      </c>
      <c r="D455" s="10"/>
      <c r="E455" s="14"/>
      <c r="F455" s="10"/>
      <c r="G455" s="16"/>
      <c r="H455" s="10"/>
    </row>
    <row r="456" customFormat="false" ht="15" hidden="false" customHeight="true" outlineLevel="0" collapsed="false">
      <c r="A456" s="13"/>
      <c r="B456" s="10"/>
      <c r="C456" s="12" t="str">
        <f aca="false">IF($B456="","",IFERROR(INDEX(반품접수!$E$3:$E$1002,MATCH($B456,반품접수!$A$3:$A$1002,0)),"접수번호없음"))</f>
        <v/>
      </c>
      <c r="D456" s="10"/>
      <c r="E456" s="14"/>
      <c r="F456" s="10"/>
      <c r="G456" s="16"/>
      <c r="H456" s="10"/>
    </row>
    <row r="457" customFormat="false" ht="15" hidden="false" customHeight="true" outlineLevel="0" collapsed="false">
      <c r="A457" s="13"/>
      <c r="B457" s="10"/>
      <c r="C457" s="12" t="str">
        <f aca="false">IF($B457="","",IFERROR(INDEX(반품접수!$E$3:$E$1002,MATCH($B457,반품접수!$A$3:$A$1002,0)),"접수번호없음"))</f>
        <v/>
      </c>
      <c r="D457" s="10"/>
      <c r="E457" s="14"/>
      <c r="F457" s="10"/>
      <c r="G457" s="16"/>
      <c r="H457" s="10"/>
    </row>
    <row r="458" customFormat="false" ht="15" hidden="false" customHeight="true" outlineLevel="0" collapsed="false">
      <c r="A458" s="13"/>
      <c r="B458" s="10"/>
      <c r="C458" s="12" t="str">
        <f aca="false">IF($B458="","",IFERROR(INDEX(반품접수!$E$3:$E$1002,MATCH($B458,반품접수!$A$3:$A$1002,0)),"접수번호없음"))</f>
        <v/>
      </c>
      <c r="D458" s="10"/>
      <c r="E458" s="14"/>
      <c r="F458" s="10"/>
      <c r="G458" s="16"/>
      <c r="H458" s="10"/>
    </row>
    <row r="459" customFormat="false" ht="15" hidden="false" customHeight="true" outlineLevel="0" collapsed="false">
      <c r="A459" s="13"/>
      <c r="B459" s="10"/>
      <c r="C459" s="12" t="str">
        <f aca="false">IF($B459="","",IFERROR(INDEX(반품접수!$E$3:$E$1002,MATCH($B459,반품접수!$A$3:$A$1002,0)),"접수번호없음"))</f>
        <v/>
      </c>
      <c r="D459" s="10"/>
      <c r="E459" s="14"/>
      <c r="F459" s="10"/>
      <c r="G459" s="16"/>
      <c r="H459" s="10"/>
    </row>
    <row r="460" customFormat="false" ht="15" hidden="false" customHeight="true" outlineLevel="0" collapsed="false">
      <c r="A460" s="13"/>
      <c r="B460" s="10"/>
      <c r="C460" s="12" t="str">
        <f aca="false">IF($B460="","",IFERROR(INDEX(반품접수!$E$3:$E$1002,MATCH($B460,반품접수!$A$3:$A$1002,0)),"접수번호없음"))</f>
        <v/>
      </c>
      <c r="D460" s="10"/>
      <c r="E460" s="14"/>
      <c r="F460" s="10"/>
      <c r="G460" s="16"/>
      <c r="H460" s="10"/>
    </row>
    <row r="461" customFormat="false" ht="15" hidden="false" customHeight="true" outlineLevel="0" collapsed="false">
      <c r="A461" s="13"/>
      <c r="B461" s="10"/>
      <c r="C461" s="12" t="str">
        <f aca="false">IF($B461="","",IFERROR(INDEX(반품접수!$E$3:$E$1002,MATCH($B461,반품접수!$A$3:$A$1002,0)),"접수번호없음"))</f>
        <v/>
      </c>
      <c r="D461" s="10"/>
      <c r="E461" s="14"/>
      <c r="F461" s="10"/>
      <c r="G461" s="16"/>
      <c r="H461" s="10"/>
    </row>
    <row r="462" customFormat="false" ht="15" hidden="false" customHeight="true" outlineLevel="0" collapsed="false">
      <c r="A462" s="13"/>
      <c r="B462" s="10"/>
      <c r="C462" s="12" t="str">
        <f aca="false">IF($B462="","",IFERROR(INDEX(반품접수!$E$3:$E$1002,MATCH($B462,반품접수!$A$3:$A$1002,0)),"접수번호없음"))</f>
        <v/>
      </c>
      <c r="D462" s="10"/>
      <c r="E462" s="14"/>
      <c r="F462" s="10"/>
      <c r="G462" s="16"/>
      <c r="H462" s="10"/>
    </row>
    <row r="463" customFormat="false" ht="15" hidden="false" customHeight="true" outlineLevel="0" collapsed="false">
      <c r="A463" s="13"/>
      <c r="B463" s="10"/>
      <c r="C463" s="12" t="str">
        <f aca="false">IF($B463="","",IFERROR(INDEX(반품접수!$E$3:$E$1002,MATCH($B463,반품접수!$A$3:$A$1002,0)),"접수번호없음"))</f>
        <v/>
      </c>
      <c r="D463" s="10"/>
      <c r="E463" s="14"/>
      <c r="F463" s="10"/>
      <c r="G463" s="16"/>
      <c r="H463" s="10"/>
    </row>
    <row r="464" customFormat="false" ht="15" hidden="false" customHeight="true" outlineLevel="0" collapsed="false">
      <c r="A464" s="13"/>
      <c r="B464" s="10"/>
      <c r="C464" s="12" t="str">
        <f aca="false">IF($B464="","",IFERROR(INDEX(반품접수!$E$3:$E$1002,MATCH($B464,반품접수!$A$3:$A$1002,0)),"접수번호없음"))</f>
        <v/>
      </c>
      <c r="D464" s="10"/>
      <c r="E464" s="14"/>
      <c r="F464" s="10"/>
      <c r="G464" s="16"/>
      <c r="H464" s="10"/>
    </row>
    <row r="465" customFormat="false" ht="15" hidden="false" customHeight="true" outlineLevel="0" collapsed="false">
      <c r="A465" s="13"/>
      <c r="B465" s="10"/>
      <c r="C465" s="12" t="str">
        <f aca="false">IF($B465="","",IFERROR(INDEX(반품접수!$E$3:$E$1002,MATCH($B465,반품접수!$A$3:$A$1002,0)),"접수번호없음"))</f>
        <v/>
      </c>
      <c r="D465" s="10"/>
      <c r="E465" s="14"/>
      <c r="F465" s="10"/>
      <c r="G465" s="16"/>
      <c r="H465" s="10"/>
    </row>
    <row r="466" customFormat="false" ht="15" hidden="false" customHeight="true" outlineLevel="0" collapsed="false">
      <c r="A466" s="13"/>
      <c r="B466" s="10"/>
      <c r="C466" s="12" t="str">
        <f aca="false">IF($B466="","",IFERROR(INDEX(반품접수!$E$3:$E$1002,MATCH($B466,반품접수!$A$3:$A$1002,0)),"접수번호없음"))</f>
        <v/>
      </c>
      <c r="D466" s="10"/>
      <c r="E466" s="14"/>
      <c r="F466" s="10"/>
      <c r="G466" s="16"/>
      <c r="H466" s="10"/>
    </row>
    <row r="467" customFormat="false" ht="15" hidden="false" customHeight="true" outlineLevel="0" collapsed="false">
      <c r="A467" s="13"/>
      <c r="B467" s="10"/>
      <c r="C467" s="12" t="str">
        <f aca="false">IF($B467="","",IFERROR(INDEX(반품접수!$E$3:$E$1002,MATCH($B467,반품접수!$A$3:$A$1002,0)),"접수번호없음"))</f>
        <v/>
      </c>
      <c r="D467" s="10"/>
      <c r="E467" s="14"/>
      <c r="F467" s="10"/>
      <c r="G467" s="16"/>
      <c r="H467" s="10"/>
    </row>
    <row r="468" customFormat="false" ht="15" hidden="false" customHeight="true" outlineLevel="0" collapsed="false">
      <c r="A468" s="13"/>
      <c r="B468" s="10"/>
      <c r="C468" s="12" t="str">
        <f aca="false">IF($B468="","",IFERROR(INDEX(반품접수!$E$3:$E$1002,MATCH($B468,반품접수!$A$3:$A$1002,0)),"접수번호없음"))</f>
        <v/>
      </c>
      <c r="D468" s="10"/>
      <c r="E468" s="14"/>
      <c r="F468" s="10"/>
      <c r="G468" s="16"/>
      <c r="H468" s="10"/>
    </row>
    <row r="469" customFormat="false" ht="15" hidden="false" customHeight="true" outlineLevel="0" collapsed="false">
      <c r="A469" s="13"/>
      <c r="B469" s="10"/>
      <c r="C469" s="12" t="str">
        <f aca="false">IF($B469="","",IFERROR(INDEX(반품접수!$E$3:$E$1002,MATCH($B469,반품접수!$A$3:$A$1002,0)),"접수번호없음"))</f>
        <v/>
      </c>
      <c r="D469" s="10"/>
      <c r="E469" s="14"/>
      <c r="F469" s="10"/>
      <c r="G469" s="16"/>
      <c r="H469" s="10"/>
    </row>
    <row r="470" customFormat="false" ht="15" hidden="false" customHeight="true" outlineLevel="0" collapsed="false">
      <c r="A470" s="13"/>
      <c r="B470" s="10"/>
      <c r="C470" s="12" t="str">
        <f aca="false">IF($B470="","",IFERROR(INDEX(반품접수!$E$3:$E$1002,MATCH($B470,반품접수!$A$3:$A$1002,0)),"접수번호없음"))</f>
        <v/>
      </c>
      <c r="D470" s="10"/>
      <c r="E470" s="14"/>
      <c r="F470" s="10"/>
      <c r="G470" s="16"/>
      <c r="H470" s="10"/>
    </row>
    <row r="471" customFormat="false" ht="15" hidden="false" customHeight="true" outlineLevel="0" collapsed="false">
      <c r="A471" s="13"/>
      <c r="B471" s="10"/>
      <c r="C471" s="12" t="str">
        <f aca="false">IF($B471="","",IFERROR(INDEX(반품접수!$E$3:$E$1002,MATCH($B471,반품접수!$A$3:$A$1002,0)),"접수번호없음"))</f>
        <v/>
      </c>
      <c r="D471" s="10"/>
      <c r="E471" s="14"/>
      <c r="F471" s="10"/>
      <c r="G471" s="16"/>
      <c r="H471" s="10"/>
    </row>
    <row r="472" customFormat="false" ht="15" hidden="false" customHeight="true" outlineLevel="0" collapsed="false">
      <c r="A472" s="13"/>
      <c r="B472" s="10"/>
      <c r="C472" s="12" t="str">
        <f aca="false">IF($B472="","",IFERROR(INDEX(반품접수!$E$3:$E$1002,MATCH($B472,반품접수!$A$3:$A$1002,0)),"접수번호없음"))</f>
        <v/>
      </c>
      <c r="D472" s="10"/>
      <c r="E472" s="14"/>
      <c r="F472" s="10"/>
      <c r="G472" s="16"/>
      <c r="H472" s="10"/>
    </row>
    <row r="473" customFormat="false" ht="15" hidden="false" customHeight="true" outlineLevel="0" collapsed="false">
      <c r="A473" s="13"/>
      <c r="B473" s="10"/>
      <c r="C473" s="12" t="str">
        <f aca="false">IF($B473="","",IFERROR(INDEX(반품접수!$E$3:$E$1002,MATCH($B473,반품접수!$A$3:$A$1002,0)),"접수번호없음"))</f>
        <v/>
      </c>
      <c r="D473" s="10"/>
      <c r="E473" s="14"/>
      <c r="F473" s="10"/>
      <c r="G473" s="16"/>
      <c r="H473" s="10"/>
    </row>
    <row r="474" customFormat="false" ht="15" hidden="false" customHeight="true" outlineLevel="0" collapsed="false">
      <c r="A474" s="13"/>
      <c r="B474" s="10"/>
      <c r="C474" s="12" t="str">
        <f aca="false">IF($B474="","",IFERROR(INDEX(반품접수!$E$3:$E$1002,MATCH($B474,반품접수!$A$3:$A$1002,0)),"접수번호없음"))</f>
        <v/>
      </c>
      <c r="D474" s="10"/>
      <c r="E474" s="14"/>
      <c r="F474" s="10"/>
      <c r="G474" s="16"/>
      <c r="H474" s="10"/>
    </row>
    <row r="475" customFormat="false" ht="15" hidden="false" customHeight="true" outlineLevel="0" collapsed="false">
      <c r="A475" s="13"/>
      <c r="B475" s="10"/>
      <c r="C475" s="12" t="str">
        <f aca="false">IF($B475="","",IFERROR(INDEX(반품접수!$E$3:$E$1002,MATCH($B475,반품접수!$A$3:$A$1002,0)),"접수번호없음"))</f>
        <v/>
      </c>
      <c r="D475" s="10"/>
      <c r="E475" s="14"/>
      <c r="F475" s="10"/>
      <c r="G475" s="16"/>
      <c r="H475" s="10"/>
    </row>
    <row r="476" customFormat="false" ht="15" hidden="false" customHeight="true" outlineLevel="0" collapsed="false">
      <c r="A476" s="13"/>
      <c r="B476" s="10"/>
      <c r="C476" s="12" t="str">
        <f aca="false">IF($B476="","",IFERROR(INDEX(반품접수!$E$3:$E$1002,MATCH($B476,반품접수!$A$3:$A$1002,0)),"접수번호없음"))</f>
        <v/>
      </c>
      <c r="D476" s="10"/>
      <c r="E476" s="14"/>
      <c r="F476" s="10"/>
      <c r="G476" s="16"/>
      <c r="H476" s="10"/>
    </row>
    <row r="477" customFormat="false" ht="15" hidden="false" customHeight="true" outlineLevel="0" collapsed="false">
      <c r="A477" s="13"/>
      <c r="B477" s="10"/>
      <c r="C477" s="12" t="str">
        <f aca="false">IF($B477="","",IFERROR(INDEX(반품접수!$E$3:$E$1002,MATCH($B477,반품접수!$A$3:$A$1002,0)),"접수번호없음"))</f>
        <v/>
      </c>
      <c r="D477" s="10"/>
      <c r="E477" s="14"/>
      <c r="F477" s="10"/>
      <c r="G477" s="16"/>
      <c r="H477" s="10"/>
    </row>
    <row r="478" customFormat="false" ht="15" hidden="false" customHeight="true" outlineLevel="0" collapsed="false">
      <c r="A478" s="13"/>
      <c r="B478" s="10"/>
      <c r="C478" s="12" t="str">
        <f aca="false">IF($B478="","",IFERROR(INDEX(반품접수!$E$3:$E$1002,MATCH($B478,반품접수!$A$3:$A$1002,0)),"접수번호없음"))</f>
        <v/>
      </c>
      <c r="D478" s="10"/>
      <c r="E478" s="14"/>
      <c r="F478" s="10"/>
      <c r="G478" s="16"/>
      <c r="H478" s="10"/>
    </row>
    <row r="479" customFormat="false" ht="15" hidden="false" customHeight="true" outlineLevel="0" collapsed="false">
      <c r="A479" s="13"/>
      <c r="B479" s="10"/>
      <c r="C479" s="12" t="str">
        <f aca="false">IF($B479="","",IFERROR(INDEX(반품접수!$E$3:$E$1002,MATCH($B479,반품접수!$A$3:$A$1002,0)),"접수번호없음"))</f>
        <v/>
      </c>
      <c r="D479" s="10"/>
      <c r="E479" s="14"/>
      <c r="F479" s="10"/>
      <c r="G479" s="16"/>
      <c r="H479" s="10"/>
    </row>
    <row r="480" customFormat="false" ht="15" hidden="false" customHeight="true" outlineLevel="0" collapsed="false">
      <c r="A480" s="13"/>
      <c r="B480" s="10"/>
      <c r="C480" s="12" t="str">
        <f aca="false">IF($B480="","",IFERROR(INDEX(반품접수!$E$3:$E$1002,MATCH($B480,반품접수!$A$3:$A$1002,0)),"접수번호없음"))</f>
        <v/>
      </c>
      <c r="D480" s="10"/>
      <c r="E480" s="14"/>
      <c r="F480" s="10"/>
      <c r="G480" s="16"/>
      <c r="H480" s="10"/>
    </row>
    <row r="481" customFormat="false" ht="15" hidden="false" customHeight="true" outlineLevel="0" collapsed="false">
      <c r="A481" s="13"/>
      <c r="B481" s="10"/>
      <c r="C481" s="12" t="str">
        <f aca="false">IF($B481="","",IFERROR(INDEX(반품접수!$E$3:$E$1002,MATCH($B481,반품접수!$A$3:$A$1002,0)),"접수번호없음"))</f>
        <v/>
      </c>
      <c r="D481" s="10"/>
      <c r="E481" s="14"/>
      <c r="F481" s="10"/>
      <c r="G481" s="16"/>
      <c r="H481" s="10"/>
    </row>
    <row r="482" customFormat="false" ht="15" hidden="false" customHeight="true" outlineLevel="0" collapsed="false">
      <c r="A482" s="13"/>
      <c r="B482" s="10"/>
      <c r="C482" s="12" t="str">
        <f aca="false">IF($B482="","",IFERROR(INDEX(반품접수!$E$3:$E$1002,MATCH($B482,반품접수!$A$3:$A$1002,0)),"접수번호없음"))</f>
        <v/>
      </c>
      <c r="D482" s="10"/>
      <c r="E482" s="14"/>
      <c r="F482" s="10"/>
      <c r="G482" s="16"/>
      <c r="H482" s="10"/>
    </row>
    <row r="483" customFormat="false" ht="15" hidden="false" customHeight="true" outlineLevel="0" collapsed="false">
      <c r="A483" s="13"/>
      <c r="B483" s="10"/>
      <c r="C483" s="12" t="str">
        <f aca="false">IF($B483="","",IFERROR(INDEX(반품접수!$E$3:$E$1002,MATCH($B483,반품접수!$A$3:$A$1002,0)),"접수번호없음"))</f>
        <v/>
      </c>
      <c r="D483" s="10"/>
      <c r="E483" s="14"/>
      <c r="F483" s="10"/>
      <c r="G483" s="16"/>
      <c r="H483" s="10"/>
    </row>
    <row r="484" customFormat="false" ht="15" hidden="false" customHeight="true" outlineLevel="0" collapsed="false">
      <c r="A484" s="13"/>
      <c r="B484" s="10"/>
      <c r="C484" s="12" t="str">
        <f aca="false">IF($B484="","",IFERROR(INDEX(반품접수!$E$3:$E$1002,MATCH($B484,반품접수!$A$3:$A$1002,0)),"접수번호없음"))</f>
        <v/>
      </c>
      <c r="D484" s="10"/>
      <c r="E484" s="14"/>
      <c r="F484" s="10"/>
      <c r="G484" s="16"/>
      <c r="H484" s="10"/>
    </row>
    <row r="485" customFormat="false" ht="15" hidden="false" customHeight="true" outlineLevel="0" collapsed="false">
      <c r="A485" s="13"/>
      <c r="B485" s="10"/>
      <c r="C485" s="12" t="str">
        <f aca="false">IF($B485="","",IFERROR(INDEX(반품접수!$E$3:$E$1002,MATCH($B485,반품접수!$A$3:$A$1002,0)),"접수번호없음"))</f>
        <v/>
      </c>
      <c r="D485" s="10"/>
      <c r="E485" s="14"/>
      <c r="F485" s="10"/>
      <c r="G485" s="16"/>
      <c r="H485" s="10"/>
    </row>
    <row r="486" customFormat="false" ht="15" hidden="false" customHeight="true" outlineLevel="0" collapsed="false">
      <c r="A486" s="13"/>
      <c r="B486" s="10"/>
      <c r="C486" s="12" t="str">
        <f aca="false">IF($B486="","",IFERROR(INDEX(반품접수!$E$3:$E$1002,MATCH($B486,반품접수!$A$3:$A$1002,0)),"접수번호없음"))</f>
        <v/>
      </c>
      <c r="D486" s="10"/>
      <c r="E486" s="14"/>
      <c r="F486" s="10"/>
      <c r="G486" s="16"/>
      <c r="H486" s="10"/>
    </row>
    <row r="487" customFormat="false" ht="15" hidden="false" customHeight="true" outlineLevel="0" collapsed="false">
      <c r="A487" s="13"/>
      <c r="B487" s="10"/>
      <c r="C487" s="12" t="str">
        <f aca="false">IF($B487="","",IFERROR(INDEX(반품접수!$E$3:$E$1002,MATCH($B487,반품접수!$A$3:$A$1002,0)),"접수번호없음"))</f>
        <v/>
      </c>
      <c r="D487" s="10"/>
      <c r="E487" s="14"/>
      <c r="F487" s="10"/>
      <c r="G487" s="16"/>
      <c r="H487" s="10"/>
    </row>
    <row r="488" customFormat="false" ht="15" hidden="false" customHeight="true" outlineLevel="0" collapsed="false">
      <c r="A488" s="13"/>
      <c r="B488" s="10"/>
      <c r="C488" s="12" t="str">
        <f aca="false">IF($B488="","",IFERROR(INDEX(반품접수!$E$3:$E$1002,MATCH($B488,반품접수!$A$3:$A$1002,0)),"접수번호없음"))</f>
        <v/>
      </c>
      <c r="D488" s="10"/>
      <c r="E488" s="14"/>
      <c r="F488" s="10"/>
      <c r="G488" s="16"/>
      <c r="H488" s="10"/>
    </row>
    <row r="489" customFormat="false" ht="15" hidden="false" customHeight="true" outlineLevel="0" collapsed="false">
      <c r="A489" s="13"/>
      <c r="B489" s="10"/>
      <c r="C489" s="12" t="str">
        <f aca="false">IF($B489="","",IFERROR(INDEX(반품접수!$E$3:$E$1002,MATCH($B489,반품접수!$A$3:$A$1002,0)),"접수번호없음"))</f>
        <v/>
      </c>
      <c r="D489" s="10"/>
      <c r="E489" s="14"/>
      <c r="F489" s="10"/>
      <c r="G489" s="16"/>
      <c r="H489" s="10"/>
    </row>
    <row r="490" customFormat="false" ht="15" hidden="false" customHeight="true" outlineLevel="0" collapsed="false">
      <c r="A490" s="13"/>
      <c r="B490" s="10"/>
      <c r="C490" s="12" t="str">
        <f aca="false">IF($B490="","",IFERROR(INDEX(반품접수!$E$3:$E$1002,MATCH($B490,반품접수!$A$3:$A$1002,0)),"접수번호없음"))</f>
        <v/>
      </c>
      <c r="D490" s="10"/>
      <c r="E490" s="14"/>
      <c r="F490" s="10"/>
      <c r="G490" s="16"/>
      <c r="H490" s="10"/>
    </row>
    <row r="491" customFormat="false" ht="15" hidden="false" customHeight="true" outlineLevel="0" collapsed="false">
      <c r="A491" s="13"/>
      <c r="B491" s="10"/>
      <c r="C491" s="12" t="str">
        <f aca="false">IF($B491="","",IFERROR(INDEX(반품접수!$E$3:$E$1002,MATCH($B491,반품접수!$A$3:$A$1002,0)),"접수번호없음"))</f>
        <v/>
      </c>
      <c r="D491" s="10"/>
      <c r="E491" s="14"/>
      <c r="F491" s="10"/>
      <c r="G491" s="16"/>
      <c r="H491" s="10"/>
    </row>
    <row r="492" customFormat="false" ht="15" hidden="false" customHeight="true" outlineLevel="0" collapsed="false">
      <c r="A492" s="13"/>
      <c r="B492" s="10"/>
      <c r="C492" s="12" t="str">
        <f aca="false">IF($B492="","",IFERROR(INDEX(반품접수!$E$3:$E$1002,MATCH($B492,반품접수!$A$3:$A$1002,0)),"접수번호없음"))</f>
        <v/>
      </c>
      <c r="D492" s="10"/>
      <c r="E492" s="14"/>
      <c r="F492" s="10"/>
      <c r="G492" s="16"/>
      <c r="H492" s="10"/>
    </row>
    <row r="493" customFormat="false" ht="15" hidden="false" customHeight="true" outlineLevel="0" collapsed="false">
      <c r="A493" s="13"/>
      <c r="B493" s="10"/>
      <c r="C493" s="12" t="str">
        <f aca="false">IF($B493="","",IFERROR(INDEX(반품접수!$E$3:$E$1002,MATCH($B493,반품접수!$A$3:$A$1002,0)),"접수번호없음"))</f>
        <v/>
      </c>
      <c r="D493" s="10"/>
      <c r="E493" s="14"/>
      <c r="F493" s="10"/>
      <c r="G493" s="16"/>
      <c r="H493" s="10"/>
    </row>
    <row r="494" customFormat="false" ht="15" hidden="false" customHeight="true" outlineLevel="0" collapsed="false">
      <c r="A494" s="13"/>
      <c r="B494" s="10"/>
      <c r="C494" s="12" t="str">
        <f aca="false">IF($B494="","",IFERROR(INDEX(반품접수!$E$3:$E$1002,MATCH($B494,반품접수!$A$3:$A$1002,0)),"접수번호없음"))</f>
        <v/>
      </c>
      <c r="D494" s="10"/>
      <c r="E494" s="14"/>
      <c r="F494" s="10"/>
      <c r="G494" s="16"/>
      <c r="H494" s="10"/>
    </row>
    <row r="495" customFormat="false" ht="15" hidden="false" customHeight="true" outlineLevel="0" collapsed="false">
      <c r="A495" s="13"/>
      <c r="B495" s="10"/>
      <c r="C495" s="12" t="str">
        <f aca="false">IF($B495="","",IFERROR(INDEX(반품접수!$E$3:$E$1002,MATCH($B495,반품접수!$A$3:$A$1002,0)),"접수번호없음"))</f>
        <v/>
      </c>
      <c r="D495" s="10"/>
      <c r="E495" s="14"/>
      <c r="F495" s="10"/>
      <c r="G495" s="16"/>
      <c r="H495" s="10"/>
    </row>
    <row r="496" customFormat="false" ht="15" hidden="false" customHeight="true" outlineLevel="0" collapsed="false">
      <c r="A496" s="13"/>
      <c r="B496" s="10"/>
      <c r="C496" s="12" t="str">
        <f aca="false">IF($B496="","",IFERROR(INDEX(반품접수!$E$3:$E$1002,MATCH($B496,반품접수!$A$3:$A$1002,0)),"접수번호없음"))</f>
        <v/>
      </c>
      <c r="D496" s="10"/>
      <c r="E496" s="14"/>
      <c r="F496" s="10"/>
      <c r="G496" s="16"/>
      <c r="H496" s="10"/>
    </row>
    <row r="497" customFormat="false" ht="15" hidden="false" customHeight="true" outlineLevel="0" collapsed="false">
      <c r="A497" s="13"/>
      <c r="B497" s="10"/>
      <c r="C497" s="12" t="str">
        <f aca="false">IF($B497="","",IFERROR(INDEX(반품접수!$E$3:$E$1002,MATCH($B497,반품접수!$A$3:$A$1002,0)),"접수번호없음"))</f>
        <v/>
      </c>
      <c r="D497" s="10"/>
      <c r="E497" s="14"/>
      <c r="F497" s="10"/>
      <c r="G497" s="16"/>
      <c r="H497" s="10"/>
    </row>
    <row r="498" customFormat="false" ht="15" hidden="false" customHeight="true" outlineLevel="0" collapsed="false">
      <c r="A498" s="13"/>
      <c r="B498" s="10"/>
      <c r="C498" s="12" t="str">
        <f aca="false">IF($B498="","",IFERROR(INDEX(반품접수!$E$3:$E$1002,MATCH($B498,반품접수!$A$3:$A$1002,0)),"접수번호없음"))</f>
        <v/>
      </c>
      <c r="D498" s="10"/>
      <c r="E498" s="14"/>
      <c r="F498" s="10"/>
      <c r="G498" s="16"/>
      <c r="H498" s="10"/>
    </row>
    <row r="499" customFormat="false" ht="15" hidden="false" customHeight="true" outlineLevel="0" collapsed="false">
      <c r="A499" s="13"/>
      <c r="B499" s="10"/>
      <c r="C499" s="12" t="str">
        <f aca="false">IF($B499="","",IFERROR(INDEX(반품접수!$E$3:$E$1002,MATCH($B499,반품접수!$A$3:$A$1002,0)),"접수번호없음"))</f>
        <v/>
      </c>
      <c r="D499" s="10"/>
      <c r="E499" s="14"/>
      <c r="F499" s="10"/>
      <c r="G499" s="16"/>
      <c r="H499" s="10"/>
    </row>
    <row r="500" customFormat="false" ht="15" hidden="false" customHeight="true" outlineLevel="0" collapsed="false">
      <c r="A500" s="13"/>
      <c r="B500" s="10"/>
      <c r="C500" s="12" t="str">
        <f aca="false">IF($B500="","",IFERROR(INDEX(반품접수!$E$3:$E$1002,MATCH($B500,반품접수!$A$3:$A$1002,0)),"접수번호없음"))</f>
        <v/>
      </c>
      <c r="D500" s="10"/>
      <c r="E500" s="14"/>
      <c r="F500" s="10"/>
      <c r="G500" s="16"/>
      <c r="H500" s="10"/>
    </row>
    <row r="501" customFormat="false" ht="15" hidden="false" customHeight="true" outlineLevel="0" collapsed="false">
      <c r="A501" s="13"/>
      <c r="B501" s="10"/>
      <c r="C501" s="12" t="str">
        <f aca="false">IF($B501="","",IFERROR(INDEX(반품접수!$E$3:$E$1002,MATCH($B501,반품접수!$A$3:$A$1002,0)),"접수번호없음"))</f>
        <v/>
      </c>
      <c r="D501" s="10"/>
      <c r="E501" s="14"/>
      <c r="F501" s="10"/>
      <c r="G501" s="16"/>
      <c r="H501" s="10"/>
    </row>
    <row r="502" customFormat="false" ht="15" hidden="false" customHeight="true" outlineLevel="0" collapsed="false">
      <c r="A502" s="13"/>
      <c r="B502" s="10"/>
      <c r="C502" s="12" t="str">
        <f aca="false">IF($B502="","",IFERROR(INDEX(반품접수!$E$3:$E$1002,MATCH($B502,반품접수!$A$3:$A$1002,0)),"접수번호없음"))</f>
        <v/>
      </c>
      <c r="D502" s="10"/>
      <c r="E502" s="14"/>
      <c r="F502" s="10"/>
      <c r="G502" s="16"/>
      <c r="H502" s="10"/>
    </row>
    <row r="503" customFormat="false" ht="15" hidden="false" customHeight="true" outlineLevel="0" collapsed="false">
      <c r="A503" s="13"/>
      <c r="B503" s="10"/>
      <c r="C503" s="12" t="str">
        <f aca="false">IF($B503="","",IFERROR(INDEX(반품접수!$E$3:$E$1002,MATCH($B503,반품접수!$A$3:$A$1002,0)),"접수번호없음"))</f>
        <v/>
      </c>
      <c r="D503" s="10"/>
      <c r="E503" s="14"/>
      <c r="F503" s="10"/>
      <c r="G503" s="16"/>
      <c r="H503" s="10"/>
    </row>
    <row r="504" customFormat="false" ht="15" hidden="false" customHeight="true" outlineLevel="0" collapsed="false">
      <c r="A504" s="13"/>
      <c r="B504" s="10"/>
      <c r="C504" s="12" t="str">
        <f aca="false">IF($B504="","",IFERROR(INDEX(반품접수!$E$3:$E$1002,MATCH($B504,반품접수!$A$3:$A$1002,0)),"접수번호없음"))</f>
        <v/>
      </c>
      <c r="D504" s="10"/>
      <c r="E504" s="14"/>
      <c r="F504" s="10"/>
      <c r="G504" s="16"/>
      <c r="H504" s="10"/>
    </row>
    <row r="505" customFormat="false" ht="15" hidden="false" customHeight="true" outlineLevel="0" collapsed="false">
      <c r="A505" s="13"/>
      <c r="B505" s="10"/>
      <c r="C505" s="12" t="str">
        <f aca="false">IF($B505="","",IFERROR(INDEX(반품접수!$E$3:$E$1002,MATCH($B505,반품접수!$A$3:$A$1002,0)),"접수번호없음"))</f>
        <v/>
      </c>
      <c r="D505" s="10"/>
      <c r="E505" s="14"/>
      <c r="F505" s="10"/>
      <c r="G505" s="16"/>
      <c r="H505" s="10"/>
    </row>
    <row r="506" customFormat="false" ht="15" hidden="false" customHeight="true" outlineLevel="0" collapsed="false">
      <c r="A506" s="13"/>
      <c r="B506" s="10"/>
      <c r="C506" s="12" t="str">
        <f aca="false">IF($B506="","",IFERROR(INDEX(반품접수!$E$3:$E$1002,MATCH($B506,반품접수!$A$3:$A$1002,0)),"접수번호없음"))</f>
        <v/>
      </c>
      <c r="D506" s="10"/>
      <c r="E506" s="14"/>
      <c r="F506" s="10"/>
      <c r="G506" s="16"/>
      <c r="H506" s="10"/>
    </row>
    <row r="507" customFormat="false" ht="15" hidden="false" customHeight="true" outlineLevel="0" collapsed="false">
      <c r="A507" s="13"/>
      <c r="B507" s="10"/>
      <c r="C507" s="12" t="str">
        <f aca="false">IF($B507="","",IFERROR(INDEX(반품접수!$E$3:$E$1002,MATCH($B507,반품접수!$A$3:$A$1002,0)),"접수번호없음"))</f>
        <v/>
      </c>
      <c r="D507" s="10"/>
      <c r="E507" s="14"/>
      <c r="F507" s="10"/>
      <c r="G507" s="16"/>
      <c r="H507" s="10"/>
    </row>
    <row r="508" customFormat="false" ht="15" hidden="false" customHeight="true" outlineLevel="0" collapsed="false">
      <c r="A508" s="13"/>
      <c r="B508" s="10"/>
      <c r="C508" s="12" t="str">
        <f aca="false">IF($B508="","",IFERROR(INDEX(반품접수!$E$3:$E$1002,MATCH($B508,반품접수!$A$3:$A$1002,0)),"접수번호없음"))</f>
        <v/>
      </c>
      <c r="D508" s="10"/>
      <c r="E508" s="14"/>
      <c r="F508" s="10"/>
      <c r="G508" s="16"/>
      <c r="H508" s="10"/>
    </row>
    <row r="509" customFormat="false" ht="15" hidden="false" customHeight="true" outlineLevel="0" collapsed="false">
      <c r="A509" s="13"/>
      <c r="B509" s="10"/>
      <c r="C509" s="12" t="str">
        <f aca="false">IF($B509="","",IFERROR(INDEX(반품접수!$E$3:$E$1002,MATCH($B509,반품접수!$A$3:$A$1002,0)),"접수번호없음"))</f>
        <v/>
      </c>
      <c r="D509" s="10"/>
      <c r="E509" s="14"/>
      <c r="F509" s="10"/>
      <c r="G509" s="16"/>
      <c r="H509" s="10"/>
    </row>
    <row r="510" customFormat="false" ht="15" hidden="false" customHeight="true" outlineLevel="0" collapsed="false">
      <c r="A510" s="13"/>
      <c r="B510" s="10"/>
      <c r="C510" s="12" t="str">
        <f aca="false">IF($B510="","",IFERROR(INDEX(반품접수!$E$3:$E$1002,MATCH($B510,반품접수!$A$3:$A$1002,0)),"접수번호없음"))</f>
        <v/>
      </c>
      <c r="D510" s="10"/>
      <c r="E510" s="14"/>
      <c r="F510" s="10"/>
      <c r="G510" s="16"/>
      <c r="H510" s="10"/>
    </row>
    <row r="511" customFormat="false" ht="15" hidden="false" customHeight="true" outlineLevel="0" collapsed="false">
      <c r="A511" s="13"/>
      <c r="B511" s="10"/>
      <c r="C511" s="12" t="str">
        <f aca="false">IF($B511="","",IFERROR(INDEX(반품접수!$E$3:$E$1002,MATCH($B511,반품접수!$A$3:$A$1002,0)),"접수번호없음"))</f>
        <v/>
      </c>
      <c r="D511" s="10"/>
      <c r="E511" s="14"/>
      <c r="F511" s="10"/>
      <c r="G511" s="16"/>
      <c r="H511" s="10"/>
    </row>
    <row r="512" customFormat="false" ht="15" hidden="false" customHeight="true" outlineLevel="0" collapsed="false">
      <c r="A512" s="13"/>
      <c r="B512" s="10"/>
      <c r="C512" s="12" t="str">
        <f aca="false">IF($B512="","",IFERROR(INDEX(반품접수!$E$3:$E$1002,MATCH($B512,반품접수!$A$3:$A$1002,0)),"접수번호없음"))</f>
        <v/>
      </c>
      <c r="D512" s="10"/>
      <c r="E512" s="14"/>
      <c r="F512" s="10"/>
      <c r="G512" s="16"/>
      <c r="H512" s="10"/>
    </row>
    <row r="513" customFormat="false" ht="15" hidden="false" customHeight="true" outlineLevel="0" collapsed="false">
      <c r="A513" s="13"/>
      <c r="B513" s="10"/>
      <c r="C513" s="12" t="str">
        <f aca="false">IF($B513="","",IFERROR(INDEX(반품접수!$E$3:$E$1002,MATCH($B513,반품접수!$A$3:$A$1002,0)),"접수번호없음"))</f>
        <v/>
      </c>
      <c r="D513" s="10"/>
      <c r="E513" s="14"/>
      <c r="F513" s="10"/>
      <c r="G513" s="16"/>
      <c r="H513" s="10"/>
    </row>
    <row r="514" customFormat="false" ht="15" hidden="false" customHeight="true" outlineLevel="0" collapsed="false">
      <c r="A514" s="13"/>
      <c r="B514" s="10"/>
      <c r="C514" s="12" t="str">
        <f aca="false">IF($B514="","",IFERROR(INDEX(반품접수!$E$3:$E$1002,MATCH($B514,반품접수!$A$3:$A$1002,0)),"접수번호없음"))</f>
        <v/>
      </c>
      <c r="D514" s="10"/>
      <c r="E514" s="14"/>
      <c r="F514" s="10"/>
      <c r="G514" s="16"/>
      <c r="H514" s="10"/>
    </row>
    <row r="515" customFormat="false" ht="15" hidden="false" customHeight="true" outlineLevel="0" collapsed="false">
      <c r="A515" s="13"/>
      <c r="B515" s="10"/>
      <c r="C515" s="12" t="str">
        <f aca="false">IF($B515="","",IFERROR(INDEX(반품접수!$E$3:$E$1002,MATCH($B515,반품접수!$A$3:$A$1002,0)),"접수번호없음"))</f>
        <v/>
      </c>
      <c r="D515" s="10"/>
      <c r="E515" s="14"/>
      <c r="F515" s="10"/>
      <c r="G515" s="16"/>
      <c r="H515" s="10"/>
    </row>
    <row r="516" customFormat="false" ht="15" hidden="false" customHeight="true" outlineLevel="0" collapsed="false">
      <c r="A516" s="13"/>
      <c r="B516" s="10"/>
      <c r="C516" s="12" t="str">
        <f aca="false">IF($B516="","",IFERROR(INDEX(반품접수!$E$3:$E$1002,MATCH($B516,반품접수!$A$3:$A$1002,0)),"접수번호없음"))</f>
        <v/>
      </c>
      <c r="D516" s="10"/>
      <c r="E516" s="14"/>
      <c r="F516" s="10"/>
      <c r="G516" s="16"/>
      <c r="H516" s="10"/>
    </row>
    <row r="517" customFormat="false" ht="15" hidden="false" customHeight="true" outlineLevel="0" collapsed="false">
      <c r="A517" s="13"/>
      <c r="B517" s="10"/>
      <c r="C517" s="12" t="str">
        <f aca="false">IF($B517="","",IFERROR(INDEX(반품접수!$E$3:$E$1002,MATCH($B517,반품접수!$A$3:$A$1002,0)),"접수번호없음"))</f>
        <v/>
      </c>
      <c r="D517" s="10"/>
      <c r="E517" s="14"/>
      <c r="F517" s="10"/>
      <c r="G517" s="16"/>
      <c r="H517" s="10"/>
    </row>
    <row r="518" customFormat="false" ht="15" hidden="false" customHeight="true" outlineLevel="0" collapsed="false">
      <c r="A518" s="13"/>
      <c r="B518" s="10"/>
      <c r="C518" s="12" t="str">
        <f aca="false">IF($B518="","",IFERROR(INDEX(반품접수!$E$3:$E$1002,MATCH($B518,반품접수!$A$3:$A$1002,0)),"접수번호없음"))</f>
        <v/>
      </c>
      <c r="D518" s="10"/>
      <c r="E518" s="14"/>
      <c r="F518" s="10"/>
      <c r="G518" s="16"/>
      <c r="H518" s="10"/>
    </row>
    <row r="519" customFormat="false" ht="15" hidden="false" customHeight="true" outlineLevel="0" collapsed="false">
      <c r="A519" s="13"/>
      <c r="B519" s="10"/>
      <c r="C519" s="12" t="str">
        <f aca="false">IF($B519="","",IFERROR(INDEX(반품접수!$E$3:$E$1002,MATCH($B519,반품접수!$A$3:$A$1002,0)),"접수번호없음"))</f>
        <v/>
      </c>
      <c r="D519" s="10"/>
      <c r="E519" s="14"/>
      <c r="F519" s="10"/>
      <c r="G519" s="16"/>
      <c r="H519" s="10"/>
    </row>
    <row r="520" customFormat="false" ht="15" hidden="false" customHeight="true" outlineLevel="0" collapsed="false">
      <c r="A520" s="13"/>
      <c r="B520" s="10"/>
      <c r="C520" s="12" t="str">
        <f aca="false">IF($B520="","",IFERROR(INDEX(반품접수!$E$3:$E$1002,MATCH($B520,반품접수!$A$3:$A$1002,0)),"접수번호없음"))</f>
        <v/>
      </c>
      <c r="D520" s="10"/>
      <c r="E520" s="14"/>
      <c r="F520" s="10"/>
      <c r="G520" s="16"/>
      <c r="H520" s="10"/>
    </row>
    <row r="521" customFormat="false" ht="15" hidden="false" customHeight="true" outlineLevel="0" collapsed="false">
      <c r="A521" s="13"/>
      <c r="B521" s="10"/>
      <c r="C521" s="12" t="str">
        <f aca="false">IF($B521="","",IFERROR(INDEX(반품접수!$E$3:$E$1002,MATCH($B521,반품접수!$A$3:$A$1002,0)),"접수번호없음"))</f>
        <v/>
      </c>
      <c r="D521" s="10"/>
      <c r="E521" s="14"/>
      <c r="F521" s="10"/>
      <c r="G521" s="16"/>
      <c r="H521" s="10"/>
    </row>
    <row r="522" customFormat="false" ht="15" hidden="false" customHeight="true" outlineLevel="0" collapsed="false">
      <c r="A522" s="13"/>
      <c r="B522" s="10"/>
      <c r="C522" s="12" t="str">
        <f aca="false">IF($B522="","",IFERROR(INDEX(반품접수!$E$3:$E$1002,MATCH($B522,반품접수!$A$3:$A$1002,0)),"접수번호없음"))</f>
        <v/>
      </c>
      <c r="D522" s="10"/>
      <c r="E522" s="14"/>
      <c r="F522" s="10"/>
      <c r="G522" s="16"/>
      <c r="H522" s="10"/>
    </row>
    <row r="523" customFormat="false" ht="15" hidden="false" customHeight="true" outlineLevel="0" collapsed="false">
      <c r="A523" s="13"/>
      <c r="B523" s="10"/>
      <c r="C523" s="12" t="str">
        <f aca="false">IF($B523="","",IFERROR(INDEX(반품접수!$E$3:$E$1002,MATCH($B523,반품접수!$A$3:$A$1002,0)),"접수번호없음"))</f>
        <v/>
      </c>
      <c r="D523" s="10"/>
      <c r="E523" s="14"/>
      <c r="F523" s="10"/>
      <c r="G523" s="16"/>
      <c r="H523" s="10"/>
    </row>
    <row r="524" customFormat="false" ht="15" hidden="false" customHeight="true" outlineLevel="0" collapsed="false">
      <c r="A524" s="13"/>
      <c r="B524" s="10"/>
      <c r="C524" s="12" t="str">
        <f aca="false">IF($B524="","",IFERROR(INDEX(반품접수!$E$3:$E$1002,MATCH($B524,반품접수!$A$3:$A$1002,0)),"접수번호없음"))</f>
        <v/>
      </c>
      <c r="D524" s="10"/>
      <c r="E524" s="14"/>
      <c r="F524" s="10"/>
      <c r="G524" s="16"/>
      <c r="H524" s="10"/>
    </row>
    <row r="525" customFormat="false" ht="15" hidden="false" customHeight="true" outlineLevel="0" collapsed="false">
      <c r="A525" s="13"/>
      <c r="B525" s="10"/>
      <c r="C525" s="12" t="str">
        <f aca="false">IF($B525="","",IFERROR(INDEX(반품접수!$E$3:$E$1002,MATCH($B525,반품접수!$A$3:$A$1002,0)),"접수번호없음"))</f>
        <v/>
      </c>
      <c r="D525" s="10"/>
      <c r="E525" s="14"/>
      <c r="F525" s="10"/>
      <c r="G525" s="16"/>
      <c r="H525" s="10"/>
    </row>
    <row r="526" customFormat="false" ht="15" hidden="false" customHeight="true" outlineLevel="0" collapsed="false">
      <c r="A526" s="13"/>
      <c r="B526" s="10"/>
      <c r="C526" s="12" t="str">
        <f aca="false">IF($B526="","",IFERROR(INDEX(반품접수!$E$3:$E$1002,MATCH($B526,반품접수!$A$3:$A$1002,0)),"접수번호없음"))</f>
        <v/>
      </c>
      <c r="D526" s="10"/>
      <c r="E526" s="14"/>
      <c r="F526" s="10"/>
      <c r="G526" s="16"/>
      <c r="H526" s="10"/>
    </row>
    <row r="527" customFormat="false" ht="15" hidden="false" customHeight="true" outlineLevel="0" collapsed="false">
      <c r="A527" s="13"/>
      <c r="B527" s="10"/>
      <c r="C527" s="12" t="str">
        <f aca="false">IF($B527="","",IFERROR(INDEX(반품접수!$E$3:$E$1002,MATCH($B527,반품접수!$A$3:$A$1002,0)),"접수번호없음"))</f>
        <v/>
      </c>
      <c r="D527" s="10"/>
      <c r="E527" s="14"/>
      <c r="F527" s="10"/>
      <c r="G527" s="16"/>
      <c r="H527" s="10"/>
    </row>
    <row r="528" customFormat="false" ht="15" hidden="false" customHeight="true" outlineLevel="0" collapsed="false">
      <c r="A528" s="13"/>
      <c r="B528" s="10"/>
      <c r="C528" s="12" t="str">
        <f aca="false">IF($B528="","",IFERROR(INDEX(반품접수!$E$3:$E$1002,MATCH($B528,반품접수!$A$3:$A$1002,0)),"접수번호없음"))</f>
        <v/>
      </c>
      <c r="D528" s="10"/>
      <c r="E528" s="14"/>
      <c r="F528" s="10"/>
      <c r="G528" s="16"/>
      <c r="H528" s="10"/>
    </row>
    <row r="529" customFormat="false" ht="15" hidden="false" customHeight="true" outlineLevel="0" collapsed="false">
      <c r="A529" s="13"/>
      <c r="B529" s="10"/>
      <c r="C529" s="12" t="str">
        <f aca="false">IF($B529="","",IFERROR(INDEX(반품접수!$E$3:$E$1002,MATCH($B529,반품접수!$A$3:$A$1002,0)),"접수번호없음"))</f>
        <v/>
      </c>
      <c r="D529" s="10"/>
      <c r="E529" s="14"/>
      <c r="F529" s="10"/>
      <c r="G529" s="16"/>
      <c r="H529" s="10"/>
    </row>
    <row r="530" customFormat="false" ht="15" hidden="false" customHeight="true" outlineLevel="0" collapsed="false">
      <c r="A530" s="13"/>
      <c r="B530" s="10"/>
      <c r="C530" s="12" t="str">
        <f aca="false">IF($B530="","",IFERROR(INDEX(반품접수!$E$3:$E$1002,MATCH($B530,반품접수!$A$3:$A$1002,0)),"접수번호없음"))</f>
        <v/>
      </c>
      <c r="D530" s="10"/>
      <c r="E530" s="14"/>
      <c r="F530" s="10"/>
      <c r="G530" s="16"/>
      <c r="H530" s="10"/>
    </row>
    <row r="531" customFormat="false" ht="15" hidden="false" customHeight="true" outlineLevel="0" collapsed="false">
      <c r="A531" s="13"/>
      <c r="B531" s="10"/>
      <c r="C531" s="12" t="str">
        <f aca="false">IF($B531="","",IFERROR(INDEX(반품접수!$E$3:$E$1002,MATCH($B531,반품접수!$A$3:$A$1002,0)),"접수번호없음"))</f>
        <v/>
      </c>
      <c r="D531" s="10"/>
      <c r="E531" s="14"/>
      <c r="F531" s="10"/>
      <c r="G531" s="16"/>
      <c r="H531" s="10"/>
    </row>
    <row r="532" customFormat="false" ht="15" hidden="false" customHeight="true" outlineLevel="0" collapsed="false">
      <c r="A532" s="13"/>
      <c r="B532" s="10"/>
      <c r="C532" s="12" t="str">
        <f aca="false">IF($B532="","",IFERROR(INDEX(반품접수!$E$3:$E$1002,MATCH($B532,반품접수!$A$3:$A$1002,0)),"접수번호없음"))</f>
        <v/>
      </c>
      <c r="D532" s="10"/>
      <c r="E532" s="14"/>
      <c r="F532" s="10"/>
      <c r="G532" s="16"/>
      <c r="H532" s="10"/>
    </row>
    <row r="533" customFormat="false" ht="15" hidden="false" customHeight="true" outlineLevel="0" collapsed="false">
      <c r="A533" s="13"/>
      <c r="B533" s="10"/>
      <c r="C533" s="12" t="str">
        <f aca="false">IF($B533="","",IFERROR(INDEX(반품접수!$E$3:$E$1002,MATCH($B533,반품접수!$A$3:$A$1002,0)),"접수번호없음"))</f>
        <v/>
      </c>
      <c r="D533" s="10"/>
      <c r="E533" s="14"/>
      <c r="F533" s="10"/>
      <c r="G533" s="16"/>
      <c r="H533" s="10"/>
    </row>
    <row r="534" customFormat="false" ht="15" hidden="false" customHeight="true" outlineLevel="0" collapsed="false">
      <c r="A534" s="13"/>
      <c r="B534" s="10"/>
      <c r="C534" s="12" t="str">
        <f aca="false">IF($B534="","",IFERROR(INDEX(반품접수!$E$3:$E$1002,MATCH($B534,반품접수!$A$3:$A$1002,0)),"접수번호없음"))</f>
        <v/>
      </c>
      <c r="D534" s="10"/>
      <c r="E534" s="14"/>
      <c r="F534" s="10"/>
      <c r="G534" s="16"/>
      <c r="H534" s="10"/>
    </row>
    <row r="535" customFormat="false" ht="15" hidden="false" customHeight="true" outlineLevel="0" collapsed="false">
      <c r="A535" s="13"/>
      <c r="B535" s="10"/>
      <c r="C535" s="12" t="str">
        <f aca="false">IF($B535="","",IFERROR(INDEX(반품접수!$E$3:$E$1002,MATCH($B535,반품접수!$A$3:$A$1002,0)),"접수번호없음"))</f>
        <v/>
      </c>
      <c r="D535" s="10"/>
      <c r="E535" s="14"/>
      <c r="F535" s="10"/>
      <c r="G535" s="16"/>
      <c r="H535" s="10"/>
    </row>
    <row r="536" customFormat="false" ht="15" hidden="false" customHeight="true" outlineLevel="0" collapsed="false">
      <c r="A536" s="13"/>
      <c r="B536" s="10"/>
      <c r="C536" s="12" t="str">
        <f aca="false">IF($B536="","",IFERROR(INDEX(반품접수!$E$3:$E$1002,MATCH($B536,반품접수!$A$3:$A$1002,0)),"접수번호없음"))</f>
        <v/>
      </c>
      <c r="D536" s="10"/>
      <c r="E536" s="14"/>
      <c r="F536" s="10"/>
      <c r="G536" s="16"/>
      <c r="H536" s="10"/>
    </row>
    <row r="537" customFormat="false" ht="15" hidden="false" customHeight="true" outlineLevel="0" collapsed="false">
      <c r="A537" s="13"/>
      <c r="B537" s="10"/>
      <c r="C537" s="12" t="str">
        <f aca="false">IF($B537="","",IFERROR(INDEX(반품접수!$E$3:$E$1002,MATCH($B537,반품접수!$A$3:$A$1002,0)),"접수번호없음"))</f>
        <v/>
      </c>
      <c r="D537" s="10"/>
      <c r="E537" s="14"/>
      <c r="F537" s="10"/>
      <c r="G537" s="16"/>
      <c r="H537" s="10"/>
    </row>
    <row r="538" customFormat="false" ht="15" hidden="false" customHeight="true" outlineLevel="0" collapsed="false">
      <c r="A538" s="13"/>
      <c r="B538" s="10"/>
      <c r="C538" s="12" t="str">
        <f aca="false">IF($B538="","",IFERROR(INDEX(반품접수!$E$3:$E$1002,MATCH($B538,반품접수!$A$3:$A$1002,0)),"접수번호없음"))</f>
        <v/>
      </c>
      <c r="D538" s="10"/>
      <c r="E538" s="14"/>
      <c r="F538" s="10"/>
      <c r="G538" s="16"/>
      <c r="H538" s="10"/>
    </row>
    <row r="539" customFormat="false" ht="15" hidden="false" customHeight="true" outlineLevel="0" collapsed="false">
      <c r="A539" s="13"/>
      <c r="B539" s="10"/>
      <c r="C539" s="12" t="str">
        <f aca="false">IF($B539="","",IFERROR(INDEX(반품접수!$E$3:$E$1002,MATCH($B539,반품접수!$A$3:$A$1002,0)),"접수번호없음"))</f>
        <v/>
      </c>
      <c r="D539" s="10"/>
      <c r="E539" s="14"/>
      <c r="F539" s="10"/>
      <c r="G539" s="16"/>
      <c r="H539" s="10"/>
    </row>
    <row r="540" customFormat="false" ht="15" hidden="false" customHeight="true" outlineLevel="0" collapsed="false">
      <c r="A540" s="13"/>
      <c r="B540" s="10"/>
      <c r="C540" s="12" t="str">
        <f aca="false">IF($B540="","",IFERROR(INDEX(반품접수!$E$3:$E$1002,MATCH($B540,반품접수!$A$3:$A$1002,0)),"접수번호없음"))</f>
        <v/>
      </c>
      <c r="D540" s="10"/>
      <c r="E540" s="14"/>
      <c r="F540" s="10"/>
      <c r="G540" s="16"/>
      <c r="H540" s="10"/>
    </row>
    <row r="541" customFormat="false" ht="15" hidden="false" customHeight="true" outlineLevel="0" collapsed="false">
      <c r="A541" s="13"/>
      <c r="B541" s="10"/>
      <c r="C541" s="12" t="str">
        <f aca="false">IF($B541="","",IFERROR(INDEX(반품접수!$E$3:$E$1002,MATCH($B541,반품접수!$A$3:$A$1002,0)),"접수번호없음"))</f>
        <v/>
      </c>
      <c r="D541" s="10"/>
      <c r="E541" s="14"/>
      <c r="F541" s="10"/>
      <c r="G541" s="16"/>
      <c r="H541" s="10"/>
    </row>
    <row r="542" customFormat="false" ht="15" hidden="false" customHeight="true" outlineLevel="0" collapsed="false">
      <c r="A542" s="13"/>
      <c r="B542" s="10"/>
      <c r="C542" s="12" t="str">
        <f aca="false">IF($B542="","",IFERROR(INDEX(반품접수!$E$3:$E$1002,MATCH($B542,반품접수!$A$3:$A$1002,0)),"접수번호없음"))</f>
        <v/>
      </c>
      <c r="D542" s="10"/>
      <c r="E542" s="14"/>
      <c r="F542" s="10"/>
      <c r="G542" s="16"/>
      <c r="H542" s="10"/>
    </row>
    <row r="543" customFormat="false" ht="15" hidden="false" customHeight="true" outlineLevel="0" collapsed="false">
      <c r="A543" s="13"/>
      <c r="B543" s="10"/>
      <c r="C543" s="12" t="str">
        <f aca="false">IF($B543="","",IFERROR(INDEX(반품접수!$E$3:$E$1002,MATCH($B543,반품접수!$A$3:$A$1002,0)),"접수번호없음"))</f>
        <v/>
      </c>
      <c r="D543" s="10"/>
      <c r="E543" s="14"/>
      <c r="F543" s="10"/>
      <c r="G543" s="16"/>
      <c r="H543" s="10"/>
    </row>
    <row r="544" customFormat="false" ht="15" hidden="false" customHeight="true" outlineLevel="0" collapsed="false">
      <c r="A544" s="13"/>
      <c r="B544" s="10"/>
      <c r="C544" s="12" t="str">
        <f aca="false">IF($B544="","",IFERROR(INDEX(반품접수!$E$3:$E$1002,MATCH($B544,반품접수!$A$3:$A$1002,0)),"접수번호없음"))</f>
        <v/>
      </c>
      <c r="D544" s="10"/>
      <c r="E544" s="14"/>
      <c r="F544" s="10"/>
      <c r="G544" s="16"/>
      <c r="H544" s="10"/>
    </row>
    <row r="545" customFormat="false" ht="15" hidden="false" customHeight="true" outlineLevel="0" collapsed="false">
      <c r="A545" s="13"/>
      <c r="B545" s="10"/>
      <c r="C545" s="12" t="str">
        <f aca="false">IF($B545="","",IFERROR(INDEX(반품접수!$E$3:$E$1002,MATCH($B545,반품접수!$A$3:$A$1002,0)),"접수번호없음"))</f>
        <v/>
      </c>
      <c r="D545" s="10"/>
      <c r="E545" s="14"/>
      <c r="F545" s="10"/>
      <c r="G545" s="16"/>
      <c r="H545" s="10"/>
    </row>
    <row r="546" customFormat="false" ht="15" hidden="false" customHeight="true" outlineLevel="0" collapsed="false">
      <c r="A546" s="13"/>
      <c r="B546" s="10"/>
      <c r="C546" s="12" t="str">
        <f aca="false">IF($B546="","",IFERROR(INDEX(반품접수!$E$3:$E$1002,MATCH($B546,반품접수!$A$3:$A$1002,0)),"접수번호없음"))</f>
        <v/>
      </c>
      <c r="D546" s="10"/>
      <c r="E546" s="14"/>
      <c r="F546" s="10"/>
      <c r="G546" s="16"/>
      <c r="H546" s="10"/>
    </row>
    <row r="547" customFormat="false" ht="15" hidden="false" customHeight="true" outlineLevel="0" collapsed="false">
      <c r="A547" s="13"/>
      <c r="B547" s="10"/>
      <c r="C547" s="12" t="str">
        <f aca="false">IF($B547="","",IFERROR(INDEX(반품접수!$E$3:$E$1002,MATCH($B547,반품접수!$A$3:$A$1002,0)),"접수번호없음"))</f>
        <v/>
      </c>
      <c r="D547" s="10"/>
      <c r="E547" s="14"/>
      <c r="F547" s="10"/>
      <c r="G547" s="16"/>
      <c r="H547" s="10"/>
    </row>
    <row r="548" customFormat="false" ht="15" hidden="false" customHeight="true" outlineLevel="0" collapsed="false">
      <c r="A548" s="13"/>
      <c r="B548" s="10"/>
      <c r="C548" s="12" t="str">
        <f aca="false">IF($B548="","",IFERROR(INDEX(반품접수!$E$3:$E$1002,MATCH($B548,반품접수!$A$3:$A$1002,0)),"접수번호없음"))</f>
        <v/>
      </c>
      <c r="D548" s="10"/>
      <c r="E548" s="14"/>
      <c r="F548" s="10"/>
      <c r="G548" s="16"/>
      <c r="H548" s="10"/>
    </row>
    <row r="549" customFormat="false" ht="15" hidden="false" customHeight="true" outlineLevel="0" collapsed="false">
      <c r="A549" s="13"/>
      <c r="B549" s="10"/>
      <c r="C549" s="12" t="str">
        <f aca="false">IF($B549="","",IFERROR(INDEX(반품접수!$E$3:$E$1002,MATCH($B549,반품접수!$A$3:$A$1002,0)),"접수번호없음"))</f>
        <v/>
      </c>
      <c r="D549" s="10"/>
      <c r="E549" s="14"/>
      <c r="F549" s="10"/>
      <c r="G549" s="16"/>
      <c r="H549" s="10"/>
    </row>
    <row r="550" customFormat="false" ht="15" hidden="false" customHeight="true" outlineLevel="0" collapsed="false">
      <c r="A550" s="13"/>
      <c r="B550" s="10"/>
      <c r="C550" s="12" t="str">
        <f aca="false">IF($B550="","",IFERROR(INDEX(반품접수!$E$3:$E$1002,MATCH($B550,반품접수!$A$3:$A$1002,0)),"접수번호없음"))</f>
        <v/>
      </c>
      <c r="D550" s="10"/>
      <c r="E550" s="14"/>
      <c r="F550" s="10"/>
      <c r="G550" s="16"/>
      <c r="H550" s="10"/>
    </row>
    <row r="551" customFormat="false" ht="15" hidden="false" customHeight="true" outlineLevel="0" collapsed="false">
      <c r="A551" s="13"/>
      <c r="B551" s="10"/>
      <c r="C551" s="12" t="str">
        <f aca="false">IF($B551="","",IFERROR(INDEX(반품접수!$E$3:$E$1002,MATCH($B551,반품접수!$A$3:$A$1002,0)),"접수번호없음"))</f>
        <v/>
      </c>
      <c r="D551" s="10"/>
      <c r="E551" s="14"/>
      <c r="F551" s="10"/>
      <c r="G551" s="16"/>
      <c r="H551" s="10"/>
    </row>
    <row r="552" customFormat="false" ht="15" hidden="false" customHeight="true" outlineLevel="0" collapsed="false">
      <c r="A552" s="13"/>
      <c r="B552" s="10"/>
      <c r="C552" s="12" t="str">
        <f aca="false">IF($B552="","",IFERROR(INDEX(반품접수!$E$3:$E$1002,MATCH($B552,반품접수!$A$3:$A$1002,0)),"접수번호없음"))</f>
        <v/>
      </c>
      <c r="D552" s="10"/>
      <c r="E552" s="14"/>
      <c r="F552" s="10"/>
      <c r="G552" s="16"/>
      <c r="H552" s="10"/>
    </row>
    <row r="553" customFormat="false" ht="15" hidden="false" customHeight="true" outlineLevel="0" collapsed="false">
      <c r="A553" s="13"/>
      <c r="B553" s="10"/>
      <c r="C553" s="12" t="str">
        <f aca="false">IF($B553="","",IFERROR(INDEX(반품접수!$E$3:$E$1002,MATCH($B553,반품접수!$A$3:$A$1002,0)),"접수번호없음"))</f>
        <v/>
      </c>
      <c r="D553" s="10"/>
      <c r="E553" s="14"/>
      <c r="F553" s="10"/>
      <c r="G553" s="16"/>
      <c r="H553" s="10"/>
    </row>
    <row r="554" customFormat="false" ht="15" hidden="false" customHeight="true" outlineLevel="0" collapsed="false">
      <c r="A554" s="13"/>
      <c r="B554" s="10"/>
      <c r="C554" s="12" t="str">
        <f aca="false">IF($B554="","",IFERROR(INDEX(반품접수!$E$3:$E$1002,MATCH($B554,반품접수!$A$3:$A$1002,0)),"접수번호없음"))</f>
        <v/>
      </c>
      <c r="D554" s="10"/>
      <c r="E554" s="14"/>
      <c r="F554" s="10"/>
      <c r="G554" s="16"/>
      <c r="H554" s="10"/>
    </row>
    <row r="555" customFormat="false" ht="15" hidden="false" customHeight="true" outlineLevel="0" collapsed="false">
      <c r="A555" s="13"/>
      <c r="B555" s="10"/>
      <c r="C555" s="12" t="str">
        <f aca="false">IF($B555="","",IFERROR(INDEX(반품접수!$E$3:$E$1002,MATCH($B555,반품접수!$A$3:$A$1002,0)),"접수번호없음"))</f>
        <v/>
      </c>
      <c r="D555" s="10"/>
      <c r="E555" s="14"/>
      <c r="F555" s="10"/>
      <c r="G555" s="16"/>
      <c r="H555" s="10"/>
    </row>
    <row r="556" customFormat="false" ht="15" hidden="false" customHeight="true" outlineLevel="0" collapsed="false">
      <c r="A556" s="13"/>
      <c r="B556" s="10"/>
      <c r="C556" s="12" t="str">
        <f aca="false">IF($B556="","",IFERROR(INDEX(반품접수!$E$3:$E$1002,MATCH($B556,반품접수!$A$3:$A$1002,0)),"접수번호없음"))</f>
        <v/>
      </c>
      <c r="D556" s="10"/>
      <c r="E556" s="14"/>
      <c r="F556" s="10"/>
      <c r="G556" s="16"/>
      <c r="H556" s="10"/>
    </row>
    <row r="557" customFormat="false" ht="15" hidden="false" customHeight="true" outlineLevel="0" collapsed="false">
      <c r="A557" s="13"/>
      <c r="B557" s="10"/>
      <c r="C557" s="12" t="str">
        <f aca="false">IF($B557="","",IFERROR(INDEX(반품접수!$E$3:$E$1002,MATCH($B557,반품접수!$A$3:$A$1002,0)),"접수번호없음"))</f>
        <v/>
      </c>
      <c r="D557" s="10"/>
      <c r="E557" s="14"/>
      <c r="F557" s="10"/>
      <c r="G557" s="16"/>
      <c r="H557" s="10"/>
    </row>
    <row r="558" customFormat="false" ht="15" hidden="false" customHeight="true" outlineLevel="0" collapsed="false">
      <c r="A558" s="13"/>
      <c r="B558" s="10"/>
      <c r="C558" s="12" t="str">
        <f aca="false">IF($B558="","",IFERROR(INDEX(반품접수!$E$3:$E$1002,MATCH($B558,반품접수!$A$3:$A$1002,0)),"접수번호없음"))</f>
        <v/>
      </c>
      <c r="D558" s="10"/>
      <c r="E558" s="14"/>
      <c r="F558" s="10"/>
      <c r="G558" s="16"/>
      <c r="H558" s="10"/>
    </row>
    <row r="559" customFormat="false" ht="15" hidden="false" customHeight="true" outlineLevel="0" collapsed="false">
      <c r="A559" s="13"/>
      <c r="B559" s="10"/>
      <c r="C559" s="12" t="str">
        <f aca="false">IF($B559="","",IFERROR(INDEX(반품접수!$E$3:$E$1002,MATCH($B559,반품접수!$A$3:$A$1002,0)),"접수번호없음"))</f>
        <v/>
      </c>
      <c r="D559" s="10"/>
      <c r="E559" s="14"/>
      <c r="F559" s="10"/>
      <c r="G559" s="16"/>
      <c r="H559" s="10"/>
    </row>
    <row r="560" customFormat="false" ht="15" hidden="false" customHeight="true" outlineLevel="0" collapsed="false">
      <c r="A560" s="13"/>
      <c r="B560" s="10"/>
      <c r="C560" s="12" t="str">
        <f aca="false">IF($B560="","",IFERROR(INDEX(반품접수!$E$3:$E$1002,MATCH($B560,반품접수!$A$3:$A$1002,0)),"접수번호없음"))</f>
        <v/>
      </c>
      <c r="D560" s="10"/>
      <c r="E560" s="14"/>
      <c r="F560" s="10"/>
      <c r="G560" s="16"/>
      <c r="H560" s="10"/>
    </row>
    <row r="561" customFormat="false" ht="15" hidden="false" customHeight="true" outlineLevel="0" collapsed="false">
      <c r="A561" s="13"/>
      <c r="B561" s="10"/>
      <c r="C561" s="12" t="str">
        <f aca="false">IF($B561="","",IFERROR(INDEX(반품접수!$E$3:$E$1002,MATCH($B561,반품접수!$A$3:$A$1002,0)),"접수번호없음"))</f>
        <v/>
      </c>
      <c r="D561" s="10"/>
      <c r="E561" s="14"/>
      <c r="F561" s="10"/>
      <c r="G561" s="16"/>
      <c r="H561" s="10"/>
    </row>
    <row r="562" customFormat="false" ht="15" hidden="false" customHeight="true" outlineLevel="0" collapsed="false">
      <c r="A562" s="13"/>
      <c r="B562" s="10"/>
      <c r="C562" s="12" t="str">
        <f aca="false">IF($B562="","",IFERROR(INDEX(반품접수!$E$3:$E$1002,MATCH($B562,반품접수!$A$3:$A$1002,0)),"접수번호없음"))</f>
        <v/>
      </c>
      <c r="D562" s="10"/>
      <c r="E562" s="14"/>
      <c r="F562" s="10"/>
      <c r="G562" s="16"/>
      <c r="H562" s="10"/>
    </row>
    <row r="563" customFormat="false" ht="15" hidden="false" customHeight="true" outlineLevel="0" collapsed="false">
      <c r="A563" s="13"/>
      <c r="B563" s="10"/>
      <c r="C563" s="12" t="str">
        <f aca="false">IF($B563="","",IFERROR(INDEX(반품접수!$E$3:$E$1002,MATCH($B563,반품접수!$A$3:$A$1002,0)),"접수번호없음"))</f>
        <v/>
      </c>
      <c r="D563" s="10"/>
      <c r="E563" s="14"/>
      <c r="F563" s="10"/>
      <c r="G563" s="16"/>
      <c r="H563" s="10"/>
    </row>
    <row r="564" customFormat="false" ht="15" hidden="false" customHeight="true" outlineLevel="0" collapsed="false">
      <c r="A564" s="13"/>
      <c r="B564" s="10"/>
      <c r="C564" s="12" t="str">
        <f aca="false">IF($B564="","",IFERROR(INDEX(반품접수!$E$3:$E$1002,MATCH($B564,반품접수!$A$3:$A$1002,0)),"접수번호없음"))</f>
        <v/>
      </c>
      <c r="D564" s="10"/>
      <c r="E564" s="14"/>
      <c r="F564" s="10"/>
      <c r="G564" s="16"/>
      <c r="H564" s="10"/>
    </row>
    <row r="565" customFormat="false" ht="15" hidden="false" customHeight="true" outlineLevel="0" collapsed="false">
      <c r="A565" s="13"/>
      <c r="B565" s="10"/>
      <c r="C565" s="12" t="str">
        <f aca="false">IF($B565="","",IFERROR(INDEX(반품접수!$E$3:$E$1002,MATCH($B565,반품접수!$A$3:$A$1002,0)),"접수번호없음"))</f>
        <v/>
      </c>
      <c r="D565" s="10"/>
      <c r="E565" s="14"/>
      <c r="F565" s="10"/>
      <c r="G565" s="16"/>
      <c r="H565" s="10"/>
    </row>
    <row r="566" customFormat="false" ht="15" hidden="false" customHeight="true" outlineLevel="0" collapsed="false">
      <c r="A566" s="13"/>
      <c r="B566" s="10"/>
      <c r="C566" s="12" t="str">
        <f aca="false">IF($B566="","",IFERROR(INDEX(반품접수!$E$3:$E$1002,MATCH($B566,반품접수!$A$3:$A$1002,0)),"접수번호없음"))</f>
        <v/>
      </c>
      <c r="D566" s="10"/>
      <c r="E566" s="14"/>
      <c r="F566" s="10"/>
      <c r="G566" s="16"/>
      <c r="H566" s="10"/>
    </row>
    <row r="567" customFormat="false" ht="15" hidden="false" customHeight="true" outlineLevel="0" collapsed="false">
      <c r="A567" s="13"/>
      <c r="B567" s="10"/>
      <c r="C567" s="12" t="str">
        <f aca="false">IF($B567="","",IFERROR(INDEX(반품접수!$E$3:$E$1002,MATCH($B567,반품접수!$A$3:$A$1002,0)),"접수번호없음"))</f>
        <v/>
      </c>
      <c r="D567" s="10"/>
      <c r="E567" s="14"/>
      <c r="F567" s="10"/>
      <c r="G567" s="16"/>
      <c r="H567" s="10"/>
    </row>
    <row r="568" customFormat="false" ht="15" hidden="false" customHeight="true" outlineLevel="0" collapsed="false">
      <c r="A568" s="13"/>
      <c r="B568" s="10"/>
      <c r="C568" s="12" t="str">
        <f aca="false">IF($B568="","",IFERROR(INDEX(반품접수!$E$3:$E$1002,MATCH($B568,반품접수!$A$3:$A$1002,0)),"접수번호없음"))</f>
        <v/>
      </c>
      <c r="D568" s="10"/>
      <c r="E568" s="14"/>
      <c r="F568" s="10"/>
      <c r="G568" s="16"/>
      <c r="H568" s="10"/>
    </row>
    <row r="569" customFormat="false" ht="15" hidden="false" customHeight="true" outlineLevel="0" collapsed="false">
      <c r="A569" s="13"/>
      <c r="B569" s="10"/>
      <c r="C569" s="12" t="str">
        <f aca="false">IF($B569="","",IFERROR(INDEX(반품접수!$E$3:$E$1002,MATCH($B569,반품접수!$A$3:$A$1002,0)),"접수번호없음"))</f>
        <v/>
      </c>
      <c r="D569" s="10"/>
      <c r="E569" s="14"/>
      <c r="F569" s="10"/>
      <c r="G569" s="16"/>
      <c r="H569" s="10"/>
    </row>
    <row r="570" customFormat="false" ht="15" hidden="false" customHeight="true" outlineLevel="0" collapsed="false">
      <c r="A570" s="13"/>
      <c r="B570" s="10"/>
      <c r="C570" s="12" t="str">
        <f aca="false">IF($B570="","",IFERROR(INDEX(반품접수!$E$3:$E$1002,MATCH($B570,반품접수!$A$3:$A$1002,0)),"접수번호없음"))</f>
        <v/>
      </c>
      <c r="D570" s="10"/>
      <c r="E570" s="14"/>
      <c r="F570" s="10"/>
      <c r="G570" s="16"/>
      <c r="H570" s="10"/>
    </row>
    <row r="571" customFormat="false" ht="15" hidden="false" customHeight="true" outlineLevel="0" collapsed="false">
      <c r="A571" s="13"/>
      <c r="B571" s="10"/>
      <c r="C571" s="12" t="str">
        <f aca="false">IF($B571="","",IFERROR(INDEX(반품접수!$E$3:$E$1002,MATCH($B571,반품접수!$A$3:$A$1002,0)),"접수번호없음"))</f>
        <v/>
      </c>
      <c r="D571" s="10"/>
      <c r="E571" s="14"/>
      <c r="F571" s="10"/>
      <c r="G571" s="16"/>
      <c r="H571" s="10"/>
    </row>
    <row r="572" customFormat="false" ht="15" hidden="false" customHeight="true" outlineLevel="0" collapsed="false">
      <c r="A572" s="13"/>
      <c r="B572" s="10"/>
      <c r="C572" s="12" t="str">
        <f aca="false">IF($B572="","",IFERROR(INDEX(반품접수!$E$3:$E$1002,MATCH($B572,반품접수!$A$3:$A$1002,0)),"접수번호없음"))</f>
        <v/>
      </c>
      <c r="D572" s="10"/>
      <c r="E572" s="14"/>
      <c r="F572" s="10"/>
      <c r="G572" s="16"/>
      <c r="H572" s="10"/>
    </row>
    <row r="573" customFormat="false" ht="15" hidden="false" customHeight="true" outlineLevel="0" collapsed="false">
      <c r="A573" s="13"/>
      <c r="B573" s="10"/>
      <c r="C573" s="12" t="str">
        <f aca="false">IF($B573="","",IFERROR(INDEX(반품접수!$E$3:$E$1002,MATCH($B573,반품접수!$A$3:$A$1002,0)),"접수번호없음"))</f>
        <v/>
      </c>
      <c r="D573" s="10"/>
      <c r="E573" s="14"/>
      <c r="F573" s="10"/>
      <c r="G573" s="16"/>
      <c r="H573" s="10"/>
    </row>
    <row r="574" customFormat="false" ht="15" hidden="false" customHeight="true" outlineLevel="0" collapsed="false">
      <c r="A574" s="13"/>
      <c r="B574" s="10"/>
      <c r="C574" s="12" t="str">
        <f aca="false">IF($B574="","",IFERROR(INDEX(반품접수!$E$3:$E$1002,MATCH($B574,반품접수!$A$3:$A$1002,0)),"접수번호없음"))</f>
        <v/>
      </c>
      <c r="D574" s="10"/>
      <c r="E574" s="14"/>
      <c r="F574" s="10"/>
      <c r="G574" s="16"/>
      <c r="H574" s="10"/>
    </row>
    <row r="575" customFormat="false" ht="15" hidden="false" customHeight="true" outlineLevel="0" collapsed="false">
      <c r="A575" s="13"/>
      <c r="B575" s="10"/>
      <c r="C575" s="12" t="str">
        <f aca="false">IF($B575="","",IFERROR(INDEX(반품접수!$E$3:$E$1002,MATCH($B575,반품접수!$A$3:$A$1002,0)),"접수번호없음"))</f>
        <v/>
      </c>
      <c r="D575" s="10"/>
      <c r="E575" s="14"/>
      <c r="F575" s="10"/>
      <c r="G575" s="16"/>
      <c r="H575" s="10"/>
    </row>
    <row r="576" customFormat="false" ht="15" hidden="false" customHeight="true" outlineLevel="0" collapsed="false">
      <c r="A576" s="13"/>
      <c r="B576" s="10"/>
      <c r="C576" s="12" t="str">
        <f aca="false">IF($B576="","",IFERROR(INDEX(반품접수!$E$3:$E$1002,MATCH($B576,반품접수!$A$3:$A$1002,0)),"접수번호없음"))</f>
        <v/>
      </c>
      <c r="D576" s="10"/>
      <c r="E576" s="14"/>
      <c r="F576" s="10"/>
      <c r="G576" s="16"/>
      <c r="H576" s="10"/>
    </row>
    <row r="577" customFormat="false" ht="15" hidden="false" customHeight="true" outlineLevel="0" collapsed="false">
      <c r="A577" s="13"/>
      <c r="B577" s="10"/>
      <c r="C577" s="12" t="str">
        <f aca="false">IF($B577="","",IFERROR(INDEX(반품접수!$E$3:$E$1002,MATCH($B577,반품접수!$A$3:$A$1002,0)),"접수번호없음"))</f>
        <v/>
      </c>
      <c r="D577" s="10"/>
      <c r="E577" s="14"/>
      <c r="F577" s="10"/>
      <c r="G577" s="16"/>
      <c r="H577" s="10"/>
    </row>
    <row r="578" customFormat="false" ht="15" hidden="false" customHeight="true" outlineLevel="0" collapsed="false">
      <c r="A578" s="13"/>
      <c r="B578" s="10"/>
      <c r="C578" s="12" t="str">
        <f aca="false">IF($B578="","",IFERROR(INDEX(반품접수!$E$3:$E$1002,MATCH($B578,반품접수!$A$3:$A$1002,0)),"접수번호없음"))</f>
        <v/>
      </c>
      <c r="D578" s="10"/>
      <c r="E578" s="14"/>
      <c r="F578" s="10"/>
      <c r="G578" s="16"/>
      <c r="H578" s="10"/>
    </row>
    <row r="579" customFormat="false" ht="15" hidden="false" customHeight="true" outlineLevel="0" collapsed="false">
      <c r="A579" s="13"/>
      <c r="B579" s="10"/>
      <c r="C579" s="12" t="str">
        <f aca="false">IF($B579="","",IFERROR(INDEX(반품접수!$E$3:$E$1002,MATCH($B579,반품접수!$A$3:$A$1002,0)),"접수번호없음"))</f>
        <v/>
      </c>
      <c r="D579" s="10"/>
      <c r="E579" s="14"/>
      <c r="F579" s="10"/>
      <c r="G579" s="16"/>
      <c r="H579" s="10"/>
    </row>
    <row r="580" customFormat="false" ht="15" hidden="false" customHeight="true" outlineLevel="0" collapsed="false">
      <c r="A580" s="13"/>
      <c r="B580" s="10"/>
      <c r="C580" s="12" t="str">
        <f aca="false">IF($B580="","",IFERROR(INDEX(반품접수!$E$3:$E$1002,MATCH($B580,반품접수!$A$3:$A$1002,0)),"접수번호없음"))</f>
        <v/>
      </c>
      <c r="D580" s="10"/>
      <c r="E580" s="14"/>
      <c r="F580" s="10"/>
      <c r="G580" s="16"/>
      <c r="H580" s="10"/>
    </row>
    <row r="581" customFormat="false" ht="15" hidden="false" customHeight="true" outlineLevel="0" collapsed="false">
      <c r="A581" s="13"/>
      <c r="B581" s="10"/>
      <c r="C581" s="12" t="str">
        <f aca="false">IF($B581="","",IFERROR(INDEX(반품접수!$E$3:$E$1002,MATCH($B581,반품접수!$A$3:$A$1002,0)),"접수번호없음"))</f>
        <v/>
      </c>
      <c r="D581" s="10"/>
      <c r="E581" s="14"/>
      <c r="F581" s="10"/>
      <c r="G581" s="16"/>
      <c r="H581" s="10"/>
    </row>
    <row r="582" customFormat="false" ht="15" hidden="false" customHeight="true" outlineLevel="0" collapsed="false">
      <c r="A582" s="13"/>
      <c r="B582" s="10"/>
      <c r="C582" s="12" t="str">
        <f aca="false">IF($B582="","",IFERROR(INDEX(반품접수!$E$3:$E$1002,MATCH($B582,반품접수!$A$3:$A$1002,0)),"접수번호없음"))</f>
        <v/>
      </c>
      <c r="D582" s="10"/>
      <c r="E582" s="14"/>
      <c r="F582" s="10"/>
      <c r="G582" s="16"/>
      <c r="H582" s="10"/>
    </row>
    <row r="583" customFormat="false" ht="15" hidden="false" customHeight="true" outlineLevel="0" collapsed="false">
      <c r="A583" s="13"/>
      <c r="B583" s="10"/>
      <c r="C583" s="12" t="str">
        <f aca="false">IF($B583="","",IFERROR(INDEX(반품접수!$E$3:$E$1002,MATCH($B583,반품접수!$A$3:$A$1002,0)),"접수번호없음"))</f>
        <v/>
      </c>
      <c r="D583" s="10"/>
      <c r="E583" s="14"/>
      <c r="F583" s="10"/>
      <c r="G583" s="16"/>
      <c r="H583" s="10"/>
    </row>
    <row r="584" customFormat="false" ht="15" hidden="false" customHeight="true" outlineLevel="0" collapsed="false">
      <c r="A584" s="13"/>
      <c r="B584" s="10"/>
      <c r="C584" s="12" t="str">
        <f aca="false">IF($B584="","",IFERROR(INDEX(반품접수!$E$3:$E$1002,MATCH($B584,반품접수!$A$3:$A$1002,0)),"접수번호없음"))</f>
        <v/>
      </c>
      <c r="D584" s="10"/>
      <c r="E584" s="14"/>
      <c r="F584" s="10"/>
      <c r="G584" s="16"/>
      <c r="H584" s="10"/>
    </row>
    <row r="585" customFormat="false" ht="15" hidden="false" customHeight="true" outlineLevel="0" collapsed="false">
      <c r="A585" s="13"/>
      <c r="B585" s="10"/>
      <c r="C585" s="12" t="str">
        <f aca="false">IF($B585="","",IFERROR(INDEX(반품접수!$E$3:$E$1002,MATCH($B585,반품접수!$A$3:$A$1002,0)),"접수번호없음"))</f>
        <v/>
      </c>
      <c r="D585" s="10"/>
      <c r="E585" s="14"/>
      <c r="F585" s="10"/>
      <c r="G585" s="16"/>
      <c r="H585" s="10"/>
    </row>
    <row r="586" customFormat="false" ht="15" hidden="false" customHeight="true" outlineLevel="0" collapsed="false">
      <c r="A586" s="13"/>
      <c r="B586" s="10"/>
      <c r="C586" s="12" t="str">
        <f aca="false">IF($B586="","",IFERROR(INDEX(반품접수!$E$3:$E$1002,MATCH($B586,반품접수!$A$3:$A$1002,0)),"접수번호없음"))</f>
        <v/>
      </c>
      <c r="D586" s="10"/>
      <c r="E586" s="14"/>
      <c r="F586" s="10"/>
      <c r="G586" s="16"/>
      <c r="H586" s="10"/>
    </row>
    <row r="587" customFormat="false" ht="15" hidden="false" customHeight="true" outlineLevel="0" collapsed="false">
      <c r="A587" s="13"/>
      <c r="B587" s="10"/>
      <c r="C587" s="12" t="str">
        <f aca="false">IF($B587="","",IFERROR(INDEX(반품접수!$E$3:$E$1002,MATCH($B587,반품접수!$A$3:$A$1002,0)),"접수번호없음"))</f>
        <v/>
      </c>
      <c r="D587" s="10"/>
      <c r="E587" s="14"/>
      <c r="F587" s="10"/>
      <c r="G587" s="16"/>
      <c r="H587" s="10"/>
    </row>
    <row r="588" customFormat="false" ht="15" hidden="false" customHeight="true" outlineLevel="0" collapsed="false">
      <c r="A588" s="13"/>
      <c r="B588" s="10"/>
      <c r="C588" s="12" t="str">
        <f aca="false">IF($B588="","",IFERROR(INDEX(반품접수!$E$3:$E$1002,MATCH($B588,반품접수!$A$3:$A$1002,0)),"접수번호없음"))</f>
        <v/>
      </c>
      <c r="D588" s="10"/>
      <c r="E588" s="14"/>
      <c r="F588" s="10"/>
      <c r="G588" s="16"/>
      <c r="H588" s="10"/>
    </row>
    <row r="589" customFormat="false" ht="15" hidden="false" customHeight="true" outlineLevel="0" collapsed="false">
      <c r="A589" s="13"/>
      <c r="B589" s="10"/>
      <c r="C589" s="12" t="str">
        <f aca="false">IF($B589="","",IFERROR(INDEX(반품접수!$E$3:$E$1002,MATCH($B589,반품접수!$A$3:$A$1002,0)),"접수번호없음"))</f>
        <v/>
      </c>
      <c r="D589" s="10"/>
      <c r="E589" s="14"/>
      <c r="F589" s="10"/>
      <c r="G589" s="16"/>
      <c r="H589" s="10"/>
    </row>
    <row r="590" customFormat="false" ht="15" hidden="false" customHeight="true" outlineLevel="0" collapsed="false">
      <c r="A590" s="13"/>
      <c r="B590" s="10"/>
      <c r="C590" s="12" t="str">
        <f aca="false">IF($B590="","",IFERROR(INDEX(반품접수!$E$3:$E$1002,MATCH($B590,반품접수!$A$3:$A$1002,0)),"접수번호없음"))</f>
        <v/>
      </c>
      <c r="D590" s="10"/>
      <c r="E590" s="14"/>
      <c r="F590" s="10"/>
      <c r="G590" s="16"/>
      <c r="H590" s="10"/>
    </row>
    <row r="591" customFormat="false" ht="15" hidden="false" customHeight="true" outlineLevel="0" collapsed="false">
      <c r="A591" s="13"/>
      <c r="B591" s="10"/>
      <c r="C591" s="12" t="str">
        <f aca="false">IF($B591="","",IFERROR(INDEX(반품접수!$E$3:$E$1002,MATCH($B591,반품접수!$A$3:$A$1002,0)),"접수번호없음"))</f>
        <v/>
      </c>
      <c r="D591" s="10"/>
      <c r="E591" s="14"/>
      <c r="F591" s="10"/>
      <c r="G591" s="16"/>
      <c r="H591" s="10"/>
    </row>
    <row r="592" customFormat="false" ht="15" hidden="false" customHeight="true" outlineLevel="0" collapsed="false">
      <c r="A592" s="13"/>
      <c r="B592" s="10"/>
      <c r="C592" s="12" t="str">
        <f aca="false">IF($B592="","",IFERROR(INDEX(반품접수!$E$3:$E$1002,MATCH($B592,반품접수!$A$3:$A$1002,0)),"접수번호없음"))</f>
        <v/>
      </c>
      <c r="D592" s="10"/>
      <c r="E592" s="14"/>
      <c r="F592" s="10"/>
      <c r="G592" s="16"/>
      <c r="H592" s="10"/>
    </row>
    <row r="593" customFormat="false" ht="15" hidden="false" customHeight="true" outlineLevel="0" collapsed="false">
      <c r="A593" s="13"/>
      <c r="B593" s="10"/>
      <c r="C593" s="12" t="str">
        <f aca="false">IF($B593="","",IFERROR(INDEX(반품접수!$E$3:$E$1002,MATCH($B593,반품접수!$A$3:$A$1002,0)),"접수번호없음"))</f>
        <v/>
      </c>
      <c r="D593" s="10"/>
      <c r="E593" s="14"/>
      <c r="F593" s="10"/>
      <c r="G593" s="16"/>
      <c r="H593" s="10"/>
    </row>
    <row r="594" customFormat="false" ht="15" hidden="false" customHeight="true" outlineLevel="0" collapsed="false">
      <c r="A594" s="13"/>
      <c r="B594" s="10"/>
      <c r="C594" s="12" t="str">
        <f aca="false">IF($B594="","",IFERROR(INDEX(반품접수!$E$3:$E$1002,MATCH($B594,반품접수!$A$3:$A$1002,0)),"접수번호없음"))</f>
        <v/>
      </c>
      <c r="D594" s="10"/>
      <c r="E594" s="14"/>
      <c r="F594" s="10"/>
      <c r="G594" s="16"/>
      <c r="H594" s="10"/>
    </row>
    <row r="595" customFormat="false" ht="15" hidden="false" customHeight="true" outlineLevel="0" collapsed="false">
      <c r="A595" s="13"/>
      <c r="B595" s="10"/>
      <c r="C595" s="12" t="str">
        <f aca="false">IF($B595="","",IFERROR(INDEX(반품접수!$E$3:$E$1002,MATCH($B595,반품접수!$A$3:$A$1002,0)),"접수번호없음"))</f>
        <v/>
      </c>
      <c r="D595" s="10"/>
      <c r="E595" s="14"/>
      <c r="F595" s="10"/>
      <c r="G595" s="16"/>
      <c r="H595" s="10"/>
    </row>
    <row r="596" customFormat="false" ht="15" hidden="false" customHeight="true" outlineLevel="0" collapsed="false">
      <c r="A596" s="13"/>
      <c r="B596" s="10"/>
      <c r="C596" s="12" t="str">
        <f aca="false">IF($B596="","",IFERROR(INDEX(반품접수!$E$3:$E$1002,MATCH($B596,반품접수!$A$3:$A$1002,0)),"접수번호없음"))</f>
        <v/>
      </c>
      <c r="D596" s="10"/>
      <c r="E596" s="14"/>
      <c r="F596" s="10"/>
      <c r="G596" s="16"/>
      <c r="H596" s="10"/>
    </row>
    <row r="597" customFormat="false" ht="15" hidden="false" customHeight="true" outlineLevel="0" collapsed="false">
      <c r="A597" s="13"/>
      <c r="B597" s="10"/>
      <c r="C597" s="12" t="str">
        <f aca="false">IF($B597="","",IFERROR(INDEX(반품접수!$E$3:$E$1002,MATCH($B597,반품접수!$A$3:$A$1002,0)),"접수번호없음"))</f>
        <v/>
      </c>
      <c r="D597" s="10"/>
      <c r="E597" s="14"/>
      <c r="F597" s="10"/>
      <c r="G597" s="16"/>
      <c r="H597" s="10"/>
    </row>
    <row r="598" customFormat="false" ht="15" hidden="false" customHeight="true" outlineLevel="0" collapsed="false">
      <c r="A598" s="13"/>
      <c r="B598" s="10"/>
      <c r="C598" s="12" t="str">
        <f aca="false">IF($B598="","",IFERROR(INDEX(반품접수!$E$3:$E$1002,MATCH($B598,반품접수!$A$3:$A$1002,0)),"접수번호없음"))</f>
        <v/>
      </c>
      <c r="D598" s="10"/>
      <c r="E598" s="14"/>
      <c r="F598" s="10"/>
      <c r="G598" s="16"/>
      <c r="H598" s="10"/>
    </row>
    <row r="599" customFormat="false" ht="15" hidden="false" customHeight="true" outlineLevel="0" collapsed="false">
      <c r="A599" s="13"/>
      <c r="B599" s="10"/>
      <c r="C599" s="12" t="str">
        <f aca="false">IF($B599="","",IFERROR(INDEX(반품접수!$E$3:$E$1002,MATCH($B599,반품접수!$A$3:$A$1002,0)),"접수번호없음"))</f>
        <v/>
      </c>
      <c r="D599" s="10"/>
      <c r="E599" s="14"/>
      <c r="F599" s="10"/>
      <c r="G599" s="16"/>
      <c r="H599" s="10"/>
    </row>
    <row r="600" customFormat="false" ht="15" hidden="false" customHeight="true" outlineLevel="0" collapsed="false">
      <c r="A600" s="13"/>
      <c r="B600" s="10"/>
      <c r="C600" s="12" t="str">
        <f aca="false">IF($B600="","",IFERROR(INDEX(반품접수!$E$3:$E$1002,MATCH($B600,반품접수!$A$3:$A$1002,0)),"접수번호없음"))</f>
        <v/>
      </c>
      <c r="D600" s="10"/>
      <c r="E600" s="14"/>
      <c r="F600" s="10"/>
      <c r="G600" s="16"/>
      <c r="H600" s="10"/>
    </row>
    <row r="601" customFormat="false" ht="15" hidden="false" customHeight="true" outlineLevel="0" collapsed="false">
      <c r="A601" s="13"/>
      <c r="B601" s="10"/>
      <c r="C601" s="12" t="str">
        <f aca="false">IF($B601="","",IFERROR(INDEX(반품접수!$E$3:$E$1002,MATCH($B601,반품접수!$A$3:$A$1002,0)),"접수번호없음"))</f>
        <v/>
      </c>
      <c r="D601" s="10"/>
      <c r="E601" s="14"/>
      <c r="F601" s="10"/>
      <c r="G601" s="16"/>
      <c r="H601" s="10"/>
    </row>
    <row r="602" customFormat="false" ht="15" hidden="false" customHeight="true" outlineLevel="0" collapsed="false">
      <c r="A602" s="13"/>
      <c r="B602" s="10"/>
      <c r="C602" s="12" t="str">
        <f aca="false">IF($B602="","",IFERROR(INDEX(반품접수!$E$3:$E$1002,MATCH($B602,반품접수!$A$3:$A$1002,0)),"접수번호없음"))</f>
        <v/>
      </c>
      <c r="D602" s="10"/>
      <c r="E602" s="14"/>
      <c r="F602" s="10"/>
      <c r="G602" s="16"/>
      <c r="H602" s="10"/>
    </row>
    <row r="603" customFormat="false" ht="15" hidden="false" customHeight="true" outlineLevel="0" collapsed="false">
      <c r="A603" s="13"/>
      <c r="B603" s="10"/>
      <c r="C603" s="12" t="str">
        <f aca="false">IF($B603="","",IFERROR(INDEX(반품접수!$E$3:$E$1002,MATCH($B603,반품접수!$A$3:$A$1002,0)),"접수번호없음"))</f>
        <v/>
      </c>
      <c r="D603" s="10"/>
      <c r="E603" s="14"/>
      <c r="F603" s="10"/>
      <c r="G603" s="16"/>
      <c r="H603" s="10"/>
    </row>
    <row r="604" customFormat="false" ht="15" hidden="false" customHeight="true" outlineLevel="0" collapsed="false">
      <c r="A604" s="13"/>
      <c r="B604" s="10"/>
      <c r="C604" s="12" t="str">
        <f aca="false">IF($B604="","",IFERROR(INDEX(반품접수!$E$3:$E$1002,MATCH($B604,반품접수!$A$3:$A$1002,0)),"접수번호없음"))</f>
        <v/>
      </c>
      <c r="D604" s="10"/>
      <c r="E604" s="14"/>
      <c r="F604" s="10"/>
      <c r="G604" s="16"/>
      <c r="H604" s="10"/>
    </row>
    <row r="605" customFormat="false" ht="15" hidden="false" customHeight="true" outlineLevel="0" collapsed="false">
      <c r="A605" s="13"/>
      <c r="B605" s="10"/>
      <c r="C605" s="12" t="str">
        <f aca="false">IF($B605="","",IFERROR(INDEX(반품접수!$E$3:$E$1002,MATCH($B605,반품접수!$A$3:$A$1002,0)),"접수번호없음"))</f>
        <v/>
      </c>
      <c r="D605" s="10"/>
      <c r="E605" s="14"/>
      <c r="F605" s="10"/>
      <c r="G605" s="16"/>
      <c r="H605" s="10"/>
    </row>
    <row r="606" customFormat="false" ht="15" hidden="false" customHeight="true" outlineLevel="0" collapsed="false">
      <c r="A606" s="13"/>
      <c r="B606" s="10"/>
      <c r="C606" s="12" t="str">
        <f aca="false">IF($B606="","",IFERROR(INDEX(반품접수!$E$3:$E$1002,MATCH($B606,반품접수!$A$3:$A$1002,0)),"접수번호없음"))</f>
        <v/>
      </c>
      <c r="D606" s="10"/>
      <c r="E606" s="14"/>
      <c r="F606" s="10"/>
      <c r="G606" s="16"/>
      <c r="H606" s="10"/>
    </row>
    <row r="607" customFormat="false" ht="15" hidden="false" customHeight="true" outlineLevel="0" collapsed="false">
      <c r="A607" s="13"/>
      <c r="B607" s="10"/>
      <c r="C607" s="12" t="str">
        <f aca="false">IF($B607="","",IFERROR(INDEX(반품접수!$E$3:$E$1002,MATCH($B607,반품접수!$A$3:$A$1002,0)),"접수번호없음"))</f>
        <v/>
      </c>
      <c r="D607" s="10"/>
      <c r="E607" s="14"/>
      <c r="F607" s="10"/>
      <c r="G607" s="16"/>
      <c r="H607" s="10"/>
    </row>
    <row r="608" customFormat="false" ht="15" hidden="false" customHeight="true" outlineLevel="0" collapsed="false">
      <c r="A608" s="13"/>
      <c r="B608" s="10"/>
      <c r="C608" s="12" t="str">
        <f aca="false">IF($B608="","",IFERROR(INDEX(반품접수!$E$3:$E$1002,MATCH($B608,반품접수!$A$3:$A$1002,0)),"접수번호없음"))</f>
        <v/>
      </c>
      <c r="D608" s="10"/>
      <c r="E608" s="14"/>
      <c r="F608" s="10"/>
      <c r="G608" s="16"/>
      <c r="H608" s="10"/>
    </row>
    <row r="609" customFormat="false" ht="15" hidden="false" customHeight="true" outlineLevel="0" collapsed="false">
      <c r="A609" s="13"/>
      <c r="B609" s="10"/>
      <c r="C609" s="12" t="str">
        <f aca="false">IF($B609="","",IFERROR(INDEX(반품접수!$E$3:$E$1002,MATCH($B609,반품접수!$A$3:$A$1002,0)),"접수번호없음"))</f>
        <v/>
      </c>
      <c r="D609" s="10"/>
      <c r="E609" s="14"/>
      <c r="F609" s="10"/>
      <c r="G609" s="16"/>
      <c r="H609" s="10"/>
    </row>
    <row r="610" customFormat="false" ht="15" hidden="false" customHeight="true" outlineLevel="0" collapsed="false">
      <c r="A610" s="13"/>
      <c r="B610" s="10"/>
      <c r="C610" s="12" t="str">
        <f aca="false">IF($B610="","",IFERROR(INDEX(반품접수!$E$3:$E$1002,MATCH($B610,반품접수!$A$3:$A$1002,0)),"접수번호없음"))</f>
        <v/>
      </c>
      <c r="D610" s="10"/>
      <c r="E610" s="14"/>
      <c r="F610" s="10"/>
      <c r="G610" s="16"/>
      <c r="H610" s="10"/>
    </row>
    <row r="611" customFormat="false" ht="15" hidden="false" customHeight="true" outlineLevel="0" collapsed="false">
      <c r="A611" s="13"/>
      <c r="B611" s="10"/>
      <c r="C611" s="12" t="str">
        <f aca="false">IF($B611="","",IFERROR(INDEX(반품접수!$E$3:$E$1002,MATCH($B611,반품접수!$A$3:$A$1002,0)),"접수번호없음"))</f>
        <v/>
      </c>
      <c r="D611" s="10"/>
      <c r="E611" s="14"/>
      <c r="F611" s="10"/>
      <c r="G611" s="16"/>
      <c r="H611" s="10"/>
    </row>
    <row r="612" customFormat="false" ht="15" hidden="false" customHeight="true" outlineLevel="0" collapsed="false">
      <c r="A612" s="13"/>
      <c r="B612" s="10"/>
      <c r="C612" s="12" t="str">
        <f aca="false">IF($B612="","",IFERROR(INDEX(반품접수!$E$3:$E$1002,MATCH($B612,반품접수!$A$3:$A$1002,0)),"접수번호없음"))</f>
        <v/>
      </c>
      <c r="D612" s="10"/>
      <c r="E612" s="14"/>
      <c r="F612" s="10"/>
      <c r="G612" s="16"/>
      <c r="H612" s="10"/>
    </row>
    <row r="613" customFormat="false" ht="15" hidden="false" customHeight="true" outlineLevel="0" collapsed="false">
      <c r="A613" s="13"/>
      <c r="B613" s="10"/>
      <c r="C613" s="12" t="str">
        <f aca="false">IF($B613="","",IFERROR(INDEX(반품접수!$E$3:$E$1002,MATCH($B613,반품접수!$A$3:$A$1002,0)),"접수번호없음"))</f>
        <v/>
      </c>
      <c r="D613" s="10"/>
      <c r="E613" s="14"/>
      <c r="F613" s="10"/>
      <c r="G613" s="16"/>
      <c r="H613" s="10"/>
    </row>
    <row r="614" customFormat="false" ht="15" hidden="false" customHeight="true" outlineLevel="0" collapsed="false">
      <c r="A614" s="13"/>
      <c r="B614" s="10"/>
      <c r="C614" s="12" t="str">
        <f aca="false">IF($B614="","",IFERROR(INDEX(반품접수!$E$3:$E$1002,MATCH($B614,반품접수!$A$3:$A$1002,0)),"접수번호없음"))</f>
        <v/>
      </c>
      <c r="D614" s="10"/>
      <c r="E614" s="14"/>
      <c r="F614" s="10"/>
      <c r="G614" s="16"/>
      <c r="H614" s="10"/>
    </row>
    <row r="615" customFormat="false" ht="15" hidden="false" customHeight="true" outlineLevel="0" collapsed="false">
      <c r="A615" s="13"/>
      <c r="B615" s="10"/>
      <c r="C615" s="12" t="str">
        <f aca="false">IF($B615="","",IFERROR(INDEX(반품접수!$E$3:$E$1002,MATCH($B615,반품접수!$A$3:$A$1002,0)),"접수번호없음"))</f>
        <v/>
      </c>
      <c r="D615" s="10"/>
      <c r="E615" s="14"/>
      <c r="F615" s="10"/>
      <c r="G615" s="16"/>
      <c r="H615" s="10"/>
    </row>
    <row r="616" customFormat="false" ht="15" hidden="false" customHeight="true" outlineLevel="0" collapsed="false">
      <c r="A616" s="13"/>
      <c r="B616" s="10"/>
      <c r="C616" s="12" t="str">
        <f aca="false">IF($B616="","",IFERROR(INDEX(반품접수!$E$3:$E$1002,MATCH($B616,반품접수!$A$3:$A$1002,0)),"접수번호없음"))</f>
        <v/>
      </c>
      <c r="D616" s="10"/>
      <c r="E616" s="14"/>
      <c r="F616" s="10"/>
      <c r="G616" s="16"/>
      <c r="H616" s="10"/>
    </row>
    <row r="617" customFormat="false" ht="15" hidden="false" customHeight="true" outlineLevel="0" collapsed="false">
      <c r="A617" s="13"/>
      <c r="B617" s="10"/>
      <c r="C617" s="12" t="str">
        <f aca="false">IF($B617="","",IFERROR(INDEX(반품접수!$E$3:$E$1002,MATCH($B617,반품접수!$A$3:$A$1002,0)),"접수번호없음"))</f>
        <v/>
      </c>
      <c r="D617" s="10"/>
      <c r="E617" s="14"/>
      <c r="F617" s="10"/>
      <c r="G617" s="16"/>
      <c r="H617" s="10"/>
    </row>
    <row r="618" customFormat="false" ht="15" hidden="false" customHeight="true" outlineLevel="0" collapsed="false">
      <c r="A618" s="13"/>
      <c r="B618" s="10"/>
      <c r="C618" s="12" t="str">
        <f aca="false">IF($B618="","",IFERROR(INDEX(반품접수!$E$3:$E$1002,MATCH($B618,반품접수!$A$3:$A$1002,0)),"접수번호없음"))</f>
        <v/>
      </c>
      <c r="D618" s="10"/>
      <c r="E618" s="14"/>
      <c r="F618" s="10"/>
      <c r="G618" s="16"/>
      <c r="H618" s="10"/>
    </row>
    <row r="619" customFormat="false" ht="15" hidden="false" customHeight="true" outlineLevel="0" collapsed="false">
      <c r="A619" s="13"/>
      <c r="B619" s="10"/>
      <c r="C619" s="12" t="str">
        <f aca="false">IF($B619="","",IFERROR(INDEX(반품접수!$E$3:$E$1002,MATCH($B619,반품접수!$A$3:$A$1002,0)),"접수번호없음"))</f>
        <v/>
      </c>
      <c r="D619" s="10"/>
      <c r="E619" s="14"/>
      <c r="F619" s="10"/>
      <c r="G619" s="16"/>
      <c r="H619" s="10"/>
    </row>
    <row r="620" customFormat="false" ht="15" hidden="false" customHeight="true" outlineLevel="0" collapsed="false">
      <c r="A620" s="13"/>
      <c r="B620" s="10"/>
      <c r="C620" s="12" t="str">
        <f aca="false">IF($B620="","",IFERROR(INDEX(반품접수!$E$3:$E$1002,MATCH($B620,반품접수!$A$3:$A$1002,0)),"접수번호없음"))</f>
        <v/>
      </c>
      <c r="D620" s="10"/>
      <c r="E620" s="14"/>
      <c r="F620" s="10"/>
      <c r="G620" s="16"/>
      <c r="H620" s="10"/>
    </row>
    <row r="621" customFormat="false" ht="15" hidden="false" customHeight="true" outlineLevel="0" collapsed="false">
      <c r="A621" s="13"/>
      <c r="B621" s="10"/>
      <c r="C621" s="12" t="str">
        <f aca="false">IF($B621="","",IFERROR(INDEX(반품접수!$E$3:$E$1002,MATCH($B621,반품접수!$A$3:$A$1002,0)),"접수번호없음"))</f>
        <v/>
      </c>
      <c r="D621" s="10"/>
      <c r="E621" s="14"/>
      <c r="F621" s="10"/>
      <c r="G621" s="16"/>
      <c r="H621" s="10"/>
    </row>
    <row r="622" customFormat="false" ht="15" hidden="false" customHeight="true" outlineLevel="0" collapsed="false">
      <c r="A622" s="13"/>
      <c r="B622" s="10"/>
      <c r="C622" s="12" t="str">
        <f aca="false">IF($B622="","",IFERROR(INDEX(반품접수!$E$3:$E$1002,MATCH($B622,반품접수!$A$3:$A$1002,0)),"접수번호없음"))</f>
        <v/>
      </c>
      <c r="D622" s="10"/>
      <c r="E622" s="14"/>
      <c r="F622" s="10"/>
      <c r="G622" s="16"/>
      <c r="H622" s="10"/>
    </row>
    <row r="623" customFormat="false" ht="15" hidden="false" customHeight="true" outlineLevel="0" collapsed="false">
      <c r="A623" s="13"/>
      <c r="B623" s="10"/>
      <c r="C623" s="12" t="str">
        <f aca="false">IF($B623="","",IFERROR(INDEX(반품접수!$E$3:$E$1002,MATCH($B623,반품접수!$A$3:$A$1002,0)),"접수번호없음"))</f>
        <v/>
      </c>
      <c r="D623" s="10"/>
      <c r="E623" s="14"/>
      <c r="F623" s="10"/>
      <c r="G623" s="16"/>
      <c r="H623" s="10"/>
    </row>
    <row r="624" customFormat="false" ht="15" hidden="false" customHeight="true" outlineLevel="0" collapsed="false">
      <c r="A624" s="13"/>
      <c r="B624" s="10"/>
      <c r="C624" s="12" t="str">
        <f aca="false">IF($B624="","",IFERROR(INDEX(반품접수!$E$3:$E$1002,MATCH($B624,반품접수!$A$3:$A$1002,0)),"접수번호없음"))</f>
        <v/>
      </c>
      <c r="D624" s="10"/>
      <c r="E624" s="14"/>
      <c r="F624" s="10"/>
      <c r="G624" s="16"/>
      <c r="H624" s="10"/>
    </row>
    <row r="625" customFormat="false" ht="15" hidden="false" customHeight="true" outlineLevel="0" collapsed="false">
      <c r="A625" s="13"/>
      <c r="B625" s="10"/>
      <c r="C625" s="12" t="str">
        <f aca="false">IF($B625="","",IFERROR(INDEX(반품접수!$E$3:$E$1002,MATCH($B625,반품접수!$A$3:$A$1002,0)),"접수번호없음"))</f>
        <v/>
      </c>
      <c r="D625" s="10"/>
      <c r="E625" s="14"/>
      <c r="F625" s="10"/>
      <c r="G625" s="16"/>
      <c r="H625" s="10"/>
    </row>
    <row r="626" customFormat="false" ht="15" hidden="false" customHeight="true" outlineLevel="0" collapsed="false">
      <c r="A626" s="13"/>
      <c r="B626" s="10"/>
      <c r="C626" s="12" t="str">
        <f aca="false">IF($B626="","",IFERROR(INDEX(반품접수!$E$3:$E$1002,MATCH($B626,반품접수!$A$3:$A$1002,0)),"접수번호없음"))</f>
        <v/>
      </c>
      <c r="D626" s="10"/>
      <c r="E626" s="14"/>
      <c r="F626" s="10"/>
      <c r="G626" s="16"/>
      <c r="H626" s="10"/>
    </row>
    <row r="627" customFormat="false" ht="15" hidden="false" customHeight="true" outlineLevel="0" collapsed="false">
      <c r="A627" s="13"/>
      <c r="B627" s="10"/>
      <c r="C627" s="12" t="str">
        <f aca="false">IF($B627="","",IFERROR(INDEX(반품접수!$E$3:$E$1002,MATCH($B627,반품접수!$A$3:$A$1002,0)),"접수번호없음"))</f>
        <v/>
      </c>
      <c r="D627" s="10"/>
      <c r="E627" s="14"/>
      <c r="F627" s="10"/>
      <c r="G627" s="16"/>
      <c r="H627" s="10"/>
    </row>
    <row r="628" customFormat="false" ht="15" hidden="false" customHeight="true" outlineLevel="0" collapsed="false">
      <c r="A628" s="13"/>
      <c r="B628" s="10"/>
      <c r="C628" s="12" t="str">
        <f aca="false">IF($B628="","",IFERROR(INDEX(반품접수!$E$3:$E$1002,MATCH($B628,반품접수!$A$3:$A$1002,0)),"접수번호없음"))</f>
        <v/>
      </c>
      <c r="D628" s="10"/>
      <c r="E628" s="14"/>
      <c r="F628" s="10"/>
      <c r="G628" s="16"/>
      <c r="H628" s="10"/>
    </row>
    <row r="629" customFormat="false" ht="15" hidden="false" customHeight="true" outlineLevel="0" collapsed="false">
      <c r="A629" s="13"/>
      <c r="B629" s="10"/>
      <c r="C629" s="12" t="str">
        <f aca="false">IF($B629="","",IFERROR(INDEX(반품접수!$E$3:$E$1002,MATCH($B629,반품접수!$A$3:$A$1002,0)),"접수번호없음"))</f>
        <v/>
      </c>
      <c r="D629" s="10"/>
      <c r="E629" s="14"/>
      <c r="F629" s="10"/>
      <c r="G629" s="16"/>
      <c r="H629" s="10"/>
    </row>
    <row r="630" customFormat="false" ht="15" hidden="false" customHeight="true" outlineLevel="0" collapsed="false">
      <c r="A630" s="13"/>
      <c r="B630" s="10"/>
      <c r="C630" s="12" t="str">
        <f aca="false">IF($B630="","",IFERROR(INDEX(반품접수!$E$3:$E$1002,MATCH($B630,반품접수!$A$3:$A$1002,0)),"접수번호없음"))</f>
        <v/>
      </c>
      <c r="D630" s="10"/>
      <c r="E630" s="14"/>
      <c r="F630" s="10"/>
      <c r="G630" s="16"/>
      <c r="H630" s="10"/>
    </row>
    <row r="631" customFormat="false" ht="15" hidden="false" customHeight="true" outlineLevel="0" collapsed="false">
      <c r="A631" s="13"/>
      <c r="B631" s="10"/>
      <c r="C631" s="12" t="str">
        <f aca="false">IF($B631="","",IFERROR(INDEX(반품접수!$E$3:$E$1002,MATCH($B631,반품접수!$A$3:$A$1002,0)),"접수번호없음"))</f>
        <v/>
      </c>
      <c r="D631" s="10"/>
      <c r="E631" s="14"/>
      <c r="F631" s="10"/>
      <c r="G631" s="16"/>
      <c r="H631" s="10"/>
    </row>
    <row r="632" customFormat="false" ht="15" hidden="false" customHeight="true" outlineLevel="0" collapsed="false">
      <c r="A632" s="13"/>
      <c r="B632" s="10"/>
      <c r="C632" s="12" t="str">
        <f aca="false">IF($B632="","",IFERROR(INDEX(반품접수!$E$3:$E$1002,MATCH($B632,반품접수!$A$3:$A$1002,0)),"접수번호없음"))</f>
        <v/>
      </c>
      <c r="D632" s="10"/>
      <c r="E632" s="14"/>
      <c r="F632" s="10"/>
      <c r="G632" s="16"/>
      <c r="H632" s="10"/>
    </row>
    <row r="633" customFormat="false" ht="15" hidden="false" customHeight="true" outlineLevel="0" collapsed="false">
      <c r="A633" s="13"/>
      <c r="B633" s="10"/>
      <c r="C633" s="12" t="str">
        <f aca="false">IF($B633="","",IFERROR(INDEX(반품접수!$E$3:$E$1002,MATCH($B633,반품접수!$A$3:$A$1002,0)),"접수번호없음"))</f>
        <v/>
      </c>
      <c r="D633" s="10"/>
      <c r="E633" s="14"/>
      <c r="F633" s="10"/>
      <c r="G633" s="16"/>
      <c r="H633" s="10"/>
    </row>
    <row r="634" customFormat="false" ht="15" hidden="false" customHeight="true" outlineLevel="0" collapsed="false">
      <c r="A634" s="13"/>
      <c r="B634" s="10"/>
      <c r="C634" s="12" t="str">
        <f aca="false">IF($B634="","",IFERROR(INDEX(반품접수!$E$3:$E$1002,MATCH($B634,반품접수!$A$3:$A$1002,0)),"접수번호없음"))</f>
        <v/>
      </c>
      <c r="D634" s="10"/>
      <c r="E634" s="14"/>
      <c r="F634" s="10"/>
      <c r="G634" s="16"/>
      <c r="H634" s="10"/>
    </row>
    <row r="635" customFormat="false" ht="15" hidden="false" customHeight="true" outlineLevel="0" collapsed="false">
      <c r="A635" s="13"/>
      <c r="B635" s="10"/>
      <c r="C635" s="12" t="str">
        <f aca="false">IF($B635="","",IFERROR(INDEX(반품접수!$E$3:$E$1002,MATCH($B635,반품접수!$A$3:$A$1002,0)),"접수번호없음"))</f>
        <v/>
      </c>
      <c r="D635" s="10"/>
      <c r="E635" s="14"/>
      <c r="F635" s="10"/>
      <c r="G635" s="16"/>
      <c r="H635" s="10"/>
    </row>
    <row r="636" customFormat="false" ht="15" hidden="false" customHeight="true" outlineLevel="0" collapsed="false">
      <c r="A636" s="13"/>
      <c r="B636" s="10"/>
      <c r="C636" s="12" t="str">
        <f aca="false">IF($B636="","",IFERROR(INDEX(반품접수!$E$3:$E$1002,MATCH($B636,반품접수!$A$3:$A$1002,0)),"접수번호없음"))</f>
        <v/>
      </c>
      <c r="D636" s="10"/>
      <c r="E636" s="14"/>
      <c r="F636" s="10"/>
      <c r="G636" s="16"/>
      <c r="H636" s="10"/>
    </row>
    <row r="637" customFormat="false" ht="15" hidden="false" customHeight="true" outlineLevel="0" collapsed="false">
      <c r="A637" s="13"/>
      <c r="B637" s="10"/>
      <c r="C637" s="12" t="str">
        <f aca="false">IF($B637="","",IFERROR(INDEX(반품접수!$E$3:$E$1002,MATCH($B637,반품접수!$A$3:$A$1002,0)),"접수번호없음"))</f>
        <v/>
      </c>
      <c r="D637" s="10"/>
      <c r="E637" s="14"/>
      <c r="F637" s="10"/>
      <c r="G637" s="16"/>
      <c r="H637" s="10"/>
    </row>
    <row r="638" customFormat="false" ht="15" hidden="false" customHeight="true" outlineLevel="0" collapsed="false">
      <c r="A638" s="13"/>
      <c r="B638" s="10"/>
      <c r="C638" s="12" t="str">
        <f aca="false">IF($B638="","",IFERROR(INDEX(반품접수!$E$3:$E$1002,MATCH($B638,반품접수!$A$3:$A$1002,0)),"접수번호없음"))</f>
        <v/>
      </c>
      <c r="D638" s="10"/>
      <c r="E638" s="14"/>
      <c r="F638" s="10"/>
      <c r="G638" s="16"/>
      <c r="H638" s="10"/>
    </row>
    <row r="639" customFormat="false" ht="15" hidden="false" customHeight="true" outlineLevel="0" collapsed="false">
      <c r="A639" s="13"/>
      <c r="B639" s="10"/>
      <c r="C639" s="12" t="str">
        <f aca="false">IF($B639="","",IFERROR(INDEX(반품접수!$E$3:$E$1002,MATCH($B639,반품접수!$A$3:$A$1002,0)),"접수번호없음"))</f>
        <v/>
      </c>
      <c r="D639" s="10"/>
      <c r="E639" s="14"/>
      <c r="F639" s="10"/>
      <c r="G639" s="16"/>
      <c r="H639" s="10"/>
    </row>
    <row r="640" customFormat="false" ht="15" hidden="false" customHeight="true" outlineLevel="0" collapsed="false">
      <c r="A640" s="13"/>
      <c r="B640" s="10"/>
      <c r="C640" s="12" t="str">
        <f aca="false">IF($B640="","",IFERROR(INDEX(반품접수!$E$3:$E$1002,MATCH($B640,반품접수!$A$3:$A$1002,0)),"접수번호없음"))</f>
        <v/>
      </c>
      <c r="D640" s="10"/>
      <c r="E640" s="14"/>
      <c r="F640" s="10"/>
      <c r="G640" s="16"/>
      <c r="H640" s="10"/>
    </row>
    <row r="641" customFormat="false" ht="15" hidden="false" customHeight="true" outlineLevel="0" collapsed="false">
      <c r="A641" s="13"/>
      <c r="B641" s="10"/>
      <c r="C641" s="12" t="str">
        <f aca="false">IF($B641="","",IFERROR(INDEX(반품접수!$E$3:$E$1002,MATCH($B641,반품접수!$A$3:$A$1002,0)),"접수번호없음"))</f>
        <v/>
      </c>
      <c r="D641" s="10"/>
      <c r="E641" s="14"/>
      <c r="F641" s="10"/>
      <c r="G641" s="16"/>
      <c r="H641" s="10"/>
    </row>
    <row r="642" customFormat="false" ht="15" hidden="false" customHeight="true" outlineLevel="0" collapsed="false">
      <c r="A642" s="13"/>
      <c r="B642" s="10"/>
      <c r="C642" s="12" t="str">
        <f aca="false">IF($B642="","",IFERROR(INDEX(반품접수!$E$3:$E$1002,MATCH($B642,반품접수!$A$3:$A$1002,0)),"접수번호없음"))</f>
        <v/>
      </c>
      <c r="D642" s="10"/>
      <c r="E642" s="14"/>
      <c r="F642" s="10"/>
      <c r="G642" s="16"/>
      <c r="H642" s="10"/>
    </row>
    <row r="643" customFormat="false" ht="15" hidden="false" customHeight="true" outlineLevel="0" collapsed="false">
      <c r="A643" s="13"/>
      <c r="B643" s="10"/>
      <c r="C643" s="12" t="str">
        <f aca="false">IF($B643="","",IFERROR(INDEX(반품접수!$E$3:$E$1002,MATCH($B643,반품접수!$A$3:$A$1002,0)),"접수번호없음"))</f>
        <v/>
      </c>
      <c r="D643" s="10"/>
      <c r="E643" s="14"/>
      <c r="F643" s="10"/>
      <c r="G643" s="16"/>
      <c r="H643" s="10"/>
    </row>
    <row r="644" customFormat="false" ht="15" hidden="false" customHeight="true" outlineLevel="0" collapsed="false">
      <c r="A644" s="13"/>
      <c r="B644" s="10"/>
      <c r="C644" s="12" t="str">
        <f aca="false">IF($B644="","",IFERROR(INDEX(반품접수!$E$3:$E$1002,MATCH($B644,반품접수!$A$3:$A$1002,0)),"접수번호없음"))</f>
        <v/>
      </c>
      <c r="D644" s="10"/>
      <c r="E644" s="14"/>
      <c r="F644" s="10"/>
      <c r="G644" s="16"/>
      <c r="H644" s="10"/>
    </row>
    <row r="645" customFormat="false" ht="15" hidden="false" customHeight="true" outlineLevel="0" collapsed="false">
      <c r="A645" s="13"/>
      <c r="B645" s="10"/>
      <c r="C645" s="12" t="str">
        <f aca="false">IF($B645="","",IFERROR(INDEX(반품접수!$E$3:$E$1002,MATCH($B645,반품접수!$A$3:$A$1002,0)),"접수번호없음"))</f>
        <v/>
      </c>
      <c r="D645" s="10"/>
      <c r="E645" s="14"/>
      <c r="F645" s="10"/>
      <c r="G645" s="16"/>
      <c r="H645" s="10"/>
    </row>
    <row r="646" customFormat="false" ht="15" hidden="false" customHeight="true" outlineLevel="0" collapsed="false">
      <c r="A646" s="13"/>
      <c r="B646" s="10"/>
      <c r="C646" s="12" t="str">
        <f aca="false">IF($B646="","",IFERROR(INDEX(반품접수!$E$3:$E$1002,MATCH($B646,반품접수!$A$3:$A$1002,0)),"접수번호없음"))</f>
        <v/>
      </c>
      <c r="D646" s="10"/>
      <c r="E646" s="14"/>
      <c r="F646" s="10"/>
      <c r="G646" s="16"/>
      <c r="H646" s="10"/>
    </row>
    <row r="647" customFormat="false" ht="15" hidden="false" customHeight="true" outlineLevel="0" collapsed="false">
      <c r="A647" s="13"/>
      <c r="B647" s="10"/>
      <c r="C647" s="12" t="str">
        <f aca="false">IF($B647="","",IFERROR(INDEX(반품접수!$E$3:$E$1002,MATCH($B647,반품접수!$A$3:$A$1002,0)),"접수번호없음"))</f>
        <v/>
      </c>
      <c r="D647" s="10"/>
      <c r="E647" s="14"/>
      <c r="F647" s="10"/>
      <c r="G647" s="16"/>
      <c r="H647" s="10"/>
    </row>
    <row r="648" customFormat="false" ht="15" hidden="false" customHeight="true" outlineLevel="0" collapsed="false">
      <c r="A648" s="13"/>
      <c r="B648" s="10"/>
      <c r="C648" s="12" t="str">
        <f aca="false">IF($B648="","",IFERROR(INDEX(반품접수!$E$3:$E$1002,MATCH($B648,반품접수!$A$3:$A$1002,0)),"접수번호없음"))</f>
        <v/>
      </c>
      <c r="D648" s="10"/>
      <c r="E648" s="14"/>
      <c r="F648" s="10"/>
      <c r="G648" s="16"/>
      <c r="H648" s="10"/>
    </row>
    <row r="649" customFormat="false" ht="15" hidden="false" customHeight="true" outlineLevel="0" collapsed="false">
      <c r="A649" s="13"/>
      <c r="B649" s="10"/>
      <c r="C649" s="12" t="str">
        <f aca="false">IF($B649="","",IFERROR(INDEX(반품접수!$E$3:$E$1002,MATCH($B649,반품접수!$A$3:$A$1002,0)),"접수번호없음"))</f>
        <v/>
      </c>
      <c r="D649" s="10"/>
      <c r="E649" s="14"/>
      <c r="F649" s="10"/>
      <c r="G649" s="16"/>
      <c r="H649" s="10"/>
    </row>
    <row r="650" customFormat="false" ht="15" hidden="false" customHeight="true" outlineLevel="0" collapsed="false">
      <c r="A650" s="13"/>
      <c r="B650" s="10"/>
      <c r="C650" s="12" t="str">
        <f aca="false">IF($B650="","",IFERROR(INDEX(반품접수!$E$3:$E$1002,MATCH($B650,반품접수!$A$3:$A$1002,0)),"접수번호없음"))</f>
        <v/>
      </c>
      <c r="D650" s="10"/>
      <c r="E650" s="14"/>
      <c r="F650" s="10"/>
      <c r="G650" s="16"/>
      <c r="H650" s="10"/>
    </row>
    <row r="651" customFormat="false" ht="15" hidden="false" customHeight="true" outlineLevel="0" collapsed="false">
      <c r="A651" s="13"/>
      <c r="B651" s="10"/>
      <c r="C651" s="12" t="str">
        <f aca="false">IF($B651="","",IFERROR(INDEX(반품접수!$E$3:$E$1002,MATCH($B651,반품접수!$A$3:$A$1002,0)),"접수번호없음"))</f>
        <v/>
      </c>
      <c r="D651" s="10"/>
      <c r="E651" s="14"/>
      <c r="F651" s="10"/>
      <c r="G651" s="16"/>
      <c r="H651" s="10"/>
    </row>
    <row r="652" customFormat="false" ht="15" hidden="false" customHeight="true" outlineLevel="0" collapsed="false">
      <c r="A652" s="13"/>
      <c r="B652" s="10"/>
      <c r="C652" s="12" t="str">
        <f aca="false">IF($B652="","",IFERROR(INDEX(반품접수!$E$3:$E$1002,MATCH($B652,반품접수!$A$3:$A$1002,0)),"접수번호없음"))</f>
        <v/>
      </c>
      <c r="D652" s="10"/>
      <c r="E652" s="14"/>
      <c r="F652" s="10"/>
      <c r="G652" s="16"/>
      <c r="H652" s="10"/>
    </row>
    <row r="653" customFormat="false" ht="15" hidden="false" customHeight="true" outlineLevel="0" collapsed="false">
      <c r="A653" s="13"/>
      <c r="B653" s="10"/>
      <c r="C653" s="12" t="str">
        <f aca="false">IF($B653="","",IFERROR(INDEX(반품접수!$E$3:$E$1002,MATCH($B653,반품접수!$A$3:$A$1002,0)),"접수번호없음"))</f>
        <v/>
      </c>
      <c r="D653" s="10"/>
      <c r="E653" s="14"/>
      <c r="F653" s="10"/>
      <c r="G653" s="16"/>
      <c r="H653" s="10"/>
    </row>
    <row r="654" customFormat="false" ht="15" hidden="false" customHeight="true" outlineLevel="0" collapsed="false">
      <c r="A654" s="13"/>
      <c r="B654" s="10"/>
      <c r="C654" s="12" t="str">
        <f aca="false">IF($B654="","",IFERROR(INDEX(반품접수!$E$3:$E$1002,MATCH($B654,반품접수!$A$3:$A$1002,0)),"접수번호없음"))</f>
        <v/>
      </c>
      <c r="D654" s="10"/>
      <c r="E654" s="14"/>
      <c r="F654" s="10"/>
      <c r="G654" s="16"/>
      <c r="H654" s="10"/>
    </row>
    <row r="655" customFormat="false" ht="15" hidden="false" customHeight="true" outlineLevel="0" collapsed="false">
      <c r="A655" s="13"/>
      <c r="B655" s="10"/>
      <c r="C655" s="12" t="str">
        <f aca="false">IF($B655="","",IFERROR(INDEX(반품접수!$E$3:$E$1002,MATCH($B655,반품접수!$A$3:$A$1002,0)),"접수번호없음"))</f>
        <v/>
      </c>
      <c r="D655" s="10"/>
      <c r="E655" s="14"/>
      <c r="F655" s="10"/>
      <c r="G655" s="16"/>
      <c r="H655" s="10"/>
    </row>
    <row r="656" customFormat="false" ht="15" hidden="false" customHeight="true" outlineLevel="0" collapsed="false">
      <c r="A656" s="13"/>
      <c r="B656" s="10"/>
      <c r="C656" s="12" t="str">
        <f aca="false">IF($B656="","",IFERROR(INDEX(반품접수!$E$3:$E$1002,MATCH($B656,반품접수!$A$3:$A$1002,0)),"접수번호없음"))</f>
        <v/>
      </c>
      <c r="D656" s="10"/>
      <c r="E656" s="14"/>
      <c r="F656" s="10"/>
      <c r="G656" s="16"/>
      <c r="H656" s="10"/>
    </row>
    <row r="657" customFormat="false" ht="15" hidden="false" customHeight="true" outlineLevel="0" collapsed="false">
      <c r="A657" s="13"/>
      <c r="B657" s="10"/>
      <c r="C657" s="12" t="str">
        <f aca="false">IF($B657="","",IFERROR(INDEX(반품접수!$E$3:$E$1002,MATCH($B657,반품접수!$A$3:$A$1002,0)),"접수번호없음"))</f>
        <v/>
      </c>
      <c r="D657" s="10"/>
      <c r="E657" s="14"/>
      <c r="F657" s="10"/>
      <c r="G657" s="16"/>
      <c r="H657" s="10"/>
    </row>
    <row r="658" customFormat="false" ht="15" hidden="false" customHeight="true" outlineLevel="0" collapsed="false">
      <c r="A658" s="13"/>
      <c r="B658" s="10"/>
      <c r="C658" s="12" t="str">
        <f aca="false">IF($B658="","",IFERROR(INDEX(반품접수!$E$3:$E$1002,MATCH($B658,반품접수!$A$3:$A$1002,0)),"접수번호없음"))</f>
        <v/>
      </c>
      <c r="D658" s="10"/>
      <c r="E658" s="14"/>
      <c r="F658" s="10"/>
      <c r="G658" s="16"/>
      <c r="H658" s="10"/>
    </row>
    <row r="659" customFormat="false" ht="15" hidden="false" customHeight="true" outlineLevel="0" collapsed="false">
      <c r="A659" s="13"/>
      <c r="B659" s="10"/>
      <c r="C659" s="12" t="str">
        <f aca="false">IF($B659="","",IFERROR(INDEX(반품접수!$E$3:$E$1002,MATCH($B659,반품접수!$A$3:$A$1002,0)),"접수번호없음"))</f>
        <v/>
      </c>
      <c r="D659" s="10"/>
      <c r="E659" s="14"/>
      <c r="F659" s="10"/>
      <c r="G659" s="16"/>
      <c r="H659" s="10"/>
    </row>
    <row r="660" customFormat="false" ht="15" hidden="false" customHeight="true" outlineLevel="0" collapsed="false">
      <c r="A660" s="13"/>
      <c r="B660" s="10"/>
      <c r="C660" s="12" t="str">
        <f aca="false">IF($B660="","",IFERROR(INDEX(반품접수!$E$3:$E$1002,MATCH($B660,반품접수!$A$3:$A$1002,0)),"접수번호없음"))</f>
        <v/>
      </c>
      <c r="D660" s="10"/>
      <c r="E660" s="14"/>
      <c r="F660" s="10"/>
      <c r="G660" s="16"/>
      <c r="H660" s="10"/>
    </row>
    <row r="661" customFormat="false" ht="15" hidden="false" customHeight="true" outlineLevel="0" collapsed="false">
      <c r="A661" s="13"/>
      <c r="B661" s="10"/>
      <c r="C661" s="12" t="str">
        <f aca="false">IF($B661="","",IFERROR(INDEX(반품접수!$E$3:$E$1002,MATCH($B661,반품접수!$A$3:$A$1002,0)),"접수번호없음"))</f>
        <v/>
      </c>
      <c r="D661" s="10"/>
      <c r="E661" s="14"/>
      <c r="F661" s="10"/>
      <c r="G661" s="16"/>
      <c r="H661" s="10"/>
    </row>
    <row r="662" customFormat="false" ht="15" hidden="false" customHeight="true" outlineLevel="0" collapsed="false">
      <c r="A662" s="13"/>
      <c r="B662" s="10"/>
      <c r="C662" s="12" t="str">
        <f aca="false">IF($B662="","",IFERROR(INDEX(반품접수!$E$3:$E$1002,MATCH($B662,반품접수!$A$3:$A$1002,0)),"접수번호없음"))</f>
        <v/>
      </c>
      <c r="D662" s="10"/>
      <c r="E662" s="14"/>
      <c r="F662" s="10"/>
      <c r="G662" s="16"/>
      <c r="H662" s="10"/>
    </row>
    <row r="663" customFormat="false" ht="15" hidden="false" customHeight="true" outlineLevel="0" collapsed="false">
      <c r="A663" s="13"/>
      <c r="B663" s="10"/>
      <c r="C663" s="12" t="str">
        <f aca="false">IF($B663="","",IFERROR(INDEX(반품접수!$E$3:$E$1002,MATCH($B663,반품접수!$A$3:$A$1002,0)),"접수번호없음"))</f>
        <v/>
      </c>
      <c r="D663" s="10"/>
      <c r="E663" s="14"/>
      <c r="F663" s="10"/>
      <c r="G663" s="16"/>
      <c r="H663" s="10"/>
    </row>
    <row r="664" customFormat="false" ht="15" hidden="false" customHeight="true" outlineLevel="0" collapsed="false">
      <c r="A664" s="13"/>
      <c r="B664" s="10"/>
      <c r="C664" s="12" t="str">
        <f aca="false">IF($B664="","",IFERROR(INDEX(반품접수!$E$3:$E$1002,MATCH($B664,반품접수!$A$3:$A$1002,0)),"접수번호없음"))</f>
        <v/>
      </c>
      <c r="D664" s="10"/>
      <c r="E664" s="14"/>
      <c r="F664" s="10"/>
      <c r="G664" s="16"/>
      <c r="H664" s="10"/>
    </row>
    <row r="665" customFormat="false" ht="15" hidden="false" customHeight="true" outlineLevel="0" collapsed="false">
      <c r="A665" s="13"/>
      <c r="B665" s="10"/>
      <c r="C665" s="12" t="str">
        <f aca="false">IF($B665="","",IFERROR(INDEX(반품접수!$E$3:$E$1002,MATCH($B665,반품접수!$A$3:$A$1002,0)),"접수번호없음"))</f>
        <v/>
      </c>
      <c r="D665" s="10"/>
      <c r="E665" s="14"/>
      <c r="F665" s="10"/>
      <c r="G665" s="16"/>
      <c r="H665" s="10"/>
    </row>
    <row r="666" customFormat="false" ht="15" hidden="false" customHeight="true" outlineLevel="0" collapsed="false">
      <c r="A666" s="13"/>
      <c r="B666" s="10"/>
      <c r="C666" s="12" t="str">
        <f aca="false">IF($B666="","",IFERROR(INDEX(반품접수!$E$3:$E$1002,MATCH($B666,반품접수!$A$3:$A$1002,0)),"접수번호없음"))</f>
        <v/>
      </c>
      <c r="D666" s="10"/>
      <c r="E666" s="14"/>
      <c r="F666" s="10"/>
      <c r="G666" s="16"/>
      <c r="H666" s="10"/>
    </row>
    <row r="667" customFormat="false" ht="15" hidden="false" customHeight="true" outlineLevel="0" collapsed="false">
      <c r="A667" s="13"/>
      <c r="B667" s="10"/>
      <c r="C667" s="12" t="str">
        <f aca="false">IF($B667="","",IFERROR(INDEX(반품접수!$E$3:$E$1002,MATCH($B667,반품접수!$A$3:$A$1002,0)),"접수번호없음"))</f>
        <v/>
      </c>
      <c r="D667" s="10"/>
      <c r="E667" s="14"/>
      <c r="F667" s="10"/>
      <c r="G667" s="16"/>
      <c r="H667" s="10"/>
    </row>
    <row r="668" customFormat="false" ht="15" hidden="false" customHeight="true" outlineLevel="0" collapsed="false">
      <c r="A668" s="13"/>
      <c r="B668" s="10"/>
      <c r="C668" s="12" t="str">
        <f aca="false">IF($B668="","",IFERROR(INDEX(반품접수!$E$3:$E$1002,MATCH($B668,반품접수!$A$3:$A$1002,0)),"접수번호없음"))</f>
        <v/>
      </c>
      <c r="D668" s="10"/>
      <c r="E668" s="14"/>
      <c r="F668" s="10"/>
      <c r="G668" s="16"/>
      <c r="H668" s="10"/>
    </row>
    <row r="669" customFormat="false" ht="15" hidden="false" customHeight="true" outlineLevel="0" collapsed="false">
      <c r="A669" s="13"/>
      <c r="B669" s="10"/>
      <c r="C669" s="12" t="str">
        <f aca="false">IF($B669="","",IFERROR(INDEX(반품접수!$E$3:$E$1002,MATCH($B669,반품접수!$A$3:$A$1002,0)),"접수번호없음"))</f>
        <v/>
      </c>
      <c r="D669" s="10"/>
      <c r="E669" s="14"/>
      <c r="F669" s="10"/>
      <c r="G669" s="16"/>
      <c r="H669" s="10"/>
    </row>
    <row r="670" customFormat="false" ht="15" hidden="false" customHeight="true" outlineLevel="0" collapsed="false">
      <c r="A670" s="13"/>
      <c r="B670" s="10"/>
      <c r="C670" s="12" t="str">
        <f aca="false">IF($B670="","",IFERROR(INDEX(반품접수!$E$3:$E$1002,MATCH($B670,반품접수!$A$3:$A$1002,0)),"접수번호없음"))</f>
        <v/>
      </c>
      <c r="D670" s="10"/>
      <c r="E670" s="14"/>
      <c r="F670" s="10"/>
      <c r="G670" s="16"/>
      <c r="H670" s="10"/>
    </row>
    <row r="671" customFormat="false" ht="15" hidden="false" customHeight="true" outlineLevel="0" collapsed="false">
      <c r="A671" s="13"/>
      <c r="B671" s="10"/>
      <c r="C671" s="12" t="str">
        <f aca="false">IF($B671="","",IFERROR(INDEX(반품접수!$E$3:$E$1002,MATCH($B671,반품접수!$A$3:$A$1002,0)),"접수번호없음"))</f>
        <v/>
      </c>
      <c r="D671" s="10"/>
      <c r="E671" s="14"/>
      <c r="F671" s="10"/>
      <c r="G671" s="16"/>
      <c r="H671" s="10"/>
    </row>
    <row r="672" customFormat="false" ht="15" hidden="false" customHeight="true" outlineLevel="0" collapsed="false">
      <c r="A672" s="13"/>
      <c r="B672" s="10"/>
      <c r="C672" s="12" t="str">
        <f aca="false">IF($B672="","",IFERROR(INDEX(반품접수!$E$3:$E$1002,MATCH($B672,반품접수!$A$3:$A$1002,0)),"접수번호없음"))</f>
        <v/>
      </c>
      <c r="D672" s="10"/>
      <c r="E672" s="14"/>
      <c r="F672" s="10"/>
      <c r="G672" s="16"/>
      <c r="H672" s="10"/>
    </row>
    <row r="673" customFormat="false" ht="15" hidden="false" customHeight="true" outlineLevel="0" collapsed="false">
      <c r="A673" s="13"/>
      <c r="B673" s="10"/>
      <c r="C673" s="12" t="str">
        <f aca="false">IF($B673="","",IFERROR(INDEX(반품접수!$E$3:$E$1002,MATCH($B673,반품접수!$A$3:$A$1002,0)),"접수번호없음"))</f>
        <v/>
      </c>
      <c r="D673" s="10"/>
      <c r="E673" s="14"/>
      <c r="F673" s="10"/>
      <c r="G673" s="16"/>
      <c r="H673" s="10"/>
    </row>
    <row r="674" customFormat="false" ht="15" hidden="false" customHeight="true" outlineLevel="0" collapsed="false">
      <c r="A674" s="13"/>
      <c r="B674" s="10"/>
      <c r="C674" s="12" t="str">
        <f aca="false">IF($B674="","",IFERROR(INDEX(반품접수!$E$3:$E$1002,MATCH($B674,반품접수!$A$3:$A$1002,0)),"접수번호없음"))</f>
        <v/>
      </c>
      <c r="D674" s="10"/>
      <c r="E674" s="14"/>
      <c r="F674" s="10"/>
      <c r="G674" s="16"/>
      <c r="H674" s="10"/>
    </row>
    <row r="675" customFormat="false" ht="15" hidden="false" customHeight="true" outlineLevel="0" collapsed="false">
      <c r="A675" s="13"/>
      <c r="B675" s="10"/>
      <c r="C675" s="12" t="str">
        <f aca="false">IF($B675="","",IFERROR(INDEX(반품접수!$E$3:$E$1002,MATCH($B675,반품접수!$A$3:$A$1002,0)),"접수번호없음"))</f>
        <v/>
      </c>
      <c r="D675" s="10"/>
      <c r="E675" s="14"/>
      <c r="F675" s="10"/>
      <c r="G675" s="16"/>
      <c r="H675" s="10"/>
    </row>
    <row r="676" customFormat="false" ht="15" hidden="false" customHeight="true" outlineLevel="0" collapsed="false">
      <c r="A676" s="13"/>
      <c r="B676" s="10"/>
      <c r="C676" s="12" t="str">
        <f aca="false">IF($B676="","",IFERROR(INDEX(반품접수!$E$3:$E$1002,MATCH($B676,반품접수!$A$3:$A$1002,0)),"접수번호없음"))</f>
        <v/>
      </c>
      <c r="D676" s="10"/>
      <c r="E676" s="14"/>
      <c r="F676" s="10"/>
      <c r="G676" s="16"/>
      <c r="H676" s="10"/>
    </row>
    <row r="677" customFormat="false" ht="15" hidden="false" customHeight="true" outlineLevel="0" collapsed="false">
      <c r="A677" s="13"/>
      <c r="B677" s="10"/>
      <c r="C677" s="12" t="str">
        <f aca="false">IF($B677="","",IFERROR(INDEX(반품접수!$E$3:$E$1002,MATCH($B677,반품접수!$A$3:$A$1002,0)),"접수번호없음"))</f>
        <v/>
      </c>
      <c r="D677" s="10"/>
      <c r="E677" s="14"/>
      <c r="F677" s="10"/>
      <c r="G677" s="16"/>
      <c r="H677" s="10"/>
    </row>
    <row r="678" customFormat="false" ht="15" hidden="false" customHeight="true" outlineLevel="0" collapsed="false">
      <c r="A678" s="13"/>
      <c r="B678" s="10"/>
      <c r="C678" s="12" t="str">
        <f aca="false">IF($B678="","",IFERROR(INDEX(반품접수!$E$3:$E$1002,MATCH($B678,반품접수!$A$3:$A$1002,0)),"접수번호없음"))</f>
        <v/>
      </c>
      <c r="D678" s="10"/>
      <c r="E678" s="14"/>
      <c r="F678" s="10"/>
      <c r="G678" s="16"/>
      <c r="H678" s="10"/>
    </row>
    <row r="679" customFormat="false" ht="15" hidden="false" customHeight="true" outlineLevel="0" collapsed="false">
      <c r="A679" s="13"/>
      <c r="B679" s="10"/>
      <c r="C679" s="12" t="str">
        <f aca="false">IF($B679="","",IFERROR(INDEX(반품접수!$E$3:$E$1002,MATCH($B679,반품접수!$A$3:$A$1002,0)),"접수번호없음"))</f>
        <v/>
      </c>
      <c r="D679" s="10"/>
      <c r="E679" s="14"/>
      <c r="F679" s="10"/>
      <c r="G679" s="16"/>
      <c r="H679" s="10"/>
    </row>
    <row r="680" customFormat="false" ht="15" hidden="false" customHeight="true" outlineLevel="0" collapsed="false">
      <c r="A680" s="13"/>
      <c r="B680" s="10"/>
      <c r="C680" s="12" t="str">
        <f aca="false">IF($B680="","",IFERROR(INDEX(반품접수!$E$3:$E$1002,MATCH($B680,반품접수!$A$3:$A$1002,0)),"접수번호없음"))</f>
        <v/>
      </c>
      <c r="D680" s="10"/>
      <c r="E680" s="14"/>
      <c r="F680" s="10"/>
      <c r="G680" s="16"/>
      <c r="H680" s="10"/>
    </row>
    <row r="681" customFormat="false" ht="15" hidden="false" customHeight="true" outlineLevel="0" collapsed="false">
      <c r="A681" s="13"/>
      <c r="B681" s="10"/>
      <c r="C681" s="12" t="str">
        <f aca="false">IF($B681="","",IFERROR(INDEX(반품접수!$E$3:$E$1002,MATCH($B681,반품접수!$A$3:$A$1002,0)),"접수번호없음"))</f>
        <v/>
      </c>
      <c r="D681" s="10"/>
      <c r="E681" s="14"/>
      <c r="F681" s="10"/>
      <c r="G681" s="16"/>
      <c r="H681" s="10"/>
    </row>
    <row r="682" customFormat="false" ht="15" hidden="false" customHeight="true" outlineLevel="0" collapsed="false">
      <c r="A682" s="13"/>
      <c r="B682" s="10"/>
      <c r="C682" s="12" t="str">
        <f aca="false">IF($B682="","",IFERROR(INDEX(반품접수!$E$3:$E$1002,MATCH($B682,반품접수!$A$3:$A$1002,0)),"접수번호없음"))</f>
        <v/>
      </c>
      <c r="D682" s="10"/>
      <c r="E682" s="14"/>
      <c r="F682" s="10"/>
      <c r="G682" s="16"/>
      <c r="H682" s="10"/>
    </row>
    <row r="683" customFormat="false" ht="15" hidden="false" customHeight="true" outlineLevel="0" collapsed="false">
      <c r="A683" s="13"/>
      <c r="B683" s="10"/>
      <c r="C683" s="12" t="str">
        <f aca="false">IF($B683="","",IFERROR(INDEX(반품접수!$E$3:$E$1002,MATCH($B683,반품접수!$A$3:$A$1002,0)),"접수번호없음"))</f>
        <v/>
      </c>
      <c r="D683" s="10"/>
      <c r="E683" s="14"/>
      <c r="F683" s="10"/>
      <c r="G683" s="16"/>
      <c r="H683" s="10"/>
    </row>
    <row r="684" customFormat="false" ht="15" hidden="false" customHeight="true" outlineLevel="0" collapsed="false">
      <c r="A684" s="13"/>
      <c r="B684" s="10"/>
      <c r="C684" s="12" t="str">
        <f aca="false">IF($B684="","",IFERROR(INDEX(반품접수!$E$3:$E$1002,MATCH($B684,반품접수!$A$3:$A$1002,0)),"접수번호없음"))</f>
        <v/>
      </c>
      <c r="D684" s="10"/>
      <c r="E684" s="14"/>
      <c r="F684" s="10"/>
      <c r="G684" s="16"/>
      <c r="H684" s="10"/>
    </row>
    <row r="685" customFormat="false" ht="15" hidden="false" customHeight="true" outlineLevel="0" collapsed="false">
      <c r="A685" s="13"/>
      <c r="B685" s="10"/>
      <c r="C685" s="12" t="str">
        <f aca="false">IF($B685="","",IFERROR(INDEX(반품접수!$E$3:$E$1002,MATCH($B685,반품접수!$A$3:$A$1002,0)),"접수번호없음"))</f>
        <v/>
      </c>
      <c r="D685" s="10"/>
      <c r="E685" s="14"/>
      <c r="F685" s="10"/>
      <c r="G685" s="16"/>
      <c r="H685" s="10"/>
    </row>
    <row r="686" customFormat="false" ht="15" hidden="false" customHeight="true" outlineLevel="0" collapsed="false">
      <c r="A686" s="13"/>
      <c r="B686" s="10"/>
      <c r="C686" s="12" t="str">
        <f aca="false">IF($B686="","",IFERROR(INDEX(반품접수!$E$3:$E$1002,MATCH($B686,반품접수!$A$3:$A$1002,0)),"접수번호없음"))</f>
        <v/>
      </c>
      <c r="D686" s="10"/>
      <c r="E686" s="14"/>
      <c r="F686" s="10"/>
      <c r="G686" s="16"/>
      <c r="H686" s="10"/>
    </row>
    <row r="687" customFormat="false" ht="15" hidden="false" customHeight="true" outlineLevel="0" collapsed="false">
      <c r="A687" s="13"/>
      <c r="B687" s="10"/>
      <c r="C687" s="12" t="str">
        <f aca="false">IF($B687="","",IFERROR(INDEX(반품접수!$E$3:$E$1002,MATCH($B687,반품접수!$A$3:$A$1002,0)),"접수번호없음"))</f>
        <v/>
      </c>
      <c r="D687" s="10"/>
      <c r="E687" s="14"/>
      <c r="F687" s="10"/>
      <c r="G687" s="16"/>
      <c r="H687" s="10"/>
    </row>
    <row r="688" customFormat="false" ht="15" hidden="false" customHeight="true" outlineLevel="0" collapsed="false">
      <c r="A688" s="13"/>
      <c r="B688" s="10"/>
      <c r="C688" s="12" t="str">
        <f aca="false">IF($B688="","",IFERROR(INDEX(반품접수!$E$3:$E$1002,MATCH($B688,반품접수!$A$3:$A$1002,0)),"접수번호없음"))</f>
        <v/>
      </c>
      <c r="D688" s="10"/>
      <c r="E688" s="14"/>
      <c r="F688" s="10"/>
      <c r="G688" s="16"/>
      <c r="H688" s="10"/>
    </row>
    <row r="689" customFormat="false" ht="15" hidden="false" customHeight="true" outlineLevel="0" collapsed="false">
      <c r="A689" s="13"/>
      <c r="B689" s="10"/>
      <c r="C689" s="12" t="str">
        <f aca="false">IF($B689="","",IFERROR(INDEX(반품접수!$E$3:$E$1002,MATCH($B689,반품접수!$A$3:$A$1002,0)),"접수번호없음"))</f>
        <v/>
      </c>
      <c r="D689" s="10"/>
      <c r="E689" s="14"/>
      <c r="F689" s="10"/>
      <c r="G689" s="16"/>
      <c r="H689" s="10"/>
    </row>
    <row r="690" customFormat="false" ht="15" hidden="false" customHeight="true" outlineLevel="0" collapsed="false">
      <c r="A690" s="13"/>
      <c r="B690" s="10"/>
      <c r="C690" s="12" t="str">
        <f aca="false">IF($B690="","",IFERROR(INDEX(반품접수!$E$3:$E$1002,MATCH($B690,반품접수!$A$3:$A$1002,0)),"접수번호없음"))</f>
        <v/>
      </c>
      <c r="D690" s="10"/>
      <c r="E690" s="14"/>
      <c r="F690" s="10"/>
      <c r="G690" s="16"/>
      <c r="H690" s="10"/>
    </row>
    <row r="691" customFormat="false" ht="15" hidden="false" customHeight="true" outlineLevel="0" collapsed="false">
      <c r="A691" s="13"/>
      <c r="B691" s="10"/>
      <c r="C691" s="12" t="str">
        <f aca="false">IF($B691="","",IFERROR(INDEX(반품접수!$E$3:$E$1002,MATCH($B691,반품접수!$A$3:$A$1002,0)),"접수번호없음"))</f>
        <v/>
      </c>
      <c r="D691" s="10"/>
      <c r="E691" s="14"/>
      <c r="F691" s="10"/>
      <c r="G691" s="16"/>
      <c r="H691" s="10"/>
    </row>
    <row r="692" customFormat="false" ht="15" hidden="false" customHeight="true" outlineLevel="0" collapsed="false">
      <c r="A692" s="13"/>
      <c r="B692" s="10"/>
      <c r="C692" s="12" t="str">
        <f aca="false">IF($B692="","",IFERROR(INDEX(반품접수!$E$3:$E$1002,MATCH($B692,반품접수!$A$3:$A$1002,0)),"접수번호없음"))</f>
        <v/>
      </c>
      <c r="D692" s="10"/>
      <c r="E692" s="14"/>
      <c r="F692" s="10"/>
      <c r="G692" s="16"/>
      <c r="H692" s="10"/>
    </row>
    <row r="693" customFormat="false" ht="15" hidden="false" customHeight="true" outlineLevel="0" collapsed="false">
      <c r="A693" s="13"/>
      <c r="B693" s="10"/>
      <c r="C693" s="12" t="str">
        <f aca="false">IF($B693="","",IFERROR(INDEX(반품접수!$E$3:$E$1002,MATCH($B693,반품접수!$A$3:$A$1002,0)),"접수번호없음"))</f>
        <v/>
      </c>
      <c r="D693" s="10"/>
      <c r="E693" s="14"/>
      <c r="F693" s="10"/>
      <c r="G693" s="16"/>
      <c r="H693" s="10"/>
    </row>
    <row r="694" customFormat="false" ht="15" hidden="false" customHeight="true" outlineLevel="0" collapsed="false">
      <c r="A694" s="13"/>
      <c r="B694" s="10"/>
      <c r="C694" s="12" t="str">
        <f aca="false">IF($B694="","",IFERROR(INDEX(반품접수!$E$3:$E$1002,MATCH($B694,반품접수!$A$3:$A$1002,0)),"접수번호없음"))</f>
        <v/>
      </c>
      <c r="D694" s="10"/>
      <c r="E694" s="14"/>
      <c r="F694" s="10"/>
      <c r="G694" s="16"/>
      <c r="H694" s="10"/>
    </row>
    <row r="695" customFormat="false" ht="15" hidden="false" customHeight="true" outlineLevel="0" collapsed="false">
      <c r="A695" s="13"/>
      <c r="B695" s="10"/>
      <c r="C695" s="12" t="str">
        <f aca="false">IF($B695="","",IFERROR(INDEX(반품접수!$E$3:$E$1002,MATCH($B695,반품접수!$A$3:$A$1002,0)),"접수번호없음"))</f>
        <v/>
      </c>
      <c r="D695" s="10"/>
      <c r="E695" s="14"/>
      <c r="F695" s="10"/>
      <c r="G695" s="16"/>
      <c r="H695" s="10"/>
    </row>
    <row r="696" customFormat="false" ht="15" hidden="false" customHeight="true" outlineLevel="0" collapsed="false">
      <c r="A696" s="13"/>
      <c r="B696" s="10"/>
      <c r="C696" s="12" t="str">
        <f aca="false">IF($B696="","",IFERROR(INDEX(반품접수!$E$3:$E$1002,MATCH($B696,반품접수!$A$3:$A$1002,0)),"접수번호없음"))</f>
        <v/>
      </c>
      <c r="D696" s="10"/>
      <c r="E696" s="14"/>
      <c r="F696" s="10"/>
      <c r="G696" s="16"/>
      <c r="H696" s="10"/>
    </row>
    <row r="697" customFormat="false" ht="15" hidden="false" customHeight="true" outlineLevel="0" collapsed="false">
      <c r="A697" s="13"/>
      <c r="B697" s="10"/>
      <c r="C697" s="12" t="str">
        <f aca="false">IF($B697="","",IFERROR(INDEX(반품접수!$E$3:$E$1002,MATCH($B697,반품접수!$A$3:$A$1002,0)),"접수번호없음"))</f>
        <v/>
      </c>
      <c r="D697" s="10"/>
      <c r="E697" s="14"/>
      <c r="F697" s="10"/>
      <c r="G697" s="16"/>
      <c r="H697" s="10"/>
    </row>
    <row r="698" customFormat="false" ht="15" hidden="false" customHeight="true" outlineLevel="0" collapsed="false">
      <c r="A698" s="13"/>
      <c r="B698" s="10"/>
      <c r="C698" s="12" t="str">
        <f aca="false">IF($B698="","",IFERROR(INDEX(반품접수!$E$3:$E$1002,MATCH($B698,반품접수!$A$3:$A$1002,0)),"접수번호없음"))</f>
        <v/>
      </c>
      <c r="D698" s="10"/>
      <c r="E698" s="14"/>
      <c r="F698" s="10"/>
      <c r="G698" s="16"/>
      <c r="H698" s="10"/>
    </row>
    <row r="699" customFormat="false" ht="15" hidden="false" customHeight="true" outlineLevel="0" collapsed="false">
      <c r="A699" s="13"/>
      <c r="B699" s="10"/>
      <c r="C699" s="12" t="str">
        <f aca="false">IF($B699="","",IFERROR(INDEX(반품접수!$E$3:$E$1002,MATCH($B699,반품접수!$A$3:$A$1002,0)),"접수번호없음"))</f>
        <v/>
      </c>
      <c r="D699" s="10"/>
      <c r="E699" s="14"/>
      <c r="F699" s="10"/>
      <c r="G699" s="16"/>
      <c r="H699" s="10"/>
    </row>
    <row r="700" customFormat="false" ht="15" hidden="false" customHeight="true" outlineLevel="0" collapsed="false">
      <c r="A700" s="13"/>
      <c r="B700" s="10"/>
      <c r="C700" s="12" t="str">
        <f aca="false">IF($B700="","",IFERROR(INDEX(반품접수!$E$3:$E$1002,MATCH($B700,반품접수!$A$3:$A$1002,0)),"접수번호없음"))</f>
        <v/>
      </c>
      <c r="D700" s="10"/>
      <c r="E700" s="14"/>
      <c r="F700" s="10"/>
      <c r="G700" s="16"/>
      <c r="H700" s="10"/>
    </row>
    <row r="701" customFormat="false" ht="15" hidden="false" customHeight="true" outlineLevel="0" collapsed="false">
      <c r="A701" s="13"/>
      <c r="B701" s="10"/>
      <c r="C701" s="12" t="str">
        <f aca="false">IF($B701="","",IFERROR(INDEX(반품접수!$E$3:$E$1002,MATCH($B701,반품접수!$A$3:$A$1002,0)),"접수번호없음"))</f>
        <v/>
      </c>
      <c r="D701" s="10"/>
      <c r="E701" s="14"/>
      <c r="F701" s="10"/>
      <c r="G701" s="16"/>
      <c r="H701" s="10"/>
    </row>
    <row r="702" customFormat="false" ht="15" hidden="false" customHeight="true" outlineLevel="0" collapsed="false">
      <c r="A702" s="13"/>
      <c r="B702" s="10"/>
      <c r="C702" s="12" t="str">
        <f aca="false">IF($B702="","",IFERROR(INDEX(반품접수!$E$3:$E$1002,MATCH($B702,반품접수!$A$3:$A$1002,0)),"접수번호없음"))</f>
        <v/>
      </c>
      <c r="D702" s="10"/>
      <c r="E702" s="14"/>
      <c r="F702" s="10"/>
      <c r="G702" s="16"/>
      <c r="H702" s="10"/>
    </row>
    <row r="703" customFormat="false" ht="15" hidden="false" customHeight="true" outlineLevel="0" collapsed="false">
      <c r="A703" s="13"/>
      <c r="B703" s="10"/>
      <c r="C703" s="12" t="str">
        <f aca="false">IF($B703="","",IFERROR(INDEX(반품접수!$E$3:$E$1002,MATCH($B703,반품접수!$A$3:$A$1002,0)),"접수번호없음"))</f>
        <v/>
      </c>
      <c r="D703" s="10"/>
      <c r="E703" s="14"/>
      <c r="F703" s="10"/>
      <c r="G703" s="16"/>
      <c r="H703" s="10"/>
    </row>
    <row r="704" customFormat="false" ht="15" hidden="false" customHeight="true" outlineLevel="0" collapsed="false">
      <c r="A704" s="13"/>
      <c r="B704" s="10"/>
      <c r="C704" s="12" t="str">
        <f aca="false">IF($B704="","",IFERROR(INDEX(반품접수!$E$3:$E$1002,MATCH($B704,반품접수!$A$3:$A$1002,0)),"접수번호없음"))</f>
        <v/>
      </c>
      <c r="D704" s="10"/>
      <c r="E704" s="14"/>
      <c r="F704" s="10"/>
      <c r="G704" s="16"/>
      <c r="H704" s="10"/>
    </row>
    <row r="705" customFormat="false" ht="15" hidden="false" customHeight="true" outlineLevel="0" collapsed="false">
      <c r="A705" s="13"/>
      <c r="B705" s="10"/>
      <c r="C705" s="12" t="str">
        <f aca="false">IF($B705="","",IFERROR(INDEX(반품접수!$E$3:$E$1002,MATCH($B705,반품접수!$A$3:$A$1002,0)),"접수번호없음"))</f>
        <v/>
      </c>
      <c r="D705" s="10"/>
      <c r="E705" s="14"/>
      <c r="F705" s="10"/>
      <c r="G705" s="16"/>
      <c r="H705" s="10"/>
    </row>
    <row r="706" customFormat="false" ht="15" hidden="false" customHeight="true" outlineLevel="0" collapsed="false">
      <c r="A706" s="13"/>
      <c r="B706" s="10"/>
      <c r="C706" s="12" t="str">
        <f aca="false">IF($B706="","",IFERROR(INDEX(반품접수!$E$3:$E$1002,MATCH($B706,반품접수!$A$3:$A$1002,0)),"접수번호없음"))</f>
        <v/>
      </c>
      <c r="D706" s="10"/>
      <c r="E706" s="14"/>
      <c r="F706" s="10"/>
      <c r="G706" s="16"/>
      <c r="H706" s="10"/>
    </row>
    <row r="707" customFormat="false" ht="15" hidden="false" customHeight="true" outlineLevel="0" collapsed="false">
      <c r="A707" s="13"/>
      <c r="B707" s="10"/>
      <c r="C707" s="12" t="str">
        <f aca="false">IF($B707="","",IFERROR(INDEX(반품접수!$E$3:$E$1002,MATCH($B707,반품접수!$A$3:$A$1002,0)),"접수번호없음"))</f>
        <v/>
      </c>
      <c r="D707" s="10"/>
      <c r="E707" s="14"/>
      <c r="F707" s="10"/>
      <c r="G707" s="16"/>
      <c r="H707" s="10"/>
    </row>
    <row r="708" customFormat="false" ht="15" hidden="false" customHeight="true" outlineLevel="0" collapsed="false">
      <c r="A708" s="13"/>
      <c r="B708" s="10"/>
      <c r="C708" s="12" t="str">
        <f aca="false">IF($B708="","",IFERROR(INDEX(반품접수!$E$3:$E$1002,MATCH($B708,반품접수!$A$3:$A$1002,0)),"접수번호없음"))</f>
        <v/>
      </c>
      <c r="D708" s="10"/>
      <c r="E708" s="14"/>
      <c r="F708" s="10"/>
      <c r="G708" s="16"/>
      <c r="H708" s="10"/>
    </row>
    <row r="709" customFormat="false" ht="15" hidden="false" customHeight="true" outlineLevel="0" collapsed="false">
      <c r="A709" s="13"/>
      <c r="B709" s="10"/>
      <c r="C709" s="12" t="str">
        <f aca="false">IF($B709="","",IFERROR(INDEX(반품접수!$E$3:$E$1002,MATCH($B709,반품접수!$A$3:$A$1002,0)),"접수번호없음"))</f>
        <v/>
      </c>
      <c r="D709" s="10"/>
      <c r="E709" s="14"/>
      <c r="F709" s="10"/>
      <c r="G709" s="16"/>
      <c r="H709" s="10"/>
    </row>
    <row r="710" customFormat="false" ht="15" hidden="false" customHeight="true" outlineLevel="0" collapsed="false">
      <c r="A710" s="13"/>
      <c r="B710" s="10"/>
      <c r="C710" s="12" t="str">
        <f aca="false">IF($B710="","",IFERROR(INDEX(반품접수!$E$3:$E$1002,MATCH($B710,반품접수!$A$3:$A$1002,0)),"접수번호없음"))</f>
        <v/>
      </c>
      <c r="D710" s="10"/>
      <c r="E710" s="14"/>
      <c r="F710" s="10"/>
      <c r="G710" s="16"/>
      <c r="H710" s="10"/>
    </row>
    <row r="711" customFormat="false" ht="15" hidden="false" customHeight="true" outlineLevel="0" collapsed="false">
      <c r="A711" s="13"/>
      <c r="B711" s="10"/>
      <c r="C711" s="12" t="str">
        <f aca="false">IF($B711="","",IFERROR(INDEX(반품접수!$E$3:$E$1002,MATCH($B711,반품접수!$A$3:$A$1002,0)),"접수번호없음"))</f>
        <v/>
      </c>
      <c r="D711" s="10"/>
      <c r="E711" s="14"/>
      <c r="F711" s="10"/>
      <c r="G711" s="16"/>
      <c r="H711" s="10"/>
    </row>
    <row r="712" customFormat="false" ht="15" hidden="false" customHeight="true" outlineLevel="0" collapsed="false">
      <c r="A712" s="13"/>
      <c r="B712" s="10"/>
      <c r="C712" s="12" t="str">
        <f aca="false">IF($B712="","",IFERROR(INDEX(반품접수!$E$3:$E$1002,MATCH($B712,반품접수!$A$3:$A$1002,0)),"접수번호없음"))</f>
        <v/>
      </c>
      <c r="D712" s="10"/>
      <c r="E712" s="14"/>
      <c r="F712" s="10"/>
      <c r="G712" s="16"/>
      <c r="H712" s="10"/>
    </row>
    <row r="713" customFormat="false" ht="15" hidden="false" customHeight="true" outlineLevel="0" collapsed="false">
      <c r="A713" s="13"/>
      <c r="B713" s="10"/>
      <c r="C713" s="12" t="str">
        <f aca="false">IF($B713="","",IFERROR(INDEX(반품접수!$E$3:$E$1002,MATCH($B713,반품접수!$A$3:$A$1002,0)),"접수번호없음"))</f>
        <v/>
      </c>
      <c r="D713" s="10"/>
      <c r="E713" s="14"/>
      <c r="F713" s="10"/>
      <c r="G713" s="16"/>
      <c r="H713" s="10"/>
    </row>
    <row r="714" customFormat="false" ht="15" hidden="false" customHeight="true" outlineLevel="0" collapsed="false">
      <c r="A714" s="13"/>
      <c r="B714" s="10"/>
      <c r="C714" s="12" t="str">
        <f aca="false">IF($B714="","",IFERROR(INDEX(반품접수!$E$3:$E$1002,MATCH($B714,반품접수!$A$3:$A$1002,0)),"접수번호없음"))</f>
        <v/>
      </c>
      <c r="D714" s="10"/>
      <c r="E714" s="14"/>
      <c r="F714" s="10"/>
      <c r="G714" s="16"/>
      <c r="H714" s="10"/>
    </row>
    <row r="715" customFormat="false" ht="15" hidden="false" customHeight="true" outlineLevel="0" collapsed="false">
      <c r="A715" s="13"/>
      <c r="B715" s="10"/>
      <c r="C715" s="12" t="str">
        <f aca="false">IF($B715="","",IFERROR(INDEX(반품접수!$E$3:$E$1002,MATCH($B715,반품접수!$A$3:$A$1002,0)),"접수번호없음"))</f>
        <v/>
      </c>
      <c r="D715" s="10"/>
      <c r="E715" s="14"/>
      <c r="F715" s="10"/>
      <c r="G715" s="16"/>
      <c r="H715" s="10"/>
    </row>
    <row r="716" customFormat="false" ht="15" hidden="false" customHeight="true" outlineLevel="0" collapsed="false">
      <c r="A716" s="13"/>
      <c r="B716" s="10"/>
      <c r="C716" s="12" t="str">
        <f aca="false">IF($B716="","",IFERROR(INDEX(반품접수!$E$3:$E$1002,MATCH($B716,반품접수!$A$3:$A$1002,0)),"접수번호없음"))</f>
        <v/>
      </c>
      <c r="D716" s="10"/>
      <c r="E716" s="14"/>
      <c r="F716" s="10"/>
      <c r="G716" s="16"/>
      <c r="H716" s="10"/>
    </row>
    <row r="717" customFormat="false" ht="15" hidden="false" customHeight="true" outlineLevel="0" collapsed="false">
      <c r="A717" s="13"/>
      <c r="B717" s="10"/>
      <c r="C717" s="12" t="str">
        <f aca="false">IF($B717="","",IFERROR(INDEX(반품접수!$E$3:$E$1002,MATCH($B717,반품접수!$A$3:$A$1002,0)),"접수번호없음"))</f>
        <v/>
      </c>
      <c r="D717" s="10"/>
      <c r="E717" s="14"/>
      <c r="F717" s="10"/>
      <c r="G717" s="16"/>
      <c r="H717" s="10"/>
    </row>
    <row r="718" customFormat="false" ht="15" hidden="false" customHeight="true" outlineLevel="0" collapsed="false">
      <c r="A718" s="13"/>
      <c r="B718" s="10"/>
      <c r="C718" s="12" t="str">
        <f aca="false">IF($B718="","",IFERROR(INDEX(반품접수!$E$3:$E$1002,MATCH($B718,반품접수!$A$3:$A$1002,0)),"접수번호없음"))</f>
        <v/>
      </c>
      <c r="D718" s="10"/>
      <c r="E718" s="14"/>
      <c r="F718" s="10"/>
      <c r="G718" s="16"/>
      <c r="H718" s="10"/>
    </row>
    <row r="719" customFormat="false" ht="15" hidden="false" customHeight="true" outlineLevel="0" collapsed="false">
      <c r="A719" s="13"/>
      <c r="B719" s="10"/>
      <c r="C719" s="12" t="str">
        <f aca="false">IF($B719="","",IFERROR(INDEX(반품접수!$E$3:$E$1002,MATCH($B719,반품접수!$A$3:$A$1002,0)),"접수번호없음"))</f>
        <v/>
      </c>
      <c r="D719" s="10"/>
      <c r="E719" s="14"/>
      <c r="F719" s="10"/>
      <c r="G719" s="16"/>
      <c r="H719" s="10"/>
    </row>
    <row r="720" customFormat="false" ht="15" hidden="false" customHeight="true" outlineLevel="0" collapsed="false">
      <c r="A720" s="13"/>
      <c r="B720" s="10"/>
      <c r="C720" s="12" t="str">
        <f aca="false">IF($B720="","",IFERROR(INDEX(반품접수!$E$3:$E$1002,MATCH($B720,반품접수!$A$3:$A$1002,0)),"접수번호없음"))</f>
        <v/>
      </c>
      <c r="D720" s="10"/>
      <c r="E720" s="14"/>
      <c r="F720" s="10"/>
      <c r="G720" s="16"/>
      <c r="H720" s="10"/>
    </row>
    <row r="721" customFormat="false" ht="15" hidden="false" customHeight="true" outlineLevel="0" collapsed="false">
      <c r="A721" s="13"/>
      <c r="B721" s="10"/>
      <c r="C721" s="12" t="str">
        <f aca="false">IF($B721="","",IFERROR(INDEX(반품접수!$E$3:$E$1002,MATCH($B721,반품접수!$A$3:$A$1002,0)),"접수번호없음"))</f>
        <v/>
      </c>
      <c r="D721" s="10"/>
      <c r="E721" s="14"/>
      <c r="F721" s="10"/>
      <c r="G721" s="16"/>
      <c r="H721" s="10"/>
    </row>
    <row r="722" customFormat="false" ht="15" hidden="false" customHeight="true" outlineLevel="0" collapsed="false">
      <c r="A722" s="13"/>
      <c r="B722" s="10"/>
      <c r="C722" s="12" t="str">
        <f aca="false">IF($B722="","",IFERROR(INDEX(반품접수!$E$3:$E$1002,MATCH($B722,반품접수!$A$3:$A$1002,0)),"접수번호없음"))</f>
        <v/>
      </c>
      <c r="D722" s="10"/>
      <c r="E722" s="14"/>
      <c r="F722" s="10"/>
      <c r="G722" s="16"/>
      <c r="H722" s="10"/>
    </row>
    <row r="723" customFormat="false" ht="15" hidden="false" customHeight="true" outlineLevel="0" collapsed="false">
      <c r="A723" s="13"/>
      <c r="B723" s="10"/>
      <c r="C723" s="12" t="str">
        <f aca="false">IF($B723="","",IFERROR(INDEX(반품접수!$E$3:$E$1002,MATCH($B723,반품접수!$A$3:$A$1002,0)),"접수번호없음"))</f>
        <v/>
      </c>
      <c r="D723" s="10"/>
      <c r="E723" s="14"/>
      <c r="F723" s="10"/>
      <c r="G723" s="16"/>
      <c r="H723" s="10"/>
    </row>
    <row r="724" customFormat="false" ht="15" hidden="false" customHeight="true" outlineLevel="0" collapsed="false">
      <c r="A724" s="13"/>
      <c r="B724" s="10"/>
      <c r="C724" s="12" t="str">
        <f aca="false">IF($B724="","",IFERROR(INDEX(반품접수!$E$3:$E$1002,MATCH($B724,반품접수!$A$3:$A$1002,0)),"접수번호없음"))</f>
        <v/>
      </c>
      <c r="D724" s="10"/>
      <c r="E724" s="14"/>
      <c r="F724" s="10"/>
      <c r="G724" s="16"/>
      <c r="H724" s="10"/>
    </row>
    <row r="725" customFormat="false" ht="15" hidden="false" customHeight="true" outlineLevel="0" collapsed="false">
      <c r="A725" s="13"/>
      <c r="B725" s="10"/>
      <c r="C725" s="12" t="str">
        <f aca="false">IF($B725="","",IFERROR(INDEX(반품접수!$E$3:$E$1002,MATCH($B725,반품접수!$A$3:$A$1002,0)),"접수번호없음"))</f>
        <v/>
      </c>
      <c r="D725" s="10"/>
      <c r="E725" s="14"/>
      <c r="F725" s="10"/>
      <c r="G725" s="16"/>
      <c r="H725" s="10"/>
    </row>
    <row r="726" customFormat="false" ht="15" hidden="false" customHeight="true" outlineLevel="0" collapsed="false">
      <c r="A726" s="13"/>
      <c r="B726" s="10"/>
      <c r="C726" s="12" t="str">
        <f aca="false">IF($B726="","",IFERROR(INDEX(반품접수!$E$3:$E$1002,MATCH($B726,반품접수!$A$3:$A$1002,0)),"접수번호없음"))</f>
        <v/>
      </c>
      <c r="D726" s="10"/>
      <c r="E726" s="14"/>
      <c r="F726" s="10"/>
      <c r="G726" s="16"/>
      <c r="H726" s="10"/>
    </row>
    <row r="727" customFormat="false" ht="15" hidden="false" customHeight="true" outlineLevel="0" collapsed="false">
      <c r="A727" s="13"/>
      <c r="B727" s="10"/>
      <c r="C727" s="12" t="str">
        <f aca="false">IF($B727="","",IFERROR(INDEX(반품접수!$E$3:$E$1002,MATCH($B727,반품접수!$A$3:$A$1002,0)),"접수번호없음"))</f>
        <v/>
      </c>
      <c r="D727" s="10"/>
      <c r="E727" s="14"/>
      <c r="F727" s="10"/>
      <c r="G727" s="16"/>
      <c r="H727" s="10"/>
    </row>
    <row r="728" customFormat="false" ht="15" hidden="false" customHeight="true" outlineLevel="0" collapsed="false">
      <c r="A728" s="13"/>
      <c r="B728" s="10"/>
      <c r="C728" s="12" t="str">
        <f aca="false">IF($B728="","",IFERROR(INDEX(반품접수!$E$3:$E$1002,MATCH($B728,반품접수!$A$3:$A$1002,0)),"접수번호없음"))</f>
        <v/>
      </c>
      <c r="D728" s="10"/>
      <c r="E728" s="14"/>
      <c r="F728" s="10"/>
      <c r="G728" s="16"/>
      <c r="H728" s="10"/>
    </row>
    <row r="729" customFormat="false" ht="15" hidden="false" customHeight="true" outlineLevel="0" collapsed="false">
      <c r="A729" s="13"/>
      <c r="B729" s="10"/>
      <c r="C729" s="12" t="str">
        <f aca="false">IF($B729="","",IFERROR(INDEX(반품접수!$E$3:$E$1002,MATCH($B729,반품접수!$A$3:$A$1002,0)),"접수번호없음"))</f>
        <v/>
      </c>
      <c r="D729" s="10"/>
      <c r="E729" s="14"/>
      <c r="F729" s="10"/>
      <c r="G729" s="16"/>
      <c r="H729" s="10"/>
    </row>
    <row r="730" customFormat="false" ht="15" hidden="false" customHeight="true" outlineLevel="0" collapsed="false">
      <c r="A730" s="13"/>
      <c r="B730" s="10"/>
      <c r="C730" s="12" t="str">
        <f aca="false">IF($B730="","",IFERROR(INDEX(반품접수!$E$3:$E$1002,MATCH($B730,반품접수!$A$3:$A$1002,0)),"접수번호없음"))</f>
        <v/>
      </c>
      <c r="D730" s="10"/>
      <c r="E730" s="14"/>
      <c r="F730" s="10"/>
      <c r="G730" s="16"/>
      <c r="H730" s="10"/>
    </row>
    <row r="731" customFormat="false" ht="15" hidden="false" customHeight="true" outlineLevel="0" collapsed="false">
      <c r="A731" s="13"/>
      <c r="B731" s="10"/>
      <c r="C731" s="12" t="str">
        <f aca="false">IF($B731="","",IFERROR(INDEX(반품접수!$E$3:$E$1002,MATCH($B731,반품접수!$A$3:$A$1002,0)),"접수번호없음"))</f>
        <v/>
      </c>
      <c r="D731" s="10"/>
      <c r="E731" s="14"/>
      <c r="F731" s="10"/>
      <c r="G731" s="16"/>
      <c r="H731" s="10"/>
    </row>
    <row r="732" customFormat="false" ht="15" hidden="false" customHeight="true" outlineLevel="0" collapsed="false">
      <c r="A732" s="13"/>
      <c r="B732" s="10"/>
      <c r="C732" s="12" t="str">
        <f aca="false">IF($B732="","",IFERROR(INDEX(반품접수!$E$3:$E$1002,MATCH($B732,반품접수!$A$3:$A$1002,0)),"접수번호없음"))</f>
        <v/>
      </c>
      <c r="D732" s="10"/>
      <c r="E732" s="14"/>
      <c r="F732" s="10"/>
      <c r="G732" s="16"/>
      <c r="H732" s="10"/>
    </row>
    <row r="733" customFormat="false" ht="15" hidden="false" customHeight="true" outlineLevel="0" collapsed="false">
      <c r="A733" s="13"/>
      <c r="B733" s="10"/>
      <c r="C733" s="12" t="str">
        <f aca="false">IF($B733="","",IFERROR(INDEX(반품접수!$E$3:$E$1002,MATCH($B733,반품접수!$A$3:$A$1002,0)),"접수번호없음"))</f>
        <v/>
      </c>
      <c r="D733" s="10"/>
      <c r="E733" s="14"/>
      <c r="F733" s="10"/>
      <c r="G733" s="16"/>
      <c r="H733" s="10"/>
    </row>
    <row r="734" customFormat="false" ht="15" hidden="false" customHeight="true" outlineLevel="0" collapsed="false">
      <c r="A734" s="13"/>
      <c r="B734" s="10"/>
      <c r="C734" s="12" t="str">
        <f aca="false">IF($B734="","",IFERROR(INDEX(반품접수!$E$3:$E$1002,MATCH($B734,반품접수!$A$3:$A$1002,0)),"접수번호없음"))</f>
        <v/>
      </c>
      <c r="D734" s="10"/>
      <c r="E734" s="14"/>
      <c r="F734" s="10"/>
      <c r="G734" s="16"/>
      <c r="H734" s="10"/>
    </row>
    <row r="735" customFormat="false" ht="15" hidden="false" customHeight="true" outlineLevel="0" collapsed="false">
      <c r="A735" s="13"/>
      <c r="B735" s="10"/>
      <c r="C735" s="12" t="str">
        <f aca="false">IF($B735="","",IFERROR(INDEX(반품접수!$E$3:$E$1002,MATCH($B735,반품접수!$A$3:$A$1002,0)),"접수번호없음"))</f>
        <v/>
      </c>
      <c r="D735" s="10"/>
      <c r="E735" s="14"/>
      <c r="F735" s="10"/>
      <c r="G735" s="16"/>
      <c r="H735" s="10"/>
    </row>
    <row r="736" customFormat="false" ht="15" hidden="false" customHeight="true" outlineLevel="0" collapsed="false">
      <c r="A736" s="13"/>
      <c r="B736" s="10"/>
      <c r="C736" s="12" t="str">
        <f aca="false">IF($B736="","",IFERROR(INDEX(반품접수!$E$3:$E$1002,MATCH($B736,반품접수!$A$3:$A$1002,0)),"접수번호없음"))</f>
        <v/>
      </c>
      <c r="D736" s="10"/>
      <c r="E736" s="14"/>
      <c r="F736" s="10"/>
      <c r="G736" s="16"/>
      <c r="H736" s="10"/>
    </row>
    <row r="737" customFormat="false" ht="15" hidden="false" customHeight="true" outlineLevel="0" collapsed="false">
      <c r="A737" s="13"/>
      <c r="B737" s="10"/>
      <c r="C737" s="12" t="str">
        <f aca="false">IF($B737="","",IFERROR(INDEX(반품접수!$E$3:$E$1002,MATCH($B737,반품접수!$A$3:$A$1002,0)),"접수번호없음"))</f>
        <v/>
      </c>
      <c r="D737" s="10"/>
      <c r="E737" s="14"/>
      <c r="F737" s="10"/>
      <c r="G737" s="16"/>
      <c r="H737" s="10"/>
    </row>
    <row r="738" customFormat="false" ht="15" hidden="false" customHeight="true" outlineLevel="0" collapsed="false">
      <c r="A738" s="13"/>
      <c r="B738" s="10"/>
      <c r="C738" s="12" t="str">
        <f aca="false">IF($B738="","",IFERROR(INDEX(반품접수!$E$3:$E$1002,MATCH($B738,반품접수!$A$3:$A$1002,0)),"접수번호없음"))</f>
        <v/>
      </c>
      <c r="D738" s="10"/>
      <c r="E738" s="14"/>
      <c r="F738" s="10"/>
      <c r="G738" s="16"/>
      <c r="H738" s="10"/>
    </row>
    <row r="739" customFormat="false" ht="15" hidden="false" customHeight="true" outlineLevel="0" collapsed="false">
      <c r="A739" s="13"/>
      <c r="B739" s="10"/>
      <c r="C739" s="12" t="str">
        <f aca="false">IF($B739="","",IFERROR(INDEX(반품접수!$E$3:$E$1002,MATCH($B739,반품접수!$A$3:$A$1002,0)),"접수번호없음"))</f>
        <v/>
      </c>
      <c r="D739" s="10"/>
      <c r="E739" s="14"/>
      <c r="F739" s="10"/>
      <c r="G739" s="16"/>
      <c r="H739" s="10"/>
    </row>
    <row r="740" customFormat="false" ht="15" hidden="false" customHeight="true" outlineLevel="0" collapsed="false">
      <c r="A740" s="13"/>
      <c r="B740" s="10"/>
      <c r="C740" s="12" t="str">
        <f aca="false">IF($B740="","",IFERROR(INDEX(반품접수!$E$3:$E$1002,MATCH($B740,반품접수!$A$3:$A$1002,0)),"접수번호없음"))</f>
        <v/>
      </c>
      <c r="D740" s="10"/>
      <c r="E740" s="14"/>
      <c r="F740" s="10"/>
      <c r="G740" s="16"/>
      <c r="H740" s="10"/>
    </row>
    <row r="741" customFormat="false" ht="15" hidden="false" customHeight="true" outlineLevel="0" collapsed="false">
      <c r="A741" s="13"/>
      <c r="B741" s="10"/>
      <c r="C741" s="12" t="str">
        <f aca="false">IF($B741="","",IFERROR(INDEX(반품접수!$E$3:$E$1002,MATCH($B741,반품접수!$A$3:$A$1002,0)),"접수번호없음"))</f>
        <v/>
      </c>
      <c r="D741" s="10"/>
      <c r="E741" s="14"/>
      <c r="F741" s="10"/>
      <c r="G741" s="16"/>
      <c r="H741" s="10"/>
    </row>
    <row r="742" customFormat="false" ht="15" hidden="false" customHeight="true" outlineLevel="0" collapsed="false">
      <c r="A742" s="13"/>
      <c r="B742" s="10"/>
      <c r="C742" s="12" t="str">
        <f aca="false">IF($B742="","",IFERROR(INDEX(반품접수!$E$3:$E$1002,MATCH($B742,반품접수!$A$3:$A$1002,0)),"접수번호없음"))</f>
        <v/>
      </c>
      <c r="D742" s="10"/>
      <c r="E742" s="14"/>
      <c r="F742" s="10"/>
      <c r="G742" s="16"/>
      <c r="H742" s="10"/>
    </row>
    <row r="743" customFormat="false" ht="15" hidden="false" customHeight="true" outlineLevel="0" collapsed="false">
      <c r="A743" s="13"/>
      <c r="B743" s="10"/>
      <c r="C743" s="12" t="str">
        <f aca="false">IF($B743="","",IFERROR(INDEX(반품접수!$E$3:$E$1002,MATCH($B743,반품접수!$A$3:$A$1002,0)),"접수번호없음"))</f>
        <v/>
      </c>
      <c r="D743" s="10"/>
      <c r="E743" s="14"/>
      <c r="F743" s="10"/>
      <c r="G743" s="16"/>
      <c r="H743" s="10"/>
    </row>
    <row r="744" customFormat="false" ht="15" hidden="false" customHeight="true" outlineLevel="0" collapsed="false">
      <c r="A744" s="13"/>
      <c r="B744" s="10"/>
      <c r="C744" s="12" t="str">
        <f aca="false">IF($B744="","",IFERROR(INDEX(반품접수!$E$3:$E$1002,MATCH($B744,반품접수!$A$3:$A$1002,0)),"접수번호없음"))</f>
        <v/>
      </c>
      <c r="D744" s="10"/>
      <c r="E744" s="14"/>
      <c r="F744" s="10"/>
      <c r="G744" s="16"/>
      <c r="H744" s="10"/>
    </row>
    <row r="745" customFormat="false" ht="15" hidden="false" customHeight="true" outlineLevel="0" collapsed="false">
      <c r="A745" s="13"/>
      <c r="B745" s="10"/>
      <c r="C745" s="12" t="str">
        <f aca="false">IF($B745="","",IFERROR(INDEX(반품접수!$E$3:$E$1002,MATCH($B745,반품접수!$A$3:$A$1002,0)),"접수번호없음"))</f>
        <v/>
      </c>
      <c r="D745" s="10"/>
      <c r="E745" s="14"/>
      <c r="F745" s="10"/>
      <c r="G745" s="16"/>
      <c r="H745" s="10"/>
    </row>
    <row r="746" customFormat="false" ht="15" hidden="false" customHeight="true" outlineLevel="0" collapsed="false">
      <c r="A746" s="13"/>
      <c r="B746" s="10"/>
      <c r="C746" s="12" t="str">
        <f aca="false">IF($B746="","",IFERROR(INDEX(반품접수!$E$3:$E$1002,MATCH($B746,반품접수!$A$3:$A$1002,0)),"접수번호없음"))</f>
        <v/>
      </c>
      <c r="D746" s="10"/>
      <c r="E746" s="14"/>
      <c r="F746" s="10"/>
      <c r="G746" s="16"/>
      <c r="H746" s="10"/>
    </row>
    <row r="747" customFormat="false" ht="15" hidden="false" customHeight="true" outlineLevel="0" collapsed="false">
      <c r="A747" s="13"/>
      <c r="B747" s="10"/>
      <c r="C747" s="12" t="str">
        <f aca="false">IF($B747="","",IFERROR(INDEX(반품접수!$E$3:$E$1002,MATCH($B747,반품접수!$A$3:$A$1002,0)),"접수번호없음"))</f>
        <v/>
      </c>
      <c r="D747" s="10"/>
      <c r="E747" s="14"/>
      <c r="F747" s="10"/>
      <c r="G747" s="16"/>
      <c r="H747" s="10"/>
    </row>
    <row r="748" customFormat="false" ht="15" hidden="false" customHeight="true" outlineLevel="0" collapsed="false">
      <c r="A748" s="13"/>
      <c r="B748" s="10"/>
      <c r="C748" s="12" t="str">
        <f aca="false">IF($B748="","",IFERROR(INDEX(반품접수!$E$3:$E$1002,MATCH($B748,반품접수!$A$3:$A$1002,0)),"접수번호없음"))</f>
        <v/>
      </c>
      <c r="D748" s="10"/>
      <c r="E748" s="14"/>
      <c r="F748" s="10"/>
      <c r="G748" s="16"/>
      <c r="H748" s="10"/>
    </row>
    <row r="749" customFormat="false" ht="15" hidden="false" customHeight="true" outlineLevel="0" collapsed="false">
      <c r="A749" s="13"/>
      <c r="B749" s="10"/>
      <c r="C749" s="12" t="str">
        <f aca="false">IF($B749="","",IFERROR(INDEX(반품접수!$E$3:$E$1002,MATCH($B749,반품접수!$A$3:$A$1002,0)),"접수번호없음"))</f>
        <v/>
      </c>
      <c r="D749" s="10"/>
      <c r="E749" s="14"/>
      <c r="F749" s="10"/>
      <c r="G749" s="16"/>
      <c r="H749" s="10"/>
    </row>
    <row r="750" customFormat="false" ht="15" hidden="false" customHeight="true" outlineLevel="0" collapsed="false">
      <c r="A750" s="13"/>
      <c r="B750" s="10"/>
      <c r="C750" s="12" t="str">
        <f aca="false">IF($B750="","",IFERROR(INDEX(반품접수!$E$3:$E$1002,MATCH($B750,반품접수!$A$3:$A$1002,0)),"접수번호없음"))</f>
        <v/>
      </c>
      <c r="D750" s="10"/>
      <c r="E750" s="14"/>
      <c r="F750" s="10"/>
      <c r="G750" s="16"/>
      <c r="H750" s="10"/>
    </row>
    <row r="751" customFormat="false" ht="15" hidden="false" customHeight="true" outlineLevel="0" collapsed="false">
      <c r="A751" s="13"/>
      <c r="B751" s="10"/>
      <c r="C751" s="12" t="str">
        <f aca="false">IF($B751="","",IFERROR(INDEX(반품접수!$E$3:$E$1002,MATCH($B751,반품접수!$A$3:$A$1002,0)),"접수번호없음"))</f>
        <v/>
      </c>
      <c r="D751" s="10"/>
      <c r="E751" s="14"/>
      <c r="F751" s="10"/>
      <c r="G751" s="16"/>
      <c r="H751" s="10"/>
    </row>
    <row r="752" customFormat="false" ht="15" hidden="false" customHeight="true" outlineLevel="0" collapsed="false">
      <c r="A752" s="13"/>
      <c r="B752" s="10"/>
      <c r="C752" s="12" t="str">
        <f aca="false">IF($B752="","",IFERROR(INDEX(반품접수!$E$3:$E$1002,MATCH($B752,반품접수!$A$3:$A$1002,0)),"접수번호없음"))</f>
        <v/>
      </c>
      <c r="D752" s="10"/>
      <c r="E752" s="14"/>
      <c r="F752" s="10"/>
      <c r="G752" s="16"/>
      <c r="H752" s="10"/>
    </row>
    <row r="753" customFormat="false" ht="15" hidden="false" customHeight="true" outlineLevel="0" collapsed="false">
      <c r="A753" s="13"/>
      <c r="B753" s="10"/>
      <c r="C753" s="12" t="str">
        <f aca="false">IF($B753="","",IFERROR(INDEX(반품접수!$E$3:$E$1002,MATCH($B753,반품접수!$A$3:$A$1002,0)),"접수번호없음"))</f>
        <v/>
      </c>
      <c r="D753" s="10"/>
      <c r="E753" s="14"/>
      <c r="F753" s="10"/>
      <c r="G753" s="16"/>
      <c r="H753" s="10"/>
    </row>
    <row r="754" customFormat="false" ht="15" hidden="false" customHeight="true" outlineLevel="0" collapsed="false">
      <c r="A754" s="13"/>
      <c r="B754" s="10"/>
      <c r="C754" s="12" t="str">
        <f aca="false">IF($B754="","",IFERROR(INDEX(반품접수!$E$3:$E$1002,MATCH($B754,반품접수!$A$3:$A$1002,0)),"접수번호없음"))</f>
        <v/>
      </c>
      <c r="D754" s="10"/>
      <c r="E754" s="14"/>
      <c r="F754" s="10"/>
      <c r="G754" s="16"/>
      <c r="H754" s="10"/>
    </row>
    <row r="755" customFormat="false" ht="15" hidden="false" customHeight="true" outlineLevel="0" collapsed="false">
      <c r="A755" s="13"/>
      <c r="B755" s="10"/>
      <c r="C755" s="12" t="str">
        <f aca="false">IF($B755="","",IFERROR(INDEX(반품접수!$E$3:$E$1002,MATCH($B755,반품접수!$A$3:$A$1002,0)),"접수번호없음"))</f>
        <v/>
      </c>
      <c r="D755" s="10"/>
      <c r="E755" s="14"/>
      <c r="F755" s="10"/>
      <c r="G755" s="16"/>
      <c r="H755" s="10"/>
    </row>
    <row r="756" customFormat="false" ht="15" hidden="false" customHeight="true" outlineLevel="0" collapsed="false">
      <c r="A756" s="13"/>
      <c r="B756" s="10"/>
      <c r="C756" s="12" t="str">
        <f aca="false">IF($B756="","",IFERROR(INDEX(반품접수!$E$3:$E$1002,MATCH($B756,반품접수!$A$3:$A$1002,0)),"접수번호없음"))</f>
        <v/>
      </c>
      <c r="D756" s="10"/>
      <c r="E756" s="14"/>
      <c r="F756" s="10"/>
      <c r="G756" s="16"/>
      <c r="H756" s="10"/>
    </row>
    <row r="757" customFormat="false" ht="15" hidden="false" customHeight="true" outlineLevel="0" collapsed="false">
      <c r="A757" s="13"/>
      <c r="B757" s="10"/>
      <c r="C757" s="12" t="str">
        <f aca="false">IF($B757="","",IFERROR(INDEX(반품접수!$E$3:$E$1002,MATCH($B757,반품접수!$A$3:$A$1002,0)),"접수번호없음"))</f>
        <v/>
      </c>
      <c r="D757" s="10"/>
      <c r="E757" s="14"/>
      <c r="F757" s="10"/>
      <c r="G757" s="16"/>
      <c r="H757" s="10"/>
    </row>
    <row r="758" customFormat="false" ht="15" hidden="false" customHeight="true" outlineLevel="0" collapsed="false">
      <c r="A758" s="13"/>
      <c r="B758" s="10"/>
      <c r="C758" s="12" t="str">
        <f aca="false">IF($B758="","",IFERROR(INDEX(반품접수!$E$3:$E$1002,MATCH($B758,반품접수!$A$3:$A$1002,0)),"접수번호없음"))</f>
        <v/>
      </c>
      <c r="D758" s="10"/>
      <c r="E758" s="14"/>
      <c r="F758" s="10"/>
      <c r="G758" s="16"/>
      <c r="H758" s="10"/>
    </row>
    <row r="759" customFormat="false" ht="15" hidden="false" customHeight="true" outlineLevel="0" collapsed="false">
      <c r="A759" s="13"/>
      <c r="B759" s="10"/>
      <c r="C759" s="12" t="str">
        <f aca="false">IF($B759="","",IFERROR(INDEX(반품접수!$E$3:$E$1002,MATCH($B759,반품접수!$A$3:$A$1002,0)),"접수번호없음"))</f>
        <v/>
      </c>
      <c r="D759" s="10"/>
      <c r="E759" s="14"/>
      <c r="F759" s="10"/>
      <c r="G759" s="16"/>
      <c r="H759" s="10"/>
    </row>
    <row r="760" customFormat="false" ht="15" hidden="false" customHeight="true" outlineLevel="0" collapsed="false">
      <c r="A760" s="13"/>
      <c r="B760" s="10"/>
      <c r="C760" s="12" t="str">
        <f aca="false">IF($B760="","",IFERROR(INDEX(반품접수!$E$3:$E$1002,MATCH($B760,반품접수!$A$3:$A$1002,0)),"접수번호없음"))</f>
        <v/>
      </c>
      <c r="D760" s="10"/>
      <c r="E760" s="14"/>
      <c r="F760" s="10"/>
      <c r="G760" s="16"/>
      <c r="H760" s="10"/>
    </row>
    <row r="761" customFormat="false" ht="15" hidden="false" customHeight="true" outlineLevel="0" collapsed="false">
      <c r="A761" s="13"/>
      <c r="B761" s="10"/>
      <c r="C761" s="12" t="str">
        <f aca="false">IF($B761="","",IFERROR(INDEX(반품접수!$E$3:$E$1002,MATCH($B761,반품접수!$A$3:$A$1002,0)),"접수번호없음"))</f>
        <v/>
      </c>
      <c r="D761" s="10"/>
      <c r="E761" s="14"/>
      <c r="F761" s="10"/>
      <c r="G761" s="16"/>
      <c r="H761" s="10"/>
    </row>
    <row r="762" customFormat="false" ht="15" hidden="false" customHeight="true" outlineLevel="0" collapsed="false">
      <c r="A762" s="13"/>
      <c r="B762" s="10"/>
      <c r="C762" s="12" t="str">
        <f aca="false">IF($B762="","",IFERROR(INDEX(반품접수!$E$3:$E$1002,MATCH($B762,반품접수!$A$3:$A$1002,0)),"접수번호없음"))</f>
        <v/>
      </c>
      <c r="D762" s="10"/>
      <c r="E762" s="14"/>
      <c r="F762" s="10"/>
      <c r="G762" s="16"/>
      <c r="H762" s="10"/>
    </row>
    <row r="763" customFormat="false" ht="15" hidden="false" customHeight="true" outlineLevel="0" collapsed="false">
      <c r="A763" s="13"/>
      <c r="B763" s="10"/>
      <c r="C763" s="12" t="str">
        <f aca="false">IF($B763="","",IFERROR(INDEX(반품접수!$E$3:$E$1002,MATCH($B763,반품접수!$A$3:$A$1002,0)),"접수번호없음"))</f>
        <v/>
      </c>
      <c r="D763" s="10"/>
      <c r="E763" s="14"/>
      <c r="F763" s="10"/>
      <c r="G763" s="16"/>
      <c r="H763" s="10"/>
    </row>
    <row r="764" customFormat="false" ht="15" hidden="false" customHeight="true" outlineLevel="0" collapsed="false">
      <c r="A764" s="13"/>
      <c r="B764" s="10"/>
      <c r="C764" s="12" t="str">
        <f aca="false">IF($B764="","",IFERROR(INDEX(반품접수!$E$3:$E$1002,MATCH($B764,반품접수!$A$3:$A$1002,0)),"접수번호없음"))</f>
        <v/>
      </c>
      <c r="D764" s="10"/>
      <c r="E764" s="14"/>
      <c r="F764" s="10"/>
      <c r="G764" s="16"/>
      <c r="H764" s="10"/>
    </row>
    <row r="765" customFormat="false" ht="15" hidden="false" customHeight="true" outlineLevel="0" collapsed="false">
      <c r="A765" s="13"/>
      <c r="B765" s="10"/>
      <c r="C765" s="12" t="str">
        <f aca="false">IF($B765="","",IFERROR(INDEX(반품접수!$E$3:$E$1002,MATCH($B765,반품접수!$A$3:$A$1002,0)),"접수번호없음"))</f>
        <v/>
      </c>
      <c r="D765" s="10"/>
      <c r="E765" s="14"/>
      <c r="F765" s="10"/>
      <c r="G765" s="16"/>
      <c r="H765" s="10"/>
    </row>
    <row r="766" customFormat="false" ht="15" hidden="false" customHeight="true" outlineLevel="0" collapsed="false">
      <c r="A766" s="13"/>
      <c r="B766" s="10"/>
      <c r="C766" s="12" t="str">
        <f aca="false">IF($B766="","",IFERROR(INDEX(반품접수!$E$3:$E$1002,MATCH($B766,반품접수!$A$3:$A$1002,0)),"접수번호없음"))</f>
        <v/>
      </c>
      <c r="D766" s="10"/>
      <c r="E766" s="14"/>
      <c r="F766" s="10"/>
      <c r="G766" s="16"/>
      <c r="H766" s="10"/>
    </row>
    <row r="767" customFormat="false" ht="15" hidden="false" customHeight="true" outlineLevel="0" collapsed="false">
      <c r="A767" s="13"/>
      <c r="B767" s="10"/>
      <c r="C767" s="12" t="str">
        <f aca="false">IF($B767="","",IFERROR(INDEX(반품접수!$E$3:$E$1002,MATCH($B767,반품접수!$A$3:$A$1002,0)),"접수번호없음"))</f>
        <v/>
      </c>
      <c r="D767" s="10"/>
      <c r="E767" s="14"/>
      <c r="F767" s="10"/>
      <c r="G767" s="16"/>
      <c r="H767" s="10"/>
    </row>
    <row r="768" customFormat="false" ht="15" hidden="false" customHeight="true" outlineLevel="0" collapsed="false">
      <c r="A768" s="13"/>
      <c r="B768" s="10"/>
      <c r="C768" s="12" t="str">
        <f aca="false">IF($B768="","",IFERROR(INDEX(반품접수!$E$3:$E$1002,MATCH($B768,반품접수!$A$3:$A$1002,0)),"접수번호없음"))</f>
        <v/>
      </c>
      <c r="D768" s="10"/>
      <c r="E768" s="14"/>
      <c r="F768" s="10"/>
      <c r="G768" s="16"/>
      <c r="H768" s="10"/>
    </row>
    <row r="769" customFormat="false" ht="15" hidden="false" customHeight="true" outlineLevel="0" collapsed="false">
      <c r="A769" s="13"/>
      <c r="B769" s="10"/>
      <c r="C769" s="12" t="str">
        <f aca="false">IF($B769="","",IFERROR(INDEX(반품접수!$E$3:$E$1002,MATCH($B769,반품접수!$A$3:$A$1002,0)),"접수번호없음"))</f>
        <v/>
      </c>
      <c r="D769" s="10"/>
      <c r="E769" s="14"/>
      <c r="F769" s="10"/>
      <c r="G769" s="16"/>
      <c r="H769" s="10"/>
    </row>
    <row r="770" customFormat="false" ht="15" hidden="false" customHeight="true" outlineLevel="0" collapsed="false">
      <c r="A770" s="13"/>
      <c r="B770" s="10"/>
      <c r="C770" s="12" t="str">
        <f aca="false">IF($B770="","",IFERROR(INDEX(반품접수!$E$3:$E$1002,MATCH($B770,반품접수!$A$3:$A$1002,0)),"접수번호없음"))</f>
        <v/>
      </c>
      <c r="D770" s="10"/>
      <c r="E770" s="14"/>
      <c r="F770" s="10"/>
      <c r="G770" s="16"/>
      <c r="H770" s="10"/>
    </row>
    <row r="771" customFormat="false" ht="15" hidden="false" customHeight="true" outlineLevel="0" collapsed="false">
      <c r="A771" s="13"/>
      <c r="B771" s="10"/>
      <c r="C771" s="12" t="str">
        <f aca="false">IF($B771="","",IFERROR(INDEX(반품접수!$E$3:$E$1002,MATCH($B771,반품접수!$A$3:$A$1002,0)),"접수번호없음"))</f>
        <v/>
      </c>
      <c r="D771" s="10"/>
      <c r="E771" s="14"/>
      <c r="F771" s="10"/>
      <c r="G771" s="16"/>
      <c r="H771" s="10"/>
    </row>
    <row r="772" customFormat="false" ht="15" hidden="false" customHeight="true" outlineLevel="0" collapsed="false">
      <c r="A772" s="13"/>
      <c r="B772" s="10"/>
      <c r="C772" s="12" t="str">
        <f aca="false">IF($B772="","",IFERROR(INDEX(반품접수!$E$3:$E$1002,MATCH($B772,반품접수!$A$3:$A$1002,0)),"접수번호없음"))</f>
        <v/>
      </c>
      <c r="D772" s="10"/>
      <c r="E772" s="14"/>
      <c r="F772" s="10"/>
      <c r="G772" s="16"/>
      <c r="H772" s="10"/>
    </row>
    <row r="773" customFormat="false" ht="15" hidden="false" customHeight="true" outlineLevel="0" collapsed="false">
      <c r="A773" s="13"/>
      <c r="B773" s="10"/>
      <c r="C773" s="12" t="str">
        <f aca="false">IF($B773="","",IFERROR(INDEX(반품접수!$E$3:$E$1002,MATCH($B773,반품접수!$A$3:$A$1002,0)),"접수번호없음"))</f>
        <v/>
      </c>
      <c r="D773" s="10"/>
      <c r="E773" s="14"/>
      <c r="F773" s="10"/>
      <c r="G773" s="16"/>
      <c r="H773" s="10"/>
    </row>
    <row r="774" customFormat="false" ht="15" hidden="false" customHeight="true" outlineLevel="0" collapsed="false">
      <c r="A774" s="13"/>
      <c r="B774" s="10"/>
      <c r="C774" s="12" t="str">
        <f aca="false">IF($B774="","",IFERROR(INDEX(반품접수!$E$3:$E$1002,MATCH($B774,반품접수!$A$3:$A$1002,0)),"접수번호없음"))</f>
        <v/>
      </c>
      <c r="D774" s="10"/>
      <c r="E774" s="14"/>
      <c r="F774" s="10"/>
      <c r="G774" s="16"/>
      <c r="H774" s="10"/>
    </row>
    <row r="775" customFormat="false" ht="15" hidden="false" customHeight="true" outlineLevel="0" collapsed="false">
      <c r="A775" s="13"/>
      <c r="B775" s="10"/>
      <c r="C775" s="12" t="str">
        <f aca="false">IF($B775="","",IFERROR(INDEX(반품접수!$E$3:$E$1002,MATCH($B775,반품접수!$A$3:$A$1002,0)),"접수번호없음"))</f>
        <v/>
      </c>
      <c r="D775" s="10"/>
      <c r="E775" s="14"/>
      <c r="F775" s="10"/>
      <c r="G775" s="16"/>
      <c r="H775" s="10"/>
    </row>
    <row r="776" customFormat="false" ht="15" hidden="false" customHeight="true" outlineLevel="0" collapsed="false">
      <c r="A776" s="13"/>
      <c r="B776" s="10"/>
      <c r="C776" s="12" t="str">
        <f aca="false">IF($B776="","",IFERROR(INDEX(반품접수!$E$3:$E$1002,MATCH($B776,반품접수!$A$3:$A$1002,0)),"접수번호없음"))</f>
        <v/>
      </c>
      <c r="D776" s="10"/>
      <c r="E776" s="14"/>
      <c r="F776" s="10"/>
      <c r="G776" s="16"/>
      <c r="H776" s="10"/>
    </row>
    <row r="777" customFormat="false" ht="15" hidden="false" customHeight="true" outlineLevel="0" collapsed="false">
      <c r="A777" s="13"/>
      <c r="B777" s="10"/>
      <c r="C777" s="12" t="str">
        <f aca="false">IF($B777="","",IFERROR(INDEX(반품접수!$E$3:$E$1002,MATCH($B777,반품접수!$A$3:$A$1002,0)),"접수번호없음"))</f>
        <v/>
      </c>
      <c r="D777" s="10"/>
      <c r="E777" s="14"/>
      <c r="F777" s="10"/>
      <c r="G777" s="16"/>
      <c r="H777" s="10"/>
    </row>
    <row r="778" customFormat="false" ht="15" hidden="false" customHeight="true" outlineLevel="0" collapsed="false">
      <c r="A778" s="13"/>
      <c r="B778" s="10"/>
      <c r="C778" s="12" t="str">
        <f aca="false">IF($B778="","",IFERROR(INDEX(반품접수!$E$3:$E$1002,MATCH($B778,반품접수!$A$3:$A$1002,0)),"접수번호없음"))</f>
        <v/>
      </c>
      <c r="D778" s="10"/>
      <c r="E778" s="14"/>
      <c r="F778" s="10"/>
      <c r="G778" s="16"/>
      <c r="H778" s="10"/>
    </row>
    <row r="779" customFormat="false" ht="15" hidden="false" customHeight="true" outlineLevel="0" collapsed="false">
      <c r="A779" s="13"/>
      <c r="B779" s="10"/>
      <c r="C779" s="12" t="str">
        <f aca="false">IF($B779="","",IFERROR(INDEX(반품접수!$E$3:$E$1002,MATCH($B779,반품접수!$A$3:$A$1002,0)),"접수번호없음"))</f>
        <v/>
      </c>
      <c r="D779" s="10"/>
      <c r="E779" s="14"/>
      <c r="F779" s="10"/>
      <c r="G779" s="16"/>
      <c r="H779" s="10"/>
    </row>
    <row r="780" customFormat="false" ht="15" hidden="false" customHeight="true" outlineLevel="0" collapsed="false">
      <c r="A780" s="13"/>
      <c r="B780" s="10"/>
      <c r="C780" s="12" t="str">
        <f aca="false">IF($B780="","",IFERROR(INDEX(반품접수!$E$3:$E$1002,MATCH($B780,반품접수!$A$3:$A$1002,0)),"접수번호없음"))</f>
        <v/>
      </c>
      <c r="D780" s="10"/>
      <c r="E780" s="14"/>
      <c r="F780" s="10"/>
      <c r="G780" s="16"/>
      <c r="H780" s="10"/>
    </row>
    <row r="781" customFormat="false" ht="15" hidden="false" customHeight="true" outlineLevel="0" collapsed="false">
      <c r="A781" s="13"/>
      <c r="B781" s="10"/>
      <c r="C781" s="12" t="str">
        <f aca="false">IF($B781="","",IFERROR(INDEX(반품접수!$E$3:$E$1002,MATCH($B781,반품접수!$A$3:$A$1002,0)),"접수번호없음"))</f>
        <v/>
      </c>
      <c r="D781" s="10"/>
      <c r="E781" s="14"/>
      <c r="F781" s="10"/>
      <c r="G781" s="16"/>
      <c r="H781" s="10"/>
    </row>
    <row r="782" customFormat="false" ht="15" hidden="false" customHeight="true" outlineLevel="0" collapsed="false">
      <c r="A782" s="13"/>
      <c r="B782" s="10"/>
      <c r="C782" s="12" t="str">
        <f aca="false">IF($B782="","",IFERROR(INDEX(반품접수!$E$3:$E$1002,MATCH($B782,반품접수!$A$3:$A$1002,0)),"접수번호없음"))</f>
        <v/>
      </c>
      <c r="D782" s="10"/>
      <c r="E782" s="14"/>
      <c r="F782" s="10"/>
      <c r="G782" s="16"/>
      <c r="H782" s="10"/>
    </row>
    <row r="783" customFormat="false" ht="15" hidden="false" customHeight="true" outlineLevel="0" collapsed="false">
      <c r="A783" s="13"/>
      <c r="B783" s="10"/>
      <c r="C783" s="12" t="str">
        <f aca="false">IF($B783="","",IFERROR(INDEX(반품접수!$E$3:$E$1002,MATCH($B783,반품접수!$A$3:$A$1002,0)),"접수번호없음"))</f>
        <v/>
      </c>
      <c r="D783" s="10"/>
      <c r="E783" s="14"/>
      <c r="F783" s="10"/>
      <c r="G783" s="16"/>
      <c r="H783" s="10"/>
    </row>
    <row r="784" customFormat="false" ht="15" hidden="false" customHeight="true" outlineLevel="0" collapsed="false">
      <c r="A784" s="13"/>
      <c r="B784" s="10"/>
      <c r="C784" s="12" t="str">
        <f aca="false">IF($B784="","",IFERROR(INDEX(반품접수!$E$3:$E$1002,MATCH($B784,반품접수!$A$3:$A$1002,0)),"접수번호없음"))</f>
        <v/>
      </c>
      <c r="D784" s="10"/>
      <c r="E784" s="14"/>
      <c r="F784" s="10"/>
      <c r="G784" s="16"/>
      <c r="H784" s="10"/>
    </row>
    <row r="785" customFormat="false" ht="15" hidden="false" customHeight="true" outlineLevel="0" collapsed="false">
      <c r="A785" s="13"/>
      <c r="B785" s="10"/>
      <c r="C785" s="12" t="str">
        <f aca="false">IF($B785="","",IFERROR(INDEX(반품접수!$E$3:$E$1002,MATCH($B785,반품접수!$A$3:$A$1002,0)),"접수번호없음"))</f>
        <v/>
      </c>
      <c r="D785" s="10"/>
      <c r="E785" s="14"/>
      <c r="F785" s="10"/>
      <c r="G785" s="16"/>
      <c r="H785" s="10"/>
    </row>
    <row r="786" customFormat="false" ht="15" hidden="false" customHeight="true" outlineLevel="0" collapsed="false">
      <c r="A786" s="13"/>
      <c r="B786" s="10"/>
      <c r="C786" s="12" t="str">
        <f aca="false">IF($B786="","",IFERROR(INDEX(반품접수!$E$3:$E$1002,MATCH($B786,반품접수!$A$3:$A$1002,0)),"접수번호없음"))</f>
        <v/>
      </c>
      <c r="D786" s="10"/>
      <c r="E786" s="14"/>
      <c r="F786" s="10"/>
      <c r="G786" s="16"/>
      <c r="H786" s="10"/>
    </row>
    <row r="787" customFormat="false" ht="15" hidden="false" customHeight="true" outlineLevel="0" collapsed="false">
      <c r="A787" s="13"/>
      <c r="B787" s="10"/>
      <c r="C787" s="12" t="str">
        <f aca="false">IF($B787="","",IFERROR(INDEX(반품접수!$E$3:$E$1002,MATCH($B787,반품접수!$A$3:$A$1002,0)),"접수번호없음"))</f>
        <v/>
      </c>
      <c r="D787" s="10"/>
      <c r="E787" s="14"/>
      <c r="F787" s="10"/>
      <c r="G787" s="16"/>
      <c r="H787" s="10"/>
    </row>
    <row r="788" customFormat="false" ht="15" hidden="false" customHeight="true" outlineLevel="0" collapsed="false">
      <c r="A788" s="13"/>
      <c r="B788" s="10"/>
      <c r="C788" s="12" t="str">
        <f aca="false">IF($B788="","",IFERROR(INDEX(반품접수!$E$3:$E$1002,MATCH($B788,반품접수!$A$3:$A$1002,0)),"접수번호없음"))</f>
        <v/>
      </c>
      <c r="D788" s="10"/>
      <c r="E788" s="14"/>
      <c r="F788" s="10"/>
      <c r="G788" s="16"/>
      <c r="H788" s="10"/>
    </row>
    <row r="789" customFormat="false" ht="15" hidden="false" customHeight="true" outlineLevel="0" collapsed="false">
      <c r="A789" s="13"/>
      <c r="B789" s="10"/>
      <c r="C789" s="12" t="str">
        <f aca="false">IF($B789="","",IFERROR(INDEX(반품접수!$E$3:$E$1002,MATCH($B789,반품접수!$A$3:$A$1002,0)),"접수번호없음"))</f>
        <v/>
      </c>
      <c r="D789" s="10"/>
      <c r="E789" s="14"/>
      <c r="F789" s="10"/>
      <c r="G789" s="16"/>
      <c r="H789" s="10"/>
    </row>
    <row r="790" customFormat="false" ht="15" hidden="false" customHeight="true" outlineLevel="0" collapsed="false">
      <c r="A790" s="13"/>
      <c r="B790" s="10"/>
      <c r="C790" s="12" t="str">
        <f aca="false">IF($B790="","",IFERROR(INDEX(반품접수!$E$3:$E$1002,MATCH($B790,반품접수!$A$3:$A$1002,0)),"접수번호없음"))</f>
        <v/>
      </c>
      <c r="D790" s="10"/>
      <c r="E790" s="14"/>
      <c r="F790" s="10"/>
      <c r="G790" s="16"/>
      <c r="H790" s="10"/>
    </row>
    <row r="791" customFormat="false" ht="15" hidden="false" customHeight="true" outlineLevel="0" collapsed="false">
      <c r="A791" s="13"/>
      <c r="B791" s="10"/>
      <c r="C791" s="12" t="str">
        <f aca="false">IF($B791="","",IFERROR(INDEX(반품접수!$E$3:$E$1002,MATCH($B791,반품접수!$A$3:$A$1002,0)),"접수번호없음"))</f>
        <v/>
      </c>
      <c r="D791" s="10"/>
      <c r="E791" s="14"/>
      <c r="F791" s="10"/>
      <c r="G791" s="16"/>
      <c r="H791" s="10"/>
    </row>
    <row r="792" customFormat="false" ht="15" hidden="false" customHeight="true" outlineLevel="0" collapsed="false">
      <c r="A792" s="13"/>
      <c r="B792" s="10"/>
      <c r="C792" s="12" t="str">
        <f aca="false">IF($B792="","",IFERROR(INDEX(반품접수!$E$3:$E$1002,MATCH($B792,반품접수!$A$3:$A$1002,0)),"접수번호없음"))</f>
        <v/>
      </c>
      <c r="D792" s="10"/>
      <c r="E792" s="14"/>
      <c r="F792" s="10"/>
      <c r="G792" s="16"/>
      <c r="H792" s="10"/>
    </row>
    <row r="793" customFormat="false" ht="15" hidden="false" customHeight="true" outlineLevel="0" collapsed="false">
      <c r="A793" s="13"/>
      <c r="B793" s="10"/>
      <c r="C793" s="12" t="str">
        <f aca="false">IF($B793="","",IFERROR(INDEX(반품접수!$E$3:$E$1002,MATCH($B793,반품접수!$A$3:$A$1002,0)),"접수번호없음"))</f>
        <v/>
      </c>
      <c r="D793" s="10"/>
      <c r="E793" s="14"/>
      <c r="F793" s="10"/>
      <c r="G793" s="16"/>
      <c r="H793" s="10"/>
    </row>
    <row r="794" customFormat="false" ht="15" hidden="false" customHeight="true" outlineLevel="0" collapsed="false">
      <c r="A794" s="13"/>
      <c r="B794" s="10"/>
      <c r="C794" s="12" t="str">
        <f aca="false">IF($B794="","",IFERROR(INDEX(반품접수!$E$3:$E$1002,MATCH($B794,반품접수!$A$3:$A$1002,0)),"접수번호없음"))</f>
        <v/>
      </c>
      <c r="D794" s="10"/>
      <c r="E794" s="14"/>
      <c r="F794" s="10"/>
      <c r="G794" s="16"/>
      <c r="H794" s="10"/>
    </row>
    <row r="795" customFormat="false" ht="15" hidden="false" customHeight="true" outlineLevel="0" collapsed="false">
      <c r="A795" s="13"/>
      <c r="B795" s="10"/>
      <c r="C795" s="12" t="str">
        <f aca="false">IF($B795="","",IFERROR(INDEX(반품접수!$E$3:$E$1002,MATCH($B795,반품접수!$A$3:$A$1002,0)),"접수번호없음"))</f>
        <v/>
      </c>
      <c r="D795" s="10"/>
      <c r="E795" s="14"/>
      <c r="F795" s="10"/>
      <c r="G795" s="16"/>
      <c r="H795" s="10"/>
    </row>
    <row r="796" customFormat="false" ht="15" hidden="false" customHeight="true" outlineLevel="0" collapsed="false">
      <c r="A796" s="13"/>
      <c r="B796" s="10"/>
      <c r="C796" s="12" t="str">
        <f aca="false">IF($B796="","",IFERROR(INDEX(반품접수!$E$3:$E$1002,MATCH($B796,반품접수!$A$3:$A$1002,0)),"접수번호없음"))</f>
        <v/>
      </c>
      <c r="D796" s="10"/>
      <c r="E796" s="14"/>
      <c r="F796" s="10"/>
      <c r="G796" s="16"/>
      <c r="H796" s="10"/>
    </row>
    <row r="797" customFormat="false" ht="15" hidden="false" customHeight="true" outlineLevel="0" collapsed="false">
      <c r="A797" s="13"/>
      <c r="B797" s="10"/>
      <c r="C797" s="12" t="str">
        <f aca="false">IF($B797="","",IFERROR(INDEX(반품접수!$E$3:$E$1002,MATCH($B797,반품접수!$A$3:$A$1002,0)),"접수번호없음"))</f>
        <v/>
      </c>
      <c r="D797" s="10"/>
      <c r="E797" s="14"/>
      <c r="F797" s="10"/>
      <c r="G797" s="16"/>
      <c r="H797" s="10"/>
    </row>
    <row r="798" customFormat="false" ht="15" hidden="false" customHeight="true" outlineLevel="0" collapsed="false">
      <c r="A798" s="13"/>
      <c r="B798" s="10"/>
      <c r="C798" s="12" t="str">
        <f aca="false">IF($B798="","",IFERROR(INDEX(반품접수!$E$3:$E$1002,MATCH($B798,반품접수!$A$3:$A$1002,0)),"접수번호없음"))</f>
        <v/>
      </c>
      <c r="D798" s="10"/>
      <c r="E798" s="14"/>
      <c r="F798" s="10"/>
      <c r="G798" s="16"/>
      <c r="H798" s="10"/>
    </row>
    <row r="799" customFormat="false" ht="15" hidden="false" customHeight="true" outlineLevel="0" collapsed="false">
      <c r="A799" s="13"/>
      <c r="B799" s="10"/>
      <c r="C799" s="12" t="str">
        <f aca="false">IF($B799="","",IFERROR(INDEX(반품접수!$E$3:$E$1002,MATCH($B799,반품접수!$A$3:$A$1002,0)),"접수번호없음"))</f>
        <v/>
      </c>
      <c r="D799" s="10"/>
      <c r="E799" s="14"/>
      <c r="F799" s="10"/>
      <c r="G799" s="16"/>
      <c r="H799" s="10"/>
    </row>
    <row r="800" customFormat="false" ht="15" hidden="false" customHeight="true" outlineLevel="0" collapsed="false">
      <c r="A800" s="13"/>
      <c r="B800" s="10"/>
      <c r="C800" s="12" t="str">
        <f aca="false">IF($B800="","",IFERROR(INDEX(반품접수!$E$3:$E$1002,MATCH($B800,반품접수!$A$3:$A$1002,0)),"접수번호없음"))</f>
        <v/>
      </c>
      <c r="D800" s="10"/>
      <c r="E800" s="14"/>
      <c r="F800" s="10"/>
      <c r="G800" s="16"/>
      <c r="H800" s="10"/>
    </row>
    <row r="801" customFormat="false" ht="15" hidden="false" customHeight="true" outlineLevel="0" collapsed="false">
      <c r="A801" s="13"/>
      <c r="B801" s="10"/>
      <c r="C801" s="12" t="str">
        <f aca="false">IF($B801="","",IFERROR(INDEX(반품접수!$E$3:$E$1002,MATCH($B801,반품접수!$A$3:$A$1002,0)),"접수번호없음"))</f>
        <v/>
      </c>
      <c r="D801" s="10"/>
      <c r="E801" s="14"/>
      <c r="F801" s="10"/>
      <c r="G801" s="16"/>
      <c r="H801" s="10"/>
    </row>
    <row r="802" customFormat="false" ht="15" hidden="false" customHeight="true" outlineLevel="0" collapsed="false">
      <c r="A802" s="13"/>
      <c r="B802" s="10"/>
      <c r="C802" s="12" t="str">
        <f aca="false">IF($B802="","",IFERROR(INDEX(반품접수!$E$3:$E$1002,MATCH($B802,반품접수!$A$3:$A$1002,0)),"접수번호없음"))</f>
        <v/>
      </c>
      <c r="D802" s="10"/>
      <c r="E802" s="14"/>
      <c r="F802" s="10"/>
      <c r="G802" s="16"/>
      <c r="H802" s="10"/>
    </row>
    <row r="803" customFormat="false" ht="15" hidden="false" customHeight="true" outlineLevel="0" collapsed="false">
      <c r="A803" s="13"/>
      <c r="B803" s="10"/>
      <c r="C803" s="12" t="str">
        <f aca="false">IF($B803="","",IFERROR(INDEX(반품접수!$E$3:$E$1002,MATCH($B803,반품접수!$A$3:$A$1002,0)),"접수번호없음"))</f>
        <v/>
      </c>
      <c r="D803" s="10"/>
      <c r="E803" s="14"/>
      <c r="F803" s="10"/>
      <c r="G803" s="16"/>
      <c r="H803" s="10"/>
    </row>
    <row r="804" customFormat="false" ht="15" hidden="false" customHeight="true" outlineLevel="0" collapsed="false">
      <c r="A804" s="13"/>
      <c r="B804" s="10"/>
      <c r="C804" s="12" t="str">
        <f aca="false">IF($B804="","",IFERROR(INDEX(반품접수!$E$3:$E$1002,MATCH($B804,반품접수!$A$3:$A$1002,0)),"접수번호없음"))</f>
        <v/>
      </c>
      <c r="D804" s="10"/>
      <c r="E804" s="14"/>
      <c r="F804" s="10"/>
      <c r="G804" s="16"/>
      <c r="H804" s="10"/>
    </row>
    <row r="805" customFormat="false" ht="15" hidden="false" customHeight="true" outlineLevel="0" collapsed="false">
      <c r="A805" s="13"/>
      <c r="B805" s="10"/>
      <c r="C805" s="12" t="str">
        <f aca="false">IF($B805="","",IFERROR(INDEX(반품접수!$E$3:$E$1002,MATCH($B805,반품접수!$A$3:$A$1002,0)),"접수번호없음"))</f>
        <v/>
      </c>
      <c r="D805" s="10"/>
      <c r="E805" s="14"/>
      <c r="F805" s="10"/>
      <c r="G805" s="16"/>
      <c r="H805" s="10"/>
    </row>
    <row r="806" customFormat="false" ht="15" hidden="false" customHeight="true" outlineLevel="0" collapsed="false">
      <c r="A806" s="13"/>
      <c r="B806" s="10"/>
      <c r="C806" s="12" t="str">
        <f aca="false">IF($B806="","",IFERROR(INDEX(반품접수!$E$3:$E$1002,MATCH($B806,반품접수!$A$3:$A$1002,0)),"접수번호없음"))</f>
        <v/>
      </c>
      <c r="D806" s="10"/>
      <c r="E806" s="14"/>
      <c r="F806" s="10"/>
      <c r="G806" s="16"/>
      <c r="H806" s="10"/>
    </row>
    <row r="807" customFormat="false" ht="15" hidden="false" customHeight="true" outlineLevel="0" collapsed="false">
      <c r="A807" s="13"/>
      <c r="B807" s="10"/>
      <c r="C807" s="12" t="str">
        <f aca="false">IF($B807="","",IFERROR(INDEX(반품접수!$E$3:$E$1002,MATCH($B807,반품접수!$A$3:$A$1002,0)),"접수번호없음"))</f>
        <v/>
      </c>
      <c r="D807" s="10"/>
      <c r="E807" s="14"/>
      <c r="F807" s="10"/>
      <c r="G807" s="16"/>
      <c r="H807" s="10"/>
    </row>
    <row r="808" customFormat="false" ht="15" hidden="false" customHeight="true" outlineLevel="0" collapsed="false">
      <c r="A808" s="13"/>
      <c r="B808" s="10"/>
      <c r="C808" s="12" t="str">
        <f aca="false">IF($B808="","",IFERROR(INDEX(반품접수!$E$3:$E$1002,MATCH($B808,반품접수!$A$3:$A$1002,0)),"접수번호없음"))</f>
        <v/>
      </c>
      <c r="D808" s="10"/>
      <c r="E808" s="14"/>
      <c r="F808" s="10"/>
      <c r="G808" s="16"/>
      <c r="H808" s="10"/>
    </row>
    <row r="809" customFormat="false" ht="15" hidden="false" customHeight="true" outlineLevel="0" collapsed="false">
      <c r="A809" s="13"/>
      <c r="B809" s="10"/>
      <c r="C809" s="12" t="str">
        <f aca="false">IF($B809="","",IFERROR(INDEX(반품접수!$E$3:$E$1002,MATCH($B809,반품접수!$A$3:$A$1002,0)),"접수번호없음"))</f>
        <v/>
      </c>
      <c r="D809" s="10"/>
      <c r="E809" s="14"/>
      <c r="F809" s="10"/>
      <c r="G809" s="16"/>
      <c r="H809" s="10"/>
    </row>
    <row r="810" customFormat="false" ht="15" hidden="false" customHeight="true" outlineLevel="0" collapsed="false">
      <c r="A810" s="13"/>
      <c r="B810" s="10"/>
      <c r="C810" s="12" t="str">
        <f aca="false">IF($B810="","",IFERROR(INDEX(반품접수!$E$3:$E$1002,MATCH($B810,반품접수!$A$3:$A$1002,0)),"접수번호없음"))</f>
        <v/>
      </c>
      <c r="D810" s="10"/>
      <c r="E810" s="14"/>
      <c r="F810" s="10"/>
      <c r="G810" s="16"/>
      <c r="H810" s="10"/>
    </row>
    <row r="811" customFormat="false" ht="15" hidden="false" customHeight="true" outlineLevel="0" collapsed="false">
      <c r="A811" s="13"/>
      <c r="B811" s="10"/>
      <c r="C811" s="12" t="str">
        <f aca="false">IF($B811="","",IFERROR(INDEX(반품접수!$E$3:$E$1002,MATCH($B811,반품접수!$A$3:$A$1002,0)),"접수번호없음"))</f>
        <v/>
      </c>
      <c r="D811" s="10"/>
      <c r="E811" s="14"/>
      <c r="F811" s="10"/>
      <c r="G811" s="16"/>
      <c r="H811" s="10"/>
    </row>
    <row r="812" customFormat="false" ht="15" hidden="false" customHeight="true" outlineLevel="0" collapsed="false">
      <c r="A812" s="13"/>
      <c r="B812" s="10"/>
      <c r="C812" s="12" t="str">
        <f aca="false">IF($B812="","",IFERROR(INDEX(반품접수!$E$3:$E$1002,MATCH($B812,반품접수!$A$3:$A$1002,0)),"접수번호없음"))</f>
        <v/>
      </c>
      <c r="D812" s="10"/>
      <c r="E812" s="14"/>
      <c r="F812" s="10"/>
      <c r="G812" s="16"/>
      <c r="H812" s="10"/>
    </row>
    <row r="813" customFormat="false" ht="15" hidden="false" customHeight="true" outlineLevel="0" collapsed="false">
      <c r="A813" s="13"/>
      <c r="B813" s="10"/>
      <c r="C813" s="12" t="str">
        <f aca="false">IF($B813="","",IFERROR(INDEX(반품접수!$E$3:$E$1002,MATCH($B813,반품접수!$A$3:$A$1002,0)),"접수번호없음"))</f>
        <v/>
      </c>
      <c r="D813" s="10"/>
      <c r="E813" s="14"/>
      <c r="F813" s="10"/>
      <c r="G813" s="16"/>
      <c r="H813" s="10"/>
    </row>
    <row r="814" customFormat="false" ht="15" hidden="false" customHeight="true" outlineLevel="0" collapsed="false">
      <c r="A814" s="13"/>
      <c r="B814" s="10"/>
      <c r="C814" s="12" t="str">
        <f aca="false">IF($B814="","",IFERROR(INDEX(반품접수!$E$3:$E$1002,MATCH($B814,반품접수!$A$3:$A$1002,0)),"접수번호없음"))</f>
        <v/>
      </c>
      <c r="D814" s="10"/>
      <c r="E814" s="14"/>
      <c r="F814" s="10"/>
      <c r="G814" s="16"/>
      <c r="H814" s="10"/>
    </row>
    <row r="815" customFormat="false" ht="15" hidden="false" customHeight="true" outlineLevel="0" collapsed="false">
      <c r="A815" s="13"/>
      <c r="B815" s="10"/>
      <c r="C815" s="12" t="str">
        <f aca="false">IF($B815="","",IFERROR(INDEX(반품접수!$E$3:$E$1002,MATCH($B815,반품접수!$A$3:$A$1002,0)),"접수번호없음"))</f>
        <v/>
      </c>
      <c r="D815" s="10"/>
      <c r="E815" s="14"/>
      <c r="F815" s="10"/>
      <c r="G815" s="16"/>
      <c r="H815" s="10"/>
    </row>
    <row r="816" customFormat="false" ht="15" hidden="false" customHeight="true" outlineLevel="0" collapsed="false">
      <c r="A816" s="13"/>
      <c r="B816" s="10"/>
      <c r="C816" s="12" t="str">
        <f aca="false">IF($B816="","",IFERROR(INDEX(반품접수!$E$3:$E$1002,MATCH($B816,반품접수!$A$3:$A$1002,0)),"접수번호없음"))</f>
        <v/>
      </c>
      <c r="D816" s="10"/>
      <c r="E816" s="14"/>
      <c r="F816" s="10"/>
      <c r="G816" s="16"/>
      <c r="H816" s="10"/>
    </row>
    <row r="817" customFormat="false" ht="15" hidden="false" customHeight="true" outlineLevel="0" collapsed="false">
      <c r="A817" s="13"/>
      <c r="B817" s="10"/>
      <c r="C817" s="12" t="str">
        <f aca="false">IF($B817="","",IFERROR(INDEX(반품접수!$E$3:$E$1002,MATCH($B817,반품접수!$A$3:$A$1002,0)),"접수번호없음"))</f>
        <v/>
      </c>
      <c r="D817" s="10"/>
      <c r="E817" s="14"/>
      <c r="F817" s="10"/>
      <c r="G817" s="16"/>
      <c r="H817" s="10"/>
    </row>
    <row r="818" customFormat="false" ht="15" hidden="false" customHeight="true" outlineLevel="0" collapsed="false">
      <c r="A818" s="13"/>
      <c r="B818" s="10"/>
      <c r="C818" s="12" t="str">
        <f aca="false">IF($B818="","",IFERROR(INDEX(반품접수!$E$3:$E$1002,MATCH($B818,반품접수!$A$3:$A$1002,0)),"접수번호없음"))</f>
        <v/>
      </c>
      <c r="D818" s="10"/>
      <c r="E818" s="14"/>
      <c r="F818" s="10"/>
      <c r="G818" s="16"/>
      <c r="H818" s="10"/>
    </row>
    <row r="819" customFormat="false" ht="15" hidden="false" customHeight="true" outlineLevel="0" collapsed="false">
      <c r="A819" s="13"/>
      <c r="B819" s="10"/>
      <c r="C819" s="12" t="str">
        <f aca="false">IF($B819="","",IFERROR(INDEX(반품접수!$E$3:$E$1002,MATCH($B819,반품접수!$A$3:$A$1002,0)),"접수번호없음"))</f>
        <v/>
      </c>
      <c r="D819" s="10"/>
      <c r="E819" s="14"/>
      <c r="F819" s="10"/>
      <c r="G819" s="16"/>
      <c r="H819" s="10"/>
    </row>
    <row r="820" customFormat="false" ht="15" hidden="false" customHeight="true" outlineLevel="0" collapsed="false">
      <c r="A820" s="13"/>
      <c r="B820" s="10"/>
      <c r="C820" s="12" t="str">
        <f aca="false">IF($B820="","",IFERROR(INDEX(반품접수!$E$3:$E$1002,MATCH($B820,반품접수!$A$3:$A$1002,0)),"접수번호없음"))</f>
        <v/>
      </c>
      <c r="D820" s="10"/>
      <c r="E820" s="14"/>
      <c r="F820" s="10"/>
      <c r="G820" s="16"/>
      <c r="H820" s="10"/>
    </row>
    <row r="821" customFormat="false" ht="15" hidden="false" customHeight="true" outlineLevel="0" collapsed="false">
      <c r="A821" s="13"/>
      <c r="B821" s="10"/>
      <c r="C821" s="12" t="str">
        <f aca="false">IF($B821="","",IFERROR(INDEX(반품접수!$E$3:$E$1002,MATCH($B821,반품접수!$A$3:$A$1002,0)),"접수번호없음"))</f>
        <v/>
      </c>
      <c r="D821" s="10"/>
      <c r="E821" s="14"/>
      <c r="F821" s="10"/>
      <c r="G821" s="16"/>
      <c r="H821" s="10"/>
    </row>
    <row r="822" customFormat="false" ht="15" hidden="false" customHeight="true" outlineLevel="0" collapsed="false">
      <c r="A822" s="13"/>
      <c r="B822" s="10"/>
      <c r="C822" s="12" t="str">
        <f aca="false">IF($B822="","",IFERROR(INDEX(반품접수!$E$3:$E$1002,MATCH($B822,반품접수!$A$3:$A$1002,0)),"접수번호없음"))</f>
        <v/>
      </c>
      <c r="D822" s="10"/>
      <c r="E822" s="14"/>
      <c r="F822" s="10"/>
      <c r="G822" s="16"/>
      <c r="H822" s="10"/>
    </row>
    <row r="823" customFormat="false" ht="15" hidden="false" customHeight="true" outlineLevel="0" collapsed="false">
      <c r="A823" s="13"/>
      <c r="B823" s="10"/>
      <c r="C823" s="12" t="str">
        <f aca="false">IF($B823="","",IFERROR(INDEX(반품접수!$E$3:$E$1002,MATCH($B823,반품접수!$A$3:$A$1002,0)),"접수번호없음"))</f>
        <v/>
      </c>
      <c r="D823" s="10"/>
      <c r="E823" s="14"/>
      <c r="F823" s="10"/>
      <c r="G823" s="16"/>
      <c r="H823" s="10"/>
    </row>
    <row r="824" customFormat="false" ht="15" hidden="false" customHeight="true" outlineLevel="0" collapsed="false">
      <c r="A824" s="13"/>
      <c r="B824" s="10"/>
      <c r="C824" s="12" t="str">
        <f aca="false">IF($B824="","",IFERROR(INDEX(반품접수!$E$3:$E$1002,MATCH($B824,반품접수!$A$3:$A$1002,0)),"접수번호없음"))</f>
        <v/>
      </c>
      <c r="D824" s="10"/>
      <c r="E824" s="14"/>
      <c r="F824" s="10"/>
      <c r="G824" s="16"/>
      <c r="H824" s="10"/>
    </row>
    <row r="825" customFormat="false" ht="15" hidden="false" customHeight="true" outlineLevel="0" collapsed="false">
      <c r="A825" s="13"/>
      <c r="B825" s="10"/>
      <c r="C825" s="12" t="str">
        <f aca="false">IF($B825="","",IFERROR(INDEX(반품접수!$E$3:$E$1002,MATCH($B825,반품접수!$A$3:$A$1002,0)),"접수번호없음"))</f>
        <v/>
      </c>
      <c r="D825" s="10"/>
      <c r="E825" s="14"/>
      <c r="F825" s="10"/>
      <c r="G825" s="16"/>
      <c r="H825" s="10"/>
    </row>
    <row r="826" customFormat="false" ht="15" hidden="false" customHeight="true" outlineLevel="0" collapsed="false">
      <c r="A826" s="13"/>
      <c r="B826" s="10"/>
      <c r="C826" s="12" t="str">
        <f aca="false">IF($B826="","",IFERROR(INDEX(반품접수!$E$3:$E$1002,MATCH($B826,반품접수!$A$3:$A$1002,0)),"접수번호없음"))</f>
        <v/>
      </c>
      <c r="D826" s="10"/>
      <c r="E826" s="14"/>
      <c r="F826" s="10"/>
      <c r="G826" s="16"/>
      <c r="H826" s="10"/>
    </row>
    <row r="827" customFormat="false" ht="15" hidden="false" customHeight="true" outlineLevel="0" collapsed="false">
      <c r="A827" s="13"/>
      <c r="B827" s="10"/>
      <c r="C827" s="12" t="str">
        <f aca="false">IF($B827="","",IFERROR(INDEX(반품접수!$E$3:$E$1002,MATCH($B827,반품접수!$A$3:$A$1002,0)),"접수번호없음"))</f>
        <v/>
      </c>
      <c r="D827" s="10"/>
      <c r="E827" s="14"/>
      <c r="F827" s="10"/>
      <c r="G827" s="16"/>
      <c r="H827" s="10"/>
    </row>
    <row r="828" customFormat="false" ht="15" hidden="false" customHeight="true" outlineLevel="0" collapsed="false">
      <c r="A828" s="13"/>
      <c r="B828" s="10"/>
      <c r="C828" s="12" t="str">
        <f aca="false">IF($B828="","",IFERROR(INDEX(반품접수!$E$3:$E$1002,MATCH($B828,반품접수!$A$3:$A$1002,0)),"접수번호없음"))</f>
        <v/>
      </c>
      <c r="D828" s="10"/>
      <c r="E828" s="14"/>
      <c r="F828" s="10"/>
      <c r="G828" s="16"/>
      <c r="H828" s="10"/>
    </row>
    <row r="829" customFormat="false" ht="15" hidden="false" customHeight="true" outlineLevel="0" collapsed="false">
      <c r="A829" s="13"/>
      <c r="B829" s="10"/>
      <c r="C829" s="12" t="str">
        <f aca="false">IF($B829="","",IFERROR(INDEX(반품접수!$E$3:$E$1002,MATCH($B829,반품접수!$A$3:$A$1002,0)),"접수번호없음"))</f>
        <v/>
      </c>
      <c r="D829" s="10"/>
      <c r="E829" s="14"/>
      <c r="F829" s="10"/>
      <c r="G829" s="16"/>
      <c r="H829" s="10"/>
    </row>
    <row r="830" customFormat="false" ht="15" hidden="false" customHeight="true" outlineLevel="0" collapsed="false">
      <c r="A830" s="13"/>
      <c r="B830" s="10"/>
      <c r="C830" s="12" t="str">
        <f aca="false">IF($B830="","",IFERROR(INDEX(반품접수!$E$3:$E$1002,MATCH($B830,반품접수!$A$3:$A$1002,0)),"접수번호없음"))</f>
        <v/>
      </c>
      <c r="D830" s="10"/>
      <c r="E830" s="14"/>
      <c r="F830" s="10"/>
      <c r="G830" s="16"/>
      <c r="H830" s="10"/>
    </row>
    <row r="831" customFormat="false" ht="15" hidden="false" customHeight="true" outlineLevel="0" collapsed="false">
      <c r="A831" s="13"/>
      <c r="B831" s="10"/>
      <c r="C831" s="12" t="str">
        <f aca="false">IF($B831="","",IFERROR(INDEX(반품접수!$E$3:$E$1002,MATCH($B831,반품접수!$A$3:$A$1002,0)),"접수번호없음"))</f>
        <v/>
      </c>
      <c r="D831" s="10"/>
      <c r="E831" s="14"/>
      <c r="F831" s="10"/>
      <c r="G831" s="16"/>
      <c r="H831" s="10"/>
    </row>
    <row r="832" customFormat="false" ht="15" hidden="false" customHeight="true" outlineLevel="0" collapsed="false">
      <c r="A832" s="13"/>
      <c r="B832" s="10"/>
      <c r="C832" s="12" t="str">
        <f aca="false">IF($B832="","",IFERROR(INDEX(반품접수!$E$3:$E$1002,MATCH($B832,반품접수!$A$3:$A$1002,0)),"접수번호없음"))</f>
        <v/>
      </c>
      <c r="D832" s="10"/>
      <c r="E832" s="14"/>
      <c r="F832" s="10"/>
      <c r="G832" s="16"/>
      <c r="H832" s="10"/>
    </row>
    <row r="833" customFormat="false" ht="15" hidden="false" customHeight="true" outlineLevel="0" collapsed="false">
      <c r="A833" s="13"/>
      <c r="B833" s="10"/>
      <c r="C833" s="12" t="str">
        <f aca="false">IF($B833="","",IFERROR(INDEX(반품접수!$E$3:$E$1002,MATCH($B833,반품접수!$A$3:$A$1002,0)),"접수번호없음"))</f>
        <v/>
      </c>
      <c r="D833" s="10"/>
      <c r="E833" s="14"/>
      <c r="F833" s="10"/>
      <c r="G833" s="16"/>
      <c r="H833" s="10"/>
    </row>
    <row r="834" customFormat="false" ht="15" hidden="false" customHeight="true" outlineLevel="0" collapsed="false">
      <c r="A834" s="13"/>
      <c r="B834" s="10"/>
      <c r="C834" s="12" t="str">
        <f aca="false">IF($B834="","",IFERROR(INDEX(반품접수!$E$3:$E$1002,MATCH($B834,반품접수!$A$3:$A$1002,0)),"접수번호없음"))</f>
        <v/>
      </c>
      <c r="D834" s="10"/>
      <c r="E834" s="14"/>
      <c r="F834" s="10"/>
      <c r="G834" s="16"/>
      <c r="H834" s="10"/>
    </row>
    <row r="835" customFormat="false" ht="15" hidden="false" customHeight="true" outlineLevel="0" collapsed="false">
      <c r="A835" s="13"/>
      <c r="B835" s="10"/>
      <c r="C835" s="12" t="str">
        <f aca="false">IF($B835="","",IFERROR(INDEX(반품접수!$E$3:$E$1002,MATCH($B835,반품접수!$A$3:$A$1002,0)),"접수번호없음"))</f>
        <v/>
      </c>
      <c r="D835" s="10"/>
      <c r="E835" s="14"/>
      <c r="F835" s="10"/>
      <c r="G835" s="16"/>
      <c r="H835" s="10"/>
    </row>
    <row r="836" customFormat="false" ht="15" hidden="false" customHeight="true" outlineLevel="0" collapsed="false">
      <c r="A836" s="13"/>
      <c r="B836" s="10"/>
      <c r="C836" s="12" t="str">
        <f aca="false">IF($B836="","",IFERROR(INDEX(반품접수!$E$3:$E$1002,MATCH($B836,반품접수!$A$3:$A$1002,0)),"접수번호없음"))</f>
        <v/>
      </c>
      <c r="D836" s="10"/>
      <c r="E836" s="14"/>
      <c r="F836" s="10"/>
      <c r="G836" s="16"/>
      <c r="H836" s="10"/>
    </row>
    <row r="837" customFormat="false" ht="15" hidden="false" customHeight="true" outlineLevel="0" collapsed="false">
      <c r="A837" s="13"/>
      <c r="B837" s="10"/>
      <c r="C837" s="12" t="str">
        <f aca="false">IF($B837="","",IFERROR(INDEX(반품접수!$E$3:$E$1002,MATCH($B837,반품접수!$A$3:$A$1002,0)),"접수번호없음"))</f>
        <v/>
      </c>
      <c r="D837" s="10"/>
      <c r="E837" s="14"/>
      <c r="F837" s="10"/>
      <c r="G837" s="16"/>
      <c r="H837" s="10"/>
    </row>
    <row r="838" customFormat="false" ht="15" hidden="false" customHeight="true" outlineLevel="0" collapsed="false">
      <c r="A838" s="13"/>
      <c r="B838" s="10"/>
      <c r="C838" s="12" t="str">
        <f aca="false">IF($B838="","",IFERROR(INDEX(반품접수!$E$3:$E$1002,MATCH($B838,반품접수!$A$3:$A$1002,0)),"접수번호없음"))</f>
        <v/>
      </c>
      <c r="D838" s="10"/>
      <c r="E838" s="14"/>
      <c r="F838" s="10"/>
      <c r="G838" s="16"/>
      <c r="H838" s="10"/>
    </row>
    <row r="839" customFormat="false" ht="15" hidden="false" customHeight="true" outlineLevel="0" collapsed="false">
      <c r="A839" s="13"/>
      <c r="B839" s="10"/>
      <c r="C839" s="12" t="str">
        <f aca="false">IF($B839="","",IFERROR(INDEX(반품접수!$E$3:$E$1002,MATCH($B839,반품접수!$A$3:$A$1002,0)),"접수번호없음"))</f>
        <v/>
      </c>
      <c r="D839" s="10"/>
      <c r="E839" s="14"/>
      <c r="F839" s="10"/>
      <c r="G839" s="16"/>
      <c r="H839" s="10"/>
    </row>
    <row r="840" customFormat="false" ht="15" hidden="false" customHeight="true" outlineLevel="0" collapsed="false">
      <c r="A840" s="13"/>
      <c r="B840" s="10"/>
      <c r="C840" s="12" t="str">
        <f aca="false">IF($B840="","",IFERROR(INDEX(반품접수!$E$3:$E$1002,MATCH($B840,반품접수!$A$3:$A$1002,0)),"접수번호없음"))</f>
        <v/>
      </c>
      <c r="D840" s="10"/>
      <c r="E840" s="14"/>
      <c r="F840" s="10"/>
      <c r="G840" s="16"/>
      <c r="H840" s="10"/>
    </row>
    <row r="841" customFormat="false" ht="15" hidden="false" customHeight="true" outlineLevel="0" collapsed="false">
      <c r="A841" s="13"/>
      <c r="B841" s="10"/>
      <c r="C841" s="12" t="str">
        <f aca="false">IF($B841="","",IFERROR(INDEX(반품접수!$E$3:$E$1002,MATCH($B841,반품접수!$A$3:$A$1002,0)),"접수번호없음"))</f>
        <v/>
      </c>
      <c r="D841" s="10"/>
      <c r="E841" s="14"/>
      <c r="F841" s="10"/>
      <c r="G841" s="16"/>
      <c r="H841" s="10"/>
    </row>
    <row r="842" customFormat="false" ht="15" hidden="false" customHeight="true" outlineLevel="0" collapsed="false">
      <c r="A842" s="13"/>
      <c r="B842" s="10"/>
      <c r="C842" s="12" t="str">
        <f aca="false">IF($B842="","",IFERROR(INDEX(반품접수!$E$3:$E$1002,MATCH($B842,반품접수!$A$3:$A$1002,0)),"접수번호없음"))</f>
        <v/>
      </c>
      <c r="D842" s="10"/>
      <c r="E842" s="14"/>
      <c r="F842" s="10"/>
      <c r="G842" s="16"/>
      <c r="H842" s="10"/>
    </row>
    <row r="843" customFormat="false" ht="15" hidden="false" customHeight="true" outlineLevel="0" collapsed="false">
      <c r="A843" s="13"/>
      <c r="B843" s="10"/>
      <c r="C843" s="12" t="str">
        <f aca="false">IF($B843="","",IFERROR(INDEX(반품접수!$E$3:$E$1002,MATCH($B843,반품접수!$A$3:$A$1002,0)),"접수번호없음"))</f>
        <v/>
      </c>
      <c r="D843" s="10"/>
      <c r="E843" s="14"/>
      <c r="F843" s="10"/>
      <c r="G843" s="16"/>
      <c r="H843" s="10"/>
    </row>
    <row r="844" customFormat="false" ht="15" hidden="false" customHeight="true" outlineLevel="0" collapsed="false">
      <c r="A844" s="13"/>
      <c r="B844" s="10"/>
      <c r="C844" s="12" t="str">
        <f aca="false">IF($B844="","",IFERROR(INDEX(반품접수!$E$3:$E$1002,MATCH($B844,반품접수!$A$3:$A$1002,0)),"접수번호없음"))</f>
        <v/>
      </c>
      <c r="D844" s="10"/>
      <c r="E844" s="14"/>
      <c r="F844" s="10"/>
      <c r="G844" s="16"/>
      <c r="H844" s="10"/>
    </row>
    <row r="845" customFormat="false" ht="15" hidden="false" customHeight="true" outlineLevel="0" collapsed="false">
      <c r="A845" s="13"/>
      <c r="B845" s="10"/>
      <c r="C845" s="12" t="str">
        <f aca="false">IF($B845="","",IFERROR(INDEX(반품접수!$E$3:$E$1002,MATCH($B845,반품접수!$A$3:$A$1002,0)),"접수번호없음"))</f>
        <v/>
      </c>
      <c r="D845" s="10"/>
      <c r="E845" s="14"/>
      <c r="F845" s="10"/>
      <c r="G845" s="16"/>
      <c r="H845" s="10"/>
    </row>
    <row r="846" customFormat="false" ht="15" hidden="false" customHeight="true" outlineLevel="0" collapsed="false">
      <c r="A846" s="13"/>
      <c r="B846" s="10"/>
      <c r="C846" s="12" t="str">
        <f aca="false">IF($B846="","",IFERROR(INDEX(반품접수!$E$3:$E$1002,MATCH($B846,반품접수!$A$3:$A$1002,0)),"접수번호없음"))</f>
        <v/>
      </c>
      <c r="D846" s="10"/>
      <c r="E846" s="14"/>
      <c r="F846" s="10"/>
      <c r="G846" s="16"/>
      <c r="H846" s="10"/>
    </row>
    <row r="847" customFormat="false" ht="15" hidden="false" customHeight="true" outlineLevel="0" collapsed="false">
      <c r="A847" s="13"/>
      <c r="B847" s="10"/>
      <c r="C847" s="12" t="str">
        <f aca="false">IF($B847="","",IFERROR(INDEX(반품접수!$E$3:$E$1002,MATCH($B847,반품접수!$A$3:$A$1002,0)),"접수번호없음"))</f>
        <v/>
      </c>
      <c r="D847" s="10"/>
      <c r="E847" s="14"/>
      <c r="F847" s="10"/>
      <c r="G847" s="16"/>
      <c r="H847" s="10"/>
    </row>
    <row r="848" customFormat="false" ht="15" hidden="false" customHeight="true" outlineLevel="0" collapsed="false">
      <c r="A848" s="13"/>
      <c r="B848" s="10"/>
      <c r="C848" s="12" t="str">
        <f aca="false">IF($B848="","",IFERROR(INDEX(반품접수!$E$3:$E$1002,MATCH($B848,반품접수!$A$3:$A$1002,0)),"접수번호없음"))</f>
        <v/>
      </c>
      <c r="D848" s="10"/>
      <c r="E848" s="14"/>
      <c r="F848" s="10"/>
      <c r="G848" s="16"/>
      <c r="H848" s="10"/>
    </row>
    <row r="849" customFormat="false" ht="15" hidden="false" customHeight="true" outlineLevel="0" collapsed="false">
      <c r="A849" s="13"/>
      <c r="B849" s="10"/>
      <c r="C849" s="12" t="str">
        <f aca="false">IF($B849="","",IFERROR(INDEX(반품접수!$E$3:$E$1002,MATCH($B849,반품접수!$A$3:$A$1002,0)),"접수번호없음"))</f>
        <v/>
      </c>
      <c r="D849" s="10"/>
      <c r="E849" s="14"/>
      <c r="F849" s="10"/>
      <c r="G849" s="16"/>
      <c r="H849" s="10"/>
    </row>
    <row r="850" customFormat="false" ht="15" hidden="false" customHeight="true" outlineLevel="0" collapsed="false">
      <c r="A850" s="13"/>
      <c r="B850" s="10"/>
      <c r="C850" s="12" t="str">
        <f aca="false">IF($B850="","",IFERROR(INDEX(반품접수!$E$3:$E$1002,MATCH($B850,반품접수!$A$3:$A$1002,0)),"접수번호없음"))</f>
        <v/>
      </c>
      <c r="D850" s="10"/>
      <c r="E850" s="14"/>
      <c r="F850" s="10"/>
      <c r="G850" s="16"/>
      <c r="H850" s="10"/>
    </row>
    <row r="851" customFormat="false" ht="15" hidden="false" customHeight="true" outlineLevel="0" collapsed="false">
      <c r="A851" s="13"/>
      <c r="B851" s="10"/>
      <c r="C851" s="12" t="str">
        <f aca="false">IF($B851="","",IFERROR(INDEX(반품접수!$E$3:$E$1002,MATCH($B851,반품접수!$A$3:$A$1002,0)),"접수번호없음"))</f>
        <v/>
      </c>
      <c r="D851" s="10"/>
      <c r="E851" s="14"/>
      <c r="F851" s="10"/>
      <c r="G851" s="16"/>
      <c r="H851" s="10"/>
    </row>
    <row r="852" customFormat="false" ht="15" hidden="false" customHeight="true" outlineLevel="0" collapsed="false">
      <c r="A852" s="13"/>
      <c r="B852" s="10"/>
      <c r="C852" s="12" t="str">
        <f aca="false">IF($B852="","",IFERROR(INDEX(반품접수!$E$3:$E$1002,MATCH($B852,반품접수!$A$3:$A$1002,0)),"접수번호없음"))</f>
        <v/>
      </c>
      <c r="D852" s="10"/>
      <c r="E852" s="14"/>
      <c r="F852" s="10"/>
      <c r="G852" s="16"/>
      <c r="H852" s="10"/>
    </row>
    <row r="853" customFormat="false" ht="15" hidden="false" customHeight="true" outlineLevel="0" collapsed="false">
      <c r="A853" s="13"/>
      <c r="B853" s="10"/>
      <c r="C853" s="12" t="str">
        <f aca="false">IF($B853="","",IFERROR(INDEX(반품접수!$E$3:$E$1002,MATCH($B853,반품접수!$A$3:$A$1002,0)),"접수번호없음"))</f>
        <v/>
      </c>
      <c r="D853" s="10"/>
      <c r="E853" s="14"/>
      <c r="F853" s="10"/>
      <c r="G853" s="16"/>
      <c r="H853" s="10"/>
    </row>
    <row r="854" customFormat="false" ht="15" hidden="false" customHeight="true" outlineLevel="0" collapsed="false">
      <c r="A854" s="13"/>
      <c r="B854" s="10"/>
      <c r="C854" s="12" t="str">
        <f aca="false">IF($B854="","",IFERROR(INDEX(반품접수!$E$3:$E$1002,MATCH($B854,반품접수!$A$3:$A$1002,0)),"접수번호없음"))</f>
        <v/>
      </c>
      <c r="D854" s="10"/>
      <c r="E854" s="14"/>
      <c r="F854" s="10"/>
      <c r="G854" s="16"/>
      <c r="H854" s="10"/>
    </row>
    <row r="855" customFormat="false" ht="15" hidden="false" customHeight="true" outlineLevel="0" collapsed="false">
      <c r="A855" s="13"/>
      <c r="B855" s="10"/>
      <c r="C855" s="12" t="str">
        <f aca="false">IF($B855="","",IFERROR(INDEX(반품접수!$E$3:$E$1002,MATCH($B855,반품접수!$A$3:$A$1002,0)),"접수번호없음"))</f>
        <v/>
      </c>
      <c r="D855" s="10"/>
      <c r="E855" s="14"/>
      <c r="F855" s="10"/>
      <c r="G855" s="16"/>
      <c r="H855" s="10"/>
    </row>
    <row r="856" customFormat="false" ht="15" hidden="false" customHeight="true" outlineLevel="0" collapsed="false">
      <c r="A856" s="13"/>
      <c r="B856" s="10"/>
      <c r="C856" s="12" t="str">
        <f aca="false">IF($B856="","",IFERROR(INDEX(반품접수!$E$3:$E$1002,MATCH($B856,반품접수!$A$3:$A$1002,0)),"접수번호없음"))</f>
        <v/>
      </c>
      <c r="D856" s="10"/>
      <c r="E856" s="14"/>
      <c r="F856" s="10"/>
      <c r="G856" s="16"/>
      <c r="H856" s="10"/>
    </row>
    <row r="857" customFormat="false" ht="15" hidden="false" customHeight="true" outlineLevel="0" collapsed="false">
      <c r="A857" s="13"/>
      <c r="B857" s="10"/>
      <c r="C857" s="12" t="str">
        <f aca="false">IF($B857="","",IFERROR(INDEX(반품접수!$E$3:$E$1002,MATCH($B857,반품접수!$A$3:$A$1002,0)),"접수번호없음"))</f>
        <v/>
      </c>
      <c r="D857" s="10"/>
      <c r="E857" s="14"/>
      <c r="F857" s="10"/>
      <c r="G857" s="16"/>
      <c r="H857" s="10"/>
    </row>
    <row r="858" customFormat="false" ht="15" hidden="false" customHeight="true" outlineLevel="0" collapsed="false">
      <c r="A858" s="13"/>
      <c r="B858" s="10"/>
      <c r="C858" s="12" t="str">
        <f aca="false">IF($B858="","",IFERROR(INDEX(반품접수!$E$3:$E$1002,MATCH($B858,반품접수!$A$3:$A$1002,0)),"접수번호없음"))</f>
        <v/>
      </c>
      <c r="D858" s="10"/>
      <c r="E858" s="14"/>
      <c r="F858" s="10"/>
      <c r="G858" s="16"/>
      <c r="H858" s="10"/>
    </row>
    <row r="859" customFormat="false" ht="15" hidden="false" customHeight="true" outlineLevel="0" collapsed="false">
      <c r="A859" s="13"/>
      <c r="B859" s="10"/>
      <c r="C859" s="12" t="str">
        <f aca="false">IF($B859="","",IFERROR(INDEX(반품접수!$E$3:$E$1002,MATCH($B859,반품접수!$A$3:$A$1002,0)),"접수번호없음"))</f>
        <v/>
      </c>
      <c r="D859" s="10"/>
      <c r="E859" s="14"/>
      <c r="F859" s="10"/>
      <c r="G859" s="16"/>
      <c r="H859" s="10"/>
    </row>
    <row r="860" customFormat="false" ht="15" hidden="false" customHeight="true" outlineLevel="0" collapsed="false">
      <c r="A860" s="13"/>
      <c r="B860" s="10"/>
      <c r="C860" s="12" t="str">
        <f aca="false">IF($B860="","",IFERROR(INDEX(반품접수!$E$3:$E$1002,MATCH($B860,반품접수!$A$3:$A$1002,0)),"접수번호없음"))</f>
        <v/>
      </c>
      <c r="D860" s="10"/>
      <c r="E860" s="14"/>
      <c r="F860" s="10"/>
      <c r="G860" s="16"/>
      <c r="H860" s="10"/>
    </row>
    <row r="861" customFormat="false" ht="15" hidden="false" customHeight="true" outlineLevel="0" collapsed="false">
      <c r="A861" s="13"/>
      <c r="B861" s="10"/>
      <c r="C861" s="12" t="str">
        <f aca="false">IF($B861="","",IFERROR(INDEX(반품접수!$E$3:$E$1002,MATCH($B861,반품접수!$A$3:$A$1002,0)),"접수번호없음"))</f>
        <v/>
      </c>
      <c r="D861" s="10"/>
      <c r="E861" s="14"/>
      <c r="F861" s="10"/>
      <c r="G861" s="16"/>
      <c r="H861" s="10"/>
    </row>
    <row r="862" customFormat="false" ht="15" hidden="false" customHeight="true" outlineLevel="0" collapsed="false">
      <c r="A862" s="13"/>
      <c r="B862" s="10"/>
      <c r="C862" s="12" t="str">
        <f aca="false">IF($B862="","",IFERROR(INDEX(반품접수!$E$3:$E$1002,MATCH($B862,반품접수!$A$3:$A$1002,0)),"접수번호없음"))</f>
        <v/>
      </c>
      <c r="D862" s="10"/>
      <c r="E862" s="14"/>
      <c r="F862" s="10"/>
      <c r="G862" s="16"/>
      <c r="H862" s="10"/>
    </row>
    <row r="863" customFormat="false" ht="15" hidden="false" customHeight="true" outlineLevel="0" collapsed="false">
      <c r="A863" s="13"/>
      <c r="B863" s="10"/>
      <c r="C863" s="12" t="str">
        <f aca="false">IF($B863="","",IFERROR(INDEX(반품접수!$E$3:$E$1002,MATCH($B863,반품접수!$A$3:$A$1002,0)),"접수번호없음"))</f>
        <v/>
      </c>
      <c r="D863" s="10"/>
      <c r="E863" s="14"/>
      <c r="F863" s="10"/>
      <c r="G863" s="16"/>
      <c r="H863" s="10"/>
    </row>
    <row r="864" customFormat="false" ht="15" hidden="false" customHeight="true" outlineLevel="0" collapsed="false">
      <c r="A864" s="13"/>
      <c r="B864" s="10"/>
      <c r="C864" s="12" t="str">
        <f aca="false">IF($B864="","",IFERROR(INDEX(반품접수!$E$3:$E$1002,MATCH($B864,반품접수!$A$3:$A$1002,0)),"접수번호없음"))</f>
        <v/>
      </c>
      <c r="D864" s="10"/>
      <c r="E864" s="14"/>
      <c r="F864" s="10"/>
      <c r="G864" s="16"/>
      <c r="H864" s="10"/>
    </row>
    <row r="865" customFormat="false" ht="15" hidden="false" customHeight="true" outlineLevel="0" collapsed="false">
      <c r="A865" s="13"/>
      <c r="B865" s="10"/>
      <c r="C865" s="12" t="str">
        <f aca="false">IF($B865="","",IFERROR(INDEX(반품접수!$E$3:$E$1002,MATCH($B865,반품접수!$A$3:$A$1002,0)),"접수번호없음"))</f>
        <v/>
      </c>
      <c r="D865" s="10"/>
      <c r="E865" s="14"/>
      <c r="F865" s="10"/>
      <c r="G865" s="16"/>
      <c r="H865" s="10"/>
    </row>
    <row r="866" customFormat="false" ht="15" hidden="false" customHeight="true" outlineLevel="0" collapsed="false">
      <c r="A866" s="13"/>
      <c r="B866" s="10"/>
      <c r="C866" s="12" t="str">
        <f aca="false">IF($B866="","",IFERROR(INDEX(반품접수!$E$3:$E$1002,MATCH($B866,반품접수!$A$3:$A$1002,0)),"접수번호없음"))</f>
        <v/>
      </c>
      <c r="D866" s="10"/>
      <c r="E866" s="14"/>
      <c r="F866" s="10"/>
      <c r="G866" s="16"/>
      <c r="H866" s="10"/>
    </row>
    <row r="867" customFormat="false" ht="15" hidden="false" customHeight="true" outlineLevel="0" collapsed="false">
      <c r="A867" s="13"/>
      <c r="B867" s="10"/>
      <c r="C867" s="12" t="str">
        <f aca="false">IF($B867="","",IFERROR(INDEX(반품접수!$E$3:$E$1002,MATCH($B867,반품접수!$A$3:$A$1002,0)),"접수번호없음"))</f>
        <v/>
      </c>
      <c r="D867" s="10"/>
      <c r="E867" s="14"/>
      <c r="F867" s="10"/>
      <c r="G867" s="16"/>
      <c r="H867" s="10"/>
    </row>
    <row r="868" customFormat="false" ht="15" hidden="false" customHeight="true" outlineLevel="0" collapsed="false">
      <c r="A868" s="13"/>
      <c r="B868" s="10"/>
      <c r="C868" s="12" t="str">
        <f aca="false">IF($B868="","",IFERROR(INDEX(반품접수!$E$3:$E$1002,MATCH($B868,반품접수!$A$3:$A$1002,0)),"접수번호없음"))</f>
        <v/>
      </c>
      <c r="D868" s="10"/>
      <c r="E868" s="14"/>
      <c r="F868" s="10"/>
      <c r="G868" s="16"/>
      <c r="H868" s="10"/>
    </row>
    <row r="869" customFormat="false" ht="15" hidden="false" customHeight="true" outlineLevel="0" collapsed="false">
      <c r="A869" s="13"/>
      <c r="B869" s="10"/>
      <c r="C869" s="12" t="str">
        <f aca="false">IF($B869="","",IFERROR(INDEX(반품접수!$E$3:$E$1002,MATCH($B869,반품접수!$A$3:$A$1002,0)),"접수번호없음"))</f>
        <v/>
      </c>
      <c r="D869" s="10"/>
      <c r="E869" s="14"/>
      <c r="F869" s="10"/>
      <c r="G869" s="16"/>
      <c r="H869" s="10"/>
    </row>
    <row r="870" customFormat="false" ht="15" hidden="false" customHeight="true" outlineLevel="0" collapsed="false">
      <c r="A870" s="13"/>
      <c r="B870" s="10"/>
      <c r="C870" s="12" t="str">
        <f aca="false">IF($B870="","",IFERROR(INDEX(반품접수!$E$3:$E$1002,MATCH($B870,반품접수!$A$3:$A$1002,0)),"접수번호없음"))</f>
        <v/>
      </c>
      <c r="D870" s="10"/>
      <c r="E870" s="14"/>
      <c r="F870" s="10"/>
      <c r="G870" s="16"/>
      <c r="H870" s="10"/>
    </row>
    <row r="871" customFormat="false" ht="15" hidden="false" customHeight="true" outlineLevel="0" collapsed="false">
      <c r="A871" s="13"/>
      <c r="B871" s="10"/>
      <c r="C871" s="12" t="str">
        <f aca="false">IF($B871="","",IFERROR(INDEX(반품접수!$E$3:$E$1002,MATCH($B871,반품접수!$A$3:$A$1002,0)),"접수번호없음"))</f>
        <v/>
      </c>
      <c r="D871" s="10"/>
      <c r="E871" s="14"/>
      <c r="F871" s="10"/>
      <c r="G871" s="16"/>
      <c r="H871" s="10"/>
    </row>
    <row r="872" customFormat="false" ht="15" hidden="false" customHeight="true" outlineLevel="0" collapsed="false">
      <c r="A872" s="13"/>
      <c r="B872" s="10"/>
      <c r="C872" s="12" t="str">
        <f aca="false">IF($B872="","",IFERROR(INDEX(반품접수!$E$3:$E$1002,MATCH($B872,반품접수!$A$3:$A$1002,0)),"접수번호없음"))</f>
        <v/>
      </c>
      <c r="D872" s="10"/>
      <c r="E872" s="14"/>
      <c r="F872" s="10"/>
      <c r="G872" s="16"/>
      <c r="H872" s="10"/>
    </row>
    <row r="873" customFormat="false" ht="15" hidden="false" customHeight="true" outlineLevel="0" collapsed="false">
      <c r="A873" s="13"/>
      <c r="B873" s="10"/>
      <c r="C873" s="12" t="str">
        <f aca="false">IF($B873="","",IFERROR(INDEX(반품접수!$E$3:$E$1002,MATCH($B873,반품접수!$A$3:$A$1002,0)),"접수번호없음"))</f>
        <v/>
      </c>
      <c r="D873" s="10"/>
      <c r="E873" s="14"/>
      <c r="F873" s="10"/>
      <c r="G873" s="16"/>
      <c r="H873" s="10"/>
    </row>
    <row r="874" customFormat="false" ht="15" hidden="false" customHeight="true" outlineLevel="0" collapsed="false">
      <c r="A874" s="13"/>
      <c r="B874" s="10"/>
      <c r="C874" s="12" t="str">
        <f aca="false">IF($B874="","",IFERROR(INDEX(반품접수!$E$3:$E$1002,MATCH($B874,반품접수!$A$3:$A$1002,0)),"접수번호없음"))</f>
        <v/>
      </c>
      <c r="D874" s="10"/>
      <c r="E874" s="14"/>
      <c r="F874" s="10"/>
      <c r="G874" s="16"/>
      <c r="H874" s="10"/>
    </row>
    <row r="875" customFormat="false" ht="15" hidden="false" customHeight="true" outlineLevel="0" collapsed="false">
      <c r="A875" s="13"/>
      <c r="B875" s="10"/>
      <c r="C875" s="12" t="str">
        <f aca="false">IF($B875="","",IFERROR(INDEX(반품접수!$E$3:$E$1002,MATCH($B875,반품접수!$A$3:$A$1002,0)),"접수번호없음"))</f>
        <v/>
      </c>
      <c r="D875" s="10"/>
      <c r="E875" s="14"/>
      <c r="F875" s="10"/>
      <c r="G875" s="16"/>
      <c r="H875" s="10"/>
    </row>
    <row r="876" customFormat="false" ht="15" hidden="false" customHeight="true" outlineLevel="0" collapsed="false">
      <c r="A876" s="13"/>
      <c r="B876" s="10"/>
      <c r="C876" s="12" t="str">
        <f aca="false">IF($B876="","",IFERROR(INDEX(반품접수!$E$3:$E$1002,MATCH($B876,반품접수!$A$3:$A$1002,0)),"접수번호없음"))</f>
        <v/>
      </c>
      <c r="D876" s="10"/>
      <c r="E876" s="14"/>
      <c r="F876" s="10"/>
      <c r="G876" s="16"/>
      <c r="H876" s="10"/>
    </row>
    <row r="877" customFormat="false" ht="15" hidden="false" customHeight="true" outlineLevel="0" collapsed="false">
      <c r="A877" s="13"/>
      <c r="B877" s="10"/>
      <c r="C877" s="12" t="str">
        <f aca="false">IF($B877="","",IFERROR(INDEX(반품접수!$E$3:$E$1002,MATCH($B877,반품접수!$A$3:$A$1002,0)),"접수번호없음"))</f>
        <v/>
      </c>
      <c r="D877" s="10"/>
      <c r="E877" s="14"/>
      <c r="F877" s="10"/>
      <c r="G877" s="16"/>
      <c r="H877" s="10"/>
    </row>
    <row r="878" customFormat="false" ht="15" hidden="false" customHeight="true" outlineLevel="0" collapsed="false">
      <c r="A878" s="13"/>
      <c r="B878" s="10"/>
      <c r="C878" s="12" t="str">
        <f aca="false">IF($B878="","",IFERROR(INDEX(반품접수!$E$3:$E$1002,MATCH($B878,반품접수!$A$3:$A$1002,0)),"접수번호없음"))</f>
        <v/>
      </c>
      <c r="D878" s="10"/>
      <c r="E878" s="14"/>
      <c r="F878" s="10"/>
      <c r="G878" s="16"/>
      <c r="H878" s="10"/>
    </row>
    <row r="879" customFormat="false" ht="15" hidden="false" customHeight="true" outlineLevel="0" collapsed="false">
      <c r="A879" s="13"/>
      <c r="B879" s="10"/>
      <c r="C879" s="12" t="str">
        <f aca="false">IF($B879="","",IFERROR(INDEX(반품접수!$E$3:$E$1002,MATCH($B879,반품접수!$A$3:$A$1002,0)),"접수번호없음"))</f>
        <v/>
      </c>
      <c r="D879" s="10"/>
      <c r="E879" s="14"/>
      <c r="F879" s="10"/>
      <c r="G879" s="16"/>
      <c r="H879" s="10"/>
    </row>
    <row r="880" customFormat="false" ht="15" hidden="false" customHeight="true" outlineLevel="0" collapsed="false">
      <c r="A880" s="13"/>
      <c r="B880" s="10"/>
      <c r="C880" s="12" t="str">
        <f aca="false">IF($B880="","",IFERROR(INDEX(반품접수!$E$3:$E$1002,MATCH($B880,반품접수!$A$3:$A$1002,0)),"접수번호없음"))</f>
        <v/>
      </c>
      <c r="D880" s="10"/>
      <c r="E880" s="14"/>
      <c r="F880" s="10"/>
      <c r="G880" s="16"/>
      <c r="H880" s="10"/>
    </row>
    <row r="881" customFormat="false" ht="15" hidden="false" customHeight="true" outlineLevel="0" collapsed="false">
      <c r="A881" s="13"/>
      <c r="B881" s="10"/>
      <c r="C881" s="12" t="str">
        <f aca="false">IF($B881="","",IFERROR(INDEX(반품접수!$E$3:$E$1002,MATCH($B881,반품접수!$A$3:$A$1002,0)),"접수번호없음"))</f>
        <v/>
      </c>
      <c r="D881" s="10"/>
      <c r="E881" s="14"/>
      <c r="F881" s="10"/>
      <c r="G881" s="16"/>
      <c r="H881" s="10"/>
    </row>
    <row r="882" customFormat="false" ht="15" hidden="false" customHeight="true" outlineLevel="0" collapsed="false">
      <c r="A882" s="13"/>
      <c r="B882" s="10"/>
      <c r="C882" s="12" t="str">
        <f aca="false">IF($B882="","",IFERROR(INDEX(반품접수!$E$3:$E$1002,MATCH($B882,반품접수!$A$3:$A$1002,0)),"접수번호없음"))</f>
        <v/>
      </c>
      <c r="D882" s="10"/>
      <c r="E882" s="14"/>
      <c r="F882" s="10"/>
      <c r="G882" s="16"/>
      <c r="H882" s="10"/>
    </row>
    <row r="883" customFormat="false" ht="15" hidden="false" customHeight="true" outlineLevel="0" collapsed="false">
      <c r="A883" s="13"/>
      <c r="B883" s="10"/>
      <c r="C883" s="12" t="str">
        <f aca="false">IF($B883="","",IFERROR(INDEX(반품접수!$E$3:$E$1002,MATCH($B883,반품접수!$A$3:$A$1002,0)),"접수번호없음"))</f>
        <v/>
      </c>
      <c r="D883" s="10"/>
      <c r="E883" s="14"/>
      <c r="F883" s="10"/>
      <c r="G883" s="16"/>
      <c r="H883" s="10"/>
    </row>
    <row r="884" customFormat="false" ht="15" hidden="false" customHeight="true" outlineLevel="0" collapsed="false">
      <c r="A884" s="13"/>
      <c r="B884" s="10"/>
      <c r="C884" s="12" t="str">
        <f aca="false">IF($B884="","",IFERROR(INDEX(반품접수!$E$3:$E$1002,MATCH($B884,반품접수!$A$3:$A$1002,0)),"접수번호없음"))</f>
        <v/>
      </c>
      <c r="D884" s="10"/>
      <c r="E884" s="14"/>
      <c r="F884" s="10"/>
      <c r="G884" s="16"/>
      <c r="H884" s="10"/>
    </row>
    <row r="885" customFormat="false" ht="15" hidden="false" customHeight="true" outlineLevel="0" collapsed="false">
      <c r="A885" s="13"/>
      <c r="B885" s="10"/>
      <c r="C885" s="12" t="str">
        <f aca="false">IF($B885="","",IFERROR(INDEX(반품접수!$E$3:$E$1002,MATCH($B885,반품접수!$A$3:$A$1002,0)),"접수번호없음"))</f>
        <v/>
      </c>
      <c r="D885" s="10"/>
      <c r="E885" s="14"/>
      <c r="F885" s="10"/>
      <c r="G885" s="16"/>
      <c r="H885" s="10"/>
    </row>
    <row r="886" customFormat="false" ht="15" hidden="false" customHeight="true" outlineLevel="0" collapsed="false">
      <c r="A886" s="13"/>
      <c r="B886" s="10"/>
      <c r="C886" s="12" t="str">
        <f aca="false">IF($B886="","",IFERROR(INDEX(반품접수!$E$3:$E$1002,MATCH($B886,반품접수!$A$3:$A$1002,0)),"접수번호없음"))</f>
        <v/>
      </c>
      <c r="D886" s="10"/>
      <c r="E886" s="14"/>
      <c r="F886" s="10"/>
      <c r="G886" s="16"/>
      <c r="H886" s="10"/>
    </row>
    <row r="887" customFormat="false" ht="15" hidden="false" customHeight="true" outlineLevel="0" collapsed="false">
      <c r="A887" s="13"/>
      <c r="B887" s="10"/>
      <c r="C887" s="12" t="str">
        <f aca="false">IF($B887="","",IFERROR(INDEX(반품접수!$E$3:$E$1002,MATCH($B887,반품접수!$A$3:$A$1002,0)),"접수번호없음"))</f>
        <v/>
      </c>
      <c r="D887" s="10"/>
      <c r="E887" s="14"/>
      <c r="F887" s="10"/>
      <c r="G887" s="16"/>
      <c r="H887" s="10"/>
    </row>
    <row r="888" customFormat="false" ht="15" hidden="false" customHeight="true" outlineLevel="0" collapsed="false">
      <c r="A888" s="13"/>
      <c r="B888" s="10"/>
      <c r="C888" s="12" t="str">
        <f aca="false">IF($B888="","",IFERROR(INDEX(반품접수!$E$3:$E$1002,MATCH($B888,반품접수!$A$3:$A$1002,0)),"접수번호없음"))</f>
        <v/>
      </c>
      <c r="D888" s="10"/>
      <c r="E888" s="14"/>
      <c r="F888" s="10"/>
      <c r="G888" s="16"/>
      <c r="H888" s="10"/>
    </row>
    <row r="889" customFormat="false" ht="15" hidden="false" customHeight="true" outlineLevel="0" collapsed="false">
      <c r="A889" s="13"/>
      <c r="B889" s="10"/>
      <c r="C889" s="12" t="str">
        <f aca="false">IF($B889="","",IFERROR(INDEX(반품접수!$E$3:$E$1002,MATCH($B889,반품접수!$A$3:$A$1002,0)),"접수번호없음"))</f>
        <v/>
      </c>
      <c r="D889" s="10"/>
      <c r="E889" s="14"/>
      <c r="F889" s="10"/>
      <c r="G889" s="16"/>
      <c r="H889" s="10"/>
    </row>
    <row r="890" customFormat="false" ht="15" hidden="false" customHeight="true" outlineLevel="0" collapsed="false">
      <c r="A890" s="13"/>
      <c r="B890" s="10"/>
      <c r="C890" s="12" t="str">
        <f aca="false">IF($B890="","",IFERROR(INDEX(반품접수!$E$3:$E$1002,MATCH($B890,반품접수!$A$3:$A$1002,0)),"접수번호없음"))</f>
        <v/>
      </c>
      <c r="D890" s="10"/>
      <c r="E890" s="14"/>
      <c r="F890" s="10"/>
      <c r="G890" s="16"/>
      <c r="H890" s="10"/>
    </row>
    <row r="891" customFormat="false" ht="15" hidden="false" customHeight="true" outlineLevel="0" collapsed="false">
      <c r="A891" s="13"/>
      <c r="B891" s="10"/>
      <c r="C891" s="12" t="str">
        <f aca="false">IF($B891="","",IFERROR(INDEX(반품접수!$E$3:$E$1002,MATCH($B891,반품접수!$A$3:$A$1002,0)),"접수번호없음"))</f>
        <v/>
      </c>
      <c r="D891" s="10"/>
      <c r="E891" s="14"/>
      <c r="F891" s="10"/>
      <c r="G891" s="16"/>
      <c r="H891" s="10"/>
    </row>
    <row r="892" customFormat="false" ht="15" hidden="false" customHeight="true" outlineLevel="0" collapsed="false">
      <c r="A892" s="13"/>
      <c r="B892" s="10"/>
      <c r="C892" s="12" t="str">
        <f aca="false">IF($B892="","",IFERROR(INDEX(반품접수!$E$3:$E$1002,MATCH($B892,반품접수!$A$3:$A$1002,0)),"접수번호없음"))</f>
        <v/>
      </c>
      <c r="D892" s="10"/>
      <c r="E892" s="14"/>
      <c r="F892" s="10"/>
      <c r="G892" s="16"/>
      <c r="H892" s="10"/>
    </row>
    <row r="893" customFormat="false" ht="15" hidden="false" customHeight="true" outlineLevel="0" collapsed="false">
      <c r="A893" s="13"/>
      <c r="B893" s="10"/>
      <c r="C893" s="12" t="str">
        <f aca="false">IF($B893="","",IFERROR(INDEX(반품접수!$E$3:$E$1002,MATCH($B893,반품접수!$A$3:$A$1002,0)),"접수번호없음"))</f>
        <v/>
      </c>
      <c r="D893" s="10"/>
      <c r="E893" s="14"/>
      <c r="F893" s="10"/>
      <c r="G893" s="16"/>
      <c r="H893" s="10"/>
    </row>
    <row r="894" customFormat="false" ht="15" hidden="false" customHeight="true" outlineLevel="0" collapsed="false">
      <c r="A894" s="13"/>
      <c r="B894" s="10"/>
      <c r="C894" s="12" t="str">
        <f aca="false">IF($B894="","",IFERROR(INDEX(반품접수!$E$3:$E$1002,MATCH($B894,반품접수!$A$3:$A$1002,0)),"접수번호없음"))</f>
        <v/>
      </c>
      <c r="D894" s="10"/>
      <c r="E894" s="14"/>
      <c r="F894" s="10"/>
      <c r="G894" s="16"/>
      <c r="H894" s="10"/>
    </row>
    <row r="895" customFormat="false" ht="15" hidden="false" customHeight="true" outlineLevel="0" collapsed="false">
      <c r="A895" s="13"/>
      <c r="B895" s="10"/>
      <c r="C895" s="12" t="str">
        <f aca="false">IF($B895="","",IFERROR(INDEX(반품접수!$E$3:$E$1002,MATCH($B895,반품접수!$A$3:$A$1002,0)),"접수번호없음"))</f>
        <v/>
      </c>
      <c r="D895" s="10"/>
      <c r="E895" s="14"/>
      <c r="F895" s="10"/>
      <c r="G895" s="16"/>
      <c r="H895" s="10"/>
    </row>
    <row r="896" customFormat="false" ht="15" hidden="false" customHeight="true" outlineLevel="0" collapsed="false">
      <c r="A896" s="13"/>
      <c r="B896" s="10"/>
      <c r="C896" s="12" t="str">
        <f aca="false">IF($B896="","",IFERROR(INDEX(반품접수!$E$3:$E$1002,MATCH($B896,반품접수!$A$3:$A$1002,0)),"접수번호없음"))</f>
        <v/>
      </c>
      <c r="D896" s="10"/>
      <c r="E896" s="14"/>
      <c r="F896" s="10"/>
      <c r="G896" s="16"/>
      <c r="H896" s="10"/>
    </row>
    <row r="897" customFormat="false" ht="15" hidden="false" customHeight="true" outlineLevel="0" collapsed="false">
      <c r="A897" s="13"/>
      <c r="B897" s="10"/>
      <c r="C897" s="12" t="str">
        <f aca="false">IF($B897="","",IFERROR(INDEX(반품접수!$E$3:$E$1002,MATCH($B897,반품접수!$A$3:$A$1002,0)),"접수번호없음"))</f>
        <v/>
      </c>
      <c r="D897" s="10"/>
      <c r="E897" s="14"/>
      <c r="F897" s="10"/>
      <c r="G897" s="16"/>
      <c r="H897" s="10"/>
    </row>
    <row r="898" customFormat="false" ht="15" hidden="false" customHeight="true" outlineLevel="0" collapsed="false">
      <c r="A898" s="13"/>
      <c r="B898" s="10"/>
      <c r="C898" s="12" t="str">
        <f aca="false">IF($B898="","",IFERROR(INDEX(반품접수!$E$3:$E$1002,MATCH($B898,반품접수!$A$3:$A$1002,0)),"접수번호없음"))</f>
        <v/>
      </c>
      <c r="D898" s="10"/>
      <c r="E898" s="14"/>
      <c r="F898" s="10"/>
      <c r="G898" s="16"/>
      <c r="H898" s="10"/>
    </row>
    <row r="899" customFormat="false" ht="15" hidden="false" customHeight="true" outlineLevel="0" collapsed="false">
      <c r="A899" s="13"/>
      <c r="B899" s="10"/>
      <c r="C899" s="12" t="str">
        <f aca="false">IF($B899="","",IFERROR(INDEX(반품접수!$E$3:$E$1002,MATCH($B899,반품접수!$A$3:$A$1002,0)),"접수번호없음"))</f>
        <v/>
      </c>
      <c r="D899" s="10"/>
      <c r="E899" s="14"/>
      <c r="F899" s="10"/>
      <c r="G899" s="16"/>
      <c r="H899" s="10"/>
    </row>
    <row r="900" customFormat="false" ht="15" hidden="false" customHeight="true" outlineLevel="0" collapsed="false">
      <c r="A900" s="13"/>
      <c r="B900" s="10"/>
      <c r="C900" s="12" t="str">
        <f aca="false">IF($B900="","",IFERROR(INDEX(반품접수!$E$3:$E$1002,MATCH($B900,반품접수!$A$3:$A$1002,0)),"접수번호없음"))</f>
        <v/>
      </c>
      <c r="D900" s="10"/>
      <c r="E900" s="14"/>
      <c r="F900" s="10"/>
      <c r="G900" s="16"/>
      <c r="H900" s="10"/>
    </row>
    <row r="901" customFormat="false" ht="15" hidden="false" customHeight="true" outlineLevel="0" collapsed="false">
      <c r="A901" s="13"/>
      <c r="B901" s="10"/>
      <c r="C901" s="12" t="str">
        <f aca="false">IF($B901="","",IFERROR(INDEX(반품접수!$E$3:$E$1002,MATCH($B901,반품접수!$A$3:$A$1002,0)),"접수번호없음"))</f>
        <v/>
      </c>
      <c r="D901" s="10"/>
      <c r="E901" s="14"/>
      <c r="F901" s="10"/>
      <c r="G901" s="16"/>
      <c r="H901" s="10"/>
    </row>
    <row r="902" customFormat="false" ht="15" hidden="false" customHeight="true" outlineLevel="0" collapsed="false">
      <c r="A902" s="13"/>
      <c r="B902" s="10"/>
      <c r="C902" s="12" t="str">
        <f aca="false">IF($B902="","",IFERROR(INDEX(반품접수!$E$3:$E$1002,MATCH($B902,반품접수!$A$3:$A$1002,0)),"접수번호없음"))</f>
        <v/>
      </c>
      <c r="D902" s="10"/>
      <c r="E902" s="14"/>
      <c r="F902" s="10"/>
      <c r="G902" s="16"/>
      <c r="H902" s="10"/>
    </row>
    <row r="903" customFormat="false" ht="15" hidden="false" customHeight="true" outlineLevel="0" collapsed="false">
      <c r="A903" s="13"/>
      <c r="B903" s="10"/>
      <c r="C903" s="12" t="str">
        <f aca="false">IF($B903="","",IFERROR(INDEX(반품접수!$E$3:$E$1002,MATCH($B903,반품접수!$A$3:$A$1002,0)),"접수번호없음"))</f>
        <v/>
      </c>
      <c r="D903" s="10"/>
      <c r="E903" s="14"/>
      <c r="F903" s="10"/>
      <c r="G903" s="16"/>
      <c r="H903" s="10"/>
    </row>
    <row r="904" customFormat="false" ht="15" hidden="false" customHeight="true" outlineLevel="0" collapsed="false">
      <c r="A904" s="13"/>
      <c r="B904" s="10"/>
      <c r="C904" s="12" t="str">
        <f aca="false">IF($B904="","",IFERROR(INDEX(반품접수!$E$3:$E$1002,MATCH($B904,반품접수!$A$3:$A$1002,0)),"접수번호없음"))</f>
        <v/>
      </c>
      <c r="D904" s="10"/>
      <c r="E904" s="14"/>
      <c r="F904" s="10"/>
      <c r="G904" s="16"/>
      <c r="H904" s="10"/>
    </row>
    <row r="905" customFormat="false" ht="15" hidden="false" customHeight="true" outlineLevel="0" collapsed="false">
      <c r="A905" s="13"/>
      <c r="B905" s="10"/>
      <c r="C905" s="12" t="str">
        <f aca="false">IF($B905="","",IFERROR(INDEX(반품접수!$E$3:$E$1002,MATCH($B905,반품접수!$A$3:$A$1002,0)),"접수번호없음"))</f>
        <v/>
      </c>
      <c r="D905" s="10"/>
      <c r="E905" s="14"/>
      <c r="F905" s="10"/>
      <c r="G905" s="16"/>
      <c r="H905" s="10"/>
    </row>
    <row r="906" customFormat="false" ht="15" hidden="false" customHeight="true" outlineLevel="0" collapsed="false">
      <c r="A906" s="13"/>
      <c r="B906" s="10"/>
      <c r="C906" s="12" t="str">
        <f aca="false">IF($B906="","",IFERROR(INDEX(반품접수!$E$3:$E$1002,MATCH($B906,반품접수!$A$3:$A$1002,0)),"접수번호없음"))</f>
        <v/>
      </c>
      <c r="D906" s="10"/>
      <c r="E906" s="14"/>
      <c r="F906" s="10"/>
      <c r="G906" s="16"/>
      <c r="H906" s="10"/>
    </row>
    <row r="907" customFormat="false" ht="15" hidden="false" customHeight="true" outlineLevel="0" collapsed="false">
      <c r="A907" s="13"/>
      <c r="B907" s="10"/>
      <c r="C907" s="12" t="str">
        <f aca="false">IF($B907="","",IFERROR(INDEX(반품접수!$E$3:$E$1002,MATCH($B907,반품접수!$A$3:$A$1002,0)),"접수번호없음"))</f>
        <v/>
      </c>
      <c r="D907" s="10"/>
      <c r="E907" s="14"/>
      <c r="F907" s="10"/>
      <c r="G907" s="16"/>
      <c r="H907" s="10"/>
    </row>
    <row r="908" customFormat="false" ht="15" hidden="false" customHeight="true" outlineLevel="0" collapsed="false">
      <c r="A908" s="13"/>
      <c r="B908" s="10"/>
      <c r="C908" s="12" t="str">
        <f aca="false">IF($B908="","",IFERROR(INDEX(반품접수!$E$3:$E$1002,MATCH($B908,반품접수!$A$3:$A$1002,0)),"접수번호없음"))</f>
        <v/>
      </c>
      <c r="D908" s="10"/>
      <c r="E908" s="14"/>
      <c r="F908" s="10"/>
      <c r="G908" s="16"/>
      <c r="H908" s="10"/>
    </row>
    <row r="909" customFormat="false" ht="15" hidden="false" customHeight="true" outlineLevel="0" collapsed="false">
      <c r="A909" s="13"/>
      <c r="B909" s="10"/>
      <c r="C909" s="12" t="str">
        <f aca="false">IF($B909="","",IFERROR(INDEX(반품접수!$E$3:$E$1002,MATCH($B909,반품접수!$A$3:$A$1002,0)),"접수번호없음"))</f>
        <v/>
      </c>
      <c r="D909" s="10"/>
      <c r="E909" s="14"/>
      <c r="F909" s="10"/>
      <c r="G909" s="16"/>
      <c r="H909" s="10"/>
    </row>
    <row r="910" customFormat="false" ht="15" hidden="false" customHeight="true" outlineLevel="0" collapsed="false">
      <c r="A910" s="13"/>
      <c r="B910" s="10"/>
      <c r="C910" s="12" t="str">
        <f aca="false">IF($B910="","",IFERROR(INDEX(반품접수!$E$3:$E$1002,MATCH($B910,반품접수!$A$3:$A$1002,0)),"접수번호없음"))</f>
        <v/>
      </c>
      <c r="D910" s="10"/>
      <c r="E910" s="14"/>
      <c r="F910" s="10"/>
      <c r="G910" s="16"/>
      <c r="H910" s="10"/>
    </row>
    <row r="911" customFormat="false" ht="15" hidden="false" customHeight="true" outlineLevel="0" collapsed="false">
      <c r="A911" s="13"/>
      <c r="B911" s="10"/>
      <c r="C911" s="12" t="str">
        <f aca="false">IF($B911="","",IFERROR(INDEX(반품접수!$E$3:$E$1002,MATCH($B911,반품접수!$A$3:$A$1002,0)),"접수번호없음"))</f>
        <v/>
      </c>
      <c r="D911" s="10"/>
      <c r="E911" s="14"/>
      <c r="F911" s="10"/>
      <c r="G911" s="16"/>
      <c r="H911" s="10"/>
    </row>
    <row r="912" customFormat="false" ht="15" hidden="false" customHeight="true" outlineLevel="0" collapsed="false">
      <c r="A912" s="13"/>
      <c r="B912" s="10"/>
      <c r="C912" s="12" t="str">
        <f aca="false">IF($B912="","",IFERROR(INDEX(반품접수!$E$3:$E$1002,MATCH($B912,반품접수!$A$3:$A$1002,0)),"접수번호없음"))</f>
        <v/>
      </c>
      <c r="D912" s="10"/>
      <c r="E912" s="14"/>
      <c r="F912" s="10"/>
      <c r="G912" s="16"/>
      <c r="H912" s="10"/>
    </row>
    <row r="913" customFormat="false" ht="15" hidden="false" customHeight="true" outlineLevel="0" collapsed="false">
      <c r="A913" s="13"/>
      <c r="B913" s="10"/>
      <c r="C913" s="12" t="str">
        <f aca="false">IF($B913="","",IFERROR(INDEX(반품접수!$E$3:$E$1002,MATCH($B913,반품접수!$A$3:$A$1002,0)),"접수번호없음"))</f>
        <v/>
      </c>
      <c r="D913" s="10"/>
      <c r="E913" s="14"/>
      <c r="F913" s="10"/>
      <c r="G913" s="16"/>
      <c r="H913" s="10"/>
    </row>
    <row r="914" customFormat="false" ht="15" hidden="false" customHeight="true" outlineLevel="0" collapsed="false">
      <c r="A914" s="13"/>
      <c r="B914" s="10"/>
      <c r="C914" s="12" t="str">
        <f aca="false">IF($B914="","",IFERROR(INDEX(반품접수!$E$3:$E$1002,MATCH($B914,반품접수!$A$3:$A$1002,0)),"접수번호없음"))</f>
        <v/>
      </c>
      <c r="D914" s="10"/>
      <c r="E914" s="14"/>
      <c r="F914" s="10"/>
      <c r="G914" s="16"/>
      <c r="H914" s="10"/>
    </row>
    <row r="915" customFormat="false" ht="15" hidden="false" customHeight="true" outlineLevel="0" collapsed="false">
      <c r="A915" s="13"/>
      <c r="B915" s="10"/>
      <c r="C915" s="12" t="str">
        <f aca="false">IF($B915="","",IFERROR(INDEX(반품접수!$E$3:$E$1002,MATCH($B915,반품접수!$A$3:$A$1002,0)),"접수번호없음"))</f>
        <v/>
      </c>
      <c r="D915" s="10"/>
      <c r="E915" s="14"/>
      <c r="F915" s="10"/>
      <c r="G915" s="16"/>
      <c r="H915" s="10"/>
    </row>
    <row r="916" customFormat="false" ht="15" hidden="false" customHeight="true" outlineLevel="0" collapsed="false">
      <c r="A916" s="13"/>
      <c r="B916" s="10"/>
      <c r="C916" s="12" t="str">
        <f aca="false">IF($B916="","",IFERROR(INDEX(반품접수!$E$3:$E$1002,MATCH($B916,반품접수!$A$3:$A$1002,0)),"접수번호없음"))</f>
        <v/>
      </c>
      <c r="D916" s="10"/>
      <c r="E916" s="14"/>
      <c r="F916" s="10"/>
      <c r="G916" s="16"/>
      <c r="H916" s="10"/>
    </row>
    <row r="917" customFormat="false" ht="15" hidden="false" customHeight="true" outlineLevel="0" collapsed="false">
      <c r="A917" s="13"/>
      <c r="B917" s="10"/>
      <c r="C917" s="12" t="str">
        <f aca="false">IF($B917="","",IFERROR(INDEX(반품접수!$E$3:$E$1002,MATCH($B917,반품접수!$A$3:$A$1002,0)),"접수번호없음"))</f>
        <v/>
      </c>
      <c r="D917" s="10"/>
      <c r="E917" s="14"/>
      <c r="F917" s="10"/>
      <c r="G917" s="16"/>
      <c r="H917" s="10"/>
    </row>
    <row r="918" customFormat="false" ht="15" hidden="false" customHeight="true" outlineLevel="0" collapsed="false">
      <c r="A918" s="13"/>
      <c r="B918" s="10"/>
      <c r="C918" s="12" t="str">
        <f aca="false">IF($B918="","",IFERROR(INDEX(반품접수!$E$3:$E$1002,MATCH($B918,반품접수!$A$3:$A$1002,0)),"접수번호없음"))</f>
        <v/>
      </c>
      <c r="D918" s="10"/>
      <c r="E918" s="14"/>
      <c r="F918" s="10"/>
      <c r="G918" s="16"/>
      <c r="H918" s="10"/>
    </row>
    <row r="919" customFormat="false" ht="15" hidden="false" customHeight="true" outlineLevel="0" collapsed="false">
      <c r="A919" s="13"/>
      <c r="B919" s="10"/>
      <c r="C919" s="12" t="str">
        <f aca="false">IF($B919="","",IFERROR(INDEX(반품접수!$E$3:$E$1002,MATCH($B919,반품접수!$A$3:$A$1002,0)),"접수번호없음"))</f>
        <v/>
      </c>
      <c r="D919" s="10"/>
      <c r="E919" s="14"/>
      <c r="F919" s="10"/>
      <c r="G919" s="16"/>
      <c r="H919" s="10"/>
    </row>
    <row r="920" customFormat="false" ht="15" hidden="false" customHeight="true" outlineLevel="0" collapsed="false">
      <c r="A920" s="13"/>
      <c r="B920" s="10"/>
      <c r="C920" s="12" t="str">
        <f aca="false">IF($B920="","",IFERROR(INDEX(반품접수!$E$3:$E$1002,MATCH($B920,반품접수!$A$3:$A$1002,0)),"접수번호없음"))</f>
        <v/>
      </c>
      <c r="D920" s="10"/>
      <c r="E920" s="14"/>
      <c r="F920" s="10"/>
      <c r="G920" s="16"/>
      <c r="H920" s="10"/>
    </row>
    <row r="921" customFormat="false" ht="15" hidden="false" customHeight="true" outlineLevel="0" collapsed="false">
      <c r="A921" s="13"/>
      <c r="B921" s="10"/>
      <c r="C921" s="12" t="str">
        <f aca="false">IF($B921="","",IFERROR(INDEX(반품접수!$E$3:$E$1002,MATCH($B921,반품접수!$A$3:$A$1002,0)),"접수번호없음"))</f>
        <v/>
      </c>
      <c r="D921" s="10"/>
      <c r="E921" s="14"/>
      <c r="F921" s="10"/>
      <c r="G921" s="16"/>
      <c r="H921" s="10"/>
    </row>
    <row r="922" customFormat="false" ht="15" hidden="false" customHeight="true" outlineLevel="0" collapsed="false">
      <c r="A922" s="13"/>
      <c r="B922" s="10"/>
      <c r="C922" s="12" t="str">
        <f aca="false">IF($B922="","",IFERROR(INDEX(반품접수!$E$3:$E$1002,MATCH($B922,반품접수!$A$3:$A$1002,0)),"접수번호없음"))</f>
        <v/>
      </c>
      <c r="D922" s="10"/>
      <c r="E922" s="14"/>
      <c r="F922" s="10"/>
      <c r="G922" s="16"/>
      <c r="H922" s="10"/>
    </row>
    <row r="923" customFormat="false" ht="15" hidden="false" customHeight="true" outlineLevel="0" collapsed="false">
      <c r="A923" s="13"/>
      <c r="B923" s="10"/>
      <c r="C923" s="12" t="str">
        <f aca="false">IF($B923="","",IFERROR(INDEX(반품접수!$E$3:$E$1002,MATCH($B923,반품접수!$A$3:$A$1002,0)),"접수번호없음"))</f>
        <v/>
      </c>
      <c r="D923" s="10"/>
      <c r="E923" s="14"/>
      <c r="F923" s="10"/>
      <c r="G923" s="16"/>
      <c r="H923" s="10"/>
    </row>
    <row r="924" customFormat="false" ht="15" hidden="false" customHeight="true" outlineLevel="0" collapsed="false">
      <c r="A924" s="13"/>
      <c r="B924" s="10"/>
      <c r="C924" s="12" t="str">
        <f aca="false">IF($B924="","",IFERROR(INDEX(반품접수!$E$3:$E$1002,MATCH($B924,반품접수!$A$3:$A$1002,0)),"접수번호없음"))</f>
        <v/>
      </c>
      <c r="D924" s="10"/>
      <c r="E924" s="14"/>
      <c r="F924" s="10"/>
      <c r="G924" s="16"/>
      <c r="H924" s="10"/>
    </row>
    <row r="925" customFormat="false" ht="15" hidden="false" customHeight="true" outlineLevel="0" collapsed="false">
      <c r="A925" s="13"/>
      <c r="B925" s="10"/>
      <c r="C925" s="12" t="str">
        <f aca="false">IF($B925="","",IFERROR(INDEX(반품접수!$E$3:$E$1002,MATCH($B925,반품접수!$A$3:$A$1002,0)),"접수번호없음"))</f>
        <v/>
      </c>
      <c r="D925" s="10"/>
      <c r="E925" s="14"/>
      <c r="F925" s="10"/>
      <c r="G925" s="16"/>
      <c r="H925" s="10"/>
    </row>
    <row r="926" customFormat="false" ht="15" hidden="false" customHeight="true" outlineLevel="0" collapsed="false">
      <c r="A926" s="13"/>
      <c r="B926" s="10"/>
      <c r="C926" s="12" t="str">
        <f aca="false">IF($B926="","",IFERROR(INDEX(반품접수!$E$3:$E$1002,MATCH($B926,반품접수!$A$3:$A$1002,0)),"접수번호없음"))</f>
        <v/>
      </c>
      <c r="D926" s="10"/>
      <c r="E926" s="14"/>
      <c r="F926" s="10"/>
      <c r="G926" s="16"/>
      <c r="H926" s="10"/>
    </row>
    <row r="927" customFormat="false" ht="15" hidden="false" customHeight="true" outlineLevel="0" collapsed="false">
      <c r="A927" s="13"/>
      <c r="B927" s="10"/>
      <c r="C927" s="12" t="str">
        <f aca="false">IF($B927="","",IFERROR(INDEX(반품접수!$E$3:$E$1002,MATCH($B927,반품접수!$A$3:$A$1002,0)),"접수번호없음"))</f>
        <v/>
      </c>
      <c r="D927" s="10"/>
      <c r="E927" s="14"/>
      <c r="F927" s="10"/>
      <c r="G927" s="16"/>
      <c r="H927" s="10"/>
    </row>
    <row r="928" customFormat="false" ht="15" hidden="false" customHeight="true" outlineLevel="0" collapsed="false">
      <c r="A928" s="13"/>
      <c r="B928" s="10"/>
      <c r="C928" s="12" t="str">
        <f aca="false">IF($B928="","",IFERROR(INDEX(반품접수!$E$3:$E$1002,MATCH($B928,반품접수!$A$3:$A$1002,0)),"접수번호없음"))</f>
        <v/>
      </c>
      <c r="D928" s="10"/>
      <c r="E928" s="14"/>
      <c r="F928" s="10"/>
      <c r="G928" s="16"/>
      <c r="H928" s="10"/>
    </row>
    <row r="929" customFormat="false" ht="15" hidden="false" customHeight="true" outlineLevel="0" collapsed="false">
      <c r="A929" s="13"/>
      <c r="B929" s="10"/>
      <c r="C929" s="12" t="str">
        <f aca="false">IF($B929="","",IFERROR(INDEX(반품접수!$E$3:$E$1002,MATCH($B929,반품접수!$A$3:$A$1002,0)),"접수번호없음"))</f>
        <v/>
      </c>
      <c r="D929" s="10"/>
      <c r="E929" s="14"/>
      <c r="F929" s="10"/>
      <c r="G929" s="16"/>
      <c r="H929" s="10"/>
    </row>
    <row r="930" customFormat="false" ht="15" hidden="false" customHeight="true" outlineLevel="0" collapsed="false">
      <c r="A930" s="13"/>
      <c r="B930" s="10"/>
      <c r="C930" s="12" t="str">
        <f aca="false">IF($B930="","",IFERROR(INDEX(반품접수!$E$3:$E$1002,MATCH($B930,반품접수!$A$3:$A$1002,0)),"접수번호없음"))</f>
        <v/>
      </c>
      <c r="D930" s="10"/>
      <c r="E930" s="14"/>
      <c r="F930" s="10"/>
      <c r="G930" s="16"/>
      <c r="H930" s="10"/>
    </row>
    <row r="931" customFormat="false" ht="15" hidden="false" customHeight="true" outlineLevel="0" collapsed="false">
      <c r="A931" s="13"/>
      <c r="B931" s="10"/>
      <c r="C931" s="12" t="str">
        <f aca="false">IF($B931="","",IFERROR(INDEX(반품접수!$E$3:$E$1002,MATCH($B931,반품접수!$A$3:$A$1002,0)),"접수번호없음"))</f>
        <v/>
      </c>
      <c r="D931" s="10"/>
      <c r="E931" s="14"/>
      <c r="F931" s="10"/>
      <c r="G931" s="16"/>
      <c r="H931" s="10"/>
    </row>
    <row r="932" customFormat="false" ht="15" hidden="false" customHeight="true" outlineLevel="0" collapsed="false">
      <c r="A932" s="13"/>
      <c r="B932" s="10"/>
      <c r="C932" s="12" t="str">
        <f aca="false">IF($B932="","",IFERROR(INDEX(반품접수!$E$3:$E$1002,MATCH($B932,반품접수!$A$3:$A$1002,0)),"접수번호없음"))</f>
        <v/>
      </c>
      <c r="D932" s="10"/>
      <c r="E932" s="14"/>
      <c r="F932" s="10"/>
      <c r="G932" s="16"/>
      <c r="H932" s="10"/>
    </row>
    <row r="933" customFormat="false" ht="15" hidden="false" customHeight="true" outlineLevel="0" collapsed="false">
      <c r="A933" s="13"/>
      <c r="B933" s="10"/>
      <c r="C933" s="12" t="str">
        <f aca="false">IF($B933="","",IFERROR(INDEX(반품접수!$E$3:$E$1002,MATCH($B933,반품접수!$A$3:$A$1002,0)),"접수번호없음"))</f>
        <v/>
      </c>
      <c r="D933" s="10"/>
      <c r="E933" s="14"/>
      <c r="F933" s="10"/>
      <c r="G933" s="16"/>
      <c r="H933" s="10"/>
    </row>
    <row r="934" customFormat="false" ht="15" hidden="false" customHeight="true" outlineLevel="0" collapsed="false">
      <c r="A934" s="13"/>
      <c r="B934" s="10"/>
      <c r="C934" s="12" t="str">
        <f aca="false">IF($B934="","",IFERROR(INDEX(반품접수!$E$3:$E$1002,MATCH($B934,반품접수!$A$3:$A$1002,0)),"접수번호없음"))</f>
        <v/>
      </c>
      <c r="D934" s="10"/>
      <c r="E934" s="14"/>
      <c r="F934" s="10"/>
      <c r="G934" s="16"/>
      <c r="H934" s="10"/>
    </row>
    <row r="935" customFormat="false" ht="15" hidden="false" customHeight="true" outlineLevel="0" collapsed="false">
      <c r="A935" s="13"/>
      <c r="B935" s="10"/>
      <c r="C935" s="12" t="str">
        <f aca="false">IF($B935="","",IFERROR(INDEX(반품접수!$E$3:$E$1002,MATCH($B935,반품접수!$A$3:$A$1002,0)),"접수번호없음"))</f>
        <v/>
      </c>
      <c r="D935" s="10"/>
      <c r="E935" s="14"/>
      <c r="F935" s="10"/>
      <c r="G935" s="16"/>
      <c r="H935" s="10"/>
    </row>
    <row r="936" customFormat="false" ht="15" hidden="false" customHeight="true" outlineLevel="0" collapsed="false">
      <c r="A936" s="13"/>
      <c r="B936" s="10"/>
      <c r="C936" s="12" t="str">
        <f aca="false">IF($B936="","",IFERROR(INDEX(반품접수!$E$3:$E$1002,MATCH($B936,반품접수!$A$3:$A$1002,0)),"접수번호없음"))</f>
        <v/>
      </c>
      <c r="D936" s="10"/>
      <c r="E936" s="14"/>
      <c r="F936" s="10"/>
      <c r="G936" s="16"/>
      <c r="H936" s="10"/>
    </row>
    <row r="937" customFormat="false" ht="15" hidden="false" customHeight="true" outlineLevel="0" collapsed="false">
      <c r="A937" s="13"/>
      <c r="B937" s="10"/>
      <c r="C937" s="12" t="str">
        <f aca="false">IF($B937="","",IFERROR(INDEX(반품접수!$E$3:$E$1002,MATCH($B937,반품접수!$A$3:$A$1002,0)),"접수번호없음"))</f>
        <v/>
      </c>
      <c r="D937" s="10"/>
      <c r="E937" s="14"/>
      <c r="F937" s="10"/>
      <c r="G937" s="16"/>
      <c r="H937" s="10"/>
    </row>
    <row r="938" customFormat="false" ht="15" hidden="false" customHeight="true" outlineLevel="0" collapsed="false">
      <c r="A938" s="13"/>
      <c r="B938" s="10"/>
      <c r="C938" s="12" t="str">
        <f aca="false">IF($B938="","",IFERROR(INDEX(반품접수!$E$3:$E$1002,MATCH($B938,반품접수!$A$3:$A$1002,0)),"접수번호없음"))</f>
        <v/>
      </c>
      <c r="D938" s="10"/>
      <c r="E938" s="14"/>
      <c r="F938" s="10"/>
      <c r="G938" s="16"/>
      <c r="H938" s="10"/>
    </row>
    <row r="939" customFormat="false" ht="15" hidden="false" customHeight="true" outlineLevel="0" collapsed="false">
      <c r="A939" s="13"/>
      <c r="B939" s="10"/>
      <c r="C939" s="12" t="str">
        <f aca="false">IF($B939="","",IFERROR(INDEX(반품접수!$E$3:$E$1002,MATCH($B939,반품접수!$A$3:$A$1002,0)),"접수번호없음"))</f>
        <v/>
      </c>
      <c r="D939" s="10"/>
      <c r="E939" s="14"/>
      <c r="F939" s="10"/>
      <c r="G939" s="16"/>
      <c r="H939" s="10"/>
    </row>
    <row r="940" customFormat="false" ht="15" hidden="false" customHeight="true" outlineLevel="0" collapsed="false">
      <c r="A940" s="13"/>
      <c r="B940" s="10"/>
      <c r="C940" s="12" t="str">
        <f aca="false">IF($B940="","",IFERROR(INDEX(반품접수!$E$3:$E$1002,MATCH($B940,반품접수!$A$3:$A$1002,0)),"접수번호없음"))</f>
        <v/>
      </c>
      <c r="D940" s="10"/>
      <c r="E940" s="14"/>
      <c r="F940" s="10"/>
      <c r="G940" s="16"/>
      <c r="H940" s="10"/>
    </row>
    <row r="941" customFormat="false" ht="15" hidden="false" customHeight="true" outlineLevel="0" collapsed="false">
      <c r="A941" s="13"/>
      <c r="B941" s="10"/>
      <c r="C941" s="12" t="str">
        <f aca="false">IF($B941="","",IFERROR(INDEX(반품접수!$E$3:$E$1002,MATCH($B941,반품접수!$A$3:$A$1002,0)),"접수번호없음"))</f>
        <v/>
      </c>
      <c r="D941" s="10"/>
      <c r="E941" s="14"/>
      <c r="F941" s="10"/>
      <c r="G941" s="16"/>
      <c r="H941" s="10"/>
    </row>
    <row r="942" customFormat="false" ht="15" hidden="false" customHeight="true" outlineLevel="0" collapsed="false">
      <c r="A942" s="13"/>
      <c r="B942" s="10"/>
      <c r="C942" s="12" t="str">
        <f aca="false">IF($B942="","",IFERROR(INDEX(반품접수!$E$3:$E$1002,MATCH($B942,반품접수!$A$3:$A$1002,0)),"접수번호없음"))</f>
        <v/>
      </c>
      <c r="D942" s="10"/>
      <c r="E942" s="14"/>
      <c r="F942" s="10"/>
      <c r="G942" s="16"/>
      <c r="H942" s="10"/>
    </row>
    <row r="943" customFormat="false" ht="15" hidden="false" customHeight="true" outlineLevel="0" collapsed="false">
      <c r="A943" s="13"/>
      <c r="B943" s="10"/>
      <c r="C943" s="12" t="str">
        <f aca="false">IF($B943="","",IFERROR(INDEX(반품접수!$E$3:$E$1002,MATCH($B943,반품접수!$A$3:$A$1002,0)),"접수번호없음"))</f>
        <v/>
      </c>
      <c r="D943" s="10"/>
      <c r="E943" s="14"/>
      <c r="F943" s="10"/>
      <c r="G943" s="16"/>
      <c r="H943" s="10"/>
    </row>
    <row r="944" customFormat="false" ht="15" hidden="false" customHeight="true" outlineLevel="0" collapsed="false">
      <c r="A944" s="13"/>
      <c r="B944" s="10"/>
      <c r="C944" s="12" t="str">
        <f aca="false">IF($B944="","",IFERROR(INDEX(반품접수!$E$3:$E$1002,MATCH($B944,반품접수!$A$3:$A$1002,0)),"접수번호없음"))</f>
        <v/>
      </c>
      <c r="D944" s="10"/>
      <c r="E944" s="14"/>
      <c r="F944" s="10"/>
      <c r="G944" s="16"/>
      <c r="H944" s="10"/>
    </row>
    <row r="945" customFormat="false" ht="15" hidden="false" customHeight="true" outlineLevel="0" collapsed="false">
      <c r="A945" s="13"/>
      <c r="B945" s="10"/>
      <c r="C945" s="12" t="str">
        <f aca="false">IF($B945="","",IFERROR(INDEX(반품접수!$E$3:$E$1002,MATCH($B945,반품접수!$A$3:$A$1002,0)),"접수번호없음"))</f>
        <v/>
      </c>
      <c r="D945" s="10"/>
      <c r="E945" s="14"/>
      <c r="F945" s="10"/>
      <c r="G945" s="16"/>
      <c r="H945" s="10"/>
    </row>
    <row r="946" customFormat="false" ht="15" hidden="false" customHeight="true" outlineLevel="0" collapsed="false">
      <c r="A946" s="13"/>
      <c r="B946" s="10"/>
      <c r="C946" s="12" t="str">
        <f aca="false">IF($B946="","",IFERROR(INDEX(반품접수!$E$3:$E$1002,MATCH($B946,반품접수!$A$3:$A$1002,0)),"접수번호없음"))</f>
        <v/>
      </c>
      <c r="D946" s="10"/>
      <c r="E946" s="14"/>
      <c r="F946" s="10"/>
      <c r="G946" s="16"/>
      <c r="H946" s="10"/>
    </row>
    <row r="947" customFormat="false" ht="15" hidden="false" customHeight="true" outlineLevel="0" collapsed="false">
      <c r="A947" s="13"/>
      <c r="B947" s="10"/>
      <c r="C947" s="12" t="str">
        <f aca="false">IF($B947="","",IFERROR(INDEX(반품접수!$E$3:$E$1002,MATCH($B947,반품접수!$A$3:$A$1002,0)),"접수번호없음"))</f>
        <v/>
      </c>
      <c r="D947" s="10"/>
      <c r="E947" s="14"/>
      <c r="F947" s="10"/>
      <c r="G947" s="16"/>
      <c r="H947" s="10"/>
    </row>
    <row r="948" customFormat="false" ht="15" hidden="false" customHeight="true" outlineLevel="0" collapsed="false">
      <c r="A948" s="13"/>
      <c r="B948" s="10"/>
      <c r="C948" s="12" t="str">
        <f aca="false">IF($B948="","",IFERROR(INDEX(반품접수!$E$3:$E$1002,MATCH($B948,반품접수!$A$3:$A$1002,0)),"접수번호없음"))</f>
        <v/>
      </c>
      <c r="D948" s="10"/>
      <c r="E948" s="14"/>
      <c r="F948" s="10"/>
      <c r="G948" s="16"/>
      <c r="H948" s="10"/>
    </row>
    <row r="949" customFormat="false" ht="15" hidden="false" customHeight="true" outlineLevel="0" collapsed="false">
      <c r="A949" s="13"/>
      <c r="B949" s="10"/>
      <c r="C949" s="12" t="str">
        <f aca="false">IF($B949="","",IFERROR(INDEX(반품접수!$E$3:$E$1002,MATCH($B949,반품접수!$A$3:$A$1002,0)),"접수번호없음"))</f>
        <v/>
      </c>
      <c r="D949" s="10"/>
      <c r="E949" s="14"/>
      <c r="F949" s="10"/>
      <c r="G949" s="16"/>
      <c r="H949" s="10"/>
    </row>
    <row r="950" customFormat="false" ht="15" hidden="false" customHeight="true" outlineLevel="0" collapsed="false">
      <c r="A950" s="13"/>
      <c r="B950" s="10"/>
      <c r="C950" s="12" t="str">
        <f aca="false">IF($B950="","",IFERROR(INDEX(반품접수!$E$3:$E$1002,MATCH($B950,반품접수!$A$3:$A$1002,0)),"접수번호없음"))</f>
        <v/>
      </c>
      <c r="D950" s="10"/>
      <c r="E950" s="14"/>
      <c r="F950" s="10"/>
      <c r="G950" s="16"/>
      <c r="H950" s="10"/>
    </row>
    <row r="951" customFormat="false" ht="15" hidden="false" customHeight="true" outlineLevel="0" collapsed="false">
      <c r="A951" s="13"/>
      <c r="B951" s="10"/>
      <c r="C951" s="12" t="str">
        <f aca="false">IF($B951="","",IFERROR(INDEX(반품접수!$E$3:$E$1002,MATCH($B951,반품접수!$A$3:$A$1002,0)),"접수번호없음"))</f>
        <v/>
      </c>
      <c r="D951" s="10"/>
      <c r="E951" s="14"/>
      <c r="F951" s="10"/>
      <c r="G951" s="16"/>
      <c r="H951" s="10"/>
    </row>
    <row r="952" customFormat="false" ht="15" hidden="false" customHeight="true" outlineLevel="0" collapsed="false">
      <c r="A952" s="13"/>
      <c r="B952" s="10"/>
      <c r="C952" s="12" t="str">
        <f aca="false">IF($B952="","",IFERROR(INDEX(반품접수!$E$3:$E$1002,MATCH($B952,반품접수!$A$3:$A$1002,0)),"접수번호없음"))</f>
        <v/>
      </c>
      <c r="D952" s="10"/>
      <c r="E952" s="14"/>
      <c r="F952" s="10"/>
      <c r="G952" s="16"/>
      <c r="H952" s="10"/>
    </row>
    <row r="953" customFormat="false" ht="15" hidden="false" customHeight="true" outlineLevel="0" collapsed="false">
      <c r="A953" s="13"/>
      <c r="B953" s="10"/>
      <c r="C953" s="12" t="str">
        <f aca="false">IF($B953="","",IFERROR(INDEX(반품접수!$E$3:$E$1002,MATCH($B953,반품접수!$A$3:$A$1002,0)),"접수번호없음"))</f>
        <v/>
      </c>
      <c r="D953" s="10"/>
      <c r="E953" s="14"/>
      <c r="F953" s="10"/>
      <c r="G953" s="16"/>
      <c r="H953" s="10"/>
    </row>
    <row r="954" customFormat="false" ht="15" hidden="false" customHeight="true" outlineLevel="0" collapsed="false">
      <c r="A954" s="13"/>
      <c r="B954" s="10"/>
      <c r="C954" s="12" t="str">
        <f aca="false">IF($B954="","",IFERROR(INDEX(반품접수!$E$3:$E$1002,MATCH($B954,반품접수!$A$3:$A$1002,0)),"접수번호없음"))</f>
        <v/>
      </c>
      <c r="D954" s="10"/>
      <c r="E954" s="14"/>
      <c r="F954" s="10"/>
      <c r="G954" s="16"/>
      <c r="H954" s="10"/>
    </row>
    <row r="955" customFormat="false" ht="15" hidden="false" customHeight="true" outlineLevel="0" collapsed="false">
      <c r="A955" s="13"/>
      <c r="B955" s="10"/>
      <c r="C955" s="12" t="str">
        <f aca="false">IF($B955="","",IFERROR(INDEX(반품접수!$E$3:$E$1002,MATCH($B955,반품접수!$A$3:$A$1002,0)),"접수번호없음"))</f>
        <v/>
      </c>
      <c r="D955" s="10"/>
      <c r="E955" s="14"/>
      <c r="F955" s="10"/>
      <c r="G955" s="16"/>
      <c r="H955" s="10"/>
    </row>
    <row r="956" customFormat="false" ht="15" hidden="false" customHeight="true" outlineLevel="0" collapsed="false">
      <c r="A956" s="13"/>
      <c r="B956" s="10"/>
      <c r="C956" s="12" t="str">
        <f aca="false">IF($B956="","",IFERROR(INDEX(반품접수!$E$3:$E$1002,MATCH($B956,반품접수!$A$3:$A$1002,0)),"접수번호없음"))</f>
        <v/>
      </c>
      <c r="D956" s="10"/>
      <c r="E956" s="14"/>
      <c r="F956" s="10"/>
      <c r="G956" s="16"/>
      <c r="H956" s="10"/>
    </row>
    <row r="957" customFormat="false" ht="15" hidden="false" customHeight="true" outlineLevel="0" collapsed="false">
      <c r="A957" s="13"/>
      <c r="B957" s="10"/>
      <c r="C957" s="12" t="str">
        <f aca="false">IF($B957="","",IFERROR(INDEX(반품접수!$E$3:$E$1002,MATCH($B957,반품접수!$A$3:$A$1002,0)),"접수번호없음"))</f>
        <v/>
      </c>
      <c r="D957" s="10"/>
      <c r="E957" s="14"/>
      <c r="F957" s="10"/>
      <c r="G957" s="16"/>
      <c r="H957" s="10"/>
    </row>
    <row r="958" customFormat="false" ht="15" hidden="false" customHeight="true" outlineLevel="0" collapsed="false">
      <c r="A958" s="13"/>
      <c r="B958" s="10"/>
      <c r="C958" s="12" t="str">
        <f aca="false">IF($B958="","",IFERROR(INDEX(반품접수!$E$3:$E$1002,MATCH($B958,반품접수!$A$3:$A$1002,0)),"접수번호없음"))</f>
        <v/>
      </c>
      <c r="D958" s="10"/>
      <c r="E958" s="14"/>
      <c r="F958" s="10"/>
      <c r="G958" s="16"/>
      <c r="H958" s="10"/>
    </row>
    <row r="959" customFormat="false" ht="15" hidden="false" customHeight="true" outlineLevel="0" collapsed="false">
      <c r="A959" s="13"/>
      <c r="B959" s="10"/>
      <c r="C959" s="12" t="str">
        <f aca="false">IF($B959="","",IFERROR(INDEX(반품접수!$E$3:$E$1002,MATCH($B959,반품접수!$A$3:$A$1002,0)),"접수번호없음"))</f>
        <v/>
      </c>
      <c r="D959" s="10"/>
      <c r="E959" s="14"/>
      <c r="F959" s="10"/>
      <c r="G959" s="16"/>
      <c r="H959" s="10"/>
    </row>
    <row r="960" customFormat="false" ht="15" hidden="false" customHeight="true" outlineLevel="0" collapsed="false">
      <c r="A960" s="13"/>
      <c r="B960" s="10"/>
      <c r="C960" s="12" t="str">
        <f aca="false">IF($B960="","",IFERROR(INDEX(반품접수!$E$3:$E$1002,MATCH($B960,반품접수!$A$3:$A$1002,0)),"접수번호없음"))</f>
        <v/>
      </c>
      <c r="D960" s="10"/>
      <c r="E960" s="14"/>
      <c r="F960" s="10"/>
      <c r="G960" s="16"/>
      <c r="H960" s="10"/>
    </row>
    <row r="961" customFormat="false" ht="15" hidden="false" customHeight="true" outlineLevel="0" collapsed="false">
      <c r="A961" s="13"/>
      <c r="B961" s="10"/>
      <c r="C961" s="12" t="str">
        <f aca="false">IF($B961="","",IFERROR(INDEX(반품접수!$E$3:$E$1002,MATCH($B961,반품접수!$A$3:$A$1002,0)),"접수번호없음"))</f>
        <v/>
      </c>
      <c r="D961" s="10"/>
      <c r="E961" s="14"/>
      <c r="F961" s="10"/>
      <c r="G961" s="16"/>
      <c r="H961" s="10"/>
    </row>
    <row r="962" customFormat="false" ht="15" hidden="false" customHeight="true" outlineLevel="0" collapsed="false">
      <c r="A962" s="13"/>
      <c r="B962" s="10"/>
      <c r="C962" s="12" t="str">
        <f aca="false">IF($B962="","",IFERROR(INDEX(반품접수!$E$3:$E$1002,MATCH($B962,반품접수!$A$3:$A$1002,0)),"접수번호없음"))</f>
        <v/>
      </c>
      <c r="D962" s="10"/>
      <c r="E962" s="14"/>
      <c r="F962" s="10"/>
      <c r="G962" s="16"/>
      <c r="H962" s="10"/>
    </row>
    <row r="963" customFormat="false" ht="15" hidden="false" customHeight="true" outlineLevel="0" collapsed="false">
      <c r="A963" s="13"/>
      <c r="B963" s="10"/>
      <c r="C963" s="12" t="str">
        <f aca="false">IF($B963="","",IFERROR(INDEX(반품접수!$E$3:$E$1002,MATCH($B963,반품접수!$A$3:$A$1002,0)),"접수번호없음"))</f>
        <v/>
      </c>
      <c r="D963" s="10"/>
      <c r="E963" s="14"/>
      <c r="F963" s="10"/>
      <c r="G963" s="16"/>
      <c r="H963" s="10"/>
    </row>
    <row r="964" customFormat="false" ht="15" hidden="false" customHeight="true" outlineLevel="0" collapsed="false">
      <c r="A964" s="13"/>
      <c r="B964" s="10"/>
      <c r="C964" s="12" t="str">
        <f aca="false">IF($B964="","",IFERROR(INDEX(반품접수!$E$3:$E$1002,MATCH($B964,반품접수!$A$3:$A$1002,0)),"접수번호없음"))</f>
        <v/>
      </c>
      <c r="D964" s="10"/>
      <c r="E964" s="14"/>
      <c r="F964" s="10"/>
      <c r="G964" s="16"/>
      <c r="H964" s="10"/>
    </row>
    <row r="965" customFormat="false" ht="15" hidden="false" customHeight="true" outlineLevel="0" collapsed="false">
      <c r="A965" s="13"/>
      <c r="B965" s="10"/>
      <c r="C965" s="12" t="str">
        <f aca="false">IF($B965="","",IFERROR(INDEX(반품접수!$E$3:$E$1002,MATCH($B965,반품접수!$A$3:$A$1002,0)),"접수번호없음"))</f>
        <v/>
      </c>
      <c r="D965" s="10"/>
      <c r="E965" s="14"/>
      <c r="F965" s="10"/>
      <c r="G965" s="16"/>
      <c r="H965" s="10"/>
    </row>
    <row r="966" customFormat="false" ht="15" hidden="false" customHeight="true" outlineLevel="0" collapsed="false">
      <c r="A966" s="13"/>
      <c r="B966" s="10"/>
      <c r="C966" s="12" t="str">
        <f aca="false">IF($B966="","",IFERROR(INDEX(반품접수!$E$3:$E$1002,MATCH($B966,반품접수!$A$3:$A$1002,0)),"접수번호없음"))</f>
        <v/>
      </c>
      <c r="D966" s="10"/>
      <c r="E966" s="14"/>
      <c r="F966" s="10"/>
      <c r="G966" s="16"/>
      <c r="H966" s="10"/>
    </row>
    <row r="967" customFormat="false" ht="15" hidden="false" customHeight="true" outlineLevel="0" collapsed="false">
      <c r="A967" s="13"/>
      <c r="B967" s="10"/>
      <c r="C967" s="12" t="str">
        <f aca="false">IF($B967="","",IFERROR(INDEX(반품접수!$E$3:$E$1002,MATCH($B967,반품접수!$A$3:$A$1002,0)),"접수번호없음"))</f>
        <v/>
      </c>
      <c r="D967" s="10"/>
      <c r="E967" s="14"/>
      <c r="F967" s="10"/>
      <c r="G967" s="16"/>
      <c r="H967" s="10"/>
    </row>
    <row r="968" customFormat="false" ht="15" hidden="false" customHeight="true" outlineLevel="0" collapsed="false">
      <c r="A968" s="13"/>
      <c r="B968" s="10"/>
      <c r="C968" s="12" t="str">
        <f aca="false">IF($B968="","",IFERROR(INDEX(반품접수!$E$3:$E$1002,MATCH($B968,반품접수!$A$3:$A$1002,0)),"접수번호없음"))</f>
        <v/>
      </c>
      <c r="D968" s="10"/>
      <c r="E968" s="14"/>
      <c r="F968" s="10"/>
      <c r="G968" s="16"/>
      <c r="H968" s="10"/>
    </row>
    <row r="969" customFormat="false" ht="15" hidden="false" customHeight="true" outlineLevel="0" collapsed="false">
      <c r="A969" s="13"/>
      <c r="B969" s="10"/>
      <c r="C969" s="12" t="str">
        <f aca="false">IF($B969="","",IFERROR(INDEX(반품접수!$E$3:$E$1002,MATCH($B969,반품접수!$A$3:$A$1002,0)),"접수번호없음"))</f>
        <v/>
      </c>
      <c r="D969" s="10"/>
      <c r="E969" s="14"/>
      <c r="F969" s="10"/>
      <c r="G969" s="16"/>
      <c r="H969" s="10"/>
    </row>
    <row r="970" customFormat="false" ht="15" hidden="false" customHeight="true" outlineLevel="0" collapsed="false">
      <c r="A970" s="13"/>
      <c r="B970" s="10"/>
      <c r="C970" s="12" t="str">
        <f aca="false">IF($B970="","",IFERROR(INDEX(반품접수!$E$3:$E$1002,MATCH($B970,반품접수!$A$3:$A$1002,0)),"접수번호없음"))</f>
        <v/>
      </c>
      <c r="D970" s="10"/>
      <c r="E970" s="14"/>
      <c r="F970" s="10"/>
      <c r="G970" s="16"/>
      <c r="H970" s="10"/>
    </row>
    <row r="971" customFormat="false" ht="15" hidden="false" customHeight="true" outlineLevel="0" collapsed="false">
      <c r="A971" s="13"/>
      <c r="B971" s="10"/>
      <c r="C971" s="12" t="str">
        <f aca="false">IF($B971="","",IFERROR(INDEX(반품접수!$E$3:$E$1002,MATCH($B971,반품접수!$A$3:$A$1002,0)),"접수번호없음"))</f>
        <v/>
      </c>
      <c r="D971" s="10"/>
      <c r="E971" s="14"/>
      <c r="F971" s="10"/>
      <c r="G971" s="16"/>
      <c r="H971" s="10"/>
    </row>
    <row r="972" customFormat="false" ht="15" hidden="false" customHeight="true" outlineLevel="0" collapsed="false">
      <c r="A972" s="13"/>
      <c r="B972" s="10"/>
      <c r="C972" s="12" t="str">
        <f aca="false">IF($B972="","",IFERROR(INDEX(반품접수!$E$3:$E$1002,MATCH($B972,반품접수!$A$3:$A$1002,0)),"접수번호없음"))</f>
        <v/>
      </c>
      <c r="D972" s="10"/>
      <c r="E972" s="14"/>
      <c r="F972" s="10"/>
      <c r="G972" s="16"/>
      <c r="H972" s="10"/>
    </row>
    <row r="973" customFormat="false" ht="15" hidden="false" customHeight="true" outlineLevel="0" collapsed="false">
      <c r="A973" s="13"/>
      <c r="B973" s="10"/>
      <c r="C973" s="12" t="str">
        <f aca="false">IF($B973="","",IFERROR(INDEX(반품접수!$E$3:$E$1002,MATCH($B973,반품접수!$A$3:$A$1002,0)),"접수번호없음"))</f>
        <v/>
      </c>
      <c r="D973" s="10"/>
      <c r="E973" s="14"/>
      <c r="F973" s="10"/>
      <c r="G973" s="16"/>
      <c r="H973" s="10"/>
    </row>
    <row r="974" customFormat="false" ht="15" hidden="false" customHeight="true" outlineLevel="0" collapsed="false">
      <c r="A974" s="13"/>
      <c r="B974" s="10"/>
      <c r="C974" s="12" t="str">
        <f aca="false">IF($B974="","",IFERROR(INDEX(반품접수!$E$3:$E$1002,MATCH($B974,반품접수!$A$3:$A$1002,0)),"접수번호없음"))</f>
        <v/>
      </c>
      <c r="D974" s="10"/>
      <c r="E974" s="14"/>
      <c r="F974" s="10"/>
      <c r="G974" s="16"/>
      <c r="H974" s="10"/>
    </row>
    <row r="975" customFormat="false" ht="15" hidden="false" customHeight="true" outlineLevel="0" collapsed="false">
      <c r="A975" s="13"/>
      <c r="B975" s="10"/>
      <c r="C975" s="12" t="str">
        <f aca="false">IF($B975="","",IFERROR(INDEX(반품접수!$E$3:$E$1002,MATCH($B975,반품접수!$A$3:$A$1002,0)),"접수번호없음"))</f>
        <v/>
      </c>
      <c r="D975" s="10"/>
      <c r="E975" s="14"/>
      <c r="F975" s="10"/>
      <c r="G975" s="16"/>
      <c r="H975" s="10"/>
    </row>
    <row r="976" customFormat="false" ht="15" hidden="false" customHeight="true" outlineLevel="0" collapsed="false">
      <c r="A976" s="13"/>
      <c r="B976" s="10"/>
      <c r="C976" s="12" t="str">
        <f aca="false">IF($B976="","",IFERROR(INDEX(반품접수!$E$3:$E$1002,MATCH($B976,반품접수!$A$3:$A$1002,0)),"접수번호없음"))</f>
        <v/>
      </c>
      <c r="D976" s="10"/>
      <c r="E976" s="14"/>
      <c r="F976" s="10"/>
      <c r="G976" s="16"/>
      <c r="H976" s="10"/>
    </row>
    <row r="977" customFormat="false" ht="15" hidden="false" customHeight="true" outlineLevel="0" collapsed="false">
      <c r="A977" s="13"/>
      <c r="B977" s="10"/>
      <c r="C977" s="12" t="str">
        <f aca="false">IF($B977="","",IFERROR(INDEX(반품접수!$E$3:$E$1002,MATCH($B977,반품접수!$A$3:$A$1002,0)),"접수번호없음"))</f>
        <v/>
      </c>
      <c r="D977" s="10"/>
      <c r="E977" s="14"/>
      <c r="F977" s="10"/>
      <c r="G977" s="16"/>
      <c r="H977" s="10"/>
    </row>
    <row r="978" customFormat="false" ht="15" hidden="false" customHeight="true" outlineLevel="0" collapsed="false">
      <c r="A978" s="13"/>
      <c r="B978" s="10"/>
      <c r="C978" s="12" t="str">
        <f aca="false">IF($B978="","",IFERROR(INDEX(반품접수!$E$3:$E$1002,MATCH($B978,반품접수!$A$3:$A$1002,0)),"접수번호없음"))</f>
        <v/>
      </c>
      <c r="D978" s="10"/>
      <c r="E978" s="14"/>
      <c r="F978" s="10"/>
      <c r="G978" s="16"/>
      <c r="H978" s="10"/>
    </row>
    <row r="979" customFormat="false" ht="15" hidden="false" customHeight="true" outlineLevel="0" collapsed="false">
      <c r="A979" s="13"/>
      <c r="B979" s="10"/>
      <c r="C979" s="12" t="str">
        <f aca="false">IF($B979="","",IFERROR(INDEX(반품접수!$E$3:$E$1002,MATCH($B979,반품접수!$A$3:$A$1002,0)),"접수번호없음"))</f>
        <v/>
      </c>
      <c r="D979" s="10"/>
      <c r="E979" s="14"/>
      <c r="F979" s="10"/>
      <c r="G979" s="16"/>
      <c r="H979" s="10"/>
    </row>
    <row r="980" customFormat="false" ht="15" hidden="false" customHeight="true" outlineLevel="0" collapsed="false">
      <c r="A980" s="13"/>
      <c r="B980" s="10"/>
      <c r="C980" s="12" t="str">
        <f aca="false">IF($B980="","",IFERROR(INDEX(반품접수!$E$3:$E$1002,MATCH($B980,반품접수!$A$3:$A$1002,0)),"접수번호없음"))</f>
        <v/>
      </c>
      <c r="D980" s="10"/>
      <c r="E980" s="14"/>
      <c r="F980" s="10"/>
      <c r="G980" s="16"/>
      <c r="H980" s="10"/>
    </row>
    <row r="981" customFormat="false" ht="15" hidden="false" customHeight="true" outlineLevel="0" collapsed="false">
      <c r="A981" s="13"/>
      <c r="B981" s="10"/>
      <c r="C981" s="12" t="str">
        <f aca="false">IF($B981="","",IFERROR(INDEX(반품접수!$E$3:$E$1002,MATCH($B981,반품접수!$A$3:$A$1002,0)),"접수번호없음"))</f>
        <v/>
      </c>
      <c r="D981" s="10"/>
      <c r="E981" s="14"/>
      <c r="F981" s="10"/>
      <c r="G981" s="16"/>
      <c r="H981" s="10"/>
    </row>
    <row r="982" customFormat="false" ht="15" hidden="false" customHeight="true" outlineLevel="0" collapsed="false">
      <c r="A982" s="13"/>
      <c r="B982" s="10"/>
      <c r="C982" s="12" t="str">
        <f aca="false">IF($B982="","",IFERROR(INDEX(반품접수!$E$3:$E$1002,MATCH($B982,반품접수!$A$3:$A$1002,0)),"접수번호없음"))</f>
        <v/>
      </c>
      <c r="D982" s="10"/>
      <c r="E982" s="14"/>
      <c r="F982" s="10"/>
      <c r="G982" s="16"/>
      <c r="H982" s="10"/>
    </row>
    <row r="983" customFormat="false" ht="15" hidden="false" customHeight="true" outlineLevel="0" collapsed="false">
      <c r="A983" s="13"/>
      <c r="B983" s="10"/>
      <c r="C983" s="12" t="str">
        <f aca="false">IF($B983="","",IFERROR(INDEX(반품접수!$E$3:$E$1002,MATCH($B983,반품접수!$A$3:$A$1002,0)),"접수번호없음"))</f>
        <v/>
      </c>
      <c r="D983" s="10"/>
      <c r="E983" s="14"/>
      <c r="F983" s="10"/>
      <c r="G983" s="16"/>
      <c r="H983" s="10"/>
    </row>
    <row r="984" customFormat="false" ht="15" hidden="false" customHeight="true" outlineLevel="0" collapsed="false">
      <c r="A984" s="13"/>
      <c r="B984" s="10"/>
      <c r="C984" s="12" t="str">
        <f aca="false">IF($B984="","",IFERROR(INDEX(반품접수!$E$3:$E$1002,MATCH($B984,반품접수!$A$3:$A$1002,0)),"접수번호없음"))</f>
        <v/>
      </c>
      <c r="D984" s="10"/>
      <c r="E984" s="14"/>
      <c r="F984" s="10"/>
      <c r="G984" s="16"/>
      <c r="H984" s="10"/>
    </row>
    <row r="985" customFormat="false" ht="15" hidden="false" customHeight="true" outlineLevel="0" collapsed="false">
      <c r="A985" s="13"/>
      <c r="B985" s="10"/>
      <c r="C985" s="12" t="str">
        <f aca="false">IF($B985="","",IFERROR(INDEX(반품접수!$E$3:$E$1002,MATCH($B985,반품접수!$A$3:$A$1002,0)),"접수번호없음"))</f>
        <v/>
      </c>
      <c r="D985" s="10"/>
      <c r="E985" s="14"/>
      <c r="F985" s="10"/>
      <c r="G985" s="16"/>
      <c r="H985" s="10"/>
    </row>
    <row r="986" customFormat="false" ht="15" hidden="false" customHeight="true" outlineLevel="0" collapsed="false">
      <c r="A986" s="13"/>
      <c r="B986" s="10"/>
      <c r="C986" s="12" t="str">
        <f aca="false">IF($B986="","",IFERROR(INDEX(반품접수!$E$3:$E$1002,MATCH($B986,반품접수!$A$3:$A$1002,0)),"접수번호없음"))</f>
        <v/>
      </c>
      <c r="D986" s="10"/>
      <c r="E986" s="14"/>
      <c r="F986" s="10"/>
      <c r="G986" s="16"/>
      <c r="H986" s="10"/>
    </row>
    <row r="987" customFormat="false" ht="15" hidden="false" customHeight="true" outlineLevel="0" collapsed="false">
      <c r="A987" s="13"/>
      <c r="B987" s="10"/>
      <c r="C987" s="12" t="str">
        <f aca="false">IF($B987="","",IFERROR(INDEX(반품접수!$E$3:$E$1002,MATCH($B987,반품접수!$A$3:$A$1002,0)),"접수번호없음"))</f>
        <v/>
      </c>
      <c r="D987" s="10"/>
      <c r="E987" s="14"/>
      <c r="F987" s="10"/>
      <c r="G987" s="16"/>
      <c r="H987" s="10"/>
    </row>
    <row r="988" customFormat="false" ht="15" hidden="false" customHeight="true" outlineLevel="0" collapsed="false">
      <c r="A988" s="13"/>
      <c r="B988" s="10"/>
      <c r="C988" s="12" t="str">
        <f aca="false">IF($B988="","",IFERROR(INDEX(반품접수!$E$3:$E$1002,MATCH($B988,반품접수!$A$3:$A$1002,0)),"접수번호없음"))</f>
        <v/>
      </c>
      <c r="D988" s="10"/>
      <c r="E988" s="14"/>
      <c r="F988" s="10"/>
      <c r="G988" s="16"/>
      <c r="H988" s="10"/>
    </row>
    <row r="989" customFormat="false" ht="15" hidden="false" customHeight="true" outlineLevel="0" collapsed="false">
      <c r="A989" s="13"/>
      <c r="B989" s="10"/>
      <c r="C989" s="12" t="str">
        <f aca="false">IF($B989="","",IFERROR(INDEX(반품접수!$E$3:$E$1002,MATCH($B989,반품접수!$A$3:$A$1002,0)),"접수번호없음"))</f>
        <v/>
      </c>
      <c r="D989" s="10"/>
      <c r="E989" s="14"/>
      <c r="F989" s="10"/>
      <c r="G989" s="16"/>
      <c r="H989" s="10"/>
    </row>
    <row r="990" customFormat="false" ht="15" hidden="false" customHeight="true" outlineLevel="0" collapsed="false">
      <c r="A990" s="13"/>
      <c r="B990" s="10"/>
      <c r="C990" s="12" t="str">
        <f aca="false">IF($B990="","",IFERROR(INDEX(반품접수!$E$3:$E$1002,MATCH($B990,반품접수!$A$3:$A$1002,0)),"접수번호없음"))</f>
        <v/>
      </c>
      <c r="D990" s="10"/>
      <c r="E990" s="14"/>
      <c r="F990" s="10"/>
      <c r="G990" s="16"/>
      <c r="H990" s="10"/>
    </row>
    <row r="991" customFormat="false" ht="15" hidden="false" customHeight="true" outlineLevel="0" collapsed="false">
      <c r="A991" s="13"/>
      <c r="B991" s="10"/>
      <c r="C991" s="12" t="str">
        <f aca="false">IF($B991="","",IFERROR(INDEX(반품접수!$E$3:$E$1002,MATCH($B991,반품접수!$A$3:$A$1002,0)),"접수번호없음"))</f>
        <v/>
      </c>
      <c r="D991" s="10"/>
      <c r="E991" s="14"/>
      <c r="F991" s="10"/>
      <c r="G991" s="16"/>
      <c r="H991" s="10"/>
    </row>
    <row r="992" customFormat="false" ht="15" hidden="false" customHeight="true" outlineLevel="0" collapsed="false">
      <c r="A992" s="13"/>
      <c r="B992" s="10"/>
      <c r="C992" s="12" t="str">
        <f aca="false">IF($B992="","",IFERROR(INDEX(반품접수!$E$3:$E$1002,MATCH($B992,반품접수!$A$3:$A$1002,0)),"접수번호없음"))</f>
        <v/>
      </c>
      <c r="D992" s="10"/>
      <c r="E992" s="14"/>
      <c r="F992" s="10"/>
      <c r="G992" s="16"/>
      <c r="H992" s="10"/>
    </row>
    <row r="993" customFormat="false" ht="15" hidden="false" customHeight="true" outlineLevel="0" collapsed="false">
      <c r="A993" s="13"/>
      <c r="B993" s="10"/>
      <c r="C993" s="12" t="str">
        <f aca="false">IF($B993="","",IFERROR(INDEX(반품접수!$E$3:$E$1002,MATCH($B993,반품접수!$A$3:$A$1002,0)),"접수번호없음"))</f>
        <v/>
      </c>
      <c r="D993" s="10"/>
      <c r="E993" s="14"/>
      <c r="F993" s="10"/>
      <c r="G993" s="16"/>
      <c r="H993" s="10"/>
    </row>
    <row r="994" customFormat="false" ht="15" hidden="false" customHeight="true" outlineLevel="0" collapsed="false">
      <c r="A994" s="13"/>
      <c r="B994" s="10"/>
      <c r="C994" s="12" t="str">
        <f aca="false">IF($B994="","",IFERROR(INDEX(반품접수!$E$3:$E$1002,MATCH($B994,반품접수!$A$3:$A$1002,0)),"접수번호없음"))</f>
        <v/>
      </c>
      <c r="D994" s="10"/>
      <c r="E994" s="14"/>
      <c r="F994" s="10"/>
      <c r="G994" s="16"/>
      <c r="H994" s="10"/>
    </row>
    <row r="995" customFormat="false" ht="15" hidden="false" customHeight="true" outlineLevel="0" collapsed="false">
      <c r="A995" s="13"/>
      <c r="B995" s="10"/>
      <c r="C995" s="12" t="str">
        <f aca="false">IF($B995="","",IFERROR(INDEX(반품접수!$E$3:$E$1002,MATCH($B995,반품접수!$A$3:$A$1002,0)),"접수번호없음"))</f>
        <v/>
      </c>
      <c r="D995" s="10"/>
      <c r="E995" s="14"/>
      <c r="F995" s="10"/>
      <c r="G995" s="16"/>
      <c r="H995" s="10"/>
    </row>
    <row r="996" customFormat="false" ht="15" hidden="false" customHeight="true" outlineLevel="0" collapsed="false">
      <c r="A996" s="13"/>
      <c r="B996" s="10"/>
      <c r="C996" s="12" t="str">
        <f aca="false">IF($B996="","",IFERROR(INDEX(반품접수!$E$3:$E$1002,MATCH($B996,반품접수!$A$3:$A$1002,0)),"접수번호없음"))</f>
        <v/>
      </c>
      <c r="D996" s="10"/>
      <c r="E996" s="14"/>
      <c r="F996" s="10"/>
      <c r="G996" s="16"/>
      <c r="H996" s="10"/>
    </row>
    <row r="997" customFormat="false" ht="15" hidden="false" customHeight="true" outlineLevel="0" collapsed="false">
      <c r="A997" s="13"/>
      <c r="B997" s="10"/>
      <c r="C997" s="12" t="str">
        <f aca="false">IF($B997="","",IFERROR(INDEX(반품접수!$E$3:$E$1002,MATCH($B997,반품접수!$A$3:$A$1002,0)),"접수번호없음"))</f>
        <v/>
      </c>
      <c r="D997" s="10"/>
      <c r="E997" s="14"/>
      <c r="F997" s="10"/>
      <c r="G997" s="16"/>
      <c r="H997" s="10"/>
    </row>
    <row r="998" customFormat="false" ht="15" hidden="false" customHeight="true" outlineLevel="0" collapsed="false">
      <c r="A998" s="13"/>
      <c r="B998" s="10"/>
      <c r="C998" s="12" t="str">
        <f aca="false">IF($B998="","",IFERROR(INDEX(반품접수!$E$3:$E$1002,MATCH($B998,반품접수!$A$3:$A$1002,0)),"접수번호없음"))</f>
        <v/>
      </c>
      <c r="D998" s="10"/>
      <c r="E998" s="14"/>
      <c r="F998" s="10"/>
      <c r="G998" s="16"/>
      <c r="H998" s="10"/>
    </row>
    <row r="999" customFormat="false" ht="15" hidden="false" customHeight="true" outlineLevel="0" collapsed="false">
      <c r="A999" s="13"/>
      <c r="B999" s="10"/>
      <c r="C999" s="12" t="str">
        <f aca="false">IF($B999="","",IFERROR(INDEX(반품접수!$E$3:$E$1002,MATCH($B999,반품접수!$A$3:$A$1002,0)),"접수번호없음"))</f>
        <v/>
      </c>
      <c r="D999" s="10"/>
      <c r="E999" s="14"/>
      <c r="F999" s="10"/>
      <c r="G999" s="16"/>
      <c r="H999" s="10"/>
    </row>
    <row r="1000" customFormat="false" ht="15" hidden="false" customHeight="true" outlineLevel="0" collapsed="false">
      <c r="A1000" s="13"/>
      <c r="B1000" s="10"/>
      <c r="C1000" s="12" t="str">
        <f aca="false">IF($B1000="","",IFERROR(INDEX(반품접수!$E$3:$E$1002,MATCH($B1000,반품접수!$A$3:$A$1002,0)),"접수번호없음"))</f>
        <v/>
      </c>
      <c r="D1000" s="10"/>
      <c r="E1000" s="14"/>
      <c r="F1000" s="10"/>
      <c r="G1000" s="16"/>
      <c r="H1000" s="10"/>
    </row>
    <row r="1001" customFormat="false" ht="15" hidden="false" customHeight="true" outlineLevel="0" collapsed="false">
      <c r="A1001" s="13"/>
      <c r="B1001" s="10"/>
      <c r="C1001" s="12" t="str">
        <f aca="false">IF($B1001="","",IFERROR(INDEX(반품접수!$E$3:$E$1002,MATCH($B1001,반품접수!$A$3:$A$1002,0)),"접수번호없음"))</f>
        <v/>
      </c>
      <c r="D1001" s="10"/>
      <c r="E1001" s="14"/>
      <c r="F1001" s="10"/>
      <c r="G1001" s="16"/>
      <c r="H1001" s="10"/>
    </row>
    <row r="1002" customFormat="false" ht="15" hidden="false" customHeight="true" outlineLevel="0" collapsed="false">
      <c r="A1002" s="13"/>
      <c r="B1002" s="10"/>
      <c r="C1002" s="12" t="str">
        <f aca="false">IF($B1002="","",IFERROR(INDEX(반품접수!$E$3:$E$1002,MATCH($B1002,반품접수!$A$3:$A$1002,0)),"접수번호없음"))</f>
        <v/>
      </c>
      <c r="D1002" s="10"/>
      <c r="E1002" s="14"/>
      <c r="F1002" s="10"/>
      <c r="G1002" s="16"/>
      <c r="H1002" s="10"/>
    </row>
    <row r="1003" customFormat="false" ht="15" hidden="false" customHeight="true" outlineLevel="0" collapsed="false">
      <c r="A1003" s="13"/>
      <c r="B1003" s="10"/>
      <c r="C1003" s="12" t="str">
        <f aca="false">IF($B1003="","",IFERROR(INDEX(반품접수!$E$3:$E$1002,MATCH($B1003,반품접수!$A$3:$A$1002,0)),"접수번호없음"))</f>
        <v/>
      </c>
      <c r="D1003" s="10"/>
      <c r="E1003" s="14"/>
      <c r="F1003" s="10"/>
      <c r="G1003" s="16"/>
      <c r="H1003" s="10"/>
    </row>
    <row r="1004" customFormat="false" ht="15" hidden="false" customHeight="true" outlineLevel="0" collapsed="false">
      <c r="A1004" s="13"/>
      <c r="B1004" s="10"/>
      <c r="C1004" s="12" t="str">
        <f aca="false">IF($B1004="","",IFERROR(INDEX(반품접수!$E$3:$E$1002,MATCH($B1004,반품접수!$A$3:$A$1002,0)),"접수번호없음"))</f>
        <v/>
      </c>
      <c r="D1004" s="10"/>
      <c r="E1004" s="14"/>
      <c r="F1004" s="10"/>
      <c r="G1004" s="16"/>
      <c r="H1004" s="10"/>
    </row>
    <row r="1005" customFormat="false" ht="15" hidden="false" customHeight="true" outlineLevel="0" collapsed="false">
      <c r="A1005" s="13"/>
      <c r="B1005" s="10"/>
      <c r="C1005" s="12" t="str">
        <f aca="false">IF($B1005="","",IFERROR(INDEX(반품접수!$E$3:$E$1002,MATCH($B1005,반품접수!$A$3:$A$1002,0)),"접수번호없음"))</f>
        <v/>
      </c>
      <c r="D1005" s="10"/>
      <c r="E1005" s="14"/>
      <c r="F1005" s="10"/>
      <c r="G1005" s="16"/>
      <c r="H1005" s="10"/>
    </row>
    <row r="1006" customFormat="false" ht="15" hidden="false" customHeight="true" outlineLevel="0" collapsed="false">
      <c r="A1006" s="13"/>
      <c r="B1006" s="10"/>
      <c r="C1006" s="12" t="str">
        <f aca="false">IF($B1006="","",IFERROR(INDEX(반품접수!$E$3:$E$1002,MATCH($B1006,반품접수!$A$3:$A$1002,0)),"접수번호없음"))</f>
        <v/>
      </c>
      <c r="D1006" s="10"/>
      <c r="E1006" s="14"/>
      <c r="F1006" s="10"/>
      <c r="G1006" s="16"/>
      <c r="H1006" s="10"/>
    </row>
    <row r="1007" customFormat="false" ht="15" hidden="false" customHeight="true" outlineLevel="0" collapsed="false">
      <c r="A1007" s="13"/>
      <c r="B1007" s="10"/>
      <c r="C1007" s="12" t="str">
        <f aca="false">IF($B1007="","",IFERROR(INDEX(반품접수!$E$3:$E$1002,MATCH($B1007,반품접수!$A$3:$A$1002,0)),"접수번호없음"))</f>
        <v/>
      </c>
      <c r="D1007" s="10"/>
      <c r="E1007" s="14"/>
      <c r="F1007" s="10"/>
      <c r="G1007" s="16"/>
      <c r="H1007" s="10"/>
    </row>
    <row r="1008" customFormat="false" ht="15" hidden="false" customHeight="true" outlineLevel="0" collapsed="false">
      <c r="A1008" s="13"/>
      <c r="B1008" s="10"/>
      <c r="C1008" s="12" t="str">
        <f aca="false">IF($B1008="","",IFERROR(INDEX(반품접수!$E$3:$E$1002,MATCH($B1008,반품접수!$A$3:$A$1002,0)),"접수번호없음"))</f>
        <v/>
      </c>
      <c r="D1008" s="10"/>
      <c r="E1008" s="14"/>
      <c r="F1008" s="10"/>
      <c r="G1008" s="16"/>
      <c r="H1008" s="10"/>
    </row>
    <row r="1009" customFormat="false" ht="15" hidden="false" customHeight="true" outlineLevel="0" collapsed="false">
      <c r="A1009" s="13"/>
      <c r="B1009" s="10"/>
      <c r="C1009" s="12" t="str">
        <f aca="false">IF($B1009="","",IFERROR(INDEX(반품접수!$E$3:$E$1002,MATCH($B1009,반품접수!$A$3:$A$1002,0)),"접수번호없음"))</f>
        <v/>
      </c>
      <c r="D1009" s="10"/>
      <c r="E1009" s="14"/>
      <c r="F1009" s="10"/>
      <c r="G1009" s="16"/>
      <c r="H1009" s="10"/>
    </row>
    <row r="1010" customFormat="false" ht="15" hidden="false" customHeight="true" outlineLevel="0" collapsed="false">
      <c r="A1010" s="13"/>
      <c r="B1010" s="10"/>
      <c r="C1010" s="12" t="str">
        <f aca="false">IF($B1010="","",IFERROR(INDEX(반품접수!$E$3:$E$1002,MATCH($B1010,반품접수!$A$3:$A$1002,0)),"접수번호없음"))</f>
        <v/>
      </c>
      <c r="D1010" s="10"/>
      <c r="E1010" s="14"/>
      <c r="F1010" s="10"/>
      <c r="G1010" s="16"/>
      <c r="H1010" s="10"/>
    </row>
    <row r="1011" customFormat="false" ht="15" hidden="false" customHeight="true" outlineLevel="0" collapsed="false">
      <c r="A1011" s="13"/>
      <c r="B1011" s="10"/>
      <c r="C1011" s="12" t="str">
        <f aca="false">IF($B1011="","",IFERROR(INDEX(반품접수!$E$3:$E$1002,MATCH($B1011,반품접수!$A$3:$A$1002,0)),"접수번호없음"))</f>
        <v/>
      </c>
      <c r="D1011" s="10"/>
      <c r="E1011" s="14"/>
      <c r="F1011" s="10"/>
      <c r="G1011" s="16"/>
      <c r="H1011" s="10"/>
    </row>
    <row r="1012" customFormat="false" ht="15" hidden="false" customHeight="true" outlineLevel="0" collapsed="false">
      <c r="A1012" s="13"/>
      <c r="B1012" s="10"/>
      <c r="C1012" s="12" t="str">
        <f aca="false">IF($B1012="","",IFERROR(INDEX(반품접수!$E$3:$E$1002,MATCH($B1012,반품접수!$A$3:$A$1002,0)),"접수번호없음"))</f>
        <v/>
      </c>
      <c r="D1012" s="10"/>
      <c r="E1012" s="14"/>
      <c r="F1012" s="10"/>
      <c r="G1012" s="16"/>
      <c r="H1012" s="10"/>
    </row>
    <row r="1013" customFormat="false" ht="15" hidden="false" customHeight="true" outlineLevel="0" collapsed="false">
      <c r="A1013" s="13"/>
      <c r="B1013" s="10"/>
      <c r="C1013" s="12" t="str">
        <f aca="false">IF($B1013="","",IFERROR(INDEX(반품접수!$E$3:$E$1002,MATCH($B1013,반품접수!$A$3:$A$1002,0)),"접수번호없음"))</f>
        <v/>
      </c>
      <c r="D1013" s="10"/>
      <c r="E1013" s="14"/>
      <c r="F1013" s="10"/>
      <c r="G1013" s="16"/>
      <c r="H1013" s="10"/>
    </row>
    <row r="1014" customFormat="false" ht="15" hidden="false" customHeight="true" outlineLevel="0" collapsed="false">
      <c r="A1014" s="13"/>
      <c r="B1014" s="10"/>
      <c r="C1014" s="12" t="str">
        <f aca="false">IF($B1014="","",IFERROR(INDEX(반품접수!$E$3:$E$1002,MATCH($B1014,반품접수!$A$3:$A$1002,0)),"접수번호없음"))</f>
        <v/>
      </c>
      <c r="D1014" s="10"/>
      <c r="E1014" s="14"/>
      <c r="F1014" s="10"/>
      <c r="G1014" s="16"/>
      <c r="H1014" s="10"/>
    </row>
    <row r="1015" customFormat="false" ht="15" hidden="false" customHeight="true" outlineLevel="0" collapsed="false">
      <c r="A1015" s="13"/>
      <c r="B1015" s="10"/>
      <c r="C1015" s="12" t="str">
        <f aca="false">IF($B1015="","",IFERROR(INDEX(반품접수!$E$3:$E$1002,MATCH($B1015,반품접수!$A$3:$A$1002,0)),"접수번호없음"))</f>
        <v/>
      </c>
      <c r="D1015" s="10"/>
      <c r="E1015" s="14"/>
      <c r="F1015" s="10"/>
      <c r="G1015" s="16"/>
      <c r="H1015" s="10"/>
    </row>
    <row r="1016" customFormat="false" ht="15" hidden="false" customHeight="true" outlineLevel="0" collapsed="false">
      <c r="A1016" s="13"/>
      <c r="B1016" s="10"/>
      <c r="C1016" s="12" t="str">
        <f aca="false">IF($B1016="","",IFERROR(INDEX(반품접수!$E$3:$E$1002,MATCH($B1016,반품접수!$A$3:$A$1002,0)),"접수번호없음"))</f>
        <v/>
      </c>
      <c r="D1016" s="10"/>
      <c r="E1016" s="14"/>
      <c r="F1016" s="10"/>
      <c r="G1016" s="16"/>
      <c r="H1016" s="10"/>
    </row>
    <row r="1017" customFormat="false" ht="15" hidden="false" customHeight="true" outlineLevel="0" collapsed="false">
      <c r="A1017" s="13"/>
      <c r="B1017" s="10"/>
      <c r="C1017" s="12" t="str">
        <f aca="false">IF($B1017="","",IFERROR(INDEX(반품접수!$E$3:$E$1002,MATCH($B1017,반품접수!$A$3:$A$1002,0)),"접수번호없음"))</f>
        <v/>
      </c>
      <c r="D1017" s="10"/>
      <c r="E1017" s="14"/>
      <c r="F1017" s="10"/>
      <c r="G1017" s="16"/>
      <c r="H1017" s="10"/>
    </row>
    <row r="1018" customFormat="false" ht="15" hidden="false" customHeight="true" outlineLevel="0" collapsed="false">
      <c r="A1018" s="13"/>
      <c r="B1018" s="10"/>
      <c r="C1018" s="12" t="str">
        <f aca="false">IF($B1018="","",IFERROR(INDEX(반품접수!$E$3:$E$1002,MATCH($B1018,반품접수!$A$3:$A$1002,0)),"접수번호없음"))</f>
        <v/>
      </c>
      <c r="D1018" s="10"/>
      <c r="E1018" s="14"/>
      <c r="F1018" s="10"/>
      <c r="G1018" s="16"/>
      <c r="H1018" s="10"/>
    </row>
    <row r="1019" customFormat="false" ht="15" hidden="false" customHeight="true" outlineLevel="0" collapsed="false">
      <c r="A1019" s="13"/>
      <c r="B1019" s="10"/>
      <c r="C1019" s="12" t="str">
        <f aca="false">IF($B1019="","",IFERROR(INDEX(반품접수!$E$3:$E$1002,MATCH($B1019,반품접수!$A$3:$A$1002,0)),"접수번호없음"))</f>
        <v/>
      </c>
      <c r="D1019" s="10"/>
      <c r="E1019" s="14"/>
      <c r="F1019" s="10"/>
      <c r="G1019" s="16"/>
      <c r="H1019" s="10"/>
    </row>
    <row r="1020" customFormat="false" ht="15" hidden="false" customHeight="true" outlineLevel="0" collapsed="false">
      <c r="A1020" s="13"/>
      <c r="B1020" s="10"/>
      <c r="C1020" s="12" t="str">
        <f aca="false">IF($B1020="","",IFERROR(INDEX(반품접수!$E$3:$E$1002,MATCH($B1020,반품접수!$A$3:$A$1002,0)),"접수번호없음"))</f>
        <v/>
      </c>
      <c r="D1020" s="10"/>
      <c r="E1020" s="14"/>
      <c r="F1020" s="10"/>
      <c r="G1020" s="16"/>
      <c r="H1020" s="10"/>
    </row>
    <row r="1021" customFormat="false" ht="15" hidden="false" customHeight="true" outlineLevel="0" collapsed="false">
      <c r="A1021" s="13"/>
      <c r="B1021" s="10"/>
      <c r="C1021" s="12" t="str">
        <f aca="false">IF($B1021="","",IFERROR(INDEX(반품접수!$E$3:$E$1002,MATCH($B1021,반품접수!$A$3:$A$1002,0)),"접수번호없음"))</f>
        <v/>
      </c>
      <c r="D1021" s="10"/>
      <c r="E1021" s="14"/>
      <c r="F1021" s="10"/>
      <c r="G1021" s="16"/>
      <c r="H1021" s="10"/>
    </row>
    <row r="1022" customFormat="false" ht="15" hidden="false" customHeight="true" outlineLevel="0" collapsed="false">
      <c r="A1022" s="13"/>
      <c r="B1022" s="10"/>
      <c r="C1022" s="12" t="str">
        <f aca="false">IF($B1022="","",IFERROR(INDEX(반품접수!$E$3:$E$1002,MATCH($B1022,반품접수!$A$3:$A$1002,0)),"접수번호없음"))</f>
        <v/>
      </c>
      <c r="D1022" s="10"/>
      <c r="E1022" s="14"/>
      <c r="F1022" s="10"/>
      <c r="G1022" s="16"/>
      <c r="H1022" s="10"/>
    </row>
    <row r="1023" customFormat="false" ht="15" hidden="false" customHeight="true" outlineLevel="0" collapsed="false">
      <c r="A1023" s="13"/>
      <c r="B1023" s="10"/>
      <c r="C1023" s="12" t="str">
        <f aca="false">IF($B1023="","",IFERROR(INDEX(반품접수!$E$3:$E$1002,MATCH($B1023,반품접수!$A$3:$A$1002,0)),"접수번호없음"))</f>
        <v/>
      </c>
      <c r="D1023" s="10"/>
      <c r="E1023" s="14"/>
      <c r="F1023" s="10"/>
      <c r="G1023" s="16"/>
      <c r="H1023" s="10"/>
    </row>
    <row r="1024" customFormat="false" ht="15" hidden="false" customHeight="true" outlineLevel="0" collapsed="false">
      <c r="A1024" s="13"/>
      <c r="B1024" s="10"/>
      <c r="C1024" s="12" t="str">
        <f aca="false">IF($B1024="","",IFERROR(INDEX(반품접수!$E$3:$E$1002,MATCH($B1024,반품접수!$A$3:$A$1002,0)),"접수번호없음"))</f>
        <v/>
      </c>
      <c r="D1024" s="10"/>
      <c r="E1024" s="14"/>
      <c r="F1024" s="10"/>
      <c r="G1024" s="16"/>
      <c r="H1024" s="10"/>
    </row>
    <row r="1025" customFormat="false" ht="15" hidden="false" customHeight="true" outlineLevel="0" collapsed="false">
      <c r="A1025" s="13"/>
      <c r="B1025" s="10"/>
      <c r="C1025" s="12" t="str">
        <f aca="false">IF($B1025="","",IFERROR(INDEX(반품접수!$E$3:$E$1002,MATCH($B1025,반품접수!$A$3:$A$1002,0)),"접수번호없음"))</f>
        <v/>
      </c>
      <c r="D1025" s="10"/>
      <c r="E1025" s="14"/>
      <c r="F1025" s="10"/>
      <c r="G1025" s="16"/>
      <c r="H1025" s="10"/>
    </row>
    <row r="1026" customFormat="false" ht="15" hidden="false" customHeight="true" outlineLevel="0" collapsed="false">
      <c r="A1026" s="13"/>
      <c r="B1026" s="10"/>
      <c r="C1026" s="12" t="str">
        <f aca="false">IF($B1026="","",IFERROR(INDEX(반품접수!$E$3:$E$1002,MATCH($B1026,반품접수!$A$3:$A$1002,0)),"접수번호없음"))</f>
        <v/>
      </c>
      <c r="D1026" s="10"/>
      <c r="E1026" s="14"/>
      <c r="F1026" s="10"/>
      <c r="G1026" s="16"/>
      <c r="H1026" s="10"/>
    </row>
    <row r="1027" customFormat="false" ht="15" hidden="false" customHeight="true" outlineLevel="0" collapsed="false">
      <c r="A1027" s="13"/>
      <c r="B1027" s="10"/>
      <c r="C1027" s="12" t="str">
        <f aca="false">IF($B1027="","",IFERROR(INDEX(반품접수!$E$3:$E$1002,MATCH($B1027,반품접수!$A$3:$A$1002,0)),"접수번호없음"))</f>
        <v/>
      </c>
      <c r="D1027" s="10"/>
      <c r="E1027" s="14"/>
      <c r="F1027" s="10"/>
      <c r="G1027" s="16"/>
      <c r="H1027" s="10"/>
    </row>
    <row r="1028" customFormat="false" ht="15" hidden="false" customHeight="true" outlineLevel="0" collapsed="false">
      <c r="A1028" s="13"/>
      <c r="B1028" s="10"/>
      <c r="C1028" s="12" t="str">
        <f aca="false">IF($B1028="","",IFERROR(INDEX(반품접수!$E$3:$E$1002,MATCH($B1028,반품접수!$A$3:$A$1002,0)),"접수번호없음"))</f>
        <v/>
      </c>
      <c r="D1028" s="10"/>
      <c r="E1028" s="14"/>
      <c r="F1028" s="10"/>
      <c r="G1028" s="16"/>
      <c r="H1028" s="10"/>
    </row>
    <row r="1029" customFormat="false" ht="15" hidden="false" customHeight="true" outlineLevel="0" collapsed="false">
      <c r="A1029" s="13"/>
      <c r="B1029" s="10"/>
      <c r="C1029" s="12" t="str">
        <f aca="false">IF($B1029="","",IFERROR(INDEX(반품접수!$E$3:$E$1002,MATCH($B1029,반품접수!$A$3:$A$1002,0)),"접수번호없음"))</f>
        <v/>
      </c>
      <c r="D1029" s="10"/>
      <c r="E1029" s="14"/>
      <c r="F1029" s="10"/>
      <c r="G1029" s="16"/>
      <c r="H1029" s="10"/>
    </row>
    <row r="1030" customFormat="false" ht="15" hidden="false" customHeight="true" outlineLevel="0" collapsed="false">
      <c r="A1030" s="13"/>
      <c r="B1030" s="10"/>
      <c r="C1030" s="12" t="str">
        <f aca="false">IF($B1030="","",IFERROR(INDEX(반품접수!$E$3:$E$1002,MATCH($B1030,반품접수!$A$3:$A$1002,0)),"접수번호없음"))</f>
        <v/>
      </c>
      <c r="D1030" s="10"/>
      <c r="E1030" s="14"/>
      <c r="F1030" s="10"/>
      <c r="G1030" s="16"/>
      <c r="H1030" s="10"/>
    </row>
    <row r="1031" customFormat="false" ht="15" hidden="false" customHeight="true" outlineLevel="0" collapsed="false">
      <c r="A1031" s="13"/>
      <c r="B1031" s="10"/>
      <c r="C1031" s="12" t="str">
        <f aca="false">IF($B1031="","",IFERROR(INDEX(반품접수!$E$3:$E$1002,MATCH($B1031,반품접수!$A$3:$A$1002,0)),"접수번호없음"))</f>
        <v/>
      </c>
      <c r="D1031" s="10"/>
      <c r="E1031" s="14"/>
      <c r="F1031" s="10"/>
      <c r="G1031" s="16"/>
      <c r="H1031" s="10"/>
    </row>
    <row r="1032" customFormat="false" ht="15" hidden="false" customHeight="true" outlineLevel="0" collapsed="false">
      <c r="A1032" s="13"/>
      <c r="B1032" s="10"/>
      <c r="C1032" s="12" t="str">
        <f aca="false">IF($B1032="","",IFERROR(INDEX(반품접수!$E$3:$E$1002,MATCH($B1032,반품접수!$A$3:$A$1002,0)),"접수번호없음"))</f>
        <v/>
      </c>
      <c r="D1032" s="10"/>
      <c r="E1032" s="14"/>
      <c r="F1032" s="10"/>
      <c r="G1032" s="16"/>
      <c r="H1032" s="10"/>
    </row>
    <row r="1033" customFormat="false" ht="15" hidden="false" customHeight="true" outlineLevel="0" collapsed="false">
      <c r="A1033" s="13"/>
      <c r="B1033" s="10"/>
      <c r="C1033" s="12" t="str">
        <f aca="false">IF($B1033="","",IFERROR(INDEX(반품접수!$E$3:$E$1002,MATCH($B1033,반품접수!$A$3:$A$1002,0)),"접수번호없음"))</f>
        <v/>
      </c>
      <c r="D1033" s="10"/>
      <c r="E1033" s="14"/>
      <c r="F1033" s="10"/>
      <c r="G1033" s="16"/>
      <c r="H1033" s="10"/>
    </row>
    <row r="1034" customFormat="false" ht="15" hidden="false" customHeight="true" outlineLevel="0" collapsed="false">
      <c r="A1034" s="13"/>
      <c r="B1034" s="10"/>
      <c r="C1034" s="12" t="str">
        <f aca="false">IF($B1034="","",IFERROR(INDEX(반품접수!$E$3:$E$1002,MATCH($B1034,반품접수!$A$3:$A$1002,0)),"접수번호없음"))</f>
        <v/>
      </c>
      <c r="D1034" s="10"/>
      <c r="E1034" s="14"/>
      <c r="F1034" s="10"/>
      <c r="G1034" s="16"/>
      <c r="H1034" s="10"/>
    </row>
    <row r="1035" customFormat="false" ht="15" hidden="false" customHeight="true" outlineLevel="0" collapsed="false">
      <c r="A1035" s="13"/>
      <c r="B1035" s="10"/>
      <c r="C1035" s="12" t="str">
        <f aca="false">IF($B1035="","",IFERROR(INDEX(반품접수!$E$3:$E$1002,MATCH($B1035,반품접수!$A$3:$A$1002,0)),"접수번호없음"))</f>
        <v/>
      </c>
      <c r="D1035" s="10"/>
      <c r="E1035" s="14"/>
      <c r="F1035" s="10"/>
      <c r="G1035" s="16"/>
      <c r="H1035" s="10"/>
    </row>
    <row r="1036" customFormat="false" ht="15" hidden="false" customHeight="true" outlineLevel="0" collapsed="false">
      <c r="A1036" s="13"/>
      <c r="B1036" s="10"/>
      <c r="C1036" s="12" t="str">
        <f aca="false">IF($B1036="","",IFERROR(INDEX(반품접수!$E$3:$E$1002,MATCH($B1036,반품접수!$A$3:$A$1002,0)),"접수번호없음"))</f>
        <v/>
      </c>
      <c r="D1036" s="10"/>
      <c r="E1036" s="14"/>
      <c r="F1036" s="10"/>
      <c r="G1036" s="16"/>
      <c r="H1036" s="10"/>
    </row>
    <row r="1037" customFormat="false" ht="15" hidden="false" customHeight="true" outlineLevel="0" collapsed="false">
      <c r="A1037" s="13"/>
      <c r="B1037" s="10"/>
      <c r="C1037" s="12" t="str">
        <f aca="false">IF($B1037="","",IFERROR(INDEX(반품접수!$E$3:$E$1002,MATCH($B1037,반품접수!$A$3:$A$1002,0)),"접수번호없음"))</f>
        <v/>
      </c>
      <c r="D1037" s="10"/>
      <c r="E1037" s="14"/>
      <c r="F1037" s="10"/>
      <c r="G1037" s="16"/>
      <c r="H1037" s="10"/>
    </row>
    <row r="1038" customFormat="false" ht="15" hidden="false" customHeight="true" outlineLevel="0" collapsed="false">
      <c r="A1038" s="13"/>
      <c r="B1038" s="10"/>
      <c r="C1038" s="12" t="str">
        <f aca="false">IF($B1038="","",IFERROR(INDEX(반품접수!$E$3:$E$1002,MATCH($B1038,반품접수!$A$3:$A$1002,0)),"접수번호없음"))</f>
        <v/>
      </c>
      <c r="D1038" s="10"/>
      <c r="E1038" s="14"/>
      <c r="F1038" s="10"/>
      <c r="G1038" s="16"/>
      <c r="H1038" s="10"/>
    </row>
    <row r="1039" customFormat="false" ht="15" hidden="false" customHeight="true" outlineLevel="0" collapsed="false">
      <c r="A1039" s="13"/>
      <c r="B1039" s="10"/>
      <c r="C1039" s="12" t="str">
        <f aca="false">IF($B1039="","",IFERROR(INDEX(반품접수!$E$3:$E$1002,MATCH($B1039,반품접수!$A$3:$A$1002,0)),"접수번호없음"))</f>
        <v/>
      </c>
      <c r="D1039" s="10"/>
      <c r="E1039" s="14"/>
      <c r="F1039" s="10"/>
      <c r="G1039" s="16"/>
      <c r="H1039" s="10"/>
    </row>
    <row r="1040" customFormat="false" ht="15" hidden="false" customHeight="true" outlineLevel="0" collapsed="false">
      <c r="A1040" s="13"/>
      <c r="B1040" s="10"/>
      <c r="C1040" s="12" t="str">
        <f aca="false">IF($B1040="","",IFERROR(INDEX(반품접수!$E$3:$E$1002,MATCH($B1040,반품접수!$A$3:$A$1002,0)),"접수번호없음"))</f>
        <v/>
      </c>
      <c r="D1040" s="10"/>
      <c r="E1040" s="14"/>
      <c r="F1040" s="10"/>
      <c r="G1040" s="16"/>
      <c r="H1040" s="10"/>
    </row>
    <row r="1041" customFormat="false" ht="15" hidden="false" customHeight="true" outlineLevel="0" collapsed="false">
      <c r="A1041" s="13"/>
      <c r="B1041" s="10"/>
      <c r="C1041" s="12" t="str">
        <f aca="false">IF($B1041="","",IFERROR(INDEX(반품접수!$E$3:$E$1002,MATCH($B1041,반품접수!$A$3:$A$1002,0)),"접수번호없음"))</f>
        <v/>
      </c>
      <c r="D1041" s="10"/>
      <c r="E1041" s="14"/>
      <c r="F1041" s="10"/>
      <c r="G1041" s="16"/>
      <c r="H1041" s="10"/>
    </row>
    <row r="1042" customFormat="false" ht="15" hidden="false" customHeight="true" outlineLevel="0" collapsed="false">
      <c r="A1042" s="13"/>
      <c r="B1042" s="10"/>
      <c r="C1042" s="12" t="str">
        <f aca="false">IF($B1042="","",IFERROR(INDEX(반품접수!$E$3:$E$1002,MATCH($B1042,반품접수!$A$3:$A$1002,0)),"접수번호없음"))</f>
        <v/>
      </c>
      <c r="D1042" s="10"/>
      <c r="E1042" s="14"/>
      <c r="F1042" s="10"/>
      <c r="G1042" s="16"/>
      <c r="H1042" s="10"/>
    </row>
    <row r="1043" customFormat="false" ht="15" hidden="false" customHeight="true" outlineLevel="0" collapsed="false">
      <c r="A1043" s="13"/>
      <c r="B1043" s="10"/>
      <c r="C1043" s="12" t="str">
        <f aca="false">IF($B1043="","",IFERROR(INDEX(반품접수!$E$3:$E$1002,MATCH($B1043,반품접수!$A$3:$A$1002,0)),"접수번호없음"))</f>
        <v/>
      </c>
      <c r="D1043" s="10"/>
      <c r="E1043" s="14"/>
      <c r="F1043" s="10"/>
      <c r="G1043" s="16"/>
      <c r="H1043" s="10"/>
    </row>
    <row r="1044" customFormat="false" ht="15" hidden="false" customHeight="true" outlineLevel="0" collapsed="false">
      <c r="A1044" s="13"/>
      <c r="B1044" s="10"/>
      <c r="C1044" s="12" t="str">
        <f aca="false">IF($B1044="","",IFERROR(INDEX(반품접수!$E$3:$E$1002,MATCH($B1044,반품접수!$A$3:$A$1002,0)),"접수번호없음"))</f>
        <v/>
      </c>
      <c r="D1044" s="10"/>
      <c r="E1044" s="14"/>
      <c r="F1044" s="10"/>
      <c r="G1044" s="16"/>
      <c r="H1044" s="10"/>
    </row>
    <row r="1045" customFormat="false" ht="15" hidden="false" customHeight="true" outlineLevel="0" collapsed="false">
      <c r="A1045" s="13"/>
      <c r="B1045" s="10"/>
      <c r="C1045" s="12" t="str">
        <f aca="false">IF($B1045="","",IFERROR(INDEX(반품접수!$E$3:$E$1002,MATCH($B1045,반품접수!$A$3:$A$1002,0)),"접수번호없음"))</f>
        <v/>
      </c>
      <c r="D1045" s="10"/>
      <c r="E1045" s="14"/>
      <c r="F1045" s="10"/>
      <c r="G1045" s="16"/>
      <c r="H1045" s="10"/>
    </row>
    <row r="1046" customFormat="false" ht="15" hidden="false" customHeight="true" outlineLevel="0" collapsed="false">
      <c r="A1046" s="13"/>
      <c r="B1046" s="10"/>
      <c r="C1046" s="12" t="str">
        <f aca="false">IF($B1046="","",IFERROR(INDEX(반품접수!$E$3:$E$1002,MATCH($B1046,반품접수!$A$3:$A$1002,0)),"접수번호없음"))</f>
        <v/>
      </c>
      <c r="D1046" s="10"/>
      <c r="E1046" s="14"/>
      <c r="F1046" s="10"/>
      <c r="G1046" s="16"/>
      <c r="H1046" s="10"/>
    </row>
    <row r="1047" customFormat="false" ht="15" hidden="false" customHeight="true" outlineLevel="0" collapsed="false">
      <c r="A1047" s="13"/>
      <c r="B1047" s="10"/>
      <c r="C1047" s="12" t="str">
        <f aca="false">IF($B1047="","",IFERROR(INDEX(반품접수!$E$3:$E$1002,MATCH($B1047,반품접수!$A$3:$A$1002,0)),"접수번호없음"))</f>
        <v/>
      </c>
      <c r="D1047" s="10"/>
      <c r="E1047" s="14"/>
      <c r="F1047" s="10"/>
      <c r="G1047" s="16"/>
      <c r="H1047" s="10"/>
    </row>
    <row r="1048" customFormat="false" ht="15" hidden="false" customHeight="true" outlineLevel="0" collapsed="false">
      <c r="A1048" s="13"/>
      <c r="B1048" s="10"/>
      <c r="C1048" s="12" t="str">
        <f aca="false">IF($B1048="","",IFERROR(INDEX(반품접수!$E$3:$E$1002,MATCH($B1048,반품접수!$A$3:$A$1002,0)),"접수번호없음"))</f>
        <v/>
      </c>
      <c r="D1048" s="10"/>
      <c r="E1048" s="14"/>
      <c r="F1048" s="10"/>
      <c r="G1048" s="16"/>
      <c r="H1048" s="10"/>
    </row>
    <row r="1049" customFormat="false" ht="15" hidden="false" customHeight="true" outlineLevel="0" collapsed="false">
      <c r="A1049" s="13"/>
      <c r="B1049" s="10"/>
      <c r="C1049" s="12" t="str">
        <f aca="false">IF($B1049="","",IFERROR(INDEX(반품접수!$E$3:$E$1002,MATCH($B1049,반품접수!$A$3:$A$1002,0)),"접수번호없음"))</f>
        <v/>
      </c>
      <c r="D1049" s="10"/>
      <c r="E1049" s="14"/>
      <c r="F1049" s="10"/>
      <c r="G1049" s="16"/>
      <c r="H1049" s="10"/>
    </row>
    <row r="1050" customFormat="false" ht="15" hidden="false" customHeight="true" outlineLevel="0" collapsed="false">
      <c r="A1050" s="13"/>
      <c r="B1050" s="10"/>
      <c r="C1050" s="12" t="str">
        <f aca="false">IF($B1050="","",IFERROR(INDEX(반품접수!$E$3:$E$1002,MATCH($B1050,반품접수!$A$3:$A$1002,0)),"접수번호없음"))</f>
        <v/>
      </c>
      <c r="D1050" s="10"/>
      <c r="E1050" s="14"/>
      <c r="F1050" s="10"/>
      <c r="G1050" s="16"/>
      <c r="H1050" s="10"/>
    </row>
    <row r="1051" customFormat="false" ht="15" hidden="false" customHeight="true" outlineLevel="0" collapsed="false">
      <c r="A1051" s="13"/>
      <c r="B1051" s="10"/>
      <c r="C1051" s="12" t="str">
        <f aca="false">IF($B1051="","",IFERROR(INDEX(반품접수!$E$3:$E$1002,MATCH($B1051,반품접수!$A$3:$A$1002,0)),"접수번호없음"))</f>
        <v/>
      </c>
      <c r="D1051" s="10"/>
      <c r="E1051" s="14"/>
      <c r="F1051" s="10"/>
      <c r="G1051" s="16"/>
      <c r="H1051" s="10"/>
    </row>
    <row r="1052" customFormat="false" ht="15" hidden="false" customHeight="true" outlineLevel="0" collapsed="false">
      <c r="A1052" s="13"/>
      <c r="B1052" s="10"/>
      <c r="C1052" s="12" t="str">
        <f aca="false">IF($B1052="","",IFERROR(INDEX(반품접수!$E$3:$E$1002,MATCH($B1052,반품접수!$A$3:$A$1002,0)),"접수번호없음"))</f>
        <v/>
      </c>
      <c r="D1052" s="10"/>
      <c r="E1052" s="14"/>
      <c r="F1052" s="10"/>
      <c r="G1052" s="16"/>
      <c r="H1052" s="10"/>
    </row>
    <row r="1053" customFormat="false" ht="15" hidden="false" customHeight="true" outlineLevel="0" collapsed="false">
      <c r="A1053" s="13"/>
      <c r="B1053" s="10"/>
      <c r="C1053" s="12" t="str">
        <f aca="false">IF($B1053="","",IFERROR(INDEX(반품접수!$E$3:$E$1002,MATCH($B1053,반품접수!$A$3:$A$1002,0)),"접수번호없음"))</f>
        <v/>
      </c>
      <c r="D1053" s="10"/>
      <c r="E1053" s="14"/>
      <c r="F1053" s="10"/>
      <c r="G1053" s="16"/>
      <c r="H1053" s="10"/>
    </row>
    <row r="1054" customFormat="false" ht="15" hidden="false" customHeight="true" outlineLevel="0" collapsed="false">
      <c r="A1054" s="13"/>
      <c r="B1054" s="10"/>
      <c r="C1054" s="12" t="str">
        <f aca="false">IF($B1054="","",IFERROR(INDEX(반품접수!$E$3:$E$1002,MATCH($B1054,반품접수!$A$3:$A$1002,0)),"접수번호없음"))</f>
        <v/>
      </c>
      <c r="D1054" s="10"/>
      <c r="E1054" s="14"/>
      <c r="F1054" s="10"/>
      <c r="G1054" s="16"/>
      <c r="H1054" s="10"/>
    </row>
    <row r="1055" customFormat="false" ht="15" hidden="false" customHeight="true" outlineLevel="0" collapsed="false">
      <c r="A1055" s="13"/>
      <c r="B1055" s="10"/>
      <c r="C1055" s="12" t="str">
        <f aca="false">IF($B1055="","",IFERROR(INDEX(반품접수!$E$3:$E$1002,MATCH($B1055,반품접수!$A$3:$A$1002,0)),"접수번호없음"))</f>
        <v/>
      </c>
      <c r="D1055" s="10"/>
      <c r="E1055" s="14"/>
      <c r="F1055" s="10"/>
      <c r="G1055" s="16"/>
      <c r="H1055" s="10"/>
    </row>
    <row r="1056" customFormat="false" ht="15" hidden="false" customHeight="true" outlineLevel="0" collapsed="false">
      <c r="A1056" s="13"/>
      <c r="B1056" s="10"/>
      <c r="C1056" s="12" t="str">
        <f aca="false">IF($B1056="","",IFERROR(INDEX(반품접수!$E$3:$E$1002,MATCH($B1056,반품접수!$A$3:$A$1002,0)),"접수번호없음"))</f>
        <v/>
      </c>
      <c r="D1056" s="10"/>
      <c r="E1056" s="14"/>
      <c r="F1056" s="10"/>
      <c r="G1056" s="16"/>
      <c r="H1056" s="10"/>
    </row>
    <row r="1057" customFormat="false" ht="15" hidden="false" customHeight="true" outlineLevel="0" collapsed="false">
      <c r="A1057" s="13"/>
      <c r="B1057" s="10"/>
      <c r="C1057" s="12" t="str">
        <f aca="false">IF($B1057="","",IFERROR(INDEX(반품접수!$E$3:$E$1002,MATCH($B1057,반품접수!$A$3:$A$1002,0)),"접수번호없음"))</f>
        <v/>
      </c>
      <c r="D1057" s="10"/>
      <c r="E1057" s="14"/>
      <c r="F1057" s="10"/>
      <c r="G1057" s="16"/>
      <c r="H1057" s="10"/>
    </row>
    <row r="1058" customFormat="false" ht="15" hidden="false" customHeight="true" outlineLevel="0" collapsed="false">
      <c r="A1058" s="13"/>
      <c r="B1058" s="10"/>
      <c r="C1058" s="12" t="str">
        <f aca="false">IF($B1058="","",IFERROR(INDEX(반품접수!$E$3:$E$1002,MATCH($B1058,반품접수!$A$3:$A$1002,0)),"접수번호없음"))</f>
        <v/>
      </c>
      <c r="D1058" s="10"/>
      <c r="E1058" s="14"/>
      <c r="F1058" s="10"/>
      <c r="G1058" s="16"/>
      <c r="H1058" s="10"/>
    </row>
    <row r="1059" customFormat="false" ht="15" hidden="false" customHeight="true" outlineLevel="0" collapsed="false">
      <c r="A1059" s="13"/>
      <c r="B1059" s="10"/>
      <c r="C1059" s="12" t="str">
        <f aca="false">IF($B1059="","",IFERROR(INDEX(반품접수!$E$3:$E$1002,MATCH($B1059,반품접수!$A$3:$A$1002,0)),"접수번호없음"))</f>
        <v/>
      </c>
      <c r="D1059" s="10"/>
      <c r="E1059" s="14"/>
      <c r="F1059" s="10"/>
      <c r="G1059" s="16"/>
      <c r="H1059" s="10"/>
    </row>
    <row r="1060" customFormat="false" ht="15" hidden="false" customHeight="true" outlineLevel="0" collapsed="false">
      <c r="A1060" s="13"/>
      <c r="B1060" s="10"/>
      <c r="C1060" s="12" t="str">
        <f aca="false">IF($B1060="","",IFERROR(INDEX(반품접수!$E$3:$E$1002,MATCH($B1060,반품접수!$A$3:$A$1002,0)),"접수번호없음"))</f>
        <v/>
      </c>
      <c r="D1060" s="10"/>
      <c r="E1060" s="14"/>
      <c r="F1060" s="10"/>
      <c r="G1060" s="16"/>
      <c r="H1060" s="10"/>
    </row>
    <row r="1061" customFormat="false" ht="15" hidden="false" customHeight="true" outlineLevel="0" collapsed="false">
      <c r="A1061" s="13"/>
      <c r="B1061" s="10"/>
      <c r="C1061" s="12" t="str">
        <f aca="false">IF($B1061="","",IFERROR(INDEX(반품접수!$E$3:$E$1002,MATCH($B1061,반품접수!$A$3:$A$1002,0)),"접수번호없음"))</f>
        <v/>
      </c>
      <c r="D1061" s="10"/>
      <c r="E1061" s="14"/>
      <c r="F1061" s="10"/>
      <c r="G1061" s="16"/>
      <c r="H1061" s="10"/>
    </row>
    <row r="1062" customFormat="false" ht="15" hidden="false" customHeight="true" outlineLevel="0" collapsed="false">
      <c r="A1062" s="13"/>
      <c r="B1062" s="10"/>
      <c r="C1062" s="12" t="str">
        <f aca="false">IF($B1062="","",IFERROR(INDEX(반품접수!$E$3:$E$1002,MATCH($B1062,반품접수!$A$3:$A$1002,0)),"접수번호없음"))</f>
        <v/>
      </c>
      <c r="D1062" s="10"/>
      <c r="E1062" s="14"/>
      <c r="F1062" s="10"/>
      <c r="G1062" s="16"/>
      <c r="H1062" s="10"/>
    </row>
    <row r="1063" customFormat="false" ht="15" hidden="false" customHeight="true" outlineLevel="0" collapsed="false">
      <c r="A1063" s="13"/>
      <c r="B1063" s="10"/>
      <c r="C1063" s="12" t="str">
        <f aca="false">IF($B1063="","",IFERROR(INDEX(반품접수!$E$3:$E$1002,MATCH($B1063,반품접수!$A$3:$A$1002,0)),"접수번호없음"))</f>
        <v/>
      </c>
      <c r="D1063" s="10"/>
      <c r="E1063" s="14"/>
      <c r="F1063" s="10"/>
      <c r="G1063" s="16"/>
      <c r="H1063" s="10"/>
    </row>
    <row r="1064" customFormat="false" ht="15" hidden="false" customHeight="true" outlineLevel="0" collapsed="false">
      <c r="A1064" s="13"/>
      <c r="B1064" s="10"/>
      <c r="C1064" s="12" t="str">
        <f aca="false">IF($B1064="","",IFERROR(INDEX(반품접수!$E$3:$E$1002,MATCH($B1064,반품접수!$A$3:$A$1002,0)),"접수번호없음"))</f>
        <v/>
      </c>
      <c r="D1064" s="10"/>
      <c r="E1064" s="14"/>
      <c r="F1064" s="10"/>
      <c r="G1064" s="16"/>
      <c r="H1064" s="10"/>
    </row>
    <row r="1065" customFormat="false" ht="15" hidden="false" customHeight="true" outlineLevel="0" collapsed="false">
      <c r="A1065" s="13"/>
      <c r="B1065" s="10"/>
      <c r="C1065" s="12" t="str">
        <f aca="false">IF($B1065="","",IFERROR(INDEX(반품접수!$E$3:$E$1002,MATCH($B1065,반품접수!$A$3:$A$1002,0)),"접수번호없음"))</f>
        <v/>
      </c>
      <c r="D1065" s="10"/>
      <c r="E1065" s="14"/>
      <c r="F1065" s="10"/>
      <c r="G1065" s="16"/>
      <c r="H1065" s="10"/>
    </row>
    <row r="1066" customFormat="false" ht="15" hidden="false" customHeight="true" outlineLevel="0" collapsed="false">
      <c r="A1066" s="13"/>
      <c r="B1066" s="10"/>
      <c r="C1066" s="12" t="str">
        <f aca="false">IF($B1066="","",IFERROR(INDEX(반품접수!$E$3:$E$1002,MATCH($B1066,반품접수!$A$3:$A$1002,0)),"접수번호없음"))</f>
        <v/>
      </c>
      <c r="D1066" s="10"/>
      <c r="E1066" s="14"/>
      <c r="F1066" s="10"/>
      <c r="G1066" s="16"/>
      <c r="H1066" s="10"/>
    </row>
    <row r="1067" customFormat="false" ht="15" hidden="false" customHeight="true" outlineLevel="0" collapsed="false">
      <c r="A1067" s="13"/>
      <c r="B1067" s="10"/>
      <c r="C1067" s="12" t="str">
        <f aca="false">IF($B1067="","",IFERROR(INDEX(반품접수!$E$3:$E$1002,MATCH($B1067,반품접수!$A$3:$A$1002,0)),"접수번호없음"))</f>
        <v/>
      </c>
      <c r="D1067" s="10"/>
      <c r="E1067" s="14"/>
      <c r="F1067" s="10"/>
      <c r="G1067" s="16"/>
      <c r="H1067" s="10"/>
    </row>
    <row r="1068" customFormat="false" ht="15" hidden="false" customHeight="true" outlineLevel="0" collapsed="false">
      <c r="A1068" s="13"/>
      <c r="B1068" s="10"/>
      <c r="C1068" s="12" t="str">
        <f aca="false">IF($B1068="","",IFERROR(INDEX(반품접수!$E$3:$E$1002,MATCH($B1068,반품접수!$A$3:$A$1002,0)),"접수번호없음"))</f>
        <v/>
      </c>
      <c r="D1068" s="10"/>
      <c r="E1068" s="14"/>
      <c r="F1068" s="10"/>
      <c r="G1068" s="16"/>
      <c r="H1068" s="10"/>
    </row>
    <row r="1069" customFormat="false" ht="15" hidden="false" customHeight="true" outlineLevel="0" collapsed="false">
      <c r="A1069" s="13"/>
      <c r="B1069" s="10"/>
      <c r="C1069" s="12" t="str">
        <f aca="false">IF($B1069="","",IFERROR(INDEX(반품접수!$E$3:$E$1002,MATCH($B1069,반품접수!$A$3:$A$1002,0)),"접수번호없음"))</f>
        <v/>
      </c>
      <c r="D1069" s="10"/>
      <c r="E1069" s="14"/>
      <c r="F1069" s="10"/>
      <c r="G1069" s="16"/>
      <c r="H1069" s="10"/>
    </row>
    <row r="1070" customFormat="false" ht="15" hidden="false" customHeight="true" outlineLevel="0" collapsed="false">
      <c r="A1070" s="13"/>
      <c r="B1070" s="10"/>
      <c r="C1070" s="12" t="str">
        <f aca="false">IF($B1070="","",IFERROR(INDEX(반품접수!$E$3:$E$1002,MATCH($B1070,반품접수!$A$3:$A$1002,0)),"접수번호없음"))</f>
        <v/>
      </c>
      <c r="D1070" s="10"/>
      <c r="E1070" s="14"/>
      <c r="F1070" s="10"/>
      <c r="G1070" s="16"/>
      <c r="H1070" s="10"/>
    </row>
    <row r="1071" customFormat="false" ht="15" hidden="false" customHeight="true" outlineLevel="0" collapsed="false">
      <c r="A1071" s="13"/>
      <c r="B1071" s="10"/>
      <c r="C1071" s="12" t="str">
        <f aca="false">IF($B1071="","",IFERROR(INDEX(반품접수!$E$3:$E$1002,MATCH($B1071,반품접수!$A$3:$A$1002,0)),"접수번호없음"))</f>
        <v/>
      </c>
      <c r="D1071" s="10"/>
      <c r="E1071" s="14"/>
      <c r="F1071" s="10"/>
      <c r="G1071" s="16"/>
      <c r="H1071" s="10"/>
    </row>
    <row r="1072" customFormat="false" ht="15" hidden="false" customHeight="true" outlineLevel="0" collapsed="false">
      <c r="A1072" s="13"/>
      <c r="B1072" s="10"/>
      <c r="C1072" s="12" t="str">
        <f aca="false">IF($B1072="","",IFERROR(INDEX(반품접수!$E$3:$E$1002,MATCH($B1072,반품접수!$A$3:$A$1002,0)),"접수번호없음"))</f>
        <v/>
      </c>
      <c r="D1072" s="10"/>
      <c r="E1072" s="14"/>
      <c r="F1072" s="10"/>
      <c r="G1072" s="16"/>
      <c r="H1072" s="10"/>
    </row>
    <row r="1073" customFormat="false" ht="15" hidden="false" customHeight="true" outlineLevel="0" collapsed="false">
      <c r="A1073" s="13"/>
      <c r="B1073" s="10"/>
      <c r="C1073" s="12" t="str">
        <f aca="false">IF($B1073="","",IFERROR(INDEX(반품접수!$E$3:$E$1002,MATCH($B1073,반품접수!$A$3:$A$1002,0)),"접수번호없음"))</f>
        <v/>
      </c>
      <c r="D1073" s="10"/>
      <c r="E1073" s="14"/>
      <c r="F1073" s="10"/>
      <c r="G1073" s="16"/>
      <c r="H1073" s="10"/>
    </row>
    <row r="1074" customFormat="false" ht="15" hidden="false" customHeight="true" outlineLevel="0" collapsed="false">
      <c r="A1074" s="13"/>
      <c r="B1074" s="10"/>
      <c r="C1074" s="12" t="str">
        <f aca="false">IF($B1074="","",IFERROR(INDEX(반품접수!$E$3:$E$1002,MATCH($B1074,반품접수!$A$3:$A$1002,0)),"접수번호없음"))</f>
        <v/>
      </c>
      <c r="D1074" s="10"/>
      <c r="E1074" s="14"/>
      <c r="F1074" s="10"/>
      <c r="G1074" s="16"/>
      <c r="H1074" s="10"/>
    </row>
    <row r="1075" customFormat="false" ht="15" hidden="false" customHeight="true" outlineLevel="0" collapsed="false">
      <c r="A1075" s="13"/>
      <c r="B1075" s="10"/>
      <c r="C1075" s="12" t="str">
        <f aca="false">IF($B1075="","",IFERROR(INDEX(반품접수!$E$3:$E$1002,MATCH($B1075,반품접수!$A$3:$A$1002,0)),"접수번호없음"))</f>
        <v/>
      </c>
      <c r="D1075" s="10"/>
      <c r="E1075" s="14"/>
      <c r="F1075" s="10"/>
      <c r="G1075" s="16"/>
      <c r="H1075" s="10"/>
    </row>
    <row r="1076" customFormat="false" ht="15" hidden="false" customHeight="true" outlineLevel="0" collapsed="false">
      <c r="A1076" s="13"/>
      <c r="B1076" s="10"/>
      <c r="C1076" s="12" t="str">
        <f aca="false">IF($B1076="","",IFERROR(INDEX(반품접수!$E$3:$E$1002,MATCH($B1076,반품접수!$A$3:$A$1002,0)),"접수번호없음"))</f>
        <v/>
      </c>
      <c r="D1076" s="10"/>
      <c r="E1076" s="14"/>
      <c r="F1076" s="10"/>
      <c r="G1076" s="16"/>
      <c r="H1076" s="10"/>
    </row>
    <row r="1077" customFormat="false" ht="15" hidden="false" customHeight="true" outlineLevel="0" collapsed="false">
      <c r="A1077" s="13"/>
      <c r="B1077" s="10"/>
      <c r="C1077" s="12" t="str">
        <f aca="false">IF($B1077="","",IFERROR(INDEX(반품접수!$E$3:$E$1002,MATCH($B1077,반품접수!$A$3:$A$1002,0)),"접수번호없음"))</f>
        <v/>
      </c>
      <c r="D1077" s="10"/>
      <c r="E1077" s="14"/>
      <c r="F1077" s="10"/>
      <c r="G1077" s="16"/>
      <c r="H1077" s="10"/>
    </row>
    <row r="1078" customFormat="false" ht="15" hidden="false" customHeight="true" outlineLevel="0" collapsed="false">
      <c r="A1078" s="13"/>
      <c r="B1078" s="10"/>
      <c r="C1078" s="12" t="str">
        <f aca="false">IF($B1078="","",IFERROR(INDEX(반품접수!$E$3:$E$1002,MATCH($B1078,반품접수!$A$3:$A$1002,0)),"접수번호없음"))</f>
        <v/>
      </c>
      <c r="D1078" s="10"/>
      <c r="E1078" s="14"/>
      <c r="F1078" s="10"/>
      <c r="G1078" s="16"/>
      <c r="H1078" s="10"/>
    </row>
    <row r="1079" customFormat="false" ht="15" hidden="false" customHeight="true" outlineLevel="0" collapsed="false">
      <c r="A1079" s="13"/>
      <c r="B1079" s="10"/>
      <c r="C1079" s="12" t="str">
        <f aca="false">IF($B1079="","",IFERROR(INDEX(반품접수!$E$3:$E$1002,MATCH($B1079,반품접수!$A$3:$A$1002,0)),"접수번호없음"))</f>
        <v/>
      </c>
      <c r="D1079" s="10"/>
      <c r="E1079" s="14"/>
      <c r="F1079" s="10"/>
      <c r="G1079" s="16"/>
      <c r="H1079" s="10"/>
    </row>
    <row r="1080" customFormat="false" ht="15" hidden="false" customHeight="true" outlineLevel="0" collapsed="false">
      <c r="A1080" s="13"/>
      <c r="B1080" s="10"/>
      <c r="C1080" s="12" t="str">
        <f aca="false">IF($B1080="","",IFERROR(INDEX(반품접수!$E$3:$E$1002,MATCH($B1080,반품접수!$A$3:$A$1002,0)),"접수번호없음"))</f>
        <v/>
      </c>
      <c r="D1080" s="10"/>
      <c r="E1080" s="14"/>
      <c r="F1080" s="10"/>
      <c r="G1080" s="16"/>
      <c r="H1080" s="10"/>
    </row>
    <row r="1081" customFormat="false" ht="15" hidden="false" customHeight="true" outlineLevel="0" collapsed="false">
      <c r="A1081" s="13"/>
      <c r="B1081" s="10"/>
      <c r="C1081" s="12" t="str">
        <f aca="false">IF($B1081="","",IFERROR(INDEX(반품접수!$E$3:$E$1002,MATCH($B1081,반품접수!$A$3:$A$1002,0)),"접수번호없음"))</f>
        <v/>
      </c>
      <c r="D1081" s="10"/>
      <c r="E1081" s="14"/>
      <c r="F1081" s="10"/>
      <c r="G1081" s="16"/>
      <c r="H1081" s="10"/>
    </row>
    <row r="1082" customFormat="false" ht="15" hidden="false" customHeight="true" outlineLevel="0" collapsed="false">
      <c r="A1082" s="13"/>
      <c r="B1082" s="10"/>
      <c r="C1082" s="12" t="str">
        <f aca="false">IF($B1082="","",IFERROR(INDEX(반품접수!$E$3:$E$1002,MATCH($B1082,반품접수!$A$3:$A$1002,0)),"접수번호없음"))</f>
        <v/>
      </c>
      <c r="D1082" s="10"/>
      <c r="E1082" s="14"/>
      <c r="F1082" s="10"/>
      <c r="G1082" s="16"/>
      <c r="H1082" s="10"/>
    </row>
    <row r="1083" customFormat="false" ht="15" hidden="false" customHeight="true" outlineLevel="0" collapsed="false">
      <c r="A1083" s="13"/>
      <c r="B1083" s="10"/>
      <c r="C1083" s="12" t="str">
        <f aca="false">IF($B1083="","",IFERROR(INDEX(반품접수!$E$3:$E$1002,MATCH($B1083,반품접수!$A$3:$A$1002,0)),"접수번호없음"))</f>
        <v/>
      </c>
      <c r="D1083" s="10"/>
      <c r="E1083" s="14"/>
      <c r="F1083" s="10"/>
      <c r="G1083" s="16"/>
      <c r="H1083" s="10"/>
    </row>
    <row r="1084" customFormat="false" ht="15" hidden="false" customHeight="true" outlineLevel="0" collapsed="false">
      <c r="A1084" s="13"/>
      <c r="B1084" s="10"/>
      <c r="C1084" s="12" t="str">
        <f aca="false">IF($B1084="","",IFERROR(INDEX(반품접수!$E$3:$E$1002,MATCH($B1084,반품접수!$A$3:$A$1002,0)),"접수번호없음"))</f>
        <v/>
      </c>
      <c r="D1084" s="10"/>
      <c r="E1084" s="14"/>
      <c r="F1084" s="10"/>
      <c r="G1084" s="16"/>
      <c r="H1084" s="10"/>
    </row>
    <row r="1085" customFormat="false" ht="15" hidden="false" customHeight="true" outlineLevel="0" collapsed="false">
      <c r="A1085" s="13"/>
      <c r="B1085" s="10"/>
      <c r="C1085" s="12" t="str">
        <f aca="false">IF($B1085="","",IFERROR(INDEX(반품접수!$E$3:$E$1002,MATCH($B1085,반품접수!$A$3:$A$1002,0)),"접수번호없음"))</f>
        <v/>
      </c>
      <c r="D1085" s="10"/>
      <c r="E1085" s="14"/>
      <c r="F1085" s="10"/>
      <c r="G1085" s="16"/>
      <c r="H1085" s="10"/>
    </row>
    <row r="1086" customFormat="false" ht="15" hidden="false" customHeight="true" outlineLevel="0" collapsed="false">
      <c r="A1086" s="13"/>
      <c r="B1086" s="10"/>
      <c r="C1086" s="12" t="str">
        <f aca="false">IF($B1086="","",IFERROR(INDEX(반품접수!$E$3:$E$1002,MATCH($B1086,반품접수!$A$3:$A$1002,0)),"접수번호없음"))</f>
        <v/>
      </c>
      <c r="D1086" s="10"/>
      <c r="E1086" s="14"/>
      <c r="F1086" s="10"/>
      <c r="G1086" s="16"/>
      <c r="H1086" s="10"/>
    </row>
    <row r="1087" customFormat="false" ht="15" hidden="false" customHeight="true" outlineLevel="0" collapsed="false">
      <c r="A1087" s="13"/>
      <c r="B1087" s="10"/>
      <c r="C1087" s="12" t="str">
        <f aca="false">IF($B1087="","",IFERROR(INDEX(반품접수!$E$3:$E$1002,MATCH($B1087,반품접수!$A$3:$A$1002,0)),"접수번호없음"))</f>
        <v/>
      </c>
      <c r="D1087" s="10"/>
      <c r="E1087" s="14"/>
      <c r="F1087" s="10"/>
      <c r="G1087" s="16"/>
      <c r="H1087" s="10"/>
    </row>
    <row r="1088" customFormat="false" ht="15" hidden="false" customHeight="true" outlineLevel="0" collapsed="false">
      <c r="A1088" s="13"/>
      <c r="B1088" s="10"/>
      <c r="C1088" s="12" t="str">
        <f aca="false">IF($B1088="","",IFERROR(INDEX(반품접수!$E$3:$E$1002,MATCH($B1088,반품접수!$A$3:$A$1002,0)),"접수번호없음"))</f>
        <v/>
      </c>
      <c r="D1088" s="10"/>
      <c r="E1088" s="14"/>
      <c r="F1088" s="10"/>
      <c r="G1088" s="16"/>
      <c r="H1088" s="10"/>
    </row>
    <row r="1089" customFormat="false" ht="15" hidden="false" customHeight="true" outlineLevel="0" collapsed="false">
      <c r="A1089" s="13"/>
      <c r="B1089" s="10"/>
      <c r="C1089" s="12" t="str">
        <f aca="false">IF($B1089="","",IFERROR(INDEX(반품접수!$E$3:$E$1002,MATCH($B1089,반품접수!$A$3:$A$1002,0)),"접수번호없음"))</f>
        <v/>
      </c>
      <c r="D1089" s="10"/>
      <c r="E1089" s="14"/>
      <c r="F1089" s="10"/>
      <c r="G1089" s="16"/>
      <c r="H1089" s="10"/>
    </row>
    <row r="1090" customFormat="false" ht="15" hidden="false" customHeight="true" outlineLevel="0" collapsed="false">
      <c r="A1090" s="13"/>
      <c r="B1090" s="10"/>
      <c r="C1090" s="12" t="str">
        <f aca="false">IF($B1090="","",IFERROR(INDEX(반품접수!$E$3:$E$1002,MATCH($B1090,반품접수!$A$3:$A$1002,0)),"접수번호없음"))</f>
        <v/>
      </c>
      <c r="D1090" s="10"/>
      <c r="E1090" s="14"/>
      <c r="F1090" s="10"/>
      <c r="G1090" s="16"/>
      <c r="H1090" s="10"/>
    </row>
    <row r="1091" customFormat="false" ht="15" hidden="false" customHeight="true" outlineLevel="0" collapsed="false">
      <c r="A1091" s="13"/>
      <c r="B1091" s="10"/>
      <c r="C1091" s="12" t="str">
        <f aca="false">IF($B1091="","",IFERROR(INDEX(반품접수!$E$3:$E$1002,MATCH($B1091,반품접수!$A$3:$A$1002,0)),"접수번호없음"))</f>
        <v/>
      </c>
      <c r="D1091" s="10"/>
      <c r="E1091" s="14"/>
      <c r="F1091" s="10"/>
      <c r="G1091" s="16"/>
      <c r="H1091" s="10"/>
    </row>
    <row r="1092" customFormat="false" ht="15" hidden="false" customHeight="true" outlineLevel="0" collapsed="false">
      <c r="A1092" s="13"/>
      <c r="B1092" s="10"/>
      <c r="C1092" s="12" t="str">
        <f aca="false">IF($B1092="","",IFERROR(INDEX(반품접수!$E$3:$E$1002,MATCH($B1092,반품접수!$A$3:$A$1002,0)),"접수번호없음"))</f>
        <v/>
      </c>
      <c r="D1092" s="10"/>
      <c r="E1092" s="14"/>
      <c r="F1092" s="10"/>
      <c r="G1092" s="16"/>
      <c r="H1092" s="10"/>
    </row>
    <row r="1093" customFormat="false" ht="15" hidden="false" customHeight="true" outlineLevel="0" collapsed="false">
      <c r="A1093" s="13"/>
      <c r="B1093" s="10"/>
      <c r="C1093" s="12" t="str">
        <f aca="false">IF($B1093="","",IFERROR(INDEX(반품접수!$E$3:$E$1002,MATCH($B1093,반품접수!$A$3:$A$1002,0)),"접수번호없음"))</f>
        <v/>
      </c>
      <c r="D1093" s="10"/>
      <c r="E1093" s="14"/>
      <c r="F1093" s="10"/>
      <c r="G1093" s="16"/>
      <c r="H1093" s="10"/>
    </row>
    <row r="1094" customFormat="false" ht="15" hidden="false" customHeight="true" outlineLevel="0" collapsed="false">
      <c r="A1094" s="13"/>
      <c r="B1094" s="10"/>
      <c r="C1094" s="12" t="str">
        <f aca="false">IF($B1094="","",IFERROR(INDEX(반품접수!$E$3:$E$1002,MATCH($B1094,반품접수!$A$3:$A$1002,0)),"접수번호없음"))</f>
        <v/>
      </c>
      <c r="D1094" s="10"/>
      <c r="E1094" s="14"/>
      <c r="F1094" s="10"/>
      <c r="G1094" s="16"/>
      <c r="H1094" s="10"/>
    </row>
    <row r="1095" customFormat="false" ht="15" hidden="false" customHeight="true" outlineLevel="0" collapsed="false">
      <c r="A1095" s="13"/>
      <c r="B1095" s="10"/>
      <c r="C1095" s="12" t="str">
        <f aca="false">IF($B1095="","",IFERROR(INDEX(반품접수!$E$3:$E$1002,MATCH($B1095,반품접수!$A$3:$A$1002,0)),"접수번호없음"))</f>
        <v/>
      </c>
      <c r="D1095" s="10"/>
      <c r="E1095" s="14"/>
      <c r="F1095" s="10"/>
      <c r="G1095" s="16"/>
      <c r="H1095" s="10"/>
    </row>
    <row r="1096" customFormat="false" ht="15" hidden="false" customHeight="true" outlineLevel="0" collapsed="false">
      <c r="A1096" s="13"/>
      <c r="B1096" s="10"/>
      <c r="C1096" s="12" t="str">
        <f aca="false">IF($B1096="","",IFERROR(INDEX(반품접수!$E$3:$E$1002,MATCH($B1096,반품접수!$A$3:$A$1002,0)),"접수번호없음"))</f>
        <v/>
      </c>
      <c r="D1096" s="10"/>
      <c r="E1096" s="14"/>
      <c r="F1096" s="10"/>
      <c r="G1096" s="16"/>
      <c r="H1096" s="10"/>
    </row>
    <row r="1097" customFormat="false" ht="15" hidden="false" customHeight="true" outlineLevel="0" collapsed="false">
      <c r="A1097" s="13"/>
      <c r="B1097" s="10"/>
      <c r="C1097" s="12" t="str">
        <f aca="false">IF($B1097="","",IFERROR(INDEX(반품접수!$E$3:$E$1002,MATCH($B1097,반품접수!$A$3:$A$1002,0)),"접수번호없음"))</f>
        <v/>
      </c>
      <c r="D1097" s="10"/>
      <c r="E1097" s="14"/>
      <c r="F1097" s="10"/>
      <c r="G1097" s="16"/>
      <c r="H1097" s="10"/>
    </row>
    <row r="1098" customFormat="false" ht="15" hidden="false" customHeight="true" outlineLevel="0" collapsed="false">
      <c r="A1098" s="13"/>
      <c r="B1098" s="10"/>
      <c r="C1098" s="12" t="str">
        <f aca="false">IF($B1098="","",IFERROR(INDEX(반품접수!$E$3:$E$1002,MATCH($B1098,반품접수!$A$3:$A$1002,0)),"접수번호없음"))</f>
        <v/>
      </c>
      <c r="D1098" s="10"/>
      <c r="E1098" s="14"/>
      <c r="F1098" s="10"/>
      <c r="G1098" s="16"/>
      <c r="H1098" s="10"/>
    </row>
    <row r="1099" customFormat="false" ht="15" hidden="false" customHeight="true" outlineLevel="0" collapsed="false">
      <c r="A1099" s="13"/>
      <c r="B1099" s="10"/>
      <c r="C1099" s="12" t="str">
        <f aca="false">IF($B1099="","",IFERROR(INDEX(반품접수!$E$3:$E$1002,MATCH($B1099,반품접수!$A$3:$A$1002,0)),"접수번호없음"))</f>
        <v/>
      </c>
      <c r="D1099" s="10"/>
      <c r="E1099" s="14"/>
      <c r="F1099" s="10"/>
      <c r="G1099" s="16"/>
      <c r="H1099" s="10"/>
    </row>
    <row r="1100" customFormat="false" ht="15" hidden="false" customHeight="true" outlineLevel="0" collapsed="false">
      <c r="A1100" s="13"/>
      <c r="B1100" s="10"/>
      <c r="C1100" s="12" t="str">
        <f aca="false">IF($B1100="","",IFERROR(INDEX(반품접수!$E$3:$E$1002,MATCH($B1100,반품접수!$A$3:$A$1002,0)),"접수번호없음"))</f>
        <v/>
      </c>
      <c r="D1100" s="10"/>
      <c r="E1100" s="14"/>
      <c r="F1100" s="10"/>
      <c r="G1100" s="16"/>
      <c r="H1100" s="10"/>
    </row>
    <row r="1101" customFormat="false" ht="15" hidden="false" customHeight="true" outlineLevel="0" collapsed="false">
      <c r="A1101" s="13"/>
      <c r="B1101" s="10"/>
      <c r="C1101" s="12" t="str">
        <f aca="false">IF($B1101="","",IFERROR(INDEX(반품접수!$E$3:$E$1002,MATCH($B1101,반품접수!$A$3:$A$1002,0)),"접수번호없음"))</f>
        <v/>
      </c>
      <c r="D1101" s="10"/>
      <c r="E1101" s="14"/>
      <c r="F1101" s="10"/>
      <c r="G1101" s="16"/>
      <c r="H1101" s="10"/>
    </row>
    <row r="1102" customFormat="false" ht="15" hidden="false" customHeight="true" outlineLevel="0" collapsed="false">
      <c r="A1102" s="13"/>
      <c r="B1102" s="10"/>
      <c r="C1102" s="12" t="str">
        <f aca="false">IF($B1102="","",IFERROR(INDEX(반품접수!$E$3:$E$1002,MATCH($B1102,반품접수!$A$3:$A$1002,0)),"접수번호없음"))</f>
        <v/>
      </c>
      <c r="D1102" s="10"/>
      <c r="E1102" s="14"/>
      <c r="F1102" s="10"/>
      <c r="G1102" s="16"/>
      <c r="H1102" s="10"/>
    </row>
    <row r="1103" customFormat="false" ht="15" hidden="false" customHeight="true" outlineLevel="0" collapsed="false">
      <c r="A1103" s="13"/>
      <c r="B1103" s="10"/>
      <c r="C1103" s="12" t="str">
        <f aca="false">IF($B1103="","",IFERROR(INDEX(반품접수!$E$3:$E$1002,MATCH($B1103,반품접수!$A$3:$A$1002,0)),"접수번호없음"))</f>
        <v/>
      </c>
      <c r="D1103" s="10"/>
      <c r="E1103" s="14"/>
      <c r="F1103" s="10"/>
      <c r="G1103" s="16"/>
      <c r="H1103" s="10"/>
    </row>
    <row r="1104" customFormat="false" ht="15" hidden="false" customHeight="true" outlineLevel="0" collapsed="false">
      <c r="A1104" s="13"/>
      <c r="B1104" s="10"/>
      <c r="C1104" s="12" t="str">
        <f aca="false">IF($B1104="","",IFERROR(INDEX(반품접수!$E$3:$E$1002,MATCH($B1104,반품접수!$A$3:$A$1002,0)),"접수번호없음"))</f>
        <v/>
      </c>
      <c r="D1104" s="10"/>
      <c r="E1104" s="14"/>
      <c r="F1104" s="10"/>
      <c r="G1104" s="16"/>
      <c r="H1104" s="10"/>
    </row>
    <row r="1105" customFormat="false" ht="15" hidden="false" customHeight="true" outlineLevel="0" collapsed="false">
      <c r="A1105" s="13"/>
      <c r="B1105" s="10"/>
      <c r="C1105" s="12" t="str">
        <f aca="false">IF($B1105="","",IFERROR(INDEX(반품접수!$E$3:$E$1002,MATCH($B1105,반품접수!$A$3:$A$1002,0)),"접수번호없음"))</f>
        <v/>
      </c>
      <c r="D1105" s="10"/>
      <c r="E1105" s="14"/>
      <c r="F1105" s="10"/>
      <c r="G1105" s="16"/>
      <c r="H1105" s="10"/>
    </row>
    <row r="1106" customFormat="false" ht="15" hidden="false" customHeight="true" outlineLevel="0" collapsed="false">
      <c r="A1106" s="13"/>
      <c r="B1106" s="10"/>
      <c r="C1106" s="12" t="str">
        <f aca="false">IF($B1106="","",IFERROR(INDEX(반품접수!$E$3:$E$1002,MATCH($B1106,반품접수!$A$3:$A$1002,0)),"접수번호없음"))</f>
        <v/>
      </c>
      <c r="D1106" s="10"/>
      <c r="E1106" s="14"/>
      <c r="F1106" s="10"/>
      <c r="G1106" s="16"/>
      <c r="H1106" s="10"/>
    </row>
    <row r="1107" customFormat="false" ht="15" hidden="false" customHeight="true" outlineLevel="0" collapsed="false">
      <c r="A1107" s="13"/>
      <c r="B1107" s="10"/>
      <c r="C1107" s="12" t="str">
        <f aca="false">IF($B1107="","",IFERROR(INDEX(반품접수!$E$3:$E$1002,MATCH($B1107,반품접수!$A$3:$A$1002,0)),"접수번호없음"))</f>
        <v/>
      </c>
      <c r="D1107" s="10"/>
      <c r="E1107" s="14"/>
      <c r="F1107" s="10"/>
      <c r="G1107" s="16"/>
      <c r="H1107" s="10"/>
    </row>
    <row r="1108" customFormat="false" ht="15" hidden="false" customHeight="true" outlineLevel="0" collapsed="false">
      <c r="A1108" s="13"/>
      <c r="B1108" s="10"/>
      <c r="C1108" s="12" t="str">
        <f aca="false">IF($B1108="","",IFERROR(INDEX(반품접수!$E$3:$E$1002,MATCH($B1108,반품접수!$A$3:$A$1002,0)),"접수번호없음"))</f>
        <v/>
      </c>
      <c r="D1108" s="10"/>
      <c r="E1108" s="14"/>
      <c r="F1108" s="10"/>
      <c r="G1108" s="16"/>
      <c r="H1108" s="10"/>
    </row>
    <row r="1109" customFormat="false" ht="15" hidden="false" customHeight="true" outlineLevel="0" collapsed="false">
      <c r="A1109" s="13"/>
      <c r="B1109" s="10"/>
      <c r="C1109" s="12" t="str">
        <f aca="false">IF($B1109="","",IFERROR(INDEX(반품접수!$E$3:$E$1002,MATCH($B1109,반품접수!$A$3:$A$1002,0)),"접수번호없음"))</f>
        <v/>
      </c>
      <c r="D1109" s="10"/>
      <c r="E1109" s="14"/>
      <c r="F1109" s="10"/>
      <c r="G1109" s="16"/>
      <c r="H1109" s="10"/>
    </row>
    <row r="1110" customFormat="false" ht="15" hidden="false" customHeight="true" outlineLevel="0" collapsed="false">
      <c r="A1110" s="13"/>
      <c r="B1110" s="10"/>
      <c r="C1110" s="12" t="str">
        <f aca="false">IF($B1110="","",IFERROR(INDEX(반품접수!$E$3:$E$1002,MATCH($B1110,반품접수!$A$3:$A$1002,0)),"접수번호없음"))</f>
        <v/>
      </c>
      <c r="D1110" s="10"/>
      <c r="E1110" s="14"/>
      <c r="F1110" s="10"/>
      <c r="G1110" s="16"/>
      <c r="H1110" s="10"/>
    </row>
    <row r="1111" customFormat="false" ht="15" hidden="false" customHeight="true" outlineLevel="0" collapsed="false">
      <c r="A1111" s="13"/>
      <c r="B1111" s="10"/>
      <c r="C1111" s="12" t="str">
        <f aca="false">IF($B1111="","",IFERROR(INDEX(반품접수!$E$3:$E$1002,MATCH($B1111,반품접수!$A$3:$A$1002,0)),"접수번호없음"))</f>
        <v/>
      </c>
      <c r="D1111" s="10"/>
      <c r="E1111" s="14"/>
      <c r="F1111" s="10"/>
      <c r="G1111" s="16"/>
      <c r="H1111" s="10"/>
    </row>
    <row r="1112" customFormat="false" ht="15" hidden="false" customHeight="true" outlineLevel="0" collapsed="false">
      <c r="A1112" s="13"/>
      <c r="B1112" s="10"/>
      <c r="C1112" s="12" t="str">
        <f aca="false">IF($B1112="","",IFERROR(INDEX(반품접수!$E$3:$E$1002,MATCH($B1112,반품접수!$A$3:$A$1002,0)),"접수번호없음"))</f>
        <v/>
      </c>
      <c r="D1112" s="10"/>
      <c r="E1112" s="14"/>
      <c r="F1112" s="10"/>
      <c r="G1112" s="16"/>
      <c r="H1112" s="10"/>
    </row>
    <row r="1113" customFormat="false" ht="15" hidden="false" customHeight="true" outlineLevel="0" collapsed="false">
      <c r="A1113" s="13"/>
      <c r="B1113" s="10"/>
      <c r="C1113" s="12" t="str">
        <f aca="false">IF($B1113="","",IFERROR(INDEX(반품접수!$E$3:$E$1002,MATCH($B1113,반품접수!$A$3:$A$1002,0)),"접수번호없음"))</f>
        <v/>
      </c>
      <c r="D1113" s="10"/>
      <c r="E1113" s="14"/>
      <c r="F1113" s="10"/>
      <c r="G1113" s="16"/>
      <c r="H1113" s="10"/>
    </row>
    <row r="1114" customFormat="false" ht="15" hidden="false" customHeight="true" outlineLevel="0" collapsed="false">
      <c r="A1114" s="13"/>
      <c r="B1114" s="10"/>
      <c r="C1114" s="12" t="str">
        <f aca="false">IF($B1114="","",IFERROR(INDEX(반품접수!$E$3:$E$1002,MATCH($B1114,반품접수!$A$3:$A$1002,0)),"접수번호없음"))</f>
        <v/>
      </c>
      <c r="D1114" s="10"/>
      <c r="E1114" s="14"/>
      <c r="F1114" s="10"/>
      <c r="G1114" s="16"/>
      <c r="H1114" s="10"/>
    </row>
    <row r="1115" customFormat="false" ht="15" hidden="false" customHeight="true" outlineLevel="0" collapsed="false">
      <c r="A1115" s="13"/>
      <c r="B1115" s="10"/>
      <c r="C1115" s="12" t="str">
        <f aca="false">IF($B1115="","",IFERROR(INDEX(반품접수!$E$3:$E$1002,MATCH($B1115,반품접수!$A$3:$A$1002,0)),"접수번호없음"))</f>
        <v/>
      </c>
      <c r="D1115" s="10"/>
      <c r="E1115" s="14"/>
      <c r="F1115" s="10"/>
      <c r="G1115" s="16"/>
      <c r="H1115" s="10"/>
    </row>
    <row r="1116" customFormat="false" ht="15" hidden="false" customHeight="true" outlineLevel="0" collapsed="false">
      <c r="A1116" s="13"/>
      <c r="B1116" s="10"/>
      <c r="C1116" s="12" t="str">
        <f aca="false">IF($B1116="","",IFERROR(INDEX(반품접수!$E$3:$E$1002,MATCH($B1116,반품접수!$A$3:$A$1002,0)),"접수번호없음"))</f>
        <v/>
      </c>
      <c r="D1116" s="10"/>
      <c r="E1116" s="14"/>
      <c r="F1116" s="10"/>
      <c r="G1116" s="16"/>
      <c r="H1116" s="10"/>
    </row>
    <row r="1117" customFormat="false" ht="15" hidden="false" customHeight="true" outlineLevel="0" collapsed="false">
      <c r="A1117" s="13"/>
      <c r="B1117" s="10"/>
      <c r="C1117" s="12" t="str">
        <f aca="false">IF($B1117="","",IFERROR(INDEX(반품접수!$E$3:$E$1002,MATCH($B1117,반품접수!$A$3:$A$1002,0)),"접수번호없음"))</f>
        <v/>
      </c>
      <c r="D1117" s="10"/>
      <c r="E1117" s="14"/>
      <c r="F1117" s="10"/>
      <c r="G1117" s="16"/>
      <c r="H1117" s="10"/>
    </row>
    <row r="1118" customFormat="false" ht="15" hidden="false" customHeight="true" outlineLevel="0" collapsed="false">
      <c r="A1118" s="13"/>
      <c r="B1118" s="10"/>
      <c r="C1118" s="12" t="str">
        <f aca="false">IF($B1118="","",IFERROR(INDEX(반품접수!$E$3:$E$1002,MATCH($B1118,반품접수!$A$3:$A$1002,0)),"접수번호없음"))</f>
        <v/>
      </c>
      <c r="D1118" s="10"/>
      <c r="E1118" s="14"/>
      <c r="F1118" s="10"/>
      <c r="G1118" s="16"/>
      <c r="H1118" s="10"/>
    </row>
    <row r="1119" customFormat="false" ht="15" hidden="false" customHeight="true" outlineLevel="0" collapsed="false">
      <c r="A1119" s="13"/>
      <c r="B1119" s="10"/>
      <c r="C1119" s="12" t="str">
        <f aca="false">IF($B1119="","",IFERROR(INDEX(반품접수!$E$3:$E$1002,MATCH($B1119,반품접수!$A$3:$A$1002,0)),"접수번호없음"))</f>
        <v/>
      </c>
      <c r="D1119" s="10"/>
      <c r="E1119" s="14"/>
      <c r="F1119" s="10"/>
      <c r="G1119" s="16"/>
      <c r="H1119" s="10"/>
    </row>
    <row r="1120" customFormat="false" ht="15" hidden="false" customHeight="true" outlineLevel="0" collapsed="false">
      <c r="A1120" s="13"/>
      <c r="B1120" s="10"/>
      <c r="C1120" s="12" t="str">
        <f aca="false">IF($B1120="","",IFERROR(INDEX(반품접수!$E$3:$E$1002,MATCH($B1120,반품접수!$A$3:$A$1002,0)),"접수번호없음"))</f>
        <v/>
      </c>
      <c r="D1120" s="10"/>
      <c r="E1120" s="14"/>
      <c r="F1120" s="10"/>
      <c r="G1120" s="16"/>
      <c r="H1120" s="10"/>
    </row>
    <row r="1121" customFormat="false" ht="15" hidden="false" customHeight="true" outlineLevel="0" collapsed="false">
      <c r="A1121" s="13"/>
      <c r="B1121" s="10"/>
      <c r="C1121" s="12" t="str">
        <f aca="false">IF($B1121="","",IFERROR(INDEX(반품접수!$E$3:$E$1002,MATCH($B1121,반품접수!$A$3:$A$1002,0)),"접수번호없음"))</f>
        <v/>
      </c>
      <c r="D1121" s="10"/>
      <c r="E1121" s="14"/>
      <c r="F1121" s="10"/>
      <c r="G1121" s="16"/>
      <c r="H1121" s="10"/>
    </row>
    <row r="1122" customFormat="false" ht="15" hidden="false" customHeight="true" outlineLevel="0" collapsed="false">
      <c r="A1122" s="13"/>
      <c r="B1122" s="10"/>
      <c r="C1122" s="12" t="str">
        <f aca="false">IF($B1122="","",IFERROR(INDEX(반품접수!$E$3:$E$1002,MATCH($B1122,반품접수!$A$3:$A$1002,0)),"접수번호없음"))</f>
        <v/>
      </c>
      <c r="D1122" s="10"/>
      <c r="E1122" s="14"/>
      <c r="F1122" s="10"/>
      <c r="G1122" s="16"/>
      <c r="H1122" s="10"/>
    </row>
    <row r="1123" customFormat="false" ht="15" hidden="false" customHeight="true" outlineLevel="0" collapsed="false">
      <c r="A1123" s="13"/>
      <c r="B1123" s="10"/>
      <c r="C1123" s="12" t="str">
        <f aca="false">IF($B1123="","",IFERROR(INDEX(반품접수!$E$3:$E$1002,MATCH($B1123,반품접수!$A$3:$A$1002,0)),"접수번호없음"))</f>
        <v/>
      </c>
      <c r="D1123" s="10"/>
      <c r="E1123" s="14"/>
      <c r="F1123" s="10"/>
      <c r="G1123" s="16"/>
      <c r="H1123" s="10"/>
    </row>
    <row r="1124" customFormat="false" ht="15" hidden="false" customHeight="true" outlineLevel="0" collapsed="false">
      <c r="A1124" s="13"/>
      <c r="B1124" s="10"/>
      <c r="C1124" s="12" t="str">
        <f aca="false">IF($B1124="","",IFERROR(INDEX(반품접수!$E$3:$E$1002,MATCH($B1124,반품접수!$A$3:$A$1002,0)),"접수번호없음"))</f>
        <v/>
      </c>
      <c r="D1124" s="10"/>
      <c r="E1124" s="14"/>
      <c r="F1124" s="10"/>
      <c r="G1124" s="16"/>
      <c r="H1124" s="10"/>
    </row>
    <row r="1125" customFormat="false" ht="15" hidden="false" customHeight="true" outlineLevel="0" collapsed="false">
      <c r="A1125" s="13"/>
      <c r="B1125" s="10"/>
      <c r="C1125" s="12" t="str">
        <f aca="false">IF($B1125="","",IFERROR(INDEX(반품접수!$E$3:$E$1002,MATCH($B1125,반품접수!$A$3:$A$1002,0)),"접수번호없음"))</f>
        <v/>
      </c>
      <c r="D1125" s="10"/>
      <c r="E1125" s="14"/>
      <c r="F1125" s="10"/>
      <c r="G1125" s="16"/>
      <c r="H1125" s="10"/>
    </row>
    <row r="1126" customFormat="false" ht="15" hidden="false" customHeight="true" outlineLevel="0" collapsed="false">
      <c r="A1126" s="13"/>
      <c r="B1126" s="10"/>
      <c r="C1126" s="12" t="str">
        <f aca="false">IF($B1126="","",IFERROR(INDEX(반품접수!$E$3:$E$1002,MATCH($B1126,반품접수!$A$3:$A$1002,0)),"접수번호없음"))</f>
        <v/>
      </c>
      <c r="D1126" s="10"/>
      <c r="E1126" s="14"/>
      <c r="F1126" s="10"/>
      <c r="G1126" s="16"/>
      <c r="H1126" s="10"/>
    </row>
    <row r="1127" customFormat="false" ht="15" hidden="false" customHeight="true" outlineLevel="0" collapsed="false">
      <c r="A1127" s="13"/>
      <c r="B1127" s="10"/>
      <c r="C1127" s="12" t="str">
        <f aca="false">IF($B1127="","",IFERROR(INDEX(반품접수!$E$3:$E$1002,MATCH($B1127,반품접수!$A$3:$A$1002,0)),"접수번호없음"))</f>
        <v/>
      </c>
      <c r="D1127" s="10"/>
      <c r="E1127" s="14"/>
      <c r="F1127" s="10"/>
      <c r="G1127" s="16"/>
      <c r="H1127" s="10"/>
    </row>
    <row r="1128" customFormat="false" ht="15" hidden="false" customHeight="true" outlineLevel="0" collapsed="false">
      <c r="A1128" s="13"/>
      <c r="B1128" s="10"/>
      <c r="C1128" s="12" t="str">
        <f aca="false">IF($B1128="","",IFERROR(INDEX(반품접수!$E$3:$E$1002,MATCH($B1128,반품접수!$A$3:$A$1002,0)),"접수번호없음"))</f>
        <v/>
      </c>
      <c r="D1128" s="10"/>
      <c r="E1128" s="14"/>
      <c r="F1128" s="10"/>
      <c r="G1128" s="16"/>
      <c r="H1128" s="10"/>
    </row>
    <row r="1129" customFormat="false" ht="15" hidden="false" customHeight="true" outlineLevel="0" collapsed="false">
      <c r="A1129" s="13"/>
      <c r="B1129" s="10"/>
      <c r="C1129" s="12" t="str">
        <f aca="false">IF($B1129="","",IFERROR(INDEX(반품접수!$E$3:$E$1002,MATCH($B1129,반품접수!$A$3:$A$1002,0)),"접수번호없음"))</f>
        <v/>
      </c>
      <c r="D1129" s="10"/>
      <c r="E1129" s="14"/>
      <c r="F1129" s="10"/>
      <c r="G1129" s="16"/>
      <c r="H1129" s="10"/>
    </row>
    <row r="1130" customFormat="false" ht="15" hidden="false" customHeight="true" outlineLevel="0" collapsed="false">
      <c r="A1130" s="13"/>
      <c r="B1130" s="10"/>
      <c r="C1130" s="12" t="str">
        <f aca="false">IF($B1130="","",IFERROR(INDEX(반품접수!$E$3:$E$1002,MATCH($B1130,반품접수!$A$3:$A$1002,0)),"접수번호없음"))</f>
        <v/>
      </c>
      <c r="D1130" s="10"/>
      <c r="E1130" s="14"/>
      <c r="F1130" s="10"/>
      <c r="G1130" s="16"/>
      <c r="H1130" s="10"/>
    </row>
    <row r="1131" customFormat="false" ht="15" hidden="false" customHeight="true" outlineLevel="0" collapsed="false">
      <c r="A1131" s="13"/>
      <c r="B1131" s="10"/>
      <c r="C1131" s="12" t="str">
        <f aca="false">IF($B1131="","",IFERROR(INDEX(반품접수!$E$3:$E$1002,MATCH($B1131,반품접수!$A$3:$A$1002,0)),"접수번호없음"))</f>
        <v/>
      </c>
      <c r="D1131" s="10"/>
      <c r="E1131" s="14"/>
      <c r="F1131" s="10"/>
      <c r="G1131" s="16"/>
      <c r="H1131" s="10"/>
    </row>
    <row r="1132" customFormat="false" ht="15" hidden="false" customHeight="true" outlineLevel="0" collapsed="false">
      <c r="A1132" s="13"/>
      <c r="B1132" s="10"/>
      <c r="C1132" s="12" t="str">
        <f aca="false">IF($B1132="","",IFERROR(INDEX(반품접수!$E$3:$E$1002,MATCH($B1132,반품접수!$A$3:$A$1002,0)),"접수번호없음"))</f>
        <v/>
      </c>
      <c r="D1132" s="10"/>
      <c r="E1132" s="14"/>
      <c r="F1132" s="10"/>
      <c r="G1132" s="16"/>
      <c r="H1132" s="10"/>
    </row>
    <row r="1133" customFormat="false" ht="15" hidden="false" customHeight="true" outlineLevel="0" collapsed="false">
      <c r="A1133" s="13"/>
      <c r="B1133" s="10"/>
      <c r="C1133" s="12" t="str">
        <f aca="false">IF($B1133="","",IFERROR(INDEX(반품접수!$E$3:$E$1002,MATCH($B1133,반품접수!$A$3:$A$1002,0)),"접수번호없음"))</f>
        <v/>
      </c>
      <c r="D1133" s="10"/>
      <c r="E1133" s="14"/>
      <c r="F1133" s="10"/>
      <c r="G1133" s="16"/>
      <c r="H1133" s="10"/>
    </row>
    <row r="1134" customFormat="false" ht="15" hidden="false" customHeight="true" outlineLevel="0" collapsed="false">
      <c r="A1134" s="13"/>
      <c r="B1134" s="10"/>
      <c r="C1134" s="12" t="str">
        <f aca="false">IF($B1134="","",IFERROR(INDEX(반품접수!$E$3:$E$1002,MATCH($B1134,반품접수!$A$3:$A$1002,0)),"접수번호없음"))</f>
        <v/>
      </c>
      <c r="D1134" s="10"/>
      <c r="E1134" s="14"/>
      <c r="F1134" s="10"/>
      <c r="G1134" s="16"/>
      <c r="H1134" s="10"/>
    </row>
    <row r="1135" customFormat="false" ht="15" hidden="false" customHeight="true" outlineLevel="0" collapsed="false">
      <c r="A1135" s="13"/>
      <c r="B1135" s="10"/>
      <c r="C1135" s="12" t="str">
        <f aca="false">IF($B1135="","",IFERROR(INDEX(반품접수!$E$3:$E$1002,MATCH($B1135,반품접수!$A$3:$A$1002,0)),"접수번호없음"))</f>
        <v/>
      </c>
      <c r="D1135" s="10"/>
      <c r="E1135" s="14"/>
      <c r="F1135" s="10"/>
      <c r="G1135" s="16"/>
      <c r="H1135" s="10"/>
    </row>
    <row r="1136" customFormat="false" ht="15" hidden="false" customHeight="true" outlineLevel="0" collapsed="false">
      <c r="A1136" s="13"/>
      <c r="B1136" s="10"/>
      <c r="C1136" s="12" t="str">
        <f aca="false">IF($B1136="","",IFERROR(INDEX(반품접수!$E$3:$E$1002,MATCH($B1136,반품접수!$A$3:$A$1002,0)),"접수번호없음"))</f>
        <v/>
      </c>
      <c r="D1136" s="10"/>
      <c r="E1136" s="14"/>
      <c r="F1136" s="10"/>
      <c r="G1136" s="16"/>
      <c r="H1136" s="10"/>
    </row>
    <row r="1137" customFormat="false" ht="15" hidden="false" customHeight="true" outlineLevel="0" collapsed="false">
      <c r="A1137" s="13"/>
      <c r="B1137" s="10"/>
      <c r="C1137" s="12" t="str">
        <f aca="false">IF($B1137="","",IFERROR(INDEX(반품접수!$E$3:$E$1002,MATCH($B1137,반품접수!$A$3:$A$1002,0)),"접수번호없음"))</f>
        <v/>
      </c>
      <c r="D1137" s="10"/>
      <c r="E1137" s="14"/>
      <c r="F1137" s="10"/>
      <c r="G1137" s="16"/>
      <c r="H1137" s="10"/>
    </row>
    <row r="1138" customFormat="false" ht="15" hidden="false" customHeight="true" outlineLevel="0" collapsed="false">
      <c r="A1138" s="13"/>
      <c r="B1138" s="10"/>
      <c r="C1138" s="12" t="str">
        <f aca="false">IF($B1138="","",IFERROR(INDEX(반품접수!$E$3:$E$1002,MATCH($B1138,반품접수!$A$3:$A$1002,0)),"접수번호없음"))</f>
        <v/>
      </c>
      <c r="D1138" s="10"/>
      <c r="E1138" s="14"/>
      <c r="F1138" s="10"/>
      <c r="G1138" s="16"/>
      <c r="H1138" s="10"/>
    </row>
    <row r="1139" customFormat="false" ht="15" hidden="false" customHeight="true" outlineLevel="0" collapsed="false">
      <c r="A1139" s="13"/>
      <c r="B1139" s="10"/>
      <c r="C1139" s="12" t="str">
        <f aca="false">IF($B1139="","",IFERROR(INDEX(반품접수!$E$3:$E$1002,MATCH($B1139,반품접수!$A$3:$A$1002,0)),"접수번호없음"))</f>
        <v/>
      </c>
      <c r="D1139" s="10"/>
      <c r="E1139" s="14"/>
      <c r="F1139" s="10"/>
      <c r="G1139" s="16"/>
      <c r="H1139" s="10"/>
    </row>
    <row r="1140" customFormat="false" ht="15" hidden="false" customHeight="true" outlineLevel="0" collapsed="false">
      <c r="A1140" s="13"/>
      <c r="B1140" s="10"/>
      <c r="C1140" s="12" t="str">
        <f aca="false">IF($B1140="","",IFERROR(INDEX(반품접수!$E$3:$E$1002,MATCH($B1140,반품접수!$A$3:$A$1002,0)),"접수번호없음"))</f>
        <v/>
      </c>
      <c r="D1140" s="10"/>
      <c r="E1140" s="14"/>
      <c r="F1140" s="10"/>
      <c r="G1140" s="16"/>
      <c r="H1140" s="10"/>
    </row>
    <row r="1141" customFormat="false" ht="15" hidden="false" customHeight="true" outlineLevel="0" collapsed="false">
      <c r="A1141" s="13"/>
      <c r="B1141" s="10"/>
      <c r="C1141" s="12" t="str">
        <f aca="false">IF($B1141="","",IFERROR(INDEX(반품접수!$E$3:$E$1002,MATCH($B1141,반품접수!$A$3:$A$1002,0)),"접수번호없음"))</f>
        <v/>
      </c>
      <c r="D1141" s="10"/>
      <c r="E1141" s="14"/>
      <c r="F1141" s="10"/>
      <c r="G1141" s="16"/>
      <c r="H1141" s="10"/>
    </row>
    <row r="1142" customFormat="false" ht="15" hidden="false" customHeight="true" outlineLevel="0" collapsed="false">
      <c r="A1142" s="13"/>
      <c r="B1142" s="10"/>
      <c r="C1142" s="12" t="str">
        <f aca="false">IF($B1142="","",IFERROR(INDEX(반품접수!$E$3:$E$1002,MATCH($B1142,반품접수!$A$3:$A$1002,0)),"접수번호없음"))</f>
        <v/>
      </c>
      <c r="D1142" s="10"/>
      <c r="E1142" s="14"/>
      <c r="F1142" s="10"/>
      <c r="G1142" s="16"/>
      <c r="H1142" s="10"/>
    </row>
    <row r="1143" customFormat="false" ht="15" hidden="false" customHeight="true" outlineLevel="0" collapsed="false">
      <c r="A1143" s="13"/>
      <c r="B1143" s="10"/>
      <c r="C1143" s="12" t="str">
        <f aca="false">IF($B1143="","",IFERROR(INDEX(반품접수!$E$3:$E$1002,MATCH($B1143,반품접수!$A$3:$A$1002,0)),"접수번호없음"))</f>
        <v/>
      </c>
      <c r="D1143" s="10"/>
      <c r="E1143" s="14"/>
      <c r="F1143" s="10"/>
      <c r="G1143" s="16"/>
      <c r="H1143" s="10"/>
    </row>
    <row r="1144" customFormat="false" ht="15" hidden="false" customHeight="true" outlineLevel="0" collapsed="false">
      <c r="A1144" s="13"/>
      <c r="B1144" s="10"/>
      <c r="C1144" s="12" t="str">
        <f aca="false">IF($B1144="","",IFERROR(INDEX(반품접수!$E$3:$E$1002,MATCH($B1144,반품접수!$A$3:$A$1002,0)),"접수번호없음"))</f>
        <v/>
      </c>
      <c r="D1144" s="10"/>
      <c r="E1144" s="14"/>
      <c r="F1144" s="10"/>
      <c r="G1144" s="16"/>
      <c r="H1144" s="10"/>
    </row>
    <row r="1145" customFormat="false" ht="15" hidden="false" customHeight="true" outlineLevel="0" collapsed="false">
      <c r="A1145" s="13"/>
      <c r="B1145" s="10"/>
      <c r="C1145" s="12" t="str">
        <f aca="false">IF($B1145="","",IFERROR(INDEX(반품접수!$E$3:$E$1002,MATCH($B1145,반품접수!$A$3:$A$1002,0)),"접수번호없음"))</f>
        <v/>
      </c>
      <c r="D1145" s="10"/>
      <c r="E1145" s="14"/>
      <c r="F1145" s="10"/>
      <c r="G1145" s="16"/>
      <c r="H1145" s="10"/>
    </row>
    <row r="1146" customFormat="false" ht="15" hidden="false" customHeight="true" outlineLevel="0" collapsed="false">
      <c r="A1146" s="13"/>
      <c r="B1146" s="10"/>
      <c r="C1146" s="12" t="str">
        <f aca="false">IF($B1146="","",IFERROR(INDEX(반품접수!$E$3:$E$1002,MATCH($B1146,반품접수!$A$3:$A$1002,0)),"접수번호없음"))</f>
        <v/>
      </c>
      <c r="D1146" s="10"/>
      <c r="E1146" s="14"/>
      <c r="F1146" s="10"/>
      <c r="G1146" s="16"/>
      <c r="H1146" s="10"/>
    </row>
    <row r="1147" customFormat="false" ht="15" hidden="false" customHeight="true" outlineLevel="0" collapsed="false">
      <c r="A1147" s="13"/>
      <c r="B1147" s="10"/>
      <c r="C1147" s="12" t="str">
        <f aca="false">IF($B1147="","",IFERROR(INDEX(반품접수!$E$3:$E$1002,MATCH($B1147,반품접수!$A$3:$A$1002,0)),"접수번호없음"))</f>
        <v/>
      </c>
      <c r="D1147" s="10"/>
      <c r="E1147" s="14"/>
      <c r="F1147" s="10"/>
      <c r="G1147" s="16"/>
      <c r="H1147" s="10"/>
    </row>
    <row r="1148" customFormat="false" ht="15" hidden="false" customHeight="true" outlineLevel="0" collapsed="false">
      <c r="A1148" s="13"/>
      <c r="B1148" s="10"/>
      <c r="C1148" s="12" t="str">
        <f aca="false">IF($B1148="","",IFERROR(INDEX(반품접수!$E$3:$E$1002,MATCH($B1148,반품접수!$A$3:$A$1002,0)),"접수번호없음"))</f>
        <v/>
      </c>
      <c r="D1148" s="10"/>
      <c r="E1148" s="14"/>
      <c r="F1148" s="10"/>
      <c r="G1148" s="16"/>
      <c r="H1148" s="10"/>
    </row>
    <row r="1149" customFormat="false" ht="15" hidden="false" customHeight="true" outlineLevel="0" collapsed="false">
      <c r="A1149" s="13"/>
      <c r="B1149" s="10"/>
      <c r="C1149" s="12" t="str">
        <f aca="false">IF($B1149="","",IFERROR(INDEX(반품접수!$E$3:$E$1002,MATCH($B1149,반품접수!$A$3:$A$1002,0)),"접수번호없음"))</f>
        <v/>
      </c>
      <c r="D1149" s="10"/>
      <c r="E1149" s="14"/>
      <c r="F1149" s="10"/>
      <c r="G1149" s="16"/>
      <c r="H1149" s="10"/>
    </row>
    <row r="1150" customFormat="false" ht="15" hidden="false" customHeight="true" outlineLevel="0" collapsed="false">
      <c r="A1150" s="13"/>
      <c r="B1150" s="10"/>
      <c r="C1150" s="12" t="str">
        <f aca="false">IF($B1150="","",IFERROR(INDEX(반품접수!$E$3:$E$1002,MATCH($B1150,반품접수!$A$3:$A$1002,0)),"접수번호없음"))</f>
        <v/>
      </c>
      <c r="D1150" s="10"/>
      <c r="E1150" s="14"/>
      <c r="F1150" s="10"/>
      <c r="G1150" s="16"/>
      <c r="H1150" s="10"/>
    </row>
    <row r="1151" customFormat="false" ht="15" hidden="false" customHeight="true" outlineLevel="0" collapsed="false">
      <c r="A1151" s="13"/>
      <c r="B1151" s="10"/>
      <c r="C1151" s="12" t="str">
        <f aca="false">IF($B1151="","",IFERROR(INDEX(반품접수!$E$3:$E$1002,MATCH($B1151,반품접수!$A$3:$A$1002,0)),"접수번호없음"))</f>
        <v/>
      </c>
      <c r="D1151" s="10"/>
      <c r="E1151" s="14"/>
      <c r="F1151" s="10"/>
      <c r="G1151" s="16"/>
      <c r="H1151" s="10"/>
    </row>
    <row r="1152" customFormat="false" ht="15" hidden="false" customHeight="true" outlineLevel="0" collapsed="false">
      <c r="A1152" s="13"/>
      <c r="B1152" s="10"/>
      <c r="C1152" s="12" t="str">
        <f aca="false">IF($B1152="","",IFERROR(INDEX(반품접수!$E$3:$E$1002,MATCH($B1152,반품접수!$A$3:$A$1002,0)),"접수번호없음"))</f>
        <v/>
      </c>
      <c r="D1152" s="10"/>
      <c r="E1152" s="14"/>
      <c r="F1152" s="10"/>
      <c r="G1152" s="16"/>
      <c r="H1152" s="10"/>
    </row>
    <row r="1153" customFormat="false" ht="15" hidden="false" customHeight="true" outlineLevel="0" collapsed="false">
      <c r="A1153" s="13"/>
      <c r="B1153" s="10"/>
      <c r="C1153" s="12" t="str">
        <f aca="false">IF($B1153="","",IFERROR(INDEX(반품접수!$E$3:$E$1002,MATCH($B1153,반품접수!$A$3:$A$1002,0)),"접수번호없음"))</f>
        <v/>
      </c>
      <c r="D1153" s="10"/>
      <c r="E1153" s="14"/>
      <c r="F1153" s="10"/>
      <c r="G1153" s="16"/>
      <c r="H1153" s="10"/>
    </row>
    <row r="1154" customFormat="false" ht="15" hidden="false" customHeight="true" outlineLevel="0" collapsed="false">
      <c r="A1154" s="13"/>
      <c r="B1154" s="10"/>
      <c r="C1154" s="12" t="str">
        <f aca="false">IF($B1154="","",IFERROR(INDEX(반품접수!$E$3:$E$1002,MATCH($B1154,반품접수!$A$3:$A$1002,0)),"접수번호없음"))</f>
        <v/>
      </c>
      <c r="D1154" s="10"/>
      <c r="E1154" s="14"/>
      <c r="F1154" s="10"/>
      <c r="G1154" s="16"/>
      <c r="H1154" s="10"/>
    </row>
    <row r="1155" customFormat="false" ht="15" hidden="false" customHeight="true" outlineLevel="0" collapsed="false">
      <c r="A1155" s="13"/>
      <c r="B1155" s="10"/>
      <c r="C1155" s="12" t="str">
        <f aca="false">IF($B1155="","",IFERROR(INDEX(반품접수!$E$3:$E$1002,MATCH($B1155,반품접수!$A$3:$A$1002,0)),"접수번호없음"))</f>
        <v/>
      </c>
      <c r="D1155" s="10"/>
      <c r="E1155" s="14"/>
      <c r="F1155" s="10"/>
      <c r="G1155" s="16"/>
      <c r="H1155" s="10"/>
    </row>
    <row r="1156" customFormat="false" ht="15" hidden="false" customHeight="true" outlineLevel="0" collapsed="false">
      <c r="A1156" s="13"/>
      <c r="B1156" s="10"/>
      <c r="C1156" s="12" t="str">
        <f aca="false">IF($B1156="","",IFERROR(INDEX(반품접수!$E$3:$E$1002,MATCH($B1156,반품접수!$A$3:$A$1002,0)),"접수번호없음"))</f>
        <v/>
      </c>
      <c r="D1156" s="10"/>
      <c r="E1156" s="14"/>
      <c r="F1156" s="10"/>
      <c r="G1156" s="16"/>
      <c r="H1156" s="10"/>
    </row>
    <row r="1157" customFormat="false" ht="15" hidden="false" customHeight="true" outlineLevel="0" collapsed="false">
      <c r="A1157" s="13"/>
      <c r="B1157" s="10"/>
      <c r="C1157" s="12" t="str">
        <f aca="false">IF($B1157="","",IFERROR(INDEX(반품접수!$E$3:$E$1002,MATCH($B1157,반품접수!$A$3:$A$1002,0)),"접수번호없음"))</f>
        <v/>
      </c>
      <c r="D1157" s="10"/>
      <c r="E1157" s="14"/>
      <c r="F1157" s="10"/>
      <c r="G1157" s="16"/>
      <c r="H1157" s="10"/>
    </row>
    <row r="1158" customFormat="false" ht="15" hidden="false" customHeight="true" outlineLevel="0" collapsed="false">
      <c r="A1158" s="13"/>
      <c r="B1158" s="10"/>
      <c r="C1158" s="12" t="str">
        <f aca="false">IF($B1158="","",IFERROR(INDEX(반품접수!$E$3:$E$1002,MATCH($B1158,반품접수!$A$3:$A$1002,0)),"접수번호없음"))</f>
        <v/>
      </c>
      <c r="D1158" s="10"/>
      <c r="E1158" s="14"/>
      <c r="F1158" s="10"/>
      <c r="G1158" s="16"/>
      <c r="H1158" s="10"/>
    </row>
    <row r="1159" customFormat="false" ht="15" hidden="false" customHeight="true" outlineLevel="0" collapsed="false">
      <c r="A1159" s="13"/>
      <c r="B1159" s="10"/>
      <c r="C1159" s="12" t="str">
        <f aca="false">IF($B1159="","",IFERROR(INDEX(반품접수!$E$3:$E$1002,MATCH($B1159,반품접수!$A$3:$A$1002,0)),"접수번호없음"))</f>
        <v/>
      </c>
      <c r="D1159" s="10"/>
      <c r="E1159" s="14"/>
      <c r="F1159" s="10"/>
      <c r="G1159" s="16"/>
      <c r="H1159" s="10"/>
    </row>
    <row r="1160" customFormat="false" ht="15" hidden="false" customHeight="true" outlineLevel="0" collapsed="false">
      <c r="A1160" s="13"/>
      <c r="B1160" s="10"/>
      <c r="C1160" s="12" t="str">
        <f aca="false">IF($B1160="","",IFERROR(INDEX(반품접수!$E$3:$E$1002,MATCH($B1160,반품접수!$A$3:$A$1002,0)),"접수번호없음"))</f>
        <v/>
      </c>
      <c r="D1160" s="10"/>
      <c r="E1160" s="14"/>
      <c r="F1160" s="10"/>
      <c r="G1160" s="16"/>
      <c r="H1160" s="10"/>
    </row>
    <row r="1161" customFormat="false" ht="15" hidden="false" customHeight="true" outlineLevel="0" collapsed="false">
      <c r="A1161" s="13"/>
      <c r="B1161" s="10"/>
      <c r="C1161" s="12" t="str">
        <f aca="false">IF($B1161="","",IFERROR(INDEX(반품접수!$E$3:$E$1002,MATCH($B1161,반품접수!$A$3:$A$1002,0)),"접수번호없음"))</f>
        <v/>
      </c>
      <c r="D1161" s="10"/>
      <c r="E1161" s="14"/>
      <c r="F1161" s="10"/>
      <c r="G1161" s="16"/>
      <c r="H1161" s="10"/>
    </row>
    <row r="1162" customFormat="false" ht="15" hidden="false" customHeight="true" outlineLevel="0" collapsed="false">
      <c r="A1162" s="13"/>
      <c r="B1162" s="10"/>
      <c r="C1162" s="12" t="str">
        <f aca="false">IF($B1162="","",IFERROR(INDEX(반품접수!$E$3:$E$1002,MATCH($B1162,반품접수!$A$3:$A$1002,0)),"접수번호없음"))</f>
        <v/>
      </c>
      <c r="D1162" s="10"/>
      <c r="E1162" s="14"/>
      <c r="F1162" s="10"/>
      <c r="G1162" s="16"/>
      <c r="H1162" s="10"/>
    </row>
    <row r="1163" customFormat="false" ht="15" hidden="false" customHeight="true" outlineLevel="0" collapsed="false">
      <c r="A1163" s="13"/>
      <c r="B1163" s="10"/>
      <c r="C1163" s="12" t="str">
        <f aca="false">IF($B1163="","",IFERROR(INDEX(반품접수!$E$3:$E$1002,MATCH($B1163,반품접수!$A$3:$A$1002,0)),"접수번호없음"))</f>
        <v/>
      </c>
      <c r="D1163" s="10"/>
      <c r="E1163" s="14"/>
      <c r="F1163" s="10"/>
      <c r="G1163" s="16"/>
      <c r="H1163" s="10"/>
    </row>
    <row r="1164" customFormat="false" ht="15" hidden="false" customHeight="true" outlineLevel="0" collapsed="false">
      <c r="A1164" s="13"/>
      <c r="B1164" s="10"/>
      <c r="C1164" s="12" t="str">
        <f aca="false">IF($B1164="","",IFERROR(INDEX(반품접수!$E$3:$E$1002,MATCH($B1164,반품접수!$A$3:$A$1002,0)),"접수번호없음"))</f>
        <v/>
      </c>
      <c r="D1164" s="10"/>
      <c r="E1164" s="14"/>
      <c r="F1164" s="10"/>
      <c r="G1164" s="16"/>
      <c r="H1164" s="10"/>
    </row>
    <row r="1165" customFormat="false" ht="15" hidden="false" customHeight="true" outlineLevel="0" collapsed="false">
      <c r="A1165" s="13"/>
      <c r="B1165" s="10"/>
      <c r="C1165" s="12" t="str">
        <f aca="false">IF($B1165="","",IFERROR(INDEX(반품접수!$E$3:$E$1002,MATCH($B1165,반품접수!$A$3:$A$1002,0)),"접수번호없음"))</f>
        <v/>
      </c>
      <c r="D1165" s="10"/>
      <c r="E1165" s="14"/>
      <c r="F1165" s="10"/>
      <c r="G1165" s="16"/>
      <c r="H1165" s="10"/>
    </row>
    <row r="1166" customFormat="false" ht="15" hidden="false" customHeight="true" outlineLevel="0" collapsed="false">
      <c r="A1166" s="13"/>
      <c r="B1166" s="10"/>
      <c r="C1166" s="12" t="str">
        <f aca="false">IF($B1166="","",IFERROR(INDEX(반품접수!$E$3:$E$1002,MATCH($B1166,반품접수!$A$3:$A$1002,0)),"접수번호없음"))</f>
        <v/>
      </c>
      <c r="D1166" s="10"/>
      <c r="E1166" s="14"/>
      <c r="F1166" s="10"/>
      <c r="G1166" s="16"/>
      <c r="H1166" s="10"/>
    </row>
    <row r="1167" customFormat="false" ht="15" hidden="false" customHeight="true" outlineLevel="0" collapsed="false">
      <c r="A1167" s="13"/>
      <c r="B1167" s="10"/>
      <c r="C1167" s="12" t="str">
        <f aca="false">IF($B1167="","",IFERROR(INDEX(반품접수!$E$3:$E$1002,MATCH($B1167,반품접수!$A$3:$A$1002,0)),"접수번호없음"))</f>
        <v/>
      </c>
      <c r="D1167" s="10"/>
      <c r="E1167" s="14"/>
      <c r="F1167" s="10"/>
      <c r="G1167" s="16"/>
      <c r="H1167" s="10"/>
    </row>
    <row r="1168" customFormat="false" ht="15" hidden="false" customHeight="true" outlineLevel="0" collapsed="false">
      <c r="A1168" s="13"/>
      <c r="B1168" s="10"/>
      <c r="C1168" s="12" t="str">
        <f aca="false">IF($B1168="","",IFERROR(INDEX(반품접수!$E$3:$E$1002,MATCH($B1168,반품접수!$A$3:$A$1002,0)),"접수번호없음"))</f>
        <v/>
      </c>
      <c r="D1168" s="10"/>
      <c r="E1168" s="14"/>
      <c r="F1168" s="10"/>
      <c r="G1168" s="16"/>
      <c r="H1168" s="10"/>
    </row>
    <row r="1169" customFormat="false" ht="15" hidden="false" customHeight="true" outlineLevel="0" collapsed="false">
      <c r="A1169" s="13"/>
      <c r="B1169" s="10"/>
      <c r="C1169" s="12" t="str">
        <f aca="false">IF($B1169="","",IFERROR(INDEX(반품접수!$E$3:$E$1002,MATCH($B1169,반품접수!$A$3:$A$1002,0)),"접수번호없음"))</f>
        <v/>
      </c>
      <c r="D1169" s="10"/>
      <c r="E1169" s="14"/>
      <c r="F1169" s="10"/>
      <c r="G1169" s="16"/>
      <c r="H1169" s="10"/>
    </row>
    <row r="1170" customFormat="false" ht="15" hidden="false" customHeight="true" outlineLevel="0" collapsed="false">
      <c r="A1170" s="13"/>
      <c r="B1170" s="10"/>
      <c r="C1170" s="12" t="str">
        <f aca="false">IF($B1170="","",IFERROR(INDEX(반품접수!$E$3:$E$1002,MATCH($B1170,반품접수!$A$3:$A$1002,0)),"접수번호없음"))</f>
        <v/>
      </c>
      <c r="D1170" s="10"/>
      <c r="E1170" s="14"/>
      <c r="F1170" s="10"/>
      <c r="G1170" s="16"/>
      <c r="H1170" s="10"/>
    </row>
    <row r="1171" customFormat="false" ht="15" hidden="false" customHeight="true" outlineLevel="0" collapsed="false">
      <c r="A1171" s="13"/>
      <c r="B1171" s="10"/>
      <c r="C1171" s="12" t="str">
        <f aca="false">IF($B1171="","",IFERROR(INDEX(반품접수!$E$3:$E$1002,MATCH($B1171,반품접수!$A$3:$A$1002,0)),"접수번호없음"))</f>
        <v/>
      </c>
      <c r="D1171" s="10"/>
      <c r="E1171" s="14"/>
      <c r="F1171" s="10"/>
      <c r="G1171" s="16"/>
      <c r="H1171" s="10"/>
    </row>
    <row r="1172" customFormat="false" ht="15" hidden="false" customHeight="true" outlineLevel="0" collapsed="false">
      <c r="A1172" s="13"/>
      <c r="B1172" s="10"/>
      <c r="C1172" s="12" t="str">
        <f aca="false">IF($B1172="","",IFERROR(INDEX(반품접수!$E$3:$E$1002,MATCH($B1172,반품접수!$A$3:$A$1002,0)),"접수번호없음"))</f>
        <v/>
      </c>
      <c r="D1172" s="10"/>
      <c r="E1172" s="14"/>
      <c r="F1172" s="10"/>
      <c r="G1172" s="16"/>
      <c r="H1172" s="10"/>
    </row>
    <row r="1173" customFormat="false" ht="15" hidden="false" customHeight="true" outlineLevel="0" collapsed="false">
      <c r="A1173" s="13"/>
      <c r="B1173" s="10"/>
      <c r="C1173" s="12" t="str">
        <f aca="false">IF($B1173="","",IFERROR(INDEX(반품접수!$E$3:$E$1002,MATCH($B1173,반품접수!$A$3:$A$1002,0)),"접수번호없음"))</f>
        <v/>
      </c>
      <c r="D1173" s="10"/>
      <c r="E1173" s="14"/>
      <c r="F1173" s="10"/>
      <c r="G1173" s="16"/>
      <c r="H1173" s="10"/>
    </row>
    <row r="1174" customFormat="false" ht="15" hidden="false" customHeight="true" outlineLevel="0" collapsed="false">
      <c r="A1174" s="13"/>
      <c r="B1174" s="10"/>
      <c r="C1174" s="12" t="str">
        <f aca="false">IF($B1174="","",IFERROR(INDEX(반품접수!$E$3:$E$1002,MATCH($B1174,반품접수!$A$3:$A$1002,0)),"접수번호없음"))</f>
        <v/>
      </c>
      <c r="D1174" s="10"/>
      <c r="E1174" s="14"/>
      <c r="F1174" s="10"/>
      <c r="G1174" s="16"/>
      <c r="H1174" s="10"/>
    </row>
    <row r="1175" customFormat="false" ht="15" hidden="false" customHeight="true" outlineLevel="0" collapsed="false">
      <c r="A1175" s="13"/>
      <c r="B1175" s="10"/>
      <c r="C1175" s="12" t="str">
        <f aca="false">IF($B1175="","",IFERROR(INDEX(반품접수!$E$3:$E$1002,MATCH($B1175,반품접수!$A$3:$A$1002,0)),"접수번호없음"))</f>
        <v/>
      </c>
      <c r="D1175" s="10"/>
      <c r="E1175" s="14"/>
      <c r="F1175" s="10"/>
      <c r="G1175" s="16"/>
      <c r="H1175" s="10"/>
    </row>
    <row r="1176" customFormat="false" ht="15" hidden="false" customHeight="true" outlineLevel="0" collapsed="false">
      <c r="A1176" s="13"/>
      <c r="B1176" s="10"/>
      <c r="C1176" s="12" t="str">
        <f aca="false">IF($B1176="","",IFERROR(INDEX(반품접수!$E$3:$E$1002,MATCH($B1176,반품접수!$A$3:$A$1002,0)),"접수번호없음"))</f>
        <v/>
      </c>
      <c r="D1176" s="10"/>
      <c r="E1176" s="14"/>
      <c r="F1176" s="10"/>
      <c r="G1176" s="16"/>
      <c r="H1176" s="10"/>
    </row>
    <row r="1177" customFormat="false" ht="15" hidden="false" customHeight="true" outlineLevel="0" collapsed="false">
      <c r="A1177" s="13"/>
      <c r="B1177" s="10"/>
      <c r="C1177" s="12" t="str">
        <f aca="false">IF($B1177="","",IFERROR(INDEX(반품접수!$E$3:$E$1002,MATCH($B1177,반품접수!$A$3:$A$1002,0)),"접수번호없음"))</f>
        <v/>
      </c>
      <c r="D1177" s="10"/>
      <c r="E1177" s="14"/>
      <c r="F1177" s="10"/>
      <c r="G1177" s="16"/>
      <c r="H1177" s="10"/>
    </row>
    <row r="1178" customFormat="false" ht="15" hidden="false" customHeight="true" outlineLevel="0" collapsed="false">
      <c r="A1178" s="13"/>
      <c r="B1178" s="10"/>
      <c r="C1178" s="12" t="str">
        <f aca="false">IF($B1178="","",IFERROR(INDEX(반품접수!$E$3:$E$1002,MATCH($B1178,반품접수!$A$3:$A$1002,0)),"접수번호없음"))</f>
        <v/>
      </c>
      <c r="D1178" s="10"/>
      <c r="E1178" s="14"/>
      <c r="F1178" s="10"/>
      <c r="G1178" s="16"/>
      <c r="H1178" s="10"/>
    </row>
    <row r="1179" customFormat="false" ht="15" hidden="false" customHeight="true" outlineLevel="0" collapsed="false">
      <c r="A1179" s="13"/>
      <c r="B1179" s="10"/>
      <c r="C1179" s="12" t="str">
        <f aca="false">IF($B1179="","",IFERROR(INDEX(반품접수!$E$3:$E$1002,MATCH($B1179,반품접수!$A$3:$A$1002,0)),"접수번호없음"))</f>
        <v/>
      </c>
      <c r="D1179" s="10"/>
      <c r="E1179" s="14"/>
      <c r="F1179" s="10"/>
      <c r="G1179" s="16"/>
      <c r="H1179" s="10"/>
    </row>
    <row r="1180" customFormat="false" ht="15" hidden="false" customHeight="true" outlineLevel="0" collapsed="false">
      <c r="A1180" s="13"/>
      <c r="B1180" s="10"/>
      <c r="C1180" s="12" t="str">
        <f aca="false">IF($B1180="","",IFERROR(INDEX(반품접수!$E$3:$E$1002,MATCH($B1180,반품접수!$A$3:$A$1002,0)),"접수번호없음"))</f>
        <v/>
      </c>
      <c r="D1180" s="10"/>
      <c r="E1180" s="14"/>
      <c r="F1180" s="10"/>
      <c r="G1180" s="16"/>
      <c r="H1180" s="10"/>
    </row>
    <row r="1181" customFormat="false" ht="15" hidden="false" customHeight="true" outlineLevel="0" collapsed="false">
      <c r="A1181" s="13"/>
      <c r="B1181" s="10"/>
      <c r="C1181" s="12" t="str">
        <f aca="false">IF($B1181="","",IFERROR(INDEX(반품접수!$E$3:$E$1002,MATCH($B1181,반품접수!$A$3:$A$1002,0)),"접수번호없음"))</f>
        <v/>
      </c>
      <c r="D1181" s="10"/>
      <c r="E1181" s="14"/>
      <c r="F1181" s="10"/>
      <c r="G1181" s="16"/>
      <c r="H1181" s="10"/>
    </row>
    <row r="1182" customFormat="false" ht="15" hidden="false" customHeight="true" outlineLevel="0" collapsed="false">
      <c r="A1182" s="13"/>
      <c r="B1182" s="10"/>
      <c r="C1182" s="12" t="str">
        <f aca="false">IF($B1182="","",IFERROR(INDEX(반품접수!$E$3:$E$1002,MATCH($B1182,반품접수!$A$3:$A$1002,0)),"접수번호없음"))</f>
        <v/>
      </c>
      <c r="D1182" s="10"/>
      <c r="E1182" s="14"/>
      <c r="F1182" s="10"/>
      <c r="G1182" s="16"/>
      <c r="H1182" s="10"/>
    </row>
    <row r="1183" customFormat="false" ht="15" hidden="false" customHeight="true" outlineLevel="0" collapsed="false">
      <c r="A1183" s="13"/>
      <c r="B1183" s="10"/>
      <c r="C1183" s="12" t="str">
        <f aca="false">IF($B1183="","",IFERROR(INDEX(반품접수!$E$3:$E$1002,MATCH($B1183,반품접수!$A$3:$A$1002,0)),"접수번호없음"))</f>
        <v/>
      </c>
      <c r="D1183" s="10"/>
      <c r="E1183" s="14"/>
      <c r="F1183" s="10"/>
      <c r="G1183" s="16"/>
      <c r="H1183" s="10"/>
    </row>
    <row r="1184" customFormat="false" ht="15" hidden="false" customHeight="true" outlineLevel="0" collapsed="false">
      <c r="A1184" s="13"/>
      <c r="B1184" s="10"/>
      <c r="C1184" s="12" t="str">
        <f aca="false">IF($B1184="","",IFERROR(INDEX(반품접수!$E$3:$E$1002,MATCH($B1184,반품접수!$A$3:$A$1002,0)),"접수번호없음"))</f>
        <v/>
      </c>
      <c r="D1184" s="10"/>
      <c r="E1184" s="14"/>
      <c r="F1184" s="10"/>
      <c r="G1184" s="16"/>
      <c r="H1184" s="10"/>
    </row>
    <row r="1185" customFormat="false" ht="15" hidden="false" customHeight="true" outlineLevel="0" collapsed="false">
      <c r="A1185" s="13"/>
      <c r="B1185" s="10"/>
      <c r="C1185" s="12" t="str">
        <f aca="false">IF($B1185="","",IFERROR(INDEX(반품접수!$E$3:$E$1002,MATCH($B1185,반품접수!$A$3:$A$1002,0)),"접수번호없음"))</f>
        <v/>
      </c>
      <c r="D1185" s="10"/>
      <c r="E1185" s="14"/>
      <c r="F1185" s="10"/>
      <c r="G1185" s="16"/>
      <c r="H1185" s="10"/>
    </row>
    <row r="1186" customFormat="false" ht="15" hidden="false" customHeight="true" outlineLevel="0" collapsed="false">
      <c r="A1186" s="13"/>
      <c r="B1186" s="10"/>
      <c r="C1186" s="12" t="str">
        <f aca="false">IF($B1186="","",IFERROR(INDEX(반품접수!$E$3:$E$1002,MATCH($B1186,반품접수!$A$3:$A$1002,0)),"접수번호없음"))</f>
        <v/>
      </c>
      <c r="D1186" s="10"/>
      <c r="E1186" s="14"/>
      <c r="F1186" s="10"/>
      <c r="G1186" s="16"/>
      <c r="H1186" s="10"/>
    </row>
    <row r="1187" customFormat="false" ht="15" hidden="false" customHeight="true" outlineLevel="0" collapsed="false">
      <c r="A1187" s="13"/>
      <c r="B1187" s="10"/>
      <c r="C1187" s="12" t="str">
        <f aca="false">IF($B1187="","",IFERROR(INDEX(반품접수!$E$3:$E$1002,MATCH($B1187,반품접수!$A$3:$A$1002,0)),"접수번호없음"))</f>
        <v/>
      </c>
      <c r="D1187" s="10"/>
      <c r="E1187" s="14"/>
      <c r="F1187" s="10"/>
      <c r="G1187" s="16"/>
      <c r="H1187" s="10"/>
    </row>
    <row r="1188" customFormat="false" ht="15" hidden="false" customHeight="true" outlineLevel="0" collapsed="false">
      <c r="A1188" s="13"/>
      <c r="B1188" s="10"/>
      <c r="C1188" s="12" t="str">
        <f aca="false">IF($B1188="","",IFERROR(INDEX(반품접수!$E$3:$E$1002,MATCH($B1188,반품접수!$A$3:$A$1002,0)),"접수번호없음"))</f>
        <v/>
      </c>
      <c r="D1188" s="10"/>
      <c r="E1188" s="14"/>
      <c r="F1188" s="10"/>
      <c r="G1188" s="16"/>
      <c r="H1188" s="10"/>
    </row>
    <row r="1189" customFormat="false" ht="15" hidden="false" customHeight="true" outlineLevel="0" collapsed="false">
      <c r="A1189" s="13"/>
      <c r="B1189" s="10"/>
      <c r="C1189" s="12" t="str">
        <f aca="false">IF($B1189="","",IFERROR(INDEX(반품접수!$E$3:$E$1002,MATCH($B1189,반품접수!$A$3:$A$1002,0)),"접수번호없음"))</f>
        <v/>
      </c>
      <c r="D1189" s="10"/>
      <c r="E1189" s="14"/>
      <c r="F1189" s="10"/>
      <c r="G1189" s="16"/>
      <c r="H1189" s="10"/>
    </row>
    <row r="1190" customFormat="false" ht="15" hidden="false" customHeight="true" outlineLevel="0" collapsed="false">
      <c r="A1190" s="13"/>
      <c r="B1190" s="10"/>
      <c r="C1190" s="12" t="str">
        <f aca="false">IF($B1190="","",IFERROR(INDEX(반품접수!$E$3:$E$1002,MATCH($B1190,반품접수!$A$3:$A$1002,0)),"접수번호없음"))</f>
        <v/>
      </c>
      <c r="D1190" s="10"/>
      <c r="E1190" s="14"/>
      <c r="F1190" s="10"/>
      <c r="G1190" s="16"/>
      <c r="H1190" s="10"/>
    </row>
    <row r="1191" customFormat="false" ht="15" hidden="false" customHeight="true" outlineLevel="0" collapsed="false">
      <c r="A1191" s="13"/>
      <c r="B1191" s="10"/>
      <c r="C1191" s="12" t="str">
        <f aca="false">IF($B1191="","",IFERROR(INDEX(반품접수!$E$3:$E$1002,MATCH($B1191,반품접수!$A$3:$A$1002,0)),"접수번호없음"))</f>
        <v/>
      </c>
      <c r="D1191" s="10"/>
      <c r="E1191" s="14"/>
      <c r="F1191" s="10"/>
      <c r="G1191" s="16"/>
      <c r="H1191" s="10"/>
    </row>
    <row r="1192" customFormat="false" ht="15" hidden="false" customHeight="true" outlineLevel="0" collapsed="false">
      <c r="A1192" s="13"/>
      <c r="B1192" s="10"/>
      <c r="C1192" s="12" t="str">
        <f aca="false">IF($B1192="","",IFERROR(INDEX(반품접수!$E$3:$E$1002,MATCH($B1192,반품접수!$A$3:$A$1002,0)),"접수번호없음"))</f>
        <v/>
      </c>
      <c r="D1192" s="10"/>
      <c r="E1192" s="14"/>
      <c r="F1192" s="10"/>
      <c r="G1192" s="16"/>
      <c r="H1192" s="10"/>
    </row>
    <row r="1193" customFormat="false" ht="15" hidden="false" customHeight="true" outlineLevel="0" collapsed="false">
      <c r="A1193" s="13"/>
      <c r="B1193" s="10"/>
      <c r="C1193" s="12" t="str">
        <f aca="false">IF($B1193="","",IFERROR(INDEX(반품접수!$E$3:$E$1002,MATCH($B1193,반품접수!$A$3:$A$1002,0)),"접수번호없음"))</f>
        <v/>
      </c>
      <c r="D1193" s="10"/>
      <c r="E1193" s="14"/>
      <c r="F1193" s="10"/>
      <c r="G1193" s="16"/>
      <c r="H1193" s="10"/>
    </row>
    <row r="1194" customFormat="false" ht="15" hidden="false" customHeight="true" outlineLevel="0" collapsed="false">
      <c r="A1194" s="13"/>
      <c r="B1194" s="10"/>
      <c r="C1194" s="12" t="str">
        <f aca="false">IF($B1194="","",IFERROR(INDEX(반품접수!$E$3:$E$1002,MATCH($B1194,반품접수!$A$3:$A$1002,0)),"접수번호없음"))</f>
        <v/>
      </c>
      <c r="D1194" s="10"/>
      <c r="E1194" s="14"/>
      <c r="F1194" s="10"/>
      <c r="G1194" s="16"/>
      <c r="H1194" s="10"/>
    </row>
    <row r="1195" customFormat="false" ht="15" hidden="false" customHeight="true" outlineLevel="0" collapsed="false">
      <c r="A1195" s="13"/>
      <c r="B1195" s="10"/>
      <c r="C1195" s="12" t="str">
        <f aca="false">IF($B1195="","",IFERROR(INDEX(반품접수!$E$3:$E$1002,MATCH($B1195,반품접수!$A$3:$A$1002,0)),"접수번호없음"))</f>
        <v/>
      </c>
      <c r="D1195" s="10"/>
      <c r="E1195" s="14"/>
      <c r="F1195" s="10"/>
      <c r="G1195" s="16"/>
      <c r="H1195" s="10"/>
    </row>
    <row r="1196" customFormat="false" ht="15" hidden="false" customHeight="true" outlineLevel="0" collapsed="false">
      <c r="A1196" s="13"/>
      <c r="B1196" s="10"/>
      <c r="C1196" s="12" t="str">
        <f aca="false">IF($B1196="","",IFERROR(INDEX(반품접수!$E$3:$E$1002,MATCH($B1196,반품접수!$A$3:$A$1002,0)),"접수번호없음"))</f>
        <v/>
      </c>
      <c r="D1196" s="10"/>
      <c r="E1196" s="14"/>
      <c r="F1196" s="10"/>
      <c r="G1196" s="16"/>
      <c r="H1196" s="10"/>
    </row>
    <row r="1197" customFormat="false" ht="15" hidden="false" customHeight="true" outlineLevel="0" collapsed="false">
      <c r="A1197" s="13"/>
      <c r="B1197" s="10"/>
      <c r="C1197" s="12" t="str">
        <f aca="false">IF($B1197="","",IFERROR(INDEX(반품접수!$E$3:$E$1002,MATCH($B1197,반품접수!$A$3:$A$1002,0)),"접수번호없음"))</f>
        <v/>
      </c>
      <c r="D1197" s="10"/>
      <c r="E1197" s="14"/>
      <c r="F1197" s="10"/>
      <c r="G1197" s="16"/>
      <c r="H1197" s="10"/>
    </row>
    <row r="1198" customFormat="false" ht="15" hidden="false" customHeight="true" outlineLevel="0" collapsed="false">
      <c r="A1198" s="13"/>
      <c r="B1198" s="10"/>
      <c r="C1198" s="12" t="str">
        <f aca="false">IF($B1198="","",IFERROR(INDEX(반품접수!$E$3:$E$1002,MATCH($B1198,반품접수!$A$3:$A$1002,0)),"접수번호없음"))</f>
        <v/>
      </c>
      <c r="D1198" s="10"/>
      <c r="E1198" s="14"/>
      <c r="F1198" s="10"/>
      <c r="G1198" s="16"/>
      <c r="H1198" s="10"/>
    </row>
    <row r="1199" customFormat="false" ht="15" hidden="false" customHeight="true" outlineLevel="0" collapsed="false">
      <c r="A1199" s="13"/>
      <c r="B1199" s="10"/>
      <c r="C1199" s="12" t="str">
        <f aca="false">IF($B1199="","",IFERROR(INDEX(반품접수!$E$3:$E$1002,MATCH($B1199,반품접수!$A$3:$A$1002,0)),"접수번호없음"))</f>
        <v/>
      </c>
      <c r="D1199" s="10"/>
      <c r="E1199" s="14"/>
      <c r="F1199" s="10"/>
      <c r="G1199" s="16"/>
      <c r="H1199" s="10"/>
    </row>
    <row r="1200" customFormat="false" ht="15" hidden="false" customHeight="true" outlineLevel="0" collapsed="false">
      <c r="A1200" s="13"/>
      <c r="B1200" s="10"/>
      <c r="C1200" s="12" t="str">
        <f aca="false">IF($B1200="","",IFERROR(INDEX(반품접수!$E$3:$E$1002,MATCH($B1200,반품접수!$A$3:$A$1002,0)),"접수번호없음"))</f>
        <v/>
      </c>
      <c r="D1200" s="10"/>
      <c r="E1200" s="14"/>
      <c r="F1200" s="10"/>
      <c r="G1200" s="16"/>
      <c r="H1200" s="10"/>
    </row>
    <row r="1201" customFormat="false" ht="15" hidden="false" customHeight="true" outlineLevel="0" collapsed="false">
      <c r="A1201" s="13"/>
      <c r="B1201" s="10"/>
      <c r="C1201" s="12" t="str">
        <f aca="false">IF($B1201="","",IFERROR(INDEX(반품접수!$E$3:$E$1002,MATCH($B1201,반품접수!$A$3:$A$1002,0)),"접수번호없음"))</f>
        <v/>
      </c>
      <c r="D1201" s="10"/>
      <c r="E1201" s="14"/>
      <c r="F1201" s="10"/>
      <c r="G1201" s="16"/>
      <c r="H1201" s="10"/>
    </row>
    <row r="1202" customFormat="false" ht="15" hidden="false" customHeight="true" outlineLevel="0" collapsed="false">
      <c r="A1202" s="13"/>
      <c r="B1202" s="10"/>
      <c r="C1202" s="12" t="str">
        <f aca="false">IF($B1202="","",IFERROR(INDEX(반품접수!$E$3:$E$1002,MATCH($B1202,반품접수!$A$3:$A$1002,0)),"접수번호없음"))</f>
        <v/>
      </c>
      <c r="D1202" s="10"/>
      <c r="E1202" s="14"/>
      <c r="F1202" s="10"/>
      <c r="G1202" s="16"/>
      <c r="H1202" s="10"/>
    </row>
    <row r="1203" customFormat="false" ht="15" hidden="false" customHeight="true" outlineLevel="0" collapsed="false">
      <c r="A1203" s="13"/>
      <c r="B1203" s="10"/>
      <c r="C1203" s="12" t="str">
        <f aca="false">IF($B1203="","",IFERROR(INDEX(반품접수!$E$3:$E$1002,MATCH($B1203,반품접수!$A$3:$A$1002,0)),"접수번호없음"))</f>
        <v/>
      </c>
      <c r="D1203" s="10"/>
      <c r="E1203" s="14"/>
      <c r="F1203" s="10"/>
      <c r="G1203" s="16"/>
      <c r="H1203" s="10"/>
    </row>
    <row r="1204" customFormat="false" ht="15" hidden="false" customHeight="true" outlineLevel="0" collapsed="false">
      <c r="A1204" s="13"/>
      <c r="B1204" s="10"/>
      <c r="C1204" s="12" t="str">
        <f aca="false">IF($B1204="","",IFERROR(INDEX(반품접수!$E$3:$E$1002,MATCH($B1204,반품접수!$A$3:$A$1002,0)),"접수번호없음"))</f>
        <v/>
      </c>
      <c r="D1204" s="10"/>
      <c r="E1204" s="14"/>
      <c r="F1204" s="10"/>
      <c r="G1204" s="16"/>
      <c r="H1204" s="10"/>
    </row>
    <row r="1205" customFormat="false" ht="15" hidden="false" customHeight="true" outlineLevel="0" collapsed="false">
      <c r="A1205" s="13"/>
      <c r="B1205" s="10"/>
      <c r="C1205" s="12" t="str">
        <f aca="false">IF($B1205="","",IFERROR(INDEX(반품접수!$E$3:$E$1002,MATCH($B1205,반품접수!$A$3:$A$1002,0)),"접수번호없음"))</f>
        <v/>
      </c>
      <c r="D1205" s="10"/>
      <c r="E1205" s="14"/>
      <c r="F1205" s="10"/>
      <c r="G1205" s="16"/>
      <c r="H1205" s="10"/>
    </row>
    <row r="1206" customFormat="false" ht="15" hidden="false" customHeight="true" outlineLevel="0" collapsed="false">
      <c r="A1206" s="13"/>
      <c r="B1206" s="10"/>
      <c r="C1206" s="12" t="str">
        <f aca="false">IF($B1206="","",IFERROR(INDEX(반품접수!$E$3:$E$1002,MATCH($B1206,반품접수!$A$3:$A$1002,0)),"접수번호없음"))</f>
        <v/>
      </c>
      <c r="D1206" s="10"/>
      <c r="E1206" s="14"/>
      <c r="F1206" s="10"/>
      <c r="G1206" s="16"/>
      <c r="H1206" s="10"/>
    </row>
    <row r="1207" customFormat="false" ht="15" hidden="false" customHeight="true" outlineLevel="0" collapsed="false">
      <c r="A1207" s="13"/>
      <c r="B1207" s="10"/>
      <c r="C1207" s="12" t="str">
        <f aca="false">IF($B1207="","",IFERROR(INDEX(반품접수!$E$3:$E$1002,MATCH($B1207,반품접수!$A$3:$A$1002,0)),"접수번호없음"))</f>
        <v/>
      </c>
      <c r="D1207" s="10"/>
      <c r="E1207" s="14"/>
      <c r="F1207" s="10"/>
      <c r="G1207" s="16"/>
      <c r="H1207" s="10"/>
    </row>
    <row r="1208" customFormat="false" ht="15" hidden="false" customHeight="true" outlineLevel="0" collapsed="false">
      <c r="A1208" s="13"/>
      <c r="B1208" s="10"/>
      <c r="C1208" s="12" t="str">
        <f aca="false">IF($B1208="","",IFERROR(INDEX(반품접수!$E$3:$E$1002,MATCH($B1208,반품접수!$A$3:$A$1002,0)),"접수번호없음"))</f>
        <v/>
      </c>
      <c r="D1208" s="10"/>
      <c r="E1208" s="14"/>
      <c r="F1208" s="10"/>
      <c r="G1208" s="16"/>
      <c r="H1208" s="10"/>
    </row>
    <row r="1209" customFormat="false" ht="15" hidden="false" customHeight="true" outlineLevel="0" collapsed="false">
      <c r="A1209" s="13"/>
      <c r="B1209" s="10"/>
      <c r="C1209" s="12" t="str">
        <f aca="false">IF($B1209="","",IFERROR(INDEX(반품접수!$E$3:$E$1002,MATCH($B1209,반품접수!$A$3:$A$1002,0)),"접수번호없음"))</f>
        <v/>
      </c>
      <c r="D1209" s="10"/>
      <c r="E1209" s="14"/>
      <c r="F1209" s="10"/>
      <c r="G1209" s="16"/>
      <c r="H1209" s="10"/>
    </row>
    <row r="1210" customFormat="false" ht="15" hidden="false" customHeight="true" outlineLevel="0" collapsed="false">
      <c r="A1210" s="13"/>
      <c r="B1210" s="10"/>
      <c r="C1210" s="12" t="str">
        <f aca="false">IF($B1210="","",IFERROR(INDEX(반품접수!$E$3:$E$1002,MATCH($B1210,반품접수!$A$3:$A$1002,0)),"접수번호없음"))</f>
        <v/>
      </c>
      <c r="D1210" s="10"/>
      <c r="E1210" s="14"/>
      <c r="F1210" s="10"/>
      <c r="G1210" s="16"/>
      <c r="H1210" s="10"/>
    </row>
    <row r="1211" customFormat="false" ht="15" hidden="false" customHeight="true" outlineLevel="0" collapsed="false">
      <c r="A1211" s="13"/>
      <c r="B1211" s="10"/>
      <c r="C1211" s="12" t="str">
        <f aca="false">IF($B1211="","",IFERROR(INDEX(반품접수!$E$3:$E$1002,MATCH($B1211,반품접수!$A$3:$A$1002,0)),"접수번호없음"))</f>
        <v/>
      </c>
      <c r="D1211" s="10"/>
      <c r="E1211" s="14"/>
      <c r="F1211" s="10"/>
      <c r="G1211" s="16"/>
      <c r="H1211" s="10"/>
    </row>
    <row r="1212" customFormat="false" ht="15" hidden="false" customHeight="true" outlineLevel="0" collapsed="false">
      <c r="A1212" s="13"/>
      <c r="B1212" s="10"/>
      <c r="C1212" s="12" t="str">
        <f aca="false">IF($B1212="","",IFERROR(INDEX(반품접수!$E$3:$E$1002,MATCH($B1212,반품접수!$A$3:$A$1002,0)),"접수번호없음"))</f>
        <v/>
      </c>
      <c r="D1212" s="10"/>
      <c r="E1212" s="14"/>
      <c r="F1212" s="10"/>
      <c r="G1212" s="16"/>
      <c r="H1212" s="10"/>
    </row>
    <row r="1213" customFormat="false" ht="15" hidden="false" customHeight="true" outlineLevel="0" collapsed="false">
      <c r="A1213" s="13"/>
      <c r="B1213" s="10"/>
      <c r="C1213" s="12" t="str">
        <f aca="false">IF($B1213="","",IFERROR(INDEX(반품접수!$E$3:$E$1002,MATCH($B1213,반품접수!$A$3:$A$1002,0)),"접수번호없음"))</f>
        <v/>
      </c>
      <c r="D1213" s="10"/>
      <c r="E1213" s="14"/>
      <c r="F1213" s="10"/>
      <c r="G1213" s="16"/>
      <c r="H1213" s="10"/>
    </row>
    <row r="1214" customFormat="false" ht="15" hidden="false" customHeight="true" outlineLevel="0" collapsed="false">
      <c r="A1214" s="13"/>
      <c r="B1214" s="10"/>
      <c r="C1214" s="12" t="str">
        <f aca="false">IF($B1214="","",IFERROR(INDEX(반품접수!$E$3:$E$1002,MATCH($B1214,반품접수!$A$3:$A$1002,0)),"접수번호없음"))</f>
        <v/>
      </c>
      <c r="D1214" s="10"/>
      <c r="E1214" s="14"/>
      <c r="F1214" s="10"/>
      <c r="G1214" s="16"/>
      <c r="H1214" s="10"/>
    </row>
    <row r="1215" customFormat="false" ht="15" hidden="false" customHeight="true" outlineLevel="0" collapsed="false">
      <c r="A1215" s="13"/>
      <c r="B1215" s="10"/>
      <c r="C1215" s="12" t="str">
        <f aca="false">IF($B1215="","",IFERROR(INDEX(반품접수!$E$3:$E$1002,MATCH($B1215,반품접수!$A$3:$A$1002,0)),"접수번호없음"))</f>
        <v/>
      </c>
      <c r="D1215" s="10"/>
      <c r="E1215" s="14"/>
      <c r="F1215" s="10"/>
      <c r="G1215" s="16"/>
      <c r="H1215" s="10"/>
    </row>
    <row r="1216" customFormat="false" ht="15" hidden="false" customHeight="true" outlineLevel="0" collapsed="false">
      <c r="A1216" s="13"/>
      <c r="B1216" s="10"/>
      <c r="C1216" s="12" t="str">
        <f aca="false">IF($B1216="","",IFERROR(INDEX(반품접수!$E$3:$E$1002,MATCH($B1216,반품접수!$A$3:$A$1002,0)),"접수번호없음"))</f>
        <v/>
      </c>
      <c r="D1216" s="10"/>
      <c r="E1216" s="14"/>
      <c r="F1216" s="10"/>
      <c r="G1216" s="16"/>
      <c r="H1216" s="10"/>
    </row>
    <row r="1217" customFormat="false" ht="15" hidden="false" customHeight="true" outlineLevel="0" collapsed="false">
      <c r="A1217" s="13"/>
      <c r="B1217" s="10"/>
      <c r="C1217" s="12" t="str">
        <f aca="false">IF($B1217="","",IFERROR(INDEX(반품접수!$E$3:$E$1002,MATCH($B1217,반품접수!$A$3:$A$1002,0)),"접수번호없음"))</f>
        <v/>
      </c>
      <c r="D1217" s="10"/>
      <c r="E1217" s="14"/>
      <c r="F1217" s="10"/>
      <c r="G1217" s="16"/>
      <c r="H1217" s="10"/>
    </row>
    <row r="1218" customFormat="false" ht="15" hidden="false" customHeight="true" outlineLevel="0" collapsed="false">
      <c r="A1218" s="13"/>
      <c r="B1218" s="10"/>
      <c r="C1218" s="12" t="str">
        <f aca="false">IF($B1218="","",IFERROR(INDEX(반품접수!$E$3:$E$1002,MATCH($B1218,반품접수!$A$3:$A$1002,0)),"접수번호없음"))</f>
        <v/>
      </c>
      <c r="D1218" s="10"/>
      <c r="E1218" s="14"/>
      <c r="F1218" s="10"/>
      <c r="G1218" s="16"/>
      <c r="H1218" s="10"/>
    </row>
    <row r="1219" customFormat="false" ht="15" hidden="false" customHeight="true" outlineLevel="0" collapsed="false">
      <c r="A1219" s="13"/>
      <c r="B1219" s="10"/>
      <c r="C1219" s="12" t="str">
        <f aca="false">IF($B1219="","",IFERROR(INDEX(반품접수!$E$3:$E$1002,MATCH($B1219,반품접수!$A$3:$A$1002,0)),"접수번호없음"))</f>
        <v/>
      </c>
      <c r="D1219" s="10"/>
      <c r="E1219" s="14"/>
      <c r="F1219" s="10"/>
      <c r="G1219" s="16"/>
      <c r="H1219" s="10"/>
    </row>
    <row r="1220" customFormat="false" ht="15" hidden="false" customHeight="true" outlineLevel="0" collapsed="false">
      <c r="A1220" s="13"/>
      <c r="B1220" s="10"/>
      <c r="C1220" s="12" t="str">
        <f aca="false">IF($B1220="","",IFERROR(INDEX(반품접수!$E$3:$E$1002,MATCH($B1220,반품접수!$A$3:$A$1002,0)),"접수번호없음"))</f>
        <v/>
      </c>
      <c r="D1220" s="10"/>
      <c r="E1220" s="14"/>
      <c r="F1220" s="10"/>
      <c r="G1220" s="16"/>
      <c r="H1220" s="10"/>
    </row>
    <row r="1221" customFormat="false" ht="15" hidden="false" customHeight="true" outlineLevel="0" collapsed="false">
      <c r="A1221" s="13"/>
      <c r="B1221" s="10"/>
      <c r="C1221" s="12" t="str">
        <f aca="false">IF($B1221="","",IFERROR(INDEX(반품접수!$E$3:$E$1002,MATCH($B1221,반품접수!$A$3:$A$1002,0)),"접수번호없음"))</f>
        <v/>
      </c>
      <c r="D1221" s="10"/>
      <c r="E1221" s="14"/>
      <c r="F1221" s="10"/>
      <c r="G1221" s="16"/>
      <c r="H1221" s="10"/>
    </row>
    <row r="1222" customFormat="false" ht="15" hidden="false" customHeight="true" outlineLevel="0" collapsed="false">
      <c r="A1222" s="13"/>
      <c r="B1222" s="10"/>
      <c r="C1222" s="12" t="str">
        <f aca="false">IF($B1222="","",IFERROR(INDEX(반품접수!$E$3:$E$1002,MATCH($B1222,반품접수!$A$3:$A$1002,0)),"접수번호없음"))</f>
        <v/>
      </c>
      <c r="D1222" s="10"/>
      <c r="E1222" s="14"/>
      <c r="F1222" s="10"/>
      <c r="G1222" s="16"/>
      <c r="H1222" s="10"/>
    </row>
    <row r="1223" customFormat="false" ht="15" hidden="false" customHeight="true" outlineLevel="0" collapsed="false">
      <c r="A1223" s="13"/>
      <c r="B1223" s="10"/>
      <c r="C1223" s="12" t="str">
        <f aca="false">IF($B1223="","",IFERROR(INDEX(반품접수!$E$3:$E$1002,MATCH($B1223,반품접수!$A$3:$A$1002,0)),"접수번호없음"))</f>
        <v/>
      </c>
      <c r="D1223" s="10"/>
      <c r="E1223" s="14"/>
      <c r="F1223" s="10"/>
      <c r="G1223" s="16"/>
      <c r="H1223" s="10"/>
    </row>
    <row r="1224" customFormat="false" ht="15" hidden="false" customHeight="true" outlineLevel="0" collapsed="false">
      <c r="A1224" s="13"/>
      <c r="B1224" s="10"/>
      <c r="C1224" s="12" t="str">
        <f aca="false">IF($B1224="","",IFERROR(INDEX(반품접수!$E$3:$E$1002,MATCH($B1224,반품접수!$A$3:$A$1002,0)),"접수번호없음"))</f>
        <v/>
      </c>
      <c r="D1224" s="10"/>
      <c r="E1224" s="14"/>
      <c r="F1224" s="10"/>
      <c r="G1224" s="16"/>
      <c r="H1224" s="10"/>
    </row>
    <row r="1225" customFormat="false" ht="15" hidden="false" customHeight="true" outlineLevel="0" collapsed="false">
      <c r="A1225" s="13"/>
      <c r="B1225" s="10"/>
      <c r="C1225" s="12" t="str">
        <f aca="false">IF($B1225="","",IFERROR(INDEX(반품접수!$E$3:$E$1002,MATCH($B1225,반품접수!$A$3:$A$1002,0)),"접수번호없음"))</f>
        <v/>
      </c>
      <c r="D1225" s="10"/>
      <c r="E1225" s="14"/>
      <c r="F1225" s="10"/>
      <c r="G1225" s="16"/>
      <c r="H1225" s="10"/>
    </row>
    <row r="1226" customFormat="false" ht="15" hidden="false" customHeight="true" outlineLevel="0" collapsed="false">
      <c r="A1226" s="13"/>
      <c r="B1226" s="10"/>
      <c r="C1226" s="12" t="str">
        <f aca="false">IF($B1226="","",IFERROR(INDEX(반품접수!$E$3:$E$1002,MATCH($B1226,반품접수!$A$3:$A$1002,0)),"접수번호없음"))</f>
        <v/>
      </c>
      <c r="D1226" s="10"/>
      <c r="E1226" s="14"/>
      <c r="F1226" s="10"/>
      <c r="G1226" s="16"/>
      <c r="H1226" s="10"/>
    </row>
    <row r="1227" customFormat="false" ht="15" hidden="false" customHeight="true" outlineLevel="0" collapsed="false">
      <c r="A1227" s="13"/>
      <c r="B1227" s="10"/>
      <c r="C1227" s="12" t="str">
        <f aca="false">IF($B1227="","",IFERROR(INDEX(반품접수!$E$3:$E$1002,MATCH($B1227,반품접수!$A$3:$A$1002,0)),"접수번호없음"))</f>
        <v/>
      </c>
      <c r="D1227" s="10"/>
      <c r="E1227" s="14"/>
      <c r="F1227" s="10"/>
      <c r="G1227" s="16"/>
      <c r="H1227" s="10"/>
    </row>
    <row r="1228" customFormat="false" ht="15" hidden="false" customHeight="true" outlineLevel="0" collapsed="false">
      <c r="A1228" s="13"/>
      <c r="B1228" s="10"/>
      <c r="C1228" s="12" t="str">
        <f aca="false">IF($B1228="","",IFERROR(INDEX(반품접수!$E$3:$E$1002,MATCH($B1228,반품접수!$A$3:$A$1002,0)),"접수번호없음"))</f>
        <v/>
      </c>
      <c r="D1228" s="10"/>
      <c r="E1228" s="14"/>
      <c r="F1228" s="10"/>
      <c r="G1228" s="16"/>
      <c r="H1228" s="10"/>
    </row>
    <row r="1229" customFormat="false" ht="15" hidden="false" customHeight="true" outlineLevel="0" collapsed="false">
      <c r="A1229" s="13"/>
      <c r="B1229" s="10"/>
      <c r="C1229" s="12" t="str">
        <f aca="false">IF($B1229="","",IFERROR(INDEX(반품접수!$E$3:$E$1002,MATCH($B1229,반품접수!$A$3:$A$1002,0)),"접수번호없음"))</f>
        <v/>
      </c>
      <c r="D1229" s="10"/>
      <c r="E1229" s="14"/>
      <c r="F1229" s="10"/>
      <c r="G1229" s="16"/>
      <c r="H1229" s="10"/>
    </row>
    <row r="1230" customFormat="false" ht="15" hidden="false" customHeight="true" outlineLevel="0" collapsed="false">
      <c r="A1230" s="13"/>
      <c r="B1230" s="10"/>
      <c r="C1230" s="12" t="str">
        <f aca="false">IF($B1230="","",IFERROR(INDEX(반품접수!$E$3:$E$1002,MATCH($B1230,반품접수!$A$3:$A$1002,0)),"접수번호없음"))</f>
        <v/>
      </c>
      <c r="D1230" s="10"/>
      <c r="E1230" s="14"/>
      <c r="F1230" s="10"/>
      <c r="G1230" s="16"/>
      <c r="H1230" s="10"/>
    </row>
    <row r="1231" customFormat="false" ht="15" hidden="false" customHeight="true" outlineLevel="0" collapsed="false">
      <c r="A1231" s="13"/>
      <c r="B1231" s="10"/>
      <c r="C1231" s="12" t="str">
        <f aca="false">IF($B1231="","",IFERROR(INDEX(반품접수!$E$3:$E$1002,MATCH($B1231,반품접수!$A$3:$A$1002,0)),"접수번호없음"))</f>
        <v/>
      </c>
      <c r="D1231" s="10"/>
      <c r="E1231" s="14"/>
      <c r="F1231" s="10"/>
      <c r="G1231" s="16"/>
      <c r="H1231" s="10"/>
    </row>
    <row r="1232" customFormat="false" ht="15" hidden="false" customHeight="true" outlineLevel="0" collapsed="false">
      <c r="A1232" s="13"/>
      <c r="B1232" s="10"/>
      <c r="C1232" s="12" t="str">
        <f aca="false">IF($B1232="","",IFERROR(INDEX(반품접수!$E$3:$E$1002,MATCH($B1232,반품접수!$A$3:$A$1002,0)),"접수번호없음"))</f>
        <v/>
      </c>
      <c r="D1232" s="10"/>
      <c r="E1232" s="14"/>
      <c r="F1232" s="10"/>
      <c r="G1232" s="16"/>
      <c r="H1232" s="10"/>
    </row>
    <row r="1233" customFormat="false" ht="15" hidden="false" customHeight="true" outlineLevel="0" collapsed="false">
      <c r="A1233" s="13"/>
      <c r="B1233" s="10"/>
      <c r="C1233" s="12" t="str">
        <f aca="false">IF($B1233="","",IFERROR(INDEX(반품접수!$E$3:$E$1002,MATCH($B1233,반품접수!$A$3:$A$1002,0)),"접수번호없음"))</f>
        <v/>
      </c>
      <c r="D1233" s="10"/>
      <c r="E1233" s="14"/>
      <c r="F1233" s="10"/>
      <c r="G1233" s="16"/>
      <c r="H1233" s="10"/>
    </row>
    <row r="1234" customFormat="false" ht="15" hidden="false" customHeight="true" outlineLevel="0" collapsed="false">
      <c r="A1234" s="13"/>
      <c r="B1234" s="10"/>
      <c r="C1234" s="12" t="str">
        <f aca="false">IF($B1234="","",IFERROR(INDEX(반품접수!$E$3:$E$1002,MATCH($B1234,반품접수!$A$3:$A$1002,0)),"접수번호없음"))</f>
        <v/>
      </c>
      <c r="D1234" s="10"/>
      <c r="E1234" s="14"/>
      <c r="F1234" s="10"/>
      <c r="G1234" s="16"/>
      <c r="H1234" s="10"/>
    </row>
    <row r="1235" customFormat="false" ht="15" hidden="false" customHeight="true" outlineLevel="0" collapsed="false">
      <c r="A1235" s="13"/>
      <c r="B1235" s="10"/>
      <c r="C1235" s="12" t="str">
        <f aca="false">IF($B1235="","",IFERROR(INDEX(반품접수!$E$3:$E$1002,MATCH($B1235,반품접수!$A$3:$A$1002,0)),"접수번호없음"))</f>
        <v/>
      </c>
      <c r="D1235" s="10"/>
      <c r="E1235" s="14"/>
      <c r="F1235" s="10"/>
      <c r="G1235" s="16"/>
      <c r="H1235" s="10"/>
    </row>
    <row r="1236" customFormat="false" ht="15" hidden="false" customHeight="true" outlineLevel="0" collapsed="false">
      <c r="A1236" s="13"/>
      <c r="B1236" s="10"/>
      <c r="C1236" s="12" t="str">
        <f aca="false">IF($B1236="","",IFERROR(INDEX(반품접수!$E$3:$E$1002,MATCH($B1236,반품접수!$A$3:$A$1002,0)),"접수번호없음"))</f>
        <v/>
      </c>
      <c r="D1236" s="10"/>
      <c r="E1236" s="14"/>
      <c r="F1236" s="10"/>
      <c r="G1236" s="16"/>
      <c r="H1236" s="10"/>
    </row>
    <row r="1237" customFormat="false" ht="15" hidden="false" customHeight="true" outlineLevel="0" collapsed="false">
      <c r="A1237" s="13"/>
      <c r="B1237" s="10"/>
      <c r="C1237" s="12" t="str">
        <f aca="false">IF($B1237="","",IFERROR(INDEX(반품접수!$E$3:$E$1002,MATCH($B1237,반품접수!$A$3:$A$1002,0)),"접수번호없음"))</f>
        <v/>
      </c>
      <c r="D1237" s="10"/>
      <c r="E1237" s="14"/>
      <c r="F1237" s="10"/>
      <c r="G1237" s="16"/>
      <c r="H1237" s="10"/>
    </row>
    <row r="1238" customFormat="false" ht="15" hidden="false" customHeight="true" outlineLevel="0" collapsed="false">
      <c r="A1238" s="13"/>
      <c r="B1238" s="10"/>
      <c r="C1238" s="12" t="str">
        <f aca="false">IF($B1238="","",IFERROR(INDEX(반품접수!$E$3:$E$1002,MATCH($B1238,반품접수!$A$3:$A$1002,0)),"접수번호없음"))</f>
        <v/>
      </c>
      <c r="D1238" s="10"/>
      <c r="E1238" s="14"/>
      <c r="F1238" s="10"/>
      <c r="G1238" s="16"/>
      <c r="H1238" s="10"/>
    </row>
    <row r="1239" customFormat="false" ht="15" hidden="false" customHeight="true" outlineLevel="0" collapsed="false">
      <c r="A1239" s="13"/>
      <c r="B1239" s="10"/>
      <c r="C1239" s="12" t="str">
        <f aca="false">IF($B1239="","",IFERROR(INDEX(반품접수!$E$3:$E$1002,MATCH($B1239,반품접수!$A$3:$A$1002,0)),"접수번호없음"))</f>
        <v/>
      </c>
      <c r="D1239" s="10"/>
      <c r="E1239" s="14"/>
      <c r="F1239" s="10"/>
      <c r="G1239" s="16"/>
      <c r="H1239" s="10"/>
    </row>
    <row r="1240" customFormat="false" ht="15" hidden="false" customHeight="true" outlineLevel="0" collapsed="false">
      <c r="A1240" s="13"/>
      <c r="B1240" s="10"/>
      <c r="C1240" s="12" t="str">
        <f aca="false">IF($B1240="","",IFERROR(INDEX(반품접수!$E$3:$E$1002,MATCH($B1240,반품접수!$A$3:$A$1002,0)),"접수번호없음"))</f>
        <v/>
      </c>
      <c r="D1240" s="10"/>
      <c r="E1240" s="14"/>
      <c r="F1240" s="10"/>
      <c r="G1240" s="16"/>
      <c r="H1240" s="10"/>
    </row>
    <row r="1241" customFormat="false" ht="15" hidden="false" customHeight="true" outlineLevel="0" collapsed="false">
      <c r="A1241" s="13"/>
      <c r="B1241" s="10"/>
      <c r="C1241" s="12" t="str">
        <f aca="false">IF($B1241="","",IFERROR(INDEX(반품접수!$E$3:$E$1002,MATCH($B1241,반품접수!$A$3:$A$1002,0)),"접수번호없음"))</f>
        <v/>
      </c>
      <c r="D1241" s="10"/>
      <c r="E1241" s="14"/>
      <c r="F1241" s="10"/>
      <c r="G1241" s="16"/>
      <c r="H1241" s="10"/>
    </row>
    <row r="1242" customFormat="false" ht="15" hidden="false" customHeight="true" outlineLevel="0" collapsed="false">
      <c r="A1242" s="13"/>
      <c r="B1242" s="10"/>
      <c r="C1242" s="12" t="str">
        <f aca="false">IF($B1242="","",IFERROR(INDEX(반품접수!$E$3:$E$1002,MATCH($B1242,반품접수!$A$3:$A$1002,0)),"접수번호없음"))</f>
        <v/>
      </c>
      <c r="D1242" s="10"/>
      <c r="E1242" s="14"/>
      <c r="F1242" s="10"/>
      <c r="G1242" s="16"/>
      <c r="H1242" s="10"/>
    </row>
    <row r="1243" customFormat="false" ht="15" hidden="false" customHeight="true" outlineLevel="0" collapsed="false">
      <c r="A1243" s="13"/>
      <c r="B1243" s="10"/>
      <c r="C1243" s="12" t="str">
        <f aca="false">IF($B1243="","",IFERROR(INDEX(반품접수!$E$3:$E$1002,MATCH($B1243,반품접수!$A$3:$A$1002,0)),"접수번호없음"))</f>
        <v/>
      </c>
      <c r="D1243" s="10"/>
      <c r="E1243" s="14"/>
      <c r="F1243" s="10"/>
      <c r="G1243" s="16"/>
      <c r="H1243" s="10"/>
    </row>
    <row r="1244" customFormat="false" ht="15" hidden="false" customHeight="true" outlineLevel="0" collapsed="false">
      <c r="A1244" s="13"/>
      <c r="B1244" s="10"/>
      <c r="C1244" s="12" t="str">
        <f aca="false">IF($B1244="","",IFERROR(INDEX(반품접수!$E$3:$E$1002,MATCH($B1244,반품접수!$A$3:$A$1002,0)),"접수번호없음"))</f>
        <v/>
      </c>
      <c r="D1244" s="10"/>
      <c r="E1244" s="14"/>
      <c r="F1244" s="10"/>
      <c r="G1244" s="16"/>
      <c r="H1244" s="10"/>
    </row>
    <row r="1245" customFormat="false" ht="15" hidden="false" customHeight="true" outlineLevel="0" collapsed="false">
      <c r="A1245" s="13"/>
      <c r="B1245" s="10"/>
      <c r="C1245" s="12" t="str">
        <f aca="false">IF($B1245="","",IFERROR(INDEX(반품접수!$E$3:$E$1002,MATCH($B1245,반품접수!$A$3:$A$1002,0)),"접수번호없음"))</f>
        <v/>
      </c>
      <c r="D1245" s="10"/>
      <c r="E1245" s="14"/>
      <c r="F1245" s="10"/>
      <c r="G1245" s="16"/>
      <c r="H1245" s="10"/>
    </row>
    <row r="1246" customFormat="false" ht="15" hidden="false" customHeight="true" outlineLevel="0" collapsed="false">
      <c r="A1246" s="13"/>
      <c r="B1246" s="10"/>
      <c r="C1246" s="12" t="str">
        <f aca="false">IF($B1246="","",IFERROR(INDEX(반품접수!$E$3:$E$1002,MATCH($B1246,반품접수!$A$3:$A$1002,0)),"접수번호없음"))</f>
        <v/>
      </c>
      <c r="D1246" s="10"/>
      <c r="E1246" s="14"/>
      <c r="F1246" s="10"/>
      <c r="G1246" s="16"/>
      <c r="H1246" s="10"/>
    </row>
    <row r="1247" customFormat="false" ht="15" hidden="false" customHeight="true" outlineLevel="0" collapsed="false">
      <c r="A1247" s="13"/>
      <c r="B1247" s="10"/>
      <c r="C1247" s="12" t="str">
        <f aca="false">IF($B1247="","",IFERROR(INDEX(반품접수!$E$3:$E$1002,MATCH($B1247,반품접수!$A$3:$A$1002,0)),"접수번호없음"))</f>
        <v/>
      </c>
      <c r="D1247" s="10"/>
      <c r="E1247" s="14"/>
      <c r="F1247" s="10"/>
      <c r="G1247" s="16"/>
      <c r="H1247" s="10"/>
    </row>
    <row r="1248" customFormat="false" ht="15" hidden="false" customHeight="true" outlineLevel="0" collapsed="false">
      <c r="A1248" s="13"/>
      <c r="B1248" s="10"/>
      <c r="C1248" s="12" t="str">
        <f aca="false">IF($B1248="","",IFERROR(INDEX(반품접수!$E$3:$E$1002,MATCH($B1248,반품접수!$A$3:$A$1002,0)),"접수번호없음"))</f>
        <v/>
      </c>
      <c r="D1248" s="10"/>
      <c r="E1248" s="14"/>
      <c r="F1248" s="10"/>
      <c r="G1248" s="16"/>
      <c r="H1248" s="10"/>
    </row>
    <row r="1249" customFormat="false" ht="15" hidden="false" customHeight="true" outlineLevel="0" collapsed="false">
      <c r="A1249" s="13"/>
      <c r="B1249" s="10"/>
      <c r="C1249" s="12" t="str">
        <f aca="false">IF($B1249="","",IFERROR(INDEX(반품접수!$E$3:$E$1002,MATCH($B1249,반품접수!$A$3:$A$1002,0)),"접수번호없음"))</f>
        <v/>
      </c>
      <c r="D1249" s="10"/>
      <c r="E1249" s="14"/>
      <c r="F1249" s="10"/>
      <c r="G1249" s="16"/>
      <c r="H1249" s="10"/>
    </row>
    <row r="1250" customFormat="false" ht="15" hidden="false" customHeight="true" outlineLevel="0" collapsed="false">
      <c r="A1250" s="13"/>
      <c r="B1250" s="10"/>
      <c r="C1250" s="12" t="str">
        <f aca="false">IF($B1250="","",IFERROR(INDEX(반품접수!$E$3:$E$1002,MATCH($B1250,반품접수!$A$3:$A$1002,0)),"접수번호없음"))</f>
        <v/>
      </c>
      <c r="D1250" s="10"/>
      <c r="E1250" s="14"/>
      <c r="F1250" s="10"/>
      <c r="G1250" s="16"/>
      <c r="H1250" s="10"/>
    </row>
    <row r="1251" customFormat="false" ht="15" hidden="false" customHeight="true" outlineLevel="0" collapsed="false">
      <c r="A1251" s="13"/>
      <c r="B1251" s="10"/>
      <c r="C1251" s="12" t="str">
        <f aca="false">IF($B1251="","",IFERROR(INDEX(반품접수!$E$3:$E$1002,MATCH($B1251,반품접수!$A$3:$A$1002,0)),"접수번호없음"))</f>
        <v/>
      </c>
      <c r="D1251" s="10"/>
      <c r="E1251" s="14"/>
      <c r="F1251" s="10"/>
      <c r="G1251" s="16"/>
      <c r="H1251" s="10"/>
    </row>
    <row r="1252" customFormat="false" ht="15" hidden="false" customHeight="true" outlineLevel="0" collapsed="false">
      <c r="A1252" s="13"/>
      <c r="B1252" s="10"/>
      <c r="C1252" s="12" t="str">
        <f aca="false">IF($B1252="","",IFERROR(INDEX(반품접수!$E$3:$E$1002,MATCH($B1252,반품접수!$A$3:$A$1002,0)),"접수번호없음"))</f>
        <v/>
      </c>
      <c r="D1252" s="10"/>
      <c r="E1252" s="14"/>
      <c r="F1252" s="10"/>
      <c r="G1252" s="16"/>
      <c r="H1252" s="10"/>
    </row>
    <row r="1253" customFormat="false" ht="15" hidden="false" customHeight="true" outlineLevel="0" collapsed="false">
      <c r="A1253" s="13"/>
      <c r="B1253" s="10"/>
      <c r="C1253" s="12" t="str">
        <f aca="false">IF($B1253="","",IFERROR(INDEX(반품접수!$E$3:$E$1002,MATCH($B1253,반품접수!$A$3:$A$1002,0)),"접수번호없음"))</f>
        <v/>
      </c>
      <c r="D1253" s="10"/>
      <c r="E1253" s="14"/>
      <c r="F1253" s="10"/>
      <c r="G1253" s="16"/>
      <c r="H1253" s="10"/>
    </row>
    <row r="1254" customFormat="false" ht="15" hidden="false" customHeight="true" outlineLevel="0" collapsed="false">
      <c r="A1254" s="13"/>
      <c r="B1254" s="10"/>
      <c r="C1254" s="12" t="str">
        <f aca="false">IF($B1254="","",IFERROR(INDEX(반품접수!$E$3:$E$1002,MATCH($B1254,반품접수!$A$3:$A$1002,0)),"접수번호없음"))</f>
        <v/>
      </c>
      <c r="D1254" s="10"/>
      <c r="E1254" s="14"/>
      <c r="F1254" s="10"/>
      <c r="G1254" s="16"/>
      <c r="H1254" s="10"/>
    </row>
    <row r="1255" customFormat="false" ht="15" hidden="false" customHeight="true" outlineLevel="0" collapsed="false">
      <c r="A1255" s="13"/>
      <c r="B1255" s="10"/>
      <c r="C1255" s="12" t="str">
        <f aca="false">IF($B1255="","",IFERROR(INDEX(반품접수!$E$3:$E$1002,MATCH($B1255,반품접수!$A$3:$A$1002,0)),"접수번호없음"))</f>
        <v/>
      </c>
      <c r="D1255" s="10"/>
      <c r="E1255" s="14"/>
      <c r="F1255" s="10"/>
      <c r="G1255" s="16"/>
      <c r="H1255" s="10"/>
    </row>
    <row r="1256" customFormat="false" ht="15" hidden="false" customHeight="true" outlineLevel="0" collapsed="false">
      <c r="A1256" s="13"/>
      <c r="B1256" s="10"/>
      <c r="C1256" s="12" t="str">
        <f aca="false">IF($B1256="","",IFERROR(INDEX(반품접수!$E$3:$E$1002,MATCH($B1256,반품접수!$A$3:$A$1002,0)),"접수번호없음"))</f>
        <v/>
      </c>
      <c r="D1256" s="10"/>
      <c r="E1256" s="14"/>
      <c r="F1256" s="10"/>
      <c r="G1256" s="16"/>
      <c r="H1256" s="10"/>
    </row>
    <row r="1257" customFormat="false" ht="15" hidden="false" customHeight="true" outlineLevel="0" collapsed="false">
      <c r="A1257" s="13"/>
      <c r="B1257" s="10"/>
      <c r="C1257" s="12" t="str">
        <f aca="false">IF($B1257="","",IFERROR(INDEX(반품접수!$E$3:$E$1002,MATCH($B1257,반품접수!$A$3:$A$1002,0)),"접수번호없음"))</f>
        <v/>
      </c>
      <c r="D1257" s="10"/>
      <c r="E1257" s="14"/>
      <c r="F1257" s="10"/>
      <c r="G1257" s="16"/>
      <c r="H1257" s="10"/>
    </row>
    <row r="1258" customFormat="false" ht="15" hidden="false" customHeight="true" outlineLevel="0" collapsed="false">
      <c r="A1258" s="13"/>
      <c r="B1258" s="10"/>
      <c r="C1258" s="12" t="str">
        <f aca="false">IF($B1258="","",IFERROR(INDEX(반품접수!$E$3:$E$1002,MATCH($B1258,반품접수!$A$3:$A$1002,0)),"접수번호없음"))</f>
        <v/>
      </c>
      <c r="D1258" s="10"/>
      <c r="E1258" s="14"/>
      <c r="F1258" s="10"/>
      <c r="G1258" s="16"/>
      <c r="H1258" s="10"/>
    </row>
    <row r="1259" customFormat="false" ht="15" hidden="false" customHeight="true" outlineLevel="0" collapsed="false">
      <c r="A1259" s="13"/>
      <c r="B1259" s="10"/>
      <c r="C1259" s="12" t="str">
        <f aca="false">IF($B1259="","",IFERROR(INDEX(반품접수!$E$3:$E$1002,MATCH($B1259,반품접수!$A$3:$A$1002,0)),"접수번호없음"))</f>
        <v/>
      </c>
      <c r="D1259" s="10"/>
      <c r="E1259" s="14"/>
      <c r="F1259" s="10"/>
      <c r="G1259" s="16"/>
      <c r="H1259" s="10"/>
    </row>
    <row r="1260" customFormat="false" ht="15" hidden="false" customHeight="true" outlineLevel="0" collapsed="false">
      <c r="A1260" s="13"/>
      <c r="B1260" s="10"/>
      <c r="C1260" s="12" t="str">
        <f aca="false">IF($B1260="","",IFERROR(INDEX(반품접수!$E$3:$E$1002,MATCH($B1260,반품접수!$A$3:$A$1002,0)),"접수번호없음"))</f>
        <v/>
      </c>
      <c r="D1260" s="10"/>
      <c r="E1260" s="14"/>
      <c r="F1260" s="10"/>
      <c r="G1260" s="16"/>
      <c r="H1260" s="10"/>
    </row>
    <row r="1261" customFormat="false" ht="15" hidden="false" customHeight="true" outlineLevel="0" collapsed="false">
      <c r="A1261" s="13"/>
      <c r="B1261" s="10"/>
      <c r="C1261" s="12" t="str">
        <f aca="false">IF($B1261="","",IFERROR(INDEX(반품접수!$E$3:$E$1002,MATCH($B1261,반품접수!$A$3:$A$1002,0)),"접수번호없음"))</f>
        <v/>
      </c>
      <c r="D1261" s="10"/>
      <c r="E1261" s="14"/>
      <c r="F1261" s="10"/>
      <c r="G1261" s="16"/>
      <c r="H1261" s="10"/>
    </row>
    <row r="1262" customFormat="false" ht="15" hidden="false" customHeight="true" outlineLevel="0" collapsed="false">
      <c r="A1262" s="13"/>
      <c r="B1262" s="10"/>
      <c r="C1262" s="12" t="str">
        <f aca="false">IF($B1262="","",IFERROR(INDEX(반품접수!$E$3:$E$1002,MATCH($B1262,반품접수!$A$3:$A$1002,0)),"접수번호없음"))</f>
        <v/>
      </c>
      <c r="D1262" s="10"/>
      <c r="E1262" s="14"/>
      <c r="F1262" s="10"/>
      <c r="G1262" s="16"/>
      <c r="H1262" s="10"/>
    </row>
    <row r="1263" customFormat="false" ht="15" hidden="false" customHeight="true" outlineLevel="0" collapsed="false">
      <c r="A1263" s="13"/>
      <c r="B1263" s="10"/>
      <c r="C1263" s="12" t="str">
        <f aca="false">IF($B1263="","",IFERROR(INDEX(반품접수!$E$3:$E$1002,MATCH($B1263,반품접수!$A$3:$A$1002,0)),"접수번호없음"))</f>
        <v/>
      </c>
      <c r="D1263" s="10"/>
      <c r="E1263" s="14"/>
      <c r="F1263" s="10"/>
      <c r="G1263" s="16"/>
      <c r="H1263" s="10"/>
    </row>
    <row r="1264" customFormat="false" ht="15" hidden="false" customHeight="true" outlineLevel="0" collapsed="false">
      <c r="A1264" s="13"/>
      <c r="B1264" s="10"/>
      <c r="C1264" s="12" t="str">
        <f aca="false">IF($B1264="","",IFERROR(INDEX(반품접수!$E$3:$E$1002,MATCH($B1264,반품접수!$A$3:$A$1002,0)),"접수번호없음"))</f>
        <v/>
      </c>
      <c r="D1264" s="10"/>
      <c r="E1264" s="14"/>
      <c r="F1264" s="10"/>
      <c r="G1264" s="16"/>
      <c r="H1264" s="10"/>
    </row>
    <row r="1265" customFormat="false" ht="15" hidden="false" customHeight="true" outlineLevel="0" collapsed="false">
      <c r="A1265" s="13"/>
      <c r="B1265" s="10"/>
      <c r="C1265" s="12" t="str">
        <f aca="false">IF($B1265="","",IFERROR(INDEX(반품접수!$E$3:$E$1002,MATCH($B1265,반품접수!$A$3:$A$1002,0)),"접수번호없음"))</f>
        <v/>
      </c>
      <c r="D1265" s="10"/>
      <c r="E1265" s="14"/>
      <c r="F1265" s="10"/>
      <c r="G1265" s="16"/>
      <c r="H1265" s="10"/>
    </row>
    <row r="1266" customFormat="false" ht="15" hidden="false" customHeight="true" outlineLevel="0" collapsed="false">
      <c r="A1266" s="13"/>
      <c r="B1266" s="10"/>
      <c r="C1266" s="12" t="str">
        <f aca="false">IF($B1266="","",IFERROR(INDEX(반품접수!$E$3:$E$1002,MATCH($B1266,반품접수!$A$3:$A$1002,0)),"접수번호없음"))</f>
        <v/>
      </c>
      <c r="D1266" s="10"/>
      <c r="E1266" s="14"/>
      <c r="F1266" s="10"/>
      <c r="G1266" s="16"/>
      <c r="H1266" s="10"/>
    </row>
    <row r="1267" customFormat="false" ht="15" hidden="false" customHeight="true" outlineLevel="0" collapsed="false">
      <c r="A1267" s="13"/>
      <c r="B1267" s="10"/>
      <c r="C1267" s="12" t="str">
        <f aca="false">IF($B1267="","",IFERROR(INDEX(반품접수!$E$3:$E$1002,MATCH($B1267,반품접수!$A$3:$A$1002,0)),"접수번호없음"))</f>
        <v/>
      </c>
      <c r="D1267" s="10"/>
      <c r="E1267" s="14"/>
      <c r="F1267" s="10"/>
      <c r="G1267" s="16"/>
      <c r="H1267" s="10"/>
    </row>
    <row r="1268" customFormat="false" ht="15" hidden="false" customHeight="true" outlineLevel="0" collapsed="false">
      <c r="A1268" s="13"/>
      <c r="B1268" s="10"/>
      <c r="C1268" s="12" t="str">
        <f aca="false">IF($B1268="","",IFERROR(INDEX(반품접수!$E$3:$E$1002,MATCH($B1268,반품접수!$A$3:$A$1002,0)),"접수번호없음"))</f>
        <v/>
      </c>
      <c r="D1268" s="10"/>
      <c r="E1268" s="14"/>
      <c r="F1268" s="10"/>
      <c r="G1268" s="16"/>
      <c r="H1268" s="10"/>
    </row>
    <row r="1269" customFormat="false" ht="15" hidden="false" customHeight="true" outlineLevel="0" collapsed="false">
      <c r="A1269" s="13"/>
      <c r="B1269" s="10"/>
      <c r="C1269" s="12" t="str">
        <f aca="false">IF($B1269="","",IFERROR(INDEX(반품접수!$E$3:$E$1002,MATCH($B1269,반품접수!$A$3:$A$1002,0)),"접수번호없음"))</f>
        <v/>
      </c>
      <c r="D1269" s="10"/>
      <c r="E1269" s="14"/>
      <c r="F1269" s="10"/>
      <c r="G1269" s="16"/>
      <c r="H1269" s="10"/>
    </row>
    <row r="1270" customFormat="false" ht="15" hidden="false" customHeight="true" outlineLevel="0" collapsed="false">
      <c r="A1270" s="13"/>
      <c r="B1270" s="10"/>
      <c r="C1270" s="12" t="str">
        <f aca="false">IF($B1270="","",IFERROR(INDEX(반품접수!$E$3:$E$1002,MATCH($B1270,반품접수!$A$3:$A$1002,0)),"접수번호없음"))</f>
        <v/>
      </c>
      <c r="D1270" s="10"/>
      <c r="E1270" s="14"/>
      <c r="F1270" s="10"/>
      <c r="G1270" s="16"/>
      <c r="H1270" s="10"/>
    </row>
    <row r="1271" customFormat="false" ht="15" hidden="false" customHeight="true" outlineLevel="0" collapsed="false">
      <c r="A1271" s="13"/>
      <c r="B1271" s="10"/>
      <c r="C1271" s="12" t="str">
        <f aca="false">IF($B1271="","",IFERROR(INDEX(반품접수!$E$3:$E$1002,MATCH($B1271,반품접수!$A$3:$A$1002,0)),"접수번호없음"))</f>
        <v/>
      </c>
      <c r="D1271" s="10"/>
      <c r="E1271" s="14"/>
      <c r="F1271" s="10"/>
      <c r="G1271" s="16"/>
      <c r="H1271" s="10"/>
    </row>
    <row r="1272" customFormat="false" ht="15" hidden="false" customHeight="true" outlineLevel="0" collapsed="false">
      <c r="A1272" s="13"/>
      <c r="B1272" s="10"/>
      <c r="C1272" s="12" t="str">
        <f aca="false">IF($B1272="","",IFERROR(INDEX(반품접수!$E$3:$E$1002,MATCH($B1272,반품접수!$A$3:$A$1002,0)),"접수번호없음"))</f>
        <v/>
      </c>
      <c r="D1272" s="10"/>
      <c r="E1272" s="14"/>
      <c r="F1272" s="10"/>
      <c r="G1272" s="16"/>
      <c r="H1272" s="10"/>
    </row>
    <row r="1273" customFormat="false" ht="15" hidden="false" customHeight="true" outlineLevel="0" collapsed="false">
      <c r="A1273" s="13"/>
      <c r="B1273" s="10"/>
      <c r="C1273" s="12" t="str">
        <f aca="false">IF($B1273="","",IFERROR(INDEX(반품접수!$E$3:$E$1002,MATCH($B1273,반품접수!$A$3:$A$1002,0)),"접수번호없음"))</f>
        <v/>
      </c>
      <c r="D1273" s="10"/>
      <c r="E1273" s="14"/>
      <c r="F1273" s="10"/>
      <c r="G1273" s="16"/>
      <c r="H1273" s="10"/>
    </row>
    <row r="1274" customFormat="false" ht="15" hidden="false" customHeight="true" outlineLevel="0" collapsed="false">
      <c r="A1274" s="13"/>
      <c r="B1274" s="10"/>
      <c r="C1274" s="12" t="str">
        <f aca="false">IF($B1274="","",IFERROR(INDEX(반품접수!$E$3:$E$1002,MATCH($B1274,반품접수!$A$3:$A$1002,0)),"접수번호없음"))</f>
        <v/>
      </c>
      <c r="D1274" s="10"/>
      <c r="E1274" s="14"/>
      <c r="F1274" s="10"/>
      <c r="G1274" s="16"/>
      <c r="H1274" s="10"/>
    </row>
    <row r="1275" customFormat="false" ht="15" hidden="false" customHeight="true" outlineLevel="0" collapsed="false">
      <c r="A1275" s="13"/>
      <c r="B1275" s="10"/>
      <c r="C1275" s="12" t="str">
        <f aca="false">IF($B1275="","",IFERROR(INDEX(반품접수!$E$3:$E$1002,MATCH($B1275,반품접수!$A$3:$A$1002,0)),"접수번호없음"))</f>
        <v/>
      </c>
      <c r="D1275" s="10"/>
      <c r="E1275" s="14"/>
      <c r="F1275" s="10"/>
      <c r="G1275" s="16"/>
      <c r="H1275" s="10"/>
    </row>
    <row r="1276" customFormat="false" ht="15" hidden="false" customHeight="true" outlineLevel="0" collapsed="false">
      <c r="A1276" s="13"/>
      <c r="B1276" s="10"/>
      <c r="C1276" s="12" t="str">
        <f aca="false">IF($B1276="","",IFERROR(INDEX(반품접수!$E$3:$E$1002,MATCH($B1276,반품접수!$A$3:$A$1002,0)),"접수번호없음"))</f>
        <v/>
      </c>
      <c r="D1276" s="10"/>
      <c r="E1276" s="14"/>
      <c r="F1276" s="10"/>
      <c r="G1276" s="16"/>
      <c r="H1276" s="10"/>
    </row>
    <row r="1277" customFormat="false" ht="15" hidden="false" customHeight="true" outlineLevel="0" collapsed="false">
      <c r="A1277" s="13"/>
      <c r="B1277" s="10"/>
      <c r="C1277" s="12" t="str">
        <f aca="false">IF($B1277="","",IFERROR(INDEX(반품접수!$E$3:$E$1002,MATCH($B1277,반품접수!$A$3:$A$1002,0)),"접수번호없음"))</f>
        <v/>
      </c>
      <c r="D1277" s="10"/>
      <c r="E1277" s="14"/>
      <c r="F1277" s="10"/>
      <c r="G1277" s="16"/>
      <c r="H1277" s="10"/>
    </row>
    <row r="1278" customFormat="false" ht="15" hidden="false" customHeight="true" outlineLevel="0" collapsed="false">
      <c r="A1278" s="13"/>
      <c r="B1278" s="10"/>
      <c r="C1278" s="12" t="str">
        <f aca="false">IF($B1278="","",IFERROR(INDEX(반품접수!$E$3:$E$1002,MATCH($B1278,반품접수!$A$3:$A$1002,0)),"접수번호없음"))</f>
        <v/>
      </c>
      <c r="D1278" s="10"/>
      <c r="E1278" s="14"/>
      <c r="F1278" s="10"/>
      <c r="G1278" s="16"/>
      <c r="H1278" s="10"/>
    </row>
    <row r="1279" customFormat="false" ht="15" hidden="false" customHeight="true" outlineLevel="0" collapsed="false">
      <c r="A1279" s="13"/>
      <c r="B1279" s="10"/>
      <c r="C1279" s="12" t="str">
        <f aca="false">IF($B1279="","",IFERROR(INDEX(반품접수!$E$3:$E$1002,MATCH($B1279,반품접수!$A$3:$A$1002,0)),"접수번호없음"))</f>
        <v/>
      </c>
      <c r="D1279" s="10"/>
      <c r="E1279" s="14"/>
      <c r="F1279" s="10"/>
      <c r="G1279" s="16"/>
      <c r="H1279" s="10"/>
    </row>
    <row r="1280" customFormat="false" ht="15" hidden="false" customHeight="true" outlineLevel="0" collapsed="false">
      <c r="A1280" s="13"/>
      <c r="B1280" s="10"/>
      <c r="C1280" s="12" t="str">
        <f aca="false">IF($B1280="","",IFERROR(INDEX(반품접수!$E$3:$E$1002,MATCH($B1280,반품접수!$A$3:$A$1002,0)),"접수번호없음"))</f>
        <v/>
      </c>
      <c r="D1280" s="10"/>
      <c r="E1280" s="14"/>
      <c r="F1280" s="10"/>
      <c r="G1280" s="16"/>
      <c r="H1280" s="10"/>
    </row>
    <row r="1281" customFormat="false" ht="15" hidden="false" customHeight="true" outlineLevel="0" collapsed="false">
      <c r="A1281" s="13"/>
      <c r="B1281" s="10"/>
      <c r="C1281" s="12" t="str">
        <f aca="false">IF($B1281="","",IFERROR(INDEX(반품접수!$E$3:$E$1002,MATCH($B1281,반품접수!$A$3:$A$1002,0)),"접수번호없음"))</f>
        <v/>
      </c>
      <c r="D1281" s="10"/>
      <c r="E1281" s="14"/>
      <c r="F1281" s="10"/>
      <c r="G1281" s="16"/>
      <c r="H1281" s="10"/>
    </row>
    <row r="1282" customFormat="false" ht="15" hidden="false" customHeight="true" outlineLevel="0" collapsed="false">
      <c r="A1282" s="13"/>
      <c r="B1282" s="10"/>
      <c r="C1282" s="12" t="str">
        <f aca="false">IF($B1282="","",IFERROR(INDEX(반품접수!$E$3:$E$1002,MATCH($B1282,반품접수!$A$3:$A$1002,0)),"접수번호없음"))</f>
        <v/>
      </c>
      <c r="D1282" s="10"/>
      <c r="E1282" s="14"/>
      <c r="F1282" s="10"/>
      <c r="G1282" s="16"/>
      <c r="H1282" s="10"/>
    </row>
    <row r="1283" customFormat="false" ht="15" hidden="false" customHeight="true" outlineLevel="0" collapsed="false">
      <c r="A1283" s="13"/>
      <c r="B1283" s="10"/>
      <c r="C1283" s="12" t="str">
        <f aca="false">IF($B1283="","",IFERROR(INDEX(반품접수!$E$3:$E$1002,MATCH($B1283,반품접수!$A$3:$A$1002,0)),"접수번호없음"))</f>
        <v/>
      </c>
      <c r="D1283" s="10"/>
      <c r="E1283" s="14"/>
      <c r="F1283" s="10"/>
      <c r="G1283" s="16"/>
      <c r="H1283" s="10"/>
    </row>
    <row r="1284" customFormat="false" ht="15" hidden="false" customHeight="true" outlineLevel="0" collapsed="false">
      <c r="A1284" s="13"/>
      <c r="B1284" s="10"/>
      <c r="C1284" s="12" t="str">
        <f aca="false">IF($B1284="","",IFERROR(INDEX(반품접수!$E$3:$E$1002,MATCH($B1284,반품접수!$A$3:$A$1002,0)),"접수번호없음"))</f>
        <v/>
      </c>
      <c r="D1284" s="10"/>
      <c r="E1284" s="14"/>
      <c r="F1284" s="10"/>
      <c r="G1284" s="16"/>
      <c r="H1284" s="10"/>
    </row>
    <row r="1285" customFormat="false" ht="15" hidden="false" customHeight="true" outlineLevel="0" collapsed="false">
      <c r="A1285" s="13"/>
      <c r="B1285" s="10"/>
      <c r="C1285" s="12" t="str">
        <f aca="false">IF($B1285="","",IFERROR(INDEX(반품접수!$E$3:$E$1002,MATCH($B1285,반품접수!$A$3:$A$1002,0)),"접수번호없음"))</f>
        <v/>
      </c>
      <c r="D1285" s="10"/>
      <c r="E1285" s="14"/>
      <c r="F1285" s="10"/>
      <c r="G1285" s="16"/>
      <c r="H1285" s="10"/>
    </row>
    <row r="1286" customFormat="false" ht="15" hidden="false" customHeight="true" outlineLevel="0" collapsed="false">
      <c r="A1286" s="13"/>
      <c r="B1286" s="10"/>
      <c r="C1286" s="12" t="str">
        <f aca="false">IF($B1286="","",IFERROR(INDEX(반품접수!$E$3:$E$1002,MATCH($B1286,반품접수!$A$3:$A$1002,0)),"접수번호없음"))</f>
        <v/>
      </c>
      <c r="D1286" s="10"/>
      <c r="E1286" s="14"/>
      <c r="F1286" s="10"/>
      <c r="G1286" s="16"/>
      <c r="H1286" s="10"/>
    </row>
    <row r="1287" customFormat="false" ht="15" hidden="false" customHeight="true" outlineLevel="0" collapsed="false">
      <c r="A1287" s="13"/>
      <c r="B1287" s="10"/>
      <c r="C1287" s="12" t="str">
        <f aca="false">IF($B1287="","",IFERROR(INDEX(반품접수!$E$3:$E$1002,MATCH($B1287,반품접수!$A$3:$A$1002,0)),"접수번호없음"))</f>
        <v/>
      </c>
      <c r="D1287" s="10"/>
      <c r="E1287" s="14"/>
      <c r="F1287" s="10"/>
      <c r="G1287" s="16"/>
      <c r="H1287" s="10"/>
    </row>
    <row r="1288" customFormat="false" ht="15" hidden="false" customHeight="true" outlineLevel="0" collapsed="false">
      <c r="A1288" s="13"/>
      <c r="B1288" s="10"/>
      <c r="C1288" s="12" t="str">
        <f aca="false">IF($B1288="","",IFERROR(INDEX(반품접수!$E$3:$E$1002,MATCH($B1288,반품접수!$A$3:$A$1002,0)),"접수번호없음"))</f>
        <v/>
      </c>
      <c r="D1288" s="10"/>
      <c r="E1288" s="14"/>
      <c r="F1288" s="10"/>
      <c r="G1288" s="16"/>
      <c r="H1288" s="10"/>
    </row>
    <row r="1289" customFormat="false" ht="15" hidden="false" customHeight="true" outlineLevel="0" collapsed="false">
      <c r="A1289" s="13"/>
      <c r="B1289" s="10"/>
      <c r="C1289" s="12" t="str">
        <f aca="false">IF($B1289="","",IFERROR(INDEX(반품접수!$E$3:$E$1002,MATCH($B1289,반품접수!$A$3:$A$1002,0)),"접수번호없음"))</f>
        <v/>
      </c>
      <c r="D1289" s="10"/>
      <c r="E1289" s="14"/>
      <c r="F1289" s="10"/>
      <c r="G1289" s="16"/>
      <c r="H1289" s="10"/>
    </row>
    <row r="1290" customFormat="false" ht="15" hidden="false" customHeight="true" outlineLevel="0" collapsed="false">
      <c r="A1290" s="13"/>
      <c r="B1290" s="10"/>
      <c r="C1290" s="12" t="str">
        <f aca="false">IF($B1290="","",IFERROR(INDEX(반품접수!$E$3:$E$1002,MATCH($B1290,반품접수!$A$3:$A$1002,0)),"접수번호없음"))</f>
        <v/>
      </c>
      <c r="D1290" s="10"/>
      <c r="E1290" s="14"/>
      <c r="F1290" s="10"/>
      <c r="G1290" s="16"/>
      <c r="H1290" s="10"/>
    </row>
    <row r="1291" customFormat="false" ht="15" hidden="false" customHeight="true" outlineLevel="0" collapsed="false">
      <c r="A1291" s="13"/>
      <c r="B1291" s="10"/>
      <c r="C1291" s="12" t="str">
        <f aca="false">IF($B1291="","",IFERROR(INDEX(반품접수!$E$3:$E$1002,MATCH($B1291,반품접수!$A$3:$A$1002,0)),"접수번호없음"))</f>
        <v/>
      </c>
      <c r="D1291" s="10"/>
      <c r="E1291" s="14"/>
      <c r="F1291" s="10"/>
      <c r="G1291" s="16"/>
      <c r="H1291" s="10"/>
    </row>
    <row r="1292" customFormat="false" ht="15" hidden="false" customHeight="true" outlineLevel="0" collapsed="false">
      <c r="A1292" s="13"/>
      <c r="B1292" s="10"/>
      <c r="C1292" s="12" t="str">
        <f aca="false">IF($B1292="","",IFERROR(INDEX(반품접수!$E$3:$E$1002,MATCH($B1292,반품접수!$A$3:$A$1002,0)),"접수번호없음"))</f>
        <v/>
      </c>
      <c r="D1292" s="10"/>
      <c r="E1292" s="14"/>
      <c r="F1292" s="10"/>
      <c r="G1292" s="16"/>
      <c r="H1292" s="10"/>
    </row>
    <row r="1293" customFormat="false" ht="15" hidden="false" customHeight="true" outlineLevel="0" collapsed="false">
      <c r="A1293" s="13"/>
      <c r="B1293" s="10"/>
      <c r="C1293" s="12" t="str">
        <f aca="false">IF($B1293="","",IFERROR(INDEX(반품접수!$E$3:$E$1002,MATCH($B1293,반품접수!$A$3:$A$1002,0)),"접수번호없음"))</f>
        <v/>
      </c>
      <c r="D1293" s="10"/>
      <c r="E1293" s="14"/>
      <c r="F1293" s="10"/>
      <c r="G1293" s="16"/>
      <c r="H1293" s="10"/>
    </row>
    <row r="1294" customFormat="false" ht="15" hidden="false" customHeight="true" outlineLevel="0" collapsed="false">
      <c r="A1294" s="13"/>
      <c r="B1294" s="10"/>
      <c r="C1294" s="12" t="str">
        <f aca="false">IF($B1294="","",IFERROR(INDEX(반품접수!$E$3:$E$1002,MATCH($B1294,반품접수!$A$3:$A$1002,0)),"접수번호없음"))</f>
        <v/>
      </c>
      <c r="D1294" s="10"/>
      <c r="E1294" s="14"/>
      <c r="F1294" s="10"/>
      <c r="G1294" s="16"/>
      <c r="H1294" s="10"/>
    </row>
    <row r="1295" customFormat="false" ht="15" hidden="false" customHeight="true" outlineLevel="0" collapsed="false">
      <c r="A1295" s="13"/>
      <c r="B1295" s="10"/>
      <c r="C1295" s="12" t="str">
        <f aca="false">IF($B1295="","",IFERROR(INDEX(반품접수!$E$3:$E$1002,MATCH($B1295,반품접수!$A$3:$A$1002,0)),"접수번호없음"))</f>
        <v/>
      </c>
      <c r="D1295" s="10"/>
      <c r="E1295" s="14"/>
      <c r="F1295" s="10"/>
      <c r="G1295" s="16"/>
      <c r="H1295" s="10"/>
    </row>
    <row r="1296" customFormat="false" ht="15" hidden="false" customHeight="true" outlineLevel="0" collapsed="false">
      <c r="A1296" s="13"/>
      <c r="B1296" s="10"/>
      <c r="C1296" s="12" t="str">
        <f aca="false">IF($B1296="","",IFERROR(INDEX(반품접수!$E$3:$E$1002,MATCH($B1296,반품접수!$A$3:$A$1002,0)),"접수번호없음"))</f>
        <v/>
      </c>
      <c r="D1296" s="10"/>
      <c r="E1296" s="14"/>
      <c r="F1296" s="10"/>
      <c r="G1296" s="16"/>
      <c r="H1296" s="10"/>
    </row>
    <row r="1297" customFormat="false" ht="15" hidden="false" customHeight="true" outlineLevel="0" collapsed="false">
      <c r="A1297" s="13"/>
      <c r="B1297" s="10"/>
      <c r="C1297" s="12" t="str">
        <f aca="false">IF($B1297="","",IFERROR(INDEX(반품접수!$E$3:$E$1002,MATCH($B1297,반품접수!$A$3:$A$1002,0)),"접수번호없음"))</f>
        <v/>
      </c>
      <c r="D1297" s="10"/>
      <c r="E1297" s="14"/>
      <c r="F1297" s="10"/>
      <c r="G1297" s="16"/>
      <c r="H1297" s="10"/>
    </row>
    <row r="1298" customFormat="false" ht="15" hidden="false" customHeight="true" outlineLevel="0" collapsed="false">
      <c r="A1298" s="13"/>
      <c r="B1298" s="10"/>
      <c r="C1298" s="12" t="str">
        <f aca="false">IF($B1298="","",IFERROR(INDEX(반품접수!$E$3:$E$1002,MATCH($B1298,반품접수!$A$3:$A$1002,0)),"접수번호없음"))</f>
        <v/>
      </c>
      <c r="D1298" s="10"/>
      <c r="E1298" s="14"/>
      <c r="F1298" s="10"/>
      <c r="G1298" s="16"/>
      <c r="H1298" s="10"/>
    </row>
    <row r="1299" customFormat="false" ht="15" hidden="false" customHeight="true" outlineLevel="0" collapsed="false">
      <c r="A1299" s="13"/>
      <c r="B1299" s="10"/>
      <c r="C1299" s="12" t="str">
        <f aca="false">IF($B1299="","",IFERROR(INDEX(반품접수!$E$3:$E$1002,MATCH($B1299,반품접수!$A$3:$A$1002,0)),"접수번호없음"))</f>
        <v/>
      </c>
      <c r="D1299" s="10"/>
      <c r="E1299" s="14"/>
      <c r="F1299" s="10"/>
      <c r="G1299" s="16"/>
      <c r="H1299" s="10"/>
    </row>
    <row r="1300" customFormat="false" ht="15" hidden="false" customHeight="true" outlineLevel="0" collapsed="false">
      <c r="A1300" s="13"/>
      <c r="B1300" s="10"/>
      <c r="C1300" s="12" t="str">
        <f aca="false">IF($B1300="","",IFERROR(INDEX(반품접수!$E$3:$E$1002,MATCH($B1300,반품접수!$A$3:$A$1002,0)),"접수번호없음"))</f>
        <v/>
      </c>
      <c r="D1300" s="10"/>
      <c r="E1300" s="14"/>
      <c r="F1300" s="10"/>
      <c r="G1300" s="16"/>
      <c r="H1300" s="10"/>
    </row>
    <row r="1301" customFormat="false" ht="15" hidden="false" customHeight="true" outlineLevel="0" collapsed="false">
      <c r="A1301" s="13"/>
      <c r="B1301" s="10"/>
      <c r="C1301" s="12" t="str">
        <f aca="false">IF($B1301="","",IFERROR(INDEX(반품접수!$E$3:$E$1002,MATCH($B1301,반품접수!$A$3:$A$1002,0)),"접수번호없음"))</f>
        <v/>
      </c>
      <c r="D1301" s="10"/>
      <c r="E1301" s="14"/>
      <c r="F1301" s="10"/>
      <c r="G1301" s="16"/>
      <c r="H1301" s="10"/>
    </row>
    <row r="1302" customFormat="false" ht="15" hidden="false" customHeight="true" outlineLevel="0" collapsed="false">
      <c r="A1302" s="13"/>
      <c r="B1302" s="10"/>
      <c r="C1302" s="12" t="str">
        <f aca="false">IF($B1302="","",IFERROR(INDEX(반품접수!$E$3:$E$1002,MATCH($B1302,반품접수!$A$3:$A$1002,0)),"접수번호없음"))</f>
        <v/>
      </c>
      <c r="D1302" s="10"/>
      <c r="E1302" s="14"/>
      <c r="F1302" s="10"/>
      <c r="G1302" s="16"/>
      <c r="H1302" s="10"/>
    </row>
    <row r="1303" customFormat="false" ht="15" hidden="false" customHeight="true" outlineLevel="0" collapsed="false">
      <c r="A1303" s="13"/>
      <c r="B1303" s="10"/>
      <c r="C1303" s="12" t="str">
        <f aca="false">IF($B1303="","",IFERROR(INDEX(반품접수!$E$3:$E$1002,MATCH($B1303,반품접수!$A$3:$A$1002,0)),"접수번호없음"))</f>
        <v/>
      </c>
      <c r="D1303" s="10"/>
      <c r="E1303" s="14"/>
      <c r="F1303" s="10"/>
      <c r="G1303" s="16"/>
      <c r="H1303" s="10"/>
    </row>
    <row r="1304" customFormat="false" ht="15" hidden="false" customHeight="true" outlineLevel="0" collapsed="false">
      <c r="A1304" s="13"/>
      <c r="B1304" s="10"/>
      <c r="C1304" s="12" t="str">
        <f aca="false">IF($B1304="","",IFERROR(INDEX(반품접수!$E$3:$E$1002,MATCH($B1304,반품접수!$A$3:$A$1002,0)),"접수번호없음"))</f>
        <v/>
      </c>
      <c r="D1304" s="10"/>
      <c r="E1304" s="14"/>
      <c r="F1304" s="10"/>
      <c r="G1304" s="16"/>
      <c r="H1304" s="10"/>
    </row>
    <row r="1305" customFormat="false" ht="15" hidden="false" customHeight="true" outlineLevel="0" collapsed="false">
      <c r="A1305" s="13"/>
      <c r="B1305" s="10"/>
      <c r="C1305" s="12" t="str">
        <f aca="false">IF($B1305="","",IFERROR(INDEX(반품접수!$E$3:$E$1002,MATCH($B1305,반품접수!$A$3:$A$1002,0)),"접수번호없음"))</f>
        <v/>
      </c>
      <c r="D1305" s="10"/>
      <c r="E1305" s="14"/>
      <c r="F1305" s="10"/>
      <c r="G1305" s="16"/>
      <c r="H1305" s="10"/>
    </row>
    <row r="1306" customFormat="false" ht="15" hidden="false" customHeight="true" outlineLevel="0" collapsed="false">
      <c r="A1306" s="13"/>
      <c r="B1306" s="10"/>
      <c r="C1306" s="12" t="str">
        <f aca="false">IF($B1306="","",IFERROR(INDEX(반품접수!$E$3:$E$1002,MATCH($B1306,반품접수!$A$3:$A$1002,0)),"접수번호없음"))</f>
        <v/>
      </c>
      <c r="D1306" s="10"/>
      <c r="E1306" s="14"/>
      <c r="F1306" s="10"/>
      <c r="G1306" s="16"/>
      <c r="H1306" s="10"/>
    </row>
    <row r="1307" customFormat="false" ht="15" hidden="false" customHeight="true" outlineLevel="0" collapsed="false">
      <c r="A1307" s="13"/>
      <c r="B1307" s="10"/>
      <c r="C1307" s="12" t="str">
        <f aca="false">IF($B1307="","",IFERROR(INDEX(반품접수!$E$3:$E$1002,MATCH($B1307,반품접수!$A$3:$A$1002,0)),"접수번호없음"))</f>
        <v/>
      </c>
      <c r="D1307" s="10"/>
      <c r="E1307" s="14"/>
      <c r="F1307" s="10"/>
      <c r="G1307" s="16"/>
      <c r="H1307" s="10"/>
    </row>
    <row r="1308" customFormat="false" ht="15" hidden="false" customHeight="true" outlineLevel="0" collapsed="false">
      <c r="A1308" s="13"/>
      <c r="B1308" s="10"/>
      <c r="C1308" s="12" t="str">
        <f aca="false">IF($B1308="","",IFERROR(INDEX(반품접수!$E$3:$E$1002,MATCH($B1308,반품접수!$A$3:$A$1002,0)),"접수번호없음"))</f>
        <v/>
      </c>
      <c r="D1308" s="10"/>
      <c r="E1308" s="14"/>
      <c r="F1308" s="10"/>
      <c r="G1308" s="16"/>
      <c r="H1308" s="10"/>
    </row>
    <row r="1309" customFormat="false" ht="15" hidden="false" customHeight="true" outlineLevel="0" collapsed="false">
      <c r="A1309" s="13"/>
      <c r="B1309" s="10"/>
      <c r="C1309" s="12" t="str">
        <f aca="false">IF($B1309="","",IFERROR(INDEX(반품접수!$E$3:$E$1002,MATCH($B1309,반품접수!$A$3:$A$1002,0)),"접수번호없음"))</f>
        <v/>
      </c>
      <c r="D1309" s="10"/>
      <c r="E1309" s="14"/>
      <c r="F1309" s="10"/>
      <c r="G1309" s="16"/>
      <c r="H1309" s="10"/>
    </row>
    <row r="1310" customFormat="false" ht="15" hidden="false" customHeight="true" outlineLevel="0" collapsed="false">
      <c r="A1310" s="13"/>
      <c r="B1310" s="10"/>
      <c r="C1310" s="12" t="str">
        <f aca="false">IF($B1310="","",IFERROR(INDEX(반품접수!$E$3:$E$1002,MATCH($B1310,반품접수!$A$3:$A$1002,0)),"접수번호없음"))</f>
        <v/>
      </c>
      <c r="D1310" s="10"/>
      <c r="E1310" s="14"/>
      <c r="F1310" s="10"/>
      <c r="G1310" s="16"/>
      <c r="H1310" s="10"/>
    </row>
    <row r="1311" customFormat="false" ht="15" hidden="false" customHeight="true" outlineLevel="0" collapsed="false">
      <c r="A1311" s="13"/>
      <c r="B1311" s="10"/>
      <c r="C1311" s="12" t="str">
        <f aca="false">IF($B1311="","",IFERROR(INDEX(반품접수!$E$3:$E$1002,MATCH($B1311,반품접수!$A$3:$A$1002,0)),"접수번호없음"))</f>
        <v/>
      </c>
      <c r="D1311" s="10"/>
      <c r="E1311" s="14"/>
      <c r="F1311" s="10"/>
      <c r="G1311" s="16"/>
      <c r="H1311" s="10"/>
    </row>
    <row r="1312" customFormat="false" ht="15" hidden="false" customHeight="true" outlineLevel="0" collapsed="false">
      <c r="A1312" s="13"/>
      <c r="B1312" s="10"/>
      <c r="C1312" s="12" t="str">
        <f aca="false">IF($B1312="","",IFERROR(INDEX(반품접수!$E$3:$E$1002,MATCH($B1312,반품접수!$A$3:$A$1002,0)),"접수번호없음"))</f>
        <v/>
      </c>
      <c r="D1312" s="10"/>
      <c r="E1312" s="14"/>
      <c r="F1312" s="10"/>
      <c r="G1312" s="16"/>
      <c r="H1312" s="10"/>
    </row>
    <row r="1313" customFormat="false" ht="15" hidden="false" customHeight="true" outlineLevel="0" collapsed="false">
      <c r="A1313" s="13"/>
      <c r="B1313" s="10"/>
      <c r="C1313" s="12" t="str">
        <f aca="false">IF($B1313="","",IFERROR(INDEX(반품접수!$E$3:$E$1002,MATCH($B1313,반품접수!$A$3:$A$1002,0)),"접수번호없음"))</f>
        <v/>
      </c>
      <c r="D1313" s="10"/>
      <c r="E1313" s="14"/>
      <c r="F1313" s="10"/>
      <c r="G1313" s="16"/>
      <c r="H1313" s="10"/>
    </row>
    <row r="1314" customFormat="false" ht="15" hidden="false" customHeight="true" outlineLevel="0" collapsed="false">
      <c r="A1314" s="13"/>
      <c r="B1314" s="10"/>
      <c r="C1314" s="12" t="str">
        <f aca="false">IF($B1314="","",IFERROR(INDEX(반품접수!$E$3:$E$1002,MATCH($B1314,반품접수!$A$3:$A$1002,0)),"접수번호없음"))</f>
        <v/>
      </c>
      <c r="D1314" s="10"/>
      <c r="E1314" s="14"/>
      <c r="F1314" s="10"/>
      <c r="G1314" s="16"/>
      <c r="H1314" s="10"/>
    </row>
    <row r="1315" customFormat="false" ht="15" hidden="false" customHeight="true" outlineLevel="0" collapsed="false">
      <c r="A1315" s="13"/>
      <c r="B1315" s="10"/>
      <c r="C1315" s="12" t="str">
        <f aca="false">IF($B1315="","",IFERROR(INDEX(반품접수!$E$3:$E$1002,MATCH($B1315,반품접수!$A$3:$A$1002,0)),"접수번호없음"))</f>
        <v/>
      </c>
      <c r="D1315" s="10"/>
      <c r="E1315" s="14"/>
      <c r="F1315" s="10"/>
      <c r="G1315" s="16"/>
      <c r="H1315" s="10"/>
    </row>
    <row r="1316" customFormat="false" ht="15" hidden="false" customHeight="true" outlineLevel="0" collapsed="false">
      <c r="A1316" s="13"/>
      <c r="B1316" s="10"/>
      <c r="C1316" s="12" t="str">
        <f aca="false">IF($B1316="","",IFERROR(INDEX(반품접수!$E$3:$E$1002,MATCH($B1316,반품접수!$A$3:$A$1002,0)),"접수번호없음"))</f>
        <v/>
      </c>
      <c r="D1316" s="10"/>
      <c r="E1316" s="14"/>
      <c r="F1316" s="10"/>
      <c r="G1316" s="16"/>
      <c r="H1316" s="10"/>
    </row>
    <row r="1317" customFormat="false" ht="15" hidden="false" customHeight="true" outlineLevel="0" collapsed="false">
      <c r="A1317" s="13"/>
      <c r="B1317" s="10"/>
      <c r="C1317" s="12" t="str">
        <f aca="false">IF($B1317="","",IFERROR(INDEX(반품접수!$E$3:$E$1002,MATCH($B1317,반품접수!$A$3:$A$1002,0)),"접수번호없음"))</f>
        <v/>
      </c>
      <c r="D1317" s="10"/>
      <c r="E1317" s="14"/>
      <c r="F1317" s="10"/>
      <c r="G1317" s="16"/>
      <c r="H1317" s="10"/>
    </row>
    <row r="1318" customFormat="false" ht="15" hidden="false" customHeight="true" outlineLevel="0" collapsed="false">
      <c r="A1318" s="13"/>
      <c r="B1318" s="10"/>
      <c r="C1318" s="12" t="str">
        <f aca="false">IF($B1318="","",IFERROR(INDEX(반품접수!$E$3:$E$1002,MATCH($B1318,반품접수!$A$3:$A$1002,0)),"접수번호없음"))</f>
        <v/>
      </c>
      <c r="D1318" s="10"/>
      <c r="E1318" s="14"/>
      <c r="F1318" s="10"/>
      <c r="G1318" s="16"/>
      <c r="H1318" s="10"/>
    </row>
    <row r="1319" customFormat="false" ht="15" hidden="false" customHeight="true" outlineLevel="0" collapsed="false">
      <c r="A1319" s="13"/>
      <c r="B1319" s="10"/>
      <c r="C1319" s="12" t="str">
        <f aca="false">IF($B1319="","",IFERROR(INDEX(반품접수!$E$3:$E$1002,MATCH($B1319,반품접수!$A$3:$A$1002,0)),"접수번호없음"))</f>
        <v/>
      </c>
      <c r="D1319" s="10"/>
      <c r="E1319" s="14"/>
      <c r="F1319" s="10"/>
      <c r="G1319" s="16"/>
      <c r="H1319" s="10"/>
    </row>
    <row r="1320" customFormat="false" ht="15" hidden="false" customHeight="true" outlineLevel="0" collapsed="false">
      <c r="A1320" s="13"/>
      <c r="B1320" s="10"/>
      <c r="C1320" s="12" t="str">
        <f aca="false">IF($B1320="","",IFERROR(INDEX(반품접수!$E$3:$E$1002,MATCH($B1320,반품접수!$A$3:$A$1002,0)),"접수번호없음"))</f>
        <v/>
      </c>
      <c r="D1320" s="10"/>
      <c r="E1320" s="14"/>
      <c r="F1320" s="10"/>
      <c r="G1320" s="16"/>
      <c r="H1320" s="10"/>
    </row>
    <row r="1321" customFormat="false" ht="15" hidden="false" customHeight="true" outlineLevel="0" collapsed="false">
      <c r="A1321" s="13"/>
      <c r="B1321" s="10"/>
      <c r="C1321" s="12" t="str">
        <f aca="false">IF($B1321="","",IFERROR(INDEX(반품접수!$E$3:$E$1002,MATCH($B1321,반품접수!$A$3:$A$1002,0)),"접수번호없음"))</f>
        <v/>
      </c>
      <c r="D1321" s="10"/>
      <c r="E1321" s="14"/>
      <c r="F1321" s="10"/>
      <c r="G1321" s="16"/>
      <c r="H1321" s="10"/>
    </row>
    <row r="1322" customFormat="false" ht="15" hidden="false" customHeight="true" outlineLevel="0" collapsed="false">
      <c r="A1322" s="13"/>
      <c r="B1322" s="10"/>
      <c r="C1322" s="12" t="str">
        <f aca="false">IF($B1322="","",IFERROR(INDEX(반품접수!$E$3:$E$1002,MATCH($B1322,반품접수!$A$3:$A$1002,0)),"접수번호없음"))</f>
        <v/>
      </c>
      <c r="D1322" s="10"/>
      <c r="E1322" s="14"/>
      <c r="F1322" s="10"/>
      <c r="G1322" s="16"/>
      <c r="H1322" s="10"/>
    </row>
    <row r="1323" customFormat="false" ht="15" hidden="false" customHeight="true" outlineLevel="0" collapsed="false">
      <c r="A1323" s="13"/>
      <c r="B1323" s="10"/>
      <c r="C1323" s="12" t="str">
        <f aca="false">IF($B1323="","",IFERROR(INDEX(반품접수!$E$3:$E$1002,MATCH($B1323,반품접수!$A$3:$A$1002,0)),"접수번호없음"))</f>
        <v/>
      </c>
      <c r="D1323" s="10"/>
      <c r="E1323" s="14"/>
      <c r="F1323" s="10"/>
      <c r="G1323" s="16"/>
      <c r="H1323" s="10"/>
    </row>
    <row r="1324" customFormat="false" ht="15" hidden="false" customHeight="true" outlineLevel="0" collapsed="false">
      <c r="A1324" s="13"/>
      <c r="B1324" s="10"/>
      <c r="C1324" s="12" t="str">
        <f aca="false">IF($B1324="","",IFERROR(INDEX(반품접수!$E$3:$E$1002,MATCH($B1324,반품접수!$A$3:$A$1002,0)),"접수번호없음"))</f>
        <v/>
      </c>
      <c r="D1324" s="10"/>
      <c r="E1324" s="14"/>
      <c r="F1324" s="10"/>
      <c r="G1324" s="16"/>
      <c r="H1324" s="10"/>
    </row>
    <row r="1325" customFormat="false" ht="15" hidden="false" customHeight="true" outlineLevel="0" collapsed="false">
      <c r="A1325" s="13"/>
      <c r="B1325" s="10"/>
      <c r="C1325" s="12" t="str">
        <f aca="false">IF($B1325="","",IFERROR(INDEX(반품접수!$E$3:$E$1002,MATCH($B1325,반품접수!$A$3:$A$1002,0)),"접수번호없음"))</f>
        <v/>
      </c>
      <c r="D1325" s="10"/>
      <c r="E1325" s="14"/>
      <c r="F1325" s="10"/>
      <c r="G1325" s="16"/>
      <c r="H1325" s="10"/>
    </row>
    <row r="1326" customFormat="false" ht="15" hidden="false" customHeight="true" outlineLevel="0" collapsed="false">
      <c r="A1326" s="13"/>
      <c r="B1326" s="10"/>
      <c r="C1326" s="12" t="str">
        <f aca="false">IF($B1326="","",IFERROR(INDEX(반품접수!$E$3:$E$1002,MATCH($B1326,반품접수!$A$3:$A$1002,0)),"접수번호없음"))</f>
        <v/>
      </c>
      <c r="D1326" s="10"/>
      <c r="E1326" s="14"/>
      <c r="F1326" s="10"/>
      <c r="G1326" s="16"/>
      <c r="H1326" s="10"/>
    </row>
    <row r="1327" customFormat="false" ht="15" hidden="false" customHeight="true" outlineLevel="0" collapsed="false">
      <c r="A1327" s="13"/>
      <c r="B1327" s="10"/>
      <c r="C1327" s="12" t="str">
        <f aca="false">IF($B1327="","",IFERROR(INDEX(반품접수!$E$3:$E$1002,MATCH($B1327,반품접수!$A$3:$A$1002,0)),"접수번호없음"))</f>
        <v/>
      </c>
      <c r="D1327" s="10"/>
      <c r="E1327" s="14"/>
      <c r="F1327" s="10"/>
      <c r="G1327" s="16"/>
      <c r="H1327" s="10"/>
    </row>
    <row r="1328" customFormat="false" ht="15" hidden="false" customHeight="true" outlineLevel="0" collapsed="false">
      <c r="A1328" s="13"/>
      <c r="B1328" s="10"/>
      <c r="C1328" s="12" t="str">
        <f aca="false">IF($B1328="","",IFERROR(INDEX(반품접수!$E$3:$E$1002,MATCH($B1328,반품접수!$A$3:$A$1002,0)),"접수번호없음"))</f>
        <v/>
      </c>
      <c r="D1328" s="10"/>
      <c r="E1328" s="14"/>
      <c r="F1328" s="10"/>
      <c r="G1328" s="16"/>
      <c r="H1328" s="10"/>
    </row>
    <row r="1329" customFormat="false" ht="15" hidden="false" customHeight="true" outlineLevel="0" collapsed="false">
      <c r="A1329" s="13"/>
      <c r="B1329" s="10"/>
      <c r="C1329" s="12" t="str">
        <f aca="false">IF($B1329="","",IFERROR(INDEX(반품접수!$E$3:$E$1002,MATCH($B1329,반품접수!$A$3:$A$1002,0)),"접수번호없음"))</f>
        <v/>
      </c>
      <c r="D1329" s="10"/>
      <c r="E1329" s="14"/>
      <c r="F1329" s="10"/>
      <c r="G1329" s="16"/>
      <c r="H1329" s="10"/>
    </row>
    <row r="1330" customFormat="false" ht="15" hidden="false" customHeight="true" outlineLevel="0" collapsed="false">
      <c r="A1330" s="13"/>
      <c r="B1330" s="10"/>
      <c r="C1330" s="12" t="str">
        <f aca="false">IF($B1330="","",IFERROR(INDEX(반품접수!$E$3:$E$1002,MATCH($B1330,반품접수!$A$3:$A$1002,0)),"접수번호없음"))</f>
        <v/>
      </c>
      <c r="D1330" s="10"/>
      <c r="E1330" s="14"/>
      <c r="F1330" s="10"/>
      <c r="G1330" s="16"/>
      <c r="H1330" s="10"/>
    </row>
    <row r="1331" customFormat="false" ht="15" hidden="false" customHeight="true" outlineLevel="0" collapsed="false">
      <c r="A1331" s="13"/>
      <c r="B1331" s="10"/>
      <c r="C1331" s="12" t="str">
        <f aca="false">IF($B1331="","",IFERROR(INDEX(반품접수!$E$3:$E$1002,MATCH($B1331,반품접수!$A$3:$A$1002,0)),"접수번호없음"))</f>
        <v/>
      </c>
      <c r="D1331" s="10"/>
      <c r="E1331" s="14"/>
      <c r="F1331" s="10"/>
      <c r="G1331" s="16"/>
      <c r="H1331" s="10"/>
    </row>
    <row r="1332" customFormat="false" ht="15" hidden="false" customHeight="true" outlineLevel="0" collapsed="false">
      <c r="A1332" s="13"/>
      <c r="B1332" s="10"/>
      <c r="C1332" s="12" t="str">
        <f aca="false">IF($B1332="","",IFERROR(INDEX(반품접수!$E$3:$E$1002,MATCH($B1332,반품접수!$A$3:$A$1002,0)),"접수번호없음"))</f>
        <v/>
      </c>
      <c r="D1332" s="10"/>
      <c r="E1332" s="14"/>
      <c r="F1332" s="10"/>
      <c r="G1332" s="16"/>
      <c r="H1332" s="10"/>
    </row>
    <row r="1333" customFormat="false" ht="15" hidden="false" customHeight="true" outlineLevel="0" collapsed="false">
      <c r="A1333" s="13"/>
      <c r="B1333" s="10"/>
      <c r="C1333" s="12" t="str">
        <f aca="false">IF($B1333="","",IFERROR(INDEX(반품접수!$E$3:$E$1002,MATCH($B1333,반품접수!$A$3:$A$1002,0)),"접수번호없음"))</f>
        <v/>
      </c>
      <c r="D1333" s="10"/>
      <c r="E1333" s="14"/>
      <c r="F1333" s="10"/>
      <c r="G1333" s="16"/>
      <c r="H1333" s="10"/>
    </row>
    <row r="1334" customFormat="false" ht="15" hidden="false" customHeight="true" outlineLevel="0" collapsed="false">
      <c r="A1334" s="13"/>
      <c r="B1334" s="10"/>
      <c r="C1334" s="12" t="str">
        <f aca="false">IF($B1334="","",IFERROR(INDEX(반품접수!$E$3:$E$1002,MATCH($B1334,반품접수!$A$3:$A$1002,0)),"접수번호없음"))</f>
        <v/>
      </c>
      <c r="D1334" s="10"/>
      <c r="E1334" s="14"/>
      <c r="F1334" s="10"/>
      <c r="G1334" s="16"/>
      <c r="H1334" s="10"/>
    </row>
    <row r="1335" customFormat="false" ht="15" hidden="false" customHeight="true" outlineLevel="0" collapsed="false">
      <c r="A1335" s="13"/>
      <c r="B1335" s="10"/>
      <c r="C1335" s="12" t="str">
        <f aca="false">IF($B1335="","",IFERROR(INDEX(반품접수!$E$3:$E$1002,MATCH($B1335,반품접수!$A$3:$A$1002,0)),"접수번호없음"))</f>
        <v/>
      </c>
      <c r="D1335" s="10"/>
      <c r="E1335" s="14"/>
      <c r="F1335" s="10"/>
      <c r="G1335" s="16"/>
      <c r="H1335" s="10"/>
    </row>
    <row r="1336" customFormat="false" ht="15" hidden="false" customHeight="true" outlineLevel="0" collapsed="false">
      <c r="A1336" s="13"/>
      <c r="B1336" s="10"/>
      <c r="C1336" s="12" t="str">
        <f aca="false">IF($B1336="","",IFERROR(INDEX(반품접수!$E$3:$E$1002,MATCH($B1336,반품접수!$A$3:$A$1002,0)),"접수번호없음"))</f>
        <v/>
      </c>
      <c r="D1336" s="10"/>
      <c r="E1336" s="14"/>
      <c r="F1336" s="10"/>
      <c r="G1336" s="16"/>
      <c r="H1336" s="10"/>
    </row>
    <row r="1337" customFormat="false" ht="15" hidden="false" customHeight="true" outlineLevel="0" collapsed="false">
      <c r="A1337" s="13"/>
      <c r="B1337" s="10"/>
      <c r="C1337" s="12" t="str">
        <f aca="false">IF($B1337="","",IFERROR(INDEX(반품접수!$E$3:$E$1002,MATCH($B1337,반품접수!$A$3:$A$1002,0)),"접수번호없음"))</f>
        <v/>
      </c>
      <c r="D1337" s="10"/>
      <c r="E1337" s="14"/>
      <c r="F1337" s="10"/>
      <c r="G1337" s="16"/>
      <c r="H1337" s="10"/>
    </row>
    <row r="1338" customFormat="false" ht="15" hidden="false" customHeight="true" outlineLevel="0" collapsed="false">
      <c r="A1338" s="13"/>
      <c r="B1338" s="10"/>
      <c r="C1338" s="12" t="str">
        <f aca="false">IF($B1338="","",IFERROR(INDEX(반품접수!$E$3:$E$1002,MATCH($B1338,반품접수!$A$3:$A$1002,0)),"접수번호없음"))</f>
        <v/>
      </c>
      <c r="D1338" s="10"/>
      <c r="E1338" s="14"/>
      <c r="F1338" s="10"/>
      <c r="G1338" s="16"/>
      <c r="H1338" s="10"/>
    </row>
    <row r="1339" customFormat="false" ht="15" hidden="false" customHeight="true" outlineLevel="0" collapsed="false">
      <c r="A1339" s="13"/>
      <c r="B1339" s="10"/>
      <c r="C1339" s="12" t="str">
        <f aca="false">IF($B1339="","",IFERROR(INDEX(반품접수!$E$3:$E$1002,MATCH($B1339,반품접수!$A$3:$A$1002,0)),"접수번호없음"))</f>
        <v/>
      </c>
      <c r="D1339" s="10"/>
      <c r="E1339" s="14"/>
      <c r="F1339" s="10"/>
      <c r="G1339" s="16"/>
      <c r="H1339" s="10"/>
    </row>
    <row r="1340" customFormat="false" ht="15" hidden="false" customHeight="true" outlineLevel="0" collapsed="false">
      <c r="A1340" s="13"/>
      <c r="B1340" s="10"/>
      <c r="C1340" s="12" t="str">
        <f aca="false">IF($B1340="","",IFERROR(INDEX(반품접수!$E$3:$E$1002,MATCH($B1340,반품접수!$A$3:$A$1002,0)),"접수번호없음"))</f>
        <v/>
      </c>
      <c r="D1340" s="10"/>
      <c r="E1340" s="14"/>
      <c r="F1340" s="10"/>
      <c r="G1340" s="16"/>
      <c r="H1340" s="10"/>
    </row>
    <row r="1341" customFormat="false" ht="15" hidden="false" customHeight="true" outlineLevel="0" collapsed="false">
      <c r="A1341" s="13"/>
      <c r="B1341" s="10"/>
      <c r="C1341" s="12" t="str">
        <f aca="false">IF($B1341="","",IFERROR(INDEX(반품접수!$E$3:$E$1002,MATCH($B1341,반품접수!$A$3:$A$1002,0)),"접수번호없음"))</f>
        <v/>
      </c>
      <c r="D1341" s="10"/>
      <c r="E1341" s="14"/>
      <c r="F1341" s="10"/>
      <c r="G1341" s="16"/>
      <c r="H1341" s="10"/>
    </row>
    <row r="1342" customFormat="false" ht="15" hidden="false" customHeight="true" outlineLevel="0" collapsed="false">
      <c r="A1342" s="13"/>
      <c r="B1342" s="10"/>
      <c r="C1342" s="12" t="str">
        <f aca="false">IF($B1342="","",IFERROR(INDEX(반품접수!$E$3:$E$1002,MATCH($B1342,반품접수!$A$3:$A$1002,0)),"접수번호없음"))</f>
        <v/>
      </c>
      <c r="D1342" s="10"/>
      <c r="E1342" s="14"/>
      <c r="F1342" s="10"/>
      <c r="G1342" s="16"/>
      <c r="H1342" s="10"/>
    </row>
    <row r="1343" customFormat="false" ht="15" hidden="false" customHeight="true" outlineLevel="0" collapsed="false">
      <c r="A1343" s="13"/>
      <c r="B1343" s="10"/>
      <c r="C1343" s="12" t="str">
        <f aca="false">IF($B1343="","",IFERROR(INDEX(반품접수!$E$3:$E$1002,MATCH($B1343,반품접수!$A$3:$A$1002,0)),"접수번호없음"))</f>
        <v/>
      </c>
      <c r="D1343" s="10"/>
      <c r="E1343" s="14"/>
      <c r="F1343" s="10"/>
      <c r="G1343" s="16"/>
      <c r="H1343" s="10"/>
    </row>
    <row r="1344" customFormat="false" ht="15" hidden="false" customHeight="true" outlineLevel="0" collapsed="false">
      <c r="A1344" s="13"/>
      <c r="B1344" s="10"/>
      <c r="C1344" s="12" t="str">
        <f aca="false">IF($B1344="","",IFERROR(INDEX(반품접수!$E$3:$E$1002,MATCH($B1344,반품접수!$A$3:$A$1002,0)),"접수번호없음"))</f>
        <v/>
      </c>
      <c r="D1344" s="10"/>
      <c r="E1344" s="14"/>
      <c r="F1344" s="10"/>
      <c r="G1344" s="16"/>
      <c r="H1344" s="10"/>
    </row>
    <row r="1345" customFormat="false" ht="15" hidden="false" customHeight="true" outlineLevel="0" collapsed="false">
      <c r="A1345" s="13"/>
      <c r="B1345" s="10"/>
      <c r="C1345" s="12" t="str">
        <f aca="false">IF($B1345="","",IFERROR(INDEX(반품접수!$E$3:$E$1002,MATCH($B1345,반품접수!$A$3:$A$1002,0)),"접수번호없음"))</f>
        <v/>
      </c>
      <c r="D1345" s="10"/>
      <c r="E1345" s="14"/>
      <c r="F1345" s="10"/>
      <c r="G1345" s="16"/>
      <c r="H1345" s="10"/>
    </row>
    <row r="1346" customFormat="false" ht="15" hidden="false" customHeight="true" outlineLevel="0" collapsed="false">
      <c r="A1346" s="13"/>
      <c r="B1346" s="10"/>
      <c r="C1346" s="12" t="str">
        <f aca="false">IF($B1346="","",IFERROR(INDEX(반품접수!$E$3:$E$1002,MATCH($B1346,반품접수!$A$3:$A$1002,0)),"접수번호없음"))</f>
        <v/>
      </c>
      <c r="D1346" s="10"/>
      <c r="E1346" s="14"/>
      <c r="F1346" s="10"/>
      <c r="G1346" s="16"/>
      <c r="H1346" s="10"/>
    </row>
    <row r="1347" customFormat="false" ht="15" hidden="false" customHeight="true" outlineLevel="0" collapsed="false">
      <c r="A1347" s="13"/>
      <c r="B1347" s="10"/>
      <c r="C1347" s="12" t="str">
        <f aca="false">IF($B1347="","",IFERROR(INDEX(반품접수!$E$3:$E$1002,MATCH($B1347,반품접수!$A$3:$A$1002,0)),"접수번호없음"))</f>
        <v/>
      </c>
      <c r="D1347" s="10"/>
      <c r="E1347" s="14"/>
      <c r="F1347" s="10"/>
      <c r="G1347" s="16"/>
      <c r="H1347" s="10"/>
    </row>
    <row r="1348" customFormat="false" ht="15" hidden="false" customHeight="true" outlineLevel="0" collapsed="false">
      <c r="A1348" s="13"/>
      <c r="B1348" s="10"/>
      <c r="C1348" s="12" t="str">
        <f aca="false">IF($B1348="","",IFERROR(INDEX(반품접수!$E$3:$E$1002,MATCH($B1348,반품접수!$A$3:$A$1002,0)),"접수번호없음"))</f>
        <v/>
      </c>
      <c r="D1348" s="10"/>
      <c r="E1348" s="14"/>
      <c r="F1348" s="10"/>
      <c r="G1348" s="16"/>
      <c r="H1348" s="10"/>
    </row>
    <row r="1349" customFormat="false" ht="15" hidden="false" customHeight="true" outlineLevel="0" collapsed="false">
      <c r="A1349" s="13"/>
      <c r="B1349" s="10"/>
      <c r="C1349" s="12" t="str">
        <f aca="false">IF($B1349="","",IFERROR(INDEX(반품접수!$E$3:$E$1002,MATCH($B1349,반품접수!$A$3:$A$1002,0)),"접수번호없음"))</f>
        <v/>
      </c>
      <c r="D1349" s="10"/>
      <c r="E1349" s="14"/>
      <c r="F1349" s="10"/>
      <c r="G1349" s="16"/>
      <c r="H1349" s="10"/>
    </row>
    <row r="1350" customFormat="false" ht="15" hidden="false" customHeight="true" outlineLevel="0" collapsed="false">
      <c r="A1350" s="13"/>
      <c r="B1350" s="10"/>
      <c r="C1350" s="12" t="str">
        <f aca="false">IF($B1350="","",IFERROR(INDEX(반품접수!$E$3:$E$1002,MATCH($B1350,반품접수!$A$3:$A$1002,0)),"접수번호없음"))</f>
        <v/>
      </c>
      <c r="D1350" s="10"/>
      <c r="E1350" s="14"/>
      <c r="F1350" s="10"/>
      <c r="G1350" s="16"/>
      <c r="H1350" s="10"/>
    </row>
    <row r="1351" customFormat="false" ht="15" hidden="false" customHeight="true" outlineLevel="0" collapsed="false">
      <c r="A1351" s="13"/>
      <c r="B1351" s="10"/>
      <c r="C1351" s="12" t="str">
        <f aca="false">IF($B1351="","",IFERROR(INDEX(반품접수!$E$3:$E$1002,MATCH($B1351,반품접수!$A$3:$A$1002,0)),"접수번호없음"))</f>
        <v/>
      </c>
      <c r="D1351" s="10"/>
      <c r="E1351" s="14"/>
      <c r="F1351" s="10"/>
      <c r="G1351" s="16"/>
      <c r="H1351" s="10"/>
    </row>
    <row r="1352" customFormat="false" ht="15" hidden="false" customHeight="true" outlineLevel="0" collapsed="false">
      <c r="A1352" s="13"/>
      <c r="B1352" s="10"/>
      <c r="C1352" s="12" t="str">
        <f aca="false">IF($B1352="","",IFERROR(INDEX(반품접수!$E$3:$E$1002,MATCH($B1352,반품접수!$A$3:$A$1002,0)),"접수번호없음"))</f>
        <v/>
      </c>
      <c r="D1352" s="10"/>
      <c r="E1352" s="14"/>
      <c r="F1352" s="10"/>
      <c r="G1352" s="16"/>
      <c r="H1352" s="10"/>
    </row>
    <row r="1353" customFormat="false" ht="15" hidden="false" customHeight="true" outlineLevel="0" collapsed="false">
      <c r="A1353" s="13"/>
      <c r="B1353" s="10"/>
      <c r="C1353" s="12" t="str">
        <f aca="false">IF($B1353="","",IFERROR(INDEX(반품접수!$E$3:$E$1002,MATCH($B1353,반품접수!$A$3:$A$1002,0)),"접수번호없음"))</f>
        <v/>
      </c>
      <c r="D1353" s="10"/>
      <c r="E1353" s="14"/>
      <c r="F1353" s="10"/>
      <c r="G1353" s="16"/>
      <c r="H1353" s="10"/>
    </row>
    <row r="1354" customFormat="false" ht="15" hidden="false" customHeight="true" outlineLevel="0" collapsed="false">
      <c r="A1354" s="13"/>
      <c r="B1354" s="10"/>
      <c r="C1354" s="12" t="str">
        <f aca="false">IF($B1354="","",IFERROR(INDEX(반품접수!$E$3:$E$1002,MATCH($B1354,반품접수!$A$3:$A$1002,0)),"접수번호없음"))</f>
        <v/>
      </c>
      <c r="D1354" s="10"/>
      <c r="E1354" s="14"/>
      <c r="F1354" s="10"/>
      <c r="G1354" s="16"/>
      <c r="H1354" s="10"/>
    </row>
    <row r="1355" customFormat="false" ht="15" hidden="false" customHeight="true" outlineLevel="0" collapsed="false">
      <c r="A1355" s="13"/>
      <c r="B1355" s="10"/>
      <c r="C1355" s="12" t="str">
        <f aca="false">IF($B1355="","",IFERROR(INDEX(반품접수!$E$3:$E$1002,MATCH($B1355,반품접수!$A$3:$A$1002,0)),"접수번호없음"))</f>
        <v/>
      </c>
      <c r="D1355" s="10"/>
      <c r="E1355" s="14"/>
      <c r="F1355" s="10"/>
      <c r="G1355" s="16"/>
      <c r="H1355" s="10"/>
    </row>
    <row r="1356" customFormat="false" ht="15" hidden="false" customHeight="true" outlineLevel="0" collapsed="false">
      <c r="A1356" s="13"/>
      <c r="B1356" s="10"/>
      <c r="C1356" s="12" t="str">
        <f aca="false">IF($B1356="","",IFERROR(INDEX(반품접수!$E$3:$E$1002,MATCH($B1356,반품접수!$A$3:$A$1002,0)),"접수번호없음"))</f>
        <v/>
      </c>
      <c r="D1356" s="10"/>
      <c r="E1356" s="14"/>
      <c r="F1356" s="10"/>
      <c r="G1356" s="16"/>
      <c r="H1356" s="10"/>
    </row>
    <row r="1357" customFormat="false" ht="15" hidden="false" customHeight="true" outlineLevel="0" collapsed="false">
      <c r="A1357" s="13"/>
      <c r="B1357" s="10"/>
      <c r="C1357" s="12" t="str">
        <f aca="false">IF($B1357="","",IFERROR(INDEX(반품접수!$E$3:$E$1002,MATCH($B1357,반품접수!$A$3:$A$1002,0)),"접수번호없음"))</f>
        <v/>
      </c>
      <c r="D1357" s="10"/>
      <c r="E1357" s="14"/>
      <c r="F1357" s="10"/>
      <c r="G1357" s="16"/>
      <c r="H1357" s="10"/>
    </row>
    <row r="1358" customFormat="false" ht="15" hidden="false" customHeight="true" outlineLevel="0" collapsed="false">
      <c r="A1358" s="13"/>
      <c r="B1358" s="10"/>
      <c r="C1358" s="12" t="str">
        <f aca="false">IF($B1358="","",IFERROR(INDEX(반품접수!$E$3:$E$1002,MATCH($B1358,반품접수!$A$3:$A$1002,0)),"접수번호없음"))</f>
        <v/>
      </c>
      <c r="D1358" s="10"/>
      <c r="E1358" s="14"/>
      <c r="F1358" s="10"/>
      <c r="G1358" s="16"/>
      <c r="H1358" s="10"/>
    </row>
    <row r="1359" customFormat="false" ht="15" hidden="false" customHeight="true" outlineLevel="0" collapsed="false">
      <c r="A1359" s="13"/>
      <c r="B1359" s="10"/>
      <c r="C1359" s="12" t="str">
        <f aca="false">IF($B1359="","",IFERROR(INDEX(반품접수!$E$3:$E$1002,MATCH($B1359,반품접수!$A$3:$A$1002,0)),"접수번호없음"))</f>
        <v/>
      </c>
      <c r="D1359" s="10"/>
      <c r="E1359" s="14"/>
      <c r="F1359" s="10"/>
      <c r="G1359" s="16"/>
      <c r="H1359" s="10"/>
    </row>
    <row r="1360" customFormat="false" ht="15" hidden="false" customHeight="true" outlineLevel="0" collapsed="false">
      <c r="A1360" s="13"/>
      <c r="B1360" s="10"/>
      <c r="C1360" s="12" t="str">
        <f aca="false">IF($B1360="","",IFERROR(INDEX(반품접수!$E$3:$E$1002,MATCH($B1360,반품접수!$A$3:$A$1002,0)),"접수번호없음"))</f>
        <v/>
      </c>
      <c r="D1360" s="10"/>
      <c r="E1360" s="14"/>
      <c r="F1360" s="10"/>
      <c r="G1360" s="16"/>
      <c r="H1360" s="10"/>
    </row>
    <row r="1361" customFormat="false" ht="15" hidden="false" customHeight="true" outlineLevel="0" collapsed="false">
      <c r="A1361" s="13"/>
      <c r="B1361" s="10"/>
      <c r="C1361" s="12" t="str">
        <f aca="false">IF($B1361="","",IFERROR(INDEX(반품접수!$E$3:$E$1002,MATCH($B1361,반품접수!$A$3:$A$1002,0)),"접수번호없음"))</f>
        <v/>
      </c>
      <c r="D1361" s="10"/>
      <c r="E1361" s="14"/>
      <c r="F1361" s="10"/>
      <c r="G1361" s="16"/>
      <c r="H1361" s="10"/>
    </row>
    <row r="1362" customFormat="false" ht="15" hidden="false" customHeight="true" outlineLevel="0" collapsed="false">
      <c r="A1362" s="13"/>
      <c r="B1362" s="10"/>
      <c r="C1362" s="12" t="str">
        <f aca="false">IF($B1362="","",IFERROR(INDEX(반품접수!$E$3:$E$1002,MATCH($B1362,반품접수!$A$3:$A$1002,0)),"접수번호없음"))</f>
        <v/>
      </c>
      <c r="D1362" s="10"/>
      <c r="E1362" s="14"/>
      <c r="F1362" s="10"/>
      <c r="G1362" s="16"/>
      <c r="H1362" s="10"/>
    </row>
    <row r="1363" customFormat="false" ht="15" hidden="false" customHeight="true" outlineLevel="0" collapsed="false">
      <c r="A1363" s="13"/>
      <c r="B1363" s="10"/>
      <c r="C1363" s="12" t="str">
        <f aca="false">IF($B1363="","",IFERROR(INDEX(반품접수!$E$3:$E$1002,MATCH($B1363,반품접수!$A$3:$A$1002,0)),"접수번호없음"))</f>
        <v/>
      </c>
      <c r="D1363" s="10"/>
      <c r="E1363" s="14"/>
      <c r="F1363" s="10"/>
      <c r="G1363" s="16"/>
      <c r="H1363" s="10"/>
    </row>
    <row r="1364" customFormat="false" ht="15" hidden="false" customHeight="true" outlineLevel="0" collapsed="false">
      <c r="A1364" s="13"/>
      <c r="B1364" s="10"/>
      <c r="C1364" s="12" t="str">
        <f aca="false">IF($B1364="","",IFERROR(INDEX(반품접수!$E$3:$E$1002,MATCH($B1364,반품접수!$A$3:$A$1002,0)),"접수번호없음"))</f>
        <v/>
      </c>
      <c r="D1364" s="10"/>
      <c r="E1364" s="14"/>
      <c r="F1364" s="10"/>
      <c r="G1364" s="16"/>
      <c r="H1364" s="10"/>
    </row>
    <row r="1365" customFormat="false" ht="15" hidden="false" customHeight="true" outlineLevel="0" collapsed="false">
      <c r="A1365" s="13"/>
      <c r="B1365" s="10"/>
      <c r="C1365" s="12" t="str">
        <f aca="false">IF($B1365="","",IFERROR(INDEX(반품접수!$E$3:$E$1002,MATCH($B1365,반품접수!$A$3:$A$1002,0)),"접수번호없음"))</f>
        <v/>
      </c>
      <c r="D1365" s="10"/>
      <c r="E1365" s="14"/>
      <c r="F1365" s="10"/>
      <c r="G1365" s="16"/>
      <c r="H1365" s="10"/>
    </row>
    <row r="1366" customFormat="false" ht="15" hidden="false" customHeight="true" outlineLevel="0" collapsed="false">
      <c r="A1366" s="13"/>
      <c r="B1366" s="10"/>
      <c r="C1366" s="12" t="str">
        <f aca="false">IF($B1366="","",IFERROR(INDEX(반품접수!$E$3:$E$1002,MATCH($B1366,반품접수!$A$3:$A$1002,0)),"접수번호없음"))</f>
        <v/>
      </c>
      <c r="D1366" s="10"/>
      <c r="E1366" s="14"/>
      <c r="F1366" s="10"/>
      <c r="G1366" s="16"/>
      <c r="H1366" s="10"/>
    </row>
    <row r="1367" customFormat="false" ht="15" hidden="false" customHeight="true" outlineLevel="0" collapsed="false">
      <c r="A1367" s="13"/>
      <c r="B1367" s="10"/>
      <c r="C1367" s="12" t="str">
        <f aca="false">IF($B1367="","",IFERROR(INDEX(반품접수!$E$3:$E$1002,MATCH($B1367,반품접수!$A$3:$A$1002,0)),"접수번호없음"))</f>
        <v/>
      </c>
      <c r="D1367" s="10"/>
      <c r="E1367" s="14"/>
      <c r="F1367" s="10"/>
      <c r="G1367" s="16"/>
      <c r="H1367" s="10"/>
    </row>
    <row r="1368" customFormat="false" ht="15" hidden="false" customHeight="true" outlineLevel="0" collapsed="false">
      <c r="A1368" s="13"/>
      <c r="B1368" s="10"/>
      <c r="C1368" s="12" t="str">
        <f aca="false">IF($B1368="","",IFERROR(INDEX(반품접수!$E$3:$E$1002,MATCH($B1368,반품접수!$A$3:$A$1002,0)),"접수번호없음"))</f>
        <v/>
      </c>
      <c r="D1368" s="10"/>
      <c r="E1368" s="14"/>
      <c r="F1368" s="10"/>
      <c r="G1368" s="16"/>
      <c r="H1368" s="10"/>
    </row>
    <row r="1369" customFormat="false" ht="15" hidden="false" customHeight="true" outlineLevel="0" collapsed="false">
      <c r="A1369" s="13"/>
      <c r="B1369" s="10"/>
      <c r="C1369" s="12" t="str">
        <f aca="false">IF($B1369="","",IFERROR(INDEX(반품접수!$E$3:$E$1002,MATCH($B1369,반품접수!$A$3:$A$1002,0)),"접수번호없음"))</f>
        <v/>
      </c>
      <c r="D1369" s="10"/>
      <c r="E1369" s="14"/>
      <c r="F1369" s="10"/>
      <c r="G1369" s="16"/>
      <c r="H1369" s="10"/>
    </row>
    <row r="1370" customFormat="false" ht="15" hidden="false" customHeight="true" outlineLevel="0" collapsed="false">
      <c r="A1370" s="13"/>
      <c r="B1370" s="10"/>
      <c r="C1370" s="12" t="str">
        <f aca="false">IF($B1370="","",IFERROR(INDEX(반품접수!$E$3:$E$1002,MATCH($B1370,반품접수!$A$3:$A$1002,0)),"접수번호없음"))</f>
        <v/>
      </c>
      <c r="D1370" s="10"/>
      <c r="E1370" s="14"/>
      <c r="F1370" s="10"/>
      <c r="G1370" s="16"/>
      <c r="H1370" s="10"/>
    </row>
    <row r="1371" customFormat="false" ht="15" hidden="false" customHeight="true" outlineLevel="0" collapsed="false">
      <c r="A1371" s="13"/>
      <c r="B1371" s="10"/>
      <c r="C1371" s="12" t="str">
        <f aca="false">IF($B1371="","",IFERROR(INDEX(반품접수!$E$3:$E$1002,MATCH($B1371,반품접수!$A$3:$A$1002,0)),"접수번호없음"))</f>
        <v/>
      </c>
      <c r="D1371" s="10"/>
      <c r="E1371" s="14"/>
      <c r="F1371" s="10"/>
      <c r="G1371" s="16"/>
      <c r="H1371" s="10"/>
    </row>
    <row r="1372" customFormat="false" ht="15" hidden="false" customHeight="true" outlineLevel="0" collapsed="false">
      <c r="A1372" s="13"/>
      <c r="B1372" s="10"/>
      <c r="C1372" s="12" t="str">
        <f aca="false">IF($B1372="","",IFERROR(INDEX(반품접수!$E$3:$E$1002,MATCH($B1372,반품접수!$A$3:$A$1002,0)),"접수번호없음"))</f>
        <v/>
      </c>
      <c r="D1372" s="10"/>
      <c r="E1372" s="14"/>
      <c r="F1372" s="10"/>
      <c r="G1372" s="16"/>
      <c r="H1372" s="10"/>
    </row>
    <row r="1373" customFormat="false" ht="15" hidden="false" customHeight="true" outlineLevel="0" collapsed="false">
      <c r="A1373" s="13"/>
      <c r="B1373" s="10"/>
      <c r="C1373" s="12" t="str">
        <f aca="false">IF($B1373="","",IFERROR(INDEX(반품접수!$E$3:$E$1002,MATCH($B1373,반품접수!$A$3:$A$1002,0)),"접수번호없음"))</f>
        <v/>
      </c>
      <c r="D1373" s="10"/>
      <c r="E1373" s="14"/>
      <c r="F1373" s="10"/>
      <c r="G1373" s="16"/>
      <c r="H1373" s="10"/>
    </row>
    <row r="1374" customFormat="false" ht="15" hidden="false" customHeight="true" outlineLevel="0" collapsed="false">
      <c r="A1374" s="13"/>
      <c r="B1374" s="10"/>
      <c r="C1374" s="12" t="str">
        <f aca="false">IF($B1374="","",IFERROR(INDEX(반품접수!$E$3:$E$1002,MATCH($B1374,반품접수!$A$3:$A$1002,0)),"접수번호없음"))</f>
        <v/>
      </c>
      <c r="D1374" s="10"/>
      <c r="E1374" s="14"/>
      <c r="F1374" s="10"/>
      <c r="G1374" s="16"/>
      <c r="H1374" s="10"/>
    </row>
    <row r="1375" customFormat="false" ht="15" hidden="false" customHeight="true" outlineLevel="0" collapsed="false">
      <c r="A1375" s="13"/>
      <c r="B1375" s="10"/>
      <c r="C1375" s="12" t="str">
        <f aca="false">IF($B1375="","",IFERROR(INDEX(반품접수!$E$3:$E$1002,MATCH($B1375,반품접수!$A$3:$A$1002,0)),"접수번호없음"))</f>
        <v/>
      </c>
      <c r="D1375" s="10"/>
      <c r="E1375" s="14"/>
      <c r="F1375" s="10"/>
      <c r="G1375" s="16"/>
      <c r="H1375" s="10"/>
    </row>
    <row r="1376" customFormat="false" ht="15" hidden="false" customHeight="true" outlineLevel="0" collapsed="false">
      <c r="A1376" s="13"/>
      <c r="B1376" s="10"/>
      <c r="C1376" s="12" t="str">
        <f aca="false">IF($B1376="","",IFERROR(INDEX(반품접수!$E$3:$E$1002,MATCH($B1376,반품접수!$A$3:$A$1002,0)),"접수번호없음"))</f>
        <v/>
      </c>
      <c r="D1376" s="10"/>
      <c r="E1376" s="14"/>
      <c r="F1376" s="10"/>
      <c r="G1376" s="16"/>
      <c r="H1376" s="10"/>
    </row>
    <row r="1377" customFormat="false" ht="15" hidden="false" customHeight="true" outlineLevel="0" collapsed="false">
      <c r="A1377" s="13"/>
      <c r="B1377" s="10"/>
      <c r="C1377" s="12" t="str">
        <f aca="false">IF($B1377="","",IFERROR(INDEX(반품접수!$E$3:$E$1002,MATCH($B1377,반품접수!$A$3:$A$1002,0)),"접수번호없음"))</f>
        <v/>
      </c>
      <c r="D1377" s="10"/>
      <c r="E1377" s="14"/>
      <c r="F1377" s="10"/>
      <c r="G1377" s="16"/>
      <c r="H1377" s="10"/>
    </row>
    <row r="1378" customFormat="false" ht="15" hidden="false" customHeight="true" outlineLevel="0" collapsed="false">
      <c r="A1378" s="13"/>
      <c r="B1378" s="10"/>
      <c r="C1378" s="12" t="str">
        <f aca="false">IF($B1378="","",IFERROR(INDEX(반품접수!$E$3:$E$1002,MATCH($B1378,반품접수!$A$3:$A$1002,0)),"접수번호없음"))</f>
        <v/>
      </c>
      <c r="D1378" s="10"/>
      <c r="E1378" s="14"/>
      <c r="F1378" s="10"/>
      <c r="G1378" s="16"/>
      <c r="H1378" s="10"/>
    </row>
    <row r="1379" customFormat="false" ht="15" hidden="false" customHeight="true" outlineLevel="0" collapsed="false">
      <c r="A1379" s="13"/>
      <c r="B1379" s="10"/>
      <c r="C1379" s="12" t="str">
        <f aca="false">IF($B1379="","",IFERROR(INDEX(반품접수!$E$3:$E$1002,MATCH($B1379,반품접수!$A$3:$A$1002,0)),"접수번호없음"))</f>
        <v/>
      </c>
      <c r="D1379" s="10"/>
      <c r="E1379" s="14"/>
      <c r="F1379" s="10"/>
      <c r="G1379" s="16"/>
      <c r="H1379" s="10"/>
    </row>
    <row r="1380" customFormat="false" ht="15" hidden="false" customHeight="true" outlineLevel="0" collapsed="false">
      <c r="A1380" s="13"/>
      <c r="B1380" s="10"/>
      <c r="C1380" s="12" t="str">
        <f aca="false">IF($B1380="","",IFERROR(INDEX(반품접수!$E$3:$E$1002,MATCH($B1380,반품접수!$A$3:$A$1002,0)),"접수번호없음"))</f>
        <v/>
      </c>
      <c r="D1380" s="10"/>
      <c r="E1380" s="14"/>
      <c r="F1380" s="10"/>
      <c r="G1380" s="16"/>
      <c r="H1380" s="10"/>
    </row>
    <row r="1381" customFormat="false" ht="15" hidden="false" customHeight="true" outlineLevel="0" collapsed="false">
      <c r="A1381" s="13"/>
      <c r="B1381" s="10"/>
      <c r="C1381" s="12" t="str">
        <f aca="false">IF($B1381="","",IFERROR(INDEX(반품접수!$E$3:$E$1002,MATCH($B1381,반품접수!$A$3:$A$1002,0)),"접수번호없음"))</f>
        <v/>
      </c>
      <c r="D1381" s="10"/>
      <c r="E1381" s="14"/>
      <c r="F1381" s="10"/>
      <c r="G1381" s="16"/>
      <c r="H1381" s="10"/>
    </row>
    <row r="1382" customFormat="false" ht="15" hidden="false" customHeight="true" outlineLevel="0" collapsed="false">
      <c r="A1382" s="13"/>
      <c r="B1382" s="10"/>
      <c r="C1382" s="12" t="str">
        <f aca="false">IF($B1382="","",IFERROR(INDEX(반품접수!$E$3:$E$1002,MATCH($B1382,반품접수!$A$3:$A$1002,0)),"접수번호없음"))</f>
        <v/>
      </c>
      <c r="D1382" s="10"/>
      <c r="E1382" s="14"/>
      <c r="F1382" s="10"/>
      <c r="G1382" s="16"/>
      <c r="H1382" s="10"/>
    </row>
    <row r="1383" customFormat="false" ht="15" hidden="false" customHeight="true" outlineLevel="0" collapsed="false">
      <c r="A1383" s="13"/>
      <c r="B1383" s="10"/>
      <c r="C1383" s="12" t="str">
        <f aca="false">IF($B1383="","",IFERROR(INDEX(반품접수!$E$3:$E$1002,MATCH($B1383,반품접수!$A$3:$A$1002,0)),"접수번호없음"))</f>
        <v/>
      </c>
      <c r="D1383" s="10"/>
      <c r="E1383" s="14"/>
      <c r="F1383" s="10"/>
      <c r="G1383" s="16"/>
      <c r="H1383" s="10"/>
    </row>
    <row r="1384" customFormat="false" ht="15" hidden="false" customHeight="true" outlineLevel="0" collapsed="false">
      <c r="A1384" s="13"/>
      <c r="B1384" s="10"/>
      <c r="C1384" s="12" t="str">
        <f aca="false">IF($B1384="","",IFERROR(INDEX(반품접수!$E$3:$E$1002,MATCH($B1384,반품접수!$A$3:$A$1002,0)),"접수번호없음"))</f>
        <v/>
      </c>
      <c r="D1384" s="10"/>
      <c r="E1384" s="14"/>
      <c r="F1384" s="10"/>
      <c r="G1384" s="16"/>
      <c r="H1384" s="10"/>
    </row>
    <row r="1385" customFormat="false" ht="15" hidden="false" customHeight="true" outlineLevel="0" collapsed="false">
      <c r="A1385" s="13"/>
      <c r="B1385" s="10"/>
      <c r="C1385" s="12" t="str">
        <f aca="false">IF($B1385="","",IFERROR(INDEX(반품접수!$E$3:$E$1002,MATCH($B1385,반품접수!$A$3:$A$1002,0)),"접수번호없음"))</f>
        <v/>
      </c>
      <c r="D1385" s="10"/>
      <c r="E1385" s="14"/>
      <c r="F1385" s="10"/>
      <c r="G1385" s="16"/>
      <c r="H1385" s="10"/>
    </row>
    <row r="1386" customFormat="false" ht="15" hidden="false" customHeight="true" outlineLevel="0" collapsed="false">
      <c r="A1386" s="13"/>
      <c r="B1386" s="10"/>
      <c r="C1386" s="12" t="str">
        <f aca="false">IF($B1386="","",IFERROR(INDEX(반품접수!$E$3:$E$1002,MATCH($B1386,반품접수!$A$3:$A$1002,0)),"접수번호없음"))</f>
        <v/>
      </c>
      <c r="D1386" s="10"/>
      <c r="E1386" s="14"/>
      <c r="F1386" s="10"/>
      <c r="G1386" s="16"/>
      <c r="H1386" s="10"/>
    </row>
    <row r="1387" customFormat="false" ht="15" hidden="false" customHeight="true" outlineLevel="0" collapsed="false">
      <c r="A1387" s="13"/>
      <c r="B1387" s="10"/>
      <c r="C1387" s="12" t="str">
        <f aca="false">IF($B1387="","",IFERROR(INDEX(반품접수!$E$3:$E$1002,MATCH($B1387,반품접수!$A$3:$A$1002,0)),"접수번호없음"))</f>
        <v/>
      </c>
      <c r="D1387" s="10"/>
      <c r="E1387" s="14"/>
      <c r="F1387" s="10"/>
      <c r="G1387" s="16"/>
      <c r="H1387" s="10"/>
    </row>
    <row r="1388" customFormat="false" ht="15" hidden="false" customHeight="true" outlineLevel="0" collapsed="false">
      <c r="A1388" s="13"/>
      <c r="B1388" s="10"/>
      <c r="C1388" s="12" t="str">
        <f aca="false">IF($B1388="","",IFERROR(INDEX(반품접수!$E$3:$E$1002,MATCH($B1388,반품접수!$A$3:$A$1002,0)),"접수번호없음"))</f>
        <v/>
      </c>
      <c r="D1388" s="10"/>
      <c r="E1388" s="14"/>
      <c r="F1388" s="10"/>
      <c r="G1388" s="16"/>
      <c r="H1388" s="10"/>
    </row>
    <row r="1389" customFormat="false" ht="15" hidden="false" customHeight="true" outlineLevel="0" collapsed="false">
      <c r="A1389" s="13"/>
      <c r="B1389" s="10"/>
      <c r="C1389" s="12" t="str">
        <f aca="false">IF($B1389="","",IFERROR(INDEX(반품접수!$E$3:$E$1002,MATCH($B1389,반품접수!$A$3:$A$1002,0)),"접수번호없음"))</f>
        <v/>
      </c>
      <c r="D1389" s="10"/>
      <c r="E1389" s="14"/>
      <c r="F1389" s="10"/>
      <c r="G1389" s="16"/>
      <c r="H1389" s="10"/>
    </row>
    <row r="1390" customFormat="false" ht="15" hidden="false" customHeight="true" outlineLevel="0" collapsed="false">
      <c r="A1390" s="13"/>
      <c r="B1390" s="10"/>
      <c r="C1390" s="12" t="str">
        <f aca="false">IF($B1390="","",IFERROR(INDEX(반품접수!$E$3:$E$1002,MATCH($B1390,반품접수!$A$3:$A$1002,0)),"접수번호없음"))</f>
        <v/>
      </c>
      <c r="D1390" s="10"/>
      <c r="E1390" s="14"/>
      <c r="F1390" s="10"/>
      <c r="G1390" s="16"/>
      <c r="H1390" s="10"/>
    </row>
    <row r="1391" customFormat="false" ht="15" hidden="false" customHeight="true" outlineLevel="0" collapsed="false">
      <c r="A1391" s="13"/>
      <c r="B1391" s="10"/>
      <c r="C1391" s="12" t="str">
        <f aca="false">IF($B1391="","",IFERROR(INDEX(반품접수!$E$3:$E$1002,MATCH($B1391,반품접수!$A$3:$A$1002,0)),"접수번호없음"))</f>
        <v/>
      </c>
      <c r="D1391" s="10"/>
      <c r="E1391" s="14"/>
      <c r="F1391" s="10"/>
      <c r="G1391" s="16"/>
      <c r="H1391" s="10"/>
    </row>
    <row r="1392" customFormat="false" ht="15" hidden="false" customHeight="true" outlineLevel="0" collapsed="false">
      <c r="A1392" s="13"/>
      <c r="B1392" s="10"/>
      <c r="C1392" s="12" t="str">
        <f aca="false">IF($B1392="","",IFERROR(INDEX(반품접수!$E$3:$E$1002,MATCH($B1392,반품접수!$A$3:$A$1002,0)),"접수번호없음"))</f>
        <v/>
      </c>
      <c r="D1392" s="10"/>
      <c r="E1392" s="14"/>
      <c r="F1392" s="10"/>
      <c r="G1392" s="16"/>
      <c r="H1392" s="10"/>
    </row>
    <row r="1393" customFormat="false" ht="15" hidden="false" customHeight="true" outlineLevel="0" collapsed="false">
      <c r="A1393" s="13"/>
      <c r="B1393" s="10"/>
      <c r="C1393" s="12" t="str">
        <f aca="false">IF($B1393="","",IFERROR(INDEX(반품접수!$E$3:$E$1002,MATCH($B1393,반품접수!$A$3:$A$1002,0)),"접수번호없음"))</f>
        <v/>
      </c>
      <c r="D1393" s="10"/>
      <c r="E1393" s="14"/>
      <c r="F1393" s="10"/>
      <c r="G1393" s="16"/>
      <c r="H1393" s="10"/>
    </row>
    <row r="1394" customFormat="false" ht="15" hidden="false" customHeight="true" outlineLevel="0" collapsed="false">
      <c r="A1394" s="13"/>
      <c r="B1394" s="10"/>
      <c r="C1394" s="12" t="str">
        <f aca="false">IF($B1394="","",IFERROR(INDEX(반품접수!$E$3:$E$1002,MATCH($B1394,반품접수!$A$3:$A$1002,0)),"접수번호없음"))</f>
        <v/>
      </c>
      <c r="D1394" s="10"/>
      <c r="E1394" s="14"/>
      <c r="F1394" s="10"/>
      <c r="G1394" s="16"/>
      <c r="H1394" s="10"/>
    </row>
    <row r="1395" customFormat="false" ht="15" hidden="false" customHeight="true" outlineLevel="0" collapsed="false">
      <c r="A1395" s="13"/>
      <c r="B1395" s="10"/>
      <c r="C1395" s="12" t="str">
        <f aca="false">IF($B1395="","",IFERROR(INDEX(반품접수!$E$3:$E$1002,MATCH($B1395,반품접수!$A$3:$A$1002,0)),"접수번호없음"))</f>
        <v/>
      </c>
      <c r="D1395" s="10"/>
      <c r="E1395" s="14"/>
      <c r="F1395" s="10"/>
      <c r="G1395" s="16"/>
      <c r="H1395" s="10"/>
    </row>
    <row r="1396" customFormat="false" ht="15" hidden="false" customHeight="true" outlineLevel="0" collapsed="false">
      <c r="A1396" s="13"/>
      <c r="B1396" s="10"/>
      <c r="C1396" s="12" t="str">
        <f aca="false">IF($B1396="","",IFERROR(INDEX(반품접수!$E$3:$E$1002,MATCH($B1396,반품접수!$A$3:$A$1002,0)),"접수번호없음"))</f>
        <v/>
      </c>
      <c r="D1396" s="10"/>
      <c r="E1396" s="14"/>
      <c r="F1396" s="10"/>
      <c r="G1396" s="16"/>
      <c r="H1396" s="10"/>
    </row>
    <row r="1397" customFormat="false" ht="15" hidden="false" customHeight="true" outlineLevel="0" collapsed="false">
      <c r="A1397" s="13"/>
      <c r="B1397" s="10"/>
      <c r="C1397" s="12" t="str">
        <f aca="false">IF($B1397="","",IFERROR(INDEX(반품접수!$E$3:$E$1002,MATCH($B1397,반품접수!$A$3:$A$1002,0)),"접수번호없음"))</f>
        <v/>
      </c>
      <c r="D1397" s="10"/>
      <c r="E1397" s="14"/>
      <c r="F1397" s="10"/>
      <c r="G1397" s="16"/>
      <c r="H1397" s="10"/>
    </row>
    <row r="1398" customFormat="false" ht="15" hidden="false" customHeight="true" outlineLevel="0" collapsed="false">
      <c r="A1398" s="13"/>
      <c r="B1398" s="10"/>
      <c r="C1398" s="12" t="str">
        <f aca="false">IF($B1398="","",IFERROR(INDEX(반품접수!$E$3:$E$1002,MATCH($B1398,반품접수!$A$3:$A$1002,0)),"접수번호없음"))</f>
        <v/>
      </c>
      <c r="D1398" s="10"/>
      <c r="E1398" s="14"/>
      <c r="F1398" s="10"/>
      <c r="G1398" s="16"/>
      <c r="H1398" s="10"/>
    </row>
    <row r="1399" customFormat="false" ht="15" hidden="false" customHeight="true" outlineLevel="0" collapsed="false">
      <c r="A1399" s="13"/>
      <c r="B1399" s="10"/>
      <c r="C1399" s="12" t="str">
        <f aca="false">IF($B1399="","",IFERROR(INDEX(반품접수!$E$3:$E$1002,MATCH($B1399,반품접수!$A$3:$A$1002,0)),"접수번호없음"))</f>
        <v/>
      </c>
      <c r="D1399" s="10"/>
      <c r="E1399" s="14"/>
      <c r="F1399" s="10"/>
      <c r="G1399" s="16"/>
      <c r="H1399" s="10"/>
    </row>
    <row r="1400" customFormat="false" ht="15" hidden="false" customHeight="true" outlineLevel="0" collapsed="false">
      <c r="A1400" s="13"/>
      <c r="B1400" s="10"/>
      <c r="C1400" s="12" t="str">
        <f aca="false">IF($B1400="","",IFERROR(INDEX(반품접수!$E$3:$E$1002,MATCH($B1400,반품접수!$A$3:$A$1002,0)),"접수번호없음"))</f>
        <v/>
      </c>
      <c r="D1400" s="10"/>
      <c r="E1400" s="14"/>
      <c r="F1400" s="10"/>
      <c r="G1400" s="16"/>
      <c r="H1400" s="10"/>
    </row>
    <row r="1401" customFormat="false" ht="15" hidden="false" customHeight="true" outlineLevel="0" collapsed="false">
      <c r="A1401" s="13"/>
      <c r="B1401" s="10"/>
      <c r="C1401" s="12" t="str">
        <f aca="false">IF($B1401="","",IFERROR(INDEX(반품접수!$E$3:$E$1002,MATCH($B1401,반품접수!$A$3:$A$1002,0)),"접수번호없음"))</f>
        <v/>
      </c>
      <c r="D1401" s="10"/>
      <c r="E1401" s="14"/>
      <c r="F1401" s="10"/>
      <c r="G1401" s="16"/>
      <c r="H1401" s="10"/>
    </row>
    <row r="1402" customFormat="false" ht="15" hidden="false" customHeight="true" outlineLevel="0" collapsed="false">
      <c r="A1402" s="13"/>
      <c r="B1402" s="10"/>
      <c r="C1402" s="12" t="str">
        <f aca="false">IF($B1402="","",IFERROR(INDEX(반품접수!$E$3:$E$1002,MATCH($B1402,반품접수!$A$3:$A$1002,0)),"접수번호없음"))</f>
        <v/>
      </c>
      <c r="D1402" s="10"/>
      <c r="E1402" s="14"/>
      <c r="F1402" s="10"/>
      <c r="G1402" s="16"/>
      <c r="H1402" s="10"/>
    </row>
    <row r="1403" customFormat="false" ht="15" hidden="false" customHeight="true" outlineLevel="0" collapsed="false">
      <c r="A1403" s="13"/>
      <c r="B1403" s="10"/>
      <c r="C1403" s="12" t="str">
        <f aca="false">IF($B1403="","",IFERROR(INDEX(반품접수!$E$3:$E$1002,MATCH($B1403,반품접수!$A$3:$A$1002,0)),"접수번호없음"))</f>
        <v/>
      </c>
      <c r="D1403" s="10"/>
      <c r="E1403" s="14"/>
      <c r="F1403" s="10"/>
      <c r="G1403" s="16"/>
      <c r="H1403" s="10"/>
    </row>
    <row r="1404" customFormat="false" ht="15" hidden="false" customHeight="true" outlineLevel="0" collapsed="false">
      <c r="A1404" s="13"/>
      <c r="B1404" s="10"/>
      <c r="C1404" s="12" t="str">
        <f aca="false">IF($B1404="","",IFERROR(INDEX(반품접수!$E$3:$E$1002,MATCH($B1404,반품접수!$A$3:$A$1002,0)),"접수번호없음"))</f>
        <v/>
      </c>
      <c r="D1404" s="10"/>
      <c r="E1404" s="14"/>
      <c r="F1404" s="10"/>
      <c r="G1404" s="16"/>
      <c r="H1404" s="10"/>
    </row>
    <row r="1405" customFormat="false" ht="15" hidden="false" customHeight="true" outlineLevel="0" collapsed="false">
      <c r="A1405" s="13"/>
      <c r="B1405" s="10"/>
      <c r="C1405" s="12" t="str">
        <f aca="false">IF($B1405="","",IFERROR(INDEX(반품접수!$E$3:$E$1002,MATCH($B1405,반품접수!$A$3:$A$1002,0)),"접수번호없음"))</f>
        <v/>
      </c>
      <c r="D1405" s="10"/>
      <c r="E1405" s="14"/>
      <c r="F1405" s="10"/>
      <c r="G1405" s="16"/>
      <c r="H1405" s="10"/>
    </row>
    <row r="1406" customFormat="false" ht="15" hidden="false" customHeight="true" outlineLevel="0" collapsed="false">
      <c r="A1406" s="13"/>
      <c r="B1406" s="10"/>
      <c r="C1406" s="12" t="str">
        <f aca="false">IF($B1406="","",IFERROR(INDEX(반품접수!$E$3:$E$1002,MATCH($B1406,반품접수!$A$3:$A$1002,0)),"접수번호없음"))</f>
        <v/>
      </c>
      <c r="D1406" s="10"/>
      <c r="E1406" s="14"/>
      <c r="F1406" s="10"/>
      <c r="G1406" s="16"/>
      <c r="H1406" s="10"/>
    </row>
    <row r="1407" customFormat="false" ht="15" hidden="false" customHeight="true" outlineLevel="0" collapsed="false">
      <c r="A1407" s="13"/>
      <c r="B1407" s="10"/>
      <c r="C1407" s="12" t="str">
        <f aca="false">IF($B1407="","",IFERROR(INDEX(반품접수!$E$3:$E$1002,MATCH($B1407,반품접수!$A$3:$A$1002,0)),"접수번호없음"))</f>
        <v/>
      </c>
      <c r="D1407" s="10"/>
      <c r="E1407" s="14"/>
      <c r="F1407" s="10"/>
      <c r="G1407" s="16"/>
      <c r="H1407" s="10"/>
    </row>
    <row r="1408" customFormat="false" ht="15" hidden="false" customHeight="true" outlineLevel="0" collapsed="false">
      <c r="A1408" s="13"/>
      <c r="B1408" s="10"/>
      <c r="C1408" s="12" t="str">
        <f aca="false">IF($B1408="","",IFERROR(INDEX(반품접수!$E$3:$E$1002,MATCH($B1408,반품접수!$A$3:$A$1002,0)),"접수번호없음"))</f>
        <v/>
      </c>
      <c r="D1408" s="10"/>
      <c r="E1408" s="14"/>
      <c r="F1408" s="10"/>
      <c r="G1408" s="16"/>
      <c r="H1408" s="10"/>
    </row>
    <row r="1409" customFormat="false" ht="15" hidden="false" customHeight="true" outlineLevel="0" collapsed="false">
      <c r="A1409" s="13"/>
      <c r="B1409" s="10"/>
      <c r="C1409" s="12" t="str">
        <f aca="false">IF($B1409="","",IFERROR(INDEX(반품접수!$E$3:$E$1002,MATCH($B1409,반품접수!$A$3:$A$1002,0)),"접수번호없음"))</f>
        <v/>
      </c>
      <c r="D1409" s="10"/>
      <c r="E1409" s="14"/>
      <c r="F1409" s="10"/>
      <c r="G1409" s="16"/>
      <c r="H1409" s="10"/>
    </row>
    <row r="1410" customFormat="false" ht="15" hidden="false" customHeight="true" outlineLevel="0" collapsed="false">
      <c r="A1410" s="13"/>
      <c r="B1410" s="10"/>
      <c r="C1410" s="12" t="str">
        <f aca="false">IF($B1410="","",IFERROR(INDEX(반품접수!$E$3:$E$1002,MATCH($B1410,반품접수!$A$3:$A$1002,0)),"접수번호없음"))</f>
        <v/>
      </c>
      <c r="D1410" s="10"/>
      <c r="E1410" s="14"/>
      <c r="F1410" s="10"/>
      <c r="G1410" s="16"/>
      <c r="H1410" s="10"/>
    </row>
    <row r="1411" customFormat="false" ht="15" hidden="false" customHeight="true" outlineLevel="0" collapsed="false">
      <c r="A1411" s="13"/>
      <c r="B1411" s="10"/>
      <c r="C1411" s="12" t="str">
        <f aca="false">IF($B1411="","",IFERROR(INDEX(반품접수!$E$3:$E$1002,MATCH($B1411,반품접수!$A$3:$A$1002,0)),"접수번호없음"))</f>
        <v/>
      </c>
      <c r="D1411" s="10"/>
      <c r="E1411" s="14"/>
      <c r="F1411" s="10"/>
      <c r="G1411" s="16"/>
      <c r="H1411" s="10"/>
    </row>
    <row r="1412" customFormat="false" ht="15" hidden="false" customHeight="true" outlineLevel="0" collapsed="false">
      <c r="A1412" s="13"/>
      <c r="B1412" s="10"/>
      <c r="C1412" s="12" t="str">
        <f aca="false">IF($B1412="","",IFERROR(INDEX(반품접수!$E$3:$E$1002,MATCH($B1412,반품접수!$A$3:$A$1002,0)),"접수번호없음"))</f>
        <v/>
      </c>
      <c r="D1412" s="10"/>
      <c r="E1412" s="14"/>
      <c r="F1412" s="10"/>
      <c r="G1412" s="16"/>
      <c r="H1412" s="10"/>
    </row>
    <row r="1413" customFormat="false" ht="15" hidden="false" customHeight="true" outlineLevel="0" collapsed="false">
      <c r="A1413" s="13"/>
      <c r="B1413" s="10"/>
      <c r="C1413" s="12" t="str">
        <f aca="false">IF($B1413="","",IFERROR(INDEX(반품접수!$E$3:$E$1002,MATCH($B1413,반품접수!$A$3:$A$1002,0)),"접수번호없음"))</f>
        <v/>
      </c>
      <c r="D1413" s="10"/>
      <c r="E1413" s="14"/>
      <c r="F1413" s="10"/>
      <c r="G1413" s="16"/>
      <c r="H1413" s="10"/>
    </row>
    <row r="1414" customFormat="false" ht="15" hidden="false" customHeight="true" outlineLevel="0" collapsed="false">
      <c r="A1414" s="13"/>
      <c r="B1414" s="10"/>
      <c r="C1414" s="12" t="str">
        <f aca="false">IF($B1414="","",IFERROR(INDEX(반품접수!$E$3:$E$1002,MATCH($B1414,반품접수!$A$3:$A$1002,0)),"접수번호없음"))</f>
        <v/>
      </c>
      <c r="D1414" s="10"/>
      <c r="E1414" s="14"/>
      <c r="F1414" s="10"/>
      <c r="G1414" s="16"/>
      <c r="H1414" s="10"/>
    </row>
    <row r="1415" customFormat="false" ht="15" hidden="false" customHeight="true" outlineLevel="0" collapsed="false">
      <c r="A1415" s="13"/>
      <c r="B1415" s="10"/>
      <c r="C1415" s="12" t="str">
        <f aca="false">IF($B1415="","",IFERROR(INDEX(반품접수!$E$3:$E$1002,MATCH($B1415,반품접수!$A$3:$A$1002,0)),"접수번호없음"))</f>
        <v/>
      </c>
      <c r="D1415" s="10"/>
      <c r="E1415" s="14"/>
      <c r="F1415" s="10"/>
      <c r="G1415" s="16"/>
      <c r="H1415" s="10"/>
    </row>
    <row r="1416" customFormat="false" ht="15" hidden="false" customHeight="true" outlineLevel="0" collapsed="false">
      <c r="A1416" s="13"/>
      <c r="B1416" s="10"/>
      <c r="C1416" s="12" t="str">
        <f aca="false">IF($B1416="","",IFERROR(INDEX(반품접수!$E$3:$E$1002,MATCH($B1416,반품접수!$A$3:$A$1002,0)),"접수번호없음"))</f>
        <v/>
      </c>
      <c r="D1416" s="10"/>
      <c r="E1416" s="14"/>
      <c r="F1416" s="10"/>
      <c r="G1416" s="16"/>
      <c r="H1416" s="10"/>
    </row>
    <row r="1417" customFormat="false" ht="15" hidden="false" customHeight="true" outlineLevel="0" collapsed="false">
      <c r="A1417" s="13"/>
      <c r="B1417" s="10"/>
      <c r="C1417" s="12" t="str">
        <f aca="false">IF($B1417="","",IFERROR(INDEX(반품접수!$E$3:$E$1002,MATCH($B1417,반품접수!$A$3:$A$1002,0)),"접수번호없음"))</f>
        <v/>
      </c>
      <c r="D1417" s="10"/>
      <c r="E1417" s="14"/>
      <c r="F1417" s="10"/>
      <c r="G1417" s="16"/>
      <c r="H1417" s="10"/>
    </row>
    <row r="1418" customFormat="false" ht="15" hidden="false" customHeight="true" outlineLevel="0" collapsed="false">
      <c r="A1418" s="13"/>
      <c r="B1418" s="10"/>
      <c r="C1418" s="12" t="str">
        <f aca="false">IF($B1418="","",IFERROR(INDEX(반품접수!$E$3:$E$1002,MATCH($B1418,반품접수!$A$3:$A$1002,0)),"접수번호없음"))</f>
        <v/>
      </c>
      <c r="D1418" s="10"/>
      <c r="E1418" s="14"/>
      <c r="F1418" s="10"/>
      <c r="G1418" s="16"/>
      <c r="H1418" s="10"/>
    </row>
    <row r="1419" customFormat="false" ht="15" hidden="false" customHeight="true" outlineLevel="0" collapsed="false">
      <c r="A1419" s="13"/>
      <c r="B1419" s="10"/>
      <c r="C1419" s="12" t="str">
        <f aca="false">IF($B1419="","",IFERROR(INDEX(반품접수!$E$3:$E$1002,MATCH($B1419,반품접수!$A$3:$A$1002,0)),"접수번호없음"))</f>
        <v/>
      </c>
      <c r="D1419" s="10"/>
      <c r="E1419" s="14"/>
      <c r="F1419" s="10"/>
      <c r="G1419" s="16"/>
      <c r="H1419" s="10"/>
    </row>
    <row r="1420" customFormat="false" ht="15" hidden="false" customHeight="true" outlineLevel="0" collapsed="false">
      <c r="A1420" s="13"/>
      <c r="B1420" s="10"/>
      <c r="C1420" s="12" t="str">
        <f aca="false">IF($B1420="","",IFERROR(INDEX(반품접수!$E$3:$E$1002,MATCH($B1420,반품접수!$A$3:$A$1002,0)),"접수번호없음"))</f>
        <v/>
      </c>
      <c r="D1420" s="10"/>
      <c r="E1420" s="14"/>
      <c r="F1420" s="10"/>
      <c r="G1420" s="16"/>
      <c r="H1420" s="10"/>
    </row>
    <row r="1421" customFormat="false" ht="15" hidden="false" customHeight="true" outlineLevel="0" collapsed="false">
      <c r="A1421" s="13"/>
      <c r="B1421" s="10"/>
      <c r="C1421" s="12" t="str">
        <f aca="false">IF($B1421="","",IFERROR(INDEX(반품접수!$E$3:$E$1002,MATCH($B1421,반품접수!$A$3:$A$1002,0)),"접수번호없음"))</f>
        <v/>
      </c>
      <c r="D1421" s="10"/>
      <c r="E1421" s="14"/>
      <c r="F1421" s="10"/>
      <c r="G1421" s="16"/>
      <c r="H1421" s="10"/>
    </row>
    <row r="1422" customFormat="false" ht="15" hidden="false" customHeight="true" outlineLevel="0" collapsed="false">
      <c r="A1422" s="13"/>
      <c r="B1422" s="10"/>
      <c r="C1422" s="12" t="str">
        <f aca="false">IF($B1422="","",IFERROR(INDEX(반품접수!$E$3:$E$1002,MATCH($B1422,반품접수!$A$3:$A$1002,0)),"접수번호없음"))</f>
        <v/>
      </c>
      <c r="D1422" s="10"/>
      <c r="E1422" s="14"/>
      <c r="F1422" s="10"/>
      <c r="G1422" s="16"/>
      <c r="H1422" s="10"/>
    </row>
    <row r="1423" customFormat="false" ht="15" hidden="false" customHeight="true" outlineLevel="0" collapsed="false">
      <c r="A1423" s="13"/>
      <c r="B1423" s="10"/>
      <c r="C1423" s="12" t="str">
        <f aca="false">IF($B1423="","",IFERROR(INDEX(반품접수!$E$3:$E$1002,MATCH($B1423,반품접수!$A$3:$A$1002,0)),"접수번호없음"))</f>
        <v/>
      </c>
      <c r="D1423" s="10"/>
      <c r="E1423" s="14"/>
      <c r="F1423" s="10"/>
      <c r="G1423" s="16"/>
      <c r="H1423" s="10"/>
    </row>
    <row r="1424" customFormat="false" ht="15" hidden="false" customHeight="true" outlineLevel="0" collapsed="false">
      <c r="A1424" s="13"/>
      <c r="B1424" s="10"/>
      <c r="C1424" s="12" t="str">
        <f aca="false">IF($B1424="","",IFERROR(INDEX(반품접수!$E$3:$E$1002,MATCH($B1424,반품접수!$A$3:$A$1002,0)),"접수번호없음"))</f>
        <v/>
      </c>
      <c r="D1424" s="10"/>
      <c r="E1424" s="14"/>
      <c r="F1424" s="10"/>
      <c r="G1424" s="16"/>
      <c r="H1424" s="10"/>
    </row>
    <row r="1425" customFormat="false" ht="15" hidden="false" customHeight="true" outlineLevel="0" collapsed="false">
      <c r="A1425" s="13"/>
      <c r="B1425" s="10"/>
      <c r="C1425" s="12" t="str">
        <f aca="false">IF($B1425="","",IFERROR(INDEX(반품접수!$E$3:$E$1002,MATCH($B1425,반품접수!$A$3:$A$1002,0)),"접수번호없음"))</f>
        <v/>
      </c>
      <c r="D1425" s="10"/>
      <c r="E1425" s="14"/>
      <c r="F1425" s="10"/>
      <c r="G1425" s="16"/>
      <c r="H1425" s="10"/>
    </row>
    <row r="1426" customFormat="false" ht="15" hidden="false" customHeight="true" outlineLevel="0" collapsed="false">
      <c r="A1426" s="13"/>
      <c r="B1426" s="10"/>
      <c r="C1426" s="12" t="str">
        <f aca="false">IF($B1426="","",IFERROR(INDEX(반품접수!$E$3:$E$1002,MATCH($B1426,반품접수!$A$3:$A$1002,0)),"접수번호없음"))</f>
        <v/>
      </c>
      <c r="D1426" s="10"/>
      <c r="E1426" s="14"/>
      <c r="F1426" s="10"/>
      <c r="G1426" s="16"/>
      <c r="H1426" s="10"/>
    </row>
    <row r="1427" customFormat="false" ht="15" hidden="false" customHeight="true" outlineLevel="0" collapsed="false">
      <c r="A1427" s="13"/>
      <c r="B1427" s="10"/>
      <c r="C1427" s="12" t="str">
        <f aca="false">IF($B1427="","",IFERROR(INDEX(반품접수!$E$3:$E$1002,MATCH($B1427,반품접수!$A$3:$A$1002,0)),"접수번호없음"))</f>
        <v/>
      </c>
      <c r="D1427" s="10"/>
      <c r="E1427" s="14"/>
      <c r="F1427" s="10"/>
      <c r="G1427" s="16"/>
      <c r="H1427" s="10"/>
    </row>
    <row r="1428" customFormat="false" ht="15" hidden="false" customHeight="true" outlineLevel="0" collapsed="false">
      <c r="A1428" s="13"/>
      <c r="B1428" s="10"/>
      <c r="C1428" s="12" t="str">
        <f aca="false">IF($B1428="","",IFERROR(INDEX(반품접수!$E$3:$E$1002,MATCH($B1428,반품접수!$A$3:$A$1002,0)),"접수번호없음"))</f>
        <v/>
      </c>
      <c r="D1428" s="10"/>
      <c r="E1428" s="14"/>
      <c r="F1428" s="10"/>
      <c r="G1428" s="16"/>
      <c r="H1428" s="10"/>
    </row>
    <row r="1429" customFormat="false" ht="15" hidden="false" customHeight="true" outlineLevel="0" collapsed="false">
      <c r="A1429" s="13"/>
      <c r="B1429" s="10"/>
      <c r="C1429" s="12" t="str">
        <f aca="false">IF($B1429="","",IFERROR(INDEX(반품접수!$E$3:$E$1002,MATCH($B1429,반품접수!$A$3:$A$1002,0)),"접수번호없음"))</f>
        <v/>
      </c>
      <c r="D1429" s="10"/>
      <c r="E1429" s="14"/>
      <c r="F1429" s="10"/>
      <c r="G1429" s="16"/>
      <c r="H1429" s="10"/>
    </row>
    <row r="1430" customFormat="false" ht="15" hidden="false" customHeight="true" outlineLevel="0" collapsed="false">
      <c r="A1430" s="13"/>
      <c r="B1430" s="10"/>
      <c r="C1430" s="12" t="str">
        <f aca="false">IF($B1430="","",IFERROR(INDEX(반품접수!$E$3:$E$1002,MATCH($B1430,반품접수!$A$3:$A$1002,0)),"접수번호없음"))</f>
        <v/>
      </c>
      <c r="D1430" s="10"/>
      <c r="E1430" s="14"/>
      <c r="F1430" s="10"/>
      <c r="G1430" s="16"/>
      <c r="H1430" s="10"/>
    </row>
    <row r="1431" customFormat="false" ht="15" hidden="false" customHeight="true" outlineLevel="0" collapsed="false">
      <c r="A1431" s="13"/>
      <c r="B1431" s="10"/>
      <c r="C1431" s="12" t="str">
        <f aca="false">IF($B1431="","",IFERROR(INDEX(반품접수!$E$3:$E$1002,MATCH($B1431,반품접수!$A$3:$A$1002,0)),"접수번호없음"))</f>
        <v/>
      </c>
      <c r="D1431" s="10"/>
      <c r="E1431" s="14"/>
      <c r="F1431" s="10"/>
      <c r="G1431" s="16"/>
      <c r="H1431" s="10"/>
    </row>
    <row r="1432" customFormat="false" ht="15" hidden="false" customHeight="true" outlineLevel="0" collapsed="false">
      <c r="A1432" s="13"/>
      <c r="B1432" s="10"/>
      <c r="C1432" s="12" t="str">
        <f aca="false">IF($B1432="","",IFERROR(INDEX(반품접수!$E$3:$E$1002,MATCH($B1432,반품접수!$A$3:$A$1002,0)),"접수번호없음"))</f>
        <v/>
      </c>
      <c r="D1432" s="10"/>
      <c r="E1432" s="14"/>
      <c r="F1432" s="10"/>
      <c r="G1432" s="16"/>
      <c r="H1432" s="10"/>
    </row>
    <row r="1433" customFormat="false" ht="15" hidden="false" customHeight="true" outlineLevel="0" collapsed="false">
      <c r="A1433" s="13"/>
      <c r="B1433" s="10"/>
      <c r="C1433" s="12" t="str">
        <f aca="false">IF($B1433="","",IFERROR(INDEX(반품접수!$E$3:$E$1002,MATCH($B1433,반품접수!$A$3:$A$1002,0)),"접수번호없음"))</f>
        <v/>
      </c>
      <c r="D1433" s="10"/>
      <c r="E1433" s="14"/>
      <c r="F1433" s="10"/>
      <c r="G1433" s="16"/>
      <c r="H1433" s="10"/>
    </row>
    <row r="1434" customFormat="false" ht="15" hidden="false" customHeight="true" outlineLevel="0" collapsed="false">
      <c r="A1434" s="13"/>
      <c r="B1434" s="10"/>
      <c r="C1434" s="12" t="str">
        <f aca="false">IF($B1434="","",IFERROR(INDEX(반품접수!$E$3:$E$1002,MATCH($B1434,반품접수!$A$3:$A$1002,0)),"접수번호없음"))</f>
        <v/>
      </c>
      <c r="D1434" s="10"/>
      <c r="E1434" s="14"/>
      <c r="F1434" s="10"/>
      <c r="G1434" s="16"/>
      <c r="H1434" s="10"/>
    </row>
    <row r="1435" customFormat="false" ht="15" hidden="false" customHeight="true" outlineLevel="0" collapsed="false">
      <c r="A1435" s="13"/>
      <c r="B1435" s="10"/>
      <c r="C1435" s="12" t="str">
        <f aca="false">IF($B1435="","",IFERROR(INDEX(반품접수!$E$3:$E$1002,MATCH($B1435,반품접수!$A$3:$A$1002,0)),"접수번호없음"))</f>
        <v/>
      </c>
      <c r="D1435" s="10"/>
      <c r="E1435" s="14"/>
      <c r="F1435" s="10"/>
      <c r="G1435" s="16"/>
      <c r="H1435" s="10"/>
    </row>
    <row r="1436" customFormat="false" ht="15" hidden="false" customHeight="true" outlineLevel="0" collapsed="false">
      <c r="A1436" s="13"/>
      <c r="B1436" s="10"/>
      <c r="C1436" s="12" t="str">
        <f aca="false">IF($B1436="","",IFERROR(INDEX(반품접수!$E$3:$E$1002,MATCH($B1436,반품접수!$A$3:$A$1002,0)),"접수번호없음"))</f>
        <v/>
      </c>
      <c r="D1436" s="10"/>
      <c r="E1436" s="14"/>
      <c r="F1436" s="10"/>
      <c r="G1436" s="16"/>
      <c r="H1436" s="10"/>
    </row>
    <row r="1437" customFormat="false" ht="15" hidden="false" customHeight="true" outlineLevel="0" collapsed="false">
      <c r="A1437" s="13"/>
      <c r="B1437" s="10"/>
      <c r="C1437" s="12" t="str">
        <f aca="false">IF($B1437="","",IFERROR(INDEX(반품접수!$E$3:$E$1002,MATCH($B1437,반품접수!$A$3:$A$1002,0)),"접수번호없음"))</f>
        <v/>
      </c>
      <c r="D1437" s="10"/>
      <c r="E1437" s="14"/>
      <c r="F1437" s="10"/>
      <c r="G1437" s="16"/>
      <c r="H1437" s="10"/>
    </row>
    <row r="1438" customFormat="false" ht="15" hidden="false" customHeight="true" outlineLevel="0" collapsed="false">
      <c r="A1438" s="13"/>
      <c r="B1438" s="10"/>
      <c r="C1438" s="12" t="str">
        <f aca="false">IF($B1438="","",IFERROR(INDEX(반품접수!$E$3:$E$1002,MATCH($B1438,반품접수!$A$3:$A$1002,0)),"접수번호없음"))</f>
        <v/>
      </c>
      <c r="D1438" s="10"/>
      <c r="E1438" s="14"/>
      <c r="F1438" s="10"/>
      <c r="G1438" s="16"/>
      <c r="H1438" s="10"/>
    </row>
    <row r="1439" customFormat="false" ht="15" hidden="false" customHeight="true" outlineLevel="0" collapsed="false">
      <c r="A1439" s="13"/>
      <c r="B1439" s="10"/>
      <c r="C1439" s="12" t="str">
        <f aca="false">IF($B1439="","",IFERROR(INDEX(반품접수!$E$3:$E$1002,MATCH($B1439,반품접수!$A$3:$A$1002,0)),"접수번호없음"))</f>
        <v/>
      </c>
      <c r="D1439" s="10"/>
      <c r="E1439" s="14"/>
      <c r="F1439" s="10"/>
      <c r="G1439" s="16"/>
      <c r="H1439" s="10"/>
    </row>
    <row r="1440" customFormat="false" ht="15" hidden="false" customHeight="true" outlineLevel="0" collapsed="false">
      <c r="A1440" s="13"/>
      <c r="B1440" s="10"/>
      <c r="C1440" s="12" t="str">
        <f aca="false">IF($B1440="","",IFERROR(INDEX(반품접수!$E$3:$E$1002,MATCH($B1440,반품접수!$A$3:$A$1002,0)),"접수번호없음"))</f>
        <v/>
      </c>
      <c r="D1440" s="10"/>
      <c r="E1440" s="14"/>
      <c r="F1440" s="10"/>
      <c r="G1440" s="16"/>
      <c r="H1440" s="10"/>
    </row>
    <row r="1441" customFormat="false" ht="15" hidden="false" customHeight="true" outlineLevel="0" collapsed="false">
      <c r="A1441" s="13"/>
      <c r="B1441" s="10"/>
      <c r="C1441" s="12" t="str">
        <f aca="false">IF($B1441="","",IFERROR(INDEX(반품접수!$E$3:$E$1002,MATCH($B1441,반품접수!$A$3:$A$1002,0)),"접수번호없음"))</f>
        <v/>
      </c>
      <c r="D1441" s="10"/>
      <c r="E1441" s="14"/>
      <c r="F1441" s="10"/>
      <c r="G1441" s="16"/>
      <c r="H1441" s="10"/>
    </row>
    <row r="1442" customFormat="false" ht="15" hidden="false" customHeight="true" outlineLevel="0" collapsed="false">
      <c r="A1442" s="13"/>
      <c r="B1442" s="10"/>
      <c r="C1442" s="12" t="str">
        <f aca="false">IF($B1442="","",IFERROR(INDEX(반품접수!$E$3:$E$1002,MATCH($B1442,반품접수!$A$3:$A$1002,0)),"접수번호없음"))</f>
        <v/>
      </c>
      <c r="D1442" s="10"/>
      <c r="E1442" s="14"/>
      <c r="F1442" s="10"/>
      <c r="G1442" s="16"/>
      <c r="H1442" s="10"/>
    </row>
    <row r="1443" customFormat="false" ht="15" hidden="false" customHeight="true" outlineLevel="0" collapsed="false">
      <c r="A1443" s="13"/>
      <c r="B1443" s="10"/>
      <c r="C1443" s="12" t="str">
        <f aca="false">IF($B1443="","",IFERROR(INDEX(반품접수!$E$3:$E$1002,MATCH($B1443,반품접수!$A$3:$A$1002,0)),"접수번호없음"))</f>
        <v/>
      </c>
      <c r="D1443" s="10"/>
      <c r="E1443" s="14"/>
      <c r="F1443" s="10"/>
      <c r="G1443" s="16"/>
      <c r="H1443" s="10"/>
    </row>
    <row r="1444" customFormat="false" ht="15" hidden="false" customHeight="true" outlineLevel="0" collapsed="false">
      <c r="A1444" s="13"/>
      <c r="B1444" s="10"/>
      <c r="C1444" s="12" t="str">
        <f aca="false">IF($B1444="","",IFERROR(INDEX(반품접수!$E$3:$E$1002,MATCH($B1444,반품접수!$A$3:$A$1002,0)),"접수번호없음"))</f>
        <v/>
      </c>
      <c r="D1444" s="10"/>
      <c r="E1444" s="14"/>
      <c r="F1444" s="10"/>
      <c r="G1444" s="16"/>
      <c r="H1444" s="10"/>
    </row>
    <row r="1445" customFormat="false" ht="15" hidden="false" customHeight="true" outlineLevel="0" collapsed="false">
      <c r="A1445" s="13"/>
      <c r="B1445" s="10"/>
      <c r="C1445" s="12" t="str">
        <f aca="false">IF($B1445="","",IFERROR(INDEX(반품접수!$E$3:$E$1002,MATCH($B1445,반품접수!$A$3:$A$1002,0)),"접수번호없음"))</f>
        <v/>
      </c>
      <c r="D1445" s="10"/>
      <c r="E1445" s="14"/>
      <c r="F1445" s="10"/>
      <c r="G1445" s="16"/>
      <c r="H1445" s="10"/>
    </row>
    <row r="1446" customFormat="false" ht="15" hidden="false" customHeight="true" outlineLevel="0" collapsed="false">
      <c r="A1446" s="13"/>
      <c r="B1446" s="10"/>
      <c r="C1446" s="12" t="str">
        <f aca="false">IF($B1446="","",IFERROR(INDEX(반품접수!$E$3:$E$1002,MATCH($B1446,반품접수!$A$3:$A$1002,0)),"접수번호없음"))</f>
        <v/>
      </c>
      <c r="D1446" s="10"/>
      <c r="E1446" s="14"/>
      <c r="F1446" s="10"/>
      <c r="G1446" s="16"/>
      <c r="H1446" s="10"/>
    </row>
    <row r="1447" customFormat="false" ht="15" hidden="false" customHeight="true" outlineLevel="0" collapsed="false">
      <c r="A1447" s="13"/>
      <c r="B1447" s="10"/>
      <c r="C1447" s="12" t="str">
        <f aca="false">IF($B1447="","",IFERROR(INDEX(반품접수!$E$3:$E$1002,MATCH($B1447,반품접수!$A$3:$A$1002,0)),"접수번호없음"))</f>
        <v/>
      </c>
      <c r="D1447" s="10"/>
      <c r="E1447" s="14"/>
      <c r="F1447" s="10"/>
      <c r="G1447" s="16"/>
      <c r="H1447" s="10"/>
    </row>
    <row r="1448" customFormat="false" ht="15" hidden="false" customHeight="true" outlineLevel="0" collapsed="false">
      <c r="A1448" s="13"/>
      <c r="B1448" s="10"/>
      <c r="C1448" s="12" t="str">
        <f aca="false">IF($B1448="","",IFERROR(INDEX(반품접수!$E$3:$E$1002,MATCH($B1448,반품접수!$A$3:$A$1002,0)),"접수번호없음"))</f>
        <v/>
      </c>
      <c r="D1448" s="10"/>
      <c r="E1448" s="14"/>
      <c r="F1448" s="10"/>
      <c r="G1448" s="16"/>
      <c r="H1448" s="10"/>
    </row>
    <row r="1449" customFormat="false" ht="15" hidden="false" customHeight="true" outlineLevel="0" collapsed="false">
      <c r="A1449" s="13"/>
      <c r="B1449" s="10"/>
      <c r="C1449" s="12" t="str">
        <f aca="false">IF($B1449="","",IFERROR(INDEX(반품접수!$E$3:$E$1002,MATCH($B1449,반품접수!$A$3:$A$1002,0)),"접수번호없음"))</f>
        <v/>
      </c>
      <c r="D1449" s="10"/>
      <c r="E1449" s="14"/>
      <c r="F1449" s="10"/>
      <c r="G1449" s="16"/>
      <c r="H1449" s="10"/>
    </row>
    <row r="1450" customFormat="false" ht="15" hidden="false" customHeight="true" outlineLevel="0" collapsed="false">
      <c r="A1450" s="13"/>
      <c r="B1450" s="10"/>
      <c r="C1450" s="12" t="str">
        <f aca="false">IF($B1450="","",IFERROR(INDEX(반품접수!$E$3:$E$1002,MATCH($B1450,반품접수!$A$3:$A$1002,0)),"접수번호없음"))</f>
        <v/>
      </c>
      <c r="D1450" s="10"/>
      <c r="E1450" s="14"/>
      <c r="F1450" s="10"/>
      <c r="G1450" s="16"/>
      <c r="H1450" s="10"/>
    </row>
    <row r="1451" customFormat="false" ht="15" hidden="false" customHeight="true" outlineLevel="0" collapsed="false">
      <c r="A1451" s="13"/>
      <c r="B1451" s="10"/>
      <c r="C1451" s="12" t="str">
        <f aca="false">IF($B1451="","",IFERROR(INDEX(반품접수!$E$3:$E$1002,MATCH($B1451,반품접수!$A$3:$A$1002,0)),"접수번호없음"))</f>
        <v/>
      </c>
      <c r="D1451" s="10"/>
      <c r="E1451" s="14"/>
      <c r="F1451" s="10"/>
      <c r="G1451" s="16"/>
      <c r="H1451" s="10"/>
    </row>
    <row r="1452" customFormat="false" ht="15" hidden="false" customHeight="true" outlineLevel="0" collapsed="false">
      <c r="A1452" s="13"/>
      <c r="B1452" s="10"/>
      <c r="C1452" s="12" t="str">
        <f aca="false">IF($B1452="","",IFERROR(INDEX(반품접수!$E$3:$E$1002,MATCH($B1452,반품접수!$A$3:$A$1002,0)),"접수번호없음"))</f>
        <v/>
      </c>
      <c r="D1452" s="10"/>
      <c r="E1452" s="14"/>
      <c r="F1452" s="10"/>
      <c r="G1452" s="16"/>
      <c r="H1452" s="10"/>
    </row>
    <row r="1453" customFormat="false" ht="15" hidden="false" customHeight="true" outlineLevel="0" collapsed="false">
      <c r="A1453" s="13"/>
      <c r="B1453" s="10"/>
      <c r="C1453" s="12" t="str">
        <f aca="false">IF($B1453="","",IFERROR(INDEX(반품접수!$E$3:$E$1002,MATCH($B1453,반품접수!$A$3:$A$1002,0)),"접수번호없음"))</f>
        <v/>
      </c>
      <c r="D1453" s="10"/>
      <c r="E1453" s="14"/>
      <c r="F1453" s="10"/>
      <c r="G1453" s="16"/>
      <c r="H1453" s="10"/>
    </row>
    <row r="1454" customFormat="false" ht="15" hidden="false" customHeight="true" outlineLevel="0" collapsed="false">
      <c r="A1454" s="13"/>
      <c r="B1454" s="10"/>
      <c r="C1454" s="12" t="str">
        <f aca="false">IF($B1454="","",IFERROR(INDEX(반품접수!$E$3:$E$1002,MATCH($B1454,반품접수!$A$3:$A$1002,0)),"접수번호없음"))</f>
        <v/>
      </c>
      <c r="D1454" s="10"/>
      <c r="E1454" s="14"/>
      <c r="F1454" s="10"/>
      <c r="G1454" s="16"/>
      <c r="H1454" s="10"/>
    </row>
    <row r="1455" customFormat="false" ht="15" hidden="false" customHeight="true" outlineLevel="0" collapsed="false">
      <c r="A1455" s="13"/>
      <c r="B1455" s="10"/>
      <c r="C1455" s="12" t="str">
        <f aca="false">IF($B1455="","",IFERROR(INDEX(반품접수!$E$3:$E$1002,MATCH($B1455,반품접수!$A$3:$A$1002,0)),"접수번호없음"))</f>
        <v/>
      </c>
      <c r="D1455" s="10"/>
      <c r="E1455" s="14"/>
      <c r="F1455" s="10"/>
      <c r="G1455" s="16"/>
      <c r="H1455" s="10"/>
    </row>
    <row r="1456" customFormat="false" ht="15" hidden="false" customHeight="true" outlineLevel="0" collapsed="false">
      <c r="A1456" s="13"/>
      <c r="B1456" s="10"/>
      <c r="C1456" s="12" t="str">
        <f aca="false">IF($B1456="","",IFERROR(INDEX(반품접수!$E$3:$E$1002,MATCH($B1456,반품접수!$A$3:$A$1002,0)),"접수번호없음"))</f>
        <v/>
      </c>
      <c r="D1456" s="10"/>
      <c r="E1456" s="14"/>
      <c r="F1456" s="10"/>
      <c r="G1456" s="16"/>
      <c r="H1456" s="10"/>
    </row>
    <row r="1457" customFormat="false" ht="15" hidden="false" customHeight="true" outlineLevel="0" collapsed="false">
      <c r="A1457" s="13"/>
      <c r="B1457" s="10"/>
      <c r="C1457" s="12" t="str">
        <f aca="false">IF($B1457="","",IFERROR(INDEX(반품접수!$E$3:$E$1002,MATCH($B1457,반품접수!$A$3:$A$1002,0)),"접수번호없음"))</f>
        <v/>
      </c>
      <c r="D1457" s="10"/>
      <c r="E1457" s="14"/>
      <c r="F1457" s="10"/>
      <c r="G1457" s="16"/>
      <c r="H1457" s="10"/>
    </row>
    <row r="1458" customFormat="false" ht="15" hidden="false" customHeight="true" outlineLevel="0" collapsed="false">
      <c r="A1458" s="13"/>
      <c r="B1458" s="10"/>
      <c r="C1458" s="12" t="str">
        <f aca="false">IF($B1458="","",IFERROR(INDEX(반품접수!$E$3:$E$1002,MATCH($B1458,반품접수!$A$3:$A$1002,0)),"접수번호없음"))</f>
        <v/>
      </c>
      <c r="D1458" s="10"/>
      <c r="E1458" s="14"/>
      <c r="F1458" s="10"/>
      <c r="G1458" s="16"/>
      <c r="H1458" s="10"/>
    </row>
    <row r="1459" customFormat="false" ht="15" hidden="false" customHeight="true" outlineLevel="0" collapsed="false">
      <c r="A1459" s="13"/>
      <c r="B1459" s="10"/>
      <c r="C1459" s="12" t="str">
        <f aca="false">IF($B1459="","",IFERROR(INDEX(반품접수!$E$3:$E$1002,MATCH($B1459,반품접수!$A$3:$A$1002,0)),"접수번호없음"))</f>
        <v/>
      </c>
      <c r="D1459" s="10"/>
      <c r="E1459" s="14"/>
      <c r="F1459" s="10"/>
      <c r="G1459" s="16"/>
      <c r="H1459" s="10"/>
    </row>
    <row r="1460" customFormat="false" ht="15" hidden="false" customHeight="true" outlineLevel="0" collapsed="false">
      <c r="A1460" s="13"/>
      <c r="B1460" s="10"/>
      <c r="C1460" s="12" t="str">
        <f aca="false">IF($B1460="","",IFERROR(INDEX(반품접수!$E$3:$E$1002,MATCH($B1460,반품접수!$A$3:$A$1002,0)),"접수번호없음"))</f>
        <v/>
      </c>
      <c r="D1460" s="10"/>
      <c r="E1460" s="14"/>
      <c r="F1460" s="10"/>
      <c r="G1460" s="16"/>
      <c r="H1460" s="10"/>
    </row>
    <row r="1461" customFormat="false" ht="15" hidden="false" customHeight="true" outlineLevel="0" collapsed="false">
      <c r="A1461" s="13"/>
      <c r="B1461" s="10"/>
      <c r="C1461" s="12" t="str">
        <f aca="false">IF($B1461="","",IFERROR(INDEX(반품접수!$E$3:$E$1002,MATCH($B1461,반품접수!$A$3:$A$1002,0)),"접수번호없음"))</f>
        <v/>
      </c>
      <c r="D1461" s="10"/>
      <c r="E1461" s="14"/>
      <c r="F1461" s="10"/>
      <c r="G1461" s="16"/>
      <c r="H1461" s="10"/>
    </row>
    <row r="1462" customFormat="false" ht="15" hidden="false" customHeight="true" outlineLevel="0" collapsed="false">
      <c r="A1462" s="13"/>
      <c r="B1462" s="10"/>
      <c r="C1462" s="12" t="str">
        <f aca="false">IF($B1462="","",IFERROR(INDEX(반품접수!$E$3:$E$1002,MATCH($B1462,반품접수!$A$3:$A$1002,0)),"접수번호없음"))</f>
        <v/>
      </c>
      <c r="D1462" s="10"/>
      <c r="E1462" s="14"/>
      <c r="F1462" s="10"/>
      <c r="G1462" s="16"/>
      <c r="H1462" s="10"/>
    </row>
    <row r="1463" customFormat="false" ht="15" hidden="false" customHeight="true" outlineLevel="0" collapsed="false">
      <c r="A1463" s="13"/>
      <c r="B1463" s="10"/>
      <c r="C1463" s="12" t="str">
        <f aca="false">IF($B1463="","",IFERROR(INDEX(반품접수!$E$3:$E$1002,MATCH($B1463,반품접수!$A$3:$A$1002,0)),"접수번호없음"))</f>
        <v/>
      </c>
      <c r="D1463" s="10"/>
      <c r="E1463" s="14"/>
      <c r="F1463" s="10"/>
      <c r="G1463" s="16"/>
      <c r="H1463" s="10"/>
    </row>
    <row r="1464" customFormat="false" ht="15" hidden="false" customHeight="true" outlineLevel="0" collapsed="false">
      <c r="A1464" s="13"/>
      <c r="B1464" s="10"/>
      <c r="C1464" s="12" t="str">
        <f aca="false">IF($B1464="","",IFERROR(INDEX(반품접수!$E$3:$E$1002,MATCH($B1464,반품접수!$A$3:$A$1002,0)),"접수번호없음"))</f>
        <v/>
      </c>
      <c r="D1464" s="10"/>
      <c r="E1464" s="14"/>
      <c r="F1464" s="10"/>
      <c r="G1464" s="16"/>
      <c r="H1464" s="10"/>
    </row>
    <row r="1465" customFormat="false" ht="15" hidden="false" customHeight="true" outlineLevel="0" collapsed="false">
      <c r="A1465" s="13"/>
      <c r="B1465" s="10"/>
      <c r="C1465" s="12" t="str">
        <f aca="false">IF($B1465="","",IFERROR(INDEX(반품접수!$E$3:$E$1002,MATCH($B1465,반품접수!$A$3:$A$1002,0)),"접수번호없음"))</f>
        <v/>
      </c>
      <c r="D1465" s="10"/>
      <c r="E1465" s="14"/>
      <c r="F1465" s="10"/>
      <c r="G1465" s="16"/>
      <c r="H1465" s="10"/>
    </row>
    <row r="1466" customFormat="false" ht="15" hidden="false" customHeight="true" outlineLevel="0" collapsed="false">
      <c r="A1466" s="13"/>
      <c r="B1466" s="10"/>
      <c r="C1466" s="12" t="str">
        <f aca="false">IF($B1466="","",IFERROR(INDEX(반품접수!$E$3:$E$1002,MATCH($B1466,반품접수!$A$3:$A$1002,0)),"접수번호없음"))</f>
        <v/>
      </c>
      <c r="D1466" s="10"/>
      <c r="E1466" s="14"/>
      <c r="F1466" s="10"/>
      <c r="G1466" s="16"/>
      <c r="H1466" s="10"/>
    </row>
    <row r="1467" customFormat="false" ht="15" hidden="false" customHeight="true" outlineLevel="0" collapsed="false">
      <c r="A1467" s="13"/>
      <c r="B1467" s="10"/>
      <c r="C1467" s="12" t="str">
        <f aca="false">IF($B1467="","",IFERROR(INDEX(반품접수!$E$3:$E$1002,MATCH($B1467,반품접수!$A$3:$A$1002,0)),"접수번호없음"))</f>
        <v/>
      </c>
      <c r="D1467" s="10"/>
      <c r="E1467" s="14"/>
      <c r="F1467" s="10"/>
      <c r="G1467" s="16"/>
      <c r="H1467" s="10"/>
    </row>
    <row r="1468" customFormat="false" ht="15" hidden="false" customHeight="true" outlineLevel="0" collapsed="false">
      <c r="A1468" s="13"/>
      <c r="B1468" s="10"/>
      <c r="C1468" s="12" t="str">
        <f aca="false">IF($B1468="","",IFERROR(INDEX(반품접수!$E$3:$E$1002,MATCH($B1468,반품접수!$A$3:$A$1002,0)),"접수번호없음"))</f>
        <v/>
      </c>
      <c r="D1468" s="10"/>
      <c r="E1468" s="14"/>
      <c r="F1468" s="10"/>
      <c r="G1468" s="16"/>
      <c r="H1468" s="10"/>
    </row>
    <row r="1469" customFormat="false" ht="15" hidden="false" customHeight="true" outlineLevel="0" collapsed="false">
      <c r="A1469" s="13"/>
      <c r="B1469" s="10"/>
      <c r="C1469" s="12" t="str">
        <f aca="false">IF($B1469="","",IFERROR(INDEX(반품접수!$E$3:$E$1002,MATCH($B1469,반품접수!$A$3:$A$1002,0)),"접수번호없음"))</f>
        <v/>
      </c>
      <c r="D1469" s="10"/>
      <c r="E1469" s="14"/>
      <c r="F1469" s="10"/>
      <c r="G1469" s="16"/>
      <c r="H1469" s="10"/>
    </row>
    <row r="1470" customFormat="false" ht="15" hidden="false" customHeight="true" outlineLevel="0" collapsed="false">
      <c r="A1470" s="13"/>
      <c r="B1470" s="10"/>
      <c r="C1470" s="12" t="str">
        <f aca="false">IF($B1470="","",IFERROR(INDEX(반품접수!$E$3:$E$1002,MATCH($B1470,반품접수!$A$3:$A$1002,0)),"접수번호없음"))</f>
        <v/>
      </c>
      <c r="D1470" s="10"/>
      <c r="E1470" s="14"/>
      <c r="F1470" s="10"/>
      <c r="G1470" s="16"/>
      <c r="H1470" s="10"/>
    </row>
    <row r="1471" customFormat="false" ht="15" hidden="false" customHeight="true" outlineLevel="0" collapsed="false">
      <c r="A1471" s="13"/>
      <c r="B1471" s="10"/>
      <c r="C1471" s="12" t="str">
        <f aca="false">IF($B1471="","",IFERROR(INDEX(반품접수!$E$3:$E$1002,MATCH($B1471,반품접수!$A$3:$A$1002,0)),"접수번호없음"))</f>
        <v/>
      </c>
      <c r="D1471" s="10"/>
      <c r="E1471" s="14"/>
      <c r="F1471" s="10"/>
      <c r="G1471" s="16"/>
      <c r="H1471" s="10"/>
    </row>
    <row r="1472" customFormat="false" ht="15" hidden="false" customHeight="true" outlineLevel="0" collapsed="false">
      <c r="A1472" s="13"/>
      <c r="B1472" s="10"/>
      <c r="C1472" s="12" t="str">
        <f aca="false">IF($B1472="","",IFERROR(INDEX(반품접수!$E$3:$E$1002,MATCH($B1472,반품접수!$A$3:$A$1002,0)),"접수번호없음"))</f>
        <v/>
      </c>
      <c r="D1472" s="10"/>
      <c r="E1472" s="14"/>
      <c r="F1472" s="10"/>
      <c r="G1472" s="16"/>
      <c r="H1472" s="10"/>
    </row>
    <row r="1473" customFormat="false" ht="15" hidden="false" customHeight="true" outlineLevel="0" collapsed="false">
      <c r="A1473" s="13"/>
      <c r="B1473" s="10"/>
      <c r="C1473" s="12" t="str">
        <f aca="false">IF($B1473="","",IFERROR(INDEX(반품접수!$E$3:$E$1002,MATCH($B1473,반품접수!$A$3:$A$1002,0)),"접수번호없음"))</f>
        <v/>
      </c>
      <c r="D1473" s="10"/>
      <c r="E1473" s="14"/>
      <c r="F1473" s="10"/>
      <c r="G1473" s="16"/>
      <c r="H1473" s="10"/>
    </row>
    <row r="1474" customFormat="false" ht="15" hidden="false" customHeight="true" outlineLevel="0" collapsed="false">
      <c r="A1474" s="13"/>
      <c r="B1474" s="10"/>
      <c r="C1474" s="12" t="str">
        <f aca="false">IF($B1474="","",IFERROR(INDEX(반품접수!$E$3:$E$1002,MATCH($B1474,반품접수!$A$3:$A$1002,0)),"접수번호없음"))</f>
        <v/>
      </c>
      <c r="D1474" s="10"/>
      <c r="E1474" s="14"/>
      <c r="F1474" s="10"/>
      <c r="G1474" s="16"/>
      <c r="H1474" s="10"/>
    </row>
    <row r="1475" customFormat="false" ht="15" hidden="false" customHeight="true" outlineLevel="0" collapsed="false">
      <c r="A1475" s="13"/>
      <c r="B1475" s="10"/>
      <c r="C1475" s="12" t="str">
        <f aca="false">IF($B1475="","",IFERROR(INDEX(반품접수!$E$3:$E$1002,MATCH($B1475,반품접수!$A$3:$A$1002,0)),"접수번호없음"))</f>
        <v/>
      </c>
      <c r="D1475" s="10"/>
      <c r="E1475" s="14"/>
      <c r="F1475" s="10"/>
      <c r="G1475" s="16"/>
      <c r="H1475" s="10"/>
    </row>
    <row r="1476" customFormat="false" ht="15" hidden="false" customHeight="true" outlineLevel="0" collapsed="false">
      <c r="A1476" s="13"/>
      <c r="B1476" s="10"/>
      <c r="C1476" s="12" t="str">
        <f aca="false">IF($B1476="","",IFERROR(INDEX(반품접수!$E$3:$E$1002,MATCH($B1476,반품접수!$A$3:$A$1002,0)),"접수번호없음"))</f>
        <v/>
      </c>
      <c r="D1476" s="10"/>
      <c r="E1476" s="14"/>
      <c r="F1476" s="10"/>
      <c r="G1476" s="16"/>
      <c r="H1476" s="10"/>
    </row>
    <row r="1477" customFormat="false" ht="15" hidden="false" customHeight="true" outlineLevel="0" collapsed="false">
      <c r="A1477" s="13"/>
      <c r="B1477" s="10"/>
      <c r="C1477" s="12" t="str">
        <f aca="false">IF($B1477="","",IFERROR(INDEX(반품접수!$E$3:$E$1002,MATCH($B1477,반품접수!$A$3:$A$1002,0)),"접수번호없음"))</f>
        <v/>
      </c>
      <c r="D1477" s="10"/>
      <c r="E1477" s="14"/>
      <c r="F1477" s="10"/>
      <c r="G1477" s="16"/>
      <c r="H1477" s="10"/>
    </row>
    <row r="1478" customFormat="false" ht="15" hidden="false" customHeight="true" outlineLevel="0" collapsed="false">
      <c r="A1478" s="13"/>
      <c r="B1478" s="10"/>
      <c r="C1478" s="12" t="str">
        <f aca="false">IF($B1478="","",IFERROR(INDEX(반품접수!$E$3:$E$1002,MATCH($B1478,반품접수!$A$3:$A$1002,0)),"접수번호없음"))</f>
        <v/>
      </c>
      <c r="D1478" s="10"/>
      <c r="E1478" s="14"/>
      <c r="F1478" s="10"/>
      <c r="G1478" s="16"/>
      <c r="H1478" s="10"/>
    </row>
    <row r="1479" customFormat="false" ht="15" hidden="false" customHeight="true" outlineLevel="0" collapsed="false">
      <c r="A1479" s="13"/>
      <c r="B1479" s="10"/>
      <c r="C1479" s="12" t="str">
        <f aca="false">IF($B1479="","",IFERROR(INDEX(반품접수!$E$3:$E$1002,MATCH($B1479,반품접수!$A$3:$A$1002,0)),"접수번호없음"))</f>
        <v/>
      </c>
      <c r="D1479" s="10"/>
      <c r="E1479" s="14"/>
      <c r="F1479" s="10"/>
      <c r="G1479" s="16"/>
      <c r="H1479" s="10"/>
    </row>
    <row r="1480" customFormat="false" ht="15" hidden="false" customHeight="true" outlineLevel="0" collapsed="false">
      <c r="A1480" s="13"/>
      <c r="B1480" s="10"/>
      <c r="C1480" s="12" t="str">
        <f aca="false">IF($B1480="","",IFERROR(INDEX(반품접수!$E$3:$E$1002,MATCH($B1480,반품접수!$A$3:$A$1002,0)),"접수번호없음"))</f>
        <v/>
      </c>
      <c r="D1480" s="10"/>
      <c r="E1480" s="14"/>
      <c r="F1480" s="10"/>
      <c r="G1480" s="16"/>
      <c r="H1480" s="10"/>
    </row>
    <row r="1481" customFormat="false" ht="15" hidden="false" customHeight="true" outlineLevel="0" collapsed="false">
      <c r="A1481" s="13"/>
      <c r="B1481" s="10"/>
      <c r="C1481" s="12" t="str">
        <f aca="false">IF($B1481="","",IFERROR(INDEX(반품접수!$E$3:$E$1002,MATCH($B1481,반품접수!$A$3:$A$1002,0)),"접수번호없음"))</f>
        <v/>
      </c>
      <c r="D1481" s="10"/>
      <c r="E1481" s="14"/>
      <c r="F1481" s="10"/>
      <c r="G1481" s="16"/>
      <c r="H1481" s="10"/>
    </row>
    <row r="1482" customFormat="false" ht="15" hidden="false" customHeight="true" outlineLevel="0" collapsed="false">
      <c r="A1482" s="13"/>
      <c r="B1482" s="10"/>
      <c r="C1482" s="12" t="str">
        <f aca="false">IF($B1482="","",IFERROR(INDEX(반품접수!$E$3:$E$1002,MATCH($B1482,반품접수!$A$3:$A$1002,0)),"접수번호없음"))</f>
        <v/>
      </c>
      <c r="D1482" s="10"/>
      <c r="E1482" s="14"/>
      <c r="F1482" s="10"/>
      <c r="G1482" s="16"/>
      <c r="H1482" s="10"/>
    </row>
    <row r="1483" customFormat="false" ht="15" hidden="false" customHeight="true" outlineLevel="0" collapsed="false">
      <c r="A1483" s="13"/>
      <c r="B1483" s="10"/>
      <c r="C1483" s="12" t="str">
        <f aca="false">IF($B1483="","",IFERROR(INDEX(반품접수!$E$3:$E$1002,MATCH($B1483,반품접수!$A$3:$A$1002,0)),"접수번호없음"))</f>
        <v/>
      </c>
      <c r="D1483" s="10"/>
      <c r="E1483" s="14"/>
      <c r="F1483" s="10"/>
      <c r="G1483" s="16"/>
      <c r="H1483" s="10"/>
    </row>
    <row r="1484" customFormat="false" ht="15" hidden="false" customHeight="true" outlineLevel="0" collapsed="false">
      <c r="A1484" s="13"/>
      <c r="B1484" s="10"/>
      <c r="C1484" s="12" t="str">
        <f aca="false">IF($B1484="","",IFERROR(INDEX(반품접수!$E$3:$E$1002,MATCH($B1484,반품접수!$A$3:$A$1002,0)),"접수번호없음"))</f>
        <v/>
      </c>
      <c r="D1484" s="10"/>
      <c r="E1484" s="14"/>
      <c r="F1484" s="10"/>
      <c r="G1484" s="16"/>
      <c r="H1484" s="10"/>
    </row>
    <row r="1485" customFormat="false" ht="15" hidden="false" customHeight="true" outlineLevel="0" collapsed="false">
      <c r="A1485" s="13"/>
      <c r="B1485" s="10"/>
      <c r="C1485" s="12" t="str">
        <f aca="false">IF($B1485="","",IFERROR(INDEX(반품접수!$E$3:$E$1002,MATCH($B1485,반품접수!$A$3:$A$1002,0)),"접수번호없음"))</f>
        <v/>
      </c>
      <c r="D1485" s="10"/>
      <c r="E1485" s="14"/>
      <c r="F1485" s="10"/>
      <c r="G1485" s="16"/>
      <c r="H1485" s="10"/>
    </row>
    <row r="1486" customFormat="false" ht="15" hidden="false" customHeight="true" outlineLevel="0" collapsed="false">
      <c r="A1486" s="13"/>
      <c r="B1486" s="10"/>
      <c r="C1486" s="12" t="str">
        <f aca="false">IF($B1486="","",IFERROR(INDEX(반품접수!$E$3:$E$1002,MATCH($B1486,반품접수!$A$3:$A$1002,0)),"접수번호없음"))</f>
        <v/>
      </c>
      <c r="D1486" s="10"/>
      <c r="E1486" s="14"/>
      <c r="F1486" s="10"/>
      <c r="G1486" s="16"/>
      <c r="H1486" s="10"/>
    </row>
    <row r="1487" customFormat="false" ht="15" hidden="false" customHeight="true" outlineLevel="0" collapsed="false">
      <c r="A1487" s="13"/>
      <c r="B1487" s="10"/>
      <c r="C1487" s="12" t="str">
        <f aca="false">IF($B1487="","",IFERROR(INDEX(반품접수!$E$3:$E$1002,MATCH($B1487,반품접수!$A$3:$A$1002,0)),"접수번호없음"))</f>
        <v/>
      </c>
      <c r="D1487" s="10"/>
      <c r="E1487" s="14"/>
      <c r="F1487" s="10"/>
      <c r="G1487" s="16"/>
      <c r="H1487" s="10"/>
    </row>
    <row r="1488" customFormat="false" ht="15" hidden="false" customHeight="true" outlineLevel="0" collapsed="false">
      <c r="A1488" s="13"/>
      <c r="B1488" s="10"/>
      <c r="C1488" s="12" t="str">
        <f aca="false">IF($B1488="","",IFERROR(INDEX(반품접수!$E$3:$E$1002,MATCH($B1488,반품접수!$A$3:$A$1002,0)),"접수번호없음"))</f>
        <v/>
      </c>
      <c r="D1488" s="10"/>
      <c r="E1488" s="14"/>
      <c r="F1488" s="10"/>
      <c r="G1488" s="16"/>
      <c r="H1488" s="10"/>
    </row>
    <row r="1489" customFormat="false" ht="15" hidden="false" customHeight="true" outlineLevel="0" collapsed="false">
      <c r="A1489" s="13"/>
      <c r="B1489" s="10"/>
      <c r="C1489" s="12" t="str">
        <f aca="false">IF($B1489="","",IFERROR(INDEX(반품접수!$E$3:$E$1002,MATCH($B1489,반품접수!$A$3:$A$1002,0)),"접수번호없음"))</f>
        <v/>
      </c>
      <c r="D1489" s="10"/>
      <c r="E1489" s="14"/>
      <c r="F1489" s="10"/>
      <c r="G1489" s="16"/>
      <c r="H1489" s="10"/>
    </row>
    <row r="1490" customFormat="false" ht="15" hidden="false" customHeight="true" outlineLevel="0" collapsed="false">
      <c r="A1490" s="13"/>
      <c r="B1490" s="10"/>
      <c r="C1490" s="12" t="str">
        <f aca="false">IF($B1490="","",IFERROR(INDEX(반품접수!$E$3:$E$1002,MATCH($B1490,반품접수!$A$3:$A$1002,0)),"접수번호없음"))</f>
        <v/>
      </c>
      <c r="D1490" s="10"/>
      <c r="E1490" s="14"/>
      <c r="F1490" s="10"/>
      <c r="G1490" s="16"/>
      <c r="H1490" s="10"/>
    </row>
    <row r="1491" customFormat="false" ht="15" hidden="false" customHeight="true" outlineLevel="0" collapsed="false">
      <c r="A1491" s="13"/>
      <c r="B1491" s="10"/>
      <c r="C1491" s="12" t="str">
        <f aca="false">IF($B1491="","",IFERROR(INDEX(반품접수!$E$3:$E$1002,MATCH($B1491,반품접수!$A$3:$A$1002,0)),"접수번호없음"))</f>
        <v/>
      </c>
      <c r="D1491" s="10"/>
      <c r="E1491" s="14"/>
      <c r="F1491" s="10"/>
      <c r="G1491" s="16"/>
      <c r="H1491" s="10"/>
    </row>
    <row r="1492" customFormat="false" ht="15" hidden="false" customHeight="true" outlineLevel="0" collapsed="false">
      <c r="A1492" s="13"/>
      <c r="B1492" s="10"/>
      <c r="C1492" s="12" t="str">
        <f aca="false">IF($B1492="","",IFERROR(INDEX(반품접수!$E$3:$E$1002,MATCH($B1492,반품접수!$A$3:$A$1002,0)),"접수번호없음"))</f>
        <v/>
      </c>
      <c r="D1492" s="10"/>
      <c r="E1492" s="14"/>
      <c r="F1492" s="10"/>
      <c r="G1492" s="16"/>
      <c r="H1492" s="10"/>
    </row>
    <row r="1493" customFormat="false" ht="15" hidden="false" customHeight="true" outlineLevel="0" collapsed="false">
      <c r="A1493" s="13"/>
      <c r="B1493" s="10"/>
      <c r="C1493" s="12" t="str">
        <f aca="false">IF($B1493="","",IFERROR(INDEX(반품접수!$E$3:$E$1002,MATCH($B1493,반품접수!$A$3:$A$1002,0)),"접수번호없음"))</f>
        <v/>
      </c>
      <c r="D1493" s="10"/>
      <c r="E1493" s="14"/>
      <c r="F1493" s="10"/>
      <c r="G1493" s="16"/>
      <c r="H1493" s="10"/>
    </row>
    <row r="1494" customFormat="false" ht="15" hidden="false" customHeight="true" outlineLevel="0" collapsed="false">
      <c r="A1494" s="13"/>
      <c r="B1494" s="10"/>
      <c r="C1494" s="12" t="str">
        <f aca="false">IF($B1494="","",IFERROR(INDEX(반품접수!$E$3:$E$1002,MATCH($B1494,반품접수!$A$3:$A$1002,0)),"접수번호없음"))</f>
        <v/>
      </c>
      <c r="D1494" s="10"/>
      <c r="E1494" s="14"/>
      <c r="F1494" s="10"/>
      <c r="G1494" s="16"/>
      <c r="H1494" s="10"/>
    </row>
    <row r="1495" customFormat="false" ht="15" hidden="false" customHeight="true" outlineLevel="0" collapsed="false">
      <c r="A1495" s="13"/>
      <c r="B1495" s="10"/>
      <c r="C1495" s="12" t="str">
        <f aca="false">IF($B1495="","",IFERROR(INDEX(반품접수!$E$3:$E$1002,MATCH($B1495,반품접수!$A$3:$A$1002,0)),"접수번호없음"))</f>
        <v/>
      </c>
      <c r="D1495" s="10"/>
      <c r="E1495" s="14"/>
      <c r="F1495" s="10"/>
      <c r="G1495" s="16"/>
      <c r="H1495" s="10"/>
    </row>
    <row r="1496" customFormat="false" ht="15" hidden="false" customHeight="true" outlineLevel="0" collapsed="false">
      <c r="A1496" s="13"/>
      <c r="B1496" s="10"/>
      <c r="C1496" s="12" t="str">
        <f aca="false">IF($B1496="","",IFERROR(INDEX(반품접수!$E$3:$E$1002,MATCH($B1496,반품접수!$A$3:$A$1002,0)),"접수번호없음"))</f>
        <v/>
      </c>
      <c r="D1496" s="10"/>
      <c r="E1496" s="14"/>
      <c r="F1496" s="10"/>
      <c r="G1496" s="16"/>
      <c r="H1496" s="10"/>
    </row>
    <row r="1497" customFormat="false" ht="15" hidden="false" customHeight="true" outlineLevel="0" collapsed="false">
      <c r="A1497" s="13"/>
      <c r="B1497" s="10"/>
      <c r="C1497" s="12" t="str">
        <f aca="false">IF($B1497="","",IFERROR(INDEX(반품접수!$E$3:$E$1002,MATCH($B1497,반품접수!$A$3:$A$1002,0)),"접수번호없음"))</f>
        <v/>
      </c>
      <c r="D1497" s="10"/>
      <c r="E1497" s="14"/>
      <c r="F1497" s="10"/>
      <c r="G1497" s="16"/>
      <c r="H1497" s="10"/>
    </row>
    <row r="1498" customFormat="false" ht="15" hidden="false" customHeight="true" outlineLevel="0" collapsed="false">
      <c r="A1498" s="13"/>
      <c r="B1498" s="10"/>
      <c r="C1498" s="12" t="str">
        <f aca="false">IF($B1498="","",IFERROR(INDEX(반품접수!$E$3:$E$1002,MATCH($B1498,반품접수!$A$3:$A$1002,0)),"접수번호없음"))</f>
        <v/>
      </c>
      <c r="D1498" s="10"/>
      <c r="E1498" s="14"/>
      <c r="F1498" s="10"/>
      <c r="G1498" s="16"/>
      <c r="H1498" s="10"/>
    </row>
    <row r="1499" customFormat="false" ht="15" hidden="false" customHeight="true" outlineLevel="0" collapsed="false">
      <c r="A1499" s="13"/>
      <c r="B1499" s="10"/>
      <c r="C1499" s="12" t="str">
        <f aca="false">IF($B1499="","",IFERROR(INDEX(반품접수!$E$3:$E$1002,MATCH($B1499,반품접수!$A$3:$A$1002,0)),"접수번호없음"))</f>
        <v/>
      </c>
      <c r="D1499" s="10"/>
      <c r="E1499" s="14"/>
      <c r="F1499" s="10"/>
      <c r="G1499" s="16"/>
      <c r="H1499" s="10"/>
    </row>
    <row r="1500" customFormat="false" ht="15" hidden="false" customHeight="true" outlineLevel="0" collapsed="false">
      <c r="A1500" s="13"/>
      <c r="B1500" s="10"/>
      <c r="C1500" s="12" t="str">
        <f aca="false">IF($B1500="","",IFERROR(INDEX(반품접수!$E$3:$E$1002,MATCH($B1500,반품접수!$A$3:$A$1002,0)),"접수번호없음"))</f>
        <v/>
      </c>
      <c r="D1500" s="10"/>
      <c r="E1500" s="14"/>
      <c r="F1500" s="10"/>
      <c r="G1500" s="16"/>
      <c r="H1500" s="10"/>
    </row>
    <row r="1501" customFormat="false" ht="15" hidden="false" customHeight="true" outlineLevel="0" collapsed="false">
      <c r="A1501" s="13"/>
      <c r="B1501" s="10"/>
      <c r="C1501" s="12" t="str">
        <f aca="false">IF($B1501="","",IFERROR(INDEX(반품접수!$E$3:$E$1002,MATCH($B1501,반품접수!$A$3:$A$1002,0)),"접수번호없음"))</f>
        <v/>
      </c>
      <c r="D1501" s="10"/>
      <c r="E1501" s="14"/>
      <c r="F1501" s="10"/>
      <c r="G1501" s="16"/>
      <c r="H1501" s="10"/>
    </row>
    <row r="1502" customFormat="false" ht="15" hidden="false" customHeight="true" outlineLevel="0" collapsed="false">
      <c r="A1502" s="13"/>
      <c r="B1502" s="10"/>
      <c r="C1502" s="12" t="str">
        <f aca="false">IF($B1502="","",IFERROR(INDEX(반품접수!$E$3:$E$1002,MATCH($B1502,반품접수!$A$3:$A$1002,0)),"접수번호없음"))</f>
        <v/>
      </c>
      <c r="D1502" s="10"/>
      <c r="E1502" s="14"/>
      <c r="F1502" s="10"/>
      <c r="G1502" s="16"/>
      <c r="H1502" s="10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B3:B1502" type="list">
      <formula1>반품접수!$A$3:$A$1002</formula1>
      <formula2>0</formula2>
    </dataValidation>
    <dataValidation allowBlank="true" errorStyle="stop" operator="between" showDropDown="false" showErrorMessage="false" showInputMessage="false" sqref="D3:D1502" type="list">
      <formula1>"재입고,폐기,수리,교환출고,반송,보상처리"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4" min="3" style="1" width="13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9" min="7" style="1" width="13"/>
    <col collapsed="false" customWidth="true" hidden="false" outlineLevel="0" max="12" min="11" style="1" width="12"/>
    <col collapsed="false" customWidth="true" hidden="false" outlineLevel="0" max="13" min="13" style="1" width="13"/>
  </cols>
  <sheetData>
    <row r="1" customFormat="false" ht="25.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87</v>
      </c>
      <c r="B3" s="17" t="n">
        <f aca="false">COUNTIF(반품접수!$O$3:$O$1002,"미처리")+COUNTIF(반품접수!$O$3:$O$1002,"부분처리")</f>
        <v>3</v>
      </c>
      <c r="D3" s="3" t="s">
        <v>88</v>
      </c>
      <c r="E3" s="17" t="n">
        <f aca="true">SUMPRODUCT((반품접수!$O$3:$O$1002&lt;&gt;"완료")*(반품접수!$O$3:$O$1002&lt;&gt;"")*((TODAY()-반품접수!$B$3:$B$1002)&gt;사용안내!$C$17))</f>
        <v>1</v>
      </c>
      <c r="G3" s="3" t="s">
        <v>89</v>
      </c>
      <c r="H3" s="18" t="n">
        <f aca="false">SUMIFS(반품접수!$N$3:$N$1002,반품접수!$O$3:$O$1002,"미처리")+SUMIFS(반품접수!$N$3:$N$1002,반품접수!$O$3:$O$1002,"부분처리")</f>
        <v>202</v>
      </c>
    </row>
    <row r="5" customFormat="false" ht="15" hidden="false" customHeight="true" outlineLevel="0" collapsed="false">
      <c r="A5" s="8" t="s">
        <v>90</v>
      </c>
      <c r="B5" s="8" t="s">
        <v>80</v>
      </c>
      <c r="C5" s="8" t="s">
        <v>66</v>
      </c>
      <c r="D5" s="8" t="s">
        <v>91</v>
      </c>
      <c r="E5" s="8" t="s">
        <v>26</v>
      </c>
      <c r="F5" s="8" t="s">
        <v>43</v>
      </c>
      <c r="G5" s="8" t="s">
        <v>71</v>
      </c>
      <c r="H5" s="8" t="s">
        <v>92</v>
      </c>
      <c r="I5" s="8" t="s">
        <v>93</v>
      </c>
      <c r="K5" s="6" t="s">
        <v>94</v>
      </c>
      <c r="L5" s="6" t="s">
        <v>95</v>
      </c>
      <c r="M5" s="6" t="s">
        <v>96</v>
      </c>
    </row>
    <row r="6" customFormat="false" ht="15" hidden="false" customHeight="true" outlineLevel="0" collapsed="false">
      <c r="A6" s="19" t="n">
        <f aca="false">IF($B6="","",1)</f>
        <v>1</v>
      </c>
      <c r="B6" s="12" t="str">
        <f aca="false">IFERROR(INDEX(반품접수!$A$3:$A$1002,MATCH("R"&amp;1,미처리현황!$M$6:$M$1005,0)),"")</f>
        <v>2608-001</v>
      </c>
      <c r="C6" s="20" t="n">
        <f aca="false">IF($B6="","",IFERROR(INDEX(반품접수!$B$3:$B$1002,MATCH("R"&amp;1,미처리현황!$M$6:$M$1005,0)),""))</f>
        <v>46262</v>
      </c>
      <c r="D6" s="19" t="n">
        <f aca="true">IF($C6="","",TODAY()-$C6)</f>
        <v>17</v>
      </c>
      <c r="E6" s="12" t="str">
        <f aca="false">IF($B6="","",IFERROR(INDEX(반품접수!$C$3:$C$1002,MATCH("R"&amp;1,미처리현황!$M$6:$M$1005,0)),""))</f>
        <v>○○소재</v>
      </c>
      <c r="F6" s="12" t="str">
        <f aca="false">IF($B6="","",IFERROR(INDEX(반품접수!$E$3:$E$1002,MATCH("R"&amp;1,미처리현황!$M$6:$M$1005,0)),""))</f>
        <v>원단 롤</v>
      </c>
      <c r="G6" s="15" t="n">
        <f aca="false">IF($B6="","",IFERROR(INDEX(반품접수!$I$3:$I$1002,MATCH("R"&amp;1,미처리현황!$M$6:$M$1005,0)),""))</f>
        <v>3</v>
      </c>
      <c r="H6" s="15" t="n">
        <f aca="false">IF($B6="","",IFERROR(INDEX(반품접수!$N$3:$N$1002,MATCH("R"&amp;1,미처리현황!$M$6:$M$1005,0)),""))</f>
        <v>1</v>
      </c>
      <c r="I6" s="19" t="str">
        <f aca="false">IF($B6="","",IFERROR(INDEX(반품접수!$O$3:$O$1002,MATCH("R"&amp;1,미처리현황!$M$6:$M$1005,0)),""))</f>
        <v>부분처리</v>
      </c>
      <c r="K6" s="21" t="b">
        <f aca="false">IF(반품접수!$A3="",FALSE(),OR(반품접수!$O3="미처리",반품접수!$O3="부분처리"))</f>
        <v>1</v>
      </c>
      <c r="L6" s="6" t="n">
        <f aca="false">IF($K6=FALSE(),"",COUNTIF($K$6:$K6,TRUE()))</f>
        <v>1</v>
      </c>
      <c r="M6" s="6" t="str">
        <f aca="false">IF($L6="","","R"&amp;$L6)</f>
        <v>R1</v>
      </c>
    </row>
    <row r="7" customFormat="false" ht="15" hidden="false" customHeight="true" outlineLevel="0" collapsed="false">
      <c r="A7" s="19" t="n">
        <f aca="false">IF($B7="","",2)</f>
        <v>2</v>
      </c>
      <c r="B7" s="12" t="str">
        <f aca="false">IFERROR(INDEX(반품접수!$A$3:$A$1002,MATCH("R"&amp;2,미처리현황!$M$6:$M$1005,0)),"")</f>
        <v>2609-003</v>
      </c>
      <c r="C7" s="20" t="n">
        <f aca="false">IF($B7="","",IFERROR(INDEX(반품접수!$B$3:$B$1002,MATCH("R"&amp;2,미처리현황!$M$6:$M$1005,0)),""))</f>
        <v>46274</v>
      </c>
      <c r="D7" s="19" t="n">
        <f aca="true">IF($C7="","",TODAY()-$C7)</f>
        <v>5</v>
      </c>
      <c r="E7" s="12" t="str">
        <f aca="false">IF($B7="","",IFERROR(INDEX(반품접수!$C$3:$C$1002,MATCH("R"&amp;2,미처리현황!$M$6:$M$1005,0)),""))</f>
        <v>□□유통</v>
      </c>
      <c r="F7" s="12" t="str">
        <f aca="false">IF($B7="","",IFERROR(INDEX(반품접수!$E$3:$E$1002,MATCH("R"&amp;2,미처리현황!$M$6:$M$1005,0)),""))</f>
        <v>라벨 스티커</v>
      </c>
      <c r="G7" s="15" t="n">
        <f aca="false">IF($B7="","",IFERROR(INDEX(반품접수!$I$3:$I$1002,MATCH("R"&amp;2,미처리현황!$M$6:$M$1005,0)),""))</f>
        <v>200</v>
      </c>
      <c r="H7" s="15" t="n">
        <f aca="false">IF($B7="","",IFERROR(INDEX(반품접수!$N$3:$N$1002,MATCH("R"&amp;2,미처리현황!$M$6:$M$1005,0)),""))</f>
        <v>200</v>
      </c>
      <c r="I7" s="19" t="str">
        <f aca="false">IF($B7="","",IFERROR(INDEX(반품접수!$O$3:$O$1002,MATCH("R"&amp;2,미처리현황!$M$6:$M$1005,0)),""))</f>
        <v>미처리</v>
      </c>
      <c r="K7" s="21" t="b">
        <f aca="false">IF(반품접수!$A4="",FALSE(),OR(반품접수!$O4="미처리",반품접수!$O4="부분처리"))</f>
        <v>0</v>
      </c>
      <c r="L7" s="6" t="str">
        <f aca="false">IF($K7=FALSE(),"",COUNTIF($K$6:$K7,TRUE()))</f>
        <v/>
      </c>
      <c r="M7" s="6" t="str">
        <f aca="false">IF($L7="","","R"&amp;$L7)</f>
        <v/>
      </c>
    </row>
    <row r="8" customFormat="false" ht="15" hidden="false" customHeight="true" outlineLevel="0" collapsed="false">
      <c r="A8" s="19" t="n">
        <f aca="false">IF($B8="","",3)</f>
        <v>3</v>
      </c>
      <c r="B8" s="12" t="str">
        <f aca="false">IFERROR(INDEX(반품접수!$A$3:$A$1002,MATCH("R"&amp;3,미처리현황!$M$6:$M$1005,0)),"")</f>
        <v>2609-004</v>
      </c>
      <c r="C8" s="20" t="n">
        <f aca="false">IF($B8="","",IFERROR(INDEX(반품접수!$B$3:$B$1002,MATCH("R"&amp;3,미처리현황!$M$6:$M$1005,0)),""))</f>
        <v>46277</v>
      </c>
      <c r="D8" s="19" t="n">
        <f aca="true">IF($C8="","",TODAY()-$C8)</f>
        <v>2</v>
      </c>
      <c r="E8" s="12" t="str">
        <f aca="false">IF($B8="","",IFERROR(INDEX(반품접수!$C$3:$C$1002,MATCH("R"&amp;3,미처리현황!$M$6:$M$1005,0)),""))</f>
        <v>○○소재</v>
      </c>
      <c r="F8" s="12" t="str">
        <f aca="false">IF($B8="","",IFERROR(INDEX(반품접수!$E$3:$E$1002,MATCH("R"&amp;3,미처리현황!$M$6:$M$1005,0)),""))</f>
        <v>원단 롤</v>
      </c>
      <c r="G8" s="15" t="n">
        <f aca="false">IF($B8="","",IFERROR(INDEX(반품접수!$I$3:$I$1002,MATCH("R"&amp;3,미처리현황!$M$6:$M$1005,0)),""))</f>
        <v>1</v>
      </c>
      <c r="H8" s="15" t="n">
        <f aca="false">IF($B8="","",IFERROR(INDEX(반품접수!$N$3:$N$1002,MATCH("R"&amp;3,미처리현황!$M$6:$M$1005,0)),""))</f>
        <v>1</v>
      </c>
      <c r="I8" s="19" t="str">
        <f aca="false">IF($B8="","",IFERROR(INDEX(반품접수!$O$3:$O$1002,MATCH("R"&amp;3,미처리현황!$M$6:$M$1005,0)),""))</f>
        <v>미처리</v>
      </c>
      <c r="K8" s="21" t="b">
        <f aca="false">IF(반품접수!$A5="",FALSE(),OR(반품접수!$O5="미처리",반품접수!$O5="부분처리"))</f>
        <v>0</v>
      </c>
      <c r="L8" s="6" t="str">
        <f aca="false">IF($K8=FALSE(),"",COUNTIF($K$6:$K8,TRUE()))</f>
        <v/>
      </c>
      <c r="M8" s="6" t="str">
        <f aca="false">IF($L8="","","R"&amp;$L8)</f>
        <v/>
      </c>
    </row>
    <row r="9" customFormat="false" ht="15" hidden="false" customHeight="true" outlineLevel="0" collapsed="false">
      <c r="A9" s="19" t="str">
        <f aca="false">IF($B9="","",4)</f>
        <v/>
      </c>
      <c r="B9" s="12" t="str">
        <f aca="false">IFERROR(INDEX(반품접수!$A$3:$A$1002,MATCH("R"&amp;4,미처리현황!$M$6:$M$1005,0)),"")</f>
        <v/>
      </c>
      <c r="C9" s="20" t="str">
        <f aca="false">IF($B9="","",IFERROR(INDEX(반품접수!$B$3:$B$1002,MATCH("R"&amp;4,미처리현황!$M$6:$M$1005,0)),""))</f>
        <v/>
      </c>
      <c r="D9" s="19" t="str">
        <f aca="true">IF($C9="","",TODAY()-$C9)</f>
        <v/>
      </c>
      <c r="E9" s="12" t="str">
        <f aca="false">IF($B9="","",IFERROR(INDEX(반품접수!$C$3:$C$1002,MATCH("R"&amp;4,미처리현황!$M$6:$M$1005,0)),""))</f>
        <v/>
      </c>
      <c r="F9" s="12" t="str">
        <f aca="false">IF($B9="","",IFERROR(INDEX(반품접수!$E$3:$E$1002,MATCH("R"&amp;4,미처리현황!$M$6:$M$1005,0)),""))</f>
        <v/>
      </c>
      <c r="G9" s="15" t="str">
        <f aca="false">IF($B9="","",IFERROR(INDEX(반품접수!$I$3:$I$1002,MATCH("R"&amp;4,미처리현황!$M$6:$M$1005,0)),""))</f>
        <v/>
      </c>
      <c r="H9" s="15" t="str">
        <f aca="false">IF($B9="","",IFERROR(INDEX(반품접수!$N$3:$N$1002,MATCH("R"&amp;4,미처리현황!$M$6:$M$1005,0)),""))</f>
        <v/>
      </c>
      <c r="I9" s="19" t="str">
        <f aca="false">IF($B9="","",IFERROR(INDEX(반품접수!$O$3:$O$1002,MATCH("R"&amp;4,미처리현황!$M$6:$M$1005,0)),""))</f>
        <v/>
      </c>
      <c r="K9" s="21" t="b">
        <f aca="false">IF(반품접수!$A6="",FALSE(),OR(반품접수!$O6="미처리",반품접수!$O6="부분처리"))</f>
        <v>1</v>
      </c>
      <c r="L9" s="6" t="n">
        <f aca="false">IF($K9=FALSE(),"",COUNTIF($K$6:$K9,TRUE()))</f>
        <v>2</v>
      </c>
      <c r="M9" s="6" t="str">
        <f aca="false">IF($L9="","","R"&amp;$L9)</f>
        <v>R2</v>
      </c>
    </row>
    <row r="10" customFormat="false" ht="15" hidden="false" customHeight="true" outlineLevel="0" collapsed="false">
      <c r="A10" s="19" t="str">
        <f aca="false">IF($B10="","",5)</f>
        <v/>
      </c>
      <c r="B10" s="12" t="str">
        <f aca="false">IFERROR(INDEX(반품접수!$A$3:$A$1002,MATCH("R"&amp;5,미처리현황!$M$6:$M$1005,0)),"")</f>
        <v/>
      </c>
      <c r="C10" s="20" t="str">
        <f aca="false">IF($B10="","",IFERROR(INDEX(반품접수!$B$3:$B$1002,MATCH("R"&amp;5,미처리현황!$M$6:$M$1005,0)),""))</f>
        <v/>
      </c>
      <c r="D10" s="19" t="str">
        <f aca="true">IF($C10="","",TODAY()-$C10)</f>
        <v/>
      </c>
      <c r="E10" s="12" t="str">
        <f aca="false">IF($B10="","",IFERROR(INDEX(반품접수!$C$3:$C$1002,MATCH("R"&amp;5,미처리현황!$M$6:$M$1005,0)),""))</f>
        <v/>
      </c>
      <c r="F10" s="12" t="str">
        <f aca="false">IF($B10="","",IFERROR(INDEX(반품접수!$E$3:$E$1002,MATCH("R"&amp;5,미처리현황!$M$6:$M$1005,0)),""))</f>
        <v/>
      </c>
      <c r="G10" s="15" t="str">
        <f aca="false">IF($B10="","",IFERROR(INDEX(반품접수!$I$3:$I$1002,MATCH("R"&amp;5,미처리현황!$M$6:$M$1005,0)),""))</f>
        <v/>
      </c>
      <c r="H10" s="15" t="str">
        <f aca="false">IF($B10="","",IFERROR(INDEX(반품접수!$N$3:$N$1002,MATCH("R"&amp;5,미처리현황!$M$6:$M$1005,0)),""))</f>
        <v/>
      </c>
      <c r="I10" s="19" t="str">
        <f aca="false">IF($B10="","",IFERROR(INDEX(반품접수!$O$3:$O$1002,MATCH("R"&amp;5,미처리현황!$M$6:$M$1005,0)),""))</f>
        <v/>
      </c>
      <c r="K10" s="21" t="b">
        <f aca="false">IF(반품접수!$A7="",FALSE(),OR(반품접수!$O7="미처리",반품접수!$O7="부분처리"))</f>
        <v>1</v>
      </c>
      <c r="L10" s="6" t="n">
        <f aca="false">IF($K10=FALSE(),"",COUNTIF($K$6:$K10,TRUE()))</f>
        <v>3</v>
      </c>
      <c r="M10" s="6" t="str">
        <f aca="false">IF($L10="","","R"&amp;$L10)</f>
        <v>R3</v>
      </c>
    </row>
    <row r="11" customFormat="false" ht="15" hidden="false" customHeight="true" outlineLevel="0" collapsed="false">
      <c r="A11" s="19" t="str">
        <f aca="false">IF($B11="","",6)</f>
        <v/>
      </c>
      <c r="B11" s="12" t="str">
        <f aca="false">IFERROR(INDEX(반품접수!$A$3:$A$1002,MATCH("R"&amp;6,미처리현황!$M$6:$M$1005,0)),"")</f>
        <v/>
      </c>
      <c r="C11" s="20" t="str">
        <f aca="false">IF($B11="","",IFERROR(INDEX(반품접수!$B$3:$B$1002,MATCH("R"&amp;6,미처리현황!$M$6:$M$1005,0)),""))</f>
        <v/>
      </c>
      <c r="D11" s="19" t="str">
        <f aca="true">IF($C11="","",TODAY()-$C11)</f>
        <v/>
      </c>
      <c r="E11" s="12" t="str">
        <f aca="false">IF($B11="","",IFERROR(INDEX(반품접수!$C$3:$C$1002,MATCH("R"&amp;6,미처리현황!$M$6:$M$1005,0)),""))</f>
        <v/>
      </c>
      <c r="F11" s="12" t="str">
        <f aca="false">IF($B11="","",IFERROR(INDEX(반품접수!$E$3:$E$1002,MATCH("R"&amp;6,미처리현황!$M$6:$M$1005,0)),""))</f>
        <v/>
      </c>
      <c r="G11" s="15" t="str">
        <f aca="false">IF($B11="","",IFERROR(INDEX(반품접수!$I$3:$I$1002,MATCH("R"&amp;6,미처리현황!$M$6:$M$1005,0)),""))</f>
        <v/>
      </c>
      <c r="H11" s="15" t="str">
        <f aca="false">IF($B11="","",IFERROR(INDEX(반품접수!$N$3:$N$1002,MATCH("R"&amp;6,미처리현황!$M$6:$M$1005,0)),""))</f>
        <v/>
      </c>
      <c r="I11" s="19" t="str">
        <f aca="false">IF($B11="","",IFERROR(INDEX(반품접수!$O$3:$O$1002,MATCH("R"&amp;6,미처리현황!$M$6:$M$1005,0)),""))</f>
        <v/>
      </c>
      <c r="K11" s="21" t="b">
        <f aca="false">IF(반품접수!$A8="",FALSE(),OR(반품접수!$O8="미처리",반품접수!$O8="부분처리"))</f>
        <v>0</v>
      </c>
      <c r="L11" s="6" t="str">
        <f aca="false">IF($K11=FALSE(),"",COUNTIF($K$6:$K11,TRUE()))</f>
        <v/>
      </c>
      <c r="M11" s="6" t="str">
        <f aca="false">IF($L11="","","R"&amp;$L11)</f>
        <v/>
      </c>
    </row>
    <row r="12" customFormat="false" ht="15" hidden="false" customHeight="true" outlineLevel="0" collapsed="false">
      <c r="A12" s="19" t="str">
        <f aca="false">IF($B12="","",7)</f>
        <v/>
      </c>
      <c r="B12" s="12" t="str">
        <f aca="false">IFERROR(INDEX(반품접수!$A$3:$A$1002,MATCH("R"&amp;7,미처리현황!$M$6:$M$1005,0)),"")</f>
        <v/>
      </c>
      <c r="C12" s="20" t="str">
        <f aca="false">IF($B12="","",IFERROR(INDEX(반품접수!$B$3:$B$1002,MATCH("R"&amp;7,미처리현황!$M$6:$M$1005,0)),""))</f>
        <v/>
      </c>
      <c r="D12" s="19" t="str">
        <f aca="true">IF($C12="","",TODAY()-$C12)</f>
        <v/>
      </c>
      <c r="E12" s="12" t="str">
        <f aca="false">IF($B12="","",IFERROR(INDEX(반품접수!$C$3:$C$1002,MATCH("R"&amp;7,미처리현황!$M$6:$M$1005,0)),""))</f>
        <v/>
      </c>
      <c r="F12" s="12" t="str">
        <f aca="false">IF($B12="","",IFERROR(INDEX(반품접수!$E$3:$E$1002,MATCH("R"&amp;7,미처리현황!$M$6:$M$1005,0)),""))</f>
        <v/>
      </c>
      <c r="G12" s="15" t="str">
        <f aca="false">IF($B12="","",IFERROR(INDEX(반품접수!$I$3:$I$1002,MATCH("R"&amp;7,미처리현황!$M$6:$M$1005,0)),""))</f>
        <v/>
      </c>
      <c r="H12" s="15" t="str">
        <f aca="false">IF($B12="","",IFERROR(INDEX(반품접수!$N$3:$N$1002,MATCH("R"&amp;7,미처리현황!$M$6:$M$1005,0)),""))</f>
        <v/>
      </c>
      <c r="I12" s="19" t="str">
        <f aca="false">IF($B12="","",IFERROR(INDEX(반품접수!$O$3:$O$1002,MATCH("R"&amp;7,미처리현황!$M$6:$M$1005,0)),""))</f>
        <v/>
      </c>
      <c r="K12" s="21" t="b">
        <f aca="false">IF(반품접수!$A9="",FALSE(),OR(반품접수!$O9="미처리",반품접수!$O9="부분처리"))</f>
        <v>0</v>
      </c>
      <c r="L12" s="6" t="str">
        <f aca="false">IF($K12=FALSE(),"",COUNTIF($K$6:$K12,TRUE()))</f>
        <v/>
      </c>
      <c r="M12" s="6" t="str">
        <f aca="false">IF($L12="","","R"&amp;$L12)</f>
        <v/>
      </c>
    </row>
    <row r="13" customFormat="false" ht="15" hidden="false" customHeight="true" outlineLevel="0" collapsed="false">
      <c r="A13" s="19" t="str">
        <f aca="false">IF($B13="","",8)</f>
        <v/>
      </c>
      <c r="B13" s="12" t="str">
        <f aca="false">IFERROR(INDEX(반품접수!$A$3:$A$1002,MATCH("R"&amp;8,미처리현황!$M$6:$M$1005,0)),"")</f>
        <v/>
      </c>
      <c r="C13" s="20" t="str">
        <f aca="false">IF($B13="","",IFERROR(INDEX(반품접수!$B$3:$B$1002,MATCH("R"&amp;8,미처리현황!$M$6:$M$1005,0)),""))</f>
        <v/>
      </c>
      <c r="D13" s="19" t="str">
        <f aca="true">IF($C13="","",TODAY()-$C13)</f>
        <v/>
      </c>
      <c r="E13" s="12" t="str">
        <f aca="false">IF($B13="","",IFERROR(INDEX(반품접수!$C$3:$C$1002,MATCH("R"&amp;8,미처리현황!$M$6:$M$1005,0)),""))</f>
        <v/>
      </c>
      <c r="F13" s="12" t="str">
        <f aca="false">IF($B13="","",IFERROR(INDEX(반품접수!$E$3:$E$1002,MATCH("R"&amp;8,미처리현황!$M$6:$M$1005,0)),""))</f>
        <v/>
      </c>
      <c r="G13" s="15" t="str">
        <f aca="false">IF($B13="","",IFERROR(INDEX(반품접수!$I$3:$I$1002,MATCH("R"&amp;8,미처리현황!$M$6:$M$1005,0)),""))</f>
        <v/>
      </c>
      <c r="H13" s="15" t="str">
        <f aca="false">IF($B13="","",IFERROR(INDEX(반품접수!$N$3:$N$1002,MATCH("R"&amp;8,미처리현황!$M$6:$M$1005,0)),""))</f>
        <v/>
      </c>
      <c r="I13" s="19" t="str">
        <f aca="false">IF($B13="","",IFERROR(INDEX(반품접수!$O$3:$O$1002,MATCH("R"&amp;8,미처리현황!$M$6:$M$1005,0)),""))</f>
        <v/>
      </c>
      <c r="K13" s="21" t="b">
        <f aca="false">IF(반품접수!$A10="",FALSE(),OR(반품접수!$O10="미처리",반품접수!$O10="부분처리"))</f>
        <v>0</v>
      </c>
      <c r="L13" s="6" t="str">
        <f aca="false">IF($K13=FALSE(),"",COUNTIF($K$6:$K13,TRUE()))</f>
        <v/>
      </c>
      <c r="M13" s="6" t="str">
        <f aca="false">IF($L13="","","R"&amp;$L13)</f>
        <v/>
      </c>
    </row>
    <row r="14" customFormat="false" ht="15" hidden="false" customHeight="true" outlineLevel="0" collapsed="false">
      <c r="A14" s="19" t="str">
        <f aca="false">IF($B14="","",9)</f>
        <v/>
      </c>
      <c r="B14" s="12" t="str">
        <f aca="false">IFERROR(INDEX(반품접수!$A$3:$A$1002,MATCH("R"&amp;9,미처리현황!$M$6:$M$1005,0)),"")</f>
        <v/>
      </c>
      <c r="C14" s="20" t="str">
        <f aca="false">IF($B14="","",IFERROR(INDEX(반품접수!$B$3:$B$1002,MATCH("R"&amp;9,미처리현황!$M$6:$M$1005,0)),""))</f>
        <v/>
      </c>
      <c r="D14" s="19" t="str">
        <f aca="true">IF($C14="","",TODAY()-$C14)</f>
        <v/>
      </c>
      <c r="E14" s="12" t="str">
        <f aca="false">IF($B14="","",IFERROR(INDEX(반품접수!$C$3:$C$1002,MATCH("R"&amp;9,미처리현황!$M$6:$M$1005,0)),""))</f>
        <v/>
      </c>
      <c r="F14" s="12" t="str">
        <f aca="false">IF($B14="","",IFERROR(INDEX(반품접수!$E$3:$E$1002,MATCH("R"&amp;9,미처리현황!$M$6:$M$1005,0)),""))</f>
        <v/>
      </c>
      <c r="G14" s="15" t="str">
        <f aca="false">IF($B14="","",IFERROR(INDEX(반품접수!$I$3:$I$1002,MATCH("R"&amp;9,미처리현황!$M$6:$M$1005,0)),""))</f>
        <v/>
      </c>
      <c r="H14" s="15" t="str">
        <f aca="false">IF($B14="","",IFERROR(INDEX(반품접수!$N$3:$N$1002,MATCH("R"&amp;9,미처리현황!$M$6:$M$1005,0)),""))</f>
        <v/>
      </c>
      <c r="I14" s="19" t="str">
        <f aca="false">IF($B14="","",IFERROR(INDEX(반품접수!$O$3:$O$1002,MATCH("R"&amp;9,미처리현황!$M$6:$M$1005,0)),""))</f>
        <v/>
      </c>
      <c r="K14" s="21" t="b">
        <f aca="false">IF(반품접수!$A11="",FALSE(),OR(반품접수!$O11="미처리",반품접수!$O11="부분처리"))</f>
        <v>0</v>
      </c>
      <c r="L14" s="6" t="str">
        <f aca="false">IF($K14=FALSE(),"",COUNTIF($K$6:$K14,TRUE()))</f>
        <v/>
      </c>
      <c r="M14" s="6" t="str">
        <f aca="false">IF($L14="","","R"&amp;$L14)</f>
        <v/>
      </c>
    </row>
    <row r="15" customFormat="false" ht="15" hidden="false" customHeight="true" outlineLevel="0" collapsed="false">
      <c r="A15" s="19" t="str">
        <f aca="false">IF($B15="","",10)</f>
        <v/>
      </c>
      <c r="B15" s="12" t="str">
        <f aca="false">IFERROR(INDEX(반품접수!$A$3:$A$1002,MATCH("R"&amp;10,미처리현황!$M$6:$M$1005,0)),"")</f>
        <v/>
      </c>
      <c r="C15" s="20" t="str">
        <f aca="false">IF($B15="","",IFERROR(INDEX(반품접수!$B$3:$B$1002,MATCH("R"&amp;10,미처리현황!$M$6:$M$1005,0)),""))</f>
        <v/>
      </c>
      <c r="D15" s="19" t="str">
        <f aca="true">IF($C15="","",TODAY()-$C15)</f>
        <v/>
      </c>
      <c r="E15" s="12" t="str">
        <f aca="false">IF($B15="","",IFERROR(INDEX(반품접수!$C$3:$C$1002,MATCH("R"&amp;10,미처리현황!$M$6:$M$1005,0)),""))</f>
        <v/>
      </c>
      <c r="F15" s="12" t="str">
        <f aca="false">IF($B15="","",IFERROR(INDEX(반품접수!$E$3:$E$1002,MATCH("R"&amp;10,미처리현황!$M$6:$M$1005,0)),""))</f>
        <v/>
      </c>
      <c r="G15" s="15" t="str">
        <f aca="false">IF($B15="","",IFERROR(INDEX(반품접수!$I$3:$I$1002,MATCH("R"&amp;10,미처리현황!$M$6:$M$1005,0)),""))</f>
        <v/>
      </c>
      <c r="H15" s="15" t="str">
        <f aca="false">IF($B15="","",IFERROR(INDEX(반품접수!$N$3:$N$1002,MATCH("R"&amp;10,미처리현황!$M$6:$M$1005,0)),""))</f>
        <v/>
      </c>
      <c r="I15" s="19" t="str">
        <f aca="false">IF($B15="","",IFERROR(INDEX(반품접수!$O$3:$O$1002,MATCH("R"&amp;10,미처리현황!$M$6:$M$1005,0)),""))</f>
        <v/>
      </c>
      <c r="K15" s="21" t="b">
        <f aca="false">IF(반품접수!$A12="",FALSE(),OR(반품접수!$O12="미처리",반품접수!$O12="부분처리"))</f>
        <v>0</v>
      </c>
      <c r="L15" s="6" t="str">
        <f aca="false">IF($K15=FALSE(),"",COUNTIF($K$6:$K15,TRUE()))</f>
        <v/>
      </c>
      <c r="M15" s="6" t="str">
        <f aca="false">IF($L15="","","R"&amp;$L15)</f>
        <v/>
      </c>
    </row>
    <row r="16" customFormat="false" ht="15" hidden="false" customHeight="true" outlineLevel="0" collapsed="false">
      <c r="A16" s="19" t="str">
        <f aca="false">IF($B16="","",11)</f>
        <v/>
      </c>
      <c r="B16" s="12" t="str">
        <f aca="false">IFERROR(INDEX(반품접수!$A$3:$A$1002,MATCH("R"&amp;11,미처리현황!$M$6:$M$1005,0)),"")</f>
        <v/>
      </c>
      <c r="C16" s="20" t="str">
        <f aca="false">IF($B16="","",IFERROR(INDEX(반품접수!$B$3:$B$1002,MATCH("R"&amp;11,미처리현황!$M$6:$M$1005,0)),""))</f>
        <v/>
      </c>
      <c r="D16" s="19" t="str">
        <f aca="true">IF($C16="","",TODAY()-$C16)</f>
        <v/>
      </c>
      <c r="E16" s="12" t="str">
        <f aca="false">IF($B16="","",IFERROR(INDEX(반품접수!$C$3:$C$1002,MATCH("R"&amp;11,미처리현황!$M$6:$M$1005,0)),""))</f>
        <v/>
      </c>
      <c r="F16" s="12" t="str">
        <f aca="false">IF($B16="","",IFERROR(INDEX(반품접수!$E$3:$E$1002,MATCH("R"&amp;11,미처리현황!$M$6:$M$1005,0)),""))</f>
        <v/>
      </c>
      <c r="G16" s="15" t="str">
        <f aca="false">IF($B16="","",IFERROR(INDEX(반품접수!$I$3:$I$1002,MATCH("R"&amp;11,미처리현황!$M$6:$M$1005,0)),""))</f>
        <v/>
      </c>
      <c r="H16" s="15" t="str">
        <f aca="false">IF($B16="","",IFERROR(INDEX(반품접수!$N$3:$N$1002,MATCH("R"&amp;11,미처리현황!$M$6:$M$1005,0)),""))</f>
        <v/>
      </c>
      <c r="I16" s="19" t="str">
        <f aca="false">IF($B16="","",IFERROR(INDEX(반품접수!$O$3:$O$1002,MATCH("R"&amp;11,미처리현황!$M$6:$M$1005,0)),""))</f>
        <v/>
      </c>
      <c r="K16" s="21" t="b">
        <f aca="false">IF(반품접수!$A13="",FALSE(),OR(반품접수!$O13="미처리",반품접수!$O13="부분처리"))</f>
        <v>0</v>
      </c>
      <c r="L16" s="6" t="str">
        <f aca="false">IF($K16=FALSE(),"",COUNTIF($K$6:$K16,TRUE()))</f>
        <v/>
      </c>
      <c r="M16" s="6" t="str">
        <f aca="false">IF($L16="","","R"&amp;$L16)</f>
        <v/>
      </c>
    </row>
    <row r="17" customFormat="false" ht="15" hidden="false" customHeight="true" outlineLevel="0" collapsed="false">
      <c r="A17" s="19" t="str">
        <f aca="false">IF($B17="","",12)</f>
        <v/>
      </c>
      <c r="B17" s="12" t="str">
        <f aca="false">IFERROR(INDEX(반품접수!$A$3:$A$1002,MATCH("R"&amp;12,미처리현황!$M$6:$M$1005,0)),"")</f>
        <v/>
      </c>
      <c r="C17" s="20" t="str">
        <f aca="false">IF($B17="","",IFERROR(INDEX(반품접수!$B$3:$B$1002,MATCH("R"&amp;12,미처리현황!$M$6:$M$1005,0)),""))</f>
        <v/>
      </c>
      <c r="D17" s="19" t="str">
        <f aca="true">IF($C17="","",TODAY()-$C17)</f>
        <v/>
      </c>
      <c r="E17" s="12" t="str">
        <f aca="false">IF($B17="","",IFERROR(INDEX(반품접수!$C$3:$C$1002,MATCH("R"&amp;12,미처리현황!$M$6:$M$1005,0)),""))</f>
        <v/>
      </c>
      <c r="F17" s="12" t="str">
        <f aca="false">IF($B17="","",IFERROR(INDEX(반품접수!$E$3:$E$1002,MATCH("R"&amp;12,미처리현황!$M$6:$M$1005,0)),""))</f>
        <v/>
      </c>
      <c r="G17" s="15" t="str">
        <f aca="false">IF($B17="","",IFERROR(INDEX(반품접수!$I$3:$I$1002,MATCH("R"&amp;12,미처리현황!$M$6:$M$1005,0)),""))</f>
        <v/>
      </c>
      <c r="H17" s="15" t="str">
        <f aca="false">IF($B17="","",IFERROR(INDEX(반품접수!$N$3:$N$1002,MATCH("R"&amp;12,미처리현황!$M$6:$M$1005,0)),""))</f>
        <v/>
      </c>
      <c r="I17" s="19" t="str">
        <f aca="false">IF($B17="","",IFERROR(INDEX(반품접수!$O$3:$O$1002,MATCH("R"&amp;12,미처리현황!$M$6:$M$1005,0)),""))</f>
        <v/>
      </c>
      <c r="K17" s="21" t="b">
        <f aca="false">IF(반품접수!$A14="",FALSE(),OR(반품접수!$O14="미처리",반품접수!$O14="부분처리"))</f>
        <v>0</v>
      </c>
      <c r="L17" s="6" t="str">
        <f aca="false">IF($K17=FALSE(),"",COUNTIF($K$6:$K17,TRUE()))</f>
        <v/>
      </c>
      <c r="M17" s="6" t="str">
        <f aca="false">IF($L17="","","R"&amp;$L17)</f>
        <v/>
      </c>
    </row>
    <row r="18" customFormat="false" ht="15" hidden="false" customHeight="true" outlineLevel="0" collapsed="false">
      <c r="A18" s="19" t="str">
        <f aca="false">IF($B18="","",13)</f>
        <v/>
      </c>
      <c r="B18" s="12" t="str">
        <f aca="false">IFERROR(INDEX(반품접수!$A$3:$A$1002,MATCH("R"&amp;13,미처리현황!$M$6:$M$1005,0)),"")</f>
        <v/>
      </c>
      <c r="C18" s="20" t="str">
        <f aca="false">IF($B18="","",IFERROR(INDEX(반품접수!$B$3:$B$1002,MATCH("R"&amp;13,미처리현황!$M$6:$M$1005,0)),""))</f>
        <v/>
      </c>
      <c r="D18" s="19" t="str">
        <f aca="true">IF($C18="","",TODAY()-$C18)</f>
        <v/>
      </c>
      <c r="E18" s="12" t="str">
        <f aca="false">IF($B18="","",IFERROR(INDEX(반품접수!$C$3:$C$1002,MATCH("R"&amp;13,미처리현황!$M$6:$M$1005,0)),""))</f>
        <v/>
      </c>
      <c r="F18" s="12" t="str">
        <f aca="false">IF($B18="","",IFERROR(INDEX(반품접수!$E$3:$E$1002,MATCH("R"&amp;13,미처리현황!$M$6:$M$1005,0)),""))</f>
        <v/>
      </c>
      <c r="G18" s="15" t="str">
        <f aca="false">IF($B18="","",IFERROR(INDEX(반품접수!$I$3:$I$1002,MATCH("R"&amp;13,미처리현황!$M$6:$M$1005,0)),""))</f>
        <v/>
      </c>
      <c r="H18" s="15" t="str">
        <f aca="false">IF($B18="","",IFERROR(INDEX(반품접수!$N$3:$N$1002,MATCH("R"&amp;13,미처리현황!$M$6:$M$1005,0)),""))</f>
        <v/>
      </c>
      <c r="I18" s="19" t="str">
        <f aca="false">IF($B18="","",IFERROR(INDEX(반품접수!$O$3:$O$1002,MATCH("R"&amp;13,미처리현황!$M$6:$M$1005,0)),""))</f>
        <v/>
      </c>
      <c r="K18" s="21" t="b">
        <f aca="false">IF(반품접수!$A15="",FALSE(),OR(반품접수!$O15="미처리",반품접수!$O15="부분처리"))</f>
        <v>0</v>
      </c>
      <c r="L18" s="6" t="str">
        <f aca="false">IF($K18=FALSE(),"",COUNTIF($K$6:$K18,TRUE()))</f>
        <v/>
      </c>
      <c r="M18" s="6" t="str">
        <f aca="false">IF($L18="","","R"&amp;$L18)</f>
        <v/>
      </c>
    </row>
    <row r="19" customFormat="false" ht="15" hidden="false" customHeight="true" outlineLevel="0" collapsed="false">
      <c r="A19" s="19" t="str">
        <f aca="false">IF($B19="","",14)</f>
        <v/>
      </c>
      <c r="B19" s="12" t="str">
        <f aca="false">IFERROR(INDEX(반품접수!$A$3:$A$1002,MATCH("R"&amp;14,미처리현황!$M$6:$M$1005,0)),"")</f>
        <v/>
      </c>
      <c r="C19" s="20" t="str">
        <f aca="false">IF($B19="","",IFERROR(INDEX(반품접수!$B$3:$B$1002,MATCH("R"&amp;14,미처리현황!$M$6:$M$1005,0)),""))</f>
        <v/>
      </c>
      <c r="D19" s="19" t="str">
        <f aca="true">IF($C19="","",TODAY()-$C19)</f>
        <v/>
      </c>
      <c r="E19" s="12" t="str">
        <f aca="false">IF($B19="","",IFERROR(INDEX(반품접수!$C$3:$C$1002,MATCH("R"&amp;14,미처리현황!$M$6:$M$1005,0)),""))</f>
        <v/>
      </c>
      <c r="F19" s="12" t="str">
        <f aca="false">IF($B19="","",IFERROR(INDEX(반품접수!$E$3:$E$1002,MATCH("R"&amp;14,미처리현황!$M$6:$M$1005,0)),""))</f>
        <v/>
      </c>
      <c r="G19" s="15" t="str">
        <f aca="false">IF($B19="","",IFERROR(INDEX(반품접수!$I$3:$I$1002,MATCH("R"&amp;14,미처리현황!$M$6:$M$1005,0)),""))</f>
        <v/>
      </c>
      <c r="H19" s="15" t="str">
        <f aca="false">IF($B19="","",IFERROR(INDEX(반품접수!$N$3:$N$1002,MATCH("R"&amp;14,미처리현황!$M$6:$M$1005,0)),""))</f>
        <v/>
      </c>
      <c r="I19" s="19" t="str">
        <f aca="false">IF($B19="","",IFERROR(INDEX(반품접수!$O$3:$O$1002,MATCH("R"&amp;14,미처리현황!$M$6:$M$1005,0)),""))</f>
        <v/>
      </c>
      <c r="K19" s="21" t="b">
        <f aca="false">IF(반품접수!$A16="",FALSE(),OR(반품접수!$O16="미처리",반품접수!$O16="부분처리"))</f>
        <v>0</v>
      </c>
      <c r="L19" s="6" t="str">
        <f aca="false">IF($K19=FALSE(),"",COUNTIF($K$6:$K19,TRUE()))</f>
        <v/>
      </c>
      <c r="M19" s="6" t="str">
        <f aca="false">IF($L19="","","R"&amp;$L19)</f>
        <v/>
      </c>
    </row>
    <row r="20" customFormat="false" ht="15" hidden="false" customHeight="true" outlineLevel="0" collapsed="false">
      <c r="A20" s="19" t="str">
        <f aca="false">IF($B20="","",15)</f>
        <v/>
      </c>
      <c r="B20" s="12" t="str">
        <f aca="false">IFERROR(INDEX(반품접수!$A$3:$A$1002,MATCH("R"&amp;15,미처리현황!$M$6:$M$1005,0)),"")</f>
        <v/>
      </c>
      <c r="C20" s="20" t="str">
        <f aca="false">IF($B20="","",IFERROR(INDEX(반품접수!$B$3:$B$1002,MATCH("R"&amp;15,미처리현황!$M$6:$M$1005,0)),""))</f>
        <v/>
      </c>
      <c r="D20" s="19" t="str">
        <f aca="true">IF($C20="","",TODAY()-$C20)</f>
        <v/>
      </c>
      <c r="E20" s="12" t="str">
        <f aca="false">IF($B20="","",IFERROR(INDEX(반품접수!$C$3:$C$1002,MATCH("R"&amp;15,미처리현황!$M$6:$M$1005,0)),""))</f>
        <v/>
      </c>
      <c r="F20" s="12" t="str">
        <f aca="false">IF($B20="","",IFERROR(INDEX(반품접수!$E$3:$E$1002,MATCH("R"&amp;15,미처리현황!$M$6:$M$1005,0)),""))</f>
        <v/>
      </c>
      <c r="G20" s="15" t="str">
        <f aca="false">IF($B20="","",IFERROR(INDEX(반품접수!$I$3:$I$1002,MATCH("R"&amp;15,미처리현황!$M$6:$M$1005,0)),""))</f>
        <v/>
      </c>
      <c r="H20" s="15" t="str">
        <f aca="false">IF($B20="","",IFERROR(INDEX(반품접수!$N$3:$N$1002,MATCH("R"&amp;15,미처리현황!$M$6:$M$1005,0)),""))</f>
        <v/>
      </c>
      <c r="I20" s="19" t="str">
        <f aca="false">IF($B20="","",IFERROR(INDEX(반품접수!$O$3:$O$1002,MATCH("R"&amp;15,미처리현황!$M$6:$M$1005,0)),""))</f>
        <v/>
      </c>
      <c r="K20" s="21" t="b">
        <f aca="false">IF(반품접수!$A17="",FALSE(),OR(반품접수!$O17="미처리",반품접수!$O17="부분처리"))</f>
        <v>0</v>
      </c>
      <c r="L20" s="6" t="str">
        <f aca="false">IF($K20=FALSE(),"",COUNTIF($K$6:$K20,TRUE()))</f>
        <v/>
      </c>
      <c r="M20" s="6" t="str">
        <f aca="false">IF($L20="","","R"&amp;$L20)</f>
        <v/>
      </c>
    </row>
    <row r="21" customFormat="false" ht="15" hidden="false" customHeight="true" outlineLevel="0" collapsed="false">
      <c r="A21" s="19" t="str">
        <f aca="false">IF($B21="","",16)</f>
        <v/>
      </c>
      <c r="B21" s="12" t="str">
        <f aca="false">IFERROR(INDEX(반품접수!$A$3:$A$1002,MATCH("R"&amp;16,미처리현황!$M$6:$M$1005,0)),"")</f>
        <v/>
      </c>
      <c r="C21" s="20" t="str">
        <f aca="false">IF($B21="","",IFERROR(INDEX(반품접수!$B$3:$B$1002,MATCH("R"&amp;16,미처리현황!$M$6:$M$1005,0)),""))</f>
        <v/>
      </c>
      <c r="D21" s="19" t="str">
        <f aca="true">IF($C21="","",TODAY()-$C21)</f>
        <v/>
      </c>
      <c r="E21" s="12" t="str">
        <f aca="false">IF($B21="","",IFERROR(INDEX(반품접수!$C$3:$C$1002,MATCH("R"&amp;16,미처리현황!$M$6:$M$1005,0)),""))</f>
        <v/>
      </c>
      <c r="F21" s="12" t="str">
        <f aca="false">IF($B21="","",IFERROR(INDEX(반품접수!$E$3:$E$1002,MATCH("R"&amp;16,미처리현황!$M$6:$M$1005,0)),""))</f>
        <v/>
      </c>
      <c r="G21" s="15" t="str">
        <f aca="false">IF($B21="","",IFERROR(INDEX(반품접수!$I$3:$I$1002,MATCH("R"&amp;16,미처리현황!$M$6:$M$1005,0)),""))</f>
        <v/>
      </c>
      <c r="H21" s="15" t="str">
        <f aca="false">IF($B21="","",IFERROR(INDEX(반품접수!$N$3:$N$1002,MATCH("R"&amp;16,미처리현황!$M$6:$M$1005,0)),""))</f>
        <v/>
      </c>
      <c r="I21" s="19" t="str">
        <f aca="false">IF($B21="","",IFERROR(INDEX(반품접수!$O$3:$O$1002,MATCH("R"&amp;16,미처리현황!$M$6:$M$1005,0)),""))</f>
        <v/>
      </c>
      <c r="K21" s="21" t="b">
        <f aca="false">IF(반품접수!$A18="",FALSE(),OR(반품접수!$O18="미처리",반품접수!$O18="부분처리"))</f>
        <v>0</v>
      </c>
      <c r="L21" s="6" t="str">
        <f aca="false">IF($K21=FALSE(),"",COUNTIF($K$6:$K21,TRUE()))</f>
        <v/>
      </c>
      <c r="M21" s="6" t="str">
        <f aca="false">IF($L21="","","R"&amp;$L21)</f>
        <v/>
      </c>
    </row>
    <row r="22" customFormat="false" ht="15" hidden="false" customHeight="true" outlineLevel="0" collapsed="false">
      <c r="A22" s="19" t="str">
        <f aca="false">IF($B22="","",17)</f>
        <v/>
      </c>
      <c r="B22" s="12" t="str">
        <f aca="false">IFERROR(INDEX(반품접수!$A$3:$A$1002,MATCH("R"&amp;17,미처리현황!$M$6:$M$1005,0)),"")</f>
        <v/>
      </c>
      <c r="C22" s="20" t="str">
        <f aca="false">IF($B22="","",IFERROR(INDEX(반품접수!$B$3:$B$1002,MATCH("R"&amp;17,미처리현황!$M$6:$M$1005,0)),""))</f>
        <v/>
      </c>
      <c r="D22" s="19" t="str">
        <f aca="true">IF($C22="","",TODAY()-$C22)</f>
        <v/>
      </c>
      <c r="E22" s="12" t="str">
        <f aca="false">IF($B22="","",IFERROR(INDEX(반품접수!$C$3:$C$1002,MATCH("R"&amp;17,미처리현황!$M$6:$M$1005,0)),""))</f>
        <v/>
      </c>
      <c r="F22" s="12" t="str">
        <f aca="false">IF($B22="","",IFERROR(INDEX(반품접수!$E$3:$E$1002,MATCH("R"&amp;17,미처리현황!$M$6:$M$1005,0)),""))</f>
        <v/>
      </c>
      <c r="G22" s="15" t="str">
        <f aca="false">IF($B22="","",IFERROR(INDEX(반품접수!$I$3:$I$1002,MATCH("R"&amp;17,미처리현황!$M$6:$M$1005,0)),""))</f>
        <v/>
      </c>
      <c r="H22" s="15" t="str">
        <f aca="false">IF($B22="","",IFERROR(INDEX(반품접수!$N$3:$N$1002,MATCH("R"&amp;17,미처리현황!$M$6:$M$1005,0)),""))</f>
        <v/>
      </c>
      <c r="I22" s="19" t="str">
        <f aca="false">IF($B22="","",IFERROR(INDEX(반품접수!$O$3:$O$1002,MATCH("R"&amp;17,미처리현황!$M$6:$M$1005,0)),""))</f>
        <v/>
      </c>
      <c r="K22" s="21" t="b">
        <f aca="false">IF(반품접수!$A19="",FALSE(),OR(반품접수!$O19="미처리",반품접수!$O19="부분처리"))</f>
        <v>0</v>
      </c>
      <c r="L22" s="6" t="str">
        <f aca="false">IF($K22=FALSE(),"",COUNTIF($K$6:$K22,TRUE()))</f>
        <v/>
      </c>
      <c r="M22" s="6" t="str">
        <f aca="false">IF($L22="","","R"&amp;$L22)</f>
        <v/>
      </c>
    </row>
    <row r="23" customFormat="false" ht="15" hidden="false" customHeight="true" outlineLevel="0" collapsed="false">
      <c r="A23" s="19" t="str">
        <f aca="false">IF($B23="","",18)</f>
        <v/>
      </c>
      <c r="B23" s="12" t="str">
        <f aca="false">IFERROR(INDEX(반품접수!$A$3:$A$1002,MATCH("R"&amp;18,미처리현황!$M$6:$M$1005,0)),"")</f>
        <v/>
      </c>
      <c r="C23" s="20" t="str">
        <f aca="false">IF($B23="","",IFERROR(INDEX(반품접수!$B$3:$B$1002,MATCH("R"&amp;18,미처리현황!$M$6:$M$1005,0)),""))</f>
        <v/>
      </c>
      <c r="D23" s="19" t="str">
        <f aca="true">IF($C23="","",TODAY()-$C23)</f>
        <v/>
      </c>
      <c r="E23" s="12" t="str">
        <f aca="false">IF($B23="","",IFERROR(INDEX(반품접수!$C$3:$C$1002,MATCH("R"&amp;18,미처리현황!$M$6:$M$1005,0)),""))</f>
        <v/>
      </c>
      <c r="F23" s="12" t="str">
        <f aca="false">IF($B23="","",IFERROR(INDEX(반품접수!$E$3:$E$1002,MATCH("R"&amp;18,미처리현황!$M$6:$M$1005,0)),""))</f>
        <v/>
      </c>
      <c r="G23" s="15" t="str">
        <f aca="false">IF($B23="","",IFERROR(INDEX(반품접수!$I$3:$I$1002,MATCH("R"&amp;18,미처리현황!$M$6:$M$1005,0)),""))</f>
        <v/>
      </c>
      <c r="H23" s="15" t="str">
        <f aca="false">IF($B23="","",IFERROR(INDEX(반품접수!$N$3:$N$1002,MATCH("R"&amp;18,미처리현황!$M$6:$M$1005,0)),""))</f>
        <v/>
      </c>
      <c r="I23" s="19" t="str">
        <f aca="false">IF($B23="","",IFERROR(INDEX(반품접수!$O$3:$O$1002,MATCH("R"&amp;18,미처리현황!$M$6:$M$1005,0)),""))</f>
        <v/>
      </c>
      <c r="K23" s="21" t="b">
        <f aca="false">IF(반품접수!$A20="",FALSE(),OR(반품접수!$O20="미처리",반품접수!$O20="부분처리"))</f>
        <v>0</v>
      </c>
      <c r="L23" s="6" t="str">
        <f aca="false">IF($K23=FALSE(),"",COUNTIF($K$6:$K23,TRUE()))</f>
        <v/>
      </c>
      <c r="M23" s="6" t="str">
        <f aca="false">IF($L23="","","R"&amp;$L23)</f>
        <v/>
      </c>
    </row>
    <row r="24" customFormat="false" ht="15" hidden="false" customHeight="true" outlineLevel="0" collapsed="false">
      <c r="A24" s="19" t="str">
        <f aca="false">IF($B24="","",19)</f>
        <v/>
      </c>
      <c r="B24" s="12" t="str">
        <f aca="false">IFERROR(INDEX(반품접수!$A$3:$A$1002,MATCH("R"&amp;19,미처리현황!$M$6:$M$1005,0)),"")</f>
        <v/>
      </c>
      <c r="C24" s="20" t="str">
        <f aca="false">IF($B24="","",IFERROR(INDEX(반품접수!$B$3:$B$1002,MATCH("R"&amp;19,미처리현황!$M$6:$M$1005,0)),""))</f>
        <v/>
      </c>
      <c r="D24" s="19" t="str">
        <f aca="true">IF($C24="","",TODAY()-$C24)</f>
        <v/>
      </c>
      <c r="E24" s="12" t="str">
        <f aca="false">IF($B24="","",IFERROR(INDEX(반품접수!$C$3:$C$1002,MATCH("R"&amp;19,미처리현황!$M$6:$M$1005,0)),""))</f>
        <v/>
      </c>
      <c r="F24" s="12" t="str">
        <f aca="false">IF($B24="","",IFERROR(INDEX(반품접수!$E$3:$E$1002,MATCH("R"&amp;19,미처리현황!$M$6:$M$1005,0)),""))</f>
        <v/>
      </c>
      <c r="G24" s="15" t="str">
        <f aca="false">IF($B24="","",IFERROR(INDEX(반품접수!$I$3:$I$1002,MATCH("R"&amp;19,미처리현황!$M$6:$M$1005,0)),""))</f>
        <v/>
      </c>
      <c r="H24" s="15" t="str">
        <f aca="false">IF($B24="","",IFERROR(INDEX(반품접수!$N$3:$N$1002,MATCH("R"&amp;19,미처리현황!$M$6:$M$1005,0)),""))</f>
        <v/>
      </c>
      <c r="I24" s="19" t="str">
        <f aca="false">IF($B24="","",IFERROR(INDEX(반품접수!$O$3:$O$1002,MATCH("R"&amp;19,미처리현황!$M$6:$M$1005,0)),""))</f>
        <v/>
      </c>
      <c r="K24" s="21" t="b">
        <f aca="false">IF(반품접수!$A21="",FALSE(),OR(반품접수!$O21="미처리",반품접수!$O21="부분처리"))</f>
        <v>0</v>
      </c>
      <c r="L24" s="6" t="str">
        <f aca="false">IF($K24=FALSE(),"",COUNTIF($K$6:$K24,TRUE()))</f>
        <v/>
      </c>
      <c r="M24" s="6" t="str">
        <f aca="false">IF($L24="","","R"&amp;$L24)</f>
        <v/>
      </c>
    </row>
    <row r="25" customFormat="false" ht="15" hidden="false" customHeight="true" outlineLevel="0" collapsed="false">
      <c r="A25" s="19" t="str">
        <f aca="false">IF($B25="","",20)</f>
        <v/>
      </c>
      <c r="B25" s="12" t="str">
        <f aca="false">IFERROR(INDEX(반품접수!$A$3:$A$1002,MATCH("R"&amp;20,미처리현황!$M$6:$M$1005,0)),"")</f>
        <v/>
      </c>
      <c r="C25" s="20" t="str">
        <f aca="false">IF($B25="","",IFERROR(INDEX(반품접수!$B$3:$B$1002,MATCH("R"&amp;20,미처리현황!$M$6:$M$1005,0)),""))</f>
        <v/>
      </c>
      <c r="D25" s="19" t="str">
        <f aca="true">IF($C25="","",TODAY()-$C25)</f>
        <v/>
      </c>
      <c r="E25" s="12" t="str">
        <f aca="false">IF($B25="","",IFERROR(INDEX(반품접수!$C$3:$C$1002,MATCH("R"&amp;20,미처리현황!$M$6:$M$1005,0)),""))</f>
        <v/>
      </c>
      <c r="F25" s="12" t="str">
        <f aca="false">IF($B25="","",IFERROR(INDEX(반품접수!$E$3:$E$1002,MATCH("R"&amp;20,미처리현황!$M$6:$M$1005,0)),""))</f>
        <v/>
      </c>
      <c r="G25" s="15" t="str">
        <f aca="false">IF($B25="","",IFERROR(INDEX(반품접수!$I$3:$I$1002,MATCH("R"&amp;20,미처리현황!$M$6:$M$1005,0)),""))</f>
        <v/>
      </c>
      <c r="H25" s="15" t="str">
        <f aca="false">IF($B25="","",IFERROR(INDEX(반품접수!$N$3:$N$1002,MATCH("R"&amp;20,미처리현황!$M$6:$M$1005,0)),""))</f>
        <v/>
      </c>
      <c r="I25" s="19" t="str">
        <f aca="false">IF($B25="","",IFERROR(INDEX(반품접수!$O$3:$O$1002,MATCH("R"&amp;20,미처리현황!$M$6:$M$1005,0)),""))</f>
        <v/>
      </c>
      <c r="K25" s="21" t="b">
        <f aca="false">IF(반품접수!$A22="",FALSE(),OR(반품접수!$O22="미처리",반품접수!$O22="부분처리"))</f>
        <v>0</v>
      </c>
      <c r="L25" s="6" t="str">
        <f aca="false">IF($K25=FALSE(),"",COUNTIF($K$6:$K25,TRUE()))</f>
        <v/>
      </c>
      <c r="M25" s="6" t="str">
        <f aca="false">IF($L25="","","R"&amp;$L25)</f>
        <v/>
      </c>
    </row>
    <row r="26" customFormat="false" ht="15" hidden="false" customHeight="true" outlineLevel="0" collapsed="false">
      <c r="A26" s="19" t="str">
        <f aca="false">IF($B26="","",21)</f>
        <v/>
      </c>
      <c r="B26" s="12" t="str">
        <f aca="false">IFERROR(INDEX(반품접수!$A$3:$A$1002,MATCH("R"&amp;21,미처리현황!$M$6:$M$1005,0)),"")</f>
        <v/>
      </c>
      <c r="C26" s="20" t="str">
        <f aca="false">IF($B26="","",IFERROR(INDEX(반품접수!$B$3:$B$1002,MATCH("R"&amp;21,미처리현황!$M$6:$M$1005,0)),""))</f>
        <v/>
      </c>
      <c r="D26" s="19" t="str">
        <f aca="true">IF($C26="","",TODAY()-$C26)</f>
        <v/>
      </c>
      <c r="E26" s="12" t="str">
        <f aca="false">IF($B26="","",IFERROR(INDEX(반품접수!$C$3:$C$1002,MATCH("R"&amp;21,미처리현황!$M$6:$M$1005,0)),""))</f>
        <v/>
      </c>
      <c r="F26" s="12" t="str">
        <f aca="false">IF($B26="","",IFERROR(INDEX(반품접수!$E$3:$E$1002,MATCH("R"&amp;21,미처리현황!$M$6:$M$1005,0)),""))</f>
        <v/>
      </c>
      <c r="G26" s="15" t="str">
        <f aca="false">IF($B26="","",IFERROR(INDEX(반품접수!$I$3:$I$1002,MATCH("R"&amp;21,미처리현황!$M$6:$M$1005,0)),""))</f>
        <v/>
      </c>
      <c r="H26" s="15" t="str">
        <f aca="false">IF($B26="","",IFERROR(INDEX(반품접수!$N$3:$N$1002,MATCH("R"&amp;21,미처리현황!$M$6:$M$1005,0)),""))</f>
        <v/>
      </c>
      <c r="I26" s="19" t="str">
        <f aca="false">IF($B26="","",IFERROR(INDEX(반품접수!$O$3:$O$1002,MATCH("R"&amp;21,미처리현황!$M$6:$M$1005,0)),""))</f>
        <v/>
      </c>
      <c r="K26" s="21" t="b">
        <f aca="false">IF(반품접수!$A23="",FALSE(),OR(반품접수!$O23="미처리",반품접수!$O23="부분처리"))</f>
        <v>0</v>
      </c>
      <c r="L26" s="6" t="str">
        <f aca="false">IF($K26=FALSE(),"",COUNTIF($K$6:$K26,TRUE()))</f>
        <v/>
      </c>
      <c r="M26" s="6" t="str">
        <f aca="false">IF($L26="","","R"&amp;$L26)</f>
        <v/>
      </c>
    </row>
    <row r="27" customFormat="false" ht="15" hidden="false" customHeight="true" outlineLevel="0" collapsed="false">
      <c r="A27" s="19" t="str">
        <f aca="false">IF($B27="","",22)</f>
        <v/>
      </c>
      <c r="B27" s="12" t="str">
        <f aca="false">IFERROR(INDEX(반품접수!$A$3:$A$1002,MATCH("R"&amp;22,미처리현황!$M$6:$M$1005,0)),"")</f>
        <v/>
      </c>
      <c r="C27" s="20" t="str">
        <f aca="false">IF($B27="","",IFERROR(INDEX(반품접수!$B$3:$B$1002,MATCH("R"&amp;22,미처리현황!$M$6:$M$1005,0)),""))</f>
        <v/>
      </c>
      <c r="D27" s="19" t="str">
        <f aca="true">IF($C27="","",TODAY()-$C27)</f>
        <v/>
      </c>
      <c r="E27" s="12" t="str">
        <f aca="false">IF($B27="","",IFERROR(INDEX(반품접수!$C$3:$C$1002,MATCH("R"&amp;22,미처리현황!$M$6:$M$1005,0)),""))</f>
        <v/>
      </c>
      <c r="F27" s="12" t="str">
        <f aca="false">IF($B27="","",IFERROR(INDEX(반품접수!$E$3:$E$1002,MATCH("R"&amp;22,미처리현황!$M$6:$M$1005,0)),""))</f>
        <v/>
      </c>
      <c r="G27" s="15" t="str">
        <f aca="false">IF($B27="","",IFERROR(INDEX(반품접수!$I$3:$I$1002,MATCH("R"&amp;22,미처리현황!$M$6:$M$1005,0)),""))</f>
        <v/>
      </c>
      <c r="H27" s="15" t="str">
        <f aca="false">IF($B27="","",IFERROR(INDEX(반품접수!$N$3:$N$1002,MATCH("R"&amp;22,미처리현황!$M$6:$M$1005,0)),""))</f>
        <v/>
      </c>
      <c r="I27" s="19" t="str">
        <f aca="false">IF($B27="","",IFERROR(INDEX(반품접수!$O$3:$O$1002,MATCH("R"&amp;22,미처리현황!$M$6:$M$1005,0)),""))</f>
        <v/>
      </c>
      <c r="K27" s="21" t="b">
        <f aca="false">IF(반품접수!$A24="",FALSE(),OR(반품접수!$O24="미처리",반품접수!$O24="부분처리"))</f>
        <v>0</v>
      </c>
      <c r="L27" s="6" t="str">
        <f aca="false">IF($K27=FALSE(),"",COUNTIF($K$6:$K27,TRUE()))</f>
        <v/>
      </c>
      <c r="M27" s="6" t="str">
        <f aca="false">IF($L27="","","R"&amp;$L27)</f>
        <v/>
      </c>
    </row>
    <row r="28" customFormat="false" ht="15" hidden="false" customHeight="true" outlineLevel="0" collapsed="false">
      <c r="A28" s="19" t="str">
        <f aca="false">IF($B28="","",23)</f>
        <v/>
      </c>
      <c r="B28" s="12" t="str">
        <f aca="false">IFERROR(INDEX(반품접수!$A$3:$A$1002,MATCH("R"&amp;23,미처리현황!$M$6:$M$1005,0)),"")</f>
        <v/>
      </c>
      <c r="C28" s="20" t="str">
        <f aca="false">IF($B28="","",IFERROR(INDEX(반품접수!$B$3:$B$1002,MATCH("R"&amp;23,미처리현황!$M$6:$M$1005,0)),""))</f>
        <v/>
      </c>
      <c r="D28" s="19" t="str">
        <f aca="true">IF($C28="","",TODAY()-$C28)</f>
        <v/>
      </c>
      <c r="E28" s="12" t="str">
        <f aca="false">IF($B28="","",IFERROR(INDEX(반품접수!$C$3:$C$1002,MATCH("R"&amp;23,미처리현황!$M$6:$M$1005,0)),""))</f>
        <v/>
      </c>
      <c r="F28" s="12" t="str">
        <f aca="false">IF($B28="","",IFERROR(INDEX(반품접수!$E$3:$E$1002,MATCH("R"&amp;23,미처리현황!$M$6:$M$1005,0)),""))</f>
        <v/>
      </c>
      <c r="G28" s="15" t="str">
        <f aca="false">IF($B28="","",IFERROR(INDEX(반품접수!$I$3:$I$1002,MATCH("R"&amp;23,미처리현황!$M$6:$M$1005,0)),""))</f>
        <v/>
      </c>
      <c r="H28" s="15" t="str">
        <f aca="false">IF($B28="","",IFERROR(INDEX(반품접수!$N$3:$N$1002,MATCH("R"&amp;23,미처리현황!$M$6:$M$1005,0)),""))</f>
        <v/>
      </c>
      <c r="I28" s="19" t="str">
        <f aca="false">IF($B28="","",IFERROR(INDEX(반품접수!$O$3:$O$1002,MATCH("R"&amp;23,미처리현황!$M$6:$M$1005,0)),""))</f>
        <v/>
      </c>
      <c r="K28" s="21" t="b">
        <f aca="false">IF(반품접수!$A25="",FALSE(),OR(반품접수!$O25="미처리",반품접수!$O25="부분처리"))</f>
        <v>0</v>
      </c>
      <c r="L28" s="6" t="str">
        <f aca="false">IF($K28=FALSE(),"",COUNTIF($K$6:$K28,TRUE()))</f>
        <v/>
      </c>
      <c r="M28" s="6" t="str">
        <f aca="false">IF($L28="","","R"&amp;$L28)</f>
        <v/>
      </c>
    </row>
    <row r="29" customFormat="false" ht="15" hidden="false" customHeight="true" outlineLevel="0" collapsed="false">
      <c r="A29" s="19" t="str">
        <f aca="false">IF($B29="","",24)</f>
        <v/>
      </c>
      <c r="B29" s="12" t="str">
        <f aca="false">IFERROR(INDEX(반품접수!$A$3:$A$1002,MATCH("R"&amp;24,미처리현황!$M$6:$M$1005,0)),"")</f>
        <v/>
      </c>
      <c r="C29" s="20" t="str">
        <f aca="false">IF($B29="","",IFERROR(INDEX(반품접수!$B$3:$B$1002,MATCH("R"&amp;24,미처리현황!$M$6:$M$1005,0)),""))</f>
        <v/>
      </c>
      <c r="D29" s="19" t="str">
        <f aca="true">IF($C29="","",TODAY()-$C29)</f>
        <v/>
      </c>
      <c r="E29" s="12" t="str">
        <f aca="false">IF($B29="","",IFERROR(INDEX(반품접수!$C$3:$C$1002,MATCH("R"&amp;24,미처리현황!$M$6:$M$1005,0)),""))</f>
        <v/>
      </c>
      <c r="F29" s="12" t="str">
        <f aca="false">IF($B29="","",IFERROR(INDEX(반품접수!$E$3:$E$1002,MATCH("R"&amp;24,미처리현황!$M$6:$M$1005,0)),""))</f>
        <v/>
      </c>
      <c r="G29" s="15" t="str">
        <f aca="false">IF($B29="","",IFERROR(INDEX(반품접수!$I$3:$I$1002,MATCH("R"&amp;24,미처리현황!$M$6:$M$1005,0)),""))</f>
        <v/>
      </c>
      <c r="H29" s="15" t="str">
        <f aca="false">IF($B29="","",IFERROR(INDEX(반품접수!$N$3:$N$1002,MATCH("R"&amp;24,미처리현황!$M$6:$M$1005,0)),""))</f>
        <v/>
      </c>
      <c r="I29" s="19" t="str">
        <f aca="false">IF($B29="","",IFERROR(INDEX(반품접수!$O$3:$O$1002,MATCH("R"&amp;24,미처리현황!$M$6:$M$1005,0)),""))</f>
        <v/>
      </c>
      <c r="K29" s="21" t="b">
        <f aca="false">IF(반품접수!$A26="",FALSE(),OR(반품접수!$O26="미처리",반품접수!$O26="부분처리"))</f>
        <v>0</v>
      </c>
      <c r="L29" s="6" t="str">
        <f aca="false">IF($K29=FALSE(),"",COUNTIF($K$6:$K29,TRUE()))</f>
        <v/>
      </c>
      <c r="M29" s="6" t="str">
        <f aca="false">IF($L29="","","R"&amp;$L29)</f>
        <v/>
      </c>
    </row>
    <row r="30" customFormat="false" ht="15" hidden="false" customHeight="true" outlineLevel="0" collapsed="false">
      <c r="A30" s="19" t="str">
        <f aca="false">IF($B30="","",25)</f>
        <v/>
      </c>
      <c r="B30" s="12" t="str">
        <f aca="false">IFERROR(INDEX(반품접수!$A$3:$A$1002,MATCH("R"&amp;25,미처리현황!$M$6:$M$1005,0)),"")</f>
        <v/>
      </c>
      <c r="C30" s="20" t="str">
        <f aca="false">IF($B30="","",IFERROR(INDEX(반품접수!$B$3:$B$1002,MATCH("R"&amp;25,미처리현황!$M$6:$M$1005,0)),""))</f>
        <v/>
      </c>
      <c r="D30" s="19" t="str">
        <f aca="true">IF($C30="","",TODAY()-$C30)</f>
        <v/>
      </c>
      <c r="E30" s="12" t="str">
        <f aca="false">IF($B30="","",IFERROR(INDEX(반품접수!$C$3:$C$1002,MATCH("R"&amp;25,미처리현황!$M$6:$M$1005,0)),""))</f>
        <v/>
      </c>
      <c r="F30" s="12" t="str">
        <f aca="false">IF($B30="","",IFERROR(INDEX(반품접수!$E$3:$E$1002,MATCH("R"&amp;25,미처리현황!$M$6:$M$1005,0)),""))</f>
        <v/>
      </c>
      <c r="G30" s="15" t="str">
        <f aca="false">IF($B30="","",IFERROR(INDEX(반품접수!$I$3:$I$1002,MATCH("R"&amp;25,미처리현황!$M$6:$M$1005,0)),""))</f>
        <v/>
      </c>
      <c r="H30" s="15" t="str">
        <f aca="false">IF($B30="","",IFERROR(INDEX(반품접수!$N$3:$N$1002,MATCH("R"&amp;25,미처리현황!$M$6:$M$1005,0)),""))</f>
        <v/>
      </c>
      <c r="I30" s="19" t="str">
        <f aca="false">IF($B30="","",IFERROR(INDEX(반품접수!$O$3:$O$1002,MATCH("R"&amp;25,미처리현황!$M$6:$M$1005,0)),""))</f>
        <v/>
      </c>
      <c r="K30" s="21" t="b">
        <f aca="false">IF(반품접수!$A27="",FALSE(),OR(반품접수!$O27="미처리",반품접수!$O27="부분처리"))</f>
        <v>0</v>
      </c>
      <c r="L30" s="6" t="str">
        <f aca="false">IF($K30=FALSE(),"",COUNTIF($K$6:$K30,TRUE()))</f>
        <v/>
      </c>
      <c r="M30" s="6" t="str">
        <f aca="false">IF($L30="","","R"&amp;$L30)</f>
        <v/>
      </c>
    </row>
    <row r="31" customFormat="false" ht="15" hidden="false" customHeight="true" outlineLevel="0" collapsed="false">
      <c r="A31" s="19" t="str">
        <f aca="false">IF($B31="","",26)</f>
        <v/>
      </c>
      <c r="B31" s="12" t="str">
        <f aca="false">IFERROR(INDEX(반품접수!$A$3:$A$1002,MATCH("R"&amp;26,미처리현황!$M$6:$M$1005,0)),"")</f>
        <v/>
      </c>
      <c r="C31" s="20" t="str">
        <f aca="false">IF($B31="","",IFERROR(INDEX(반품접수!$B$3:$B$1002,MATCH("R"&amp;26,미처리현황!$M$6:$M$1005,0)),""))</f>
        <v/>
      </c>
      <c r="D31" s="19" t="str">
        <f aca="true">IF($C31="","",TODAY()-$C31)</f>
        <v/>
      </c>
      <c r="E31" s="12" t="str">
        <f aca="false">IF($B31="","",IFERROR(INDEX(반품접수!$C$3:$C$1002,MATCH("R"&amp;26,미처리현황!$M$6:$M$1005,0)),""))</f>
        <v/>
      </c>
      <c r="F31" s="12" t="str">
        <f aca="false">IF($B31="","",IFERROR(INDEX(반품접수!$E$3:$E$1002,MATCH("R"&amp;26,미처리현황!$M$6:$M$1005,0)),""))</f>
        <v/>
      </c>
      <c r="G31" s="15" t="str">
        <f aca="false">IF($B31="","",IFERROR(INDEX(반품접수!$I$3:$I$1002,MATCH("R"&amp;26,미처리현황!$M$6:$M$1005,0)),""))</f>
        <v/>
      </c>
      <c r="H31" s="15" t="str">
        <f aca="false">IF($B31="","",IFERROR(INDEX(반품접수!$N$3:$N$1002,MATCH("R"&amp;26,미처리현황!$M$6:$M$1005,0)),""))</f>
        <v/>
      </c>
      <c r="I31" s="19" t="str">
        <f aca="false">IF($B31="","",IFERROR(INDEX(반품접수!$O$3:$O$1002,MATCH("R"&amp;26,미처리현황!$M$6:$M$1005,0)),""))</f>
        <v/>
      </c>
      <c r="K31" s="21" t="b">
        <f aca="false">IF(반품접수!$A28="",FALSE(),OR(반품접수!$O28="미처리",반품접수!$O28="부분처리"))</f>
        <v>0</v>
      </c>
      <c r="L31" s="6" t="str">
        <f aca="false">IF($K31=FALSE(),"",COUNTIF($K$6:$K31,TRUE()))</f>
        <v/>
      </c>
      <c r="M31" s="6" t="str">
        <f aca="false">IF($L31="","","R"&amp;$L31)</f>
        <v/>
      </c>
    </row>
    <row r="32" customFormat="false" ht="15" hidden="false" customHeight="true" outlineLevel="0" collapsed="false">
      <c r="A32" s="19" t="str">
        <f aca="false">IF($B32="","",27)</f>
        <v/>
      </c>
      <c r="B32" s="12" t="str">
        <f aca="false">IFERROR(INDEX(반품접수!$A$3:$A$1002,MATCH("R"&amp;27,미처리현황!$M$6:$M$1005,0)),"")</f>
        <v/>
      </c>
      <c r="C32" s="20" t="str">
        <f aca="false">IF($B32="","",IFERROR(INDEX(반품접수!$B$3:$B$1002,MATCH("R"&amp;27,미처리현황!$M$6:$M$1005,0)),""))</f>
        <v/>
      </c>
      <c r="D32" s="19" t="str">
        <f aca="true">IF($C32="","",TODAY()-$C32)</f>
        <v/>
      </c>
      <c r="E32" s="12" t="str">
        <f aca="false">IF($B32="","",IFERROR(INDEX(반품접수!$C$3:$C$1002,MATCH("R"&amp;27,미처리현황!$M$6:$M$1005,0)),""))</f>
        <v/>
      </c>
      <c r="F32" s="12" t="str">
        <f aca="false">IF($B32="","",IFERROR(INDEX(반품접수!$E$3:$E$1002,MATCH("R"&amp;27,미처리현황!$M$6:$M$1005,0)),""))</f>
        <v/>
      </c>
      <c r="G32" s="15" t="str">
        <f aca="false">IF($B32="","",IFERROR(INDEX(반품접수!$I$3:$I$1002,MATCH("R"&amp;27,미처리현황!$M$6:$M$1005,0)),""))</f>
        <v/>
      </c>
      <c r="H32" s="15" t="str">
        <f aca="false">IF($B32="","",IFERROR(INDEX(반품접수!$N$3:$N$1002,MATCH("R"&amp;27,미처리현황!$M$6:$M$1005,0)),""))</f>
        <v/>
      </c>
      <c r="I32" s="19" t="str">
        <f aca="false">IF($B32="","",IFERROR(INDEX(반품접수!$O$3:$O$1002,MATCH("R"&amp;27,미처리현황!$M$6:$M$1005,0)),""))</f>
        <v/>
      </c>
      <c r="K32" s="21" t="b">
        <f aca="false">IF(반품접수!$A29="",FALSE(),OR(반품접수!$O29="미처리",반품접수!$O29="부분처리"))</f>
        <v>0</v>
      </c>
      <c r="L32" s="6" t="str">
        <f aca="false">IF($K32=FALSE(),"",COUNTIF($K$6:$K32,TRUE()))</f>
        <v/>
      </c>
      <c r="M32" s="6" t="str">
        <f aca="false">IF($L32="","","R"&amp;$L32)</f>
        <v/>
      </c>
    </row>
    <row r="33" customFormat="false" ht="15" hidden="false" customHeight="true" outlineLevel="0" collapsed="false">
      <c r="A33" s="19" t="str">
        <f aca="false">IF($B33="","",28)</f>
        <v/>
      </c>
      <c r="B33" s="12" t="str">
        <f aca="false">IFERROR(INDEX(반품접수!$A$3:$A$1002,MATCH("R"&amp;28,미처리현황!$M$6:$M$1005,0)),"")</f>
        <v/>
      </c>
      <c r="C33" s="20" t="str">
        <f aca="false">IF($B33="","",IFERROR(INDEX(반품접수!$B$3:$B$1002,MATCH("R"&amp;28,미처리현황!$M$6:$M$1005,0)),""))</f>
        <v/>
      </c>
      <c r="D33" s="19" t="str">
        <f aca="true">IF($C33="","",TODAY()-$C33)</f>
        <v/>
      </c>
      <c r="E33" s="12" t="str">
        <f aca="false">IF($B33="","",IFERROR(INDEX(반품접수!$C$3:$C$1002,MATCH("R"&amp;28,미처리현황!$M$6:$M$1005,0)),""))</f>
        <v/>
      </c>
      <c r="F33" s="12" t="str">
        <f aca="false">IF($B33="","",IFERROR(INDEX(반품접수!$E$3:$E$1002,MATCH("R"&amp;28,미처리현황!$M$6:$M$1005,0)),""))</f>
        <v/>
      </c>
      <c r="G33" s="15" t="str">
        <f aca="false">IF($B33="","",IFERROR(INDEX(반품접수!$I$3:$I$1002,MATCH("R"&amp;28,미처리현황!$M$6:$M$1005,0)),""))</f>
        <v/>
      </c>
      <c r="H33" s="15" t="str">
        <f aca="false">IF($B33="","",IFERROR(INDEX(반품접수!$N$3:$N$1002,MATCH("R"&amp;28,미처리현황!$M$6:$M$1005,0)),""))</f>
        <v/>
      </c>
      <c r="I33" s="19" t="str">
        <f aca="false">IF($B33="","",IFERROR(INDEX(반품접수!$O$3:$O$1002,MATCH("R"&amp;28,미처리현황!$M$6:$M$1005,0)),""))</f>
        <v/>
      </c>
      <c r="K33" s="21" t="b">
        <f aca="false">IF(반품접수!$A30="",FALSE(),OR(반품접수!$O30="미처리",반품접수!$O30="부분처리"))</f>
        <v>0</v>
      </c>
      <c r="L33" s="6" t="str">
        <f aca="false">IF($K33=FALSE(),"",COUNTIF($K$6:$K33,TRUE()))</f>
        <v/>
      </c>
      <c r="M33" s="6" t="str">
        <f aca="false">IF($L33="","","R"&amp;$L33)</f>
        <v/>
      </c>
    </row>
    <row r="34" customFormat="false" ht="15" hidden="false" customHeight="true" outlineLevel="0" collapsed="false">
      <c r="A34" s="19" t="str">
        <f aca="false">IF($B34="","",29)</f>
        <v/>
      </c>
      <c r="B34" s="12" t="str">
        <f aca="false">IFERROR(INDEX(반품접수!$A$3:$A$1002,MATCH("R"&amp;29,미처리현황!$M$6:$M$1005,0)),"")</f>
        <v/>
      </c>
      <c r="C34" s="20" t="str">
        <f aca="false">IF($B34="","",IFERROR(INDEX(반품접수!$B$3:$B$1002,MATCH("R"&amp;29,미처리현황!$M$6:$M$1005,0)),""))</f>
        <v/>
      </c>
      <c r="D34" s="19" t="str">
        <f aca="true">IF($C34="","",TODAY()-$C34)</f>
        <v/>
      </c>
      <c r="E34" s="12" t="str">
        <f aca="false">IF($B34="","",IFERROR(INDEX(반품접수!$C$3:$C$1002,MATCH("R"&amp;29,미처리현황!$M$6:$M$1005,0)),""))</f>
        <v/>
      </c>
      <c r="F34" s="12" t="str">
        <f aca="false">IF($B34="","",IFERROR(INDEX(반품접수!$E$3:$E$1002,MATCH("R"&amp;29,미처리현황!$M$6:$M$1005,0)),""))</f>
        <v/>
      </c>
      <c r="G34" s="15" t="str">
        <f aca="false">IF($B34="","",IFERROR(INDEX(반품접수!$I$3:$I$1002,MATCH("R"&amp;29,미처리현황!$M$6:$M$1005,0)),""))</f>
        <v/>
      </c>
      <c r="H34" s="15" t="str">
        <f aca="false">IF($B34="","",IFERROR(INDEX(반품접수!$N$3:$N$1002,MATCH("R"&amp;29,미처리현황!$M$6:$M$1005,0)),""))</f>
        <v/>
      </c>
      <c r="I34" s="19" t="str">
        <f aca="false">IF($B34="","",IFERROR(INDEX(반품접수!$O$3:$O$1002,MATCH("R"&amp;29,미처리현황!$M$6:$M$1005,0)),""))</f>
        <v/>
      </c>
      <c r="K34" s="21" t="b">
        <f aca="false">IF(반품접수!$A31="",FALSE(),OR(반품접수!$O31="미처리",반품접수!$O31="부분처리"))</f>
        <v>0</v>
      </c>
      <c r="L34" s="6" t="str">
        <f aca="false">IF($K34=FALSE(),"",COUNTIF($K$6:$K34,TRUE()))</f>
        <v/>
      </c>
      <c r="M34" s="6" t="str">
        <f aca="false">IF($L34="","","R"&amp;$L34)</f>
        <v/>
      </c>
    </row>
    <row r="35" customFormat="false" ht="15" hidden="false" customHeight="true" outlineLevel="0" collapsed="false">
      <c r="A35" s="19" t="str">
        <f aca="false">IF($B35="","",30)</f>
        <v/>
      </c>
      <c r="B35" s="12" t="str">
        <f aca="false">IFERROR(INDEX(반품접수!$A$3:$A$1002,MATCH("R"&amp;30,미처리현황!$M$6:$M$1005,0)),"")</f>
        <v/>
      </c>
      <c r="C35" s="20" t="str">
        <f aca="false">IF($B35="","",IFERROR(INDEX(반품접수!$B$3:$B$1002,MATCH("R"&amp;30,미처리현황!$M$6:$M$1005,0)),""))</f>
        <v/>
      </c>
      <c r="D35" s="19" t="str">
        <f aca="true">IF($C35="","",TODAY()-$C35)</f>
        <v/>
      </c>
      <c r="E35" s="12" t="str">
        <f aca="false">IF($B35="","",IFERROR(INDEX(반품접수!$C$3:$C$1002,MATCH("R"&amp;30,미처리현황!$M$6:$M$1005,0)),""))</f>
        <v/>
      </c>
      <c r="F35" s="12" t="str">
        <f aca="false">IF($B35="","",IFERROR(INDEX(반품접수!$E$3:$E$1002,MATCH("R"&amp;30,미처리현황!$M$6:$M$1005,0)),""))</f>
        <v/>
      </c>
      <c r="G35" s="15" t="str">
        <f aca="false">IF($B35="","",IFERROR(INDEX(반품접수!$I$3:$I$1002,MATCH("R"&amp;30,미처리현황!$M$6:$M$1005,0)),""))</f>
        <v/>
      </c>
      <c r="H35" s="15" t="str">
        <f aca="false">IF($B35="","",IFERROR(INDEX(반품접수!$N$3:$N$1002,MATCH("R"&amp;30,미처리현황!$M$6:$M$1005,0)),""))</f>
        <v/>
      </c>
      <c r="I35" s="19" t="str">
        <f aca="false">IF($B35="","",IFERROR(INDEX(반품접수!$O$3:$O$1002,MATCH("R"&amp;30,미처리현황!$M$6:$M$1005,0)),""))</f>
        <v/>
      </c>
      <c r="K35" s="21" t="b">
        <f aca="false">IF(반품접수!$A32="",FALSE(),OR(반품접수!$O32="미처리",반품접수!$O32="부분처리"))</f>
        <v>0</v>
      </c>
      <c r="L35" s="6" t="str">
        <f aca="false">IF($K35=FALSE(),"",COUNTIF($K$6:$K35,TRUE()))</f>
        <v/>
      </c>
      <c r="M35" s="6" t="str">
        <f aca="false">IF($L35="","","R"&amp;$L35)</f>
        <v/>
      </c>
    </row>
    <row r="36" customFormat="false" ht="15" hidden="false" customHeight="true" outlineLevel="0" collapsed="false">
      <c r="A36" s="19" t="str">
        <f aca="false">IF($B36="","",31)</f>
        <v/>
      </c>
      <c r="B36" s="12" t="str">
        <f aca="false">IFERROR(INDEX(반품접수!$A$3:$A$1002,MATCH("R"&amp;31,미처리현황!$M$6:$M$1005,0)),"")</f>
        <v/>
      </c>
      <c r="C36" s="20" t="str">
        <f aca="false">IF($B36="","",IFERROR(INDEX(반품접수!$B$3:$B$1002,MATCH("R"&amp;31,미처리현황!$M$6:$M$1005,0)),""))</f>
        <v/>
      </c>
      <c r="D36" s="19" t="str">
        <f aca="true">IF($C36="","",TODAY()-$C36)</f>
        <v/>
      </c>
      <c r="E36" s="12" t="str">
        <f aca="false">IF($B36="","",IFERROR(INDEX(반품접수!$C$3:$C$1002,MATCH("R"&amp;31,미처리현황!$M$6:$M$1005,0)),""))</f>
        <v/>
      </c>
      <c r="F36" s="12" t="str">
        <f aca="false">IF($B36="","",IFERROR(INDEX(반품접수!$E$3:$E$1002,MATCH("R"&amp;31,미처리현황!$M$6:$M$1005,0)),""))</f>
        <v/>
      </c>
      <c r="G36" s="15" t="str">
        <f aca="false">IF($B36="","",IFERROR(INDEX(반품접수!$I$3:$I$1002,MATCH("R"&amp;31,미처리현황!$M$6:$M$1005,0)),""))</f>
        <v/>
      </c>
      <c r="H36" s="15" t="str">
        <f aca="false">IF($B36="","",IFERROR(INDEX(반품접수!$N$3:$N$1002,MATCH("R"&amp;31,미처리현황!$M$6:$M$1005,0)),""))</f>
        <v/>
      </c>
      <c r="I36" s="19" t="str">
        <f aca="false">IF($B36="","",IFERROR(INDEX(반품접수!$O$3:$O$1002,MATCH("R"&amp;31,미처리현황!$M$6:$M$1005,0)),""))</f>
        <v/>
      </c>
      <c r="K36" s="21" t="b">
        <f aca="false">IF(반품접수!$A33="",FALSE(),OR(반품접수!$O33="미처리",반품접수!$O33="부분처리"))</f>
        <v>0</v>
      </c>
      <c r="L36" s="6" t="str">
        <f aca="false">IF($K36=FALSE(),"",COUNTIF($K$6:$K36,TRUE()))</f>
        <v/>
      </c>
      <c r="M36" s="6" t="str">
        <f aca="false">IF($L36="","","R"&amp;$L36)</f>
        <v/>
      </c>
    </row>
    <row r="37" customFormat="false" ht="15" hidden="false" customHeight="true" outlineLevel="0" collapsed="false">
      <c r="A37" s="19" t="str">
        <f aca="false">IF($B37="","",32)</f>
        <v/>
      </c>
      <c r="B37" s="12" t="str">
        <f aca="false">IFERROR(INDEX(반품접수!$A$3:$A$1002,MATCH("R"&amp;32,미처리현황!$M$6:$M$1005,0)),"")</f>
        <v/>
      </c>
      <c r="C37" s="20" t="str">
        <f aca="false">IF($B37="","",IFERROR(INDEX(반품접수!$B$3:$B$1002,MATCH("R"&amp;32,미처리현황!$M$6:$M$1005,0)),""))</f>
        <v/>
      </c>
      <c r="D37" s="19" t="str">
        <f aca="true">IF($C37="","",TODAY()-$C37)</f>
        <v/>
      </c>
      <c r="E37" s="12" t="str">
        <f aca="false">IF($B37="","",IFERROR(INDEX(반품접수!$C$3:$C$1002,MATCH("R"&amp;32,미처리현황!$M$6:$M$1005,0)),""))</f>
        <v/>
      </c>
      <c r="F37" s="12" t="str">
        <f aca="false">IF($B37="","",IFERROR(INDEX(반품접수!$E$3:$E$1002,MATCH("R"&amp;32,미처리현황!$M$6:$M$1005,0)),""))</f>
        <v/>
      </c>
      <c r="G37" s="15" t="str">
        <f aca="false">IF($B37="","",IFERROR(INDEX(반품접수!$I$3:$I$1002,MATCH("R"&amp;32,미처리현황!$M$6:$M$1005,0)),""))</f>
        <v/>
      </c>
      <c r="H37" s="15" t="str">
        <f aca="false">IF($B37="","",IFERROR(INDEX(반품접수!$N$3:$N$1002,MATCH("R"&amp;32,미처리현황!$M$6:$M$1005,0)),""))</f>
        <v/>
      </c>
      <c r="I37" s="19" t="str">
        <f aca="false">IF($B37="","",IFERROR(INDEX(반품접수!$O$3:$O$1002,MATCH("R"&amp;32,미처리현황!$M$6:$M$1005,0)),""))</f>
        <v/>
      </c>
      <c r="K37" s="21" t="b">
        <f aca="false">IF(반품접수!$A34="",FALSE(),OR(반품접수!$O34="미처리",반품접수!$O34="부분처리"))</f>
        <v>0</v>
      </c>
      <c r="L37" s="6" t="str">
        <f aca="false">IF($K37=FALSE(),"",COUNTIF($K$6:$K37,TRUE()))</f>
        <v/>
      </c>
      <c r="M37" s="6" t="str">
        <f aca="false">IF($L37="","","R"&amp;$L37)</f>
        <v/>
      </c>
    </row>
    <row r="38" customFormat="false" ht="15" hidden="false" customHeight="true" outlineLevel="0" collapsed="false">
      <c r="A38" s="19" t="str">
        <f aca="false">IF($B38="","",33)</f>
        <v/>
      </c>
      <c r="B38" s="12" t="str">
        <f aca="false">IFERROR(INDEX(반품접수!$A$3:$A$1002,MATCH("R"&amp;33,미처리현황!$M$6:$M$1005,0)),"")</f>
        <v/>
      </c>
      <c r="C38" s="20" t="str">
        <f aca="false">IF($B38="","",IFERROR(INDEX(반품접수!$B$3:$B$1002,MATCH("R"&amp;33,미처리현황!$M$6:$M$1005,0)),""))</f>
        <v/>
      </c>
      <c r="D38" s="19" t="str">
        <f aca="true">IF($C38="","",TODAY()-$C38)</f>
        <v/>
      </c>
      <c r="E38" s="12" t="str">
        <f aca="false">IF($B38="","",IFERROR(INDEX(반품접수!$C$3:$C$1002,MATCH("R"&amp;33,미처리현황!$M$6:$M$1005,0)),""))</f>
        <v/>
      </c>
      <c r="F38" s="12" t="str">
        <f aca="false">IF($B38="","",IFERROR(INDEX(반품접수!$E$3:$E$1002,MATCH("R"&amp;33,미처리현황!$M$6:$M$1005,0)),""))</f>
        <v/>
      </c>
      <c r="G38" s="15" t="str">
        <f aca="false">IF($B38="","",IFERROR(INDEX(반품접수!$I$3:$I$1002,MATCH("R"&amp;33,미처리현황!$M$6:$M$1005,0)),""))</f>
        <v/>
      </c>
      <c r="H38" s="15" t="str">
        <f aca="false">IF($B38="","",IFERROR(INDEX(반품접수!$N$3:$N$1002,MATCH("R"&amp;33,미처리현황!$M$6:$M$1005,0)),""))</f>
        <v/>
      </c>
      <c r="I38" s="19" t="str">
        <f aca="false">IF($B38="","",IFERROR(INDEX(반품접수!$O$3:$O$1002,MATCH("R"&amp;33,미처리현황!$M$6:$M$1005,0)),""))</f>
        <v/>
      </c>
      <c r="K38" s="21" t="b">
        <f aca="false">IF(반품접수!$A35="",FALSE(),OR(반품접수!$O35="미처리",반품접수!$O35="부분처리"))</f>
        <v>0</v>
      </c>
      <c r="L38" s="6" t="str">
        <f aca="false">IF($K38=FALSE(),"",COUNTIF($K$6:$K38,TRUE()))</f>
        <v/>
      </c>
      <c r="M38" s="6" t="str">
        <f aca="false">IF($L38="","","R"&amp;$L38)</f>
        <v/>
      </c>
    </row>
    <row r="39" customFormat="false" ht="15" hidden="false" customHeight="true" outlineLevel="0" collapsed="false">
      <c r="A39" s="19" t="str">
        <f aca="false">IF($B39="","",34)</f>
        <v/>
      </c>
      <c r="B39" s="12" t="str">
        <f aca="false">IFERROR(INDEX(반품접수!$A$3:$A$1002,MATCH("R"&amp;34,미처리현황!$M$6:$M$1005,0)),"")</f>
        <v/>
      </c>
      <c r="C39" s="20" t="str">
        <f aca="false">IF($B39="","",IFERROR(INDEX(반품접수!$B$3:$B$1002,MATCH("R"&amp;34,미처리현황!$M$6:$M$1005,0)),""))</f>
        <v/>
      </c>
      <c r="D39" s="19" t="str">
        <f aca="true">IF($C39="","",TODAY()-$C39)</f>
        <v/>
      </c>
      <c r="E39" s="12" t="str">
        <f aca="false">IF($B39="","",IFERROR(INDEX(반품접수!$C$3:$C$1002,MATCH("R"&amp;34,미처리현황!$M$6:$M$1005,0)),""))</f>
        <v/>
      </c>
      <c r="F39" s="12" t="str">
        <f aca="false">IF($B39="","",IFERROR(INDEX(반품접수!$E$3:$E$1002,MATCH("R"&amp;34,미처리현황!$M$6:$M$1005,0)),""))</f>
        <v/>
      </c>
      <c r="G39" s="15" t="str">
        <f aca="false">IF($B39="","",IFERROR(INDEX(반품접수!$I$3:$I$1002,MATCH("R"&amp;34,미처리현황!$M$6:$M$1005,0)),""))</f>
        <v/>
      </c>
      <c r="H39" s="15" t="str">
        <f aca="false">IF($B39="","",IFERROR(INDEX(반품접수!$N$3:$N$1002,MATCH("R"&amp;34,미처리현황!$M$6:$M$1005,0)),""))</f>
        <v/>
      </c>
      <c r="I39" s="19" t="str">
        <f aca="false">IF($B39="","",IFERROR(INDEX(반품접수!$O$3:$O$1002,MATCH("R"&amp;34,미처리현황!$M$6:$M$1005,0)),""))</f>
        <v/>
      </c>
      <c r="K39" s="21" t="b">
        <f aca="false">IF(반품접수!$A36="",FALSE(),OR(반품접수!$O36="미처리",반품접수!$O36="부분처리"))</f>
        <v>0</v>
      </c>
      <c r="L39" s="6" t="str">
        <f aca="false">IF($K39=FALSE(),"",COUNTIF($K$6:$K39,TRUE()))</f>
        <v/>
      </c>
      <c r="M39" s="6" t="str">
        <f aca="false">IF($L39="","","R"&amp;$L39)</f>
        <v/>
      </c>
    </row>
    <row r="40" customFormat="false" ht="15" hidden="false" customHeight="true" outlineLevel="0" collapsed="false">
      <c r="A40" s="19" t="str">
        <f aca="false">IF($B40="","",35)</f>
        <v/>
      </c>
      <c r="B40" s="12" t="str">
        <f aca="false">IFERROR(INDEX(반품접수!$A$3:$A$1002,MATCH("R"&amp;35,미처리현황!$M$6:$M$1005,0)),"")</f>
        <v/>
      </c>
      <c r="C40" s="20" t="str">
        <f aca="false">IF($B40="","",IFERROR(INDEX(반품접수!$B$3:$B$1002,MATCH("R"&amp;35,미처리현황!$M$6:$M$1005,0)),""))</f>
        <v/>
      </c>
      <c r="D40" s="19" t="str">
        <f aca="true">IF($C40="","",TODAY()-$C40)</f>
        <v/>
      </c>
      <c r="E40" s="12" t="str">
        <f aca="false">IF($B40="","",IFERROR(INDEX(반품접수!$C$3:$C$1002,MATCH("R"&amp;35,미처리현황!$M$6:$M$1005,0)),""))</f>
        <v/>
      </c>
      <c r="F40" s="12" t="str">
        <f aca="false">IF($B40="","",IFERROR(INDEX(반품접수!$E$3:$E$1002,MATCH("R"&amp;35,미처리현황!$M$6:$M$1005,0)),""))</f>
        <v/>
      </c>
      <c r="G40" s="15" t="str">
        <f aca="false">IF($B40="","",IFERROR(INDEX(반품접수!$I$3:$I$1002,MATCH("R"&amp;35,미처리현황!$M$6:$M$1005,0)),""))</f>
        <v/>
      </c>
      <c r="H40" s="15" t="str">
        <f aca="false">IF($B40="","",IFERROR(INDEX(반품접수!$N$3:$N$1002,MATCH("R"&amp;35,미처리현황!$M$6:$M$1005,0)),""))</f>
        <v/>
      </c>
      <c r="I40" s="19" t="str">
        <f aca="false">IF($B40="","",IFERROR(INDEX(반품접수!$O$3:$O$1002,MATCH("R"&amp;35,미처리현황!$M$6:$M$1005,0)),""))</f>
        <v/>
      </c>
      <c r="K40" s="21" t="b">
        <f aca="false">IF(반품접수!$A37="",FALSE(),OR(반품접수!$O37="미처리",반품접수!$O37="부분처리"))</f>
        <v>0</v>
      </c>
      <c r="L40" s="6" t="str">
        <f aca="false">IF($K40=FALSE(),"",COUNTIF($K$6:$K40,TRUE()))</f>
        <v/>
      </c>
      <c r="M40" s="6" t="str">
        <f aca="false">IF($L40="","","R"&amp;$L40)</f>
        <v/>
      </c>
    </row>
    <row r="41" customFormat="false" ht="15" hidden="false" customHeight="true" outlineLevel="0" collapsed="false">
      <c r="A41" s="19" t="str">
        <f aca="false">IF($B41="","",36)</f>
        <v/>
      </c>
      <c r="B41" s="12" t="str">
        <f aca="false">IFERROR(INDEX(반품접수!$A$3:$A$1002,MATCH("R"&amp;36,미처리현황!$M$6:$M$1005,0)),"")</f>
        <v/>
      </c>
      <c r="C41" s="20" t="str">
        <f aca="false">IF($B41="","",IFERROR(INDEX(반품접수!$B$3:$B$1002,MATCH("R"&amp;36,미처리현황!$M$6:$M$1005,0)),""))</f>
        <v/>
      </c>
      <c r="D41" s="19" t="str">
        <f aca="true">IF($C41="","",TODAY()-$C41)</f>
        <v/>
      </c>
      <c r="E41" s="12" t="str">
        <f aca="false">IF($B41="","",IFERROR(INDEX(반품접수!$C$3:$C$1002,MATCH("R"&amp;36,미처리현황!$M$6:$M$1005,0)),""))</f>
        <v/>
      </c>
      <c r="F41" s="12" t="str">
        <f aca="false">IF($B41="","",IFERROR(INDEX(반품접수!$E$3:$E$1002,MATCH("R"&amp;36,미처리현황!$M$6:$M$1005,0)),""))</f>
        <v/>
      </c>
      <c r="G41" s="15" t="str">
        <f aca="false">IF($B41="","",IFERROR(INDEX(반품접수!$I$3:$I$1002,MATCH("R"&amp;36,미처리현황!$M$6:$M$1005,0)),""))</f>
        <v/>
      </c>
      <c r="H41" s="15" t="str">
        <f aca="false">IF($B41="","",IFERROR(INDEX(반품접수!$N$3:$N$1002,MATCH("R"&amp;36,미처리현황!$M$6:$M$1005,0)),""))</f>
        <v/>
      </c>
      <c r="I41" s="19" t="str">
        <f aca="false">IF($B41="","",IFERROR(INDEX(반품접수!$O$3:$O$1002,MATCH("R"&amp;36,미처리현황!$M$6:$M$1005,0)),""))</f>
        <v/>
      </c>
      <c r="K41" s="21" t="b">
        <f aca="false">IF(반품접수!$A38="",FALSE(),OR(반품접수!$O38="미처리",반품접수!$O38="부분처리"))</f>
        <v>0</v>
      </c>
      <c r="L41" s="6" t="str">
        <f aca="false">IF($K41=FALSE(),"",COUNTIF($K$6:$K41,TRUE()))</f>
        <v/>
      </c>
      <c r="M41" s="6" t="str">
        <f aca="false">IF($L41="","","R"&amp;$L41)</f>
        <v/>
      </c>
    </row>
    <row r="42" customFormat="false" ht="15" hidden="false" customHeight="true" outlineLevel="0" collapsed="false">
      <c r="A42" s="19" t="str">
        <f aca="false">IF($B42="","",37)</f>
        <v/>
      </c>
      <c r="B42" s="12" t="str">
        <f aca="false">IFERROR(INDEX(반품접수!$A$3:$A$1002,MATCH("R"&amp;37,미처리현황!$M$6:$M$1005,0)),"")</f>
        <v/>
      </c>
      <c r="C42" s="20" t="str">
        <f aca="false">IF($B42="","",IFERROR(INDEX(반품접수!$B$3:$B$1002,MATCH("R"&amp;37,미처리현황!$M$6:$M$1005,0)),""))</f>
        <v/>
      </c>
      <c r="D42" s="19" t="str">
        <f aca="true">IF($C42="","",TODAY()-$C42)</f>
        <v/>
      </c>
      <c r="E42" s="12" t="str">
        <f aca="false">IF($B42="","",IFERROR(INDEX(반품접수!$C$3:$C$1002,MATCH("R"&amp;37,미처리현황!$M$6:$M$1005,0)),""))</f>
        <v/>
      </c>
      <c r="F42" s="12" t="str">
        <f aca="false">IF($B42="","",IFERROR(INDEX(반품접수!$E$3:$E$1002,MATCH("R"&amp;37,미처리현황!$M$6:$M$1005,0)),""))</f>
        <v/>
      </c>
      <c r="G42" s="15" t="str">
        <f aca="false">IF($B42="","",IFERROR(INDEX(반품접수!$I$3:$I$1002,MATCH("R"&amp;37,미처리현황!$M$6:$M$1005,0)),""))</f>
        <v/>
      </c>
      <c r="H42" s="15" t="str">
        <f aca="false">IF($B42="","",IFERROR(INDEX(반품접수!$N$3:$N$1002,MATCH("R"&amp;37,미처리현황!$M$6:$M$1005,0)),""))</f>
        <v/>
      </c>
      <c r="I42" s="19" t="str">
        <f aca="false">IF($B42="","",IFERROR(INDEX(반품접수!$O$3:$O$1002,MATCH("R"&amp;37,미처리현황!$M$6:$M$1005,0)),""))</f>
        <v/>
      </c>
      <c r="K42" s="21" t="b">
        <f aca="false">IF(반품접수!$A39="",FALSE(),OR(반품접수!$O39="미처리",반품접수!$O39="부분처리"))</f>
        <v>0</v>
      </c>
      <c r="L42" s="6" t="str">
        <f aca="false">IF($K42=FALSE(),"",COUNTIF($K$6:$K42,TRUE()))</f>
        <v/>
      </c>
      <c r="M42" s="6" t="str">
        <f aca="false">IF($L42="","","R"&amp;$L42)</f>
        <v/>
      </c>
    </row>
    <row r="43" customFormat="false" ht="15" hidden="false" customHeight="true" outlineLevel="0" collapsed="false">
      <c r="A43" s="19" t="str">
        <f aca="false">IF($B43="","",38)</f>
        <v/>
      </c>
      <c r="B43" s="12" t="str">
        <f aca="false">IFERROR(INDEX(반품접수!$A$3:$A$1002,MATCH("R"&amp;38,미처리현황!$M$6:$M$1005,0)),"")</f>
        <v/>
      </c>
      <c r="C43" s="20" t="str">
        <f aca="false">IF($B43="","",IFERROR(INDEX(반품접수!$B$3:$B$1002,MATCH("R"&amp;38,미처리현황!$M$6:$M$1005,0)),""))</f>
        <v/>
      </c>
      <c r="D43" s="19" t="str">
        <f aca="true">IF($C43="","",TODAY()-$C43)</f>
        <v/>
      </c>
      <c r="E43" s="12" t="str">
        <f aca="false">IF($B43="","",IFERROR(INDEX(반품접수!$C$3:$C$1002,MATCH("R"&amp;38,미처리현황!$M$6:$M$1005,0)),""))</f>
        <v/>
      </c>
      <c r="F43" s="12" t="str">
        <f aca="false">IF($B43="","",IFERROR(INDEX(반품접수!$E$3:$E$1002,MATCH("R"&amp;38,미처리현황!$M$6:$M$1005,0)),""))</f>
        <v/>
      </c>
      <c r="G43" s="15" t="str">
        <f aca="false">IF($B43="","",IFERROR(INDEX(반품접수!$I$3:$I$1002,MATCH("R"&amp;38,미처리현황!$M$6:$M$1005,0)),""))</f>
        <v/>
      </c>
      <c r="H43" s="15" t="str">
        <f aca="false">IF($B43="","",IFERROR(INDEX(반품접수!$N$3:$N$1002,MATCH("R"&amp;38,미처리현황!$M$6:$M$1005,0)),""))</f>
        <v/>
      </c>
      <c r="I43" s="19" t="str">
        <f aca="false">IF($B43="","",IFERROR(INDEX(반품접수!$O$3:$O$1002,MATCH("R"&amp;38,미처리현황!$M$6:$M$1005,0)),""))</f>
        <v/>
      </c>
      <c r="K43" s="21" t="b">
        <f aca="false">IF(반품접수!$A40="",FALSE(),OR(반품접수!$O40="미처리",반품접수!$O40="부분처리"))</f>
        <v>0</v>
      </c>
      <c r="L43" s="6" t="str">
        <f aca="false">IF($K43=FALSE(),"",COUNTIF($K$6:$K43,TRUE()))</f>
        <v/>
      </c>
      <c r="M43" s="6" t="str">
        <f aca="false">IF($L43="","","R"&amp;$L43)</f>
        <v/>
      </c>
    </row>
    <row r="44" customFormat="false" ht="15" hidden="false" customHeight="true" outlineLevel="0" collapsed="false">
      <c r="A44" s="19" t="str">
        <f aca="false">IF($B44="","",39)</f>
        <v/>
      </c>
      <c r="B44" s="12" t="str">
        <f aca="false">IFERROR(INDEX(반품접수!$A$3:$A$1002,MATCH("R"&amp;39,미처리현황!$M$6:$M$1005,0)),"")</f>
        <v/>
      </c>
      <c r="C44" s="20" t="str">
        <f aca="false">IF($B44="","",IFERROR(INDEX(반품접수!$B$3:$B$1002,MATCH("R"&amp;39,미처리현황!$M$6:$M$1005,0)),""))</f>
        <v/>
      </c>
      <c r="D44" s="19" t="str">
        <f aca="true">IF($C44="","",TODAY()-$C44)</f>
        <v/>
      </c>
      <c r="E44" s="12" t="str">
        <f aca="false">IF($B44="","",IFERROR(INDEX(반품접수!$C$3:$C$1002,MATCH("R"&amp;39,미처리현황!$M$6:$M$1005,0)),""))</f>
        <v/>
      </c>
      <c r="F44" s="12" t="str">
        <f aca="false">IF($B44="","",IFERROR(INDEX(반품접수!$E$3:$E$1002,MATCH("R"&amp;39,미처리현황!$M$6:$M$1005,0)),""))</f>
        <v/>
      </c>
      <c r="G44" s="15" t="str">
        <f aca="false">IF($B44="","",IFERROR(INDEX(반품접수!$I$3:$I$1002,MATCH("R"&amp;39,미처리현황!$M$6:$M$1005,0)),""))</f>
        <v/>
      </c>
      <c r="H44" s="15" t="str">
        <f aca="false">IF($B44="","",IFERROR(INDEX(반품접수!$N$3:$N$1002,MATCH("R"&amp;39,미처리현황!$M$6:$M$1005,0)),""))</f>
        <v/>
      </c>
      <c r="I44" s="19" t="str">
        <f aca="false">IF($B44="","",IFERROR(INDEX(반품접수!$O$3:$O$1002,MATCH("R"&amp;39,미처리현황!$M$6:$M$1005,0)),""))</f>
        <v/>
      </c>
      <c r="K44" s="21" t="b">
        <f aca="false">IF(반품접수!$A41="",FALSE(),OR(반품접수!$O41="미처리",반품접수!$O41="부분처리"))</f>
        <v>0</v>
      </c>
      <c r="L44" s="6" t="str">
        <f aca="false">IF($K44=FALSE(),"",COUNTIF($K$6:$K44,TRUE()))</f>
        <v/>
      </c>
      <c r="M44" s="6" t="str">
        <f aca="false">IF($L44="","","R"&amp;$L44)</f>
        <v/>
      </c>
    </row>
    <row r="45" customFormat="false" ht="15" hidden="false" customHeight="true" outlineLevel="0" collapsed="false">
      <c r="A45" s="19" t="str">
        <f aca="false">IF($B45="","",40)</f>
        <v/>
      </c>
      <c r="B45" s="12" t="str">
        <f aca="false">IFERROR(INDEX(반품접수!$A$3:$A$1002,MATCH("R"&amp;40,미처리현황!$M$6:$M$1005,0)),"")</f>
        <v/>
      </c>
      <c r="C45" s="20" t="str">
        <f aca="false">IF($B45="","",IFERROR(INDEX(반품접수!$B$3:$B$1002,MATCH("R"&amp;40,미처리현황!$M$6:$M$1005,0)),""))</f>
        <v/>
      </c>
      <c r="D45" s="19" t="str">
        <f aca="true">IF($C45="","",TODAY()-$C45)</f>
        <v/>
      </c>
      <c r="E45" s="12" t="str">
        <f aca="false">IF($B45="","",IFERROR(INDEX(반품접수!$C$3:$C$1002,MATCH("R"&amp;40,미처리현황!$M$6:$M$1005,0)),""))</f>
        <v/>
      </c>
      <c r="F45" s="12" t="str">
        <f aca="false">IF($B45="","",IFERROR(INDEX(반품접수!$E$3:$E$1002,MATCH("R"&amp;40,미처리현황!$M$6:$M$1005,0)),""))</f>
        <v/>
      </c>
      <c r="G45" s="15" t="str">
        <f aca="false">IF($B45="","",IFERROR(INDEX(반품접수!$I$3:$I$1002,MATCH("R"&amp;40,미처리현황!$M$6:$M$1005,0)),""))</f>
        <v/>
      </c>
      <c r="H45" s="15" t="str">
        <f aca="false">IF($B45="","",IFERROR(INDEX(반품접수!$N$3:$N$1002,MATCH("R"&amp;40,미처리현황!$M$6:$M$1005,0)),""))</f>
        <v/>
      </c>
      <c r="I45" s="19" t="str">
        <f aca="false">IF($B45="","",IFERROR(INDEX(반품접수!$O$3:$O$1002,MATCH("R"&amp;40,미처리현황!$M$6:$M$1005,0)),""))</f>
        <v/>
      </c>
      <c r="K45" s="21" t="b">
        <f aca="false">IF(반품접수!$A42="",FALSE(),OR(반품접수!$O42="미처리",반품접수!$O42="부분처리"))</f>
        <v>0</v>
      </c>
      <c r="L45" s="6" t="str">
        <f aca="false">IF($K45=FALSE(),"",COUNTIF($K$6:$K45,TRUE()))</f>
        <v/>
      </c>
      <c r="M45" s="6" t="str">
        <f aca="false">IF($L45="","","R"&amp;$L45)</f>
        <v/>
      </c>
    </row>
    <row r="46" customFormat="false" ht="15" hidden="false" customHeight="true" outlineLevel="0" collapsed="false">
      <c r="A46" s="19" t="str">
        <f aca="false">IF($B46="","",41)</f>
        <v/>
      </c>
      <c r="B46" s="12" t="str">
        <f aca="false">IFERROR(INDEX(반품접수!$A$3:$A$1002,MATCH("R"&amp;41,미처리현황!$M$6:$M$1005,0)),"")</f>
        <v/>
      </c>
      <c r="C46" s="20" t="str">
        <f aca="false">IF($B46="","",IFERROR(INDEX(반품접수!$B$3:$B$1002,MATCH("R"&amp;41,미처리현황!$M$6:$M$1005,0)),""))</f>
        <v/>
      </c>
      <c r="D46" s="19" t="str">
        <f aca="true">IF($C46="","",TODAY()-$C46)</f>
        <v/>
      </c>
      <c r="E46" s="12" t="str">
        <f aca="false">IF($B46="","",IFERROR(INDEX(반품접수!$C$3:$C$1002,MATCH("R"&amp;41,미처리현황!$M$6:$M$1005,0)),""))</f>
        <v/>
      </c>
      <c r="F46" s="12" t="str">
        <f aca="false">IF($B46="","",IFERROR(INDEX(반품접수!$E$3:$E$1002,MATCH("R"&amp;41,미처리현황!$M$6:$M$1005,0)),""))</f>
        <v/>
      </c>
      <c r="G46" s="15" t="str">
        <f aca="false">IF($B46="","",IFERROR(INDEX(반품접수!$I$3:$I$1002,MATCH("R"&amp;41,미처리현황!$M$6:$M$1005,0)),""))</f>
        <v/>
      </c>
      <c r="H46" s="15" t="str">
        <f aca="false">IF($B46="","",IFERROR(INDEX(반품접수!$N$3:$N$1002,MATCH("R"&amp;41,미처리현황!$M$6:$M$1005,0)),""))</f>
        <v/>
      </c>
      <c r="I46" s="19" t="str">
        <f aca="false">IF($B46="","",IFERROR(INDEX(반품접수!$O$3:$O$1002,MATCH("R"&amp;41,미처리현황!$M$6:$M$1005,0)),""))</f>
        <v/>
      </c>
      <c r="K46" s="21" t="b">
        <f aca="false">IF(반품접수!$A43="",FALSE(),OR(반품접수!$O43="미처리",반품접수!$O43="부분처리"))</f>
        <v>0</v>
      </c>
      <c r="L46" s="6" t="str">
        <f aca="false">IF($K46=FALSE(),"",COUNTIF($K$6:$K46,TRUE()))</f>
        <v/>
      </c>
      <c r="M46" s="6" t="str">
        <f aca="false">IF($L46="","","R"&amp;$L46)</f>
        <v/>
      </c>
    </row>
    <row r="47" customFormat="false" ht="15" hidden="false" customHeight="true" outlineLevel="0" collapsed="false">
      <c r="A47" s="19" t="str">
        <f aca="false">IF($B47="","",42)</f>
        <v/>
      </c>
      <c r="B47" s="12" t="str">
        <f aca="false">IFERROR(INDEX(반품접수!$A$3:$A$1002,MATCH("R"&amp;42,미처리현황!$M$6:$M$1005,0)),"")</f>
        <v/>
      </c>
      <c r="C47" s="20" t="str">
        <f aca="false">IF($B47="","",IFERROR(INDEX(반품접수!$B$3:$B$1002,MATCH("R"&amp;42,미처리현황!$M$6:$M$1005,0)),""))</f>
        <v/>
      </c>
      <c r="D47" s="19" t="str">
        <f aca="true">IF($C47="","",TODAY()-$C47)</f>
        <v/>
      </c>
      <c r="E47" s="12" t="str">
        <f aca="false">IF($B47="","",IFERROR(INDEX(반품접수!$C$3:$C$1002,MATCH("R"&amp;42,미처리현황!$M$6:$M$1005,0)),""))</f>
        <v/>
      </c>
      <c r="F47" s="12" t="str">
        <f aca="false">IF($B47="","",IFERROR(INDEX(반품접수!$E$3:$E$1002,MATCH("R"&amp;42,미처리현황!$M$6:$M$1005,0)),""))</f>
        <v/>
      </c>
      <c r="G47" s="15" t="str">
        <f aca="false">IF($B47="","",IFERROR(INDEX(반품접수!$I$3:$I$1002,MATCH("R"&amp;42,미처리현황!$M$6:$M$1005,0)),""))</f>
        <v/>
      </c>
      <c r="H47" s="15" t="str">
        <f aca="false">IF($B47="","",IFERROR(INDEX(반품접수!$N$3:$N$1002,MATCH("R"&amp;42,미처리현황!$M$6:$M$1005,0)),""))</f>
        <v/>
      </c>
      <c r="I47" s="19" t="str">
        <f aca="false">IF($B47="","",IFERROR(INDEX(반품접수!$O$3:$O$1002,MATCH("R"&amp;42,미처리현황!$M$6:$M$1005,0)),""))</f>
        <v/>
      </c>
      <c r="K47" s="21" t="b">
        <f aca="false">IF(반품접수!$A44="",FALSE(),OR(반품접수!$O44="미처리",반품접수!$O44="부분처리"))</f>
        <v>0</v>
      </c>
      <c r="L47" s="6" t="str">
        <f aca="false">IF($K47=FALSE(),"",COUNTIF($K$6:$K47,TRUE()))</f>
        <v/>
      </c>
      <c r="M47" s="6" t="str">
        <f aca="false">IF($L47="","","R"&amp;$L47)</f>
        <v/>
      </c>
    </row>
    <row r="48" customFormat="false" ht="15" hidden="false" customHeight="true" outlineLevel="0" collapsed="false">
      <c r="A48" s="19" t="str">
        <f aca="false">IF($B48="","",43)</f>
        <v/>
      </c>
      <c r="B48" s="12" t="str">
        <f aca="false">IFERROR(INDEX(반품접수!$A$3:$A$1002,MATCH("R"&amp;43,미처리현황!$M$6:$M$1005,0)),"")</f>
        <v/>
      </c>
      <c r="C48" s="20" t="str">
        <f aca="false">IF($B48="","",IFERROR(INDEX(반품접수!$B$3:$B$1002,MATCH("R"&amp;43,미처리현황!$M$6:$M$1005,0)),""))</f>
        <v/>
      </c>
      <c r="D48" s="19" t="str">
        <f aca="true">IF($C48="","",TODAY()-$C48)</f>
        <v/>
      </c>
      <c r="E48" s="12" t="str">
        <f aca="false">IF($B48="","",IFERROR(INDEX(반품접수!$C$3:$C$1002,MATCH("R"&amp;43,미처리현황!$M$6:$M$1005,0)),""))</f>
        <v/>
      </c>
      <c r="F48" s="12" t="str">
        <f aca="false">IF($B48="","",IFERROR(INDEX(반품접수!$E$3:$E$1002,MATCH("R"&amp;43,미처리현황!$M$6:$M$1005,0)),""))</f>
        <v/>
      </c>
      <c r="G48" s="15" t="str">
        <f aca="false">IF($B48="","",IFERROR(INDEX(반품접수!$I$3:$I$1002,MATCH("R"&amp;43,미처리현황!$M$6:$M$1005,0)),""))</f>
        <v/>
      </c>
      <c r="H48" s="15" t="str">
        <f aca="false">IF($B48="","",IFERROR(INDEX(반품접수!$N$3:$N$1002,MATCH("R"&amp;43,미처리현황!$M$6:$M$1005,0)),""))</f>
        <v/>
      </c>
      <c r="I48" s="19" t="str">
        <f aca="false">IF($B48="","",IFERROR(INDEX(반품접수!$O$3:$O$1002,MATCH("R"&amp;43,미처리현황!$M$6:$M$1005,0)),""))</f>
        <v/>
      </c>
      <c r="K48" s="21" t="b">
        <f aca="false">IF(반품접수!$A45="",FALSE(),OR(반품접수!$O45="미처리",반품접수!$O45="부분처리"))</f>
        <v>0</v>
      </c>
      <c r="L48" s="6" t="str">
        <f aca="false">IF($K48=FALSE(),"",COUNTIF($K$6:$K48,TRUE()))</f>
        <v/>
      </c>
      <c r="M48" s="6" t="str">
        <f aca="false">IF($L48="","","R"&amp;$L48)</f>
        <v/>
      </c>
    </row>
    <row r="49" customFormat="false" ht="15" hidden="false" customHeight="true" outlineLevel="0" collapsed="false">
      <c r="A49" s="19" t="str">
        <f aca="false">IF($B49="","",44)</f>
        <v/>
      </c>
      <c r="B49" s="12" t="str">
        <f aca="false">IFERROR(INDEX(반품접수!$A$3:$A$1002,MATCH("R"&amp;44,미처리현황!$M$6:$M$1005,0)),"")</f>
        <v/>
      </c>
      <c r="C49" s="20" t="str">
        <f aca="false">IF($B49="","",IFERROR(INDEX(반품접수!$B$3:$B$1002,MATCH("R"&amp;44,미처리현황!$M$6:$M$1005,0)),""))</f>
        <v/>
      </c>
      <c r="D49" s="19" t="str">
        <f aca="true">IF($C49="","",TODAY()-$C49)</f>
        <v/>
      </c>
      <c r="E49" s="12" t="str">
        <f aca="false">IF($B49="","",IFERROR(INDEX(반품접수!$C$3:$C$1002,MATCH("R"&amp;44,미처리현황!$M$6:$M$1005,0)),""))</f>
        <v/>
      </c>
      <c r="F49" s="12" t="str">
        <f aca="false">IF($B49="","",IFERROR(INDEX(반품접수!$E$3:$E$1002,MATCH("R"&amp;44,미처리현황!$M$6:$M$1005,0)),""))</f>
        <v/>
      </c>
      <c r="G49" s="15" t="str">
        <f aca="false">IF($B49="","",IFERROR(INDEX(반품접수!$I$3:$I$1002,MATCH("R"&amp;44,미처리현황!$M$6:$M$1005,0)),""))</f>
        <v/>
      </c>
      <c r="H49" s="15" t="str">
        <f aca="false">IF($B49="","",IFERROR(INDEX(반품접수!$N$3:$N$1002,MATCH("R"&amp;44,미처리현황!$M$6:$M$1005,0)),""))</f>
        <v/>
      </c>
      <c r="I49" s="19" t="str">
        <f aca="false">IF($B49="","",IFERROR(INDEX(반품접수!$O$3:$O$1002,MATCH("R"&amp;44,미처리현황!$M$6:$M$1005,0)),""))</f>
        <v/>
      </c>
      <c r="K49" s="21" t="b">
        <f aca="false">IF(반품접수!$A46="",FALSE(),OR(반품접수!$O46="미처리",반품접수!$O46="부분처리"))</f>
        <v>0</v>
      </c>
      <c r="L49" s="6" t="str">
        <f aca="false">IF($K49=FALSE(),"",COUNTIF($K$6:$K49,TRUE()))</f>
        <v/>
      </c>
      <c r="M49" s="6" t="str">
        <f aca="false">IF($L49="","","R"&amp;$L49)</f>
        <v/>
      </c>
    </row>
    <row r="50" customFormat="false" ht="15" hidden="false" customHeight="true" outlineLevel="0" collapsed="false">
      <c r="A50" s="19" t="str">
        <f aca="false">IF($B50="","",45)</f>
        <v/>
      </c>
      <c r="B50" s="12" t="str">
        <f aca="false">IFERROR(INDEX(반품접수!$A$3:$A$1002,MATCH("R"&amp;45,미처리현황!$M$6:$M$1005,0)),"")</f>
        <v/>
      </c>
      <c r="C50" s="20" t="str">
        <f aca="false">IF($B50="","",IFERROR(INDEX(반품접수!$B$3:$B$1002,MATCH("R"&amp;45,미처리현황!$M$6:$M$1005,0)),""))</f>
        <v/>
      </c>
      <c r="D50" s="19" t="str">
        <f aca="true">IF($C50="","",TODAY()-$C50)</f>
        <v/>
      </c>
      <c r="E50" s="12" t="str">
        <f aca="false">IF($B50="","",IFERROR(INDEX(반품접수!$C$3:$C$1002,MATCH("R"&amp;45,미처리현황!$M$6:$M$1005,0)),""))</f>
        <v/>
      </c>
      <c r="F50" s="12" t="str">
        <f aca="false">IF($B50="","",IFERROR(INDEX(반품접수!$E$3:$E$1002,MATCH("R"&amp;45,미처리현황!$M$6:$M$1005,0)),""))</f>
        <v/>
      </c>
      <c r="G50" s="15" t="str">
        <f aca="false">IF($B50="","",IFERROR(INDEX(반품접수!$I$3:$I$1002,MATCH("R"&amp;45,미처리현황!$M$6:$M$1005,0)),""))</f>
        <v/>
      </c>
      <c r="H50" s="15" t="str">
        <f aca="false">IF($B50="","",IFERROR(INDEX(반품접수!$N$3:$N$1002,MATCH("R"&amp;45,미처리현황!$M$6:$M$1005,0)),""))</f>
        <v/>
      </c>
      <c r="I50" s="19" t="str">
        <f aca="false">IF($B50="","",IFERROR(INDEX(반품접수!$O$3:$O$1002,MATCH("R"&amp;45,미처리현황!$M$6:$M$1005,0)),""))</f>
        <v/>
      </c>
      <c r="K50" s="21" t="b">
        <f aca="false">IF(반품접수!$A47="",FALSE(),OR(반품접수!$O47="미처리",반품접수!$O47="부분처리"))</f>
        <v>0</v>
      </c>
      <c r="L50" s="6" t="str">
        <f aca="false">IF($K50=FALSE(),"",COUNTIF($K$6:$K50,TRUE()))</f>
        <v/>
      </c>
      <c r="M50" s="6" t="str">
        <f aca="false">IF($L50="","","R"&amp;$L50)</f>
        <v/>
      </c>
    </row>
    <row r="51" customFormat="false" ht="15" hidden="false" customHeight="true" outlineLevel="0" collapsed="false">
      <c r="A51" s="19" t="str">
        <f aca="false">IF($B51="","",46)</f>
        <v/>
      </c>
      <c r="B51" s="12" t="str">
        <f aca="false">IFERROR(INDEX(반품접수!$A$3:$A$1002,MATCH("R"&amp;46,미처리현황!$M$6:$M$1005,0)),"")</f>
        <v/>
      </c>
      <c r="C51" s="20" t="str">
        <f aca="false">IF($B51="","",IFERROR(INDEX(반품접수!$B$3:$B$1002,MATCH("R"&amp;46,미처리현황!$M$6:$M$1005,0)),""))</f>
        <v/>
      </c>
      <c r="D51" s="19" t="str">
        <f aca="true">IF($C51="","",TODAY()-$C51)</f>
        <v/>
      </c>
      <c r="E51" s="12" t="str">
        <f aca="false">IF($B51="","",IFERROR(INDEX(반품접수!$C$3:$C$1002,MATCH("R"&amp;46,미처리현황!$M$6:$M$1005,0)),""))</f>
        <v/>
      </c>
      <c r="F51" s="12" t="str">
        <f aca="false">IF($B51="","",IFERROR(INDEX(반품접수!$E$3:$E$1002,MATCH("R"&amp;46,미처리현황!$M$6:$M$1005,0)),""))</f>
        <v/>
      </c>
      <c r="G51" s="15" t="str">
        <f aca="false">IF($B51="","",IFERROR(INDEX(반품접수!$I$3:$I$1002,MATCH("R"&amp;46,미처리현황!$M$6:$M$1005,0)),""))</f>
        <v/>
      </c>
      <c r="H51" s="15" t="str">
        <f aca="false">IF($B51="","",IFERROR(INDEX(반품접수!$N$3:$N$1002,MATCH("R"&amp;46,미처리현황!$M$6:$M$1005,0)),""))</f>
        <v/>
      </c>
      <c r="I51" s="19" t="str">
        <f aca="false">IF($B51="","",IFERROR(INDEX(반품접수!$O$3:$O$1002,MATCH("R"&amp;46,미처리현황!$M$6:$M$1005,0)),""))</f>
        <v/>
      </c>
      <c r="K51" s="21" t="b">
        <f aca="false">IF(반품접수!$A48="",FALSE(),OR(반품접수!$O48="미처리",반품접수!$O48="부분처리"))</f>
        <v>0</v>
      </c>
      <c r="L51" s="6" t="str">
        <f aca="false">IF($K51=FALSE(),"",COUNTIF($K$6:$K51,TRUE()))</f>
        <v/>
      </c>
      <c r="M51" s="6" t="str">
        <f aca="false">IF($L51="","","R"&amp;$L51)</f>
        <v/>
      </c>
    </row>
    <row r="52" customFormat="false" ht="15" hidden="false" customHeight="true" outlineLevel="0" collapsed="false">
      <c r="A52" s="19" t="str">
        <f aca="false">IF($B52="","",47)</f>
        <v/>
      </c>
      <c r="B52" s="12" t="str">
        <f aca="false">IFERROR(INDEX(반품접수!$A$3:$A$1002,MATCH("R"&amp;47,미처리현황!$M$6:$M$1005,0)),"")</f>
        <v/>
      </c>
      <c r="C52" s="20" t="str">
        <f aca="false">IF($B52="","",IFERROR(INDEX(반품접수!$B$3:$B$1002,MATCH("R"&amp;47,미처리현황!$M$6:$M$1005,0)),""))</f>
        <v/>
      </c>
      <c r="D52" s="19" t="str">
        <f aca="true">IF($C52="","",TODAY()-$C52)</f>
        <v/>
      </c>
      <c r="E52" s="12" t="str">
        <f aca="false">IF($B52="","",IFERROR(INDEX(반품접수!$C$3:$C$1002,MATCH("R"&amp;47,미처리현황!$M$6:$M$1005,0)),""))</f>
        <v/>
      </c>
      <c r="F52" s="12" t="str">
        <f aca="false">IF($B52="","",IFERROR(INDEX(반품접수!$E$3:$E$1002,MATCH("R"&amp;47,미처리현황!$M$6:$M$1005,0)),""))</f>
        <v/>
      </c>
      <c r="G52" s="15" t="str">
        <f aca="false">IF($B52="","",IFERROR(INDEX(반품접수!$I$3:$I$1002,MATCH("R"&amp;47,미처리현황!$M$6:$M$1005,0)),""))</f>
        <v/>
      </c>
      <c r="H52" s="15" t="str">
        <f aca="false">IF($B52="","",IFERROR(INDEX(반품접수!$N$3:$N$1002,MATCH("R"&amp;47,미처리현황!$M$6:$M$1005,0)),""))</f>
        <v/>
      </c>
      <c r="I52" s="19" t="str">
        <f aca="false">IF($B52="","",IFERROR(INDEX(반품접수!$O$3:$O$1002,MATCH("R"&amp;47,미처리현황!$M$6:$M$1005,0)),""))</f>
        <v/>
      </c>
      <c r="K52" s="21" t="b">
        <f aca="false">IF(반품접수!$A49="",FALSE(),OR(반품접수!$O49="미처리",반품접수!$O49="부분처리"))</f>
        <v>0</v>
      </c>
      <c r="L52" s="6" t="str">
        <f aca="false">IF($K52=FALSE(),"",COUNTIF($K$6:$K52,TRUE()))</f>
        <v/>
      </c>
      <c r="M52" s="6" t="str">
        <f aca="false">IF($L52="","","R"&amp;$L52)</f>
        <v/>
      </c>
    </row>
    <row r="53" customFormat="false" ht="15" hidden="false" customHeight="true" outlineLevel="0" collapsed="false">
      <c r="A53" s="19" t="str">
        <f aca="false">IF($B53="","",48)</f>
        <v/>
      </c>
      <c r="B53" s="12" t="str">
        <f aca="false">IFERROR(INDEX(반품접수!$A$3:$A$1002,MATCH("R"&amp;48,미처리현황!$M$6:$M$1005,0)),"")</f>
        <v/>
      </c>
      <c r="C53" s="20" t="str">
        <f aca="false">IF($B53="","",IFERROR(INDEX(반품접수!$B$3:$B$1002,MATCH("R"&amp;48,미처리현황!$M$6:$M$1005,0)),""))</f>
        <v/>
      </c>
      <c r="D53" s="19" t="str">
        <f aca="true">IF($C53="","",TODAY()-$C53)</f>
        <v/>
      </c>
      <c r="E53" s="12" t="str">
        <f aca="false">IF($B53="","",IFERROR(INDEX(반품접수!$C$3:$C$1002,MATCH("R"&amp;48,미처리현황!$M$6:$M$1005,0)),""))</f>
        <v/>
      </c>
      <c r="F53" s="12" t="str">
        <f aca="false">IF($B53="","",IFERROR(INDEX(반품접수!$E$3:$E$1002,MATCH("R"&amp;48,미처리현황!$M$6:$M$1005,0)),""))</f>
        <v/>
      </c>
      <c r="G53" s="15" t="str">
        <f aca="false">IF($B53="","",IFERROR(INDEX(반품접수!$I$3:$I$1002,MATCH("R"&amp;48,미처리현황!$M$6:$M$1005,0)),""))</f>
        <v/>
      </c>
      <c r="H53" s="15" t="str">
        <f aca="false">IF($B53="","",IFERROR(INDEX(반품접수!$N$3:$N$1002,MATCH("R"&amp;48,미처리현황!$M$6:$M$1005,0)),""))</f>
        <v/>
      </c>
      <c r="I53" s="19" t="str">
        <f aca="false">IF($B53="","",IFERROR(INDEX(반품접수!$O$3:$O$1002,MATCH("R"&amp;48,미처리현황!$M$6:$M$1005,0)),""))</f>
        <v/>
      </c>
      <c r="K53" s="21" t="b">
        <f aca="false">IF(반품접수!$A50="",FALSE(),OR(반품접수!$O50="미처리",반품접수!$O50="부분처리"))</f>
        <v>0</v>
      </c>
      <c r="L53" s="6" t="str">
        <f aca="false">IF($K53=FALSE(),"",COUNTIF($K$6:$K53,TRUE()))</f>
        <v/>
      </c>
      <c r="M53" s="6" t="str">
        <f aca="false">IF($L53="","","R"&amp;$L53)</f>
        <v/>
      </c>
    </row>
    <row r="54" customFormat="false" ht="15" hidden="false" customHeight="true" outlineLevel="0" collapsed="false">
      <c r="A54" s="19" t="str">
        <f aca="false">IF($B54="","",49)</f>
        <v/>
      </c>
      <c r="B54" s="12" t="str">
        <f aca="false">IFERROR(INDEX(반품접수!$A$3:$A$1002,MATCH("R"&amp;49,미처리현황!$M$6:$M$1005,0)),"")</f>
        <v/>
      </c>
      <c r="C54" s="20" t="str">
        <f aca="false">IF($B54="","",IFERROR(INDEX(반품접수!$B$3:$B$1002,MATCH("R"&amp;49,미처리현황!$M$6:$M$1005,0)),""))</f>
        <v/>
      </c>
      <c r="D54" s="19" t="str">
        <f aca="true">IF($C54="","",TODAY()-$C54)</f>
        <v/>
      </c>
      <c r="E54" s="12" t="str">
        <f aca="false">IF($B54="","",IFERROR(INDEX(반품접수!$C$3:$C$1002,MATCH("R"&amp;49,미처리현황!$M$6:$M$1005,0)),""))</f>
        <v/>
      </c>
      <c r="F54" s="12" t="str">
        <f aca="false">IF($B54="","",IFERROR(INDEX(반품접수!$E$3:$E$1002,MATCH("R"&amp;49,미처리현황!$M$6:$M$1005,0)),""))</f>
        <v/>
      </c>
      <c r="G54" s="15" t="str">
        <f aca="false">IF($B54="","",IFERROR(INDEX(반품접수!$I$3:$I$1002,MATCH("R"&amp;49,미처리현황!$M$6:$M$1005,0)),""))</f>
        <v/>
      </c>
      <c r="H54" s="15" t="str">
        <f aca="false">IF($B54="","",IFERROR(INDEX(반품접수!$N$3:$N$1002,MATCH("R"&amp;49,미처리현황!$M$6:$M$1005,0)),""))</f>
        <v/>
      </c>
      <c r="I54" s="19" t="str">
        <f aca="false">IF($B54="","",IFERROR(INDEX(반품접수!$O$3:$O$1002,MATCH("R"&amp;49,미처리현황!$M$6:$M$1005,0)),""))</f>
        <v/>
      </c>
      <c r="K54" s="21" t="b">
        <f aca="false">IF(반품접수!$A51="",FALSE(),OR(반품접수!$O51="미처리",반품접수!$O51="부분처리"))</f>
        <v>0</v>
      </c>
      <c r="L54" s="6" t="str">
        <f aca="false">IF($K54=FALSE(),"",COUNTIF($K$6:$K54,TRUE()))</f>
        <v/>
      </c>
      <c r="M54" s="6" t="str">
        <f aca="false">IF($L54="","","R"&amp;$L54)</f>
        <v/>
      </c>
    </row>
    <row r="55" customFormat="false" ht="15" hidden="false" customHeight="true" outlineLevel="0" collapsed="false">
      <c r="A55" s="19" t="str">
        <f aca="false">IF($B55="","",50)</f>
        <v/>
      </c>
      <c r="B55" s="12" t="str">
        <f aca="false">IFERROR(INDEX(반품접수!$A$3:$A$1002,MATCH("R"&amp;50,미처리현황!$M$6:$M$1005,0)),"")</f>
        <v/>
      </c>
      <c r="C55" s="20" t="str">
        <f aca="false">IF($B55="","",IFERROR(INDEX(반품접수!$B$3:$B$1002,MATCH("R"&amp;50,미처리현황!$M$6:$M$1005,0)),""))</f>
        <v/>
      </c>
      <c r="D55" s="19" t="str">
        <f aca="true">IF($C55="","",TODAY()-$C55)</f>
        <v/>
      </c>
      <c r="E55" s="12" t="str">
        <f aca="false">IF($B55="","",IFERROR(INDEX(반품접수!$C$3:$C$1002,MATCH("R"&amp;50,미처리현황!$M$6:$M$1005,0)),""))</f>
        <v/>
      </c>
      <c r="F55" s="12" t="str">
        <f aca="false">IF($B55="","",IFERROR(INDEX(반품접수!$E$3:$E$1002,MATCH("R"&amp;50,미처리현황!$M$6:$M$1005,0)),""))</f>
        <v/>
      </c>
      <c r="G55" s="15" t="str">
        <f aca="false">IF($B55="","",IFERROR(INDEX(반품접수!$I$3:$I$1002,MATCH("R"&amp;50,미처리현황!$M$6:$M$1005,0)),""))</f>
        <v/>
      </c>
      <c r="H55" s="15" t="str">
        <f aca="false">IF($B55="","",IFERROR(INDEX(반품접수!$N$3:$N$1002,MATCH("R"&amp;50,미처리현황!$M$6:$M$1005,0)),""))</f>
        <v/>
      </c>
      <c r="I55" s="19" t="str">
        <f aca="false">IF($B55="","",IFERROR(INDEX(반품접수!$O$3:$O$1002,MATCH("R"&amp;50,미처리현황!$M$6:$M$1005,0)),""))</f>
        <v/>
      </c>
      <c r="K55" s="21" t="b">
        <f aca="false">IF(반품접수!$A52="",FALSE(),OR(반품접수!$O52="미처리",반품접수!$O52="부분처리"))</f>
        <v>0</v>
      </c>
      <c r="L55" s="6" t="str">
        <f aca="false">IF($K55=FALSE(),"",COUNTIF($K$6:$K55,TRUE()))</f>
        <v/>
      </c>
      <c r="M55" s="6" t="str">
        <f aca="false">IF($L55="","","R"&amp;$L55)</f>
        <v/>
      </c>
    </row>
    <row r="56" customFormat="false" ht="15" hidden="false" customHeight="true" outlineLevel="0" collapsed="false">
      <c r="A56" s="19" t="str">
        <f aca="false">IF($B56="","",51)</f>
        <v/>
      </c>
      <c r="B56" s="12" t="str">
        <f aca="false">IFERROR(INDEX(반품접수!$A$3:$A$1002,MATCH("R"&amp;51,미처리현황!$M$6:$M$1005,0)),"")</f>
        <v/>
      </c>
      <c r="C56" s="20" t="str">
        <f aca="false">IF($B56="","",IFERROR(INDEX(반품접수!$B$3:$B$1002,MATCH("R"&amp;51,미처리현황!$M$6:$M$1005,0)),""))</f>
        <v/>
      </c>
      <c r="D56" s="19" t="str">
        <f aca="true">IF($C56="","",TODAY()-$C56)</f>
        <v/>
      </c>
      <c r="E56" s="12" t="str">
        <f aca="false">IF($B56="","",IFERROR(INDEX(반품접수!$C$3:$C$1002,MATCH("R"&amp;51,미처리현황!$M$6:$M$1005,0)),""))</f>
        <v/>
      </c>
      <c r="F56" s="12" t="str">
        <f aca="false">IF($B56="","",IFERROR(INDEX(반품접수!$E$3:$E$1002,MATCH("R"&amp;51,미처리현황!$M$6:$M$1005,0)),""))</f>
        <v/>
      </c>
      <c r="G56" s="15" t="str">
        <f aca="false">IF($B56="","",IFERROR(INDEX(반품접수!$I$3:$I$1002,MATCH("R"&amp;51,미처리현황!$M$6:$M$1005,0)),""))</f>
        <v/>
      </c>
      <c r="H56" s="15" t="str">
        <f aca="false">IF($B56="","",IFERROR(INDEX(반품접수!$N$3:$N$1002,MATCH("R"&amp;51,미처리현황!$M$6:$M$1005,0)),""))</f>
        <v/>
      </c>
      <c r="I56" s="19" t="str">
        <f aca="false">IF($B56="","",IFERROR(INDEX(반품접수!$O$3:$O$1002,MATCH("R"&amp;51,미처리현황!$M$6:$M$1005,0)),""))</f>
        <v/>
      </c>
      <c r="K56" s="21" t="b">
        <f aca="false">IF(반품접수!$A53="",FALSE(),OR(반품접수!$O53="미처리",반품접수!$O53="부분처리"))</f>
        <v>0</v>
      </c>
      <c r="L56" s="6" t="str">
        <f aca="false">IF($K56=FALSE(),"",COUNTIF($K$6:$K56,TRUE()))</f>
        <v/>
      </c>
      <c r="M56" s="6" t="str">
        <f aca="false">IF($L56="","","R"&amp;$L56)</f>
        <v/>
      </c>
    </row>
    <row r="57" customFormat="false" ht="15" hidden="false" customHeight="true" outlineLevel="0" collapsed="false">
      <c r="A57" s="19" t="str">
        <f aca="false">IF($B57="","",52)</f>
        <v/>
      </c>
      <c r="B57" s="12" t="str">
        <f aca="false">IFERROR(INDEX(반품접수!$A$3:$A$1002,MATCH("R"&amp;52,미처리현황!$M$6:$M$1005,0)),"")</f>
        <v/>
      </c>
      <c r="C57" s="20" t="str">
        <f aca="false">IF($B57="","",IFERROR(INDEX(반품접수!$B$3:$B$1002,MATCH("R"&amp;52,미처리현황!$M$6:$M$1005,0)),""))</f>
        <v/>
      </c>
      <c r="D57" s="19" t="str">
        <f aca="true">IF($C57="","",TODAY()-$C57)</f>
        <v/>
      </c>
      <c r="E57" s="12" t="str">
        <f aca="false">IF($B57="","",IFERROR(INDEX(반품접수!$C$3:$C$1002,MATCH("R"&amp;52,미처리현황!$M$6:$M$1005,0)),""))</f>
        <v/>
      </c>
      <c r="F57" s="12" t="str">
        <f aca="false">IF($B57="","",IFERROR(INDEX(반품접수!$E$3:$E$1002,MATCH("R"&amp;52,미처리현황!$M$6:$M$1005,0)),""))</f>
        <v/>
      </c>
      <c r="G57" s="15" t="str">
        <f aca="false">IF($B57="","",IFERROR(INDEX(반품접수!$I$3:$I$1002,MATCH("R"&amp;52,미처리현황!$M$6:$M$1005,0)),""))</f>
        <v/>
      </c>
      <c r="H57" s="15" t="str">
        <f aca="false">IF($B57="","",IFERROR(INDEX(반품접수!$N$3:$N$1002,MATCH("R"&amp;52,미처리현황!$M$6:$M$1005,0)),""))</f>
        <v/>
      </c>
      <c r="I57" s="19" t="str">
        <f aca="false">IF($B57="","",IFERROR(INDEX(반품접수!$O$3:$O$1002,MATCH("R"&amp;52,미처리현황!$M$6:$M$1005,0)),""))</f>
        <v/>
      </c>
      <c r="K57" s="21" t="b">
        <f aca="false">IF(반품접수!$A54="",FALSE(),OR(반품접수!$O54="미처리",반품접수!$O54="부분처리"))</f>
        <v>0</v>
      </c>
      <c r="L57" s="6" t="str">
        <f aca="false">IF($K57=FALSE(),"",COUNTIF($K$6:$K57,TRUE()))</f>
        <v/>
      </c>
      <c r="M57" s="6" t="str">
        <f aca="false">IF($L57="","","R"&amp;$L57)</f>
        <v/>
      </c>
    </row>
    <row r="58" customFormat="false" ht="15" hidden="false" customHeight="true" outlineLevel="0" collapsed="false">
      <c r="A58" s="19" t="str">
        <f aca="false">IF($B58="","",53)</f>
        <v/>
      </c>
      <c r="B58" s="12" t="str">
        <f aca="false">IFERROR(INDEX(반품접수!$A$3:$A$1002,MATCH("R"&amp;53,미처리현황!$M$6:$M$1005,0)),"")</f>
        <v/>
      </c>
      <c r="C58" s="20" t="str">
        <f aca="false">IF($B58="","",IFERROR(INDEX(반품접수!$B$3:$B$1002,MATCH("R"&amp;53,미처리현황!$M$6:$M$1005,0)),""))</f>
        <v/>
      </c>
      <c r="D58" s="19" t="str">
        <f aca="true">IF($C58="","",TODAY()-$C58)</f>
        <v/>
      </c>
      <c r="E58" s="12" t="str">
        <f aca="false">IF($B58="","",IFERROR(INDEX(반품접수!$C$3:$C$1002,MATCH("R"&amp;53,미처리현황!$M$6:$M$1005,0)),""))</f>
        <v/>
      </c>
      <c r="F58" s="12" t="str">
        <f aca="false">IF($B58="","",IFERROR(INDEX(반품접수!$E$3:$E$1002,MATCH("R"&amp;53,미처리현황!$M$6:$M$1005,0)),""))</f>
        <v/>
      </c>
      <c r="G58" s="15" t="str">
        <f aca="false">IF($B58="","",IFERROR(INDEX(반품접수!$I$3:$I$1002,MATCH("R"&amp;53,미처리현황!$M$6:$M$1005,0)),""))</f>
        <v/>
      </c>
      <c r="H58" s="15" t="str">
        <f aca="false">IF($B58="","",IFERROR(INDEX(반품접수!$N$3:$N$1002,MATCH("R"&amp;53,미처리현황!$M$6:$M$1005,0)),""))</f>
        <v/>
      </c>
      <c r="I58" s="19" t="str">
        <f aca="false">IF($B58="","",IFERROR(INDEX(반품접수!$O$3:$O$1002,MATCH("R"&amp;53,미처리현황!$M$6:$M$1005,0)),""))</f>
        <v/>
      </c>
      <c r="K58" s="21" t="b">
        <f aca="false">IF(반품접수!$A55="",FALSE(),OR(반품접수!$O55="미처리",반품접수!$O55="부분처리"))</f>
        <v>0</v>
      </c>
      <c r="L58" s="6" t="str">
        <f aca="false">IF($K58=FALSE(),"",COUNTIF($K$6:$K58,TRUE()))</f>
        <v/>
      </c>
      <c r="M58" s="6" t="str">
        <f aca="false">IF($L58="","","R"&amp;$L58)</f>
        <v/>
      </c>
    </row>
    <row r="59" customFormat="false" ht="15" hidden="false" customHeight="true" outlineLevel="0" collapsed="false">
      <c r="A59" s="19" t="str">
        <f aca="false">IF($B59="","",54)</f>
        <v/>
      </c>
      <c r="B59" s="12" t="str">
        <f aca="false">IFERROR(INDEX(반품접수!$A$3:$A$1002,MATCH("R"&amp;54,미처리현황!$M$6:$M$1005,0)),"")</f>
        <v/>
      </c>
      <c r="C59" s="20" t="str">
        <f aca="false">IF($B59="","",IFERROR(INDEX(반품접수!$B$3:$B$1002,MATCH("R"&amp;54,미처리현황!$M$6:$M$1005,0)),""))</f>
        <v/>
      </c>
      <c r="D59" s="19" t="str">
        <f aca="true">IF($C59="","",TODAY()-$C59)</f>
        <v/>
      </c>
      <c r="E59" s="12" t="str">
        <f aca="false">IF($B59="","",IFERROR(INDEX(반품접수!$C$3:$C$1002,MATCH("R"&amp;54,미처리현황!$M$6:$M$1005,0)),""))</f>
        <v/>
      </c>
      <c r="F59" s="12" t="str">
        <f aca="false">IF($B59="","",IFERROR(INDEX(반품접수!$E$3:$E$1002,MATCH("R"&amp;54,미처리현황!$M$6:$M$1005,0)),""))</f>
        <v/>
      </c>
      <c r="G59" s="15" t="str">
        <f aca="false">IF($B59="","",IFERROR(INDEX(반품접수!$I$3:$I$1002,MATCH("R"&amp;54,미처리현황!$M$6:$M$1005,0)),""))</f>
        <v/>
      </c>
      <c r="H59" s="15" t="str">
        <f aca="false">IF($B59="","",IFERROR(INDEX(반품접수!$N$3:$N$1002,MATCH("R"&amp;54,미처리현황!$M$6:$M$1005,0)),""))</f>
        <v/>
      </c>
      <c r="I59" s="19" t="str">
        <f aca="false">IF($B59="","",IFERROR(INDEX(반품접수!$O$3:$O$1002,MATCH("R"&amp;54,미처리현황!$M$6:$M$1005,0)),""))</f>
        <v/>
      </c>
      <c r="K59" s="21" t="b">
        <f aca="false">IF(반품접수!$A56="",FALSE(),OR(반품접수!$O56="미처리",반품접수!$O56="부분처리"))</f>
        <v>0</v>
      </c>
      <c r="L59" s="6" t="str">
        <f aca="false">IF($K59=FALSE(),"",COUNTIF($K$6:$K59,TRUE()))</f>
        <v/>
      </c>
      <c r="M59" s="6" t="str">
        <f aca="false">IF($L59="","","R"&amp;$L59)</f>
        <v/>
      </c>
    </row>
    <row r="60" customFormat="false" ht="15" hidden="false" customHeight="true" outlineLevel="0" collapsed="false">
      <c r="A60" s="19" t="str">
        <f aca="false">IF($B60="","",55)</f>
        <v/>
      </c>
      <c r="B60" s="12" t="str">
        <f aca="false">IFERROR(INDEX(반품접수!$A$3:$A$1002,MATCH("R"&amp;55,미처리현황!$M$6:$M$1005,0)),"")</f>
        <v/>
      </c>
      <c r="C60" s="20" t="str">
        <f aca="false">IF($B60="","",IFERROR(INDEX(반품접수!$B$3:$B$1002,MATCH("R"&amp;55,미처리현황!$M$6:$M$1005,0)),""))</f>
        <v/>
      </c>
      <c r="D60" s="19" t="str">
        <f aca="true">IF($C60="","",TODAY()-$C60)</f>
        <v/>
      </c>
      <c r="E60" s="12" t="str">
        <f aca="false">IF($B60="","",IFERROR(INDEX(반품접수!$C$3:$C$1002,MATCH("R"&amp;55,미처리현황!$M$6:$M$1005,0)),""))</f>
        <v/>
      </c>
      <c r="F60" s="12" t="str">
        <f aca="false">IF($B60="","",IFERROR(INDEX(반품접수!$E$3:$E$1002,MATCH("R"&amp;55,미처리현황!$M$6:$M$1005,0)),""))</f>
        <v/>
      </c>
      <c r="G60" s="15" t="str">
        <f aca="false">IF($B60="","",IFERROR(INDEX(반품접수!$I$3:$I$1002,MATCH("R"&amp;55,미처리현황!$M$6:$M$1005,0)),""))</f>
        <v/>
      </c>
      <c r="H60" s="15" t="str">
        <f aca="false">IF($B60="","",IFERROR(INDEX(반품접수!$N$3:$N$1002,MATCH("R"&amp;55,미처리현황!$M$6:$M$1005,0)),""))</f>
        <v/>
      </c>
      <c r="I60" s="19" t="str">
        <f aca="false">IF($B60="","",IFERROR(INDEX(반품접수!$O$3:$O$1002,MATCH("R"&amp;55,미처리현황!$M$6:$M$1005,0)),""))</f>
        <v/>
      </c>
      <c r="K60" s="21" t="b">
        <f aca="false">IF(반품접수!$A57="",FALSE(),OR(반품접수!$O57="미처리",반품접수!$O57="부분처리"))</f>
        <v>0</v>
      </c>
      <c r="L60" s="6" t="str">
        <f aca="false">IF($K60=FALSE(),"",COUNTIF($K$6:$K60,TRUE()))</f>
        <v/>
      </c>
      <c r="M60" s="6" t="str">
        <f aca="false">IF($L60="","","R"&amp;$L60)</f>
        <v/>
      </c>
    </row>
    <row r="61" customFormat="false" ht="15" hidden="false" customHeight="true" outlineLevel="0" collapsed="false">
      <c r="A61" s="19" t="str">
        <f aca="false">IF($B61="","",56)</f>
        <v/>
      </c>
      <c r="B61" s="12" t="str">
        <f aca="false">IFERROR(INDEX(반품접수!$A$3:$A$1002,MATCH("R"&amp;56,미처리현황!$M$6:$M$1005,0)),"")</f>
        <v/>
      </c>
      <c r="C61" s="20" t="str">
        <f aca="false">IF($B61="","",IFERROR(INDEX(반품접수!$B$3:$B$1002,MATCH("R"&amp;56,미처리현황!$M$6:$M$1005,0)),""))</f>
        <v/>
      </c>
      <c r="D61" s="19" t="str">
        <f aca="true">IF($C61="","",TODAY()-$C61)</f>
        <v/>
      </c>
      <c r="E61" s="12" t="str">
        <f aca="false">IF($B61="","",IFERROR(INDEX(반품접수!$C$3:$C$1002,MATCH("R"&amp;56,미처리현황!$M$6:$M$1005,0)),""))</f>
        <v/>
      </c>
      <c r="F61" s="12" t="str">
        <f aca="false">IF($B61="","",IFERROR(INDEX(반품접수!$E$3:$E$1002,MATCH("R"&amp;56,미처리현황!$M$6:$M$1005,0)),""))</f>
        <v/>
      </c>
      <c r="G61" s="15" t="str">
        <f aca="false">IF($B61="","",IFERROR(INDEX(반품접수!$I$3:$I$1002,MATCH("R"&amp;56,미처리현황!$M$6:$M$1005,0)),""))</f>
        <v/>
      </c>
      <c r="H61" s="15" t="str">
        <f aca="false">IF($B61="","",IFERROR(INDEX(반품접수!$N$3:$N$1002,MATCH("R"&amp;56,미처리현황!$M$6:$M$1005,0)),""))</f>
        <v/>
      </c>
      <c r="I61" s="19" t="str">
        <f aca="false">IF($B61="","",IFERROR(INDEX(반품접수!$O$3:$O$1002,MATCH("R"&amp;56,미처리현황!$M$6:$M$1005,0)),""))</f>
        <v/>
      </c>
      <c r="K61" s="21" t="b">
        <f aca="false">IF(반품접수!$A58="",FALSE(),OR(반품접수!$O58="미처리",반품접수!$O58="부분처리"))</f>
        <v>0</v>
      </c>
      <c r="L61" s="6" t="str">
        <f aca="false">IF($K61=FALSE(),"",COUNTIF($K$6:$K61,TRUE()))</f>
        <v/>
      </c>
      <c r="M61" s="6" t="str">
        <f aca="false">IF($L61="","","R"&amp;$L61)</f>
        <v/>
      </c>
    </row>
    <row r="62" customFormat="false" ht="15" hidden="false" customHeight="true" outlineLevel="0" collapsed="false">
      <c r="A62" s="19" t="str">
        <f aca="false">IF($B62="","",57)</f>
        <v/>
      </c>
      <c r="B62" s="12" t="str">
        <f aca="false">IFERROR(INDEX(반품접수!$A$3:$A$1002,MATCH("R"&amp;57,미처리현황!$M$6:$M$1005,0)),"")</f>
        <v/>
      </c>
      <c r="C62" s="20" t="str">
        <f aca="false">IF($B62="","",IFERROR(INDEX(반품접수!$B$3:$B$1002,MATCH("R"&amp;57,미처리현황!$M$6:$M$1005,0)),""))</f>
        <v/>
      </c>
      <c r="D62" s="19" t="str">
        <f aca="true">IF($C62="","",TODAY()-$C62)</f>
        <v/>
      </c>
      <c r="E62" s="12" t="str">
        <f aca="false">IF($B62="","",IFERROR(INDEX(반품접수!$C$3:$C$1002,MATCH("R"&amp;57,미처리현황!$M$6:$M$1005,0)),""))</f>
        <v/>
      </c>
      <c r="F62" s="12" t="str">
        <f aca="false">IF($B62="","",IFERROR(INDEX(반품접수!$E$3:$E$1002,MATCH("R"&amp;57,미처리현황!$M$6:$M$1005,0)),""))</f>
        <v/>
      </c>
      <c r="G62" s="15" t="str">
        <f aca="false">IF($B62="","",IFERROR(INDEX(반품접수!$I$3:$I$1002,MATCH("R"&amp;57,미처리현황!$M$6:$M$1005,0)),""))</f>
        <v/>
      </c>
      <c r="H62" s="15" t="str">
        <f aca="false">IF($B62="","",IFERROR(INDEX(반품접수!$N$3:$N$1002,MATCH("R"&amp;57,미처리현황!$M$6:$M$1005,0)),""))</f>
        <v/>
      </c>
      <c r="I62" s="19" t="str">
        <f aca="false">IF($B62="","",IFERROR(INDEX(반품접수!$O$3:$O$1002,MATCH("R"&amp;57,미처리현황!$M$6:$M$1005,0)),""))</f>
        <v/>
      </c>
      <c r="K62" s="21" t="b">
        <f aca="false">IF(반품접수!$A59="",FALSE(),OR(반품접수!$O59="미처리",반품접수!$O59="부분처리"))</f>
        <v>0</v>
      </c>
      <c r="L62" s="6" t="str">
        <f aca="false">IF($K62=FALSE(),"",COUNTIF($K$6:$K62,TRUE()))</f>
        <v/>
      </c>
      <c r="M62" s="6" t="str">
        <f aca="false">IF($L62="","","R"&amp;$L62)</f>
        <v/>
      </c>
    </row>
    <row r="63" customFormat="false" ht="15" hidden="false" customHeight="true" outlineLevel="0" collapsed="false">
      <c r="A63" s="19" t="str">
        <f aca="false">IF($B63="","",58)</f>
        <v/>
      </c>
      <c r="B63" s="12" t="str">
        <f aca="false">IFERROR(INDEX(반품접수!$A$3:$A$1002,MATCH("R"&amp;58,미처리현황!$M$6:$M$1005,0)),"")</f>
        <v/>
      </c>
      <c r="C63" s="20" t="str">
        <f aca="false">IF($B63="","",IFERROR(INDEX(반품접수!$B$3:$B$1002,MATCH("R"&amp;58,미처리현황!$M$6:$M$1005,0)),""))</f>
        <v/>
      </c>
      <c r="D63" s="19" t="str">
        <f aca="true">IF($C63="","",TODAY()-$C63)</f>
        <v/>
      </c>
      <c r="E63" s="12" t="str">
        <f aca="false">IF($B63="","",IFERROR(INDEX(반품접수!$C$3:$C$1002,MATCH("R"&amp;58,미처리현황!$M$6:$M$1005,0)),""))</f>
        <v/>
      </c>
      <c r="F63" s="12" t="str">
        <f aca="false">IF($B63="","",IFERROR(INDEX(반품접수!$E$3:$E$1002,MATCH("R"&amp;58,미처리현황!$M$6:$M$1005,0)),""))</f>
        <v/>
      </c>
      <c r="G63" s="15" t="str">
        <f aca="false">IF($B63="","",IFERROR(INDEX(반품접수!$I$3:$I$1002,MATCH("R"&amp;58,미처리현황!$M$6:$M$1005,0)),""))</f>
        <v/>
      </c>
      <c r="H63" s="15" t="str">
        <f aca="false">IF($B63="","",IFERROR(INDEX(반품접수!$N$3:$N$1002,MATCH("R"&amp;58,미처리현황!$M$6:$M$1005,0)),""))</f>
        <v/>
      </c>
      <c r="I63" s="19" t="str">
        <f aca="false">IF($B63="","",IFERROR(INDEX(반품접수!$O$3:$O$1002,MATCH("R"&amp;58,미처리현황!$M$6:$M$1005,0)),""))</f>
        <v/>
      </c>
      <c r="K63" s="21" t="b">
        <f aca="false">IF(반품접수!$A60="",FALSE(),OR(반품접수!$O60="미처리",반품접수!$O60="부분처리"))</f>
        <v>0</v>
      </c>
      <c r="L63" s="6" t="str">
        <f aca="false">IF($K63=FALSE(),"",COUNTIF($K$6:$K63,TRUE()))</f>
        <v/>
      </c>
      <c r="M63" s="6" t="str">
        <f aca="false">IF($L63="","","R"&amp;$L63)</f>
        <v/>
      </c>
    </row>
    <row r="64" customFormat="false" ht="15" hidden="false" customHeight="true" outlineLevel="0" collapsed="false">
      <c r="A64" s="19" t="str">
        <f aca="false">IF($B64="","",59)</f>
        <v/>
      </c>
      <c r="B64" s="12" t="str">
        <f aca="false">IFERROR(INDEX(반품접수!$A$3:$A$1002,MATCH("R"&amp;59,미처리현황!$M$6:$M$1005,0)),"")</f>
        <v/>
      </c>
      <c r="C64" s="20" t="str">
        <f aca="false">IF($B64="","",IFERROR(INDEX(반품접수!$B$3:$B$1002,MATCH("R"&amp;59,미처리현황!$M$6:$M$1005,0)),""))</f>
        <v/>
      </c>
      <c r="D64" s="19" t="str">
        <f aca="true">IF($C64="","",TODAY()-$C64)</f>
        <v/>
      </c>
      <c r="E64" s="12" t="str">
        <f aca="false">IF($B64="","",IFERROR(INDEX(반품접수!$C$3:$C$1002,MATCH("R"&amp;59,미처리현황!$M$6:$M$1005,0)),""))</f>
        <v/>
      </c>
      <c r="F64" s="12" t="str">
        <f aca="false">IF($B64="","",IFERROR(INDEX(반품접수!$E$3:$E$1002,MATCH("R"&amp;59,미처리현황!$M$6:$M$1005,0)),""))</f>
        <v/>
      </c>
      <c r="G64" s="15" t="str">
        <f aca="false">IF($B64="","",IFERROR(INDEX(반품접수!$I$3:$I$1002,MATCH("R"&amp;59,미처리현황!$M$6:$M$1005,0)),""))</f>
        <v/>
      </c>
      <c r="H64" s="15" t="str">
        <f aca="false">IF($B64="","",IFERROR(INDEX(반품접수!$N$3:$N$1002,MATCH("R"&amp;59,미처리현황!$M$6:$M$1005,0)),""))</f>
        <v/>
      </c>
      <c r="I64" s="19" t="str">
        <f aca="false">IF($B64="","",IFERROR(INDEX(반품접수!$O$3:$O$1002,MATCH("R"&amp;59,미처리현황!$M$6:$M$1005,0)),""))</f>
        <v/>
      </c>
      <c r="K64" s="21" t="b">
        <f aca="false">IF(반품접수!$A61="",FALSE(),OR(반품접수!$O61="미처리",반품접수!$O61="부분처리"))</f>
        <v>0</v>
      </c>
      <c r="L64" s="6" t="str">
        <f aca="false">IF($K64=FALSE(),"",COUNTIF($K$6:$K64,TRUE()))</f>
        <v/>
      </c>
      <c r="M64" s="6" t="str">
        <f aca="false">IF($L64="","","R"&amp;$L64)</f>
        <v/>
      </c>
    </row>
    <row r="65" customFormat="false" ht="15" hidden="false" customHeight="true" outlineLevel="0" collapsed="false">
      <c r="A65" s="19" t="str">
        <f aca="false">IF($B65="","",60)</f>
        <v/>
      </c>
      <c r="B65" s="12" t="str">
        <f aca="false">IFERROR(INDEX(반품접수!$A$3:$A$1002,MATCH("R"&amp;60,미처리현황!$M$6:$M$1005,0)),"")</f>
        <v/>
      </c>
      <c r="C65" s="20" t="str">
        <f aca="false">IF($B65="","",IFERROR(INDEX(반품접수!$B$3:$B$1002,MATCH("R"&amp;60,미처리현황!$M$6:$M$1005,0)),""))</f>
        <v/>
      </c>
      <c r="D65" s="19" t="str">
        <f aca="true">IF($C65="","",TODAY()-$C65)</f>
        <v/>
      </c>
      <c r="E65" s="12" t="str">
        <f aca="false">IF($B65="","",IFERROR(INDEX(반품접수!$C$3:$C$1002,MATCH("R"&amp;60,미처리현황!$M$6:$M$1005,0)),""))</f>
        <v/>
      </c>
      <c r="F65" s="12" t="str">
        <f aca="false">IF($B65="","",IFERROR(INDEX(반품접수!$E$3:$E$1002,MATCH("R"&amp;60,미처리현황!$M$6:$M$1005,0)),""))</f>
        <v/>
      </c>
      <c r="G65" s="15" t="str">
        <f aca="false">IF($B65="","",IFERROR(INDEX(반품접수!$I$3:$I$1002,MATCH("R"&amp;60,미처리현황!$M$6:$M$1005,0)),""))</f>
        <v/>
      </c>
      <c r="H65" s="15" t="str">
        <f aca="false">IF($B65="","",IFERROR(INDEX(반품접수!$N$3:$N$1002,MATCH("R"&amp;60,미처리현황!$M$6:$M$1005,0)),""))</f>
        <v/>
      </c>
      <c r="I65" s="19" t="str">
        <f aca="false">IF($B65="","",IFERROR(INDEX(반품접수!$O$3:$O$1002,MATCH("R"&amp;60,미처리현황!$M$6:$M$1005,0)),""))</f>
        <v/>
      </c>
      <c r="K65" s="21" t="b">
        <f aca="false">IF(반품접수!$A62="",FALSE(),OR(반품접수!$O62="미처리",반품접수!$O62="부분처리"))</f>
        <v>0</v>
      </c>
      <c r="L65" s="6" t="str">
        <f aca="false">IF($K65=FALSE(),"",COUNTIF($K$6:$K65,TRUE()))</f>
        <v/>
      </c>
      <c r="M65" s="6" t="str">
        <f aca="false">IF($L65="","","R"&amp;$L65)</f>
        <v/>
      </c>
    </row>
    <row r="66" customFormat="false" ht="15" hidden="false" customHeight="true" outlineLevel="0" collapsed="false">
      <c r="A66" s="19" t="str">
        <f aca="false">IF($B66="","",61)</f>
        <v/>
      </c>
      <c r="B66" s="12" t="str">
        <f aca="false">IFERROR(INDEX(반품접수!$A$3:$A$1002,MATCH("R"&amp;61,미처리현황!$M$6:$M$1005,0)),"")</f>
        <v/>
      </c>
      <c r="C66" s="20" t="str">
        <f aca="false">IF($B66="","",IFERROR(INDEX(반품접수!$B$3:$B$1002,MATCH("R"&amp;61,미처리현황!$M$6:$M$1005,0)),""))</f>
        <v/>
      </c>
      <c r="D66" s="19" t="str">
        <f aca="true">IF($C66="","",TODAY()-$C66)</f>
        <v/>
      </c>
      <c r="E66" s="12" t="str">
        <f aca="false">IF($B66="","",IFERROR(INDEX(반품접수!$C$3:$C$1002,MATCH("R"&amp;61,미처리현황!$M$6:$M$1005,0)),""))</f>
        <v/>
      </c>
      <c r="F66" s="12" t="str">
        <f aca="false">IF($B66="","",IFERROR(INDEX(반품접수!$E$3:$E$1002,MATCH("R"&amp;61,미처리현황!$M$6:$M$1005,0)),""))</f>
        <v/>
      </c>
      <c r="G66" s="15" t="str">
        <f aca="false">IF($B66="","",IFERROR(INDEX(반품접수!$I$3:$I$1002,MATCH("R"&amp;61,미처리현황!$M$6:$M$1005,0)),""))</f>
        <v/>
      </c>
      <c r="H66" s="15" t="str">
        <f aca="false">IF($B66="","",IFERROR(INDEX(반품접수!$N$3:$N$1002,MATCH("R"&amp;61,미처리현황!$M$6:$M$1005,0)),""))</f>
        <v/>
      </c>
      <c r="I66" s="19" t="str">
        <f aca="false">IF($B66="","",IFERROR(INDEX(반품접수!$O$3:$O$1002,MATCH("R"&amp;61,미처리현황!$M$6:$M$1005,0)),""))</f>
        <v/>
      </c>
      <c r="K66" s="21" t="b">
        <f aca="false">IF(반품접수!$A63="",FALSE(),OR(반품접수!$O63="미처리",반품접수!$O63="부분처리"))</f>
        <v>0</v>
      </c>
      <c r="L66" s="6" t="str">
        <f aca="false">IF($K66=FALSE(),"",COUNTIF($K$6:$K66,TRUE()))</f>
        <v/>
      </c>
      <c r="M66" s="6" t="str">
        <f aca="false">IF($L66="","","R"&amp;$L66)</f>
        <v/>
      </c>
    </row>
    <row r="67" customFormat="false" ht="15" hidden="false" customHeight="true" outlineLevel="0" collapsed="false">
      <c r="A67" s="19" t="str">
        <f aca="false">IF($B67="","",62)</f>
        <v/>
      </c>
      <c r="B67" s="12" t="str">
        <f aca="false">IFERROR(INDEX(반품접수!$A$3:$A$1002,MATCH("R"&amp;62,미처리현황!$M$6:$M$1005,0)),"")</f>
        <v/>
      </c>
      <c r="C67" s="20" t="str">
        <f aca="false">IF($B67="","",IFERROR(INDEX(반품접수!$B$3:$B$1002,MATCH("R"&amp;62,미처리현황!$M$6:$M$1005,0)),""))</f>
        <v/>
      </c>
      <c r="D67" s="19" t="str">
        <f aca="true">IF($C67="","",TODAY()-$C67)</f>
        <v/>
      </c>
      <c r="E67" s="12" t="str">
        <f aca="false">IF($B67="","",IFERROR(INDEX(반품접수!$C$3:$C$1002,MATCH("R"&amp;62,미처리현황!$M$6:$M$1005,0)),""))</f>
        <v/>
      </c>
      <c r="F67" s="12" t="str">
        <f aca="false">IF($B67="","",IFERROR(INDEX(반품접수!$E$3:$E$1002,MATCH("R"&amp;62,미처리현황!$M$6:$M$1005,0)),""))</f>
        <v/>
      </c>
      <c r="G67" s="15" t="str">
        <f aca="false">IF($B67="","",IFERROR(INDEX(반품접수!$I$3:$I$1002,MATCH("R"&amp;62,미처리현황!$M$6:$M$1005,0)),""))</f>
        <v/>
      </c>
      <c r="H67" s="15" t="str">
        <f aca="false">IF($B67="","",IFERROR(INDEX(반품접수!$N$3:$N$1002,MATCH("R"&amp;62,미처리현황!$M$6:$M$1005,0)),""))</f>
        <v/>
      </c>
      <c r="I67" s="19" t="str">
        <f aca="false">IF($B67="","",IFERROR(INDEX(반품접수!$O$3:$O$1002,MATCH("R"&amp;62,미처리현황!$M$6:$M$1005,0)),""))</f>
        <v/>
      </c>
      <c r="K67" s="21" t="b">
        <f aca="false">IF(반품접수!$A64="",FALSE(),OR(반품접수!$O64="미처리",반품접수!$O64="부분처리"))</f>
        <v>0</v>
      </c>
      <c r="L67" s="6" t="str">
        <f aca="false">IF($K67=FALSE(),"",COUNTIF($K$6:$K67,TRUE()))</f>
        <v/>
      </c>
      <c r="M67" s="6" t="str">
        <f aca="false">IF($L67="","","R"&amp;$L67)</f>
        <v/>
      </c>
    </row>
    <row r="68" customFormat="false" ht="15" hidden="false" customHeight="true" outlineLevel="0" collapsed="false">
      <c r="A68" s="19" t="str">
        <f aca="false">IF($B68="","",63)</f>
        <v/>
      </c>
      <c r="B68" s="12" t="str">
        <f aca="false">IFERROR(INDEX(반품접수!$A$3:$A$1002,MATCH("R"&amp;63,미처리현황!$M$6:$M$1005,0)),"")</f>
        <v/>
      </c>
      <c r="C68" s="20" t="str">
        <f aca="false">IF($B68="","",IFERROR(INDEX(반품접수!$B$3:$B$1002,MATCH("R"&amp;63,미처리현황!$M$6:$M$1005,0)),""))</f>
        <v/>
      </c>
      <c r="D68" s="19" t="str">
        <f aca="true">IF($C68="","",TODAY()-$C68)</f>
        <v/>
      </c>
      <c r="E68" s="12" t="str">
        <f aca="false">IF($B68="","",IFERROR(INDEX(반품접수!$C$3:$C$1002,MATCH("R"&amp;63,미처리현황!$M$6:$M$1005,0)),""))</f>
        <v/>
      </c>
      <c r="F68" s="12" t="str">
        <f aca="false">IF($B68="","",IFERROR(INDEX(반품접수!$E$3:$E$1002,MATCH("R"&amp;63,미처리현황!$M$6:$M$1005,0)),""))</f>
        <v/>
      </c>
      <c r="G68" s="15" t="str">
        <f aca="false">IF($B68="","",IFERROR(INDEX(반품접수!$I$3:$I$1002,MATCH("R"&amp;63,미처리현황!$M$6:$M$1005,0)),""))</f>
        <v/>
      </c>
      <c r="H68" s="15" t="str">
        <f aca="false">IF($B68="","",IFERROR(INDEX(반품접수!$N$3:$N$1002,MATCH("R"&amp;63,미처리현황!$M$6:$M$1005,0)),""))</f>
        <v/>
      </c>
      <c r="I68" s="19" t="str">
        <f aca="false">IF($B68="","",IFERROR(INDEX(반품접수!$O$3:$O$1002,MATCH("R"&amp;63,미처리현황!$M$6:$M$1005,0)),""))</f>
        <v/>
      </c>
      <c r="K68" s="21" t="b">
        <f aca="false">IF(반품접수!$A65="",FALSE(),OR(반품접수!$O65="미처리",반품접수!$O65="부분처리"))</f>
        <v>0</v>
      </c>
      <c r="L68" s="6" t="str">
        <f aca="false">IF($K68=FALSE(),"",COUNTIF($K$6:$K68,TRUE()))</f>
        <v/>
      </c>
      <c r="M68" s="6" t="str">
        <f aca="false">IF($L68="","","R"&amp;$L68)</f>
        <v/>
      </c>
    </row>
    <row r="69" customFormat="false" ht="15" hidden="false" customHeight="true" outlineLevel="0" collapsed="false">
      <c r="A69" s="19" t="str">
        <f aca="false">IF($B69="","",64)</f>
        <v/>
      </c>
      <c r="B69" s="12" t="str">
        <f aca="false">IFERROR(INDEX(반품접수!$A$3:$A$1002,MATCH("R"&amp;64,미처리현황!$M$6:$M$1005,0)),"")</f>
        <v/>
      </c>
      <c r="C69" s="20" t="str">
        <f aca="false">IF($B69="","",IFERROR(INDEX(반품접수!$B$3:$B$1002,MATCH("R"&amp;64,미처리현황!$M$6:$M$1005,0)),""))</f>
        <v/>
      </c>
      <c r="D69" s="19" t="str">
        <f aca="true">IF($C69="","",TODAY()-$C69)</f>
        <v/>
      </c>
      <c r="E69" s="12" t="str">
        <f aca="false">IF($B69="","",IFERROR(INDEX(반품접수!$C$3:$C$1002,MATCH("R"&amp;64,미처리현황!$M$6:$M$1005,0)),""))</f>
        <v/>
      </c>
      <c r="F69" s="12" t="str">
        <f aca="false">IF($B69="","",IFERROR(INDEX(반품접수!$E$3:$E$1002,MATCH("R"&amp;64,미처리현황!$M$6:$M$1005,0)),""))</f>
        <v/>
      </c>
      <c r="G69" s="15" t="str">
        <f aca="false">IF($B69="","",IFERROR(INDEX(반품접수!$I$3:$I$1002,MATCH("R"&amp;64,미처리현황!$M$6:$M$1005,0)),""))</f>
        <v/>
      </c>
      <c r="H69" s="15" t="str">
        <f aca="false">IF($B69="","",IFERROR(INDEX(반품접수!$N$3:$N$1002,MATCH("R"&amp;64,미처리현황!$M$6:$M$1005,0)),""))</f>
        <v/>
      </c>
      <c r="I69" s="19" t="str">
        <f aca="false">IF($B69="","",IFERROR(INDEX(반품접수!$O$3:$O$1002,MATCH("R"&amp;64,미처리현황!$M$6:$M$1005,0)),""))</f>
        <v/>
      </c>
      <c r="K69" s="21" t="b">
        <f aca="false">IF(반품접수!$A66="",FALSE(),OR(반품접수!$O66="미처리",반품접수!$O66="부분처리"))</f>
        <v>0</v>
      </c>
      <c r="L69" s="6" t="str">
        <f aca="false">IF($K69=FALSE(),"",COUNTIF($K$6:$K69,TRUE()))</f>
        <v/>
      </c>
      <c r="M69" s="6" t="str">
        <f aca="false">IF($L69="","","R"&amp;$L69)</f>
        <v/>
      </c>
    </row>
    <row r="70" customFormat="false" ht="15" hidden="false" customHeight="true" outlineLevel="0" collapsed="false">
      <c r="A70" s="19" t="str">
        <f aca="false">IF($B70="","",65)</f>
        <v/>
      </c>
      <c r="B70" s="12" t="str">
        <f aca="false">IFERROR(INDEX(반품접수!$A$3:$A$1002,MATCH("R"&amp;65,미처리현황!$M$6:$M$1005,0)),"")</f>
        <v/>
      </c>
      <c r="C70" s="20" t="str">
        <f aca="false">IF($B70="","",IFERROR(INDEX(반품접수!$B$3:$B$1002,MATCH("R"&amp;65,미처리현황!$M$6:$M$1005,0)),""))</f>
        <v/>
      </c>
      <c r="D70" s="19" t="str">
        <f aca="true">IF($C70="","",TODAY()-$C70)</f>
        <v/>
      </c>
      <c r="E70" s="12" t="str">
        <f aca="false">IF($B70="","",IFERROR(INDEX(반품접수!$C$3:$C$1002,MATCH("R"&amp;65,미처리현황!$M$6:$M$1005,0)),""))</f>
        <v/>
      </c>
      <c r="F70" s="12" t="str">
        <f aca="false">IF($B70="","",IFERROR(INDEX(반품접수!$E$3:$E$1002,MATCH("R"&amp;65,미처리현황!$M$6:$M$1005,0)),""))</f>
        <v/>
      </c>
      <c r="G70" s="15" t="str">
        <f aca="false">IF($B70="","",IFERROR(INDEX(반품접수!$I$3:$I$1002,MATCH("R"&amp;65,미처리현황!$M$6:$M$1005,0)),""))</f>
        <v/>
      </c>
      <c r="H70" s="15" t="str">
        <f aca="false">IF($B70="","",IFERROR(INDEX(반품접수!$N$3:$N$1002,MATCH("R"&amp;65,미처리현황!$M$6:$M$1005,0)),""))</f>
        <v/>
      </c>
      <c r="I70" s="19" t="str">
        <f aca="false">IF($B70="","",IFERROR(INDEX(반품접수!$O$3:$O$1002,MATCH("R"&amp;65,미처리현황!$M$6:$M$1005,0)),""))</f>
        <v/>
      </c>
      <c r="K70" s="21" t="b">
        <f aca="false">IF(반품접수!$A67="",FALSE(),OR(반품접수!$O67="미처리",반품접수!$O67="부분처리"))</f>
        <v>0</v>
      </c>
      <c r="L70" s="6" t="str">
        <f aca="false">IF($K70=FALSE(),"",COUNTIF($K$6:$K70,TRUE()))</f>
        <v/>
      </c>
      <c r="M70" s="6" t="str">
        <f aca="false">IF($L70="","","R"&amp;$L70)</f>
        <v/>
      </c>
    </row>
    <row r="71" customFormat="false" ht="15" hidden="false" customHeight="true" outlineLevel="0" collapsed="false">
      <c r="A71" s="19" t="str">
        <f aca="false">IF($B71="","",66)</f>
        <v/>
      </c>
      <c r="B71" s="12" t="str">
        <f aca="false">IFERROR(INDEX(반품접수!$A$3:$A$1002,MATCH("R"&amp;66,미처리현황!$M$6:$M$1005,0)),"")</f>
        <v/>
      </c>
      <c r="C71" s="20" t="str">
        <f aca="false">IF($B71="","",IFERROR(INDEX(반품접수!$B$3:$B$1002,MATCH("R"&amp;66,미처리현황!$M$6:$M$1005,0)),""))</f>
        <v/>
      </c>
      <c r="D71" s="19" t="str">
        <f aca="true">IF($C71="","",TODAY()-$C71)</f>
        <v/>
      </c>
      <c r="E71" s="12" t="str">
        <f aca="false">IF($B71="","",IFERROR(INDEX(반품접수!$C$3:$C$1002,MATCH("R"&amp;66,미처리현황!$M$6:$M$1005,0)),""))</f>
        <v/>
      </c>
      <c r="F71" s="12" t="str">
        <f aca="false">IF($B71="","",IFERROR(INDEX(반품접수!$E$3:$E$1002,MATCH("R"&amp;66,미처리현황!$M$6:$M$1005,0)),""))</f>
        <v/>
      </c>
      <c r="G71" s="15" t="str">
        <f aca="false">IF($B71="","",IFERROR(INDEX(반품접수!$I$3:$I$1002,MATCH("R"&amp;66,미처리현황!$M$6:$M$1005,0)),""))</f>
        <v/>
      </c>
      <c r="H71" s="15" t="str">
        <f aca="false">IF($B71="","",IFERROR(INDEX(반품접수!$N$3:$N$1002,MATCH("R"&amp;66,미처리현황!$M$6:$M$1005,0)),""))</f>
        <v/>
      </c>
      <c r="I71" s="19" t="str">
        <f aca="false">IF($B71="","",IFERROR(INDEX(반품접수!$O$3:$O$1002,MATCH("R"&amp;66,미처리현황!$M$6:$M$1005,0)),""))</f>
        <v/>
      </c>
      <c r="K71" s="21" t="b">
        <f aca="false">IF(반품접수!$A68="",FALSE(),OR(반품접수!$O68="미처리",반품접수!$O68="부분처리"))</f>
        <v>0</v>
      </c>
      <c r="L71" s="6" t="str">
        <f aca="false">IF($K71=FALSE(),"",COUNTIF($K$6:$K71,TRUE()))</f>
        <v/>
      </c>
      <c r="M71" s="6" t="str">
        <f aca="false">IF($L71="","","R"&amp;$L71)</f>
        <v/>
      </c>
    </row>
    <row r="72" customFormat="false" ht="15" hidden="false" customHeight="true" outlineLevel="0" collapsed="false">
      <c r="A72" s="19" t="str">
        <f aca="false">IF($B72="","",67)</f>
        <v/>
      </c>
      <c r="B72" s="12" t="str">
        <f aca="false">IFERROR(INDEX(반품접수!$A$3:$A$1002,MATCH("R"&amp;67,미처리현황!$M$6:$M$1005,0)),"")</f>
        <v/>
      </c>
      <c r="C72" s="20" t="str">
        <f aca="false">IF($B72="","",IFERROR(INDEX(반품접수!$B$3:$B$1002,MATCH("R"&amp;67,미처리현황!$M$6:$M$1005,0)),""))</f>
        <v/>
      </c>
      <c r="D72" s="19" t="str">
        <f aca="true">IF($C72="","",TODAY()-$C72)</f>
        <v/>
      </c>
      <c r="E72" s="12" t="str">
        <f aca="false">IF($B72="","",IFERROR(INDEX(반품접수!$C$3:$C$1002,MATCH("R"&amp;67,미처리현황!$M$6:$M$1005,0)),""))</f>
        <v/>
      </c>
      <c r="F72" s="12" t="str">
        <f aca="false">IF($B72="","",IFERROR(INDEX(반품접수!$E$3:$E$1002,MATCH("R"&amp;67,미처리현황!$M$6:$M$1005,0)),""))</f>
        <v/>
      </c>
      <c r="G72" s="15" t="str">
        <f aca="false">IF($B72="","",IFERROR(INDEX(반품접수!$I$3:$I$1002,MATCH("R"&amp;67,미처리현황!$M$6:$M$1005,0)),""))</f>
        <v/>
      </c>
      <c r="H72" s="15" t="str">
        <f aca="false">IF($B72="","",IFERROR(INDEX(반품접수!$N$3:$N$1002,MATCH("R"&amp;67,미처리현황!$M$6:$M$1005,0)),""))</f>
        <v/>
      </c>
      <c r="I72" s="19" t="str">
        <f aca="false">IF($B72="","",IFERROR(INDEX(반품접수!$O$3:$O$1002,MATCH("R"&amp;67,미처리현황!$M$6:$M$1005,0)),""))</f>
        <v/>
      </c>
      <c r="K72" s="21" t="b">
        <f aca="false">IF(반품접수!$A69="",FALSE(),OR(반품접수!$O69="미처리",반품접수!$O69="부분처리"))</f>
        <v>0</v>
      </c>
      <c r="L72" s="6" t="str">
        <f aca="false">IF($K72=FALSE(),"",COUNTIF($K$6:$K72,TRUE()))</f>
        <v/>
      </c>
      <c r="M72" s="6" t="str">
        <f aca="false">IF($L72="","","R"&amp;$L72)</f>
        <v/>
      </c>
    </row>
    <row r="73" customFormat="false" ht="15" hidden="false" customHeight="true" outlineLevel="0" collapsed="false">
      <c r="A73" s="19" t="str">
        <f aca="false">IF($B73="","",68)</f>
        <v/>
      </c>
      <c r="B73" s="12" t="str">
        <f aca="false">IFERROR(INDEX(반품접수!$A$3:$A$1002,MATCH("R"&amp;68,미처리현황!$M$6:$M$1005,0)),"")</f>
        <v/>
      </c>
      <c r="C73" s="20" t="str">
        <f aca="false">IF($B73="","",IFERROR(INDEX(반품접수!$B$3:$B$1002,MATCH("R"&amp;68,미처리현황!$M$6:$M$1005,0)),""))</f>
        <v/>
      </c>
      <c r="D73" s="19" t="str">
        <f aca="true">IF($C73="","",TODAY()-$C73)</f>
        <v/>
      </c>
      <c r="E73" s="12" t="str">
        <f aca="false">IF($B73="","",IFERROR(INDEX(반품접수!$C$3:$C$1002,MATCH("R"&amp;68,미처리현황!$M$6:$M$1005,0)),""))</f>
        <v/>
      </c>
      <c r="F73" s="12" t="str">
        <f aca="false">IF($B73="","",IFERROR(INDEX(반품접수!$E$3:$E$1002,MATCH("R"&amp;68,미처리현황!$M$6:$M$1005,0)),""))</f>
        <v/>
      </c>
      <c r="G73" s="15" t="str">
        <f aca="false">IF($B73="","",IFERROR(INDEX(반품접수!$I$3:$I$1002,MATCH("R"&amp;68,미처리현황!$M$6:$M$1005,0)),""))</f>
        <v/>
      </c>
      <c r="H73" s="15" t="str">
        <f aca="false">IF($B73="","",IFERROR(INDEX(반품접수!$N$3:$N$1002,MATCH("R"&amp;68,미처리현황!$M$6:$M$1005,0)),""))</f>
        <v/>
      </c>
      <c r="I73" s="19" t="str">
        <f aca="false">IF($B73="","",IFERROR(INDEX(반품접수!$O$3:$O$1002,MATCH("R"&amp;68,미처리현황!$M$6:$M$1005,0)),""))</f>
        <v/>
      </c>
      <c r="K73" s="21" t="b">
        <f aca="false">IF(반품접수!$A70="",FALSE(),OR(반품접수!$O70="미처리",반품접수!$O70="부분처리"))</f>
        <v>0</v>
      </c>
      <c r="L73" s="6" t="str">
        <f aca="false">IF($K73=FALSE(),"",COUNTIF($K$6:$K73,TRUE()))</f>
        <v/>
      </c>
      <c r="M73" s="6" t="str">
        <f aca="false">IF($L73="","","R"&amp;$L73)</f>
        <v/>
      </c>
    </row>
    <row r="74" customFormat="false" ht="15" hidden="false" customHeight="true" outlineLevel="0" collapsed="false">
      <c r="A74" s="19" t="str">
        <f aca="false">IF($B74="","",69)</f>
        <v/>
      </c>
      <c r="B74" s="12" t="str">
        <f aca="false">IFERROR(INDEX(반품접수!$A$3:$A$1002,MATCH("R"&amp;69,미처리현황!$M$6:$M$1005,0)),"")</f>
        <v/>
      </c>
      <c r="C74" s="20" t="str">
        <f aca="false">IF($B74="","",IFERROR(INDEX(반품접수!$B$3:$B$1002,MATCH("R"&amp;69,미처리현황!$M$6:$M$1005,0)),""))</f>
        <v/>
      </c>
      <c r="D74" s="19" t="str">
        <f aca="true">IF($C74="","",TODAY()-$C74)</f>
        <v/>
      </c>
      <c r="E74" s="12" t="str">
        <f aca="false">IF($B74="","",IFERROR(INDEX(반품접수!$C$3:$C$1002,MATCH("R"&amp;69,미처리현황!$M$6:$M$1005,0)),""))</f>
        <v/>
      </c>
      <c r="F74" s="12" t="str">
        <f aca="false">IF($B74="","",IFERROR(INDEX(반품접수!$E$3:$E$1002,MATCH("R"&amp;69,미처리현황!$M$6:$M$1005,0)),""))</f>
        <v/>
      </c>
      <c r="G74" s="15" t="str">
        <f aca="false">IF($B74="","",IFERROR(INDEX(반품접수!$I$3:$I$1002,MATCH("R"&amp;69,미처리현황!$M$6:$M$1005,0)),""))</f>
        <v/>
      </c>
      <c r="H74" s="15" t="str">
        <f aca="false">IF($B74="","",IFERROR(INDEX(반품접수!$N$3:$N$1002,MATCH("R"&amp;69,미처리현황!$M$6:$M$1005,0)),""))</f>
        <v/>
      </c>
      <c r="I74" s="19" t="str">
        <f aca="false">IF($B74="","",IFERROR(INDEX(반품접수!$O$3:$O$1002,MATCH("R"&amp;69,미처리현황!$M$6:$M$1005,0)),""))</f>
        <v/>
      </c>
      <c r="K74" s="21" t="b">
        <f aca="false">IF(반품접수!$A71="",FALSE(),OR(반품접수!$O71="미처리",반품접수!$O71="부분처리"))</f>
        <v>0</v>
      </c>
      <c r="L74" s="6" t="str">
        <f aca="false">IF($K74=FALSE(),"",COUNTIF($K$6:$K74,TRUE()))</f>
        <v/>
      </c>
      <c r="M74" s="6" t="str">
        <f aca="false">IF($L74="","","R"&amp;$L74)</f>
        <v/>
      </c>
    </row>
    <row r="75" customFormat="false" ht="15" hidden="false" customHeight="true" outlineLevel="0" collapsed="false">
      <c r="A75" s="19" t="str">
        <f aca="false">IF($B75="","",70)</f>
        <v/>
      </c>
      <c r="B75" s="12" t="str">
        <f aca="false">IFERROR(INDEX(반품접수!$A$3:$A$1002,MATCH("R"&amp;70,미처리현황!$M$6:$M$1005,0)),"")</f>
        <v/>
      </c>
      <c r="C75" s="20" t="str">
        <f aca="false">IF($B75="","",IFERROR(INDEX(반품접수!$B$3:$B$1002,MATCH("R"&amp;70,미처리현황!$M$6:$M$1005,0)),""))</f>
        <v/>
      </c>
      <c r="D75" s="19" t="str">
        <f aca="true">IF($C75="","",TODAY()-$C75)</f>
        <v/>
      </c>
      <c r="E75" s="12" t="str">
        <f aca="false">IF($B75="","",IFERROR(INDEX(반품접수!$C$3:$C$1002,MATCH("R"&amp;70,미처리현황!$M$6:$M$1005,0)),""))</f>
        <v/>
      </c>
      <c r="F75" s="12" t="str">
        <f aca="false">IF($B75="","",IFERROR(INDEX(반품접수!$E$3:$E$1002,MATCH("R"&amp;70,미처리현황!$M$6:$M$1005,0)),""))</f>
        <v/>
      </c>
      <c r="G75" s="15" t="str">
        <f aca="false">IF($B75="","",IFERROR(INDEX(반품접수!$I$3:$I$1002,MATCH("R"&amp;70,미처리현황!$M$6:$M$1005,0)),""))</f>
        <v/>
      </c>
      <c r="H75" s="15" t="str">
        <f aca="false">IF($B75="","",IFERROR(INDEX(반품접수!$N$3:$N$1002,MATCH("R"&amp;70,미처리현황!$M$6:$M$1005,0)),""))</f>
        <v/>
      </c>
      <c r="I75" s="19" t="str">
        <f aca="false">IF($B75="","",IFERROR(INDEX(반품접수!$O$3:$O$1002,MATCH("R"&amp;70,미처리현황!$M$6:$M$1005,0)),""))</f>
        <v/>
      </c>
      <c r="K75" s="21" t="b">
        <f aca="false">IF(반품접수!$A72="",FALSE(),OR(반품접수!$O72="미처리",반품접수!$O72="부분처리"))</f>
        <v>0</v>
      </c>
      <c r="L75" s="6" t="str">
        <f aca="false">IF($K75=FALSE(),"",COUNTIF($K$6:$K75,TRUE()))</f>
        <v/>
      </c>
      <c r="M75" s="6" t="str">
        <f aca="false">IF($L75="","","R"&amp;$L75)</f>
        <v/>
      </c>
    </row>
    <row r="76" customFormat="false" ht="15" hidden="false" customHeight="true" outlineLevel="0" collapsed="false">
      <c r="A76" s="19" t="str">
        <f aca="false">IF($B76="","",71)</f>
        <v/>
      </c>
      <c r="B76" s="12" t="str">
        <f aca="false">IFERROR(INDEX(반품접수!$A$3:$A$1002,MATCH("R"&amp;71,미처리현황!$M$6:$M$1005,0)),"")</f>
        <v/>
      </c>
      <c r="C76" s="20" t="str">
        <f aca="false">IF($B76="","",IFERROR(INDEX(반품접수!$B$3:$B$1002,MATCH("R"&amp;71,미처리현황!$M$6:$M$1005,0)),""))</f>
        <v/>
      </c>
      <c r="D76" s="19" t="str">
        <f aca="true">IF($C76="","",TODAY()-$C76)</f>
        <v/>
      </c>
      <c r="E76" s="12" t="str">
        <f aca="false">IF($B76="","",IFERROR(INDEX(반품접수!$C$3:$C$1002,MATCH("R"&amp;71,미처리현황!$M$6:$M$1005,0)),""))</f>
        <v/>
      </c>
      <c r="F76" s="12" t="str">
        <f aca="false">IF($B76="","",IFERROR(INDEX(반품접수!$E$3:$E$1002,MATCH("R"&amp;71,미처리현황!$M$6:$M$1005,0)),""))</f>
        <v/>
      </c>
      <c r="G76" s="15" t="str">
        <f aca="false">IF($B76="","",IFERROR(INDEX(반품접수!$I$3:$I$1002,MATCH("R"&amp;71,미처리현황!$M$6:$M$1005,0)),""))</f>
        <v/>
      </c>
      <c r="H76" s="15" t="str">
        <f aca="false">IF($B76="","",IFERROR(INDEX(반품접수!$N$3:$N$1002,MATCH("R"&amp;71,미처리현황!$M$6:$M$1005,0)),""))</f>
        <v/>
      </c>
      <c r="I76" s="19" t="str">
        <f aca="false">IF($B76="","",IFERROR(INDEX(반품접수!$O$3:$O$1002,MATCH("R"&amp;71,미처리현황!$M$6:$M$1005,0)),""))</f>
        <v/>
      </c>
      <c r="K76" s="21" t="b">
        <f aca="false">IF(반품접수!$A73="",FALSE(),OR(반품접수!$O73="미처리",반품접수!$O73="부분처리"))</f>
        <v>0</v>
      </c>
      <c r="L76" s="6" t="str">
        <f aca="false">IF($K76=FALSE(),"",COUNTIF($K$6:$K76,TRUE()))</f>
        <v/>
      </c>
      <c r="M76" s="6" t="str">
        <f aca="false">IF($L76="","","R"&amp;$L76)</f>
        <v/>
      </c>
    </row>
    <row r="77" customFormat="false" ht="15" hidden="false" customHeight="true" outlineLevel="0" collapsed="false">
      <c r="A77" s="19" t="str">
        <f aca="false">IF($B77="","",72)</f>
        <v/>
      </c>
      <c r="B77" s="12" t="str">
        <f aca="false">IFERROR(INDEX(반품접수!$A$3:$A$1002,MATCH("R"&amp;72,미처리현황!$M$6:$M$1005,0)),"")</f>
        <v/>
      </c>
      <c r="C77" s="20" t="str">
        <f aca="false">IF($B77="","",IFERROR(INDEX(반품접수!$B$3:$B$1002,MATCH("R"&amp;72,미처리현황!$M$6:$M$1005,0)),""))</f>
        <v/>
      </c>
      <c r="D77" s="19" t="str">
        <f aca="true">IF($C77="","",TODAY()-$C77)</f>
        <v/>
      </c>
      <c r="E77" s="12" t="str">
        <f aca="false">IF($B77="","",IFERROR(INDEX(반품접수!$C$3:$C$1002,MATCH("R"&amp;72,미처리현황!$M$6:$M$1005,0)),""))</f>
        <v/>
      </c>
      <c r="F77" s="12" t="str">
        <f aca="false">IF($B77="","",IFERROR(INDEX(반품접수!$E$3:$E$1002,MATCH("R"&amp;72,미처리현황!$M$6:$M$1005,0)),""))</f>
        <v/>
      </c>
      <c r="G77" s="15" t="str">
        <f aca="false">IF($B77="","",IFERROR(INDEX(반품접수!$I$3:$I$1002,MATCH("R"&amp;72,미처리현황!$M$6:$M$1005,0)),""))</f>
        <v/>
      </c>
      <c r="H77" s="15" t="str">
        <f aca="false">IF($B77="","",IFERROR(INDEX(반품접수!$N$3:$N$1002,MATCH("R"&amp;72,미처리현황!$M$6:$M$1005,0)),""))</f>
        <v/>
      </c>
      <c r="I77" s="19" t="str">
        <f aca="false">IF($B77="","",IFERROR(INDEX(반품접수!$O$3:$O$1002,MATCH("R"&amp;72,미처리현황!$M$6:$M$1005,0)),""))</f>
        <v/>
      </c>
      <c r="K77" s="21" t="b">
        <f aca="false">IF(반품접수!$A74="",FALSE(),OR(반품접수!$O74="미처리",반품접수!$O74="부분처리"))</f>
        <v>0</v>
      </c>
      <c r="L77" s="6" t="str">
        <f aca="false">IF($K77=FALSE(),"",COUNTIF($K$6:$K77,TRUE()))</f>
        <v/>
      </c>
      <c r="M77" s="6" t="str">
        <f aca="false">IF($L77="","","R"&amp;$L77)</f>
        <v/>
      </c>
    </row>
    <row r="78" customFormat="false" ht="15" hidden="false" customHeight="true" outlineLevel="0" collapsed="false">
      <c r="A78" s="19" t="str">
        <f aca="false">IF($B78="","",73)</f>
        <v/>
      </c>
      <c r="B78" s="12" t="str">
        <f aca="false">IFERROR(INDEX(반품접수!$A$3:$A$1002,MATCH("R"&amp;73,미처리현황!$M$6:$M$1005,0)),"")</f>
        <v/>
      </c>
      <c r="C78" s="20" t="str">
        <f aca="false">IF($B78="","",IFERROR(INDEX(반품접수!$B$3:$B$1002,MATCH("R"&amp;73,미처리현황!$M$6:$M$1005,0)),""))</f>
        <v/>
      </c>
      <c r="D78" s="19" t="str">
        <f aca="true">IF($C78="","",TODAY()-$C78)</f>
        <v/>
      </c>
      <c r="E78" s="12" t="str">
        <f aca="false">IF($B78="","",IFERROR(INDEX(반품접수!$C$3:$C$1002,MATCH("R"&amp;73,미처리현황!$M$6:$M$1005,0)),""))</f>
        <v/>
      </c>
      <c r="F78" s="12" t="str">
        <f aca="false">IF($B78="","",IFERROR(INDEX(반품접수!$E$3:$E$1002,MATCH("R"&amp;73,미처리현황!$M$6:$M$1005,0)),""))</f>
        <v/>
      </c>
      <c r="G78" s="15" t="str">
        <f aca="false">IF($B78="","",IFERROR(INDEX(반품접수!$I$3:$I$1002,MATCH("R"&amp;73,미처리현황!$M$6:$M$1005,0)),""))</f>
        <v/>
      </c>
      <c r="H78" s="15" t="str">
        <f aca="false">IF($B78="","",IFERROR(INDEX(반품접수!$N$3:$N$1002,MATCH("R"&amp;73,미처리현황!$M$6:$M$1005,0)),""))</f>
        <v/>
      </c>
      <c r="I78" s="19" t="str">
        <f aca="false">IF($B78="","",IFERROR(INDEX(반품접수!$O$3:$O$1002,MATCH("R"&amp;73,미처리현황!$M$6:$M$1005,0)),""))</f>
        <v/>
      </c>
      <c r="K78" s="21" t="b">
        <f aca="false">IF(반품접수!$A75="",FALSE(),OR(반품접수!$O75="미처리",반품접수!$O75="부분처리"))</f>
        <v>0</v>
      </c>
      <c r="L78" s="6" t="str">
        <f aca="false">IF($K78=FALSE(),"",COUNTIF($K$6:$K78,TRUE()))</f>
        <v/>
      </c>
      <c r="M78" s="6" t="str">
        <f aca="false">IF($L78="","","R"&amp;$L78)</f>
        <v/>
      </c>
    </row>
    <row r="79" customFormat="false" ht="15" hidden="false" customHeight="true" outlineLevel="0" collapsed="false">
      <c r="A79" s="19" t="str">
        <f aca="false">IF($B79="","",74)</f>
        <v/>
      </c>
      <c r="B79" s="12" t="str">
        <f aca="false">IFERROR(INDEX(반품접수!$A$3:$A$1002,MATCH("R"&amp;74,미처리현황!$M$6:$M$1005,0)),"")</f>
        <v/>
      </c>
      <c r="C79" s="20" t="str">
        <f aca="false">IF($B79="","",IFERROR(INDEX(반품접수!$B$3:$B$1002,MATCH("R"&amp;74,미처리현황!$M$6:$M$1005,0)),""))</f>
        <v/>
      </c>
      <c r="D79" s="19" t="str">
        <f aca="true">IF($C79="","",TODAY()-$C79)</f>
        <v/>
      </c>
      <c r="E79" s="12" t="str">
        <f aca="false">IF($B79="","",IFERROR(INDEX(반품접수!$C$3:$C$1002,MATCH("R"&amp;74,미처리현황!$M$6:$M$1005,0)),""))</f>
        <v/>
      </c>
      <c r="F79" s="12" t="str">
        <f aca="false">IF($B79="","",IFERROR(INDEX(반품접수!$E$3:$E$1002,MATCH("R"&amp;74,미처리현황!$M$6:$M$1005,0)),""))</f>
        <v/>
      </c>
      <c r="G79" s="15" t="str">
        <f aca="false">IF($B79="","",IFERROR(INDEX(반품접수!$I$3:$I$1002,MATCH("R"&amp;74,미처리현황!$M$6:$M$1005,0)),""))</f>
        <v/>
      </c>
      <c r="H79" s="15" t="str">
        <f aca="false">IF($B79="","",IFERROR(INDEX(반품접수!$N$3:$N$1002,MATCH("R"&amp;74,미처리현황!$M$6:$M$1005,0)),""))</f>
        <v/>
      </c>
      <c r="I79" s="19" t="str">
        <f aca="false">IF($B79="","",IFERROR(INDEX(반품접수!$O$3:$O$1002,MATCH("R"&amp;74,미처리현황!$M$6:$M$1005,0)),""))</f>
        <v/>
      </c>
      <c r="K79" s="21" t="b">
        <f aca="false">IF(반품접수!$A76="",FALSE(),OR(반품접수!$O76="미처리",반품접수!$O76="부분처리"))</f>
        <v>0</v>
      </c>
      <c r="L79" s="6" t="str">
        <f aca="false">IF($K79=FALSE(),"",COUNTIF($K$6:$K79,TRUE()))</f>
        <v/>
      </c>
      <c r="M79" s="6" t="str">
        <f aca="false">IF($L79="","","R"&amp;$L79)</f>
        <v/>
      </c>
    </row>
    <row r="80" customFormat="false" ht="15" hidden="false" customHeight="true" outlineLevel="0" collapsed="false">
      <c r="A80" s="19" t="str">
        <f aca="false">IF($B80="","",75)</f>
        <v/>
      </c>
      <c r="B80" s="12" t="str">
        <f aca="false">IFERROR(INDEX(반품접수!$A$3:$A$1002,MATCH("R"&amp;75,미처리현황!$M$6:$M$1005,0)),"")</f>
        <v/>
      </c>
      <c r="C80" s="20" t="str">
        <f aca="false">IF($B80="","",IFERROR(INDEX(반품접수!$B$3:$B$1002,MATCH("R"&amp;75,미처리현황!$M$6:$M$1005,0)),""))</f>
        <v/>
      </c>
      <c r="D80" s="19" t="str">
        <f aca="true">IF($C80="","",TODAY()-$C80)</f>
        <v/>
      </c>
      <c r="E80" s="12" t="str">
        <f aca="false">IF($B80="","",IFERROR(INDEX(반품접수!$C$3:$C$1002,MATCH("R"&amp;75,미처리현황!$M$6:$M$1005,0)),""))</f>
        <v/>
      </c>
      <c r="F80" s="12" t="str">
        <f aca="false">IF($B80="","",IFERROR(INDEX(반품접수!$E$3:$E$1002,MATCH("R"&amp;75,미처리현황!$M$6:$M$1005,0)),""))</f>
        <v/>
      </c>
      <c r="G80" s="15" t="str">
        <f aca="false">IF($B80="","",IFERROR(INDEX(반품접수!$I$3:$I$1002,MATCH("R"&amp;75,미처리현황!$M$6:$M$1005,0)),""))</f>
        <v/>
      </c>
      <c r="H80" s="15" t="str">
        <f aca="false">IF($B80="","",IFERROR(INDEX(반품접수!$N$3:$N$1002,MATCH("R"&amp;75,미처리현황!$M$6:$M$1005,0)),""))</f>
        <v/>
      </c>
      <c r="I80" s="19" t="str">
        <f aca="false">IF($B80="","",IFERROR(INDEX(반품접수!$O$3:$O$1002,MATCH("R"&amp;75,미처리현황!$M$6:$M$1005,0)),""))</f>
        <v/>
      </c>
      <c r="K80" s="21" t="b">
        <f aca="false">IF(반품접수!$A77="",FALSE(),OR(반품접수!$O77="미처리",반품접수!$O77="부분처리"))</f>
        <v>0</v>
      </c>
      <c r="L80" s="6" t="str">
        <f aca="false">IF($K80=FALSE(),"",COUNTIF($K$6:$K80,TRUE()))</f>
        <v/>
      </c>
      <c r="M80" s="6" t="str">
        <f aca="false">IF($L80="","","R"&amp;$L80)</f>
        <v/>
      </c>
    </row>
    <row r="81" customFormat="false" ht="15" hidden="false" customHeight="true" outlineLevel="0" collapsed="false">
      <c r="A81" s="19" t="str">
        <f aca="false">IF($B81="","",76)</f>
        <v/>
      </c>
      <c r="B81" s="12" t="str">
        <f aca="false">IFERROR(INDEX(반품접수!$A$3:$A$1002,MATCH("R"&amp;76,미처리현황!$M$6:$M$1005,0)),"")</f>
        <v/>
      </c>
      <c r="C81" s="20" t="str">
        <f aca="false">IF($B81="","",IFERROR(INDEX(반품접수!$B$3:$B$1002,MATCH("R"&amp;76,미처리현황!$M$6:$M$1005,0)),""))</f>
        <v/>
      </c>
      <c r="D81" s="19" t="str">
        <f aca="true">IF($C81="","",TODAY()-$C81)</f>
        <v/>
      </c>
      <c r="E81" s="12" t="str">
        <f aca="false">IF($B81="","",IFERROR(INDEX(반품접수!$C$3:$C$1002,MATCH("R"&amp;76,미처리현황!$M$6:$M$1005,0)),""))</f>
        <v/>
      </c>
      <c r="F81" s="12" t="str">
        <f aca="false">IF($B81="","",IFERROR(INDEX(반품접수!$E$3:$E$1002,MATCH("R"&amp;76,미처리현황!$M$6:$M$1005,0)),""))</f>
        <v/>
      </c>
      <c r="G81" s="15" t="str">
        <f aca="false">IF($B81="","",IFERROR(INDEX(반품접수!$I$3:$I$1002,MATCH("R"&amp;76,미처리현황!$M$6:$M$1005,0)),""))</f>
        <v/>
      </c>
      <c r="H81" s="15" t="str">
        <f aca="false">IF($B81="","",IFERROR(INDEX(반품접수!$N$3:$N$1002,MATCH("R"&amp;76,미처리현황!$M$6:$M$1005,0)),""))</f>
        <v/>
      </c>
      <c r="I81" s="19" t="str">
        <f aca="false">IF($B81="","",IFERROR(INDEX(반품접수!$O$3:$O$1002,MATCH("R"&amp;76,미처리현황!$M$6:$M$1005,0)),""))</f>
        <v/>
      </c>
      <c r="K81" s="21" t="b">
        <f aca="false">IF(반품접수!$A78="",FALSE(),OR(반품접수!$O78="미처리",반품접수!$O78="부분처리"))</f>
        <v>0</v>
      </c>
      <c r="L81" s="6" t="str">
        <f aca="false">IF($K81=FALSE(),"",COUNTIF($K$6:$K81,TRUE()))</f>
        <v/>
      </c>
      <c r="M81" s="6" t="str">
        <f aca="false">IF($L81="","","R"&amp;$L81)</f>
        <v/>
      </c>
    </row>
    <row r="82" customFormat="false" ht="15" hidden="false" customHeight="true" outlineLevel="0" collapsed="false">
      <c r="A82" s="19" t="str">
        <f aca="false">IF($B82="","",77)</f>
        <v/>
      </c>
      <c r="B82" s="12" t="str">
        <f aca="false">IFERROR(INDEX(반품접수!$A$3:$A$1002,MATCH("R"&amp;77,미처리현황!$M$6:$M$1005,0)),"")</f>
        <v/>
      </c>
      <c r="C82" s="20" t="str">
        <f aca="false">IF($B82="","",IFERROR(INDEX(반품접수!$B$3:$B$1002,MATCH("R"&amp;77,미처리현황!$M$6:$M$1005,0)),""))</f>
        <v/>
      </c>
      <c r="D82" s="19" t="str">
        <f aca="true">IF($C82="","",TODAY()-$C82)</f>
        <v/>
      </c>
      <c r="E82" s="12" t="str">
        <f aca="false">IF($B82="","",IFERROR(INDEX(반품접수!$C$3:$C$1002,MATCH("R"&amp;77,미처리현황!$M$6:$M$1005,0)),""))</f>
        <v/>
      </c>
      <c r="F82" s="12" t="str">
        <f aca="false">IF($B82="","",IFERROR(INDEX(반품접수!$E$3:$E$1002,MATCH("R"&amp;77,미처리현황!$M$6:$M$1005,0)),""))</f>
        <v/>
      </c>
      <c r="G82" s="15" t="str">
        <f aca="false">IF($B82="","",IFERROR(INDEX(반품접수!$I$3:$I$1002,MATCH("R"&amp;77,미처리현황!$M$6:$M$1005,0)),""))</f>
        <v/>
      </c>
      <c r="H82" s="15" t="str">
        <f aca="false">IF($B82="","",IFERROR(INDEX(반품접수!$N$3:$N$1002,MATCH("R"&amp;77,미처리현황!$M$6:$M$1005,0)),""))</f>
        <v/>
      </c>
      <c r="I82" s="19" t="str">
        <f aca="false">IF($B82="","",IFERROR(INDEX(반품접수!$O$3:$O$1002,MATCH("R"&amp;77,미처리현황!$M$6:$M$1005,0)),""))</f>
        <v/>
      </c>
      <c r="K82" s="21" t="b">
        <f aca="false">IF(반품접수!$A79="",FALSE(),OR(반품접수!$O79="미처리",반품접수!$O79="부분처리"))</f>
        <v>0</v>
      </c>
      <c r="L82" s="6" t="str">
        <f aca="false">IF($K82=FALSE(),"",COUNTIF($K$6:$K82,TRUE()))</f>
        <v/>
      </c>
      <c r="M82" s="6" t="str">
        <f aca="false">IF($L82="","","R"&amp;$L82)</f>
        <v/>
      </c>
    </row>
    <row r="83" customFormat="false" ht="15" hidden="false" customHeight="true" outlineLevel="0" collapsed="false">
      <c r="A83" s="19" t="str">
        <f aca="false">IF($B83="","",78)</f>
        <v/>
      </c>
      <c r="B83" s="12" t="str">
        <f aca="false">IFERROR(INDEX(반품접수!$A$3:$A$1002,MATCH("R"&amp;78,미처리현황!$M$6:$M$1005,0)),"")</f>
        <v/>
      </c>
      <c r="C83" s="20" t="str">
        <f aca="false">IF($B83="","",IFERROR(INDEX(반품접수!$B$3:$B$1002,MATCH("R"&amp;78,미처리현황!$M$6:$M$1005,0)),""))</f>
        <v/>
      </c>
      <c r="D83" s="19" t="str">
        <f aca="true">IF($C83="","",TODAY()-$C83)</f>
        <v/>
      </c>
      <c r="E83" s="12" t="str">
        <f aca="false">IF($B83="","",IFERROR(INDEX(반품접수!$C$3:$C$1002,MATCH("R"&amp;78,미처리현황!$M$6:$M$1005,0)),""))</f>
        <v/>
      </c>
      <c r="F83" s="12" t="str">
        <f aca="false">IF($B83="","",IFERROR(INDEX(반품접수!$E$3:$E$1002,MATCH("R"&amp;78,미처리현황!$M$6:$M$1005,0)),""))</f>
        <v/>
      </c>
      <c r="G83" s="15" t="str">
        <f aca="false">IF($B83="","",IFERROR(INDEX(반품접수!$I$3:$I$1002,MATCH("R"&amp;78,미처리현황!$M$6:$M$1005,0)),""))</f>
        <v/>
      </c>
      <c r="H83" s="15" t="str">
        <f aca="false">IF($B83="","",IFERROR(INDEX(반품접수!$N$3:$N$1002,MATCH("R"&amp;78,미처리현황!$M$6:$M$1005,0)),""))</f>
        <v/>
      </c>
      <c r="I83" s="19" t="str">
        <f aca="false">IF($B83="","",IFERROR(INDEX(반품접수!$O$3:$O$1002,MATCH("R"&amp;78,미처리현황!$M$6:$M$1005,0)),""))</f>
        <v/>
      </c>
      <c r="K83" s="21" t="b">
        <f aca="false">IF(반품접수!$A80="",FALSE(),OR(반품접수!$O80="미처리",반품접수!$O80="부분처리"))</f>
        <v>0</v>
      </c>
      <c r="L83" s="6" t="str">
        <f aca="false">IF($K83=FALSE(),"",COUNTIF($K$6:$K83,TRUE()))</f>
        <v/>
      </c>
      <c r="M83" s="6" t="str">
        <f aca="false">IF($L83="","","R"&amp;$L83)</f>
        <v/>
      </c>
    </row>
    <row r="84" customFormat="false" ht="15" hidden="false" customHeight="true" outlineLevel="0" collapsed="false">
      <c r="A84" s="19" t="str">
        <f aca="false">IF($B84="","",79)</f>
        <v/>
      </c>
      <c r="B84" s="12" t="str">
        <f aca="false">IFERROR(INDEX(반품접수!$A$3:$A$1002,MATCH("R"&amp;79,미처리현황!$M$6:$M$1005,0)),"")</f>
        <v/>
      </c>
      <c r="C84" s="20" t="str">
        <f aca="false">IF($B84="","",IFERROR(INDEX(반품접수!$B$3:$B$1002,MATCH("R"&amp;79,미처리현황!$M$6:$M$1005,0)),""))</f>
        <v/>
      </c>
      <c r="D84" s="19" t="str">
        <f aca="true">IF($C84="","",TODAY()-$C84)</f>
        <v/>
      </c>
      <c r="E84" s="12" t="str">
        <f aca="false">IF($B84="","",IFERROR(INDEX(반품접수!$C$3:$C$1002,MATCH("R"&amp;79,미처리현황!$M$6:$M$1005,0)),""))</f>
        <v/>
      </c>
      <c r="F84" s="12" t="str">
        <f aca="false">IF($B84="","",IFERROR(INDEX(반품접수!$E$3:$E$1002,MATCH("R"&amp;79,미처리현황!$M$6:$M$1005,0)),""))</f>
        <v/>
      </c>
      <c r="G84" s="15" t="str">
        <f aca="false">IF($B84="","",IFERROR(INDEX(반품접수!$I$3:$I$1002,MATCH("R"&amp;79,미처리현황!$M$6:$M$1005,0)),""))</f>
        <v/>
      </c>
      <c r="H84" s="15" t="str">
        <f aca="false">IF($B84="","",IFERROR(INDEX(반품접수!$N$3:$N$1002,MATCH("R"&amp;79,미처리현황!$M$6:$M$1005,0)),""))</f>
        <v/>
      </c>
      <c r="I84" s="19" t="str">
        <f aca="false">IF($B84="","",IFERROR(INDEX(반품접수!$O$3:$O$1002,MATCH("R"&amp;79,미처리현황!$M$6:$M$1005,0)),""))</f>
        <v/>
      </c>
      <c r="K84" s="21" t="b">
        <f aca="false">IF(반품접수!$A81="",FALSE(),OR(반품접수!$O81="미처리",반품접수!$O81="부분처리"))</f>
        <v>0</v>
      </c>
      <c r="L84" s="6" t="str">
        <f aca="false">IF($K84=FALSE(),"",COUNTIF($K$6:$K84,TRUE()))</f>
        <v/>
      </c>
      <c r="M84" s="6" t="str">
        <f aca="false">IF($L84="","","R"&amp;$L84)</f>
        <v/>
      </c>
    </row>
    <row r="85" customFormat="false" ht="15" hidden="false" customHeight="true" outlineLevel="0" collapsed="false">
      <c r="A85" s="19" t="str">
        <f aca="false">IF($B85="","",80)</f>
        <v/>
      </c>
      <c r="B85" s="12" t="str">
        <f aca="false">IFERROR(INDEX(반품접수!$A$3:$A$1002,MATCH("R"&amp;80,미처리현황!$M$6:$M$1005,0)),"")</f>
        <v/>
      </c>
      <c r="C85" s="20" t="str">
        <f aca="false">IF($B85="","",IFERROR(INDEX(반품접수!$B$3:$B$1002,MATCH("R"&amp;80,미처리현황!$M$6:$M$1005,0)),""))</f>
        <v/>
      </c>
      <c r="D85" s="19" t="str">
        <f aca="true">IF($C85="","",TODAY()-$C85)</f>
        <v/>
      </c>
      <c r="E85" s="12" t="str">
        <f aca="false">IF($B85="","",IFERROR(INDEX(반품접수!$C$3:$C$1002,MATCH("R"&amp;80,미처리현황!$M$6:$M$1005,0)),""))</f>
        <v/>
      </c>
      <c r="F85" s="12" t="str">
        <f aca="false">IF($B85="","",IFERROR(INDEX(반품접수!$E$3:$E$1002,MATCH("R"&amp;80,미처리현황!$M$6:$M$1005,0)),""))</f>
        <v/>
      </c>
      <c r="G85" s="15" t="str">
        <f aca="false">IF($B85="","",IFERROR(INDEX(반품접수!$I$3:$I$1002,MATCH("R"&amp;80,미처리현황!$M$6:$M$1005,0)),""))</f>
        <v/>
      </c>
      <c r="H85" s="15" t="str">
        <f aca="false">IF($B85="","",IFERROR(INDEX(반품접수!$N$3:$N$1002,MATCH("R"&amp;80,미처리현황!$M$6:$M$1005,0)),""))</f>
        <v/>
      </c>
      <c r="I85" s="19" t="str">
        <f aca="false">IF($B85="","",IFERROR(INDEX(반품접수!$O$3:$O$1002,MATCH("R"&amp;80,미처리현황!$M$6:$M$1005,0)),""))</f>
        <v/>
      </c>
      <c r="K85" s="21" t="b">
        <f aca="false">IF(반품접수!$A82="",FALSE(),OR(반품접수!$O82="미처리",반품접수!$O82="부분처리"))</f>
        <v>0</v>
      </c>
      <c r="L85" s="6" t="str">
        <f aca="false">IF($K85=FALSE(),"",COUNTIF($K$6:$K85,TRUE()))</f>
        <v/>
      </c>
      <c r="M85" s="6" t="str">
        <f aca="false">IF($L85="","","R"&amp;$L85)</f>
        <v/>
      </c>
    </row>
    <row r="86" customFormat="false" ht="15" hidden="false" customHeight="true" outlineLevel="0" collapsed="false">
      <c r="A86" s="19" t="str">
        <f aca="false">IF($B86="","",81)</f>
        <v/>
      </c>
      <c r="B86" s="12" t="str">
        <f aca="false">IFERROR(INDEX(반품접수!$A$3:$A$1002,MATCH("R"&amp;81,미처리현황!$M$6:$M$1005,0)),"")</f>
        <v/>
      </c>
      <c r="C86" s="20" t="str">
        <f aca="false">IF($B86="","",IFERROR(INDEX(반품접수!$B$3:$B$1002,MATCH("R"&amp;81,미처리현황!$M$6:$M$1005,0)),""))</f>
        <v/>
      </c>
      <c r="D86" s="19" t="str">
        <f aca="true">IF($C86="","",TODAY()-$C86)</f>
        <v/>
      </c>
      <c r="E86" s="12" t="str">
        <f aca="false">IF($B86="","",IFERROR(INDEX(반품접수!$C$3:$C$1002,MATCH("R"&amp;81,미처리현황!$M$6:$M$1005,0)),""))</f>
        <v/>
      </c>
      <c r="F86" s="12" t="str">
        <f aca="false">IF($B86="","",IFERROR(INDEX(반품접수!$E$3:$E$1002,MATCH("R"&amp;81,미처리현황!$M$6:$M$1005,0)),""))</f>
        <v/>
      </c>
      <c r="G86" s="15" t="str">
        <f aca="false">IF($B86="","",IFERROR(INDEX(반품접수!$I$3:$I$1002,MATCH("R"&amp;81,미처리현황!$M$6:$M$1005,0)),""))</f>
        <v/>
      </c>
      <c r="H86" s="15" t="str">
        <f aca="false">IF($B86="","",IFERROR(INDEX(반품접수!$N$3:$N$1002,MATCH("R"&amp;81,미처리현황!$M$6:$M$1005,0)),""))</f>
        <v/>
      </c>
      <c r="I86" s="19" t="str">
        <f aca="false">IF($B86="","",IFERROR(INDEX(반품접수!$O$3:$O$1002,MATCH("R"&amp;81,미처리현황!$M$6:$M$1005,0)),""))</f>
        <v/>
      </c>
      <c r="K86" s="21" t="b">
        <f aca="false">IF(반품접수!$A83="",FALSE(),OR(반품접수!$O83="미처리",반품접수!$O83="부분처리"))</f>
        <v>0</v>
      </c>
      <c r="L86" s="6" t="str">
        <f aca="false">IF($K86=FALSE(),"",COUNTIF($K$6:$K86,TRUE()))</f>
        <v/>
      </c>
      <c r="M86" s="6" t="str">
        <f aca="false">IF($L86="","","R"&amp;$L86)</f>
        <v/>
      </c>
    </row>
    <row r="87" customFormat="false" ht="15" hidden="false" customHeight="true" outlineLevel="0" collapsed="false">
      <c r="A87" s="19" t="str">
        <f aca="false">IF($B87="","",82)</f>
        <v/>
      </c>
      <c r="B87" s="12" t="str">
        <f aca="false">IFERROR(INDEX(반품접수!$A$3:$A$1002,MATCH("R"&amp;82,미처리현황!$M$6:$M$1005,0)),"")</f>
        <v/>
      </c>
      <c r="C87" s="20" t="str">
        <f aca="false">IF($B87="","",IFERROR(INDEX(반품접수!$B$3:$B$1002,MATCH("R"&amp;82,미처리현황!$M$6:$M$1005,0)),""))</f>
        <v/>
      </c>
      <c r="D87" s="19" t="str">
        <f aca="true">IF($C87="","",TODAY()-$C87)</f>
        <v/>
      </c>
      <c r="E87" s="12" t="str">
        <f aca="false">IF($B87="","",IFERROR(INDEX(반품접수!$C$3:$C$1002,MATCH("R"&amp;82,미처리현황!$M$6:$M$1005,0)),""))</f>
        <v/>
      </c>
      <c r="F87" s="12" t="str">
        <f aca="false">IF($B87="","",IFERROR(INDEX(반품접수!$E$3:$E$1002,MATCH("R"&amp;82,미처리현황!$M$6:$M$1005,0)),""))</f>
        <v/>
      </c>
      <c r="G87" s="15" t="str">
        <f aca="false">IF($B87="","",IFERROR(INDEX(반품접수!$I$3:$I$1002,MATCH("R"&amp;82,미처리현황!$M$6:$M$1005,0)),""))</f>
        <v/>
      </c>
      <c r="H87" s="15" t="str">
        <f aca="false">IF($B87="","",IFERROR(INDEX(반품접수!$N$3:$N$1002,MATCH("R"&amp;82,미처리현황!$M$6:$M$1005,0)),""))</f>
        <v/>
      </c>
      <c r="I87" s="19" t="str">
        <f aca="false">IF($B87="","",IFERROR(INDEX(반품접수!$O$3:$O$1002,MATCH("R"&amp;82,미처리현황!$M$6:$M$1005,0)),""))</f>
        <v/>
      </c>
      <c r="K87" s="21" t="b">
        <f aca="false">IF(반품접수!$A84="",FALSE(),OR(반품접수!$O84="미처리",반품접수!$O84="부분처리"))</f>
        <v>0</v>
      </c>
      <c r="L87" s="6" t="str">
        <f aca="false">IF($K87=FALSE(),"",COUNTIF($K$6:$K87,TRUE()))</f>
        <v/>
      </c>
      <c r="M87" s="6" t="str">
        <f aca="false">IF($L87="","","R"&amp;$L87)</f>
        <v/>
      </c>
    </row>
    <row r="88" customFormat="false" ht="15" hidden="false" customHeight="true" outlineLevel="0" collapsed="false">
      <c r="A88" s="19" t="str">
        <f aca="false">IF($B88="","",83)</f>
        <v/>
      </c>
      <c r="B88" s="12" t="str">
        <f aca="false">IFERROR(INDEX(반품접수!$A$3:$A$1002,MATCH("R"&amp;83,미처리현황!$M$6:$M$1005,0)),"")</f>
        <v/>
      </c>
      <c r="C88" s="20" t="str">
        <f aca="false">IF($B88="","",IFERROR(INDEX(반품접수!$B$3:$B$1002,MATCH("R"&amp;83,미처리현황!$M$6:$M$1005,0)),""))</f>
        <v/>
      </c>
      <c r="D88" s="19" t="str">
        <f aca="true">IF($C88="","",TODAY()-$C88)</f>
        <v/>
      </c>
      <c r="E88" s="12" t="str">
        <f aca="false">IF($B88="","",IFERROR(INDEX(반품접수!$C$3:$C$1002,MATCH("R"&amp;83,미처리현황!$M$6:$M$1005,0)),""))</f>
        <v/>
      </c>
      <c r="F88" s="12" t="str">
        <f aca="false">IF($B88="","",IFERROR(INDEX(반품접수!$E$3:$E$1002,MATCH("R"&amp;83,미처리현황!$M$6:$M$1005,0)),""))</f>
        <v/>
      </c>
      <c r="G88" s="15" t="str">
        <f aca="false">IF($B88="","",IFERROR(INDEX(반품접수!$I$3:$I$1002,MATCH("R"&amp;83,미처리현황!$M$6:$M$1005,0)),""))</f>
        <v/>
      </c>
      <c r="H88" s="15" t="str">
        <f aca="false">IF($B88="","",IFERROR(INDEX(반품접수!$N$3:$N$1002,MATCH("R"&amp;83,미처리현황!$M$6:$M$1005,0)),""))</f>
        <v/>
      </c>
      <c r="I88" s="19" t="str">
        <f aca="false">IF($B88="","",IFERROR(INDEX(반품접수!$O$3:$O$1002,MATCH("R"&amp;83,미처리현황!$M$6:$M$1005,0)),""))</f>
        <v/>
      </c>
      <c r="K88" s="21" t="b">
        <f aca="false">IF(반품접수!$A85="",FALSE(),OR(반품접수!$O85="미처리",반품접수!$O85="부분처리"))</f>
        <v>0</v>
      </c>
      <c r="L88" s="6" t="str">
        <f aca="false">IF($K88=FALSE(),"",COUNTIF($K$6:$K88,TRUE()))</f>
        <v/>
      </c>
      <c r="M88" s="6" t="str">
        <f aca="false">IF($L88="","","R"&amp;$L88)</f>
        <v/>
      </c>
    </row>
    <row r="89" customFormat="false" ht="15" hidden="false" customHeight="true" outlineLevel="0" collapsed="false">
      <c r="A89" s="19" t="str">
        <f aca="false">IF($B89="","",84)</f>
        <v/>
      </c>
      <c r="B89" s="12" t="str">
        <f aca="false">IFERROR(INDEX(반품접수!$A$3:$A$1002,MATCH("R"&amp;84,미처리현황!$M$6:$M$1005,0)),"")</f>
        <v/>
      </c>
      <c r="C89" s="20" t="str">
        <f aca="false">IF($B89="","",IFERROR(INDEX(반품접수!$B$3:$B$1002,MATCH("R"&amp;84,미처리현황!$M$6:$M$1005,0)),""))</f>
        <v/>
      </c>
      <c r="D89" s="19" t="str">
        <f aca="true">IF($C89="","",TODAY()-$C89)</f>
        <v/>
      </c>
      <c r="E89" s="12" t="str">
        <f aca="false">IF($B89="","",IFERROR(INDEX(반품접수!$C$3:$C$1002,MATCH("R"&amp;84,미처리현황!$M$6:$M$1005,0)),""))</f>
        <v/>
      </c>
      <c r="F89" s="12" t="str">
        <f aca="false">IF($B89="","",IFERROR(INDEX(반품접수!$E$3:$E$1002,MATCH("R"&amp;84,미처리현황!$M$6:$M$1005,0)),""))</f>
        <v/>
      </c>
      <c r="G89" s="15" t="str">
        <f aca="false">IF($B89="","",IFERROR(INDEX(반품접수!$I$3:$I$1002,MATCH("R"&amp;84,미처리현황!$M$6:$M$1005,0)),""))</f>
        <v/>
      </c>
      <c r="H89" s="15" t="str">
        <f aca="false">IF($B89="","",IFERROR(INDEX(반품접수!$N$3:$N$1002,MATCH("R"&amp;84,미처리현황!$M$6:$M$1005,0)),""))</f>
        <v/>
      </c>
      <c r="I89" s="19" t="str">
        <f aca="false">IF($B89="","",IFERROR(INDEX(반품접수!$O$3:$O$1002,MATCH("R"&amp;84,미처리현황!$M$6:$M$1005,0)),""))</f>
        <v/>
      </c>
      <c r="K89" s="21" t="b">
        <f aca="false">IF(반품접수!$A86="",FALSE(),OR(반품접수!$O86="미처리",반품접수!$O86="부분처리"))</f>
        <v>0</v>
      </c>
      <c r="L89" s="6" t="str">
        <f aca="false">IF($K89=FALSE(),"",COUNTIF($K$6:$K89,TRUE()))</f>
        <v/>
      </c>
      <c r="M89" s="6" t="str">
        <f aca="false">IF($L89="","","R"&amp;$L89)</f>
        <v/>
      </c>
    </row>
    <row r="90" customFormat="false" ht="15" hidden="false" customHeight="true" outlineLevel="0" collapsed="false">
      <c r="A90" s="19" t="str">
        <f aca="false">IF($B90="","",85)</f>
        <v/>
      </c>
      <c r="B90" s="12" t="str">
        <f aca="false">IFERROR(INDEX(반품접수!$A$3:$A$1002,MATCH("R"&amp;85,미처리현황!$M$6:$M$1005,0)),"")</f>
        <v/>
      </c>
      <c r="C90" s="20" t="str">
        <f aca="false">IF($B90="","",IFERROR(INDEX(반품접수!$B$3:$B$1002,MATCH("R"&amp;85,미처리현황!$M$6:$M$1005,0)),""))</f>
        <v/>
      </c>
      <c r="D90" s="19" t="str">
        <f aca="true">IF($C90="","",TODAY()-$C90)</f>
        <v/>
      </c>
      <c r="E90" s="12" t="str">
        <f aca="false">IF($B90="","",IFERROR(INDEX(반품접수!$C$3:$C$1002,MATCH("R"&amp;85,미처리현황!$M$6:$M$1005,0)),""))</f>
        <v/>
      </c>
      <c r="F90" s="12" t="str">
        <f aca="false">IF($B90="","",IFERROR(INDEX(반품접수!$E$3:$E$1002,MATCH("R"&amp;85,미처리현황!$M$6:$M$1005,0)),""))</f>
        <v/>
      </c>
      <c r="G90" s="15" t="str">
        <f aca="false">IF($B90="","",IFERROR(INDEX(반품접수!$I$3:$I$1002,MATCH("R"&amp;85,미처리현황!$M$6:$M$1005,0)),""))</f>
        <v/>
      </c>
      <c r="H90" s="15" t="str">
        <f aca="false">IF($B90="","",IFERROR(INDEX(반품접수!$N$3:$N$1002,MATCH("R"&amp;85,미처리현황!$M$6:$M$1005,0)),""))</f>
        <v/>
      </c>
      <c r="I90" s="19" t="str">
        <f aca="false">IF($B90="","",IFERROR(INDEX(반품접수!$O$3:$O$1002,MATCH("R"&amp;85,미처리현황!$M$6:$M$1005,0)),""))</f>
        <v/>
      </c>
      <c r="K90" s="21" t="b">
        <f aca="false">IF(반품접수!$A87="",FALSE(),OR(반품접수!$O87="미처리",반품접수!$O87="부분처리"))</f>
        <v>0</v>
      </c>
      <c r="L90" s="6" t="str">
        <f aca="false">IF($K90=FALSE(),"",COUNTIF($K$6:$K90,TRUE()))</f>
        <v/>
      </c>
      <c r="M90" s="6" t="str">
        <f aca="false">IF($L90="","","R"&amp;$L90)</f>
        <v/>
      </c>
    </row>
    <row r="91" customFormat="false" ht="15" hidden="false" customHeight="true" outlineLevel="0" collapsed="false">
      <c r="A91" s="19" t="str">
        <f aca="false">IF($B91="","",86)</f>
        <v/>
      </c>
      <c r="B91" s="12" t="str">
        <f aca="false">IFERROR(INDEX(반품접수!$A$3:$A$1002,MATCH("R"&amp;86,미처리현황!$M$6:$M$1005,0)),"")</f>
        <v/>
      </c>
      <c r="C91" s="20" t="str">
        <f aca="false">IF($B91="","",IFERROR(INDEX(반품접수!$B$3:$B$1002,MATCH("R"&amp;86,미처리현황!$M$6:$M$1005,0)),""))</f>
        <v/>
      </c>
      <c r="D91" s="19" t="str">
        <f aca="true">IF($C91="","",TODAY()-$C91)</f>
        <v/>
      </c>
      <c r="E91" s="12" t="str">
        <f aca="false">IF($B91="","",IFERROR(INDEX(반품접수!$C$3:$C$1002,MATCH("R"&amp;86,미처리현황!$M$6:$M$1005,0)),""))</f>
        <v/>
      </c>
      <c r="F91" s="12" t="str">
        <f aca="false">IF($B91="","",IFERROR(INDEX(반품접수!$E$3:$E$1002,MATCH("R"&amp;86,미처리현황!$M$6:$M$1005,0)),""))</f>
        <v/>
      </c>
      <c r="G91" s="15" t="str">
        <f aca="false">IF($B91="","",IFERROR(INDEX(반품접수!$I$3:$I$1002,MATCH("R"&amp;86,미처리현황!$M$6:$M$1005,0)),""))</f>
        <v/>
      </c>
      <c r="H91" s="15" t="str">
        <f aca="false">IF($B91="","",IFERROR(INDEX(반품접수!$N$3:$N$1002,MATCH("R"&amp;86,미처리현황!$M$6:$M$1005,0)),""))</f>
        <v/>
      </c>
      <c r="I91" s="19" t="str">
        <f aca="false">IF($B91="","",IFERROR(INDEX(반품접수!$O$3:$O$1002,MATCH("R"&amp;86,미처리현황!$M$6:$M$1005,0)),""))</f>
        <v/>
      </c>
      <c r="K91" s="21" t="b">
        <f aca="false">IF(반품접수!$A88="",FALSE(),OR(반품접수!$O88="미처리",반품접수!$O88="부분처리"))</f>
        <v>0</v>
      </c>
      <c r="L91" s="6" t="str">
        <f aca="false">IF($K91=FALSE(),"",COUNTIF($K$6:$K91,TRUE()))</f>
        <v/>
      </c>
      <c r="M91" s="6" t="str">
        <f aca="false">IF($L91="","","R"&amp;$L91)</f>
        <v/>
      </c>
    </row>
    <row r="92" customFormat="false" ht="15" hidden="false" customHeight="true" outlineLevel="0" collapsed="false">
      <c r="A92" s="19" t="str">
        <f aca="false">IF($B92="","",87)</f>
        <v/>
      </c>
      <c r="B92" s="12" t="str">
        <f aca="false">IFERROR(INDEX(반품접수!$A$3:$A$1002,MATCH("R"&amp;87,미처리현황!$M$6:$M$1005,0)),"")</f>
        <v/>
      </c>
      <c r="C92" s="20" t="str">
        <f aca="false">IF($B92="","",IFERROR(INDEX(반품접수!$B$3:$B$1002,MATCH("R"&amp;87,미처리현황!$M$6:$M$1005,0)),""))</f>
        <v/>
      </c>
      <c r="D92" s="19" t="str">
        <f aca="true">IF($C92="","",TODAY()-$C92)</f>
        <v/>
      </c>
      <c r="E92" s="12" t="str">
        <f aca="false">IF($B92="","",IFERROR(INDEX(반품접수!$C$3:$C$1002,MATCH("R"&amp;87,미처리현황!$M$6:$M$1005,0)),""))</f>
        <v/>
      </c>
      <c r="F92" s="12" t="str">
        <f aca="false">IF($B92="","",IFERROR(INDEX(반품접수!$E$3:$E$1002,MATCH("R"&amp;87,미처리현황!$M$6:$M$1005,0)),""))</f>
        <v/>
      </c>
      <c r="G92" s="15" t="str">
        <f aca="false">IF($B92="","",IFERROR(INDEX(반품접수!$I$3:$I$1002,MATCH("R"&amp;87,미처리현황!$M$6:$M$1005,0)),""))</f>
        <v/>
      </c>
      <c r="H92" s="15" t="str">
        <f aca="false">IF($B92="","",IFERROR(INDEX(반품접수!$N$3:$N$1002,MATCH("R"&amp;87,미처리현황!$M$6:$M$1005,0)),""))</f>
        <v/>
      </c>
      <c r="I92" s="19" t="str">
        <f aca="false">IF($B92="","",IFERROR(INDEX(반품접수!$O$3:$O$1002,MATCH("R"&amp;87,미처리현황!$M$6:$M$1005,0)),""))</f>
        <v/>
      </c>
      <c r="K92" s="21" t="b">
        <f aca="false">IF(반품접수!$A89="",FALSE(),OR(반품접수!$O89="미처리",반품접수!$O89="부분처리"))</f>
        <v>0</v>
      </c>
      <c r="L92" s="6" t="str">
        <f aca="false">IF($K92=FALSE(),"",COUNTIF($K$6:$K92,TRUE()))</f>
        <v/>
      </c>
      <c r="M92" s="6" t="str">
        <f aca="false">IF($L92="","","R"&amp;$L92)</f>
        <v/>
      </c>
    </row>
    <row r="93" customFormat="false" ht="15" hidden="false" customHeight="true" outlineLevel="0" collapsed="false">
      <c r="A93" s="19" t="str">
        <f aca="false">IF($B93="","",88)</f>
        <v/>
      </c>
      <c r="B93" s="12" t="str">
        <f aca="false">IFERROR(INDEX(반품접수!$A$3:$A$1002,MATCH("R"&amp;88,미처리현황!$M$6:$M$1005,0)),"")</f>
        <v/>
      </c>
      <c r="C93" s="20" t="str">
        <f aca="false">IF($B93="","",IFERROR(INDEX(반품접수!$B$3:$B$1002,MATCH("R"&amp;88,미처리현황!$M$6:$M$1005,0)),""))</f>
        <v/>
      </c>
      <c r="D93" s="19" t="str">
        <f aca="true">IF($C93="","",TODAY()-$C93)</f>
        <v/>
      </c>
      <c r="E93" s="12" t="str">
        <f aca="false">IF($B93="","",IFERROR(INDEX(반품접수!$C$3:$C$1002,MATCH("R"&amp;88,미처리현황!$M$6:$M$1005,0)),""))</f>
        <v/>
      </c>
      <c r="F93" s="12" t="str">
        <f aca="false">IF($B93="","",IFERROR(INDEX(반품접수!$E$3:$E$1002,MATCH("R"&amp;88,미처리현황!$M$6:$M$1005,0)),""))</f>
        <v/>
      </c>
      <c r="G93" s="15" t="str">
        <f aca="false">IF($B93="","",IFERROR(INDEX(반품접수!$I$3:$I$1002,MATCH("R"&amp;88,미처리현황!$M$6:$M$1005,0)),""))</f>
        <v/>
      </c>
      <c r="H93" s="15" t="str">
        <f aca="false">IF($B93="","",IFERROR(INDEX(반품접수!$N$3:$N$1002,MATCH("R"&amp;88,미처리현황!$M$6:$M$1005,0)),""))</f>
        <v/>
      </c>
      <c r="I93" s="19" t="str">
        <f aca="false">IF($B93="","",IFERROR(INDEX(반품접수!$O$3:$O$1002,MATCH("R"&amp;88,미처리현황!$M$6:$M$1005,0)),""))</f>
        <v/>
      </c>
      <c r="K93" s="21" t="b">
        <f aca="false">IF(반품접수!$A90="",FALSE(),OR(반품접수!$O90="미처리",반품접수!$O90="부분처리"))</f>
        <v>0</v>
      </c>
      <c r="L93" s="6" t="str">
        <f aca="false">IF($K93=FALSE(),"",COUNTIF($K$6:$K93,TRUE()))</f>
        <v/>
      </c>
      <c r="M93" s="6" t="str">
        <f aca="false">IF($L93="","","R"&amp;$L93)</f>
        <v/>
      </c>
    </row>
    <row r="94" customFormat="false" ht="15" hidden="false" customHeight="true" outlineLevel="0" collapsed="false">
      <c r="A94" s="19" t="str">
        <f aca="false">IF($B94="","",89)</f>
        <v/>
      </c>
      <c r="B94" s="12" t="str">
        <f aca="false">IFERROR(INDEX(반품접수!$A$3:$A$1002,MATCH("R"&amp;89,미처리현황!$M$6:$M$1005,0)),"")</f>
        <v/>
      </c>
      <c r="C94" s="20" t="str">
        <f aca="false">IF($B94="","",IFERROR(INDEX(반품접수!$B$3:$B$1002,MATCH("R"&amp;89,미처리현황!$M$6:$M$1005,0)),""))</f>
        <v/>
      </c>
      <c r="D94" s="19" t="str">
        <f aca="true">IF($C94="","",TODAY()-$C94)</f>
        <v/>
      </c>
      <c r="E94" s="12" t="str">
        <f aca="false">IF($B94="","",IFERROR(INDEX(반품접수!$C$3:$C$1002,MATCH("R"&amp;89,미처리현황!$M$6:$M$1005,0)),""))</f>
        <v/>
      </c>
      <c r="F94" s="12" t="str">
        <f aca="false">IF($B94="","",IFERROR(INDEX(반품접수!$E$3:$E$1002,MATCH("R"&amp;89,미처리현황!$M$6:$M$1005,0)),""))</f>
        <v/>
      </c>
      <c r="G94" s="15" t="str">
        <f aca="false">IF($B94="","",IFERROR(INDEX(반품접수!$I$3:$I$1002,MATCH("R"&amp;89,미처리현황!$M$6:$M$1005,0)),""))</f>
        <v/>
      </c>
      <c r="H94" s="15" t="str">
        <f aca="false">IF($B94="","",IFERROR(INDEX(반품접수!$N$3:$N$1002,MATCH("R"&amp;89,미처리현황!$M$6:$M$1005,0)),""))</f>
        <v/>
      </c>
      <c r="I94" s="19" t="str">
        <f aca="false">IF($B94="","",IFERROR(INDEX(반품접수!$O$3:$O$1002,MATCH("R"&amp;89,미처리현황!$M$6:$M$1005,0)),""))</f>
        <v/>
      </c>
      <c r="K94" s="21" t="b">
        <f aca="false">IF(반품접수!$A91="",FALSE(),OR(반품접수!$O91="미처리",반품접수!$O91="부분처리"))</f>
        <v>0</v>
      </c>
      <c r="L94" s="6" t="str">
        <f aca="false">IF($K94=FALSE(),"",COUNTIF($K$6:$K94,TRUE()))</f>
        <v/>
      </c>
      <c r="M94" s="6" t="str">
        <f aca="false">IF($L94="","","R"&amp;$L94)</f>
        <v/>
      </c>
    </row>
    <row r="95" customFormat="false" ht="15" hidden="false" customHeight="true" outlineLevel="0" collapsed="false">
      <c r="A95" s="19" t="str">
        <f aca="false">IF($B95="","",90)</f>
        <v/>
      </c>
      <c r="B95" s="12" t="str">
        <f aca="false">IFERROR(INDEX(반품접수!$A$3:$A$1002,MATCH("R"&amp;90,미처리현황!$M$6:$M$1005,0)),"")</f>
        <v/>
      </c>
      <c r="C95" s="20" t="str">
        <f aca="false">IF($B95="","",IFERROR(INDEX(반품접수!$B$3:$B$1002,MATCH("R"&amp;90,미처리현황!$M$6:$M$1005,0)),""))</f>
        <v/>
      </c>
      <c r="D95" s="19" t="str">
        <f aca="true">IF($C95="","",TODAY()-$C95)</f>
        <v/>
      </c>
      <c r="E95" s="12" t="str">
        <f aca="false">IF($B95="","",IFERROR(INDEX(반품접수!$C$3:$C$1002,MATCH("R"&amp;90,미처리현황!$M$6:$M$1005,0)),""))</f>
        <v/>
      </c>
      <c r="F95" s="12" t="str">
        <f aca="false">IF($B95="","",IFERROR(INDEX(반품접수!$E$3:$E$1002,MATCH("R"&amp;90,미처리현황!$M$6:$M$1005,0)),""))</f>
        <v/>
      </c>
      <c r="G95" s="15" t="str">
        <f aca="false">IF($B95="","",IFERROR(INDEX(반품접수!$I$3:$I$1002,MATCH("R"&amp;90,미처리현황!$M$6:$M$1005,0)),""))</f>
        <v/>
      </c>
      <c r="H95" s="15" t="str">
        <f aca="false">IF($B95="","",IFERROR(INDEX(반품접수!$N$3:$N$1002,MATCH("R"&amp;90,미처리현황!$M$6:$M$1005,0)),""))</f>
        <v/>
      </c>
      <c r="I95" s="19" t="str">
        <f aca="false">IF($B95="","",IFERROR(INDEX(반품접수!$O$3:$O$1002,MATCH("R"&amp;90,미처리현황!$M$6:$M$1005,0)),""))</f>
        <v/>
      </c>
      <c r="K95" s="21" t="b">
        <f aca="false">IF(반품접수!$A92="",FALSE(),OR(반품접수!$O92="미처리",반품접수!$O92="부분처리"))</f>
        <v>0</v>
      </c>
      <c r="L95" s="6" t="str">
        <f aca="false">IF($K95=FALSE(),"",COUNTIF($K$6:$K95,TRUE()))</f>
        <v/>
      </c>
      <c r="M95" s="6" t="str">
        <f aca="false">IF($L95="","","R"&amp;$L95)</f>
        <v/>
      </c>
    </row>
    <row r="96" customFormat="false" ht="15" hidden="false" customHeight="true" outlineLevel="0" collapsed="false">
      <c r="A96" s="19" t="str">
        <f aca="false">IF($B96="","",91)</f>
        <v/>
      </c>
      <c r="B96" s="12" t="str">
        <f aca="false">IFERROR(INDEX(반품접수!$A$3:$A$1002,MATCH("R"&amp;91,미처리현황!$M$6:$M$1005,0)),"")</f>
        <v/>
      </c>
      <c r="C96" s="20" t="str">
        <f aca="false">IF($B96="","",IFERROR(INDEX(반품접수!$B$3:$B$1002,MATCH("R"&amp;91,미처리현황!$M$6:$M$1005,0)),""))</f>
        <v/>
      </c>
      <c r="D96" s="19" t="str">
        <f aca="true">IF($C96="","",TODAY()-$C96)</f>
        <v/>
      </c>
      <c r="E96" s="12" t="str">
        <f aca="false">IF($B96="","",IFERROR(INDEX(반품접수!$C$3:$C$1002,MATCH("R"&amp;91,미처리현황!$M$6:$M$1005,0)),""))</f>
        <v/>
      </c>
      <c r="F96" s="12" t="str">
        <f aca="false">IF($B96="","",IFERROR(INDEX(반품접수!$E$3:$E$1002,MATCH("R"&amp;91,미처리현황!$M$6:$M$1005,0)),""))</f>
        <v/>
      </c>
      <c r="G96" s="15" t="str">
        <f aca="false">IF($B96="","",IFERROR(INDEX(반품접수!$I$3:$I$1002,MATCH("R"&amp;91,미처리현황!$M$6:$M$1005,0)),""))</f>
        <v/>
      </c>
      <c r="H96" s="15" t="str">
        <f aca="false">IF($B96="","",IFERROR(INDEX(반품접수!$N$3:$N$1002,MATCH("R"&amp;91,미처리현황!$M$6:$M$1005,0)),""))</f>
        <v/>
      </c>
      <c r="I96" s="19" t="str">
        <f aca="false">IF($B96="","",IFERROR(INDEX(반품접수!$O$3:$O$1002,MATCH("R"&amp;91,미처리현황!$M$6:$M$1005,0)),""))</f>
        <v/>
      </c>
      <c r="K96" s="21" t="b">
        <f aca="false">IF(반품접수!$A93="",FALSE(),OR(반품접수!$O93="미처리",반품접수!$O93="부분처리"))</f>
        <v>0</v>
      </c>
      <c r="L96" s="6" t="str">
        <f aca="false">IF($K96=FALSE(),"",COUNTIF($K$6:$K96,TRUE()))</f>
        <v/>
      </c>
      <c r="M96" s="6" t="str">
        <f aca="false">IF($L96="","","R"&amp;$L96)</f>
        <v/>
      </c>
    </row>
    <row r="97" customFormat="false" ht="15" hidden="false" customHeight="true" outlineLevel="0" collapsed="false">
      <c r="A97" s="19" t="str">
        <f aca="false">IF($B97="","",92)</f>
        <v/>
      </c>
      <c r="B97" s="12" t="str">
        <f aca="false">IFERROR(INDEX(반품접수!$A$3:$A$1002,MATCH("R"&amp;92,미처리현황!$M$6:$M$1005,0)),"")</f>
        <v/>
      </c>
      <c r="C97" s="20" t="str">
        <f aca="false">IF($B97="","",IFERROR(INDEX(반품접수!$B$3:$B$1002,MATCH("R"&amp;92,미처리현황!$M$6:$M$1005,0)),""))</f>
        <v/>
      </c>
      <c r="D97" s="19" t="str">
        <f aca="true">IF($C97="","",TODAY()-$C97)</f>
        <v/>
      </c>
      <c r="E97" s="12" t="str">
        <f aca="false">IF($B97="","",IFERROR(INDEX(반품접수!$C$3:$C$1002,MATCH("R"&amp;92,미처리현황!$M$6:$M$1005,0)),""))</f>
        <v/>
      </c>
      <c r="F97" s="12" t="str">
        <f aca="false">IF($B97="","",IFERROR(INDEX(반품접수!$E$3:$E$1002,MATCH("R"&amp;92,미처리현황!$M$6:$M$1005,0)),""))</f>
        <v/>
      </c>
      <c r="G97" s="15" t="str">
        <f aca="false">IF($B97="","",IFERROR(INDEX(반품접수!$I$3:$I$1002,MATCH("R"&amp;92,미처리현황!$M$6:$M$1005,0)),""))</f>
        <v/>
      </c>
      <c r="H97" s="15" t="str">
        <f aca="false">IF($B97="","",IFERROR(INDEX(반품접수!$N$3:$N$1002,MATCH("R"&amp;92,미처리현황!$M$6:$M$1005,0)),""))</f>
        <v/>
      </c>
      <c r="I97" s="19" t="str">
        <f aca="false">IF($B97="","",IFERROR(INDEX(반품접수!$O$3:$O$1002,MATCH("R"&amp;92,미처리현황!$M$6:$M$1005,0)),""))</f>
        <v/>
      </c>
      <c r="K97" s="21" t="b">
        <f aca="false">IF(반품접수!$A94="",FALSE(),OR(반품접수!$O94="미처리",반품접수!$O94="부분처리"))</f>
        <v>0</v>
      </c>
      <c r="L97" s="6" t="str">
        <f aca="false">IF($K97=FALSE(),"",COUNTIF($K$6:$K97,TRUE()))</f>
        <v/>
      </c>
      <c r="M97" s="6" t="str">
        <f aca="false">IF($L97="","","R"&amp;$L97)</f>
        <v/>
      </c>
    </row>
    <row r="98" customFormat="false" ht="15" hidden="false" customHeight="true" outlineLevel="0" collapsed="false">
      <c r="A98" s="19" t="str">
        <f aca="false">IF($B98="","",93)</f>
        <v/>
      </c>
      <c r="B98" s="12" t="str">
        <f aca="false">IFERROR(INDEX(반품접수!$A$3:$A$1002,MATCH("R"&amp;93,미처리현황!$M$6:$M$1005,0)),"")</f>
        <v/>
      </c>
      <c r="C98" s="20" t="str">
        <f aca="false">IF($B98="","",IFERROR(INDEX(반품접수!$B$3:$B$1002,MATCH("R"&amp;93,미처리현황!$M$6:$M$1005,0)),""))</f>
        <v/>
      </c>
      <c r="D98" s="19" t="str">
        <f aca="true">IF($C98="","",TODAY()-$C98)</f>
        <v/>
      </c>
      <c r="E98" s="12" t="str">
        <f aca="false">IF($B98="","",IFERROR(INDEX(반품접수!$C$3:$C$1002,MATCH("R"&amp;93,미처리현황!$M$6:$M$1005,0)),""))</f>
        <v/>
      </c>
      <c r="F98" s="12" t="str">
        <f aca="false">IF($B98="","",IFERROR(INDEX(반품접수!$E$3:$E$1002,MATCH("R"&amp;93,미처리현황!$M$6:$M$1005,0)),""))</f>
        <v/>
      </c>
      <c r="G98" s="15" t="str">
        <f aca="false">IF($B98="","",IFERROR(INDEX(반품접수!$I$3:$I$1002,MATCH("R"&amp;93,미처리현황!$M$6:$M$1005,0)),""))</f>
        <v/>
      </c>
      <c r="H98" s="15" t="str">
        <f aca="false">IF($B98="","",IFERROR(INDEX(반품접수!$N$3:$N$1002,MATCH("R"&amp;93,미처리현황!$M$6:$M$1005,0)),""))</f>
        <v/>
      </c>
      <c r="I98" s="19" t="str">
        <f aca="false">IF($B98="","",IFERROR(INDEX(반품접수!$O$3:$O$1002,MATCH("R"&amp;93,미처리현황!$M$6:$M$1005,0)),""))</f>
        <v/>
      </c>
      <c r="K98" s="21" t="b">
        <f aca="false">IF(반품접수!$A95="",FALSE(),OR(반품접수!$O95="미처리",반품접수!$O95="부분처리"))</f>
        <v>0</v>
      </c>
      <c r="L98" s="6" t="str">
        <f aca="false">IF($K98=FALSE(),"",COUNTIF($K$6:$K98,TRUE()))</f>
        <v/>
      </c>
      <c r="M98" s="6" t="str">
        <f aca="false">IF($L98="","","R"&amp;$L98)</f>
        <v/>
      </c>
    </row>
    <row r="99" customFormat="false" ht="15" hidden="false" customHeight="true" outlineLevel="0" collapsed="false">
      <c r="A99" s="19" t="str">
        <f aca="false">IF($B99="","",94)</f>
        <v/>
      </c>
      <c r="B99" s="12" t="str">
        <f aca="false">IFERROR(INDEX(반품접수!$A$3:$A$1002,MATCH("R"&amp;94,미처리현황!$M$6:$M$1005,0)),"")</f>
        <v/>
      </c>
      <c r="C99" s="20" t="str">
        <f aca="false">IF($B99="","",IFERROR(INDEX(반품접수!$B$3:$B$1002,MATCH("R"&amp;94,미처리현황!$M$6:$M$1005,0)),""))</f>
        <v/>
      </c>
      <c r="D99" s="19" t="str">
        <f aca="true">IF($C99="","",TODAY()-$C99)</f>
        <v/>
      </c>
      <c r="E99" s="12" t="str">
        <f aca="false">IF($B99="","",IFERROR(INDEX(반품접수!$C$3:$C$1002,MATCH("R"&amp;94,미처리현황!$M$6:$M$1005,0)),""))</f>
        <v/>
      </c>
      <c r="F99" s="12" t="str">
        <f aca="false">IF($B99="","",IFERROR(INDEX(반품접수!$E$3:$E$1002,MATCH("R"&amp;94,미처리현황!$M$6:$M$1005,0)),""))</f>
        <v/>
      </c>
      <c r="G99" s="15" t="str">
        <f aca="false">IF($B99="","",IFERROR(INDEX(반품접수!$I$3:$I$1002,MATCH("R"&amp;94,미처리현황!$M$6:$M$1005,0)),""))</f>
        <v/>
      </c>
      <c r="H99" s="15" t="str">
        <f aca="false">IF($B99="","",IFERROR(INDEX(반품접수!$N$3:$N$1002,MATCH("R"&amp;94,미처리현황!$M$6:$M$1005,0)),""))</f>
        <v/>
      </c>
      <c r="I99" s="19" t="str">
        <f aca="false">IF($B99="","",IFERROR(INDEX(반품접수!$O$3:$O$1002,MATCH("R"&amp;94,미처리현황!$M$6:$M$1005,0)),""))</f>
        <v/>
      </c>
      <c r="K99" s="21" t="b">
        <f aca="false">IF(반품접수!$A96="",FALSE(),OR(반품접수!$O96="미처리",반품접수!$O96="부분처리"))</f>
        <v>0</v>
      </c>
      <c r="L99" s="6" t="str">
        <f aca="false">IF($K99=FALSE(),"",COUNTIF($K$6:$K99,TRUE()))</f>
        <v/>
      </c>
      <c r="M99" s="6" t="str">
        <f aca="false">IF($L99="","","R"&amp;$L99)</f>
        <v/>
      </c>
    </row>
    <row r="100" customFormat="false" ht="15" hidden="false" customHeight="true" outlineLevel="0" collapsed="false">
      <c r="A100" s="19" t="str">
        <f aca="false">IF($B100="","",95)</f>
        <v/>
      </c>
      <c r="B100" s="12" t="str">
        <f aca="false">IFERROR(INDEX(반품접수!$A$3:$A$1002,MATCH("R"&amp;95,미처리현황!$M$6:$M$1005,0)),"")</f>
        <v/>
      </c>
      <c r="C100" s="20" t="str">
        <f aca="false">IF($B100="","",IFERROR(INDEX(반품접수!$B$3:$B$1002,MATCH("R"&amp;95,미처리현황!$M$6:$M$1005,0)),""))</f>
        <v/>
      </c>
      <c r="D100" s="19" t="str">
        <f aca="true">IF($C100="","",TODAY()-$C100)</f>
        <v/>
      </c>
      <c r="E100" s="12" t="str">
        <f aca="false">IF($B100="","",IFERROR(INDEX(반품접수!$C$3:$C$1002,MATCH("R"&amp;95,미처리현황!$M$6:$M$1005,0)),""))</f>
        <v/>
      </c>
      <c r="F100" s="12" t="str">
        <f aca="false">IF($B100="","",IFERROR(INDEX(반품접수!$E$3:$E$1002,MATCH("R"&amp;95,미처리현황!$M$6:$M$1005,0)),""))</f>
        <v/>
      </c>
      <c r="G100" s="15" t="str">
        <f aca="false">IF($B100="","",IFERROR(INDEX(반품접수!$I$3:$I$1002,MATCH("R"&amp;95,미처리현황!$M$6:$M$1005,0)),""))</f>
        <v/>
      </c>
      <c r="H100" s="15" t="str">
        <f aca="false">IF($B100="","",IFERROR(INDEX(반품접수!$N$3:$N$1002,MATCH("R"&amp;95,미처리현황!$M$6:$M$1005,0)),""))</f>
        <v/>
      </c>
      <c r="I100" s="19" t="str">
        <f aca="false">IF($B100="","",IFERROR(INDEX(반품접수!$O$3:$O$1002,MATCH("R"&amp;95,미처리현황!$M$6:$M$1005,0)),""))</f>
        <v/>
      </c>
      <c r="K100" s="21" t="b">
        <f aca="false">IF(반품접수!$A97="",FALSE(),OR(반품접수!$O97="미처리",반품접수!$O97="부분처리"))</f>
        <v>0</v>
      </c>
      <c r="L100" s="6" t="str">
        <f aca="false">IF($K100=FALSE(),"",COUNTIF($K$6:$K100,TRUE()))</f>
        <v/>
      </c>
      <c r="M100" s="6" t="str">
        <f aca="false">IF($L100="","","R"&amp;$L100)</f>
        <v/>
      </c>
    </row>
    <row r="101" customFormat="false" ht="15" hidden="false" customHeight="true" outlineLevel="0" collapsed="false">
      <c r="A101" s="19" t="str">
        <f aca="false">IF($B101="","",96)</f>
        <v/>
      </c>
      <c r="B101" s="12" t="str">
        <f aca="false">IFERROR(INDEX(반품접수!$A$3:$A$1002,MATCH("R"&amp;96,미처리현황!$M$6:$M$1005,0)),"")</f>
        <v/>
      </c>
      <c r="C101" s="20" t="str">
        <f aca="false">IF($B101="","",IFERROR(INDEX(반품접수!$B$3:$B$1002,MATCH("R"&amp;96,미처리현황!$M$6:$M$1005,0)),""))</f>
        <v/>
      </c>
      <c r="D101" s="19" t="str">
        <f aca="true">IF($C101="","",TODAY()-$C101)</f>
        <v/>
      </c>
      <c r="E101" s="12" t="str">
        <f aca="false">IF($B101="","",IFERROR(INDEX(반품접수!$C$3:$C$1002,MATCH("R"&amp;96,미처리현황!$M$6:$M$1005,0)),""))</f>
        <v/>
      </c>
      <c r="F101" s="12" t="str">
        <f aca="false">IF($B101="","",IFERROR(INDEX(반품접수!$E$3:$E$1002,MATCH("R"&amp;96,미처리현황!$M$6:$M$1005,0)),""))</f>
        <v/>
      </c>
      <c r="G101" s="15" t="str">
        <f aca="false">IF($B101="","",IFERROR(INDEX(반품접수!$I$3:$I$1002,MATCH("R"&amp;96,미처리현황!$M$6:$M$1005,0)),""))</f>
        <v/>
      </c>
      <c r="H101" s="15" t="str">
        <f aca="false">IF($B101="","",IFERROR(INDEX(반품접수!$N$3:$N$1002,MATCH("R"&amp;96,미처리현황!$M$6:$M$1005,0)),""))</f>
        <v/>
      </c>
      <c r="I101" s="19" t="str">
        <f aca="false">IF($B101="","",IFERROR(INDEX(반품접수!$O$3:$O$1002,MATCH("R"&amp;96,미처리현황!$M$6:$M$1005,0)),""))</f>
        <v/>
      </c>
      <c r="K101" s="21" t="b">
        <f aca="false">IF(반품접수!$A98="",FALSE(),OR(반품접수!$O98="미처리",반품접수!$O98="부분처리"))</f>
        <v>0</v>
      </c>
      <c r="L101" s="6" t="str">
        <f aca="false">IF($K101=FALSE(),"",COUNTIF($K$6:$K101,TRUE()))</f>
        <v/>
      </c>
      <c r="M101" s="6" t="str">
        <f aca="false">IF($L101="","","R"&amp;$L101)</f>
        <v/>
      </c>
    </row>
    <row r="102" customFormat="false" ht="15" hidden="false" customHeight="true" outlineLevel="0" collapsed="false">
      <c r="A102" s="19" t="str">
        <f aca="false">IF($B102="","",97)</f>
        <v/>
      </c>
      <c r="B102" s="12" t="str">
        <f aca="false">IFERROR(INDEX(반품접수!$A$3:$A$1002,MATCH("R"&amp;97,미처리현황!$M$6:$M$1005,0)),"")</f>
        <v/>
      </c>
      <c r="C102" s="20" t="str">
        <f aca="false">IF($B102="","",IFERROR(INDEX(반품접수!$B$3:$B$1002,MATCH("R"&amp;97,미처리현황!$M$6:$M$1005,0)),""))</f>
        <v/>
      </c>
      <c r="D102" s="19" t="str">
        <f aca="true">IF($C102="","",TODAY()-$C102)</f>
        <v/>
      </c>
      <c r="E102" s="12" t="str">
        <f aca="false">IF($B102="","",IFERROR(INDEX(반품접수!$C$3:$C$1002,MATCH("R"&amp;97,미처리현황!$M$6:$M$1005,0)),""))</f>
        <v/>
      </c>
      <c r="F102" s="12" t="str">
        <f aca="false">IF($B102="","",IFERROR(INDEX(반품접수!$E$3:$E$1002,MATCH("R"&amp;97,미처리현황!$M$6:$M$1005,0)),""))</f>
        <v/>
      </c>
      <c r="G102" s="15" t="str">
        <f aca="false">IF($B102="","",IFERROR(INDEX(반품접수!$I$3:$I$1002,MATCH("R"&amp;97,미처리현황!$M$6:$M$1005,0)),""))</f>
        <v/>
      </c>
      <c r="H102" s="15" t="str">
        <f aca="false">IF($B102="","",IFERROR(INDEX(반품접수!$N$3:$N$1002,MATCH("R"&amp;97,미처리현황!$M$6:$M$1005,0)),""))</f>
        <v/>
      </c>
      <c r="I102" s="19" t="str">
        <f aca="false">IF($B102="","",IFERROR(INDEX(반품접수!$O$3:$O$1002,MATCH("R"&amp;97,미처리현황!$M$6:$M$1005,0)),""))</f>
        <v/>
      </c>
      <c r="K102" s="21" t="b">
        <f aca="false">IF(반품접수!$A99="",FALSE(),OR(반품접수!$O99="미처리",반품접수!$O99="부분처리"))</f>
        <v>0</v>
      </c>
      <c r="L102" s="6" t="str">
        <f aca="false">IF($K102=FALSE(),"",COUNTIF($K$6:$K102,TRUE()))</f>
        <v/>
      </c>
      <c r="M102" s="6" t="str">
        <f aca="false">IF($L102="","","R"&amp;$L102)</f>
        <v/>
      </c>
    </row>
    <row r="103" customFormat="false" ht="15" hidden="false" customHeight="true" outlineLevel="0" collapsed="false">
      <c r="A103" s="19" t="str">
        <f aca="false">IF($B103="","",98)</f>
        <v/>
      </c>
      <c r="B103" s="12" t="str">
        <f aca="false">IFERROR(INDEX(반품접수!$A$3:$A$1002,MATCH("R"&amp;98,미처리현황!$M$6:$M$1005,0)),"")</f>
        <v/>
      </c>
      <c r="C103" s="20" t="str">
        <f aca="false">IF($B103="","",IFERROR(INDEX(반품접수!$B$3:$B$1002,MATCH("R"&amp;98,미처리현황!$M$6:$M$1005,0)),""))</f>
        <v/>
      </c>
      <c r="D103" s="19" t="str">
        <f aca="true">IF($C103="","",TODAY()-$C103)</f>
        <v/>
      </c>
      <c r="E103" s="12" t="str">
        <f aca="false">IF($B103="","",IFERROR(INDEX(반품접수!$C$3:$C$1002,MATCH("R"&amp;98,미처리현황!$M$6:$M$1005,0)),""))</f>
        <v/>
      </c>
      <c r="F103" s="12" t="str">
        <f aca="false">IF($B103="","",IFERROR(INDEX(반품접수!$E$3:$E$1002,MATCH("R"&amp;98,미처리현황!$M$6:$M$1005,0)),""))</f>
        <v/>
      </c>
      <c r="G103" s="15" t="str">
        <f aca="false">IF($B103="","",IFERROR(INDEX(반품접수!$I$3:$I$1002,MATCH("R"&amp;98,미처리현황!$M$6:$M$1005,0)),""))</f>
        <v/>
      </c>
      <c r="H103" s="15" t="str">
        <f aca="false">IF($B103="","",IFERROR(INDEX(반품접수!$N$3:$N$1002,MATCH("R"&amp;98,미처리현황!$M$6:$M$1005,0)),""))</f>
        <v/>
      </c>
      <c r="I103" s="19" t="str">
        <f aca="false">IF($B103="","",IFERROR(INDEX(반품접수!$O$3:$O$1002,MATCH("R"&amp;98,미처리현황!$M$6:$M$1005,0)),""))</f>
        <v/>
      </c>
      <c r="K103" s="21" t="b">
        <f aca="false">IF(반품접수!$A100="",FALSE(),OR(반품접수!$O100="미처리",반품접수!$O100="부분처리"))</f>
        <v>0</v>
      </c>
      <c r="L103" s="6" t="str">
        <f aca="false">IF($K103=FALSE(),"",COUNTIF($K$6:$K103,TRUE()))</f>
        <v/>
      </c>
      <c r="M103" s="6" t="str">
        <f aca="false">IF($L103="","","R"&amp;$L103)</f>
        <v/>
      </c>
    </row>
    <row r="104" customFormat="false" ht="15" hidden="false" customHeight="true" outlineLevel="0" collapsed="false">
      <c r="A104" s="19" t="str">
        <f aca="false">IF($B104="","",99)</f>
        <v/>
      </c>
      <c r="B104" s="12" t="str">
        <f aca="false">IFERROR(INDEX(반품접수!$A$3:$A$1002,MATCH("R"&amp;99,미처리현황!$M$6:$M$1005,0)),"")</f>
        <v/>
      </c>
      <c r="C104" s="20" t="str">
        <f aca="false">IF($B104="","",IFERROR(INDEX(반품접수!$B$3:$B$1002,MATCH("R"&amp;99,미처리현황!$M$6:$M$1005,0)),""))</f>
        <v/>
      </c>
      <c r="D104" s="19" t="str">
        <f aca="true">IF($C104="","",TODAY()-$C104)</f>
        <v/>
      </c>
      <c r="E104" s="12" t="str">
        <f aca="false">IF($B104="","",IFERROR(INDEX(반품접수!$C$3:$C$1002,MATCH("R"&amp;99,미처리현황!$M$6:$M$1005,0)),""))</f>
        <v/>
      </c>
      <c r="F104" s="12" t="str">
        <f aca="false">IF($B104="","",IFERROR(INDEX(반품접수!$E$3:$E$1002,MATCH("R"&amp;99,미처리현황!$M$6:$M$1005,0)),""))</f>
        <v/>
      </c>
      <c r="G104" s="15" t="str">
        <f aca="false">IF($B104="","",IFERROR(INDEX(반품접수!$I$3:$I$1002,MATCH("R"&amp;99,미처리현황!$M$6:$M$1005,0)),""))</f>
        <v/>
      </c>
      <c r="H104" s="15" t="str">
        <f aca="false">IF($B104="","",IFERROR(INDEX(반품접수!$N$3:$N$1002,MATCH("R"&amp;99,미처리현황!$M$6:$M$1005,0)),""))</f>
        <v/>
      </c>
      <c r="I104" s="19" t="str">
        <f aca="false">IF($B104="","",IFERROR(INDEX(반품접수!$O$3:$O$1002,MATCH("R"&amp;99,미처리현황!$M$6:$M$1005,0)),""))</f>
        <v/>
      </c>
      <c r="K104" s="21" t="b">
        <f aca="false">IF(반품접수!$A101="",FALSE(),OR(반품접수!$O101="미처리",반품접수!$O101="부분처리"))</f>
        <v>0</v>
      </c>
      <c r="L104" s="6" t="str">
        <f aca="false">IF($K104=FALSE(),"",COUNTIF($K$6:$K104,TRUE()))</f>
        <v/>
      </c>
      <c r="M104" s="6" t="str">
        <f aca="false">IF($L104="","","R"&amp;$L104)</f>
        <v/>
      </c>
    </row>
    <row r="105" customFormat="false" ht="15" hidden="false" customHeight="true" outlineLevel="0" collapsed="false">
      <c r="A105" s="19" t="str">
        <f aca="false">IF($B105="","",100)</f>
        <v/>
      </c>
      <c r="B105" s="12" t="str">
        <f aca="false">IFERROR(INDEX(반품접수!$A$3:$A$1002,MATCH("R"&amp;100,미처리현황!$M$6:$M$1005,0)),"")</f>
        <v/>
      </c>
      <c r="C105" s="20" t="str">
        <f aca="false">IF($B105="","",IFERROR(INDEX(반품접수!$B$3:$B$1002,MATCH("R"&amp;100,미처리현황!$M$6:$M$1005,0)),""))</f>
        <v/>
      </c>
      <c r="D105" s="19" t="str">
        <f aca="true">IF($C105="","",TODAY()-$C105)</f>
        <v/>
      </c>
      <c r="E105" s="12" t="str">
        <f aca="false">IF($B105="","",IFERROR(INDEX(반품접수!$C$3:$C$1002,MATCH("R"&amp;100,미처리현황!$M$6:$M$1005,0)),""))</f>
        <v/>
      </c>
      <c r="F105" s="12" t="str">
        <f aca="false">IF($B105="","",IFERROR(INDEX(반품접수!$E$3:$E$1002,MATCH("R"&amp;100,미처리현황!$M$6:$M$1005,0)),""))</f>
        <v/>
      </c>
      <c r="G105" s="15" t="str">
        <f aca="false">IF($B105="","",IFERROR(INDEX(반품접수!$I$3:$I$1002,MATCH("R"&amp;100,미처리현황!$M$6:$M$1005,0)),""))</f>
        <v/>
      </c>
      <c r="H105" s="15" t="str">
        <f aca="false">IF($B105="","",IFERROR(INDEX(반품접수!$N$3:$N$1002,MATCH("R"&amp;100,미처리현황!$M$6:$M$1005,0)),""))</f>
        <v/>
      </c>
      <c r="I105" s="19" t="str">
        <f aca="false">IF($B105="","",IFERROR(INDEX(반품접수!$O$3:$O$1002,MATCH("R"&amp;100,미처리현황!$M$6:$M$1005,0)),""))</f>
        <v/>
      </c>
      <c r="K105" s="21" t="b">
        <f aca="false">IF(반품접수!$A102="",FALSE(),OR(반품접수!$O102="미처리",반품접수!$O102="부분처리"))</f>
        <v>0</v>
      </c>
      <c r="L105" s="6" t="str">
        <f aca="false">IF($K105=FALSE(),"",COUNTIF($K$6:$K105,TRUE()))</f>
        <v/>
      </c>
      <c r="M105" s="6" t="str">
        <f aca="false">IF($L105="","","R"&amp;$L105)</f>
        <v/>
      </c>
    </row>
    <row r="106" customFormat="false" ht="15" hidden="false" customHeight="true" outlineLevel="0" collapsed="false">
      <c r="A106" s="19" t="str">
        <f aca="false">IF($B106="","",101)</f>
        <v/>
      </c>
      <c r="B106" s="12" t="str">
        <f aca="false">IFERROR(INDEX(반품접수!$A$3:$A$1002,MATCH("R"&amp;101,미처리현황!$M$6:$M$1005,0)),"")</f>
        <v/>
      </c>
      <c r="C106" s="20" t="str">
        <f aca="false">IF($B106="","",IFERROR(INDEX(반품접수!$B$3:$B$1002,MATCH("R"&amp;101,미처리현황!$M$6:$M$1005,0)),""))</f>
        <v/>
      </c>
      <c r="D106" s="19" t="str">
        <f aca="true">IF($C106="","",TODAY()-$C106)</f>
        <v/>
      </c>
      <c r="E106" s="12" t="str">
        <f aca="false">IF($B106="","",IFERROR(INDEX(반품접수!$C$3:$C$1002,MATCH("R"&amp;101,미처리현황!$M$6:$M$1005,0)),""))</f>
        <v/>
      </c>
      <c r="F106" s="12" t="str">
        <f aca="false">IF($B106="","",IFERROR(INDEX(반품접수!$E$3:$E$1002,MATCH("R"&amp;101,미처리현황!$M$6:$M$1005,0)),""))</f>
        <v/>
      </c>
      <c r="G106" s="15" t="str">
        <f aca="false">IF($B106="","",IFERROR(INDEX(반품접수!$I$3:$I$1002,MATCH("R"&amp;101,미처리현황!$M$6:$M$1005,0)),""))</f>
        <v/>
      </c>
      <c r="H106" s="15" t="str">
        <f aca="false">IF($B106="","",IFERROR(INDEX(반품접수!$N$3:$N$1002,MATCH("R"&amp;101,미처리현황!$M$6:$M$1005,0)),""))</f>
        <v/>
      </c>
      <c r="I106" s="19" t="str">
        <f aca="false">IF($B106="","",IFERROR(INDEX(반품접수!$O$3:$O$1002,MATCH("R"&amp;101,미처리현황!$M$6:$M$1005,0)),""))</f>
        <v/>
      </c>
      <c r="K106" s="21" t="b">
        <f aca="false">IF(반품접수!$A103="",FALSE(),OR(반품접수!$O103="미처리",반품접수!$O103="부분처리"))</f>
        <v>0</v>
      </c>
      <c r="L106" s="6" t="str">
        <f aca="false">IF($K106=FALSE(),"",COUNTIF($K$6:$K106,TRUE()))</f>
        <v/>
      </c>
      <c r="M106" s="6" t="str">
        <f aca="false">IF($L106="","","R"&amp;$L106)</f>
        <v/>
      </c>
    </row>
    <row r="107" customFormat="false" ht="15" hidden="false" customHeight="true" outlineLevel="0" collapsed="false">
      <c r="A107" s="19" t="str">
        <f aca="false">IF($B107="","",102)</f>
        <v/>
      </c>
      <c r="B107" s="12" t="str">
        <f aca="false">IFERROR(INDEX(반품접수!$A$3:$A$1002,MATCH("R"&amp;102,미처리현황!$M$6:$M$1005,0)),"")</f>
        <v/>
      </c>
      <c r="C107" s="20" t="str">
        <f aca="false">IF($B107="","",IFERROR(INDEX(반품접수!$B$3:$B$1002,MATCH("R"&amp;102,미처리현황!$M$6:$M$1005,0)),""))</f>
        <v/>
      </c>
      <c r="D107" s="19" t="str">
        <f aca="true">IF($C107="","",TODAY()-$C107)</f>
        <v/>
      </c>
      <c r="E107" s="12" t="str">
        <f aca="false">IF($B107="","",IFERROR(INDEX(반품접수!$C$3:$C$1002,MATCH("R"&amp;102,미처리현황!$M$6:$M$1005,0)),""))</f>
        <v/>
      </c>
      <c r="F107" s="12" t="str">
        <f aca="false">IF($B107="","",IFERROR(INDEX(반품접수!$E$3:$E$1002,MATCH("R"&amp;102,미처리현황!$M$6:$M$1005,0)),""))</f>
        <v/>
      </c>
      <c r="G107" s="15" t="str">
        <f aca="false">IF($B107="","",IFERROR(INDEX(반품접수!$I$3:$I$1002,MATCH("R"&amp;102,미처리현황!$M$6:$M$1005,0)),""))</f>
        <v/>
      </c>
      <c r="H107" s="15" t="str">
        <f aca="false">IF($B107="","",IFERROR(INDEX(반품접수!$N$3:$N$1002,MATCH("R"&amp;102,미처리현황!$M$6:$M$1005,0)),""))</f>
        <v/>
      </c>
      <c r="I107" s="19" t="str">
        <f aca="false">IF($B107="","",IFERROR(INDEX(반품접수!$O$3:$O$1002,MATCH("R"&amp;102,미처리현황!$M$6:$M$1005,0)),""))</f>
        <v/>
      </c>
      <c r="K107" s="21" t="b">
        <f aca="false">IF(반품접수!$A104="",FALSE(),OR(반품접수!$O104="미처리",반품접수!$O104="부분처리"))</f>
        <v>0</v>
      </c>
      <c r="L107" s="6" t="str">
        <f aca="false">IF($K107=FALSE(),"",COUNTIF($K$6:$K107,TRUE()))</f>
        <v/>
      </c>
      <c r="M107" s="6" t="str">
        <f aca="false">IF($L107="","","R"&amp;$L107)</f>
        <v/>
      </c>
    </row>
    <row r="108" customFormat="false" ht="15" hidden="false" customHeight="true" outlineLevel="0" collapsed="false">
      <c r="A108" s="19" t="str">
        <f aca="false">IF($B108="","",103)</f>
        <v/>
      </c>
      <c r="B108" s="12" t="str">
        <f aca="false">IFERROR(INDEX(반품접수!$A$3:$A$1002,MATCH("R"&amp;103,미처리현황!$M$6:$M$1005,0)),"")</f>
        <v/>
      </c>
      <c r="C108" s="20" t="str">
        <f aca="false">IF($B108="","",IFERROR(INDEX(반품접수!$B$3:$B$1002,MATCH("R"&amp;103,미처리현황!$M$6:$M$1005,0)),""))</f>
        <v/>
      </c>
      <c r="D108" s="19" t="str">
        <f aca="true">IF($C108="","",TODAY()-$C108)</f>
        <v/>
      </c>
      <c r="E108" s="12" t="str">
        <f aca="false">IF($B108="","",IFERROR(INDEX(반품접수!$C$3:$C$1002,MATCH("R"&amp;103,미처리현황!$M$6:$M$1005,0)),""))</f>
        <v/>
      </c>
      <c r="F108" s="12" t="str">
        <f aca="false">IF($B108="","",IFERROR(INDEX(반품접수!$E$3:$E$1002,MATCH("R"&amp;103,미처리현황!$M$6:$M$1005,0)),""))</f>
        <v/>
      </c>
      <c r="G108" s="15" t="str">
        <f aca="false">IF($B108="","",IFERROR(INDEX(반품접수!$I$3:$I$1002,MATCH("R"&amp;103,미처리현황!$M$6:$M$1005,0)),""))</f>
        <v/>
      </c>
      <c r="H108" s="15" t="str">
        <f aca="false">IF($B108="","",IFERROR(INDEX(반품접수!$N$3:$N$1002,MATCH("R"&amp;103,미처리현황!$M$6:$M$1005,0)),""))</f>
        <v/>
      </c>
      <c r="I108" s="19" t="str">
        <f aca="false">IF($B108="","",IFERROR(INDEX(반품접수!$O$3:$O$1002,MATCH("R"&amp;103,미처리현황!$M$6:$M$1005,0)),""))</f>
        <v/>
      </c>
      <c r="K108" s="21" t="b">
        <f aca="false">IF(반품접수!$A105="",FALSE(),OR(반품접수!$O105="미처리",반품접수!$O105="부분처리"))</f>
        <v>0</v>
      </c>
      <c r="L108" s="6" t="str">
        <f aca="false">IF($K108=FALSE(),"",COUNTIF($K$6:$K108,TRUE()))</f>
        <v/>
      </c>
      <c r="M108" s="6" t="str">
        <f aca="false">IF($L108="","","R"&amp;$L108)</f>
        <v/>
      </c>
    </row>
    <row r="109" customFormat="false" ht="15" hidden="false" customHeight="true" outlineLevel="0" collapsed="false">
      <c r="A109" s="19" t="str">
        <f aca="false">IF($B109="","",104)</f>
        <v/>
      </c>
      <c r="B109" s="12" t="str">
        <f aca="false">IFERROR(INDEX(반품접수!$A$3:$A$1002,MATCH("R"&amp;104,미처리현황!$M$6:$M$1005,0)),"")</f>
        <v/>
      </c>
      <c r="C109" s="20" t="str">
        <f aca="false">IF($B109="","",IFERROR(INDEX(반품접수!$B$3:$B$1002,MATCH("R"&amp;104,미처리현황!$M$6:$M$1005,0)),""))</f>
        <v/>
      </c>
      <c r="D109" s="19" t="str">
        <f aca="true">IF($C109="","",TODAY()-$C109)</f>
        <v/>
      </c>
      <c r="E109" s="12" t="str">
        <f aca="false">IF($B109="","",IFERROR(INDEX(반품접수!$C$3:$C$1002,MATCH("R"&amp;104,미처리현황!$M$6:$M$1005,0)),""))</f>
        <v/>
      </c>
      <c r="F109" s="12" t="str">
        <f aca="false">IF($B109="","",IFERROR(INDEX(반품접수!$E$3:$E$1002,MATCH("R"&amp;104,미처리현황!$M$6:$M$1005,0)),""))</f>
        <v/>
      </c>
      <c r="G109" s="15" t="str">
        <f aca="false">IF($B109="","",IFERROR(INDEX(반품접수!$I$3:$I$1002,MATCH("R"&amp;104,미처리현황!$M$6:$M$1005,0)),""))</f>
        <v/>
      </c>
      <c r="H109" s="15" t="str">
        <f aca="false">IF($B109="","",IFERROR(INDEX(반품접수!$N$3:$N$1002,MATCH("R"&amp;104,미처리현황!$M$6:$M$1005,0)),""))</f>
        <v/>
      </c>
      <c r="I109" s="19" t="str">
        <f aca="false">IF($B109="","",IFERROR(INDEX(반품접수!$O$3:$O$1002,MATCH("R"&amp;104,미처리현황!$M$6:$M$1005,0)),""))</f>
        <v/>
      </c>
      <c r="K109" s="21" t="b">
        <f aca="false">IF(반품접수!$A106="",FALSE(),OR(반품접수!$O106="미처리",반품접수!$O106="부분처리"))</f>
        <v>0</v>
      </c>
      <c r="L109" s="6" t="str">
        <f aca="false">IF($K109=FALSE(),"",COUNTIF($K$6:$K109,TRUE()))</f>
        <v/>
      </c>
      <c r="M109" s="6" t="str">
        <f aca="false">IF($L109="","","R"&amp;$L109)</f>
        <v/>
      </c>
    </row>
    <row r="110" customFormat="false" ht="15" hidden="false" customHeight="true" outlineLevel="0" collapsed="false">
      <c r="A110" s="19" t="str">
        <f aca="false">IF($B110="","",105)</f>
        <v/>
      </c>
      <c r="B110" s="12" t="str">
        <f aca="false">IFERROR(INDEX(반품접수!$A$3:$A$1002,MATCH("R"&amp;105,미처리현황!$M$6:$M$1005,0)),"")</f>
        <v/>
      </c>
      <c r="C110" s="20" t="str">
        <f aca="false">IF($B110="","",IFERROR(INDEX(반품접수!$B$3:$B$1002,MATCH("R"&amp;105,미처리현황!$M$6:$M$1005,0)),""))</f>
        <v/>
      </c>
      <c r="D110" s="19" t="str">
        <f aca="true">IF($C110="","",TODAY()-$C110)</f>
        <v/>
      </c>
      <c r="E110" s="12" t="str">
        <f aca="false">IF($B110="","",IFERROR(INDEX(반품접수!$C$3:$C$1002,MATCH("R"&amp;105,미처리현황!$M$6:$M$1005,0)),""))</f>
        <v/>
      </c>
      <c r="F110" s="12" t="str">
        <f aca="false">IF($B110="","",IFERROR(INDEX(반품접수!$E$3:$E$1002,MATCH("R"&amp;105,미처리현황!$M$6:$M$1005,0)),""))</f>
        <v/>
      </c>
      <c r="G110" s="15" t="str">
        <f aca="false">IF($B110="","",IFERROR(INDEX(반품접수!$I$3:$I$1002,MATCH("R"&amp;105,미처리현황!$M$6:$M$1005,0)),""))</f>
        <v/>
      </c>
      <c r="H110" s="15" t="str">
        <f aca="false">IF($B110="","",IFERROR(INDEX(반품접수!$N$3:$N$1002,MATCH("R"&amp;105,미처리현황!$M$6:$M$1005,0)),""))</f>
        <v/>
      </c>
      <c r="I110" s="19" t="str">
        <f aca="false">IF($B110="","",IFERROR(INDEX(반품접수!$O$3:$O$1002,MATCH("R"&amp;105,미처리현황!$M$6:$M$1005,0)),""))</f>
        <v/>
      </c>
      <c r="K110" s="21" t="b">
        <f aca="false">IF(반품접수!$A107="",FALSE(),OR(반품접수!$O107="미처리",반품접수!$O107="부분처리"))</f>
        <v>0</v>
      </c>
      <c r="L110" s="6" t="str">
        <f aca="false">IF($K110=FALSE(),"",COUNTIF($K$6:$K110,TRUE()))</f>
        <v/>
      </c>
      <c r="M110" s="6" t="str">
        <f aca="false">IF($L110="","","R"&amp;$L110)</f>
        <v/>
      </c>
    </row>
    <row r="111" customFormat="false" ht="15" hidden="false" customHeight="true" outlineLevel="0" collapsed="false">
      <c r="A111" s="19" t="str">
        <f aca="false">IF($B111="","",106)</f>
        <v/>
      </c>
      <c r="B111" s="12" t="str">
        <f aca="false">IFERROR(INDEX(반품접수!$A$3:$A$1002,MATCH("R"&amp;106,미처리현황!$M$6:$M$1005,0)),"")</f>
        <v/>
      </c>
      <c r="C111" s="20" t="str">
        <f aca="false">IF($B111="","",IFERROR(INDEX(반품접수!$B$3:$B$1002,MATCH("R"&amp;106,미처리현황!$M$6:$M$1005,0)),""))</f>
        <v/>
      </c>
      <c r="D111" s="19" t="str">
        <f aca="true">IF($C111="","",TODAY()-$C111)</f>
        <v/>
      </c>
      <c r="E111" s="12" t="str">
        <f aca="false">IF($B111="","",IFERROR(INDEX(반품접수!$C$3:$C$1002,MATCH("R"&amp;106,미처리현황!$M$6:$M$1005,0)),""))</f>
        <v/>
      </c>
      <c r="F111" s="12" t="str">
        <f aca="false">IF($B111="","",IFERROR(INDEX(반품접수!$E$3:$E$1002,MATCH("R"&amp;106,미처리현황!$M$6:$M$1005,0)),""))</f>
        <v/>
      </c>
      <c r="G111" s="15" t="str">
        <f aca="false">IF($B111="","",IFERROR(INDEX(반품접수!$I$3:$I$1002,MATCH("R"&amp;106,미처리현황!$M$6:$M$1005,0)),""))</f>
        <v/>
      </c>
      <c r="H111" s="15" t="str">
        <f aca="false">IF($B111="","",IFERROR(INDEX(반품접수!$N$3:$N$1002,MATCH("R"&amp;106,미처리현황!$M$6:$M$1005,0)),""))</f>
        <v/>
      </c>
      <c r="I111" s="19" t="str">
        <f aca="false">IF($B111="","",IFERROR(INDEX(반품접수!$O$3:$O$1002,MATCH("R"&amp;106,미처리현황!$M$6:$M$1005,0)),""))</f>
        <v/>
      </c>
      <c r="K111" s="21" t="b">
        <f aca="false">IF(반품접수!$A108="",FALSE(),OR(반품접수!$O108="미처리",반품접수!$O108="부분처리"))</f>
        <v>0</v>
      </c>
      <c r="L111" s="6" t="str">
        <f aca="false">IF($K111=FALSE(),"",COUNTIF($K$6:$K111,TRUE()))</f>
        <v/>
      </c>
      <c r="M111" s="6" t="str">
        <f aca="false">IF($L111="","","R"&amp;$L111)</f>
        <v/>
      </c>
    </row>
    <row r="112" customFormat="false" ht="15" hidden="false" customHeight="true" outlineLevel="0" collapsed="false">
      <c r="A112" s="19" t="str">
        <f aca="false">IF($B112="","",107)</f>
        <v/>
      </c>
      <c r="B112" s="12" t="str">
        <f aca="false">IFERROR(INDEX(반품접수!$A$3:$A$1002,MATCH("R"&amp;107,미처리현황!$M$6:$M$1005,0)),"")</f>
        <v/>
      </c>
      <c r="C112" s="20" t="str">
        <f aca="false">IF($B112="","",IFERROR(INDEX(반품접수!$B$3:$B$1002,MATCH("R"&amp;107,미처리현황!$M$6:$M$1005,0)),""))</f>
        <v/>
      </c>
      <c r="D112" s="19" t="str">
        <f aca="true">IF($C112="","",TODAY()-$C112)</f>
        <v/>
      </c>
      <c r="E112" s="12" t="str">
        <f aca="false">IF($B112="","",IFERROR(INDEX(반품접수!$C$3:$C$1002,MATCH("R"&amp;107,미처리현황!$M$6:$M$1005,0)),""))</f>
        <v/>
      </c>
      <c r="F112" s="12" t="str">
        <f aca="false">IF($B112="","",IFERROR(INDEX(반품접수!$E$3:$E$1002,MATCH("R"&amp;107,미처리현황!$M$6:$M$1005,0)),""))</f>
        <v/>
      </c>
      <c r="G112" s="15" t="str">
        <f aca="false">IF($B112="","",IFERROR(INDEX(반품접수!$I$3:$I$1002,MATCH("R"&amp;107,미처리현황!$M$6:$M$1005,0)),""))</f>
        <v/>
      </c>
      <c r="H112" s="15" t="str">
        <f aca="false">IF($B112="","",IFERROR(INDEX(반품접수!$N$3:$N$1002,MATCH("R"&amp;107,미처리현황!$M$6:$M$1005,0)),""))</f>
        <v/>
      </c>
      <c r="I112" s="19" t="str">
        <f aca="false">IF($B112="","",IFERROR(INDEX(반품접수!$O$3:$O$1002,MATCH("R"&amp;107,미처리현황!$M$6:$M$1005,0)),""))</f>
        <v/>
      </c>
      <c r="K112" s="21" t="b">
        <f aca="false">IF(반품접수!$A109="",FALSE(),OR(반품접수!$O109="미처리",반품접수!$O109="부분처리"))</f>
        <v>0</v>
      </c>
      <c r="L112" s="6" t="str">
        <f aca="false">IF($K112=FALSE(),"",COUNTIF($K$6:$K112,TRUE()))</f>
        <v/>
      </c>
      <c r="M112" s="6" t="str">
        <f aca="false">IF($L112="","","R"&amp;$L112)</f>
        <v/>
      </c>
    </row>
    <row r="113" customFormat="false" ht="15" hidden="false" customHeight="true" outlineLevel="0" collapsed="false">
      <c r="A113" s="19" t="str">
        <f aca="false">IF($B113="","",108)</f>
        <v/>
      </c>
      <c r="B113" s="12" t="str">
        <f aca="false">IFERROR(INDEX(반품접수!$A$3:$A$1002,MATCH("R"&amp;108,미처리현황!$M$6:$M$1005,0)),"")</f>
        <v/>
      </c>
      <c r="C113" s="20" t="str">
        <f aca="false">IF($B113="","",IFERROR(INDEX(반품접수!$B$3:$B$1002,MATCH("R"&amp;108,미처리현황!$M$6:$M$1005,0)),""))</f>
        <v/>
      </c>
      <c r="D113" s="19" t="str">
        <f aca="true">IF($C113="","",TODAY()-$C113)</f>
        <v/>
      </c>
      <c r="E113" s="12" t="str">
        <f aca="false">IF($B113="","",IFERROR(INDEX(반품접수!$C$3:$C$1002,MATCH("R"&amp;108,미처리현황!$M$6:$M$1005,0)),""))</f>
        <v/>
      </c>
      <c r="F113" s="12" t="str">
        <f aca="false">IF($B113="","",IFERROR(INDEX(반품접수!$E$3:$E$1002,MATCH("R"&amp;108,미처리현황!$M$6:$M$1005,0)),""))</f>
        <v/>
      </c>
      <c r="G113" s="15" t="str">
        <f aca="false">IF($B113="","",IFERROR(INDEX(반품접수!$I$3:$I$1002,MATCH("R"&amp;108,미처리현황!$M$6:$M$1005,0)),""))</f>
        <v/>
      </c>
      <c r="H113" s="15" t="str">
        <f aca="false">IF($B113="","",IFERROR(INDEX(반품접수!$N$3:$N$1002,MATCH("R"&amp;108,미처리현황!$M$6:$M$1005,0)),""))</f>
        <v/>
      </c>
      <c r="I113" s="19" t="str">
        <f aca="false">IF($B113="","",IFERROR(INDEX(반품접수!$O$3:$O$1002,MATCH("R"&amp;108,미처리현황!$M$6:$M$1005,0)),""))</f>
        <v/>
      </c>
      <c r="K113" s="21" t="b">
        <f aca="false">IF(반품접수!$A110="",FALSE(),OR(반품접수!$O110="미처리",반품접수!$O110="부분처리"))</f>
        <v>0</v>
      </c>
      <c r="L113" s="6" t="str">
        <f aca="false">IF($K113=FALSE(),"",COUNTIF($K$6:$K113,TRUE()))</f>
        <v/>
      </c>
      <c r="M113" s="6" t="str">
        <f aca="false">IF($L113="","","R"&amp;$L113)</f>
        <v/>
      </c>
    </row>
    <row r="114" customFormat="false" ht="15" hidden="false" customHeight="true" outlineLevel="0" collapsed="false">
      <c r="A114" s="19" t="str">
        <f aca="false">IF($B114="","",109)</f>
        <v/>
      </c>
      <c r="B114" s="12" t="str">
        <f aca="false">IFERROR(INDEX(반품접수!$A$3:$A$1002,MATCH("R"&amp;109,미처리현황!$M$6:$M$1005,0)),"")</f>
        <v/>
      </c>
      <c r="C114" s="20" t="str">
        <f aca="false">IF($B114="","",IFERROR(INDEX(반품접수!$B$3:$B$1002,MATCH("R"&amp;109,미처리현황!$M$6:$M$1005,0)),""))</f>
        <v/>
      </c>
      <c r="D114" s="19" t="str">
        <f aca="true">IF($C114="","",TODAY()-$C114)</f>
        <v/>
      </c>
      <c r="E114" s="12" t="str">
        <f aca="false">IF($B114="","",IFERROR(INDEX(반품접수!$C$3:$C$1002,MATCH("R"&amp;109,미처리현황!$M$6:$M$1005,0)),""))</f>
        <v/>
      </c>
      <c r="F114" s="12" t="str">
        <f aca="false">IF($B114="","",IFERROR(INDEX(반품접수!$E$3:$E$1002,MATCH("R"&amp;109,미처리현황!$M$6:$M$1005,0)),""))</f>
        <v/>
      </c>
      <c r="G114" s="15" t="str">
        <f aca="false">IF($B114="","",IFERROR(INDEX(반품접수!$I$3:$I$1002,MATCH("R"&amp;109,미처리현황!$M$6:$M$1005,0)),""))</f>
        <v/>
      </c>
      <c r="H114" s="15" t="str">
        <f aca="false">IF($B114="","",IFERROR(INDEX(반품접수!$N$3:$N$1002,MATCH("R"&amp;109,미처리현황!$M$6:$M$1005,0)),""))</f>
        <v/>
      </c>
      <c r="I114" s="19" t="str">
        <f aca="false">IF($B114="","",IFERROR(INDEX(반품접수!$O$3:$O$1002,MATCH("R"&amp;109,미처리현황!$M$6:$M$1005,0)),""))</f>
        <v/>
      </c>
      <c r="K114" s="21" t="b">
        <f aca="false">IF(반품접수!$A111="",FALSE(),OR(반품접수!$O111="미처리",반품접수!$O111="부분처리"))</f>
        <v>0</v>
      </c>
      <c r="L114" s="6" t="str">
        <f aca="false">IF($K114=FALSE(),"",COUNTIF($K$6:$K114,TRUE()))</f>
        <v/>
      </c>
      <c r="M114" s="6" t="str">
        <f aca="false">IF($L114="","","R"&amp;$L114)</f>
        <v/>
      </c>
    </row>
    <row r="115" customFormat="false" ht="15" hidden="false" customHeight="true" outlineLevel="0" collapsed="false">
      <c r="A115" s="19" t="str">
        <f aca="false">IF($B115="","",110)</f>
        <v/>
      </c>
      <c r="B115" s="12" t="str">
        <f aca="false">IFERROR(INDEX(반품접수!$A$3:$A$1002,MATCH("R"&amp;110,미처리현황!$M$6:$M$1005,0)),"")</f>
        <v/>
      </c>
      <c r="C115" s="20" t="str">
        <f aca="false">IF($B115="","",IFERROR(INDEX(반품접수!$B$3:$B$1002,MATCH("R"&amp;110,미처리현황!$M$6:$M$1005,0)),""))</f>
        <v/>
      </c>
      <c r="D115" s="19" t="str">
        <f aca="true">IF($C115="","",TODAY()-$C115)</f>
        <v/>
      </c>
      <c r="E115" s="12" t="str">
        <f aca="false">IF($B115="","",IFERROR(INDEX(반품접수!$C$3:$C$1002,MATCH("R"&amp;110,미처리현황!$M$6:$M$1005,0)),""))</f>
        <v/>
      </c>
      <c r="F115" s="12" t="str">
        <f aca="false">IF($B115="","",IFERROR(INDEX(반품접수!$E$3:$E$1002,MATCH("R"&amp;110,미처리현황!$M$6:$M$1005,0)),""))</f>
        <v/>
      </c>
      <c r="G115" s="15" t="str">
        <f aca="false">IF($B115="","",IFERROR(INDEX(반품접수!$I$3:$I$1002,MATCH("R"&amp;110,미처리현황!$M$6:$M$1005,0)),""))</f>
        <v/>
      </c>
      <c r="H115" s="15" t="str">
        <f aca="false">IF($B115="","",IFERROR(INDEX(반품접수!$N$3:$N$1002,MATCH("R"&amp;110,미처리현황!$M$6:$M$1005,0)),""))</f>
        <v/>
      </c>
      <c r="I115" s="19" t="str">
        <f aca="false">IF($B115="","",IFERROR(INDEX(반품접수!$O$3:$O$1002,MATCH("R"&amp;110,미처리현황!$M$6:$M$1005,0)),""))</f>
        <v/>
      </c>
      <c r="K115" s="21" t="b">
        <f aca="false">IF(반품접수!$A112="",FALSE(),OR(반품접수!$O112="미처리",반품접수!$O112="부분처리"))</f>
        <v>0</v>
      </c>
      <c r="L115" s="6" t="str">
        <f aca="false">IF($K115=FALSE(),"",COUNTIF($K$6:$K115,TRUE()))</f>
        <v/>
      </c>
      <c r="M115" s="6" t="str">
        <f aca="false">IF($L115="","","R"&amp;$L115)</f>
        <v/>
      </c>
    </row>
    <row r="116" customFormat="false" ht="15" hidden="false" customHeight="true" outlineLevel="0" collapsed="false">
      <c r="A116" s="19" t="str">
        <f aca="false">IF($B116="","",111)</f>
        <v/>
      </c>
      <c r="B116" s="12" t="str">
        <f aca="false">IFERROR(INDEX(반품접수!$A$3:$A$1002,MATCH("R"&amp;111,미처리현황!$M$6:$M$1005,0)),"")</f>
        <v/>
      </c>
      <c r="C116" s="20" t="str">
        <f aca="false">IF($B116="","",IFERROR(INDEX(반품접수!$B$3:$B$1002,MATCH("R"&amp;111,미처리현황!$M$6:$M$1005,0)),""))</f>
        <v/>
      </c>
      <c r="D116" s="19" t="str">
        <f aca="true">IF($C116="","",TODAY()-$C116)</f>
        <v/>
      </c>
      <c r="E116" s="12" t="str">
        <f aca="false">IF($B116="","",IFERROR(INDEX(반품접수!$C$3:$C$1002,MATCH("R"&amp;111,미처리현황!$M$6:$M$1005,0)),""))</f>
        <v/>
      </c>
      <c r="F116" s="12" t="str">
        <f aca="false">IF($B116="","",IFERROR(INDEX(반품접수!$E$3:$E$1002,MATCH("R"&amp;111,미처리현황!$M$6:$M$1005,0)),""))</f>
        <v/>
      </c>
      <c r="G116" s="15" t="str">
        <f aca="false">IF($B116="","",IFERROR(INDEX(반품접수!$I$3:$I$1002,MATCH("R"&amp;111,미처리현황!$M$6:$M$1005,0)),""))</f>
        <v/>
      </c>
      <c r="H116" s="15" t="str">
        <f aca="false">IF($B116="","",IFERROR(INDEX(반품접수!$N$3:$N$1002,MATCH("R"&amp;111,미처리현황!$M$6:$M$1005,0)),""))</f>
        <v/>
      </c>
      <c r="I116" s="19" t="str">
        <f aca="false">IF($B116="","",IFERROR(INDEX(반품접수!$O$3:$O$1002,MATCH("R"&amp;111,미처리현황!$M$6:$M$1005,0)),""))</f>
        <v/>
      </c>
      <c r="K116" s="21" t="b">
        <f aca="false">IF(반품접수!$A113="",FALSE(),OR(반품접수!$O113="미처리",반품접수!$O113="부분처리"))</f>
        <v>0</v>
      </c>
      <c r="L116" s="6" t="str">
        <f aca="false">IF($K116=FALSE(),"",COUNTIF($K$6:$K116,TRUE()))</f>
        <v/>
      </c>
      <c r="M116" s="6" t="str">
        <f aca="false">IF($L116="","","R"&amp;$L116)</f>
        <v/>
      </c>
    </row>
    <row r="117" customFormat="false" ht="15" hidden="false" customHeight="true" outlineLevel="0" collapsed="false">
      <c r="A117" s="19" t="str">
        <f aca="false">IF($B117="","",112)</f>
        <v/>
      </c>
      <c r="B117" s="12" t="str">
        <f aca="false">IFERROR(INDEX(반품접수!$A$3:$A$1002,MATCH("R"&amp;112,미처리현황!$M$6:$M$1005,0)),"")</f>
        <v/>
      </c>
      <c r="C117" s="20" t="str">
        <f aca="false">IF($B117="","",IFERROR(INDEX(반품접수!$B$3:$B$1002,MATCH("R"&amp;112,미처리현황!$M$6:$M$1005,0)),""))</f>
        <v/>
      </c>
      <c r="D117" s="19" t="str">
        <f aca="true">IF($C117="","",TODAY()-$C117)</f>
        <v/>
      </c>
      <c r="E117" s="12" t="str">
        <f aca="false">IF($B117="","",IFERROR(INDEX(반품접수!$C$3:$C$1002,MATCH("R"&amp;112,미처리현황!$M$6:$M$1005,0)),""))</f>
        <v/>
      </c>
      <c r="F117" s="12" t="str">
        <f aca="false">IF($B117="","",IFERROR(INDEX(반품접수!$E$3:$E$1002,MATCH("R"&amp;112,미처리현황!$M$6:$M$1005,0)),""))</f>
        <v/>
      </c>
      <c r="G117" s="15" t="str">
        <f aca="false">IF($B117="","",IFERROR(INDEX(반품접수!$I$3:$I$1002,MATCH("R"&amp;112,미처리현황!$M$6:$M$1005,0)),""))</f>
        <v/>
      </c>
      <c r="H117" s="15" t="str">
        <f aca="false">IF($B117="","",IFERROR(INDEX(반품접수!$N$3:$N$1002,MATCH("R"&amp;112,미처리현황!$M$6:$M$1005,0)),""))</f>
        <v/>
      </c>
      <c r="I117" s="19" t="str">
        <f aca="false">IF($B117="","",IFERROR(INDEX(반품접수!$O$3:$O$1002,MATCH("R"&amp;112,미처리현황!$M$6:$M$1005,0)),""))</f>
        <v/>
      </c>
      <c r="K117" s="21" t="b">
        <f aca="false">IF(반품접수!$A114="",FALSE(),OR(반품접수!$O114="미처리",반품접수!$O114="부분처리"))</f>
        <v>0</v>
      </c>
      <c r="L117" s="6" t="str">
        <f aca="false">IF($K117=FALSE(),"",COUNTIF($K$6:$K117,TRUE()))</f>
        <v/>
      </c>
      <c r="M117" s="6" t="str">
        <f aca="false">IF($L117="","","R"&amp;$L117)</f>
        <v/>
      </c>
    </row>
    <row r="118" customFormat="false" ht="15" hidden="false" customHeight="true" outlineLevel="0" collapsed="false">
      <c r="A118" s="19" t="str">
        <f aca="false">IF($B118="","",113)</f>
        <v/>
      </c>
      <c r="B118" s="12" t="str">
        <f aca="false">IFERROR(INDEX(반품접수!$A$3:$A$1002,MATCH("R"&amp;113,미처리현황!$M$6:$M$1005,0)),"")</f>
        <v/>
      </c>
      <c r="C118" s="20" t="str">
        <f aca="false">IF($B118="","",IFERROR(INDEX(반품접수!$B$3:$B$1002,MATCH("R"&amp;113,미처리현황!$M$6:$M$1005,0)),""))</f>
        <v/>
      </c>
      <c r="D118" s="19" t="str">
        <f aca="true">IF($C118="","",TODAY()-$C118)</f>
        <v/>
      </c>
      <c r="E118" s="12" t="str">
        <f aca="false">IF($B118="","",IFERROR(INDEX(반품접수!$C$3:$C$1002,MATCH("R"&amp;113,미처리현황!$M$6:$M$1005,0)),""))</f>
        <v/>
      </c>
      <c r="F118" s="12" t="str">
        <f aca="false">IF($B118="","",IFERROR(INDEX(반품접수!$E$3:$E$1002,MATCH("R"&amp;113,미처리현황!$M$6:$M$1005,0)),""))</f>
        <v/>
      </c>
      <c r="G118" s="15" t="str">
        <f aca="false">IF($B118="","",IFERROR(INDEX(반품접수!$I$3:$I$1002,MATCH("R"&amp;113,미처리현황!$M$6:$M$1005,0)),""))</f>
        <v/>
      </c>
      <c r="H118" s="15" t="str">
        <f aca="false">IF($B118="","",IFERROR(INDEX(반품접수!$N$3:$N$1002,MATCH("R"&amp;113,미처리현황!$M$6:$M$1005,0)),""))</f>
        <v/>
      </c>
      <c r="I118" s="19" t="str">
        <f aca="false">IF($B118="","",IFERROR(INDEX(반품접수!$O$3:$O$1002,MATCH("R"&amp;113,미처리현황!$M$6:$M$1005,0)),""))</f>
        <v/>
      </c>
      <c r="K118" s="21" t="b">
        <f aca="false">IF(반품접수!$A115="",FALSE(),OR(반품접수!$O115="미처리",반품접수!$O115="부분처리"))</f>
        <v>0</v>
      </c>
      <c r="L118" s="6" t="str">
        <f aca="false">IF($K118=FALSE(),"",COUNTIF($K$6:$K118,TRUE()))</f>
        <v/>
      </c>
      <c r="M118" s="6" t="str">
        <f aca="false">IF($L118="","","R"&amp;$L118)</f>
        <v/>
      </c>
    </row>
    <row r="119" customFormat="false" ht="15" hidden="false" customHeight="true" outlineLevel="0" collapsed="false">
      <c r="A119" s="19" t="str">
        <f aca="false">IF($B119="","",114)</f>
        <v/>
      </c>
      <c r="B119" s="12" t="str">
        <f aca="false">IFERROR(INDEX(반품접수!$A$3:$A$1002,MATCH("R"&amp;114,미처리현황!$M$6:$M$1005,0)),"")</f>
        <v/>
      </c>
      <c r="C119" s="20" t="str">
        <f aca="false">IF($B119="","",IFERROR(INDEX(반품접수!$B$3:$B$1002,MATCH("R"&amp;114,미처리현황!$M$6:$M$1005,0)),""))</f>
        <v/>
      </c>
      <c r="D119" s="19" t="str">
        <f aca="true">IF($C119="","",TODAY()-$C119)</f>
        <v/>
      </c>
      <c r="E119" s="12" t="str">
        <f aca="false">IF($B119="","",IFERROR(INDEX(반품접수!$C$3:$C$1002,MATCH("R"&amp;114,미처리현황!$M$6:$M$1005,0)),""))</f>
        <v/>
      </c>
      <c r="F119" s="12" t="str">
        <f aca="false">IF($B119="","",IFERROR(INDEX(반품접수!$E$3:$E$1002,MATCH("R"&amp;114,미처리현황!$M$6:$M$1005,0)),""))</f>
        <v/>
      </c>
      <c r="G119" s="15" t="str">
        <f aca="false">IF($B119="","",IFERROR(INDEX(반품접수!$I$3:$I$1002,MATCH("R"&amp;114,미처리현황!$M$6:$M$1005,0)),""))</f>
        <v/>
      </c>
      <c r="H119" s="15" t="str">
        <f aca="false">IF($B119="","",IFERROR(INDEX(반품접수!$N$3:$N$1002,MATCH("R"&amp;114,미처리현황!$M$6:$M$1005,0)),""))</f>
        <v/>
      </c>
      <c r="I119" s="19" t="str">
        <f aca="false">IF($B119="","",IFERROR(INDEX(반품접수!$O$3:$O$1002,MATCH("R"&amp;114,미처리현황!$M$6:$M$1005,0)),""))</f>
        <v/>
      </c>
      <c r="K119" s="21" t="b">
        <f aca="false">IF(반품접수!$A116="",FALSE(),OR(반품접수!$O116="미처리",반품접수!$O116="부분처리"))</f>
        <v>0</v>
      </c>
      <c r="L119" s="6" t="str">
        <f aca="false">IF($K119=FALSE(),"",COUNTIF($K$6:$K119,TRUE()))</f>
        <v/>
      </c>
      <c r="M119" s="6" t="str">
        <f aca="false">IF($L119="","","R"&amp;$L119)</f>
        <v/>
      </c>
    </row>
    <row r="120" customFormat="false" ht="15" hidden="false" customHeight="true" outlineLevel="0" collapsed="false">
      <c r="A120" s="19" t="str">
        <f aca="false">IF($B120="","",115)</f>
        <v/>
      </c>
      <c r="B120" s="12" t="str">
        <f aca="false">IFERROR(INDEX(반품접수!$A$3:$A$1002,MATCH("R"&amp;115,미처리현황!$M$6:$M$1005,0)),"")</f>
        <v/>
      </c>
      <c r="C120" s="20" t="str">
        <f aca="false">IF($B120="","",IFERROR(INDEX(반품접수!$B$3:$B$1002,MATCH("R"&amp;115,미처리현황!$M$6:$M$1005,0)),""))</f>
        <v/>
      </c>
      <c r="D120" s="19" t="str">
        <f aca="true">IF($C120="","",TODAY()-$C120)</f>
        <v/>
      </c>
      <c r="E120" s="12" t="str">
        <f aca="false">IF($B120="","",IFERROR(INDEX(반품접수!$C$3:$C$1002,MATCH("R"&amp;115,미처리현황!$M$6:$M$1005,0)),""))</f>
        <v/>
      </c>
      <c r="F120" s="12" t="str">
        <f aca="false">IF($B120="","",IFERROR(INDEX(반품접수!$E$3:$E$1002,MATCH("R"&amp;115,미처리현황!$M$6:$M$1005,0)),""))</f>
        <v/>
      </c>
      <c r="G120" s="15" t="str">
        <f aca="false">IF($B120="","",IFERROR(INDEX(반품접수!$I$3:$I$1002,MATCH("R"&amp;115,미처리현황!$M$6:$M$1005,0)),""))</f>
        <v/>
      </c>
      <c r="H120" s="15" t="str">
        <f aca="false">IF($B120="","",IFERROR(INDEX(반품접수!$N$3:$N$1002,MATCH("R"&amp;115,미처리현황!$M$6:$M$1005,0)),""))</f>
        <v/>
      </c>
      <c r="I120" s="19" t="str">
        <f aca="false">IF($B120="","",IFERROR(INDEX(반품접수!$O$3:$O$1002,MATCH("R"&amp;115,미처리현황!$M$6:$M$1005,0)),""))</f>
        <v/>
      </c>
      <c r="K120" s="21" t="b">
        <f aca="false">IF(반품접수!$A117="",FALSE(),OR(반품접수!$O117="미처리",반품접수!$O117="부분처리"))</f>
        <v>0</v>
      </c>
      <c r="L120" s="6" t="str">
        <f aca="false">IF($K120=FALSE(),"",COUNTIF($K$6:$K120,TRUE()))</f>
        <v/>
      </c>
      <c r="M120" s="6" t="str">
        <f aca="false">IF($L120="","","R"&amp;$L120)</f>
        <v/>
      </c>
    </row>
    <row r="121" customFormat="false" ht="15" hidden="false" customHeight="true" outlineLevel="0" collapsed="false">
      <c r="A121" s="19" t="str">
        <f aca="false">IF($B121="","",116)</f>
        <v/>
      </c>
      <c r="B121" s="12" t="str">
        <f aca="false">IFERROR(INDEX(반품접수!$A$3:$A$1002,MATCH("R"&amp;116,미처리현황!$M$6:$M$1005,0)),"")</f>
        <v/>
      </c>
      <c r="C121" s="20" t="str">
        <f aca="false">IF($B121="","",IFERROR(INDEX(반품접수!$B$3:$B$1002,MATCH("R"&amp;116,미처리현황!$M$6:$M$1005,0)),""))</f>
        <v/>
      </c>
      <c r="D121" s="19" t="str">
        <f aca="true">IF($C121="","",TODAY()-$C121)</f>
        <v/>
      </c>
      <c r="E121" s="12" t="str">
        <f aca="false">IF($B121="","",IFERROR(INDEX(반품접수!$C$3:$C$1002,MATCH("R"&amp;116,미처리현황!$M$6:$M$1005,0)),""))</f>
        <v/>
      </c>
      <c r="F121" s="12" t="str">
        <f aca="false">IF($B121="","",IFERROR(INDEX(반품접수!$E$3:$E$1002,MATCH("R"&amp;116,미처리현황!$M$6:$M$1005,0)),""))</f>
        <v/>
      </c>
      <c r="G121" s="15" t="str">
        <f aca="false">IF($B121="","",IFERROR(INDEX(반품접수!$I$3:$I$1002,MATCH("R"&amp;116,미처리현황!$M$6:$M$1005,0)),""))</f>
        <v/>
      </c>
      <c r="H121" s="15" t="str">
        <f aca="false">IF($B121="","",IFERROR(INDEX(반품접수!$N$3:$N$1002,MATCH("R"&amp;116,미처리현황!$M$6:$M$1005,0)),""))</f>
        <v/>
      </c>
      <c r="I121" s="19" t="str">
        <f aca="false">IF($B121="","",IFERROR(INDEX(반품접수!$O$3:$O$1002,MATCH("R"&amp;116,미처리현황!$M$6:$M$1005,0)),""))</f>
        <v/>
      </c>
      <c r="K121" s="21" t="b">
        <f aca="false">IF(반품접수!$A118="",FALSE(),OR(반품접수!$O118="미처리",반품접수!$O118="부분처리"))</f>
        <v>0</v>
      </c>
      <c r="L121" s="6" t="str">
        <f aca="false">IF($K121=FALSE(),"",COUNTIF($K$6:$K121,TRUE()))</f>
        <v/>
      </c>
      <c r="M121" s="6" t="str">
        <f aca="false">IF($L121="","","R"&amp;$L121)</f>
        <v/>
      </c>
    </row>
    <row r="122" customFormat="false" ht="15" hidden="false" customHeight="true" outlineLevel="0" collapsed="false">
      <c r="A122" s="19" t="str">
        <f aca="false">IF($B122="","",117)</f>
        <v/>
      </c>
      <c r="B122" s="12" t="str">
        <f aca="false">IFERROR(INDEX(반품접수!$A$3:$A$1002,MATCH("R"&amp;117,미처리현황!$M$6:$M$1005,0)),"")</f>
        <v/>
      </c>
      <c r="C122" s="20" t="str">
        <f aca="false">IF($B122="","",IFERROR(INDEX(반품접수!$B$3:$B$1002,MATCH("R"&amp;117,미처리현황!$M$6:$M$1005,0)),""))</f>
        <v/>
      </c>
      <c r="D122" s="19" t="str">
        <f aca="true">IF($C122="","",TODAY()-$C122)</f>
        <v/>
      </c>
      <c r="E122" s="12" t="str">
        <f aca="false">IF($B122="","",IFERROR(INDEX(반품접수!$C$3:$C$1002,MATCH("R"&amp;117,미처리현황!$M$6:$M$1005,0)),""))</f>
        <v/>
      </c>
      <c r="F122" s="12" t="str">
        <f aca="false">IF($B122="","",IFERROR(INDEX(반품접수!$E$3:$E$1002,MATCH("R"&amp;117,미처리현황!$M$6:$M$1005,0)),""))</f>
        <v/>
      </c>
      <c r="G122" s="15" t="str">
        <f aca="false">IF($B122="","",IFERROR(INDEX(반품접수!$I$3:$I$1002,MATCH("R"&amp;117,미처리현황!$M$6:$M$1005,0)),""))</f>
        <v/>
      </c>
      <c r="H122" s="15" t="str">
        <f aca="false">IF($B122="","",IFERROR(INDEX(반품접수!$N$3:$N$1002,MATCH("R"&amp;117,미처리현황!$M$6:$M$1005,0)),""))</f>
        <v/>
      </c>
      <c r="I122" s="19" t="str">
        <f aca="false">IF($B122="","",IFERROR(INDEX(반품접수!$O$3:$O$1002,MATCH("R"&amp;117,미처리현황!$M$6:$M$1005,0)),""))</f>
        <v/>
      </c>
      <c r="K122" s="21" t="b">
        <f aca="false">IF(반품접수!$A119="",FALSE(),OR(반품접수!$O119="미처리",반품접수!$O119="부분처리"))</f>
        <v>0</v>
      </c>
      <c r="L122" s="6" t="str">
        <f aca="false">IF($K122=FALSE(),"",COUNTIF($K$6:$K122,TRUE()))</f>
        <v/>
      </c>
      <c r="M122" s="6" t="str">
        <f aca="false">IF($L122="","","R"&amp;$L122)</f>
        <v/>
      </c>
    </row>
    <row r="123" customFormat="false" ht="15" hidden="false" customHeight="true" outlineLevel="0" collapsed="false">
      <c r="A123" s="19" t="str">
        <f aca="false">IF($B123="","",118)</f>
        <v/>
      </c>
      <c r="B123" s="12" t="str">
        <f aca="false">IFERROR(INDEX(반품접수!$A$3:$A$1002,MATCH("R"&amp;118,미처리현황!$M$6:$M$1005,0)),"")</f>
        <v/>
      </c>
      <c r="C123" s="20" t="str">
        <f aca="false">IF($B123="","",IFERROR(INDEX(반품접수!$B$3:$B$1002,MATCH("R"&amp;118,미처리현황!$M$6:$M$1005,0)),""))</f>
        <v/>
      </c>
      <c r="D123" s="19" t="str">
        <f aca="true">IF($C123="","",TODAY()-$C123)</f>
        <v/>
      </c>
      <c r="E123" s="12" t="str">
        <f aca="false">IF($B123="","",IFERROR(INDEX(반품접수!$C$3:$C$1002,MATCH("R"&amp;118,미처리현황!$M$6:$M$1005,0)),""))</f>
        <v/>
      </c>
      <c r="F123" s="12" t="str">
        <f aca="false">IF($B123="","",IFERROR(INDEX(반품접수!$E$3:$E$1002,MATCH("R"&amp;118,미처리현황!$M$6:$M$1005,0)),""))</f>
        <v/>
      </c>
      <c r="G123" s="15" t="str">
        <f aca="false">IF($B123="","",IFERROR(INDEX(반품접수!$I$3:$I$1002,MATCH("R"&amp;118,미처리현황!$M$6:$M$1005,0)),""))</f>
        <v/>
      </c>
      <c r="H123" s="15" t="str">
        <f aca="false">IF($B123="","",IFERROR(INDEX(반품접수!$N$3:$N$1002,MATCH("R"&amp;118,미처리현황!$M$6:$M$1005,0)),""))</f>
        <v/>
      </c>
      <c r="I123" s="19" t="str">
        <f aca="false">IF($B123="","",IFERROR(INDEX(반품접수!$O$3:$O$1002,MATCH("R"&amp;118,미처리현황!$M$6:$M$1005,0)),""))</f>
        <v/>
      </c>
      <c r="K123" s="21" t="b">
        <f aca="false">IF(반품접수!$A120="",FALSE(),OR(반품접수!$O120="미처리",반품접수!$O120="부분처리"))</f>
        <v>0</v>
      </c>
      <c r="L123" s="6" t="str">
        <f aca="false">IF($K123=FALSE(),"",COUNTIF($K$6:$K123,TRUE()))</f>
        <v/>
      </c>
      <c r="M123" s="6" t="str">
        <f aca="false">IF($L123="","","R"&amp;$L123)</f>
        <v/>
      </c>
    </row>
    <row r="124" customFormat="false" ht="15" hidden="false" customHeight="true" outlineLevel="0" collapsed="false">
      <c r="A124" s="19" t="str">
        <f aca="false">IF($B124="","",119)</f>
        <v/>
      </c>
      <c r="B124" s="12" t="str">
        <f aca="false">IFERROR(INDEX(반품접수!$A$3:$A$1002,MATCH("R"&amp;119,미처리현황!$M$6:$M$1005,0)),"")</f>
        <v/>
      </c>
      <c r="C124" s="20" t="str">
        <f aca="false">IF($B124="","",IFERROR(INDEX(반품접수!$B$3:$B$1002,MATCH("R"&amp;119,미처리현황!$M$6:$M$1005,0)),""))</f>
        <v/>
      </c>
      <c r="D124" s="19" t="str">
        <f aca="true">IF($C124="","",TODAY()-$C124)</f>
        <v/>
      </c>
      <c r="E124" s="12" t="str">
        <f aca="false">IF($B124="","",IFERROR(INDEX(반품접수!$C$3:$C$1002,MATCH("R"&amp;119,미처리현황!$M$6:$M$1005,0)),""))</f>
        <v/>
      </c>
      <c r="F124" s="12" t="str">
        <f aca="false">IF($B124="","",IFERROR(INDEX(반품접수!$E$3:$E$1002,MATCH("R"&amp;119,미처리현황!$M$6:$M$1005,0)),""))</f>
        <v/>
      </c>
      <c r="G124" s="15" t="str">
        <f aca="false">IF($B124="","",IFERROR(INDEX(반품접수!$I$3:$I$1002,MATCH("R"&amp;119,미처리현황!$M$6:$M$1005,0)),""))</f>
        <v/>
      </c>
      <c r="H124" s="15" t="str">
        <f aca="false">IF($B124="","",IFERROR(INDEX(반품접수!$N$3:$N$1002,MATCH("R"&amp;119,미처리현황!$M$6:$M$1005,0)),""))</f>
        <v/>
      </c>
      <c r="I124" s="19" t="str">
        <f aca="false">IF($B124="","",IFERROR(INDEX(반품접수!$O$3:$O$1002,MATCH("R"&amp;119,미처리현황!$M$6:$M$1005,0)),""))</f>
        <v/>
      </c>
      <c r="K124" s="21" t="b">
        <f aca="false">IF(반품접수!$A121="",FALSE(),OR(반품접수!$O121="미처리",반품접수!$O121="부분처리"))</f>
        <v>0</v>
      </c>
      <c r="L124" s="6" t="str">
        <f aca="false">IF($K124=FALSE(),"",COUNTIF($K$6:$K124,TRUE()))</f>
        <v/>
      </c>
      <c r="M124" s="6" t="str">
        <f aca="false">IF($L124="","","R"&amp;$L124)</f>
        <v/>
      </c>
    </row>
    <row r="125" customFormat="false" ht="15" hidden="false" customHeight="true" outlineLevel="0" collapsed="false">
      <c r="A125" s="19" t="str">
        <f aca="false">IF($B125="","",120)</f>
        <v/>
      </c>
      <c r="B125" s="12" t="str">
        <f aca="false">IFERROR(INDEX(반품접수!$A$3:$A$1002,MATCH("R"&amp;120,미처리현황!$M$6:$M$1005,0)),"")</f>
        <v/>
      </c>
      <c r="C125" s="20" t="str">
        <f aca="false">IF($B125="","",IFERROR(INDEX(반품접수!$B$3:$B$1002,MATCH("R"&amp;120,미처리현황!$M$6:$M$1005,0)),""))</f>
        <v/>
      </c>
      <c r="D125" s="19" t="str">
        <f aca="true">IF($C125="","",TODAY()-$C125)</f>
        <v/>
      </c>
      <c r="E125" s="12" t="str">
        <f aca="false">IF($B125="","",IFERROR(INDEX(반품접수!$C$3:$C$1002,MATCH("R"&amp;120,미처리현황!$M$6:$M$1005,0)),""))</f>
        <v/>
      </c>
      <c r="F125" s="12" t="str">
        <f aca="false">IF($B125="","",IFERROR(INDEX(반품접수!$E$3:$E$1002,MATCH("R"&amp;120,미처리현황!$M$6:$M$1005,0)),""))</f>
        <v/>
      </c>
      <c r="G125" s="15" t="str">
        <f aca="false">IF($B125="","",IFERROR(INDEX(반품접수!$I$3:$I$1002,MATCH("R"&amp;120,미처리현황!$M$6:$M$1005,0)),""))</f>
        <v/>
      </c>
      <c r="H125" s="15" t="str">
        <f aca="false">IF($B125="","",IFERROR(INDEX(반품접수!$N$3:$N$1002,MATCH("R"&amp;120,미처리현황!$M$6:$M$1005,0)),""))</f>
        <v/>
      </c>
      <c r="I125" s="19" t="str">
        <f aca="false">IF($B125="","",IFERROR(INDEX(반품접수!$O$3:$O$1002,MATCH("R"&amp;120,미처리현황!$M$6:$M$1005,0)),""))</f>
        <v/>
      </c>
      <c r="K125" s="21" t="b">
        <f aca="false">IF(반품접수!$A122="",FALSE(),OR(반품접수!$O122="미처리",반품접수!$O122="부분처리"))</f>
        <v>0</v>
      </c>
      <c r="L125" s="6" t="str">
        <f aca="false">IF($K125=FALSE(),"",COUNTIF($K$6:$K125,TRUE()))</f>
        <v/>
      </c>
      <c r="M125" s="6" t="str">
        <f aca="false">IF($L125="","","R"&amp;$L125)</f>
        <v/>
      </c>
    </row>
    <row r="126" customFormat="false" ht="15" hidden="false" customHeight="true" outlineLevel="0" collapsed="false">
      <c r="K126" s="21" t="b">
        <f aca="false">IF(반품접수!$A123="",FALSE(),OR(반품접수!$O123="미처리",반품접수!$O123="부분처리"))</f>
        <v>0</v>
      </c>
      <c r="L126" s="6" t="str">
        <f aca="false">IF($K126=FALSE(),"",COUNTIF($K$6:$K126,TRUE()))</f>
        <v/>
      </c>
      <c r="M126" s="6" t="str">
        <f aca="false">IF($L126="","","R"&amp;$L126)</f>
        <v/>
      </c>
    </row>
    <row r="127" customFormat="false" ht="15" hidden="false" customHeight="true" outlineLevel="0" collapsed="false">
      <c r="K127" s="21" t="b">
        <f aca="false">IF(반품접수!$A124="",FALSE(),OR(반품접수!$O124="미처리",반품접수!$O124="부분처리"))</f>
        <v>0</v>
      </c>
      <c r="L127" s="6" t="str">
        <f aca="false">IF($K127=FALSE(),"",COUNTIF($K$6:$K127,TRUE()))</f>
        <v/>
      </c>
      <c r="M127" s="6" t="str">
        <f aca="false">IF($L127="","","R"&amp;$L127)</f>
        <v/>
      </c>
    </row>
    <row r="128" customFormat="false" ht="15" hidden="false" customHeight="true" outlineLevel="0" collapsed="false">
      <c r="A128" s="22" t="s">
        <v>97</v>
      </c>
      <c r="K128" s="21" t="b">
        <f aca="false">IF(반품접수!$A125="",FALSE(),OR(반품접수!$O125="미처리",반품접수!$O125="부분처리"))</f>
        <v>0</v>
      </c>
      <c r="L128" s="6" t="str">
        <f aca="false">IF($K128=FALSE(),"",COUNTIF($K$6:$K128,TRUE()))</f>
        <v/>
      </c>
      <c r="M128" s="6" t="str">
        <f aca="false">IF($L128="","","R"&amp;$L128)</f>
        <v/>
      </c>
    </row>
    <row r="129" customFormat="false" ht="15" hidden="false" customHeight="true" outlineLevel="0" collapsed="false">
      <c r="K129" s="21" t="b">
        <f aca="false">IF(반품접수!$A126="",FALSE(),OR(반품접수!$O126="미처리",반품접수!$O126="부분처리"))</f>
        <v>0</v>
      </c>
      <c r="L129" s="6" t="str">
        <f aca="false">IF($K129=FALSE(),"",COUNTIF($K$6:$K129,TRUE()))</f>
        <v/>
      </c>
      <c r="M129" s="6" t="str">
        <f aca="false">IF($L129="","","R"&amp;$L129)</f>
        <v/>
      </c>
    </row>
    <row r="130" customFormat="false" ht="15" hidden="false" customHeight="true" outlineLevel="0" collapsed="false">
      <c r="K130" s="21" t="b">
        <f aca="false">IF(반품접수!$A127="",FALSE(),OR(반품접수!$O127="미처리",반품접수!$O127="부분처리"))</f>
        <v>0</v>
      </c>
      <c r="L130" s="6" t="str">
        <f aca="false">IF($K130=FALSE(),"",COUNTIF($K$6:$K130,TRUE()))</f>
        <v/>
      </c>
      <c r="M130" s="6" t="str">
        <f aca="false">IF($L130="","","R"&amp;$L130)</f>
        <v/>
      </c>
    </row>
    <row r="131" customFormat="false" ht="15" hidden="false" customHeight="true" outlineLevel="0" collapsed="false">
      <c r="K131" s="21" t="b">
        <f aca="false">IF(반품접수!$A128="",FALSE(),OR(반품접수!$O128="미처리",반품접수!$O128="부분처리"))</f>
        <v>0</v>
      </c>
      <c r="L131" s="6" t="str">
        <f aca="false">IF($K131=FALSE(),"",COUNTIF($K$6:$K131,TRUE()))</f>
        <v/>
      </c>
      <c r="M131" s="6" t="str">
        <f aca="false">IF($L131="","","R"&amp;$L131)</f>
        <v/>
      </c>
    </row>
    <row r="132" customFormat="false" ht="15" hidden="false" customHeight="true" outlineLevel="0" collapsed="false">
      <c r="K132" s="21" t="b">
        <f aca="false">IF(반품접수!$A129="",FALSE(),OR(반품접수!$O129="미처리",반품접수!$O129="부분처리"))</f>
        <v>0</v>
      </c>
      <c r="L132" s="6" t="str">
        <f aca="false">IF($K132=FALSE(),"",COUNTIF($K$6:$K132,TRUE()))</f>
        <v/>
      </c>
      <c r="M132" s="6" t="str">
        <f aca="false">IF($L132="","","R"&amp;$L132)</f>
        <v/>
      </c>
    </row>
    <row r="133" customFormat="false" ht="15" hidden="false" customHeight="true" outlineLevel="0" collapsed="false">
      <c r="K133" s="21" t="b">
        <f aca="false">IF(반품접수!$A130="",FALSE(),OR(반품접수!$O130="미처리",반품접수!$O130="부분처리"))</f>
        <v>0</v>
      </c>
      <c r="L133" s="6" t="str">
        <f aca="false">IF($K133=FALSE(),"",COUNTIF($K$6:$K133,TRUE()))</f>
        <v/>
      </c>
      <c r="M133" s="6" t="str">
        <f aca="false">IF($L133="","","R"&amp;$L133)</f>
        <v/>
      </c>
    </row>
    <row r="134" customFormat="false" ht="15" hidden="false" customHeight="true" outlineLevel="0" collapsed="false">
      <c r="K134" s="21" t="b">
        <f aca="false">IF(반품접수!$A131="",FALSE(),OR(반품접수!$O131="미처리",반품접수!$O131="부분처리"))</f>
        <v>0</v>
      </c>
      <c r="L134" s="6" t="str">
        <f aca="false">IF($K134=FALSE(),"",COUNTIF($K$6:$K134,TRUE()))</f>
        <v/>
      </c>
      <c r="M134" s="6" t="str">
        <f aca="false">IF($L134="","","R"&amp;$L134)</f>
        <v/>
      </c>
    </row>
    <row r="135" customFormat="false" ht="15" hidden="false" customHeight="true" outlineLevel="0" collapsed="false">
      <c r="K135" s="21" t="b">
        <f aca="false">IF(반품접수!$A132="",FALSE(),OR(반품접수!$O132="미처리",반품접수!$O132="부분처리"))</f>
        <v>0</v>
      </c>
      <c r="L135" s="6" t="str">
        <f aca="false">IF($K135=FALSE(),"",COUNTIF($K$6:$K135,TRUE()))</f>
        <v/>
      </c>
      <c r="M135" s="6" t="str">
        <f aca="false">IF($L135="","","R"&amp;$L135)</f>
        <v/>
      </c>
    </row>
    <row r="136" customFormat="false" ht="15" hidden="false" customHeight="true" outlineLevel="0" collapsed="false">
      <c r="K136" s="21" t="b">
        <f aca="false">IF(반품접수!$A133="",FALSE(),OR(반품접수!$O133="미처리",반품접수!$O133="부분처리"))</f>
        <v>0</v>
      </c>
      <c r="L136" s="6" t="str">
        <f aca="false">IF($K136=FALSE(),"",COUNTIF($K$6:$K136,TRUE()))</f>
        <v/>
      </c>
      <c r="M136" s="6" t="str">
        <f aca="false">IF($L136="","","R"&amp;$L136)</f>
        <v/>
      </c>
    </row>
    <row r="137" customFormat="false" ht="15" hidden="false" customHeight="true" outlineLevel="0" collapsed="false">
      <c r="K137" s="21" t="b">
        <f aca="false">IF(반품접수!$A134="",FALSE(),OR(반품접수!$O134="미처리",반품접수!$O134="부분처리"))</f>
        <v>0</v>
      </c>
      <c r="L137" s="6" t="str">
        <f aca="false">IF($K137=FALSE(),"",COUNTIF($K$6:$K137,TRUE()))</f>
        <v/>
      </c>
      <c r="M137" s="6" t="str">
        <f aca="false">IF($L137="","","R"&amp;$L137)</f>
        <v/>
      </c>
    </row>
    <row r="138" customFormat="false" ht="15" hidden="false" customHeight="true" outlineLevel="0" collapsed="false">
      <c r="K138" s="21" t="b">
        <f aca="false">IF(반품접수!$A135="",FALSE(),OR(반품접수!$O135="미처리",반품접수!$O135="부분처리"))</f>
        <v>0</v>
      </c>
      <c r="L138" s="6" t="str">
        <f aca="false">IF($K138=FALSE(),"",COUNTIF($K$6:$K138,TRUE()))</f>
        <v/>
      </c>
      <c r="M138" s="6" t="str">
        <f aca="false">IF($L138="","","R"&amp;$L138)</f>
        <v/>
      </c>
    </row>
    <row r="139" customFormat="false" ht="15" hidden="false" customHeight="true" outlineLevel="0" collapsed="false">
      <c r="K139" s="21" t="b">
        <f aca="false">IF(반품접수!$A136="",FALSE(),OR(반품접수!$O136="미처리",반품접수!$O136="부분처리"))</f>
        <v>0</v>
      </c>
      <c r="L139" s="6" t="str">
        <f aca="false">IF($K139=FALSE(),"",COUNTIF($K$6:$K139,TRUE()))</f>
        <v/>
      </c>
      <c r="M139" s="6" t="str">
        <f aca="false">IF($L139="","","R"&amp;$L139)</f>
        <v/>
      </c>
    </row>
    <row r="140" customFormat="false" ht="15" hidden="false" customHeight="true" outlineLevel="0" collapsed="false">
      <c r="K140" s="21" t="b">
        <f aca="false">IF(반품접수!$A137="",FALSE(),OR(반품접수!$O137="미처리",반품접수!$O137="부분처리"))</f>
        <v>0</v>
      </c>
      <c r="L140" s="6" t="str">
        <f aca="false">IF($K140=FALSE(),"",COUNTIF($K$6:$K140,TRUE()))</f>
        <v/>
      </c>
      <c r="M140" s="6" t="str">
        <f aca="false">IF($L140="","","R"&amp;$L140)</f>
        <v/>
      </c>
    </row>
    <row r="141" customFormat="false" ht="15" hidden="false" customHeight="true" outlineLevel="0" collapsed="false">
      <c r="K141" s="21" t="b">
        <f aca="false">IF(반품접수!$A138="",FALSE(),OR(반품접수!$O138="미처리",반품접수!$O138="부분처리"))</f>
        <v>0</v>
      </c>
      <c r="L141" s="6" t="str">
        <f aca="false">IF($K141=FALSE(),"",COUNTIF($K$6:$K141,TRUE()))</f>
        <v/>
      </c>
      <c r="M141" s="6" t="str">
        <f aca="false">IF($L141="","","R"&amp;$L141)</f>
        <v/>
      </c>
    </row>
    <row r="142" customFormat="false" ht="15" hidden="false" customHeight="true" outlineLevel="0" collapsed="false">
      <c r="K142" s="21" t="b">
        <f aca="false">IF(반품접수!$A139="",FALSE(),OR(반품접수!$O139="미처리",반품접수!$O139="부분처리"))</f>
        <v>0</v>
      </c>
      <c r="L142" s="6" t="str">
        <f aca="false">IF($K142=FALSE(),"",COUNTIF($K$6:$K142,TRUE()))</f>
        <v/>
      </c>
      <c r="M142" s="6" t="str">
        <f aca="false">IF($L142="","","R"&amp;$L142)</f>
        <v/>
      </c>
    </row>
    <row r="143" customFormat="false" ht="15" hidden="false" customHeight="true" outlineLevel="0" collapsed="false">
      <c r="K143" s="21" t="b">
        <f aca="false">IF(반품접수!$A140="",FALSE(),OR(반품접수!$O140="미처리",반품접수!$O140="부분처리"))</f>
        <v>0</v>
      </c>
      <c r="L143" s="6" t="str">
        <f aca="false">IF($K143=FALSE(),"",COUNTIF($K$6:$K143,TRUE()))</f>
        <v/>
      </c>
      <c r="M143" s="6" t="str">
        <f aca="false">IF($L143="","","R"&amp;$L143)</f>
        <v/>
      </c>
    </row>
    <row r="144" customFormat="false" ht="15" hidden="false" customHeight="true" outlineLevel="0" collapsed="false">
      <c r="K144" s="21" t="b">
        <f aca="false">IF(반품접수!$A141="",FALSE(),OR(반품접수!$O141="미처리",반품접수!$O141="부분처리"))</f>
        <v>0</v>
      </c>
      <c r="L144" s="6" t="str">
        <f aca="false">IF($K144=FALSE(),"",COUNTIF($K$6:$K144,TRUE()))</f>
        <v/>
      </c>
      <c r="M144" s="6" t="str">
        <f aca="false">IF($L144="","","R"&amp;$L144)</f>
        <v/>
      </c>
    </row>
    <row r="145" customFormat="false" ht="15" hidden="false" customHeight="true" outlineLevel="0" collapsed="false">
      <c r="K145" s="21" t="b">
        <f aca="false">IF(반품접수!$A142="",FALSE(),OR(반품접수!$O142="미처리",반품접수!$O142="부분처리"))</f>
        <v>0</v>
      </c>
      <c r="L145" s="6" t="str">
        <f aca="false">IF($K145=FALSE(),"",COUNTIF($K$6:$K145,TRUE()))</f>
        <v/>
      </c>
      <c r="M145" s="6" t="str">
        <f aca="false">IF($L145="","","R"&amp;$L145)</f>
        <v/>
      </c>
    </row>
    <row r="146" customFormat="false" ht="15" hidden="false" customHeight="true" outlineLevel="0" collapsed="false">
      <c r="K146" s="21" t="b">
        <f aca="false">IF(반품접수!$A143="",FALSE(),OR(반품접수!$O143="미처리",반품접수!$O143="부분처리"))</f>
        <v>0</v>
      </c>
      <c r="L146" s="6" t="str">
        <f aca="false">IF($K146=FALSE(),"",COUNTIF($K$6:$K146,TRUE()))</f>
        <v/>
      </c>
      <c r="M146" s="6" t="str">
        <f aca="false">IF($L146="","","R"&amp;$L146)</f>
        <v/>
      </c>
    </row>
    <row r="147" customFormat="false" ht="15" hidden="false" customHeight="true" outlineLevel="0" collapsed="false">
      <c r="K147" s="21" t="b">
        <f aca="false">IF(반품접수!$A144="",FALSE(),OR(반품접수!$O144="미처리",반품접수!$O144="부분처리"))</f>
        <v>0</v>
      </c>
      <c r="L147" s="6" t="str">
        <f aca="false">IF($K147=FALSE(),"",COUNTIF($K$6:$K147,TRUE()))</f>
        <v/>
      </c>
      <c r="M147" s="6" t="str">
        <f aca="false">IF($L147="","","R"&amp;$L147)</f>
        <v/>
      </c>
    </row>
    <row r="148" customFormat="false" ht="15" hidden="false" customHeight="true" outlineLevel="0" collapsed="false">
      <c r="K148" s="21" t="b">
        <f aca="false">IF(반품접수!$A145="",FALSE(),OR(반품접수!$O145="미처리",반품접수!$O145="부분처리"))</f>
        <v>0</v>
      </c>
      <c r="L148" s="6" t="str">
        <f aca="false">IF($K148=FALSE(),"",COUNTIF($K$6:$K148,TRUE()))</f>
        <v/>
      </c>
      <c r="M148" s="6" t="str">
        <f aca="false">IF($L148="","","R"&amp;$L148)</f>
        <v/>
      </c>
    </row>
    <row r="149" customFormat="false" ht="15" hidden="false" customHeight="true" outlineLevel="0" collapsed="false">
      <c r="K149" s="21" t="b">
        <f aca="false">IF(반품접수!$A146="",FALSE(),OR(반품접수!$O146="미처리",반품접수!$O146="부분처리"))</f>
        <v>0</v>
      </c>
      <c r="L149" s="6" t="str">
        <f aca="false">IF($K149=FALSE(),"",COUNTIF($K$6:$K149,TRUE()))</f>
        <v/>
      </c>
      <c r="M149" s="6" t="str">
        <f aca="false">IF($L149="","","R"&amp;$L149)</f>
        <v/>
      </c>
    </row>
    <row r="150" customFormat="false" ht="15" hidden="false" customHeight="true" outlineLevel="0" collapsed="false">
      <c r="K150" s="21" t="b">
        <f aca="false">IF(반품접수!$A147="",FALSE(),OR(반품접수!$O147="미처리",반품접수!$O147="부분처리"))</f>
        <v>0</v>
      </c>
      <c r="L150" s="6" t="str">
        <f aca="false">IF($K150=FALSE(),"",COUNTIF($K$6:$K150,TRUE()))</f>
        <v/>
      </c>
      <c r="M150" s="6" t="str">
        <f aca="false">IF($L150="","","R"&amp;$L150)</f>
        <v/>
      </c>
    </row>
    <row r="151" customFormat="false" ht="15" hidden="false" customHeight="true" outlineLevel="0" collapsed="false">
      <c r="K151" s="21" t="b">
        <f aca="false">IF(반품접수!$A148="",FALSE(),OR(반품접수!$O148="미처리",반품접수!$O148="부분처리"))</f>
        <v>0</v>
      </c>
      <c r="L151" s="6" t="str">
        <f aca="false">IF($K151=FALSE(),"",COUNTIF($K$6:$K151,TRUE()))</f>
        <v/>
      </c>
      <c r="M151" s="6" t="str">
        <f aca="false">IF($L151="","","R"&amp;$L151)</f>
        <v/>
      </c>
    </row>
    <row r="152" customFormat="false" ht="15" hidden="false" customHeight="true" outlineLevel="0" collapsed="false">
      <c r="K152" s="21" t="b">
        <f aca="false">IF(반품접수!$A149="",FALSE(),OR(반품접수!$O149="미처리",반품접수!$O149="부분처리"))</f>
        <v>0</v>
      </c>
      <c r="L152" s="6" t="str">
        <f aca="false">IF($K152=FALSE(),"",COUNTIF($K$6:$K152,TRUE()))</f>
        <v/>
      </c>
      <c r="M152" s="6" t="str">
        <f aca="false">IF($L152="","","R"&amp;$L152)</f>
        <v/>
      </c>
    </row>
    <row r="153" customFormat="false" ht="15" hidden="false" customHeight="true" outlineLevel="0" collapsed="false">
      <c r="K153" s="21" t="b">
        <f aca="false">IF(반품접수!$A150="",FALSE(),OR(반품접수!$O150="미처리",반품접수!$O150="부분처리"))</f>
        <v>0</v>
      </c>
      <c r="L153" s="6" t="str">
        <f aca="false">IF($K153=FALSE(),"",COUNTIF($K$6:$K153,TRUE()))</f>
        <v/>
      </c>
      <c r="M153" s="6" t="str">
        <f aca="false">IF($L153="","","R"&amp;$L153)</f>
        <v/>
      </c>
    </row>
    <row r="154" customFormat="false" ht="15" hidden="false" customHeight="true" outlineLevel="0" collapsed="false">
      <c r="K154" s="21" t="b">
        <f aca="false">IF(반품접수!$A151="",FALSE(),OR(반품접수!$O151="미처리",반품접수!$O151="부분처리"))</f>
        <v>0</v>
      </c>
      <c r="L154" s="6" t="str">
        <f aca="false">IF($K154=FALSE(),"",COUNTIF($K$6:$K154,TRUE()))</f>
        <v/>
      </c>
      <c r="M154" s="6" t="str">
        <f aca="false">IF($L154="","","R"&amp;$L154)</f>
        <v/>
      </c>
    </row>
    <row r="155" customFormat="false" ht="15" hidden="false" customHeight="true" outlineLevel="0" collapsed="false">
      <c r="K155" s="21" t="b">
        <f aca="false">IF(반품접수!$A152="",FALSE(),OR(반품접수!$O152="미처리",반품접수!$O152="부분처리"))</f>
        <v>0</v>
      </c>
      <c r="L155" s="6" t="str">
        <f aca="false">IF($K155=FALSE(),"",COUNTIF($K$6:$K155,TRUE()))</f>
        <v/>
      </c>
      <c r="M155" s="6" t="str">
        <f aca="false">IF($L155="","","R"&amp;$L155)</f>
        <v/>
      </c>
    </row>
    <row r="156" customFormat="false" ht="15" hidden="false" customHeight="true" outlineLevel="0" collapsed="false">
      <c r="K156" s="21" t="b">
        <f aca="false">IF(반품접수!$A153="",FALSE(),OR(반품접수!$O153="미처리",반품접수!$O153="부분처리"))</f>
        <v>0</v>
      </c>
      <c r="L156" s="6" t="str">
        <f aca="false">IF($K156=FALSE(),"",COUNTIF($K$6:$K156,TRUE()))</f>
        <v/>
      </c>
      <c r="M156" s="6" t="str">
        <f aca="false">IF($L156="","","R"&amp;$L156)</f>
        <v/>
      </c>
    </row>
    <row r="157" customFormat="false" ht="15" hidden="false" customHeight="true" outlineLevel="0" collapsed="false">
      <c r="K157" s="21" t="b">
        <f aca="false">IF(반품접수!$A154="",FALSE(),OR(반품접수!$O154="미처리",반품접수!$O154="부분처리"))</f>
        <v>0</v>
      </c>
      <c r="L157" s="6" t="str">
        <f aca="false">IF($K157=FALSE(),"",COUNTIF($K$6:$K157,TRUE()))</f>
        <v/>
      </c>
      <c r="M157" s="6" t="str">
        <f aca="false">IF($L157="","","R"&amp;$L157)</f>
        <v/>
      </c>
    </row>
    <row r="158" customFormat="false" ht="15" hidden="false" customHeight="true" outlineLevel="0" collapsed="false">
      <c r="K158" s="21" t="b">
        <f aca="false">IF(반품접수!$A155="",FALSE(),OR(반품접수!$O155="미처리",반품접수!$O155="부분처리"))</f>
        <v>0</v>
      </c>
      <c r="L158" s="6" t="str">
        <f aca="false">IF($K158=FALSE(),"",COUNTIF($K$6:$K158,TRUE()))</f>
        <v/>
      </c>
      <c r="M158" s="6" t="str">
        <f aca="false">IF($L158="","","R"&amp;$L158)</f>
        <v/>
      </c>
    </row>
    <row r="159" customFormat="false" ht="15" hidden="false" customHeight="true" outlineLevel="0" collapsed="false">
      <c r="K159" s="21" t="b">
        <f aca="false">IF(반품접수!$A156="",FALSE(),OR(반품접수!$O156="미처리",반품접수!$O156="부분처리"))</f>
        <v>0</v>
      </c>
      <c r="L159" s="6" t="str">
        <f aca="false">IF($K159=FALSE(),"",COUNTIF($K$6:$K159,TRUE()))</f>
        <v/>
      </c>
      <c r="M159" s="6" t="str">
        <f aca="false">IF($L159="","","R"&amp;$L159)</f>
        <v/>
      </c>
    </row>
    <row r="160" customFormat="false" ht="15" hidden="false" customHeight="true" outlineLevel="0" collapsed="false">
      <c r="K160" s="21" t="b">
        <f aca="false">IF(반품접수!$A157="",FALSE(),OR(반품접수!$O157="미처리",반품접수!$O157="부분처리"))</f>
        <v>0</v>
      </c>
      <c r="L160" s="6" t="str">
        <f aca="false">IF($K160=FALSE(),"",COUNTIF($K$6:$K160,TRUE()))</f>
        <v/>
      </c>
      <c r="M160" s="6" t="str">
        <f aca="false">IF($L160="","","R"&amp;$L160)</f>
        <v/>
      </c>
    </row>
    <row r="161" customFormat="false" ht="15" hidden="false" customHeight="true" outlineLevel="0" collapsed="false">
      <c r="K161" s="21" t="b">
        <f aca="false">IF(반품접수!$A158="",FALSE(),OR(반품접수!$O158="미처리",반품접수!$O158="부분처리"))</f>
        <v>0</v>
      </c>
      <c r="L161" s="6" t="str">
        <f aca="false">IF($K161=FALSE(),"",COUNTIF($K$6:$K161,TRUE()))</f>
        <v/>
      </c>
      <c r="M161" s="6" t="str">
        <f aca="false">IF($L161="","","R"&amp;$L161)</f>
        <v/>
      </c>
    </row>
    <row r="162" customFormat="false" ht="15" hidden="false" customHeight="true" outlineLevel="0" collapsed="false">
      <c r="K162" s="21" t="b">
        <f aca="false">IF(반품접수!$A159="",FALSE(),OR(반품접수!$O159="미처리",반품접수!$O159="부분처리"))</f>
        <v>0</v>
      </c>
      <c r="L162" s="6" t="str">
        <f aca="false">IF($K162=FALSE(),"",COUNTIF($K$6:$K162,TRUE()))</f>
        <v/>
      </c>
      <c r="M162" s="6" t="str">
        <f aca="false">IF($L162="","","R"&amp;$L162)</f>
        <v/>
      </c>
    </row>
    <row r="163" customFormat="false" ht="15" hidden="false" customHeight="true" outlineLevel="0" collapsed="false">
      <c r="K163" s="21" t="b">
        <f aca="false">IF(반품접수!$A160="",FALSE(),OR(반품접수!$O160="미처리",반품접수!$O160="부분처리"))</f>
        <v>0</v>
      </c>
      <c r="L163" s="6" t="str">
        <f aca="false">IF($K163=FALSE(),"",COUNTIF($K$6:$K163,TRUE()))</f>
        <v/>
      </c>
      <c r="M163" s="6" t="str">
        <f aca="false">IF($L163="","","R"&amp;$L163)</f>
        <v/>
      </c>
    </row>
    <row r="164" customFormat="false" ht="15" hidden="false" customHeight="true" outlineLevel="0" collapsed="false">
      <c r="K164" s="21" t="b">
        <f aca="false">IF(반품접수!$A161="",FALSE(),OR(반품접수!$O161="미처리",반품접수!$O161="부분처리"))</f>
        <v>0</v>
      </c>
      <c r="L164" s="6" t="str">
        <f aca="false">IF($K164=FALSE(),"",COUNTIF($K$6:$K164,TRUE()))</f>
        <v/>
      </c>
      <c r="M164" s="6" t="str">
        <f aca="false">IF($L164="","","R"&amp;$L164)</f>
        <v/>
      </c>
    </row>
    <row r="165" customFormat="false" ht="15" hidden="false" customHeight="true" outlineLevel="0" collapsed="false">
      <c r="K165" s="21" t="b">
        <f aca="false">IF(반품접수!$A162="",FALSE(),OR(반품접수!$O162="미처리",반품접수!$O162="부분처리"))</f>
        <v>0</v>
      </c>
      <c r="L165" s="6" t="str">
        <f aca="false">IF($K165=FALSE(),"",COUNTIF($K$6:$K165,TRUE()))</f>
        <v/>
      </c>
      <c r="M165" s="6" t="str">
        <f aca="false">IF($L165="","","R"&amp;$L165)</f>
        <v/>
      </c>
    </row>
    <row r="166" customFormat="false" ht="15" hidden="false" customHeight="true" outlineLevel="0" collapsed="false">
      <c r="K166" s="21" t="b">
        <f aca="false">IF(반품접수!$A163="",FALSE(),OR(반품접수!$O163="미처리",반품접수!$O163="부분처리"))</f>
        <v>0</v>
      </c>
      <c r="L166" s="6" t="str">
        <f aca="false">IF($K166=FALSE(),"",COUNTIF($K$6:$K166,TRUE()))</f>
        <v/>
      </c>
      <c r="M166" s="6" t="str">
        <f aca="false">IF($L166="","","R"&amp;$L166)</f>
        <v/>
      </c>
    </row>
    <row r="167" customFormat="false" ht="15" hidden="false" customHeight="true" outlineLevel="0" collapsed="false">
      <c r="K167" s="21" t="b">
        <f aca="false">IF(반품접수!$A164="",FALSE(),OR(반품접수!$O164="미처리",반품접수!$O164="부분처리"))</f>
        <v>0</v>
      </c>
      <c r="L167" s="6" t="str">
        <f aca="false">IF($K167=FALSE(),"",COUNTIF($K$6:$K167,TRUE()))</f>
        <v/>
      </c>
      <c r="M167" s="6" t="str">
        <f aca="false">IF($L167="","","R"&amp;$L167)</f>
        <v/>
      </c>
    </row>
    <row r="168" customFormat="false" ht="15" hidden="false" customHeight="true" outlineLevel="0" collapsed="false">
      <c r="K168" s="21" t="b">
        <f aca="false">IF(반품접수!$A165="",FALSE(),OR(반품접수!$O165="미처리",반품접수!$O165="부분처리"))</f>
        <v>0</v>
      </c>
      <c r="L168" s="6" t="str">
        <f aca="false">IF($K168=FALSE(),"",COUNTIF($K$6:$K168,TRUE()))</f>
        <v/>
      </c>
      <c r="M168" s="6" t="str">
        <f aca="false">IF($L168="","","R"&amp;$L168)</f>
        <v/>
      </c>
    </row>
    <row r="169" customFormat="false" ht="15" hidden="false" customHeight="true" outlineLevel="0" collapsed="false">
      <c r="K169" s="21" t="b">
        <f aca="false">IF(반품접수!$A166="",FALSE(),OR(반품접수!$O166="미처리",반품접수!$O166="부분처리"))</f>
        <v>0</v>
      </c>
      <c r="L169" s="6" t="str">
        <f aca="false">IF($K169=FALSE(),"",COUNTIF($K$6:$K169,TRUE()))</f>
        <v/>
      </c>
      <c r="M169" s="6" t="str">
        <f aca="false">IF($L169="","","R"&amp;$L169)</f>
        <v/>
      </c>
    </row>
    <row r="170" customFormat="false" ht="15" hidden="false" customHeight="true" outlineLevel="0" collapsed="false">
      <c r="K170" s="21" t="b">
        <f aca="false">IF(반품접수!$A167="",FALSE(),OR(반품접수!$O167="미처리",반품접수!$O167="부분처리"))</f>
        <v>0</v>
      </c>
      <c r="L170" s="6" t="str">
        <f aca="false">IF($K170=FALSE(),"",COUNTIF($K$6:$K170,TRUE()))</f>
        <v/>
      </c>
      <c r="M170" s="6" t="str">
        <f aca="false">IF($L170="","","R"&amp;$L170)</f>
        <v/>
      </c>
    </row>
    <row r="171" customFormat="false" ht="15" hidden="false" customHeight="true" outlineLevel="0" collapsed="false">
      <c r="K171" s="21" t="b">
        <f aca="false">IF(반품접수!$A168="",FALSE(),OR(반품접수!$O168="미처리",반품접수!$O168="부분처리"))</f>
        <v>0</v>
      </c>
      <c r="L171" s="6" t="str">
        <f aca="false">IF($K171=FALSE(),"",COUNTIF($K$6:$K171,TRUE()))</f>
        <v/>
      </c>
      <c r="M171" s="6" t="str">
        <f aca="false">IF($L171="","","R"&amp;$L171)</f>
        <v/>
      </c>
    </row>
    <row r="172" customFormat="false" ht="15" hidden="false" customHeight="true" outlineLevel="0" collapsed="false">
      <c r="K172" s="21" t="b">
        <f aca="false">IF(반품접수!$A169="",FALSE(),OR(반품접수!$O169="미처리",반품접수!$O169="부분처리"))</f>
        <v>0</v>
      </c>
      <c r="L172" s="6" t="str">
        <f aca="false">IF($K172=FALSE(),"",COUNTIF($K$6:$K172,TRUE()))</f>
        <v/>
      </c>
      <c r="M172" s="6" t="str">
        <f aca="false">IF($L172="","","R"&amp;$L172)</f>
        <v/>
      </c>
    </row>
    <row r="173" customFormat="false" ht="15" hidden="false" customHeight="true" outlineLevel="0" collapsed="false">
      <c r="K173" s="21" t="b">
        <f aca="false">IF(반품접수!$A170="",FALSE(),OR(반품접수!$O170="미처리",반품접수!$O170="부분처리"))</f>
        <v>0</v>
      </c>
      <c r="L173" s="6" t="str">
        <f aca="false">IF($K173=FALSE(),"",COUNTIF($K$6:$K173,TRUE()))</f>
        <v/>
      </c>
      <c r="M173" s="6" t="str">
        <f aca="false">IF($L173="","","R"&amp;$L173)</f>
        <v/>
      </c>
    </row>
    <row r="174" customFormat="false" ht="15" hidden="false" customHeight="true" outlineLevel="0" collapsed="false">
      <c r="K174" s="21" t="b">
        <f aca="false">IF(반품접수!$A171="",FALSE(),OR(반품접수!$O171="미처리",반품접수!$O171="부분처리"))</f>
        <v>0</v>
      </c>
      <c r="L174" s="6" t="str">
        <f aca="false">IF($K174=FALSE(),"",COUNTIF($K$6:$K174,TRUE()))</f>
        <v/>
      </c>
      <c r="M174" s="6" t="str">
        <f aca="false">IF($L174="","","R"&amp;$L174)</f>
        <v/>
      </c>
    </row>
    <row r="175" customFormat="false" ht="15" hidden="false" customHeight="true" outlineLevel="0" collapsed="false">
      <c r="K175" s="21" t="b">
        <f aca="false">IF(반품접수!$A172="",FALSE(),OR(반품접수!$O172="미처리",반품접수!$O172="부분처리"))</f>
        <v>0</v>
      </c>
      <c r="L175" s="6" t="str">
        <f aca="false">IF($K175=FALSE(),"",COUNTIF($K$6:$K175,TRUE()))</f>
        <v/>
      </c>
      <c r="M175" s="6" t="str">
        <f aca="false">IF($L175="","","R"&amp;$L175)</f>
        <v/>
      </c>
    </row>
    <row r="176" customFormat="false" ht="15" hidden="false" customHeight="true" outlineLevel="0" collapsed="false">
      <c r="K176" s="21" t="b">
        <f aca="false">IF(반품접수!$A173="",FALSE(),OR(반품접수!$O173="미처리",반품접수!$O173="부분처리"))</f>
        <v>0</v>
      </c>
      <c r="L176" s="6" t="str">
        <f aca="false">IF($K176=FALSE(),"",COUNTIF($K$6:$K176,TRUE()))</f>
        <v/>
      </c>
      <c r="M176" s="6" t="str">
        <f aca="false">IF($L176="","","R"&amp;$L176)</f>
        <v/>
      </c>
    </row>
    <row r="177" customFormat="false" ht="15" hidden="false" customHeight="true" outlineLevel="0" collapsed="false">
      <c r="K177" s="21" t="b">
        <f aca="false">IF(반품접수!$A174="",FALSE(),OR(반품접수!$O174="미처리",반품접수!$O174="부분처리"))</f>
        <v>0</v>
      </c>
      <c r="L177" s="6" t="str">
        <f aca="false">IF($K177=FALSE(),"",COUNTIF($K$6:$K177,TRUE()))</f>
        <v/>
      </c>
      <c r="M177" s="6" t="str">
        <f aca="false">IF($L177="","","R"&amp;$L177)</f>
        <v/>
      </c>
    </row>
    <row r="178" customFormat="false" ht="15" hidden="false" customHeight="true" outlineLevel="0" collapsed="false">
      <c r="K178" s="21" t="b">
        <f aca="false">IF(반품접수!$A175="",FALSE(),OR(반품접수!$O175="미처리",반품접수!$O175="부분처리"))</f>
        <v>0</v>
      </c>
      <c r="L178" s="6" t="str">
        <f aca="false">IF($K178=FALSE(),"",COUNTIF($K$6:$K178,TRUE()))</f>
        <v/>
      </c>
      <c r="M178" s="6" t="str">
        <f aca="false">IF($L178="","","R"&amp;$L178)</f>
        <v/>
      </c>
    </row>
    <row r="179" customFormat="false" ht="15" hidden="false" customHeight="true" outlineLevel="0" collapsed="false">
      <c r="K179" s="21" t="b">
        <f aca="false">IF(반품접수!$A176="",FALSE(),OR(반품접수!$O176="미처리",반품접수!$O176="부분처리"))</f>
        <v>0</v>
      </c>
      <c r="L179" s="6" t="str">
        <f aca="false">IF($K179=FALSE(),"",COUNTIF($K$6:$K179,TRUE()))</f>
        <v/>
      </c>
      <c r="M179" s="6" t="str">
        <f aca="false">IF($L179="","","R"&amp;$L179)</f>
        <v/>
      </c>
    </row>
    <row r="180" customFormat="false" ht="15" hidden="false" customHeight="true" outlineLevel="0" collapsed="false">
      <c r="K180" s="21" t="b">
        <f aca="false">IF(반품접수!$A177="",FALSE(),OR(반품접수!$O177="미처리",반품접수!$O177="부분처리"))</f>
        <v>0</v>
      </c>
      <c r="L180" s="6" t="str">
        <f aca="false">IF($K180=FALSE(),"",COUNTIF($K$6:$K180,TRUE()))</f>
        <v/>
      </c>
      <c r="M180" s="6" t="str">
        <f aca="false">IF($L180="","","R"&amp;$L180)</f>
        <v/>
      </c>
    </row>
    <row r="181" customFormat="false" ht="15" hidden="false" customHeight="true" outlineLevel="0" collapsed="false">
      <c r="K181" s="21" t="b">
        <f aca="false">IF(반품접수!$A178="",FALSE(),OR(반품접수!$O178="미처리",반품접수!$O178="부분처리"))</f>
        <v>0</v>
      </c>
      <c r="L181" s="6" t="str">
        <f aca="false">IF($K181=FALSE(),"",COUNTIF($K$6:$K181,TRUE()))</f>
        <v/>
      </c>
      <c r="M181" s="6" t="str">
        <f aca="false">IF($L181="","","R"&amp;$L181)</f>
        <v/>
      </c>
    </row>
    <row r="182" customFormat="false" ht="15" hidden="false" customHeight="true" outlineLevel="0" collapsed="false">
      <c r="K182" s="21" t="b">
        <f aca="false">IF(반품접수!$A179="",FALSE(),OR(반품접수!$O179="미처리",반품접수!$O179="부분처리"))</f>
        <v>0</v>
      </c>
      <c r="L182" s="6" t="str">
        <f aca="false">IF($K182=FALSE(),"",COUNTIF($K$6:$K182,TRUE()))</f>
        <v/>
      </c>
      <c r="M182" s="6" t="str">
        <f aca="false">IF($L182="","","R"&amp;$L182)</f>
        <v/>
      </c>
    </row>
    <row r="183" customFormat="false" ht="15" hidden="false" customHeight="true" outlineLevel="0" collapsed="false">
      <c r="K183" s="21" t="b">
        <f aca="false">IF(반품접수!$A180="",FALSE(),OR(반품접수!$O180="미처리",반품접수!$O180="부분처리"))</f>
        <v>0</v>
      </c>
      <c r="L183" s="6" t="str">
        <f aca="false">IF($K183=FALSE(),"",COUNTIF($K$6:$K183,TRUE()))</f>
        <v/>
      </c>
      <c r="M183" s="6" t="str">
        <f aca="false">IF($L183="","","R"&amp;$L183)</f>
        <v/>
      </c>
    </row>
    <row r="184" customFormat="false" ht="15" hidden="false" customHeight="true" outlineLevel="0" collapsed="false">
      <c r="K184" s="21" t="b">
        <f aca="false">IF(반품접수!$A181="",FALSE(),OR(반품접수!$O181="미처리",반품접수!$O181="부분처리"))</f>
        <v>0</v>
      </c>
      <c r="L184" s="6" t="str">
        <f aca="false">IF($K184=FALSE(),"",COUNTIF($K$6:$K184,TRUE()))</f>
        <v/>
      </c>
      <c r="M184" s="6" t="str">
        <f aca="false">IF($L184="","","R"&amp;$L184)</f>
        <v/>
      </c>
    </row>
    <row r="185" customFormat="false" ht="15" hidden="false" customHeight="true" outlineLevel="0" collapsed="false">
      <c r="K185" s="21" t="b">
        <f aca="false">IF(반품접수!$A182="",FALSE(),OR(반품접수!$O182="미처리",반품접수!$O182="부분처리"))</f>
        <v>0</v>
      </c>
      <c r="L185" s="6" t="str">
        <f aca="false">IF($K185=FALSE(),"",COUNTIF($K$6:$K185,TRUE()))</f>
        <v/>
      </c>
      <c r="M185" s="6" t="str">
        <f aca="false">IF($L185="","","R"&amp;$L185)</f>
        <v/>
      </c>
    </row>
    <row r="186" customFormat="false" ht="15" hidden="false" customHeight="true" outlineLevel="0" collapsed="false">
      <c r="K186" s="21" t="b">
        <f aca="false">IF(반품접수!$A183="",FALSE(),OR(반품접수!$O183="미처리",반품접수!$O183="부분처리"))</f>
        <v>0</v>
      </c>
      <c r="L186" s="6" t="str">
        <f aca="false">IF($K186=FALSE(),"",COUNTIF($K$6:$K186,TRUE()))</f>
        <v/>
      </c>
      <c r="M186" s="6" t="str">
        <f aca="false">IF($L186="","","R"&amp;$L186)</f>
        <v/>
      </c>
    </row>
    <row r="187" customFormat="false" ht="15" hidden="false" customHeight="true" outlineLevel="0" collapsed="false">
      <c r="K187" s="21" t="b">
        <f aca="false">IF(반품접수!$A184="",FALSE(),OR(반품접수!$O184="미처리",반품접수!$O184="부분처리"))</f>
        <v>0</v>
      </c>
      <c r="L187" s="6" t="str">
        <f aca="false">IF($K187=FALSE(),"",COUNTIF($K$6:$K187,TRUE()))</f>
        <v/>
      </c>
      <c r="M187" s="6" t="str">
        <f aca="false">IF($L187="","","R"&amp;$L187)</f>
        <v/>
      </c>
    </row>
    <row r="188" customFormat="false" ht="15" hidden="false" customHeight="true" outlineLevel="0" collapsed="false">
      <c r="K188" s="21" t="b">
        <f aca="false">IF(반품접수!$A185="",FALSE(),OR(반품접수!$O185="미처리",반품접수!$O185="부분처리"))</f>
        <v>0</v>
      </c>
      <c r="L188" s="6" t="str">
        <f aca="false">IF($K188=FALSE(),"",COUNTIF($K$6:$K188,TRUE()))</f>
        <v/>
      </c>
      <c r="M188" s="6" t="str">
        <f aca="false">IF($L188="","","R"&amp;$L188)</f>
        <v/>
      </c>
    </row>
    <row r="189" customFormat="false" ht="15" hidden="false" customHeight="true" outlineLevel="0" collapsed="false">
      <c r="K189" s="21" t="b">
        <f aca="false">IF(반품접수!$A186="",FALSE(),OR(반품접수!$O186="미처리",반품접수!$O186="부분처리"))</f>
        <v>0</v>
      </c>
      <c r="L189" s="6" t="str">
        <f aca="false">IF($K189=FALSE(),"",COUNTIF($K$6:$K189,TRUE()))</f>
        <v/>
      </c>
      <c r="M189" s="6" t="str">
        <f aca="false">IF($L189="","","R"&amp;$L189)</f>
        <v/>
      </c>
    </row>
    <row r="190" customFormat="false" ht="15" hidden="false" customHeight="true" outlineLevel="0" collapsed="false">
      <c r="K190" s="21" t="b">
        <f aca="false">IF(반품접수!$A187="",FALSE(),OR(반품접수!$O187="미처리",반품접수!$O187="부분처리"))</f>
        <v>0</v>
      </c>
      <c r="L190" s="6" t="str">
        <f aca="false">IF($K190=FALSE(),"",COUNTIF($K$6:$K190,TRUE()))</f>
        <v/>
      </c>
      <c r="M190" s="6" t="str">
        <f aca="false">IF($L190="","","R"&amp;$L190)</f>
        <v/>
      </c>
    </row>
    <row r="191" customFormat="false" ht="15" hidden="false" customHeight="true" outlineLevel="0" collapsed="false">
      <c r="K191" s="21" t="b">
        <f aca="false">IF(반품접수!$A188="",FALSE(),OR(반품접수!$O188="미처리",반품접수!$O188="부분처리"))</f>
        <v>0</v>
      </c>
      <c r="L191" s="6" t="str">
        <f aca="false">IF($K191=FALSE(),"",COUNTIF($K$6:$K191,TRUE()))</f>
        <v/>
      </c>
      <c r="M191" s="6" t="str">
        <f aca="false">IF($L191="","","R"&amp;$L191)</f>
        <v/>
      </c>
    </row>
    <row r="192" customFormat="false" ht="15" hidden="false" customHeight="true" outlineLevel="0" collapsed="false">
      <c r="K192" s="21" t="b">
        <f aca="false">IF(반품접수!$A189="",FALSE(),OR(반품접수!$O189="미처리",반품접수!$O189="부분처리"))</f>
        <v>0</v>
      </c>
      <c r="L192" s="6" t="str">
        <f aca="false">IF($K192=FALSE(),"",COUNTIF($K$6:$K192,TRUE()))</f>
        <v/>
      </c>
      <c r="M192" s="6" t="str">
        <f aca="false">IF($L192="","","R"&amp;$L192)</f>
        <v/>
      </c>
    </row>
    <row r="193" customFormat="false" ht="15" hidden="false" customHeight="true" outlineLevel="0" collapsed="false">
      <c r="K193" s="21" t="b">
        <f aca="false">IF(반품접수!$A190="",FALSE(),OR(반품접수!$O190="미처리",반품접수!$O190="부분처리"))</f>
        <v>0</v>
      </c>
      <c r="L193" s="6" t="str">
        <f aca="false">IF($K193=FALSE(),"",COUNTIF($K$6:$K193,TRUE()))</f>
        <v/>
      </c>
      <c r="M193" s="6" t="str">
        <f aca="false">IF($L193="","","R"&amp;$L193)</f>
        <v/>
      </c>
    </row>
    <row r="194" customFormat="false" ht="15" hidden="false" customHeight="true" outlineLevel="0" collapsed="false">
      <c r="K194" s="21" t="b">
        <f aca="false">IF(반품접수!$A191="",FALSE(),OR(반품접수!$O191="미처리",반품접수!$O191="부분처리"))</f>
        <v>0</v>
      </c>
      <c r="L194" s="6" t="str">
        <f aca="false">IF($K194=FALSE(),"",COUNTIF($K$6:$K194,TRUE()))</f>
        <v/>
      </c>
      <c r="M194" s="6" t="str">
        <f aca="false">IF($L194="","","R"&amp;$L194)</f>
        <v/>
      </c>
    </row>
    <row r="195" customFormat="false" ht="15" hidden="false" customHeight="true" outlineLevel="0" collapsed="false">
      <c r="K195" s="21" t="b">
        <f aca="false">IF(반품접수!$A192="",FALSE(),OR(반품접수!$O192="미처리",반품접수!$O192="부분처리"))</f>
        <v>0</v>
      </c>
      <c r="L195" s="6" t="str">
        <f aca="false">IF($K195=FALSE(),"",COUNTIF($K$6:$K195,TRUE()))</f>
        <v/>
      </c>
      <c r="M195" s="6" t="str">
        <f aca="false">IF($L195="","","R"&amp;$L195)</f>
        <v/>
      </c>
    </row>
    <row r="196" customFormat="false" ht="15" hidden="false" customHeight="true" outlineLevel="0" collapsed="false">
      <c r="K196" s="21" t="b">
        <f aca="false">IF(반품접수!$A193="",FALSE(),OR(반품접수!$O193="미처리",반품접수!$O193="부분처리"))</f>
        <v>0</v>
      </c>
      <c r="L196" s="6" t="str">
        <f aca="false">IF($K196=FALSE(),"",COUNTIF($K$6:$K196,TRUE()))</f>
        <v/>
      </c>
      <c r="M196" s="6" t="str">
        <f aca="false">IF($L196="","","R"&amp;$L196)</f>
        <v/>
      </c>
    </row>
    <row r="197" customFormat="false" ht="15" hidden="false" customHeight="true" outlineLevel="0" collapsed="false">
      <c r="K197" s="21" t="b">
        <f aca="false">IF(반품접수!$A194="",FALSE(),OR(반품접수!$O194="미처리",반품접수!$O194="부분처리"))</f>
        <v>0</v>
      </c>
      <c r="L197" s="6" t="str">
        <f aca="false">IF($K197=FALSE(),"",COUNTIF($K$6:$K197,TRUE()))</f>
        <v/>
      </c>
      <c r="M197" s="6" t="str">
        <f aca="false">IF($L197="","","R"&amp;$L197)</f>
        <v/>
      </c>
    </row>
    <row r="198" customFormat="false" ht="15" hidden="false" customHeight="true" outlineLevel="0" collapsed="false">
      <c r="K198" s="21" t="b">
        <f aca="false">IF(반품접수!$A195="",FALSE(),OR(반품접수!$O195="미처리",반품접수!$O195="부분처리"))</f>
        <v>0</v>
      </c>
      <c r="L198" s="6" t="str">
        <f aca="false">IF($K198=FALSE(),"",COUNTIF($K$6:$K198,TRUE()))</f>
        <v/>
      </c>
      <c r="M198" s="6" t="str">
        <f aca="false">IF($L198="","","R"&amp;$L198)</f>
        <v/>
      </c>
    </row>
    <row r="199" customFormat="false" ht="15" hidden="false" customHeight="true" outlineLevel="0" collapsed="false">
      <c r="K199" s="21" t="b">
        <f aca="false">IF(반품접수!$A196="",FALSE(),OR(반품접수!$O196="미처리",반품접수!$O196="부분처리"))</f>
        <v>0</v>
      </c>
      <c r="L199" s="6" t="str">
        <f aca="false">IF($K199=FALSE(),"",COUNTIF($K$6:$K199,TRUE()))</f>
        <v/>
      </c>
      <c r="M199" s="6" t="str">
        <f aca="false">IF($L199="","","R"&amp;$L199)</f>
        <v/>
      </c>
    </row>
    <row r="200" customFormat="false" ht="15" hidden="false" customHeight="true" outlineLevel="0" collapsed="false">
      <c r="K200" s="21" t="b">
        <f aca="false">IF(반품접수!$A197="",FALSE(),OR(반품접수!$O197="미처리",반품접수!$O197="부분처리"))</f>
        <v>0</v>
      </c>
      <c r="L200" s="6" t="str">
        <f aca="false">IF($K200=FALSE(),"",COUNTIF($K$6:$K200,TRUE()))</f>
        <v/>
      </c>
      <c r="M200" s="6" t="str">
        <f aca="false">IF($L200="","","R"&amp;$L200)</f>
        <v/>
      </c>
    </row>
    <row r="201" customFormat="false" ht="15" hidden="false" customHeight="true" outlineLevel="0" collapsed="false">
      <c r="K201" s="21" t="b">
        <f aca="false">IF(반품접수!$A198="",FALSE(),OR(반품접수!$O198="미처리",반품접수!$O198="부분처리"))</f>
        <v>0</v>
      </c>
      <c r="L201" s="6" t="str">
        <f aca="false">IF($K201=FALSE(),"",COUNTIF($K$6:$K201,TRUE()))</f>
        <v/>
      </c>
      <c r="M201" s="6" t="str">
        <f aca="false">IF($L201="","","R"&amp;$L201)</f>
        <v/>
      </c>
    </row>
    <row r="202" customFormat="false" ht="15" hidden="false" customHeight="true" outlineLevel="0" collapsed="false">
      <c r="K202" s="21" t="b">
        <f aca="false">IF(반품접수!$A199="",FALSE(),OR(반품접수!$O199="미처리",반품접수!$O199="부분처리"))</f>
        <v>0</v>
      </c>
      <c r="L202" s="6" t="str">
        <f aca="false">IF($K202=FALSE(),"",COUNTIF($K$6:$K202,TRUE()))</f>
        <v/>
      </c>
      <c r="M202" s="6" t="str">
        <f aca="false">IF($L202="","","R"&amp;$L202)</f>
        <v/>
      </c>
    </row>
    <row r="203" customFormat="false" ht="15" hidden="false" customHeight="true" outlineLevel="0" collapsed="false">
      <c r="K203" s="21" t="b">
        <f aca="false">IF(반품접수!$A200="",FALSE(),OR(반품접수!$O200="미처리",반품접수!$O200="부분처리"))</f>
        <v>0</v>
      </c>
      <c r="L203" s="6" t="str">
        <f aca="false">IF($K203=FALSE(),"",COUNTIF($K$6:$K203,TRUE()))</f>
        <v/>
      </c>
      <c r="M203" s="6" t="str">
        <f aca="false">IF($L203="","","R"&amp;$L203)</f>
        <v/>
      </c>
    </row>
    <row r="204" customFormat="false" ht="15" hidden="false" customHeight="true" outlineLevel="0" collapsed="false">
      <c r="K204" s="21" t="b">
        <f aca="false">IF(반품접수!$A201="",FALSE(),OR(반품접수!$O201="미처리",반품접수!$O201="부분처리"))</f>
        <v>0</v>
      </c>
      <c r="L204" s="6" t="str">
        <f aca="false">IF($K204=FALSE(),"",COUNTIF($K$6:$K204,TRUE()))</f>
        <v/>
      </c>
      <c r="M204" s="6" t="str">
        <f aca="false">IF($L204="","","R"&amp;$L204)</f>
        <v/>
      </c>
    </row>
    <row r="205" customFormat="false" ht="15" hidden="false" customHeight="true" outlineLevel="0" collapsed="false">
      <c r="K205" s="21" t="b">
        <f aca="false">IF(반품접수!$A202="",FALSE(),OR(반품접수!$O202="미처리",반품접수!$O202="부분처리"))</f>
        <v>0</v>
      </c>
      <c r="L205" s="6" t="str">
        <f aca="false">IF($K205=FALSE(),"",COUNTIF($K$6:$K205,TRUE()))</f>
        <v/>
      </c>
      <c r="M205" s="6" t="str">
        <f aca="false">IF($L205="","","R"&amp;$L205)</f>
        <v/>
      </c>
    </row>
    <row r="206" customFormat="false" ht="15" hidden="false" customHeight="true" outlineLevel="0" collapsed="false">
      <c r="K206" s="21" t="b">
        <f aca="false">IF(반품접수!$A203="",FALSE(),OR(반품접수!$O203="미처리",반품접수!$O203="부분처리"))</f>
        <v>0</v>
      </c>
      <c r="L206" s="6" t="str">
        <f aca="false">IF($K206=FALSE(),"",COUNTIF($K$6:$K206,TRUE()))</f>
        <v/>
      </c>
      <c r="M206" s="6" t="str">
        <f aca="false">IF($L206="","","R"&amp;$L206)</f>
        <v/>
      </c>
    </row>
    <row r="207" customFormat="false" ht="15" hidden="false" customHeight="true" outlineLevel="0" collapsed="false">
      <c r="K207" s="21" t="b">
        <f aca="false">IF(반품접수!$A204="",FALSE(),OR(반품접수!$O204="미처리",반품접수!$O204="부분처리"))</f>
        <v>0</v>
      </c>
      <c r="L207" s="6" t="str">
        <f aca="false">IF($K207=FALSE(),"",COUNTIF($K$6:$K207,TRUE()))</f>
        <v/>
      </c>
      <c r="M207" s="6" t="str">
        <f aca="false">IF($L207="","","R"&amp;$L207)</f>
        <v/>
      </c>
    </row>
    <row r="208" customFormat="false" ht="15" hidden="false" customHeight="true" outlineLevel="0" collapsed="false">
      <c r="K208" s="21" t="b">
        <f aca="false">IF(반품접수!$A205="",FALSE(),OR(반품접수!$O205="미처리",반품접수!$O205="부분처리"))</f>
        <v>0</v>
      </c>
      <c r="L208" s="6" t="str">
        <f aca="false">IF($K208=FALSE(),"",COUNTIF($K$6:$K208,TRUE()))</f>
        <v/>
      </c>
      <c r="M208" s="6" t="str">
        <f aca="false">IF($L208="","","R"&amp;$L208)</f>
        <v/>
      </c>
    </row>
    <row r="209" customFormat="false" ht="15" hidden="false" customHeight="true" outlineLevel="0" collapsed="false">
      <c r="K209" s="21" t="b">
        <f aca="false">IF(반품접수!$A206="",FALSE(),OR(반품접수!$O206="미처리",반품접수!$O206="부분처리"))</f>
        <v>0</v>
      </c>
      <c r="L209" s="6" t="str">
        <f aca="false">IF($K209=FALSE(),"",COUNTIF($K$6:$K209,TRUE()))</f>
        <v/>
      </c>
      <c r="M209" s="6" t="str">
        <f aca="false">IF($L209="","","R"&amp;$L209)</f>
        <v/>
      </c>
    </row>
    <row r="210" customFormat="false" ht="15" hidden="false" customHeight="true" outlineLevel="0" collapsed="false">
      <c r="K210" s="21" t="b">
        <f aca="false">IF(반품접수!$A207="",FALSE(),OR(반품접수!$O207="미처리",반품접수!$O207="부분처리"))</f>
        <v>0</v>
      </c>
      <c r="L210" s="6" t="str">
        <f aca="false">IF($K210=FALSE(),"",COUNTIF($K$6:$K210,TRUE()))</f>
        <v/>
      </c>
      <c r="M210" s="6" t="str">
        <f aca="false">IF($L210="","","R"&amp;$L210)</f>
        <v/>
      </c>
    </row>
    <row r="211" customFormat="false" ht="15" hidden="false" customHeight="true" outlineLevel="0" collapsed="false">
      <c r="K211" s="21" t="b">
        <f aca="false">IF(반품접수!$A208="",FALSE(),OR(반품접수!$O208="미처리",반품접수!$O208="부분처리"))</f>
        <v>0</v>
      </c>
      <c r="L211" s="6" t="str">
        <f aca="false">IF($K211=FALSE(),"",COUNTIF($K$6:$K211,TRUE()))</f>
        <v/>
      </c>
      <c r="M211" s="6" t="str">
        <f aca="false">IF($L211="","","R"&amp;$L211)</f>
        <v/>
      </c>
    </row>
    <row r="212" customFormat="false" ht="15" hidden="false" customHeight="true" outlineLevel="0" collapsed="false">
      <c r="K212" s="21" t="b">
        <f aca="false">IF(반품접수!$A209="",FALSE(),OR(반품접수!$O209="미처리",반품접수!$O209="부분처리"))</f>
        <v>0</v>
      </c>
      <c r="L212" s="6" t="str">
        <f aca="false">IF($K212=FALSE(),"",COUNTIF($K$6:$K212,TRUE()))</f>
        <v/>
      </c>
      <c r="M212" s="6" t="str">
        <f aca="false">IF($L212="","","R"&amp;$L212)</f>
        <v/>
      </c>
    </row>
    <row r="213" customFormat="false" ht="15" hidden="false" customHeight="true" outlineLevel="0" collapsed="false">
      <c r="K213" s="21" t="b">
        <f aca="false">IF(반품접수!$A210="",FALSE(),OR(반품접수!$O210="미처리",반품접수!$O210="부분처리"))</f>
        <v>0</v>
      </c>
      <c r="L213" s="6" t="str">
        <f aca="false">IF($K213=FALSE(),"",COUNTIF($K$6:$K213,TRUE()))</f>
        <v/>
      </c>
      <c r="M213" s="6" t="str">
        <f aca="false">IF($L213="","","R"&amp;$L213)</f>
        <v/>
      </c>
    </row>
    <row r="214" customFormat="false" ht="15" hidden="false" customHeight="true" outlineLevel="0" collapsed="false">
      <c r="K214" s="21" t="b">
        <f aca="false">IF(반품접수!$A211="",FALSE(),OR(반품접수!$O211="미처리",반품접수!$O211="부분처리"))</f>
        <v>0</v>
      </c>
      <c r="L214" s="6" t="str">
        <f aca="false">IF($K214=FALSE(),"",COUNTIF($K$6:$K214,TRUE()))</f>
        <v/>
      </c>
      <c r="M214" s="6" t="str">
        <f aca="false">IF($L214="","","R"&amp;$L214)</f>
        <v/>
      </c>
    </row>
    <row r="215" customFormat="false" ht="15" hidden="false" customHeight="true" outlineLevel="0" collapsed="false">
      <c r="K215" s="21" t="b">
        <f aca="false">IF(반품접수!$A212="",FALSE(),OR(반품접수!$O212="미처리",반품접수!$O212="부분처리"))</f>
        <v>0</v>
      </c>
      <c r="L215" s="6" t="str">
        <f aca="false">IF($K215=FALSE(),"",COUNTIF($K$6:$K215,TRUE()))</f>
        <v/>
      </c>
      <c r="M215" s="6" t="str">
        <f aca="false">IF($L215="","","R"&amp;$L215)</f>
        <v/>
      </c>
    </row>
    <row r="216" customFormat="false" ht="15" hidden="false" customHeight="true" outlineLevel="0" collapsed="false">
      <c r="K216" s="21" t="b">
        <f aca="false">IF(반품접수!$A213="",FALSE(),OR(반품접수!$O213="미처리",반품접수!$O213="부분처리"))</f>
        <v>0</v>
      </c>
      <c r="L216" s="6" t="str">
        <f aca="false">IF($K216=FALSE(),"",COUNTIF($K$6:$K216,TRUE()))</f>
        <v/>
      </c>
      <c r="M216" s="6" t="str">
        <f aca="false">IF($L216="","","R"&amp;$L216)</f>
        <v/>
      </c>
    </row>
    <row r="217" customFormat="false" ht="15" hidden="false" customHeight="true" outlineLevel="0" collapsed="false">
      <c r="K217" s="21" t="b">
        <f aca="false">IF(반품접수!$A214="",FALSE(),OR(반품접수!$O214="미처리",반품접수!$O214="부분처리"))</f>
        <v>0</v>
      </c>
      <c r="L217" s="6" t="str">
        <f aca="false">IF($K217=FALSE(),"",COUNTIF($K$6:$K217,TRUE()))</f>
        <v/>
      </c>
      <c r="M217" s="6" t="str">
        <f aca="false">IF($L217="","","R"&amp;$L217)</f>
        <v/>
      </c>
    </row>
    <row r="218" customFormat="false" ht="15" hidden="false" customHeight="true" outlineLevel="0" collapsed="false">
      <c r="K218" s="21" t="b">
        <f aca="false">IF(반품접수!$A215="",FALSE(),OR(반품접수!$O215="미처리",반품접수!$O215="부분처리"))</f>
        <v>0</v>
      </c>
      <c r="L218" s="6" t="str">
        <f aca="false">IF($K218=FALSE(),"",COUNTIF($K$6:$K218,TRUE()))</f>
        <v/>
      </c>
      <c r="M218" s="6" t="str">
        <f aca="false">IF($L218="","","R"&amp;$L218)</f>
        <v/>
      </c>
    </row>
    <row r="219" customFormat="false" ht="15" hidden="false" customHeight="true" outlineLevel="0" collapsed="false">
      <c r="K219" s="21" t="b">
        <f aca="false">IF(반품접수!$A216="",FALSE(),OR(반품접수!$O216="미처리",반품접수!$O216="부분처리"))</f>
        <v>0</v>
      </c>
      <c r="L219" s="6" t="str">
        <f aca="false">IF($K219=FALSE(),"",COUNTIF($K$6:$K219,TRUE()))</f>
        <v/>
      </c>
      <c r="M219" s="6" t="str">
        <f aca="false">IF($L219="","","R"&amp;$L219)</f>
        <v/>
      </c>
    </row>
    <row r="220" customFormat="false" ht="15" hidden="false" customHeight="true" outlineLevel="0" collapsed="false">
      <c r="K220" s="21" t="b">
        <f aca="false">IF(반품접수!$A217="",FALSE(),OR(반품접수!$O217="미처리",반품접수!$O217="부분처리"))</f>
        <v>0</v>
      </c>
      <c r="L220" s="6" t="str">
        <f aca="false">IF($K220=FALSE(),"",COUNTIF($K$6:$K220,TRUE()))</f>
        <v/>
      </c>
      <c r="M220" s="6" t="str">
        <f aca="false">IF($L220="","","R"&amp;$L220)</f>
        <v/>
      </c>
    </row>
    <row r="221" customFormat="false" ht="15" hidden="false" customHeight="true" outlineLevel="0" collapsed="false">
      <c r="K221" s="21" t="b">
        <f aca="false">IF(반품접수!$A218="",FALSE(),OR(반품접수!$O218="미처리",반품접수!$O218="부분처리"))</f>
        <v>0</v>
      </c>
      <c r="L221" s="6" t="str">
        <f aca="false">IF($K221=FALSE(),"",COUNTIF($K$6:$K221,TRUE()))</f>
        <v/>
      </c>
      <c r="M221" s="6" t="str">
        <f aca="false">IF($L221="","","R"&amp;$L221)</f>
        <v/>
      </c>
    </row>
    <row r="222" customFormat="false" ht="15" hidden="false" customHeight="true" outlineLevel="0" collapsed="false">
      <c r="K222" s="21" t="b">
        <f aca="false">IF(반품접수!$A219="",FALSE(),OR(반품접수!$O219="미처리",반품접수!$O219="부분처리"))</f>
        <v>0</v>
      </c>
      <c r="L222" s="6" t="str">
        <f aca="false">IF($K222=FALSE(),"",COUNTIF($K$6:$K222,TRUE()))</f>
        <v/>
      </c>
      <c r="M222" s="6" t="str">
        <f aca="false">IF($L222="","","R"&amp;$L222)</f>
        <v/>
      </c>
    </row>
    <row r="223" customFormat="false" ht="15" hidden="false" customHeight="true" outlineLevel="0" collapsed="false">
      <c r="K223" s="21" t="b">
        <f aca="false">IF(반품접수!$A220="",FALSE(),OR(반품접수!$O220="미처리",반품접수!$O220="부분처리"))</f>
        <v>0</v>
      </c>
      <c r="L223" s="6" t="str">
        <f aca="false">IF($K223=FALSE(),"",COUNTIF($K$6:$K223,TRUE()))</f>
        <v/>
      </c>
      <c r="M223" s="6" t="str">
        <f aca="false">IF($L223="","","R"&amp;$L223)</f>
        <v/>
      </c>
    </row>
    <row r="224" customFormat="false" ht="15" hidden="false" customHeight="true" outlineLevel="0" collapsed="false">
      <c r="K224" s="21" t="b">
        <f aca="false">IF(반품접수!$A221="",FALSE(),OR(반품접수!$O221="미처리",반품접수!$O221="부분처리"))</f>
        <v>0</v>
      </c>
      <c r="L224" s="6" t="str">
        <f aca="false">IF($K224=FALSE(),"",COUNTIF($K$6:$K224,TRUE()))</f>
        <v/>
      </c>
      <c r="M224" s="6" t="str">
        <f aca="false">IF($L224="","","R"&amp;$L224)</f>
        <v/>
      </c>
    </row>
    <row r="225" customFormat="false" ht="15" hidden="false" customHeight="true" outlineLevel="0" collapsed="false">
      <c r="K225" s="21" t="b">
        <f aca="false">IF(반품접수!$A222="",FALSE(),OR(반품접수!$O222="미처리",반품접수!$O222="부분처리"))</f>
        <v>0</v>
      </c>
      <c r="L225" s="6" t="str">
        <f aca="false">IF($K225=FALSE(),"",COUNTIF($K$6:$K225,TRUE()))</f>
        <v/>
      </c>
      <c r="M225" s="6" t="str">
        <f aca="false">IF($L225="","","R"&amp;$L225)</f>
        <v/>
      </c>
    </row>
    <row r="226" customFormat="false" ht="15" hidden="false" customHeight="true" outlineLevel="0" collapsed="false">
      <c r="K226" s="21" t="b">
        <f aca="false">IF(반품접수!$A223="",FALSE(),OR(반품접수!$O223="미처리",반품접수!$O223="부분처리"))</f>
        <v>0</v>
      </c>
      <c r="L226" s="6" t="str">
        <f aca="false">IF($K226=FALSE(),"",COUNTIF($K$6:$K226,TRUE()))</f>
        <v/>
      </c>
      <c r="M226" s="6" t="str">
        <f aca="false">IF($L226="","","R"&amp;$L226)</f>
        <v/>
      </c>
    </row>
    <row r="227" customFormat="false" ht="15" hidden="false" customHeight="true" outlineLevel="0" collapsed="false">
      <c r="K227" s="21" t="b">
        <f aca="false">IF(반품접수!$A224="",FALSE(),OR(반품접수!$O224="미처리",반품접수!$O224="부분처리"))</f>
        <v>0</v>
      </c>
      <c r="L227" s="6" t="str">
        <f aca="false">IF($K227=FALSE(),"",COUNTIF($K$6:$K227,TRUE()))</f>
        <v/>
      </c>
      <c r="M227" s="6" t="str">
        <f aca="false">IF($L227="","","R"&amp;$L227)</f>
        <v/>
      </c>
    </row>
    <row r="228" customFormat="false" ht="15" hidden="false" customHeight="true" outlineLevel="0" collapsed="false">
      <c r="K228" s="21" t="b">
        <f aca="false">IF(반품접수!$A225="",FALSE(),OR(반품접수!$O225="미처리",반품접수!$O225="부분처리"))</f>
        <v>0</v>
      </c>
      <c r="L228" s="6" t="str">
        <f aca="false">IF($K228=FALSE(),"",COUNTIF($K$6:$K228,TRUE()))</f>
        <v/>
      </c>
      <c r="M228" s="6" t="str">
        <f aca="false">IF($L228="","","R"&amp;$L228)</f>
        <v/>
      </c>
    </row>
    <row r="229" customFormat="false" ht="15" hidden="false" customHeight="true" outlineLevel="0" collapsed="false">
      <c r="K229" s="21" t="b">
        <f aca="false">IF(반품접수!$A226="",FALSE(),OR(반품접수!$O226="미처리",반품접수!$O226="부분처리"))</f>
        <v>0</v>
      </c>
      <c r="L229" s="6" t="str">
        <f aca="false">IF($K229=FALSE(),"",COUNTIF($K$6:$K229,TRUE()))</f>
        <v/>
      </c>
      <c r="M229" s="6" t="str">
        <f aca="false">IF($L229="","","R"&amp;$L229)</f>
        <v/>
      </c>
    </row>
    <row r="230" customFormat="false" ht="15" hidden="false" customHeight="true" outlineLevel="0" collapsed="false">
      <c r="K230" s="21" t="b">
        <f aca="false">IF(반품접수!$A227="",FALSE(),OR(반품접수!$O227="미처리",반품접수!$O227="부분처리"))</f>
        <v>0</v>
      </c>
      <c r="L230" s="6" t="str">
        <f aca="false">IF($K230=FALSE(),"",COUNTIF($K$6:$K230,TRUE()))</f>
        <v/>
      </c>
      <c r="M230" s="6" t="str">
        <f aca="false">IF($L230="","","R"&amp;$L230)</f>
        <v/>
      </c>
    </row>
    <row r="231" customFormat="false" ht="15" hidden="false" customHeight="true" outlineLevel="0" collapsed="false">
      <c r="K231" s="21" t="b">
        <f aca="false">IF(반품접수!$A228="",FALSE(),OR(반품접수!$O228="미처리",반품접수!$O228="부분처리"))</f>
        <v>0</v>
      </c>
      <c r="L231" s="6" t="str">
        <f aca="false">IF($K231=FALSE(),"",COUNTIF($K$6:$K231,TRUE()))</f>
        <v/>
      </c>
      <c r="M231" s="6" t="str">
        <f aca="false">IF($L231="","","R"&amp;$L231)</f>
        <v/>
      </c>
    </row>
    <row r="232" customFormat="false" ht="15" hidden="false" customHeight="true" outlineLevel="0" collapsed="false">
      <c r="K232" s="21" t="b">
        <f aca="false">IF(반품접수!$A229="",FALSE(),OR(반품접수!$O229="미처리",반품접수!$O229="부분처리"))</f>
        <v>0</v>
      </c>
      <c r="L232" s="6" t="str">
        <f aca="false">IF($K232=FALSE(),"",COUNTIF($K$6:$K232,TRUE()))</f>
        <v/>
      </c>
      <c r="M232" s="6" t="str">
        <f aca="false">IF($L232="","","R"&amp;$L232)</f>
        <v/>
      </c>
    </row>
    <row r="233" customFormat="false" ht="15" hidden="false" customHeight="true" outlineLevel="0" collapsed="false">
      <c r="K233" s="21" t="b">
        <f aca="false">IF(반품접수!$A230="",FALSE(),OR(반품접수!$O230="미처리",반품접수!$O230="부분처리"))</f>
        <v>0</v>
      </c>
      <c r="L233" s="6" t="str">
        <f aca="false">IF($K233=FALSE(),"",COUNTIF($K$6:$K233,TRUE()))</f>
        <v/>
      </c>
      <c r="M233" s="6" t="str">
        <f aca="false">IF($L233="","","R"&amp;$L233)</f>
        <v/>
      </c>
    </row>
    <row r="234" customFormat="false" ht="15" hidden="false" customHeight="true" outlineLevel="0" collapsed="false">
      <c r="K234" s="21" t="b">
        <f aca="false">IF(반품접수!$A231="",FALSE(),OR(반품접수!$O231="미처리",반품접수!$O231="부분처리"))</f>
        <v>0</v>
      </c>
      <c r="L234" s="6" t="str">
        <f aca="false">IF($K234=FALSE(),"",COUNTIF($K$6:$K234,TRUE()))</f>
        <v/>
      </c>
      <c r="M234" s="6" t="str">
        <f aca="false">IF($L234="","","R"&amp;$L234)</f>
        <v/>
      </c>
    </row>
    <row r="235" customFormat="false" ht="15" hidden="false" customHeight="true" outlineLevel="0" collapsed="false">
      <c r="K235" s="21" t="b">
        <f aca="false">IF(반품접수!$A232="",FALSE(),OR(반품접수!$O232="미처리",반품접수!$O232="부분처리"))</f>
        <v>0</v>
      </c>
      <c r="L235" s="6" t="str">
        <f aca="false">IF($K235=FALSE(),"",COUNTIF($K$6:$K235,TRUE()))</f>
        <v/>
      </c>
      <c r="M235" s="6" t="str">
        <f aca="false">IF($L235="","","R"&amp;$L235)</f>
        <v/>
      </c>
    </row>
    <row r="236" customFormat="false" ht="15" hidden="false" customHeight="true" outlineLevel="0" collapsed="false">
      <c r="K236" s="21" t="b">
        <f aca="false">IF(반품접수!$A233="",FALSE(),OR(반품접수!$O233="미처리",반품접수!$O233="부분처리"))</f>
        <v>0</v>
      </c>
      <c r="L236" s="6" t="str">
        <f aca="false">IF($K236=FALSE(),"",COUNTIF($K$6:$K236,TRUE()))</f>
        <v/>
      </c>
      <c r="M236" s="6" t="str">
        <f aca="false">IF($L236="","","R"&amp;$L236)</f>
        <v/>
      </c>
    </row>
    <row r="237" customFormat="false" ht="15" hidden="false" customHeight="true" outlineLevel="0" collapsed="false">
      <c r="K237" s="21" t="b">
        <f aca="false">IF(반품접수!$A234="",FALSE(),OR(반품접수!$O234="미처리",반품접수!$O234="부분처리"))</f>
        <v>0</v>
      </c>
      <c r="L237" s="6" t="str">
        <f aca="false">IF($K237=FALSE(),"",COUNTIF($K$6:$K237,TRUE()))</f>
        <v/>
      </c>
      <c r="M237" s="6" t="str">
        <f aca="false">IF($L237="","","R"&amp;$L237)</f>
        <v/>
      </c>
    </row>
    <row r="238" customFormat="false" ht="15" hidden="false" customHeight="true" outlineLevel="0" collapsed="false">
      <c r="K238" s="21" t="b">
        <f aca="false">IF(반품접수!$A235="",FALSE(),OR(반품접수!$O235="미처리",반품접수!$O235="부분처리"))</f>
        <v>0</v>
      </c>
      <c r="L238" s="6" t="str">
        <f aca="false">IF($K238=FALSE(),"",COUNTIF($K$6:$K238,TRUE()))</f>
        <v/>
      </c>
      <c r="M238" s="6" t="str">
        <f aca="false">IF($L238="","","R"&amp;$L238)</f>
        <v/>
      </c>
    </row>
    <row r="239" customFormat="false" ht="15" hidden="false" customHeight="true" outlineLevel="0" collapsed="false">
      <c r="K239" s="21" t="b">
        <f aca="false">IF(반품접수!$A236="",FALSE(),OR(반품접수!$O236="미처리",반품접수!$O236="부분처리"))</f>
        <v>0</v>
      </c>
      <c r="L239" s="6" t="str">
        <f aca="false">IF($K239=FALSE(),"",COUNTIF($K$6:$K239,TRUE()))</f>
        <v/>
      </c>
      <c r="M239" s="6" t="str">
        <f aca="false">IF($L239="","","R"&amp;$L239)</f>
        <v/>
      </c>
    </row>
    <row r="240" customFormat="false" ht="15" hidden="false" customHeight="true" outlineLevel="0" collapsed="false">
      <c r="K240" s="21" t="b">
        <f aca="false">IF(반품접수!$A237="",FALSE(),OR(반품접수!$O237="미처리",반품접수!$O237="부분처리"))</f>
        <v>0</v>
      </c>
      <c r="L240" s="6" t="str">
        <f aca="false">IF($K240=FALSE(),"",COUNTIF($K$6:$K240,TRUE()))</f>
        <v/>
      </c>
      <c r="M240" s="6" t="str">
        <f aca="false">IF($L240="","","R"&amp;$L240)</f>
        <v/>
      </c>
    </row>
    <row r="241" customFormat="false" ht="15" hidden="false" customHeight="true" outlineLevel="0" collapsed="false">
      <c r="K241" s="21" t="b">
        <f aca="false">IF(반품접수!$A238="",FALSE(),OR(반품접수!$O238="미처리",반품접수!$O238="부분처리"))</f>
        <v>0</v>
      </c>
      <c r="L241" s="6" t="str">
        <f aca="false">IF($K241=FALSE(),"",COUNTIF($K$6:$K241,TRUE()))</f>
        <v/>
      </c>
      <c r="M241" s="6" t="str">
        <f aca="false">IF($L241="","","R"&amp;$L241)</f>
        <v/>
      </c>
    </row>
    <row r="242" customFormat="false" ht="15" hidden="false" customHeight="true" outlineLevel="0" collapsed="false">
      <c r="K242" s="21" t="b">
        <f aca="false">IF(반품접수!$A239="",FALSE(),OR(반품접수!$O239="미처리",반품접수!$O239="부분처리"))</f>
        <v>0</v>
      </c>
      <c r="L242" s="6" t="str">
        <f aca="false">IF($K242=FALSE(),"",COUNTIF($K$6:$K242,TRUE()))</f>
        <v/>
      </c>
      <c r="M242" s="6" t="str">
        <f aca="false">IF($L242="","","R"&amp;$L242)</f>
        <v/>
      </c>
    </row>
    <row r="243" customFormat="false" ht="15" hidden="false" customHeight="true" outlineLevel="0" collapsed="false">
      <c r="K243" s="21" t="b">
        <f aca="false">IF(반품접수!$A240="",FALSE(),OR(반품접수!$O240="미처리",반품접수!$O240="부분처리"))</f>
        <v>0</v>
      </c>
      <c r="L243" s="6" t="str">
        <f aca="false">IF($K243=FALSE(),"",COUNTIF($K$6:$K243,TRUE()))</f>
        <v/>
      </c>
      <c r="M243" s="6" t="str">
        <f aca="false">IF($L243="","","R"&amp;$L243)</f>
        <v/>
      </c>
    </row>
    <row r="244" customFormat="false" ht="15" hidden="false" customHeight="true" outlineLevel="0" collapsed="false">
      <c r="K244" s="21" t="b">
        <f aca="false">IF(반품접수!$A241="",FALSE(),OR(반품접수!$O241="미처리",반품접수!$O241="부분처리"))</f>
        <v>0</v>
      </c>
      <c r="L244" s="6" t="str">
        <f aca="false">IF($K244=FALSE(),"",COUNTIF($K$6:$K244,TRUE()))</f>
        <v/>
      </c>
      <c r="M244" s="6" t="str">
        <f aca="false">IF($L244="","","R"&amp;$L244)</f>
        <v/>
      </c>
    </row>
    <row r="245" customFormat="false" ht="15" hidden="false" customHeight="true" outlineLevel="0" collapsed="false">
      <c r="K245" s="21" t="b">
        <f aca="false">IF(반품접수!$A242="",FALSE(),OR(반품접수!$O242="미처리",반품접수!$O242="부분처리"))</f>
        <v>0</v>
      </c>
      <c r="L245" s="6" t="str">
        <f aca="false">IF($K245=FALSE(),"",COUNTIF($K$6:$K245,TRUE()))</f>
        <v/>
      </c>
      <c r="M245" s="6" t="str">
        <f aca="false">IF($L245="","","R"&amp;$L245)</f>
        <v/>
      </c>
    </row>
    <row r="246" customFormat="false" ht="15" hidden="false" customHeight="true" outlineLevel="0" collapsed="false">
      <c r="K246" s="21" t="b">
        <f aca="false">IF(반품접수!$A243="",FALSE(),OR(반품접수!$O243="미처리",반품접수!$O243="부분처리"))</f>
        <v>0</v>
      </c>
      <c r="L246" s="6" t="str">
        <f aca="false">IF($K246=FALSE(),"",COUNTIF($K$6:$K246,TRUE()))</f>
        <v/>
      </c>
      <c r="M246" s="6" t="str">
        <f aca="false">IF($L246="","","R"&amp;$L246)</f>
        <v/>
      </c>
    </row>
    <row r="247" customFormat="false" ht="15" hidden="false" customHeight="true" outlineLevel="0" collapsed="false">
      <c r="K247" s="21" t="b">
        <f aca="false">IF(반품접수!$A244="",FALSE(),OR(반품접수!$O244="미처리",반품접수!$O244="부분처리"))</f>
        <v>0</v>
      </c>
      <c r="L247" s="6" t="str">
        <f aca="false">IF($K247=FALSE(),"",COUNTIF($K$6:$K247,TRUE()))</f>
        <v/>
      </c>
      <c r="M247" s="6" t="str">
        <f aca="false">IF($L247="","","R"&amp;$L247)</f>
        <v/>
      </c>
    </row>
    <row r="248" customFormat="false" ht="15" hidden="false" customHeight="true" outlineLevel="0" collapsed="false">
      <c r="K248" s="21" t="b">
        <f aca="false">IF(반품접수!$A245="",FALSE(),OR(반품접수!$O245="미처리",반품접수!$O245="부분처리"))</f>
        <v>0</v>
      </c>
      <c r="L248" s="6" t="str">
        <f aca="false">IF($K248=FALSE(),"",COUNTIF($K$6:$K248,TRUE()))</f>
        <v/>
      </c>
      <c r="M248" s="6" t="str">
        <f aca="false">IF($L248="","","R"&amp;$L248)</f>
        <v/>
      </c>
    </row>
    <row r="249" customFormat="false" ht="15" hidden="false" customHeight="true" outlineLevel="0" collapsed="false">
      <c r="K249" s="21" t="b">
        <f aca="false">IF(반품접수!$A246="",FALSE(),OR(반품접수!$O246="미처리",반품접수!$O246="부분처리"))</f>
        <v>0</v>
      </c>
      <c r="L249" s="6" t="str">
        <f aca="false">IF($K249=FALSE(),"",COUNTIF($K$6:$K249,TRUE()))</f>
        <v/>
      </c>
      <c r="M249" s="6" t="str">
        <f aca="false">IF($L249="","","R"&amp;$L249)</f>
        <v/>
      </c>
    </row>
    <row r="250" customFormat="false" ht="15" hidden="false" customHeight="true" outlineLevel="0" collapsed="false">
      <c r="K250" s="21" t="b">
        <f aca="false">IF(반품접수!$A247="",FALSE(),OR(반품접수!$O247="미처리",반품접수!$O247="부분처리"))</f>
        <v>0</v>
      </c>
      <c r="L250" s="6" t="str">
        <f aca="false">IF($K250=FALSE(),"",COUNTIF($K$6:$K250,TRUE()))</f>
        <v/>
      </c>
      <c r="M250" s="6" t="str">
        <f aca="false">IF($L250="","","R"&amp;$L250)</f>
        <v/>
      </c>
    </row>
    <row r="251" customFormat="false" ht="15" hidden="false" customHeight="true" outlineLevel="0" collapsed="false">
      <c r="K251" s="21" t="b">
        <f aca="false">IF(반품접수!$A248="",FALSE(),OR(반품접수!$O248="미처리",반품접수!$O248="부분처리"))</f>
        <v>0</v>
      </c>
      <c r="L251" s="6" t="str">
        <f aca="false">IF($K251=FALSE(),"",COUNTIF($K$6:$K251,TRUE()))</f>
        <v/>
      </c>
      <c r="M251" s="6" t="str">
        <f aca="false">IF($L251="","","R"&amp;$L251)</f>
        <v/>
      </c>
    </row>
    <row r="252" customFormat="false" ht="15" hidden="false" customHeight="true" outlineLevel="0" collapsed="false">
      <c r="K252" s="21" t="b">
        <f aca="false">IF(반품접수!$A249="",FALSE(),OR(반품접수!$O249="미처리",반품접수!$O249="부분처리"))</f>
        <v>0</v>
      </c>
      <c r="L252" s="6" t="str">
        <f aca="false">IF($K252=FALSE(),"",COUNTIF($K$6:$K252,TRUE()))</f>
        <v/>
      </c>
      <c r="M252" s="6" t="str">
        <f aca="false">IF($L252="","","R"&amp;$L252)</f>
        <v/>
      </c>
    </row>
    <row r="253" customFormat="false" ht="15" hidden="false" customHeight="true" outlineLevel="0" collapsed="false">
      <c r="K253" s="21" t="b">
        <f aca="false">IF(반품접수!$A250="",FALSE(),OR(반품접수!$O250="미처리",반품접수!$O250="부분처리"))</f>
        <v>0</v>
      </c>
      <c r="L253" s="6" t="str">
        <f aca="false">IF($K253=FALSE(),"",COUNTIF($K$6:$K253,TRUE()))</f>
        <v/>
      </c>
      <c r="M253" s="6" t="str">
        <f aca="false">IF($L253="","","R"&amp;$L253)</f>
        <v/>
      </c>
    </row>
    <row r="254" customFormat="false" ht="15" hidden="false" customHeight="true" outlineLevel="0" collapsed="false">
      <c r="K254" s="21" t="b">
        <f aca="false">IF(반품접수!$A251="",FALSE(),OR(반품접수!$O251="미처리",반품접수!$O251="부분처리"))</f>
        <v>0</v>
      </c>
      <c r="L254" s="6" t="str">
        <f aca="false">IF($K254=FALSE(),"",COUNTIF($K$6:$K254,TRUE()))</f>
        <v/>
      </c>
      <c r="M254" s="6" t="str">
        <f aca="false">IF($L254="","","R"&amp;$L254)</f>
        <v/>
      </c>
    </row>
    <row r="255" customFormat="false" ht="15" hidden="false" customHeight="true" outlineLevel="0" collapsed="false">
      <c r="K255" s="21" t="b">
        <f aca="false">IF(반품접수!$A252="",FALSE(),OR(반품접수!$O252="미처리",반품접수!$O252="부분처리"))</f>
        <v>0</v>
      </c>
      <c r="L255" s="6" t="str">
        <f aca="false">IF($K255=FALSE(),"",COUNTIF($K$6:$K255,TRUE()))</f>
        <v/>
      </c>
      <c r="M255" s="6" t="str">
        <f aca="false">IF($L255="","","R"&amp;$L255)</f>
        <v/>
      </c>
    </row>
    <row r="256" customFormat="false" ht="15" hidden="false" customHeight="true" outlineLevel="0" collapsed="false">
      <c r="K256" s="21" t="b">
        <f aca="false">IF(반품접수!$A253="",FALSE(),OR(반품접수!$O253="미처리",반품접수!$O253="부분처리"))</f>
        <v>0</v>
      </c>
      <c r="L256" s="6" t="str">
        <f aca="false">IF($K256=FALSE(),"",COUNTIF($K$6:$K256,TRUE()))</f>
        <v/>
      </c>
      <c r="M256" s="6" t="str">
        <f aca="false">IF($L256="","","R"&amp;$L256)</f>
        <v/>
      </c>
    </row>
    <row r="257" customFormat="false" ht="15" hidden="false" customHeight="true" outlineLevel="0" collapsed="false">
      <c r="K257" s="21" t="b">
        <f aca="false">IF(반품접수!$A254="",FALSE(),OR(반품접수!$O254="미처리",반품접수!$O254="부분처리"))</f>
        <v>0</v>
      </c>
      <c r="L257" s="6" t="str">
        <f aca="false">IF($K257=FALSE(),"",COUNTIF($K$6:$K257,TRUE()))</f>
        <v/>
      </c>
      <c r="M257" s="6" t="str">
        <f aca="false">IF($L257="","","R"&amp;$L257)</f>
        <v/>
      </c>
    </row>
    <row r="258" customFormat="false" ht="15" hidden="false" customHeight="true" outlineLevel="0" collapsed="false">
      <c r="K258" s="21" t="b">
        <f aca="false">IF(반품접수!$A255="",FALSE(),OR(반품접수!$O255="미처리",반품접수!$O255="부분처리"))</f>
        <v>0</v>
      </c>
      <c r="L258" s="6" t="str">
        <f aca="false">IF($K258=FALSE(),"",COUNTIF($K$6:$K258,TRUE()))</f>
        <v/>
      </c>
      <c r="M258" s="6" t="str">
        <f aca="false">IF($L258="","","R"&amp;$L258)</f>
        <v/>
      </c>
    </row>
    <row r="259" customFormat="false" ht="15" hidden="false" customHeight="true" outlineLevel="0" collapsed="false">
      <c r="K259" s="21" t="b">
        <f aca="false">IF(반품접수!$A256="",FALSE(),OR(반품접수!$O256="미처리",반품접수!$O256="부분처리"))</f>
        <v>0</v>
      </c>
      <c r="L259" s="6" t="str">
        <f aca="false">IF($K259=FALSE(),"",COUNTIF($K$6:$K259,TRUE()))</f>
        <v/>
      </c>
      <c r="M259" s="6" t="str">
        <f aca="false">IF($L259="","","R"&amp;$L259)</f>
        <v/>
      </c>
    </row>
    <row r="260" customFormat="false" ht="15" hidden="false" customHeight="true" outlineLevel="0" collapsed="false">
      <c r="K260" s="21" t="b">
        <f aca="false">IF(반품접수!$A257="",FALSE(),OR(반품접수!$O257="미처리",반품접수!$O257="부분처리"))</f>
        <v>0</v>
      </c>
      <c r="L260" s="6" t="str">
        <f aca="false">IF($K260=FALSE(),"",COUNTIF($K$6:$K260,TRUE()))</f>
        <v/>
      </c>
      <c r="M260" s="6" t="str">
        <f aca="false">IF($L260="","","R"&amp;$L260)</f>
        <v/>
      </c>
    </row>
    <row r="261" customFormat="false" ht="15" hidden="false" customHeight="true" outlineLevel="0" collapsed="false">
      <c r="K261" s="21" t="b">
        <f aca="false">IF(반품접수!$A258="",FALSE(),OR(반품접수!$O258="미처리",반품접수!$O258="부분처리"))</f>
        <v>0</v>
      </c>
      <c r="L261" s="6" t="str">
        <f aca="false">IF($K261=FALSE(),"",COUNTIF($K$6:$K261,TRUE()))</f>
        <v/>
      </c>
      <c r="M261" s="6" t="str">
        <f aca="false">IF($L261="","","R"&amp;$L261)</f>
        <v/>
      </c>
    </row>
    <row r="262" customFormat="false" ht="15" hidden="false" customHeight="true" outlineLevel="0" collapsed="false">
      <c r="K262" s="21" t="b">
        <f aca="false">IF(반품접수!$A259="",FALSE(),OR(반품접수!$O259="미처리",반품접수!$O259="부분처리"))</f>
        <v>0</v>
      </c>
      <c r="L262" s="6" t="str">
        <f aca="false">IF($K262=FALSE(),"",COUNTIF($K$6:$K262,TRUE()))</f>
        <v/>
      </c>
      <c r="M262" s="6" t="str">
        <f aca="false">IF($L262="","","R"&amp;$L262)</f>
        <v/>
      </c>
    </row>
    <row r="263" customFormat="false" ht="15" hidden="false" customHeight="true" outlineLevel="0" collapsed="false">
      <c r="K263" s="21" t="b">
        <f aca="false">IF(반품접수!$A260="",FALSE(),OR(반품접수!$O260="미처리",반품접수!$O260="부분처리"))</f>
        <v>0</v>
      </c>
      <c r="L263" s="6" t="str">
        <f aca="false">IF($K263=FALSE(),"",COUNTIF($K$6:$K263,TRUE()))</f>
        <v/>
      </c>
      <c r="M263" s="6" t="str">
        <f aca="false">IF($L263="","","R"&amp;$L263)</f>
        <v/>
      </c>
    </row>
    <row r="264" customFormat="false" ht="15" hidden="false" customHeight="true" outlineLevel="0" collapsed="false">
      <c r="K264" s="21" t="b">
        <f aca="false">IF(반품접수!$A261="",FALSE(),OR(반품접수!$O261="미처리",반품접수!$O261="부분처리"))</f>
        <v>0</v>
      </c>
      <c r="L264" s="6" t="str">
        <f aca="false">IF($K264=FALSE(),"",COUNTIF($K$6:$K264,TRUE()))</f>
        <v/>
      </c>
      <c r="M264" s="6" t="str">
        <f aca="false">IF($L264="","","R"&amp;$L264)</f>
        <v/>
      </c>
    </row>
    <row r="265" customFormat="false" ht="15" hidden="false" customHeight="true" outlineLevel="0" collapsed="false">
      <c r="K265" s="21" t="b">
        <f aca="false">IF(반품접수!$A262="",FALSE(),OR(반품접수!$O262="미처리",반품접수!$O262="부분처리"))</f>
        <v>0</v>
      </c>
      <c r="L265" s="6" t="str">
        <f aca="false">IF($K265=FALSE(),"",COUNTIF($K$6:$K265,TRUE()))</f>
        <v/>
      </c>
      <c r="M265" s="6" t="str">
        <f aca="false">IF($L265="","","R"&amp;$L265)</f>
        <v/>
      </c>
    </row>
    <row r="266" customFormat="false" ht="15" hidden="false" customHeight="true" outlineLevel="0" collapsed="false">
      <c r="K266" s="21" t="b">
        <f aca="false">IF(반품접수!$A263="",FALSE(),OR(반품접수!$O263="미처리",반품접수!$O263="부분처리"))</f>
        <v>0</v>
      </c>
      <c r="L266" s="6" t="str">
        <f aca="false">IF($K266=FALSE(),"",COUNTIF($K$6:$K266,TRUE()))</f>
        <v/>
      </c>
      <c r="M266" s="6" t="str">
        <f aca="false">IF($L266="","","R"&amp;$L266)</f>
        <v/>
      </c>
    </row>
    <row r="267" customFormat="false" ht="15" hidden="false" customHeight="true" outlineLevel="0" collapsed="false">
      <c r="K267" s="21" t="b">
        <f aca="false">IF(반품접수!$A264="",FALSE(),OR(반품접수!$O264="미처리",반품접수!$O264="부분처리"))</f>
        <v>0</v>
      </c>
      <c r="L267" s="6" t="str">
        <f aca="false">IF($K267=FALSE(),"",COUNTIF($K$6:$K267,TRUE()))</f>
        <v/>
      </c>
      <c r="M267" s="6" t="str">
        <f aca="false">IF($L267="","","R"&amp;$L267)</f>
        <v/>
      </c>
    </row>
    <row r="268" customFormat="false" ht="15" hidden="false" customHeight="true" outlineLevel="0" collapsed="false">
      <c r="K268" s="21" t="b">
        <f aca="false">IF(반품접수!$A265="",FALSE(),OR(반품접수!$O265="미처리",반품접수!$O265="부분처리"))</f>
        <v>0</v>
      </c>
      <c r="L268" s="6" t="str">
        <f aca="false">IF($K268=FALSE(),"",COUNTIF($K$6:$K268,TRUE()))</f>
        <v/>
      </c>
      <c r="M268" s="6" t="str">
        <f aca="false">IF($L268="","","R"&amp;$L268)</f>
        <v/>
      </c>
    </row>
    <row r="269" customFormat="false" ht="15" hidden="false" customHeight="true" outlineLevel="0" collapsed="false">
      <c r="K269" s="21" t="b">
        <f aca="false">IF(반품접수!$A266="",FALSE(),OR(반품접수!$O266="미처리",반품접수!$O266="부분처리"))</f>
        <v>0</v>
      </c>
      <c r="L269" s="6" t="str">
        <f aca="false">IF($K269=FALSE(),"",COUNTIF($K$6:$K269,TRUE()))</f>
        <v/>
      </c>
      <c r="M269" s="6" t="str">
        <f aca="false">IF($L269="","","R"&amp;$L269)</f>
        <v/>
      </c>
    </row>
    <row r="270" customFormat="false" ht="15" hidden="false" customHeight="true" outlineLevel="0" collapsed="false">
      <c r="K270" s="21" t="b">
        <f aca="false">IF(반품접수!$A267="",FALSE(),OR(반품접수!$O267="미처리",반품접수!$O267="부분처리"))</f>
        <v>0</v>
      </c>
      <c r="L270" s="6" t="str">
        <f aca="false">IF($K270=FALSE(),"",COUNTIF($K$6:$K270,TRUE()))</f>
        <v/>
      </c>
      <c r="M270" s="6" t="str">
        <f aca="false">IF($L270="","","R"&amp;$L270)</f>
        <v/>
      </c>
    </row>
    <row r="271" customFormat="false" ht="15" hidden="false" customHeight="true" outlineLevel="0" collapsed="false">
      <c r="K271" s="21" t="b">
        <f aca="false">IF(반품접수!$A268="",FALSE(),OR(반품접수!$O268="미처리",반품접수!$O268="부분처리"))</f>
        <v>0</v>
      </c>
      <c r="L271" s="6" t="str">
        <f aca="false">IF($K271=FALSE(),"",COUNTIF($K$6:$K271,TRUE()))</f>
        <v/>
      </c>
      <c r="M271" s="6" t="str">
        <f aca="false">IF($L271="","","R"&amp;$L271)</f>
        <v/>
      </c>
    </row>
    <row r="272" customFormat="false" ht="15" hidden="false" customHeight="true" outlineLevel="0" collapsed="false">
      <c r="K272" s="21" t="b">
        <f aca="false">IF(반품접수!$A269="",FALSE(),OR(반품접수!$O269="미처리",반품접수!$O269="부분처리"))</f>
        <v>0</v>
      </c>
      <c r="L272" s="6" t="str">
        <f aca="false">IF($K272=FALSE(),"",COUNTIF($K$6:$K272,TRUE()))</f>
        <v/>
      </c>
      <c r="M272" s="6" t="str">
        <f aca="false">IF($L272="","","R"&amp;$L272)</f>
        <v/>
      </c>
    </row>
    <row r="273" customFormat="false" ht="15" hidden="false" customHeight="true" outlineLevel="0" collapsed="false">
      <c r="K273" s="21" t="b">
        <f aca="false">IF(반품접수!$A270="",FALSE(),OR(반품접수!$O270="미처리",반품접수!$O270="부분처리"))</f>
        <v>0</v>
      </c>
      <c r="L273" s="6" t="str">
        <f aca="false">IF($K273=FALSE(),"",COUNTIF($K$6:$K273,TRUE()))</f>
        <v/>
      </c>
      <c r="M273" s="6" t="str">
        <f aca="false">IF($L273="","","R"&amp;$L273)</f>
        <v/>
      </c>
    </row>
    <row r="274" customFormat="false" ht="15" hidden="false" customHeight="true" outlineLevel="0" collapsed="false">
      <c r="K274" s="21" t="b">
        <f aca="false">IF(반품접수!$A271="",FALSE(),OR(반품접수!$O271="미처리",반품접수!$O271="부분처리"))</f>
        <v>0</v>
      </c>
      <c r="L274" s="6" t="str">
        <f aca="false">IF($K274=FALSE(),"",COUNTIF($K$6:$K274,TRUE()))</f>
        <v/>
      </c>
      <c r="M274" s="6" t="str">
        <f aca="false">IF($L274="","","R"&amp;$L274)</f>
        <v/>
      </c>
    </row>
    <row r="275" customFormat="false" ht="15" hidden="false" customHeight="true" outlineLevel="0" collapsed="false">
      <c r="K275" s="21" t="b">
        <f aca="false">IF(반품접수!$A272="",FALSE(),OR(반품접수!$O272="미처리",반품접수!$O272="부분처리"))</f>
        <v>0</v>
      </c>
      <c r="L275" s="6" t="str">
        <f aca="false">IF($K275=FALSE(),"",COUNTIF($K$6:$K275,TRUE()))</f>
        <v/>
      </c>
      <c r="M275" s="6" t="str">
        <f aca="false">IF($L275="","","R"&amp;$L275)</f>
        <v/>
      </c>
    </row>
    <row r="276" customFormat="false" ht="15" hidden="false" customHeight="true" outlineLevel="0" collapsed="false">
      <c r="K276" s="21" t="b">
        <f aca="false">IF(반품접수!$A273="",FALSE(),OR(반품접수!$O273="미처리",반품접수!$O273="부분처리"))</f>
        <v>0</v>
      </c>
      <c r="L276" s="6" t="str">
        <f aca="false">IF($K276=FALSE(),"",COUNTIF($K$6:$K276,TRUE()))</f>
        <v/>
      </c>
      <c r="M276" s="6" t="str">
        <f aca="false">IF($L276="","","R"&amp;$L276)</f>
        <v/>
      </c>
    </row>
    <row r="277" customFormat="false" ht="15" hidden="false" customHeight="true" outlineLevel="0" collapsed="false">
      <c r="K277" s="21" t="b">
        <f aca="false">IF(반품접수!$A274="",FALSE(),OR(반품접수!$O274="미처리",반품접수!$O274="부분처리"))</f>
        <v>0</v>
      </c>
      <c r="L277" s="6" t="str">
        <f aca="false">IF($K277=FALSE(),"",COUNTIF($K$6:$K277,TRUE()))</f>
        <v/>
      </c>
      <c r="M277" s="6" t="str">
        <f aca="false">IF($L277="","","R"&amp;$L277)</f>
        <v/>
      </c>
    </row>
    <row r="278" customFormat="false" ht="15" hidden="false" customHeight="true" outlineLevel="0" collapsed="false">
      <c r="K278" s="21" t="b">
        <f aca="false">IF(반품접수!$A275="",FALSE(),OR(반품접수!$O275="미처리",반품접수!$O275="부분처리"))</f>
        <v>0</v>
      </c>
      <c r="L278" s="6" t="str">
        <f aca="false">IF($K278=FALSE(),"",COUNTIF($K$6:$K278,TRUE()))</f>
        <v/>
      </c>
      <c r="M278" s="6" t="str">
        <f aca="false">IF($L278="","","R"&amp;$L278)</f>
        <v/>
      </c>
    </row>
    <row r="279" customFormat="false" ht="15" hidden="false" customHeight="true" outlineLevel="0" collapsed="false">
      <c r="K279" s="21" t="b">
        <f aca="false">IF(반품접수!$A276="",FALSE(),OR(반품접수!$O276="미처리",반품접수!$O276="부분처리"))</f>
        <v>0</v>
      </c>
      <c r="L279" s="6" t="str">
        <f aca="false">IF($K279=FALSE(),"",COUNTIF($K$6:$K279,TRUE()))</f>
        <v/>
      </c>
      <c r="M279" s="6" t="str">
        <f aca="false">IF($L279="","","R"&amp;$L279)</f>
        <v/>
      </c>
    </row>
    <row r="280" customFormat="false" ht="15" hidden="false" customHeight="true" outlineLevel="0" collapsed="false">
      <c r="K280" s="21" t="b">
        <f aca="false">IF(반품접수!$A277="",FALSE(),OR(반품접수!$O277="미처리",반품접수!$O277="부분처리"))</f>
        <v>0</v>
      </c>
      <c r="L280" s="6" t="str">
        <f aca="false">IF($K280=FALSE(),"",COUNTIF($K$6:$K280,TRUE()))</f>
        <v/>
      </c>
      <c r="M280" s="6" t="str">
        <f aca="false">IF($L280="","","R"&amp;$L280)</f>
        <v/>
      </c>
    </row>
    <row r="281" customFormat="false" ht="15" hidden="false" customHeight="true" outlineLevel="0" collapsed="false">
      <c r="K281" s="21" t="b">
        <f aca="false">IF(반품접수!$A278="",FALSE(),OR(반품접수!$O278="미처리",반품접수!$O278="부분처리"))</f>
        <v>0</v>
      </c>
      <c r="L281" s="6" t="str">
        <f aca="false">IF($K281=FALSE(),"",COUNTIF($K$6:$K281,TRUE()))</f>
        <v/>
      </c>
      <c r="M281" s="6" t="str">
        <f aca="false">IF($L281="","","R"&amp;$L281)</f>
        <v/>
      </c>
    </row>
    <row r="282" customFormat="false" ht="15" hidden="false" customHeight="true" outlineLevel="0" collapsed="false">
      <c r="K282" s="21" t="b">
        <f aca="false">IF(반품접수!$A279="",FALSE(),OR(반품접수!$O279="미처리",반품접수!$O279="부분처리"))</f>
        <v>0</v>
      </c>
      <c r="L282" s="6" t="str">
        <f aca="false">IF($K282=FALSE(),"",COUNTIF($K$6:$K282,TRUE()))</f>
        <v/>
      </c>
      <c r="M282" s="6" t="str">
        <f aca="false">IF($L282="","","R"&amp;$L282)</f>
        <v/>
      </c>
    </row>
    <row r="283" customFormat="false" ht="15" hidden="false" customHeight="true" outlineLevel="0" collapsed="false">
      <c r="K283" s="21" t="b">
        <f aca="false">IF(반품접수!$A280="",FALSE(),OR(반품접수!$O280="미처리",반품접수!$O280="부분처리"))</f>
        <v>0</v>
      </c>
      <c r="L283" s="6" t="str">
        <f aca="false">IF($K283=FALSE(),"",COUNTIF($K$6:$K283,TRUE()))</f>
        <v/>
      </c>
      <c r="M283" s="6" t="str">
        <f aca="false">IF($L283="","","R"&amp;$L283)</f>
        <v/>
      </c>
    </row>
    <row r="284" customFormat="false" ht="15" hidden="false" customHeight="true" outlineLevel="0" collapsed="false">
      <c r="K284" s="21" t="b">
        <f aca="false">IF(반품접수!$A281="",FALSE(),OR(반품접수!$O281="미처리",반품접수!$O281="부분처리"))</f>
        <v>0</v>
      </c>
      <c r="L284" s="6" t="str">
        <f aca="false">IF($K284=FALSE(),"",COUNTIF($K$6:$K284,TRUE()))</f>
        <v/>
      </c>
      <c r="M284" s="6" t="str">
        <f aca="false">IF($L284="","","R"&amp;$L284)</f>
        <v/>
      </c>
    </row>
    <row r="285" customFormat="false" ht="15" hidden="false" customHeight="true" outlineLevel="0" collapsed="false">
      <c r="K285" s="21" t="b">
        <f aca="false">IF(반품접수!$A282="",FALSE(),OR(반품접수!$O282="미처리",반품접수!$O282="부분처리"))</f>
        <v>0</v>
      </c>
      <c r="L285" s="6" t="str">
        <f aca="false">IF($K285=FALSE(),"",COUNTIF($K$6:$K285,TRUE()))</f>
        <v/>
      </c>
      <c r="M285" s="6" t="str">
        <f aca="false">IF($L285="","","R"&amp;$L285)</f>
        <v/>
      </c>
    </row>
    <row r="286" customFormat="false" ht="15" hidden="false" customHeight="true" outlineLevel="0" collapsed="false">
      <c r="K286" s="21" t="b">
        <f aca="false">IF(반품접수!$A283="",FALSE(),OR(반품접수!$O283="미처리",반품접수!$O283="부분처리"))</f>
        <v>0</v>
      </c>
      <c r="L286" s="6" t="str">
        <f aca="false">IF($K286=FALSE(),"",COUNTIF($K$6:$K286,TRUE()))</f>
        <v/>
      </c>
      <c r="M286" s="6" t="str">
        <f aca="false">IF($L286="","","R"&amp;$L286)</f>
        <v/>
      </c>
    </row>
    <row r="287" customFormat="false" ht="15" hidden="false" customHeight="true" outlineLevel="0" collapsed="false">
      <c r="K287" s="21" t="b">
        <f aca="false">IF(반품접수!$A284="",FALSE(),OR(반품접수!$O284="미처리",반품접수!$O284="부분처리"))</f>
        <v>0</v>
      </c>
      <c r="L287" s="6" t="str">
        <f aca="false">IF($K287=FALSE(),"",COUNTIF($K$6:$K287,TRUE()))</f>
        <v/>
      </c>
      <c r="M287" s="6" t="str">
        <f aca="false">IF($L287="","","R"&amp;$L287)</f>
        <v/>
      </c>
    </row>
    <row r="288" customFormat="false" ht="15" hidden="false" customHeight="true" outlineLevel="0" collapsed="false">
      <c r="K288" s="21" t="b">
        <f aca="false">IF(반품접수!$A285="",FALSE(),OR(반품접수!$O285="미처리",반품접수!$O285="부분처리"))</f>
        <v>0</v>
      </c>
      <c r="L288" s="6" t="str">
        <f aca="false">IF($K288=FALSE(),"",COUNTIF($K$6:$K288,TRUE()))</f>
        <v/>
      </c>
      <c r="M288" s="6" t="str">
        <f aca="false">IF($L288="","","R"&amp;$L288)</f>
        <v/>
      </c>
    </row>
    <row r="289" customFormat="false" ht="15" hidden="false" customHeight="true" outlineLevel="0" collapsed="false">
      <c r="K289" s="21" t="b">
        <f aca="false">IF(반품접수!$A286="",FALSE(),OR(반품접수!$O286="미처리",반품접수!$O286="부분처리"))</f>
        <v>0</v>
      </c>
      <c r="L289" s="6" t="str">
        <f aca="false">IF($K289=FALSE(),"",COUNTIF($K$6:$K289,TRUE()))</f>
        <v/>
      </c>
      <c r="M289" s="6" t="str">
        <f aca="false">IF($L289="","","R"&amp;$L289)</f>
        <v/>
      </c>
    </row>
    <row r="290" customFormat="false" ht="15" hidden="false" customHeight="true" outlineLevel="0" collapsed="false">
      <c r="K290" s="21" t="b">
        <f aca="false">IF(반품접수!$A287="",FALSE(),OR(반품접수!$O287="미처리",반품접수!$O287="부분처리"))</f>
        <v>0</v>
      </c>
      <c r="L290" s="6" t="str">
        <f aca="false">IF($K290=FALSE(),"",COUNTIF($K$6:$K290,TRUE()))</f>
        <v/>
      </c>
      <c r="M290" s="6" t="str">
        <f aca="false">IF($L290="","","R"&amp;$L290)</f>
        <v/>
      </c>
    </row>
    <row r="291" customFormat="false" ht="15" hidden="false" customHeight="true" outlineLevel="0" collapsed="false">
      <c r="K291" s="21" t="b">
        <f aca="false">IF(반품접수!$A288="",FALSE(),OR(반품접수!$O288="미처리",반품접수!$O288="부분처리"))</f>
        <v>0</v>
      </c>
      <c r="L291" s="6" t="str">
        <f aca="false">IF($K291=FALSE(),"",COUNTIF($K$6:$K291,TRUE()))</f>
        <v/>
      </c>
      <c r="M291" s="6" t="str">
        <f aca="false">IF($L291="","","R"&amp;$L291)</f>
        <v/>
      </c>
    </row>
    <row r="292" customFormat="false" ht="15" hidden="false" customHeight="true" outlineLevel="0" collapsed="false">
      <c r="K292" s="21" t="b">
        <f aca="false">IF(반품접수!$A289="",FALSE(),OR(반품접수!$O289="미처리",반품접수!$O289="부분처리"))</f>
        <v>0</v>
      </c>
      <c r="L292" s="6" t="str">
        <f aca="false">IF($K292=FALSE(),"",COUNTIF($K$6:$K292,TRUE()))</f>
        <v/>
      </c>
      <c r="M292" s="6" t="str">
        <f aca="false">IF($L292="","","R"&amp;$L292)</f>
        <v/>
      </c>
    </row>
    <row r="293" customFormat="false" ht="15" hidden="false" customHeight="true" outlineLevel="0" collapsed="false">
      <c r="K293" s="21" t="b">
        <f aca="false">IF(반품접수!$A290="",FALSE(),OR(반품접수!$O290="미처리",반품접수!$O290="부분처리"))</f>
        <v>0</v>
      </c>
      <c r="L293" s="6" t="str">
        <f aca="false">IF($K293=FALSE(),"",COUNTIF($K$6:$K293,TRUE()))</f>
        <v/>
      </c>
      <c r="M293" s="6" t="str">
        <f aca="false">IF($L293="","","R"&amp;$L293)</f>
        <v/>
      </c>
    </row>
    <row r="294" customFormat="false" ht="15" hidden="false" customHeight="true" outlineLevel="0" collapsed="false">
      <c r="K294" s="21" t="b">
        <f aca="false">IF(반품접수!$A291="",FALSE(),OR(반품접수!$O291="미처리",반품접수!$O291="부분처리"))</f>
        <v>0</v>
      </c>
      <c r="L294" s="6" t="str">
        <f aca="false">IF($K294=FALSE(),"",COUNTIF($K$6:$K294,TRUE()))</f>
        <v/>
      </c>
      <c r="M294" s="6" t="str">
        <f aca="false">IF($L294="","","R"&amp;$L294)</f>
        <v/>
      </c>
    </row>
    <row r="295" customFormat="false" ht="15" hidden="false" customHeight="true" outlineLevel="0" collapsed="false">
      <c r="K295" s="21" t="b">
        <f aca="false">IF(반품접수!$A292="",FALSE(),OR(반품접수!$O292="미처리",반품접수!$O292="부분처리"))</f>
        <v>0</v>
      </c>
      <c r="L295" s="6" t="str">
        <f aca="false">IF($K295=FALSE(),"",COUNTIF($K$6:$K295,TRUE()))</f>
        <v/>
      </c>
      <c r="M295" s="6" t="str">
        <f aca="false">IF($L295="","","R"&amp;$L295)</f>
        <v/>
      </c>
    </row>
    <row r="296" customFormat="false" ht="15" hidden="false" customHeight="true" outlineLevel="0" collapsed="false">
      <c r="K296" s="21" t="b">
        <f aca="false">IF(반품접수!$A293="",FALSE(),OR(반품접수!$O293="미처리",반품접수!$O293="부분처리"))</f>
        <v>0</v>
      </c>
      <c r="L296" s="6" t="str">
        <f aca="false">IF($K296=FALSE(),"",COUNTIF($K$6:$K296,TRUE()))</f>
        <v/>
      </c>
      <c r="M296" s="6" t="str">
        <f aca="false">IF($L296="","","R"&amp;$L296)</f>
        <v/>
      </c>
    </row>
    <row r="297" customFormat="false" ht="15" hidden="false" customHeight="true" outlineLevel="0" collapsed="false">
      <c r="K297" s="21" t="b">
        <f aca="false">IF(반품접수!$A294="",FALSE(),OR(반품접수!$O294="미처리",반품접수!$O294="부분처리"))</f>
        <v>0</v>
      </c>
      <c r="L297" s="6" t="str">
        <f aca="false">IF($K297=FALSE(),"",COUNTIF($K$6:$K297,TRUE()))</f>
        <v/>
      </c>
      <c r="M297" s="6" t="str">
        <f aca="false">IF($L297="","","R"&amp;$L297)</f>
        <v/>
      </c>
    </row>
    <row r="298" customFormat="false" ht="15" hidden="false" customHeight="true" outlineLevel="0" collapsed="false">
      <c r="K298" s="21" t="b">
        <f aca="false">IF(반품접수!$A295="",FALSE(),OR(반품접수!$O295="미처리",반품접수!$O295="부분처리"))</f>
        <v>0</v>
      </c>
      <c r="L298" s="6" t="str">
        <f aca="false">IF($K298=FALSE(),"",COUNTIF($K$6:$K298,TRUE()))</f>
        <v/>
      </c>
      <c r="M298" s="6" t="str">
        <f aca="false">IF($L298="","","R"&amp;$L298)</f>
        <v/>
      </c>
    </row>
    <row r="299" customFormat="false" ht="15" hidden="false" customHeight="true" outlineLevel="0" collapsed="false">
      <c r="K299" s="21" t="b">
        <f aca="false">IF(반품접수!$A296="",FALSE(),OR(반품접수!$O296="미처리",반품접수!$O296="부분처리"))</f>
        <v>0</v>
      </c>
      <c r="L299" s="6" t="str">
        <f aca="false">IF($K299=FALSE(),"",COUNTIF($K$6:$K299,TRUE()))</f>
        <v/>
      </c>
      <c r="M299" s="6" t="str">
        <f aca="false">IF($L299="","","R"&amp;$L299)</f>
        <v/>
      </c>
    </row>
    <row r="300" customFormat="false" ht="15" hidden="false" customHeight="true" outlineLevel="0" collapsed="false">
      <c r="K300" s="21" t="b">
        <f aca="false">IF(반품접수!$A297="",FALSE(),OR(반품접수!$O297="미처리",반품접수!$O297="부분처리"))</f>
        <v>0</v>
      </c>
      <c r="L300" s="6" t="str">
        <f aca="false">IF($K300=FALSE(),"",COUNTIF($K$6:$K300,TRUE()))</f>
        <v/>
      </c>
      <c r="M300" s="6" t="str">
        <f aca="false">IF($L300="","","R"&amp;$L300)</f>
        <v/>
      </c>
    </row>
    <row r="301" customFormat="false" ht="15" hidden="false" customHeight="true" outlineLevel="0" collapsed="false">
      <c r="K301" s="21" t="b">
        <f aca="false">IF(반품접수!$A298="",FALSE(),OR(반품접수!$O298="미처리",반품접수!$O298="부분처리"))</f>
        <v>0</v>
      </c>
      <c r="L301" s="6" t="str">
        <f aca="false">IF($K301=FALSE(),"",COUNTIF($K$6:$K301,TRUE()))</f>
        <v/>
      </c>
      <c r="M301" s="6" t="str">
        <f aca="false">IF($L301="","","R"&amp;$L301)</f>
        <v/>
      </c>
    </row>
    <row r="302" customFormat="false" ht="15" hidden="false" customHeight="true" outlineLevel="0" collapsed="false">
      <c r="K302" s="21" t="b">
        <f aca="false">IF(반품접수!$A299="",FALSE(),OR(반품접수!$O299="미처리",반품접수!$O299="부분처리"))</f>
        <v>0</v>
      </c>
      <c r="L302" s="6" t="str">
        <f aca="false">IF($K302=FALSE(),"",COUNTIF($K$6:$K302,TRUE()))</f>
        <v/>
      </c>
      <c r="M302" s="6" t="str">
        <f aca="false">IF($L302="","","R"&amp;$L302)</f>
        <v/>
      </c>
    </row>
    <row r="303" customFormat="false" ht="15" hidden="false" customHeight="true" outlineLevel="0" collapsed="false">
      <c r="K303" s="21" t="b">
        <f aca="false">IF(반품접수!$A300="",FALSE(),OR(반품접수!$O300="미처리",반품접수!$O300="부분처리"))</f>
        <v>0</v>
      </c>
      <c r="L303" s="6" t="str">
        <f aca="false">IF($K303=FALSE(),"",COUNTIF($K$6:$K303,TRUE()))</f>
        <v/>
      </c>
      <c r="M303" s="6" t="str">
        <f aca="false">IF($L303="","","R"&amp;$L303)</f>
        <v/>
      </c>
    </row>
    <row r="304" customFormat="false" ht="15" hidden="false" customHeight="true" outlineLevel="0" collapsed="false">
      <c r="K304" s="21" t="b">
        <f aca="false">IF(반품접수!$A301="",FALSE(),OR(반품접수!$O301="미처리",반품접수!$O301="부분처리"))</f>
        <v>0</v>
      </c>
      <c r="L304" s="6" t="str">
        <f aca="false">IF($K304=FALSE(),"",COUNTIF($K$6:$K304,TRUE()))</f>
        <v/>
      </c>
      <c r="M304" s="6" t="str">
        <f aca="false">IF($L304="","","R"&amp;$L304)</f>
        <v/>
      </c>
    </row>
    <row r="305" customFormat="false" ht="15" hidden="false" customHeight="true" outlineLevel="0" collapsed="false">
      <c r="K305" s="21" t="b">
        <f aca="false">IF(반품접수!$A302="",FALSE(),OR(반품접수!$O302="미처리",반품접수!$O302="부분처리"))</f>
        <v>0</v>
      </c>
      <c r="L305" s="6" t="str">
        <f aca="false">IF($K305=FALSE(),"",COUNTIF($K$6:$K305,TRUE()))</f>
        <v/>
      </c>
      <c r="M305" s="6" t="str">
        <f aca="false">IF($L305="","","R"&amp;$L305)</f>
        <v/>
      </c>
    </row>
    <row r="306" customFormat="false" ht="15" hidden="false" customHeight="true" outlineLevel="0" collapsed="false">
      <c r="K306" s="21" t="b">
        <f aca="false">IF(반품접수!$A303="",FALSE(),OR(반품접수!$O303="미처리",반품접수!$O303="부분처리"))</f>
        <v>0</v>
      </c>
      <c r="L306" s="6" t="str">
        <f aca="false">IF($K306=FALSE(),"",COUNTIF($K$6:$K306,TRUE()))</f>
        <v/>
      </c>
      <c r="M306" s="6" t="str">
        <f aca="false">IF($L306="","","R"&amp;$L306)</f>
        <v/>
      </c>
    </row>
    <row r="307" customFormat="false" ht="15" hidden="false" customHeight="true" outlineLevel="0" collapsed="false">
      <c r="K307" s="21" t="b">
        <f aca="false">IF(반품접수!$A304="",FALSE(),OR(반품접수!$O304="미처리",반품접수!$O304="부분처리"))</f>
        <v>0</v>
      </c>
      <c r="L307" s="6" t="str">
        <f aca="false">IF($K307=FALSE(),"",COUNTIF($K$6:$K307,TRUE()))</f>
        <v/>
      </c>
      <c r="M307" s="6" t="str">
        <f aca="false">IF($L307="","","R"&amp;$L307)</f>
        <v/>
      </c>
    </row>
    <row r="308" customFormat="false" ht="15" hidden="false" customHeight="true" outlineLevel="0" collapsed="false">
      <c r="K308" s="21" t="b">
        <f aca="false">IF(반품접수!$A305="",FALSE(),OR(반품접수!$O305="미처리",반품접수!$O305="부분처리"))</f>
        <v>0</v>
      </c>
      <c r="L308" s="6" t="str">
        <f aca="false">IF($K308=FALSE(),"",COUNTIF($K$6:$K308,TRUE()))</f>
        <v/>
      </c>
      <c r="M308" s="6" t="str">
        <f aca="false">IF($L308="","","R"&amp;$L308)</f>
        <v/>
      </c>
    </row>
    <row r="309" customFormat="false" ht="15" hidden="false" customHeight="true" outlineLevel="0" collapsed="false">
      <c r="K309" s="21" t="b">
        <f aca="false">IF(반품접수!$A306="",FALSE(),OR(반품접수!$O306="미처리",반품접수!$O306="부분처리"))</f>
        <v>0</v>
      </c>
      <c r="L309" s="6" t="str">
        <f aca="false">IF($K309=FALSE(),"",COUNTIF($K$6:$K309,TRUE()))</f>
        <v/>
      </c>
      <c r="M309" s="6" t="str">
        <f aca="false">IF($L309="","","R"&amp;$L309)</f>
        <v/>
      </c>
    </row>
    <row r="310" customFormat="false" ht="15" hidden="false" customHeight="true" outlineLevel="0" collapsed="false">
      <c r="K310" s="21" t="b">
        <f aca="false">IF(반품접수!$A307="",FALSE(),OR(반품접수!$O307="미처리",반품접수!$O307="부분처리"))</f>
        <v>0</v>
      </c>
      <c r="L310" s="6" t="str">
        <f aca="false">IF($K310=FALSE(),"",COUNTIF($K$6:$K310,TRUE()))</f>
        <v/>
      </c>
      <c r="M310" s="6" t="str">
        <f aca="false">IF($L310="","","R"&amp;$L310)</f>
        <v/>
      </c>
    </row>
    <row r="311" customFormat="false" ht="15" hidden="false" customHeight="true" outlineLevel="0" collapsed="false">
      <c r="K311" s="21" t="b">
        <f aca="false">IF(반품접수!$A308="",FALSE(),OR(반품접수!$O308="미처리",반품접수!$O308="부분처리"))</f>
        <v>0</v>
      </c>
      <c r="L311" s="6" t="str">
        <f aca="false">IF($K311=FALSE(),"",COUNTIF($K$6:$K311,TRUE()))</f>
        <v/>
      </c>
      <c r="M311" s="6" t="str">
        <f aca="false">IF($L311="","","R"&amp;$L311)</f>
        <v/>
      </c>
    </row>
    <row r="312" customFormat="false" ht="15" hidden="false" customHeight="true" outlineLevel="0" collapsed="false">
      <c r="K312" s="21" t="b">
        <f aca="false">IF(반품접수!$A309="",FALSE(),OR(반품접수!$O309="미처리",반품접수!$O309="부분처리"))</f>
        <v>0</v>
      </c>
      <c r="L312" s="6" t="str">
        <f aca="false">IF($K312=FALSE(),"",COUNTIF($K$6:$K312,TRUE()))</f>
        <v/>
      </c>
      <c r="M312" s="6" t="str">
        <f aca="false">IF($L312="","","R"&amp;$L312)</f>
        <v/>
      </c>
    </row>
    <row r="313" customFormat="false" ht="15" hidden="false" customHeight="true" outlineLevel="0" collapsed="false">
      <c r="K313" s="21" t="b">
        <f aca="false">IF(반품접수!$A310="",FALSE(),OR(반품접수!$O310="미처리",반품접수!$O310="부분처리"))</f>
        <v>0</v>
      </c>
      <c r="L313" s="6" t="str">
        <f aca="false">IF($K313=FALSE(),"",COUNTIF($K$6:$K313,TRUE()))</f>
        <v/>
      </c>
      <c r="M313" s="6" t="str">
        <f aca="false">IF($L313="","","R"&amp;$L313)</f>
        <v/>
      </c>
    </row>
    <row r="314" customFormat="false" ht="15" hidden="false" customHeight="true" outlineLevel="0" collapsed="false">
      <c r="K314" s="21" t="b">
        <f aca="false">IF(반품접수!$A311="",FALSE(),OR(반품접수!$O311="미처리",반품접수!$O311="부분처리"))</f>
        <v>0</v>
      </c>
      <c r="L314" s="6" t="str">
        <f aca="false">IF($K314=FALSE(),"",COUNTIF($K$6:$K314,TRUE()))</f>
        <v/>
      </c>
      <c r="M314" s="6" t="str">
        <f aca="false">IF($L314="","","R"&amp;$L314)</f>
        <v/>
      </c>
    </row>
    <row r="315" customFormat="false" ht="15" hidden="false" customHeight="true" outlineLevel="0" collapsed="false">
      <c r="K315" s="21" t="b">
        <f aca="false">IF(반품접수!$A312="",FALSE(),OR(반품접수!$O312="미처리",반품접수!$O312="부분처리"))</f>
        <v>0</v>
      </c>
      <c r="L315" s="6" t="str">
        <f aca="false">IF($K315=FALSE(),"",COUNTIF($K$6:$K315,TRUE()))</f>
        <v/>
      </c>
      <c r="M315" s="6" t="str">
        <f aca="false">IF($L315="","","R"&amp;$L315)</f>
        <v/>
      </c>
    </row>
    <row r="316" customFormat="false" ht="15" hidden="false" customHeight="true" outlineLevel="0" collapsed="false">
      <c r="K316" s="21" t="b">
        <f aca="false">IF(반품접수!$A313="",FALSE(),OR(반품접수!$O313="미처리",반품접수!$O313="부분처리"))</f>
        <v>0</v>
      </c>
      <c r="L316" s="6" t="str">
        <f aca="false">IF($K316=FALSE(),"",COUNTIF($K$6:$K316,TRUE()))</f>
        <v/>
      </c>
      <c r="M316" s="6" t="str">
        <f aca="false">IF($L316="","","R"&amp;$L316)</f>
        <v/>
      </c>
    </row>
    <row r="317" customFormat="false" ht="15" hidden="false" customHeight="true" outlineLevel="0" collapsed="false">
      <c r="K317" s="21" t="b">
        <f aca="false">IF(반품접수!$A314="",FALSE(),OR(반품접수!$O314="미처리",반품접수!$O314="부분처리"))</f>
        <v>0</v>
      </c>
      <c r="L317" s="6" t="str">
        <f aca="false">IF($K317=FALSE(),"",COUNTIF($K$6:$K317,TRUE()))</f>
        <v/>
      </c>
      <c r="M317" s="6" t="str">
        <f aca="false">IF($L317="","","R"&amp;$L317)</f>
        <v/>
      </c>
    </row>
    <row r="318" customFormat="false" ht="15" hidden="false" customHeight="true" outlineLevel="0" collapsed="false">
      <c r="K318" s="21" t="b">
        <f aca="false">IF(반품접수!$A315="",FALSE(),OR(반품접수!$O315="미처리",반품접수!$O315="부분처리"))</f>
        <v>0</v>
      </c>
      <c r="L318" s="6" t="str">
        <f aca="false">IF($K318=FALSE(),"",COUNTIF($K$6:$K318,TRUE()))</f>
        <v/>
      </c>
      <c r="M318" s="6" t="str">
        <f aca="false">IF($L318="","","R"&amp;$L318)</f>
        <v/>
      </c>
    </row>
    <row r="319" customFormat="false" ht="15" hidden="false" customHeight="true" outlineLevel="0" collapsed="false">
      <c r="K319" s="21" t="b">
        <f aca="false">IF(반품접수!$A316="",FALSE(),OR(반품접수!$O316="미처리",반품접수!$O316="부분처리"))</f>
        <v>0</v>
      </c>
      <c r="L319" s="6" t="str">
        <f aca="false">IF($K319=FALSE(),"",COUNTIF($K$6:$K319,TRUE()))</f>
        <v/>
      </c>
      <c r="M319" s="6" t="str">
        <f aca="false">IF($L319="","","R"&amp;$L319)</f>
        <v/>
      </c>
    </row>
    <row r="320" customFormat="false" ht="15" hidden="false" customHeight="true" outlineLevel="0" collapsed="false">
      <c r="K320" s="21" t="b">
        <f aca="false">IF(반품접수!$A317="",FALSE(),OR(반품접수!$O317="미처리",반품접수!$O317="부분처리"))</f>
        <v>0</v>
      </c>
      <c r="L320" s="6" t="str">
        <f aca="false">IF($K320=FALSE(),"",COUNTIF($K$6:$K320,TRUE()))</f>
        <v/>
      </c>
      <c r="M320" s="6" t="str">
        <f aca="false">IF($L320="","","R"&amp;$L320)</f>
        <v/>
      </c>
    </row>
    <row r="321" customFormat="false" ht="15" hidden="false" customHeight="true" outlineLevel="0" collapsed="false">
      <c r="K321" s="21" t="b">
        <f aca="false">IF(반품접수!$A318="",FALSE(),OR(반품접수!$O318="미처리",반품접수!$O318="부분처리"))</f>
        <v>0</v>
      </c>
      <c r="L321" s="6" t="str">
        <f aca="false">IF($K321=FALSE(),"",COUNTIF($K$6:$K321,TRUE()))</f>
        <v/>
      </c>
      <c r="M321" s="6" t="str">
        <f aca="false">IF($L321="","","R"&amp;$L321)</f>
        <v/>
      </c>
    </row>
    <row r="322" customFormat="false" ht="15" hidden="false" customHeight="true" outlineLevel="0" collapsed="false">
      <c r="K322" s="21" t="b">
        <f aca="false">IF(반품접수!$A319="",FALSE(),OR(반품접수!$O319="미처리",반품접수!$O319="부분처리"))</f>
        <v>0</v>
      </c>
      <c r="L322" s="6" t="str">
        <f aca="false">IF($K322=FALSE(),"",COUNTIF($K$6:$K322,TRUE()))</f>
        <v/>
      </c>
      <c r="M322" s="6" t="str">
        <f aca="false">IF($L322="","","R"&amp;$L322)</f>
        <v/>
      </c>
    </row>
    <row r="323" customFormat="false" ht="15" hidden="false" customHeight="true" outlineLevel="0" collapsed="false">
      <c r="K323" s="21" t="b">
        <f aca="false">IF(반품접수!$A320="",FALSE(),OR(반품접수!$O320="미처리",반품접수!$O320="부분처리"))</f>
        <v>0</v>
      </c>
      <c r="L323" s="6" t="str">
        <f aca="false">IF($K323=FALSE(),"",COUNTIF($K$6:$K323,TRUE()))</f>
        <v/>
      </c>
      <c r="M323" s="6" t="str">
        <f aca="false">IF($L323="","","R"&amp;$L323)</f>
        <v/>
      </c>
    </row>
    <row r="324" customFormat="false" ht="15" hidden="false" customHeight="true" outlineLevel="0" collapsed="false">
      <c r="K324" s="21" t="b">
        <f aca="false">IF(반품접수!$A321="",FALSE(),OR(반품접수!$O321="미처리",반품접수!$O321="부분처리"))</f>
        <v>0</v>
      </c>
      <c r="L324" s="6" t="str">
        <f aca="false">IF($K324=FALSE(),"",COUNTIF($K$6:$K324,TRUE()))</f>
        <v/>
      </c>
      <c r="M324" s="6" t="str">
        <f aca="false">IF($L324="","","R"&amp;$L324)</f>
        <v/>
      </c>
    </row>
    <row r="325" customFormat="false" ht="15" hidden="false" customHeight="true" outlineLevel="0" collapsed="false">
      <c r="K325" s="21" t="b">
        <f aca="false">IF(반품접수!$A322="",FALSE(),OR(반품접수!$O322="미처리",반품접수!$O322="부분처리"))</f>
        <v>0</v>
      </c>
      <c r="L325" s="6" t="str">
        <f aca="false">IF($K325=FALSE(),"",COUNTIF($K$6:$K325,TRUE()))</f>
        <v/>
      </c>
      <c r="M325" s="6" t="str">
        <f aca="false">IF($L325="","","R"&amp;$L325)</f>
        <v/>
      </c>
    </row>
    <row r="326" customFormat="false" ht="15" hidden="false" customHeight="true" outlineLevel="0" collapsed="false">
      <c r="K326" s="21" t="b">
        <f aca="false">IF(반품접수!$A323="",FALSE(),OR(반품접수!$O323="미처리",반품접수!$O323="부분처리"))</f>
        <v>0</v>
      </c>
      <c r="L326" s="6" t="str">
        <f aca="false">IF($K326=FALSE(),"",COUNTIF($K$6:$K326,TRUE()))</f>
        <v/>
      </c>
      <c r="M326" s="6" t="str">
        <f aca="false">IF($L326="","","R"&amp;$L326)</f>
        <v/>
      </c>
    </row>
    <row r="327" customFormat="false" ht="15" hidden="false" customHeight="true" outlineLevel="0" collapsed="false">
      <c r="K327" s="21" t="b">
        <f aca="false">IF(반품접수!$A324="",FALSE(),OR(반품접수!$O324="미처리",반품접수!$O324="부분처리"))</f>
        <v>0</v>
      </c>
      <c r="L327" s="6" t="str">
        <f aca="false">IF($K327=FALSE(),"",COUNTIF($K$6:$K327,TRUE()))</f>
        <v/>
      </c>
      <c r="M327" s="6" t="str">
        <f aca="false">IF($L327="","","R"&amp;$L327)</f>
        <v/>
      </c>
    </row>
    <row r="328" customFormat="false" ht="15" hidden="false" customHeight="true" outlineLevel="0" collapsed="false">
      <c r="K328" s="21" t="b">
        <f aca="false">IF(반품접수!$A325="",FALSE(),OR(반품접수!$O325="미처리",반품접수!$O325="부분처리"))</f>
        <v>0</v>
      </c>
      <c r="L328" s="6" t="str">
        <f aca="false">IF($K328=FALSE(),"",COUNTIF($K$6:$K328,TRUE()))</f>
        <v/>
      </c>
      <c r="M328" s="6" t="str">
        <f aca="false">IF($L328="","","R"&amp;$L328)</f>
        <v/>
      </c>
    </row>
    <row r="329" customFormat="false" ht="15" hidden="false" customHeight="true" outlineLevel="0" collapsed="false">
      <c r="K329" s="21" t="b">
        <f aca="false">IF(반품접수!$A326="",FALSE(),OR(반품접수!$O326="미처리",반품접수!$O326="부분처리"))</f>
        <v>0</v>
      </c>
      <c r="L329" s="6" t="str">
        <f aca="false">IF($K329=FALSE(),"",COUNTIF($K$6:$K329,TRUE()))</f>
        <v/>
      </c>
      <c r="M329" s="6" t="str">
        <f aca="false">IF($L329="","","R"&amp;$L329)</f>
        <v/>
      </c>
    </row>
    <row r="330" customFormat="false" ht="15" hidden="false" customHeight="true" outlineLevel="0" collapsed="false">
      <c r="K330" s="21" t="b">
        <f aca="false">IF(반품접수!$A327="",FALSE(),OR(반품접수!$O327="미처리",반품접수!$O327="부분처리"))</f>
        <v>0</v>
      </c>
      <c r="L330" s="6" t="str">
        <f aca="false">IF($K330=FALSE(),"",COUNTIF($K$6:$K330,TRUE()))</f>
        <v/>
      </c>
      <c r="M330" s="6" t="str">
        <f aca="false">IF($L330="","","R"&amp;$L330)</f>
        <v/>
      </c>
    </row>
    <row r="331" customFormat="false" ht="15" hidden="false" customHeight="true" outlineLevel="0" collapsed="false">
      <c r="K331" s="21" t="b">
        <f aca="false">IF(반품접수!$A328="",FALSE(),OR(반품접수!$O328="미처리",반품접수!$O328="부분처리"))</f>
        <v>0</v>
      </c>
      <c r="L331" s="6" t="str">
        <f aca="false">IF($K331=FALSE(),"",COUNTIF($K$6:$K331,TRUE()))</f>
        <v/>
      </c>
      <c r="M331" s="6" t="str">
        <f aca="false">IF($L331="","","R"&amp;$L331)</f>
        <v/>
      </c>
    </row>
    <row r="332" customFormat="false" ht="15" hidden="false" customHeight="true" outlineLevel="0" collapsed="false">
      <c r="K332" s="21" t="b">
        <f aca="false">IF(반품접수!$A329="",FALSE(),OR(반품접수!$O329="미처리",반품접수!$O329="부분처리"))</f>
        <v>0</v>
      </c>
      <c r="L332" s="6" t="str">
        <f aca="false">IF($K332=FALSE(),"",COUNTIF($K$6:$K332,TRUE()))</f>
        <v/>
      </c>
      <c r="M332" s="6" t="str">
        <f aca="false">IF($L332="","","R"&amp;$L332)</f>
        <v/>
      </c>
    </row>
    <row r="333" customFormat="false" ht="15" hidden="false" customHeight="true" outlineLevel="0" collapsed="false">
      <c r="K333" s="21" t="b">
        <f aca="false">IF(반품접수!$A330="",FALSE(),OR(반품접수!$O330="미처리",반품접수!$O330="부분처리"))</f>
        <v>0</v>
      </c>
      <c r="L333" s="6" t="str">
        <f aca="false">IF($K333=FALSE(),"",COUNTIF($K$6:$K333,TRUE()))</f>
        <v/>
      </c>
      <c r="M333" s="6" t="str">
        <f aca="false">IF($L333="","","R"&amp;$L333)</f>
        <v/>
      </c>
    </row>
    <row r="334" customFormat="false" ht="15" hidden="false" customHeight="true" outlineLevel="0" collapsed="false">
      <c r="K334" s="21" t="b">
        <f aca="false">IF(반품접수!$A331="",FALSE(),OR(반품접수!$O331="미처리",반품접수!$O331="부분처리"))</f>
        <v>0</v>
      </c>
      <c r="L334" s="6" t="str">
        <f aca="false">IF($K334=FALSE(),"",COUNTIF($K$6:$K334,TRUE()))</f>
        <v/>
      </c>
      <c r="M334" s="6" t="str">
        <f aca="false">IF($L334="","","R"&amp;$L334)</f>
        <v/>
      </c>
    </row>
    <row r="335" customFormat="false" ht="15" hidden="false" customHeight="true" outlineLevel="0" collapsed="false">
      <c r="K335" s="21" t="b">
        <f aca="false">IF(반품접수!$A332="",FALSE(),OR(반품접수!$O332="미처리",반품접수!$O332="부분처리"))</f>
        <v>0</v>
      </c>
      <c r="L335" s="6" t="str">
        <f aca="false">IF($K335=FALSE(),"",COUNTIF($K$6:$K335,TRUE()))</f>
        <v/>
      </c>
      <c r="M335" s="6" t="str">
        <f aca="false">IF($L335="","","R"&amp;$L335)</f>
        <v/>
      </c>
    </row>
    <row r="336" customFormat="false" ht="15" hidden="false" customHeight="true" outlineLevel="0" collapsed="false">
      <c r="K336" s="21" t="b">
        <f aca="false">IF(반품접수!$A333="",FALSE(),OR(반품접수!$O333="미처리",반품접수!$O333="부분처리"))</f>
        <v>0</v>
      </c>
      <c r="L336" s="6" t="str">
        <f aca="false">IF($K336=FALSE(),"",COUNTIF($K$6:$K336,TRUE()))</f>
        <v/>
      </c>
      <c r="M336" s="6" t="str">
        <f aca="false">IF($L336="","","R"&amp;$L336)</f>
        <v/>
      </c>
    </row>
    <row r="337" customFormat="false" ht="15" hidden="false" customHeight="true" outlineLevel="0" collapsed="false">
      <c r="K337" s="21" t="b">
        <f aca="false">IF(반품접수!$A334="",FALSE(),OR(반품접수!$O334="미처리",반품접수!$O334="부분처리"))</f>
        <v>0</v>
      </c>
      <c r="L337" s="6" t="str">
        <f aca="false">IF($K337=FALSE(),"",COUNTIF($K$6:$K337,TRUE()))</f>
        <v/>
      </c>
      <c r="M337" s="6" t="str">
        <f aca="false">IF($L337="","","R"&amp;$L337)</f>
        <v/>
      </c>
    </row>
    <row r="338" customFormat="false" ht="15" hidden="false" customHeight="true" outlineLevel="0" collapsed="false">
      <c r="K338" s="21" t="b">
        <f aca="false">IF(반품접수!$A335="",FALSE(),OR(반품접수!$O335="미처리",반품접수!$O335="부분처리"))</f>
        <v>0</v>
      </c>
      <c r="L338" s="6" t="str">
        <f aca="false">IF($K338=FALSE(),"",COUNTIF($K$6:$K338,TRUE()))</f>
        <v/>
      </c>
      <c r="M338" s="6" t="str">
        <f aca="false">IF($L338="","","R"&amp;$L338)</f>
        <v/>
      </c>
    </row>
    <row r="339" customFormat="false" ht="15" hidden="false" customHeight="true" outlineLevel="0" collapsed="false">
      <c r="K339" s="21" t="b">
        <f aca="false">IF(반품접수!$A336="",FALSE(),OR(반품접수!$O336="미처리",반품접수!$O336="부분처리"))</f>
        <v>0</v>
      </c>
      <c r="L339" s="6" t="str">
        <f aca="false">IF($K339=FALSE(),"",COUNTIF($K$6:$K339,TRUE()))</f>
        <v/>
      </c>
      <c r="M339" s="6" t="str">
        <f aca="false">IF($L339="","","R"&amp;$L339)</f>
        <v/>
      </c>
    </row>
    <row r="340" customFormat="false" ht="15" hidden="false" customHeight="true" outlineLevel="0" collapsed="false">
      <c r="K340" s="21" t="b">
        <f aca="false">IF(반품접수!$A337="",FALSE(),OR(반품접수!$O337="미처리",반품접수!$O337="부분처리"))</f>
        <v>0</v>
      </c>
      <c r="L340" s="6" t="str">
        <f aca="false">IF($K340=FALSE(),"",COUNTIF($K$6:$K340,TRUE()))</f>
        <v/>
      </c>
      <c r="M340" s="6" t="str">
        <f aca="false">IF($L340="","","R"&amp;$L340)</f>
        <v/>
      </c>
    </row>
    <row r="341" customFormat="false" ht="15" hidden="false" customHeight="true" outlineLevel="0" collapsed="false">
      <c r="K341" s="21" t="b">
        <f aca="false">IF(반품접수!$A338="",FALSE(),OR(반품접수!$O338="미처리",반품접수!$O338="부분처리"))</f>
        <v>0</v>
      </c>
      <c r="L341" s="6" t="str">
        <f aca="false">IF($K341=FALSE(),"",COUNTIF($K$6:$K341,TRUE()))</f>
        <v/>
      </c>
      <c r="M341" s="6" t="str">
        <f aca="false">IF($L341="","","R"&amp;$L341)</f>
        <v/>
      </c>
    </row>
    <row r="342" customFormat="false" ht="15" hidden="false" customHeight="true" outlineLevel="0" collapsed="false">
      <c r="K342" s="21" t="b">
        <f aca="false">IF(반품접수!$A339="",FALSE(),OR(반품접수!$O339="미처리",반품접수!$O339="부분처리"))</f>
        <v>0</v>
      </c>
      <c r="L342" s="6" t="str">
        <f aca="false">IF($K342=FALSE(),"",COUNTIF($K$6:$K342,TRUE()))</f>
        <v/>
      </c>
      <c r="M342" s="6" t="str">
        <f aca="false">IF($L342="","","R"&amp;$L342)</f>
        <v/>
      </c>
    </row>
    <row r="343" customFormat="false" ht="15" hidden="false" customHeight="true" outlineLevel="0" collapsed="false">
      <c r="K343" s="21" t="b">
        <f aca="false">IF(반품접수!$A340="",FALSE(),OR(반품접수!$O340="미처리",반품접수!$O340="부분처리"))</f>
        <v>0</v>
      </c>
      <c r="L343" s="6" t="str">
        <f aca="false">IF($K343=FALSE(),"",COUNTIF($K$6:$K343,TRUE()))</f>
        <v/>
      </c>
      <c r="M343" s="6" t="str">
        <f aca="false">IF($L343="","","R"&amp;$L343)</f>
        <v/>
      </c>
    </row>
    <row r="344" customFormat="false" ht="15" hidden="false" customHeight="true" outlineLevel="0" collapsed="false">
      <c r="K344" s="21" t="b">
        <f aca="false">IF(반품접수!$A341="",FALSE(),OR(반품접수!$O341="미처리",반품접수!$O341="부분처리"))</f>
        <v>0</v>
      </c>
      <c r="L344" s="6" t="str">
        <f aca="false">IF($K344=FALSE(),"",COUNTIF($K$6:$K344,TRUE()))</f>
        <v/>
      </c>
      <c r="M344" s="6" t="str">
        <f aca="false">IF($L344="","","R"&amp;$L344)</f>
        <v/>
      </c>
    </row>
    <row r="345" customFormat="false" ht="15" hidden="false" customHeight="true" outlineLevel="0" collapsed="false">
      <c r="K345" s="21" t="b">
        <f aca="false">IF(반품접수!$A342="",FALSE(),OR(반품접수!$O342="미처리",반품접수!$O342="부분처리"))</f>
        <v>0</v>
      </c>
      <c r="L345" s="6" t="str">
        <f aca="false">IF($K345=FALSE(),"",COUNTIF($K$6:$K345,TRUE()))</f>
        <v/>
      </c>
      <c r="M345" s="6" t="str">
        <f aca="false">IF($L345="","","R"&amp;$L345)</f>
        <v/>
      </c>
    </row>
    <row r="346" customFormat="false" ht="15" hidden="false" customHeight="true" outlineLevel="0" collapsed="false">
      <c r="K346" s="21" t="b">
        <f aca="false">IF(반품접수!$A343="",FALSE(),OR(반품접수!$O343="미처리",반품접수!$O343="부분처리"))</f>
        <v>0</v>
      </c>
      <c r="L346" s="6" t="str">
        <f aca="false">IF($K346=FALSE(),"",COUNTIF($K$6:$K346,TRUE()))</f>
        <v/>
      </c>
      <c r="M346" s="6" t="str">
        <f aca="false">IF($L346="","","R"&amp;$L346)</f>
        <v/>
      </c>
    </row>
    <row r="347" customFormat="false" ht="15" hidden="false" customHeight="true" outlineLevel="0" collapsed="false">
      <c r="K347" s="21" t="b">
        <f aca="false">IF(반품접수!$A344="",FALSE(),OR(반품접수!$O344="미처리",반품접수!$O344="부분처리"))</f>
        <v>0</v>
      </c>
      <c r="L347" s="6" t="str">
        <f aca="false">IF($K347=FALSE(),"",COUNTIF($K$6:$K347,TRUE()))</f>
        <v/>
      </c>
      <c r="M347" s="6" t="str">
        <f aca="false">IF($L347="","","R"&amp;$L347)</f>
        <v/>
      </c>
    </row>
    <row r="348" customFormat="false" ht="15" hidden="false" customHeight="true" outlineLevel="0" collapsed="false">
      <c r="K348" s="21" t="b">
        <f aca="false">IF(반품접수!$A345="",FALSE(),OR(반품접수!$O345="미처리",반품접수!$O345="부분처리"))</f>
        <v>0</v>
      </c>
      <c r="L348" s="6" t="str">
        <f aca="false">IF($K348=FALSE(),"",COUNTIF($K$6:$K348,TRUE()))</f>
        <v/>
      </c>
      <c r="M348" s="6" t="str">
        <f aca="false">IF($L348="","","R"&amp;$L348)</f>
        <v/>
      </c>
    </row>
    <row r="349" customFormat="false" ht="15" hidden="false" customHeight="true" outlineLevel="0" collapsed="false">
      <c r="K349" s="21" t="b">
        <f aca="false">IF(반품접수!$A346="",FALSE(),OR(반품접수!$O346="미처리",반품접수!$O346="부분처리"))</f>
        <v>0</v>
      </c>
      <c r="L349" s="6" t="str">
        <f aca="false">IF($K349=FALSE(),"",COUNTIF($K$6:$K349,TRUE()))</f>
        <v/>
      </c>
      <c r="M349" s="6" t="str">
        <f aca="false">IF($L349="","","R"&amp;$L349)</f>
        <v/>
      </c>
    </row>
    <row r="350" customFormat="false" ht="15" hidden="false" customHeight="true" outlineLevel="0" collapsed="false">
      <c r="K350" s="21" t="b">
        <f aca="false">IF(반품접수!$A347="",FALSE(),OR(반품접수!$O347="미처리",반품접수!$O347="부분처리"))</f>
        <v>0</v>
      </c>
      <c r="L350" s="6" t="str">
        <f aca="false">IF($K350=FALSE(),"",COUNTIF($K$6:$K350,TRUE()))</f>
        <v/>
      </c>
      <c r="M350" s="6" t="str">
        <f aca="false">IF($L350="","","R"&amp;$L350)</f>
        <v/>
      </c>
    </row>
    <row r="351" customFormat="false" ht="15" hidden="false" customHeight="true" outlineLevel="0" collapsed="false">
      <c r="K351" s="21" t="b">
        <f aca="false">IF(반품접수!$A348="",FALSE(),OR(반품접수!$O348="미처리",반품접수!$O348="부분처리"))</f>
        <v>0</v>
      </c>
      <c r="L351" s="6" t="str">
        <f aca="false">IF($K351=FALSE(),"",COUNTIF($K$6:$K351,TRUE()))</f>
        <v/>
      </c>
      <c r="M351" s="6" t="str">
        <f aca="false">IF($L351="","","R"&amp;$L351)</f>
        <v/>
      </c>
    </row>
    <row r="352" customFormat="false" ht="15" hidden="false" customHeight="true" outlineLevel="0" collapsed="false">
      <c r="K352" s="21" t="b">
        <f aca="false">IF(반품접수!$A349="",FALSE(),OR(반품접수!$O349="미처리",반품접수!$O349="부분처리"))</f>
        <v>0</v>
      </c>
      <c r="L352" s="6" t="str">
        <f aca="false">IF($K352=FALSE(),"",COUNTIF($K$6:$K352,TRUE()))</f>
        <v/>
      </c>
      <c r="M352" s="6" t="str">
        <f aca="false">IF($L352="","","R"&amp;$L352)</f>
        <v/>
      </c>
    </row>
    <row r="353" customFormat="false" ht="15" hidden="false" customHeight="true" outlineLevel="0" collapsed="false">
      <c r="K353" s="21" t="b">
        <f aca="false">IF(반품접수!$A350="",FALSE(),OR(반품접수!$O350="미처리",반품접수!$O350="부분처리"))</f>
        <v>0</v>
      </c>
      <c r="L353" s="6" t="str">
        <f aca="false">IF($K353=FALSE(),"",COUNTIF($K$6:$K353,TRUE()))</f>
        <v/>
      </c>
      <c r="M353" s="6" t="str">
        <f aca="false">IF($L353="","","R"&amp;$L353)</f>
        <v/>
      </c>
    </row>
    <row r="354" customFormat="false" ht="15" hidden="false" customHeight="true" outlineLevel="0" collapsed="false">
      <c r="K354" s="21" t="b">
        <f aca="false">IF(반품접수!$A351="",FALSE(),OR(반품접수!$O351="미처리",반품접수!$O351="부분처리"))</f>
        <v>0</v>
      </c>
      <c r="L354" s="6" t="str">
        <f aca="false">IF($K354=FALSE(),"",COUNTIF($K$6:$K354,TRUE()))</f>
        <v/>
      </c>
      <c r="M354" s="6" t="str">
        <f aca="false">IF($L354="","","R"&amp;$L354)</f>
        <v/>
      </c>
    </row>
    <row r="355" customFormat="false" ht="15" hidden="false" customHeight="true" outlineLevel="0" collapsed="false">
      <c r="K355" s="21" t="b">
        <f aca="false">IF(반품접수!$A352="",FALSE(),OR(반품접수!$O352="미처리",반품접수!$O352="부분처리"))</f>
        <v>0</v>
      </c>
      <c r="L355" s="6" t="str">
        <f aca="false">IF($K355=FALSE(),"",COUNTIF($K$6:$K355,TRUE()))</f>
        <v/>
      </c>
      <c r="M355" s="6" t="str">
        <f aca="false">IF($L355="","","R"&amp;$L355)</f>
        <v/>
      </c>
    </row>
    <row r="356" customFormat="false" ht="15" hidden="false" customHeight="true" outlineLevel="0" collapsed="false">
      <c r="K356" s="21" t="b">
        <f aca="false">IF(반품접수!$A353="",FALSE(),OR(반품접수!$O353="미처리",반품접수!$O353="부분처리"))</f>
        <v>0</v>
      </c>
      <c r="L356" s="6" t="str">
        <f aca="false">IF($K356=FALSE(),"",COUNTIF($K$6:$K356,TRUE()))</f>
        <v/>
      </c>
      <c r="M356" s="6" t="str">
        <f aca="false">IF($L356="","","R"&amp;$L356)</f>
        <v/>
      </c>
    </row>
    <row r="357" customFormat="false" ht="15" hidden="false" customHeight="true" outlineLevel="0" collapsed="false">
      <c r="K357" s="21" t="b">
        <f aca="false">IF(반품접수!$A354="",FALSE(),OR(반품접수!$O354="미처리",반품접수!$O354="부분처리"))</f>
        <v>0</v>
      </c>
      <c r="L357" s="6" t="str">
        <f aca="false">IF($K357=FALSE(),"",COUNTIF($K$6:$K357,TRUE()))</f>
        <v/>
      </c>
      <c r="M357" s="6" t="str">
        <f aca="false">IF($L357="","","R"&amp;$L357)</f>
        <v/>
      </c>
    </row>
    <row r="358" customFormat="false" ht="15" hidden="false" customHeight="true" outlineLevel="0" collapsed="false">
      <c r="K358" s="21" t="b">
        <f aca="false">IF(반품접수!$A355="",FALSE(),OR(반품접수!$O355="미처리",반품접수!$O355="부분처리"))</f>
        <v>0</v>
      </c>
      <c r="L358" s="6" t="str">
        <f aca="false">IF($K358=FALSE(),"",COUNTIF($K$6:$K358,TRUE()))</f>
        <v/>
      </c>
      <c r="M358" s="6" t="str">
        <f aca="false">IF($L358="","","R"&amp;$L358)</f>
        <v/>
      </c>
    </row>
    <row r="359" customFormat="false" ht="15" hidden="false" customHeight="true" outlineLevel="0" collapsed="false">
      <c r="K359" s="21" t="b">
        <f aca="false">IF(반품접수!$A356="",FALSE(),OR(반품접수!$O356="미처리",반품접수!$O356="부분처리"))</f>
        <v>0</v>
      </c>
      <c r="L359" s="6" t="str">
        <f aca="false">IF($K359=FALSE(),"",COUNTIF($K$6:$K359,TRUE()))</f>
        <v/>
      </c>
      <c r="M359" s="6" t="str">
        <f aca="false">IF($L359="","","R"&amp;$L359)</f>
        <v/>
      </c>
    </row>
    <row r="360" customFormat="false" ht="15" hidden="false" customHeight="true" outlineLevel="0" collapsed="false">
      <c r="K360" s="21" t="b">
        <f aca="false">IF(반품접수!$A357="",FALSE(),OR(반품접수!$O357="미처리",반품접수!$O357="부분처리"))</f>
        <v>0</v>
      </c>
      <c r="L360" s="6" t="str">
        <f aca="false">IF($K360=FALSE(),"",COUNTIF($K$6:$K360,TRUE()))</f>
        <v/>
      </c>
      <c r="M360" s="6" t="str">
        <f aca="false">IF($L360="","","R"&amp;$L360)</f>
        <v/>
      </c>
    </row>
    <row r="361" customFormat="false" ht="15" hidden="false" customHeight="true" outlineLevel="0" collapsed="false">
      <c r="K361" s="21" t="b">
        <f aca="false">IF(반품접수!$A358="",FALSE(),OR(반품접수!$O358="미처리",반품접수!$O358="부분처리"))</f>
        <v>0</v>
      </c>
      <c r="L361" s="6" t="str">
        <f aca="false">IF($K361=FALSE(),"",COUNTIF($K$6:$K361,TRUE()))</f>
        <v/>
      </c>
      <c r="M361" s="6" t="str">
        <f aca="false">IF($L361="","","R"&amp;$L361)</f>
        <v/>
      </c>
    </row>
    <row r="362" customFormat="false" ht="15" hidden="false" customHeight="true" outlineLevel="0" collapsed="false">
      <c r="K362" s="21" t="b">
        <f aca="false">IF(반품접수!$A359="",FALSE(),OR(반품접수!$O359="미처리",반품접수!$O359="부분처리"))</f>
        <v>0</v>
      </c>
      <c r="L362" s="6" t="str">
        <f aca="false">IF($K362=FALSE(),"",COUNTIF($K$6:$K362,TRUE()))</f>
        <v/>
      </c>
      <c r="M362" s="6" t="str">
        <f aca="false">IF($L362="","","R"&amp;$L362)</f>
        <v/>
      </c>
    </row>
    <row r="363" customFormat="false" ht="15" hidden="false" customHeight="true" outlineLevel="0" collapsed="false">
      <c r="K363" s="21" t="b">
        <f aca="false">IF(반품접수!$A360="",FALSE(),OR(반품접수!$O360="미처리",반품접수!$O360="부분처리"))</f>
        <v>0</v>
      </c>
      <c r="L363" s="6" t="str">
        <f aca="false">IF($K363=FALSE(),"",COUNTIF($K$6:$K363,TRUE()))</f>
        <v/>
      </c>
      <c r="M363" s="6" t="str">
        <f aca="false">IF($L363="","","R"&amp;$L363)</f>
        <v/>
      </c>
    </row>
    <row r="364" customFormat="false" ht="15" hidden="false" customHeight="true" outlineLevel="0" collapsed="false">
      <c r="K364" s="21" t="b">
        <f aca="false">IF(반품접수!$A361="",FALSE(),OR(반품접수!$O361="미처리",반품접수!$O361="부분처리"))</f>
        <v>0</v>
      </c>
      <c r="L364" s="6" t="str">
        <f aca="false">IF($K364=FALSE(),"",COUNTIF($K$6:$K364,TRUE()))</f>
        <v/>
      </c>
      <c r="M364" s="6" t="str">
        <f aca="false">IF($L364="","","R"&amp;$L364)</f>
        <v/>
      </c>
    </row>
    <row r="365" customFormat="false" ht="15" hidden="false" customHeight="true" outlineLevel="0" collapsed="false">
      <c r="K365" s="21" t="b">
        <f aca="false">IF(반품접수!$A362="",FALSE(),OR(반품접수!$O362="미처리",반품접수!$O362="부분처리"))</f>
        <v>0</v>
      </c>
      <c r="L365" s="6" t="str">
        <f aca="false">IF($K365=FALSE(),"",COUNTIF($K$6:$K365,TRUE()))</f>
        <v/>
      </c>
      <c r="M365" s="6" t="str">
        <f aca="false">IF($L365="","","R"&amp;$L365)</f>
        <v/>
      </c>
    </row>
    <row r="366" customFormat="false" ht="15" hidden="false" customHeight="true" outlineLevel="0" collapsed="false">
      <c r="K366" s="21" t="b">
        <f aca="false">IF(반품접수!$A363="",FALSE(),OR(반품접수!$O363="미처리",반품접수!$O363="부분처리"))</f>
        <v>0</v>
      </c>
      <c r="L366" s="6" t="str">
        <f aca="false">IF($K366=FALSE(),"",COUNTIF($K$6:$K366,TRUE()))</f>
        <v/>
      </c>
      <c r="M366" s="6" t="str">
        <f aca="false">IF($L366="","","R"&amp;$L366)</f>
        <v/>
      </c>
    </row>
    <row r="367" customFormat="false" ht="15" hidden="false" customHeight="true" outlineLevel="0" collapsed="false">
      <c r="K367" s="21" t="b">
        <f aca="false">IF(반품접수!$A364="",FALSE(),OR(반품접수!$O364="미처리",반품접수!$O364="부분처리"))</f>
        <v>0</v>
      </c>
      <c r="L367" s="6" t="str">
        <f aca="false">IF($K367=FALSE(),"",COUNTIF($K$6:$K367,TRUE()))</f>
        <v/>
      </c>
      <c r="M367" s="6" t="str">
        <f aca="false">IF($L367="","","R"&amp;$L367)</f>
        <v/>
      </c>
    </row>
    <row r="368" customFormat="false" ht="15" hidden="false" customHeight="true" outlineLevel="0" collapsed="false">
      <c r="K368" s="21" t="b">
        <f aca="false">IF(반품접수!$A365="",FALSE(),OR(반품접수!$O365="미처리",반품접수!$O365="부분처리"))</f>
        <v>0</v>
      </c>
      <c r="L368" s="6" t="str">
        <f aca="false">IF($K368=FALSE(),"",COUNTIF($K$6:$K368,TRUE()))</f>
        <v/>
      </c>
      <c r="M368" s="6" t="str">
        <f aca="false">IF($L368="","","R"&amp;$L368)</f>
        <v/>
      </c>
    </row>
    <row r="369" customFormat="false" ht="15" hidden="false" customHeight="true" outlineLevel="0" collapsed="false">
      <c r="K369" s="21" t="b">
        <f aca="false">IF(반품접수!$A366="",FALSE(),OR(반품접수!$O366="미처리",반품접수!$O366="부분처리"))</f>
        <v>0</v>
      </c>
      <c r="L369" s="6" t="str">
        <f aca="false">IF($K369=FALSE(),"",COUNTIF($K$6:$K369,TRUE()))</f>
        <v/>
      </c>
      <c r="M369" s="6" t="str">
        <f aca="false">IF($L369="","","R"&amp;$L369)</f>
        <v/>
      </c>
    </row>
    <row r="370" customFormat="false" ht="15" hidden="false" customHeight="true" outlineLevel="0" collapsed="false">
      <c r="K370" s="21" t="b">
        <f aca="false">IF(반품접수!$A367="",FALSE(),OR(반품접수!$O367="미처리",반품접수!$O367="부분처리"))</f>
        <v>0</v>
      </c>
      <c r="L370" s="6" t="str">
        <f aca="false">IF($K370=FALSE(),"",COUNTIF($K$6:$K370,TRUE()))</f>
        <v/>
      </c>
      <c r="M370" s="6" t="str">
        <f aca="false">IF($L370="","","R"&amp;$L370)</f>
        <v/>
      </c>
    </row>
    <row r="371" customFormat="false" ht="15" hidden="false" customHeight="true" outlineLevel="0" collapsed="false">
      <c r="K371" s="21" t="b">
        <f aca="false">IF(반품접수!$A368="",FALSE(),OR(반품접수!$O368="미처리",반품접수!$O368="부분처리"))</f>
        <v>0</v>
      </c>
      <c r="L371" s="6" t="str">
        <f aca="false">IF($K371=FALSE(),"",COUNTIF($K$6:$K371,TRUE()))</f>
        <v/>
      </c>
      <c r="M371" s="6" t="str">
        <f aca="false">IF($L371="","","R"&amp;$L371)</f>
        <v/>
      </c>
    </row>
    <row r="372" customFormat="false" ht="15" hidden="false" customHeight="true" outlineLevel="0" collapsed="false">
      <c r="K372" s="21" t="b">
        <f aca="false">IF(반품접수!$A369="",FALSE(),OR(반품접수!$O369="미처리",반품접수!$O369="부분처리"))</f>
        <v>0</v>
      </c>
      <c r="L372" s="6" t="str">
        <f aca="false">IF($K372=FALSE(),"",COUNTIF($K$6:$K372,TRUE()))</f>
        <v/>
      </c>
      <c r="M372" s="6" t="str">
        <f aca="false">IF($L372="","","R"&amp;$L372)</f>
        <v/>
      </c>
    </row>
    <row r="373" customFormat="false" ht="15" hidden="false" customHeight="true" outlineLevel="0" collapsed="false">
      <c r="K373" s="21" t="b">
        <f aca="false">IF(반품접수!$A370="",FALSE(),OR(반품접수!$O370="미처리",반품접수!$O370="부분처리"))</f>
        <v>0</v>
      </c>
      <c r="L373" s="6" t="str">
        <f aca="false">IF($K373=FALSE(),"",COUNTIF($K$6:$K373,TRUE()))</f>
        <v/>
      </c>
      <c r="M373" s="6" t="str">
        <f aca="false">IF($L373="","","R"&amp;$L373)</f>
        <v/>
      </c>
    </row>
    <row r="374" customFormat="false" ht="15" hidden="false" customHeight="true" outlineLevel="0" collapsed="false">
      <c r="K374" s="21" t="b">
        <f aca="false">IF(반품접수!$A371="",FALSE(),OR(반품접수!$O371="미처리",반품접수!$O371="부분처리"))</f>
        <v>0</v>
      </c>
      <c r="L374" s="6" t="str">
        <f aca="false">IF($K374=FALSE(),"",COUNTIF($K$6:$K374,TRUE()))</f>
        <v/>
      </c>
      <c r="M374" s="6" t="str">
        <f aca="false">IF($L374="","","R"&amp;$L374)</f>
        <v/>
      </c>
    </row>
    <row r="375" customFormat="false" ht="15" hidden="false" customHeight="true" outlineLevel="0" collapsed="false">
      <c r="K375" s="21" t="b">
        <f aca="false">IF(반품접수!$A372="",FALSE(),OR(반품접수!$O372="미처리",반품접수!$O372="부분처리"))</f>
        <v>0</v>
      </c>
      <c r="L375" s="6" t="str">
        <f aca="false">IF($K375=FALSE(),"",COUNTIF($K$6:$K375,TRUE()))</f>
        <v/>
      </c>
      <c r="M375" s="6" t="str">
        <f aca="false">IF($L375="","","R"&amp;$L375)</f>
        <v/>
      </c>
    </row>
    <row r="376" customFormat="false" ht="15" hidden="false" customHeight="true" outlineLevel="0" collapsed="false">
      <c r="K376" s="21" t="b">
        <f aca="false">IF(반품접수!$A373="",FALSE(),OR(반품접수!$O373="미처리",반품접수!$O373="부분처리"))</f>
        <v>0</v>
      </c>
      <c r="L376" s="6" t="str">
        <f aca="false">IF($K376=FALSE(),"",COUNTIF($K$6:$K376,TRUE()))</f>
        <v/>
      </c>
      <c r="M376" s="6" t="str">
        <f aca="false">IF($L376="","","R"&amp;$L376)</f>
        <v/>
      </c>
    </row>
    <row r="377" customFormat="false" ht="15" hidden="false" customHeight="true" outlineLevel="0" collapsed="false">
      <c r="K377" s="21" t="b">
        <f aca="false">IF(반품접수!$A374="",FALSE(),OR(반품접수!$O374="미처리",반품접수!$O374="부분처리"))</f>
        <v>0</v>
      </c>
      <c r="L377" s="6" t="str">
        <f aca="false">IF($K377=FALSE(),"",COUNTIF($K$6:$K377,TRUE()))</f>
        <v/>
      </c>
      <c r="M377" s="6" t="str">
        <f aca="false">IF($L377="","","R"&amp;$L377)</f>
        <v/>
      </c>
    </row>
    <row r="378" customFormat="false" ht="15" hidden="false" customHeight="true" outlineLevel="0" collapsed="false">
      <c r="K378" s="21" t="b">
        <f aca="false">IF(반품접수!$A375="",FALSE(),OR(반품접수!$O375="미처리",반품접수!$O375="부분처리"))</f>
        <v>0</v>
      </c>
      <c r="L378" s="6" t="str">
        <f aca="false">IF($K378=FALSE(),"",COUNTIF($K$6:$K378,TRUE()))</f>
        <v/>
      </c>
      <c r="M378" s="6" t="str">
        <f aca="false">IF($L378="","","R"&amp;$L378)</f>
        <v/>
      </c>
    </row>
    <row r="379" customFormat="false" ht="15" hidden="false" customHeight="true" outlineLevel="0" collapsed="false">
      <c r="K379" s="21" t="b">
        <f aca="false">IF(반품접수!$A376="",FALSE(),OR(반품접수!$O376="미처리",반품접수!$O376="부분처리"))</f>
        <v>0</v>
      </c>
      <c r="L379" s="6" t="str">
        <f aca="false">IF($K379=FALSE(),"",COUNTIF($K$6:$K379,TRUE()))</f>
        <v/>
      </c>
      <c r="M379" s="6" t="str">
        <f aca="false">IF($L379="","","R"&amp;$L379)</f>
        <v/>
      </c>
    </row>
    <row r="380" customFormat="false" ht="15" hidden="false" customHeight="true" outlineLevel="0" collapsed="false">
      <c r="K380" s="21" t="b">
        <f aca="false">IF(반품접수!$A377="",FALSE(),OR(반품접수!$O377="미처리",반품접수!$O377="부분처리"))</f>
        <v>0</v>
      </c>
      <c r="L380" s="6" t="str">
        <f aca="false">IF($K380=FALSE(),"",COUNTIF($K$6:$K380,TRUE()))</f>
        <v/>
      </c>
      <c r="M380" s="6" t="str">
        <f aca="false">IF($L380="","","R"&amp;$L380)</f>
        <v/>
      </c>
    </row>
    <row r="381" customFormat="false" ht="15" hidden="false" customHeight="true" outlineLevel="0" collapsed="false">
      <c r="K381" s="21" t="b">
        <f aca="false">IF(반품접수!$A378="",FALSE(),OR(반품접수!$O378="미처리",반품접수!$O378="부분처리"))</f>
        <v>0</v>
      </c>
      <c r="L381" s="6" t="str">
        <f aca="false">IF($K381=FALSE(),"",COUNTIF($K$6:$K381,TRUE()))</f>
        <v/>
      </c>
      <c r="M381" s="6" t="str">
        <f aca="false">IF($L381="","","R"&amp;$L381)</f>
        <v/>
      </c>
    </row>
    <row r="382" customFormat="false" ht="15" hidden="false" customHeight="true" outlineLevel="0" collapsed="false">
      <c r="K382" s="21" t="b">
        <f aca="false">IF(반품접수!$A379="",FALSE(),OR(반품접수!$O379="미처리",반품접수!$O379="부분처리"))</f>
        <v>0</v>
      </c>
      <c r="L382" s="6" t="str">
        <f aca="false">IF($K382=FALSE(),"",COUNTIF($K$6:$K382,TRUE()))</f>
        <v/>
      </c>
      <c r="M382" s="6" t="str">
        <f aca="false">IF($L382="","","R"&amp;$L382)</f>
        <v/>
      </c>
    </row>
    <row r="383" customFormat="false" ht="15" hidden="false" customHeight="true" outlineLevel="0" collapsed="false">
      <c r="K383" s="21" t="b">
        <f aca="false">IF(반품접수!$A380="",FALSE(),OR(반품접수!$O380="미처리",반품접수!$O380="부분처리"))</f>
        <v>0</v>
      </c>
      <c r="L383" s="6" t="str">
        <f aca="false">IF($K383=FALSE(),"",COUNTIF($K$6:$K383,TRUE()))</f>
        <v/>
      </c>
      <c r="M383" s="6" t="str">
        <f aca="false">IF($L383="","","R"&amp;$L383)</f>
        <v/>
      </c>
    </row>
    <row r="384" customFormat="false" ht="15" hidden="false" customHeight="true" outlineLevel="0" collapsed="false">
      <c r="K384" s="21" t="b">
        <f aca="false">IF(반품접수!$A381="",FALSE(),OR(반품접수!$O381="미처리",반품접수!$O381="부분처리"))</f>
        <v>0</v>
      </c>
      <c r="L384" s="6" t="str">
        <f aca="false">IF($K384=FALSE(),"",COUNTIF($K$6:$K384,TRUE()))</f>
        <v/>
      </c>
      <c r="M384" s="6" t="str">
        <f aca="false">IF($L384="","","R"&amp;$L384)</f>
        <v/>
      </c>
    </row>
    <row r="385" customFormat="false" ht="15" hidden="false" customHeight="true" outlineLevel="0" collapsed="false">
      <c r="K385" s="21" t="b">
        <f aca="false">IF(반품접수!$A382="",FALSE(),OR(반품접수!$O382="미처리",반품접수!$O382="부분처리"))</f>
        <v>0</v>
      </c>
      <c r="L385" s="6" t="str">
        <f aca="false">IF($K385=FALSE(),"",COUNTIF($K$6:$K385,TRUE()))</f>
        <v/>
      </c>
      <c r="M385" s="6" t="str">
        <f aca="false">IF($L385="","","R"&amp;$L385)</f>
        <v/>
      </c>
    </row>
    <row r="386" customFormat="false" ht="15" hidden="false" customHeight="true" outlineLevel="0" collapsed="false">
      <c r="K386" s="21" t="b">
        <f aca="false">IF(반품접수!$A383="",FALSE(),OR(반품접수!$O383="미처리",반품접수!$O383="부분처리"))</f>
        <v>0</v>
      </c>
      <c r="L386" s="6" t="str">
        <f aca="false">IF($K386=FALSE(),"",COUNTIF($K$6:$K386,TRUE()))</f>
        <v/>
      </c>
      <c r="M386" s="6" t="str">
        <f aca="false">IF($L386="","","R"&amp;$L386)</f>
        <v/>
      </c>
    </row>
    <row r="387" customFormat="false" ht="15" hidden="false" customHeight="true" outlineLevel="0" collapsed="false">
      <c r="K387" s="21" t="b">
        <f aca="false">IF(반품접수!$A384="",FALSE(),OR(반품접수!$O384="미처리",반품접수!$O384="부분처리"))</f>
        <v>0</v>
      </c>
      <c r="L387" s="6" t="str">
        <f aca="false">IF($K387=FALSE(),"",COUNTIF($K$6:$K387,TRUE()))</f>
        <v/>
      </c>
      <c r="M387" s="6" t="str">
        <f aca="false">IF($L387="","","R"&amp;$L387)</f>
        <v/>
      </c>
    </row>
    <row r="388" customFormat="false" ht="15" hidden="false" customHeight="true" outlineLevel="0" collapsed="false">
      <c r="K388" s="21" t="b">
        <f aca="false">IF(반품접수!$A385="",FALSE(),OR(반품접수!$O385="미처리",반품접수!$O385="부분처리"))</f>
        <v>0</v>
      </c>
      <c r="L388" s="6" t="str">
        <f aca="false">IF($K388=FALSE(),"",COUNTIF($K$6:$K388,TRUE()))</f>
        <v/>
      </c>
      <c r="M388" s="6" t="str">
        <f aca="false">IF($L388="","","R"&amp;$L388)</f>
        <v/>
      </c>
    </row>
    <row r="389" customFormat="false" ht="15" hidden="false" customHeight="true" outlineLevel="0" collapsed="false">
      <c r="K389" s="21" t="b">
        <f aca="false">IF(반품접수!$A386="",FALSE(),OR(반품접수!$O386="미처리",반품접수!$O386="부분처리"))</f>
        <v>0</v>
      </c>
      <c r="L389" s="6" t="str">
        <f aca="false">IF($K389=FALSE(),"",COUNTIF($K$6:$K389,TRUE()))</f>
        <v/>
      </c>
      <c r="M389" s="6" t="str">
        <f aca="false">IF($L389="","","R"&amp;$L389)</f>
        <v/>
      </c>
    </row>
    <row r="390" customFormat="false" ht="15" hidden="false" customHeight="true" outlineLevel="0" collapsed="false">
      <c r="K390" s="21" t="b">
        <f aca="false">IF(반품접수!$A387="",FALSE(),OR(반품접수!$O387="미처리",반품접수!$O387="부분처리"))</f>
        <v>0</v>
      </c>
      <c r="L390" s="6" t="str">
        <f aca="false">IF($K390=FALSE(),"",COUNTIF($K$6:$K390,TRUE()))</f>
        <v/>
      </c>
      <c r="M390" s="6" t="str">
        <f aca="false">IF($L390="","","R"&amp;$L390)</f>
        <v/>
      </c>
    </row>
    <row r="391" customFormat="false" ht="15" hidden="false" customHeight="true" outlineLevel="0" collapsed="false">
      <c r="K391" s="21" t="b">
        <f aca="false">IF(반품접수!$A388="",FALSE(),OR(반품접수!$O388="미처리",반품접수!$O388="부분처리"))</f>
        <v>0</v>
      </c>
      <c r="L391" s="6" t="str">
        <f aca="false">IF($K391=FALSE(),"",COUNTIF($K$6:$K391,TRUE()))</f>
        <v/>
      </c>
      <c r="M391" s="6" t="str">
        <f aca="false">IF($L391="","","R"&amp;$L391)</f>
        <v/>
      </c>
    </row>
    <row r="392" customFormat="false" ht="15" hidden="false" customHeight="true" outlineLevel="0" collapsed="false">
      <c r="K392" s="21" t="b">
        <f aca="false">IF(반품접수!$A389="",FALSE(),OR(반품접수!$O389="미처리",반품접수!$O389="부분처리"))</f>
        <v>0</v>
      </c>
      <c r="L392" s="6" t="str">
        <f aca="false">IF($K392=FALSE(),"",COUNTIF($K$6:$K392,TRUE()))</f>
        <v/>
      </c>
      <c r="M392" s="6" t="str">
        <f aca="false">IF($L392="","","R"&amp;$L392)</f>
        <v/>
      </c>
    </row>
    <row r="393" customFormat="false" ht="15" hidden="false" customHeight="true" outlineLevel="0" collapsed="false">
      <c r="K393" s="21" t="b">
        <f aca="false">IF(반품접수!$A390="",FALSE(),OR(반품접수!$O390="미처리",반품접수!$O390="부분처리"))</f>
        <v>0</v>
      </c>
      <c r="L393" s="6" t="str">
        <f aca="false">IF($K393=FALSE(),"",COUNTIF($K$6:$K393,TRUE()))</f>
        <v/>
      </c>
      <c r="M393" s="6" t="str">
        <f aca="false">IF($L393="","","R"&amp;$L393)</f>
        <v/>
      </c>
    </row>
    <row r="394" customFormat="false" ht="15" hidden="false" customHeight="true" outlineLevel="0" collapsed="false">
      <c r="K394" s="21" t="b">
        <f aca="false">IF(반품접수!$A391="",FALSE(),OR(반품접수!$O391="미처리",반품접수!$O391="부분처리"))</f>
        <v>0</v>
      </c>
      <c r="L394" s="6" t="str">
        <f aca="false">IF($K394=FALSE(),"",COUNTIF($K$6:$K394,TRUE()))</f>
        <v/>
      </c>
      <c r="M394" s="6" t="str">
        <f aca="false">IF($L394="","","R"&amp;$L394)</f>
        <v/>
      </c>
    </row>
    <row r="395" customFormat="false" ht="15" hidden="false" customHeight="true" outlineLevel="0" collapsed="false">
      <c r="K395" s="21" t="b">
        <f aca="false">IF(반품접수!$A392="",FALSE(),OR(반품접수!$O392="미처리",반품접수!$O392="부분처리"))</f>
        <v>0</v>
      </c>
      <c r="L395" s="6" t="str">
        <f aca="false">IF($K395=FALSE(),"",COUNTIF($K$6:$K395,TRUE()))</f>
        <v/>
      </c>
      <c r="M395" s="6" t="str">
        <f aca="false">IF($L395="","","R"&amp;$L395)</f>
        <v/>
      </c>
    </row>
    <row r="396" customFormat="false" ht="15" hidden="false" customHeight="true" outlineLevel="0" collapsed="false">
      <c r="K396" s="21" t="b">
        <f aca="false">IF(반품접수!$A393="",FALSE(),OR(반품접수!$O393="미처리",반품접수!$O393="부분처리"))</f>
        <v>0</v>
      </c>
      <c r="L396" s="6" t="str">
        <f aca="false">IF($K396=FALSE(),"",COUNTIF($K$6:$K396,TRUE()))</f>
        <v/>
      </c>
      <c r="M396" s="6" t="str">
        <f aca="false">IF($L396="","","R"&amp;$L396)</f>
        <v/>
      </c>
    </row>
    <row r="397" customFormat="false" ht="15" hidden="false" customHeight="true" outlineLevel="0" collapsed="false">
      <c r="K397" s="21" t="b">
        <f aca="false">IF(반품접수!$A394="",FALSE(),OR(반품접수!$O394="미처리",반품접수!$O394="부분처리"))</f>
        <v>0</v>
      </c>
      <c r="L397" s="6" t="str">
        <f aca="false">IF($K397=FALSE(),"",COUNTIF($K$6:$K397,TRUE()))</f>
        <v/>
      </c>
      <c r="M397" s="6" t="str">
        <f aca="false">IF($L397="","","R"&amp;$L397)</f>
        <v/>
      </c>
    </row>
    <row r="398" customFormat="false" ht="15" hidden="false" customHeight="true" outlineLevel="0" collapsed="false">
      <c r="K398" s="21" t="b">
        <f aca="false">IF(반품접수!$A395="",FALSE(),OR(반품접수!$O395="미처리",반품접수!$O395="부분처리"))</f>
        <v>0</v>
      </c>
      <c r="L398" s="6" t="str">
        <f aca="false">IF($K398=FALSE(),"",COUNTIF($K$6:$K398,TRUE()))</f>
        <v/>
      </c>
      <c r="M398" s="6" t="str">
        <f aca="false">IF($L398="","","R"&amp;$L398)</f>
        <v/>
      </c>
    </row>
    <row r="399" customFormat="false" ht="15" hidden="false" customHeight="true" outlineLevel="0" collapsed="false">
      <c r="K399" s="21" t="b">
        <f aca="false">IF(반품접수!$A396="",FALSE(),OR(반품접수!$O396="미처리",반품접수!$O396="부분처리"))</f>
        <v>0</v>
      </c>
      <c r="L399" s="6" t="str">
        <f aca="false">IF($K399=FALSE(),"",COUNTIF($K$6:$K399,TRUE()))</f>
        <v/>
      </c>
      <c r="M399" s="6" t="str">
        <f aca="false">IF($L399="","","R"&amp;$L399)</f>
        <v/>
      </c>
    </row>
    <row r="400" customFormat="false" ht="15" hidden="false" customHeight="true" outlineLevel="0" collapsed="false">
      <c r="K400" s="21" t="b">
        <f aca="false">IF(반품접수!$A397="",FALSE(),OR(반품접수!$O397="미처리",반품접수!$O397="부분처리"))</f>
        <v>0</v>
      </c>
      <c r="L400" s="6" t="str">
        <f aca="false">IF($K400=FALSE(),"",COUNTIF($K$6:$K400,TRUE()))</f>
        <v/>
      </c>
      <c r="M400" s="6" t="str">
        <f aca="false">IF($L400="","","R"&amp;$L400)</f>
        <v/>
      </c>
    </row>
    <row r="401" customFormat="false" ht="15" hidden="false" customHeight="true" outlineLevel="0" collapsed="false">
      <c r="K401" s="21" t="b">
        <f aca="false">IF(반품접수!$A398="",FALSE(),OR(반품접수!$O398="미처리",반품접수!$O398="부분처리"))</f>
        <v>0</v>
      </c>
      <c r="L401" s="6" t="str">
        <f aca="false">IF($K401=FALSE(),"",COUNTIF($K$6:$K401,TRUE()))</f>
        <v/>
      </c>
      <c r="M401" s="6" t="str">
        <f aca="false">IF($L401="","","R"&amp;$L401)</f>
        <v/>
      </c>
    </row>
    <row r="402" customFormat="false" ht="15" hidden="false" customHeight="true" outlineLevel="0" collapsed="false">
      <c r="K402" s="21" t="b">
        <f aca="false">IF(반품접수!$A399="",FALSE(),OR(반품접수!$O399="미처리",반품접수!$O399="부분처리"))</f>
        <v>0</v>
      </c>
      <c r="L402" s="6" t="str">
        <f aca="false">IF($K402=FALSE(),"",COUNTIF($K$6:$K402,TRUE()))</f>
        <v/>
      </c>
      <c r="M402" s="6" t="str">
        <f aca="false">IF($L402="","","R"&amp;$L402)</f>
        <v/>
      </c>
    </row>
    <row r="403" customFormat="false" ht="15" hidden="false" customHeight="true" outlineLevel="0" collapsed="false">
      <c r="K403" s="21" t="b">
        <f aca="false">IF(반품접수!$A400="",FALSE(),OR(반품접수!$O400="미처리",반품접수!$O400="부분처리"))</f>
        <v>0</v>
      </c>
      <c r="L403" s="6" t="str">
        <f aca="false">IF($K403=FALSE(),"",COUNTIF($K$6:$K403,TRUE()))</f>
        <v/>
      </c>
      <c r="M403" s="6" t="str">
        <f aca="false">IF($L403="","","R"&amp;$L403)</f>
        <v/>
      </c>
    </row>
    <row r="404" customFormat="false" ht="15" hidden="false" customHeight="true" outlineLevel="0" collapsed="false">
      <c r="K404" s="21" t="b">
        <f aca="false">IF(반품접수!$A401="",FALSE(),OR(반품접수!$O401="미처리",반품접수!$O401="부분처리"))</f>
        <v>0</v>
      </c>
      <c r="L404" s="6" t="str">
        <f aca="false">IF($K404=FALSE(),"",COUNTIF($K$6:$K404,TRUE()))</f>
        <v/>
      </c>
      <c r="M404" s="6" t="str">
        <f aca="false">IF($L404="","","R"&amp;$L404)</f>
        <v/>
      </c>
    </row>
    <row r="405" customFormat="false" ht="15" hidden="false" customHeight="true" outlineLevel="0" collapsed="false">
      <c r="K405" s="21" t="b">
        <f aca="false">IF(반품접수!$A402="",FALSE(),OR(반품접수!$O402="미처리",반품접수!$O402="부분처리"))</f>
        <v>0</v>
      </c>
      <c r="L405" s="6" t="str">
        <f aca="false">IF($K405=FALSE(),"",COUNTIF($K$6:$K405,TRUE()))</f>
        <v/>
      </c>
      <c r="M405" s="6" t="str">
        <f aca="false">IF($L405="","","R"&amp;$L405)</f>
        <v/>
      </c>
    </row>
    <row r="406" customFormat="false" ht="15" hidden="false" customHeight="true" outlineLevel="0" collapsed="false">
      <c r="K406" s="21" t="b">
        <f aca="false">IF(반품접수!$A403="",FALSE(),OR(반품접수!$O403="미처리",반품접수!$O403="부분처리"))</f>
        <v>0</v>
      </c>
      <c r="L406" s="6" t="str">
        <f aca="false">IF($K406=FALSE(),"",COUNTIF($K$6:$K406,TRUE()))</f>
        <v/>
      </c>
      <c r="M406" s="6" t="str">
        <f aca="false">IF($L406="","","R"&amp;$L406)</f>
        <v/>
      </c>
    </row>
    <row r="407" customFormat="false" ht="15" hidden="false" customHeight="true" outlineLevel="0" collapsed="false">
      <c r="K407" s="21" t="b">
        <f aca="false">IF(반품접수!$A404="",FALSE(),OR(반품접수!$O404="미처리",반품접수!$O404="부분처리"))</f>
        <v>0</v>
      </c>
      <c r="L407" s="6" t="str">
        <f aca="false">IF($K407=FALSE(),"",COUNTIF($K$6:$K407,TRUE()))</f>
        <v/>
      </c>
      <c r="M407" s="6" t="str">
        <f aca="false">IF($L407="","","R"&amp;$L407)</f>
        <v/>
      </c>
    </row>
    <row r="408" customFormat="false" ht="15" hidden="false" customHeight="true" outlineLevel="0" collapsed="false">
      <c r="K408" s="21" t="b">
        <f aca="false">IF(반품접수!$A405="",FALSE(),OR(반품접수!$O405="미처리",반품접수!$O405="부분처리"))</f>
        <v>0</v>
      </c>
      <c r="L408" s="6" t="str">
        <f aca="false">IF($K408=FALSE(),"",COUNTIF($K$6:$K408,TRUE()))</f>
        <v/>
      </c>
      <c r="M408" s="6" t="str">
        <f aca="false">IF($L408="","","R"&amp;$L408)</f>
        <v/>
      </c>
    </row>
    <row r="409" customFormat="false" ht="15" hidden="false" customHeight="true" outlineLevel="0" collapsed="false">
      <c r="K409" s="21" t="b">
        <f aca="false">IF(반품접수!$A406="",FALSE(),OR(반품접수!$O406="미처리",반품접수!$O406="부분처리"))</f>
        <v>0</v>
      </c>
      <c r="L409" s="6" t="str">
        <f aca="false">IF($K409=FALSE(),"",COUNTIF($K$6:$K409,TRUE()))</f>
        <v/>
      </c>
      <c r="M409" s="6" t="str">
        <f aca="false">IF($L409="","","R"&amp;$L409)</f>
        <v/>
      </c>
    </row>
    <row r="410" customFormat="false" ht="15" hidden="false" customHeight="true" outlineLevel="0" collapsed="false">
      <c r="K410" s="21" t="b">
        <f aca="false">IF(반품접수!$A407="",FALSE(),OR(반품접수!$O407="미처리",반품접수!$O407="부분처리"))</f>
        <v>0</v>
      </c>
      <c r="L410" s="6" t="str">
        <f aca="false">IF($K410=FALSE(),"",COUNTIF($K$6:$K410,TRUE()))</f>
        <v/>
      </c>
      <c r="M410" s="6" t="str">
        <f aca="false">IF($L410="","","R"&amp;$L410)</f>
        <v/>
      </c>
    </row>
    <row r="411" customFormat="false" ht="15" hidden="false" customHeight="true" outlineLevel="0" collapsed="false">
      <c r="K411" s="21" t="b">
        <f aca="false">IF(반품접수!$A408="",FALSE(),OR(반품접수!$O408="미처리",반품접수!$O408="부분처리"))</f>
        <v>0</v>
      </c>
      <c r="L411" s="6" t="str">
        <f aca="false">IF($K411=FALSE(),"",COUNTIF($K$6:$K411,TRUE()))</f>
        <v/>
      </c>
      <c r="M411" s="6" t="str">
        <f aca="false">IF($L411="","","R"&amp;$L411)</f>
        <v/>
      </c>
    </row>
    <row r="412" customFormat="false" ht="15" hidden="false" customHeight="true" outlineLevel="0" collapsed="false">
      <c r="K412" s="21" t="b">
        <f aca="false">IF(반품접수!$A409="",FALSE(),OR(반품접수!$O409="미처리",반품접수!$O409="부분처리"))</f>
        <v>0</v>
      </c>
      <c r="L412" s="6" t="str">
        <f aca="false">IF($K412=FALSE(),"",COUNTIF($K$6:$K412,TRUE()))</f>
        <v/>
      </c>
      <c r="M412" s="6" t="str">
        <f aca="false">IF($L412="","","R"&amp;$L412)</f>
        <v/>
      </c>
    </row>
    <row r="413" customFormat="false" ht="15" hidden="false" customHeight="true" outlineLevel="0" collapsed="false">
      <c r="K413" s="21" t="b">
        <f aca="false">IF(반품접수!$A410="",FALSE(),OR(반품접수!$O410="미처리",반품접수!$O410="부분처리"))</f>
        <v>0</v>
      </c>
      <c r="L413" s="6" t="str">
        <f aca="false">IF($K413=FALSE(),"",COUNTIF($K$6:$K413,TRUE()))</f>
        <v/>
      </c>
      <c r="M413" s="6" t="str">
        <f aca="false">IF($L413="","","R"&amp;$L413)</f>
        <v/>
      </c>
    </row>
    <row r="414" customFormat="false" ht="15" hidden="false" customHeight="true" outlineLevel="0" collapsed="false">
      <c r="K414" s="21" t="b">
        <f aca="false">IF(반품접수!$A411="",FALSE(),OR(반품접수!$O411="미처리",반품접수!$O411="부분처리"))</f>
        <v>0</v>
      </c>
      <c r="L414" s="6" t="str">
        <f aca="false">IF($K414=FALSE(),"",COUNTIF($K$6:$K414,TRUE()))</f>
        <v/>
      </c>
      <c r="M414" s="6" t="str">
        <f aca="false">IF($L414="","","R"&amp;$L414)</f>
        <v/>
      </c>
    </row>
    <row r="415" customFormat="false" ht="15" hidden="false" customHeight="true" outlineLevel="0" collapsed="false">
      <c r="K415" s="21" t="b">
        <f aca="false">IF(반품접수!$A412="",FALSE(),OR(반품접수!$O412="미처리",반품접수!$O412="부분처리"))</f>
        <v>0</v>
      </c>
      <c r="L415" s="6" t="str">
        <f aca="false">IF($K415=FALSE(),"",COUNTIF($K$6:$K415,TRUE()))</f>
        <v/>
      </c>
      <c r="M415" s="6" t="str">
        <f aca="false">IF($L415="","","R"&amp;$L415)</f>
        <v/>
      </c>
    </row>
    <row r="416" customFormat="false" ht="15" hidden="false" customHeight="true" outlineLevel="0" collapsed="false">
      <c r="K416" s="21" t="b">
        <f aca="false">IF(반품접수!$A413="",FALSE(),OR(반품접수!$O413="미처리",반품접수!$O413="부분처리"))</f>
        <v>0</v>
      </c>
      <c r="L416" s="6" t="str">
        <f aca="false">IF($K416=FALSE(),"",COUNTIF($K$6:$K416,TRUE()))</f>
        <v/>
      </c>
      <c r="M416" s="6" t="str">
        <f aca="false">IF($L416="","","R"&amp;$L416)</f>
        <v/>
      </c>
    </row>
    <row r="417" customFormat="false" ht="15" hidden="false" customHeight="true" outlineLevel="0" collapsed="false">
      <c r="K417" s="21" t="b">
        <f aca="false">IF(반품접수!$A414="",FALSE(),OR(반품접수!$O414="미처리",반품접수!$O414="부분처리"))</f>
        <v>0</v>
      </c>
      <c r="L417" s="6" t="str">
        <f aca="false">IF($K417=FALSE(),"",COUNTIF($K$6:$K417,TRUE()))</f>
        <v/>
      </c>
      <c r="M417" s="6" t="str">
        <f aca="false">IF($L417="","","R"&amp;$L417)</f>
        <v/>
      </c>
    </row>
    <row r="418" customFormat="false" ht="15" hidden="false" customHeight="true" outlineLevel="0" collapsed="false">
      <c r="K418" s="21" t="b">
        <f aca="false">IF(반품접수!$A415="",FALSE(),OR(반품접수!$O415="미처리",반품접수!$O415="부분처리"))</f>
        <v>0</v>
      </c>
      <c r="L418" s="6" t="str">
        <f aca="false">IF($K418=FALSE(),"",COUNTIF($K$6:$K418,TRUE()))</f>
        <v/>
      </c>
      <c r="M418" s="6" t="str">
        <f aca="false">IF($L418="","","R"&amp;$L418)</f>
        <v/>
      </c>
    </row>
    <row r="419" customFormat="false" ht="15" hidden="false" customHeight="true" outlineLevel="0" collapsed="false">
      <c r="K419" s="21" t="b">
        <f aca="false">IF(반품접수!$A416="",FALSE(),OR(반품접수!$O416="미처리",반품접수!$O416="부분처리"))</f>
        <v>0</v>
      </c>
      <c r="L419" s="6" t="str">
        <f aca="false">IF($K419=FALSE(),"",COUNTIF($K$6:$K419,TRUE()))</f>
        <v/>
      </c>
      <c r="M419" s="6" t="str">
        <f aca="false">IF($L419="","","R"&amp;$L419)</f>
        <v/>
      </c>
    </row>
    <row r="420" customFormat="false" ht="15" hidden="false" customHeight="true" outlineLevel="0" collapsed="false">
      <c r="K420" s="21" t="b">
        <f aca="false">IF(반품접수!$A417="",FALSE(),OR(반품접수!$O417="미처리",반품접수!$O417="부분처리"))</f>
        <v>0</v>
      </c>
      <c r="L420" s="6" t="str">
        <f aca="false">IF($K420=FALSE(),"",COUNTIF($K$6:$K420,TRUE()))</f>
        <v/>
      </c>
      <c r="M420" s="6" t="str">
        <f aca="false">IF($L420="","","R"&amp;$L420)</f>
        <v/>
      </c>
    </row>
    <row r="421" customFormat="false" ht="15" hidden="false" customHeight="true" outlineLevel="0" collapsed="false">
      <c r="K421" s="21" t="b">
        <f aca="false">IF(반품접수!$A418="",FALSE(),OR(반품접수!$O418="미처리",반품접수!$O418="부분처리"))</f>
        <v>0</v>
      </c>
      <c r="L421" s="6" t="str">
        <f aca="false">IF($K421=FALSE(),"",COUNTIF($K$6:$K421,TRUE()))</f>
        <v/>
      </c>
      <c r="M421" s="6" t="str">
        <f aca="false">IF($L421="","","R"&amp;$L421)</f>
        <v/>
      </c>
    </row>
    <row r="422" customFormat="false" ht="15" hidden="false" customHeight="true" outlineLevel="0" collapsed="false">
      <c r="K422" s="21" t="b">
        <f aca="false">IF(반품접수!$A419="",FALSE(),OR(반품접수!$O419="미처리",반품접수!$O419="부분처리"))</f>
        <v>0</v>
      </c>
      <c r="L422" s="6" t="str">
        <f aca="false">IF($K422=FALSE(),"",COUNTIF($K$6:$K422,TRUE()))</f>
        <v/>
      </c>
      <c r="M422" s="6" t="str">
        <f aca="false">IF($L422="","","R"&amp;$L422)</f>
        <v/>
      </c>
    </row>
    <row r="423" customFormat="false" ht="15" hidden="false" customHeight="true" outlineLevel="0" collapsed="false">
      <c r="K423" s="21" t="b">
        <f aca="false">IF(반품접수!$A420="",FALSE(),OR(반품접수!$O420="미처리",반품접수!$O420="부분처리"))</f>
        <v>0</v>
      </c>
      <c r="L423" s="6" t="str">
        <f aca="false">IF($K423=FALSE(),"",COUNTIF($K$6:$K423,TRUE()))</f>
        <v/>
      </c>
      <c r="M423" s="6" t="str">
        <f aca="false">IF($L423="","","R"&amp;$L423)</f>
        <v/>
      </c>
    </row>
    <row r="424" customFormat="false" ht="15" hidden="false" customHeight="true" outlineLevel="0" collapsed="false">
      <c r="K424" s="21" t="b">
        <f aca="false">IF(반품접수!$A421="",FALSE(),OR(반품접수!$O421="미처리",반품접수!$O421="부분처리"))</f>
        <v>0</v>
      </c>
      <c r="L424" s="6" t="str">
        <f aca="false">IF($K424=FALSE(),"",COUNTIF($K$6:$K424,TRUE()))</f>
        <v/>
      </c>
      <c r="M424" s="6" t="str">
        <f aca="false">IF($L424="","","R"&amp;$L424)</f>
        <v/>
      </c>
    </row>
    <row r="425" customFormat="false" ht="15" hidden="false" customHeight="true" outlineLevel="0" collapsed="false">
      <c r="K425" s="21" t="b">
        <f aca="false">IF(반품접수!$A422="",FALSE(),OR(반품접수!$O422="미처리",반품접수!$O422="부분처리"))</f>
        <v>0</v>
      </c>
      <c r="L425" s="6" t="str">
        <f aca="false">IF($K425=FALSE(),"",COUNTIF($K$6:$K425,TRUE()))</f>
        <v/>
      </c>
      <c r="M425" s="6" t="str">
        <f aca="false">IF($L425="","","R"&amp;$L425)</f>
        <v/>
      </c>
    </row>
    <row r="426" customFormat="false" ht="15" hidden="false" customHeight="true" outlineLevel="0" collapsed="false">
      <c r="K426" s="21" t="b">
        <f aca="false">IF(반품접수!$A423="",FALSE(),OR(반품접수!$O423="미처리",반품접수!$O423="부분처리"))</f>
        <v>0</v>
      </c>
      <c r="L426" s="6" t="str">
        <f aca="false">IF($K426=FALSE(),"",COUNTIF($K$6:$K426,TRUE()))</f>
        <v/>
      </c>
      <c r="M426" s="6" t="str">
        <f aca="false">IF($L426="","","R"&amp;$L426)</f>
        <v/>
      </c>
    </row>
    <row r="427" customFormat="false" ht="15" hidden="false" customHeight="true" outlineLevel="0" collapsed="false">
      <c r="K427" s="21" t="b">
        <f aca="false">IF(반품접수!$A424="",FALSE(),OR(반품접수!$O424="미처리",반품접수!$O424="부분처리"))</f>
        <v>0</v>
      </c>
      <c r="L427" s="6" t="str">
        <f aca="false">IF($K427=FALSE(),"",COUNTIF($K$6:$K427,TRUE()))</f>
        <v/>
      </c>
      <c r="M427" s="6" t="str">
        <f aca="false">IF($L427="","","R"&amp;$L427)</f>
        <v/>
      </c>
    </row>
    <row r="428" customFormat="false" ht="15" hidden="false" customHeight="true" outlineLevel="0" collapsed="false">
      <c r="K428" s="21" t="b">
        <f aca="false">IF(반품접수!$A425="",FALSE(),OR(반품접수!$O425="미처리",반품접수!$O425="부분처리"))</f>
        <v>0</v>
      </c>
      <c r="L428" s="6" t="str">
        <f aca="false">IF($K428=FALSE(),"",COUNTIF($K$6:$K428,TRUE()))</f>
        <v/>
      </c>
      <c r="M428" s="6" t="str">
        <f aca="false">IF($L428="","","R"&amp;$L428)</f>
        <v/>
      </c>
    </row>
    <row r="429" customFormat="false" ht="15" hidden="false" customHeight="true" outlineLevel="0" collapsed="false">
      <c r="K429" s="21" t="b">
        <f aca="false">IF(반품접수!$A426="",FALSE(),OR(반품접수!$O426="미처리",반품접수!$O426="부분처리"))</f>
        <v>0</v>
      </c>
      <c r="L429" s="6" t="str">
        <f aca="false">IF($K429=FALSE(),"",COUNTIF($K$6:$K429,TRUE()))</f>
        <v/>
      </c>
      <c r="M429" s="6" t="str">
        <f aca="false">IF($L429="","","R"&amp;$L429)</f>
        <v/>
      </c>
    </row>
    <row r="430" customFormat="false" ht="15" hidden="false" customHeight="true" outlineLevel="0" collapsed="false">
      <c r="K430" s="21" t="b">
        <f aca="false">IF(반품접수!$A427="",FALSE(),OR(반품접수!$O427="미처리",반품접수!$O427="부분처리"))</f>
        <v>0</v>
      </c>
      <c r="L430" s="6" t="str">
        <f aca="false">IF($K430=FALSE(),"",COUNTIF($K$6:$K430,TRUE()))</f>
        <v/>
      </c>
      <c r="M430" s="6" t="str">
        <f aca="false">IF($L430="","","R"&amp;$L430)</f>
        <v/>
      </c>
    </row>
    <row r="431" customFormat="false" ht="15" hidden="false" customHeight="true" outlineLevel="0" collapsed="false">
      <c r="K431" s="21" t="b">
        <f aca="false">IF(반품접수!$A428="",FALSE(),OR(반품접수!$O428="미처리",반품접수!$O428="부분처리"))</f>
        <v>0</v>
      </c>
      <c r="L431" s="6" t="str">
        <f aca="false">IF($K431=FALSE(),"",COUNTIF($K$6:$K431,TRUE()))</f>
        <v/>
      </c>
      <c r="M431" s="6" t="str">
        <f aca="false">IF($L431="","","R"&amp;$L431)</f>
        <v/>
      </c>
    </row>
    <row r="432" customFormat="false" ht="15" hidden="false" customHeight="true" outlineLevel="0" collapsed="false">
      <c r="K432" s="21" t="b">
        <f aca="false">IF(반품접수!$A429="",FALSE(),OR(반품접수!$O429="미처리",반품접수!$O429="부분처리"))</f>
        <v>0</v>
      </c>
      <c r="L432" s="6" t="str">
        <f aca="false">IF($K432=FALSE(),"",COUNTIF($K$6:$K432,TRUE()))</f>
        <v/>
      </c>
      <c r="M432" s="6" t="str">
        <f aca="false">IF($L432="","","R"&amp;$L432)</f>
        <v/>
      </c>
    </row>
    <row r="433" customFormat="false" ht="15" hidden="false" customHeight="true" outlineLevel="0" collapsed="false">
      <c r="K433" s="21" t="b">
        <f aca="false">IF(반품접수!$A430="",FALSE(),OR(반품접수!$O430="미처리",반품접수!$O430="부분처리"))</f>
        <v>0</v>
      </c>
      <c r="L433" s="6" t="str">
        <f aca="false">IF($K433=FALSE(),"",COUNTIF($K$6:$K433,TRUE()))</f>
        <v/>
      </c>
      <c r="M433" s="6" t="str">
        <f aca="false">IF($L433="","","R"&amp;$L433)</f>
        <v/>
      </c>
    </row>
    <row r="434" customFormat="false" ht="15" hidden="false" customHeight="true" outlineLevel="0" collapsed="false">
      <c r="K434" s="21" t="b">
        <f aca="false">IF(반품접수!$A431="",FALSE(),OR(반품접수!$O431="미처리",반품접수!$O431="부분처리"))</f>
        <v>0</v>
      </c>
      <c r="L434" s="6" t="str">
        <f aca="false">IF($K434=FALSE(),"",COUNTIF($K$6:$K434,TRUE()))</f>
        <v/>
      </c>
      <c r="M434" s="6" t="str">
        <f aca="false">IF($L434="","","R"&amp;$L434)</f>
        <v/>
      </c>
    </row>
    <row r="435" customFormat="false" ht="15" hidden="false" customHeight="true" outlineLevel="0" collapsed="false">
      <c r="K435" s="21" t="b">
        <f aca="false">IF(반품접수!$A432="",FALSE(),OR(반품접수!$O432="미처리",반품접수!$O432="부분처리"))</f>
        <v>0</v>
      </c>
      <c r="L435" s="6" t="str">
        <f aca="false">IF($K435=FALSE(),"",COUNTIF($K$6:$K435,TRUE()))</f>
        <v/>
      </c>
      <c r="M435" s="6" t="str">
        <f aca="false">IF($L435="","","R"&amp;$L435)</f>
        <v/>
      </c>
    </row>
    <row r="436" customFormat="false" ht="15" hidden="false" customHeight="true" outlineLevel="0" collapsed="false">
      <c r="K436" s="21" t="b">
        <f aca="false">IF(반품접수!$A433="",FALSE(),OR(반품접수!$O433="미처리",반품접수!$O433="부분처리"))</f>
        <v>0</v>
      </c>
      <c r="L436" s="6" t="str">
        <f aca="false">IF($K436=FALSE(),"",COUNTIF($K$6:$K436,TRUE()))</f>
        <v/>
      </c>
      <c r="M436" s="6" t="str">
        <f aca="false">IF($L436="","","R"&amp;$L436)</f>
        <v/>
      </c>
    </row>
    <row r="437" customFormat="false" ht="15" hidden="false" customHeight="true" outlineLevel="0" collapsed="false">
      <c r="K437" s="21" t="b">
        <f aca="false">IF(반품접수!$A434="",FALSE(),OR(반품접수!$O434="미처리",반품접수!$O434="부분처리"))</f>
        <v>0</v>
      </c>
      <c r="L437" s="6" t="str">
        <f aca="false">IF($K437=FALSE(),"",COUNTIF($K$6:$K437,TRUE()))</f>
        <v/>
      </c>
      <c r="M437" s="6" t="str">
        <f aca="false">IF($L437="","","R"&amp;$L437)</f>
        <v/>
      </c>
    </row>
    <row r="438" customFormat="false" ht="15" hidden="false" customHeight="true" outlineLevel="0" collapsed="false">
      <c r="K438" s="21" t="b">
        <f aca="false">IF(반품접수!$A435="",FALSE(),OR(반품접수!$O435="미처리",반품접수!$O435="부분처리"))</f>
        <v>0</v>
      </c>
      <c r="L438" s="6" t="str">
        <f aca="false">IF($K438=FALSE(),"",COUNTIF($K$6:$K438,TRUE()))</f>
        <v/>
      </c>
      <c r="M438" s="6" t="str">
        <f aca="false">IF($L438="","","R"&amp;$L438)</f>
        <v/>
      </c>
    </row>
    <row r="439" customFormat="false" ht="15" hidden="false" customHeight="true" outlineLevel="0" collapsed="false">
      <c r="K439" s="21" t="b">
        <f aca="false">IF(반품접수!$A436="",FALSE(),OR(반품접수!$O436="미처리",반품접수!$O436="부분처리"))</f>
        <v>0</v>
      </c>
      <c r="L439" s="6" t="str">
        <f aca="false">IF($K439=FALSE(),"",COUNTIF($K$6:$K439,TRUE()))</f>
        <v/>
      </c>
      <c r="M439" s="6" t="str">
        <f aca="false">IF($L439="","","R"&amp;$L439)</f>
        <v/>
      </c>
    </row>
    <row r="440" customFormat="false" ht="15" hidden="false" customHeight="true" outlineLevel="0" collapsed="false">
      <c r="K440" s="21" t="b">
        <f aca="false">IF(반품접수!$A437="",FALSE(),OR(반품접수!$O437="미처리",반품접수!$O437="부분처리"))</f>
        <v>0</v>
      </c>
      <c r="L440" s="6" t="str">
        <f aca="false">IF($K440=FALSE(),"",COUNTIF($K$6:$K440,TRUE()))</f>
        <v/>
      </c>
      <c r="M440" s="6" t="str">
        <f aca="false">IF($L440="","","R"&amp;$L440)</f>
        <v/>
      </c>
    </row>
    <row r="441" customFormat="false" ht="15" hidden="false" customHeight="true" outlineLevel="0" collapsed="false">
      <c r="K441" s="21" t="b">
        <f aca="false">IF(반품접수!$A438="",FALSE(),OR(반품접수!$O438="미처리",반품접수!$O438="부분처리"))</f>
        <v>0</v>
      </c>
      <c r="L441" s="6" t="str">
        <f aca="false">IF($K441=FALSE(),"",COUNTIF($K$6:$K441,TRUE()))</f>
        <v/>
      </c>
      <c r="M441" s="6" t="str">
        <f aca="false">IF($L441="","","R"&amp;$L441)</f>
        <v/>
      </c>
    </row>
    <row r="442" customFormat="false" ht="15" hidden="false" customHeight="true" outlineLevel="0" collapsed="false">
      <c r="K442" s="21" t="b">
        <f aca="false">IF(반품접수!$A439="",FALSE(),OR(반품접수!$O439="미처리",반품접수!$O439="부분처리"))</f>
        <v>0</v>
      </c>
      <c r="L442" s="6" t="str">
        <f aca="false">IF($K442=FALSE(),"",COUNTIF($K$6:$K442,TRUE()))</f>
        <v/>
      </c>
      <c r="M442" s="6" t="str">
        <f aca="false">IF($L442="","","R"&amp;$L442)</f>
        <v/>
      </c>
    </row>
    <row r="443" customFormat="false" ht="15" hidden="false" customHeight="true" outlineLevel="0" collapsed="false">
      <c r="K443" s="21" t="b">
        <f aca="false">IF(반품접수!$A440="",FALSE(),OR(반품접수!$O440="미처리",반품접수!$O440="부분처리"))</f>
        <v>0</v>
      </c>
      <c r="L443" s="6" t="str">
        <f aca="false">IF($K443=FALSE(),"",COUNTIF($K$6:$K443,TRUE()))</f>
        <v/>
      </c>
      <c r="M443" s="6" t="str">
        <f aca="false">IF($L443="","","R"&amp;$L443)</f>
        <v/>
      </c>
    </row>
    <row r="444" customFormat="false" ht="15" hidden="false" customHeight="true" outlineLevel="0" collapsed="false">
      <c r="K444" s="21" t="b">
        <f aca="false">IF(반품접수!$A441="",FALSE(),OR(반품접수!$O441="미처리",반품접수!$O441="부분처리"))</f>
        <v>0</v>
      </c>
      <c r="L444" s="6" t="str">
        <f aca="false">IF($K444=FALSE(),"",COUNTIF($K$6:$K444,TRUE()))</f>
        <v/>
      </c>
      <c r="M444" s="6" t="str">
        <f aca="false">IF($L444="","","R"&amp;$L444)</f>
        <v/>
      </c>
    </row>
    <row r="445" customFormat="false" ht="15" hidden="false" customHeight="true" outlineLevel="0" collapsed="false">
      <c r="K445" s="21" t="b">
        <f aca="false">IF(반품접수!$A442="",FALSE(),OR(반품접수!$O442="미처리",반품접수!$O442="부분처리"))</f>
        <v>0</v>
      </c>
      <c r="L445" s="6" t="str">
        <f aca="false">IF($K445=FALSE(),"",COUNTIF($K$6:$K445,TRUE()))</f>
        <v/>
      </c>
      <c r="M445" s="6" t="str">
        <f aca="false">IF($L445="","","R"&amp;$L445)</f>
        <v/>
      </c>
    </row>
    <row r="446" customFormat="false" ht="15" hidden="false" customHeight="true" outlineLevel="0" collapsed="false">
      <c r="K446" s="21" t="b">
        <f aca="false">IF(반품접수!$A443="",FALSE(),OR(반품접수!$O443="미처리",반품접수!$O443="부분처리"))</f>
        <v>0</v>
      </c>
      <c r="L446" s="6" t="str">
        <f aca="false">IF($K446=FALSE(),"",COUNTIF($K$6:$K446,TRUE()))</f>
        <v/>
      </c>
      <c r="M446" s="6" t="str">
        <f aca="false">IF($L446="","","R"&amp;$L446)</f>
        <v/>
      </c>
    </row>
    <row r="447" customFormat="false" ht="15" hidden="false" customHeight="true" outlineLevel="0" collapsed="false">
      <c r="K447" s="21" t="b">
        <f aca="false">IF(반품접수!$A444="",FALSE(),OR(반품접수!$O444="미처리",반품접수!$O444="부분처리"))</f>
        <v>0</v>
      </c>
      <c r="L447" s="6" t="str">
        <f aca="false">IF($K447=FALSE(),"",COUNTIF($K$6:$K447,TRUE()))</f>
        <v/>
      </c>
      <c r="M447" s="6" t="str">
        <f aca="false">IF($L447="","","R"&amp;$L447)</f>
        <v/>
      </c>
    </row>
    <row r="448" customFormat="false" ht="15" hidden="false" customHeight="true" outlineLevel="0" collapsed="false">
      <c r="K448" s="21" t="b">
        <f aca="false">IF(반품접수!$A445="",FALSE(),OR(반품접수!$O445="미처리",반품접수!$O445="부분처리"))</f>
        <v>0</v>
      </c>
      <c r="L448" s="6" t="str">
        <f aca="false">IF($K448=FALSE(),"",COUNTIF($K$6:$K448,TRUE()))</f>
        <v/>
      </c>
      <c r="M448" s="6" t="str">
        <f aca="false">IF($L448="","","R"&amp;$L448)</f>
        <v/>
      </c>
    </row>
    <row r="449" customFormat="false" ht="15" hidden="false" customHeight="true" outlineLevel="0" collapsed="false">
      <c r="K449" s="21" t="b">
        <f aca="false">IF(반품접수!$A446="",FALSE(),OR(반품접수!$O446="미처리",반품접수!$O446="부분처리"))</f>
        <v>0</v>
      </c>
      <c r="L449" s="6" t="str">
        <f aca="false">IF($K449=FALSE(),"",COUNTIF($K$6:$K449,TRUE()))</f>
        <v/>
      </c>
      <c r="M449" s="6" t="str">
        <f aca="false">IF($L449="","","R"&amp;$L449)</f>
        <v/>
      </c>
    </row>
    <row r="450" customFormat="false" ht="15" hidden="false" customHeight="true" outlineLevel="0" collapsed="false">
      <c r="K450" s="21" t="b">
        <f aca="false">IF(반품접수!$A447="",FALSE(),OR(반품접수!$O447="미처리",반품접수!$O447="부분처리"))</f>
        <v>0</v>
      </c>
      <c r="L450" s="6" t="str">
        <f aca="false">IF($K450=FALSE(),"",COUNTIF($K$6:$K450,TRUE()))</f>
        <v/>
      </c>
      <c r="M450" s="6" t="str">
        <f aca="false">IF($L450="","","R"&amp;$L450)</f>
        <v/>
      </c>
    </row>
    <row r="451" customFormat="false" ht="15" hidden="false" customHeight="true" outlineLevel="0" collapsed="false">
      <c r="K451" s="21" t="b">
        <f aca="false">IF(반품접수!$A448="",FALSE(),OR(반품접수!$O448="미처리",반품접수!$O448="부분처리"))</f>
        <v>0</v>
      </c>
      <c r="L451" s="6" t="str">
        <f aca="false">IF($K451=FALSE(),"",COUNTIF($K$6:$K451,TRUE()))</f>
        <v/>
      </c>
      <c r="M451" s="6" t="str">
        <f aca="false">IF($L451="","","R"&amp;$L451)</f>
        <v/>
      </c>
    </row>
    <row r="452" customFormat="false" ht="15" hidden="false" customHeight="true" outlineLevel="0" collapsed="false">
      <c r="K452" s="21" t="b">
        <f aca="false">IF(반품접수!$A449="",FALSE(),OR(반품접수!$O449="미처리",반품접수!$O449="부분처리"))</f>
        <v>0</v>
      </c>
      <c r="L452" s="6" t="str">
        <f aca="false">IF($K452=FALSE(),"",COUNTIF($K$6:$K452,TRUE()))</f>
        <v/>
      </c>
      <c r="M452" s="6" t="str">
        <f aca="false">IF($L452="","","R"&amp;$L452)</f>
        <v/>
      </c>
    </row>
    <row r="453" customFormat="false" ht="15" hidden="false" customHeight="true" outlineLevel="0" collapsed="false">
      <c r="K453" s="21" t="b">
        <f aca="false">IF(반품접수!$A450="",FALSE(),OR(반품접수!$O450="미처리",반품접수!$O450="부분처리"))</f>
        <v>0</v>
      </c>
      <c r="L453" s="6" t="str">
        <f aca="false">IF($K453=FALSE(),"",COUNTIF($K$6:$K453,TRUE()))</f>
        <v/>
      </c>
      <c r="M453" s="6" t="str">
        <f aca="false">IF($L453="","","R"&amp;$L453)</f>
        <v/>
      </c>
    </row>
    <row r="454" customFormat="false" ht="15" hidden="false" customHeight="true" outlineLevel="0" collapsed="false">
      <c r="K454" s="21" t="b">
        <f aca="false">IF(반품접수!$A451="",FALSE(),OR(반품접수!$O451="미처리",반품접수!$O451="부분처리"))</f>
        <v>0</v>
      </c>
      <c r="L454" s="6" t="str">
        <f aca="false">IF($K454=FALSE(),"",COUNTIF($K$6:$K454,TRUE()))</f>
        <v/>
      </c>
      <c r="M454" s="6" t="str">
        <f aca="false">IF($L454="","","R"&amp;$L454)</f>
        <v/>
      </c>
    </row>
    <row r="455" customFormat="false" ht="15" hidden="false" customHeight="true" outlineLevel="0" collapsed="false">
      <c r="K455" s="21" t="b">
        <f aca="false">IF(반품접수!$A452="",FALSE(),OR(반품접수!$O452="미처리",반품접수!$O452="부분처리"))</f>
        <v>0</v>
      </c>
      <c r="L455" s="6" t="str">
        <f aca="false">IF($K455=FALSE(),"",COUNTIF($K$6:$K455,TRUE()))</f>
        <v/>
      </c>
      <c r="M455" s="6" t="str">
        <f aca="false">IF($L455="","","R"&amp;$L455)</f>
        <v/>
      </c>
    </row>
    <row r="456" customFormat="false" ht="15" hidden="false" customHeight="true" outlineLevel="0" collapsed="false">
      <c r="K456" s="21" t="b">
        <f aca="false">IF(반품접수!$A453="",FALSE(),OR(반품접수!$O453="미처리",반품접수!$O453="부분처리"))</f>
        <v>0</v>
      </c>
      <c r="L456" s="6" t="str">
        <f aca="false">IF($K456=FALSE(),"",COUNTIF($K$6:$K456,TRUE()))</f>
        <v/>
      </c>
      <c r="M456" s="6" t="str">
        <f aca="false">IF($L456="","","R"&amp;$L456)</f>
        <v/>
      </c>
    </row>
    <row r="457" customFormat="false" ht="15" hidden="false" customHeight="true" outlineLevel="0" collapsed="false">
      <c r="K457" s="21" t="b">
        <f aca="false">IF(반품접수!$A454="",FALSE(),OR(반품접수!$O454="미처리",반품접수!$O454="부분처리"))</f>
        <v>0</v>
      </c>
      <c r="L457" s="6" t="str">
        <f aca="false">IF($K457=FALSE(),"",COUNTIF($K$6:$K457,TRUE()))</f>
        <v/>
      </c>
      <c r="M457" s="6" t="str">
        <f aca="false">IF($L457="","","R"&amp;$L457)</f>
        <v/>
      </c>
    </row>
    <row r="458" customFormat="false" ht="15" hidden="false" customHeight="true" outlineLevel="0" collapsed="false">
      <c r="K458" s="21" t="b">
        <f aca="false">IF(반품접수!$A455="",FALSE(),OR(반품접수!$O455="미처리",반품접수!$O455="부분처리"))</f>
        <v>0</v>
      </c>
      <c r="L458" s="6" t="str">
        <f aca="false">IF($K458=FALSE(),"",COUNTIF($K$6:$K458,TRUE()))</f>
        <v/>
      </c>
      <c r="M458" s="6" t="str">
        <f aca="false">IF($L458="","","R"&amp;$L458)</f>
        <v/>
      </c>
    </row>
    <row r="459" customFormat="false" ht="15" hidden="false" customHeight="true" outlineLevel="0" collapsed="false">
      <c r="K459" s="21" t="b">
        <f aca="false">IF(반품접수!$A456="",FALSE(),OR(반품접수!$O456="미처리",반품접수!$O456="부분처리"))</f>
        <v>0</v>
      </c>
      <c r="L459" s="6" t="str">
        <f aca="false">IF($K459=FALSE(),"",COUNTIF($K$6:$K459,TRUE()))</f>
        <v/>
      </c>
      <c r="M459" s="6" t="str">
        <f aca="false">IF($L459="","","R"&amp;$L459)</f>
        <v/>
      </c>
    </row>
    <row r="460" customFormat="false" ht="15" hidden="false" customHeight="true" outlineLevel="0" collapsed="false">
      <c r="K460" s="21" t="b">
        <f aca="false">IF(반품접수!$A457="",FALSE(),OR(반품접수!$O457="미처리",반품접수!$O457="부분처리"))</f>
        <v>0</v>
      </c>
      <c r="L460" s="6" t="str">
        <f aca="false">IF($K460=FALSE(),"",COUNTIF($K$6:$K460,TRUE()))</f>
        <v/>
      </c>
      <c r="M460" s="6" t="str">
        <f aca="false">IF($L460="","","R"&amp;$L460)</f>
        <v/>
      </c>
    </row>
    <row r="461" customFormat="false" ht="15" hidden="false" customHeight="true" outlineLevel="0" collapsed="false">
      <c r="K461" s="21" t="b">
        <f aca="false">IF(반품접수!$A458="",FALSE(),OR(반품접수!$O458="미처리",반품접수!$O458="부분처리"))</f>
        <v>0</v>
      </c>
      <c r="L461" s="6" t="str">
        <f aca="false">IF($K461=FALSE(),"",COUNTIF($K$6:$K461,TRUE()))</f>
        <v/>
      </c>
      <c r="M461" s="6" t="str">
        <f aca="false">IF($L461="","","R"&amp;$L461)</f>
        <v/>
      </c>
    </row>
    <row r="462" customFormat="false" ht="15" hidden="false" customHeight="true" outlineLevel="0" collapsed="false">
      <c r="K462" s="21" t="b">
        <f aca="false">IF(반품접수!$A459="",FALSE(),OR(반품접수!$O459="미처리",반품접수!$O459="부분처리"))</f>
        <v>0</v>
      </c>
      <c r="L462" s="6" t="str">
        <f aca="false">IF($K462=FALSE(),"",COUNTIF($K$6:$K462,TRUE()))</f>
        <v/>
      </c>
      <c r="M462" s="6" t="str">
        <f aca="false">IF($L462="","","R"&amp;$L462)</f>
        <v/>
      </c>
    </row>
    <row r="463" customFormat="false" ht="15" hidden="false" customHeight="true" outlineLevel="0" collapsed="false">
      <c r="K463" s="21" t="b">
        <f aca="false">IF(반품접수!$A460="",FALSE(),OR(반품접수!$O460="미처리",반품접수!$O460="부분처리"))</f>
        <v>0</v>
      </c>
      <c r="L463" s="6" t="str">
        <f aca="false">IF($K463=FALSE(),"",COUNTIF($K$6:$K463,TRUE()))</f>
        <v/>
      </c>
      <c r="M463" s="6" t="str">
        <f aca="false">IF($L463="","","R"&amp;$L463)</f>
        <v/>
      </c>
    </row>
    <row r="464" customFormat="false" ht="15" hidden="false" customHeight="true" outlineLevel="0" collapsed="false">
      <c r="K464" s="21" t="b">
        <f aca="false">IF(반품접수!$A461="",FALSE(),OR(반품접수!$O461="미처리",반품접수!$O461="부분처리"))</f>
        <v>0</v>
      </c>
      <c r="L464" s="6" t="str">
        <f aca="false">IF($K464=FALSE(),"",COUNTIF($K$6:$K464,TRUE()))</f>
        <v/>
      </c>
      <c r="M464" s="6" t="str">
        <f aca="false">IF($L464="","","R"&amp;$L464)</f>
        <v/>
      </c>
    </row>
    <row r="465" customFormat="false" ht="15" hidden="false" customHeight="true" outlineLevel="0" collapsed="false">
      <c r="K465" s="21" t="b">
        <f aca="false">IF(반품접수!$A462="",FALSE(),OR(반품접수!$O462="미처리",반품접수!$O462="부분처리"))</f>
        <v>0</v>
      </c>
      <c r="L465" s="6" t="str">
        <f aca="false">IF($K465=FALSE(),"",COUNTIF($K$6:$K465,TRUE()))</f>
        <v/>
      </c>
      <c r="M465" s="6" t="str">
        <f aca="false">IF($L465="","","R"&amp;$L465)</f>
        <v/>
      </c>
    </row>
    <row r="466" customFormat="false" ht="15" hidden="false" customHeight="true" outlineLevel="0" collapsed="false">
      <c r="K466" s="21" t="b">
        <f aca="false">IF(반품접수!$A463="",FALSE(),OR(반품접수!$O463="미처리",반품접수!$O463="부분처리"))</f>
        <v>0</v>
      </c>
      <c r="L466" s="6" t="str">
        <f aca="false">IF($K466=FALSE(),"",COUNTIF($K$6:$K466,TRUE()))</f>
        <v/>
      </c>
      <c r="M466" s="6" t="str">
        <f aca="false">IF($L466="","","R"&amp;$L466)</f>
        <v/>
      </c>
    </row>
    <row r="467" customFormat="false" ht="15" hidden="false" customHeight="true" outlineLevel="0" collapsed="false">
      <c r="K467" s="21" t="b">
        <f aca="false">IF(반품접수!$A464="",FALSE(),OR(반품접수!$O464="미처리",반품접수!$O464="부분처리"))</f>
        <v>0</v>
      </c>
      <c r="L467" s="6" t="str">
        <f aca="false">IF($K467=FALSE(),"",COUNTIF($K$6:$K467,TRUE()))</f>
        <v/>
      </c>
      <c r="M467" s="6" t="str">
        <f aca="false">IF($L467="","","R"&amp;$L467)</f>
        <v/>
      </c>
    </row>
    <row r="468" customFormat="false" ht="15" hidden="false" customHeight="true" outlineLevel="0" collapsed="false">
      <c r="K468" s="21" t="b">
        <f aca="false">IF(반품접수!$A465="",FALSE(),OR(반품접수!$O465="미처리",반품접수!$O465="부분처리"))</f>
        <v>0</v>
      </c>
      <c r="L468" s="6" t="str">
        <f aca="false">IF($K468=FALSE(),"",COUNTIF($K$6:$K468,TRUE()))</f>
        <v/>
      </c>
      <c r="M468" s="6" t="str">
        <f aca="false">IF($L468="","","R"&amp;$L468)</f>
        <v/>
      </c>
    </row>
    <row r="469" customFormat="false" ht="15" hidden="false" customHeight="true" outlineLevel="0" collapsed="false">
      <c r="K469" s="21" t="b">
        <f aca="false">IF(반품접수!$A466="",FALSE(),OR(반품접수!$O466="미처리",반품접수!$O466="부분처리"))</f>
        <v>0</v>
      </c>
      <c r="L469" s="6" t="str">
        <f aca="false">IF($K469=FALSE(),"",COUNTIF($K$6:$K469,TRUE()))</f>
        <v/>
      </c>
      <c r="M469" s="6" t="str">
        <f aca="false">IF($L469="","","R"&amp;$L469)</f>
        <v/>
      </c>
    </row>
    <row r="470" customFormat="false" ht="15" hidden="false" customHeight="true" outlineLevel="0" collapsed="false">
      <c r="K470" s="21" t="b">
        <f aca="false">IF(반품접수!$A467="",FALSE(),OR(반품접수!$O467="미처리",반품접수!$O467="부분처리"))</f>
        <v>0</v>
      </c>
      <c r="L470" s="6" t="str">
        <f aca="false">IF($K470=FALSE(),"",COUNTIF($K$6:$K470,TRUE()))</f>
        <v/>
      </c>
      <c r="M470" s="6" t="str">
        <f aca="false">IF($L470="","","R"&amp;$L470)</f>
        <v/>
      </c>
    </row>
    <row r="471" customFormat="false" ht="15" hidden="false" customHeight="true" outlineLevel="0" collapsed="false">
      <c r="K471" s="21" t="b">
        <f aca="false">IF(반품접수!$A468="",FALSE(),OR(반품접수!$O468="미처리",반품접수!$O468="부분처리"))</f>
        <v>0</v>
      </c>
      <c r="L471" s="6" t="str">
        <f aca="false">IF($K471=FALSE(),"",COUNTIF($K$6:$K471,TRUE()))</f>
        <v/>
      </c>
      <c r="M471" s="6" t="str">
        <f aca="false">IF($L471="","","R"&amp;$L471)</f>
        <v/>
      </c>
    </row>
    <row r="472" customFormat="false" ht="15" hidden="false" customHeight="true" outlineLevel="0" collapsed="false">
      <c r="K472" s="21" t="b">
        <f aca="false">IF(반품접수!$A469="",FALSE(),OR(반품접수!$O469="미처리",반품접수!$O469="부분처리"))</f>
        <v>0</v>
      </c>
      <c r="L472" s="6" t="str">
        <f aca="false">IF($K472=FALSE(),"",COUNTIF($K$6:$K472,TRUE()))</f>
        <v/>
      </c>
      <c r="M472" s="6" t="str">
        <f aca="false">IF($L472="","","R"&amp;$L472)</f>
        <v/>
      </c>
    </row>
    <row r="473" customFormat="false" ht="15" hidden="false" customHeight="true" outlineLevel="0" collapsed="false">
      <c r="K473" s="21" t="b">
        <f aca="false">IF(반품접수!$A470="",FALSE(),OR(반품접수!$O470="미처리",반품접수!$O470="부분처리"))</f>
        <v>0</v>
      </c>
      <c r="L473" s="6" t="str">
        <f aca="false">IF($K473=FALSE(),"",COUNTIF($K$6:$K473,TRUE()))</f>
        <v/>
      </c>
      <c r="M473" s="6" t="str">
        <f aca="false">IF($L473="","","R"&amp;$L473)</f>
        <v/>
      </c>
    </row>
    <row r="474" customFormat="false" ht="15" hidden="false" customHeight="true" outlineLevel="0" collapsed="false">
      <c r="K474" s="21" t="b">
        <f aca="false">IF(반품접수!$A471="",FALSE(),OR(반품접수!$O471="미처리",반품접수!$O471="부분처리"))</f>
        <v>0</v>
      </c>
      <c r="L474" s="6" t="str">
        <f aca="false">IF($K474=FALSE(),"",COUNTIF($K$6:$K474,TRUE()))</f>
        <v/>
      </c>
      <c r="M474" s="6" t="str">
        <f aca="false">IF($L474="","","R"&amp;$L474)</f>
        <v/>
      </c>
    </row>
    <row r="475" customFormat="false" ht="15" hidden="false" customHeight="true" outlineLevel="0" collapsed="false">
      <c r="K475" s="21" t="b">
        <f aca="false">IF(반품접수!$A472="",FALSE(),OR(반품접수!$O472="미처리",반품접수!$O472="부분처리"))</f>
        <v>0</v>
      </c>
      <c r="L475" s="6" t="str">
        <f aca="false">IF($K475=FALSE(),"",COUNTIF($K$6:$K475,TRUE()))</f>
        <v/>
      </c>
      <c r="M475" s="6" t="str">
        <f aca="false">IF($L475="","","R"&amp;$L475)</f>
        <v/>
      </c>
    </row>
    <row r="476" customFormat="false" ht="15" hidden="false" customHeight="true" outlineLevel="0" collapsed="false">
      <c r="K476" s="21" t="b">
        <f aca="false">IF(반품접수!$A473="",FALSE(),OR(반품접수!$O473="미처리",반품접수!$O473="부분처리"))</f>
        <v>0</v>
      </c>
      <c r="L476" s="6" t="str">
        <f aca="false">IF($K476=FALSE(),"",COUNTIF($K$6:$K476,TRUE()))</f>
        <v/>
      </c>
      <c r="M476" s="6" t="str">
        <f aca="false">IF($L476="","","R"&amp;$L476)</f>
        <v/>
      </c>
    </row>
    <row r="477" customFormat="false" ht="15" hidden="false" customHeight="true" outlineLevel="0" collapsed="false">
      <c r="K477" s="21" t="b">
        <f aca="false">IF(반품접수!$A474="",FALSE(),OR(반품접수!$O474="미처리",반품접수!$O474="부분처리"))</f>
        <v>0</v>
      </c>
      <c r="L477" s="6" t="str">
        <f aca="false">IF($K477=FALSE(),"",COUNTIF($K$6:$K477,TRUE()))</f>
        <v/>
      </c>
      <c r="M477" s="6" t="str">
        <f aca="false">IF($L477="","","R"&amp;$L477)</f>
        <v/>
      </c>
    </row>
    <row r="478" customFormat="false" ht="15" hidden="false" customHeight="true" outlineLevel="0" collapsed="false">
      <c r="K478" s="21" t="b">
        <f aca="false">IF(반품접수!$A475="",FALSE(),OR(반품접수!$O475="미처리",반품접수!$O475="부분처리"))</f>
        <v>0</v>
      </c>
      <c r="L478" s="6" t="str">
        <f aca="false">IF($K478=FALSE(),"",COUNTIF($K$6:$K478,TRUE()))</f>
        <v/>
      </c>
      <c r="M478" s="6" t="str">
        <f aca="false">IF($L478="","","R"&amp;$L478)</f>
        <v/>
      </c>
    </row>
    <row r="479" customFormat="false" ht="15" hidden="false" customHeight="true" outlineLevel="0" collapsed="false">
      <c r="K479" s="21" t="b">
        <f aca="false">IF(반품접수!$A476="",FALSE(),OR(반품접수!$O476="미처리",반품접수!$O476="부분처리"))</f>
        <v>0</v>
      </c>
      <c r="L479" s="6" t="str">
        <f aca="false">IF($K479=FALSE(),"",COUNTIF($K$6:$K479,TRUE()))</f>
        <v/>
      </c>
      <c r="M479" s="6" t="str">
        <f aca="false">IF($L479="","","R"&amp;$L479)</f>
        <v/>
      </c>
    </row>
    <row r="480" customFormat="false" ht="15" hidden="false" customHeight="true" outlineLevel="0" collapsed="false">
      <c r="K480" s="21" t="b">
        <f aca="false">IF(반품접수!$A477="",FALSE(),OR(반품접수!$O477="미처리",반품접수!$O477="부분처리"))</f>
        <v>0</v>
      </c>
      <c r="L480" s="6" t="str">
        <f aca="false">IF($K480=FALSE(),"",COUNTIF($K$6:$K480,TRUE()))</f>
        <v/>
      </c>
      <c r="M480" s="6" t="str">
        <f aca="false">IF($L480="","","R"&amp;$L480)</f>
        <v/>
      </c>
    </row>
    <row r="481" customFormat="false" ht="15" hidden="false" customHeight="true" outlineLevel="0" collapsed="false">
      <c r="K481" s="21" t="b">
        <f aca="false">IF(반품접수!$A478="",FALSE(),OR(반품접수!$O478="미처리",반품접수!$O478="부분처리"))</f>
        <v>0</v>
      </c>
      <c r="L481" s="6" t="str">
        <f aca="false">IF($K481=FALSE(),"",COUNTIF($K$6:$K481,TRUE()))</f>
        <v/>
      </c>
      <c r="M481" s="6" t="str">
        <f aca="false">IF($L481="","","R"&amp;$L481)</f>
        <v/>
      </c>
    </row>
    <row r="482" customFormat="false" ht="15" hidden="false" customHeight="true" outlineLevel="0" collapsed="false">
      <c r="K482" s="21" t="b">
        <f aca="false">IF(반품접수!$A479="",FALSE(),OR(반품접수!$O479="미처리",반품접수!$O479="부분처리"))</f>
        <v>0</v>
      </c>
      <c r="L482" s="6" t="str">
        <f aca="false">IF($K482=FALSE(),"",COUNTIF($K$6:$K482,TRUE()))</f>
        <v/>
      </c>
      <c r="M482" s="6" t="str">
        <f aca="false">IF($L482="","","R"&amp;$L482)</f>
        <v/>
      </c>
    </row>
    <row r="483" customFormat="false" ht="15" hidden="false" customHeight="true" outlineLevel="0" collapsed="false">
      <c r="K483" s="21" t="b">
        <f aca="false">IF(반품접수!$A480="",FALSE(),OR(반품접수!$O480="미처리",반품접수!$O480="부분처리"))</f>
        <v>0</v>
      </c>
      <c r="L483" s="6" t="str">
        <f aca="false">IF($K483=FALSE(),"",COUNTIF($K$6:$K483,TRUE()))</f>
        <v/>
      </c>
      <c r="M483" s="6" t="str">
        <f aca="false">IF($L483="","","R"&amp;$L483)</f>
        <v/>
      </c>
    </row>
    <row r="484" customFormat="false" ht="15" hidden="false" customHeight="true" outlineLevel="0" collapsed="false">
      <c r="K484" s="21" t="b">
        <f aca="false">IF(반품접수!$A481="",FALSE(),OR(반품접수!$O481="미처리",반품접수!$O481="부분처리"))</f>
        <v>0</v>
      </c>
      <c r="L484" s="6" t="str">
        <f aca="false">IF($K484=FALSE(),"",COUNTIF($K$6:$K484,TRUE()))</f>
        <v/>
      </c>
      <c r="M484" s="6" t="str">
        <f aca="false">IF($L484="","","R"&amp;$L484)</f>
        <v/>
      </c>
    </row>
    <row r="485" customFormat="false" ht="15" hidden="false" customHeight="true" outlineLevel="0" collapsed="false">
      <c r="K485" s="21" t="b">
        <f aca="false">IF(반품접수!$A482="",FALSE(),OR(반품접수!$O482="미처리",반품접수!$O482="부분처리"))</f>
        <v>0</v>
      </c>
      <c r="L485" s="6" t="str">
        <f aca="false">IF($K485=FALSE(),"",COUNTIF($K$6:$K485,TRUE()))</f>
        <v/>
      </c>
      <c r="M485" s="6" t="str">
        <f aca="false">IF($L485="","","R"&amp;$L485)</f>
        <v/>
      </c>
    </row>
    <row r="486" customFormat="false" ht="15" hidden="false" customHeight="true" outlineLevel="0" collapsed="false">
      <c r="K486" s="21" t="b">
        <f aca="false">IF(반품접수!$A483="",FALSE(),OR(반품접수!$O483="미처리",반품접수!$O483="부분처리"))</f>
        <v>0</v>
      </c>
      <c r="L486" s="6" t="str">
        <f aca="false">IF($K486=FALSE(),"",COUNTIF($K$6:$K486,TRUE()))</f>
        <v/>
      </c>
      <c r="M486" s="6" t="str">
        <f aca="false">IF($L486="","","R"&amp;$L486)</f>
        <v/>
      </c>
    </row>
    <row r="487" customFormat="false" ht="15" hidden="false" customHeight="true" outlineLevel="0" collapsed="false">
      <c r="K487" s="21" t="b">
        <f aca="false">IF(반품접수!$A484="",FALSE(),OR(반품접수!$O484="미처리",반품접수!$O484="부분처리"))</f>
        <v>0</v>
      </c>
      <c r="L487" s="6" t="str">
        <f aca="false">IF($K487=FALSE(),"",COUNTIF($K$6:$K487,TRUE()))</f>
        <v/>
      </c>
      <c r="M487" s="6" t="str">
        <f aca="false">IF($L487="","","R"&amp;$L487)</f>
        <v/>
      </c>
    </row>
    <row r="488" customFormat="false" ht="15" hidden="false" customHeight="true" outlineLevel="0" collapsed="false">
      <c r="K488" s="21" t="b">
        <f aca="false">IF(반품접수!$A485="",FALSE(),OR(반품접수!$O485="미처리",반품접수!$O485="부분처리"))</f>
        <v>0</v>
      </c>
      <c r="L488" s="6" t="str">
        <f aca="false">IF($K488=FALSE(),"",COUNTIF($K$6:$K488,TRUE()))</f>
        <v/>
      </c>
      <c r="M488" s="6" t="str">
        <f aca="false">IF($L488="","","R"&amp;$L488)</f>
        <v/>
      </c>
    </row>
    <row r="489" customFormat="false" ht="15" hidden="false" customHeight="true" outlineLevel="0" collapsed="false">
      <c r="K489" s="21" t="b">
        <f aca="false">IF(반품접수!$A486="",FALSE(),OR(반품접수!$O486="미처리",반품접수!$O486="부분처리"))</f>
        <v>0</v>
      </c>
      <c r="L489" s="6" t="str">
        <f aca="false">IF($K489=FALSE(),"",COUNTIF($K$6:$K489,TRUE()))</f>
        <v/>
      </c>
      <c r="M489" s="6" t="str">
        <f aca="false">IF($L489="","","R"&amp;$L489)</f>
        <v/>
      </c>
    </row>
    <row r="490" customFormat="false" ht="15" hidden="false" customHeight="true" outlineLevel="0" collapsed="false">
      <c r="K490" s="21" t="b">
        <f aca="false">IF(반품접수!$A487="",FALSE(),OR(반품접수!$O487="미처리",반품접수!$O487="부분처리"))</f>
        <v>0</v>
      </c>
      <c r="L490" s="6" t="str">
        <f aca="false">IF($K490=FALSE(),"",COUNTIF($K$6:$K490,TRUE()))</f>
        <v/>
      </c>
      <c r="M490" s="6" t="str">
        <f aca="false">IF($L490="","","R"&amp;$L490)</f>
        <v/>
      </c>
    </row>
    <row r="491" customFormat="false" ht="15" hidden="false" customHeight="true" outlineLevel="0" collapsed="false">
      <c r="K491" s="21" t="b">
        <f aca="false">IF(반품접수!$A488="",FALSE(),OR(반품접수!$O488="미처리",반품접수!$O488="부분처리"))</f>
        <v>0</v>
      </c>
      <c r="L491" s="6" t="str">
        <f aca="false">IF($K491=FALSE(),"",COUNTIF($K$6:$K491,TRUE()))</f>
        <v/>
      </c>
      <c r="M491" s="6" t="str">
        <f aca="false">IF($L491="","","R"&amp;$L491)</f>
        <v/>
      </c>
    </row>
    <row r="492" customFormat="false" ht="15" hidden="false" customHeight="true" outlineLevel="0" collapsed="false">
      <c r="K492" s="21" t="b">
        <f aca="false">IF(반품접수!$A489="",FALSE(),OR(반품접수!$O489="미처리",반품접수!$O489="부분처리"))</f>
        <v>0</v>
      </c>
      <c r="L492" s="6" t="str">
        <f aca="false">IF($K492=FALSE(),"",COUNTIF($K$6:$K492,TRUE()))</f>
        <v/>
      </c>
      <c r="M492" s="6" t="str">
        <f aca="false">IF($L492="","","R"&amp;$L492)</f>
        <v/>
      </c>
    </row>
    <row r="493" customFormat="false" ht="15" hidden="false" customHeight="true" outlineLevel="0" collapsed="false">
      <c r="K493" s="21" t="b">
        <f aca="false">IF(반품접수!$A490="",FALSE(),OR(반품접수!$O490="미처리",반품접수!$O490="부분처리"))</f>
        <v>0</v>
      </c>
      <c r="L493" s="6" t="str">
        <f aca="false">IF($K493=FALSE(),"",COUNTIF($K$6:$K493,TRUE()))</f>
        <v/>
      </c>
      <c r="M493" s="6" t="str">
        <f aca="false">IF($L493="","","R"&amp;$L493)</f>
        <v/>
      </c>
    </row>
    <row r="494" customFormat="false" ht="15" hidden="false" customHeight="true" outlineLevel="0" collapsed="false">
      <c r="K494" s="21" t="b">
        <f aca="false">IF(반품접수!$A491="",FALSE(),OR(반품접수!$O491="미처리",반품접수!$O491="부분처리"))</f>
        <v>0</v>
      </c>
      <c r="L494" s="6" t="str">
        <f aca="false">IF($K494=FALSE(),"",COUNTIF($K$6:$K494,TRUE()))</f>
        <v/>
      </c>
      <c r="M494" s="6" t="str">
        <f aca="false">IF($L494="","","R"&amp;$L494)</f>
        <v/>
      </c>
    </row>
    <row r="495" customFormat="false" ht="15" hidden="false" customHeight="true" outlineLevel="0" collapsed="false">
      <c r="K495" s="21" t="b">
        <f aca="false">IF(반품접수!$A492="",FALSE(),OR(반품접수!$O492="미처리",반품접수!$O492="부분처리"))</f>
        <v>0</v>
      </c>
      <c r="L495" s="6" t="str">
        <f aca="false">IF($K495=FALSE(),"",COUNTIF($K$6:$K495,TRUE()))</f>
        <v/>
      </c>
      <c r="M495" s="6" t="str">
        <f aca="false">IF($L495="","","R"&amp;$L495)</f>
        <v/>
      </c>
    </row>
    <row r="496" customFormat="false" ht="15" hidden="false" customHeight="true" outlineLevel="0" collapsed="false">
      <c r="K496" s="21" t="b">
        <f aca="false">IF(반품접수!$A493="",FALSE(),OR(반품접수!$O493="미처리",반품접수!$O493="부분처리"))</f>
        <v>0</v>
      </c>
      <c r="L496" s="6" t="str">
        <f aca="false">IF($K496=FALSE(),"",COUNTIF($K$6:$K496,TRUE()))</f>
        <v/>
      </c>
      <c r="M496" s="6" t="str">
        <f aca="false">IF($L496="","","R"&amp;$L496)</f>
        <v/>
      </c>
    </row>
    <row r="497" customFormat="false" ht="15" hidden="false" customHeight="true" outlineLevel="0" collapsed="false">
      <c r="K497" s="21" t="b">
        <f aca="false">IF(반품접수!$A494="",FALSE(),OR(반품접수!$O494="미처리",반품접수!$O494="부분처리"))</f>
        <v>0</v>
      </c>
      <c r="L497" s="6" t="str">
        <f aca="false">IF($K497=FALSE(),"",COUNTIF($K$6:$K497,TRUE()))</f>
        <v/>
      </c>
      <c r="M497" s="6" t="str">
        <f aca="false">IF($L497="","","R"&amp;$L497)</f>
        <v/>
      </c>
    </row>
    <row r="498" customFormat="false" ht="15" hidden="false" customHeight="true" outlineLevel="0" collapsed="false">
      <c r="K498" s="21" t="b">
        <f aca="false">IF(반품접수!$A495="",FALSE(),OR(반품접수!$O495="미처리",반품접수!$O495="부분처리"))</f>
        <v>0</v>
      </c>
      <c r="L498" s="6" t="str">
        <f aca="false">IF($K498=FALSE(),"",COUNTIF($K$6:$K498,TRUE()))</f>
        <v/>
      </c>
      <c r="M498" s="6" t="str">
        <f aca="false">IF($L498="","","R"&amp;$L498)</f>
        <v/>
      </c>
    </row>
    <row r="499" customFormat="false" ht="15" hidden="false" customHeight="true" outlineLevel="0" collapsed="false">
      <c r="K499" s="21" t="b">
        <f aca="false">IF(반품접수!$A496="",FALSE(),OR(반품접수!$O496="미처리",반품접수!$O496="부분처리"))</f>
        <v>0</v>
      </c>
      <c r="L499" s="6" t="str">
        <f aca="false">IF($K499=FALSE(),"",COUNTIF($K$6:$K499,TRUE()))</f>
        <v/>
      </c>
      <c r="M499" s="6" t="str">
        <f aca="false">IF($L499="","","R"&amp;$L499)</f>
        <v/>
      </c>
    </row>
    <row r="500" customFormat="false" ht="15" hidden="false" customHeight="true" outlineLevel="0" collapsed="false">
      <c r="K500" s="21" t="b">
        <f aca="false">IF(반품접수!$A497="",FALSE(),OR(반품접수!$O497="미처리",반품접수!$O497="부분처리"))</f>
        <v>0</v>
      </c>
      <c r="L500" s="6" t="str">
        <f aca="false">IF($K500=FALSE(),"",COUNTIF($K$6:$K500,TRUE()))</f>
        <v/>
      </c>
      <c r="M500" s="6" t="str">
        <f aca="false">IF($L500="","","R"&amp;$L500)</f>
        <v/>
      </c>
    </row>
    <row r="501" customFormat="false" ht="15" hidden="false" customHeight="true" outlineLevel="0" collapsed="false">
      <c r="K501" s="21" t="b">
        <f aca="false">IF(반품접수!$A498="",FALSE(),OR(반품접수!$O498="미처리",반품접수!$O498="부분처리"))</f>
        <v>0</v>
      </c>
      <c r="L501" s="6" t="str">
        <f aca="false">IF($K501=FALSE(),"",COUNTIF($K$6:$K501,TRUE()))</f>
        <v/>
      </c>
      <c r="M501" s="6" t="str">
        <f aca="false">IF($L501="","","R"&amp;$L501)</f>
        <v/>
      </c>
    </row>
    <row r="502" customFormat="false" ht="15" hidden="false" customHeight="true" outlineLevel="0" collapsed="false">
      <c r="K502" s="21" t="b">
        <f aca="false">IF(반품접수!$A499="",FALSE(),OR(반품접수!$O499="미처리",반품접수!$O499="부분처리"))</f>
        <v>0</v>
      </c>
      <c r="L502" s="6" t="str">
        <f aca="false">IF($K502=FALSE(),"",COUNTIF($K$6:$K502,TRUE()))</f>
        <v/>
      </c>
      <c r="M502" s="6" t="str">
        <f aca="false">IF($L502="","","R"&amp;$L502)</f>
        <v/>
      </c>
    </row>
    <row r="503" customFormat="false" ht="15" hidden="false" customHeight="true" outlineLevel="0" collapsed="false">
      <c r="K503" s="21" t="b">
        <f aca="false">IF(반품접수!$A500="",FALSE(),OR(반품접수!$O500="미처리",반품접수!$O500="부분처리"))</f>
        <v>0</v>
      </c>
      <c r="L503" s="6" t="str">
        <f aca="false">IF($K503=FALSE(),"",COUNTIF($K$6:$K503,TRUE()))</f>
        <v/>
      </c>
      <c r="M503" s="6" t="str">
        <f aca="false">IF($L503="","","R"&amp;$L503)</f>
        <v/>
      </c>
    </row>
    <row r="504" customFormat="false" ht="15" hidden="false" customHeight="true" outlineLevel="0" collapsed="false">
      <c r="K504" s="21" t="b">
        <f aca="false">IF(반품접수!$A501="",FALSE(),OR(반품접수!$O501="미처리",반품접수!$O501="부분처리"))</f>
        <v>0</v>
      </c>
      <c r="L504" s="6" t="str">
        <f aca="false">IF($K504=FALSE(),"",COUNTIF($K$6:$K504,TRUE()))</f>
        <v/>
      </c>
      <c r="M504" s="6" t="str">
        <f aca="false">IF($L504="","","R"&amp;$L504)</f>
        <v/>
      </c>
    </row>
    <row r="505" customFormat="false" ht="15" hidden="false" customHeight="true" outlineLevel="0" collapsed="false">
      <c r="K505" s="21" t="b">
        <f aca="false">IF(반품접수!$A502="",FALSE(),OR(반품접수!$O502="미처리",반품접수!$O502="부분처리"))</f>
        <v>0</v>
      </c>
      <c r="L505" s="6" t="str">
        <f aca="false">IF($K505=FALSE(),"",COUNTIF($K$6:$K505,TRUE()))</f>
        <v/>
      </c>
      <c r="M505" s="6" t="str">
        <f aca="false">IF($L505="","","R"&amp;$L505)</f>
        <v/>
      </c>
    </row>
    <row r="506" customFormat="false" ht="15" hidden="false" customHeight="true" outlineLevel="0" collapsed="false">
      <c r="K506" s="21" t="b">
        <f aca="false">IF(반품접수!$A503="",FALSE(),OR(반품접수!$O503="미처리",반품접수!$O503="부분처리"))</f>
        <v>0</v>
      </c>
      <c r="L506" s="6" t="str">
        <f aca="false">IF($K506=FALSE(),"",COUNTIF($K$6:$K506,TRUE()))</f>
        <v/>
      </c>
      <c r="M506" s="6" t="str">
        <f aca="false">IF($L506="","","R"&amp;$L506)</f>
        <v/>
      </c>
    </row>
    <row r="507" customFormat="false" ht="15" hidden="false" customHeight="true" outlineLevel="0" collapsed="false">
      <c r="K507" s="21" t="b">
        <f aca="false">IF(반품접수!$A504="",FALSE(),OR(반품접수!$O504="미처리",반품접수!$O504="부분처리"))</f>
        <v>0</v>
      </c>
      <c r="L507" s="6" t="str">
        <f aca="false">IF($K507=FALSE(),"",COUNTIF($K$6:$K507,TRUE()))</f>
        <v/>
      </c>
      <c r="M507" s="6" t="str">
        <f aca="false">IF($L507="","","R"&amp;$L507)</f>
        <v/>
      </c>
    </row>
    <row r="508" customFormat="false" ht="15" hidden="false" customHeight="true" outlineLevel="0" collapsed="false">
      <c r="K508" s="21" t="b">
        <f aca="false">IF(반품접수!$A505="",FALSE(),OR(반품접수!$O505="미처리",반품접수!$O505="부분처리"))</f>
        <v>0</v>
      </c>
      <c r="L508" s="6" t="str">
        <f aca="false">IF($K508=FALSE(),"",COUNTIF($K$6:$K508,TRUE()))</f>
        <v/>
      </c>
      <c r="M508" s="6" t="str">
        <f aca="false">IF($L508="","","R"&amp;$L508)</f>
        <v/>
      </c>
    </row>
    <row r="509" customFormat="false" ht="15" hidden="false" customHeight="true" outlineLevel="0" collapsed="false">
      <c r="K509" s="21" t="b">
        <f aca="false">IF(반품접수!$A506="",FALSE(),OR(반품접수!$O506="미처리",반품접수!$O506="부분처리"))</f>
        <v>0</v>
      </c>
      <c r="L509" s="6" t="str">
        <f aca="false">IF($K509=FALSE(),"",COUNTIF($K$6:$K509,TRUE()))</f>
        <v/>
      </c>
      <c r="M509" s="6" t="str">
        <f aca="false">IF($L509="","","R"&amp;$L509)</f>
        <v/>
      </c>
    </row>
    <row r="510" customFormat="false" ht="15" hidden="false" customHeight="true" outlineLevel="0" collapsed="false">
      <c r="K510" s="21" t="b">
        <f aca="false">IF(반품접수!$A507="",FALSE(),OR(반품접수!$O507="미처리",반품접수!$O507="부분처리"))</f>
        <v>0</v>
      </c>
      <c r="L510" s="6" t="str">
        <f aca="false">IF($K510=FALSE(),"",COUNTIF($K$6:$K510,TRUE()))</f>
        <v/>
      </c>
      <c r="M510" s="6" t="str">
        <f aca="false">IF($L510="","","R"&amp;$L510)</f>
        <v/>
      </c>
    </row>
    <row r="511" customFormat="false" ht="15" hidden="false" customHeight="true" outlineLevel="0" collapsed="false">
      <c r="K511" s="21" t="b">
        <f aca="false">IF(반품접수!$A508="",FALSE(),OR(반품접수!$O508="미처리",반품접수!$O508="부분처리"))</f>
        <v>0</v>
      </c>
      <c r="L511" s="6" t="str">
        <f aca="false">IF($K511=FALSE(),"",COUNTIF($K$6:$K511,TRUE()))</f>
        <v/>
      </c>
      <c r="M511" s="6" t="str">
        <f aca="false">IF($L511="","","R"&amp;$L511)</f>
        <v/>
      </c>
    </row>
    <row r="512" customFormat="false" ht="15" hidden="false" customHeight="true" outlineLevel="0" collapsed="false">
      <c r="K512" s="21" t="b">
        <f aca="false">IF(반품접수!$A509="",FALSE(),OR(반품접수!$O509="미처리",반품접수!$O509="부분처리"))</f>
        <v>0</v>
      </c>
      <c r="L512" s="6" t="str">
        <f aca="false">IF($K512=FALSE(),"",COUNTIF($K$6:$K512,TRUE()))</f>
        <v/>
      </c>
      <c r="M512" s="6" t="str">
        <f aca="false">IF($L512="","","R"&amp;$L512)</f>
        <v/>
      </c>
    </row>
    <row r="513" customFormat="false" ht="15" hidden="false" customHeight="true" outlineLevel="0" collapsed="false">
      <c r="K513" s="21" t="b">
        <f aca="false">IF(반품접수!$A510="",FALSE(),OR(반품접수!$O510="미처리",반품접수!$O510="부분처리"))</f>
        <v>0</v>
      </c>
      <c r="L513" s="6" t="str">
        <f aca="false">IF($K513=FALSE(),"",COUNTIF($K$6:$K513,TRUE()))</f>
        <v/>
      </c>
      <c r="M513" s="6" t="str">
        <f aca="false">IF($L513="","","R"&amp;$L513)</f>
        <v/>
      </c>
    </row>
    <row r="514" customFormat="false" ht="15" hidden="false" customHeight="true" outlineLevel="0" collapsed="false">
      <c r="K514" s="21" t="b">
        <f aca="false">IF(반품접수!$A511="",FALSE(),OR(반품접수!$O511="미처리",반품접수!$O511="부분처리"))</f>
        <v>0</v>
      </c>
      <c r="L514" s="6" t="str">
        <f aca="false">IF($K514=FALSE(),"",COUNTIF($K$6:$K514,TRUE()))</f>
        <v/>
      </c>
      <c r="M514" s="6" t="str">
        <f aca="false">IF($L514="","","R"&amp;$L514)</f>
        <v/>
      </c>
    </row>
    <row r="515" customFormat="false" ht="15" hidden="false" customHeight="true" outlineLevel="0" collapsed="false">
      <c r="K515" s="21" t="b">
        <f aca="false">IF(반품접수!$A512="",FALSE(),OR(반품접수!$O512="미처리",반품접수!$O512="부분처리"))</f>
        <v>0</v>
      </c>
      <c r="L515" s="6" t="str">
        <f aca="false">IF($K515=FALSE(),"",COUNTIF($K$6:$K515,TRUE()))</f>
        <v/>
      </c>
      <c r="M515" s="6" t="str">
        <f aca="false">IF($L515="","","R"&amp;$L515)</f>
        <v/>
      </c>
    </row>
    <row r="516" customFormat="false" ht="15" hidden="false" customHeight="true" outlineLevel="0" collapsed="false">
      <c r="K516" s="21" t="b">
        <f aca="false">IF(반품접수!$A513="",FALSE(),OR(반품접수!$O513="미처리",반품접수!$O513="부분처리"))</f>
        <v>0</v>
      </c>
      <c r="L516" s="6" t="str">
        <f aca="false">IF($K516=FALSE(),"",COUNTIF($K$6:$K516,TRUE()))</f>
        <v/>
      </c>
      <c r="M516" s="6" t="str">
        <f aca="false">IF($L516="","","R"&amp;$L516)</f>
        <v/>
      </c>
    </row>
    <row r="517" customFormat="false" ht="15" hidden="false" customHeight="true" outlineLevel="0" collapsed="false">
      <c r="K517" s="21" t="b">
        <f aca="false">IF(반품접수!$A514="",FALSE(),OR(반품접수!$O514="미처리",반품접수!$O514="부분처리"))</f>
        <v>0</v>
      </c>
      <c r="L517" s="6" t="str">
        <f aca="false">IF($K517=FALSE(),"",COUNTIF($K$6:$K517,TRUE()))</f>
        <v/>
      </c>
      <c r="M517" s="6" t="str">
        <f aca="false">IF($L517="","","R"&amp;$L517)</f>
        <v/>
      </c>
    </row>
    <row r="518" customFormat="false" ht="15" hidden="false" customHeight="true" outlineLevel="0" collapsed="false">
      <c r="K518" s="21" t="b">
        <f aca="false">IF(반품접수!$A515="",FALSE(),OR(반품접수!$O515="미처리",반품접수!$O515="부분처리"))</f>
        <v>0</v>
      </c>
      <c r="L518" s="6" t="str">
        <f aca="false">IF($K518=FALSE(),"",COUNTIF($K$6:$K518,TRUE()))</f>
        <v/>
      </c>
      <c r="M518" s="6" t="str">
        <f aca="false">IF($L518="","","R"&amp;$L518)</f>
        <v/>
      </c>
    </row>
    <row r="519" customFormat="false" ht="15" hidden="false" customHeight="true" outlineLevel="0" collapsed="false">
      <c r="K519" s="21" t="b">
        <f aca="false">IF(반품접수!$A516="",FALSE(),OR(반품접수!$O516="미처리",반품접수!$O516="부분처리"))</f>
        <v>0</v>
      </c>
      <c r="L519" s="6" t="str">
        <f aca="false">IF($K519=FALSE(),"",COUNTIF($K$6:$K519,TRUE()))</f>
        <v/>
      </c>
      <c r="M519" s="6" t="str">
        <f aca="false">IF($L519="","","R"&amp;$L519)</f>
        <v/>
      </c>
    </row>
    <row r="520" customFormat="false" ht="15" hidden="false" customHeight="true" outlineLevel="0" collapsed="false">
      <c r="K520" s="21" t="b">
        <f aca="false">IF(반품접수!$A517="",FALSE(),OR(반품접수!$O517="미처리",반품접수!$O517="부분처리"))</f>
        <v>0</v>
      </c>
      <c r="L520" s="6" t="str">
        <f aca="false">IF($K520=FALSE(),"",COUNTIF($K$6:$K520,TRUE()))</f>
        <v/>
      </c>
      <c r="M520" s="6" t="str">
        <f aca="false">IF($L520="","","R"&amp;$L520)</f>
        <v/>
      </c>
    </row>
    <row r="521" customFormat="false" ht="15" hidden="false" customHeight="true" outlineLevel="0" collapsed="false">
      <c r="K521" s="21" t="b">
        <f aca="false">IF(반품접수!$A518="",FALSE(),OR(반품접수!$O518="미처리",반품접수!$O518="부분처리"))</f>
        <v>0</v>
      </c>
      <c r="L521" s="6" t="str">
        <f aca="false">IF($K521=FALSE(),"",COUNTIF($K$6:$K521,TRUE()))</f>
        <v/>
      </c>
      <c r="M521" s="6" t="str">
        <f aca="false">IF($L521="","","R"&amp;$L521)</f>
        <v/>
      </c>
    </row>
    <row r="522" customFormat="false" ht="15" hidden="false" customHeight="true" outlineLevel="0" collapsed="false">
      <c r="K522" s="21" t="b">
        <f aca="false">IF(반품접수!$A519="",FALSE(),OR(반품접수!$O519="미처리",반품접수!$O519="부분처리"))</f>
        <v>0</v>
      </c>
      <c r="L522" s="6" t="str">
        <f aca="false">IF($K522=FALSE(),"",COUNTIF($K$6:$K522,TRUE()))</f>
        <v/>
      </c>
      <c r="M522" s="6" t="str">
        <f aca="false">IF($L522="","","R"&amp;$L522)</f>
        <v/>
      </c>
    </row>
    <row r="523" customFormat="false" ht="15" hidden="false" customHeight="true" outlineLevel="0" collapsed="false">
      <c r="K523" s="21" t="b">
        <f aca="false">IF(반품접수!$A520="",FALSE(),OR(반품접수!$O520="미처리",반품접수!$O520="부분처리"))</f>
        <v>0</v>
      </c>
      <c r="L523" s="6" t="str">
        <f aca="false">IF($K523=FALSE(),"",COUNTIF($K$6:$K523,TRUE()))</f>
        <v/>
      </c>
      <c r="M523" s="6" t="str">
        <f aca="false">IF($L523="","","R"&amp;$L523)</f>
        <v/>
      </c>
    </row>
    <row r="524" customFormat="false" ht="15" hidden="false" customHeight="true" outlineLevel="0" collapsed="false">
      <c r="K524" s="21" t="b">
        <f aca="false">IF(반품접수!$A521="",FALSE(),OR(반품접수!$O521="미처리",반품접수!$O521="부분처리"))</f>
        <v>0</v>
      </c>
      <c r="L524" s="6" t="str">
        <f aca="false">IF($K524=FALSE(),"",COUNTIF($K$6:$K524,TRUE()))</f>
        <v/>
      </c>
      <c r="M524" s="6" t="str">
        <f aca="false">IF($L524="","","R"&amp;$L524)</f>
        <v/>
      </c>
    </row>
    <row r="525" customFormat="false" ht="15" hidden="false" customHeight="true" outlineLevel="0" collapsed="false">
      <c r="K525" s="21" t="b">
        <f aca="false">IF(반품접수!$A522="",FALSE(),OR(반품접수!$O522="미처리",반품접수!$O522="부분처리"))</f>
        <v>0</v>
      </c>
      <c r="L525" s="6" t="str">
        <f aca="false">IF($K525=FALSE(),"",COUNTIF($K$6:$K525,TRUE()))</f>
        <v/>
      </c>
      <c r="M525" s="6" t="str">
        <f aca="false">IF($L525="","","R"&amp;$L525)</f>
        <v/>
      </c>
    </row>
    <row r="526" customFormat="false" ht="15" hidden="false" customHeight="true" outlineLevel="0" collapsed="false">
      <c r="K526" s="21" t="b">
        <f aca="false">IF(반품접수!$A523="",FALSE(),OR(반품접수!$O523="미처리",반품접수!$O523="부분처리"))</f>
        <v>0</v>
      </c>
      <c r="L526" s="6" t="str">
        <f aca="false">IF($K526=FALSE(),"",COUNTIF($K$6:$K526,TRUE()))</f>
        <v/>
      </c>
      <c r="M526" s="6" t="str">
        <f aca="false">IF($L526="","","R"&amp;$L526)</f>
        <v/>
      </c>
    </row>
    <row r="527" customFormat="false" ht="15" hidden="false" customHeight="true" outlineLevel="0" collapsed="false">
      <c r="K527" s="21" t="b">
        <f aca="false">IF(반품접수!$A524="",FALSE(),OR(반품접수!$O524="미처리",반품접수!$O524="부분처리"))</f>
        <v>0</v>
      </c>
      <c r="L527" s="6" t="str">
        <f aca="false">IF($K527=FALSE(),"",COUNTIF($K$6:$K527,TRUE()))</f>
        <v/>
      </c>
      <c r="M527" s="6" t="str">
        <f aca="false">IF($L527="","","R"&amp;$L527)</f>
        <v/>
      </c>
    </row>
    <row r="528" customFormat="false" ht="15" hidden="false" customHeight="true" outlineLevel="0" collapsed="false">
      <c r="K528" s="21" t="b">
        <f aca="false">IF(반품접수!$A525="",FALSE(),OR(반품접수!$O525="미처리",반품접수!$O525="부분처리"))</f>
        <v>0</v>
      </c>
      <c r="L528" s="6" t="str">
        <f aca="false">IF($K528=FALSE(),"",COUNTIF($K$6:$K528,TRUE()))</f>
        <v/>
      </c>
      <c r="M528" s="6" t="str">
        <f aca="false">IF($L528="","","R"&amp;$L528)</f>
        <v/>
      </c>
    </row>
    <row r="529" customFormat="false" ht="15" hidden="false" customHeight="true" outlineLevel="0" collapsed="false">
      <c r="K529" s="21" t="b">
        <f aca="false">IF(반품접수!$A526="",FALSE(),OR(반품접수!$O526="미처리",반품접수!$O526="부분처리"))</f>
        <v>0</v>
      </c>
      <c r="L529" s="6" t="str">
        <f aca="false">IF($K529=FALSE(),"",COUNTIF($K$6:$K529,TRUE()))</f>
        <v/>
      </c>
      <c r="M529" s="6" t="str">
        <f aca="false">IF($L529="","","R"&amp;$L529)</f>
        <v/>
      </c>
    </row>
    <row r="530" customFormat="false" ht="15" hidden="false" customHeight="true" outlineLevel="0" collapsed="false">
      <c r="K530" s="21" t="b">
        <f aca="false">IF(반품접수!$A527="",FALSE(),OR(반품접수!$O527="미처리",반품접수!$O527="부분처리"))</f>
        <v>0</v>
      </c>
      <c r="L530" s="6" t="str">
        <f aca="false">IF($K530=FALSE(),"",COUNTIF($K$6:$K530,TRUE()))</f>
        <v/>
      </c>
      <c r="M530" s="6" t="str">
        <f aca="false">IF($L530="","","R"&amp;$L530)</f>
        <v/>
      </c>
    </row>
    <row r="531" customFormat="false" ht="15" hidden="false" customHeight="true" outlineLevel="0" collapsed="false">
      <c r="K531" s="21" t="b">
        <f aca="false">IF(반품접수!$A528="",FALSE(),OR(반품접수!$O528="미처리",반품접수!$O528="부분처리"))</f>
        <v>0</v>
      </c>
      <c r="L531" s="6" t="str">
        <f aca="false">IF($K531=FALSE(),"",COUNTIF($K$6:$K531,TRUE()))</f>
        <v/>
      </c>
      <c r="M531" s="6" t="str">
        <f aca="false">IF($L531="","","R"&amp;$L531)</f>
        <v/>
      </c>
    </row>
    <row r="532" customFormat="false" ht="15" hidden="false" customHeight="true" outlineLevel="0" collapsed="false">
      <c r="K532" s="21" t="b">
        <f aca="false">IF(반품접수!$A529="",FALSE(),OR(반품접수!$O529="미처리",반품접수!$O529="부분처리"))</f>
        <v>0</v>
      </c>
      <c r="L532" s="6" t="str">
        <f aca="false">IF($K532=FALSE(),"",COUNTIF($K$6:$K532,TRUE()))</f>
        <v/>
      </c>
      <c r="M532" s="6" t="str">
        <f aca="false">IF($L532="","","R"&amp;$L532)</f>
        <v/>
      </c>
    </row>
    <row r="533" customFormat="false" ht="15" hidden="false" customHeight="true" outlineLevel="0" collapsed="false">
      <c r="K533" s="21" t="b">
        <f aca="false">IF(반품접수!$A530="",FALSE(),OR(반품접수!$O530="미처리",반품접수!$O530="부분처리"))</f>
        <v>0</v>
      </c>
      <c r="L533" s="6" t="str">
        <f aca="false">IF($K533=FALSE(),"",COUNTIF($K$6:$K533,TRUE()))</f>
        <v/>
      </c>
      <c r="M533" s="6" t="str">
        <f aca="false">IF($L533="","","R"&amp;$L533)</f>
        <v/>
      </c>
    </row>
    <row r="534" customFormat="false" ht="15" hidden="false" customHeight="true" outlineLevel="0" collapsed="false">
      <c r="K534" s="21" t="b">
        <f aca="false">IF(반품접수!$A531="",FALSE(),OR(반품접수!$O531="미처리",반품접수!$O531="부분처리"))</f>
        <v>0</v>
      </c>
      <c r="L534" s="6" t="str">
        <f aca="false">IF($K534=FALSE(),"",COUNTIF($K$6:$K534,TRUE()))</f>
        <v/>
      </c>
      <c r="M534" s="6" t="str">
        <f aca="false">IF($L534="","","R"&amp;$L534)</f>
        <v/>
      </c>
    </row>
    <row r="535" customFormat="false" ht="15" hidden="false" customHeight="true" outlineLevel="0" collapsed="false">
      <c r="K535" s="21" t="b">
        <f aca="false">IF(반품접수!$A532="",FALSE(),OR(반품접수!$O532="미처리",반품접수!$O532="부분처리"))</f>
        <v>0</v>
      </c>
      <c r="L535" s="6" t="str">
        <f aca="false">IF($K535=FALSE(),"",COUNTIF($K$6:$K535,TRUE()))</f>
        <v/>
      </c>
      <c r="M535" s="6" t="str">
        <f aca="false">IF($L535="","","R"&amp;$L535)</f>
        <v/>
      </c>
    </row>
    <row r="536" customFormat="false" ht="15" hidden="false" customHeight="true" outlineLevel="0" collapsed="false">
      <c r="K536" s="21" t="b">
        <f aca="false">IF(반품접수!$A533="",FALSE(),OR(반품접수!$O533="미처리",반품접수!$O533="부분처리"))</f>
        <v>0</v>
      </c>
      <c r="L536" s="6" t="str">
        <f aca="false">IF($K536=FALSE(),"",COUNTIF($K$6:$K536,TRUE()))</f>
        <v/>
      </c>
      <c r="M536" s="6" t="str">
        <f aca="false">IF($L536="","","R"&amp;$L536)</f>
        <v/>
      </c>
    </row>
    <row r="537" customFormat="false" ht="15" hidden="false" customHeight="true" outlineLevel="0" collapsed="false">
      <c r="K537" s="21" t="b">
        <f aca="false">IF(반품접수!$A534="",FALSE(),OR(반품접수!$O534="미처리",반품접수!$O534="부분처리"))</f>
        <v>0</v>
      </c>
      <c r="L537" s="6" t="str">
        <f aca="false">IF($K537=FALSE(),"",COUNTIF($K$6:$K537,TRUE()))</f>
        <v/>
      </c>
      <c r="M537" s="6" t="str">
        <f aca="false">IF($L537="","","R"&amp;$L537)</f>
        <v/>
      </c>
    </row>
    <row r="538" customFormat="false" ht="15" hidden="false" customHeight="true" outlineLevel="0" collapsed="false">
      <c r="K538" s="21" t="b">
        <f aca="false">IF(반품접수!$A535="",FALSE(),OR(반품접수!$O535="미처리",반품접수!$O535="부분처리"))</f>
        <v>0</v>
      </c>
      <c r="L538" s="6" t="str">
        <f aca="false">IF($K538=FALSE(),"",COUNTIF($K$6:$K538,TRUE()))</f>
        <v/>
      </c>
      <c r="M538" s="6" t="str">
        <f aca="false">IF($L538="","","R"&amp;$L538)</f>
        <v/>
      </c>
    </row>
    <row r="539" customFormat="false" ht="15" hidden="false" customHeight="true" outlineLevel="0" collapsed="false">
      <c r="K539" s="21" t="b">
        <f aca="false">IF(반품접수!$A536="",FALSE(),OR(반품접수!$O536="미처리",반품접수!$O536="부분처리"))</f>
        <v>0</v>
      </c>
      <c r="L539" s="6" t="str">
        <f aca="false">IF($K539=FALSE(),"",COUNTIF($K$6:$K539,TRUE()))</f>
        <v/>
      </c>
      <c r="M539" s="6" t="str">
        <f aca="false">IF($L539="","","R"&amp;$L539)</f>
        <v/>
      </c>
    </row>
    <row r="540" customFormat="false" ht="15" hidden="false" customHeight="true" outlineLevel="0" collapsed="false">
      <c r="K540" s="21" t="b">
        <f aca="false">IF(반품접수!$A537="",FALSE(),OR(반품접수!$O537="미처리",반품접수!$O537="부분처리"))</f>
        <v>0</v>
      </c>
      <c r="L540" s="6" t="str">
        <f aca="false">IF($K540=FALSE(),"",COUNTIF($K$6:$K540,TRUE()))</f>
        <v/>
      </c>
      <c r="M540" s="6" t="str">
        <f aca="false">IF($L540="","","R"&amp;$L540)</f>
        <v/>
      </c>
    </row>
    <row r="541" customFormat="false" ht="15" hidden="false" customHeight="true" outlineLevel="0" collapsed="false">
      <c r="K541" s="21" t="b">
        <f aca="false">IF(반품접수!$A538="",FALSE(),OR(반품접수!$O538="미처리",반품접수!$O538="부분처리"))</f>
        <v>0</v>
      </c>
      <c r="L541" s="6" t="str">
        <f aca="false">IF($K541=FALSE(),"",COUNTIF($K$6:$K541,TRUE()))</f>
        <v/>
      </c>
      <c r="M541" s="6" t="str">
        <f aca="false">IF($L541="","","R"&amp;$L541)</f>
        <v/>
      </c>
    </row>
    <row r="542" customFormat="false" ht="15" hidden="false" customHeight="true" outlineLevel="0" collapsed="false">
      <c r="K542" s="21" t="b">
        <f aca="false">IF(반품접수!$A539="",FALSE(),OR(반품접수!$O539="미처리",반품접수!$O539="부분처리"))</f>
        <v>0</v>
      </c>
      <c r="L542" s="6" t="str">
        <f aca="false">IF($K542=FALSE(),"",COUNTIF($K$6:$K542,TRUE()))</f>
        <v/>
      </c>
      <c r="M542" s="6" t="str">
        <f aca="false">IF($L542="","","R"&amp;$L542)</f>
        <v/>
      </c>
    </row>
    <row r="543" customFormat="false" ht="15" hidden="false" customHeight="true" outlineLevel="0" collapsed="false">
      <c r="K543" s="21" t="b">
        <f aca="false">IF(반품접수!$A540="",FALSE(),OR(반품접수!$O540="미처리",반품접수!$O540="부분처리"))</f>
        <v>0</v>
      </c>
      <c r="L543" s="6" t="str">
        <f aca="false">IF($K543=FALSE(),"",COUNTIF($K$6:$K543,TRUE()))</f>
        <v/>
      </c>
      <c r="M543" s="6" t="str">
        <f aca="false">IF($L543="","","R"&amp;$L543)</f>
        <v/>
      </c>
    </row>
    <row r="544" customFormat="false" ht="15" hidden="false" customHeight="true" outlineLevel="0" collapsed="false">
      <c r="K544" s="21" t="b">
        <f aca="false">IF(반품접수!$A541="",FALSE(),OR(반품접수!$O541="미처리",반품접수!$O541="부분처리"))</f>
        <v>0</v>
      </c>
      <c r="L544" s="6" t="str">
        <f aca="false">IF($K544=FALSE(),"",COUNTIF($K$6:$K544,TRUE()))</f>
        <v/>
      </c>
      <c r="M544" s="6" t="str">
        <f aca="false">IF($L544="","","R"&amp;$L544)</f>
        <v/>
      </c>
    </row>
    <row r="545" customFormat="false" ht="15" hidden="false" customHeight="true" outlineLevel="0" collapsed="false">
      <c r="K545" s="21" t="b">
        <f aca="false">IF(반품접수!$A542="",FALSE(),OR(반품접수!$O542="미처리",반품접수!$O542="부분처리"))</f>
        <v>0</v>
      </c>
      <c r="L545" s="6" t="str">
        <f aca="false">IF($K545=FALSE(),"",COUNTIF($K$6:$K545,TRUE()))</f>
        <v/>
      </c>
      <c r="M545" s="6" t="str">
        <f aca="false">IF($L545="","","R"&amp;$L545)</f>
        <v/>
      </c>
    </row>
    <row r="546" customFormat="false" ht="15" hidden="false" customHeight="true" outlineLevel="0" collapsed="false">
      <c r="K546" s="21" t="b">
        <f aca="false">IF(반품접수!$A543="",FALSE(),OR(반품접수!$O543="미처리",반품접수!$O543="부분처리"))</f>
        <v>0</v>
      </c>
      <c r="L546" s="6" t="str">
        <f aca="false">IF($K546=FALSE(),"",COUNTIF($K$6:$K546,TRUE()))</f>
        <v/>
      </c>
      <c r="M546" s="6" t="str">
        <f aca="false">IF($L546="","","R"&amp;$L546)</f>
        <v/>
      </c>
    </row>
    <row r="547" customFormat="false" ht="15" hidden="false" customHeight="true" outlineLevel="0" collapsed="false">
      <c r="K547" s="21" t="b">
        <f aca="false">IF(반품접수!$A544="",FALSE(),OR(반품접수!$O544="미처리",반품접수!$O544="부분처리"))</f>
        <v>0</v>
      </c>
      <c r="L547" s="6" t="str">
        <f aca="false">IF($K547=FALSE(),"",COUNTIF($K$6:$K547,TRUE()))</f>
        <v/>
      </c>
      <c r="M547" s="6" t="str">
        <f aca="false">IF($L547="","","R"&amp;$L547)</f>
        <v/>
      </c>
    </row>
    <row r="548" customFormat="false" ht="15" hidden="false" customHeight="true" outlineLevel="0" collapsed="false">
      <c r="K548" s="21" t="b">
        <f aca="false">IF(반품접수!$A545="",FALSE(),OR(반품접수!$O545="미처리",반품접수!$O545="부분처리"))</f>
        <v>0</v>
      </c>
      <c r="L548" s="6" t="str">
        <f aca="false">IF($K548=FALSE(),"",COUNTIF($K$6:$K548,TRUE()))</f>
        <v/>
      </c>
      <c r="M548" s="6" t="str">
        <f aca="false">IF($L548="","","R"&amp;$L548)</f>
        <v/>
      </c>
    </row>
    <row r="549" customFormat="false" ht="15" hidden="false" customHeight="true" outlineLevel="0" collapsed="false">
      <c r="K549" s="21" t="b">
        <f aca="false">IF(반품접수!$A546="",FALSE(),OR(반품접수!$O546="미처리",반품접수!$O546="부분처리"))</f>
        <v>0</v>
      </c>
      <c r="L549" s="6" t="str">
        <f aca="false">IF($K549=FALSE(),"",COUNTIF($K$6:$K549,TRUE()))</f>
        <v/>
      </c>
      <c r="M549" s="6" t="str">
        <f aca="false">IF($L549="","","R"&amp;$L549)</f>
        <v/>
      </c>
    </row>
    <row r="550" customFormat="false" ht="15" hidden="false" customHeight="true" outlineLevel="0" collapsed="false">
      <c r="K550" s="21" t="b">
        <f aca="false">IF(반품접수!$A547="",FALSE(),OR(반품접수!$O547="미처리",반품접수!$O547="부분처리"))</f>
        <v>0</v>
      </c>
      <c r="L550" s="6" t="str">
        <f aca="false">IF($K550=FALSE(),"",COUNTIF($K$6:$K550,TRUE()))</f>
        <v/>
      </c>
      <c r="M550" s="6" t="str">
        <f aca="false">IF($L550="","","R"&amp;$L550)</f>
        <v/>
      </c>
    </row>
    <row r="551" customFormat="false" ht="15" hidden="false" customHeight="true" outlineLevel="0" collapsed="false">
      <c r="K551" s="21" t="b">
        <f aca="false">IF(반품접수!$A548="",FALSE(),OR(반품접수!$O548="미처리",반품접수!$O548="부분처리"))</f>
        <v>0</v>
      </c>
      <c r="L551" s="6" t="str">
        <f aca="false">IF($K551=FALSE(),"",COUNTIF($K$6:$K551,TRUE()))</f>
        <v/>
      </c>
      <c r="M551" s="6" t="str">
        <f aca="false">IF($L551="","","R"&amp;$L551)</f>
        <v/>
      </c>
    </row>
    <row r="552" customFormat="false" ht="15" hidden="false" customHeight="true" outlineLevel="0" collapsed="false">
      <c r="K552" s="21" t="b">
        <f aca="false">IF(반품접수!$A549="",FALSE(),OR(반품접수!$O549="미처리",반품접수!$O549="부분처리"))</f>
        <v>0</v>
      </c>
      <c r="L552" s="6" t="str">
        <f aca="false">IF($K552=FALSE(),"",COUNTIF($K$6:$K552,TRUE()))</f>
        <v/>
      </c>
      <c r="M552" s="6" t="str">
        <f aca="false">IF($L552="","","R"&amp;$L552)</f>
        <v/>
      </c>
    </row>
    <row r="553" customFormat="false" ht="15" hidden="false" customHeight="true" outlineLevel="0" collapsed="false">
      <c r="K553" s="21" t="b">
        <f aca="false">IF(반품접수!$A550="",FALSE(),OR(반품접수!$O550="미처리",반품접수!$O550="부분처리"))</f>
        <v>0</v>
      </c>
      <c r="L553" s="6" t="str">
        <f aca="false">IF($K553=FALSE(),"",COUNTIF($K$6:$K553,TRUE()))</f>
        <v/>
      </c>
      <c r="M553" s="6" t="str">
        <f aca="false">IF($L553="","","R"&amp;$L553)</f>
        <v/>
      </c>
    </row>
    <row r="554" customFormat="false" ht="15" hidden="false" customHeight="true" outlineLevel="0" collapsed="false">
      <c r="K554" s="21" t="b">
        <f aca="false">IF(반품접수!$A551="",FALSE(),OR(반품접수!$O551="미처리",반품접수!$O551="부분처리"))</f>
        <v>0</v>
      </c>
      <c r="L554" s="6" t="str">
        <f aca="false">IF($K554=FALSE(),"",COUNTIF($K$6:$K554,TRUE()))</f>
        <v/>
      </c>
      <c r="M554" s="6" t="str">
        <f aca="false">IF($L554="","","R"&amp;$L554)</f>
        <v/>
      </c>
    </row>
    <row r="555" customFormat="false" ht="15" hidden="false" customHeight="true" outlineLevel="0" collapsed="false">
      <c r="K555" s="21" t="b">
        <f aca="false">IF(반품접수!$A552="",FALSE(),OR(반품접수!$O552="미처리",반품접수!$O552="부분처리"))</f>
        <v>0</v>
      </c>
      <c r="L555" s="6" t="str">
        <f aca="false">IF($K555=FALSE(),"",COUNTIF($K$6:$K555,TRUE()))</f>
        <v/>
      </c>
      <c r="M555" s="6" t="str">
        <f aca="false">IF($L555="","","R"&amp;$L555)</f>
        <v/>
      </c>
    </row>
    <row r="556" customFormat="false" ht="15" hidden="false" customHeight="true" outlineLevel="0" collapsed="false">
      <c r="K556" s="21" t="b">
        <f aca="false">IF(반품접수!$A553="",FALSE(),OR(반품접수!$O553="미처리",반품접수!$O553="부분처리"))</f>
        <v>0</v>
      </c>
      <c r="L556" s="6" t="str">
        <f aca="false">IF($K556=FALSE(),"",COUNTIF($K$6:$K556,TRUE()))</f>
        <v/>
      </c>
      <c r="M556" s="6" t="str">
        <f aca="false">IF($L556="","","R"&amp;$L556)</f>
        <v/>
      </c>
    </row>
    <row r="557" customFormat="false" ht="15" hidden="false" customHeight="true" outlineLevel="0" collapsed="false">
      <c r="K557" s="21" t="b">
        <f aca="false">IF(반품접수!$A554="",FALSE(),OR(반품접수!$O554="미처리",반품접수!$O554="부분처리"))</f>
        <v>0</v>
      </c>
      <c r="L557" s="6" t="str">
        <f aca="false">IF($K557=FALSE(),"",COUNTIF($K$6:$K557,TRUE()))</f>
        <v/>
      </c>
      <c r="M557" s="6" t="str">
        <f aca="false">IF($L557="","","R"&amp;$L557)</f>
        <v/>
      </c>
    </row>
    <row r="558" customFormat="false" ht="15" hidden="false" customHeight="true" outlineLevel="0" collapsed="false">
      <c r="K558" s="21" t="b">
        <f aca="false">IF(반품접수!$A555="",FALSE(),OR(반품접수!$O555="미처리",반품접수!$O555="부분처리"))</f>
        <v>0</v>
      </c>
      <c r="L558" s="6" t="str">
        <f aca="false">IF($K558=FALSE(),"",COUNTIF($K$6:$K558,TRUE()))</f>
        <v/>
      </c>
      <c r="M558" s="6" t="str">
        <f aca="false">IF($L558="","","R"&amp;$L558)</f>
        <v/>
      </c>
    </row>
    <row r="559" customFormat="false" ht="15" hidden="false" customHeight="true" outlineLevel="0" collapsed="false">
      <c r="K559" s="21" t="b">
        <f aca="false">IF(반품접수!$A556="",FALSE(),OR(반품접수!$O556="미처리",반품접수!$O556="부분처리"))</f>
        <v>0</v>
      </c>
      <c r="L559" s="6" t="str">
        <f aca="false">IF($K559=FALSE(),"",COUNTIF($K$6:$K559,TRUE()))</f>
        <v/>
      </c>
      <c r="M559" s="6" t="str">
        <f aca="false">IF($L559="","","R"&amp;$L559)</f>
        <v/>
      </c>
    </row>
    <row r="560" customFormat="false" ht="15" hidden="false" customHeight="true" outlineLevel="0" collapsed="false">
      <c r="K560" s="21" t="b">
        <f aca="false">IF(반품접수!$A557="",FALSE(),OR(반품접수!$O557="미처리",반품접수!$O557="부분처리"))</f>
        <v>0</v>
      </c>
      <c r="L560" s="6" t="str">
        <f aca="false">IF($K560=FALSE(),"",COUNTIF($K$6:$K560,TRUE()))</f>
        <v/>
      </c>
      <c r="M560" s="6" t="str">
        <f aca="false">IF($L560="","","R"&amp;$L560)</f>
        <v/>
      </c>
    </row>
    <row r="561" customFormat="false" ht="15" hidden="false" customHeight="true" outlineLevel="0" collapsed="false">
      <c r="K561" s="21" t="b">
        <f aca="false">IF(반품접수!$A558="",FALSE(),OR(반품접수!$O558="미처리",반품접수!$O558="부분처리"))</f>
        <v>0</v>
      </c>
      <c r="L561" s="6" t="str">
        <f aca="false">IF($K561=FALSE(),"",COUNTIF($K$6:$K561,TRUE()))</f>
        <v/>
      </c>
      <c r="M561" s="6" t="str">
        <f aca="false">IF($L561="","","R"&amp;$L561)</f>
        <v/>
      </c>
    </row>
    <row r="562" customFormat="false" ht="15" hidden="false" customHeight="true" outlineLevel="0" collapsed="false">
      <c r="K562" s="21" t="b">
        <f aca="false">IF(반품접수!$A559="",FALSE(),OR(반품접수!$O559="미처리",반품접수!$O559="부분처리"))</f>
        <v>0</v>
      </c>
      <c r="L562" s="6" t="str">
        <f aca="false">IF($K562=FALSE(),"",COUNTIF($K$6:$K562,TRUE()))</f>
        <v/>
      </c>
      <c r="M562" s="6" t="str">
        <f aca="false">IF($L562="","","R"&amp;$L562)</f>
        <v/>
      </c>
    </row>
    <row r="563" customFormat="false" ht="15" hidden="false" customHeight="true" outlineLevel="0" collapsed="false">
      <c r="K563" s="21" t="b">
        <f aca="false">IF(반품접수!$A560="",FALSE(),OR(반품접수!$O560="미처리",반품접수!$O560="부분처리"))</f>
        <v>0</v>
      </c>
      <c r="L563" s="6" t="str">
        <f aca="false">IF($K563=FALSE(),"",COUNTIF($K$6:$K563,TRUE()))</f>
        <v/>
      </c>
      <c r="M563" s="6" t="str">
        <f aca="false">IF($L563="","","R"&amp;$L563)</f>
        <v/>
      </c>
    </row>
    <row r="564" customFormat="false" ht="15" hidden="false" customHeight="true" outlineLevel="0" collapsed="false">
      <c r="K564" s="21" t="b">
        <f aca="false">IF(반품접수!$A561="",FALSE(),OR(반품접수!$O561="미처리",반품접수!$O561="부분처리"))</f>
        <v>0</v>
      </c>
      <c r="L564" s="6" t="str">
        <f aca="false">IF($K564=FALSE(),"",COUNTIF($K$6:$K564,TRUE()))</f>
        <v/>
      </c>
      <c r="M564" s="6" t="str">
        <f aca="false">IF($L564="","","R"&amp;$L564)</f>
        <v/>
      </c>
    </row>
    <row r="565" customFormat="false" ht="15" hidden="false" customHeight="true" outlineLevel="0" collapsed="false">
      <c r="K565" s="21" t="b">
        <f aca="false">IF(반품접수!$A562="",FALSE(),OR(반품접수!$O562="미처리",반품접수!$O562="부분처리"))</f>
        <v>0</v>
      </c>
      <c r="L565" s="6" t="str">
        <f aca="false">IF($K565=FALSE(),"",COUNTIF($K$6:$K565,TRUE()))</f>
        <v/>
      </c>
      <c r="M565" s="6" t="str">
        <f aca="false">IF($L565="","","R"&amp;$L565)</f>
        <v/>
      </c>
    </row>
    <row r="566" customFormat="false" ht="15" hidden="false" customHeight="true" outlineLevel="0" collapsed="false">
      <c r="K566" s="21" t="b">
        <f aca="false">IF(반품접수!$A563="",FALSE(),OR(반품접수!$O563="미처리",반품접수!$O563="부분처리"))</f>
        <v>0</v>
      </c>
      <c r="L566" s="6" t="str">
        <f aca="false">IF($K566=FALSE(),"",COUNTIF($K$6:$K566,TRUE()))</f>
        <v/>
      </c>
      <c r="M566" s="6" t="str">
        <f aca="false">IF($L566="","","R"&amp;$L566)</f>
        <v/>
      </c>
    </row>
    <row r="567" customFormat="false" ht="15" hidden="false" customHeight="true" outlineLevel="0" collapsed="false">
      <c r="K567" s="21" t="b">
        <f aca="false">IF(반품접수!$A564="",FALSE(),OR(반품접수!$O564="미처리",반품접수!$O564="부분처리"))</f>
        <v>0</v>
      </c>
      <c r="L567" s="6" t="str">
        <f aca="false">IF($K567=FALSE(),"",COUNTIF($K$6:$K567,TRUE()))</f>
        <v/>
      </c>
      <c r="M567" s="6" t="str">
        <f aca="false">IF($L567="","","R"&amp;$L567)</f>
        <v/>
      </c>
    </row>
    <row r="568" customFormat="false" ht="15" hidden="false" customHeight="true" outlineLevel="0" collapsed="false">
      <c r="K568" s="21" t="b">
        <f aca="false">IF(반품접수!$A565="",FALSE(),OR(반품접수!$O565="미처리",반품접수!$O565="부분처리"))</f>
        <v>0</v>
      </c>
      <c r="L568" s="6" t="str">
        <f aca="false">IF($K568=FALSE(),"",COUNTIF($K$6:$K568,TRUE()))</f>
        <v/>
      </c>
      <c r="M568" s="6" t="str">
        <f aca="false">IF($L568="","","R"&amp;$L568)</f>
        <v/>
      </c>
    </row>
    <row r="569" customFormat="false" ht="15" hidden="false" customHeight="true" outlineLevel="0" collapsed="false">
      <c r="K569" s="21" t="b">
        <f aca="false">IF(반품접수!$A566="",FALSE(),OR(반품접수!$O566="미처리",반품접수!$O566="부분처리"))</f>
        <v>0</v>
      </c>
      <c r="L569" s="6" t="str">
        <f aca="false">IF($K569=FALSE(),"",COUNTIF($K$6:$K569,TRUE()))</f>
        <v/>
      </c>
      <c r="M569" s="6" t="str">
        <f aca="false">IF($L569="","","R"&amp;$L569)</f>
        <v/>
      </c>
    </row>
    <row r="570" customFormat="false" ht="15" hidden="false" customHeight="true" outlineLevel="0" collapsed="false">
      <c r="K570" s="21" t="b">
        <f aca="false">IF(반품접수!$A567="",FALSE(),OR(반품접수!$O567="미처리",반품접수!$O567="부분처리"))</f>
        <v>0</v>
      </c>
      <c r="L570" s="6" t="str">
        <f aca="false">IF($K570=FALSE(),"",COUNTIF($K$6:$K570,TRUE()))</f>
        <v/>
      </c>
      <c r="M570" s="6" t="str">
        <f aca="false">IF($L570="","","R"&amp;$L570)</f>
        <v/>
      </c>
    </row>
    <row r="571" customFormat="false" ht="15" hidden="false" customHeight="true" outlineLevel="0" collapsed="false">
      <c r="K571" s="21" t="b">
        <f aca="false">IF(반품접수!$A568="",FALSE(),OR(반품접수!$O568="미처리",반품접수!$O568="부분처리"))</f>
        <v>0</v>
      </c>
      <c r="L571" s="6" t="str">
        <f aca="false">IF($K571=FALSE(),"",COUNTIF($K$6:$K571,TRUE()))</f>
        <v/>
      </c>
      <c r="M571" s="6" t="str">
        <f aca="false">IF($L571="","","R"&amp;$L571)</f>
        <v/>
      </c>
    </row>
    <row r="572" customFormat="false" ht="15" hidden="false" customHeight="true" outlineLevel="0" collapsed="false">
      <c r="K572" s="21" t="b">
        <f aca="false">IF(반품접수!$A569="",FALSE(),OR(반품접수!$O569="미처리",반품접수!$O569="부분처리"))</f>
        <v>0</v>
      </c>
      <c r="L572" s="6" t="str">
        <f aca="false">IF($K572=FALSE(),"",COUNTIF($K$6:$K572,TRUE()))</f>
        <v/>
      </c>
      <c r="M572" s="6" t="str">
        <f aca="false">IF($L572="","","R"&amp;$L572)</f>
        <v/>
      </c>
    </row>
    <row r="573" customFormat="false" ht="15" hidden="false" customHeight="true" outlineLevel="0" collapsed="false">
      <c r="K573" s="21" t="b">
        <f aca="false">IF(반품접수!$A570="",FALSE(),OR(반품접수!$O570="미처리",반품접수!$O570="부분처리"))</f>
        <v>0</v>
      </c>
      <c r="L573" s="6" t="str">
        <f aca="false">IF($K573=FALSE(),"",COUNTIF($K$6:$K573,TRUE()))</f>
        <v/>
      </c>
      <c r="M573" s="6" t="str">
        <f aca="false">IF($L573="","","R"&amp;$L573)</f>
        <v/>
      </c>
    </row>
    <row r="574" customFormat="false" ht="15" hidden="false" customHeight="true" outlineLevel="0" collapsed="false">
      <c r="K574" s="21" t="b">
        <f aca="false">IF(반품접수!$A571="",FALSE(),OR(반품접수!$O571="미처리",반품접수!$O571="부분처리"))</f>
        <v>0</v>
      </c>
      <c r="L574" s="6" t="str">
        <f aca="false">IF($K574=FALSE(),"",COUNTIF($K$6:$K574,TRUE()))</f>
        <v/>
      </c>
      <c r="M574" s="6" t="str">
        <f aca="false">IF($L574="","","R"&amp;$L574)</f>
        <v/>
      </c>
    </row>
    <row r="575" customFormat="false" ht="15" hidden="false" customHeight="true" outlineLevel="0" collapsed="false">
      <c r="K575" s="21" t="b">
        <f aca="false">IF(반품접수!$A572="",FALSE(),OR(반품접수!$O572="미처리",반품접수!$O572="부분처리"))</f>
        <v>0</v>
      </c>
      <c r="L575" s="6" t="str">
        <f aca="false">IF($K575=FALSE(),"",COUNTIF($K$6:$K575,TRUE()))</f>
        <v/>
      </c>
      <c r="M575" s="6" t="str">
        <f aca="false">IF($L575="","","R"&amp;$L575)</f>
        <v/>
      </c>
    </row>
    <row r="576" customFormat="false" ht="15" hidden="false" customHeight="true" outlineLevel="0" collapsed="false">
      <c r="K576" s="21" t="b">
        <f aca="false">IF(반품접수!$A573="",FALSE(),OR(반품접수!$O573="미처리",반품접수!$O573="부분처리"))</f>
        <v>0</v>
      </c>
      <c r="L576" s="6" t="str">
        <f aca="false">IF($K576=FALSE(),"",COUNTIF($K$6:$K576,TRUE()))</f>
        <v/>
      </c>
      <c r="M576" s="6" t="str">
        <f aca="false">IF($L576="","","R"&amp;$L576)</f>
        <v/>
      </c>
    </row>
    <row r="577" customFormat="false" ht="15" hidden="false" customHeight="true" outlineLevel="0" collapsed="false">
      <c r="K577" s="21" t="b">
        <f aca="false">IF(반품접수!$A574="",FALSE(),OR(반품접수!$O574="미처리",반품접수!$O574="부분처리"))</f>
        <v>0</v>
      </c>
      <c r="L577" s="6" t="str">
        <f aca="false">IF($K577=FALSE(),"",COUNTIF($K$6:$K577,TRUE()))</f>
        <v/>
      </c>
      <c r="M577" s="6" t="str">
        <f aca="false">IF($L577="","","R"&amp;$L577)</f>
        <v/>
      </c>
    </row>
    <row r="578" customFormat="false" ht="15" hidden="false" customHeight="true" outlineLevel="0" collapsed="false">
      <c r="K578" s="21" t="b">
        <f aca="false">IF(반품접수!$A575="",FALSE(),OR(반품접수!$O575="미처리",반품접수!$O575="부분처리"))</f>
        <v>0</v>
      </c>
      <c r="L578" s="6" t="str">
        <f aca="false">IF($K578=FALSE(),"",COUNTIF($K$6:$K578,TRUE()))</f>
        <v/>
      </c>
      <c r="M578" s="6" t="str">
        <f aca="false">IF($L578="","","R"&amp;$L578)</f>
        <v/>
      </c>
    </row>
    <row r="579" customFormat="false" ht="15" hidden="false" customHeight="true" outlineLevel="0" collapsed="false">
      <c r="K579" s="21" t="b">
        <f aca="false">IF(반품접수!$A576="",FALSE(),OR(반품접수!$O576="미처리",반품접수!$O576="부분처리"))</f>
        <v>0</v>
      </c>
      <c r="L579" s="6" t="str">
        <f aca="false">IF($K579=FALSE(),"",COUNTIF($K$6:$K579,TRUE()))</f>
        <v/>
      </c>
      <c r="M579" s="6" t="str">
        <f aca="false">IF($L579="","","R"&amp;$L579)</f>
        <v/>
      </c>
    </row>
    <row r="580" customFormat="false" ht="15" hidden="false" customHeight="true" outlineLevel="0" collapsed="false">
      <c r="K580" s="21" t="b">
        <f aca="false">IF(반품접수!$A577="",FALSE(),OR(반품접수!$O577="미처리",반품접수!$O577="부분처리"))</f>
        <v>0</v>
      </c>
      <c r="L580" s="6" t="str">
        <f aca="false">IF($K580=FALSE(),"",COUNTIF($K$6:$K580,TRUE()))</f>
        <v/>
      </c>
      <c r="M580" s="6" t="str">
        <f aca="false">IF($L580="","","R"&amp;$L580)</f>
        <v/>
      </c>
    </row>
    <row r="581" customFormat="false" ht="15" hidden="false" customHeight="true" outlineLevel="0" collapsed="false">
      <c r="K581" s="21" t="b">
        <f aca="false">IF(반품접수!$A578="",FALSE(),OR(반품접수!$O578="미처리",반품접수!$O578="부분처리"))</f>
        <v>0</v>
      </c>
      <c r="L581" s="6" t="str">
        <f aca="false">IF($K581=FALSE(),"",COUNTIF($K$6:$K581,TRUE()))</f>
        <v/>
      </c>
      <c r="M581" s="6" t="str">
        <f aca="false">IF($L581="","","R"&amp;$L581)</f>
        <v/>
      </c>
    </row>
    <row r="582" customFormat="false" ht="15" hidden="false" customHeight="true" outlineLevel="0" collapsed="false">
      <c r="K582" s="21" t="b">
        <f aca="false">IF(반품접수!$A579="",FALSE(),OR(반품접수!$O579="미처리",반품접수!$O579="부분처리"))</f>
        <v>0</v>
      </c>
      <c r="L582" s="6" t="str">
        <f aca="false">IF($K582=FALSE(),"",COUNTIF($K$6:$K582,TRUE()))</f>
        <v/>
      </c>
      <c r="M582" s="6" t="str">
        <f aca="false">IF($L582="","","R"&amp;$L582)</f>
        <v/>
      </c>
    </row>
    <row r="583" customFormat="false" ht="15" hidden="false" customHeight="true" outlineLevel="0" collapsed="false">
      <c r="K583" s="21" t="b">
        <f aca="false">IF(반품접수!$A580="",FALSE(),OR(반품접수!$O580="미처리",반품접수!$O580="부분처리"))</f>
        <v>0</v>
      </c>
      <c r="L583" s="6" t="str">
        <f aca="false">IF($K583=FALSE(),"",COUNTIF($K$6:$K583,TRUE()))</f>
        <v/>
      </c>
      <c r="M583" s="6" t="str">
        <f aca="false">IF($L583="","","R"&amp;$L583)</f>
        <v/>
      </c>
    </row>
    <row r="584" customFormat="false" ht="15" hidden="false" customHeight="true" outlineLevel="0" collapsed="false">
      <c r="K584" s="21" t="b">
        <f aca="false">IF(반품접수!$A581="",FALSE(),OR(반품접수!$O581="미처리",반품접수!$O581="부분처리"))</f>
        <v>0</v>
      </c>
      <c r="L584" s="6" t="str">
        <f aca="false">IF($K584=FALSE(),"",COUNTIF($K$6:$K584,TRUE()))</f>
        <v/>
      </c>
      <c r="M584" s="6" t="str">
        <f aca="false">IF($L584="","","R"&amp;$L584)</f>
        <v/>
      </c>
    </row>
    <row r="585" customFormat="false" ht="15" hidden="false" customHeight="true" outlineLevel="0" collapsed="false">
      <c r="K585" s="21" t="b">
        <f aca="false">IF(반품접수!$A582="",FALSE(),OR(반품접수!$O582="미처리",반품접수!$O582="부분처리"))</f>
        <v>0</v>
      </c>
      <c r="L585" s="6" t="str">
        <f aca="false">IF($K585=FALSE(),"",COUNTIF($K$6:$K585,TRUE()))</f>
        <v/>
      </c>
      <c r="M585" s="6" t="str">
        <f aca="false">IF($L585="","","R"&amp;$L585)</f>
        <v/>
      </c>
    </row>
    <row r="586" customFormat="false" ht="15" hidden="false" customHeight="true" outlineLevel="0" collapsed="false">
      <c r="K586" s="21" t="b">
        <f aca="false">IF(반품접수!$A583="",FALSE(),OR(반품접수!$O583="미처리",반품접수!$O583="부분처리"))</f>
        <v>0</v>
      </c>
      <c r="L586" s="6" t="str">
        <f aca="false">IF($K586=FALSE(),"",COUNTIF($K$6:$K586,TRUE()))</f>
        <v/>
      </c>
      <c r="M586" s="6" t="str">
        <f aca="false">IF($L586="","","R"&amp;$L586)</f>
        <v/>
      </c>
    </row>
    <row r="587" customFormat="false" ht="15" hidden="false" customHeight="true" outlineLevel="0" collapsed="false">
      <c r="K587" s="21" t="b">
        <f aca="false">IF(반품접수!$A584="",FALSE(),OR(반품접수!$O584="미처리",반품접수!$O584="부분처리"))</f>
        <v>0</v>
      </c>
      <c r="L587" s="6" t="str">
        <f aca="false">IF($K587=FALSE(),"",COUNTIF($K$6:$K587,TRUE()))</f>
        <v/>
      </c>
      <c r="M587" s="6" t="str">
        <f aca="false">IF($L587="","","R"&amp;$L587)</f>
        <v/>
      </c>
    </row>
    <row r="588" customFormat="false" ht="15" hidden="false" customHeight="true" outlineLevel="0" collapsed="false">
      <c r="K588" s="21" t="b">
        <f aca="false">IF(반품접수!$A585="",FALSE(),OR(반품접수!$O585="미처리",반품접수!$O585="부분처리"))</f>
        <v>0</v>
      </c>
      <c r="L588" s="6" t="str">
        <f aca="false">IF($K588=FALSE(),"",COUNTIF($K$6:$K588,TRUE()))</f>
        <v/>
      </c>
      <c r="M588" s="6" t="str">
        <f aca="false">IF($L588="","","R"&amp;$L588)</f>
        <v/>
      </c>
    </row>
    <row r="589" customFormat="false" ht="15" hidden="false" customHeight="true" outlineLevel="0" collapsed="false">
      <c r="K589" s="21" t="b">
        <f aca="false">IF(반품접수!$A586="",FALSE(),OR(반품접수!$O586="미처리",반품접수!$O586="부분처리"))</f>
        <v>0</v>
      </c>
      <c r="L589" s="6" t="str">
        <f aca="false">IF($K589=FALSE(),"",COUNTIF($K$6:$K589,TRUE()))</f>
        <v/>
      </c>
      <c r="M589" s="6" t="str">
        <f aca="false">IF($L589="","","R"&amp;$L589)</f>
        <v/>
      </c>
    </row>
    <row r="590" customFormat="false" ht="15" hidden="false" customHeight="true" outlineLevel="0" collapsed="false">
      <c r="K590" s="21" t="b">
        <f aca="false">IF(반품접수!$A587="",FALSE(),OR(반품접수!$O587="미처리",반품접수!$O587="부분처리"))</f>
        <v>0</v>
      </c>
      <c r="L590" s="6" t="str">
        <f aca="false">IF($K590=FALSE(),"",COUNTIF($K$6:$K590,TRUE()))</f>
        <v/>
      </c>
      <c r="M590" s="6" t="str">
        <f aca="false">IF($L590="","","R"&amp;$L590)</f>
        <v/>
      </c>
    </row>
    <row r="591" customFormat="false" ht="15" hidden="false" customHeight="true" outlineLevel="0" collapsed="false">
      <c r="K591" s="21" t="b">
        <f aca="false">IF(반품접수!$A588="",FALSE(),OR(반품접수!$O588="미처리",반품접수!$O588="부분처리"))</f>
        <v>0</v>
      </c>
      <c r="L591" s="6" t="str">
        <f aca="false">IF($K591=FALSE(),"",COUNTIF($K$6:$K591,TRUE()))</f>
        <v/>
      </c>
      <c r="M591" s="6" t="str">
        <f aca="false">IF($L591="","","R"&amp;$L591)</f>
        <v/>
      </c>
    </row>
    <row r="592" customFormat="false" ht="15" hidden="false" customHeight="true" outlineLevel="0" collapsed="false">
      <c r="K592" s="21" t="b">
        <f aca="false">IF(반품접수!$A589="",FALSE(),OR(반품접수!$O589="미처리",반품접수!$O589="부분처리"))</f>
        <v>0</v>
      </c>
      <c r="L592" s="6" t="str">
        <f aca="false">IF($K592=FALSE(),"",COUNTIF($K$6:$K592,TRUE()))</f>
        <v/>
      </c>
      <c r="M592" s="6" t="str">
        <f aca="false">IF($L592="","","R"&amp;$L592)</f>
        <v/>
      </c>
    </row>
    <row r="593" customFormat="false" ht="15" hidden="false" customHeight="true" outlineLevel="0" collapsed="false">
      <c r="K593" s="21" t="b">
        <f aca="false">IF(반품접수!$A590="",FALSE(),OR(반품접수!$O590="미처리",반품접수!$O590="부분처리"))</f>
        <v>0</v>
      </c>
      <c r="L593" s="6" t="str">
        <f aca="false">IF($K593=FALSE(),"",COUNTIF($K$6:$K593,TRUE()))</f>
        <v/>
      </c>
      <c r="M593" s="6" t="str">
        <f aca="false">IF($L593="","","R"&amp;$L593)</f>
        <v/>
      </c>
    </row>
    <row r="594" customFormat="false" ht="15" hidden="false" customHeight="true" outlineLevel="0" collapsed="false">
      <c r="K594" s="21" t="b">
        <f aca="false">IF(반품접수!$A591="",FALSE(),OR(반품접수!$O591="미처리",반품접수!$O591="부분처리"))</f>
        <v>0</v>
      </c>
      <c r="L594" s="6" t="str">
        <f aca="false">IF($K594=FALSE(),"",COUNTIF($K$6:$K594,TRUE()))</f>
        <v/>
      </c>
      <c r="M594" s="6" t="str">
        <f aca="false">IF($L594="","","R"&amp;$L594)</f>
        <v/>
      </c>
    </row>
    <row r="595" customFormat="false" ht="15" hidden="false" customHeight="true" outlineLevel="0" collapsed="false">
      <c r="K595" s="21" t="b">
        <f aca="false">IF(반품접수!$A592="",FALSE(),OR(반품접수!$O592="미처리",반품접수!$O592="부분처리"))</f>
        <v>0</v>
      </c>
      <c r="L595" s="6" t="str">
        <f aca="false">IF($K595=FALSE(),"",COUNTIF($K$6:$K595,TRUE()))</f>
        <v/>
      </c>
      <c r="M595" s="6" t="str">
        <f aca="false">IF($L595="","","R"&amp;$L595)</f>
        <v/>
      </c>
    </row>
    <row r="596" customFormat="false" ht="15" hidden="false" customHeight="true" outlineLevel="0" collapsed="false">
      <c r="K596" s="21" t="b">
        <f aca="false">IF(반품접수!$A593="",FALSE(),OR(반품접수!$O593="미처리",반품접수!$O593="부분처리"))</f>
        <v>0</v>
      </c>
      <c r="L596" s="6" t="str">
        <f aca="false">IF($K596=FALSE(),"",COUNTIF($K$6:$K596,TRUE()))</f>
        <v/>
      </c>
      <c r="M596" s="6" t="str">
        <f aca="false">IF($L596="","","R"&amp;$L596)</f>
        <v/>
      </c>
    </row>
    <row r="597" customFormat="false" ht="15" hidden="false" customHeight="true" outlineLevel="0" collapsed="false">
      <c r="K597" s="21" t="b">
        <f aca="false">IF(반품접수!$A594="",FALSE(),OR(반품접수!$O594="미처리",반품접수!$O594="부분처리"))</f>
        <v>0</v>
      </c>
      <c r="L597" s="6" t="str">
        <f aca="false">IF($K597=FALSE(),"",COUNTIF($K$6:$K597,TRUE()))</f>
        <v/>
      </c>
      <c r="M597" s="6" t="str">
        <f aca="false">IF($L597="","","R"&amp;$L597)</f>
        <v/>
      </c>
    </row>
    <row r="598" customFormat="false" ht="15" hidden="false" customHeight="true" outlineLevel="0" collapsed="false">
      <c r="K598" s="21" t="b">
        <f aca="false">IF(반품접수!$A595="",FALSE(),OR(반품접수!$O595="미처리",반품접수!$O595="부분처리"))</f>
        <v>0</v>
      </c>
      <c r="L598" s="6" t="str">
        <f aca="false">IF($K598=FALSE(),"",COUNTIF($K$6:$K598,TRUE()))</f>
        <v/>
      </c>
      <c r="M598" s="6" t="str">
        <f aca="false">IF($L598="","","R"&amp;$L598)</f>
        <v/>
      </c>
    </row>
    <row r="599" customFormat="false" ht="15" hidden="false" customHeight="true" outlineLevel="0" collapsed="false">
      <c r="K599" s="21" t="b">
        <f aca="false">IF(반품접수!$A596="",FALSE(),OR(반품접수!$O596="미처리",반품접수!$O596="부분처리"))</f>
        <v>0</v>
      </c>
      <c r="L599" s="6" t="str">
        <f aca="false">IF($K599=FALSE(),"",COUNTIF($K$6:$K599,TRUE()))</f>
        <v/>
      </c>
      <c r="M599" s="6" t="str">
        <f aca="false">IF($L599="","","R"&amp;$L599)</f>
        <v/>
      </c>
    </row>
    <row r="600" customFormat="false" ht="15" hidden="false" customHeight="true" outlineLevel="0" collapsed="false">
      <c r="K600" s="21" t="b">
        <f aca="false">IF(반품접수!$A597="",FALSE(),OR(반품접수!$O597="미처리",반품접수!$O597="부분처리"))</f>
        <v>0</v>
      </c>
      <c r="L600" s="6" t="str">
        <f aca="false">IF($K600=FALSE(),"",COUNTIF($K$6:$K600,TRUE()))</f>
        <v/>
      </c>
      <c r="M600" s="6" t="str">
        <f aca="false">IF($L600="","","R"&amp;$L600)</f>
        <v/>
      </c>
    </row>
    <row r="601" customFormat="false" ht="15" hidden="false" customHeight="true" outlineLevel="0" collapsed="false">
      <c r="K601" s="21" t="b">
        <f aca="false">IF(반품접수!$A598="",FALSE(),OR(반품접수!$O598="미처리",반품접수!$O598="부분처리"))</f>
        <v>0</v>
      </c>
      <c r="L601" s="6" t="str">
        <f aca="false">IF($K601=FALSE(),"",COUNTIF($K$6:$K601,TRUE()))</f>
        <v/>
      </c>
      <c r="M601" s="6" t="str">
        <f aca="false">IF($L601="","","R"&amp;$L601)</f>
        <v/>
      </c>
    </row>
    <row r="602" customFormat="false" ht="15" hidden="false" customHeight="true" outlineLevel="0" collapsed="false">
      <c r="K602" s="21" t="b">
        <f aca="false">IF(반품접수!$A599="",FALSE(),OR(반품접수!$O599="미처리",반품접수!$O599="부분처리"))</f>
        <v>0</v>
      </c>
      <c r="L602" s="6" t="str">
        <f aca="false">IF($K602=FALSE(),"",COUNTIF($K$6:$K602,TRUE()))</f>
        <v/>
      </c>
      <c r="M602" s="6" t="str">
        <f aca="false">IF($L602="","","R"&amp;$L602)</f>
        <v/>
      </c>
    </row>
    <row r="603" customFormat="false" ht="15" hidden="false" customHeight="true" outlineLevel="0" collapsed="false">
      <c r="K603" s="21" t="b">
        <f aca="false">IF(반품접수!$A600="",FALSE(),OR(반품접수!$O600="미처리",반품접수!$O600="부분처리"))</f>
        <v>0</v>
      </c>
      <c r="L603" s="6" t="str">
        <f aca="false">IF($K603=FALSE(),"",COUNTIF($K$6:$K603,TRUE()))</f>
        <v/>
      </c>
      <c r="M603" s="6" t="str">
        <f aca="false">IF($L603="","","R"&amp;$L603)</f>
        <v/>
      </c>
    </row>
    <row r="604" customFormat="false" ht="15" hidden="false" customHeight="true" outlineLevel="0" collapsed="false">
      <c r="K604" s="21" t="b">
        <f aca="false">IF(반품접수!$A601="",FALSE(),OR(반품접수!$O601="미처리",반품접수!$O601="부분처리"))</f>
        <v>0</v>
      </c>
      <c r="L604" s="6" t="str">
        <f aca="false">IF($K604=FALSE(),"",COUNTIF($K$6:$K604,TRUE()))</f>
        <v/>
      </c>
      <c r="M604" s="6" t="str">
        <f aca="false">IF($L604="","","R"&amp;$L604)</f>
        <v/>
      </c>
    </row>
    <row r="605" customFormat="false" ht="15" hidden="false" customHeight="true" outlineLevel="0" collapsed="false">
      <c r="K605" s="21" t="b">
        <f aca="false">IF(반품접수!$A602="",FALSE(),OR(반품접수!$O602="미처리",반품접수!$O602="부분처리"))</f>
        <v>0</v>
      </c>
      <c r="L605" s="6" t="str">
        <f aca="false">IF($K605=FALSE(),"",COUNTIF($K$6:$K605,TRUE()))</f>
        <v/>
      </c>
      <c r="M605" s="6" t="str">
        <f aca="false">IF($L605="","","R"&amp;$L605)</f>
        <v/>
      </c>
    </row>
    <row r="606" customFormat="false" ht="15" hidden="false" customHeight="true" outlineLevel="0" collapsed="false">
      <c r="K606" s="21" t="b">
        <f aca="false">IF(반품접수!$A603="",FALSE(),OR(반품접수!$O603="미처리",반품접수!$O603="부분처리"))</f>
        <v>0</v>
      </c>
      <c r="L606" s="6" t="str">
        <f aca="false">IF($K606=FALSE(),"",COUNTIF($K$6:$K606,TRUE()))</f>
        <v/>
      </c>
      <c r="M606" s="6" t="str">
        <f aca="false">IF($L606="","","R"&amp;$L606)</f>
        <v/>
      </c>
    </row>
    <row r="607" customFormat="false" ht="15" hidden="false" customHeight="true" outlineLevel="0" collapsed="false">
      <c r="K607" s="21" t="b">
        <f aca="false">IF(반품접수!$A604="",FALSE(),OR(반품접수!$O604="미처리",반품접수!$O604="부분처리"))</f>
        <v>0</v>
      </c>
      <c r="L607" s="6" t="str">
        <f aca="false">IF($K607=FALSE(),"",COUNTIF($K$6:$K607,TRUE()))</f>
        <v/>
      </c>
      <c r="M607" s="6" t="str">
        <f aca="false">IF($L607="","","R"&amp;$L607)</f>
        <v/>
      </c>
    </row>
    <row r="608" customFormat="false" ht="15" hidden="false" customHeight="true" outlineLevel="0" collapsed="false">
      <c r="K608" s="21" t="b">
        <f aca="false">IF(반품접수!$A605="",FALSE(),OR(반품접수!$O605="미처리",반품접수!$O605="부분처리"))</f>
        <v>0</v>
      </c>
      <c r="L608" s="6" t="str">
        <f aca="false">IF($K608=FALSE(),"",COUNTIF($K$6:$K608,TRUE()))</f>
        <v/>
      </c>
      <c r="M608" s="6" t="str">
        <f aca="false">IF($L608="","","R"&amp;$L608)</f>
        <v/>
      </c>
    </row>
    <row r="609" customFormat="false" ht="15" hidden="false" customHeight="true" outlineLevel="0" collapsed="false">
      <c r="K609" s="21" t="b">
        <f aca="false">IF(반품접수!$A606="",FALSE(),OR(반품접수!$O606="미처리",반품접수!$O606="부분처리"))</f>
        <v>0</v>
      </c>
      <c r="L609" s="6" t="str">
        <f aca="false">IF($K609=FALSE(),"",COUNTIF($K$6:$K609,TRUE()))</f>
        <v/>
      </c>
      <c r="M609" s="6" t="str">
        <f aca="false">IF($L609="","","R"&amp;$L609)</f>
        <v/>
      </c>
    </row>
    <row r="610" customFormat="false" ht="15" hidden="false" customHeight="true" outlineLevel="0" collapsed="false">
      <c r="K610" s="21" t="b">
        <f aca="false">IF(반품접수!$A607="",FALSE(),OR(반품접수!$O607="미처리",반품접수!$O607="부분처리"))</f>
        <v>0</v>
      </c>
      <c r="L610" s="6" t="str">
        <f aca="false">IF($K610=FALSE(),"",COUNTIF($K$6:$K610,TRUE()))</f>
        <v/>
      </c>
      <c r="M610" s="6" t="str">
        <f aca="false">IF($L610="","","R"&amp;$L610)</f>
        <v/>
      </c>
    </row>
    <row r="611" customFormat="false" ht="15" hidden="false" customHeight="true" outlineLevel="0" collapsed="false">
      <c r="K611" s="21" t="b">
        <f aca="false">IF(반품접수!$A608="",FALSE(),OR(반품접수!$O608="미처리",반품접수!$O608="부분처리"))</f>
        <v>0</v>
      </c>
      <c r="L611" s="6" t="str">
        <f aca="false">IF($K611=FALSE(),"",COUNTIF($K$6:$K611,TRUE()))</f>
        <v/>
      </c>
      <c r="M611" s="6" t="str">
        <f aca="false">IF($L611="","","R"&amp;$L611)</f>
        <v/>
      </c>
    </row>
    <row r="612" customFormat="false" ht="15" hidden="false" customHeight="true" outlineLevel="0" collapsed="false">
      <c r="K612" s="21" t="b">
        <f aca="false">IF(반품접수!$A609="",FALSE(),OR(반품접수!$O609="미처리",반품접수!$O609="부분처리"))</f>
        <v>0</v>
      </c>
      <c r="L612" s="6" t="str">
        <f aca="false">IF($K612=FALSE(),"",COUNTIF($K$6:$K612,TRUE()))</f>
        <v/>
      </c>
      <c r="M612" s="6" t="str">
        <f aca="false">IF($L612="","","R"&amp;$L612)</f>
        <v/>
      </c>
    </row>
    <row r="613" customFormat="false" ht="15" hidden="false" customHeight="true" outlineLevel="0" collapsed="false">
      <c r="K613" s="21" t="b">
        <f aca="false">IF(반품접수!$A610="",FALSE(),OR(반품접수!$O610="미처리",반품접수!$O610="부분처리"))</f>
        <v>0</v>
      </c>
      <c r="L613" s="6" t="str">
        <f aca="false">IF($K613=FALSE(),"",COUNTIF($K$6:$K613,TRUE()))</f>
        <v/>
      </c>
      <c r="M613" s="6" t="str">
        <f aca="false">IF($L613="","","R"&amp;$L613)</f>
        <v/>
      </c>
    </row>
    <row r="614" customFormat="false" ht="15" hidden="false" customHeight="true" outlineLevel="0" collapsed="false">
      <c r="K614" s="21" t="b">
        <f aca="false">IF(반품접수!$A611="",FALSE(),OR(반품접수!$O611="미처리",반품접수!$O611="부분처리"))</f>
        <v>0</v>
      </c>
      <c r="L614" s="6" t="str">
        <f aca="false">IF($K614=FALSE(),"",COUNTIF($K$6:$K614,TRUE()))</f>
        <v/>
      </c>
      <c r="M614" s="6" t="str">
        <f aca="false">IF($L614="","","R"&amp;$L614)</f>
        <v/>
      </c>
    </row>
    <row r="615" customFormat="false" ht="15" hidden="false" customHeight="true" outlineLevel="0" collapsed="false">
      <c r="K615" s="21" t="b">
        <f aca="false">IF(반품접수!$A612="",FALSE(),OR(반품접수!$O612="미처리",반품접수!$O612="부분처리"))</f>
        <v>0</v>
      </c>
      <c r="L615" s="6" t="str">
        <f aca="false">IF($K615=FALSE(),"",COUNTIF($K$6:$K615,TRUE()))</f>
        <v/>
      </c>
      <c r="M615" s="6" t="str">
        <f aca="false">IF($L615="","","R"&amp;$L615)</f>
        <v/>
      </c>
    </row>
    <row r="616" customFormat="false" ht="15" hidden="false" customHeight="true" outlineLevel="0" collapsed="false">
      <c r="K616" s="21" t="b">
        <f aca="false">IF(반품접수!$A613="",FALSE(),OR(반품접수!$O613="미처리",반품접수!$O613="부분처리"))</f>
        <v>0</v>
      </c>
      <c r="L616" s="6" t="str">
        <f aca="false">IF($K616=FALSE(),"",COUNTIF($K$6:$K616,TRUE()))</f>
        <v/>
      </c>
      <c r="M616" s="6" t="str">
        <f aca="false">IF($L616="","","R"&amp;$L616)</f>
        <v/>
      </c>
    </row>
    <row r="617" customFormat="false" ht="15" hidden="false" customHeight="true" outlineLevel="0" collapsed="false">
      <c r="K617" s="21" t="b">
        <f aca="false">IF(반품접수!$A614="",FALSE(),OR(반품접수!$O614="미처리",반품접수!$O614="부분처리"))</f>
        <v>0</v>
      </c>
      <c r="L617" s="6" t="str">
        <f aca="false">IF($K617=FALSE(),"",COUNTIF($K$6:$K617,TRUE()))</f>
        <v/>
      </c>
      <c r="M617" s="6" t="str">
        <f aca="false">IF($L617="","","R"&amp;$L617)</f>
        <v/>
      </c>
    </row>
    <row r="618" customFormat="false" ht="15" hidden="false" customHeight="true" outlineLevel="0" collapsed="false">
      <c r="K618" s="21" t="b">
        <f aca="false">IF(반품접수!$A615="",FALSE(),OR(반품접수!$O615="미처리",반품접수!$O615="부분처리"))</f>
        <v>0</v>
      </c>
      <c r="L618" s="6" t="str">
        <f aca="false">IF($K618=FALSE(),"",COUNTIF($K$6:$K618,TRUE()))</f>
        <v/>
      </c>
      <c r="M618" s="6" t="str">
        <f aca="false">IF($L618="","","R"&amp;$L618)</f>
        <v/>
      </c>
    </row>
    <row r="619" customFormat="false" ht="15" hidden="false" customHeight="true" outlineLevel="0" collapsed="false">
      <c r="K619" s="21" t="b">
        <f aca="false">IF(반품접수!$A616="",FALSE(),OR(반품접수!$O616="미처리",반품접수!$O616="부분처리"))</f>
        <v>0</v>
      </c>
      <c r="L619" s="6" t="str">
        <f aca="false">IF($K619=FALSE(),"",COUNTIF($K$6:$K619,TRUE()))</f>
        <v/>
      </c>
      <c r="M619" s="6" t="str">
        <f aca="false">IF($L619="","","R"&amp;$L619)</f>
        <v/>
      </c>
    </row>
    <row r="620" customFormat="false" ht="15" hidden="false" customHeight="true" outlineLevel="0" collapsed="false">
      <c r="K620" s="21" t="b">
        <f aca="false">IF(반품접수!$A617="",FALSE(),OR(반품접수!$O617="미처리",반품접수!$O617="부분처리"))</f>
        <v>0</v>
      </c>
      <c r="L620" s="6" t="str">
        <f aca="false">IF($K620=FALSE(),"",COUNTIF($K$6:$K620,TRUE()))</f>
        <v/>
      </c>
      <c r="M620" s="6" t="str">
        <f aca="false">IF($L620="","","R"&amp;$L620)</f>
        <v/>
      </c>
    </row>
    <row r="621" customFormat="false" ht="15" hidden="false" customHeight="true" outlineLevel="0" collapsed="false">
      <c r="K621" s="21" t="b">
        <f aca="false">IF(반품접수!$A618="",FALSE(),OR(반품접수!$O618="미처리",반품접수!$O618="부분처리"))</f>
        <v>0</v>
      </c>
      <c r="L621" s="6" t="str">
        <f aca="false">IF($K621=FALSE(),"",COUNTIF($K$6:$K621,TRUE()))</f>
        <v/>
      </c>
      <c r="M621" s="6" t="str">
        <f aca="false">IF($L621="","","R"&amp;$L621)</f>
        <v/>
      </c>
    </row>
    <row r="622" customFormat="false" ht="15" hidden="false" customHeight="true" outlineLevel="0" collapsed="false">
      <c r="K622" s="21" t="b">
        <f aca="false">IF(반품접수!$A619="",FALSE(),OR(반품접수!$O619="미처리",반품접수!$O619="부분처리"))</f>
        <v>0</v>
      </c>
      <c r="L622" s="6" t="str">
        <f aca="false">IF($K622=FALSE(),"",COUNTIF($K$6:$K622,TRUE()))</f>
        <v/>
      </c>
      <c r="M622" s="6" t="str">
        <f aca="false">IF($L622="","","R"&amp;$L622)</f>
        <v/>
      </c>
    </row>
    <row r="623" customFormat="false" ht="15" hidden="false" customHeight="true" outlineLevel="0" collapsed="false">
      <c r="K623" s="21" t="b">
        <f aca="false">IF(반품접수!$A620="",FALSE(),OR(반품접수!$O620="미처리",반품접수!$O620="부분처리"))</f>
        <v>0</v>
      </c>
      <c r="L623" s="6" t="str">
        <f aca="false">IF($K623=FALSE(),"",COUNTIF($K$6:$K623,TRUE()))</f>
        <v/>
      </c>
      <c r="M623" s="6" t="str">
        <f aca="false">IF($L623="","","R"&amp;$L623)</f>
        <v/>
      </c>
    </row>
    <row r="624" customFormat="false" ht="15" hidden="false" customHeight="true" outlineLevel="0" collapsed="false">
      <c r="K624" s="21" t="b">
        <f aca="false">IF(반품접수!$A621="",FALSE(),OR(반품접수!$O621="미처리",반품접수!$O621="부분처리"))</f>
        <v>0</v>
      </c>
      <c r="L624" s="6" t="str">
        <f aca="false">IF($K624=FALSE(),"",COUNTIF($K$6:$K624,TRUE()))</f>
        <v/>
      </c>
      <c r="M624" s="6" t="str">
        <f aca="false">IF($L624="","","R"&amp;$L624)</f>
        <v/>
      </c>
    </row>
    <row r="625" customFormat="false" ht="15" hidden="false" customHeight="true" outlineLevel="0" collapsed="false">
      <c r="K625" s="21" t="b">
        <f aca="false">IF(반품접수!$A622="",FALSE(),OR(반품접수!$O622="미처리",반품접수!$O622="부분처리"))</f>
        <v>0</v>
      </c>
      <c r="L625" s="6" t="str">
        <f aca="false">IF($K625=FALSE(),"",COUNTIF($K$6:$K625,TRUE()))</f>
        <v/>
      </c>
      <c r="M625" s="6" t="str">
        <f aca="false">IF($L625="","","R"&amp;$L625)</f>
        <v/>
      </c>
    </row>
    <row r="626" customFormat="false" ht="15" hidden="false" customHeight="true" outlineLevel="0" collapsed="false">
      <c r="K626" s="21" t="b">
        <f aca="false">IF(반품접수!$A623="",FALSE(),OR(반품접수!$O623="미처리",반품접수!$O623="부분처리"))</f>
        <v>0</v>
      </c>
      <c r="L626" s="6" t="str">
        <f aca="false">IF($K626=FALSE(),"",COUNTIF($K$6:$K626,TRUE()))</f>
        <v/>
      </c>
      <c r="M626" s="6" t="str">
        <f aca="false">IF($L626="","","R"&amp;$L626)</f>
        <v/>
      </c>
    </row>
    <row r="627" customFormat="false" ht="15" hidden="false" customHeight="true" outlineLevel="0" collapsed="false">
      <c r="K627" s="21" t="b">
        <f aca="false">IF(반품접수!$A624="",FALSE(),OR(반품접수!$O624="미처리",반품접수!$O624="부분처리"))</f>
        <v>0</v>
      </c>
      <c r="L627" s="6" t="str">
        <f aca="false">IF($K627=FALSE(),"",COUNTIF($K$6:$K627,TRUE()))</f>
        <v/>
      </c>
      <c r="M627" s="6" t="str">
        <f aca="false">IF($L627="","","R"&amp;$L627)</f>
        <v/>
      </c>
    </row>
    <row r="628" customFormat="false" ht="15" hidden="false" customHeight="true" outlineLevel="0" collapsed="false">
      <c r="K628" s="21" t="b">
        <f aca="false">IF(반품접수!$A625="",FALSE(),OR(반품접수!$O625="미처리",반품접수!$O625="부분처리"))</f>
        <v>0</v>
      </c>
      <c r="L628" s="6" t="str">
        <f aca="false">IF($K628=FALSE(),"",COUNTIF($K$6:$K628,TRUE()))</f>
        <v/>
      </c>
      <c r="M628" s="6" t="str">
        <f aca="false">IF($L628="","","R"&amp;$L628)</f>
        <v/>
      </c>
    </row>
    <row r="629" customFormat="false" ht="15" hidden="false" customHeight="true" outlineLevel="0" collapsed="false">
      <c r="K629" s="21" t="b">
        <f aca="false">IF(반품접수!$A626="",FALSE(),OR(반품접수!$O626="미처리",반품접수!$O626="부분처리"))</f>
        <v>0</v>
      </c>
      <c r="L629" s="6" t="str">
        <f aca="false">IF($K629=FALSE(),"",COUNTIF($K$6:$K629,TRUE()))</f>
        <v/>
      </c>
      <c r="M629" s="6" t="str">
        <f aca="false">IF($L629="","","R"&amp;$L629)</f>
        <v/>
      </c>
    </row>
    <row r="630" customFormat="false" ht="15" hidden="false" customHeight="true" outlineLevel="0" collapsed="false">
      <c r="K630" s="21" t="b">
        <f aca="false">IF(반품접수!$A627="",FALSE(),OR(반품접수!$O627="미처리",반품접수!$O627="부분처리"))</f>
        <v>0</v>
      </c>
      <c r="L630" s="6" t="str">
        <f aca="false">IF($K630=FALSE(),"",COUNTIF($K$6:$K630,TRUE()))</f>
        <v/>
      </c>
      <c r="M630" s="6" t="str">
        <f aca="false">IF($L630="","","R"&amp;$L630)</f>
        <v/>
      </c>
    </row>
    <row r="631" customFormat="false" ht="15" hidden="false" customHeight="true" outlineLevel="0" collapsed="false">
      <c r="K631" s="21" t="b">
        <f aca="false">IF(반품접수!$A628="",FALSE(),OR(반품접수!$O628="미처리",반품접수!$O628="부분처리"))</f>
        <v>0</v>
      </c>
      <c r="L631" s="6" t="str">
        <f aca="false">IF($K631=FALSE(),"",COUNTIF($K$6:$K631,TRUE()))</f>
        <v/>
      </c>
      <c r="M631" s="6" t="str">
        <f aca="false">IF($L631="","","R"&amp;$L631)</f>
        <v/>
      </c>
    </row>
    <row r="632" customFormat="false" ht="15" hidden="false" customHeight="true" outlineLevel="0" collapsed="false">
      <c r="K632" s="21" t="b">
        <f aca="false">IF(반품접수!$A629="",FALSE(),OR(반품접수!$O629="미처리",반품접수!$O629="부분처리"))</f>
        <v>0</v>
      </c>
      <c r="L632" s="6" t="str">
        <f aca="false">IF($K632=FALSE(),"",COUNTIF($K$6:$K632,TRUE()))</f>
        <v/>
      </c>
      <c r="M632" s="6" t="str">
        <f aca="false">IF($L632="","","R"&amp;$L632)</f>
        <v/>
      </c>
    </row>
    <row r="633" customFormat="false" ht="15" hidden="false" customHeight="true" outlineLevel="0" collapsed="false">
      <c r="K633" s="21" t="b">
        <f aca="false">IF(반품접수!$A630="",FALSE(),OR(반품접수!$O630="미처리",반품접수!$O630="부분처리"))</f>
        <v>0</v>
      </c>
      <c r="L633" s="6" t="str">
        <f aca="false">IF($K633=FALSE(),"",COUNTIF($K$6:$K633,TRUE()))</f>
        <v/>
      </c>
      <c r="M633" s="6" t="str">
        <f aca="false">IF($L633="","","R"&amp;$L633)</f>
        <v/>
      </c>
    </row>
    <row r="634" customFormat="false" ht="15" hidden="false" customHeight="true" outlineLevel="0" collapsed="false">
      <c r="K634" s="21" t="b">
        <f aca="false">IF(반품접수!$A631="",FALSE(),OR(반품접수!$O631="미처리",반품접수!$O631="부분처리"))</f>
        <v>0</v>
      </c>
      <c r="L634" s="6" t="str">
        <f aca="false">IF($K634=FALSE(),"",COUNTIF($K$6:$K634,TRUE()))</f>
        <v/>
      </c>
      <c r="M634" s="6" t="str">
        <f aca="false">IF($L634="","","R"&amp;$L634)</f>
        <v/>
      </c>
    </row>
    <row r="635" customFormat="false" ht="15" hidden="false" customHeight="true" outlineLevel="0" collapsed="false">
      <c r="K635" s="21" t="b">
        <f aca="false">IF(반품접수!$A632="",FALSE(),OR(반품접수!$O632="미처리",반품접수!$O632="부분처리"))</f>
        <v>0</v>
      </c>
      <c r="L635" s="6" t="str">
        <f aca="false">IF($K635=FALSE(),"",COUNTIF($K$6:$K635,TRUE()))</f>
        <v/>
      </c>
      <c r="M635" s="6" t="str">
        <f aca="false">IF($L635="","","R"&amp;$L635)</f>
        <v/>
      </c>
    </row>
    <row r="636" customFormat="false" ht="15" hidden="false" customHeight="true" outlineLevel="0" collapsed="false">
      <c r="K636" s="21" t="b">
        <f aca="false">IF(반품접수!$A633="",FALSE(),OR(반품접수!$O633="미처리",반품접수!$O633="부분처리"))</f>
        <v>0</v>
      </c>
      <c r="L636" s="6" t="str">
        <f aca="false">IF($K636=FALSE(),"",COUNTIF($K$6:$K636,TRUE()))</f>
        <v/>
      </c>
      <c r="M636" s="6" t="str">
        <f aca="false">IF($L636="","","R"&amp;$L636)</f>
        <v/>
      </c>
    </row>
    <row r="637" customFormat="false" ht="15" hidden="false" customHeight="true" outlineLevel="0" collapsed="false">
      <c r="K637" s="21" t="b">
        <f aca="false">IF(반품접수!$A634="",FALSE(),OR(반품접수!$O634="미처리",반품접수!$O634="부분처리"))</f>
        <v>0</v>
      </c>
      <c r="L637" s="6" t="str">
        <f aca="false">IF($K637=FALSE(),"",COUNTIF($K$6:$K637,TRUE()))</f>
        <v/>
      </c>
      <c r="M637" s="6" t="str">
        <f aca="false">IF($L637="","","R"&amp;$L637)</f>
        <v/>
      </c>
    </row>
    <row r="638" customFormat="false" ht="15" hidden="false" customHeight="true" outlineLevel="0" collapsed="false">
      <c r="K638" s="21" t="b">
        <f aca="false">IF(반품접수!$A635="",FALSE(),OR(반품접수!$O635="미처리",반품접수!$O635="부분처리"))</f>
        <v>0</v>
      </c>
      <c r="L638" s="6" t="str">
        <f aca="false">IF($K638=FALSE(),"",COUNTIF($K$6:$K638,TRUE()))</f>
        <v/>
      </c>
      <c r="M638" s="6" t="str">
        <f aca="false">IF($L638="","","R"&amp;$L638)</f>
        <v/>
      </c>
    </row>
    <row r="639" customFormat="false" ht="15" hidden="false" customHeight="true" outlineLevel="0" collapsed="false">
      <c r="K639" s="21" t="b">
        <f aca="false">IF(반품접수!$A636="",FALSE(),OR(반품접수!$O636="미처리",반품접수!$O636="부분처리"))</f>
        <v>0</v>
      </c>
      <c r="L639" s="6" t="str">
        <f aca="false">IF($K639=FALSE(),"",COUNTIF($K$6:$K639,TRUE()))</f>
        <v/>
      </c>
      <c r="M639" s="6" t="str">
        <f aca="false">IF($L639="","","R"&amp;$L639)</f>
        <v/>
      </c>
    </row>
    <row r="640" customFormat="false" ht="15" hidden="false" customHeight="true" outlineLevel="0" collapsed="false">
      <c r="K640" s="21" t="b">
        <f aca="false">IF(반품접수!$A637="",FALSE(),OR(반품접수!$O637="미처리",반품접수!$O637="부분처리"))</f>
        <v>0</v>
      </c>
      <c r="L640" s="6" t="str">
        <f aca="false">IF($K640=FALSE(),"",COUNTIF($K$6:$K640,TRUE()))</f>
        <v/>
      </c>
      <c r="M640" s="6" t="str">
        <f aca="false">IF($L640="","","R"&amp;$L640)</f>
        <v/>
      </c>
    </row>
    <row r="641" customFormat="false" ht="15" hidden="false" customHeight="true" outlineLevel="0" collapsed="false">
      <c r="K641" s="21" t="b">
        <f aca="false">IF(반품접수!$A638="",FALSE(),OR(반품접수!$O638="미처리",반품접수!$O638="부분처리"))</f>
        <v>0</v>
      </c>
      <c r="L641" s="6" t="str">
        <f aca="false">IF($K641=FALSE(),"",COUNTIF($K$6:$K641,TRUE()))</f>
        <v/>
      </c>
      <c r="M641" s="6" t="str">
        <f aca="false">IF($L641="","","R"&amp;$L641)</f>
        <v/>
      </c>
    </row>
    <row r="642" customFormat="false" ht="15" hidden="false" customHeight="true" outlineLevel="0" collapsed="false">
      <c r="K642" s="21" t="b">
        <f aca="false">IF(반품접수!$A639="",FALSE(),OR(반품접수!$O639="미처리",반품접수!$O639="부분처리"))</f>
        <v>0</v>
      </c>
      <c r="L642" s="6" t="str">
        <f aca="false">IF($K642=FALSE(),"",COUNTIF($K$6:$K642,TRUE()))</f>
        <v/>
      </c>
      <c r="M642" s="6" t="str">
        <f aca="false">IF($L642="","","R"&amp;$L642)</f>
        <v/>
      </c>
    </row>
    <row r="643" customFormat="false" ht="15" hidden="false" customHeight="true" outlineLevel="0" collapsed="false">
      <c r="K643" s="21" t="b">
        <f aca="false">IF(반품접수!$A640="",FALSE(),OR(반품접수!$O640="미처리",반품접수!$O640="부분처리"))</f>
        <v>0</v>
      </c>
      <c r="L643" s="6" t="str">
        <f aca="false">IF($K643=FALSE(),"",COUNTIF($K$6:$K643,TRUE()))</f>
        <v/>
      </c>
      <c r="M643" s="6" t="str">
        <f aca="false">IF($L643="","","R"&amp;$L643)</f>
        <v/>
      </c>
    </row>
    <row r="644" customFormat="false" ht="15" hidden="false" customHeight="true" outlineLevel="0" collapsed="false">
      <c r="K644" s="21" t="b">
        <f aca="false">IF(반품접수!$A641="",FALSE(),OR(반품접수!$O641="미처리",반품접수!$O641="부분처리"))</f>
        <v>0</v>
      </c>
      <c r="L644" s="6" t="str">
        <f aca="false">IF($K644=FALSE(),"",COUNTIF($K$6:$K644,TRUE()))</f>
        <v/>
      </c>
      <c r="M644" s="6" t="str">
        <f aca="false">IF($L644="","","R"&amp;$L644)</f>
        <v/>
      </c>
    </row>
    <row r="645" customFormat="false" ht="15" hidden="false" customHeight="true" outlineLevel="0" collapsed="false">
      <c r="K645" s="21" t="b">
        <f aca="false">IF(반품접수!$A642="",FALSE(),OR(반품접수!$O642="미처리",반품접수!$O642="부분처리"))</f>
        <v>0</v>
      </c>
      <c r="L645" s="6" t="str">
        <f aca="false">IF($K645=FALSE(),"",COUNTIF($K$6:$K645,TRUE()))</f>
        <v/>
      </c>
      <c r="M645" s="6" t="str">
        <f aca="false">IF($L645="","","R"&amp;$L645)</f>
        <v/>
      </c>
    </row>
    <row r="646" customFormat="false" ht="15" hidden="false" customHeight="true" outlineLevel="0" collapsed="false">
      <c r="K646" s="21" t="b">
        <f aca="false">IF(반품접수!$A643="",FALSE(),OR(반품접수!$O643="미처리",반품접수!$O643="부분처리"))</f>
        <v>0</v>
      </c>
      <c r="L646" s="6" t="str">
        <f aca="false">IF($K646=FALSE(),"",COUNTIF($K$6:$K646,TRUE()))</f>
        <v/>
      </c>
      <c r="M646" s="6" t="str">
        <f aca="false">IF($L646="","","R"&amp;$L646)</f>
        <v/>
      </c>
    </row>
    <row r="647" customFormat="false" ht="15" hidden="false" customHeight="true" outlineLevel="0" collapsed="false">
      <c r="K647" s="21" t="b">
        <f aca="false">IF(반품접수!$A644="",FALSE(),OR(반품접수!$O644="미처리",반품접수!$O644="부분처리"))</f>
        <v>0</v>
      </c>
      <c r="L647" s="6" t="str">
        <f aca="false">IF($K647=FALSE(),"",COUNTIF($K$6:$K647,TRUE()))</f>
        <v/>
      </c>
      <c r="M647" s="6" t="str">
        <f aca="false">IF($L647="","","R"&amp;$L647)</f>
        <v/>
      </c>
    </row>
    <row r="648" customFormat="false" ht="15" hidden="false" customHeight="true" outlineLevel="0" collapsed="false">
      <c r="K648" s="21" t="b">
        <f aca="false">IF(반품접수!$A645="",FALSE(),OR(반품접수!$O645="미처리",반품접수!$O645="부분처리"))</f>
        <v>0</v>
      </c>
      <c r="L648" s="6" t="str">
        <f aca="false">IF($K648=FALSE(),"",COUNTIF($K$6:$K648,TRUE()))</f>
        <v/>
      </c>
      <c r="M648" s="6" t="str">
        <f aca="false">IF($L648="","","R"&amp;$L648)</f>
        <v/>
      </c>
    </row>
    <row r="649" customFormat="false" ht="15" hidden="false" customHeight="true" outlineLevel="0" collapsed="false">
      <c r="K649" s="21" t="b">
        <f aca="false">IF(반품접수!$A646="",FALSE(),OR(반품접수!$O646="미처리",반품접수!$O646="부분처리"))</f>
        <v>0</v>
      </c>
      <c r="L649" s="6" t="str">
        <f aca="false">IF($K649=FALSE(),"",COUNTIF($K$6:$K649,TRUE()))</f>
        <v/>
      </c>
      <c r="M649" s="6" t="str">
        <f aca="false">IF($L649="","","R"&amp;$L649)</f>
        <v/>
      </c>
    </row>
    <row r="650" customFormat="false" ht="15" hidden="false" customHeight="true" outlineLevel="0" collapsed="false">
      <c r="K650" s="21" t="b">
        <f aca="false">IF(반품접수!$A647="",FALSE(),OR(반품접수!$O647="미처리",반품접수!$O647="부분처리"))</f>
        <v>0</v>
      </c>
      <c r="L650" s="6" t="str">
        <f aca="false">IF($K650=FALSE(),"",COUNTIF($K$6:$K650,TRUE()))</f>
        <v/>
      </c>
      <c r="M650" s="6" t="str">
        <f aca="false">IF($L650="","","R"&amp;$L650)</f>
        <v/>
      </c>
    </row>
    <row r="651" customFormat="false" ht="15" hidden="false" customHeight="true" outlineLevel="0" collapsed="false">
      <c r="K651" s="21" t="b">
        <f aca="false">IF(반품접수!$A648="",FALSE(),OR(반품접수!$O648="미처리",반품접수!$O648="부분처리"))</f>
        <v>0</v>
      </c>
      <c r="L651" s="6" t="str">
        <f aca="false">IF($K651=FALSE(),"",COUNTIF($K$6:$K651,TRUE()))</f>
        <v/>
      </c>
      <c r="M651" s="6" t="str">
        <f aca="false">IF($L651="","","R"&amp;$L651)</f>
        <v/>
      </c>
    </row>
    <row r="652" customFormat="false" ht="15" hidden="false" customHeight="true" outlineLevel="0" collapsed="false">
      <c r="K652" s="21" t="b">
        <f aca="false">IF(반품접수!$A649="",FALSE(),OR(반품접수!$O649="미처리",반품접수!$O649="부분처리"))</f>
        <v>0</v>
      </c>
      <c r="L652" s="6" t="str">
        <f aca="false">IF($K652=FALSE(),"",COUNTIF($K$6:$K652,TRUE()))</f>
        <v/>
      </c>
      <c r="M652" s="6" t="str">
        <f aca="false">IF($L652="","","R"&amp;$L652)</f>
        <v/>
      </c>
    </row>
    <row r="653" customFormat="false" ht="15" hidden="false" customHeight="true" outlineLevel="0" collapsed="false">
      <c r="K653" s="21" t="b">
        <f aca="false">IF(반품접수!$A650="",FALSE(),OR(반품접수!$O650="미처리",반품접수!$O650="부분처리"))</f>
        <v>0</v>
      </c>
      <c r="L653" s="6" t="str">
        <f aca="false">IF($K653=FALSE(),"",COUNTIF($K$6:$K653,TRUE()))</f>
        <v/>
      </c>
      <c r="M653" s="6" t="str">
        <f aca="false">IF($L653="","","R"&amp;$L653)</f>
        <v/>
      </c>
    </row>
    <row r="654" customFormat="false" ht="15" hidden="false" customHeight="true" outlineLevel="0" collapsed="false">
      <c r="K654" s="21" t="b">
        <f aca="false">IF(반품접수!$A651="",FALSE(),OR(반품접수!$O651="미처리",반품접수!$O651="부분처리"))</f>
        <v>0</v>
      </c>
      <c r="L654" s="6" t="str">
        <f aca="false">IF($K654=FALSE(),"",COUNTIF($K$6:$K654,TRUE()))</f>
        <v/>
      </c>
      <c r="M654" s="6" t="str">
        <f aca="false">IF($L654="","","R"&amp;$L654)</f>
        <v/>
      </c>
    </row>
    <row r="655" customFormat="false" ht="15" hidden="false" customHeight="true" outlineLevel="0" collapsed="false">
      <c r="K655" s="21" t="b">
        <f aca="false">IF(반품접수!$A652="",FALSE(),OR(반품접수!$O652="미처리",반품접수!$O652="부분처리"))</f>
        <v>0</v>
      </c>
      <c r="L655" s="6" t="str">
        <f aca="false">IF($K655=FALSE(),"",COUNTIF($K$6:$K655,TRUE()))</f>
        <v/>
      </c>
      <c r="M655" s="6" t="str">
        <f aca="false">IF($L655="","","R"&amp;$L655)</f>
        <v/>
      </c>
    </row>
    <row r="656" customFormat="false" ht="15" hidden="false" customHeight="true" outlineLevel="0" collapsed="false">
      <c r="K656" s="21" t="b">
        <f aca="false">IF(반품접수!$A653="",FALSE(),OR(반품접수!$O653="미처리",반품접수!$O653="부분처리"))</f>
        <v>0</v>
      </c>
      <c r="L656" s="6" t="str">
        <f aca="false">IF($K656=FALSE(),"",COUNTIF($K$6:$K656,TRUE()))</f>
        <v/>
      </c>
      <c r="M656" s="6" t="str">
        <f aca="false">IF($L656="","","R"&amp;$L656)</f>
        <v/>
      </c>
    </row>
    <row r="657" customFormat="false" ht="15" hidden="false" customHeight="true" outlineLevel="0" collapsed="false">
      <c r="K657" s="21" t="b">
        <f aca="false">IF(반품접수!$A654="",FALSE(),OR(반품접수!$O654="미처리",반품접수!$O654="부분처리"))</f>
        <v>0</v>
      </c>
      <c r="L657" s="6" t="str">
        <f aca="false">IF($K657=FALSE(),"",COUNTIF($K$6:$K657,TRUE()))</f>
        <v/>
      </c>
      <c r="M657" s="6" t="str">
        <f aca="false">IF($L657="","","R"&amp;$L657)</f>
        <v/>
      </c>
    </row>
    <row r="658" customFormat="false" ht="15" hidden="false" customHeight="true" outlineLevel="0" collapsed="false">
      <c r="K658" s="21" t="b">
        <f aca="false">IF(반품접수!$A655="",FALSE(),OR(반품접수!$O655="미처리",반품접수!$O655="부분처리"))</f>
        <v>0</v>
      </c>
      <c r="L658" s="6" t="str">
        <f aca="false">IF($K658=FALSE(),"",COUNTIF($K$6:$K658,TRUE()))</f>
        <v/>
      </c>
      <c r="M658" s="6" t="str">
        <f aca="false">IF($L658="","","R"&amp;$L658)</f>
        <v/>
      </c>
    </row>
    <row r="659" customFormat="false" ht="15" hidden="false" customHeight="true" outlineLevel="0" collapsed="false">
      <c r="K659" s="21" t="b">
        <f aca="false">IF(반품접수!$A656="",FALSE(),OR(반품접수!$O656="미처리",반품접수!$O656="부분처리"))</f>
        <v>0</v>
      </c>
      <c r="L659" s="6" t="str">
        <f aca="false">IF($K659=FALSE(),"",COUNTIF($K$6:$K659,TRUE()))</f>
        <v/>
      </c>
      <c r="M659" s="6" t="str">
        <f aca="false">IF($L659="","","R"&amp;$L659)</f>
        <v/>
      </c>
    </row>
    <row r="660" customFormat="false" ht="15" hidden="false" customHeight="true" outlineLevel="0" collapsed="false">
      <c r="K660" s="21" t="b">
        <f aca="false">IF(반품접수!$A657="",FALSE(),OR(반품접수!$O657="미처리",반품접수!$O657="부분처리"))</f>
        <v>0</v>
      </c>
      <c r="L660" s="6" t="str">
        <f aca="false">IF($K660=FALSE(),"",COUNTIF($K$6:$K660,TRUE()))</f>
        <v/>
      </c>
      <c r="M660" s="6" t="str">
        <f aca="false">IF($L660="","","R"&amp;$L660)</f>
        <v/>
      </c>
    </row>
    <row r="661" customFormat="false" ht="15" hidden="false" customHeight="true" outlineLevel="0" collapsed="false">
      <c r="K661" s="21" t="b">
        <f aca="false">IF(반품접수!$A658="",FALSE(),OR(반품접수!$O658="미처리",반품접수!$O658="부분처리"))</f>
        <v>0</v>
      </c>
      <c r="L661" s="6" t="str">
        <f aca="false">IF($K661=FALSE(),"",COUNTIF($K$6:$K661,TRUE()))</f>
        <v/>
      </c>
      <c r="M661" s="6" t="str">
        <f aca="false">IF($L661="","","R"&amp;$L661)</f>
        <v/>
      </c>
    </row>
    <row r="662" customFormat="false" ht="15" hidden="false" customHeight="true" outlineLevel="0" collapsed="false">
      <c r="K662" s="21" t="b">
        <f aca="false">IF(반품접수!$A659="",FALSE(),OR(반품접수!$O659="미처리",반품접수!$O659="부분처리"))</f>
        <v>0</v>
      </c>
      <c r="L662" s="6" t="str">
        <f aca="false">IF($K662=FALSE(),"",COUNTIF($K$6:$K662,TRUE()))</f>
        <v/>
      </c>
      <c r="M662" s="6" t="str">
        <f aca="false">IF($L662="","","R"&amp;$L662)</f>
        <v/>
      </c>
    </row>
    <row r="663" customFormat="false" ht="15" hidden="false" customHeight="true" outlineLevel="0" collapsed="false">
      <c r="K663" s="21" t="b">
        <f aca="false">IF(반품접수!$A660="",FALSE(),OR(반품접수!$O660="미처리",반품접수!$O660="부분처리"))</f>
        <v>0</v>
      </c>
      <c r="L663" s="6" t="str">
        <f aca="false">IF($K663=FALSE(),"",COUNTIF($K$6:$K663,TRUE()))</f>
        <v/>
      </c>
      <c r="M663" s="6" t="str">
        <f aca="false">IF($L663="","","R"&amp;$L663)</f>
        <v/>
      </c>
    </row>
    <row r="664" customFormat="false" ht="15" hidden="false" customHeight="true" outlineLevel="0" collapsed="false">
      <c r="K664" s="21" t="b">
        <f aca="false">IF(반품접수!$A661="",FALSE(),OR(반품접수!$O661="미처리",반품접수!$O661="부분처리"))</f>
        <v>0</v>
      </c>
      <c r="L664" s="6" t="str">
        <f aca="false">IF($K664=FALSE(),"",COUNTIF($K$6:$K664,TRUE()))</f>
        <v/>
      </c>
      <c r="M664" s="6" t="str">
        <f aca="false">IF($L664="","","R"&amp;$L664)</f>
        <v/>
      </c>
    </row>
    <row r="665" customFormat="false" ht="15" hidden="false" customHeight="true" outlineLevel="0" collapsed="false">
      <c r="K665" s="21" t="b">
        <f aca="false">IF(반품접수!$A662="",FALSE(),OR(반품접수!$O662="미처리",반품접수!$O662="부분처리"))</f>
        <v>0</v>
      </c>
      <c r="L665" s="6" t="str">
        <f aca="false">IF($K665=FALSE(),"",COUNTIF($K$6:$K665,TRUE()))</f>
        <v/>
      </c>
      <c r="M665" s="6" t="str">
        <f aca="false">IF($L665="","","R"&amp;$L665)</f>
        <v/>
      </c>
    </row>
    <row r="666" customFormat="false" ht="15" hidden="false" customHeight="true" outlineLevel="0" collapsed="false">
      <c r="K666" s="21" t="b">
        <f aca="false">IF(반품접수!$A663="",FALSE(),OR(반품접수!$O663="미처리",반품접수!$O663="부분처리"))</f>
        <v>0</v>
      </c>
      <c r="L666" s="6" t="str">
        <f aca="false">IF($K666=FALSE(),"",COUNTIF($K$6:$K666,TRUE()))</f>
        <v/>
      </c>
      <c r="M666" s="6" t="str">
        <f aca="false">IF($L666="","","R"&amp;$L666)</f>
        <v/>
      </c>
    </row>
    <row r="667" customFormat="false" ht="15" hidden="false" customHeight="true" outlineLevel="0" collapsed="false">
      <c r="K667" s="21" t="b">
        <f aca="false">IF(반품접수!$A664="",FALSE(),OR(반품접수!$O664="미처리",반품접수!$O664="부분처리"))</f>
        <v>0</v>
      </c>
      <c r="L667" s="6" t="str">
        <f aca="false">IF($K667=FALSE(),"",COUNTIF($K$6:$K667,TRUE()))</f>
        <v/>
      </c>
      <c r="M667" s="6" t="str">
        <f aca="false">IF($L667="","","R"&amp;$L667)</f>
        <v/>
      </c>
    </row>
    <row r="668" customFormat="false" ht="15" hidden="false" customHeight="true" outlineLevel="0" collapsed="false">
      <c r="K668" s="21" t="b">
        <f aca="false">IF(반품접수!$A665="",FALSE(),OR(반품접수!$O665="미처리",반품접수!$O665="부분처리"))</f>
        <v>0</v>
      </c>
      <c r="L668" s="6" t="str">
        <f aca="false">IF($K668=FALSE(),"",COUNTIF($K$6:$K668,TRUE()))</f>
        <v/>
      </c>
      <c r="M668" s="6" t="str">
        <f aca="false">IF($L668="","","R"&amp;$L668)</f>
        <v/>
      </c>
    </row>
    <row r="669" customFormat="false" ht="15" hidden="false" customHeight="true" outlineLevel="0" collapsed="false">
      <c r="K669" s="21" t="b">
        <f aca="false">IF(반품접수!$A666="",FALSE(),OR(반품접수!$O666="미처리",반품접수!$O666="부분처리"))</f>
        <v>0</v>
      </c>
      <c r="L669" s="6" t="str">
        <f aca="false">IF($K669=FALSE(),"",COUNTIF($K$6:$K669,TRUE()))</f>
        <v/>
      </c>
      <c r="M669" s="6" t="str">
        <f aca="false">IF($L669="","","R"&amp;$L669)</f>
        <v/>
      </c>
    </row>
    <row r="670" customFormat="false" ht="15" hidden="false" customHeight="true" outlineLevel="0" collapsed="false">
      <c r="K670" s="21" t="b">
        <f aca="false">IF(반품접수!$A667="",FALSE(),OR(반품접수!$O667="미처리",반품접수!$O667="부분처리"))</f>
        <v>0</v>
      </c>
      <c r="L670" s="6" t="str">
        <f aca="false">IF($K670=FALSE(),"",COUNTIF($K$6:$K670,TRUE()))</f>
        <v/>
      </c>
      <c r="M670" s="6" t="str">
        <f aca="false">IF($L670="","","R"&amp;$L670)</f>
        <v/>
      </c>
    </row>
    <row r="671" customFormat="false" ht="15" hidden="false" customHeight="true" outlineLevel="0" collapsed="false">
      <c r="K671" s="21" t="b">
        <f aca="false">IF(반품접수!$A668="",FALSE(),OR(반품접수!$O668="미처리",반품접수!$O668="부분처리"))</f>
        <v>0</v>
      </c>
      <c r="L671" s="6" t="str">
        <f aca="false">IF($K671=FALSE(),"",COUNTIF($K$6:$K671,TRUE()))</f>
        <v/>
      </c>
      <c r="M671" s="6" t="str">
        <f aca="false">IF($L671="","","R"&amp;$L671)</f>
        <v/>
      </c>
    </row>
    <row r="672" customFormat="false" ht="15" hidden="false" customHeight="true" outlineLevel="0" collapsed="false">
      <c r="K672" s="21" t="b">
        <f aca="false">IF(반품접수!$A669="",FALSE(),OR(반품접수!$O669="미처리",반품접수!$O669="부분처리"))</f>
        <v>0</v>
      </c>
      <c r="L672" s="6" t="str">
        <f aca="false">IF($K672=FALSE(),"",COUNTIF($K$6:$K672,TRUE()))</f>
        <v/>
      </c>
      <c r="M672" s="6" t="str">
        <f aca="false">IF($L672="","","R"&amp;$L672)</f>
        <v/>
      </c>
    </row>
    <row r="673" customFormat="false" ht="15" hidden="false" customHeight="true" outlineLevel="0" collapsed="false">
      <c r="K673" s="21" t="b">
        <f aca="false">IF(반품접수!$A670="",FALSE(),OR(반품접수!$O670="미처리",반품접수!$O670="부분처리"))</f>
        <v>0</v>
      </c>
      <c r="L673" s="6" t="str">
        <f aca="false">IF($K673=FALSE(),"",COUNTIF($K$6:$K673,TRUE()))</f>
        <v/>
      </c>
      <c r="M673" s="6" t="str">
        <f aca="false">IF($L673="","","R"&amp;$L673)</f>
        <v/>
      </c>
    </row>
    <row r="674" customFormat="false" ht="15" hidden="false" customHeight="true" outlineLevel="0" collapsed="false">
      <c r="K674" s="21" t="b">
        <f aca="false">IF(반품접수!$A671="",FALSE(),OR(반품접수!$O671="미처리",반품접수!$O671="부분처리"))</f>
        <v>0</v>
      </c>
      <c r="L674" s="6" t="str">
        <f aca="false">IF($K674=FALSE(),"",COUNTIF($K$6:$K674,TRUE()))</f>
        <v/>
      </c>
      <c r="M674" s="6" t="str">
        <f aca="false">IF($L674="","","R"&amp;$L674)</f>
        <v/>
      </c>
    </row>
    <row r="675" customFormat="false" ht="15" hidden="false" customHeight="true" outlineLevel="0" collapsed="false">
      <c r="K675" s="21" t="b">
        <f aca="false">IF(반품접수!$A672="",FALSE(),OR(반품접수!$O672="미처리",반품접수!$O672="부분처리"))</f>
        <v>0</v>
      </c>
      <c r="L675" s="6" t="str">
        <f aca="false">IF($K675=FALSE(),"",COUNTIF($K$6:$K675,TRUE()))</f>
        <v/>
      </c>
      <c r="M675" s="6" t="str">
        <f aca="false">IF($L675="","","R"&amp;$L675)</f>
        <v/>
      </c>
    </row>
    <row r="676" customFormat="false" ht="15" hidden="false" customHeight="true" outlineLevel="0" collapsed="false">
      <c r="K676" s="21" t="b">
        <f aca="false">IF(반품접수!$A673="",FALSE(),OR(반품접수!$O673="미처리",반품접수!$O673="부분처리"))</f>
        <v>0</v>
      </c>
      <c r="L676" s="6" t="str">
        <f aca="false">IF($K676=FALSE(),"",COUNTIF($K$6:$K676,TRUE()))</f>
        <v/>
      </c>
      <c r="M676" s="6" t="str">
        <f aca="false">IF($L676="","","R"&amp;$L676)</f>
        <v/>
      </c>
    </row>
    <row r="677" customFormat="false" ht="15" hidden="false" customHeight="true" outlineLevel="0" collapsed="false">
      <c r="K677" s="21" t="b">
        <f aca="false">IF(반품접수!$A674="",FALSE(),OR(반품접수!$O674="미처리",반품접수!$O674="부분처리"))</f>
        <v>0</v>
      </c>
      <c r="L677" s="6" t="str">
        <f aca="false">IF($K677=FALSE(),"",COUNTIF($K$6:$K677,TRUE()))</f>
        <v/>
      </c>
      <c r="M677" s="6" t="str">
        <f aca="false">IF($L677="","","R"&amp;$L677)</f>
        <v/>
      </c>
    </row>
    <row r="678" customFormat="false" ht="15" hidden="false" customHeight="true" outlineLevel="0" collapsed="false">
      <c r="K678" s="21" t="b">
        <f aca="false">IF(반품접수!$A675="",FALSE(),OR(반품접수!$O675="미처리",반품접수!$O675="부분처리"))</f>
        <v>0</v>
      </c>
      <c r="L678" s="6" t="str">
        <f aca="false">IF($K678=FALSE(),"",COUNTIF($K$6:$K678,TRUE()))</f>
        <v/>
      </c>
      <c r="M678" s="6" t="str">
        <f aca="false">IF($L678="","","R"&amp;$L678)</f>
        <v/>
      </c>
    </row>
    <row r="679" customFormat="false" ht="15" hidden="false" customHeight="true" outlineLevel="0" collapsed="false">
      <c r="K679" s="21" t="b">
        <f aca="false">IF(반품접수!$A676="",FALSE(),OR(반품접수!$O676="미처리",반품접수!$O676="부분처리"))</f>
        <v>0</v>
      </c>
      <c r="L679" s="6" t="str">
        <f aca="false">IF($K679=FALSE(),"",COUNTIF($K$6:$K679,TRUE()))</f>
        <v/>
      </c>
      <c r="M679" s="6" t="str">
        <f aca="false">IF($L679="","","R"&amp;$L679)</f>
        <v/>
      </c>
    </row>
    <row r="680" customFormat="false" ht="15" hidden="false" customHeight="true" outlineLevel="0" collapsed="false">
      <c r="K680" s="21" t="b">
        <f aca="false">IF(반품접수!$A677="",FALSE(),OR(반품접수!$O677="미처리",반품접수!$O677="부분처리"))</f>
        <v>0</v>
      </c>
      <c r="L680" s="6" t="str">
        <f aca="false">IF($K680=FALSE(),"",COUNTIF($K$6:$K680,TRUE()))</f>
        <v/>
      </c>
      <c r="M680" s="6" t="str">
        <f aca="false">IF($L680="","","R"&amp;$L680)</f>
        <v/>
      </c>
    </row>
    <row r="681" customFormat="false" ht="15" hidden="false" customHeight="true" outlineLevel="0" collapsed="false">
      <c r="K681" s="21" t="b">
        <f aca="false">IF(반품접수!$A678="",FALSE(),OR(반품접수!$O678="미처리",반품접수!$O678="부분처리"))</f>
        <v>0</v>
      </c>
      <c r="L681" s="6" t="str">
        <f aca="false">IF($K681=FALSE(),"",COUNTIF($K$6:$K681,TRUE()))</f>
        <v/>
      </c>
      <c r="M681" s="6" t="str">
        <f aca="false">IF($L681="","","R"&amp;$L681)</f>
        <v/>
      </c>
    </row>
    <row r="682" customFormat="false" ht="15" hidden="false" customHeight="true" outlineLevel="0" collapsed="false">
      <c r="K682" s="21" t="b">
        <f aca="false">IF(반품접수!$A679="",FALSE(),OR(반품접수!$O679="미처리",반품접수!$O679="부분처리"))</f>
        <v>0</v>
      </c>
      <c r="L682" s="6" t="str">
        <f aca="false">IF($K682=FALSE(),"",COUNTIF($K$6:$K682,TRUE()))</f>
        <v/>
      </c>
      <c r="M682" s="6" t="str">
        <f aca="false">IF($L682="","","R"&amp;$L682)</f>
        <v/>
      </c>
    </row>
    <row r="683" customFormat="false" ht="15" hidden="false" customHeight="true" outlineLevel="0" collapsed="false">
      <c r="K683" s="21" t="b">
        <f aca="false">IF(반품접수!$A680="",FALSE(),OR(반품접수!$O680="미처리",반품접수!$O680="부분처리"))</f>
        <v>0</v>
      </c>
      <c r="L683" s="6" t="str">
        <f aca="false">IF($K683=FALSE(),"",COUNTIF($K$6:$K683,TRUE()))</f>
        <v/>
      </c>
      <c r="M683" s="6" t="str">
        <f aca="false">IF($L683="","","R"&amp;$L683)</f>
        <v/>
      </c>
    </row>
    <row r="684" customFormat="false" ht="15" hidden="false" customHeight="true" outlineLevel="0" collapsed="false">
      <c r="K684" s="21" t="b">
        <f aca="false">IF(반품접수!$A681="",FALSE(),OR(반품접수!$O681="미처리",반품접수!$O681="부분처리"))</f>
        <v>0</v>
      </c>
      <c r="L684" s="6" t="str">
        <f aca="false">IF($K684=FALSE(),"",COUNTIF($K$6:$K684,TRUE()))</f>
        <v/>
      </c>
      <c r="M684" s="6" t="str">
        <f aca="false">IF($L684="","","R"&amp;$L684)</f>
        <v/>
      </c>
    </row>
    <row r="685" customFormat="false" ht="15" hidden="false" customHeight="true" outlineLevel="0" collapsed="false">
      <c r="K685" s="21" t="b">
        <f aca="false">IF(반품접수!$A682="",FALSE(),OR(반품접수!$O682="미처리",반품접수!$O682="부분처리"))</f>
        <v>0</v>
      </c>
      <c r="L685" s="6" t="str">
        <f aca="false">IF($K685=FALSE(),"",COUNTIF($K$6:$K685,TRUE()))</f>
        <v/>
      </c>
      <c r="M685" s="6" t="str">
        <f aca="false">IF($L685="","","R"&amp;$L685)</f>
        <v/>
      </c>
    </row>
    <row r="686" customFormat="false" ht="15" hidden="false" customHeight="true" outlineLevel="0" collapsed="false">
      <c r="K686" s="21" t="b">
        <f aca="false">IF(반품접수!$A683="",FALSE(),OR(반품접수!$O683="미처리",반품접수!$O683="부분처리"))</f>
        <v>0</v>
      </c>
      <c r="L686" s="6" t="str">
        <f aca="false">IF($K686=FALSE(),"",COUNTIF($K$6:$K686,TRUE()))</f>
        <v/>
      </c>
      <c r="M686" s="6" t="str">
        <f aca="false">IF($L686="","","R"&amp;$L686)</f>
        <v/>
      </c>
    </row>
    <row r="687" customFormat="false" ht="15" hidden="false" customHeight="true" outlineLevel="0" collapsed="false">
      <c r="K687" s="21" t="b">
        <f aca="false">IF(반품접수!$A684="",FALSE(),OR(반품접수!$O684="미처리",반품접수!$O684="부분처리"))</f>
        <v>0</v>
      </c>
      <c r="L687" s="6" t="str">
        <f aca="false">IF($K687=FALSE(),"",COUNTIF($K$6:$K687,TRUE()))</f>
        <v/>
      </c>
      <c r="M687" s="6" t="str">
        <f aca="false">IF($L687="","","R"&amp;$L687)</f>
        <v/>
      </c>
    </row>
    <row r="688" customFormat="false" ht="15" hidden="false" customHeight="true" outlineLevel="0" collapsed="false">
      <c r="K688" s="21" t="b">
        <f aca="false">IF(반품접수!$A685="",FALSE(),OR(반품접수!$O685="미처리",반품접수!$O685="부분처리"))</f>
        <v>0</v>
      </c>
      <c r="L688" s="6" t="str">
        <f aca="false">IF($K688=FALSE(),"",COUNTIF($K$6:$K688,TRUE()))</f>
        <v/>
      </c>
      <c r="M688" s="6" t="str">
        <f aca="false">IF($L688="","","R"&amp;$L688)</f>
        <v/>
      </c>
    </row>
    <row r="689" customFormat="false" ht="15" hidden="false" customHeight="true" outlineLevel="0" collapsed="false">
      <c r="K689" s="21" t="b">
        <f aca="false">IF(반품접수!$A686="",FALSE(),OR(반품접수!$O686="미처리",반품접수!$O686="부분처리"))</f>
        <v>0</v>
      </c>
      <c r="L689" s="6" t="str">
        <f aca="false">IF($K689=FALSE(),"",COUNTIF($K$6:$K689,TRUE()))</f>
        <v/>
      </c>
      <c r="M689" s="6" t="str">
        <f aca="false">IF($L689="","","R"&amp;$L689)</f>
        <v/>
      </c>
    </row>
    <row r="690" customFormat="false" ht="15" hidden="false" customHeight="true" outlineLevel="0" collapsed="false">
      <c r="K690" s="21" t="b">
        <f aca="false">IF(반품접수!$A687="",FALSE(),OR(반품접수!$O687="미처리",반품접수!$O687="부분처리"))</f>
        <v>0</v>
      </c>
      <c r="L690" s="6" t="str">
        <f aca="false">IF($K690=FALSE(),"",COUNTIF($K$6:$K690,TRUE()))</f>
        <v/>
      </c>
      <c r="M690" s="6" t="str">
        <f aca="false">IF($L690="","","R"&amp;$L690)</f>
        <v/>
      </c>
    </row>
    <row r="691" customFormat="false" ht="15" hidden="false" customHeight="true" outlineLevel="0" collapsed="false">
      <c r="K691" s="21" t="b">
        <f aca="false">IF(반품접수!$A688="",FALSE(),OR(반품접수!$O688="미처리",반품접수!$O688="부분처리"))</f>
        <v>0</v>
      </c>
      <c r="L691" s="6" t="str">
        <f aca="false">IF($K691=FALSE(),"",COUNTIF($K$6:$K691,TRUE()))</f>
        <v/>
      </c>
      <c r="M691" s="6" t="str">
        <f aca="false">IF($L691="","","R"&amp;$L691)</f>
        <v/>
      </c>
    </row>
    <row r="692" customFormat="false" ht="15" hidden="false" customHeight="true" outlineLevel="0" collapsed="false">
      <c r="K692" s="21" t="b">
        <f aca="false">IF(반품접수!$A689="",FALSE(),OR(반품접수!$O689="미처리",반품접수!$O689="부분처리"))</f>
        <v>0</v>
      </c>
      <c r="L692" s="6" t="str">
        <f aca="false">IF($K692=FALSE(),"",COUNTIF($K$6:$K692,TRUE()))</f>
        <v/>
      </c>
      <c r="M692" s="6" t="str">
        <f aca="false">IF($L692="","","R"&amp;$L692)</f>
        <v/>
      </c>
    </row>
    <row r="693" customFormat="false" ht="15" hidden="false" customHeight="true" outlineLevel="0" collapsed="false">
      <c r="K693" s="21" t="b">
        <f aca="false">IF(반품접수!$A690="",FALSE(),OR(반품접수!$O690="미처리",반품접수!$O690="부분처리"))</f>
        <v>0</v>
      </c>
      <c r="L693" s="6" t="str">
        <f aca="false">IF($K693=FALSE(),"",COUNTIF($K$6:$K693,TRUE()))</f>
        <v/>
      </c>
      <c r="M693" s="6" t="str">
        <f aca="false">IF($L693="","","R"&amp;$L693)</f>
        <v/>
      </c>
    </row>
    <row r="694" customFormat="false" ht="15" hidden="false" customHeight="true" outlineLevel="0" collapsed="false">
      <c r="K694" s="21" t="b">
        <f aca="false">IF(반품접수!$A691="",FALSE(),OR(반품접수!$O691="미처리",반품접수!$O691="부분처리"))</f>
        <v>0</v>
      </c>
      <c r="L694" s="6" t="str">
        <f aca="false">IF($K694=FALSE(),"",COUNTIF($K$6:$K694,TRUE()))</f>
        <v/>
      </c>
      <c r="M694" s="6" t="str">
        <f aca="false">IF($L694="","","R"&amp;$L694)</f>
        <v/>
      </c>
    </row>
    <row r="695" customFormat="false" ht="15" hidden="false" customHeight="true" outlineLevel="0" collapsed="false">
      <c r="K695" s="21" t="b">
        <f aca="false">IF(반품접수!$A692="",FALSE(),OR(반품접수!$O692="미처리",반품접수!$O692="부분처리"))</f>
        <v>0</v>
      </c>
      <c r="L695" s="6" t="str">
        <f aca="false">IF($K695=FALSE(),"",COUNTIF($K$6:$K695,TRUE()))</f>
        <v/>
      </c>
      <c r="M695" s="6" t="str">
        <f aca="false">IF($L695="","","R"&amp;$L695)</f>
        <v/>
      </c>
    </row>
    <row r="696" customFormat="false" ht="15" hidden="false" customHeight="true" outlineLevel="0" collapsed="false">
      <c r="K696" s="21" t="b">
        <f aca="false">IF(반품접수!$A693="",FALSE(),OR(반품접수!$O693="미처리",반품접수!$O693="부분처리"))</f>
        <v>0</v>
      </c>
      <c r="L696" s="6" t="str">
        <f aca="false">IF($K696=FALSE(),"",COUNTIF($K$6:$K696,TRUE()))</f>
        <v/>
      </c>
      <c r="M696" s="6" t="str">
        <f aca="false">IF($L696="","","R"&amp;$L696)</f>
        <v/>
      </c>
    </row>
    <row r="697" customFormat="false" ht="15" hidden="false" customHeight="true" outlineLevel="0" collapsed="false">
      <c r="K697" s="21" t="b">
        <f aca="false">IF(반품접수!$A694="",FALSE(),OR(반품접수!$O694="미처리",반품접수!$O694="부분처리"))</f>
        <v>0</v>
      </c>
      <c r="L697" s="6" t="str">
        <f aca="false">IF($K697=FALSE(),"",COUNTIF($K$6:$K697,TRUE()))</f>
        <v/>
      </c>
      <c r="M697" s="6" t="str">
        <f aca="false">IF($L697="","","R"&amp;$L697)</f>
        <v/>
      </c>
    </row>
    <row r="698" customFormat="false" ht="15" hidden="false" customHeight="true" outlineLevel="0" collapsed="false">
      <c r="K698" s="21" t="b">
        <f aca="false">IF(반품접수!$A695="",FALSE(),OR(반품접수!$O695="미처리",반품접수!$O695="부분처리"))</f>
        <v>0</v>
      </c>
      <c r="L698" s="6" t="str">
        <f aca="false">IF($K698=FALSE(),"",COUNTIF($K$6:$K698,TRUE()))</f>
        <v/>
      </c>
      <c r="M698" s="6" t="str">
        <f aca="false">IF($L698="","","R"&amp;$L698)</f>
        <v/>
      </c>
    </row>
    <row r="699" customFormat="false" ht="15" hidden="false" customHeight="true" outlineLevel="0" collapsed="false">
      <c r="K699" s="21" t="b">
        <f aca="false">IF(반품접수!$A696="",FALSE(),OR(반품접수!$O696="미처리",반품접수!$O696="부분처리"))</f>
        <v>0</v>
      </c>
      <c r="L699" s="6" t="str">
        <f aca="false">IF($K699=FALSE(),"",COUNTIF($K$6:$K699,TRUE()))</f>
        <v/>
      </c>
      <c r="M699" s="6" t="str">
        <f aca="false">IF($L699="","","R"&amp;$L699)</f>
        <v/>
      </c>
    </row>
    <row r="700" customFormat="false" ht="15" hidden="false" customHeight="true" outlineLevel="0" collapsed="false">
      <c r="K700" s="21" t="b">
        <f aca="false">IF(반품접수!$A697="",FALSE(),OR(반품접수!$O697="미처리",반품접수!$O697="부분처리"))</f>
        <v>0</v>
      </c>
      <c r="L700" s="6" t="str">
        <f aca="false">IF($K700=FALSE(),"",COUNTIF($K$6:$K700,TRUE()))</f>
        <v/>
      </c>
      <c r="M700" s="6" t="str">
        <f aca="false">IF($L700="","","R"&amp;$L700)</f>
        <v/>
      </c>
    </row>
    <row r="701" customFormat="false" ht="15" hidden="false" customHeight="true" outlineLevel="0" collapsed="false">
      <c r="K701" s="21" t="b">
        <f aca="false">IF(반품접수!$A698="",FALSE(),OR(반품접수!$O698="미처리",반품접수!$O698="부분처리"))</f>
        <v>0</v>
      </c>
      <c r="L701" s="6" t="str">
        <f aca="false">IF($K701=FALSE(),"",COUNTIF($K$6:$K701,TRUE()))</f>
        <v/>
      </c>
      <c r="M701" s="6" t="str">
        <f aca="false">IF($L701="","","R"&amp;$L701)</f>
        <v/>
      </c>
    </row>
    <row r="702" customFormat="false" ht="15" hidden="false" customHeight="true" outlineLevel="0" collapsed="false">
      <c r="K702" s="21" t="b">
        <f aca="false">IF(반품접수!$A699="",FALSE(),OR(반품접수!$O699="미처리",반품접수!$O699="부분처리"))</f>
        <v>0</v>
      </c>
      <c r="L702" s="6" t="str">
        <f aca="false">IF($K702=FALSE(),"",COUNTIF($K$6:$K702,TRUE()))</f>
        <v/>
      </c>
      <c r="M702" s="6" t="str">
        <f aca="false">IF($L702="","","R"&amp;$L702)</f>
        <v/>
      </c>
    </row>
    <row r="703" customFormat="false" ht="15" hidden="false" customHeight="true" outlineLevel="0" collapsed="false">
      <c r="K703" s="21" t="b">
        <f aca="false">IF(반품접수!$A700="",FALSE(),OR(반품접수!$O700="미처리",반품접수!$O700="부분처리"))</f>
        <v>0</v>
      </c>
      <c r="L703" s="6" t="str">
        <f aca="false">IF($K703=FALSE(),"",COUNTIF($K$6:$K703,TRUE()))</f>
        <v/>
      </c>
      <c r="M703" s="6" t="str">
        <f aca="false">IF($L703="","","R"&amp;$L703)</f>
        <v/>
      </c>
    </row>
    <row r="704" customFormat="false" ht="15" hidden="false" customHeight="true" outlineLevel="0" collapsed="false">
      <c r="K704" s="21" t="b">
        <f aca="false">IF(반품접수!$A701="",FALSE(),OR(반품접수!$O701="미처리",반품접수!$O701="부분처리"))</f>
        <v>0</v>
      </c>
      <c r="L704" s="6" t="str">
        <f aca="false">IF($K704=FALSE(),"",COUNTIF($K$6:$K704,TRUE()))</f>
        <v/>
      </c>
      <c r="M704" s="6" t="str">
        <f aca="false">IF($L704="","","R"&amp;$L704)</f>
        <v/>
      </c>
    </row>
    <row r="705" customFormat="false" ht="15" hidden="false" customHeight="true" outlineLevel="0" collapsed="false">
      <c r="K705" s="21" t="b">
        <f aca="false">IF(반품접수!$A702="",FALSE(),OR(반품접수!$O702="미처리",반품접수!$O702="부분처리"))</f>
        <v>0</v>
      </c>
      <c r="L705" s="6" t="str">
        <f aca="false">IF($K705=FALSE(),"",COUNTIF($K$6:$K705,TRUE()))</f>
        <v/>
      </c>
      <c r="M705" s="6" t="str">
        <f aca="false">IF($L705="","","R"&amp;$L705)</f>
        <v/>
      </c>
    </row>
    <row r="706" customFormat="false" ht="15" hidden="false" customHeight="true" outlineLevel="0" collapsed="false">
      <c r="K706" s="21" t="b">
        <f aca="false">IF(반품접수!$A703="",FALSE(),OR(반품접수!$O703="미처리",반품접수!$O703="부분처리"))</f>
        <v>0</v>
      </c>
      <c r="L706" s="6" t="str">
        <f aca="false">IF($K706=FALSE(),"",COUNTIF($K$6:$K706,TRUE()))</f>
        <v/>
      </c>
      <c r="M706" s="6" t="str">
        <f aca="false">IF($L706="","","R"&amp;$L706)</f>
        <v/>
      </c>
    </row>
    <row r="707" customFormat="false" ht="15" hidden="false" customHeight="true" outlineLevel="0" collapsed="false">
      <c r="K707" s="21" t="b">
        <f aca="false">IF(반품접수!$A704="",FALSE(),OR(반품접수!$O704="미처리",반품접수!$O704="부분처리"))</f>
        <v>0</v>
      </c>
      <c r="L707" s="6" t="str">
        <f aca="false">IF($K707=FALSE(),"",COUNTIF($K$6:$K707,TRUE()))</f>
        <v/>
      </c>
      <c r="M707" s="6" t="str">
        <f aca="false">IF($L707="","","R"&amp;$L707)</f>
        <v/>
      </c>
    </row>
    <row r="708" customFormat="false" ht="15" hidden="false" customHeight="true" outlineLevel="0" collapsed="false">
      <c r="K708" s="21" t="b">
        <f aca="false">IF(반품접수!$A705="",FALSE(),OR(반품접수!$O705="미처리",반품접수!$O705="부분처리"))</f>
        <v>0</v>
      </c>
      <c r="L708" s="6" t="str">
        <f aca="false">IF($K708=FALSE(),"",COUNTIF($K$6:$K708,TRUE()))</f>
        <v/>
      </c>
      <c r="M708" s="6" t="str">
        <f aca="false">IF($L708="","","R"&amp;$L708)</f>
        <v/>
      </c>
    </row>
    <row r="709" customFormat="false" ht="15" hidden="false" customHeight="true" outlineLevel="0" collapsed="false">
      <c r="K709" s="21" t="b">
        <f aca="false">IF(반품접수!$A706="",FALSE(),OR(반품접수!$O706="미처리",반품접수!$O706="부분처리"))</f>
        <v>0</v>
      </c>
      <c r="L709" s="6" t="str">
        <f aca="false">IF($K709=FALSE(),"",COUNTIF($K$6:$K709,TRUE()))</f>
        <v/>
      </c>
      <c r="M709" s="6" t="str">
        <f aca="false">IF($L709="","","R"&amp;$L709)</f>
        <v/>
      </c>
    </row>
    <row r="710" customFormat="false" ht="15" hidden="false" customHeight="true" outlineLevel="0" collapsed="false">
      <c r="K710" s="21" t="b">
        <f aca="false">IF(반품접수!$A707="",FALSE(),OR(반품접수!$O707="미처리",반품접수!$O707="부분처리"))</f>
        <v>0</v>
      </c>
      <c r="L710" s="6" t="str">
        <f aca="false">IF($K710=FALSE(),"",COUNTIF($K$6:$K710,TRUE()))</f>
        <v/>
      </c>
      <c r="M710" s="6" t="str">
        <f aca="false">IF($L710="","","R"&amp;$L710)</f>
        <v/>
      </c>
    </row>
    <row r="711" customFormat="false" ht="15" hidden="false" customHeight="true" outlineLevel="0" collapsed="false">
      <c r="K711" s="21" t="b">
        <f aca="false">IF(반품접수!$A708="",FALSE(),OR(반품접수!$O708="미처리",반품접수!$O708="부분처리"))</f>
        <v>0</v>
      </c>
      <c r="L711" s="6" t="str">
        <f aca="false">IF($K711=FALSE(),"",COUNTIF($K$6:$K711,TRUE()))</f>
        <v/>
      </c>
      <c r="M711" s="6" t="str">
        <f aca="false">IF($L711="","","R"&amp;$L711)</f>
        <v/>
      </c>
    </row>
    <row r="712" customFormat="false" ht="15" hidden="false" customHeight="true" outlineLevel="0" collapsed="false">
      <c r="K712" s="21" t="b">
        <f aca="false">IF(반품접수!$A709="",FALSE(),OR(반품접수!$O709="미처리",반품접수!$O709="부분처리"))</f>
        <v>0</v>
      </c>
      <c r="L712" s="6" t="str">
        <f aca="false">IF($K712=FALSE(),"",COUNTIF($K$6:$K712,TRUE()))</f>
        <v/>
      </c>
      <c r="M712" s="6" t="str">
        <f aca="false">IF($L712="","","R"&amp;$L712)</f>
        <v/>
      </c>
    </row>
    <row r="713" customFormat="false" ht="15" hidden="false" customHeight="true" outlineLevel="0" collapsed="false">
      <c r="K713" s="21" t="b">
        <f aca="false">IF(반품접수!$A710="",FALSE(),OR(반품접수!$O710="미처리",반품접수!$O710="부분처리"))</f>
        <v>0</v>
      </c>
      <c r="L713" s="6" t="str">
        <f aca="false">IF($K713=FALSE(),"",COUNTIF($K$6:$K713,TRUE()))</f>
        <v/>
      </c>
      <c r="M713" s="6" t="str">
        <f aca="false">IF($L713="","","R"&amp;$L713)</f>
        <v/>
      </c>
    </row>
    <row r="714" customFormat="false" ht="15" hidden="false" customHeight="true" outlineLevel="0" collapsed="false">
      <c r="K714" s="21" t="b">
        <f aca="false">IF(반품접수!$A711="",FALSE(),OR(반품접수!$O711="미처리",반품접수!$O711="부분처리"))</f>
        <v>0</v>
      </c>
      <c r="L714" s="6" t="str">
        <f aca="false">IF($K714=FALSE(),"",COUNTIF($K$6:$K714,TRUE()))</f>
        <v/>
      </c>
      <c r="M714" s="6" t="str">
        <f aca="false">IF($L714="","","R"&amp;$L714)</f>
        <v/>
      </c>
    </row>
    <row r="715" customFormat="false" ht="15" hidden="false" customHeight="true" outlineLevel="0" collapsed="false">
      <c r="K715" s="21" t="b">
        <f aca="false">IF(반품접수!$A712="",FALSE(),OR(반품접수!$O712="미처리",반품접수!$O712="부분처리"))</f>
        <v>0</v>
      </c>
      <c r="L715" s="6" t="str">
        <f aca="false">IF($K715=FALSE(),"",COUNTIF($K$6:$K715,TRUE()))</f>
        <v/>
      </c>
      <c r="M715" s="6" t="str">
        <f aca="false">IF($L715="","","R"&amp;$L715)</f>
        <v/>
      </c>
    </row>
    <row r="716" customFormat="false" ht="15" hidden="false" customHeight="true" outlineLevel="0" collapsed="false">
      <c r="K716" s="21" t="b">
        <f aca="false">IF(반품접수!$A713="",FALSE(),OR(반품접수!$O713="미처리",반품접수!$O713="부분처리"))</f>
        <v>0</v>
      </c>
      <c r="L716" s="6" t="str">
        <f aca="false">IF($K716=FALSE(),"",COUNTIF($K$6:$K716,TRUE()))</f>
        <v/>
      </c>
      <c r="M716" s="6" t="str">
        <f aca="false">IF($L716="","","R"&amp;$L716)</f>
        <v/>
      </c>
    </row>
    <row r="717" customFormat="false" ht="15" hidden="false" customHeight="true" outlineLevel="0" collapsed="false">
      <c r="K717" s="21" t="b">
        <f aca="false">IF(반품접수!$A714="",FALSE(),OR(반품접수!$O714="미처리",반품접수!$O714="부분처리"))</f>
        <v>0</v>
      </c>
      <c r="L717" s="6" t="str">
        <f aca="false">IF($K717=FALSE(),"",COUNTIF($K$6:$K717,TRUE()))</f>
        <v/>
      </c>
      <c r="M717" s="6" t="str">
        <f aca="false">IF($L717="","","R"&amp;$L717)</f>
        <v/>
      </c>
    </row>
    <row r="718" customFormat="false" ht="15" hidden="false" customHeight="true" outlineLevel="0" collapsed="false">
      <c r="K718" s="21" t="b">
        <f aca="false">IF(반품접수!$A715="",FALSE(),OR(반품접수!$O715="미처리",반품접수!$O715="부분처리"))</f>
        <v>0</v>
      </c>
      <c r="L718" s="6" t="str">
        <f aca="false">IF($K718=FALSE(),"",COUNTIF($K$6:$K718,TRUE()))</f>
        <v/>
      </c>
      <c r="M718" s="6" t="str">
        <f aca="false">IF($L718="","","R"&amp;$L718)</f>
        <v/>
      </c>
    </row>
    <row r="719" customFormat="false" ht="15" hidden="false" customHeight="true" outlineLevel="0" collapsed="false">
      <c r="K719" s="21" t="b">
        <f aca="false">IF(반품접수!$A716="",FALSE(),OR(반품접수!$O716="미처리",반품접수!$O716="부분처리"))</f>
        <v>0</v>
      </c>
      <c r="L719" s="6" t="str">
        <f aca="false">IF($K719=FALSE(),"",COUNTIF($K$6:$K719,TRUE()))</f>
        <v/>
      </c>
      <c r="M719" s="6" t="str">
        <f aca="false">IF($L719="","","R"&amp;$L719)</f>
        <v/>
      </c>
    </row>
    <row r="720" customFormat="false" ht="15" hidden="false" customHeight="true" outlineLevel="0" collapsed="false">
      <c r="K720" s="21" t="b">
        <f aca="false">IF(반품접수!$A717="",FALSE(),OR(반품접수!$O717="미처리",반품접수!$O717="부분처리"))</f>
        <v>0</v>
      </c>
      <c r="L720" s="6" t="str">
        <f aca="false">IF($K720=FALSE(),"",COUNTIF($K$6:$K720,TRUE()))</f>
        <v/>
      </c>
      <c r="M720" s="6" t="str">
        <f aca="false">IF($L720="","","R"&amp;$L720)</f>
        <v/>
      </c>
    </row>
    <row r="721" customFormat="false" ht="15" hidden="false" customHeight="true" outlineLevel="0" collapsed="false">
      <c r="K721" s="21" t="b">
        <f aca="false">IF(반품접수!$A718="",FALSE(),OR(반품접수!$O718="미처리",반품접수!$O718="부분처리"))</f>
        <v>0</v>
      </c>
      <c r="L721" s="6" t="str">
        <f aca="false">IF($K721=FALSE(),"",COUNTIF($K$6:$K721,TRUE()))</f>
        <v/>
      </c>
      <c r="M721" s="6" t="str">
        <f aca="false">IF($L721="","","R"&amp;$L721)</f>
        <v/>
      </c>
    </row>
    <row r="722" customFormat="false" ht="15" hidden="false" customHeight="true" outlineLevel="0" collapsed="false">
      <c r="K722" s="21" t="b">
        <f aca="false">IF(반품접수!$A719="",FALSE(),OR(반품접수!$O719="미처리",반품접수!$O719="부분처리"))</f>
        <v>0</v>
      </c>
      <c r="L722" s="6" t="str">
        <f aca="false">IF($K722=FALSE(),"",COUNTIF($K$6:$K722,TRUE()))</f>
        <v/>
      </c>
      <c r="M722" s="6" t="str">
        <f aca="false">IF($L722="","","R"&amp;$L722)</f>
        <v/>
      </c>
    </row>
    <row r="723" customFormat="false" ht="15" hidden="false" customHeight="true" outlineLevel="0" collapsed="false">
      <c r="K723" s="21" t="b">
        <f aca="false">IF(반품접수!$A720="",FALSE(),OR(반품접수!$O720="미처리",반품접수!$O720="부분처리"))</f>
        <v>0</v>
      </c>
      <c r="L723" s="6" t="str">
        <f aca="false">IF($K723=FALSE(),"",COUNTIF($K$6:$K723,TRUE()))</f>
        <v/>
      </c>
      <c r="M723" s="6" t="str">
        <f aca="false">IF($L723="","","R"&amp;$L723)</f>
        <v/>
      </c>
    </row>
    <row r="724" customFormat="false" ht="15" hidden="false" customHeight="true" outlineLevel="0" collapsed="false">
      <c r="K724" s="21" t="b">
        <f aca="false">IF(반품접수!$A721="",FALSE(),OR(반품접수!$O721="미처리",반품접수!$O721="부분처리"))</f>
        <v>0</v>
      </c>
      <c r="L724" s="6" t="str">
        <f aca="false">IF($K724=FALSE(),"",COUNTIF($K$6:$K724,TRUE()))</f>
        <v/>
      </c>
      <c r="M724" s="6" t="str">
        <f aca="false">IF($L724="","","R"&amp;$L724)</f>
        <v/>
      </c>
    </row>
    <row r="725" customFormat="false" ht="15" hidden="false" customHeight="true" outlineLevel="0" collapsed="false">
      <c r="K725" s="21" t="b">
        <f aca="false">IF(반품접수!$A722="",FALSE(),OR(반품접수!$O722="미처리",반품접수!$O722="부분처리"))</f>
        <v>0</v>
      </c>
      <c r="L725" s="6" t="str">
        <f aca="false">IF($K725=FALSE(),"",COUNTIF($K$6:$K725,TRUE()))</f>
        <v/>
      </c>
      <c r="M725" s="6" t="str">
        <f aca="false">IF($L725="","","R"&amp;$L725)</f>
        <v/>
      </c>
    </row>
    <row r="726" customFormat="false" ht="15" hidden="false" customHeight="true" outlineLevel="0" collapsed="false">
      <c r="K726" s="21" t="b">
        <f aca="false">IF(반품접수!$A723="",FALSE(),OR(반품접수!$O723="미처리",반품접수!$O723="부분처리"))</f>
        <v>0</v>
      </c>
      <c r="L726" s="6" t="str">
        <f aca="false">IF($K726=FALSE(),"",COUNTIF($K$6:$K726,TRUE()))</f>
        <v/>
      </c>
      <c r="M726" s="6" t="str">
        <f aca="false">IF($L726="","","R"&amp;$L726)</f>
        <v/>
      </c>
    </row>
    <row r="727" customFormat="false" ht="15" hidden="false" customHeight="true" outlineLevel="0" collapsed="false">
      <c r="K727" s="21" t="b">
        <f aca="false">IF(반품접수!$A724="",FALSE(),OR(반품접수!$O724="미처리",반품접수!$O724="부분처리"))</f>
        <v>0</v>
      </c>
      <c r="L727" s="6" t="str">
        <f aca="false">IF($K727=FALSE(),"",COUNTIF($K$6:$K727,TRUE()))</f>
        <v/>
      </c>
      <c r="M727" s="6" t="str">
        <f aca="false">IF($L727="","","R"&amp;$L727)</f>
        <v/>
      </c>
    </row>
    <row r="728" customFormat="false" ht="15" hidden="false" customHeight="true" outlineLevel="0" collapsed="false">
      <c r="K728" s="21" t="b">
        <f aca="false">IF(반품접수!$A725="",FALSE(),OR(반품접수!$O725="미처리",반품접수!$O725="부분처리"))</f>
        <v>0</v>
      </c>
      <c r="L728" s="6" t="str">
        <f aca="false">IF($K728=FALSE(),"",COUNTIF($K$6:$K728,TRUE()))</f>
        <v/>
      </c>
      <c r="M728" s="6" t="str">
        <f aca="false">IF($L728="","","R"&amp;$L728)</f>
        <v/>
      </c>
    </row>
    <row r="729" customFormat="false" ht="15" hidden="false" customHeight="true" outlineLevel="0" collapsed="false">
      <c r="K729" s="21" t="b">
        <f aca="false">IF(반품접수!$A726="",FALSE(),OR(반품접수!$O726="미처리",반품접수!$O726="부분처리"))</f>
        <v>0</v>
      </c>
      <c r="L729" s="6" t="str">
        <f aca="false">IF($K729=FALSE(),"",COUNTIF($K$6:$K729,TRUE()))</f>
        <v/>
      </c>
      <c r="M729" s="6" t="str">
        <f aca="false">IF($L729="","","R"&amp;$L729)</f>
        <v/>
      </c>
    </row>
    <row r="730" customFormat="false" ht="15" hidden="false" customHeight="true" outlineLevel="0" collapsed="false">
      <c r="K730" s="21" t="b">
        <f aca="false">IF(반품접수!$A727="",FALSE(),OR(반품접수!$O727="미처리",반품접수!$O727="부분처리"))</f>
        <v>0</v>
      </c>
      <c r="L730" s="6" t="str">
        <f aca="false">IF($K730=FALSE(),"",COUNTIF($K$6:$K730,TRUE()))</f>
        <v/>
      </c>
      <c r="M730" s="6" t="str">
        <f aca="false">IF($L730="","","R"&amp;$L730)</f>
        <v/>
      </c>
    </row>
    <row r="731" customFormat="false" ht="15" hidden="false" customHeight="true" outlineLevel="0" collapsed="false">
      <c r="K731" s="21" t="b">
        <f aca="false">IF(반품접수!$A728="",FALSE(),OR(반품접수!$O728="미처리",반품접수!$O728="부분처리"))</f>
        <v>0</v>
      </c>
      <c r="L731" s="6" t="str">
        <f aca="false">IF($K731=FALSE(),"",COUNTIF($K$6:$K731,TRUE()))</f>
        <v/>
      </c>
      <c r="M731" s="6" t="str">
        <f aca="false">IF($L731="","","R"&amp;$L731)</f>
        <v/>
      </c>
    </row>
    <row r="732" customFormat="false" ht="15" hidden="false" customHeight="true" outlineLevel="0" collapsed="false">
      <c r="K732" s="21" t="b">
        <f aca="false">IF(반품접수!$A729="",FALSE(),OR(반품접수!$O729="미처리",반품접수!$O729="부분처리"))</f>
        <v>0</v>
      </c>
      <c r="L732" s="6" t="str">
        <f aca="false">IF($K732=FALSE(),"",COUNTIF($K$6:$K732,TRUE()))</f>
        <v/>
      </c>
      <c r="M732" s="6" t="str">
        <f aca="false">IF($L732="","","R"&amp;$L732)</f>
        <v/>
      </c>
    </row>
    <row r="733" customFormat="false" ht="15" hidden="false" customHeight="true" outlineLevel="0" collapsed="false">
      <c r="K733" s="21" t="b">
        <f aca="false">IF(반품접수!$A730="",FALSE(),OR(반품접수!$O730="미처리",반품접수!$O730="부분처리"))</f>
        <v>0</v>
      </c>
      <c r="L733" s="6" t="str">
        <f aca="false">IF($K733=FALSE(),"",COUNTIF($K$6:$K733,TRUE()))</f>
        <v/>
      </c>
      <c r="M733" s="6" t="str">
        <f aca="false">IF($L733="","","R"&amp;$L733)</f>
        <v/>
      </c>
    </row>
    <row r="734" customFormat="false" ht="15" hidden="false" customHeight="true" outlineLevel="0" collapsed="false">
      <c r="K734" s="21" t="b">
        <f aca="false">IF(반품접수!$A731="",FALSE(),OR(반품접수!$O731="미처리",반품접수!$O731="부분처리"))</f>
        <v>0</v>
      </c>
      <c r="L734" s="6" t="str">
        <f aca="false">IF($K734=FALSE(),"",COUNTIF($K$6:$K734,TRUE()))</f>
        <v/>
      </c>
      <c r="M734" s="6" t="str">
        <f aca="false">IF($L734="","","R"&amp;$L734)</f>
        <v/>
      </c>
    </row>
    <row r="735" customFormat="false" ht="15" hidden="false" customHeight="true" outlineLevel="0" collapsed="false">
      <c r="K735" s="21" t="b">
        <f aca="false">IF(반품접수!$A732="",FALSE(),OR(반품접수!$O732="미처리",반품접수!$O732="부분처리"))</f>
        <v>0</v>
      </c>
      <c r="L735" s="6" t="str">
        <f aca="false">IF($K735=FALSE(),"",COUNTIF($K$6:$K735,TRUE()))</f>
        <v/>
      </c>
      <c r="M735" s="6" t="str">
        <f aca="false">IF($L735="","","R"&amp;$L735)</f>
        <v/>
      </c>
    </row>
    <row r="736" customFormat="false" ht="15" hidden="false" customHeight="true" outlineLevel="0" collapsed="false">
      <c r="K736" s="21" t="b">
        <f aca="false">IF(반품접수!$A733="",FALSE(),OR(반품접수!$O733="미처리",반품접수!$O733="부분처리"))</f>
        <v>0</v>
      </c>
      <c r="L736" s="6" t="str">
        <f aca="false">IF($K736=FALSE(),"",COUNTIF($K$6:$K736,TRUE()))</f>
        <v/>
      </c>
      <c r="M736" s="6" t="str">
        <f aca="false">IF($L736="","","R"&amp;$L736)</f>
        <v/>
      </c>
    </row>
    <row r="737" customFormat="false" ht="15" hidden="false" customHeight="true" outlineLevel="0" collapsed="false">
      <c r="K737" s="21" t="b">
        <f aca="false">IF(반품접수!$A734="",FALSE(),OR(반품접수!$O734="미처리",반품접수!$O734="부분처리"))</f>
        <v>0</v>
      </c>
      <c r="L737" s="6" t="str">
        <f aca="false">IF($K737=FALSE(),"",COUNTIF($K$6:$K737,TRUE()))</f>
        <v/>
      </c>
      <c r="M737" s="6" t="str">
        <f aca="false">IF($L737="","","R"&amp;$L737)</f>
        <v/>
      </c>
    </row>
    <row r="738" customFormat="false" ht="15" hidden="false" customHeight="true" outlineLevel="0" collapsed="false">
      <c r="K738" s="21" t="b">
        <f aca="false">IF(반품접수!$A735="",FALSE(),OR(반품접수!$O735="미처리",반품접수!$O735="부분처리"))</f>
        <v>0</v>
      </c>
      <c r="L738" s="6" t="str">
        <f aca="false">IF($K738=FALSE(),"",COUNTIF($K$6:$K738,TRUE()))</f>
        <v/>
      </c>
      <c r="M738" s="6" t="str">
        <f aca="false">IF($L738="","","R"&amp;$L738)</f>
        <v/>
      </c>
    </row>
    <row r="739" customFormat="false" ht="15" hidden="false" customHeight="true" outlineLevel="0" collapsed="false">
      <c r="K739" s="21" t="b">
        <f aca="false">IF(반품접수!$A736="",FALSE(),OR(반품접수!$O736="미처리",반품접수!$O736="부분처리"))</f>
        <v>0</v>
      </c>
      <c r="L739" s="6" t="str">
        <f aca="false">IF($K739=FALSE(),"",COUNTIF($K$6:$K739,TRUE()))</f>
        <v/>
      </c>
      <c r="M739" s="6" t="str">
        <f aca="false">IF($L739="","","R"&amp;$L739)</f>
        <v/>
      </c>
    </row>
    <row r="740" customFormat="false" ht="15" hidden="false" customHeight="true" outlineLevel="0" collapsed="false">
      <c r="K740" s="21" t="b">
        <f aca="false">IF(반품접수!$A737="",FALSE(),OR(반품접수!$O737="미처리",반품접수!$O737="부분처리"))</f>
        <v>0</v>
      </c>
      <c r="L740" s="6" t="str">
        <f aca="false">IF($K740=FALSE(),"",COUNTIF($K$6:$K740,TRUE()))</f>
        <v/>
      </c>
      <c r="M740" s="6" t="str">
        <f aca="false">IF($L740="","","R"&amp;$L740)</f>
        <v/>
      </c>
    </row>
    <row r="741" customFormat="false" ht="15" hidden="false" customHeight="true" outlineLevel="0" collapsed="false">
      <c r="K741" s="21" t="b">
        <f aca="false">IF(반품접수!$A738="",FALSE(),OR(반품접수!$O738="미처리",반품접수!$O738="부분처리"))</f>
        <v>0</v>
      </c>
      <c r="L741" s="6" t="str">
        <f aca="false">IF($K741=FALSE(),"",COUNTIF($K$6:$K741,TRUE()))</f>
        <v/>
      </c>
      <c r="M741" s="6" t="str">
        <f aca="false">IF($L741="","","R"&amp;$L741)</f>
        <v/>
      </c>
    </row>
    <row r="742" customFormat="false" ht="15" hidden="false" customHeight="true" outlineLevel="0" collapsed="false">
      <c r="K742" s="21" t="b">
        <f aca="false">IF(반품접수!$A739="",FALSE(),OR(반품접수!$O739="미처리",반품접수!$O739="부분처리"))</f>
        <v>0</v>
      </c>
      <c r="L742" s="6" t="str">
        <f aca="false">IF($K742=FALSE(),"",COUNTIF($K$6:$K742,TRUE()))</f>
        <v/>
      </c>
      <c r="M742" s="6" t="str">
        <f aca="false">IF($L742="","","R"&amp;$L742)</f>
        <v/>
      </c>
    </row>
    <row r="743" customFormat="false" ht="15" hidden="false" customHeight="true" outlineLevel="0" collapsed="false">
      <c r="K743" s="21" t="b">
        <f aca="false">IF(반품접수!$A740="",FALSE(),OR(반품접수!$O740="미처리",반품접수!$O740="부분처리"))</f>
        <v>0</v>
      </c>
      <c r="L743" s="6" t="str">
        <f aca="false">IF($K743=FALSE(),"",COUNTIF($K$6:$K743,TRUE()))</f>
        <v/>
      </c>
      <c r="M743" s="6" t="str">
        <f aca="false">IF($L743="","","R"&amp;$L743)</f>
        <v/>
      </c>
    </row>
    <row r="744" customFormat="false" ht="15" hidden="false" customHeight="true" outlineLevel="0" collapsed="false">
      <c r="K744" s="21" t="b">
        <f aca="false">IF(반품접수!$A741="",FALSE(),OR(반품접수!$O741="미처리",반품접수!$O741="부분처리"))</f>
        <v>0</v>
      </c>
      <c r="L744" s="6" t="str">
        <f aca="false">IF($K744=FALSE(),"",COUNTIF($K$6:$K744,TRUE()))</f>
        <v/>
      </c>
      <c r="M744" s="6" t="str">
        <f aca="false">IF($L744="","","R"&amp;$L744)</f>
        <v/>
      </c>
    </row>
    <row r="745" customFormat="false" ht="15" hidden="false" customHeight="true" outlineLevel="0" collapsed="false">
      <c r="K745" s="21" t="b">
        <f aca="false">IF(반품접수!$A742="",FALSE(),OR(반품접수!$O742="미처리",반품접수!$O742="부분처리"))</f>
        <v>0</v>
      </c>
      <c r="L745" s="6" t="str">
        <f aca="false">IF($K745=FALSE(),"",COUNTIF($K$6:$K745,TRUE()))</f>
        <v/>
      </c>
      <c r="M745" s="6" t="str">
        <f aca="false">IF($L745="","","R"&amp;$L745)</f>
        <v/>
      </c>
    </row>
    <row r="746" customFormat="false" ht="15" hidden="false" customHeight="true" outlineLevel="0" collapsed="false">
      <c r="K746" s="21" t="b">
        <f aca="false">IF(반품접수!$A743="",FALSE(),OR(반품접수!$O743="미처리",반품접수!$O743="부분처리"))</f>
        <v>0</v>
      </c>
      <c r="L746" s="6" t="str">
        <f aca="false">IF($K746=FALSE(),"",COUNTIF($K$6:$K746,TRUE()))</f>
        <v/>
      </c>
      <c r="M746" s="6" t="str">
        <f aca="false">IF($L746="","","R"&amp;$L746)</f>
        <v/>
      </c>
    </row>
    <row r="747" customFormat="false" ht="15" hidden="false" customHeight="true" outlineLevel="0" collapsed="false">
      <c r="K747" s="21" t="b">
        <f aca="false">IF(반품접수!$A744="",FALSE(),OR(반품접수!$O744="미처리",반품접수!$O744="부분처리"))</f>
        <v>0</v>
      </c>
      <c r="L747" s="6" t="str">
        <f aca="false">IF($K747=FALSE(),"",COUNTIF($K$6:$K747,TRUE()))</f>
        <v/>
      </c>
      <c r="M747" s="6" t="str">
        <f aca="false">IF($L747="","","R"&amp;$L747)</f>
        <v/>
      </c>
    </row>
    <row r="748" customFormat="false" ht="15" hidden="false" customHeight="true" outlineLevel="0" collapsed="false">
      <c r="K748" s="21" t="b">
        <f aca="false">IF(반품접수!$A745="",FALSE(),OR(반품접수!$O745="미처리",반품접수!$O745="부분처리"))</f>
        <v>0</v>
      </c>
      <c r="L748" s="6" t="str">
        <f aca="false">IF($K748=FALSE(),"",COUNTIF($K$6:$K748,TRUE()))</f>
        <v/>
      </c>
      <c r="M748" s="6" t="str">
        <f aca="false">IF($L748="","","R"&amp;$L748)</f>
        <v/>
      </c>
    </row>
    <row r="749" customFormat="false" ht="15" hidden="false" customHeight="true" outlineLevel="0" collapsed="false">
      <c r="K749" s="21" t="b">
        <f aca="false">IF(반품접수!$A746="",FALSE(),OR(반품접수!$O746="미처리",반품접수!$O746="부분처리"))</f>
        <v>0</v>
      </c>
      <c r="L749" s="6" t="str">
        <f aca="false">IF($K749=FALSE(),"",COUNTIF($K$6:$K749,TRUE()))</f>
        <v/>
      </c>
      <c r="M749" s="6" t="str">
        <f aca="false">IF($L749="","","R"&amp;$L749)</f>
        <v/>
      </c>
    </row>
    <row r="750" customFormat="false" ht="15" hidden="false" customHeight="true" outlineLevel="0" collapsed="false">
      <c r="K750" s="21" t="b">
        <f aca="false">IF(반품접수!$A747="",FALSE(),OR(반품접수!$O747="미처리",반품접수!$O747="부분처리"))</f>
        <v>0</v>
      </c>
      <c r="L750" s="6" t="str">
        <f aca="false">IF($K750=FALSE(),"",COUNTIF($K$6:$K750,TRUE()))</f>
        <v/>
      </c>
      <c r="M750" s="6" t="str">
        <f aca="false">IF($L750="","","R"&amp;$L750)</f>
        <v/>
      </c>
    </row>
    <row r="751" customFormat="false" ht="15" hidden="false" customHeight="true" outlineLevel="0" collapsed="false">
      <c r="K751" s="21" t="b">
        <f aca="false">IF(반품접수!$A748="",FALSE(),OR(반품접수!$O748="미처리",반품접수!$O748="부분처리"))</f>
        <v>0</v>
      </c>
      <c r="L751" s="6" t="str">
        <f aca="false">IF($K751=FALSE(),"",COUNTIF($K$6:$K751,TRUE()))</f>
        <v/>
      </c>
      <c r="M751" s="6" t="str">
        <f aca="false">IF($L751="","","R"&amp;$L751)</f>
        <v/>
      </c>
    </row>
    <row r="752" customFormat="false" ht="15" hidden="false" customHeight="true" outlineLevel="0" collapsed="false">
      <c r="K752" s="21" t="b">
        <f aca="false">IF(반품접수!$A749="",FALSE(),OR(반품접수!$O749="미처리",반품접수!$O749="부분처리"))</f>
        <v>0</v>
      </c>
      <c r="L752" s="6" t="str">
        <f aca="false">IF($K752=FALSE(),"",COUNTIF($K$6:$K752,TRUE()))</f>
        <v/>
      </c>
      <c r="M752" s="6" t="str">
        <f aca="false">IF($L752="","","R"&amp;$L752)</f>
        <v/>
      </c>
    </row>
    <row r="753" customFormat="false" ht="15" hidden="false" customHeight="true" outlineLevel="0" collapsed="false">
      <c r="K753" s="21" t="b">
        <f aca="false">IF(반품접수!$A750="",FALSE(),OR(반품접수!$O750="미처리",반품접수!$O750="부분처리"))</f>
        <v>0</v>
      </c>
      <c r="L753" s="6" t="str">
        <f aca="false">IF($K753=FALSE(),"",COUNTIF($K$6:$K753,TRUE()))</f>
        <v/>
      </c>
      <c r="M753" s="6" t="str">
        <f aca="false">IF($L753="","","R"&amp;$L753)</f>
        <v/>
      </c>
    </row>
    <row r="754" customFormat="false" ht="15" hidden="false" customHeight="true" outlineLevel="0" collapsed="false">
      <c r="K754" s="21" t="b">
        <f aca="false">IF(반품접수!$A751="",FALSE(),OR(반품접수!$O751="미처리",반품접수!$O751="부분처리"))</f>
        <v>0</v>
      </c>
      <c r="L754" s="6" t="str">
        <f aca="false">IF($K754=FALSE(),"",COUNTIF($K$6:$K754,TRUE()))</f>
        <v/>
      </c>
      <c r="M754" s="6" t="str">
        <f aca="false">IF($L754="","","R"&amp;$L754)</f>
        <v/>
      </c>
    </row>
    <row r="755" customFormat="false" ht="15" hidden="false" customHeight="true" outlineLevel="0" collapsed="false">
      <c r="K755" s="21" t="b">
        <f aca="false">IF(반품접수!$A752="",FALSE(),OR(반품접수!$O752="미처리",반품접수!$O752="부분처리"))</f>
        <v>0</v>
      </c>
      <c r="L755" s="6" t="str">
        <f aca="false">IF($K755=FALSE(),"",COUNTIF($K$6:$K755,TRUE()))</f>
        <v/>
      </c>
      <c r="M755" s="6" t="str">
        <f aca="false">IF($L755="","","R"&amp;$L755)</f>
        <v/>
      </c>
    </row>
    <row r="756" customFormat="false" ht="15" hidden="false" customHeight="true" outlineLevel="0" collapsed="false">
      <c r="K756" s="21" t="b">
        <f aca="false">IF(반품접수!$A753="",FALSE(),OR(반품접수!$O753="미처리",반품접수!$O753="부분처리"))</f>
        <v>0</v>
      </c>
      <c r="L756" s="6" t="str">
        <f aca="false">IF($K756=FALSE(),"",COUNTIF($K$6:$K756,TRUE()))</f>
        <v/>
      </c>
      <c r="M756" s="6" t="str">
        <f aca="false">IF($L756="","","R"&amp;$L756)</f>
        <v/>
      </c>
    </row>
    <row r="757" customFormat="false" ht="15" hidden="false" customHeight="true" outlineLevel="0" collapsed="false">
      <c r="K757" s="21" t="b">
        <f aca="false">IF(반품접수!$A754="",FALSE(),OR(반품접수!$O754="미처리",반품접수!$O754="부분처리"))</f>
        <v>0</v>
      </c>
      <c r="L757" s="6" t="str">
        <f aca="false">IF($K757=FALSE(),"",COUNTIF($K$6:$K757,TRUE()))</f>
        <v/>
      </c>
      <c r="M757" s="6" t="str">
        <f aca="false">IF($L757="","","R"&amp;$L757)</f>
        <v/>
      </c>
    </row>
    <row r="758" customFormat="false" ht="15" hidden="false" customHeight="true" outlineLevel="0" collapsed="false">
      <c r="K758" s="21" t="b">
        <f aca="false">IF(반품접수!$A755="",FALSE(),OR(반품접수!$O755="미처리",반품접수!$O755="부분처리"))</f>
        <v>0</v>
      </c>
      <c r="L758" s="6" t="str">
        <f aca="false">IF($K758=FALSE(),"",COUNTIF($K$6:$K758,TRUE()))</f>
        <v/>
      </c>
      <c r="M758" s="6" t="str">
        <f aca="false">IF($L758="","","R"&amp;$L758)</f>
        <v/>
      </c>
    </row>
    <row r="759" customFormat="false" ht="15" hidden="false" customHeight="true" outlineLevel="0" collapsed="false">
      <c r="K759" s="21" t="b">
        <f aca="false">IF(반품접수!$A756="",FALSE(),OR(반품접수!$O756="미처리",반품접수!$O756="부분처리"))</f>
        <v>0</v>
      </c>
      <c r="L759" s="6" t="str">
        <f aca="false">IF($K759=FALSE(),"",COUNTIF($K$6:$K759,TRUE()))</f>
        <v/>
      </c>
      <c r="M759" s="6" t="str">
        <f aca="false">IF($L759="","","R"&amp;$L759)</f>
        <v/>
      </c>
    </row>
    <row r="760" customFormat="false" ht="15" hidden="false" customHeight="true" outlineLevel="0" collapsed="false">
      <c r="K760" s="21" t="b">
        <f aca="false">IF(반품접수!$A757="",FALSE(),OR(반품접수!$O757="미처리",반품접수!$O757="부분처리"))</f>
        <v>0</v>
      </c>
      <c r="L760" s="6" t="str">
        <f aca="false">IF($K760=FALSE(),"",COUNTIF($K$6:$K760,TRUE()))</f>
        <v/>
      </c>
      <c r="M760" s="6" t="str">
        <f aca="false">IF($L760="","","R"&amp;$L760)</f>
        <v/>
      </c>
    </row>
    <row r="761" customFormat="false" ht="15" hidden="false" customHeight="true" outlineLevel="0" collapsed="false">
      <c r="K761" s="21" t="b">
        <f aca="false">IF(반품접수!$A758="",FALSE(),OR(반품접수!$O758="미처리",반품접수!$O758="부분처리"))</f>
        <v>0</v>
      </c>
      <c r="L761" s="6" t="str">
        <f aca="false">IF($K761=FALSE(),"",COUNTIF($K$6:$K761,TRUE()))</f>
        <v/>
      </c>
      <c r="M761" s="6" t="str">
        <f aca="false">IF($L761="","","R"&amp;$L761)</f>
        <v/>
      </c>
    </row>
    <row r="762" customFormat="false" ht="15" hidden="false" customHeight="true" outlineLevel="0" collapsed="false">
      <c r="K762" s="21" t="b">
        <f aca="false">IF(반품접수!$A759="",FALSE(),OR(반품접수!$O759="미처리",반품접수!$O759="부분처리"))</f>
        <v>0</v>
      </c>
      <c r="L762" s="6" t="str">
        <f aca="false">IF($K762=FALSE(),"",COUNTIF($K$6:$K762,TRUE()))</f>
        <v/>
      </c>
      <c r="M762" s="6" t="str">
        <f aca="false">IF($L762="","","R"&amp;$L762)</f>
        <v/>
      </c>
    </row>
    <row r="763" customFormat="false" ht="15" hidden="false" customHeight="true" outlineLevel="0" collapsed="false">
      <c r="K763" s="21" t="b">
        <f aca="false">IF(반품접수!$A760="",FALSE(),OR(반품접수!$O760="미처리",반품접수!$O760="부분처리"))</f>
        <v>0</v>
      </c>
      <c r="L763" s="6" t="str">
        <f aca="false">IF($K763=FALSE(),"",COUNTIF($K$6:$K763,TRUE()))</f>
        <v/>
      </c>
      <c r="M763" s="6" t="str">
        <f aca="false">IF($L763="","","R"&amp;$L763)</f>
        <v/>
      </c>
    </row>
    <row r="764" customFormat="false" ht="15" hidden="false" customHeight="true" outlineLevel="0" collapsed="false">
      <c r="K764" s="21" t="b">
        <f aca="false">IF(반품접수!$A761="",FALSE(),OR(반품접수!$O761="미처리",반품접수!$O761="부분처리"))</f>
        <v>0</v>
      </c>
      <c r="L764" s="6" t="str">
        <f aca="false">IF($K764=FALSE(),"",COUNTIF($K$6:$K764,TRUE()))</f>
        <v/>
      </c>
      <c r="M764" s="6" t="str">
        <f aca="false">IF($L764="","","R"&amp;$L764)</f>
        <v/>
      </c>
    </row>
    <row r="765" customFormat="false" ht="15" hidden="false" customHeight="true" outlineLevel="0" collapsed="false">
      <c r="K765" s="21" t="b">
        <f aca="false">IF(반품접수!$A762="",FALSE(),OR(반품접수!$O762="미처리",반품접수!$O762="부분처리"))</f>
        <v>0</v>
      </c>
      <c r="L765" s="6" t="str">
        <f aca="false">IF($K765=FALSE(),"",COUNTIF($K$6:$K765,TRUE()))</f>
        <v/>
      </c>
      <c r="M765" s="6" t="str">
        <f aca="false">IF($L765="","","R"&amp;$L765)</f>
        <v/>
      </c>
    </row>
    <row r="766" customFormat="false" ht="15" hidden="false" customHeight="true" outlineLevel="0" collapsed="false">
      <c r="K766" s="21" t="b">
        <f aca="false">IF(반품접수!$A763="",FALSE(),OR(반품접수!$O763="미처리",반품접수!$O763="부분처리"))</f>
        <v>0</v>
      </c>
      <c r="L766" s="6" t="str">
        <f aca="false">IF($K766=FALSE(),"",COUNTIF($K$6:$K766,TRUE()))</f>
        <v/>
      </c>
      <c r="M766" s="6" t="str">
        <f aca="false">IF($L766="","","R"&amp;$L766)</f>
        <v/>
      </c>
    </row>
    <row r="767" customFormat="false" ht="15" hidden="false" customHeight="true" outlineLevel="0" collapsed="false">
      <c r="K767" s="21" t="b">
        <f aca="false">IF(반품접수!$A764="",FALSE(),OR(반품접수!$O764="미처리",반품접수!$O764="부분처리"))</f>
        <v>0</v>
      </c>
      <c r="L767" s="6" t="str">
        <f aca="false">IF($K767=FALSE(),"",COUNTIF($K$6:$K767,TRUE()))</f>
        <v/>
      </c>
      <c r="M767" s="6" t="str">
        <f aca="false">IF($L767="","","R"&amp;$L767)</f>
        <v/>
      </c>
    </row>
    <row r="768" customFormat="false" ht="15" hidden="false" customHeight="true" outlineLevel="0" collapsed="false">
      <c r="K768" s="21" t="b">
        <f aca="false">IF(반품접수!$A765="",FALSE(),OR(반품접수!$O765="미처리",반품접수!$O765="부분처리"))</f>
        <v>0</v>
      </c>
      <c r="L768" s="6" t="str">
        <f aca="false">IF($K768=FALSE(),"",COUNTIF($K$6:$K768,TRUE()))</f>
        <v/>
      </c>
      <c r="M768" s="6" t="str">
        <f aca="false">IF($L768="","","R"&amp;$L768)</f>
        <v/>
      </c>
    </row>
    <row r="769" customFormat="false" ht="15" hidden="false" customHeight="true" outlineLevel="0" collapsed="false">
      <c r="K769" s="21" t="b">
        <f aca="false">IF(반품접수!$A766="",FALSE(),OR(반품접수!$O766="미처리",반품접수!$O766="부분처리"))</f>
        <v>0</v>
      </c>
      <c r="L769" s="6" t="str">
        <f aca="false">IF($K769=FALSE(),"",COUNTIF($K$6:$K769,TRUE()))</f>
        <v/>
      </c>
      <c r="M769" s="6" t="str">
        <f aca="false">IF($L769="","","R"&amp;$L769)</f>
        <v/>
      </c>
    </row>
    <row r="770" customFormat="false" ht="15" hidden="false" customHeight="true" outlineLevel="0" collapsed="false">
      <c r="K770" s="21" t="b">
        <f aca="false">IF(반품접수!$A767="",FALSE(),OR(반품접수!$O767="미처리",반품접수!$O767="부분처리"))</f>
        <v>0</v>
      </c>
      <c r="L770" s="6" t="str">
        <f aca="false">IF($K770=FALSE(),"",COUNTIF($K$6:$K770,TRUE()))</f>
        <v/>
      </c>
      <c r="M770" s="6" t="str">
        <f aca="false">IF($L770="","","R"&amp;$L770)</f>
        <v/>
      </c>
    </row>
    <row r="771" customFormat="false" ht="15" hidden="false" customHeight="true" outlineLevel="0" collapsed="false">
      <c r="K771" s="21" t="b">
        <f aca="false">IF(반품접수!$A768="",FALSE(),OR(반품접수!$O768="미처리",반품접수!$O768="부분처리"))</f>
        <v>0</v>
      </c>
      <c r="L771" s="6" t="str">
        <f aca="false">IF($K771=FALSE(),"",COUNTIF($K$6:$K771,TRUE()))</f>
        <v/>
      </c>
      <c r="M771" s="6" t="str">
        <f aca="false">IF($L771="","","R"&amp;$L771)</f>
        <v/>
      </c>
    </row>
    <row r="772" customFormat="false" ht="15" hidden="false" customHeight="true" outlineLevel="0" collapsed="false">
      <c r="K772" s="21" t="b">
        <f aca="false">IF(반품접수!$A769="",FALSE(),OR(반품접수!$O769="미처리",반품접수!$O769="부분처리"))</f>
        <v>0</v>
      </c>
      <c r="L772" s="6" t="str">
        <f aca="false">IF($K772=FALSE(),"",COUNTIF($K$6:$K772,TRUE()))</f>
        <v/>
      </c>
      <c r="M772" s="6" t="str">
        <f aca="false">IF($L772="","","R"&amp;$L772)</f>
        <v/>
      </c>
    </row>
    <row r="773" customFormat="false" ht="15" hidden="false" customHeight="true" outlineLevel="0" collapsed="false">
      <c r="K773" s="21" t="b">
        <f aca="false">IF(반품접수!$A770="",FALSE(),OR(반품접수!$O770="미처리",반품접수!$O770="부분처리"))</f>
        <v>0</v>
      </c>
      <c r="L773" s="6" t="str">
        <f aca="false">IF($K773=FALSE(),"",COUNTIF($K$6:$K773,TRUE()))</f>
        <v/>
      </c>
      <c r="M773" s="6" t="str">
        <f aca="false">IF($L773="","","R"&amp;$L773)</f>
        <v/>
      </c>
    </row>
    <row r="774" customFormat="false" ht="15" hidden="false" customHeight="true" outlineLevel="0" collapsed="false">
      <c r="K774" s="21" t="b">
        <f aca="false">IF(반품접수!$A771="",FALSE(),OR(반품접수!$O771="미처리",반품접수!$O771="부분처리"))</f>
        <v>0</v>
      </c>
      <c r="L774" s="6" t="str">
        <f aca="false">IF($K774=FALSE(),"",COUNTIF($K$6:$K774,TRUE()))</f>
        <v/>
      </c>
      <c r="M774" s="6" t="str">
        <f aca="false">IF($L774="","","R"&amp;$L774)</f>
        <v/>
      </c>
    </row>
    <row r="775" customFormat="false" ht="15" hidden="false" customHeight="true" outlineLevel="0" collapsed="false">
      <c r="K775" s="21" t="b">
        <f aca="false">IF(반품접수!$A772="",FALSE(),OR(반품접수!$O772="미처리",반품접수!$O772="부분처리"))</f>
        <v>0</v>
      </c>
      <c r="L775" s="6" t="str">
        <f aca="false">IF($K775=FALSE(),"",COUNTIF($K$6:$K775,TRUE()))</f>
        <v/>
      </c>
      <c r="M775" s="6" t="str">
        <f aca="false">IF($L775="","","R"&amp;$L775)</f>
        <v/>
      </c>
    </row>
    <row r="776" customFormat="false" ht="15" hidden="false" customHeight="true" outlineLevel="0" collapsed="false">
      <c r="K776" s="21" t="b">
        <f aca="false">IF(반품접수!$A773="",FALSE(),OR(반품접수!$O773="미처리",반품접수!$O773="부분처리"))</f>
        <v>0</v>
      </c>
      <c r="L776" s="6" t="str">
        <f aca="false">IF($K776=FALSE(),"",COUNTIF($K$6:$K776,TRUE()))</f>
        <v/>
      </c>
      <c r="M776" s="6" t="str">
        <f aca="false">IF($L776="","","R"&amp;$L776)</f>
        <v/>
      </c>
    </row>
    <row r="777" customFormat="false" ht="15" hidden="false" customHeight="true" outlineLevel="0" collapsed="false">
      <c r="K777" s="21" t="b">
        <f aca="false">IF(반품접수!$A774="",FALSE(),OR(반품접수!$O774="미처리",반품접수!$O774="부분처리"))</f>
        <v>0</v>
      </c>
      <c r="L777" s="6" t="str">
        <f aca="false">IF($K777=FALSE(),"",COUNTIF($K$6:$K777,TRUE()))</f>
        <v/>
      </c>
      <c r="M777" s="6" t="str">
        <f aca="false">IF($L777="","","R"&amp;$L777)</f>
        <v/>
      </c>
    </row>
    <row r="778" customFormat="false" ht="15" hidden="false" customHeight="true" outlineLevel="0" collapsed="false">
      <c r="K778" s="21" t="b">
        <f aca="false">IF(반품접수!$A775="",FALSE(),OR(반품접수!$O775="미처리",반품접수!$O775="부분처리"))</f>
        <v>0</v>
      </c>
      <c r="L778" s="6" t="str">
        <f aca="false">IF($K778=FALSE(),"",COUNTIF($K$6:$K778,TRUE()))</f>
        <v/>
      </c>
      <c r="M778" s="6" t="str">
        <f aca="false">IF($L778="","","R"&amp;$L778)</f>
        <v/>
      </c>
    </row>
    <row r="779" customFormat="false" ht="15" hidden="false" customHeight="true" outlineLevel="0" collapsed="false">
      <c r="K779" s="21" t="b">
        <f aca="false">IF(반품접수!$A776="",FALSE(),OR(반품접수!$O776="미처리",반품접수!$O776="부분처리"))</f>
        <v>0</v>
      </c>
      <c r="L779" s="6" t="str">
        <f aca="false">IF($K779=FALSE(),"",COUNTIF($K$6:$K779,TRUE()))</f>
        <v/>
      </c>
      <c r="M779" s="6" t="str">
        <f aca="false">IF($L779="","","R"&amp;$L779)</f>
        <v/>
      </c>
    </row>
    <row r="780" customFormat="false" ht="15" hidden="false" customHeight="true" outlineLevel="0" collapsed="false">
      <c r="K780" s="21" t="b">
        <f aca="false">IF(반품접수!$A777="",FALSE(),OR(반품접수!$O777="미처리",반품접수!$O777="부분처리"))</f>
        <v>0</v>
      </c>
      <c r="L780" s="6" t="str">
        <f aca="false">IF($K780=FALSE(),"",COUNTIF($K$6:$K780,TRUE()))</f>
        <v/>
      </c>
      <c r="M780" s="6" t="str">
        <f aca="false">IF($L780="","","R"&amp;$L780)</f>
        <v/>
      </c>
    </row>
    <row r="781" customFormat="false" ht="15" hidden="false" customHeight="true" outlineLevel="0" collapsed="false">
      <c r="K781" s="21" t="b">
        <f aca="false">IF(반품접수!$A778="",FALSE(),OR(반품접수!$O778="미처리",반품접수!$O778="부분처리"))</f>
        <v>0</v>
      </c>
      <c r="L781" s="6" t="str">
        <f aca="false">IF($K781=FALSE(),"",COUNTIF($K$6:$K781,TRUE()))</f>
        <v/>
      </c>
      <c r="M781" s="6" t="str">
        <f aca="false">IF($L781="","","R"&amp;$L781)</f>
        <v/>
      </c>
    </row>
    <row r="782" customFormat="false" ht="15" hidden="false" customHeight="true" outlineLevel="0" collapsed="false">
      <c r="K782" s="21" t="b">
        <f aca="false">IF(반품접수!$A779="",FALSE(),OR(반품접수!$O779="미처리",반품접수!$O779="부분처리"))</f>
        <v>0</v>
      </c>
      <c r="L782" s="6" t="str">
        <f aca="false">IF($K782=FALSE(),"",COUNTIF($K$6:$K782,TRUE()))</f>
        <v/>
      </c>
      <c r="M782" s="6" t="str">
        <f aca="false">IF($L782="","","R"&amp;$L782)</f>
        <v/>
      </c>
    </row>
    <row r="783" customFormat="false" ht="15" hidden="false" customHeight="true" outlineLevel="0" collapsed="false">
      <c r="K783" s="21" t="b">
        <f aca="false">IF(반품접수!$A780="",FALSE(),OR(반품접수!$O780="미처리",반품접수!$O780="부분처리"))</f>
        <v>0</v>
      </c>
      <c r="L783" s="6" t="str">
        <f aca="false">IF($K783=FALSE(),"",COUNTIF($K$6:$K783,TRUE()))</f>
        <v/>
      </c>
      <c r="M783" s="6" t="str">
        <f aca="false">IF($L783="","","R"&amp;$L783)</f>
        <v/>
      </c>
    </row>
    <row r="784" customFormat="false" ht="15" hidden="false" customHeight="true" outlineLevel="0" collapsed="false">
      <c r="K784" s="21" t="b">
        <f aca="false">IF(반품접수!$A781="",FALSE(),OR(반품접수!$O781="미처리",반품접수!$O781="부분처리"))</f>
        <v>0</v>
      </c>
      <c r="L784" s="6" t="str">
        <f aca="false">IF($K784=FALSE(),"",COUNTIF($K$6:$K784,TRUE()))</f>
        <v/>
      </c>
      <c r="M784" s="6" t="str">
        <f aca="false">IF($L784="","","R"&amp;$L784)</f>
        <v/>
      </c>
    </row>
    <row r="785" customFormat="false" ht="15" hidden="false" customHeight="true" outlineLevel="0" collapsed="false">
      <c r="K785" s="21" t="b">
        <f aca="false">IF(반품접수!$A782="",FALSE(),OR(반품접수!$O782="미처리",반품접수!$O782="부분처리"))</f>
        <v>0</v>
      </c>
      <c r="L785" s="6" t="str">
        <f aca="false">IF($K785=FALSE(),"",COUNTIF($K$6:$K785,TRUE()))</f>
        <v/>
      </c>
      <c r="M785" s="6" t="str">
        <f aca="false">IF($L785="","","R"&amp;$L785)</f>
        <v/>
      </c>
    </row>
    <row r="786" customFormat="false" ht="15" hidden="false" customHeight="true" outlineLevel="0" collapsed="false">
      <c r="K786" s="21" t="b">
        <f aca="false">IF(반품접수!$A783="",FALSE(),OR(반품접수!$O783="미처리",반품접수!$O783="부분처리"))</f>
        <v>0</v>
      </c>
      <c r="L786" s="6" t="str">
        <f aca="false">IF($K786=FALSE(),"",COUNTIF($K$6:$K786,TRUE()))</f>
        <v/>
      </c>
      <c r="M786" s="6" t="str">
        <f aca="false">IF($L786="","","R"&amp;$L786)</f>
        <v/>
      </c>
    </row>
    <row r="787" customFormat="false" ht="15" hidden="false" customHeight="true" outlineLevel="0" collapsed="false">
      <c r="K787" s="21" t="b">
        <f aca="false">IF(반품접수!$A784="",FALSE(),OR(반품접수!$O784="미처리",반품접수!$O784="부분처리"))</f>
        <v>0</v>
      </c>
      <c r="L787" s="6" t="str">
        <f aca="false">IF($K787=FALSE(),"",COUNTIF($K$6:$K787,TRUE()))</f>
        <v/>
      </c>
      <c r="M787" s="6" t="str">
        <f aca="false">IF($L787="","","R"&amp;$L787)</f>
        <v/>
      </c>
    </row>
    <row r="788" customFormat="false" ht="15" hidden="false" customHeight="true" outlineLevel="0" collapsed="false">
      <c r="K788" s="21" t="b">
        <f aca="false">IF(반품접수!$A785="",FALSE(),OR(반품접수!$O785="미처리",반품접수!$O785="부분처리"))</f>
        <v>0</v>
      </c>
      <c r="L788" s="6" t="str">
        <f aca="false">IF($K788=FALSE(),"",COUNTIF($K$6:$K788,TRUE()))</f>
        <v/>
      </c>
      <c r="M788" s="6" t="str">
        <f aca="false">IF($L788="","","R"&amp;$L788)</f>
        <v/>
      </c>
    </row>
    <row r="789" customFormat="false" ht="15" hidden="false" customHeight="true" outlineLevel="0" collapsed="false">
      <c r="K789" s="21" t="b">
        <f aca="false">IF(반품접수!$A786="",FALSE(),OR(반품접수!$O786="미처리",반품접수!$O786="부분처리"))</f>
        <v>0</v>
      </c>
      <c r="L789" s="6" t="str">
        <f aca="false">IF($K789=FALSE(),"",COUNTIF($K$6:$K789,TRUE()))</f>
        <v/>
      </c>
      <c r="M789" s="6" t="str">
        <f aca="false">IF($L789="","","R"&amp;$L789)</f>
        <v/>
      </c>
    </row>
    <row r="790" customFormat="false" ht="15" hidden="false" customHeight="true" outlineLevel="0" collapsed="false">
      <c r="K790" s="21" t="b">
        <f aca="false">IF(반품접수!$A787="",FALSE(),OR(반품접수!$O787="미처리",반품접수!$O787="부분처리"))</f>
        <v>0</v>
      </c>
      <c r="L790" s="6" t="str">
        <f aca="false">IF($K790=FALSE(),"",COUNTIF($K$6:$K790,TRUE()))</f>
        <v/>
      </c>
      <c r="M790" s="6" t="str">
        <f aca="false">IF($L790="","","R"&amp;$L790)</f>
        <v/>
      </c>
    </row>
    <row r="791" customFormat="false" ht="15" hidden="false" customHeight="true" outlineLevel="0" collapsed="false">
      <c r="K791" s="21" t="b">
        <f aca="false">IF(반품접수!$A788="",FALSE(),OR(반품접수!$O788="미처리",반품접수!$O788="부분처리"))</f>
        <v>0</v>
      </c>
      <c r="L791" s="6" t="str">
        <f aca="false">IF($K791=FALSE(),"",COUNTIF($K$6:$K791,TRUE()))</f>
        <v/>
      </c>
      <c r="M791" s="6" t="str">
        <f aca="false">IF($L791="","","R"&amp;$L791)</f>
        <v/>
      </c>
    </row>
    <row r="792" customFormat="false" ht="15" hidden="false" customHeight="true" outlineLevel="0" collapsed="false">
      <c r="K792" s="21" t="b">
        <f aca="false">IF(반품접수!$A789="",FALSE(),OR(반품접수!$O789="미처리",반품접수!$O789="부분처리"))</f>
        <v>0</v>
      </c>
      <c r="L792" s="6" t="str">
        <f aca="false">IF($K792=FALSE(),"",COUNTIF($K$6:$K792,TRUE()))</f>
        <v/>
      </c>
      <c r="M792" s="6" t="str">
        <f aca="false">IF($L792="","","R"&amp;$L792)</f>
        <v/>
      </c>
    </row>
    <row r="793" customFormat="false" ht="15" hidden="false" customHeight="true" outlineLevel="0" collapsed="false">
      <c r="K793" s="21" t="b">
        <f aca="false">IF(반품접수!$A790="",FALSE(),OR(반품접수!$O790="미처리",반품접수!$O790="부분처리"))</f>
        <v>0</v>
      </c>
      <c r="L793" s="6" t="str">
        <f aca="false">IF($K793=FALSE(),"",COUNTIF($K$6:$K793,TRUE()))</f>
        <v/>
      </c>
      <c r="M793" s="6" t="str">
        <f aca="false">IF($L793="","","R"&amp;$L793)</f>
        <v/>
      </c>
    </row>
    <row r="794" customFormat="false" ht="15" hidden="false" customHeight="true" outlineLevel="0" collapsed="false">
      <c r="K794" s="21" t="b">
        <f aca="false">IF(반품접수!$A791="",FALSE(),OR(반품접수!$O791="미처리",반품접수!$O791="부분처리"))</f>
        <v>0</v>
      </c>
      <c r="L794" s="6" t="str">
        <f aca="false">IF($K794=FALSE(),"",COUNTIF($K$6:$K794,TRUE()))</f>
        <v/>
      </c>
      <c r="M794" s="6" t="str">
        <f aca="false">IF($L794="","","R"&amp;$L794)</f>
        <v/>
      </c>
    </row>
    <row r="795" customFormat="false" ht="15" hidden="false" customHeight="true" outlineLevel="0" collapsed="false">
      <c r="K795" s="21" t="b">
        <f aca="false">IF(반품접수!$A792="",FALSE(),OR(반품접수!$O792="미처리",반품접수!$O792="부분처리"))</f>
        <v>0</v>
      </c>
      <c r="L795" s="6" t="str">
        <f aca="false">IF($K795=FALSE(),"",COUNTIF($K$6:$K795,TRUE()))</f>
        <v/>
      </c>
      <c r="M795" s="6" t="str">
        <f aca="false">IF($L795="","","R"&amp;$L795)</f>
        <v/>
      </c>
    </row>
    <row r="796" customFormat="false" ht="15" hidden="false" customHeight="true" outlineLevel="0" collapsed="false">
      <c r="K796" s="21" t="b">
        <f aca="false">IF(반품접수!$A793="",FALSE(),OR(반품접수!$O793="미처리",반품접수!$O793="부분처리"))</f>
        <v>0</v>
      </c>
      <c r="L796" s="6" t="str">
        <f aca="false">IF($K796=FALSE(),"",COUNTIF($K$6:$K796,TRUE()))</f>
        <v/>
      </c>
      <c r="M796" s="6" t="str">
        <f aca="false">IF($L796="","","R"&amp;$L796)</f>
        <v/>
      </c>
    </row>
    <row r="797" customFormat="false" ht="15" hidden="false" customHeight="true" outlineLevel="0" collapsed="false">
      <c r="K797" s="21" t="b">
        <f aca="false">IF(반품접수!$A794="",FALSE(),OR(반품접수!$O794="미처리",반품접수!$O794="부분처리"))</f>
        <v>0</v>
      </c>
      <c r="L797" s="6" t="str">
        <f aca="false">IF($K797=FALSE(),"",COUNTIF($K$6:$K797,TRUE()))</f>
        <v/>
      </c>
      <c r="M797" s="6" t="str">
        <f aca="false">IF($L797="","","R"&amp;$L797)</f>
        <v/>
      </c>
    </row>
    <row r="798" customFormat="false" ht="15" hidden="false" customHeight="true" outlineLevel="0" collapsed="false">
      <c r="K798" s="21" t="b">
        <f aca="false">IF(반품접수!$A795="",FALSE(),OR(반품접수!$O795="미처리",반품접수!$O795="부분처리"))</f>
        <v>0</v>
      </c>
      <c r="L798" s="6" t="str">
        <f aca="false">IF($K798=FALSE(),"",COUNTIF($K$6:$K798,TRUE()))</f>
        <v/>
      </c>
      <c r="M798" s="6" t="str">
        <f aca="false">IF($L798="","","R"&amp;$L798)</f>
        <v/>
      </c>
    </row>
    <row r="799" customFormat="false" ht="15" hidden="false" customHeight="true" outlineLevel="0" collapsed="false">
      <c r="K799" s="21" t="b">
        <f aca="false">IF(반품접수!$A796="",FALSE(),OR(반품접수!$O796="미처리",반품접수!$O796="부분처리"))</f>
        <v>0</v>
      </c>
      <c r="L799" s="6" t="str">
        <f aca="false">IF($K799=FALSE(),"",COUNTIF($K$6:$K799,TRUE()))</f>
        <v/>
      </c>
      <c r="M799" s="6" t="str">
        <f aca="false">IF($L799="","","R"&amp;$L799)</f>
        <v/>
      </c>
    </row>
    <row r="800" customFormat="false" ht="15" hidden="false" customHeight="true" outlineLevel="0" collapsed="false">
      <c r="K800" s="21" t="b">
        <f aca="false">IF(반품접수!$A797="",FALSE(),OR(반품접수!$O797="미처리",반품접수!$O797="부분처리"))</f>
        <v>0</v>
      </c>
      <c r="L800" s="6" t="str">
        <f aca="false">IF($K800=FALSE(),"",COUNTIF($K$6:$K800,TRUE()))</f>
        <v/>
      </c>
      <c r="M800" s="6" t="str">
        <f aca="false">IF($L800="","","R"&amp;$L800)</f>
        <v/>
      </c>
    </row>
    <row r="801" customFormat="false" ht="15" hidden="false" customHeight="true" outlineLevel="0" collapsed="false">
      <c r="K801" s="21" t="b">
        <f aca="false">IF(반품접수!$A798="",FALSE(),OR(반품접수!$O798="미처리",반품접수!$O798="부분처리"))</f>
        <v>0</v>
      </c>
      <c r="L801" s="6" t="str">
        <f aca="false">IF($K801=FALSE(),"",COUNTIF($K$6:$K801,TRUE()))</f>
        <v/>
      </c>
      <c r="M801" s="6" t="str">
        <f aca="false">IF($L801="","","R"&amp;$L801)</f>
        <v/>
      </c>
    </row>
    <row r="802" customFormat="false" ht="15" hidden="false" customHeight="true" outlineLevel="0" collapsed="false">
      <c r="K802" s="21" t="b">
        <f aca="false">IF(반품접수!$A799="",FALSE(),OR(반품접수!$O799="미처리",반품접수!$O799="부분처리"))</f>
        <v>0</v>
      </c>
      <c r="L802" s="6" t="str">
        <f aca="false">IF($K802=FALSE(),"",COUNTIF($K$6:$K802,TRUE()))</f>
        <v/>
      </c>
      <c r="M802" s="6" t="str">
        <f aca="false">IF($L802="","","R"&amp;$L802)</f>
        <v/>
      </c>
    </row>
    <row r="803" customFormat="false" ht="15" hidden="false" customHeight="true" outlineLevel="0" collapsed="false">
      <c r="K803" s="21" t="b">
        <f aca="false">IF(반품접수!$A800="",FALSE(),OR(반품접수!$O800="미처리",반품접수!$O800="부분처리"))</f>
        <v>0</v>
      </c>
      <c r="L803" s="6" t="str">
        <f aca="false">IF($K803=FALSE(),"",COUNTIF($K$6:$K803,TRUE()))</f>
        <v/>
      </c>
      <c r="M803" s="6" t="str">
        <f aca="false">IF($L803="","","R"&amp;$L803)</f>
        <v/>
      </c>
    </row>
    <row r="804" customFormat="false" ht="15" hidden="false" customHeight="true" outlineLevel="0" collapsed="false">
      <c r="K804" s="21" t="b">
        <f aca="false">IF(반품접수!$A801="",FALSE(),OR(반품접수!$O801="미처리",반품접수!$O801="부분처리"))</f>
        <v>0</v>
      </c>
      <c r="L804" s="6" t="str">
        <f aca="false">IF($K804=FALSE(),"",COUNTIF($K$6:$K804,TRUE()))</f>
        <v/>
      </c>
      <c r="M804" s="6" t="str">
        <f aca="false">IF($L804="","","R"&amp;$L804)</f>
        <v/>
      </c>
    </row>
    <row r="805" customFormat="false" ht="15" hidden="false" customHeight="true" outlineLevel="0" collapsed="false">
      <c r="K805" s="21" t="b">
        <f aca="false">IF(반품접수!$A802="",FALSE(),OR(반품접수!$O802="미처리",반품접수!$O802="부분처리"))</f>
        <v>0</v>
      </c>
      <c r="L805" s="6" t="str">
        <f aca="false">IF($K805=FALSE(),"",COUNTIF($K$6:$K805,TRUE()))</f>
        <v/>
      </c>
      <c r="M805" s="6" t="str">
        <f aca="false">IF($L805="","","R"&amp;$L805)</f>
        <v/>
      </c>
    </row>
    <row r="806" customFormat="false" ht="15" hidden="false" customHeight="true" outlineLevel="0" collapsed="false">
      <c r="K806" s="21" t="b">
        <f aca="false">IF(반품접수!$A803="",FALSE(),OR(반품접수!$O803="미처리",반품접수!$O803="부분처리"))</f>
        <v>0</v>
      </c>
      <c r="L806" s="6" t="str">
        <f aca="false">IF($K806=FALSE(),"",COUNTIF($K$6:$K806,TRUE()))</f>
        <v/>
      </c>
      <c r="M806" s="6" t="str">
        <f aca="false">IF($L806="","","R"&amp;$L806)</f>
        <v/>
      </c>
    </row>
    <row r="807" customFormat="false" ht="15" hidden="false" customHeight="true" outlineLevel="0" collapsed="false">
      <c r="K807" s="21" t="b">
        <f aca="false">IF(반품접수!$A804="",FALSE(),OR(반품접수!$O804="미처리",반품접수!$O804="부분처리"))</f>
        <v>0</v>
      </c>
      <c r="L807" s="6" t="str">
        <f aca="false">IF($K807=FALSE(),"",COUNTIF($K$6:$K807,TRUE()))</f>
        <v/>
      </c>
      <c r="M807" s="6" t="str">
        <f aca="false">IF($L807="","","R"&amp;$L807)</f>
        <v/>
      </c>
    </row>
    <row r="808" customFormat="false" ht="15" hidden="false" customHeight="true" outlineLevel="0" collapsed="false">
      <c r="K808" s="21" t="b">
        <f aca="false">IF(반품접수!$A805="",FALSE(),OR(반품접수!$O805="미처리",반품접수!$O805="부분처리"))</f>
        <v>0</v>
      </c>
      <c r="L808" s="6" t="str">
        <f aca="false">IF($K808=FALSE(),"",COUNTIF($K$6:$K808,TRUE()))</f>
        <v/>
      </c>
      <c r="M808" s="6" t="str">
        <f aca="false">IF($L808="","","R"&amp;$L808)</f>
        <v/>
      </c>
    </row>
    <row r="809" customFormat="false" ht="15" hidden="false" customHeight="true" outlineLevel="0" collapsed="false">
      <c r="K809" s="21" t="b">
        <f aca="false">IF(반품접수!$A806="",FALSE(),OR(반품접수!$O806="미처리",반품접수!$O806="부분처리"))</f>
        <v>0</v>
      </c>
      <c r="L809" s="6" t="str">
        <f aca="false">IF($K809=FALSE(),"",COUNTIF($K$6:$K809,TRUE()))</f>
        <v/>
      </c>
      <c r="M809" s="6" t="str">
        <f aca="false">IF($L809="","","R"&amp;$L809)</f>
        <v/>
      </c>
    </row>
    <row r="810" customFormat="false" ht="15" hidden="false" customHeight="true" outlineLevel="0" collapsed="false">
      <c r="K810" s="21" t="b">
        <f aca="false">IF(반품접수!$A807="",FALSE(),OR(반품접수!$O807="미처리",반품접수!$O807="부분처리"))</f>
        <v>0</v>
      </c>
      <c r="L810" s="6" t="str">
        <f aca="false">IF($K810=FALSE(),"",COUNTIF($K$6:$K810,TRUE()))</f>
        <v/>
      </c>
      <c r="M810" s="6" t="str">
        <f aca="false">IF($L810="","","R"&amp;$L810)</f>
        <v/>
      </c>
    </row>
    <row r="811" customFormat="false" ht="15" hidden="false" customHeight="true" outlineLevel="0" collapsed="false">
      <c r="K811" s="21" t="b">
        <f aca="false">IF(반품접수!$A808="",FALSE(),OR(반품접수!$O808="미처리",반품접수!$O808="부분처리"))</f>
        <v>0</v>
      </c>
      <c r="L811" s="6" t="str">
        <f aca="false">IF($K811=FALSE(),"",COUNTIF($K$6:$K811,TRUE()))</f>
        <v/>
      </c>
      <c r="M811" s="6" t="str">
        <f aca="false">IF($L811="","","R"&amp;$L811)</f>
        <v/>
      </c>
    </row>
    <row r="812" customFormat="false" ht="15" hidden="false" customHeight="true" outlineLevel="0" collapsed="false">
      <c r="K812" s="21" t="b">
        <f aca="false">IF(반품접수!$A809="",FALSE(),OR(반품접수!$O809="미처리",반품접수!$O809="부분처리"))</f>
        <v>0</v>
      </c>
      <c r="L812" s="6" t="str">
        <f aca="false">IF($K812=FALSE(),"",COUNTIF($K$6:$K812,TRUE()))</f>
        <v/>
      </c>
      <c r="M812" s="6" t="str">
        <f aca="false">IF($L812="","","R"&amp;$L812)</f>
        <v/>
      </c>
    </row>
    <row r="813" customFormat="false" ht="15" hidden="false" customHeight="true" outlineLevel="0" collapsed="false">
      <c r="K813" s="21" t="b">
        <f aca="false">IF(반품접수!$A810="",FALSE(),OR(반품접수!$O810="미처리",반품접수!$O810="부분처리"))</f>
        <v>0</v>
      </c>
      <c r="L813" s="6" t="str">
        <f aca="false">IF($K813=FALSE(),"",COUNTIF($K$6:$K813,TRUE()))</f>
        <v/>
      </c>
      <c r="M813" s="6" t="str">
        <f aca="false">IF($L813="","","R"&amp;$L813)</f>
        <v/>
      </c>
    </row>
    <row r="814" customFormat="false" ht="15" hidden="false" customHeight="true" outlineLevel="0" collapsed="false">
      <c r="K814" s="21" t="b">
        <f aca="false">IF(반품접수!$A811="",FALSE(),OR(반품접수!$O811="미처리",반품접수!$O811="부분처리"))</f>
        <v>0</v>
      </c>
      <c r="L814" s="6" t="str">
        <f aca="false">IF($K814=FALSE(),"",COUNTIF($K$6:$K814,TRUE()))</f>
        <v/>
      </c>
      <c r="M814" s="6" t="str">
        <f aca="false">IF($L814="","","R"&amp;$L814)</f>
        <v/>
      </c>
    </row>
    <row r="815" customFormat="false" ht="15" hidden="false" customHeight="true" outlineLevel="0" collapsed="false">
      <c r="K815" s="21" t="b">
        <f aca="false">IF(반품접수!$A812="",FALSE(),OR(반품접수!$O812="미처리",반품접수!$O812="부분처리"))</f>
        <v>0</v>
      </c>
      <c r="L815" s="6" t="str">
        <f aca="false">IF($K815=FALSE(),"",COUNTIF($K$6:$K815,TRUE()))</f>
        <v/>
      </c>
      <c r="M815" s="6" t="str">
        <f aca="false">IF($L815="","","R"&amp;$L815)</f>
        <v/>
      </c>
    </row>
    <row r="816" customFormat="false" ht="15" hidden="false" customHeight="true" outlineLevel="0" collapsed="false">
      <c r="K816" s="21" t="b">
        <f aca="false">IF(반품접수!$A813="",FALSE(),OR(반품접수!$O813="미처리",반품접수!$O813="부분처리"))</f>
        <v>0</v>
      </c>
      <c r="L816" s="6" t="str">
        <f aca="false">IF($K816=FALSE(),"",COUNTIF($K$6:$K816,TRUE()))</f>
        <v/>
      </c>
      <c r="M816" s="6" t="str">
        <f aca="false">IF($L816="","","R"&amp;$L816)</f>
        <v/>
      </c>
    </row>
    <row r="817" customFormat="false" ht="15" hidden="false" customHeight="true" outlineLevel="0" collapsed="false">
      <c r="K817" s="21" t="b">
        <f aca="false">IF(반품접수!$A814="",FALSE(),OR(반품접수!$O814="미처리",반품접수!$O814="부분처리"))</f>
        <v>0</v>
      </c>
      <c r="L817" s="6" t="str">
        <f aca="false">IF($K817=FALSE(),"",COUNTIF($K$6:$K817,TRUE()))</f>
        <v/>
      </c>
      <c r="M817" s="6" t="str">
        <f aca="false">IF($L817="","","R"&amp;$L817)</f>
        <v/>
      </c>
    </row>
    <row r="818" customFormat="false" ht="15" hidden="false" customHeight="true" outlineLevel="0" collapsed="false">
      <c r="K818" s="21" t="b">
        <f aca="false">IF(반품접수!$A815="",FALSE(),OR(반품접수!$O815="미처리",반품접수!$O815="부분처리"))</f>
        <v>0</v>
      </c>
      <c r="L818" s="6" t="str">
        <f aca="false">IF($K818=FALSE(),"",COUNTIF($K$6:$K818,TRUE()))</f>
        <v/>
      </c>
      <c r="M818" s="6" t="str">
        <f aca="false">IF($L818="","","R"&amp;$L818)</f>
        <v/>
      </c>
    </row>
    <row r="819" customFormat="false" ht="15" hidden="false" customHeight="true" outlineLevel="0" collapsed="false">
      <c r="K819" s="21" t="b">
        <f aca="false">IF(반품접수!$A816="",FALSE(),OR(반품접수!$O816="미처리",반품접수!$O816="부분처리"))</f>
        <v>0</v>
      </c>
      <c r="L819" s="6" t="str">
        <f aca="false">IF($K819=FALSE(),"",COUNTIF($K$6:$K819,TRUE()))</f>
        <v/>
      </c>
      <c r="M819" s="6" t="str">
        <f aca="false">IF($L819="","","R"&amp;$L819)</f>
        <v/>
      </c>
    </row>
    <row r="820" customFormat="false" ht="15" hidden="false" customHeight="true" outlineLevel="0" collapsed="false">
      <c r="K820" s="21" t="b">
        <f aca="false">IF(반품접수!$A817="",FALSE(),OR(반품접수!$O817="미처리",반품접수!$O817="부분처리"))</f>
        <v>0</v>
      </c>
      <c r="L820" s="6" t="str">
        <f aca="false">IF($K820=FALSE(),"",COUNTIF($K$6:$K820,TRUE()))</f>
        <v/>
      </c>
      <c r="M820" s="6" t="str">
        <f aca="false">IF($L820="","","R"&amp;$L820)</f>
        <v/>
      </c>
    </row>
    <row r="821" customFormat="false" ht="15" hidden="false" customHeight="true" outlineLevel="0" collapsed="false">
      <c r="K821" s="21" t="b">
        <f aca="false">IF(반품접수!$A818="",FALSE(),OR(반품접수!$O818="미처리",반품접수!$O818="부분처리"))</f>
        <v>0</v>
      </c>
      <c r="L821" s="6" t="str">
        <f aca="false">IF($K821=FALSE(),"",COUNTIF($K$6:$K821,TRUE()))</f>
        <v/>
      </c>
      <c r="M821" s="6" t="str">
        <f aca="false">IF($L821="","","R"&amp;$L821)</f>
        <v/>
      </c>
    </row>
    <row r="822" customFormat="false" ht="15" hidden="false" customHeight="true" outlineLevel="0" collapsed="false">
      <c r="K822" s="21" t="b">
        <f aca="false">IF(반품접수!$A819="",FALSE(),OR(반품접수!$O819="미처리",반품접수!$O819="부분처리"))</f>
        <v>0</v>
      </c>
      <c r="L822" s="6" t="str">
        <f aca="false">IF($K822=FALSE(),"",COUNTIF($K$6:$K822,TRUE()))</f>
        <v/>
      </c>
      <c r="M822" s="6" t="str">
        <f aca="false">IF($L822="","","R"&amp;$L822)</f>
        <v/>
      </c>
    </row>
    <row r="823" customFormat="false" ht="15" hidden="false" customHeight="true" outlineLevel="0" collapsed="false">
      <c r="K823" s="21" t="b">
        <f aca="false">IF(반품접수!$A820="",FALSE(),OR(반품접수!$O820="미처리",반품접수!$O820="부분처리"))</f>
        <v>0</v>
      </c>
      <c r="L823" s="6" t="str">
        <f aca="false">IF($K823=FALSE(),"",COUNTIF($K$6:$K823,TRUE()))</f>
        <v/>
      </c>
      <c r="M823" s="6" t="str">
        <f aca="false">IF($L823="","","R"&amp;$L823)</f>
        <v/>
      </c>
    </row>
    <row r="824" customFormat="false" ht="15" hidden="false" customHeight="true" outlineLevel="0" collapsed="false">
      <c r="K824" s="21" t="b">
        <f aca="false">IF(반품접수!$A821="",FALSE(),OR(반품접수!$O821="미처리",반품접수!$O821="부분처리"))</f>
        <v>0</v>
      </c>
      <c r="L824" s="6" t="str">
        <f aca="false">IF($K824=FALSE(),"",COUNTIF($K$6:$K824,TRUE()))</f>
        <v/>
      </c>
      <c r="M824" s="6" t="str">
        <f aca="false">IF($L824="","","R"&amp;$L824)</f>
        <v/>
      </c>
    </row>
    <row r="825" customFormat="false" ht="15" hidden="false" customHeight="true" outlineLevel="0" collapsed="false">
      <c r="K825" s="21" t="b">
        <f aca="false">IF(반품접수!$A822="",FALSE(),OR(반품접수!$O822="미처리",반품접수!$O822="부분처리"))</f>
        <v>0</v>
      </c>
      <c r="L825" s="6" t="str">
        <f aca="false">IF($K825=FALSE(),"",COUNTIF($K$6:$K825,TRUE()))</f>
        <v/>
      </c>
      <c r="M825" s="6" t="str">
        <f aca="false">IF($L825="","","R"&amp;$L825)</f>
        <v/>
      </c>
    </row>
    <row r="826" customFormat="false" ht="15" hidden="false" customHeight="true" outlineLevel="0" collapsed="false">
      <c r="K826" s="21" t="b">
        <f aca="false">IF(반품접수!$A823="",FALSE(),OR(반품접수!$O823="미처리",반품접수!$O823="부분처리"))</f>
        <v>0</v>
      </c>
      <c r="L826" s="6" t="str">
        <f aca="false">IF($K826=FALSE(),"",COUNTIF($K$6:$K826,TRUE()))</f>
        <v/>
      </c>
      <c r="M826" s="6" t="str">
        <f aca="false">IF($L826="","","R"&amp;$L826)</f>
        <v/>
      </c>
    </row>
    <row r="827" customFormat="false" ht="15" hidden="false" customHeight="true" outlineLevel="0" collapsed="false">
      <c r="K827" s="21" t="b">
        <f aca="false">IF(반품접수!$A824="",FALSE(),OR(반품접수!$O824="미처리",반품접수!$O824="부분처리"))</f>
        <v>0</v>
      </c>
      <c r="L827" s="6" t="str">
        <f aca="false">IF($K827=FALSE(),"",COUNTIF($K$6:$K827,TRUE()))</f>
        <v/>
      </c>
      <c r="M827" s="6" t="str">
        <f aca="false">IF($L827="","","R"&amp;$L827)</f>
        <v/>
      </c>
    </row>
    <row r="828" customFormat="false" ht="15" hidden="false" customHeight="true" outlineLevel="0" collapsed="false">
      <c r="K828" s="21" t="b">
        <f aca="false">IF(반품접수!$A825="",FALSE(),OR(반품접수!$O825="미처리",반품접수!$O825="부분처리"))</f>
        <v>0</v>
      </c>
      <c r="L828" s="6" t="str">
        <f aca="false">IF($K828=FALSE(),"",COUNTIF($K$6:$K828,TRUE()))</f>
        <v/>
      </c>
      <c r="M828" s="6" t="str">
        <f aca="false">IF($L828="","","R"&amp;$L828)</f>
        <v/>
      </c>
    </row>
    <row r="829" customFormat="false" ht="15" hidden="false" customHeight="true" outlineLevel="0" collapsed="false">
      <c r="K829" s="21" t="b">
        <f aca="false">IF(반품접수!$A826="",FALSE(),OR(반품접수!$O826="미처리",반품접수!$O826="부분처리"))</f>
        <v>0</v>
      </c>
      <c r="L829" s="6" t="str">
        <f aca="false">IF($K829=FALSE(),"",COUNTIF($K$6:$K829,TRUE()))</f>
        <v/>
      </c>
      <c r="M829" s="6" t="str">
        <f aca="false">IF($L829="","","R"&amp;$L829)</f>
        <v/>
      </c>
    </row>
    <row r="830" customFormat="false" ht="15" hidden="false" customHeight="true" outlineLevel="0" collapsed="false">
      <c r="K830" s="21" t="b">
        <f aca="false">IF(반품접수!$A827="",FALSE(),OR(반품접수!$O827="미처리",반품접수!$O827="부분처리"))</f>
        <v>0</v>
      </c>
      <c r="L830" s="6" t="str">
        <f aca="false">IF($K830=FALSE(),"",COUNTIF($K$6:$K830,TRUE()))</f>
        <v/>
      </c>
      <c r="M830" s="6" t="str">
        <f aca="false">IF($L830="","","R"&amp;$L830)</f>
        <v/>
      </c>
    </row>
    <row r="831" customFormat="false" ht="15" hidden="false" customHeight="true" outlineLevel="0" collapsed="false">
      <c r="K831" s="21" t="b">
        <f aca="false">IF(반품접수!$A828="",FALSE(),OR(반품접수!$O828="미처리",반품접수!$O828="부분처리"))</f>
        <v>0</v>
      </c>
      <c r="L831" s="6" t="str">
        <f aca="false">IF($K831=FALSE(),"",COUNTIF($K$6:$K831,TRUE()))</f>
        <v/>
      </c>
      <c r="M831" s="6" t="str">
        <f aca="false">IF($L831="","","R"&amp;$L831)</f>
        <v/>
      </c>
    </row>
    <row r="832" customFormat="false" ht="15" hidden="false" customHeight="true" outlineLevel="0" collapsed="false">
      <c r="K832" s="21" t="b">
        <f aca="false">IF(반품접수!$A829="",FALSE(),OR(반품접수!$O829="미처리",반품접수!$O829="부분처리"))</f>
        <v>0</v>
      </c>
      <c r="L832" s="6" t="str">
        <f aca="false">IF($K832=FALSE(),"",COUNTIF($K$6:$K832,TRUE()))</f>
        <v/>
      </c>
      <c r="M832" s="6" t="str">
        <f aca="false">IF($L832="","","R"&amp;$L832)</f>
        <v/>
      </c>
    </row>
    <row r="833" customFormat="false" ht="15" hidden="false" customHeight="true" outlineLevel="0" collapsed="false">
      <c r="K833" s="21" t="b">
        <f aca="false">IF(반품접수!$A830="",FALSE(),OR(반품접수!$O830="미처리",반품접수!$O830="부분처리"))</f>
        <v>0</v>
      </c>
      <c r="L833" s="6" t="str">
        <f aca="false">IF($K833=FALSE(),"",COUNTIF($K$6:$K833,TRUE()))</f>
        <v/>
      </c>
      <c r="M833" s="6" t="str">
        <f aca="false">IF($L833="","","R"&amp;$L833)</f>
        <v/>
      </c>
    </row>
    <row r="834" customFormat="false" ht="15" hidden="false" customHeight="true" outlineLevel="0" collapsed="false">
      <c r="K834" s="21" t="b">
        <f aca="false">IF(반품접수!$A831="",FALSE(),OR(반품접수!$O831="미처리",반품접수!$O831="부분처리"))</f>
        <v>0</v>
      </c>
      <c r="L834" s="6" t="str">
        <f aca="false">IF($K834=FALSE(),"",COUNTIF($K$6:$K834,TRUE()))</f>
        <v/>
      </c>
      <c r="M834" s="6" t="str">
        <f aca="false">IF($L834="","","R"&amp;$L834)</f>
        <v/>
      </c>
    </row>
    <row r="835" customFormat="false" ht="15" hidden="false" customHeight="true" outlineLevel="0" collapsed="false">
      <c r="K835" s="21" t="b">
        <f aca="false">IF(반품접수!$A832="",FALSE(),OR(반품접수!$O832="미처리",반품접수!$O832="부분처리"))</f>
        <v>0</v>
      </c>
      <c r="L835" s="6" t="str">
        <f aca="false">IF($K835=FALSE(),"",COUNTIF($K$6:$K835,TRUE()))</f>
        <v/>
      </c>
      <c r="M835" s="6" t="str">
        <f aca="false">IF($L835="","","R"&amp;$L835)</f>
        <v/>
      </c>
    </row>
    <row r="836" customFormat="false" ht="15" hidden="false" customHeight="true" outlineLevel="0" collapsed="false">
      <c r="K836" s="21" t="b">
        <f aca="false">IF(반품접수!$A833="",FALSE(),OR(반품접수!$O833="미처리",반품접수!$O833="부분처리"))</f>
        <v>0</v>
      </c>
      <c r="L836" s="6" t="str">
        <f aca="false">IF($K836=FALSE(),"",COUNTIF($K$6:$K836,TRUE()))</f>
        <v/>
      </c>
      <c r="M836" s="6" t="str">
        <f aca="false">IF($L836="","","R"&amp;$L836)</f>
        <v/>
      </c>
    </row>
    <row r="837" customFormat="false" ht="15" hidden="false" customHeight="true" outlineLevel="0" collapsed="false">
      <c r="K837" s="21" t="b">
        <f aca="false">IF(반품접수!$A834="",FALSE(),OR(반품접수!$O834="미처리",반품접수!$O834="부분처리"))</f>
        <v>0</v>
      </c>
      <c r="L837" s="6" t="str">
        <f aca="false">IF($K837=FALSE(),"",COUNTIF($K$6:$K837,TRUE()))</f>
        <v/>
      </c>
      <c r="M837" s="6" t="str">
        <f aca="false">IF($L837="","","R"&amp;$L837)</f>
        <v/>
      </c>
    </row>
    <row r="838" customFormat="false" ht="15" hidden="false" customHeight="true" outlineLevel="0" collapsed="false">
      <c r="K838" s="21" t="b">
        <f aca="false">IF(반품접수!$A835="",FALSE(),OR(반품접수!$O835="미처리",반품접수!$O835="부분처리"))</f>
        <v>0</v>
      </c>
      <c r="L838" s="6" t="str">
        <f aca="false">IF($K838=FALSE(),"",COUNTIF($K$6:$K838,TRUE()))</f>
        <v/>
      </c>
      <c r="M838" s="6" t="str">
        <f aca="false">IF($L838="","","R"&amp;$L838)</f>
        <v/>
      </c>
    </row>
    <row r="839" customFormat="false" ht="15" hidden="false" customHeight="true" outlineLevel="0" collapsed="false">
      <c r="K839" s="21" t="b">
        <f aca="false">IF(반품접수!$A836="",FALSE(),OR(반품접수!$O836="미처리",반품접수!$O836="부분처리"))</f>
        <v>0</v>
      </c>
      <c r="L839" s="6" t="str">
        <f aca="false">IF($K839=FALSE(),"",COUNTIF($K$6:$K839,TRUE()))</f>
        <v/>
      </c>
      <c r="M839" s="6" t="str">
        <f aca="false">IF($L839="","","R"&amp;$L839)</f>
        <v/>
      </c>
    </row>
    <row r="840" customFormat="false" ht="15" hidden="false" customHeight="true" outlineLevel="0" collapsed="false">
      <c r="K840" s="21" t="b">
        <f aca="false">IF(반품접수!$A837="",FALSE(),OR(반품접수!$O837="미처리",반품접수!$O837="부분처리"))</f>
        <v>0</v>
      </c>
      <c r="L840" s="6" t="str">
        <f aca="false">IF($K840=FALSE(),"",COUNTIF($K$6:$K840,TRUE()))</f>
        <v/>
      </c>
      <c r="M840" s="6" t="str">
        <f aca="false">IF($L840="","","R"&amp;$L840)</f>
        <v/>
      </c>
    </row>
    <row r="841" customFormat="false" ht="15" hidden="false" customHeight="true" outlineLevel="0" collapsed="false">
      <c r="K841" s="21" t="b">
        <f aca="false">IF(반품접수!$A838="",FALSE(),OR(반품접수!$O838="미처리",반품접수!$O838="부분처리"))</f>
        <v>0</v>
      </c>
      <c r="L841" s="6" t="str">
        <f aca="false">IF($K841=FALSE(),"",COUNTIF($K$6:$K841,TRUE()))</f>
        <v/>
      </c>
      <c r="M841" s="6" t="str">
        <f aca="false">IF($L841="","","R"&amp;$L841)</f>
        <v/>
      </c>
    </row>
    <row r="842" customFormat="false" ht="15" hidden="false" customHeight="true" outlineLevel="0" collapsed="false">
      <c r="K842" s="21" t="b">
        <f aca="false">IF(반품접수!$A839="",FALSE(),OR(반품접수!$O839="미처리",반품접수!$O839="부분처리"))</f>
        <v>0</v>
      </c>
      <c r="L842" s="6" t="str">
        <f aca="false">IF($K842=FALSE(),"",COUNTIF($K$6:$K842,TRUE()))</f>
        <v/>
      </c>
      <c r="M842" s="6" t="str">
        <f aca="false">IF($L842="","","R"&amp;$L842)</f>
        <v/>
      </c>
    </row>
    <row r="843" customFormat="false" ht="15" hidden="false" customHeight="true" outlineLevel="0" collapsed="false">
      <c r="K843" s="21" t="b">
        <f aca="false">IF(반품접수!$A840="",FALSE(),OR(반품접수!$O840="미처리",반품접수!$O840="부분처리"))</f>
        <v>0</v>
      </c>
      <c r="L843" s="6" t="str">
        <f aca="false">IF($K843=FALSE(),"",COUNTIF($K$6:$K843,TRUE()))</f>
        <v/>
      </c>
      <c r="M843" s="6" t="str">
        <f aca="false">IF($L843="","","R"&amp;$L843)</f>
        <v/>
      </c>
    </row>
    <row r="844" customFormat="false" ht="15" hidden="false" customHeight="true" outlineLevel="0" collapsed="false">
      <c r="K844" s="21" t="b">
        <f aca="false">IF(반품접수!$A841="",FALSE(),OR(반품접수!$O841="미처리",반품접수!$O841="부분처리"))</f>
        <v>0</v>
      </c>
      <c r="L844" s="6" t="str">
        <f aca="false">IF($K844=FALSE(),"",COUNTIF($K$6:$K844,TRUE()))</f>
        <v/>
      </c>
      <c r="M844" s="6" t="str">
        <f aca="false">IF($L844="","","R"&amp;$L844)</f>
        <v/>
      </c>
    </row>
    <row r="845" customFormat="false" ht="15" hidden="false" customHeight="true" outlineLevel="0" collapsed="false">
      <c r="K845" s="21" t="b">
        <f aca="false">IF(반품접수!$A842="",FALSE(),OR(반품접수!$O842="미처리",반품접수!$O842="부분처리"))</f>
        <v>0</v>
      </c>
      <c r="L845" s="6" t="str">
        <f aca="false">IF($K845=FALSE(),"",COUNTIF($K$6:$K845,TRUE()))</f>
        <v/>
      </c>
      <c r="M845" s="6" t="str">
        <f aca="false">IF($L845="","","R"&amp;$L845)</f>
        <v/>
      </c>
    </row>
    <row r="846" customFormat="false" ht="15" hidden="false" customHeight="true" outlineLevel="0" collapsed="false">
      <c r="K846" s="21" t="b">
        <f aca="false">IF(반품접수!$A843="",FALSE(),OR(반품접수!$O843="미처리",반품접수!$O843="부분처리"))</f>
        <v>0</v>
      </c>
      <c r="L846" s="6" t="str">
        <f aca="false">IF($K846=FALSE(),"",COUNTIF($K$6:$K846,TRUE()))</f>
        <v/>
      </c>
      <c r="M846" s="6" t="str">
        <f aca="false">IF($L846="","","R"&amp;$L846)</f>
        <v/>
      </c>
    </row>
    <row r="847" customFormat="false" ht="15" hidden="false" customHeight="true" outlineLevel="0" collapsed="false">
      <c r="K847" s="21" t="b">
        <f aca="false">IF(반품접수!$A844="",FALSE(),OR(반품접수!$O844="미처리",반품접수!$O844="부분처리"))</f>
        <v>0</v>
      </c>
      <c r="L847" s="6" t="str">
        <f aca="false">IF($K847=FALSE(),"",COUNTIF($K$6:$K847,TRUE()))</f>
        <v/>
      </c>
      <c r="M847" s="6" t="str">
        <f aca="false">IF($L847="","","R"&amp;$L847)</f>
        <v/>
      </c>
    </row>
    <row r="848" customFormat="false" ht="15" hidden="false" customHeight="true" outlineLevel="0" collapsed="false">
      <c r="K848" s="21" t="b">
        <f aca="false">IF(반품접수!$A845="",FALSE(),OR(반품접수!$O845="미처리",반품접수!$O845="부분처리"))</f>
        <v>0</v>
      </c>
      <c r="L848" s="6" t="str">
        <f aca="false">IF($K848=FALSE(),"",COUNTIF($K$6:$K848,TRUE()))</f>
        <v/>
      </c>
      <c r="M848" s="6" t="str">
        <f aca="false">IF($L848="","","R"&amp;$L848)</f>
        <v/>
      </c>
    </row>
    <row r="849" customFormat="false" ht="15" hidden="false" customHeight="true" outlineLevel="0" collapsed="false">
      <c r="K849" s="21" t="b">
        <f aca="false">IF(반품접수!$A846="",FALSE(),OR(반품접수!$O846="미처리",반품접수!$O846="부분처리"))</f>
        <v>0</v>
      </c>
      <c r="L849" s="6" t="str">
        <f aca="false">IF($K849=FALSE(),"",COUNTIF($K$6:$K849,TRUE()))</f>
        <v/>
      </c>
      <c r="M849" s="6" t="str">
        <f aca="false">IF($L849="","","R"&amp;$L849)</f>
        <v/>
      </c>
    </row>
    <row r="850" customFormat="false" ht="15" hidden="false" customHeight="true" outlineLevel="0" collapsed="false">
      <c r="K850" s="21" t="b">
        <f aca="false">IF(반품접수!$A847="",FALSE(),OR(반품접수!$O847="미처리",반품접수!$O847="부분처리"))</f>
        <v>0</v>
      </c>
      <c r="L850" s="6" t="str">
        <f aca="false">IF($K850=FALSE(),"",COUNTIF($K$6:$K850,TRUE()))</f>
        <v/>
      </c>
      <c r="M850" s="6" t="str">
        <f aca="false">IF($L850="","","R"&amp;$L850)</f>
        <v/>
      </c>
    </row>
    <row r="851" customFormat="false" ht="15" hidden="false" customHeight="true" outlineLevel="0" collapsed="false">
      <c r="K851" s="21" t="b">
        <f aca="false">IF(반품접수!$A848="",FALSE(),OR(반품접수!$O848="미처리",반품접수!$O848="부분처리"))</f>
        <v>0</v>
      </c>
      <c r="L851" s="6" t="str">
        <f aca="false">IF($K851=FALSE(),"",COUNTIF($K$6:$K851,TRUE()))</f>
        <v/>
      </c>
      <c r="M851" s="6" t="str">
        <f aca="false">IF($L851="","","R"&amp;$L851)</f>
        <v/>
      </c>
    </row>
    <row r="852" customFormat="false" ht="15" hidden="false" customHeight="true" outlineLevel="0" collapsed="false">
      <c r="K852" s="21" t="b">
        <f aca="false">IF(반품접수!$A849="",FALSE(),OR(반품접수!$O849="미처리",반품접수!$O849="부분처리"))</f>
        <v>0</v>
      </c>
      <c r="L852" s="6" t="str">
        <f aca="false">IF($K852=FALSE(),"",COUNTIF($K$6:$K852,TRUE()))</f>
        <v/>
      </c>
      <c r="M852" s="6" t="str">
        <f aca="false">IF($L852="","","R"&amp;$L852)</f>
        <v/>
      </c>
    </row>
    <row r="853" customFormat="false" ht="15" hidden="false" customHeight="true" outlineLevel="0" collapsed="false">
      <c r="K853" s="21" t="b">
        <f aca="false">IF(반품접수!$A850="",FALSE(),OR(반품접수!$O850="미처리",반품접수!$O850="부분처리"))</f>
        <v>0</v>
      </c>
      <c r="L853" s="6" t="str">
        <f aca="false">IF($K853=FALSE(),"",COUNTIF($K$6:$K853,TRUE()))</f>
        <v/>
      </c>
      <c r="M853" s="6" t="str">
        <f aca="false">IF($L853="","","R"&amp;$L853)</f>
        <v/>
      </c>
    </row>
    <row r="854" customFormat="false" ht="15" hidden="false" customHeight="true" outlineLevel="0" collapsed="false">
      <c r="K854" s="21" t="b">
        <f aca="false">IF(반품접수!$A851="",FALSE(),OR(반품접수!$O851="미처리",반품접수!$O851="부분처리"))</f>
        <v>0</v>
      </c>
      <c r="L854" s="6" t="str">
        <f aca="false">IF($K854=FALSE(),"",COUNTIF($K$6:$K854,TRUE()))</f>
        <v/>
      </c>
      <c r="M854" s="6" t="str">
        <f aca="false">IF($L854="","","R"&amp;$L854)</f>
        <v/>
      </c>
    </row>
    <row r="855" customFormat="false" ht="15" hidden="false" customHeight="true" outlineLevel="0" collapsed="false">
      <c r="K855" s="21" t="b">
        <f aca="false">IF(반품접수!$A852="",FALSE(),OR(반품접수!$O852="미처리",반품접수!$O852="부분처리"))</f>
        <v>0</v>
      </c>
      <c r="L855" s="6" t="str">
        <f aca="false">IF($K855=FALSE(),"",COUNTIF($K$6:$K855,TRUE()))</f>
        <v/>
      </c>
      <c r="M855" s="6" t="str">
        <f aca="false">IF($L855="","","R"&amp;$L855)</f>
        <v/>
      </c>
    </row>
    <row r="856" customFormat="false" ht="15" hidden="false" customHeight="true" outlineLevel="0" collapsed="false">
      <c r="K856" s="21" t="b">
        <f aca="false">IF(반품접수!$A853="",FALSE(),OR(반품접수!$O853="미처리",반품접수!$O853="부분처리"))</f>
        <v>0</v>
      </c>
      <c r="L856" s="6" t="str">
        <f aca="false">IF($K856=FALSE(),"",COUNTIF($K$6:$K856,TRUE()))</f>
        <v/>
      </c>
      <c r="M856" s="6" t="str">
        <f aca="false">IF($L856="","","R"&amp;$L856)</f>
        <v/>
      </c>
    </row>
    <row r="857" customFormat="false" ht="15" hidden="false" customHeight="true" outlineLevel="0" collapsed="false">
      <c r="K857" s="21" t="b">
        <f aca="false">IF(반품접수!$A854="",FALSE(),OR(반품접수!$O854="미처리",반품접수!$O854="부분처리"))</f>
        <v>0</v>
      </c>
      <c r="L857" s="6" t="str">
        <f aca="false">IF($K857=FALSE(),"",COUNTIF($K$6:$K857,TRUE()))</f>
        <v/>
      </c>
      <c r="M857" s="6" t="str">
        <f aca="false">IF($L857="","","R"&amp;$L857)</f>
        <v/>
      </c>
    </row>
    <row r="858" customFormat="false" ht="15" hidden="false" customHeight="true" outlineLevel="0" collapsed="false">
      <c r="K858" s="21" t="b">
        <f aca="false">IF(반품접수!$A855="",FALSE(),OR(반품접수!$O855="미처리",반품접수!$O855="부분처리"))</f>
        <v>0</v>
      </c>
      <c r="L858" s="6" t="str">
        <f aca="false">IF($K858=FALSE(),"",COUNTIF($K$6:$K858,TRUE()))</f>
        <v/>
      </c>
      <c r="M858" s="6" t="str">
        <f aca="false">IF($L858="","","R"&amp;$L858)</f>
        <v/>
      </c>
    </row>
    <row r="859" customFormat="false" ht="15" hidden="false" customHeight="true" outlineLevel="0" collapsed="false">
      <c r="K859" s="21" t="b">
        <f aca="false">IF(반품접수!$A856="",FALSE(),OR(반품접수!$O856="미처리",반품접수!$O856="부분처리"))</f>
        <v>0</v>
      </c>
      <c r="L859" s="6" t="str">
        <f aca="false">IF($K859=FALSE(),"",COUNTIF($K$6:$K859,TRUE()))</f>
        <v/>
      </c>
      <c r="M859" s="6" t="str">
        <f aca="false">IF($L859="","","R"&amp;$L859)</f>
        <v/>
      </c>
    </row>
    <row r="860" customFormat="false" ht="15" hidden="false" customHeight="true" outlineLevel="0" collapsed="false">
      <c r="K860" s="21" t="b">
        <f aca="false">IF(반품접수!$A857="",FALSE(),OR(반품접수!$O857="미처리",반품접수!$O857="부분처리"))</f>
        <v>0</v>
      </c>
      <c r="L860" s="6" t="str">
        <f aca="false">IF($K860=FALSE(),"",COUNTIF($K$6:$K860,TRUE()))</f>
        <v/>
      </c>
      <c r="M860" s="6" t="str">
        <f aca="false">IF($L860="","","R"&amp;$L860)</f>
        <v/>
      </c>
    </row>
    <row r="861" customFormat="false" ht="15" hidden="false" customHeight="true" outlineLevel="0" collapsed="false">
      <c r="K861" s="21" t="b">
        <f aca="false">IF(반품접수!$A858="",FALSE(),OR(반품접수!$O858="미처리",반품접수!$O858="부분처리"))</f>
        <v>0</v>
      </c>
      <c r="L861" s="6" t="str">
        <f aca="false">IF($K861=FALSE(),"",COUNTIF($K$6:$K861,TRUE()))</f>
        <v/>
      </c>
      <c r="M861" s="6" t="str">
        <f aca="false">IF($L861="","","R"&amp;$L861)</f>
        <v/>
      </c>
    </row>
    <row r="862" customFormat="false" ht="15" hidden="false" customHeight="true" outlineLevel="0" collapsed="false">
      <c r="K862" s="21" t="b">
        <f aca="false">IF(반품접수!$A859="",FALSE(),OR(반품접수!$O859="미처리",반품접수!$O859="부분처리"))</f>
        <v>0</v>
      </c>
      <c r="L862" s="6" t="str">
        <f aca="false">IF($K862=FALSE(),"",COUNTIF($K$6:$K862,TRUE()))</f>
        <v/>
      </c>
      <c r="M862" s="6" t="str">
        <f aca="false">IF($L862="","","R"&amp;$L862)</f>
        <v/>
      </c>
    </row>
    <row r="863" customFormat="false" ht="15" hidden="false" customHeight="true" outlineLevel="0" collapsed="false">
      <c r="K863" s="21" t="b">
        <f aca="false">IF(반품접수!$A860="",FALSE(),OR(반품접수!$O860="미처리",반품접수!$O860="부분처리"))</f>
        <v>0</v>
      </c>
      <c r="L863" s="6" t="str">
        <f aca="false">IF($K863=FALSE(),"",COUNTIF($K$6:$K863,TRUE()))</f>
        <v/>
      </c>
      <c r="M863" s="6" t="str">
        <f aca="false">IF($L863="","","R"&amp;$L863)</f>
        <v/>
      </c>
    </row>
    <row r="864" customFormat="false" ht="15" hidden="false" customHeight="true" outlineLevel="0" collapsed="false">
      <c r="K864" s="21" t="b">
        <f aca="false">IF(반품접수!$A861="",FALSE(),OR(반품접수!$O861="미처리",반품접수!$O861="부분처리"))</f>
        <v>0</v>
      </c>
      <c r="L864" s="6" t="str">
        <f aca="false">IF($K864=FALSE(),"",COUNTIF($K$6:$K864,TRUE()))</f>
        <v/>
      </c>
      <c r="M864" s="6" t="str">
        <f aca="false">IF($L864="","","R"&amp;$L864)</f>
        <v/>
      </c>
    </row>
    <row r="865" customFormat="false" ht="15" hidden="false" customHeight="true" outlineLevel="0" collapsed="false">
      <c r="K865" s="21" t="b">
        <f aca="false">IF(반품접수!$A862="",FALSE(),OR(반품접수!$O862="미처리",반품접수!$O862="부분처리"))</f>
        <v>0</v>
      </c>
      <c r="L865" s="6" t="str">
        <f aca="false">IF($K865=FALSE(),"",COUNTIF($K$6:$K865,TRUE()))</f>
        <v/>
      </c>
      <c r="M865" s="6" t="str">
        <f aca="false">IF($L865="","","R"&amp;$L865)</f>
        <v/>
      </c>
    </row>
    <row r="866" customFormat="false" ht="15" hidden="false" customHeight="true" outlineLevel="0" collapsed="false">
      <c r="K866" s="21" t="b">
        <f aca="false">IF(반품접수!$A863="",FALSE(),OR(반품접수!$O863="미처리",반품접수!$O863="부분처리"))</f>
        <v>0</v>
      </c>
      <c r="L866" s="6" t="str">
        <f aca="false">IF($K866=FALSE(),"",COUNTIF($K$6:$K866,TRUE()))</f>
        <v/>
      </c>
      <c r="M866" s="6" t="str">
        <f aca="false">IF($L866="","","R"&amp;$L866)</f>
        <v/>
      </c>
    </row>
    <row r="867" customFormat="false" ht="15" hidden="false" customHeight="true" outlineLevel="0" collapsed="false">
      <c r="K867" s="21" t="b">
        <f aca="false">IF(반품접수!$A864="",FALSE(),OR(반품접수!$O864="미처리",반품접수!$O864="부분처리"))</f>
        <v>0</v>
      </c>
      <c r="L867" s="6" t="str">
        <f aca="false">IF($K867=FALSE(),"",COUNTIF($K$6:$K867,TRUE()))</f>
        <v/>
      </c>
      <c r="M867" s="6" t="str">
        <f aca="false">IF($L867="","","R"&amp;$L867)</f>
        <v/>
      </c>
    </row>
    <row r="868" customFormat="false" ht="15" hidden="false" customHeight="true" outlineLevel="0" collapsed="false">
      <c r="K868" s="21" t="b">
        <f aca="false">IF(반품접수!$A865="",FALSE(),OR(반품접수!$O865="미처리",반품접수!$O865="부분처리"))</f>
        <v>0</v>
      </c>
      <c r="L868" s="6" t="str">
        <f aca="false">IF($K868=FALSE(),"",COUNTIF($K$6:$K868,TRUE()))</f>
        <v/>
      </c>
      <c r="M868" s="6" t="str">
        <f aca="false">IF($L868="","","R"&amp;$L868)</f>
        <v/>
      </c>
    </row>
    <row r="869" customFormat="false" ht="15" hidden="false" customHeight="true" outlineLevel="0" collapsed="false">
      <c r="K869" s="21" t="b">
        <f aca="false">IF(반품접수!$A866="",FALSE(),OR(반품접수!$O866="미처리",반품접수!$O866="부분처리"))</f>
        <v>0</v>
      </c>
      <c r="L869" s="6" t="str">
        <f aca="false">IF($K869=FALSE(),"",COUNTIF($K$6:$K869,TRUE()))</f>
        <v/>
      </c>
      <c r="M869" s="6" t="str">
        <f aca="false">IF($L869="","","R"&amp;$L869)</f>
        <v/>
      </c>
    </row>
    <row r="870" customFormat="false" ht="15" hidden="false" customHeight="true" outlineLevel="0" collapsed="false">
      <c r="K870" s="21" t="b">
        <f aca="false">IF(반품접수!$A867="",FALSE(),OR(반품접수!$O867="미처리",반품접수!$O867="부분처리"))</f>
        <v>0</v>
      </c>
      <c r="L870" s="6" t="str">
        <f aca="false">IF($K870=FALSE(),"",COUNTIF($K$6:$K870,TRUE()))</f>
        <v/>
      </c>
      <c r="M870" s="6" t="str">
        <f aca="false">IF($L870="","","R"&amp;$L870)</f>
        <v/>
      </c>
    </row>
    <row r="871" customFormat="false" ht="15" hidden="false" customHeight="true" outlineLevel="0" collapsed="false">
      <c r="K871" s="21" t="b">
        <f aca="false">IF(반품접수!$A868="",FALSE(),OR(반품접수!$O868="미처리",반품접수!$O868="부분처리"))</f>
        <v>0</v>
      </c>
      <c r="L871" s="6" t="str">
        <f aca="false">IF($K871=FALSE(),"",COUNTIF($K$6:$K871,TRUE()))</f>
        <v/>
      </c>
      <c r="M871" s="6" t="str">
        <f aca="false">IF($L871="","","R"&amp;$L871)</f>
        <v/>
      </c>
    </row>
    <row r="872" customFormat="false" ht="15" hidden="false" customHeight="true" outlineLevel="0" collapsed="false">
      <c r="K872" s="21" t="b">
        <f aca="false">IF(반품접수!$A869="",FALSE(),OR(반품접수!$O869="미처리",반품접수!$O869="부분처리"))</f>
        <v>0</v>
      </c>
      <c r="L872" s="6" t="str">
        <f aca="false">IF($K872=FALSE(),"",COUNTIF($K$6:$K872,TRUE()))</f>
        <v/>
      </c>
      <c r="M872" s="6" t="str">
        <f aca="false">IF($L872="","","R"&amp;$L872)</f>
        <v/>
      </c>
    </row>
    <row r="873" customFormat="false" ht="15" hidden="false" customHeight="true" outlineLevel="0" collapsed="false">
      <c r="K873" s="21" t="b">
        <f aca="false">IF(반품접수!$A870="",FALSE(),OR(반품접수!$O870="미처리",반품접수!$O870="부분처리"))</f>
        <v>0</v>
      </c>
      <c r="L873" s="6" t="str">
        <f aca="false">IF($K873=FALSE(),"",COUNTIF($K$6:$K873,TRUE()))</f>
        <v/>
      </c>
      <c r="M873" s="6" t="str">
        <f aca="false">IF($L873="","","R"&amp;$L873)</f>
        <v/>
      </c>
    </row>
    <row r="874" customFormat="false" ht="15" hidden="false" customHeight="true" outlineLevel="0" collapsed="false">
      <c r="K874" s="21" t="b">
        <f aca="false">IF(반품접수!$A871="",FALSE(),OR(반품접수!$O871="미처리",반품접수!$O871="부분처리"))</f>
        <v>0</v>
      </c>
      <c r="L874" s="6" t="str">
        <f aca="false">IF($K874=FALSE(),"",COUNTIF($K$6:$K874,TRUE()))</f>
        <v/>
      </c>
      <c r="M874" s="6" t="str">
        <f aca="false">IF($L874="","","R"&amp;$L874)</f>
        <v/>
      </c>
    </row>
    <row r="875" customFormat="false" ht="15" hidden="false" customHeight="true" outlineLevel="0" collapsed="false">
      <c r="K875" s="21" t="b">
        <f aca="false">IF(반품접수!$A872="",FALSE(),OR(반품접수!$O872="미처리",반품접수!$O872="부분처리"))</f>
        <v>0</v>
      </c>
      <c r="L875" s="6" t="str">
        <f aca="false">IF($K875=FALSE(),"",COUNTIF($K$6:$K875,TRUE()))</f>
        <v/>
      </c>
      <c r="M875" s="6" t="str">
        <f aca="false">IF($L875="","","R"&amp;$L875)</f>
        <v/>
      </c>
    </row>
    <row r="876" customFormat="false" ht="15" hidden="false" customHeight="true" outlineLevel="0" collapsed="false">
      <c r="K876" s="21" t="b">
        <f aca="false">IF(반품접수!$A873="",FALSE(),OR(반품접수!$O873="미처리",반품접수!$O873="부분처리"))</f>
        <v>0</v>
      </c>
      <c r="L876" s="6" t="str">
        <f aca="false">IF($K876=FALSE(),"",COUNTIF($K$6:$K876,TRUE()))</f>
        <v/>
      </c>
      <c r="M876" s="6" t="str">
        <f aca="false">IF($L876="","","R"&amp;$L876)</f>
        <v/>
      </c>
    </row>
    <row r="877" customFormat="false" ht="15" hidden="false" customHeight="true" outlineLevel="0" collapsed="false">
      <c r="K877" s="21" t="b">
        <f aca="false">IF(반품접수!$A874="",FALSE(),OR(반품접수!$O874="미처리",반품접수!$O874="부분처리"))</f>
        <v>0</v>
      </c>
      <c r="L877" s="6" t="str">
        <f aca="false">IF($K877=FALSE(),"",COUNTIF($K$6:$K877,TRUE()))</f>
        <v/>
      </c>
      <c r="M877" s="6" t="str">
        <f aca="false">IF($L877="","","R"&amp;$L877)</f>
        <v/>
      </c>
    </row>
    <row r="878" customFormat="false" ht="15" hidden="false" customHeight="true" outlineLevel="0" collapsed="false">
      <c r="K878" s="21" t="b">
        <f aca="false">IF(반품접수!$A875="",FALSE(),OR(반품접수!$O875="미처리",반품접수!$O875="부분처리"))</f>
        <v>0</v>
      </c>
      <c r="L878" s="6" t="str">
        <f aca="false">IF($K878=FALSE(),"",COUNTIF($K$6:$K878,TRUE()))</f>
        <v/>
      </c>
      <c r="M878" s="6" t="str">
        <f aca="false">IF($L878="","","R"&amp;$L878)</f>
        <v/>
      </c>
    </row>
    <row r="879" customFormat="false" ht="15" hidden="false" customHeight="true" outlineLevel="0" collapsed="false">
      <c r="K879" s="21" t="b">
        <f aca="false">IF(반품접수!$A876="",FALSE(),OR(반품접수!$O876="미처리",반품접수!$O876="부분처리"))</f>
        <v>0</v>
      </c>
      <c r="L879" s="6" t="str">
        <f aca="false">IF($K879=FALSE(),"",COUNTIF($K$6:$K879,TRUE()))</f>
        <v/>
      </c>
      <c r="M879" s="6" t="str">
        <f aca="false">IF($L879="","","R"&amp;$L879)</f>
        <v/>
      </c>
    </row>
    <row r="880" customFormat="false" ht="15" hidden="false" customHeight="true" outlineLevel="0" collapsed="false">
      <c r="K880" s="21" t="b">
        <f aca="false">IF(반품접수!$A877="",FALSE(),OR(반품접수!$O877="미처리",반품접수!$O877="부분처리"))</f>
        <v>0</v>
      </c>
      <c r="L880" s="6" t="str">
        <f aca="false">IF($K880=FALSE(),"",COUNTIF($K$6:$K880,TRUE()))</f>
        <v/>
      </c>
      <c r="M880" s="6" t="str">
        <f aca="false">IF($L880="","","R"&amp;$L880)</f>
        <v/>
      </c>
    </row>
    <row r="881" customFormat="false" ht="15" hidden="false" customHeight="true" outlineLevel="0" collapsed="false">
      <c r="K881" s="21" t="b">
        <f aca="false">IF(반품접수!$A878="",FALSE(),OR(반품접수!$O878="미처리",반품접수!$O878="부분처리"))</f>
        <v>0</v>
      </c>
      <c r="L881" s="6" t="str">
        <f aca="false">IF($K881=FALSE(),"",COUNTIF($K$6:$K881,TRUE()))</f>
        <v/>
      </c>
      <c r="M881" s="6" t="str">
        <f aca="false">IF($L881="","","R"&amp;$L881)</f>
        <v/>
      </c>
    </row>
    <row r="882" customFormat="false" ht="15" hidden="false" customHeight="true" outlineLevel="0" collapsed="false">
      <c r="K882" s="21" t="b">
        <f aca="false">IF(반품접수!$A879="",FALSE(),OR(반품접수!$O879="미처리",반품접수!$O879="부분처리"))</f>
        <v>0</v>
      </c>
      <c r="L882" s="6" t="str">
        <f aca="false">IF($K882=FALSE(),"",COUNTIF($K$6:$K882,TRUE()))</f>
        <v/>
      </c>
      <c r="M882" s="6" t="str">
        <f aca="false">IF($L882="","","R"&amp;$L882)</f>
        <v/>
      </c>
    </row>
    <row r="883" customFormat="false" ht="15" hidden="false" customHeight="true" outlineLevel="0" collapsed="false">
      <c r="K883" s="21" t="b">
        <f aca="false">IF(반품접수!$A880="",FALSE(),OR(반품접수!$O880="미처리",반품접수!$O880="부분처리"))</f>
        <v>0</v>
      </c>
      <c r="L883" s="6" t="str">
        <f aca="false">IF($K883=FALSE(),"",COUNTIF($K$6:$K883,TRUE()))</f>
        <v/>
      </c>
      <c r="M883" s="6" t="str">
        <f aca="false">IF($L883="","","R"&amp;$L883)</f>
        <v/>
      </c>
    </row>
    <row r="884" customFormat="false" ht="15" hidden="false" customHeight="true" outlineLevel="0" collapsed="false">
      <c r="K884" s="21" t="b">
        <f aca="false">IF(반품접수!$A881="",FALSE(),OR(반품접수!$O881="미처리",반품접수!$O881="부분처리"))</f>
        <v>0</v>
      </c>
      <c r="L884" s="6" t="str">
        <f aca="false">IF($K884=FALSE(),"",COUNTIF($K$6:$K884,TRUE()))</f>
        <v/>
      </c>
      <c r="M884" s="6" t="str">
        <f aca="false">IF($L884="","","R"&amp;$L884)</f>
        <v/>
      </c>
    </row>
    <row r="885" customFormat="false" ht="15" hidden="false" customHeight="true" outlineLevel="0" collapsed="false">
      <c r="K885" s="21" t="b">
        <f aca="false">IF(반품접수!$A882="",FALSE(),OR(반품접수!$O882="미처리",반품접수!$O882="부분처리"))</f>
        <v>0</v>
      </c>
      <c r="L885" s="6" t="str">
        <f aca="false">IF($K885=FALSE(),"",COUNTIF($K$6:$K885,TRUE()))</f>
        <v/>
      </c>
      <c r="M885" s="6" t="str">
        <f aca="false">IF($L885="","","R"&amp;$L885)</f>
        <v/>
      </c>
    </row>
    <row r="886" customFormat="false" ht="15" hidden="false" customHeight="true" outlineLevel="0" collapsed="false">
      <c r="K886" s="21" t="b">
        <f aca="false">IF(반품접수!$A883="",FALSE(),OR(반품접수!$O883="미처리",반품접수!$O883="부분처리"))</f>
        <v>0</v>
      </c>
      <c r="L886" s="6" t="str">
        <f aca="false">IF($K886=FALSE(),"",COUNTIF($K$6:$K886,TRUE()))</f>
        <v/>
      </c>
      <c r="M886" s="6" t="str">
        <f aca="false">IF($L886="","","R"&amp;$L886)</f>
        <v/>
      </c>
    </row>
    <row r="887" customFormat="false" ht="15" hidden="false" customHeight="true" outlineLevel="0" collapsed="false">
      <c r="K887" s="21" t="b">
        <f aca="false">IF(반품접수!$A884="",FALSE(),OR(반품접수!$O884="미처리",반품접수!$O884="부분처리"))</f>
        <v>0</v>
      </c>
      <c r="L887" s="6" t="str">
        <f aca="false">IF($K887=FALSE(),"",COUNTIF($K$6:$K887,TRUE()))</f>
        <v/>
      </c>
      <c r="M887" s="6" t="str">
        <f aca="false">IF($L887="","","R"&amp;$L887)</f>
        <v/>
      </c>
    </row>
    <row r="888" customFormat="false" ht="15" hidden="false" customHeight="true" outlineLevel="0" collapsed="false">
      <c r="K888" s="21" t="b">
        <f aca="false">IF(반품접수!$A885="",FALSE(),OR(반품접수!$O885="미처리",반품접수!$O885="부분처리"))</f>
        <v>0</v>
      </c>
      <c r="L888" s="6" t="str">
        <f aca="false">IF($K888=FALSE(),"",COUNTIF($K$6:$K888,TRUE()))</f>
        <v/>
      </c>
      <c r="M888" s="6" t="str">
        <f aca="false">IF($L888="","","R"&amp;$L888)</f>
        <v/>
      </c>
    </row>
    <row r="889" customFormat="false" ht="15" hidden="false" customHeight="true" outlineLevel="0" collapsed="false">
      <c r="K889" s="21" t="b">
        <f aca="false">IF(반품접수!$A886="",FALSE(),OR(반품접수!$O886="미처리",반품접수!$O886="부분처리"))</f>
        <v>0</v>
      </c>
      <c r="L889" s="6" t="str">
        <f aca="false">IF($K889=FALSE(),"",COUNTIF($K$6:$K889,TRUE()))</f>
        <v/>
      </c>
      <c r="M889" s="6" t="str">
        <f aca="false">IF($L889="","","R"&amp;$L889)</f>
        <v/>
      </c>
    </row>
    <row r="890" customFormat="false" ht="15" hidden="false" customHeight="true" outlineLevel="0" collapsed="false">
      <c r="K890" s="21" t="b">
        <f aca="false">IF(반품접수!$A887="",FALSE(),OR(반품접수!$O887="미처리",반품접수!$O887="부분처리"))</f>
        <v>0</v>
      </c>
      <c r="L890" s="6" t="str">
        <f aca="false">IF($K890=FALSE(),"",COUNTIF($K$6:$K890,TRUE()))</f>
        <v/>
      </c>
      <c r="M890" s="6" t="str">
        <f aca="false">IF($L890="","","R"&amp;$L890)</f>
        <v/>
      </c>
    </row>
    <row r="891" customFormat="false" ht="15" hidden="false" customHeight="true" outlineLevel="0" collapsed="false">
      <c r="K891" s="21" t="b">
        <f aca="false">IF(반품접수!$A888="",FALSE(),OR(반품접수!$O888="미처리",반품접수!$O888="부분처리"))</f>
        <v>0</v>
      </c>
      <c r="L891" s="6" t="str">
        <f aca="false">IF($K891=FALSE(),"",COUNTIF($K$6:$K891,TRUE()))</f>
        <v/>
      </c>
      <c r="M891" s="6" t="str">
        <f aca="false">IF($L891="","","R"&amp;$L891)</f>
        <v/>
      </c>
    </row>
    <row r="892" customFormat="false" ht="15" hidden="false" customHeight="true" outlineLevel="0" collapsed="false">
      <c r="K892" s="21" t="b">
        <f aca="false">IF(반품접수!$A889="",FALSE(),OR(반품접수!$O889="미처리",반품접수!$O889="부분처리"))</f>
        <v>0</v>
      </c>
      <c r="L892" s="6" t="str">
        <f aca="false">IF($K892=FALSE(),"",COUNTIF($K$6:$K892,TRUE()))</f>
        <v/>
      </c>
      <c r="M892" s="6" t="str">
        <f aca="false">IF($L892="","","R"&amp;$L892)</f>
        <v/>
      </c>
    </row>
    <row r="893" customFormat="false" ht="15" hidden="false" customHeight="true" outlineLevel="0" collapsed="false">
      <c r="K893" s="21" t="b">
        <f aca="false">IF(반품접수!$A890="",FALSE(),OR(반품접수!$O890="미처리",반품접수!$O890="부분처리"))</f>
        <v>0</v>
      </c>
      <c r="L893" s="6" t="str">
        <f aca="false">IF($K893=FALSE(),"",COUNTIF($K$6:$K893,TRUE()))</f>
        <v/>
      </c>
      <c r="M893" s="6" t="str">
        <f aca="false">IF($L893="","","R"&amp;$L893)</f>
        <v/>
      </c>
    </row>
    <row r="894" customFormat="false" ht="15" hidden="false" customHeight="true" outlineLevel="0" collapsed="false">
      <c r="K894" s="21" t="b">
        <f aca="false">IF(반품접수!$A891="",FALSE(),OR(반품접수!$O891="미처리",반품접수!$O891="부분처리"))</f>
        <v>0</v>
      </c>
      <c r="L894" s="6" t="str">
        <f aca="false">IF($K894=FALSE(),"",COUNTIF($K$6:$K894,TRUE()))</f>
        <v/>
      </c>
      <c r="M894" s="6" t="str">
        <f aca="false">IF($L894="","","R"&amp;$L894)</f>
        <v/>
      </c>
    </row>
    <row r="895" customFormat="false" ht="15" hidden="false" customHeight="true" outlineLevel="0" collapsed="false">
      <c r="K895" s="21" t="b">
        <f aca="false">IF(반품접수!$A892="",FALSE(),OR(반품접수!$O892="미처리",반품접수!$O892="부분처리"))</f>
        <v>0</v>
      </c>
      <c r="L895" s="6" t="str">
        <f aca="false">IF($K895=FALSE(),"",COUNTIF($K$6:$K895,TRUE()))</f>
        <v/>
      </c>
      <c r="M895" s="6" t="str">
        <f aca="false">IF($L895="","","R"&amp;$L895)</f>
        <v/>
      </c>
    </row>
    <row r="896" customFormat="false" ht="15" hidden="false" customHeight="true" outlineLevel="0" collapsed="false">
      <c r="K896" s="21" t="b">
        <f aca="false">IF(반품접수!$A893="",FALSE(),OR(반품접수!$O893="미처리",반품접수!$O893="부분처리"))</f>
        <v>0</v>
      </c>
      <c r="L896" s="6" t="str">
        <f aca="false">IF($K896=FALSE(),"",COUNTIF($K$6:$K896,TRUE()))</f>
        <v/>
      </c>
      <c r="M896" s="6" t="str">
        <f aca="false">IF($L896="","","R"&amp;$L896)</f>
        <v/>
      </c>
    </row>
    <row r="897" customFormat="false" ht="15" hidden="false" customHeight="true" outlineLevel="0" collapsed="false">
      <c r="K897" s="21" t="b">
        <f aca="false">IF(반품접수!$A894="",FALSE(),OR(반품접수!$O894="미처리",반품접수!$O894="부분처리"))</f>
        <v>0</v>
      </c>
      <c r="L897" s="6" t="str">
        <f aca="false">IF($K897=FALSE(),"",COUNTIF($K$6:$K897,TRUE()))</f>
        <v/>
      </c>
      <c r="M897" s="6" t="str">
        <f aca="false">IF($L897="","","R"&amp;$L897)</f>
        <v/>
      </c>
    </row>
    <row r="898" customFormat="false" ht="15" hidden="false" customHeight="true" outlineLevel="0" collapsed="false">
      <c r="K898" s="21" t="b">
        <f aca="false">IF(반품접수!$A895="",FALSE(),OR(반품접수!$O895="미처리",반품접수!$O895="부분처리"))</f>
        <v>0</v>
      </c>
      <c r="L898" s="6" t="str">
        <f aca="false">IF($K898=FALSE(),"",COUNTIF($K$6:$K898,TRUE()))</f>
        <v/>
      </c>
      <c r="M898" s="6" t="str">
        <f aca="false">IF($L898="","","R"&amp;$L898)</f>
        <v/>
      </c>
    </row>
    <row r="899" customFormat="false" ht="15" hidden="false" customHeight="true" outlineLevel="0" collapsed="false">
      <c r="K899" s="21" t="b">
        <f aca="false">IF(반품접수!$A896="",FALSE(),OR(반품접수!$O896="미처리",반품접수!$O896="부분처리"))</f>
        <v>0</v>
      </c>
      <c r="L899" s="6" t="str">
        <f aca="false">IF($K899=FALSE(),"",COUNTIF($K$6:$K899,TRUE()))</f>
        <v/>
      </c>
      <c r="M899" s="6" t="str">
        <f aca="false">IF($L899="","","R"&amp;$L899)</f>
        <v/>
      </c>
    </row>
    <row r="900" customFormat="false" ht="15" hidden="false" customHeight="true" outlineLevel="0" collapsed="false">
      <c r="K900" s="21" t="b">
        <f aca="false">IF(반품접수!$A897="",FALSE(),OR(반품접수!$O897="미처리",반품접수!$O897="부분처리"))</f>
        <v>0</v>
      </c>
      <c r="L900" s="6" t="str">
        <f aca="false">IF($K900=FALSE(),"",COUNTIF($K$6:$K900,TRUE()))</f>
        <v/>
      </c>
      <c r="M900" s="6" t="str">
        <f aca="false">IF($L900="","","R"&amp;$L900)</f>
        <v/>
      </c>
    </row>
    <row r="901" customFormat="false" ht="15" hidden="false" customHeight="true" outlineLevel="0" collapsed="false">
      <c r="K901" s="21" t="b">
        <f aca="false">IF(반품접수!$A898="",FALSE(),OR(반품접수!$O898="미처리",반품접수!$O898="부분처리"))</f>
        <v>0</v>
      </c>
      <c r="L901" s="6" t="str">
        <f aca="false">IF($K901=FALSE(),"",COUNTIF($K$6:$K901,TRUE()))</f>
        <v/>
      </c>
      <c r="M901" s="6" t="str">
        <f aca="false">IF($L901="","","R"&amp;$L901)</f>
        <v/>
      </c>
    </row>
    <row r="902" customFormat="false" ht="15" hidden="false" customHeight="true" outlineLevel="0" collapsed="false">
      <c r="K902" s="21" t="b">
        <f aca="false">IF(반품접수!$A899="",FALSE(),OR(반품접수!$O899="미처리",반품접수!$O899="부분처리"))</f>
        <v>0</v>
      </c>
      <c r="L902" s="6" t="str">
        <f aca="false">IF($K902=FALSE(),"",COUNTIF($K$6:$K902,TRUE()))</f>
        <v/>
      </c>
      <c r="M902" s="6" t="str">
        <f aca="false">IF($L902="","","R"&amp;$L902)</f>
        <v/>
      </c>
    </row>
    <row r="903" customFormat="false" ht="15" hidden="false" customHeight="true" outlineLevel="0" collapsed="false">
      <c r="K903" s="21" t="b">
        <f aca="false">IF(반품접수!$A900="",FALSE(),OR(반품접수!$O900="미처리",반품접수!$O900="부분처리"))</f>
        <v>0</v>
      </c>
      <c r="L903" s="6" t="str">
        <f aca="false">IF($K903=FALSE(),"",COUNTIF($K$6:$K903,TRUE()))</f>
        <v/>
      </c>
      <c r="M903" s="6" t="str">
        <f aca="false">IF($L903="","","R"&amp;$L903)</f>
        <v/>
      </c>
    </row>
    <row r="904" customFormat="false" ht="15" hidden="false" customHeight="true" outlineLevel="0" collapsed="false">
      <c r="K904" s="21" t="b">
        <f aca="false">IF(반품접수!$A901="",FALSE(),OR(반품접수!$O901="미처리",반품접수!$O901="부분처리"))</f>
        <v>0</v>
      </c>
      <c r="L904" s="6" t="str">
        <f aca="false">IF($K904=FALSE(),"",COUNTIF($K$6:$K904,TRUE()))</f>
        <v/>
      </c>
      <c r="M904" s="6" t="str">
        <f aca="false">IF($L904="","","R"&amp;$L904)</f>
        <v/>
      </c>
    </row>
    <row r="905" customFormat="false" ht="15" hidden="false" customHeight="true" outlineLevel="0" collapsed="false">
      <c r="K905" s="21" t="b">
        <f aca="false">IF(반품접수!$A902="",FALSE(),OR(반품접수!$O902="미처리",반품접수!$O902="부분처리"))</f>
        <v>0</v>
      </c>
      <c r="L905" s="6" t="str">
        <f aca="false">IF($K905=FALSE(),"",COUNTIF($K$6:$K905,TRUE()))</f>
        <v/>
      </c>
      <c r="M905" s="6" t="str">
        <f aca="false">IF($L905="","","R"&amp;$L905)</f>
        <v/>
      </c>
    </row>
    <row r="906" customFormat="false" ht="15" hidden="false" customHeight="true" outlineLevel="0" collapsed="false">
      <c r="K906" s="21" t="b">
        <f aca="false">IF(반품접수!$A903="",FALSE(),OR(반품접수!$O903="미처리",반품접수!$O903="부분처리"))</f>
        <v>0</v>
      </c>
      <c r="L906" s="6" t="str">
        <f aca="false">IF($K906=FALSE(),"",COUNTIF($K$6:$K906,TRUE()))</f>
        <v/>
      </c>
      <c r="M906" s="6" t="str">
        <f aca="false">IF($L906="","","R"&amp;$L906)</f>
        <v/>
      </c>
    </row>
    <row r="907" customFormat="false" ht="15" hidden="false" customHeight="true" outlineLevel="0" collapsed="false">
      <c r="K907" s="21" t="b">
        <f aca="false">IF(반품접수!$A904="",FALSE(),OR(반품접수!$O904="미처리",반품접수!$O904="부분처리"))</f>
        <v>0</v>
      </c>
      <c r="L907" s="6" t="str">
        <f aca="false">IF($K907=FALSE(),"",COUNTIF($K$6:$K907,TRUE()))</f>
        <v/>
      </c>
      <c r="M907" s="6" t="str">
        <f aca="false">IF($L907="","","R"&amp;$L907)</f>
        <v/>
      </c>
    </row>
    <row r="908" customFormat="false" ht="15" hidden="false" customHeight="true" outlineLevel="0" collapsed="false">
      <c r="K908" s="21" t="b">
        <f aca="false">IF(반품접수!$A905="",FALSE(),OR(반품접수!$O905="미처리",반품접수!$O905="부분처리"))</f>
        <v>0</v>
      </c>
      <c r="L908" s="6" t="str">
        <f aca="false">IF($K908=FALSE(),"",COUNTIF($K$6:$K908,TRUE()))</f>
        <v/>
      </c>
      <c r="M908" s="6" t="str">
        <f aca="false">IF($L908="","","R"&amp;$L908)</f>
        <v/>
      </c>
    </row>
    <row r="909" customFormat="false" ht="15" hidden="false" customHeight="true" outlineLevel="0" collapsed="false">
      <c r="K909" s="21" t="b">
        <f aca="false">IF(반품접수!$A906="",FALSE(),OR(반품접수!$O906="미처리",반품접수!$O906="부분처리"))</f>
        <v>0</v>
      </c>
      <c r="L909" s="6" t="str">
        <f aca="false">IF($K909=FALSE(),"",COUNTIF($K$6:$K909,TRUE()))</f>
        <v/>
      </c>
      <c r="M909" s="6" t="str">
        <f aca="false">IF($L909="","","R"&amp;$L909)</f>
        <v/>
      </c>
    </row>
    <row r="910" customFormat="false" ht="15" hidden="false" customHeight="true" outlineLevel="0" collapsed="false">
      <c r="K910" s="21" t="b">
        <f aca="false">IF(반품접수!$A907="",FALSE(),OR(반품접수!$O907="미처리",반품접수!$O907="부분처리"))</f>
        <v>0</v>
      </c>
      <c r="L910" s="6" t="str">
        <f aca="false">IF($K910=FALSE(),"",COUNTIF($K$6:$K910,TRUE()))</f>
        <v/>
      </c>
      <c r="M910" s="6" t="str">
        <f aca="false">IF($L910="","","R"&amp;$L910)</f>
        <v/>
      </c>
    </row>
    <row r="911" customFormat="false" ht="15" hidden="false" customHeight="true" outlineLevel="0" collapsed="false">
      <c r="K911" s="21" t="b">
        <f aca="false">IF(반품접수!$A908="",FALSE(),OR(반품접수!$O908="미처리",반품접수!$O908="부분처리"))</f>
        <v>0</v>
      </c>
      <c r="L911" s="6" t="str">
        <f aca="false">IF($K911=FALSE(),"",COUNTIF($K$6:$K911,TRUE()))</f>
        <v/>
      </c>
      <c r="M911" s="6" t="str">
        <f aca="false">IF($L911="","","R"&amp;$L911)</f>
        <v/>
      </c>
    </row>
    <row r="912" customFormat="false" ht="15" hidden="false" customHeight="true" outlineLevel="0" collapsed="false">
      <c r="K912" s="21" t="b">
        <f aca="false">IF(반품접수!$A909="",FALSE(),OR(반품접수!$O909="미처리",반품접수!$O909="부분처리"))</f>
        <v>0</v>
      </c>
      <c r="L912" s="6" t="str">
        <f aca="false">IF($K912=FALSE(),"",COUNTIF($K$6:$K912,TRUE()))</f>
        <v/>
      </c>
      <c r="M912" s="6" t="str">
        <f aca="false">IF($L912="","","R"&amp;$L912)</f>
        <v/>
      </c>
    </row>
    <row r="913" customFormat="false" ht="15" hidden="false" customHeight="true" outlineLevel="0" collapsed="false">
      <c r="K913" s="21" t="b">
        <f aca="false">IF(반품접수!$A910="",FALSE(),OR(반품접수!$O910="미처리",반품접수!$O910="부분처리"))</f>
        <v>0</v>
      </c>
      <c r="L913" s="6" t="str">
        <f aca="false">IF($K913=FALSE(),"",COUNTIF($K$6:$K913,TRUE()))</f>
        <v/>
      </c>
      <c r="M913" s="6" t="str">
        <f aca="false">IF($L913="","","R"&amp;$L913)</f>
        <v/>
      </c>
    </row>
    <row r="914" customFormat="false" ht="15" hidden="false" customHeight="true" outlineLevel="0" collapsed="false">
      <c r="K914" s="21" t="b">
        <f aca="false">IF(반품접수!$A911="",FALSE(),OR(반품접수!$O911="미처리",반품접수!$O911="부분처리"))</f>
        <v>0</v>
      </c>
      <c r="L914" s="6" t="str">
        <f aca="false">IF($K914=FALSE(),"",COUNTIF($K$6:$K914,TRUE()))</f>
        <v/>
      </c>
      <c r="M914" s="6" t="str">
        <f aca="false">IF($L914="","","R"&amp;$L914)</f>
        <v/>
      </c>
    </row>
    <row r="915" customFormat="false" ht="15" hidden="false" customHeight="true" outlineLevel="0" collapsed="false">
      <c r="K915" s="21" t="b">
        <f aca="false">IF(반품접수!$A912="",FALSE(),OR(반품접수!$O912="미처리",반품접수!$O912="부분처리"))</f>
        <v>0</v>
      </c>
      <c r="L915" s="6" t="str">
        <f aca="false">IF($K915=FALSE(),"",COUNTIF($K$6:$K915,TRUE()))</f>
        <v/>
      </c>
      <c r="M915" s="6" t="str">
        <f aca="false">IF($L915="","","R"&amp;$L915)</f>
        <v/>
      </c>
    </row>
    <row r="916" customFormat="false" ht="15" hidden="false" customHeight="true" outlineLevel="0" collapsed="false">
      <c r="K916" s="21" t="b">
        <f aca="false">IF(반품접수!$A913="",FALSE(),OR(반품접수!$O913="미처리",반품접수!$O913="부분처리"))</f>
        <v>0</v>
      </c>
      <c r="L916" s="6" t="str">
        <f aca="false">IF($K916=FALSE(),"",COUNTIF($K$6:$K916,TRUE()))</f>
        <v/>
      </c>
      <c r="M916" s="6" t="str">
        <f aca="false">IF($L916="","","R"&amp;$L916)</f>
        <v/>
      </c>
    </row>
    <row r="917" customFormat="false" ht="15" hidden="false" customHeight="true" outlineLevel="0" collapsed="false">
      <c r="K917" s="21" t="b">
        <f aca="false">IF(반품접수!$A914="",FALSE(),OR(반품접수!$O914="미처리",반품접수!$O914="부분처리"))</f>
        <v>0</v>
      </c>
      <c r="L917" s="6" t="str">
        <f aca="false">IF($K917=FALSE(),"",COUNTIF($K$6:$K917,TRUE()))</f>
        <v/>
      </c>
      <c r="M917" s="6" t="str">
        <f aca="false">IF($L917="","","R"&amp;$L917)</f>
        <v/>
      </c>
    </row>
    <row r="918" customFormat="false" ht="15" hidden="false" customHeight="true" outlineLevel="0" collapsed="false">
      <c r="K918" s="21" t="b">
        <f aca="false">IF(반품접수!$A915="",FALSE(),OR(반품접수!$O915="미처리",반품접수!$O915="부분처리"))</f>
        <v>0</v>
      </c>
      <c r="L918" s="6" t="str">
        <f aca="false">IF($K918=FALSE(),"",COUNTIF($K$6:$K918,TRUE()))</f>
        <v/>
      </c>
      <c r="M918" s="6" t="str">
        <f aca="false">IF($L918="","","R"&amp;$L918)</f>
        <v/>
      </c>
    </row>
    <row r="919" customFormat="false" ht="15" hidden="false" customHeight="true" outlineLevel="0" collapsed="false">
      <c r="K919" s="21" t="b">
        <f aca="false">IF(반품접수!$A916="",FALSE(),OR(반품접수!$O916="미처리",반품접수!$O916="부분처리"))</f>
        <v>0</v>
      </c>
      <c r="L919" s="6" t="str">
        <f aca="false">IF($K919=FALSE(),"",COUNTIF($K$6:$K919,TRUE()))</f>
        <v/>
      </c>
      <c r="M919" s="6" t="str">
        <f aca="false">IF($L919="","","R"&amp;$L919)</f>
        <v/>
      </c>
    </row>
    <row r="920" customFormat="false" ht="15" hidden="false" customHeight="true" outlineLevel="0" collapsed="false">
      <c r="K920" s="21" t="b">
        <f aca="false">IF(반품접수!$A917="",FALSE(),OR(반품접수!$O917="미처리",반품접수!$O917="부분처리"))</f>
        <v>0</v>
      </c>
      <c r="L920" s="6" t="str">
        <f aca="false">IF($K920=FALSE(),"",COUNTIF($K$6:$K920,TRUE()))</f>
        <v/>
      </c>
      <c r="M920" s="6" t="str">
        <f aca="false">IF($L920="","","R"&amp;$L920)</f>
        <v/>
      </c>
    </row>
    <row r="921" customFormat="false" ht="15" hidden="false" customHeight="true" outlineLevel="0" collapsed="false">
      <c r="K921" s="21" t="b">
        <f aca="false">IF(반품접수!$A918="",FALSE(),OR(반품접수!$O918="미처리",반품접수!$O918="부분처리"))</f>
        <v>0</v>
      </c>
      <c r="L921" s="6" t="str">
        <f aca="false">IF($K921=FALSE(),"",COUNTIF($K$6:$K921,TRUE()))</f>
        <v/>
      </c>
      <c r="M921" s="6" t="str">
        <f aca="false">IF($L921="","","R"&amp;$L921)</f>
        <v/>
      </c>
    </row>
    <row r="922" customFormat="false" ht="15" hidden="false" customHeight="true" outlineLevel="0" collapsed="false">
      <c r="K922" s="21" t="b">
        <f aca="false">IF(반품접수!$A919="",FALSE(),OR(반품접수!$O919="미처리",반품접수!$O919="부분처리"))</f>
        <v>0</v>
      </c>
      <c r="L922" s="6" t="str">
        <f aca="false">IF($K922=FALSE(),"",COUNTIF($K$6:$K922,TRUE()))</f>
        <v/>
      </c>
      <c r="M922" s="6" t="str">
        <f aca="false">IF($L922="","","R"&amp;$L922)</f>
        <v/>
      </c>
    </row>
    <row r="923" customFormat="false" ht="15" hidden="false" customHeight="true" outlineLevel="0" collapsed="false">
      <c r="K923" s="21" t="b">
        <f aca="false">IF(반품접수!$A920="",FALSE(),OR(반품접수!$O920="미처리",반품접수!$O920="부분처리"))</f>
        <v>0</v>
      </c>
      <c r="L923" s="6" t="str">
        <f aca="false">IF($K923=FALSE(),"",COUNTIF($K$6:$K923,TRUE()))</f>
        <v/>
      </c>
      <c r="M923" s="6" t="str">
        <f aca="false">IF($L923="","","R"&amp;$L923)</f>
        <v/>
      </c>
    </row>
    <row r="924" customFormat="false" ht="15" hidden="false" customHeight="true" outlineLevel="0" collapsed="false">
      <c r="K924" s="21" t="b">
        <f aca="false">IF(반품접수!$A921="",FALSE(),OR(반품접수!$O921="미처리",반품접수!$O921="부분처리"))</f>
        <v>0</v>
      </c>
      <c r="L924" s="6" t="str">
        <f aca="false">IF($K924=FALSE(),"",COUNTIF($K$6:$K924,TRUE()))</f>
        <v/>
      </c>
      <c r="M924" s="6" t="str">
        <f aca="false">IF($L924="","","R"&amp;$L924)</f>
        <v/>
      </c>
    </row>
    <row r="925" customFormat="false" ht="15" hidden="false" customHeight="true" outlineLevel="0" collapsed="false">
      <c r="K925" s="21" t="b">
        <f aca="false">IF(반품접수!$A922="",FALSE(),OR(반품접수!$O922="미처리",반품접수!$O922="부분처리"))</f>
        <v>0</v>
      </c>
      <c r="L925" s="6" t="str">
        <f aca="false">IF($K925=FALSE(),"",COUNTIF($K$6:$K925,TRUE()))</f>
        <v/>
      </c>
      <c r="M925" s="6" t="str">
        <f aca="false">IF($L925="","","R"&amp;$L925)</f>
        <v/>
      </c>
    </row>
    <row r="926" customFormat="false" ht="15" hidden="false" customHeight="true" outlineLevel="0" collapsed="false">
      <c r="K926" s="21" t="b">
        <f aca="false">IF(반품접수!$A923="",FALSE(),OR(반품접수!$O923="미처리",반품접수!$O923="부분처리"))</f>
        <v>0</v>
      </c>
      <c r="L926" s="6" t="str">
        <f aca="false">IF($K926=FALSE(),"",COUNTIF($K$6:$K926,TRUE()))</f>
        <v/>
      </c>
      <c r="M926" s="6" t="str">
        <f aca="false">IF($L926="","","R"&amp;$L926)</f>
        <v/>
      </c>
    </row>
    <row r="927" customFormat="false" ht="15" hidden="false" customHeight="true" outlineLevel="0" collapsed="false">
      <c r="K927" s="21" t="b">
        <f aca="false">IF(반품접수!$A924="",FALSE(),OR(반품접수!$O924="미처리",반품접수!$O924="부분처리"))</f>
        <v>0</v>
      </c>
      <c r="L927" s="6" t="str">
        <f aca="false">IF($K927=FALSE(),"",COUNTIF($K$6:$K927,TRUE()))</f>
        <v/>
      </c>
      <c r="M927" s="6" t="str">
        <f aca="false">IF($L927="","","R"&amp;$L927)</f>
        <v/>
      </c>
    </row>
    <row r="928" customFormat="false" ht="15" hidden="false" customHeight="true" outlineLevel="0" collapsed="false">
      <c r="K928" s="21" t="b">
        <f aca="false">IF(반품접수!$A925="",FALSE(),OR(반품접수!$O925="미처리",반품접수!$O925="부분처리"))</f>
        <v>0</v>
      </c>
      <c r="L928" s="6" t="str">
        <f aca="false">IF($K928=FALSE(),"",COUNTIF($K$6:$K928,TRUE()))</f>
        <v/>
      </c>
      <c r="M928" s="6" t="str">
        <f aca="false">IF($L928="","","R"&amp;$L928)</f>
        <v/>
      </c>
    </row>
    <row r="929" customFormat="false" ht="15" hidden="false" customHeight="true" outlineLevel="0" collapsed="false">
      <c r="K929" s="21" t="b">
        <f aca="false">IF(반품접수!$A926="",FALSE(),OR(반품접수!$O926="미처리",반품접수!$O926="부분처리"))</f>
        <v>0</v>
      </c>
      <c r="L929" s="6" t="str">
        <f aca="false">IF($K929=FALSE(),"",COUNTIF($K$6:$K929,TRUE()))</f>
        <v/>
      </c>
      <c r="M929" s="6" t="str">
        <f aca="false">IF($L929="","","R"&amp;$L929)</f>
        <v/>
      </c>
    </row>
    <row r="930" customFormat="false" ht="15" hidden="false" customHeight="true" outlineLevel="0" collapsed="false">
      <c r="K930" s="21" t="b">
        <f aca="false">IF(반품접수!$A927="",FALSE(),OR(반품접수!$O927="미처리",반품접수!$O927="부분처리"))</f>
        <v>0</v>
      </c>
      <c r="L930" s="6" t="str">
        <f aca="false">IF($K930=FALSE(),"",COUNTIF($K$6:$K930,TRUE()))</f>
        <v/>
      </c>
      <c r="M930" s="6" t="str">
        <f aca="false">IF($L930="","","R"&amp;$L930)</f>
        <v/>
      </c>
    </row>
    <row r="931" customFormat="false" ht="15" hidden="false" customHeight="true" outlineLevel="0" collapsed="false">
      <c r="K931" s="21" t="b">
        <f aca="false">IF(반품접수!$A928="",FALSE(),OR(반품접수!$O928="미처리",반품접수!$O928="부분처리"))</f>
        <v>0</v>
      </c>
      <c r="L931" s="6" t="str">
        <f aca="false">IF($K931=FALSE(),"",COUNTIF($K$6:$K931,TRUE()))</f>
        <v/>
      </c>
      <c r="M931" s="6" t="str">
        <f aca="false">IF($L931="","","R"&amp;$L931)</f>
        <v/>
      </c>
    </row>
    <row r="932" customFormat="false" ht="15" hidden="false" customHeight="true" outlineLevel="0" collapsed="false">
      <c r="K932" s="21" t="b">
        <f aca="false">IF(반품접수!$A929="",FALSE(),OR(반품접수!$O929="미처리",반품접수!$O929="부분처리"))</f>
        <v>0</v>
      </c>
      <c r="L932" s="6" t="str">
        <f aca="false">IF($K932=FALSE(),"",COUNTIF($K$6:$K932,TRUE()))</f>
        <v/>
      </c>
      <c r="M932" s="6" t="str">
        <f aca="false">IF($L932="","","R"&amp;$L932)</f>
        <v/>
      </c>
    </row>
    <row r="933" customFormat="false" ht="15" hidden="false" customHeight="true" outlineLevel="0" collapsed="false">
      <c r="K933" s="21" t="b">
        <f aca="false">IF(반품접수!$A930="",FALSE(),OR(반품접수!$O930="미처리",반품접수!$O930="부분처리"))</f>
        <v>0</v>
      </c>
      <c r="L933" s="6" t="str">
        <f aca="false">IF($K933=FALSE(),"",COUNTIF($K$6:$K933,TRUE()))</f>
        <v/>
      </c>
      <c r="M933" s="6" t="str">
        <f aca="false">IF($L933="","","R"&amp;$L933)</f>
        <v/>
      </c>
    </row>
    <row r="934" customFormat="false" ht="15" hidden="false" customHeight="true" outlineLevel="0" collapsed="false">
      <c r="K934" s="21" t="b">
        <f aca="false">IF(반품접수!$A931="",FALSE(),OR(반품접수!$O931="미처리",반품접수!$O931="부분처리"))</f>
        <v>0</v>
      </c>
      <c r="L934" s="6" t="str">
        <f aca="false">IF($K934=FALSE(),"",COUNTIF($K$6:$K934,TRUE()))</f>
        <v/>
      </c>
      <c r="M934" s="6" t="str">
        <f aca="false">IF($L934="","","R"&amp;$L934)</f>
        <v/>
      </c>
    </row>
    <row r="935" customFormat="false" ht="15" hidden="false" customHeight="true" outlineLevel="0" collapsed="false">
      <c r="K935" s="21" t="b">
        <f aca="false">IF(반품접수!$A932="",FALSE(),OR(반품접수!$O932="미처리",반품접수!$O932="부분처리"))</f>
        <v>0</v>
      </c>
      <c r="L935" s="6" t="str">
        <f aca="false">IF($K935=FALSE(),"",COUNTIF($K$6:$K935,TRUE()))</f>
        <v/>
      </c>
      <c r="M935" s="6" t="str">
        <f aca="false">IF($L935="","","R"&amp;$L935)</f>
        <v/>
      </c>
    </row>
    <row r="936" customFormat="false" ht="15" hidden="false" customHeight="true" outlineLevel="0" collapsed="false">
      <c r="K936" s="21" t="b">
        <f aca="false">IF(반품접수!$A933="",FALSE(),OR(반품접수!$O933="미처리",반품접수!$O933="부분처리"))</f>
        <v>0</v>
      </c>
      <c r="L936" s="6" t="str">
        <f aca="false">IF($K936=FALSE(),"",COUNTIF($K$6:$K936,TRUE()))</f>
        <v/>
      </c>
      <c r="M936" s="6" t="str">
        <f aca="false">IF($L936="","","R"&amp;$L936)</f>
        <v/>
      </c>
    </row>
    <row r="937" customFormat="false" ht="15" hidden="false" customHeight="true" outlineLevel="0" collapsed="false">
      <c r="K937" s="21" t="b">
        <f aca="false">IF(반품접수!$A934="",FALSE(),OR(반품접수!$O934="미처리",반품접수!$O934="부분처리"))</f>
        <v>0</v>
      </c>
      <c r="L937" s="6" t="str">
        <f aca="false">IF($K937=FALSE(),"",COUNTIF($K$6:$K937,TRUE()))</f>
        <v/>
      </c>
      <c r="M937" s="6" t="str">
        <f aca="false">IF($L937="","","R"&amp;$L937)</f>
        <v/>
      </c>
    </row>
    <row r="938" customFormat="false" ht="15" hidden="false" customHeight="true" outlineLevel="0" collapsed="false">
      <c r="K938" s="21" t="b">
        <f aca="false">IF(반품접수!$A935="",FALSE(),OR(반품접수!$O935="미처리",반품접수!$O935="부분처리"))</f>
        <v>0</v>
      </c>
      <c r="L938" s="6" t="str">
        <f aca="false">IF($K938=FALSE(),"",COUNTIF($K$6:$K938,TRUE()))</f>
        <v/>
      </c>
      <c r="M938" s="6" t="str">
        <f aca="false">IF($L938="","","R"&amp;$L938)</f>
        <v/>
      </c>
    </row>
    <row r="939" customFormat="false" ht="15" hidden="false" customHeight="true" outlineLevel="0" collapsed="false">
      <c r="K939" s="21" t="b">
        <f aca="false">IF(반품접수!$A936="",FALSE(),OR(반품접수!$O936="미처리",반품접수!$O936="부분처리"))</f>
        <v>0</v>
      </c>
      <c r="L939" s="6" t="str">
        <f aca="false">IF($K939=FALSE(),"",COUNTIF($K$6:$K939,TRUE()))</f>
        <v/>
      </c>
      <c r="M939" s="6" t="str">
        <f aca="false">IF($L939="","","R"&amp;$L939)</f>
        <v/>
      </c>
    </row>
    <row r="940" customFormat="false" ht="15" hidden="false" customHeight="true" outlineLevel="0" collapsed="false">
      <c r="K940" s="21" t="b">
        <f aca="false">IF(반품접수!$A937="",FALSE(),OR(반품접수!$O937="미처리",반품접수!$O937="부분처리"))</f>
        <v>0</v>
      </c>
      <c r="L940" s="6" t="str">
        <f aca="false">IF($K940=FALSE(),"",COUNTIF($K$6:$K940,TRUE()))</f>
        <v/>
      </c>
      <c r="M940" s="6" t="str">
        <f aca="false">IF($L940="","","R"&amp;$L940)</f>
        <v/>
      </c>
    </row>
    <row r="941" customFormat="false" ht="15" hidden="false" customHeight="true" outlineLevel="0" collapsed="false">
      <c r="K941" s="21" t="b">
        <f aca="false">IF(반품접수!$A938="",FALSE(),OR(반품접수!$O938="미처리",반품접수!$O938="부분처리"))</f>
        <v>0</v>
      </c>
      <c r="L941" s="6" t="str">
        <f aca="false">IF($K941=FALSE(),"",COUNTIF($K$6:$K941,TRUE()))</f>
        <v/>
      </c>
      <c r="M941" s="6" t="str">
        <f aca="false">IF($L941="","","R"&amp;$L941)</f>
        <v/>
      </c>
    </row>
    <row r="942" customFormat="false" ht="15" hidden="false" customHeight="true" outlineLevel="0" collapsed="false">
      <c r="K942" s="21" t="b">
        <f aca="false">IF(반품접수!$A939="",FALSE(),OR(반품접수!$O939="미처리",반품접수!$O939="부분처리"))</f>
        <v>0</v>
      </c>
      <c r="L942" s="6" t="str">
        <f aca="false">IF($K942=FALSE(),"",COUNTIF($K$6:$K942,TRUE()))</f>
        <v/>
      </c>
      <c r="M942" s="6" t="str">
        <f aca="false">IF($L942="","","R"&amp;$L942)</f>
        <v/>
      </c>
    </row>
    <row r="943" customFormat="false" ht="15" hidden="false" customHeight="true" outlineLevel="0" collapsed="false">
      <c r="K943" s="21" t="b">
        <f aca="false">IF(반품접수!$A940="",FALSE(),OR(반품접수!$O940="미처리",반품접수!$O940="부분처리"))</f>
        <v>0</v>
      </c>
      <c r="L943" s="6" t="str">
        <f aca="false">IF($K943=FALSE(),"",COUNTIF($K$6:$K943,TRUE()))</f>
        <v/>
      </c>
      <c r="M943" s="6" t="str">
        <f aca="false">IF($L943="","","R"&amp;$L943)</f>
        <v/>
      </c>
    </row>
    <row r="944" customFormat="false" ht="15" hidden="false" customHeight="true" outlineLevel="0" collapsed="false">
      <c r="K944" s="21" t="b">
        <f aca="false">IF(반품접수!$A941="",FALSE(),OR(반품접수!$O941="미처리",반품접수!$O941="부분처리"))</f>
        <v>0</v>
      </c>
      <c r="L944" s="6" t="str">
        <f aca="false">IF($K944=FALSE(),"",COUNTIF($K$6:$K944,TRUE()))</f>
        <v/>
      </c>
      <c r="M944" s="6" t="str">
        <f aca="false">IF($L944="","","R"&amp;$L944)</f>
        <v/>
      </c>
    </row>
    <row r="945" customFormat="false" ht="15" hidden="false" customHeight="true" outlineLevel="0" collapsed="false">
      <c r="K945" s="21" t="b">
        <f aca="false">IF(반품접수!$A942="",FALSE(),OR(반품접수!$O942="미처리",반품접수!$O942="부분처리"))</f>
        <v>0</v>
      </c>
      <c r="L945" s="6" t="str">
        <f aca="false">IF($K945=FALSE(),"",COUNTIF($K$6:$K945,TRUE()))</f>
        <v/>
      </c>
      <c r="M945" s="6" t="str">
        <f aca="false">IF($L945="","","R"&amp;$L945)</f>
        <v/>
      </c>
    </row>
    <row r="946" customFormat="false" ht="15" hidden="false" customHeight="true" outlineLevel="0" collapsed="false">
      <c r="K946" s="21" t="b">
        <f aca="false">IF(반품접수!$A943="",FALSE(),OR(반품접수!$O943="미처리",반품접수!$O943="부분처리"))</f>
        <v>0</v>
      </c>
      <c r="L946" s="6" t="str">
        <f aca="false">IF($K946=FALSE(),"",COUNTIF($K$6:$K946,TRUE()))</f>
        <v/>
      </c>
      <c r="M946" s="6" t="str">
        <f aca="false">IF($L946="","","R"&amp;$L946)</f>
        <v/>
      </c>
    </row>
    <row r="947" customFormat="false" ht="15" hidden="false" customHeight="true" outlineLevel="0" collapsed="false">
      <c r="K947" s="21" t="b">
        <f aca="false">IF(반품접수!$A944="",FALSE(),OR(반품접수!$O944="미처리",반품접수!$O944="부분처리"))</f>
        <v>0</v>
      </c>
      <c r="L947" s="6" t="str">
        <f aca="false">IF($K947=FALSE(),"",COUNTIF($K$6:$K947,TRUE()))</f>
        <v/>
      </c>
      <c r="M947" s="6" t="str">
        <f aca="false">IF($L947="","","R"&amp;$L947)</f>
        <v/>
      </c>
    </row>
    <row r="948" customFormat="false" ht="15" hidden="false" customHeight="true" outlineLevel="0" collapsed="false">
      <c r="K948" s="21" t="b">
        <f aca="false">IF(반품접수!$A945="",FALSE(),OR(반품접수!$O945="미처리",반품접수!$O945="부분처리"))</f>
        <v>0</v>
      </c>
      <c r="L948" s="6" t="str">
        <f aca="false">IF($K948=FALSE(),"",COUNTIF($K$6:$K948,TRUE()))</f>
        <v/>
      </c>
      <c r="M948" s="6" t="str">
        <f aca="false">IF($L948="","","R"&amp;$L948)</f>
        <v/>
      </c>
    </row>
    <row r="949" customFormat="false" ht="15" hidden="false" customHeight="true" outlineLevel="0" collapsed="false">
      <c r="K949" s="21" t="b">
        <f aca="false">IF(반품접수!$A946="",FALSE(),OR(반품접수!$O946="미처리",반품접수!$O946="부분처리"))</f>
        <v>0</v>
      </c>
      <c r="L949" s="6" t="str">
        <f aca="false">IF($K949=FALSE(),"",COUNTIF($K$6:$K949,TRUE()))</f>
        <v/>
      </c>
      <c r="M949" s="6" t="str">
        <f aca="false">IF($L949="","","R"&amp;$L949)</f>
        <v/>
      </c>
    </row>
    <row r="950" customFormat="false" ht="15" hidden="false" customHeight="true" outlineLevel="0" collapsed="false">
      <c r="K950" s="21" t="b">
        <f aca="false">IF(반품접수!$A947="",FALSE(),OR(반품접수!$O947="미처리",반품접수!$O947="부분처리"))</f>
        <v>0</v>
      </c>
      <c r="L950" s="6" t="str">
        <f aca="false">IF($K950=FALSE(),"",COUNTIF($K$6:$K950,TRUE()))</f>
        <v/>
      </c>
      <c r="M950" s="6" t="str">
        <f aca="false">IF($L950="","","R"&amp;$L950)</f>
        <v/>
      </c>
    </row>
    <row r="951" customFormat="false" ht="15" hidden="false" customHeight="true" outlineLevel="0" collapsed="false">
      <c r="K951" s="21" t="b">
        <f aca="false">IF(반품접수!$A948="",FALSE(),OR(반품접수!$O948="미처리",반품접수!$O948="부분처리"))</f>
        <v>0</v>
      </c>
      <c r="L951" s="6" t="str">
        <f aca="false">IF($K951=FALSE(),"",COUNTIF($K$6:$K951,TRUE()))</f>
        <v/>
      </c>
      <c r="M951" s="6" t="str">
        <f aca="false">IF($L951="","","R"&amp;$L951)</f>
        <v/>
      </c>
    </row>
    <row r="952" customFormat="false" ht="15" hidden="false" customHeight="true" outlineLevel="0" collapsed="false">
      <c r="K952" s="21" t="b">
        <f aca="false">IF(반품접수!$A949="",FALSE(),OR(반품접수!$O949="미처리",반품접수!$O949="부분처리"))</f>
        <v>0</v>
      </c>
      <c r="L952" s="6" t="str">
        <f aca="false">IF($K952=FALSE(),"",COUNTIF($K$6:$K952,TRUE()))</f>
        <v/>
      </c>
      <c r="M952" s="6" t="str">
        <f aca="false">IF($L952="","","R"&amp;$L952)</f>
        <v/>
      </c>
    </row>
    <row r="953" customFormat="false" ht="15" hidden="false" customHeight="true" outlineLevel="0" collapsed="false">
      <c r="K953" s="21" t="b">
        <f aca="false">IF(반품접수!$A950="",FALSE(),OR(반품접수!$O950="미처리",반품접수!$O950="부분처리"))</f>
        <v>0</v>
      </c>
      <c r="L953" s="6" t="str">
        <f aca="false">IF($K953=FALSE(),"",COUNTIF($K$6:$K953,TRUE()))</f>
        <v/>
      </c>
      <c r="M953" s="6" t="str">
        <f aca="false">IF($L953="","","R"&amp;$L953)</f>
        <v/>
      </c>
    </row>
    <row r="954" customFormat="false" ht="15" hidden="false" customHeight="true" outlineLevel="0" collapsed="false">
      <c r="K954" s="21" t="b">
        <f aca="false">IF(반품접수!$A951="",FALSE(),OR(반품접수!$O951="미처리",반품접수!$O951="부분처리"))</f>
        <v>0</v>
      </c>
      <c r="L954" s="6" t="str">
        <f aca="false">IF($K954=FALSE(),"",COUNTIF($K$6:$K954,TRUE()))</f>
        <v/>
      </c>
      <c r="M954" s="6" t="str">
        <f aca="false">IF($L954="","","R"&amp;$L954)</f>
        <v/>
      </c>
    </row>
    <row r="955" customFormat="false" ht="15" hidden="false" customHeight="true" outlineLevel="0" collapsed="false">
      <c r="K955" s="21" t="b">
        <f aca="false">IF(반품접수!$A952="",FALSE(),OR(반품접수!$O952="미처리",반품접수!$O952="부분처리"))</f>
        <v>0</v>
      </c>
      <c r="L955" s="6" t="str">
        <f aca="false">IF($K955=FALSE(),"",COUNTIF($K$6:$K955,TRUE()))</f>
        <v/>
      </c>
      <c r="M955" s="6" t="str">
        <f aca="false">IF($L955="","","R"&amp;$L955)</f>
        <v/>
      </c>
    </row>
    <row r="956" customFormat="false" ht="15" hidden="false" customHeight="true" outlineLevel="0" collapsed="false">
      <c r="K956" s="21" t="b">
        <f aca="false">IF(반품접수!$A953="",FALSE(),OR(반품접수!$O953="미처리",반품접수!$O953="부분처리"))</f>
        <v>0</v>
      </c>
      <c r="L956" s="6" t="str">
        <f aca="false">IF($K956=FALSE(),"",COUNTIF($K$6:$K956,TRUE()))</f>
        <v/>
      </c>
      <c r="M956" s="6" t="str">
        <f aca="false">IF($L956="","","R"&amp;$L956)</f>
        <v/>
      </c>
    </row>
    <row r="957" customFormat="false" ht="15" hidden="false" customHeight="true" outlineLevel="0" collapsed="false">
      <c r="K957" s="21" t="b">
        <f aca="false">IF(반품접수!$A954="",FALSE(),OR(반품접수!$O954="미처리",반품접수!$O954="부분처리"))</f>
        <v>0</v>
      </c>
      <c r="L957" s="6" t="str">
        <f aca="false">IF($K957=FALSE(),"",COUNTIF($K$6:$K957,TRUE()))</f>
        <v/>
      </c>
      <c r="M957" s="6" t="str">
        <f aca="false">IF($L957="","","R"&amp;$L957)</f>
        <v/>
      </c>
    </row>
    <row r="958" customFormat="false" ht="15" hidden="false" customHeight="true" outlineLevel="0" collapsed="false">
      <c r="K958" s="21" t="b">
        <f aca="false">IF(반품접수!$A955="",FALSE(),OR(반품접수!$O955="미처리",반품접수!$O955="부분처리"))</f>
        <v>0</v>
      </c>
      <c r="L958" s="6" t="str">
        <f aca="false">IF($K958=FALSE(),"",COUNTIF($K$6:$K958,TRUE()))</f>
        <v/>
      </c>
      <c r="M958" s="6" t="str">
        <f aca="false">IF($L958="","","R"&amp;$L958)</f>
        <v/>
      </c>
    </row>
    <row r="959" customFormat="false" ht="15" hidden="false" customHeight="true" outlineLevel="0" collapsed="false">
      <c r="K959" s="21" t="b">
        <f aca="false">IF(반품접수!$A956="",FALSE(),OR(반품접수!$O956="미처리",반품접수!$O956="부분처리"))</f>
        <v>0</v>
      </c>
      <c r="L959" s="6" t="str">
        <f aca="false">IF($K959=FALSE(),"",COUNTIF($K$6:$K959,TRUE()))</f>
        <v/>
      </c>
      <c r="M959" s="6" t="str">
        <f aca="false">IF($L959="","","R"&amp;$L959)</f>
        <v/>
      </c>
    </row>
    <row r="960" customFormat="false" ht="15" hidden="false" customHeight="true" outlineLevel="0" collapsed="false">
      <c r="K960" s="21" t="b">
        <f aca="false">IF(반품접수!$A957="",FALSE(),OR(반품접수!$O957="미처리",반품접수!$O957="부분처리"))</f>
        <v>0</v>
      </c>
      <c r="L960" s="6" t="str">
        <f aca="false">IF($K960=FALSE(),"",COUNTIF($K$6:$K960,TRUE()))</f>
        <v/>
      </c>
      <c r="M960" s="6" t="str">
        <f aca="false">IF($L960="","","R"&amp;$L960)</f>
        <v/>
      </c>
    </row>
    <row r="961" customFormat="false" ht="15" hidden="false" customHeight="true" outlineLevel="0" collapsed="false">
      <c r="K961" s="21" t="b">
        <f aca="false">IF(반품접수!$A958="",FALSE(),OR(반품접수!$O958="미처리",반품접수!$O958="부분처리"))</f>
        <v>0</v>
      </c>
      <c r="L961" s="6" t="str">
        <f aca="false">IF($K961=FALSE(),"",COUNTIF($K$6:$K961,TRUE()))</f>
        <v/>
      </c>
      <c r="M961" s="6" t="str">
        <f aca="false">IF($L961="","","R"&amp;$L961)</f>
        <v/>
      </c>
    </row>
    <row r="962" customFormat="false" ht="15" hidden="false" customHeight="true" outlineLevel="0" collapsed="false">
      <c r="K962" s="21" t="b">
        <f aca="false">IF(반품접수!$A959="",FALSE(),OR(반품접수!$O959="미처리",반품접수!$O959="부분처리"))</f>
        <v>0</v>
      </c>
      <c r="L962" s="6" t="str">
        <f aca="false">IF($K962=FALSE(),"",COUNTIF($K$6:$K962,TRUE()))</f>
        <v/>
      </c>
      <c r="M962" s="6" t="str">
        <f aca="false">IF($L962="","","R"&amp;$L962)</f>
        <v/>
      </c>
    </row>
    <row r="963" customFormat="false" ht="15" hidden="false" customHeight="true" outlineLevel="0" collapsed="false">
      <c r="K963" s="21" t="b">
        <f aca="false">IF(반품접수!$A960="",FALSE(),OR(반품접수!$O960="미처리",반품접수!$O960="부분처리"))</f>
        <v>0</v>
      </c>
      <c r="L963" s="6" t="str">
        <f aca="false">IF($K963=FALSE(),"",COUNTIF($K$6:$K963,TRUE()))</f>
        <v/>
      </c>
      <c r="M963" s="6" t="str">
        <f aca="false">IF($L963="","","R"&amp;$L963)</f>
        <v/>
      </c>
    </row>
    <row r="964" customFormat="false" ht="15" hidden="false" customHeight="true" outlineLevel="0" collapsed="false">
      <c r="K964" s="21" t="b">
        <f aca="false">IF(반품접수!$A961="",FALSE(),OR(반품접수!$O961="미처리",반품접수!$O961="부분처리"))</f>
        <v>0</v>
      </c>
      <c r="L964" s="6" t="str">
        <f aca="false">IF($K964=FALSE(),"",COUNTIF($K$6:$K964,TRUE()))</f>
        <v/>
      </c>
      <c r="M964" s="6" t="str">
        <f aca="false">IF($L964="","","R"&amp;$L964)</f>
        <v/>
      </c>
    </row>
    <row r="965" customFormat="false" ht="15" hidden="false" customHeight="true" outlineLevel="0" collapsed="false">
      <c r="K965" s="21" t="b">
        <f aca="false">IF(반품접수!$A962="",FALSE(),OR(반품접수!$O962="미처리",반품접수!$O962="부분처리"))</f>
        <v>0</v>
      </c>
      <c r="L965" s="6" t="str">
        <f aca="false">IF($K965=FALSE(),"",COUNTIF($K$6:$K965,TRUE()))</f>
        <v/>
      </c>
      <c r="M965" s="6" t="str">
        <f aca="false">IF($L965="","","R"&amp;$L965)</f>
        <v/>
      </c>
    </row>
    <row r="966" customFormat="false" ht="15" hidden="false" customHeight="true" outlineLevel="0" collapsed="false">
      <c r="K966" s="21" t="b">
        <f aca="false">IF(반품접수!$A963="",FALSE(),OR(반품접수!$O963="미처리",반품접수!$O963="부분처리"))</f>
        <v>0</v>
      </c>
      <c r="L966" s="6" t="str">
        <f aca="false">IF($K966=FALSE(),"",COUNTIF($K$6:$K966,TRUE()))</f>
        <v/>
      </c>
      <c r="M966" s="6" t="str">
        <f aca="false">IF($L966="","","R"&amp;$L966)</f>
        <v/>
      </c>
    </row>
    <row r="967" customFormat="false" ht="15" hidden="false" customHeight="true" outlineLevel="0" collapsed="false">
      <c r="K967" s="21" t="b">
        <f aca="false">IF(반품접수!$A964="",FALSE(),OR(반품접수!$O964="미처리",반품접수!$O964="부분처리"))</f>
        <v>0</v>
      </c>
      <c r="L967" s="6" t="str">
        <f aca="false">IF($K967=FALSE(),"",COUNTIF($K$6:$K967,TRUE()))</f>
        <v/>
      </c>
      <c r="M967" s="6" t="str">
        <f aca="false">IF($L967="","","R"&amp;$L967)</f>
        <v/>
      </c>
    </row>
    <row r="968" customFormat="false" ht="15" hidden="false" customHeight="true" outlineLevel="0" collapsed="false">
      <c r="K968" s="21" t="b">
        <f aca="false">IF(반품접수!$A965="",FALSE(),OR(반품접수!$O965="미처리",반품접수!$O965="부분처리"))</f>
        <v>0</v>
      </c>
      <c r="L968" s="6" t="str">
        <f aca="false">IF($K968=FALSE(),"",COUNTIF($K$6:$K968,TRUE()))</f>
        <v/>
      </c>
      <c r="M968" s="6" t="str">
        <f aca="false">IF($L968="","","R"&amp;$L968)</f>
        <v/>
      </c>
    </row>
    <row r="969" customFormat="false" ht="15" hidden="false" customHeight="true" outlineLevel="0" collapsed="false">
      <c r="K969" s="21" t="b">
        <f aca="false">IF(반품접수!$A966="",FALSE(),OR(반품접수!$O966="미처리",반품접수!$O966="부분처리"))</f>
        <v>0</v>
      </c>
      <c r="L969" s="6" t="str">
        <f aca="false">IF($K969=FALSE(),"",COUNTIF($K$6:$K969,TRUE()))</f>
        <v/>
      </c>
      <c r="M969" s="6" t="str">
        <f aca="false">IF($L969="","","R"&amp;$L969)</f>
        <v/>
      </c>
    </row>
    <row r="970" customFormat="false" ht="15" hidden="false" customHeight="true" outlineLevel="0" collapsed="false">
      <c r="K970" s="21" t="b">
        <f aca="false">IF(반품접수!$A967="",FALSE(),OR(반품접수!$O967="미처리",반품접수!$O967="부분처리"))</f>
        <v>0</v>
      </c>
      <c r="L970" s="6" t="str">
        <f aca="false">IF($K970=FALSE(),"",COUNTIF($K$6:$K970,TRUE()))</f>
        <v/>
      </c>
      <c r="M970" s="6" t="str">
        <f aca="false">IF($L970="","","R"&amp;$L970)</f>
        <v/>
      </c>
    </row>
    <row r="971" customFormat="false" ht="15" hidden="false" customHeight="true" outlineLevel="0" collapsed="false">
      <c r="K971" s="21" t="b">
        <f aca="false">IF(반품접수!$A968="",FALSE(),OR(반품접수!$O968="미처리",반품접수!$O968="부분처리"))</f>
        <v>0</v>
      </c>
      <c r="L971" s="6" t="str">
        <f aca="false">IF($K971=FALSE(),"",COUNTIF($K$6:$K971,TRUE()))</f>
        <v/>
      </c>
      <c r="M971" s="6" t="str">
        <f aca="false">IF($L971="","","R"&amp;$L971)</f>
        <v/>
      </c>
    </row>
    <row r="972" customFormat="false" ht="15" hidden="false" customHeight="true" outlineLevel="0" collapsed="false">
      <c r="K972" s="21" t="b">
        <f aca="false">IF(반품접수!$A969="",FALSE(),OR(반품접수!$O969="미처리",반품접수!$O969="부분처리"))</f>
        <v>0</v>
      </c>
      <c r="L972" s="6" t="str">
        <f aca="false">IF($K972=FALSE(),"",COUNTIF($K$6:$K972,TRUE()))</f>
        <v/>
      </c>
      <c r="M972" s="6" t="str">
        <f aca="false">IF($L972="","","R"&amp;$L972)</f>
        <v/>
      </c>
    </row>
    <row r="973" customFormat="false" ht="15" hidden="false" customHeight="true" outlineLevel="0" collapsed="false">
      <c r="K973" s="21" t="b">
        <f aca="false">IF(반품접수!$A970="",FALSE(),OR(반품접수!$O970="미처리",반품접수!$O970="부분처리"))</f>
        <v>0</v>
      </c>
      <c r="L973" s="6" t="str">
        <f aca="false">IF($K973=FALSE(),"",COUNTIF($K$6:$K973,TRUE()))</f>
        <v/>
      </c>
      <c r="M973" s="6" t="str">
        <f aca="false">IF($L973="","","R"&amp;$L973)</f>
        <v/>
      </c>
    </row>
    <row r="974" customFormat="false" ht="15" hidden="false" customHeight="true" outlineLevel="0" collapsed="false">
      <c r="K974" s="21" t="b">
        <f aca="false">IF(반품접수!$A971="",FALSE(),OR(반품접수!$O971="미처리",반품접수!$O971="부분처리"))</f>
        <v>0</v>
      </c>
      <c r="L974" s="6" t="str">
        <f aca="false">IF($K974=FALSE(),"",COUNTIF($K$6:$K974,TRUE()))</f>
        <v/>
      </c>
      <c r="M974" s="6" t="str">
        <f aca="false">IF($L974="","","R"&amp;$L974)</f>
        <v/>
      </c>
    </row>
    <row r="975" customFormat="false" ht="15" hidden="false" customHeight="true" outlineLevel="0" collapsed="false">
      <c r="K975" s="21" t="b">
        <f aca="false">IF(반품접수!$A972="",FALSE(),OR(반품접수!$O972="미처리",반품접수!$O972="부분처리"))</f>
        <v>0</v>
      </c>
      <c r="L975" s="6" t="str">
        <f aca="false">IF($K975=FALSE(),"",COUNTIF($K$6:$K975,TRUE()))</f>
        <v/>
      </c>
      <c r="M975" s="6" t="str">
        <f aca="false">IF($L975="","","R"&amp;$L975)</f>
        <v/>
      </c>
    </row>
    <row r="976" customFormat="false" ht="15" hidden="false" customHeight="true" outlineLevel="0" collapsed="false">
      <c r="K976" s="21" t="b">
        <f aca="false">IF(반품접수!$A973="",FALSE(),OR(반품접수!$O973="미처리",반품접수!$O973="부분처리"))</f>
        <v>0</v>
      </c>
      <c r="L976" s="6" t="str">
        <f aca="false">IF($K976=FALSE(),"",COUNTIF($K$6:$K976,TRUE()))</f>
        <v/>
      </c>
      <c r="M976" s="6" t="str">
        <f aca="false">IF($L976="","","R"&amp;$L976)</f>
        <v/>
      </c>
    </row>
    <row r="977" customFormat="false" ht="15" hidden="false" customHeight="true" outlineLevel="0" collapsed="false">
      <c r="K977" s="21" t="b">
        <f aca="false">IF(반품접수!$A974="",FALSE(),OR(반품접수!$O974="미처리",반품접수!$O974="부분처리"))</f>
        <v>0</v>
      </c>
      <c r="L977" s="6" t="str">
        <f aca="false">IF($K977=FALSE(),"",COUNTIF($K$6:$K977,TRUE()))</f>
        <v/>
      </c>
      <c r="M977" s="6" t="str">
        <f aca="false">IF($L977="","","R"&amp;$L977)</f>
        <v/>
      </c>
    </row>
    <row r="978" customFormat="false" ht="15" hidden="false" customHeight="true" outlineLevel="0" collapsed="false">
      <c r="K978" s="21" t="b">
        <f aca="false">IF(반품접수!$A975="",FALSE(),OR(반품접수!$O975="미처리",반품접수!$O975="부분처리"))</f>
        <v>0</v>
      </c>
      <c r="L978" s="6" t="str">
        <f aca="false">IF($K978=FALSE(),"",COUNTIF($K$6:$K978,TRUE()))</f>
        <v/>
      </c>
      <c r="M978" s="6" t="str">
        <f aca="false">IF($L978="","","R"&amp;$L978)</f>
        <v/>
      </c>
    </row>
    <row r="979" customFormat="false" ht="15" hidden="false" customHeight="true" outlineLevel="0" collapsed="false">
      <c r="K979" s="21" t="b">
        <f aca="false">IF(반품접수!$A976="",FALSE(),OR(반품접수!$O976="미처리",반품접수!$O976="부분처리"))</f>
        <v>0</v>
      </c>
      <c r="L979" s="6" t="str">
        <f aca="false">IF($K979=FALSE(),"",COUNTIF($K$6:$K979,TRUE()))</f>
        <v/>
      </c>
      <c r="M979" s="6" t="str">
        <f aca="false">IF($L979="","","R"&amp;$L979)</f>
        <v/>
      </c>
    </row>
    <row r="980" customFormat="false" ht="15" hidden="false" customHeight="true" outlineLevel="0" collapsed="false">
      <c r="K980" s="21" t="b">
        <f aca="false">IF(반품접수!$A977="",FALSE(),OR(반품접수!$O977="미처리",반품접수!$O977="부분처리"))</f>
        <v>0</v>
      </c>
      <c r="L980" s="6" t="str">
        <f aca="false">IF($K980=FALSE(),"",COUNTIF($K$6:$K980,TRUE()))</f>
        <v/>
      </c>
      <c r="M980" s="6" t="str">
        <f aca="false">IF($L980="","","R"&amp;$L980)</f>
        <v/>
      </c>
    </row>
    <row r="981" customFormat="false" ht="15" hidden="false" customHeight="true" outlineLevel="0" collapsed="false">
      <c r="K981" s="21" t="b">
        <f aca="false">IF(반품접수!$A978="",FALSE(),OR(반품접수!$O978="미처리",반품접수!$O978="부분처리"))</f>
        <v>0</v>
      </c>
      <c r="L981" s="6" t="str">
        <f aca="false">IF($K981=FALSE(),"",COUNTIF($K$6:$K981,TRUE()))</f>
        <v/>
      </c>
      <c r="M981" s="6" t="str">
        <f aca="false">IF($L981="","","R"&amp;$L981)</f>
        <v/>
      </c>
    </row>
    <row r="982" customFormat="false" ht="15" hidden="false" customHeight="true" outlineLevel="0" collapsed="false">
      <c r="K982" s="21" t="b">
        <f aca="false">IF(반품접수!$A979="",FALSE(),OR(반품접수!$O979="미처리",반품접수!$O979="부분처리"))</f>
        <v>0</v>
      </c>
      <c r="L982" s="6" t="str">
        <f aca="false">IF($K982=FALSE(),"",COUNTIF($K$6:$K982,TRUE()))</f>
        <v/>
      </c>
      <c r="M982" s="6" t="str">
        <f aca="false">IF($L982="","","R"&amp;$L982)</f>
        <v/>
      </c>
    </row>
    <row r="983" customFormat="false" ht="15" hidden="false" customHeight="true" outlineLevel="0" collapsed="false">
      <c r="K983" s="21" t="b">
        <f aca="false">IF(반품접수!$A980="",FALSE(),OR(반품접수!$O980="미처리",반품접수!$O980="부분처리"))</f>
        <v>0</v>
      </c>
      <c r="L983" s="6" t="str">
        <f aca="false">IF($K983=FALSE(),"",COUNTIF($K$6:$K983,TRUE()))</f>
        <v/>
      </c>
      <c r="M983" s="6" t="str">
        <f aca="false">IF($L983="","","R"&amp;$L983)</f>
        <v/>
      </c>
    </row>
    <row r="984" customFormat="false" ht="15" hidden="false" customHeight="true" outlineLevel="0" collapsed="false">
      <c r="K984" s="21" t="b">
        <f aca="false">IF(반품접수!$A981="",FALSE(),OR(반품접수!$O981="미처리",반품접수!$O981="부분처리"))</f>
        <v>0</v>
      </c>
      <c r="L984" s="6" t="str">
        <f aca="false">IF($K984=FALSE(),"",COUNTIF($K$6:$K984,TRUE()))</f>
        <v/>
      </c>
      <c r="M984" s="6" t="str">
        <f aca="false">IF($L984="","","R"&amp;$L984)</f>
        <v/>
      </c>
    </row>
    <row r="985" customFormat="false" ht="15" hidden="false" customHeight="true" outlineLevel="0" collapsed="false">
      <c r="K985" s="21" t="b">
        <f aca="false">IF(반품접수!$A982="",FALSE(),OR(반품접수!$O982="미처리",반품접수!$O982="부분처리"))</f>
        <v>0</v>
      </c>
      <c r="L985" s="6" t="str">
        <f aca="false">IF($K985=FALSE(),"",COUNTIF($K$6:$K985,TRUE()))</f>
        <v/>
      </c>
      <c r="M985" s="6" t="str">
        <f aca="false">IF($L985="","","R"&amp;$L985)</f>
        <v/>
      </c>
    </row>
    <row r="986" customFormat="false" ht="15" hidden="false" customHeight="true" outlineLevel="0" collapsed="false">
      <c r="K986" s="21" t="b">
        <f aca="false">IF(반품접수!$A983="",FALSE(),OR(반품접수!$O983="미처리",반품접수!$O983="부분처리"))</f>
        <v>0</v>
      </c>
      <c r="L986" s="6" t="str">
        <f aca="false">IF($K986=FALSE(),"",COUNTIF($K$6:$K986,TRUE()))</f>
        <v/>
      </c>
      <c r="M986" s="6" t="str">
        <f aca="false">IF($L986="","","R"&amp;$L986)</f>
        <v/>
      </c>
    </row>
    <row r="987" customFormat="false" ht="15" hidden="false" customHeight="true" outlineLevel="0" collapsed="false">
      <c r="K987" s="21" t="b">
        <f aca="false">IF(반품접수!$A984="",FALSE(),OR(반품접수!$O984="미처리",반품접수!$O984="부분처리"))</f>
        <v>0</v>
      </c>
      <c r="L987" s="6" t="str">
        <f aca="false">IF($K987=FALSE(),"",COUNTIF($K$6:$K987,TRUE()))</f>
        <v/>
      </c>
      <c r="M987" s="6" t="str">
        <f aca="false">IF($L987="","","R"&amp;$L987)</f>
        <v/>
      </c>
    </row>
    <row r="988" customFormat="false" ht="15" hidden="false" customHeight="true" outlineLevel="0" collapsed="false">
      <c r="K988" s="21" t="b">
        <f aca="false">IF(반품접수!$A985="",FALSE(),OR(반품접수!$O985="미처리",반품접수!$O985="부분처리"))</f>
        <v>0</v>
      </c>
      <c r="L988" s="6" t="str">
        <f aca="false">IF($K988=FALSE(),"",COUNTIF($K$6:$K988,TRUE()))</f>
        <v/>
      </c>
      <c r="M988" s="6" t="str">
        <f aca="false">IF($L988="","","R"&amp;$L988)</f>
        <v/>
      </c>
    </row>
    <row r="989" customFormat="false" ht="15" hidden="false" customHeight="true" outlineLevel="0" collapsed="false">
      <c r="K989" s="21" t="b">
        <f aca="false">IF(반품접수!$A986="",FALSE(),OR(반품접수!$O986="미처리",반품접수!$O986="부분처리"))</f>
        <v>0</v>
      </c>
      <c r="L989" s="6" t="str">
        <f aca="false">IF($K989=FALSE(),"",COUNTIF($K$6:$K989,TRUE()))</f>
        <v/>
      </c>
      <c r="M989" s="6" t="str">
        <f aca="false">IF($L989="","","R"&amp;$L989)</f>
        <v/>
      </c>
    </row>
    <row r="990" customFormat="false" ht="15" hidden="false" customHeight="true" outlineLevel="0" collapsed="false">
      <c r="K990" s="21" t="b">
        <f aca="false">IF(반품접수!$A987="",FALSE(),OR(반품접수!$O987="미처리",반품접수!$O987="부분처리"))</f>
        <v>0</v>
      </c>
      <c r="L990" s="6" t="str">
        <f aca="false">IF($K990=FALSE(),"",COUNTIF($K$6:$K990,TRUE()))</f>
        <v/>
      </c>
      <c r="M990" s="6" t="str">
        <f aca="false">IF($L990="","","R"&amp;$L990)</f>
        <v/>
      </c>
    </row>
    <row r="991" customFormat="false" ht="15" hidden="false" customHeight="true" outlineLevel="0" collapsed="false">
      <c r="K991" s="21" t="b">
        <f aca="false">IF(반품접수!$A988="",FALSE(),OR(반품접수!$O988="미처리",반품접수!$O988="부분처리"))</f>
        <v>0</v>
      </c>
      <c r="L991" s="6" t="str">
        <f aca="false">IF($K991=FALSE(),"",COUNTIF($K$6:$K991,TRUE()))</f>
        <v/>
      </c>
      <c r="M991" s="6" t="str">
        <f aca="false">IF($L991="","","R"&amp;$L991)</f>
        <v/>
      </c>
    </row>
    <row r="992" customFormat="false" ht="15" hidden="false" customHeight="true" outlineLevel="0" collapsed="false">
      <c r="K992" s="21" t="b">
        <f aca="false">IF(반품접수!$A989="",FALSE(),OR(반품접수!$O989="미처리",반품접수!$O989="부분처리"))</f>
        <v>0</v>
      </c>
      <c r="L992" s="6" t="str">
        <f aca="false">IF($K992=FALSE(),"",COUNTIF($K$6:$K992,TRUE()))</f>
        <v/>
      </c>
      <c r="M992" s="6" t="str">
        <f aca="false">IF($L992="","","R"&amp;$L992)</f>
        <v/>
      </c>
    </row>
    <row r="993" customFormat="false" ht="15" hidden="false" customHeight="true" outlineLevel="0" collapsed="false">
      <c r="K993" s="21" t="b">
        <f aca="false">IF(반품접수!$A990="",FALSE(),OR(반품접수!$O990="미처리",반품접수!$O990="부분처리"))</f>
        <v>0</v>
      </c>
      <c r="L993" s="6" t="str">
        <f aca="false">IF($K993=FALSE(),"",COUNTIF($K$6:$K993,TRUE()))</f>
        <v/>
      </c>
      <c r="M993" s="6" t="str">
        <f aca="false">IF($L993="","","R"&amp;$L993)</f>
        <v/>
      </c>
    </row>
    <row r="994" customFormat="false" ht="15" hidden="false" customHeight="true" outlineLevel="0" collapsed="false">
      <c r="K994" s="21" t="b">
        <f aca="false">IF(반품접수!$A991="",FALSE(),OR(반품접수!$O991="미처리",반품접수!$O991="부분처리"))</f>
        <v>0</v>
      </c>
      <c r="L994" s="6" t="str">
        <f aca="false">IF($K994=FALSE(),"",COUNTIF($K$6:$K994,TRUE()))</f>
        <v/>
      </c>
      <c r="M994" s="6" t="str">
        <f aca="false">IF($L994="","","R"&amp;$L994)</f>
        <v/>
      </c>
    </row>
    <row r="995" customFormat="false" ht="15" hidden="false" customHeight="true" outlineLevel="0" collapsed="false">
      <c r="K995" s="21" t="b">
        <f aca="false">IF(반품접수!$A992="",FALSE(),OR(반품접수!$O992="미처리",반품접수!$O992="부분처리"))</f>
        <v>0</v>
      </c>
      <c r="L995" s="6" t="str">
        <f aca="false">IF($K995=FALSE(),"",COUNTIF($K$6:$K995,TRUE()))</f>
        <v/>
      </c>
      <c r="M995" s="6" t="str">
        <f aca="false">IF($L995="","","R"&amp;$L995)</f>
        <v/>
      </c>
    </row>
    <row r="996" customFormat="false" ht="15" hidden="false" customHeight="true" outlineLevel="0" collapsed="false">
      <c r="K996" s="21" t="b">
        <f aca="false">IF(반품접수!$A993="",FALSE(),OR(반품접수!$O993="미처리",반품접수!$O993="부분처리"))</f>
        <v>0</v>
      </c>
      <c r="L996" s="6" t="str">
        <f aca="false">IF($K996=FALSE(),"",COUNTIF($K$6:$K996,TRUE()))</f>
        <v/>
      </c>
      <c r="M996" s="6" t="str">
        <f aca="false">IF($L996="","","R"&amp;$L996)</f>
        <v/>
      </c>
    </row>
    <row r="997" customFormat="false" ht="15" hidden="false" customHeight="true" outlineLevel="0" collapsed="false">
      <c r="K997" s="21" t="b">
        <f aca="false">IF(반품접수!$A994="",FALSE(),OR(반품접수!$O994="미처리",반품접수!$O994="부분처리"))</f>
        <v>0</v>
      </c>
      <c r="L997" s="6" t="str">
        <f aca="false">IF($K997=FALSE(),"",COUNTIF($K$6:$K997,TRUE()))</f>
        <v/>
      </c>
      <c r="M997" s="6" t="str">
        <f aca="false">IF($L997="","","R"&amp;$L997)</f>
        <v/>
      </c>
    </row>
    <row r="998" customFormat="false" ht="15" hidden="false" customHeight="true" outlineLevel="0" collapsed="false">
      <c r="K998" s="21" t="b">
        <f aca="false">IF(반품접수!$A995="",FALSE(),OR(반품접수!$O995="미처리",반품접수!$O995="부분처리"))</f>
        <v>0</v>
      </c>
      <c r="L998" s="6" t="str">
        <f aca="false">IF($K998=FALSE(),"",COUNTIF($K$6:$K998,TRUE()))</f>
        <v/>
      </c>
      <c r="M998" s="6" t="str">
        <f aca="false">IF($L998="","","R"&amp;$L998)</f>
        <v/>
      </c>
    </row>
    <row r="999" customFormat="false" ht="15" hidden="false" customHeight="true" outlineLevel="0" collapsed="false">
      <c r="K999" s="21" t="b">
        <f aca="false">IF(반품접수!$A996="",FALSE(),OR(반품접수!$O996="미처리",반품접수!$O996="부분처리"))</f>
        <v>0</v>
      </c>
      <c r="L999" s="6" t="str">
        <f aca="false">IF($K999=FALSE(),"",COUNTIF($K$6:$K999,TRUE()))</f>
        <v/>
      </c>
      <c r="M999" s="6" t="str">
        <f aca="false">IF($L999="","","R"&amp;$L999)</f>
        <v/>
      </c>
    </row>
    <row r="1000" customFormat="false" ht="15" hidden="false" customHeight="true" outlineLevel="0" collapsed="false">
      <c r="K1000" s="21" t="b">
        <f aca="false">IF(반품접수!$A997="",FALSE(),OR(반품접수!$O997="미처리",반품접수!$O997="부분처리"))</f>
        <v>0</v>
      </c>
      <c r="L1000" s="6" t="str">
        <f aca="false">IF($K1000=FALSE(),"",COUNTIF($K$6:$K1000,TRUE()))</f>
        <v/>
      </c>
      <c r="M1000" s="6" t="str">
        <f aca="false">IF($L1000="","","R"&amp;$L1000)</f>
        <v/>
      </c>
    </row>
    <row r="1001" customFormat="false" ht="15" hidden="false" customHeight="true" outlineLevel="0" collapsed="false">
      <c r="K1001" s="21" t="b">
        <f aca="false">IF(반품접수!$A998="",FALSE(),OR(반품접수!$O998="미처리",반품접수!$O998="부분처리"))</f>
        <v>0</v>
      </c>
      <c r="L1001" s="6" t="str">
        <f aca="false">IF($K1001=FALSE(),"",COUNTIF($K$6:$K1001,TRUE()))</f>
        <v/>
      </c>
      <c r="M1001" s="6" t="str">
        <f aca="false">IF($L1001="","","R"&amp;$L1001)</f>
        <v/>
      </c>
    </row>
    <row r="1002" customFormat="false" ht="15" hidden="false" customHeight="true" outlineLevel="0" collapsed="false">
      <c r="K1002" s="21" t="b">
        <f aca="false">IF(반품접수!$A999="",FALSE(),OR(반품접수!$O999="미처리",반품접수!$O999="부분처리"))</f>
        <v>0</v>
      </c>
      <c r="L1002" s="6" t="str">
        <f aca="false">IF($K1002=FALSE(),"",COUNTIF($K$6:$K1002,TRUE()))</f>
        <v/>
      </c>
      <c r="M1002" s="6" t="str">
        <f aca="false">IF($L1002="","","R"&amp;$L1002)</f>
        <v/>
      </c>
    </row>
    <row r="1003" customFormat="false" ht="15" hidden="false" customHeight="true" outlineLevel="0" collapsed="false">
      <c r="K1003" s="21" t="b">
        <f aca="false">IF(반품접수!$A1000="",FALSE(),OR(반품접수!$O1000="미처리",반품접수!$O1000="부분처리"))</f>
        <v>0</v>
      </c>
      <c r="L1003" s="6" t="str">
        <f aca="false">IF($K1003=FALSE(),"",COUNTIF($K$6:$K1003,TRUE()))</f>
        <v/>
      </c>
      <c r="M1003" s="6" t="str">
        <f aca="false">IF($L1003="","","R"&amp;$L1003)</f>
        <v/>
      </c>
    </row>
    <row r="1004" customFormat="false" ht="15" hidden="false" customHeight="true" outlineLevel="0" collapsed="false">
      <c r="K1004" s="21" t="b">
        <f aca="false">IF(반품접수!$A1001="",FALSE(),OR(반품접수!$O1001="미처리",반품접수!$O1001="부분처리"))</f>
        <v>0</v>
      </c>
      <c r="L1004" s="6" t="str">
        <f aca="false">IF($K1004=FALSE(),"",COUNTIF($K$6:$K1004,TRUE()))</f>
        <v/>
      </c>
      <c r="M1004" s="6" t="str">
        <f aca="false">IF($L1004="","","R"&amp;$L1004)</f>
        <v/>
      </c>
    </row>
    <row r="1005" customFormat="false" ht="15" hidden="false" customHeight="true" outlineLevel="0" collapsed="false">
      <c r="K1005" s="21" t="b">
        <f aca="false">IF(반품접수!$A1002="",FALSE(),OR(반품접수!$O1002="미처리",반품접수!$O1002="부분처리"))</f>
        <v>0</v>
      </c>
      <c r="L1005" s="6" t="str">
        <f aca="false">IF($K1005=FALSE(),"",COUNTIF($K$6:$K1005,TRUE()))</f>
        <v/>
      </c>
      <c r="M1005" s="6" t="str">
        <f aca="false">IF($L1005="","","R"&amp;$L1005)</f>
        <v/>
      </c>
    </row>
  </sheetData>
  <mergeCells count="1">
    <mergeCell ref="A1:I1"/>
  </mergeCells>
  <conditionalFormatting sqref="A6:I125">
    <cfRule type="expression" priority="2" aboveAverage="0" equalAverage="0" bottom="0" percent="0" rank="0" text="" dxfId="1">
      <formula>AND($D6&lt;&gt;"",$D6&gt;사용안내!$C$17)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5"/>
    <col collapsed="false" customWidth="true" hidden="false" outlineLevel="0" max="6" min="6" style="1" width="11"/>
    <col collapsed="false" customWidth="true" hidden="false" outlineLevel="0" max="7" min="7" style="1" width="15"/>
  </cols>
  <sheetData>
    <row r="1" customFormat="false" ht="25.5" hidden="false" customHeight="true" outlineLevel="0" collapsed="false">
      <c r="A1" s="2" t="s">
        <v>98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99</v>
      </c>
      <c r="B3" s="23" t="n">
        <v>2026</v>
      </c>
    </row>
    <row r="5" customFormat="false" ht="15" hidden="false" customHeight="true" outlineLevel="0" collapsed="false">
      <c r="A5" s="8" t="s">
        <v>72</v>
      </c>
      <c r="B5" s="8" t="s">
        <v>100</v>
      </c>
      <c r="C5" s="8" t="s">
        <v>101</v>
      </c>
      <c r="D5" s="8" t="s">
        <v>102</v>
      </c>
      <c r="E5" s="8" t="s">
        <v>103</v>
      </c>
      <c r="F5" s="8" t="s">
        <v>104</v>
      </c>
      <c r="G5" s="8" t="s">
        <v>105</v>
      </c>
    </row>
    <row r="6" customFormat="false" ht="15" hidden="false" customHeight="true" outlineLevel="0" collapsed="false">
      <c r="A6" s="24" t="s">
        <v>106</v>
      </c>
      <c r="B6" s="25" t="n">
        <f aca="false">COUNTIFS(반품접수!$K$3:$K$1002,$A6,반품접수!$B$3:$B$1002,"&gt;="&amp;DATE($B$3,1,1),반품접수!$B$3:$B$1002,"&lt;="&amp;DATE($B$3,12,31))</f>
        <v>1</v>
      </c>
      <c r="C6" s="25" t="n">
        <f aca="false">SUMIFS(반품접수!$I$3:$I$1002,반품접수!$K$3:$K$1002,$A6,반품접수!$B$3:$B$1002,"&gt;="&amp;DATE($B$3,1,1),반품접수!$B$3:$B$1002,"&lt;="&amp;DATE($B$3,12,31))</f>
        <v>50</v>
      </c>
      <c r="D6" s="25" t="n">
        <f aca="false">SUMIFS(반품접수!$I$3:$I$1002,반품접수!$K$3:$K$1002,$A6,반품접수!$H$3:$H$1002,"원재료",반품접수!$B$3:$B$1002,"&gt;="&amp;DATE($B$3,1,1),반품접수!$B$3:$B$1002,"&lt;="&amp;DATE($B$3,12,31))</f>
        <v>0</v>
      </c>
      <c r="E6" s="25" t="n">
        <f aca="false">SUMIFS(반품접수!$I$3:$I$1002,반품접수!$K$3:$K$1002,$A6,반품접수!$H$3:$H$1002,"부자재",반품접수!$B$3:$B$1002,"&gt;="&amp;DATE($B$3,1,1),반품접수!$B$3:$B$1002,"&lt;="&amp;DATE($B$3,12,31))</f>
        <v>50</v>
      </c>
      <c r="F6" s="26" t="n">
        <f aca="false">IF($C$14=0,"",$C6/$C$14)</f>
        <v>0.1953125</v>
      </c>
      <c r="G6" s="27" t="n">
        <f aca="false">SUMPRODUCT((반품접수!$K$3:$K$1002=$A6)*1,IFERROR(SUMIF(처리내역!$B$3:$B$1502,반품접수!$A$3:$A$1002,처리내역!$G$3:$G$1502),0))</f>
        <v>40000</v>
      </c>
    </row>
    <row r="7" customFormat="false" ht="15" hidden="false" customHeight="true" outlineLevel="0" collapsed="false">
      <c r="A7" s="24" t="s">
        <v>107</v>
      </c>
      <c r="B7" s="25" t="n">
        <f aca="false">COUNTIFS(반품접수!$K$3:$K$1002,$A7,반품접수!$B$3:$B$1002,"&gt;="&amp;DATE($B$3,1,1),반품접수!$B$3:$B$1002,"&lt;="&amp;DATE($B$3,12,31))</f>
        <v>1</v>
      </c>
      <c r="C7" s="25" t="n">
        <f aca="false">SUMIFS(반품접수!$I$3:$I$1002,반품접수!$K$3:$K$1002,$A7,반품접수!$B$3:$B$1002,"&gt;="&amp;DATE($B$3,1,1),반품접수!$B$3:$B$1002,"&lt;="&amp;DATE($B$3,12,31))</f>
        <v>3</v>
      </c>
      <c r="D7" s="25" t="n">
        <f aca="false">SUMIFS(반품접수!$I$3:$I$1002,반품접수!$K$3:$K$1002,$A7,반품접수!$H$3:$H$1002,"원재료",반품접수!$B$3:$B$1002,"&gt;="&amp;DATE($B$3,1,1),반품접수!$B$3:$B$1002,"&lt;="&amp;DATE($B$3,12,31))</f>
        <v>3</v>
      </c>
      <c r="E7" s="25" t="n">
        <f aca="false">SUMIFS(반품접수!$I$3:$I$1002,반품접수!$K$3:$K$1002,$A7,반품접수!$H$3:$H$1002,"부자재",반품접수!$B$3:$B$1002,"&gt;="&amp;DATE($B$3,1,1),반품접수!$B$3:$B$1002,"&lt;="&amp;DATE($B$3,12,31))</f>
        <v>0</v>
      </c>
      <c r="F7" s="26" t="n">
        <f aca="false">IF($C$14=0,"",$C7/$C$14)</f>
        <v>0.01171875</v>
      </c>
      <c r="G7" s="27" t="n">
        <f aca="false">SUMPRODUCT((반품접수!$K$3:$K$1002=$A7)*1,IFERROR(SUMIF(처리내역!$B$3:$B$1502,반품접수!$A$3:$A$1002,처리내역!$G$3:$G$1502),0))</f>
        <v>60000</v>
      </c>
    </row>
    <row r="8" customFormat="false" ht="15" hidden="false" customHeight="true" outlineLevel="0" collapsed="false">
      <c r="A8" s="24" t="s">
        <v>108</v>
      </c>
      <c r="B8" s="25" t="n">
        <f aca="false">COUNTIFS(반품접수!$K$3:$K$1002,$A8,반품접수!$B$3:$B$1002,"&gt;="&amp;DATE($B$3,1,1),반품접수!$B$3:$B$1002,"&lt;="&amp;DATE($B$3,12,31))</f>
        <v>0</v>
      </c>
      <c r="C8" s="25" t="n">
        <f aca="false">SUMIFS(반품접수!$I$3:$I$1002,반품접수!$K$3:$K$1002,$A8,반품접수!$B$3:$B$1002,"&gt;="&amp;DATE($B$3,1,1),반품접수!$B$3:$B$1002,"&lt;="&amp;DATE($B$3,12,31))</f>
        <v>0</v>
      </c>
      <c r="D8" s="25" t="n">
        <f aca="false">SUMIFS(반품접수!$I$3:$I$1002,반품접수!$K$3:$K$1002,$A8,반품접수!$H$3:$H$1002,"원재료",반품접수!$B$3:$B$1002,"&gt;="&amp;DATE($B$3,1,1),반품접수!$B$3:$B$1002,"&lt;="&amp;DATE($B$3,12,31))</f>
        <v>0</v>
      </c>
      <c r="E8" s="25" t="n">
        <f aca="false">SUMIFS(반품접수!$I$3:$I$1002,반품접수!$K$3:$K$1002,$A8,반품접수!$H$3:$H$1002,"부자재",반품접수!$B$3:$B$1002,"&gt;="&amp;DATE($B$3,1,1),반품접수!$B$3:$B$1002,"&lt;="&amp;DATE($B$3,12,31))</f>
        <v>0</v>
      </c>
      <c r="F8" s="26" t="n">
        <f aca="false">IF($C$14=0,"",$C8/$C$14)</f>
        <v>0</v>
      </c>
      <c r="G8" s="27" t="n">
        <f aca="false">SUMPRODUCT((반품접수!$K$3:$K$1002=$A8)*1,IFERROR(SUMIF(처리내역!$B$3:$B$1502,반품접수!$A$3:$A$1002,처리내역!$G$3:$G$1502),0))</f>
        <v>0</v>
      </c>
    </row>
    <row r="9" customFormat="false" ht="15" hidden="false" customHeight="true" outlineLevel="0" collapsed="false">
      <c r="A9" s="24" t="s">
        <v>109</v>
      </c>
      <c r="B9" s="25" t="n">
        <f aca="false">COUNTIFS(반품접수!$K$3:$K$1002,$A9,반품접수!$B$3:$B$1002,"&gt;="&amp;DATE($B$3,1,1),반품접수!$B$3:$B$1002,"&lt;="&amp;DATE($B$3,12,31))</f>
        <v>1</v>
      </c>
      <c r="C9" s="25" t="n">
        <f aca="false">SUMIFS(반품접수!$I$3:$I$1002,반품접수!$K$3:$K$1002,$A9,반품접수!$B$3:$B$1002,"&gt;="&amp;DATE($B$3,1,1),반품접수!$B$3:$B$1002,"&lt;="&amp;DATE($B$3,12,31))</f>
        <v>2</v>
      </c>
      <c r="D9" s="25" t="n">
        <f aca="false">SUMIFS(반품접수!$I$3:$I$1002,반품접수!$K$3:$K$1002,$A9,반품접수!$H$3:$H$1002,"원재료",반품접수!$B$3:$B$1002,"&gt;="&amp;DATE($B$3,1,1),반품접수!$B$3:$B$1002,"&lt;="&amp;DATE($B$3,12,31))</f>
        <v>2</v>
      </c>
      <c r="E9" s="25" t="n">
        <f aca="false">SUMIFS(반품접수!$I$3:$I$1002,반품접수!$K$3:$K$1002,$A9,반품접수!$H$3:$H$1002,"부자재",반품접수!$B$3:$B$1002,"&gt;="&amp;DATE($B$3,1,1),반품접수!$B$3:$B$1002,"&lt;="&amp;DATE($B$3,12,31))</f>
        <v>0</v>
      </c>
      <c r="F9" s="26" t="n">
        <f aca="false">IF($C$14=0,"",$C9/$C$14)</f>
        <v>0.0078125</v>
      </c>
      <c r="G9" s="27" t="n">
        <f aca="false">SUMPRODUCT((반품접수!$K$3:$K$1002=$A9)*1,IFERROR(SUMIF(처리내역!$B$3:$B$1502,반품접수!$A$3:$A$1002,처리내역!$G$3:$G$1502),0))</f>
        <v>30000</v>
      </c>
    </row>
    <row r="10" customFormat="false" ht="15" hidden="false" customHeight="true" outlineLevel="0" collapsed="false">
      <c r="A10" s="24" t="s">
        <v>110</v>
      </c>
      <c r="B10" s="25" t="n">
        <f aca="false">COUNTIFS(반품접수!$K$3:$K$1002,$A10,반품접수!$B$3:$B$1002,"&gt;="&amp;DATE($B$3,1,1),반품접수!$B$3:$B$1002,"&lt;="&amp;DATE($B$3,12,31))</f>
        <v>1</v>
      </c>
      <c r="C10" s="25" t="n">
        <f aca="false">SUMIFS(반품접수!$I$3:$I$1002,반품접수!$K$3:$K$1002,$A10,반품접수!$B$3:$B$1002,"&gt;="&amp;DATE($B$3,1,1),반품접수!$B$3:$B$1002,"&lt;="&amp;DATE($B$3,12,31))</f>
        <v>200</v>
      </c>
      <c r="D10" s="25" t="n">
        <f aca="false">SUMIFS(반품접수!$I$3:$I$1002,반품접수!$K$3:$K$1002,$A10,반품접수!$H$3:$H$1002,"원재료",반품접수!$B$3:$B$1002,"&gt;="&amp;DATE($B$3,1,1),반품접수!$B$3:$B$1002,"&lt;="&amp;DATE($B$3,12,31))</f>
        <v>0</v>
      </c>
      <c r="E10" s="25" t="n">
        <f aca="false">SUMIFS(반품접수!$I$3:$I$1002,반품접수!$K$3:$K$1002,$A10,반품접수!$H$3:$H$1002,"부자재",반품접수!$B$3:$B$1002,"&gt;="&amp;DATE($B$3,1,1),반품접수!$B$3:$B$1002,"&lt;="&amp;DATE($B$3,12,31))</f>
        <v>200</v>
      </c>
      <c r="F10" s="26" t="n">
        <f aca="false">IF($C$14=0,"",$C10/$C$14)</f>
        <v>0.78125</v>
      </c>
      <c r="G10" s="27" t="n">
        <f aca="false">SUMPRODUCT((반품접수!$K$3:$K$1002=$A10)*1,IFERROR(SUMIF(처리내역!$B$3:$B$1502,반품접수!$A$3:$A$1002,처리내역!$G$3:$G$1502),0))</f>
        <v>0</v>
      </c>
    </row>
    <row r="11" customFormat="false" ht="15" hidden="false" customHeight="true" outlineLevel="0" collapsed="false">
      <c r="A11" s="24" t="s">
        <v>111</v>
      </c>
      <c r="B11" s="25" t="n">
        <f aca="false">COUNTIFS(반품접수!$K$3:$K$1002,$A11,반품접수!$B$3:$B$1002,"&gt;="&amp;DATE($B$3,1,1),반품접수!$B$3:$B$1002,"&lt;="&amp;DATE($B$3,12,31))</f>
        <v>1</v>
      </c>
      <c r="C11" s="25" t="n">
        <f aca="false">SUMIFS(반품접수!$I$3:$I$1002,반품접수!$K$3:$K$1002,$A11,반품접수!$B$3:$B$1002,"&gt;="&amp;DATE($B$3,1,1),반품접수!$B$3:$B$1002,"&lt;="&amp;DATE($B$3,12,31))</f>
        <v>1</v>
      </c>
      <c r="D11" s="25" t="n">
        <f aca="false">SUMIFS(반품접수!$I$3:$I$1002,반품접수!$K$3:$K$1002,$A11,반품접수!$H$3:$H$1002,"원재료",반품접수!$B$3:$B$1002,"&gt;="&amp;DATE($B$3,1,1),반품접수!$B$3:$B$1002,"&lt;="&amp;DATE($B$3,12,31))</f>
        <v>1</v>
      </c>
      <c r="E11" s="25" t="n">
        <f aca="false">SUMIFS(반품접수!$I$3:$I$1002,반품접수!$K$3:$K$1002,$A11,반품접수!$H$3:$H$1002,"부자재",반품접수!$B$3:$B$1002,"&gt;="&amp;DATE($B$3,1,1),반품접수!$B$3:$B$1002,"&lt;="&amp;DATE($B$3,12,31))</f>
        <v>0</v>
      </c>
      <c r="F11" s="26" t="n">
        <f aca="false">IF($C$14=0,"",$C11/$C$14)</f>
        <v>0.00390625</v>
      </c>
      <c r="G11" s="27" t="n">
        <f aca="false">SUMPRODUCT((반품접수!$K$3:$K$1002=$A11)*1,IFERROR(SUMIF(처리내역!$B$3:$B$1502,반품접수!$A$3:$A$1002,처리내역!$G$3:$G$1502),0))</f>
        <v>0</v>
      </c>
    </row>
    <row r="12" customFormat="false" ht="15" hidden="false" customHeight="true" outlineLevel="0" collapsed="false">
      <c r="A12" s="24" t="s">
        <v>112</v>
      </c>
      <c r="B12" s="25" t="n">
        <f aca="false">COUNTIFS(반품접수!$K$3:$K$1002,$A12,반품접수!$B$3:$B$1002,"&gt;="&amp;DATE($B$3,1,1),반품접수!$B$3:$B$1002,"&lt;="&amp;DATE($B$3,12,31))</f>
        <v>0</v>
      </c>
      <c r="C12" s="25" t="n">
        <f aca="false">SUMIFS(반품접수!$I$3:$I$1002,반품접수!$K$3:$K$1002,$A12,반품접수!$B$3:$B$1002,"&gt;="&amp;DATE($B$3,1,1),반품접수!$B$3:$B$1002,"&lt;="&amp;DATE($B$3,12,31))</f>
        <v>0</v>
      </c>
      <c r="D12" s="25" t="n">
        <f aca="false">SUMIFS(반품접수!$I$3:$I$1002,반품접수!$K$3:$K$1002,$A12,반품접수!$H$3:$H$1002,"원재료",반품접수!$B$3:$B$1002,"&gt;="&amp;DATE($B$3,1,1),반품접수!$B$3:$B$1002,"&lt;="&amp;DATE($B$3,12,31))</f>
        <v>0</v>
      </c>
      <c r="E12" s="25" t="n">
        <f aca="false">SUMIFS(반품접수!$I$3:$I$1002,반품접수!$K$3:$K$1002,$A12,반품접수!$H$3:$H$1002,"부자재",반품접수!$B$3:$B$1002,"&gt;="&amp;DATE($B$3,1,1),반품접수!$B$3:$B$1002,"&lt;="&amp;DATE($B$3,12,31))</f>
        <v>0</v>
      </c>
      <c r="F12" s="26" t="n">
        <f aca="false">IF($C$14=0,"",$C12/$C$14)</f>
        <v>0</v>
      </c>
      <c r="G12" s="27" t="n">
        <f aca="false">SUMPRODUCT((반품접수!$K$3:$K$1002=$A12)*1,IFERROR(SUMIF(처리내역!$B$3:$B$1502,반품접수!$A$3:$A$1002,처리내역!$G$3:$G$1502),0))</f>
        <v>0</v>
      </c>
    </row>
    <row r="13" customFormat="false" ht="15" hidden="false" customHeight="true" outlineLevel="0" collapsed="false">
      <c r="A13" s="24" t="s">
        <v>113</v>
      </c>
      <c r="B13" s="25" t="n">
        <f aca="false">COUNTIFS(반품접수!$K$3:$K$1002,$A13,반품접수!$B$3:$B$1002,"&gt;="&amp;DATE($B$3,1,1),반품접수!$B$3:$B$1002,"&lt;="&amp;DATE($B$3,12,31))</f>
        <v>0</v>
      </c>
      <c r="C13" s="25" t="n">
        <f aca="false">SUMIFS(반품접수!$I$3:$I$1002,반품접수!$K$3:$K$1002,$A13,반품접수!$B$3:$B$1002,"&gt;="&amp;DATE($B$3,1,1),반품접수!$B$3:$B$1002,"&lt;="&amp;DATE($B$3,12,31))</f>
        <v>0</v>
      </c>
      <c r="D13" s="25" t="n">
        <f aca="false">SUMIFS(반품접수!$I$3:$I$1002,반품접수!$K$3:$K$1002,$A13,반품접수!$H$3:$H$1002,"원재료",반품접수!$B$3:$B$1002,"&gt;="&amp;DATE($B$3,1,1),반품접수!$B$3:$B$1002,"&lt;="&amp;DATE($B$3,12,31))</f>
        <v>0</v>
      </c>
      <c r="E13" s="25" t="n">
        <f aca="false">SUMIFS(반품접수!$I$3:$I$1002,반품접수!$K$3:$K$1002,$A13,반품접수!$H$3:$H$1002,"부자재",반품접수!$B$3:$B$1002,"&gt;="&amp;DATE($B$3,1,1),반품접수!$B$3:$B$1002,"&lt;="&amp;DATE($B$3,12,31))</f>
        <v>0</v>
      </c>
      <c r="F13" s="26" t="n">
        <f aca="false">IF($C$14=0,"",$C13/$C$14)</f>
        <v>0</v>
      </c>
      <c r="G13" s="27" t="n">
        <f aca="false">SUMPRODUCT((반품접수!$K$3:$K$1002=$A13)*1,IFERROR(SUMIF(처리내역!$B$3:$B$1502,반품접수!$A$3:$A$1002,처리내역!$G$3:$G$1502),0))</f>
        <v>0</v>
      </c>
    </row>
    <row r="14" customFormat="false" ht="15" hidden="false" customHeight="true" outlineLevel="0" collapsed="false">
      <c r="A14" s="28" t="s">
        <v>114</v>
      </c>
      <c r="B14" s="29" t="n">
        <f aca="false">SUM(B6:B13)</f>
        <v>5</v>
      </c>
      <c r="C14" s="29" t="n">
        <f aca="false">SUM(C6:C13)</f>
        <v>256</v>
      </c>
      <c r="D14" s="29" t="n">
        <f aca="false">SUM(D6:D13)</f>
        <v>6</v>
      </c>
      <c r="E14" s="29" t="n">
        <f aca="false">SUM(E6:E13)</f>
        <v>250</v>
      </c>
    </row>
    <row r="16" customFormat="false" ht="15" hidden="false" customHeight="true" outlineLevel="0" collapsed="false">
      <c r="A16" s="6" t="s">
        <v>115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3"/>
    <col collapsed="false" customWidth="true" hidden="false" outlineLevel="0" max="4" min="3" style="1" width="14"/>
    <col collapsed="false" customWidth="true" hidden="false" outlineLevel="0" max="6" min="5" style="1" width="13"/>
    <col collapsed="false" customWidth="true" hidden="false" outlineLevel="0" max="7" min="7" style="1" width="12"/>
  </cols>
  <sheetData>
    <row r="1" customFormat="false" ht="25.5" hidden="false" customHeight="true" outlineLevel="0" collapsed="false">
      <c r="A1" s="2" t="s">
        <v>116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99</v>
      </c>
      <c r="B3" s="23" t="n">
        <v>2026</v>
      </c>
    </row>
    <row r="5" customFormat="false" ht="15" hidden="false" customHeight="true" outlineLevel="0" collapsed="false">
      <c r="A5" s="8" t="s">
        <v>26</v>
      </c>
      <c r="B5" s="8" t="s">
        <v>117</v>
      </c>
      <c r="C5" s="8" t="s">
        <v>118</v>
      </c>
      <c r="D5" s="8" t="s">
        <v>87</v>
      </c>
      <c r="E5" s="8" t="s">
        <v>119</v>
      </c>
      <c r="F5" s="8" t="s">
        <v>120</v>
      </c>
      <c r="G5" s="8" t="s">
        <v>121</v>
      </c>
    </row>
    <row r="6" customFormat="false" ht="15" hidden="false" customHeight="true" outlineLevel="0" collapsed="false">
      <c r="A6" s="12" t="str">
        <f aca="false">IF(거래처목록!$A3="","",거래처목록!$A3)</f>
        <v>○○소재</v>
      </c>
      <c r="B6" s="25" t="n">
        <f aca="false">IF($A6="","",COUNTIFS(반품접수!$C$3:$C$1002,$A6,반품접수!$B$3:$B$1002,"&gt;="&amp;DATE($B$3,1,1),반품접수!$B$3:$B$1002,"&lt;="&amp;DATE($B$3,12,31)))</f>
        <v>2</v>
      </c>
      <c r="C6" s="25" t="n">
        <f aca="false">IF($A6="","",SUMIFS(반품접수!$I$3:$I$1002,반품접수!$C$3:$C$1002,$A6,반품접수!$B$3:$B$1002,"&gt;="&amp;DATE($B$3,1,1),반품접수!$B$3:$B$1002,"&lt;="&amp;DATE($B$3,12,31)))</f>
        <v>4</v>
      </c>
      <c r="D6" s="25" t="n">
        <f aca="false">IF($A6="","",COUNTIFS(반품접수!$C$3:$C$1002,$A6,반품접수!$O$3:$O$1002,"미처리",반품접수!$B$3:$B$1002,"&gt;="&amp;DATE($B$3,1,1),반품접수!$B$3:$B$1002,"&lt;="&amp;DATE($B$3,12,31))+COUNTIFS(반품접수!$C$3:$C$1002,$A6,반품접수!$O$3:$O$1002,"부분처리",반품접수!$B$3:$B$1002,"&gt;="&amp;DATE($B$3,1,1),반품접수!$B$3:$B$1002,"&lt;="&amp;DATE($B$3,12,31)))</f>
        <v>2</v>
      </c>
      <c r="E6" s="25" t="n">
        <f aca="false">IF($A6="","",SUMPRODUCT((반품접수!$C$3:$C$1002=$A6)*1,IFERROR(SUMIFS(처리내역!$E$3:$E$1502,처리내역!$B$3:$B$1502,반품접수!$A$3:$A$1002,처리내역!$D$3:$D$1502,"재입고"),0)))</f>
        <v>0</v>
      </c>
      <c r="F6" s="25" t="n">
        <f aca="false">IF($A6="","",SUMPRODUCT((반품접수!$C$3:$C$1002=$A6)*1,IFERROR(SUMIFS(처리내역!$E$3:$E$1502,처리내역!$B$3:$B$1502,반품접수!$A$3:$A$1002,처리내역!$D$3:$D$1502,"폐기"),0)))</f>
        <v>2</v>
      </c>
      <c r="G6" s="26" t="n">
        <f aca="false">IF($A6="","",IF($B6=0,"",($B6-$D6)/$B6))</f>
        <v>0</v>
      </c>
    </row>
    <row r="7" customFormat="false" ht="15" hidden="false" customHeight="true" outlineLevel="0" collapsed="false">
      <c r="A7" s="12" t="str">
        <f aca="false">IF(거래처목록!$A4="","",거래처목록!$A4)</f>
        <v>△△부품</v>
      </c>
      <c r="B7" s="25" t="n">
        <f aca="false">IF($A7="","",COUNTIFS(반품접수!$C$3:$C$1002,$A7,반품접수!$B$3:$B$1002,"&gt;="&amp;DATE($B$3,1,1),반품접수!$B$3:$B$1002,"&lt;="&amp;DATE($B$3,12,31)))</f>
        <v>1</v>
      </c>
      <c r="C7" s="25" t="n">
        <f aca="false">IF($A7="","",SUMIFS(반품접수!$I$3:$I$1002,반품접수!$C$3:$C$1002,$A7,반품접수!$B$3:$B$1002,"&gt;="&amp;DATE($B$3,1,1),반품접수!$B$3:$B$1002,"&lt;="&amp;DATE($B$3,12,31)))</f>
        <v>2</v>
      </c>
      <c r="D7" s="25" t="n">
        <f aca="false">IF($A7="","",COUNTIFS(반품접수!$C$3:$C$1002,$A7,반품접수!$O$3:$O$1002,"미처리",반품접수!$B$3:$B$1002,"&gt;="&amp;DATE($B$3,1,1),반품접수!$B$3:$B$1002,"&lt;="&amp;DATE($B$3,12,31))+COUNTIFS(반품접수!$C$3:$C$1002,$A7,반품접수!$O$3:$O$1002,"부분처리",반품접수!$B$3:$B$1002,"&gt;="&amp;DATE($B$3,1,1),반품접수!$B$3:$B$1002,"&lt;="&amp;DATE($B$3,12,31)))</f>
        <v>0</v>
      </c>
      <c r="E7" s="25" t="n">
        <f aca="false">IF($A7="","",SUMPRODUCT((반품접수!$C$3:$C$1002=$A7)*1,IFERROR(SUMIFS(처리내역!$E$3:$E$1502,처리내역!$B$3:$B$1502,반품접수!$A$3:$A$1002,처리내역!$D$3:$D$1502,"재입고"),0)))</f>
        <v>0</v>
      </c>
      <c r="F7" s="25" t="n">
        <f aca="false">IF($A7="","",SUMPRODUCT((반품접수!$C$3:$C$1002=$A7)*1,IFERROR(SUMIFS(처리내역!$E$3:$E$1502,처리내역!$B$3:$B$1502,반품접수!$A$3:$A$1002,처리내역!$D$3:$D$1502,"폐기"),0)))</f>
        <v>0</v>
      </c>
      <c r="G7" s="26" t="n">
        <f aca="false">IF($A7="","",IF($B7=0,"",($B7-$D7)/$B7))</f>
        <v>1</v>
      </c>
    </row>
    <row r="8" customFormat="false" ht="15" hidden="false" customHeight="true" outlineLevel="0" collapsed="false">
      <c r="A8" s="12" t="str">
        <f aca="false">IF(거래처목록!$A5="","",거래처목록!$A5)</f>
        <v>□□유통</v>
      </c>
      <c r="B8" s="25" t="n">
        <f aca="false">IF($A8="","",COUNTIFS(반품접수!$C$3:$C$1002,$A8,반품접수!$B$3:$B$1002,"&gt;="&amp;DATE($B$3,1,1),반품접수!$B$3:$B$1002,"&lt;="&amp;DATE($B$3,12,31)))</f>
        <v>2</v>
      </c>
      <c r="C8" s="25" t="n">
        <f aca="false">IF($A8="","",SUMIFS(반품접수!$I$3:$I$1002,반품접수!$C$3:$C$1002,$A8,반품접수!$B$3:$B$1002,"&gt;="&amp;DATE($B$3,1,1),반품접수!$B$3:$B$1002,"&lt;="&amp;DATE($B$3,12,31)))</f>
        <v>250</v>
      </c>
      <c r="D8" s="25" t="n">
        <f aca="false">IF($A8="","",COUNTIFS(반품접수!$C$3:$C$1002,$A8,반품접수!$O$3:$O$1002,"미처리",반품접수!$B$3:$B$1002,"&gt;="&amp;DATE($B$3,1,1),반품접수!$B$3:$B$1002,"&lt;="&amp;DATE($B$3,12,31))+COUNTIFS(반품접수!$C$3:$C$1002,$A8,반품접수!$O$3:$O$1002,"부분처리",반품접수!$B$3:$B$1002,"&gt;="&amp;DATE($B$3,1,1),반품접수!$B$3:$B$1002,"&lt;="&amp;DATE($B$3,12,31)))</f>
        <v>1</v>
      </c>
      <c r="E8" s="25" t="n">
        <f aca="false">IF($A8="","",SUMPRODUCT((반품접수!$C$3:$C$1002=$A8)*1,IFERROR(SUMIFS(처리내역!$E$3:$E$1502,처리내역!$B$3:$B$1502,반품접수!$A$3:$A$1002,처리내역!$D$3:$D$1502,"재입고"),0)))</f>
        <v>30</v>
      </c>
      <c r="F8" s="25" t="n">
        <f aca="false">IF($A8="","",SUMPRODUCT((반품접수!$C$3:$C$1002=$A8)*1,IFERROR(SUMIFS(처리내역!$E$3:$E$1502,처리내역!$B$3:$B$1502,반품접수!$A$3:$A$1002,처리내역!$D$3:$D$1502,"폐기"),0)))</f>
        <v>20</v>
      </c>
      <c r="G8" s="26" t="n">
        <f aca="false">IF($A8="","",IF($B8=0,"",($B8-$D8)/$B8))</f>
        <v>0.5</v>
      </c>
    </row>
    <row r="9" customFormat="false" ht="15" hidden="false" customHeight="true" outlineLevel="0" collapsed="false">
      <c r="A9" s="12" t="str">
        <f aca="false">IF(거래처목록!$A6="","",거래처목록!$A6)</f>
        <v/>
      </c>
      <c r="B9" s="25" t="str">
        <f aca="false">IF($A9="","",COUNTIFS(반품접수!$C$3:$C$1002,$A9,반품접수!$B$3:$B$1002,"&gt;="&amp;DATE($B$3,1,1),반품접수!$B$3:$B$1002,"&lt;="&amp;DATE($B$3,12,31)))</f>
        <v/>
      </c>
      <c r="C9" s="25" t="str">
        <f aca="false">IF($A9="","",SUMIFS(반품접수!$I$3:$I$1002,반품접수!$C$3:$C$1002,$A9,반품접수!$B$3:$B$1002,"&gt;="&amp;DATE($B$3,1,1),반품접수!$B$3:$B$1002,"&lt;="&amp;DATE($B$3,12,31)))</f>
        <v/>
      </c>
      <c r="D9" s="25" t="str">
        <f aca="false">IF($A9="","",COUNTIFS(반품접수!$C$3:$C$1002,$A9,반품접수!$O$3:$O$1002,"미처리",반품접수!$B$3:$B$1002,"&gt;="&amp;DATE($B$3,1,1),반품접수!$B$3:$B$1002,"&lt;="&amp;DATE($B$3,12,31))+COUNTIFS(반품접수!$C$3:$C$1002,$A9,반품접수!$O$3:$O$1002,"부분처리",반품접수!$B$3:$B$1002,"&gt;="&amp;DATE($B$3,1,1),반품접수!$B$3:$B$1002,"&lt;="&amp;DATE($B$3,12,31)))</f>
        <v/>
      </c>
      <c r="E9" s="25" t="str">
        <f aca="false">IF($A9="","",SUMPRODUCT((반품접수!$C$3:$C$1002=$A9)*1,IFERROR(SUMIFS(처리내역!$E$3:$E$1502,처리내역!$B$3:$B$1502,반품접수!$A$3:$A$1002,처리내역!$D$3:$D$1502,"재입고"),0)))</f>
        <v/>
      </c>
      <c r="F9" s="25" t="str">
        <f aca="false">IF($A9="","",SUMPRODUCT((반품접수!$C$3:$C$1002=$A9)*1,IFERROR(SUMIFS(처리내역!$E$3:$E$1502,처리내역!$B$3:$B$1502,반품접수!$A$3:$A$1002,처리내역!$D$3:$D$1502,"폐기"),0)))</f>
        <v/>
      </c>
      <c r="G9" s="26" t="str">
        <f aca="false">IF($A9="","",IF($B9=0,"",($B9-$D9)/$B9))</f>
        <v/>
      </c>
    </row>
    <row r="10" customFormat="false" ht="15" hidden="false" customHeight="true" outlineLevel="0" collapsed="false">
      <c r="A10" s="12" t="str">
        <f aca="false">IF(거래처목록!$A7="","",거래처목록!$A7)</f>
        <v/>
      </c>
      <c r="B10" s="25" t="str">
        <f aca="false">IF($A10="","",COUNTIFS(반품접수!$C$3:$C$1002,$A10,반품접수!$B$3:$B$1002,"&gt;="&amp;DATE($B$3,1,1),반품접수!$B$3:$B$1002,"&lt;="&amp;DATE($B$3,12,31)))</f>
        <v/>
      </c>
      <c r="C10" s="25" t="str">
        <f aca="false">IF($A10="","",SUMIFS(반품접수!$I$3:$I$1002,반품접수!$C$3:$C$1002,$A10,반품접수!$B$3:$B$1002,"&gt;="&amp;DATE($B$3,1,1),반품접수!$B$3:$B$1002,"&lt;="&amp;DATE($B$3,12,31)))</f>
        <v/>
      </c>
      <c r="D10" s="25" t="str">
        <f aca="false">IF($A10="","",COUNTIFS(반품접수!$C$3:$C$1002,$A10,반품접수!$O$3:$O$1002,"미처리",반품접수!$B$3:$B$1002,"&gt;="&amp;DATE($B$3,1,1),반품접수!$B$3:$B$1002,"&lt;="&amp;DATE($B$3,12,31))+COUNTIFS(반품접수!$C$3:$C$1002,$A10,반품접수!$O$3:$O$1002,"부분처리",반품접수!$B$3:$B$1002,"&gt;="&amp;DATE($B$3,1,1),반품접수!$B$3:$B$1002,"&lt;="&amp;DATE($B$3,12,31)))</f>
        <v/>
      </c>
      <c r="E10" s="25" t="str">
        <f aca="false">IF($A10="","",SUMPRODUCT((반품접수!$C$3:$C$1002=$A10)*1,IFERROR(SUMIFS(처리내역!$E$3:$E$1502,처리내역!$B$3:$B$1502,반품접수!$A$3:$A$1002,처리내역!$D$3:$D$1502,"재입고"),0)))</f>
        <v/>
      </c>
      <c r="F10" s="25" t="str">
        <f aca="false">IF($A10="","",SUMPRODUCT((반품접수!$C$3:$C$1002=$A10)*1,IFERROR(SUMIFS(처리내역!$E$3:$E$1502,처리내역!$B$3:$B$1502,반품접수!$A$3:$A$1002,처리내역!$D$3:$D$1502,"폐기"),0)))</f>
        <v/>
      </c>
      <c r="G10" s="26" t="str">
        <f aca="false">IF($A10="","",IF($B10=0,"",($B10-$D10)/$B10))</f>
        <v/>
      </c>
    </row>
    <row r="11" customFormat="false" ht="15" hidden="false" customHeight="true" outlineLevel="0" collapsed="false">
      <c r="A11" s="12" t="str">
        <f aca="false">IF(거래처목록!$A8="","",거래처목록!$A8)</f>
        <v/>
      </c>
      <c r="B11" s="25" t="str">
        <f aca="false">IF($A11="","",COUNTIFS(반품접수!$C$3:$C$1002,$A11,반품접수!$B$3:$B$1002,"&gt;="&amp;DATE($B$3,1,1),반품접수!$B$3:$B$1002,"&lt;="&amp;DATE($B$3,12,31)))</f>
        <v/>
      </c>
      <c r="C11" s="25" t="str">
        <f aca="false">IF($A11="","",SUMIFS(반품접수!$I$3:$I$1002,반품접수!$C$3:$C$1002,$A11,반품접수!$B$3:$B$1002,"&gt;="&amp;DATE($B$3,1,1),반품접수!$B$3:$B$1002,"&lt;="&amp;DATE($B$3,12,31)))</f>
        <v/>
      </c>
      <c r="D11" s="25" t="str">
        <f aca="false">IF($A11="","",COUNTIFS(반품접수!$C$3:$C$1002,$A11,반품접수!$O$3:$O$1002,"미처리",반품접수!$B$3:$B$1002,"&gt;="&amp;DATE($B$3,1,1),반품접수!$B$3:$B$1002,"&lt;="&amp;DATE($B$3,12,31))+COUNTIFS(반품접수!$C$3:$C$1002,$A11,반품접수!$O$3:$O$1002,"부분처리",반품접수!$B$3:$B$1002,"&gt;="&amp;DATE($B$3,1,1),반품접수!$B$3:$B$1002,"&lt;="&amp;DATE($B$3,12,31)))</f>
        <v/>
      </c>
      <c r="E11" s="25" t="str">
        <f aca="false">IF($A11="","",SUMPRODUCT((반품접수!$C$3:$C$1002=$A11)*1,IFERROR(SUMIFS(처리내역!$E$3:$E$1502,처리내역!$B$3:$B$1502,반품접수!$A$3:$A$1002,처리내역!$D$3:$D$1502,"재입고"),0)))</f>
        <v/>
      </c>
      <c r="F11" s="25" t="str">
        <f aca="false">IF($A11="","",SUMPRODUCT((반품접수!$C$3:$C$1002=$A11)*1,IFERROR(SUMIFS(처리내역!$E$3:$E$1502,처리내역!$B$3:$B$1502,반품접수!$A$3:$A$1002,처리내역!$D$3:$D$1502,"폐기"),0)))</f>
        <v/>
      </c>
      <c r="G11" s="26" t="str">
        <f aca="false">IF($A11="","",IF($B11=0,"",($B11-$D11)/$B11))</f>
        <v/>
      </c>
    </row>
    <row r="12" customFormat="false" ht="15" hidden="false" customHeight="true" outlineLevel="0" collapsed="false">
      <c r="A12" s="12" t="str">
        <f aca="false">IF(거래처목록!$A9="","",거래처목록!$A9)</f>
        <v/>
      </c>
      <c r="B12" s="25" t="str">
        <f aca="false">IF($A12="","",COUNTIFS(반품접수!$C$3:$C$1002,$A12,반품접수!$B$3:$B$1002,"&gt;="&amp;DATE($B$3,1,1),반품접수!$B$3:$B$1002,"&lt;="&amp;DATE($B$3,12,31)))</f>
        <v/>
      </c>
      <c r="C12" s="25" t="str">
        <f aca="false">IF($A12="","",SUMIFS(반품접수!$I$3:$I$1002,반품접수!$C$3:$C$1002,$A12,반품접수!$B$3:$B$1002,"&gt;="&amp;DATE($B$3,1,1),반품접수!$B$3:$B$1002,"&lt;="&amp;DATE($B$3,12,31)))</f>
        <v/>
      </c>
      <c r="D12" s="25" t="str">
        <f aca="false">IF($A12="","",COUNTIFS(반품접수!$C$3:$C$1002,$A12,반품접수!$O$3:$O$1002,"미처리",반품접수!$B$3:$B$1002,"&gt;="&amp;DATE($B$3,1,1),반품접수!$B$3:$B$1002,"&lt;="&amp;DATE($B$3,12,31))+COUNTIFS(반품접수!$C$3:$C$1002,$A12,반품접수!$O$3:$O$1002,"부분처리",반품접수!$B$3:$B$1002,"&gt;="&amp;DATE($B$3,1,1),반품접수!$B$3:$B$1002,"&lt;="&amp;DATE($B$3,12,31)))</f>
        <v/>
      </c>
      <c r="E12" s="25" t="str">
        <f aca="false">IF($A12="","",SUMPRODUCT((반품접수!$C$3:$C$1002=$A12)*1,IFERROR(SUMIFS(처리내역!$E$3:$E$1502,처리내역!$B$3:$B$1502,반품접수!$A$3:$A$1002,처리내역!$D$3:$D$1502,"재입고"),0)))</f>
        <v/>
      </c>
      <c r="F12" s="25" t="str">
        <f aca="false">IF($A12="","",SUMPRODUCT((반품접수!$C$3:$C$1002=$A12)*1,IFERROR(SUMIFS(처리내역!$E$3:$E$1502,처리내역!$B$3:$B$1502,반품접수!$A$3:$A$1002,처리내역!$D$3:$D$1502,"폐기"),0)))</f>
        <v/>
      </c>
      <c r="G12" s="26" t="str">
        <f aca="false">IF($A12="","",IF($B12=0,"",($B12-$D12)/$B12))</f>
        <v/>
      </c>
    </row>
    <row r="13" customFormat="false" ht="15" hidden="false" customHeight="true" outlineLevel="0" collapsed="false">
      <c r="A13" s="12" t="str">
        <f aca="false">IF(거래처목록!$A10="","",거래처목록!$A10)</f>
        <v/>
      </c>
      <c r="B13" s="25" t="str">
        <f aca="false">IF($A13="","",COUNTIFS(반품접수!$C$3:$C$1002,$A13,반품접수!$B$3:$B$1002,"&gt;="&amp;DATE($B$3,1,1),반품접수!$B$3:$B$1002,"&lt;="&amp;DATE($B$3,12,31)))</f>
        <v/>
      </c>
      <c r="C13" s="25" t="str">
        <f aca="false">IF($A13="","",SUMIFS(반품접수!$I$3:$I$1002,반품접수!$C$3:$C$1002,$A13,반품접수!$B$3:$B$1002,"&gt;="&amp;DATE($B$3,1,1),반품접수!$B$3:$B$1002,"&lt;="&amp;DATE($B$3,12,31)))</f>
        <v/>
      </c>
      <c r="D13" s="25" t="str">
        <f aca="false">IF($A13="","",COUNTIFS(반품접수!$C$3:$C$1002,$A13,반품접수!$O$3:$O$1002,"미처리",반품접수!$B$3:$B$1002,"&gt;="&amp;DATE($B$3,1,1),반품접수!$B$3:$B$1002,"&lt;="&amp;DATE($B$3,12,31))+COUNTIFS(반품접수!$C$3:$C$1002,$A13,반품접수!$O$3:$O$1002,"부분처리",반품접수!$B$3:$B$1002,"&gt;="&amp;DATE($B$3,1,1),반품접수!$B$3:$B$1002,"&lt;="&amp;DATE($B$3,12,31)))</f>
        <v/>
      </c>
      <c r="E13" s="25" t="str">
        <f aca="false">IF($A13="","",SUMPRODUCT((반품접수!$C$3:$C$1002=$A13)*1,IFERROR(SUMIFS(처리내역!$E$3:$E$1502,처리내역!$B$3:$B$1502,반품접수!$A$3:$A$1002,처리내역!$D$3:$D$1502,"재입고"),0)))</f>
        <v/>
      </c>
      <c r="F13" s="25" t="str">
        <f aca="false">IF($A13="","",SUMPRODUCT((반품접수!$C$3:$C$1002=$A13)*1,IFERROR(SUMIFS(처리내역!$E$3:$E$1502,처리내역!$B$3:$B$1502,반품접수!$A$3:$A$1002,처리내역!$D$3:$D$1502,"폐기"),0)))</f>
        <v/>
      </c>
      <c r="G13" s="26" t="str">
        <f aca="false">IF($A13="","",IF($B13=0,"",($B13-$D13)/$B13))</f>
        <v/>
      </c>
    </row>
    <row r="14" customFormat="false" ht="15" hidden="false" customHeight="true" outlineLevel="0" collapsed="false">
      <c r="A14" s="12" t="str">
        <f aca="false">IF(거래처목록!$A11="","",거래처목록!$A11)</f>
        <v/>
      </c>
      <c r="B14" s="25" t="str">
        <f aca="false">IF($A14="","",COUNTIFS(반품접수!$C$3:$C$1002,$A14,반품접수!$B$3:$B$1002,"&gt;="&amp;DATE($B$3,1,1),반품접수!$B$3:$B$1002,"&lt;="&amp;DATE($B$3,12,31)))</f>
        <v/>
      </c>
      <c r="C14" s="25" t="str">
        <f aca="false">IF($A14="","",SUMIFS(반품접수!$I$3:$I$1002,반품접수!$C$3:$C$1002,$A14,반품접수!$B$3:$B$1002,"&gt;="&amp;DATE($B$3,1,1),반품접수!$B$3:$B$1002,"&lt;="&amp;DATE($B$3,12,31)))</f>
        <v/>
      </c>
      <c r="D14" s="25" t="str">
        <f aca="false">IF($A14="","",COUNTIFS(반품접수!$C$3:$C$1002,$A14,반품접수!$O$3:$O$1002,"미처리",반품접수!$B$3:$B$1002,"&gt;="&amp;DATE($B$3,1,1),반품접수!$B$3:$B$1002,"&lt;="&amp;DATE($B$3,12,31))+COUNTIFS(반품접수!$C$3:$C$1002,$A14,반품접수!$O$3:$O$1002,"부분처리",반품접수!$B$3:$B$1002,"&gt;="&amp;DATE($B$3,1,1),반품접수!$B$3:$B$1002,"&lt;="&amp;DATE($B$3,12,31)))</f>
        <v/>
      </c>
      <c r="E14" s="25" t="str">
        <f aca="false">IF($A14="","",SUMPRODUCT((반품접수!$C$3:$C$1002=$A14)*1,IFERROR(SUMIFS(처리내역!$E$3:$E$1502,처리내역!$B$3:$B$1502,반품접수!$A$3:$A$1002,처리내역!$D$3:$D$1502,"재입고"),0)))</f>
        <v/>
      </c>
      <c r="F14" s="25" t="str">
        <f aca="false">IF($A14="","",SUMPRODUCT((반품접수!$C$3:$C$1002=$A14)*1,IFERROR(SUMIFS(처리내역!$E$3:$E$1502,처리내역!$B$3:$B$1502,반품접수!$A$3:$A$1002,처리내역!$D$3:$D$1502,"폐기"),0)))</f>
        <v/>
      </c>
      <c r="G14" s="26" t="str">
        <f aca="false">IF($A14="","",IF($B14=0,"",($B14-$D14)/$B14))</f>
        <v/>
      </c>
    </row>
    <row r="15" customFormat="false" ht="15" hidden="false" customHeight="true" outlineLevel="0" collapsed="false">
      <c r="A15" s="12" t="str">
        <f aca="false">IF(거래처목록!$A12="","",거래처목록!$A12)</f>
        <v/>
      </c>
      <c r="B15" s="25" t="str">
        <f aca="false">IF($A15="","",COUNTIFS(반품접수!$C$3:$C$1002,$A15,반품접수!$B$3:$B$1002,"&gt;="&amp;DATE($B$3,1,1),반품접수!$B$3:$B$1002,"&lt;="&amp;DATE($B$3,12,31)))</f>
        <v/>
      </c>
      <c r="C15" s="25" t="str">
        <f aca="false">IF($A15="","",SUMIFS(반품접수!$I$3:$I$1002,반품접수!$C$3:$C$1002,$A15,반품접수!$B$3:$B$1002,"&gt;="&amp;DATE($B$3,1,1),반품접수!$B$3:$B$1002,"&lt;="&amp;DATE($B$3,12,31)))</f>
        <v/>
      </c>
      <c r="D15" s="25" t="str">
        <f aca="false">IF($A15="","",COUNTIFS(반품접수!$C$3:$C$1002,$A15,반품접수!$O$3:$O$1002,"미처리",반품접수!$B$3:$B$1002,"&gt;="&amp;DATE($B$3,1,1),반품접수!$B$3:$B$1002,"&lt;="&amp;DATE($B$3,12,31))+COUNTIFS(반품접수!$C$3:$C$1002,$A15,반품접수!$O$3:$O$1002,"부분처리",반품접수!$B$3:$B$1002,"&gt;="&amp;DATE($B$3,1,1),반품접수!$B$3:$B$1002,"&lt;="&amp;DATE($B$3,12,31)))</f>
        <v/>
      </c>
      <c r="E15" s="25" t="str">
        <f aca="false">IF($A15="","",SUMPRODUCT((반품접수!$C$3:$C$1002=$A15)*1,IFERROR(SUMIFS(처리내역!$E$3:$E$1502,처리내역!$B$3:$B$1502,반품접수!$A$3:$A$1002,처리내역!$D$3:$D$1502,"재입고"),0)))</f>
        <v/>
      </c>
      <c r="F15" s="25" t="str">
        <f aca="false">IF($A15="","",SUMPRODUCT((반품접수!$C$3:$C$1002=$A15)*1,IFERROR(SUMIFS(처리내역!$E$3:$E$1502,처리내역!$B$3:$B$1502,반품접수!$A$3:$A$1002,처리내역!$D$3:$D$1502,"폐기"),0)))</f>
        <v/>
      </c>
      <c r="G15" s="26" t="str">
        <f aca="false">IF($A15="","",IF($B15=0,"",($B15-$D15)/$B15))</f>
        <v/>
      </c>
    </row>
    <row r="16" customFormat="false" ht="15" hidden="false" customHeight="true" outlineLevel="0" collapsed="false">
      <c r="A16" s="12" t="str">
        <f aca="false">IF(거래처목록!$A13="","",거래처목록!$A13)</f>
        <v/>
      </c>
      <c r="B16" s="25" t="str">
        <f aca="false">IF($A16="","",COUNTIFS(반품접수!$C$3:$C$1002,$A16,반품접수!$B$3:$B$1002,"&gt;="&amp;DATE($B$3,1,1),반품접수!$B$3:$B$1002,"&lt;="&amp;DATE($B$3,12,31)))</f>
        <v/>
      </c>
      <c r="C16" s="25" t="str">
        <f aca="false">IF($A16="","",SUMIFS(반품접수!$I$3:$I$1002,반품접수!$C$3:$C$1002,$A16,반품접수!$B$3:$B$1002,"&gt;="&amp;DATE($B$3,1,1),반품접수!$B$3:$B$1002,"&lt;="&amp;DATE($B$3,12,31)))</f>
        <v/>
      </c>
      <c r="D16" s="25" t="str">
        <f aca="false">IF($A16="","",COUNTIFS(반품접수!$C$3:$C$1002,$A16,반품접수!$O$3:$O$1002,"미처리",반품접수!$B$3:$B$1002,"&gt;="&amp;DATE($B$3,1,1),반품접수!$B$3:$B$1002,"&lt;="&amp;DATE($B$3,12,31))+COUNTIFS(반품접수!$C$3:$C$1002,$A16,반품접수!$O$3:$O$1002,"부분처리",반품접수!$B$3:$B$1002,"&gt;="&amp;DATE($B$3,1,1),반품접수!$B$3:$B$1002,"&lt;="&amp;DATE($B$3,12,31)))</f>
        <v/>
      </c>
      <c r="E16" s="25" t="str">
        <f aca="false">IF($A16="","",SUMPRODUCT((반품접수!$C$3:$C$1002=$A16)*1,IFERROR(SUMIFS(처리내역!$E$3:$E$1502,처리내역!$B$3:$B$1502,반품접수!$A$3:$A$1002,처리내역!$D$3:$D$1502,"재입고"),0)))</f>
        <v/>
      </c>
      <c r="F16" s="25" t="str">
        <f aca="false">IF($A16="","",SUMPRODUCT((반품접수!$C$3:$C$1002=$A16)*1,IFERROR(SUMIFS(처리내역!$E$3:$E$1502,처리내역!$B$3:$B$1502,반품접수!$A$3:$A$1002,처리내역!$D$3:$D$1502,"폐기"),0)))</f>
        <v/>
      </c>
      <c r="G16" s="26" t="str">
        <f aca="false">IF($A16="","",IF($B16=0,"",($B16-$D16)/$B16))</f>
        <v/>
      </c>
    </row>
    <row r="17" customFormat="false" ht="15" hidden="false" customHeight="true" outlineLevel="0" collapsed="false">
      <c r="A17" s="12" t="str">
        <f aca="false">IF(거래처목록!$A14="","",거래처목록!$A14)</f>
        <v/>
      </c>
      <c r="B17" s="25" t="str">
        <f aca="false">IF($A17="","",COUNTIFS(반품접수!$C$3:$C$1002,$A17,반품접수!$B$3:$B$1002,"&gt;="&amp;DATE($B$3,1,1),반품접수!$B$3:$B$1002,"&lt;="&amp;DATE($B$3,12,31)))</f>
        <v/>
      </c>
      <c r="C17" s="25" t="str">
        <f aca="false">IF($A17="","",SUMIFS(반품접수!$I$3:$I$1002,반품접수!$C$3:$C$1002,$A17,반품접수!$B$3:$B$1002,"&gt;="&amp;DATE($B$3,1,1),반품접수!$B$3:$B$1002,"&lt;="&amp;DATE($B$3,12,31)))</f>
        <v/>
      </c>
      <c r="D17" s="25" t="str">
        <f aca="false">IF($A17="","",COUNTIFS(반품접수!$C$3:$C$1002,$A17,반품접수!$O$3:$O$1002,"미처리",반품접수!$B$3:$B$1002,"&gt;="&amp;DATE($B$3,1,1),반품접수!$B$3:$B$1002,"&lt;="&amp;DATE($B$3,12,31))+COUNTIFS(반품접수!$C$3:$C$1002,$A17,반품접수!$O$3:$O$1002,"부분처리",반품접수!$B$3:$B$1002,"&gt;="&amp;DATE($B$3,1,1),반품접수!$B$3:$B$1002,"&lt;="&amp;DATE($B$3,12,31)))</f>
        <v/>
      </c>
      <c r="E17" s="25" t="str">
        <f aca="false">IF($A17="","",SUMPRODUCT((반품접수!$C$3:$C$1002=$A17)*1,IFERROR(SUMIFS(처리내역!$E$3:$E$1502,처리내역!$B$3:$B$1502,반품접수!$A$3:$A$1002,처리내역!$D$3:$D$1502,"재입고"),0)))</f>
        <v/>
      </c>
      <c r="F17" s="25" t="str">
        <f aca="false">IF($A17="","",SUMPRODUCT((반품접수!$C$3:$C$1002=$A17)*1,IFERROR(SUMIFS(처리내역!$E$3:$E$1502,처리내역!$B$3:$B$1502,반품접수!$A$3:$A$1002,처리내역!$D$3:$D$1502,"폐기"),0)))</f>
        <v/>
      </c>
      <c r="G17" s="26" t="str">
        <f aca="false">IF($A17="","",IF($B17=0,"",($B17-$D17)/$B17))</f>
        <v/>
      </c>
    </row>
    <row r="18" customFormat="false" ht="15" hidden="false" customHeight="true" outlineLevel="0" collapsed="false">
      <c r="A18" s="12" t="str">
        <f aca="false">IF(거래처목록!$A15="","",거래처목록!$A15)</f>
        <v/>
      </c>
      <c r="B18" s="25" t="str">
        <f aca="false">IF($A18="","",COUNTIFS(반품접수!$C$3:$C$1002,$A18,반품접수!$B$3:$B$1002,"&gt;="&amp;DATE($B$3,1,1),반품접수!$B$3:$B$1002,"&lt;="&amp;DATE($B$3,12,31)))</f>
        <v/>
      </c>
      <c r="C18" s="25" t="str">
        <f aca="false">IF($A18="","",SUMIFS(반품접수!$I$3:$I$1002,반품접수!$C$3:$C$1002,$A18,반품접수!$B$3:$B$1002,"&gt;="&amp;DATE($B$3,1,1),반품접수!$B$3:$B$1002,"&lt;="&amp;DATE($B$3,12,31)))</f>
        <v/>
      </c>
      <c r="D18" s="25" t="str">
        <f aca="false">IF($A18="","",COUNTIFS(반품접수!$C$3:$C$1002,$A18,반품접수!$O$3:$O$1002,"미처리",반품접수!$B$3:$B$1002,"&gt;="&amp;DATE($B$3,1,1),반품접수!$B$3:$B$1002,"&lt;="&amp;DATE($B$3,12,31))+COUNTIFS(반품접수!$C$3:$C$1002,$A18,반품접수!$O$3:$O$1002,"부분처리",반품접수!$B$3:$B$1002,"&gt;="&amp;DATE($B$3,1,1),반품접수!$B$3:$B$1002,"&lt;="&amp;DATE($B$3,12,31)))</f>
        <v/>
      </c>
      <c r="E18" s="25" t="str">
        <f aca="false">IF($A18="","",SUMPRODUCT((반품접수!$C$3:$C$1002=$A18)*1,IFERROR(SUMIFS(처리내역!$E$3:$E$1502,처리내역!$B$3:$B$1502,반품접수!$A$3:$A$1002,처리내역!$D$3:$D$1502,"재입고"),0)))</f>
        <v/>
      </c>
      <c r="F18" s="25" t="str">
        <f aca="false">IF($A18="","",SUMPRODUCT((반품접수!$C$3:$C$1002=$A18)*1,IFERROR(SUMIFS(처리내역!$E$3:$E$1502,처리내역!$B$3:$B$1502,반품접수!$A$3:$A$1002,처리내역!$D$3:$D$1502,"폐기"),0)))</f>
        <v/>
      </c>
      <c r="G18" s="26" t="str">
        <f aca="false">IF($A18="","",IF($B18=0,"",($B18-$D18)/$B18))</f>
        <v/>
      </c>
    </row>
    <row r="19" customFormat="false" ht="15" hidden="false" customHeight="true" outlineLevel="0" collapsed="false">
      <c r="A19" s="12" t="str">
        <f aca="false">IF(거래처목록!$A16="","",거래처목록!$A16)</f>
        <v/>
      </c>
      <c r="B19" s="25" t="str">
        <f aca="false">IF($A19="","",COUNTIFS(반품접수!$C$3:$C$1002,$A19,반품접수!$B$3:$B$1002,"&gt;="&amp;DATE($B$3,1,1),반품접수!$B$3:$B$1002,"&lt;="&amp;DATE($B$3,12,31)))</f>
        <v/>
      </c>
      <c r="C19" s="25" t="str">
        <f aca="false">IF($A19="","",SUMIFS(반품접수!$I$3:$I$1002,반품접수!$C$3:$C$1002,$A19,반품접수!$B$3:$B$1002,"&gt;="&amp;DATE($B$3,1,1),반품접수!$B$3:$B$1002,"&lt;="&amp;DATE($B$3,12,31)))</f>
        <v/>
      </c>
      <c r="D19" s="25" t="str">
        <f aca="false">IF($A19="","",COUNTIFS(반품접수!$C$3:$C$1002,$A19,반품접수!$O$3:$O$1002,"미처리",반품접수!$B$3:$B$1002,"&gt;="&amp;DATE($B$3,1,1),반품접수!$B$3:$B$1002,"&lt;="&amp;DATE($B$3,12,31))+COUNTIFS(반품접수!$C$3:$C$1002,$A19,반품접수!$O$3:$O$1002,"부분처리",반품접수!$B$3:$B$1002,"&gt;="&amp;DATE($B$3,1,1),반품접수!$B$3:$B$1002,"&lt;="&amp;DATE($B$3,12,31)))</f>
        <v/>
      </c>
      <c r="E19" s="25" t="str">
        <f aca="false">IF($A19="","",SUMPRODUCT((반품접수!$C$3:$C$1002=$A19)*1,IFERROR(SUMIFS(처리내역!$E$3:$E$1502,처리내역!$B$3:$B$1502,반품접수!$A$3:$A$1002,처리내역!$D$3:$D$1502,"재입고"),0)))</f>
        <v/>
      </c>
      <c r="F19" s="25" t="str">
        <f aca="false">IF($A19="","",SUMPRODUCT((반품접수!$C$3:$C$1002=$A19)*1,IFERROR(SUMIFS(처리내역!$E$3:$E$1502,처리내역!$B$3:$B$1502,반품접수!$A$3:$A$1002,처리내역!$D$3:$D$1502,"폐기"),0)))</f>
        <v/>
      </c>
      <c r="G19" s="26" t="str">
        <f aca="false">IF($A19="","",IF($B19=0,"",($B19-$D19)/$B19))</f>
        <v/>
      </c>
    </row>
    <row r="20" customFormat="false" ht="15" hidden="false" customHeight="true" outlineLevel="0" collapsed="false">
      <c r="A20" s="12" t="str">
        <f aca="false">IF(거래처목록!$A17="","",거래처목록!$A17)</f>
        <v/>
      </c>
      <c r="B20" s="25" t="str">
        <f aca="false">IF($A20="","",COUNTIFS(반품접수!$C$3:$C$1002,$A20,반품접수!$B$3:$B$1002,"&gt;="&amp;DATE($B$3,1,1),반품접수!$B$3:$B$1002,"&lt;="&amp;DATE($B$3,12,31)))</f>
        <v/>
      </c>
      <c r="C20" s="25" t="str">
        <f aca="false">IF($A20="","",SUMIFS(반품접수!$I$3:$I$1002,반품접수!$C$3:$C$1002,$A20,반품접수!$B$3:$B$1002,"&gt;="&amp;DATE($B$3,1,1),반품접수!$B$3:$B$1002,"&lt;="&amp;DATE($B$3,12,31)))</f>
        <v/>
      </c>
      <c r="D20" s="25" t="str">
        <f aca="false">IF($A20="","",COUNTIFS(반품접수!$C$3:$C$1002,$A20,반품접수!$O$3:$O$1002,"미처리",반품접수!$B$3:$B$1002,"&gt;="&amp;DATE($B$3,1,1),반품접수!$B$3:$B$1002,"&lt;="&amp;DATE($B$3,12,31))+COUNTIFS(반품접수!$C$3:$C$1002,$A20,반품접수!$O$3:$O$1002,"부분처리",반품접수!$B$3:$B$1002,"&gt;="&amp;DATE($B$3,1,1),반품접수!$B$3:$B$1002,"&lt;="&amp;DATE($B$3,12,31)))</f>
        <v/>
      </c>
      <c r="E20" s="25" t="str">
        <f aca="false">IF($A20="","",SUMPRODUCT((반품접수!$C$3:$C$1002=$A20)*1,IFERROR(SUMIFS(처리내역!$E$3:$E$1502,처리내역!$B$3:$B$1502,반품접수!$A$3:$A$1002,처리내역!$D$3:$D$1502,"재입고"),0)))</f>
        <v/>
      </c>
      <c r="F20" s="25" t="str">
        <f aca="false">IF($A20="","",SUMPRODUCT((반품접수!$C$3:$C$1002=$A20)*1,IFERROR(SUMIFS(처리내역!$E$3:$E$1502,처리내역!$B$3:$B$1502,반품접수!$A$3:$A$1002,처리내역!$D$3:$D$1502,"폐기"),0)))</f>
        <v/>
      </c>
      <c r="G20" s="26" t="str">
        <f aca="false">IF($A20="","",IF($B20=0,"",($B20-$D20)/$B20))</f>
        <v/>
      </c>
    </row>
    <row r="21" customFormat="false" ht="15" hidden="false" customHeight="true" outlineLevel="0" collapsed="false">
      <c r="A21" s="12" t="str">
        <f aca="false">IF(거래처목록!$A18="","",거래처목록!$A18)</f>
        <v/>
      </c>
      <c r="B21" s="25" t="str">
        <f aca="false">IF($A21="","",COUNTIFS(반품접수!$C$3:$C$1002,$A21,반품접수!$B$3:$B$1002,"&gt;="&amp;DATE($B$3,1,1),반품접수!$B$3:$B$1002,"&lt;="&amp;DATE($B$3,12,31)))</f>
        <v/>
      </c>
      <c r="C21" s="25" t="str">
        <f aca="false">IF($A21="","",SUMIFS(반품접수!$I$3:$I$1002,반품접수!$C$3:$C$1002,$A21,반품접수!$B$3:$B$1002,"&gt;="&amp;DATE($B$3,1,1),반품접수!$B$3:$B$1002,"&lt;="&amp;DATE($B$3,12,31)))</f>
        <v/>
      </c>
      <c r="D21" s="25" t="str">
        <f aca="false">IF($A21="","",COUNTIFS(반품접수!$C$3:$C$1002,$A21,반품접수!$O$3:$O$1002,"미처리",반품접수!$B$3:$B$1002,"&gt;="&amp;DATE($B$3,1,1),반품접수!$B$3:$B$1002,"&lt;="&amp;DATE($B$3,12,31))+COUNTIFS(반품접수!$C$3:$C$1002,$A21,반품접수!$O$3:$O$1002,"부분처리",반품접수!$B$3:$B$1002,"&gt;="&amp;DATE($B$3,1,1),반품접수!$B$3:$B$1002,"&lt;="&amp;DATE($B$3,12,31)))</f>
        <v/>
      </c>
      <c r="E21" s="25" t="str">
        <f aca="false">IF($A21="","",SUMPRODUCT((반품접수!$C$3:$C$1002=$A21)*1,IFERROR(SUMIFS(처리내역!$E$3:$E$1502,처리내역!$B$3:$B$1502,반품접수!$A$3:$A$1002,처리내역!$D$3:$D$1502,"재입고"),0)))</f>
        <v/>
      </c>
      <c r="F21" s="25" t="str">
        <f aca="false">IF($A21="","",SUMPRODUCT((반품접수!$C$3:$C$1002=$A21)*1,IFERROR(SUMIFS(처리내역!$E$3:$E$1502,처리내역!$B$3:$B$1502,반품접수!$A$3:$A$1002,처리내역!$D$3:$D$1502,"폐기"),0)))</f>
        <v/>
      </c>
      <c r="G21" s="26" t="str">
        <f aca="false">IF($A21="","",IF($B21=0,"",($B21-$D21)/$B21))</f>
        <v/>
      </c>
    </row>
    <row r="22" customFormat="false" ht="15" hidden="false" customHeight="true" outlineLevel="0" collapsed="false">
      <c r="A22" s="12" t="str">
        <f aca="false">IF(거래처목록!$A19="","",거래처목록!$A19)</f>
        <v/>
      </c>
      <c r="B22" s="25" t="str">
        <f aca="false">IF($A22="","",COUNTIFS(반품접수!$C$3:$C$1002,$A22,반품접수!$B$3:$B$1002,"&gt;="&amp;DATE($B$3,1,1),반품접수!$B$3:$B$1002,"&lt;="&amp;DATE($B$3,12,31)))</f>
        <v/>
      </c>
      <c r="C22" s="25" t="str">
        <f aca="false">IF($A22="","",SUMIFS(반품접수!$I$3:$I$1002,반품접수!$C$3:$C$1002,$A22,반품접수!$B$3:$B$1002,"&gt;="&amp;DATE($B$3,1,1),반품접수!$B$3:$B$1002,"&lt;="&amp;DATE($B$3,12,31)))</f>
        <v/>
      </c>
      <c r="D22" s="25" t="str">
        <f aca="false">IF($A22="","",COUNTIFS(반품접수!$C$3:$C$1002,$A22,반품접수!$O$3:$O$1002,"미처리",반품접수!$B$3:$B$1002,"&gt;="&amp;DATE($B$3,1,1),반품접수!$B$3:$B$1002,"&lt;="&amp;DATE($B$3,12,31))+COUNTIFS(반품접수!$C$3:$C$1002,$A22,반품접수!$O$3:$O$1002,"부분처리",반품접수!$B$3:$B$1002,"&gt;="&amp;DATE($B$3,1,1),반품접수!$B$3:$B$1002,"&lt;="&amp;DATE($B$3,12,31)))</f>
        <v/>
      </c>
      <c r="E22" s="25" t="str">
        <f aca="false">IF($A22="","",SUMPRODUCT((반품접수!$C$3:$C$1002=$A22)*1,IFERROR(SUMIFS(처리내역!$E$3:$E$1502,처리내역!$B$3:$B$1502,반품접수!$A$3:$A$1002,처리내역!$D$3:$D$1502,"재입고"),0)))</f>
        <v/>
      </c>
      <c r="F22" s="25" t="str">
        <f aca="false">IF($A22="","",SUMPRODUCT((반품접수!$C$3:$C$1002=$A22)*1,IFERROR(SUMIFS(처리내역!$E$3:$E$1502,처리내역!$B$3:$B$1502,반품접수!$A$3:$A$1002,처리내역!$D$3:$D$1502,"폐기"),0)))</f>
        <v/>
      </c>
      <c r="G22" s="26" t="str">
        <f aca="false">IF($A22="","",IF($B22=0,"",($B22-$D22)/$B22))</f>
        <v/>
      </c>
    </row>
    <row r="23" customFormat="false" ht="15" hidden="false" customHeight="true" outlineLevel="0" collapsed="false">
      <c r="A23" s="12" t="str">
        <f aca="false">IF(거래처목록!$A20="","",거래처목록!$A20)</f>
        <v/>
      </c>
      <c r="B23" s="25" t="str">
        <f aca="false">IF($A23="","",COUNTIFS(반품접수!$C$3:$C$1002,$A23,반품접수!$B$3:$B$1002,"&gt;="&amp;DATE($B$3,1,1),반품접수!$B$3:$B$1002,"&lt;="&amp;DATE($B$3,12,31)))</f>
        <v/>
      </c>
      <c r="C23" s="25" t="str">
        <f aca="false">IF($A23="","",SUMIFS(반품접수!$I$3:$I$1002,반품접수!$C$3:$C$1002,$A23,반품접수!$B$3:$B$1002,"&gt;="&amp;DATE($B$3,1,1),반품접수!$B$3:$B$1002,"&lt;="&amp;DATE($B$3,12,31)))</f>
        <v/>
      </c>
      <c r="D23" s="25" t="str">
        <f aca="false">IF($A23="","",COUNTIFS(반품접수!$C$3:$C$1002,$A23,반품접수!$O$3:$O$1002,"미처리",반품접수!$B$3:$B$1002,"&gt;="&amp;DATE($B$3,1,1),반품접수!$B$3:$B$1002,"&lt;="&amp;DATE($B$3,12,31))+COUNTIFS(반품접수!$C$3:$C$1002,$A23,반품접수!$O$3:$O$1002,"부분처리",반품접수!$B$3:$B$1002,"&gt;="&amp;DATE($B$3,1,1),반품접수!$B$3:$B$1002,"&lt;="&amp;DATE($B$3,12,31)))</f>
        <v/>
      </c>
      <c r="E23" s="25" t="str">
        <f aca="false">IF($A23="","",SUMPRODUCT((반품접수!$C$3:$C$1002=$A23)*1,IFERROR(SUMIFS(처리내역!$E$3:$E$1502,처리내역!$B$3:$B$1502,반품접수!$A$3:$A$1002,처리내역!$D$3:$D$1502,"재입고"),0)))</f>
        <v/>
      </c>
      <c r="F23" s="25" t="str">
        <f aca="false">IF($A23="","",SUMPRODUCT((반품접수!$C$3:$C$1002=$A23)*1,IFERROR(SUMIFS(처리내역!$E$3:$E$1502,처리내역!$B$3:$B$1502,반품접수!$A$3:$A$1002,처리내역!$D$3:$D$1502,"폐기"),0)))</f>
        <v/>
      </c>
      <c r="G23" s="26" t="str">
        <f aca="false">IF($A23="","",IF($B23=0,"",($B23-$D23)/$B23))</f>
        <v/>
      </c>
    </row>
    <row r="24" customFormat="false" ht="15" hidden="false" customHeight="true" outlineLevel="0" collapsed="false">
      <c r="A24" s="12" t="str">
        <f aca="false">IF(거래처목록!$A21="","",거래처목록!$A21)</f>
        <v/>
      </c>
      <c r="B24" s="25" t="str">
        <f aca="false">IF($A24="","",COUNTIFS(반품접수!$C$3:$C$1002,$A24,반품접수!$B$3:$B$1002,"&gt;="&amp;DATE($B$3,1,1),반품접수!$B$3:$B$1002,"&lt;="&amp;DATE($B$3,12,31)))</f>
        <v/>
      </c>
      <c r="C24" s="25" t="str">
        <f aca="false">IF($A24="","",SUMIFS(반품접수!$I$3:$I$1002,반품접수!$C$3:$C$1002,$A24,반품접수!$B$3:$B$1002,"&gt;="&amp;DATE($B$3,1,1),반품접수!$B$3:$B$1002,"&lt;="&amp;DATE($B$3,12,31)))</f>
        <v/>
      </c>
      <c r="D24" s="25" t="str">
        <f aca="false">IF($A24="","",COUNTIFS(반품접수!$C$3:$C$1002,$A24,반품접수!$O$3:$O$1002,"미처리",반품접수!$B$3:$B$1002,"&gt;="&amp;DATE($B$3,1,1),반품접수!$B$3:$B$1002,"&lt;="&amp;DATE($B$3,12,31))+COUNTIFS(반품접수!$C$3:$C$1002,$A24,반품접수!$O$3:$O$1002,"부분처리",반품접수!$B$3:$B$1002,"&gt;="&amp;DATE($B$3,1,1),반품접수!$B$3:$B$1002,"&lt;="&amp;DATE($B$3,12,31)))</f>
        <v/>
      </c>
      <c r="E24" s="25" t="str">
        <f aca="false">IF($A24="","",SUMPRODUCT((반품접수!$C$3:$C$1002=$A24)*1,IFERROR(SUMIFS(처리내역!$E$3:$E$1502,처리내역!$B$3:$B$1502,반품접수!$A$3:$A$1002,처리내역!$D$3:$D$1502,"재입고"),0)))</f>
        <v/>
      </c>
      <c r="F24" s="25" t="str">
        <f aca="false">IF($A24="","",SUMPRODUCT((반품접수!$C$3:$C$1002=$A24)*1,IFERROR(SUMIFS(처리내역!$E$3:$E$1502,처리내역!$B$3:$B$1502,반품접수!$A$3:$A$1002,처리내역!$D$3:$D$1502,"폐기"),0)))</f>
        <v/>
      </c>
      <c r="G24" s="26" t="str">
        <f aca="false">IF($A24="","",IF($B24=0,"",($B24-$D24)/$B24))</f>
        <v/>
      </c>
    </row>
    <row r="25" customFormat="false" ht="15" hidden="false" customHeight="true" outlineLevel="0" collapsed="false">
      <c r="A25" s="12" t="str">
        <f aca="false">IF(거래처목록!$A22="","",거래처목록!$A22)</f>
        <v/>
      </c>
      <c r="B25" s="25" t="str">
        <f aca="false">IF($A25="","",COUNTIFS(반품접수!$C$3:$C$1002,$A25,반품접수!$B$3:$B$1002,"&gt;="&amp;DATE($B$3,1,1),반품접수!$B$3:$B$1002,"&lt;="&amp;DATE($B$3,12,31)))</f>
        <v/>
      </c>
      <c r="C25" s="25" t="str">
        <f aca="false">IF($A25="","",SUMIFS(반품접수!$I$3:$I$1002,반품접수!$C$3:$C$1002,$A25,반품접수!$B$3:$B$1002,"&gt;="&amp;DATE($B$3,1,1),반품접수!$B$3:$B$1002,"&lt;="&amp;DATE($B$3,12,31)))</f>
        <v/>
      </c>
      <c r="D25" s="25" t="str">
        <f aca="false">IF($A25="","",COUNTIFS(반품접수!$C$3:$C$1002,$A25,반품접수!$O$3:$O$1002,"미처리",반품접수!$B$3:$B$1002,"&gt;="&amp;DATE($B$3,1,1),반품접수!$B$3:$B$1002,"&lt;="&amp;DATE($B$3,12,31))+COUNTIFS(반품접수!$C$3:$C$1002,$A25,반품접수!$O$3:$O$1002,"부분처리",반품접수!$B$3:$B$1002,"&gt;="&amp;DATE($B$3,1,1),반품접수!$B$3:$B$1002,"&lt;="&amp;DATE($B$3,12,31)))</f>
        <v/>
      </c>
      <c r="E25" s="25" t="str">
        <f aca="false">IF($A25="","",SUMPRODUCT((반품접수!$C$3:$C$1002=$A25)*1,IFERROR(SUMIFS(처리내역!$E$3:$E$1502,처리내역!$B$3:$B$1502,반품접수!$A$3:$A$1002,처리내역!$D$3:$D$1502,"재입고"),0)))</f>
        <v/>
      </c>
      <c r="F25" s="25" t="str">
        <f aca="false">IF($A25="","",SUMPRODUCT((반품접수!$C$3:$C$1002=$A25)*1,IFERROR(SUMIFS(처리내역!$E$3:$E$1502,처리내역!$B$3:$B$1502,반품접수!$A$3:$A$1002,처리내역!$D$3:$D$1502,"폐기"),0)))</f>
        <v/>
      </c>
      <c r="G25" s="26" t="str">
        <f aca="false">IF($A25="","",IF($B25=0,"",($B25-$D25)/$B25))</f>
        <v/>
      </c>
    </row>
    <row r="26" customFormat="false" ht="15" hidden="false" customHeight="true" outlineLevel="0" collapsed="false">
      <c r="A26" s="12" t="str">
        <f aca="false">IF(거래처목록!$A23="","",거래처목록!$A23)</f>
        <v/>
      </c>
      <c r="B26" s="25" t="str">
        <f aca="false">IF($A26="","",COUNTIFS(반품접수!$C$3:$C$1002,$A26,반품접수!$B$3:$B$1002,"&gt;="&amp;DATE($B$3,1,1),반품접수!$B$3:$B$1002,"&lt;="&amp;DATE($B$3,12,31)))</f>
        <v/>
      </c>
      <c r="C26" s="25" t="str">
        <f aca="false">IF($A26="","",SUMIFS(반품접수!$I$3:$I$1002,반품접수!$C$3:$C$1002,$A26,반품접수!$B$3:$B$1002,"&gt;="&amp;DATE($B$3,1,1),반품접수!$B$3:$B$1002,"&lt;="&amp;DATE($B$3,12,31)))</f>
        <v/>
      </c>
      <c r="D26" s="25" t="str">
        <f aca="false">IF($A26="","",COUNTIFS(반품접수!$C$3:$C$1002,$A26,반품접수!$O$3:$O$1002,"미처리",반품접수!$B$3:$B$1002,"&gt;="&amp;DATE($B$3,1,1),반품접수!$B$3:$B$1002,"&lt;="&amp;DATE($B$3,12,31))+COUNTIFS(반품접수!$C$3:$C$1002,$A26,반품접수!$O$3:$O$1002,"부분처리",반품접수!$B$3:$B$1002,"&gt;="&amp;DATE($B$3,1,1),반품접수!$B$3:$B$1002,"&lt;="&amp;DATE($B$3,12,31)))</f>
        <v/>
      </c>
      <c r="E26" s="25" t="str">
        <f aca="false">IF($A26="","",SUMPRODUCT((반품접수!$C$3:$C$1002=$A26)*1,IFERROR(SUMIFS(처리내역!$E$3:$E$1502,처리내역!$B$3:$B$1502,반품접수!$A$3:$A$1002,처리내역!$D$3:$D$1502,"재입고"),0)))</f>
        <v/>
      </c>
      <c r="F26" s="25" t="str">
        <f aca="false">IF($A26="","",SUMPRODUCT((반품접수!$C$3:$C$1002=$A26)*1,IFERROR(SUMIFS(처리내역!$E$3:$E$1502,처리내역!$B$3:$B$1502,반품접수!$A$3:$A$1002,처리내역!$D$3:$D$1502,"폐기"),0)))</f>
        <v/>
      </c>
      <c r="G26" s="26" t="str">
        <f aca="false">IF($A26="","",IF($B26=0,"",($B26-$D26)/$B26))</f>
        <v/>
      </c>
    </row>
    <row r="27" customFormat="false" ht="15" hidden="false" customHeight="true" outlineLevel="0" collapsed="false">
      <c r="A27" s="12" t="str">
        <f aca="false">IF(거래처목록!$A24="","",거래처목록!$A24)</f>
        <v/>
      </c>
      <c r="B27" s="25" t="str">
        <f aca="false">IF($A27="","",COUNTIFS(반품접수!$C$3:$C$1002,$A27,반품접수!$B$3:$B$1002,"&gt;="&amp;DATE($B$3,1,1),반품접수!$B$3:$B$1002,"&lt;="&amp;DATE($B$3,12,31)))</f>
        <v/>
      </c>
      <c r="C27" s="25" t="str">
        <f aca="false">IF($A27="","",SUMIFS(반품접수!$I$3:$I$1002,반품접수!$C$3:$C$1002,$A27,반품접수!$B$3:$B$1002,"&gt;="&amp;DATE($B$3,1,1),반품접수!$B$3:$B$1002,"&lt;="&amp;DATE($B$3,12,31)))</f>
        <v/>
      </c>
      <c r="D27" s="25" t="str">
        <f aca="false">IF($A27="","",COUNTIFS(반품접수!$C$3:$C$1002,$A27,반품접수!$O$3:$O$1002,"미처리",반품접수!$B$3:$B$1002,"&gt;="&amp;DATE($B$3,1,1),반품접수!$B$3:$B$1002,"&lt;="&amp;DATE($B$3,12,31))+COUNTIFS(반품접수!$C$3:$C$1002,$A27,반품접수!$O$3:$O$1002,"부분처리",반품접수!$B$3:$B$1002,"&gt;="&amp;DATE($B$3,1,1),반품접수!$B$3:$B$1002,"&lt;="&amp;DATE($B$3,12,31)))</f>
        <v/>
      </c>
      <c r="E27" s="25" t="str">
        <f aca="false">IF($A27="","",SUMPRODUCT((반품접수!$C$3:$C$1002=$A27)*1,IFERROR(SUMIFS(처리내역!$E$3:$E$1502,처리내역!$B$3:$B$1502,반품접수!$A$3:$A$1002,처리내역!$D$3:$D$1502,"재입고"),0)))</f>
        <v/>
      </c>
      <c r="F27" s="25" t="str">
        <f aca="false">IF($A27="","",SUMPRODUCT((반품접수!$C$3:$C$1002=$A27)*1,IFERROR(SUMIFS(처리내역!$E$3:$E$1502,처리내역!$B$3:$B$1502,반품접수!$A$3:$A$1002,처리내역!$D$3:$D$1502,"폐기"),0)))</f>
        <v/>
      </c>
      <c r="G27" s="26" t="str">
        <f aca="false">IF($A27="","",IF($B27=0,"",($B27-$D27)/$B27))</f>
        <v/>
      </c>
    </row>
    <row r="28" customFormat="false" ht="15" hidden="false" customHeight="true" outlineLevel="0" collapsed="false">
      <c r="A28" s="12" t="str">
        <f aca="false">IF(거래처목록!$A25="","",거래처목록!$A25)</f>
        <v/>
      </c>
      <c r="B28" s="25" t="str">
        <f aca="false">IF($A28="","",COUNTIFS(반품접수!$C$3:$C$1002,$A28,반품접수!$B$3:$B$1002,"&gt;="&amp;DATE($B$3,1,1),반품접수!$B$3:$B$1002,"&lt;="&amp;DATE($B$3,12,31)))</f>
        <v/>
      </c>
      <c r="C28" s="25" t="str">
        <f aca="false">IF($A28="","",SUMIFS(반품접수!$I$3:$I$1002,반품접수!$C$3:$C$1002,$A28,반품접수!$B$3:$B$1002,"&gt;="&amp;DATE($B$3,1,1),반품접수!$B$3:$B$1002,"&lt;="&amp;DATE($B$3,12,31)))</f>
        <v/>
      </c>
      <c r="D28" s="25" t="str">
        <f aca="false">IF($A28="","",COUNTIFS(반품접수!$C$3:$C$1002,$A28,반품접수!$O$3:$O$1002,"미처리",반품접수!$B$3:$B$1002,"&gt;="&amp;DATE($B$3,1,1),반품접수!$B$3:$B$1002,"&lt;="&amp;DATE($B$3,12,31))+COUNTIFS(반품접수!$C$3:$C$1002,$A28,반품접수!$O$3:$O$1002,"부분처리",반품접수!$B$3:$B$1002,"&gt;="&amp;DATE($B$3,1,1),반품접수!$B$3:$B$1002,"&lt;="&amp;DATE($B$3,12,31)))</f>
        <v/>
      </c>
      <c r="E28" s="25" t="str">
        <f aca="false">IF($A28="","",SUMPRODUCT((반품접수!$C$3:$C$1002=$A28)*1,IFERROR(SUMIFS(처리내역!$E$3:$E$1502,처리내역!$B$3:$B$1502,반품접수!$A$3:$A$1002,처리내역!$D$3:$D$1502,"재입고"),0)))</f>
        <v/>
      </c>
      <c r="F28" s="25" t="str">
        <f aca="false">IF($A28="","",SUMPRODUCT((반품접수!$C$3:$C$1002=$A28)*1,IFERROR(SUMIFS(처리내역!$E$3:$E$1502,처리내역!$B$3:$B$1502,반품접수!$A$3:$A$1002,처리내역!$D$3:$D$1502,"폐기"),0)))</f>
        <v/>
      </c>
      <c r="G28" s="26" t="str">
        <f aca="false">IF($A28="","",IF($B28=0,"",($B28-$D28)/$B28))</f>
        <v/>
      </c>
    </row>
    <row r="29" customFormat="false" ht="15" hidden="false" customHeight="true" outlineLevel="0" collapsed="false">
      <c r="A29" s="12" t="str">
        <f aca="false">IF(거래처목록!$A26="","",거래처목록!$A26)</f>
        <v/>
      </c>
      <c r="B29" s="25" t="str">
        <f aca="false">IF($A29="","",COUNTIFS(반품접수!$C$3:$C$1002,$A29,반품접수!$B$3:$B$1002,"&gt;="&amp;DATE($B$3,1,1),반품접수!$B$3:$B$1002,"&lt;="&amp;DATE($B$3,12,31)))</f>
        <v/>
      </c>
      <c r="C29" s="25" t="str">
        <f aca="false">IF($A29="","",SUMIFS(반품접수!$I$3:$I$1002,반품접수!$C$3:$C$1002,$A29,반품접수!$B$3:$B$1002,"&gt;="&amp;DATE($B$3,1,1),반품접수!$B$3:$B$1002,"&lt;="&amp;DATE($B$3,12,31)))</f>
        <v/>
      </c>
      <c r="D29" s="25" t="str">
        <f aca="false">IF($A29="","",COUNTIFS(반품접수!$C$3:$C$1002,$A29,반품접수!$O$3:$O$1002,"미처리",반품접수!$B$3:$B$1002,"&gt;="&amp;DATE($B$3,1,1),반품접수!$B$3:$B$1002,"&lt;="&amp;DATE($B$3,12,31))+COUNTIFS(반품접수!$C$3:$C$1002,$A29,반품접수!$O$3:$O$1002,"부분처리",반품접수!$B$3:$B$1002,"&gt;="&amp;DATE($B$3,1,1),반품접수!$B$3:$B$1002,"&lt;="&amp;DATE($B$3,12,31)))</f>
        <v/>
      </c>
      <c r="E29" s="25" t="str">
        <f aca="false">IF($A29="","",SUMPRODUCT((반품접수!$C$3:$C$1002=$A29)*1,IFERROR(SUMIFS(처리내역!$E$3:$E$1502,처리내역!$B$3:$B$1502,반품접수!$A$3:$A$1002,처리내역!$D$3:$D$1502,"재입고"),0)))</f>
        <v/>
      </c>
      <c r="F29" s="25" t="str">
        <f aca="false">IF($A29="","",SUMPRODUCT((반품접수!$C$3:$C$1002=$A29)*1,IFERROR(SUMIFS(처리내역!$E$3:$E$1502,처리내역!$B$3:$B$1502,반품접수!$A$3:$A$1002,처리내역!$D$3:$D$1502,"폐기"),0)))</f>
        <v/>
      </c>
      <c r="G29" s="26" t="str">
        <f aca="false">IF($A29="","",IF($B29=0,"",($B29-$D29)/$B29))</f>
        <v/>
      </c>
    </row>
    <row r="30" customFormat="false" ht="15" hidden="false" customHeight="true" outlineLevel="0" collapsed="false">
      <c r="A30" s="12" t="str">
        <f aca="false">IF(거래처목록!$A27="","",거래처목록!$A27)</f>
        <v/>
      </c>
      <c r="B30" s="25" t="str">
        <f aca="false">IF($A30="","",COUNTIFS(반품접수!$C$3:$C$1002,$A30,반품접수!$B$3:$B$1002,"&gt;="&amp;DATE($B$3,1,1),반품접수!$B$3:$B$1002,"&lt;="&amp;DATE($B$3,12,31)))</f>
        <v/>
      </c>
      <c r="C30" s="25" t="str">
        <f aca="false">IF($A30="","",SUMIFS(반품접수!$I$3:$I$1002,반품접수!$C$3:$C$1002,$A30,반품접수!$B$3:$B$1002,"&gt;="&amp;DATE($B$3,1,1),반품접수!$B$3:$B$1002,"&lt;="&amp;DATE($B$3,12,31)))</f>
        <v/>
      </c>
      <c r="D30" s="25" t="str">
        <f aca="false">IF($A30="","",COUNTIFS(반품접수!$C$3:$C$1002,$A30,반품접수!$O$3:$O$1002,"미처리",반품접수!$B$3:$B$1002,"&gt;="&amp;DATE($B$3,1,1),반품접수!$B$3:$B$1002,"&lt;="&amp;DATE($B$3,12,31))+COUNTIFS(반품접수!$C$3:$C$1002,$A30,반품접수!$O$3:$O$1002,"부분처리",반품접수!$B$3:$B$1002,"&gt;="&amp;DATE($B$3,1,1),반품접수!$B$3:$B$1002,"&lt;="&amp;DATE($B$3,12,31)))</f>
        <v/>
      </c>
      <c r="E30" s="25" t="str">
        <f aca="false">IF($A30="","",SUMPRODUCT((반품접수!$C$3:$C$1002=$A30)*1,IFERROR(SUMIFS(처리내역!$E$3:$E$1502,처리내역!$B$3:$B$1502,반품접수!$A$3:$A$1002,처리내역!$D$3:$D$1502,"재입고"),0)))</f>
        <v/>
      </c>
      <c r="F30" s="25" t="str">
        <f aca="false">IF($A30="","",SUMPRODUCT((반품접수!$C$3:$C$1002=$A30)*1,IFERROR(SUMIFS(처리내역!$E$3:$E$1502,처리내역!$B$3:$B$1502,반품접수!$A$3:$A$1002,처리내역!$D$3:$D$1502,"폐기"),0)))</f>
        <v/>
      </c>
      <c r="G30" s="26" t="str">
        <f aca="false">IF($A30="","",IF($B30=0,"",($B30-$D30)/$B30))</f>
        <v/>
      </c>
    </row>
    <row r="31" customFormat="false" ht="15" hidden="false" customHeight="true" outlineLevel="0" collapsed="false">
      <c r="A31" s="12" t="str">
        <f aca="false">IF(거래처목록!$A28="","",거래처목록!$A28)</f>
        <v/>
      </c>
      <c r="B31" s="25" t="str">
        <f aca="false">IF($A31="","",COUNTIFS(반품접수!$C$3:$C$1002,$A31,반품접수!$B$3:$B$1002,"&gt;="&amp;DATE($B$3,1,1),반품접수!$B$3:$B$1002,"&lt;="&amp;DATE($B$3,12,31)))</f>
        <v/>
      </c>
      <c r="C31" s="25" t="str">
        <f aca="false">IF($A31="","",SUMIFS(반품접수!$I$3:$I$1002,반품접수!$C$3:$C$1002,$A31,반품접수!$B$3:$B$1002,"&gt;="&amp;DATE($B$3,1,1),반품접수!$B$3:$B$1002,"&lt;="&amp;DATE($B$3,12,31)))</f>
        <v/>
      </c>
      <c r="D31" s="25" t="str">
        <f aca="false">IF($A31="","",COUNTIFS(반품접수!$C$3:$C$1002,$A31,반품접수!$O$3:$O$1002,"미처리",반품접수!$B$3:$B$1002,"&gt;="&amp;DATE($B$3,1,1),반품접수!$B$3:$B$1002,"&lt;="&amp;DATE($B$3,12,31))+COUNTIFS(반품접수!$C$3:$C$1002,$A31,반품접수!$O$3:$O$1002,"부분처리",반품접수!$B$3:$B$1002,"&gt;="&amp;DATE($B$3,1,1),반품접수!$B$3:$B$1002,"&lt;="&amp;DATE($B$3,12,31)))</f>
        <v/>
      </c>
      <c r="E31" s="25" t="str">
        <f aca="false">IF($A31="","",SUMPRODUCT((반품접수!$C$3:$C$1002=$A31)*1,IFERROR(SUMIFS(처리내역!$E$3:$E$1502,처리내역!$B$3:$B$1502,반품접수!$A$3:$A$1002,처리내역!$D$3:$D$1502,"재입고"),0)))</f>
        <v/>
      </c>
      <c r="F31" s="25" t="str">
        <f aca="false">IF($A31="","",SUMPRODUCT((반품접수!$C$3:$C$1002=$A31)*1,IFERROR(SUMIFS(처리내역!$E$3:$E$1502,처리내역!$B$3:$B$1502,반품접수!$A$3:$A$1002,처리내역!$D$3:$D$1502,"폐기"),0)))</f>
        <v/>
      </c>
      <c r="G31" s="26" t="str">
        <f aca="false">IF($A31="","",IF($B31=0,"",($B31-$D31)/$B31))</f>
        <v/>
      </c>
    </row>
    <row r="32" customFormat="false" ht="15" hidden="false" customHeight="true" outlineLevel="0" collapsed="false">
      <c r="A32" s="12" t="str">
        <f aca="false">IF(거래처목록!$A29="","",거래처목록!$A29)</f>
        <v/>
      </c>
      <c r="B32" s="25" t="str">
        <f aca="false">IF($A32="","",COUNTIFS(반품접수!$C$3:$C$1002,$A32,반품접수!$B$3:$B$1002,"&gt;="&amp;DATE($B$3,1,1),반품접수!$B$3:$B$1002,"&lt;="&amp;DATE($B$3,12,31)))</f>
        <v/>
      </c>
      <c r="C32" s="25" t="str">
        <f aca="false">IF($A32="","",SUMIFS(반품접수!$I$3:$I$1002,반품접수!$C$3:$C$1002,$A32,반품접수!$B$3:$B$1002,"&gt;="&amp;DATE($B$3,1,1),반품접수!$B$3:$B$1002,"&lt;="&amp;DATE($B$3,12,31)))</f>
        <v/>
      </c>
      <c r="D32" s="25" t="str">
        <f aca="false">IF($A32="","",COUNTIFS(반품접수!$C$3:$C$1002,$A32,반품접수!$O$3:$O$1002,"미처리",반품접수!$B$3:$B$1002,"&gt;="&amp;DATE($B$3,1,1),반품접수!$B$3:$B$1002,"&lt;="&amp;DATE($B$3,12,31))+COUNTIFS(반품접수!$C$3:$C$1002,$A32,반품접수!$O$3:$O$1002,"부분처리",반품접수!$B$3:$B$1002,"&gt;="&amp;DATE($B$3,1,1),반품접수!$B$3:$B$1002,"&lt;="&amp;DATE($B$3,12,31)))</f>
        <v/>
      </c>
      <c r="E32" s="25" t="str">
        <f aca="false">IF($A32="","",SUMPRODUCT((반품접수!$C$3:$C$1002=$A32)*1,IFERROR(SUMIFS(처리내역!$E$3:$E$1502,처리내역!$B$3:$B$1502,반품접수!$A$3:$A$1002,처리내역!$D$3:$D$1502,"재입고"),0)))</f>
        <v/>
      </c>
      <c r="F32" s="25" t="str">
        <f aca="false">IF($A32="","",SUMPRODUCT((반품접수!$C$3:$C$1002=$A32)*1,IFERROR(SUMIFS(처리내역!$E$3:$E$1502,처리내역!$B$3:$B$1502,반품접수!$A$3:$A$1002,처리내역!$D$3:$D$1502,"폐기"),0)))</f>
        <v/>
      </c>
      <c r="G32" s="26" t="str">
        <f aca="false">IF($A32="","",IF($B32=0,"",($B32-$D32)/$B32))</f>
        <v/>
      </c>
    </row>
    <row r="33" customFormat="false" ht="15" hidden="false" customHeight="true" outlineLevel="0" collapsed="false">
      <c r="A33" s="12" t="str">
        <f aca="false">IF(거래처목록!$A30="","",거래처목록!$A30)</f>
        <v/>
      </c>
      <c r="B33" s="25" t="str">
        <f aca="false">IF($A33="","",COUNTIFS(반품접수!$C$3:$C$1002,$A33,반품접수!$B$3:$B$1002,"&gt;="&amp;DATE($B$3,1,1),반품접수!$B$3:$B$1002,"&lt;="&amp;DATE($B$3,12,31)))</f>
        <v/>
      </c>
      <c r="C33" s="25" t="str">
        <f aca="false">IF($A33="","",SUMIFS(반품접수!$I$3:$I$1002,반품접수!$C$3:$C$1002,$A33,반품접수!$B$3:$B$1002,"&gt;="&amp;DATE($B$3,1,1),반품접수!$B$3:$B$1002,"&lt;="&amp;DATE($B$3,12,31)))</f>
        <v/>
      </c>
      <c r="D33" s="25" t="str">
        <f aca="false">IF($A33="","",COUNTIFS(반품접수!$C$3:$C$1002,$A33,반품접수!$O$3:$O$1002,"미처리",반품접수!$B$3:$B$1002,"&gt;="&amp;DATE($B$3,1,1),반품접수!$B$3:$B$1002,"&lt;="&amp;DATE($B$3,12,31))+COUNTIFS(반품접수!$C$3:$C$1002,$A33,반품접수!$O$3:$O$1002,"부분처리",반품접수!$B$3:$B$1002,"&gt;="&amp;DATE($B$3,1,1),반품접수!$B$3:$B$1002,"&lt;="&amp;DATE($B$3,12,31)))</f>
        <v/>
      </c>
      <c r="E33" s="25" t="str">
        <f aca="false">IF($A33="","",SUMPRODUCT((반품접수!$C$3:$C$1002=$A33)*1,IFERROR(SUMIFS(처리내역!$E$3:$E$1502,처리내역!$B$3:$B$1502,반품접수!$A$3:$A$1002,처리내역!$D$3:$D$1502,"재입고"),0)))</f>
        <v/>
      </c>
      <c r="F33" s="25" t="str">
        <f aca="false">IF($A33="","",SUMPRODUCT((반품접수!$C$3:$C$1002=$A33)*1,IFERROR(SUMIFS(처리내역!$E$3:$E$1502,처리내역!$B$3:$B$1502,반품접수!$A$3:$A$1002,처리내역!$D$3:$D$1502,"폐기"),0)))</f>
        <v/>
      </c>
      <c r="G33" s="26" t="str">
        <f aca="false">IF($A33="","",IF($B33=0,"",($B33-$D33)/$B33))</f>
        <v/>
      </c>
    </row>
    <row r="34" customFormat="false" ht="15" hidden="false" customHeight="true" outlineLevel="0" collapsed="false">
      <c r="A34" s="12" t="str">
        <f aca="false">IF(거래처목록!$A31="","",거래처목록!$A31)</f>
        <v/>
      </c>
      <c r="B34" s="25" t="str">
        <f aca="false">IF($A34="","",COUNTIFS(반품접수!$C$3:$C$1002,$A34,반품접수!$B$3:$B$1002,"&gt;="&amp;DATE($B$3,1,1),반품접수!$B$3:$B$1002,"&lt;="&amp;DATE($B$3,12,31)))</f>
        <v/>
      </c>
      <c r="C34" s="25" t="str">
        <f aca="false">IF($A34="","",SUMIFS(반품접수!$I$3:$I$1002,반품접수!$C$3:$C$1002,$A34,반품접수!$B$3:$B$1002,"&gt;="&amp;DATE($B$3,1,1),반품접수!$B$3:$B$1002,"&lt;="&amp;DATE($B$3,12,31)))</f>
        <v/>
      </c>
      <c r="D34" s="25" t="str">
        <f aca="false">IF($A34="","",COUNTIFS(반품접수!$C$3:$C$1002,$A34,반품접수!$O$3:$O$1002,"미처리",반품접수!$B$3:$B$1002,"&gt;="&amp;DATE($B$3,1,1),반품접수!$B$3:$B$1002,"&lt;="&amp;DATE($B$3,12,31))+COUNTIFS(반품접수!$C$3:$C$1002,$A34,반품접수!$O$3:$O$1002,"부분처리",반품접수!$B$3:$B$1002,"&gt;="&amp;DATE($B$3,1,1),반품접수!$B$3:$B$1002,"&lt;="&amp;DATE($B$3,12,31)))</f>
        <v/>
      </c>
      <c r="E34" s="25" t="str">
        <f aca="false">IF($A34="","",SUMPRODUCT((반품접수!$C$3:$C$1002=$A34)*1,IFERROR(SUMIFS(처리내역!$E$3:$E$1502,처리내역!$B$3:$B$1502,반품접수!$A$3:$A$1002,처리내역!$D$3:$D$1502,"재입고"),0)))</f>
        <v/>
      </c>
      <c r="F34" s="25" t="str">
        <f aca="false">IF($A34="","",SUMPRODUCT((반품접수!$C$3:$C$1002=$A34)*1,IFERROR(SUMIFS(처리내역!$E$3:$E$1502,처리내역!$B$3:$B$1502,반품접수!$A$3:$A$1002,처리내역!$D$3:$D$1502,"폐기"),0)))</f>
        <v/>
      </c>
      <c r="G34" s="26" t="str">
        <f aca="false">IF($A34="","",IF($B34=0,"",($B34-$D34)/$B34))</f>
        <v/>
      </c>
    </row>
    <row r="35" customFormat="false" ht="15" hidden="false" customHeight="true" outlineLevel="0" collapsed="false">
      <c r="A35" s="12" t="str">
        <f aca="false">IF(거래처목록!$A32="","",거래처목록!$A32)</f>
        <v/>
      </c>
      <c r="B35" s="25" t="str">
        <f aca="false">IF($A35="","",COUNTIFS(반품접수!$C$3:$C$1002,$A35,반품접수!$B$3:$B$1002,"&gt;="&amp;DATE($B$3,1,1),반품접수!$B$3:$B$1002,"&lt;="&amp;DATE($B$3,12,31)))</f>
        <v/>
      </c>
      <c r="C35" s="25" t="str">
        <f aca="false">IF($A35="","",SUMIFS(반품접수!$I$3:$I$1002,반품접수!$C$3:$C$1002,$A35,반품접수!$B$3:$B$1002,"&gt;="&amp;DATE($B$3,1,1),반품접수!$B$3:$B$1002,"&lt;="&amp;DATE($B$3,12,31)))</f>
        <v/>
      </c>
      <c r="D35" s="25" t="str">
        <f aca="false">IF($A35="","",COUNTIFS(반품접수!$C$3:$C$1002,$A35,반품접수!$O$3:$O$1002,"미처리",반품접수!$B$3:$B$1002,"&gt;="&amp;DATE($B$3,1,1),반품접수!$B$3:$B$1002,"&lt;="&amp;DATE($B$3,12,31))+COUNTIFS(반품접수!$C$3:$C$1002,$A35,반품접수!$O$3:$O$1002,"부분처리",반품접수!$B$3:$B$1002,"&gt;="&amp;DATE($B$3,1,1),반품접수!$B$3:$B$1002,"&lt;="&amp;DATE($B$3,12,31)))</f>
        <v/>
      </c>
      <c r="E35" s="25" t="str">
        <f aca="false">IF($A35="","",SUMPRODUCT((반품접수!$C$3:$C$1002=$A35)*1,IFERROR(SUMIFS(처리내역!$E$3:$E$1502,처리내역!$B$3:$B$1502,반품접수!$A$3:$A$1002,처리내역!$D$3:$D$1502,"재입고"),0)))</f>
        <v/>
      </c>
      <c r="F35" s="25" t="str">
        <f aca="false">IF($A35="","",SUMPRODUCT((반품접수!$C$3:$C$1002=$A35)*1,IFERROR(SUMIFS(처리내역!$E$3:$E$1502,처리내역!$B$3:$B$1502,반품접수!$A$3:$A$1002,처리내역!$D$3:$D$1502,"폐기"),0)))</f>
        <v/>
      </c>
      <c r="G35" s="26" t="str">
        <f aca="false">IF($A35="","",IF($B35=0,"",($B35-$D35)/$B35))</f>
        <v/>
      </c>
    </row>
    <row r="36" customFormat="false" ht="15" hidden="false" customHeight="true" outlineLevel="0" collapsed="false">
      <c r="A36" s="12" t="str">
        <f aca="false">IF(거래처목록!$A33="","",거래처목록!$A33)</f>
        <v/>
      </c>
      <c r="B36" s="25" t="str">
        <f aca="false">IF($A36="","",COUNTIFS(반품접수!$C$3:$C$1002,$A36,반품접수!$B$3:$B$1002,"&gt;="&amp;DATE($B$3,1,1),반품접수!$B$3:$B$1002,"&lt;="&amp;DATE($B$3,12,31)))</f>
        <v/>
      </c>
      <c r="C36" s="25" t="str">
        <f aca="false">IF($A36="","",SUMIFS(반품접수!$I$3:$I$1002,반품접수!$C$3:$C$1002,$A36,반품접수!$B$3:$B$1002,"&gt;="&amp;DATE($B$3,1,1),반품접수!$B$3:$B$1002,"&lt;="&amp;DATE($B$3,12,31)))</f>
        <v/>
      </c>
      <c r="D36" s="25" t="str">
        <f aca="false">IF($A36="","",COUNTIFS(반품접수!$C$3:$C$1002,$A36,반품접수!$O$3:$O$1002,"미처리",반품접수!$B$3:$B$1002,"&gt;="&amp;DATE($B$3,1,1),반품접수!$B$3:$B$1002,"&lt;="&amp;DATE($B$3,12,31))+COUNTIFS(반품접수!$C$3:$C$1002,$A36,반품접수!$O$3:$O$1002,"부분처리",반품접수!$B$3:$B$1002,"&gt;="&amp;DATE($B$3,1,1),반품접수!$B$3:$B$1002,"&lt;="&amp;DATE($B$3,12,31)))</f>
        <v/>
      </c>
      <c r="E36" s="25" t="str">
        <f aca="false">IF($A36="","",SUMPRODUCT((반품접수!$C$3:$C$1002=$A36)*1,IFERROR(SUMIFS(처리내역!$E$3:$E$1502,처리내역!$B$3:$B$1502,반품접수!$A$3:$A$1002,처리내역!$D$3:$D$1502,"재입고"),0)))</f>
        <v/>
      </c>
      <c r="F36" s="25" t="str">
        <f aca="false">IF($A36="","",SUMPRODUCT((반품접수!$C$3:$C$1002=$A36)*1,IFERROR(SUMIFS(처리내역!$E$3:$E$1502,처리내역!$B$3:$B$1502,반품접수!$A$3:$A$1002,처리내역!$D$3:$D$1502,"폐기"),0)))</f>
        <v/>
      </c>
      <c r="G36" s="26" t="str">
        <f aca="false">IF($A36="","",IF($B36=0,"",($B36-$D36)/$B36))</f>
        <v/>
      </c>
    </row>
    <row r="37" customFormat="false" ht="15" hidden="false" customHeight="true" outlineLevel="0" collapsed="false">
      <c r="A37" s="12" t="str">
        <f aca="false">IF(거래처목록!$A34="","",거래처목록!$A34)</f>
        <v/>
      </c>
      <c r="B37" s="25" t="str">
        <f aca="false">IF($A37="","",COUNTIFS(반품접수!$C$3:$C$1002,$A37,반품접수!$B$3:$B$1002,"&gt;="&amp;DATE($B$3,1,1),반품접수!$B$3:$B$1002,"&lt;="&amp;DATE($B$3,12,31)))</f>
        <v/>
      </c>
      <c r="C37" s="25" t="str">
        <f aca="false">IF($A37="","",SUMIFS(반품접수!$I$3:$I$1002,반품접수!$C$3:$C$1002,$A37,반품접수!$B$3:$B$1002,"&gt;="&amp;DATE($B$3,1,1),반품접수!$B$3:$B$1002,"&lt;="&amp;DATE($B$3,12,31)))</f>
        <v/>
      </c>
      <c r="D37" s="25" t="str">
        <f aca="false">IF($A37="","",COUNTIFS(반품접수!$C$3:$C$1002,$A37,반품접수!$O$3:$O$1002,"미처리",반품접수!$B$3:$B$1002,"&gt;="&amp;DATE($B$3,1,1),반품접수!$B$3:$B$1002,"&lt;="&amp;DATE($B$3,12,31))+COUNTIFS(반품접수!$C$3:$C$1002,$A37,반품접수!$O$3:$O$1002,"부분처리",반품접수!$B$3:$B$1002,"&gt;="&amp;DATE($B$3,1,1),반품접수!$B$3:$B$1002,"&lt;="&amp;DATE($B$3,12,31)))</f>
        <v/>
      </c>
      <c r="E37" s="25" t="str">
        <f aca="false">IF($A37="","",SUMPRODUCT((반품접수!$C$3:$C$1002=$A37)*1,IFERROR(SUMIFS(처리내역!$E$3:$E$1502,처리내역!$B$3:$B$1502,반품접수!$A$3:$A$1002,처리내역!$D$3:$D$1502,"재입고"),0)))</f>
        <v/>
      </c>
      <c r="F37" s="25" t="str">
        <f aca="false">IF($A37="","",SUMPRODUCT((반품접수!$C$3:$C$1002=$A37)*1,IFERROR(SUMIFS(처리내역!$E$3:$E$1502,처리내역!$B$3:$B$1502,반품접수!$A$3:$A$1002,처리내역!$D$3:$D$1502,"폐기"),0)))</f>
        <v/>
      </c>
      <c r="G37" s="26" t="str">
        <f aca="false">IF($A37="","",IF($B37=0,"",($B37-$D37)/$B37))</f>
        <v/>
      </c>
    </row>
    <row r="38" customFormat="false" ht="15" hidden="false" customHeight="true" outlineLevel="0" collapsed="false">
      <c r="A38" s="12" t="str">
        <f aca="false">IF(거래처목록!$A35="","",거래처목록!$A35)</f>
        <v/>
      </c>
      <c r="B38" s="25" t="str">
        <f aca="false">IF($A38="","",COUNTIFS(반품접수!$C$3:$C$1002,$A38,반품접수!$B$3:$B$1002,"&gt;="&amp;DATE($B$3,1,1),반품접수!$B$3:$B$1002,"&lt;="&amp;DATE($B$3,12,31)))</f>
        <v/>
      </c>
      <c r="C38" s="25" t="str">
        <f aca="false">IF($A38="","",SUMIFS(반품접수!$I$3:$I$1002,반품접수!$C$3:$C$1002,$A38,반품접수!$B$3:$B$1002,"&gt;="&amp;DATE($B$3,1,1),반품접수!$B$3:$B$1002,"&lt;="&amp;DATE($B$3,12,31)))</f>
        <v/>
      </c>
      <c r="D38" s="25" t="str">
        <f aca="false">IF($A38="","",COUNTIFS(반품접수!$C$3:$C$1002,$A38,반품접수!$O$3:$O$1002,"미처리",반품접수!$B$3:$B$1002,"&gt;="&amp;DATE($B$3,1,1),반품접수!$B$3:$B$1002,"&lt;="&amp;DATE($B$3,12,31))+COUNTIFS(반품접수!$C$3:$C$1002,$A38,반품접수!$O$3:$O$1002,"부분처리",반품접수!$B$3:$B$1002,"&gt;="&amp;DATE($B$3,1,1),반품접수!$B$3:$B$1002,"&lt;="&amp;DATE($B$3,12,31)))</f>
        <v/>
      </c>
      <c r="E38" s="25" t="str">
        <f aca="false">IF($A38="","",SUMPRODUCT((반품접수!$C$3:$C$1002=$A38)*1,IFERROR(SUMIFS(처리내역!$E$3:$E$1502,처리내역!$B$3:$B$1502,반품접수!$A$3:$A$1002,처리내역!$D$3:$D$1502,"재입고"),0)))</f>
        <v/>
      </c>
      <c r="F38" s="25" t="str">
        <f aca="false">IF($A38="","",SUMPRODUCT((반품접수!$C$3:$C$1002=$A38)*1,IFERROR(SUMIFS(처리내역!$E$3:$E$1502,처리내역!$B$3:$B$1502,반품접수!$A$3:$A$1002,처리내역!$D$3:$D$1502,"폐기"),0)))</f>
        <v/>
      </c>
      <c r="G38" s="26" t="str">
        <f aca="false">IF($A38="","",IF($B38=0,"",($B38-$D38)/$B38))</f>
        <v/>
      </c>
    </row>
    <row r="39" customFormat="false" ht="15" hidden="false" customHeight="true" outlineLevel="0" collapsed="false">
      <c r="A39" s="12" t="str">
        <f aca="false">IF(거래처목록!$A36="","",거래처목록!$A36)</f>
        <v/>
      </c>
      <c r="B39" s="25" t="str">
        <f aca="false">IF($A39="","",COUNTIFS(반품접수!$C$3:$C$1002,$A39,반품접수!$B$3:$B$1002,"&gt;="&amp;DATE($B$3,1,1),반품접수!$B$3:$B$1002,"&lt;="&amp;DATE($B$3,12,31)))</f>
        <v/>
      </c>
      <c r="C39" s="25" t="str">
        <f aca="false">IF($A39="","",SUMIFS(반품접수!$I$3:$I$1002,반품접수!$C$3:$C$1002,$A39,반품접수!$B$3:$B$1002,"&gt;="&amp;DATE($B$3,1,1),반품접수!$B$3:$B$1002,"&lt;="&amp;DATE($B$3,12,31)))</f>
        <v/>
      </c>
      <c r="D39" s="25" t="str">
        <f aca="false">IF($A39="","",COUNTIFS(반품접수!$C$3:$C$1002,$A39,반품접수!$O$3:$O$1002,"미처리",반품접수!$B$3:$B$1002,"&gt;="&amp;DATE($B$3,1,1),반품접수!$B$3:$B$1002,"&lt;="&amp;DATE($B$3,12,31))+COUNTIFS(반품접수!$C$3:$C$1002,$A39,반품접수!$O$3:$O$1002,"부분처리",반품접수!$B$3:$B$1002,"&gt;="&amp;DATE($B$3,1,1),반품접수!$B$3:$B$1002,"&lt;="&amp;DATE($B$3,12,31)))</f>
        <v/>
      </c>
      <c r="E39" s="25" t="str">
        <f aca="false">IF($A39="","",SUMPRODUCT((반품접수!$C$3:$C$1002=$A39)*1,IFERROR(SUMIFS(처리내역!$E$3:$E$1502,처리내역!$B$3:$B$1502,반품접수!$A$3:$A$1002,처리내역!$D$3:$D$1502,"재입고"),0)))</f>
        <v/>
      </c>
      <c r="F39" s="25" t="str">
        <f aca="false">IF($A39="","",SUMPRODUCT((반품접수!$C$3:$C$1002=$A39)*1,IFERROR(SUMIFS(처리내역!$E$3:$E$1502,처리내역!$B$3:$B$1502,반품접수!$A$3:$A$1002,처리내역!$D$3:$D$1502,"폐기"),0)))</f>
        <v/>
      </c>
      <c r="G39" s="26" t="str">
        <f aca="false">IF($A39="","",IF($B39=0,"",($B39-$D39)/$B39))</f>
        <v/>
      </c>
    </row>
    <row r="40" customFormat="false" ht="15" hidden="false" customHeight="true" outlineLevel="0" collapsed="false">
      <c r="A40" s="12" t="str">
        <f aca="false">IF(거래처목록!$A37="","",거래처목록!$A37)</f>
        <v/>
      </c>
      <c r="B40" s="25" t="str">
        <f aca="false">IF($A40="","",COUNTIFS(반품접수!$C$3:$C$1002,$A40,반품접수!$B$3:$B$1002,"&gt;="&amp;DATE($B$3,1,1),반품접수!$B$3:$B$1002,"&lt;="&amp;DATE($B$3,12,31)))</f>
        <v/>
      </c>
      <c r="C40" s="25" t="str">
        <f aca="false">IF($A40="","",SUMIFS(반품접수!$I$3:$I$1002,반품접수!$C$3:$C$1002,$A40,반품접수!$B$3:$B$1002,"&gt;="&amp;DATE($B$3,1,1),반품접수!$B$3:$B$1002,"&lt;="&amp;DATE($B$3,12,31)))</f>
        <v/>
      </c>
      <c r="D40" s="25" t="str">
        <f aca="false">IF($A40="","",COUNTIFS(반품접수!$C$3:$C$1002,$A40,반품접수!$O$3:$O$1002,"미처리",반품접수!$B$3:$B$1002,"&gt;="&amp;DATE($B$3,1,1),반품접수!$B$3:$B$1002,"&lt;="&amp;DATE($B$3,12,31))+COUNTIFS(반품접수!$C$3:$C$1002,$A40,반품접수!$O$3:$O$1002,"부분처리",반품접수!$B$3:$B$1002,"&gt;="&amp;DATE($B$3,1,1),반품접수!$B$3:$B$1002,"&lt;="&amp;DATE($B$3,12,31)))</f>
        <v/>
      </c>
      <c r="E40" s="25" t="str">
        <f aca="false">IF($A40="","",SUMPRODUCT((반품접수!$C$3:$C$1002=$A40)*1,IFERROR(SUMIFS(처리내역!$E$3:$E$1502,처리내역!$B$3:$B$1502,반품접수!$A$3:$A$1002,처리내역!$D$3:$D$1502,"재입고"),0)))</f>
        <v/>
      </c>
      <c r="F40" s="25" t="str">
        <f aca="false">IF($A40="","",SUMPRODUCT((반품접수!$C$3:$C$1002=$A40)*1,IFERROR(SUMIFS(처리내역!$E$3:$E$1502,처리내역!$B$3:$B$1502,반품접수!$A$3:$A$1002,처리내역!$D$3:$D$1502,"폐기"),0)))</f>
        <v/>
      </c>
      <c r="G40" s="26" t="str">
        <f aca="false">IF($A40="","",IF($B40=0,"",($B40-$D40)/$B40))</f>
        <v/>
      </c>
    </row>
    <row r="41" customFormat="false" ht="15" hidden="false" customHeight="true" outlineLevel="0" collapsed="false">
      <c r="A41" s="12" t="str">
        <f aca="false">IF(거래처목록!$A38="","",거래처목록!$A38)</f>
        <v/>
      </c>
      <c r="B41" s="25" t="str">
        <f aca="false">IF($A41="","",COUNTIFS(반품접수!$C$3:$C$1002,$A41,반품접수!$B$3:$B$1002,"&gt;="&amp;DATE($B$3,1,1),반품접수!$B$3:$B$1002,"&lt;="&amp;DATE($B$3,12,31)))</f>
        <v/>
      </c>
      <c r="C41" s="25" t="str">
        <f aca="false">IF($A41="","",SUMIFS(반품접수!$I$3:$I$1002,반품접수!$C$3:$C$1002,$A41,반품접수!$B$3:$B$1002,"&gt;="&amp;DATE($B$3,1,1),반품접수!$B$3:$B$1002,"&lt;="&amp;DATE($B$3,12,31)))</f>
        <v/>
      </c>
      <c r="D41" s="25" t="str">
        <f aca="false">IF($A41="","",COUNTIFS(반품접수!$C$3:$C$1002,$A41,반품접수!$O$3:$O$1002,"미처리",반품접수!$B$3:$B$1002,"&gt;="&amp;DATE($B$3,1,1),반품접수!$B$3:$B$1002,"&lt;="&amp;DATE($B$3,12,31))+COUNTIFS(반품접수!$C$3:$C$1002,$A41,반품접수!$O$3:$O$1002,"부분처리",반품접수!$B$3:$B$1002,"&gt;="&amp;DATE($B$3,1,1),반품접수!$B$3:$B$1002,"&lt;="&amp;DATE($B$3,12,31)))</f>
        <v/>
      </c>
      <c r="E41" s="25" t="str">
        <f aca="false">IF($A41="","",SUMPRODUCT((반품접수!$C$3:$C$1002=$A41)*1,IFERROR(SUMIFS(처리내역!$E$3:$E$1502,처리내역!$B$3:$B$1502,반품접수!$A$3:$A$1002,처리내역!$D$3:$D$1502,"재입고"),0)))</f>
        <v/>
      </c>
      <c r="F41" s="25" t="str">
        <f aca="false">IF($A41="","",SUMPRODUCT((반품접수!$C$3:$C$1002=$A41)*1,IFERROR(SUMIFS(처리내역!$E$3:$E$1502,처리내역!$B$3:$B$1502,반품접수!$A$3:$A$1002,처리내역!$D$3:$D$1502,"폐기"),0)))</f>
        <v/>
      </c>
      <c r="G41" s="26" t="str">
        <f aca="false">IF($A41="","",IF($B41=0,"",($B41-$D41)/$B41))</f>
        <v/>
      </c>
    </row>
    <row r="42" customFormat="false" ht="15" hidden="false" customHeight="true" outlineLevel="0" collapsed="false">
      <c r="A42" s="12" t="str">
        <f aca="false">IF(거래처목록!$A39="","",거래처목록!$A39)</f>
        <v/>
      </c>
      <c r="B42" s="25" t="str">
        <f aca="false">IF($A42="","",COUNTIFS(반품접수!$C$3:$C$1002,$A42,반품접수!$B$3:$B$1002,"&gt;="&amp;DATE($B$3,1,1),반품접수!$B$3:$B$1002,"&lt;="&amp;DATE($B$3,12,31)))</f>
        <v/>
      </c>
      <c r="C42" s="25" t="str">
        <f aca="false">IF($A42="","",SUMIFS(반품접수!$I$3:$I$1002,반품접수!$C$3:$C$1002,$A42,반품접수!$B$3:$B$1002,"&gt;="&amp;DATE($B$3,1,1),반품접수!$B$3:$B$1002,"&lt;="&amp;DATE($B$3,12,31)))</f>
        <v/>
      </c>
      <c r="D42" s="25" t="str">
        <f aca="false">IF($A42="","",COUNTIFS(반품접수!$C$3:$C$1002,$A42,반품접수!$O$3:$O$1002,"미처리",반품접수!$B$3:$B$1002,"&gt;="&amp;DATE($B$3,1,1),반품접수!$B$3:$B$1002,"&lt;="&amp;DATE($B$3,12,31))+COUNTIFS(반품접수!$C$3:$C$1002,$A42,반품접수!$O$3:$O$1002,"부분처리",반품접수!$B$3:$B$1002,"&gt;="&amp;DATE($B$3,1,1),반품접수!$B$3:$B$1002,"&lt;="&amp;DATE($B$3,12,31)))</f>
        <v/>
      </c>
      <c r="E42" s="25" t="str">
        <f aca="false">IF($A42="","",SUMPRODUCT((반품접수!$C$3:$C$1002=$A42)*1,IFERROR(SUMIFS(처리내역!$E$3:$E$1502,처리내역!$B$3:$B$1502,반품접수!$A$3:$A$1002,처리내역!$D$3:$D$1502,"재입고"),0)))</f>
        <v/>
      </c>
      <c r="F42" s="25" t="str">
        <f aca="false">IF($A42="","",SUMPRODUCT((반품접수!$C$3:$C$1002=$A42)*1,IFERROR(SUMIFS(처리내역!$E$3:$E$1502,처리내역!$B$3:$B$1502,반품접수!$A$3:$A$1002,처리내역!$D$3:$D$1502,"폐기"),0)))</f>
        <v/>
      </c>
      <c r="G42" s="26" t="str">
        <f aca="false">IF($A42="","",IF($B42=0,"",($B42-$D42)/$B42))</f>
        <v/>
      </c>
    </row>
    <row r="43" customFormat="false" ht="15" hidden="false" customHeight="true" outlineLevel="0" collapsed="false">
      <c r="A43" s="12" t="str">
        <f aca="false">IF(거래처목록!$A40="","",거래처목록!$A40)</f>
        <v/>
      </c>
      <c r="B43" s="25" t="str">
        <f aca="false">IF($A43="","",COUNTIFS(반품접수!$C$3:$C$1002,$A43,반품접수!$B$3:$B$1002,"&gt;="&amp;DATE($B$3,1,1),반품접수!$B$3:$B$1002,"&lt;="&amp;DATE($B$3,12,31)))</f>
        <v/>
      </c>
      <c r="C43" s="25" t="str">
        <f aca="false">IF($A43="","",SUMIFS(반품접수!$I$3:$I$1002,반품접수!$C$3:$C$1002,$A43,반품접수!$B$3:$B$1002,"&gt;="&amp;DATE($B$3,1,1),반품접수!$B$3:$B$1002,"&lt;="&amp;DATE($B$3,12,31)))</f>
        <v/>
      </c>
      <c r="D43" s="25" t="str">
        <f aca="false">IF($A43="","",COUNTIFS(반품접수!$C$3:$C$1002,$A43,반품접수!$O$3:$O$1002,"미처리",반품접수!$B$3:$B$1002,"&gt;="&amp;DATE($B$3,1,1),반품접수!$B$3:$B$1002,"&lt;="&amp;DATE($B$3,12,31))+COUNTIFS(반품접수!$C$3:$C$1002,$A43,반품접수!$O$3:$O$1002,"부분처리",반품접수!$B$3:$B$1002,"&gt;="&amp;DATE($B$3,1,1),반품접수!$B$3:$B$1002,"&lt;="&amp;DATE($B$3,12,31)))</f>
        <v/>
      </c>
      <c r="E43" s="25" t="str">
        <f aca="false">IF($A43="","",SUMPRODUCT((반품접수!$C$3:$C$1002=$A43)*1,IFERROR(SUMIFS(처리내역!$E$3:$E$1502,처리내역!$B$3:$B$1502,반품접수!$A$3:$A$1002,처리내역!$D$3:$D$1502,"재입고"),0)))</f>
        <v/>
      </c>
      <c r="F43" s="25" t="str">
        <f aca="false">IF($A43="","",SUMPRODUCT((반품접수!$C$3:$C$1002=$A43)*1,IFERROR(SUMIFS(처리내역!$E$3:$E$1502,처리내역!$B$3:$B$1502,반품접수!$A$3:$A$1002,처리내역!$D$3:$D$1502,"폐기"),0)))</f>
        <v/>
      </c>
      <c r="G43" s="26" t="str">
        <f aca="false">IF($A43="","",IF($B43=0,"",($B43-$D43)/$B43))</f>
        <v/>
      </c>
    </row>
    <row r="44" customFormat="false" ht="15" hidden="false" customHeight="true" outlineLevel="0" collapsed="false">
      <c r="A44" s="12" t="str">
        <f aca="false">IF(거래처목록!$A41="","",거래처목록!$A41)</f>
        <v/>
      </c>
      <c r="B44" s="25" t="str">
        <f aca="false">IF($A44="","",COUNTIFS(반품접수!$C$3:$C$1002,$A44,반품접수!$B$3:$B$1002,"&gt;="&amp;DATE($B$3,1,1),반품접수!$B$3:$B$1002,"&lt;="&amp;DATE($B$3,12,31)))</f>
        <v/>
      </c>
      <c r="C44" s="25" t="str">
        <f aca="false">IF($A44="","",SUMIFS(반품접수!$I$3:$I$1002,반품접수!$C$3:$C$1002,$A44,반품접수!$B$3:$B$1002,"&gt;="&amp;DATE($B$3,1,1),반품접수!$B$3:$B$1002,"&lt;="&amp;DATE($B$3,12,31)))</f>
        <v/>
      </c>
      <c r="D44" s="25" t="str">
        <f aca="false">IF($A44="","",COUNTIFS(반품접수!$C$3:$C$1002,$A44,반품접수!$O$3:$O$1002,"미처리",반품접수!$B$3:$B$1002,"&gt;="&amp;DATE($B$3,1,1),반품접수!$B$3:$B$1002,"&lt;="&amp;DATE($B$3,12,31))+COUNTIFS(반품접수!$C$3:$C$1002,$A44,반품접수!$O$3:$O$1002,"부분처리",반품접수!$B$3:$B$1002,"&gt;="&amp;DATE($B$3,1,1),반품접수!$B$3:$B$1002,"&lt;="&amp;DATE($B$3,12,31)))</f>
        <v/>
      </c>
      <c r="E44" s="25" t="str">
        <f aca="false">IF($A44="","",SUMPRODUCT((반품접수!$C$3:$C$1002=$A44)*1,IFERROR(SUMIFS(처리내역!$E$3:$E$1502,처리내역!$B$3:$B$1502,반품접수!$A$3:$A$1002,처리내역!$D$3:$D$1502,"재입고"),0)))</f>
        <v/>
      </c>
      <c r="F44" s="25" t="str">
        <f aca="false">IF($A44="","",SUMPRODUCT((반품접수!$C$3:$C$1002=$A44)*1,IFERROR(SUMIFS(처리내역!$E$3:$E$1502,처리내역!$B$3:$B$1502,반품접수!$A$3:$A$1002,처리내역!$D$3:$D$1502,"폐기"),0)))</f>
        <v/>
      </c>
      <c r="G44" s="26" t="str">
        <f aca="false">IF($A44="","",IF($B44=0,"",($B44-$D44)/$B44))</f>
        <v/>
      </c>
    </row>
    <row r="45" customFormat="false" ht="15" hidden="false" customHeight="true" outlineLevel="0" collapsed="false">
      <c r="A45" s="12" t="str">
        <f aca="false">IF(거래처목록!$A42="","",거래처목록!$A42)</f>
        <v/>
      </c>
      <c r="B45" s="25" t="str">
        <f aca="false">IF($A45="","",COUNTIFS(반품접수!$C$3:$C$1002,$A45,반품접수!$B$3:$B$1002,"&gt;="&amp;DATE($B$3,1,1),반품접수!$B$3:$B$1002,"&lt;="&amp;DATE($B$3,12,31)))</f>
        <v/>
      </c>
      <c r="C45" s="25" t="str">
        <f aca="false">IF($A45="","",SUMIFS(반품접수!$I$3:$I$1002,반품접수!$C$3:$C$1002,$A45,반품접수!$B$3:$B$1002,"&gt;="&amp;DATE($B$3,1,1),반품접수!$B$3:$B$1002,"&lt;="&amp;DATE($B$3,12,31)))</f>
        <v/>
      </c>
      <c r="D45" s="25" t="str">
        <f aca="false">IF($A45="","",COUNTIFS(반품접수!$C$3:$C$1002,$A45,반품접수!$O$3:$O$1002,"미처리",반품접수!$B$3:$B$1002,"&gt;="&amp;DATE($B$3,1,1),반품접수!$B$3:$B$1002,"&lt;="&amp;DATE($B$3,12,31))+COUNTIFS(반품접수!$C$3:$C$1002,$A45,반품접수!$O$3:$O$1002,"부분처리",반품접수!$B$3:$B$1002,"&gt;="&amp;DATE($B$3,1,1),반품접수!$B$3:$B$1002,"&lt;="&amp;DATE($B$3,12,31)))</f>
        <v/>
      </c>
      <c r="E45" s="25" t="str">
        <f aca="false">IF($A45="","",SUMPRODUCT((반품접수!$C$3:$C$1002=$A45)*1,IFERROR(SUMIFS(처리내역!$E$3:$E$1502,처리내역!$B$3:$B$1502,반품접수!$A$3:$A$1002,처리내역!$D$3:$D$1502,"재입고"),0)))</f>
        <v/>
      </c>
      <c r="F45" s="25" t="str">
        <f aca="false">IF($A45="","",SUMPRODUCT((반품접수!$C$3:$C$1002=$A45)*1,IFERROR(SUMIFS(처리내역!$E$3:$E$1502,처리내역!$B$3:$B$1502,반품접수!$A$3:$A$1002,처리내역!$D$3:$D$1502,"폐기"),0)))</f>
        <v/>
      </c>
      <c r="G45" s="26" t="str">
        <f aca="false">IF($A45="","",IF($B45=0,"",($B45-$D45)/$B45))</f>
        <v/>
      </c>
    </row>
    <row r="46" customFormat="false" ht="15" hidden="false" customHeight="true" outlineLevel="0" collapsed="false">
      <c r="A46" s="12" t="str">
        <f aca="false">IF(거래처목록!$A43="","",거래처목록!$A43)</f>
        <v/>
      </c>
      <c r="B46" s="25" t="str">
        <f aca="false">IF($A46="","",COUNTIFS(반품접수!$C$3:$C$1002,$A46,반품접수!$B$3:$B$1002,"&gt;="&amp;DATE($B$3,1,1),반품접수!$B$3:$B$1002,"&lt;="&amp;DATE($B$3,12,31)))</f>
        <v/>
      </c>
      <c r="C46" s="25" t="str">
        <f aca="false">IF($A46="","",SUMIFS(반품접수!$I$3:$I$1002,반품접수!$C$3:$C$1002,$A46,반품접수!$B$3:$B$1002,"&gt;="&amp;DATE($B$3,1,1),반품접수!$B$3:$B$1002,"&lt;="&amp;DATE($B$3,12,31)))</f>
        <v/>
      </c>
      <c r="D46" s="25" t="str">
        <f aca="false">IF($A46="","",COUNTIFS(반품접수!$C$3:$C$1002,$A46,반품접수!$O$3:$O$1002,"미처리",반품접수!$B$3:$B$1002,"&gt;="&amp;DATE($B$3,1,1),반품접수!$B$3:$B$1002,"&lt;="&amp;DATE($B$3,12,31))+COUNTIFS(반품접수!$C$3:$C$1002,$A46,반품접수!$O$3:$O$1002,"부분처리",반품접수!$B$3:$B$1002,"&gt;="&amp;DATE($B$3,1,1),반품접수!$B$3:$B$1002,"&lt;="&amp;DATE($B$3,12,31)))</f>
        <v/>
      </c>
      <c r="E46" s="25" t="str">
        <f aca="false">IF($A46="","",SUMPRODUCT((반품접수!$C$3:$C$1002=$A46)*1,IFERROR(SUMIFS(처리내역!$E$3:$E$1502,처리내역!$B$3:$B$1502,반품접수!$A$3:$A$1002,처리내역!$D$3:$D$1502,"재입고"),0)))</f>
        <v/>
      </c>
      <c r="F46" s="25" t="str">
        <f aca="false">IF($A46="","",SUMPRODUCT((반품접수!$C$3:$C$1002=$A46)*1,IFERROR(SUMIFS(처리내역!$E$3:$E$1502,처리내역!$B$3:$B$1502,반품접수!$A$3:$A$1002,처리내역!$D$3:$D$1502,"폐기"),0)))</f>
        <v/>
      </c>
      <c r="G46" s="26" t="str">
        <f aca="false">IF($A46="","",IF($B46=0,"",($B46-$D46)/$B46))</f>
        <v/>
      </c>
    </row>
    <row r="47" customFormat="false" ht="15" hidden="false" customHeight="true" outlineLevel="0" collapsed="false">
      <c r="A47" s="12" t="str">
        <f aca="false">IF(거래처목록!$A44="","",거래처목록!$A44)</f>
        <v/>
      </c>
      <c r="B47" s="25" t="str">
        <f aca="false">IF($A47="","",COUNTIFS(반품접수!$C$3:$C$1002,$A47,반품접수!$B$3:$B$1002,"&gt;="&amp;DATE($B$3,1,1),반품접수!$B$3:$B$1002,"&lt;="&amp;DATE($B$3,12,31)))</f>
        <v/>
      </c>
      <c r="C47" s="25" t="str">
        <f aca="false">IF($A47="","",SUMIFS(반품접수!$I$3:$I$1002,반품접수!$C$3:$C$1002,$A47,반품접수!$B$3:$B$1002,"&gt;="&amp;DATE($B$3,1,1),반품접수!$B$3:$B$1002,"&lt;="&amp;DATE($B$3,12,31)))</f>
        <v/>
      </c>
      <c r="D47" s="25" t="str">
        <f aca="false">IF($A47="","",COUNTIFS(반품접수!$C$3:$C$1002,$A47,반품접수!$O$3:$O$1002,"미처리",반품접수!$B$3:$B$1002,"&gt;="&amp;DATE($B$3,1,1),반품접수!$B$3:$B$1002,"&lt;="&amp;DATE($B$3,12,31))+COUNTIFS(반품접수!$C$3:$C$1002,$A47,반품접수!$O$3:$O$1002,"부분처리",반품접수!$B$3:$B$1002,"&gt;="&amp;DATE($B$3,1,1),반품접수!$B$3:$B$1002,"&lt;="&amp;DATE($B$3,12,31)))</f>
        <v/>
      </c>
      <c r="E47" s="25" t="str">
        <f aca="false">IF($A47="","",SUMPRODUCT((반품접수!$C$3:$C$1002=$A47)*1,IFERROR(SUMIFS(처리내역!$E$3:$E$1502,처리내역!$B$3:$B$1502,반품접수!$A$3:$A$1002,처리내역!$D$3:$D$1502,"재입고"),0)))</f>
        <v/>
      </c>
      <c r="F47" s="25" t="str">
        <f aca="false">IF($A47="","",SUMPRODUCT((반품접수!$C$3:$C$1002=$A47)*1,IFERROR(SUMIFS(처리내역!$E$3:$E$1502,처리내역!$B$3:$B$1502,반품접수!$A$3:$A$1002,처리내역!$D$3:$D$1502,"폐기"),0)))</f>
        <v/>
      </c>
      <c r="G47" s="26" t="str">
        <f aca="false">IF($A47="","",IF($B47=0,"",($B47-$D47)/$B47))</f>
        <v/>
      </c>
    </row>
    <row r="48" customFormat="false" ht="15" hidden="false" customHeight="true" outlineLevel="0" collapsed="false">
      <c r="A48" s="12" t="str">
        <f aca="false">IF(거래처목록!$A45="","",거래처목록!$A45)</f>
        <v/>
      </c>
      <c r="B48" s="25" t="str">
        <f aca="false">IF($A48="","",COUNTIFS(반품접수!$C$3:$C$1002,$A48,반품접수!$B$3:$B$1002,"&gt;="&amp;DATE($B$3,1,1),반품접수!$B$3:$B$1002,"&lt;="&amp;DATE($B$3,12,31)))</f>
        <v/>
      </c>
      <c r="C48" s="25" t="str">
        <f aca="false">IF($A48="","",SUMIFS(반품접수!$I$3:$I$1002,반품접수!$C$3:$C$1002,$A48,반품접수!$B$3:$B$1002,"&gt;="&amp;DATE($B$3,1,1),반품접수!$B$3:$B$1002,"&lt;="&amp;DATE($B$3,12,31)))</f>
        <v/>
      </c>
      <c r="D48" s="25" t="str">
        <f aca="false">IF($A48="","",COUNTIFS(반품접수!$C$3:$C$1002,$A48,반품접수!$O$3:$O$1002,"미처리",반품접수!$B$3:$B$1002,"&gt;="&amp;DATE($B$3,1,1),반품접수!$B$3:$B$1002,"&lt;="&amp;DATE($B$3,12,31))+COUNTIFS(반품접수!$C$3:$C$1002,$A48,반품접수!$O$3:$O$1002,"부분처리",반품접수!$B$3:$B$1002,"&gt;="&amp;DATE($B$3,1,1),반품접수!$B$3:$B$1002,"&lt;="&amp;DATE($B$3,12,31)))</f>
        <v/>
      </c>
      <c r="E48" s="25" t="str">
        <f aca="false">IF($A48="","",SUMPRODUCT((반품접수!$C$3:$C$1002=$A48)*1,IFERROR(SUMIFS(처리내역!$E$3:$E$1502,처리내역!$B$3:$B$1502,반품접수!$A$3:$A$1002,처리내역!$D$3:$D$1502,"재입고"),0)))</f>
        <v/>
      </c>
      <c r="F48" s="25" t="str">
        <f aca="false">IF($A48="","",SUMPRODUCT((반품접수!$C$3:$C$1002=$A48)*1,IFERROR(SUMIFS(처리내역!$E$3:$E$1502,처리내역!$B$3:$B$1502,반품접수!$A$3:$A$1002,처리내역!$D$3:$D$1502,"폐기"),0)))</f>
        <v/>
      </c>
      <c r="G48" s="26" t="str">
        <f aca="false">IF($A48="","",IF($B48=0,"",($B48-$D48)/$B48))</f>
        <v/>
      </c>
    </row>
    <row r="49" customFormat="false" ht="15" hidden="false" customHeight="true" outlineLevel="0" collapsed="false">
      <c r="A49" s="12" t="str">
        <f aca="false">IF(거래처목록!$A46="","",거래처목록!$A46)</f>
        <v/>
      </c>
      <c r="B49" s="25" t="str">
        <f aca="false">IF($A49="","",COUNTIFS(반품접수!$C$3:$C$1002,$A49,반품접수!$B$3:$B$1002,"&gt;="&amp;DATE($B$3,1,1),반품접수!$B$3:$B$1002,"&lt;="&amp;DATE($B$3,12,31)))</f>
        <v/>
      </c>
      <c r="C49" s="25" t="str">
        <f aca="false">IF($A49="","",SUMIFS(반품접수!$I$3:$I$1002,반품접수!$C$3:$C$1002,$A49,반품접수!$B$3:$B$1002,"&gt;="&amp;DATE($B$3,1,1),반품접수!$B$3:$B$1002,"&lt;="&amp;DATE($B$3,12,31)))</f>
        <v/>
      </c>
      <c r="D49" s="25" t="str">
        <f aca="false">IF($A49="","",COUNTIFS(반품접수!$C$3:$C$1002,$A49,반품접수!$O$3:$O$1002,"미처리",반품접수!$B$3:$B$1002,"&gt;="&amp;DATE($B$3,1,1),반품접수!$B$3:$B$1002,"&lt;="&amp;DATE($B$3,12,31))+COUNTIFS(반품접수!$C$3:$C$1002,$A49,반품접수!$O$3:$O$1002,"부분처리",반품접수!$B$3:$B$1002,"&gt;="&amp;DATE($B$3,1,1),반품접수!$B$3:$B$1002,"&lt;="&amp;DATE($B$3,12,31)))</f>
        <v/>
      </c>
      <c r="E49" s="25" t="str">
        <f aca="false">IF($A49="","",SUMPRODUCT((반품접수!$C$3:$C$1002=$A49)*1,IFERROR(SUMIFS(처리내역!$E$3:$E$1502,처리내역!$B$3:$B$1502,반품접수!$A$3:$A$1002,처리내역!$D$3:$D$1502,"재입고"),0)))</f>
        <v/>
      </c>
      <c r="F49" s="25" t="str">
        <f aca="false">IF($A49="","",SUMPRODUCT((반품접수!$C$3:$C$1002=$A49)*1,IFERROR(SUMIFS(처리내역!$E$3:$E$1502,처리내역!$B$3:$B$1502,반품접수!$A$3:$A$1002,처리내역!$D$3:$D$1502,"폐기"),0)))</f>
        <v/>
      </c>
      <c r="G49" s="26" t="str">
        <f aca="false">IF($A49="","",IF($B49=0,"",($B49-$D49)/$B49))</f>
        <v/>
      </c>
    </row>
    <row r="50" customFormat="false" ht="15" hidden="false" customHeight="true" outlineLevel="0" collapsed="false">
      <c r="A50" s="12" t="str">
        <f aca="false">IF(거래처목록!$A47="","",거래처목록!$A47)</f>
        <v/>
      </c>
      <c r="B50" s="25" t="str">
        <f aca="false">IF($A50="","",COUNTIFS(반품접수!$C$3:$C$1002,$A50,반품접수!$B$3:$B$1002,"&gt;="&amp;DATE($B$3,1,1),반품접수!$B$3:$B$1002,"&lt;="&amp;DATE($B$3,12,31)))</f>
        <v/>
      </c>
      <c r="C50" s="25" t="str">
        <f aca="false">IF($A50="","",SUMIFS(반품접수!$I$3:$I$1002,반품접수!$C$3:$C$1002,$A50,반품접수!$B$3:$B$1002,"&gt;="&amp;DATE($B$3,1,1),반품접수!$B$3:$B$1002,"&lt;="&amp;DATE($B$3,12,31)))</f>
        <v/>
      </c>
      <c r="D50" s="25" t="str">
        <f aca="false">IF($A50="","",COUNTIFS(반품접수!$C$3:$C$1002,$A50,반품접수!$O$3:$O$1002,"미처리",반품접수!$B$3:$B$1002,"&gt;="&amp;DATE($B$3,1,1),반품접수!$B$3:$B$1002,"&lt;="&amp;DATE($B$3,12,31))+COUNTIFS(반품접수!$C$3:$C$1002,$A50,반품접수!$O$3:$O$1002,"부분처리",반품접수!$B$3:$B$1002,"&gt;="&amp;DATE($B$3,1,1),반품접수!$B$3:$B$1002,"&lt;="&amp;DATE($B$3,12,31)))</f>
        <v/>
      </c>
      <c r="E50" s="25" t="str">
        <f aca="false">IF($A50="","",SUMPRODUCT((반품접수!$C$3:$C$1002=$A50)*1,IFERROR(SUMIFS(처리내역!$E$3:$E$1502,처리내역!$B$3:$B$1502,반품접수!$A$3:$A$1002,처리내역!$D$3:$D$1502,"재입고"),0)))</f>
        <v/>
      </c>
      <c r="F50" s="25" t="str">
        <f aca="false">IF($A50="","",SUMPRODUCT((반품접수!$C$3:$C$1002=$A50)*1,IFERROR(SUMIFS(처리내역!$E$3:$E$1502,처리내역!$B$3:$B$1502,반품접수!$A$3:$A$1002,처리내역!$D$3:$D$1502,"폐기"),0)))</f>
        <v/>
      </c>
      <c r="G50" s="26" t="str">
        <f aca="false">IF($A50="","",IF($B50=0,"",($B50-$D50)/$B50))</f>
        <v/>
      </c>
    </row>
    <row r="51" customFormat="false" ht="15" hidden="false" customHeight="true" outlineLevel="0" collapsed="false">
      <c r="A51" s="12" t="str">
        <f aca="false">IF(거래처목록!$A48="","",거래처목록!$A48)</f>
        <v/>
      </c>
      <c r="B51" s="25" t="str">
        <f aca="false">IF($A51="","",COUNTIFS(반품접수!$C$3:$C$1002,$A51,반품접수!$B$3:$B$1002,"&gt;="&amp;DATE($B$3,1,1),반품접수!$B$3:$B$1002,"&lt;="&amp;DATE($B$3,12,31)))</f>
        <v/>
      </c>
      <c r="C51" s="25" t="str">
        <f aca="false">IF($A51="","",SUMIFS(반품접수!$I$3:$I$1002,반품접수!$C$3:$C$1002,$A51,반품접수!$B$3:$B$1002,"&gt;="&amp;DATE($B$3,1,1),반품접수!$B$3:$B$1002,"&lt;="&amp;DATE($B$3,12,31)))</f>
        <v/>
      </c>
      <c r="D51" s="25" t="str">
        <f aca="false">IF($A51="","",COUNTIFS(반품접수!$C$3:$C$1002,$A51,반품접수!$O$3:$O$1002,"미처리",반품접수!$B$3:$B$1002,"&gt;="&amp;DATE($B$3,1,1),반품접수!$B$3:$B$1002,"&lt;="&amp;DATE($B$3,12,31))+COUNTIFS(반품접수!$C$3:$C$1002,$A51,반품접수!$O$3:$O$1002,"부분처리",반품접수!$B$3:$B$1002,"&gt;="&amp;DATE($B$3,1,1),반품접수!$B$3:$B$1002,"&lt;="&amp;DATE($B$3,12,31)))</f>
        <v/>
      </c>
      <c r="E51" s="25" t="str">
        <f aca="false">IF($A51="","",SUMPRODUCT((반품접수!$C$3:$C$1002=$A51)*1,IFERROR(SUMIFS(처리내역!$E$3:$E$1502,처리내역!$B$3:$B$1502,반품접수!$A$3:$A$1002,처리내역!$D$3:$D$1502,"재입고"),0)))</f>
        <v/>
      </c>
      <c r="F51" s="25" t="str">
        <f aca="false">IF($A51="","",SUMPRODUCT((반품접수!$C$3:$C$1002=$A51)*1,IFERROR(SUMIFS(처리내역!$E$3:$E$1502,처리내역!$B$3:$B$1502,반품접수!$A$3:$A$1002,처리내역!$D$3:$D$1502,"폐기"),0)))</f>
        <v/>
      </c>
      <c r="G51" s="26" t="str">
        <f aca="false">IF($A51="","",IF($B51=0,"",($B51-$D51)/$B51))</f>
        <v/>
      </c>
    </row>
    <row r="52" customFormat="false" ht="15" hidden="false" customHeight="true" outlineLevel="0" collapsed="false">
      <c r="A52" s="12" t="str">
        <f aca="false">IF(거래처목록!$A49="","",거래처목록!$A49)</f>
        <v/>
      </c>
      <c r="B52" s="25" t="str">
        <f aca="false">IF($A52="","",COUNTIFS(반품접수!$C$3:$C$1002,$A52,반품접수!$B$3:$B$1002,"&gt;="&amp;DATE($B$3,1,1),반품접수!$B$3:$B$1002,"&lt;="&amp;DATE($B$3,12,31)))</f>
        <v/>
      </c>
      <c r="C52" s="25" t="str">
        <f aca="false">IF($A52="","",SUMIFS(반품접수!$I$3:$I$1002,반품접수!$C$3:$C$1002,$A52,반품접수!$B$3:$B$1002,"&gt;="&amp;DATE($B$3,1,1),반품접수!$B$3:$B$1002,"&lt;="&amp;DATE($B$3,12,31)))</f>
        <v/>
      </c>
      <c r="D52" s="25" t="str">
        <f aca="false">IF($A52="","",COUNTIFS(반품접수!$C$3:$C$1002,$A52,반품접수!$O$3:$O$1002,"미처리",반품접수!$B$3:$B$1002,"&gt;="&amp;DATE($B$3,1,1),반품접수!$B$3:$B$1002,"&lt;="&amp;DATE($B$3,12,31))+COUNTIFS(반품접수!$C$3:$C$1002,$A52,반품접수!$O$3:$O$1002,"부분처리",반품접수!$B$3:$B$1002,"&gt;="&amp;DATE($B$3,1,1),반품접수!$B$3:$B$1002,"&lt;="&amp;DATE($B$3,12,31)))</f>
        <v/>
      </c>
      <c r="E52" s="25" t="str">
        <f aca="false">IF($A52="","",SUMPRODUCT((반품접수!$C$3:$C$1002=$A52)*1,IFERROR(SUMIFS(처리내역!$E$3:$E$1502,처리내역!$B$3:$B$1502,반품접수!$A$3:$A$1002,처리내역!$D$3:$D$1502,"재입고"),0)))</f>
        <v/>
      </c>
      <c r="F52" s="25" t="str">
        <f aca="false">IF($A52="","",SUMPRODUCT((반품접수!$C$3:$C$1002=$A52)*1,IFERROR(SUMIFS(처리내역!$E$3:$E$1502,처리내역!$B$3:$B$1502,반품접수!$A$3:$A$1002,처리내역!$D$3:$D$1502,"폐기"),0)))</f>
        <v/>
      </c>
      <c r="G52" s="26" t="str">
        <f aca="false">IF($A52="","",IF($B52=0,"",($B52-$D52)/$B52))</f>
        <v/>
      </c>
    </row>
    <row r="53" customFormat="false" ht="15" hidden="false" customHeight="true" outlineLevel="0" collapsed="false">
      <c r="A53" s="12" t="str">
        <f aca="false">IF(거래처목록!$A50="","",거래처목록!$A50)</f>
        <v/>
      </c>
      <c r="B53" s="25" t="str">
        <f aca="false">IF($A53="","",COUNTIFS(반품접수!$C$3:$C$1002,$A53,반품접수!$B$3:$B$1002,"&gt;="&amp;DATE($B$3,1,1),반품접수!$B$3:$B$1002,"&lt;="&amp;DATE($B$3,12,31)))</f>
        <v/>
      </c>
      <c r="C53" s="25" t="str">
        <f aca="false">IF($A53="","",SUMIFS(반품접수!$I$3:$I$1002,반품접수!$C$3:$C$1002,$A53,반품접수!$B$3:$B$1002,"&gt;="&amp;DATE($B$3,1,1),반품접수!$B$3:$B$1002,"&lt;="&amp;DATE($B$3,12,31)))</f>
        <v/>
      </c>
      <c r="D53" s="25" t="str">
        <f aca="false">IF($A53="","",COUNTIFS(반품접수!$C$3:$C$1002,$A53,반품접수!$O$3:$O$1002,"미처리",반품접수!$B$3:$B$1002,"&gt;="&amp;DATE($B$3,1,1),반품접수!$B$3:$B$1002,"&lt;="&amp;DATE($B$3,12,31))+COUNTIFS(반품접수!$C$3:$C$1002,$A53,반품접수!$O$3:$O$1002,"부분처리",반품접수!$B$3:$B$1002,"&gt;="&amp;DATE($B$3,1,1),반품접수!$B$3:$B$1002,"&lt;="&amp;DATE($B$3,12,31)))</f>
        <v/>
      </c>
      <c r="E53" s="25" t="str">
        <f aca="false">IF($A53="","",SUMPRODUCT((반품접수!$C$3:$C$1002=$A53)*1,IFERROR(SUMIFS(처리내역!$E$3:$E$1502,처리내역!$B$3:$B$1502,반품접수!$A$3:$A$1002,처리내역!$D$3:$D$1502,"재입고"),0)))</f>
        <v/>
      </c>
      <c r="F53" s="25" t="str">
        <f aca="false">IF($A53="","",SUMPRODUCT((반품접수!$C$3:$C$1002=$A53)*1,IFERROR(SUMIFS(처리내역!$E$3:$E$1502,처리내역!$B$3:$B$1502,반품접수!$A$3:$A$1002,처리내역!$D$3:$D$1502,"폐기"),0)))</f>
        <v/>
      </c>
      <c r="G53" s="26" t="str">
        <f aca="false">IF($A53="","",IF($B53=0,"",($B53-$D53)/$B53))</f>
        <v/>
      </c>
    </row>
    <row r="54" customFormat="false" ht="15" hidden="false" customHeight="true" outlineLevel="0" collapsed="false">
      <c r="A54" s="12" t="str">
        <f aca="false">IF(거래처목록!$A51="","",거래처목록!$A51)</f>
        <v/>
      </c>
      <c r="B54" s="25" t="str">
        <f aca="false">IF($A54="","",COUNTIFS(반품접수!$C$3:$C$1002,$A54,반품접수!$B$3:$B$1002,"&gt;="&amp;DATE($B$3,1,1),반품접수!$B$3:$B$1002,"&lt;="&amp;DATE($B$3,12,31)))</f>
        <v/>
      </c>
      <c r="C54" s="25" t="str">
        <f aca="false">IF($A54="","",SUMIFS(반품접수!$I$3:$I$1002,반품접수!$C$3:$C$1002,$A54,반품접수!$B$3:$B$1002,"&gt;="&amp;DATE($B$3,1,1),반품접수!$B$3:$B$1002,"&lt;="&amp;DATE($B$3,12,31)))</f>
        <v/>
      </c>
      <c r="D54" s="25" t="str">
        <f aca="false">IF($A54="","",COUNTIFS(반품접수!$C$3:$C$1002,$A54,반품접수!$O$3:$O$1002,"미처리",반품접수!$B$3:$B$1002,"&gt;="&amp;DATE($B$3,1,1),반품접수!$B$3:$B$1002,"&lt;="&amp;DATE($B$3,12,31))+COUNTIFS(반품접수!$C$3:$C$1002,$A54,반품접수!$O$3:$O$1002,"부분처리",반품접수!$B$3:$B$1002,"&gt;="&amp;DATE($B$3,1,1),반품접수!$B$3:$B$1002,"&lt;="&amp;DATE($B$3,12,31)))</f>
        <v/>
      </c>
      <c r="E54" s="25" t="str">
        <f aca="false">IF($A54="","",SUMPRODUCT((반품접수!$C$3:$C$1002=$A54)*1,IFERROR(SUMIFS(처리내역!$E$3:$E$1502,처리내역!$B$3:$B$1502,반품접수!$A$3:$A$1002,처리내역!$D$3:$D$1502,"재입고"),0)))</f>
        <v/>
      </c>
      <c r="F54" s="25" t="str">
        <f aca="false">IF($A54="","",SUMPRODUCT((반품접수!$C$3:$C$1002=$A54)*1,IFERROR(SUMIFS(처리내역!$E$3:$E$1502,처리내역!$B$3:$B$1502,반품접수!$A$3:$A$1002,처리내역!$D$3:$D$1502,"폐기"),0)))</f>
        <v/>
      </c>
      <c r="G54" s="26" t="str">
        <f aca="false">IF($A54="","",IF($B54=0,"",($B54-$D54)/$B54))</f>
        <v/>
      </c>
    </row>
    <row r="55" customFormat="false" ht="15" hidden="false" customHeight="true" outlineLevel="0" collapsed="false">
      <c r="A55" s="12" t="str">
        <f aca="false">IF(거래처목록!$A52="","",거래처목록!$A52)</f>
        <v/>
      </c>
      <c r="B55" s="25" t="str">
        <f aca="false">IF($A55="","",COUNTIFS(반품접수!$C$3:$C$1002,$A55,반품접수!$B$3:$B$1002,"&gt;="&amp;DATE($B$3,1,1),반품접수!$B$3:$B$1002,"&lt;="&amp;DATE($B$3,12,31)))</f>
        <v/>
      </c>
      <c r="C55" s="25" t="str">
        <f aca="false">IF($A55="","",SUMIFS(반품접수!$I$3:$I$1002,반품접수!$C$3:$C$1002,$A55,반품접수!$B$3:$B$1002,"&gt;="&amp;DATE($B$3,1,1),반품접수!$B$3:$B$1002,"&lt;="&amp;DATE($B$3,12,31)))</f>
        <v/>
      </c>
      <c r="D55" s="25" t="str">
        <f aca="false">IF($A55="","",COUNTIFS(반품접수!$C$3:$C$1002,$A55,반품접수!$O$3:$O$1002,"미처리",반품접수!$B$3:$B$1002,"&gt;="&amp;DATE($B$3,1,1),반품접수!$B$3:$B$1002,"&lt;="&amp;DATE($B$3,12,31))+COUNTIFS(반품접수!$C$3:$C$1002,$A55,반품접수!$O$3:$O$1002,"부분처리",반품접수!$B$3:$B$1002,"&gt;="&amp;DATE($B$3,1,1),반품접수!$B$3:$B$1002,"&lt;="&amp;DATE($B$3,12,31)))</f>
        <v/>
      </c>
      <c r="E55" s="25" t="str">
        <f aca="false">IF($A55="","",SUMPRODUCT((반품접수!$C$3:$C$1002=$A55)*1,IFERROR(SUMIFS(처리내역!$E$3:$E$1502,처리내역!$B$3:$B$1502,반품접수!$A$3:$A$1002,처리내역!$D$3:$D$1502,"재입고"),0)))</f>
        <v/>
      </c>
      <c r="F55" s="25" t="str">
        <f aca="false">IF($A55="","",SUMPRODUCT((반품접수!$C$3:$C$1002=$A55)*1,IFERROR(SUMIFS(처리내역!$E$3:$E$1502,처리내역!$B$3:$B$1502,반품접수!$A$3:$A$1002,처리내역!$D$3:$D$1502,"폐기"),0)))</f>
        <v/>
      </c>
      <c r="G55" s="26" t="str">
        <f aca="false">IF($A55="","",IF($B55=0,"",($B55-$D55)/$B55))</f>
        <v/>
      </c>
    </row>
    <row r="56" customFormat="false" ht="15" hidden="false" customHeight="true" outlineLevel="0" collapsed="false">
      <c r="A56" s="12" t="str">
        <f aca="false">IF(거래처목록!$A53="","",거래처목록!$A53)</f>
        <v/>
      </c>
      <c r="B56" s="25" t="str">
        <f aca="false">IF($A56="","",COUNTIFS(반품접수!$C$3:$C$1002,$A56,반품접수!$B$3:$B$1002,"&gt;="&amp;DATE($B$3,1,1),반품접수!$B$3:$B$1002,"&lt;="&amp;DATE($B$3,12,31)))</f>
        <v/>
      </c>
      <c r="C56" s="25" t="str">
        <f aca="false">IF($A56="","",SUMIFS(반품접수!$I$3:$I$1002,반품접수!$C$3:$C$1002,$A56,반품접수!$B$3:$B$1002,"&gt;="&amp;DATE($B$3,1,1),반품접수!$B$3:$B$1002,"&lt;="&amp;DATE($B$3,12,31)))</f>
        <v/>
      </c>
      <c r="D56" s="25" t="str">
        <f aca="false">IF($A56="","",COUNTIFS(반품접수!$C$3:$C$1002,$A56,반품접수!$O$3:$O$1002,"미처리",반품접수!$B$3:$B$1002,"&gt;="&amp;DATE($B$3,1,1),반품접수!$B$3:$B$1002,"&lt;="&amp;DATE($B$3,12,31))+COUNTIFS(반품접수!$C$3:$C$1002,$A56,반품접수!$O$3:$O$1002,"부분처리",반품접수!$B$3:$B$1002,"&gt;="&amp;DATE($B$3,1,1),반품접수!$B$3:$B$1002,"&lt;="&amp;DATE($B$3,12,31)))</f>
        <v/>
      </c>
      <c r="E56" s="25" t="str">
        <f aca="false">IF($A56="","",SUMPRODUCT((반품접수!$C$3:$C$1002=$A56)*1,IFERROR(SUMIFS(처리내역!$E$3:$E$1502,처리내역!$B$3:$B$1502,반품접수!$A$3:$A$1002,처리내역!$D$3:$D$1502,"재입고"),0)))</f>
        <v/>
      </c>
      <c r="F56" s="25" t="str">
        <f aca="false">IF($A56="","",SUMPRODUCT((반품접수!$C$3:$C$1002=$A56)*1,IFERROR(SUMIFS(처리내역!$E$3:$E$1502,처리내역!$B$3:$B$1502,반품접수!$A$3:$A$1002,처리내역!$D$3:$D$1502,"폐기"),0)))</f>
        <v/>
      </c>
      <c r="G56" s="26" t="str">
        <f aca="false">IF($A56="","",IF($B56=0,"",($B56-$D56)/$B56))</f>
        <v/>
      </c>
    </row>
    <row r="57" customFormat="false" ht="15" hidden="false" customHeight="true" outlineLevel="0" collapsed="false">
      <c r="A57" s="12" t="str">
        <f aca="false">IF(거래처목록!$A54="","",거래처목록!$A54)</f>
        <v/>
      </c>
      <c r="B57" s="25" t="str">
        <f aca="false">IF($A57="","",COUNTIFS(반품접수!$C$3:$C$1002,$A57,반품접수!$B$3:$B$1002,"&gt;="&amp;DATE($B$3,1,1),반품접수!$B$3:$B$1002,"&lt;="&amp;DATE($B$3,12,31)))</f>
        <v/>
      </c>
      <c r="C57" s="25" t="str">
        <f aca="false">IF($A57="","",SUMIFS(반품접수!$I$3:$I$1002,반품접수!$C$3:$C$1002,$A57,반품접수!$B$3:$B$1002,"&gt;="&amp;DATE($B$3,1,1),반품접수!$B$3:$B$1002,"&lt;="&amp;DATE($B$3,12,31)))</f>
        <v/>
      </c>
      <c r="D57" s="25" t="str">
        <f aca="false">IF($A57="","",COUNTIFS(반품접수!$C$3:$C$1002,$A57,반품접수!$O$3:$O$1002,"미처리",반품접수!$B$3:$B$1002,"&gt;="&amp;DATE($B$3,1,1),반품접수!$B$3:$B$1002,"&lt;="&amp;DATE($B$3,12,31))+COUNTIFS(반품접수!$C$3:$C$1002,$A57,반품접수!$O$3:$O$1002,"부분처리",반품접수!$B$3:$B$1002,"&gt;="&amp;DATE($B$3,1,1),반품접수!$B$3:$B$1002,"&lt;="&amp;DATE($B$3,12,31)))</f>
        <v/>
      </c>
      <c r="E57" s="25" t="str">
        <f aca="false">IF($A57="","",SUMPRODUCT((반품접수!$C$3:$C$1002=$A57)*1,IFERROR(SUMIFS(처리내역!$E$3:$E$1502,처리내역!$B$3:$B$1502,반품접수!$A$3:$A$1002,처리내역!$D$3:$D$1502,"재입고"),0)))</f>
        <v/>
      </c>
      <c r="F57" s="25" t="str">
        <f aca="false">IF($A57="","",SUMPRODUCT((반품접수!$C$3:$C$1002=$A57)*1,IFERROR(SUMIFS(처리내역!$E$3:$E$1502,처리내역!$B$3:$B$1502,반품접수!$A$3:$A$1002,처리내역!$D$3:$D$1502,"폐기"),0)))</f>
        <v/>
      </c>
      <c r="G57" s="26" t="str">
        <f aca="false">IF($A57="","",IF($B57=0,"",($B57-$D57)/$B57))</f>
        <v/>
      </c>
    </row>
    <row r="58" customFormat="false" ht="15" hidden="false" customHeight="true" outlineLevel="0" collapsed="false">
      <c r="A58" s="12" t="str">
        <f aca="false">IF(거래처목록!$A55="","",거래처목록!$A55)</f>
        <v/>
      </c>
      <c r="B58" s="25" t="str">
        <f aca="false">IF($A58="","",COUNTIFS(반품접수!$C$3:$C$1002,$A58,반품접수!$B$3:$B$1002,"&gt;="&amp;DATE($B$3,1,1),반품접수!$B$3:$B$1002,"&lt;="&amp;DATE($B$3,12,31)))</f>
        <v/>
      </c>
      <c r="C58" s="25" t="str">
        <f aca="false">IF($A58="","",SUMIFS(반품접수!$I$3:$I$1002,반품접수!$C$3:$C$1002,$A58,반품접수!$B$3:$B$1002,"&gt;="&amp;DATE($B$3,1,1),반품접수!$B$3:$B$1002,"&lt;="&amp;DATE($B$3,12,31)))</f>
        <v/>
      </c>
      <c r="D58" s="25" t="str">
        <f aca="false">IF($A58="","",COUNTIFS(반품접수!$C$3:$C$1002,$A58,반품접수!$O$3:$O$1002,"미처리",반품접수!$B$3:$B$1002,"&gt;="&amp;DATE($B$3,1,1),반품접수!$B$3:$B$1002,"&lt;="&amp;DATE($B$3,12,31))+COUNTIFS(반품접수!$C$3:$C$1002,$A58,반품접수!$O$3:$O$1002,"부분처리",반품접수!$B$3:$B$1002,"&gt;="&amp;DATE($B$3,1,1),반품접수!$B$3:$B$1002,"&lt;="&amp;DATE($B$3,12,31)))</f>
        <v/>
      </c>
      <c r="E58" s="25" t="str">
        <f aca="false">IF($A58="","",SUMPRODUCT((반품접수!$C$3:$C$1002=$A58)*1,IFERROR(SUMIFS(처리내역!$E$3:$E$1502,처리내역!$B$3:$B$1502,반품접수!$A$3:$A$1002,처리내역!$D$3:$D$1502,"재입고"),0)))</f>
        <v/>
      </c>
      <c r="F58" s="25" t="str">
        <f aca="false">IF($A58="","",SUMPRODUCT((반품접수!$C$3:$C$1002=$A58)*1,IFERROR(SUMIFS(처리내역!$E$3:$E$1502,처리내역!$B$3:$B$1502,반품접수!$A$3:$A$1002,처리내역!$D$3:$D$1502,"폐기"),0)))</f>
        <v/>
      </c>
      <c r="G58" s="26" t="str">
        <f aca="false">IF($A58="","",IF($B58=0,"",($B58-$D58)/$B58))</f>
        <v/>
      </c>
    </row>
    <row r="59" customFormat="false" ht="15" hidden="false" customHeight="true" outlineLevel="0" collapsed="false">
      <c r="A59" s="12" t="str">
        <f aca="false">IF(거래처목록!$A56="","",거래처목록!$A56)</f>
        <v/>
      </c>
      <c r="B59" s="25" t="str">
        <f aca="false">IF($A59="","",COUNTIFS(반품접수!$C$3:$C$1002,$A59,반품접수!$B$3:$B$1002,"&gt;="&amp;DATE($B$3,1,1),반품접수!$B$3:$B$1002,"&lt;="&amp;DATE($B$3,12,31)))</f>
        <v/>
      </c>
      <c r="C59" s="25" t="str">
        <f aca="false">IF($A59="","",SUMIFS(반품접수!$I$3:$I$1002,반품접수!$C$3:$C$1002,$A59,반품접수!$B$3:$B$1002,"&gt;="&amp;DATE($B$3,1,1),반품접수!$B$3:$B$1002,"&lt;="&amp;DATE($B$3,12,31)))</f>
        <v/>
      </c>
      <c r="D59" s="25" t="str">
        <f aca="false">IF($A59="","",COUNTIFS(반품접수!$C$3:$C$1002,$A59,반품접수!$O$3:$O$1002,"미처리",반품접수!$B$3:$B$1002,"&gt;="&amp;DATE($B$3,1,1),반품접수!$B$3:$B$1002,"&lt;="&amp;DATE($B$3,12,31))+COUNTIFS(반품접수!$C$3:$C$1002,$A59,반품접수!$O$3:$O$1002,"부분처리",반품접수!$B$3:$B$1002,"&gt;="&amp;DATE($B$3,1,1),반품접수!$B$3:$B$1002,"&lt;="&amp;DATE($B$3,12,31)))</f>
        <v/>
      </c>
      <c r="E59" s="25" t="str">
        <f aca="false">IF($A59="","",SUMPRODUCT((반품접수!$C$3:$C$1002=$A59)*1,IFERROR(SUMIFS(처리내역!$E$3:$E$1502,처리내역!$B$3:$B$1502,반품접수!$A$3:$A$1002,처리내역!$D$3:$D$1502,"재입고"),0)))</f>
        <v/>
      </c>
      <c r="F59" s="25" t="str">
        <f aca="false">IF($A59="","",SUMPRODUCT((반품접수!$C$3:$C$1002=$A59)*1,IFERROR(SUMIFS(처리내역!$E$3:$E$1502,처리내역!$B$3:$B$1502,반품접수!$A$3:$A$1002,처리내역!$D$3:$D$1502,"폐기"),0)))</f>
        <v/>
      </c>
      <c r="G59" s="26" t="str">
        <f aca="false">IF($A59="","",IF($B59=0,"",($B59-$D59)/$B59))</f>
        <v/>
      </c>
    </row>
    <row r="60" customFormat="false" ht="15" hidden="false" customHeight="true" outlineLevel="0" collapsed="false">
      <c r="A60" s="12" t="str">
        <f aca="false">IF(거래처목록!$A57="","",거래처목록!$A57)</f>
        <v/>
      </c>
      <c r="B60" s="25" t="str">
        <f aca="false">IF($A60="","",COUNTIFS(반품접수!$C$3:$C$1002,$A60,반품접수!$B$3:$B$1002,"&gt;="&amp;DATE($B$3,1,1),반품접수!$B$3:$B$1002,"&lt;="&amp;DATE($B$3,12,31)))</f>
        <v/>
      </c>
      <c r="C60" s="25" t="str">
        <f aca="false">IF($A60="","",SUMIFS(반품접수!$I$3:$I$1002,반품접수!$C$3:$C$1002,$A60,반품접수!$B$3:$B$1002,"&gt;="&amp;DATE($B$3,1,1),반품접수!$B$3:$B$1002,"&lt;="&amp;DATE($B$3,12,31)))</f>
        <v/>
      </c>
      <c r="D60" s="25" t="str">
        <f aca="false">IF($A60="","",COUNTIFS(반품접수!$C$3:$C$1002,$A60,반품접수!$O$3:$O$1002,"미처리",반품접수!$B$3:$B$1002,"&gt;="&amp;DATE($B$3,1,1),반품접수!$B$3:$B$1002,"&lt;="&amp;DATE($B$3,12,31))+COUNTIFS(반품접수!$C$3:$C$1002,$A60,반품접수!$O$3:$O$1002,"부분처리",반품접수!$B$3:$B$1002,"&gt;="&amp;DATE($B$3,1,1),반품접수!$B$3:$B$1002,"&lt;="&amp;DATE($B$3,12,31)))</f>
        <v/>
      </c>
      <c r="E60" s="25" t="str">
        <f aca="false">IF($A60="","",SUMPRODUCT((반품접수!$C$3:$C$1002=$A60)*1,IFERROR(SUMIFS(처리내역!$E$3:$E$1502,처리내역!$B$3:$B$1502,반품접수!$A$3:$A$1002,처리내역!$D$3:$D$1502,"재입고"),0)))</f>
        <v/>
      </c>
      <c r="F60" s="25" t="str">
        <f aca="false">IF($A60="","",SUMPRODUCT((반품접수!$C$3:$C$1002=$A60)*1,IFERROR(SUMIFS(처리내역!$E$3:$E$1502,처리내역!$B$3:$B$1502,반품접수!$A$3:$A$1002,처리내역!$D$3:$D$1502,"폐기"),0)))</f>
        <v/>
      </c>
      <c r="G60" s="26" t="str">
        <f aca="false">IF($A60="","",IF($B60=0,"",($B60-$D60)/$B60))</f>
        <v/>
      </c>
    </row>
    <row r="61" customFormat="false" ht="15" hidden="false" customHeight="true" outlineLevel="0" collapsed="false">
      <c r="A61" s="12" t="str">
        <f aca="false">IF(거래처목록!$A58="","",거래처목록!$A58)</f>
        <v/>
      </c>
      <c r="B61" s="25" t="str">
        <f aca="false">IF($A61="","",COUNTIFS(반품접수!$C$3:$C$1002,$A61,반품접수!$B$3:$B$1002,"&gt;="&amp;DATE($B$3,1,1),반품접수!$B$3:$B$1002,"&lt;="&amp;DATE($B$3,12,31)))</f>
        <v/>
      </c>
      <c r="C61" s="25" t="str">
        <f aca="false">IF($A61="","",SUMIFS(반품접수!$I$3:$I$1002,반품접수!$C$3:$C$1002,$A61,반품접수!$B$3:$B$1002,"&gt;="&amp;DATE($B$3,1,1),반품접수!$B$3:$B$1002,"&lt;="&amp;DATE($B$3,12,31)))</f>
        <v/>
      </c>
      <c r="D61" s="25" t="str">
        <f aca="false">IF($A61="","",COUNTIFS(반품접수!$C$3:$C$1002,$A61,반품접수!$O$3:$O$1002,"미처리",반품접수!$B$3:$B$1002,"&gt;="&amp;DATE($B$3,1,1),반품접수!$B$3:$B$1002,"&lt;="&amp;DATE($B$3,12,31))+COUNTIFS(반품접수!$C$3:$C$1002,$A61,반품접수!$O$3:$O$1002,"부분처리",반품접수!$B$3:$B$1002,"&gt;="&amp;DATE($B$3,1,1),반품접수!$B$3:$B$1002,"&lt;="&amp;DATE($B$3,12,31)))</f>
        <v/>
      </c>
      <c r="E61" s="25" t="str">
        <f aca="false">IF($A61="","",SUMPRODUCT((반품접수!$C$3:$C$1002=$A61)*1,IFERROR(SUMIFS(처리내역!$E$3:$E$1502,처리내역!$B$3:$B$1502,반품접수!$A$3:$A$1002,처리내역!$D$3:$D$1502,"재입고"),0)))</f>
        <v/>
      </c>
      <c r="F61" s="25" t="str">
        <f aca="false">IF($A61="","",SUMPRODUCT((반품접수!$C$3:$C$1002=$A61)*1,IFERROR(SUMIFS(처리내역!$E$3:$E$1502,처리내역!$B$3:$B$1502,반품접수!$A$3:$A$1002,처리내역!$D$3:$D$1502,"폐기"),0)))</f>
        <v/>
      </c>
      <c r="G61" s="26" t="str">
        <f aca="false">IF($A61="","",IF($B61=0,"",($B61-$D61)/$B61))</f>
        <v/>
      </c>
    </row>
    <row r="62" customFormat="false" ht="15" hidden="false" customHeight="true" outlineLevel="0" collapsed="false">
      <c r="A62" s="12" t="str">
        <f aca="false">IF(거래처목록!$A59="","",거래처목록!$A59)</f>
        <v/>
      </c>
      <c r="B62" s="25" t="str">
        <f aca="false">IF($A62="","",COUNTIFS(반품접수!$C$3:$C$1002,$A62,반품접수!$B$3:$B$1002,"&gt;="&amp;DATE($B$3,1,1),반품접수!$B$3:$B$1002,"&lt;="&amp;DATE($B$3,12,31)))</f>
        <v/>
      </c>
      <c r="C62" s="25" t="str">
        <f aca="false">IF($A62="","",SUMIFS(반품접수!$I$3:$I$1002,반품접수!$C$3:$C$1002,$A62,반품접수!$B$3:$B$1002,"&gt;="&amp;DATE($B$3,1,1),반품접수!$B$3:$B$1002,"&lt;="&amp;DATE($B$3,12,31)))</f>
        <v/>
      </c>
      <c r="D62" s="25" t="str">
        <f aca="false">IF($A62="","",COUNTIFS(반품접수!$C$3:$C$1002,$A62,반품접수!$O$3:$O$1002,"미처리",반품접수!$B$3:$B$1002,"&gt;="&amp;DATE($B$3,1,1),반품접수!$B$3:$B$1002,"&lt;="&amp;DATE($B$3,12,31))+COUNTIFS(반품접수!$C$3:$C$1002,$A62,반품접수!$O$3:$O$1002,"부분처리",반품접수!$B$3:$B$1002,"&gt;="&amp;DATE($B$3,1,1),반품접수!$B$3:$B$1002,"&lt;="&amp;DATE($B$3,12,31)))</f>
        <v/>
      </c>
      <c r="E62" s="25" t="str">
        <f aca="false">IF($A62="","",SUMPRODUCT((반품접수!$C$3:$C$1002=$A62)*1,IFERROR(SUMIFS(처리내역!$E$3:$E$1502,처리내역!$B$3:$B$1502,반품접수!$A$3:$A$1002,처리내역!$D$3:$D$1502,"재입고"),0)))</f>
        <v/>
      </c>
      <c r="F62" s="25" t="str">
        <f aca="false">IF($A62="","",SUMPRODUCT((반품접수!$C$3:$C$1002=$A62)*1,IFERROR(SUMIFS(처리내역!$E$3:$E$1502,처리내역!$B$3:$B$1502,반품접수!$A$3:$A$1002,처리내역!$D$3:$D$1502,"폐기"),0)))</f>
        <v/>
      </c>
      <c r="G62" s="26" t="str">
        <f aca="false">IF($A62="","",IF($B62=0,"",($B62-$D62)/$B62))</f>
        <v/>
      </c>
    </row>
    <row r="63" customFormat="false" ht="15" hidden="false" customHeight="true" outlineLevel="0" collapsed="false">
      <c r="A63" s="12" t="str">
        <f aca="false">IF(거래처목록!$A60="","",거래처목록!$A60)</f>
        <v/>
      </c>
      <c r="B63" s="25" t="str">
        <f aca="false">IF($A63="","",COUNTIFS(반품접수!$C$3:$C$1002,$A63,반품접수!$B$3:$B$1002,"&gt;="&amp;DATE($B$3,1,1),반품접수!$B$3:$B$1002,"&lt;="&amp;DATE($B$3,12,31)))</f>
        <v/>
      </c>
      <c r="C63" s="25" t="str">
        <f aca="false">IF($A63="","",SUMIFS(반품접수!$I$3:$I$1002,반품접수!$C$3:$C$1002,$A63,반품접수!$B$3:$B$1002,"&gt;="&amp;DATE($B$3,1,1),반품접수!$B$3:$B$1002,"&lt;="&amp;DATE($B$3,12,31)))</f>
        <v/>
      </c>
      <c r="D63" s="25" t="str">
        <f aca="false">IF($A63="","",COUNTIFS(반품접수!$C$3:$C$1002,$A63,반품접수!$O$3:$O$1002,"미처리",반품접수!$B$3:$B$1002,"&gt;="&amp;DATE($B$3,1,1),반품접수!$B$3:$B$1002,"&lt;="&amp;DATE($B$3,12,31))+COUNTIFS(반품접수!$C$3:$C$1002,$A63,반품접수!$O$3:$O$1002,"부분처리",반품접수!$B$3:$B$1002,"&gt;="&amp;DATE($B$3,1,1),반품접수!$B$3:$B$1002,"&lt;="&amp;DATE($B$3,12,31)))</f>
        <v/>
      </c>
      <c r="E63" s="25" t="str">
        <f aca="false">IF($A63="","",SUMPRODUCT((반품접수!$C$3:$C$1002=$A63)*1,IFERROR(SUMIFS(처리내역!$E$3:$E$1502,처리내역!$B$3:$B$1502,반품접수!$A$3:$A$1002,처리내역!$D$3:$D$1502,"재입고"),0)))</f>
        <v/>
      </c>
      <c r="F63" s="25" t="str">
        <f aca="false">IF($A63="","",SUMPRODUCT((반품접수!$C$3:$C$1002=$A63)*1,IFERROR(SUMIFS(처리내역!$E$3:$E$1502,처리내역!$B$3:$B$1502,반품접수!$A$3:$A$1002,처리내역!$D$3:$D$1502,"폐기"),0)))</f>
        <v/>
      </c>
      <c r="G63" s="26" t="str">
        <f aca="false">IF($A63="","",IF($B63=0,"",($B63-$D63)/$B63))</f>
        <v/>
      </c>
    </row>
    <row r="64" customFormat="false" ht="15" hidden="false" customHeight="true" outlineLevel="0" collapsed="false">
      <c r="A64" s="12" t="str">
        <f aca="false">IF(거래처목록!$A61="","",거래처목록!$A61)</f>
        <v/>
      </c>
      <c r="B64" s="25" t="str">
        <f aca="false">IF($A64="","",COUNTIFS(반품접수!$C$3:$C$1002,$A64,반품접수!$B$3:$B$1002,"&gt;="&amp;DATE($B$3,1,1),반품접수!$B$3:$B$1002,"&lt;="&amp;DATE($B$3,12,31)))</f>
        <v/>
      </c>
      <c r="C64" s="25" t="str">
        <f aca="false">IF($A64="","",SUMIFS(반품접수!$I$3:$I$1002,반품접수!$C$3:$C$1002,$A64,반품접수!$B$3:$B$1002,"&gt;="&amp;DATE($B$3,1,1),반품접수!$B$3:$B$1002,"&lt;="&amp;DATE($B$3,12,31)))</f>
        <v/>
      </c>
      <c r="D64" s="25" t="str">
        <f aca="false">IF($A64="","",COUNTIFS(반품접수!$C$3:$C$1002,$A64,반품접수!$O$3:$O$1002,"미처리",반품접수!$B$3:$B$1002,"&gt;="&amp;DATE($B$3,1,1),반품접수!$B$3:$B$1002,"&lt;="&amp;DATE($B$3,12,31))+COUNTIFS(반품접수!$C$3:$C$1002,$A64,반품접수!$O$3:$O$1002,"부분처리",반품접수!$B$3:$B$1002,"&gt;="&amp;DATE($B$3,1,1),반품접수!$B$3:$B$1002,"&lt;="&amp;DATE($B$3,12,31)))</f>
        <v/>
      </c>
      <c r="E64" s="25" t="str">
        <f aca="false">IF($A64="","",SUMPRODUCT((반품접수!$C$3:$C$1002=$A64)*1,IFERROR(SUMIFS(처리내역!$E$3:$E$1502,처리내역!$B$3:$B$1502,반품접수!$A$3:$A$1002,처리내역!$D$3:$D$1502,"재입고"),0)))</f>
        <v/>
      </c>
      <c r="F64" s="25" t="str">
        <f aca="false">IF($A64="","",SUMPRODUCT((반품접수!$C$3:$C$1002=$A64)*1,IFERROR(SUMIFS(처리내역!$E$3:$E$1502,처리내역!$B$3:$B$1502,반품접수!$A$3:$A$1002,처리내역!$D$3:$D$1502,"폐기"),0)))</f>
        <v/>
      </c>
      <c r="G64" s="26" t="str">
        <f aca="false">IF($A64="","",IF($B64=0,"",($B64-$D64)/$B64))</f>
        <v/>
      </c>
    </row>
    <row r="65" customFormat="false" ht="15" hidden="false" customHeight="true" outlineLevel="0" collapsed="false">
      <c r="A65" s="12" t="str">
        <f aca="false">IF(거래처목록!$A62="","",거래처목록!$A62)</f>
        <v/>
      </c>
      <c r="B65" s="25" t="str">
        <f aca="false">IF($A65="","",COUNTIFS(반품접수!$C$3:$C$1002,$A65,반품접수!$B$3:$B$1002,"&gt;="&amp;DATE($B$3,1,1),반품접수!$B$3:$B$1002,"&lt;="&amp;DATE($B$3,12,31)))</f>
        <v/>
      </c>
      <c r="C65" s="25" t="str">
        <f aca="false">IF($A65="","",SUMIFS(반품접수!$I$3:$I$1002,반품접수!$C$3:$C$1002,$A65,반품접수!$B$3:$B$1002,"&gt;="&amp;DATE($B$3,1,1),반품접수!$B$3:$B$1002,"&lt;="&amp;DATE($B$3,12,31)))</f>
        <v/>
      </c>
      <c r="D65" s="25" t="str">
        <f aca="false">IF($A65="","",COUNTIFS(반품접수!$C$3:$C$1002,$A65,반품접수!$O$3:$O$1002,"미처리",반품접수!$B$3:$B$1002,"&gt;="&amp;DATE($B$3,1,1),반품접수!$B$3:$B$1002,"&lt;="&amp;DATE($B$3,12,31))+COUNTIFS(반품접수!$C$3:$C$1002,$A65,반품접수!$O$3:$O$1002,"부분처리",반품접수!$B$3:$B$1002,"&gt;="&amp;DATE($B$3,1,1),반품접수!$B$3:$B$1002,"&lt;="&amp;DATE($B$3,12,31)))</f>
        <v/>
      </c>
      <c r="E65" s="25" t="str">
        <f aca="false">IF($A65="","",SUMPRODUCT((반품접수!$C$3:$C$1002=$A65)*1,IFERROR(SUMIFS(처리내역!$E$3:$E$1502,처리내역!$B$3:$B$1502,반품접수!$A$3:$A$1002,처리내역!$D$3:$D$1502,"재입고"),0)))</f>
        <v/>
      </c>
      <c r="F65" s="25" t="str">
        <f aca="false">IF($A65="","",SUMPRODUCT((반품접수!$C$3:$C$1002=$A65)*1,IFERROR(SUMIFS(처리내역!$E$3:$E$1502,처리내역!$B$3:$B$1502,반품접수!$A$3:$A$1002,처리내역!$D$3:$D$1502,"폐기"),0)))</f>
        <v/>
      </c>
      <c r="G65" s="26" t="str">
        <f aca="false">IF($A65="","",IF($B65=0,"",($B65-$D65)/$B65))</f>
        <v/>
      </c>
    </row>
    <row r="66" customFormat="false" ht="15" hidden="false" customHeight="true" outlineLevel="0" collapsed="false">
      <c r="A66" s="12" t="str">
        <f aca="false">IF(거래처목록!$A63="","",거래처목록!$A63)</f>
        <v/>
      </c>
      <c r="B66" s="25" t="str">
        <f aca="false">IF($A66="","",COUNTIFS(반품접수!$C$3:$C$1002,$A66,반품접수!$B$3:$B$1002,"&gt;="&amp;DATE($B$3,1,1),반품접수!$B$3:$B$1002,"&lt;="&amp;DATE($B$3,12,31)))</f>
        <v/>
      </c>
      <c r="C66" s="25" t="str">
        <f aca="false">IF($A66="","",SUMIFS(반품접수!$I$3:$I$1002,반품접수!$C$3:$C$1002,$A66,반품접수!$B$3:$B$1002,"&gt;="&amp;DATE($B$3,1,1),반품접수!$B$3:$B$1002,"&lt;="&amp;DATE($B$3,12,31)))</f>
        <v/>
      </c>
      <c r="D66" s="25" t="str">
        <f aca="false">IF($A66="","",COUNTIFS(반품접수!$C$3:$C$1002,$A66,반품접수!$O$3:$O$1002,"미처리",반품접수!$B$3:$B$1002,"&gt;="&amp;DATE($B$3,1,1),반품접수!$B$3:$B$1002,"&lt;="&amp;DATE($B$3,12,31))+COUNTIFS(반품접수!$C$3:$C$1002,$A66,반품접수!$O$3:$O$1002,"부분처리",반품접수!$B$3:$B$1002,"&gt;="&amp;DATE($B$3,1,1),반품접수!$B$3:$B$1002,"&lt;="&amp;DATE($B$3,12,31)))</f>
        <v/>
      </c>
      <c r="E66" s="25" t="str">
        <f aca="false">IF($A66="","",SUMPRODUCT((반품접수!$C$3:$C$1002=$A66)*1,IFERROR(SUMIFS(처리내역!$E$3:$E$1502,처리내역!$B$3:$B$1502,반품접수!$A$3:$A$1002,처리내역!$D$3:$D$1502,"재입고"),0)))</f>
        <v/>
      </c>
      <c r="F66" s="25" t="str">
        <f aca="false">IF($A66="","",SUMPRODUCT((반품접수!$C$3:$C$1002=$A66)*1,IFERROR(SUMIFS(처리내역!$E$3:$E$1502,처리내역!$B$3:$B$1502,반품접수!$A$3:$A$1002,처리내역!$D$3:$D$1502,"폐기"),0)))</f>
        <v/>
      </c>
      <c r="G66" s="26" t="str">
        <f aca="false">IF($A66="","",IF($B66=0,"",($B66-$D66)/$B66))</f>
        <v/>
      </c>
    </row>
    <row r="67" customFormat="false" ht="15" hidden="false" customHeight="true" outlineLevel="0" collapsed="false">
      <c r="A67" s="12" t="str">
        <f aca="false">IF(거래처목록!$A64="","",거래처목록!$A64)</f>
        <v/>
      </c>
      <c r="B67" s="25" t="str">
        <f aca="false">IF($A67="","",COUNTIFS(반품접수!$C$3:$C$1002,$A67,반품접수!$B$3:$B$1002,"&gt;="&amp;DATE($B$3,1,1),반품접수!$B$3:$B$1002,"&lt;="&amp;DATE($B$3,12,31)))</f>
        <v/>
      </c>
      <c r="C67" s="25" t="str">
        <f aca="false">IF($A67="","",SUMIFS(반품접수!$I$3:$I$1002,반품접수!$C$3:$C$1002,$A67,반품접수!$B$3:$B$1002,"&gt;="&amp;DATE($B$3,1,1),반품접수!$B$3:$B$1002,"&lt;="&amp;DATE($B$3,12,31)))</f>
        <v/>
      </c>
      <c r="D67" s="25" t="str">
        <f aca="false">IF($A67="","",COUNTIFS(반품접수!$C$3:$C$1002,$A67,반품접수!$O$3:$O$1002,"미처리",반품접수!$B$3:$B$1002,"&gt;="&amp;DATE($B$3,1,1),반품접수!$B$3:$B$1002,"&lt;="&amp;DATE($B$3,12,31))+COUNTIFS(반품접수!$C$3:$C$1002,$A67,반품접수!$O$3:$O$1002,"부분처리",반품접수!$B$3:$B$1002,"&gt;="&amp;DATE($B$3,1,1),반품접수!$B$3:$B$1002,"&lt;="&amp;DATE($B$3,12,31)))</f>
        <v/>
      </c>
      <c r="E67" s="25" t="str">
        <f aca="false">IF($A67="","",SUMPRODUCT((반품접수!$C$3:$C$1002=$A67)*1,IFERROR(SUMIFS(처리내역!$E$3:$E$1502,처리내역!$B$3:$B$1502,반품접수!$A$3:$A$1002,처리내역!$D$3:$D$1502,"재입고"),0)))</f>
        <v/>
      </c>
      <c r="F67" s="25" t="str">
        <f aca="false">IF($A67="","",SUMPRODUCT((반품접수!$C$3:$C$1002=$A67)*1,IFERROR(SUMIFS(처리내역!$E$3:$E$1502,처리내역!$B$3:$B$1502,반품접수!$A$3:$A$1002,처리내역!$D$3:$D$1502,"폐기"),0)))</f>
        <v/>
      </c>
      <c r="G67" s="26" t="str">
        <f aca="false">IF($A67="","",IF($B67=0,"",($B67-$D67)/$B67))</f>
        <v/>
      </c>
    </row>
    <row r="68" customFormat="false" ht="15" hidden="false" customHeight="true" outlineLevel="0" collapsed="false">
      <c r="A68" s="12" t="str">
        <f aca="false">IF(거래처목록!$A65="","",거래처목록!$A65)</f>
        <v/>
      </c>
      <c r="B68" s="25" t="str">
        <f aca="false">IF($A68="","",COUNTIFS(반품접수!$C$3:$C$1002,$A68,반품접수!$B$3:$B$1002,"&gt;="&amp;DATE($B$3,1,1),반품접수!$B$3:$B$1002,"&lt;="&amp;DATE($B$3,12,31)))</f>
        <v/>
      </c>
      <c r="C68" s="25" t="str">
        <f aca="false">IF($A68="","",SUMIFS(반품접수!$I$3:$I$1002,반품접수!$C$3:$C$1002,$A68,반품접수!$B$3:$B$1002,"&gt;="&amp;DATE($B$3,1,1),반품접수!$B$3:$B$1002,"&lt;="&amp;DATE($B$3,12,31)))</f>
        <v/>
      </c>
      <c r="D68" s="25" t="str">
        <f aca="false">IF($A68="","",COUNTIFS(반품접수!$C$3:$C$1002,$A68,반품접수!$O$3:$O$1002,"미처리",반품접수!$B$3:$B$1002,"&gt;="&amp;DATE($B$3,1,1),반품접수!$B$3:$B$1002,"&lt;="&amp;DATE($B$3,12,31))+COUNTIFS(반품접수!$C$3:$C$1002,$A68,반품접수!$O$3:$O$1002,"부분처리",반품접수!$B$3:$B$1002,"&gt;="&amp;DATE($B$3,1,1),반품접수!$B$3:$B$1002,"&lt;="&amp;DATE($B$3,12,31)))</f>
        <v/>
      </c>
      <c r="E68" s="25" t="str">
        <f aca="false">IF($A68="","",SUMPRODUCT((반품접수!$C$3:$C$1002=$A68)*1,IFERROR(SUMIFS(처리내역!$E$3:$E$1502,처리내역!$B$3:$B$1502,반품접수!$A$3:$A$1002,처리내역!$D$3:$D$1502,"재입고"),0)))</f>
        <v/>
      </c>
      <c r="F68" s="25" t="str">
        <f aca="false">IF($A68="","",SUMPRODUCT((반품접수!$C$3:$C$1002=$A68)*1,IFERROR(SUMIFS(처리내역!$E$3:$E$1502,처리내역!$B$3:$B$1502,반품접수!$A$3:$A$1002,처리내역!$D$3:$D$1502,"폐기"),0)))</f>
        <v/>
      </c>
      <c r="G68" s="26" t="str">
        <f aca="false">IF($A68="","",IF($B68=0,"",($B68-$D68)/$B68))</f>
        <v/>
      </c>
    </row>
    <row r="69" customFormat="false" ht="15" hidden="false" customHeight="true" outlineLevel="0" collapsed="false">
      <c r="A69" s="12" t="str">
        <f aca="false">IF(거래처목록!$A66="","",거래처목록!$A66)</f>
        <v/>
      </c>
      <c r="B69" s="25" t="str">
        <f aca="false">IF($A69="","",COUNTIFS(반품접수!$C$3:$C$1002,$A69,반품접수!$B$3:$B$1002,"&gt;="&amp;DATE($B$3,1,1),반품접수!$B$3:$B$1002,"&lt;="&amp;DATE($B$3,12,31)))</f>
        <v/>
      </c>
      <c r="C69" s="25" t="str">
        <f aca="false">IF($A69="","",SUMIFS(반품접수!$I$3:$I$1002,반품접수!$C$3:$C$1002,$A69,반품접수!$B$3:$B$1002,"&gt;="&amp;DATE($B$3,1,1),반품접수!$B$3:$B$1002,"&lt;="&amp;DATE($B$3,12,31)))</f>
        <v/>
      </c>
      <c r="D69" s="25" t="str">
        <f aca="false">IF($A69="","",COUNTIFS(반품접수!$C$3:$C$1002,$A69,반품접수!$O$3:$O$1002,"미처리",반품접수!$B$3:$B$1002,"&gt;="&amp;DATE($B$3,1,1),반품접수!$B$3:$B$1002,"&lt;="&amp;DATE($B$3,12,31))+COUNTIFS(반품접수!$C$3:$C$1002,$A69,반품접수!$O$3:$O$1002,"부분처리",반품접수!$B$3:$B$1002,"&gt;="&amp;DATE($B$3,1,1),반품접수!$B$3:$B$1002,"&lt;="&amp;DATE($B$3,12,31)))</f>
        <v/>
      </c>
      <c r="E69" s="25" t="str">
        <f aca="false">IF($A69="","",SUMPRODUCT((반품접수!$C$3:$C$1002=$A69)*1,IFERROR(SUMIFS(처리내역!$E$3:$E$1502,처리내역!$B$3:$B$1502,반품접수!$A$3:$A$1002,처리내역!$D$3:$D$1502,"재입고"),0)))</f>
        <v/>
      </c>
      <c r="F69" s="25" t="str">
        <f aca="false">IF($A69="","",SUMPRODUCT((반품접수!$C$3:$C$1002=$A69)*1,IFERROR(SUMIFS(처리내역!$E$3:$E$1502,처리내역!$B$3:$B$1502,반품접수!$A$3:$A$1002,처리내역!$D$3:$D$1502,"폐기"),0)))</f>
        <v/>
      </c>
      <c r="G69" s="26" t="str">
        <f aca="false">IF($A69="","",IF($B69=0,"",($B69-$D69)/$B69))</f>
        <v/>
      </c>
    </row>
    <row r="70" customFormat="false" ht="15" hidden="false" customHeight="true" outlineLevel="0" collapsed="false">
      <c r="A70" s="12" t="str">
        <f aca="false">IF(거래처목록!$A67="","",거래처목록!$A67)</f>
        <v/>
      </c>
      <c r="B70" s="25" t="str">
        <f aca="false">IF($A70="","",COUNTIFS(반품접수!$C$3:$C$1002,$A70,반품접수!$B$3:$B$1002,"&gt;="&amp;DATE($B$3,1,1),반품접수!$B$3:$B$1002,"&lt;="&amp;DATE($B$3,12,31)))</f>
        <v/>
      </c>
      <c r="C70" s="25" t="str">
        <f aca="false">IF($A70="","",SUMIFS(반품접수!$I$3:$I$1002,반품접수!$C$3:$C$1002,$A70,반품접수!$B$3:$B$1002,"&gt;="&amp;DATE($B$3,1,1),반품접수!$B$3:$B$1002,"&lt;="&amp;DATE($B$3,12,31)))</f>
        <v/>
      </c>
      <c r="D70" s="25" t="str">
        <f aca="false">IF($A70="","",COUNTIFS(반품접수!$C$3:$C$1002,$A70,반품접수!$O$3:$O$1002,"미처리",반품접수!$B$3:$B$1002,"&gt;="&amp;DATE($B$3,1,1),반품접수!$B$3:$B$1002,"&lt;="&amp;DATE($B$3,12,31))+COUNTIFS(반품접수!$C$3:$C$1002,$A70,반품접수!$O$3:$O$1002,"부분처리",반품접수!$B$3:$B$1002,"&gt;="&amp;DATE($B$3,1,1),반품접수!$B$3:$B$1002,"&lt;="&amp;DATE($B$3,12,31)))</f>
        <v/>
      </c>
      <c r="E70" s="25" t="str">
        <f aca="false">IF($A70="","",SUMPRODUCT((반품접수!$C$3:$C$1002=$A70)*1,IFERROR(SUMIFS(처리내역!$E$3:$E$1502,처리내역!$B$3:$B$1502,반품접수!$A$3:$A$1002,처리내역!$D$3:$D$1502,"재입고"),0)))</f>
        <v/>
      </c>
      <c r="F70" s="25" t="str">
        <f aca="false">IF($A70="","",SUMPRODUCT((반품접수!$C$3:$C$1002=$A70)*1,IFERROR(SUMIFS(처리내역!$E$3:$E$1502,처리내역!$B$3:$B$1502,반품접수!$A$3:$A$1002,처리내역!$D$3:$D$1502,"폐기"),0)))</f>
        <v/>
      </c>
      <c r="G70" s="26" t="str">
        <f aca="false">IF($A70="","",IF($B70=0,"",($B70-$D70)/$B70))</f>
        <v/>
      </c>
    </row>
    <row r="71" customFormat="false" ht="15" hidden="false" customHeight="true" outlineLevel="0" collapsed="false">
      <c r="A71" s="12" t="str">
        <f aca="false">IF(거래처목록!$A68="","",거래처목록!$A68)</f>
        <v/>
      </c>
      <c r="B71" s="25" t="str">
        <f aca="false">IF($A71="","",COUNTIFS(반품접수!$C$3:$C$1002,$A71,반품접수!$B$3:$B$1002,"&gt;="&amp;DATE($B$3,1,1),반품접수!$B$3:$B$1002,"&lt;="&amp;DATE($B$3,12,31)))</f>
        <v/>
      </c>
      <c r="C71" s="25" t="str">
        <f aca="false">IF($A71="","",SUMIFS(반품접수!$I$3:$I$1002,반품접수!$C$3:$C$1002,$A71,반품접수!$B$3:$B$1002,"&gt;="&amp;DATE($B$3,1,1),반품접수!$B$3:$B$1002,"&lt;="&amp;DATE($B$3,12,31)))</f>
        <v/>
      </c>
      <c r="D71" s="25" t="str">
        <f aca="false">IF($A71="","",COUNTIFS(반품접수!$C$3:$C$1002,$A71,반품접수!$O$3:$O$1002,"미처리",반품접수!$B$3:$B$1002,"&gt;="&amp;DATE($B$3,1,1),반품접수!$B$3:$B$1002,"&lt;="&amp;DATE($B$3,12,31))+COUNTIFS(반품접수!$C$3:$C$1002,$A71,반품접수!$O$3:$O$1002,"부분처리",반품접수!$B$3:$B$1002,"&gt;="&amp;DATE($B$3,1,1),반품접수!$B$3:$B$1002,"&lt;="&amp;DATE($B$3,12,31)))</f>
        <v/>
      </c>
      <c r="E71" s="25" t="str">
        <f aca="false">IF($A71="","",SUMPRODUCT((반품접수!$C$3:$C$1002=$A71)*1,IFERROR(SUMIFS(처리내역!$E$3:$E$1502,처리내역!$B$3:$B$1502,반품접수!$A$3:$A$1002,처리내역!$D$3:$D$1502,"재입고"),0)))</f>
        <v/>
      </c>
      <c r="F71" s="25" t="str">
        <f aca="false">IF($A71="","",SUMPRODUCT((반품접수!$C$3:$C$1002=$A71)*1,IFERROR(SUMIFS(처리내역!$E$3:$E$1502,처리내역!$B$3:$B$1502,반품접수!$A$3:$A$1002,처리내역!$D$3:$D$1502,"폐기"),0)))</f>
        <v/>
      </c>
      <c r="G71" s="26" t="str">
        <f aca="false">IF($A71="","",IF($B71=0,"",($B71-$D71)/$B71))</f>
        <v/>
      </c>
    </row>
    <row r="72" customFormat="false" ht="15" hidden="false" customHeight="true" outlineLevel="0" collapsed="false">
      <c r="A72" s="12" t="str">
        <f aca="false">IF(거래처목록!$A69="","",거래처목록!$A69)</f>
        <v/>
      </c>
      <c r="B72" s="25" t="str">
        <f aca="false">IF($A72="","",COUNTIFS(반품접수!$C$3:$C$1002,$A72,반품접수!$B$3:$B$1002,"&gt;="&amp;DATE($B$3,1,1),반품접수!$B$3:$B$1002,"&lt;="&amp;DATE($B$3,12,31)))</f>
        <v/>
      </c>
      <c r="C72" s="25" t="str">
        <f aca="false">IF($A72="","",SUMIFS(반품접수!$I$3:$I$1002,반품접수!$C$3:$C$1002,$A72,반품접수!$B$3:$B$1002,"&gt;="&amp;DATE($B$3,1,1),반품접수!$B$3:$B$1002,"&lt;="&amp;DATE($B$3,12,31)))</f>
        <v/>
      </c>
      <c r="D72" s="25" t="str">
        <f aca="false">IF($A72="","",COUNTIFS(반품접수!$C$3:$C$1002,$A72,반품접수!$O$3:$O$1002,"미처리",반품접수!$B$3:$B$1002,"&gt;="&amp;DATE($B$3,1,1),반품접수!$B$3:$B$1002,"&lt;="&amp;DATE($B$3,12,31))+COUNTIFS(반품접수!$C$3:$C$1002,$A72,반품접수!$O$3:$O$1002,"부분처리",반품접수!$B$3:$B$1002,"&gt;="&amp;DATE($B$3,1,1),반품접수!$B$3:$B$1002,"&lt;="&amp;DATE($B$3,12,31)))</f>
        <v/>
      </c>
      <c r="E72" s="25" t="str">
        <f aca="false">IF($A72="","",SUMPRODUCT((반품접수!$C$3:$C$1002=$A72)*1,IFERROR(SUMIFS(처리내역!$E$3:$E$1502,처리내역!$B$3:$B$1502,반품접수!$A$3:$A$1002,처리내역!$D$3:$D$1502,"재입고"),0)))</f>
        <v/>
      </c>
      <c r="F72" s="25" t="str">
        <f aca="false">IF($A72="","",SUMPRODUCT((반품접수!$C$3:$C$1002=$A72)*1,IFERROR(SUMIFS(처리내역!$E$3:$E$1502,처리내역!$B$3:$B$1502,반품접수!$A$3:$A$1002,처리내역!$D$3:$D$1502,"폐기"),0)))</f>
        <v/>
      </c>
      <c r="G72" s="26" t="str">
        <f aca="false">IF($A72="","",IF($B72=0,"",($B72-$D72)/$B72))</f>
        <v/>
      </c>
    </row>
    <row r="73" customFormat="false" ht="15" hidden="false" customHeight="true" outlineLevel="0" collapsed="false">
      <c r="A73" s="12" t="str">
        <f aca="false">IF(거래처목록!$A70="","",거래처목록!$A70)</f>
        <v/>
      </c>
      <c r="B73" s="25" t="str">
        <f aca="false">IF($A73="","",COUNTIFS(반품접수!$C$3:$C$1002,$A73,반품접수!$B$3:$B$1002,"&gt;="&amp;DATE($B$3,1,1),반품접수!$B$3:$B$1002,"&lt;="&amp;DATE($B$3,12,31)))</f>
        <v/>
      </c>
      <c r="C73" s="25" t="str">
        <f aca="false">IF($A73="","",SUMIFS(반품접수!$I$3:$I$1002,반품접수!$C$3:$C$1002,$A73,반품접수!$B$3:$B$1002,"&gt;="&amp;DATE($B$3,1,1),반품접수!$B$3:$B$1002,"&lt;="&amp;DATE($B$3,12,31)))</f>
        <v/>
      </c>
      <c r="D73" s="25" t="str">
        <f aca="false">IF($A73="","",COUNTIFS(반품접수!$C$3:$C$1002,$A73,반품접수!$O$3:$O$1002,"미처리",반품접수!$B$3:$B$1002,"&gt;="&amp;DATE($B$3,1,1),반품접수!$B$3:$B$1002,"&lt;="&amp;DATE($B$3,12,31))+COUNTIFS(반품접수!$C$3:$C$1002,$A73,반품접수!$O$3:$O$1002,"부분처리",반품접수!$B$3:$B$1002,"&gt;="&amp;DATE($B$3,1,1),반품접수!$B$3:$B$1002,"&lt;="&amp;DATE($B$3,12,31)))</f>
        <v/>
      </c>
      <c r="E73" s="25" t="str">
        <f aca="false">IF($A73="","",SUMPRODUCT((반품접수!$C$3:$C$1002=$A73)*1,IFERROR(SUMIFS(처리내역!$E$3:$E$1502,처리내역!$B$3:$B$1502,반품접수!$A$3:$A$1002,처리내역!$D$3:$D$1502,"재입고"),0)))</f>
        <v/>
      </c>
      <c r="F73" s="25" t="str">
        <f aca="false">IF($A73="","",SUMPRODUCT((반품접수!$C$3:$C$1002=$A73)*1,IFERROR(SUMIFS(처리내역!$E$3:$E$1502,처리내역!$B$3:$B$1502,반품접수!$A$3:$A$1002,처리내역!$D$3:$D$1502,"폐기"),0)))</f>
        <v/>
      </c>
      <c r="G73" s="26" t="str">
        <f aca="false">IF($A73="","",IF($B73=0,"",($B73-$D73)/$B73))</f>
        <v/>
      </c>
    </row>
    <row r="74" customFormat="false" ht="15" hidden="false" customHeight="true" outlineLevel="0" collapsed="false">
      <c r="A74" s="12" t="str">
        <f aca="false">IF(거래처목록!$A71="","",거래처목록!$A71)</f>
        <v/>
      </c>
      <c r="B74" s="25" t="str">
        <f aca="false">IF($A74="","",COUNTIFS(반품접수!$C$3:$C$1002,$A74,반품접수!$B$3:$B$1002,"&gt;="&amp;DATE($B$3,1,1),반품접수!$B$3:$B$1002,"&lt;="&amp;DATE($B$3,12,31)))</f>
        <v/>
      </c>
      <c r="C74" s="25" t="str">
        <f aca="false">IF($A74="","",SUMIFS(반품접수!$I$3:$I$1002,반품접수!$C$3:$C$1002,$A74,반품접수!$B$3:$B$1002,"&gt;="&amp;DATE($B$3,1,1),반품접수!$B$3:$B$1002,"&lt;="&amp;DATE($B$3,12,31)))</f>
        <v/>
      </c>
      <c r="D74" s="25" t="str">
        <f aca="false">IF($A74="","",COUNTIFS(반품접수!$C$3:$C$1002,$A74,반품접수!$O$3:$O$1002,"미처리",반품접수!$B$3:$B$1002,"&gt;="&amp;DATE($B$3,1,1),반품접수!$B$3:$B$1002,"&lt;="&amp;DATE($B$3,12,31))+COUNTIFS(반품접수!$C$3:$C$1002,$A74,반품접수!$O$3:$O$1002,"부분처리",반품접수!$B$3:$B$1002,"&gt;="&amp;DATE($B$3,1,1),반품접수!$B$3:$B$1002,"&lt;="&amp;DATE($B$3,12,31)))</f>
        <v/>
      </c>
      <c r="E74" s="25" t="str">
        <f aca="false">IF($A74="","",SUMPRODUCT((반품접수!$C$3:$C$1002=$A74)*1,IFERROR(SUMIFS(처리내역!$E$3:$E$1502,처리내역!$B$3:$B$1502,반품접수!$A$3:$A$1002,처리내역!$D$3:$D$1502,"재입고"),0)))</f>
        <v/>
      </c>
      <c r="F74" s="25" t="str">
        <f aca="false">IF($A74="","",SUMPRODUCT((반품접수!$C$3:$C$1002=$A74)*1,IFERROR(SUMIFS(처리내역!$E$3:$E$1502,처리내역!$B$3:$B$1502,반품접수!$A$3:$A$1002,처리내역!$D$3:$D$1502,"폐기"),0)))</f>
        <v/>
      </c>
      <c r="G74" s="26" t="str">
        <f aca="false">IF($A74="","",IF($B74=0,"",($B74-$D74)/$B74))</f>
        <v/>
      </c>
    </row>
    <row r="75" customFormat="false" ht="15" hidden="false" customHeight="true" outlineLevel="0" collapsed="false">
      <c r="A75" s="12" t="str">
        <f aca="false">IF(거래처목록!$A72="","",거래처목록!$A72)</f>
        <v/>
      </c>
      <c r="B75" s="25" t="str">
        <f aca="false">IF($A75="","",COUNTIFS(반품접수!$C$3:$C$1002,$A75,반품접수!$B$3:$B$1002,"&gt;="&amp;DATE($B$3,1,1),반품접수!$B$3:$B$1002,"&lt;="&amp;DATE($B$3,12,31)))</f>
        <v/>
      </c>
      <c r="C75" s="25" t="str">
        <f aca="false">IF($A75="","",SUMIFS(반품접수!$I$3:$I$1002,반품접수!$C$3:$C$1002,$A75,반품접수!$B$3:$B$1002,"&gt;="&amp;DATE($B$3,1,1),반품접수!$B$3:$B$1002,"&lt;="&amp;DATE($B$3,12,31)))</f>
        <v/>
      </c>
      <c r="D75" s="25" t="str">
        <f aca="false">IF($A75="","",COUNTIFS(반품접수!$C$3:$C$1002,$A75,반품접수!$O$3:$O$1002,"미처리",반품접수!$B$3:$B$1002,"&gt;="&amp;DATE($B$3,1,1),반품접수!$B$3:$B$1002,"&lt;="&amp;DATE($B$3,12,31))+COUNTIFS(반품접수!$C$3:$C$1002,$A75,반품접수!$O$3:$O$1002,"부분처리",반품접수!$B$3:$B$1002,"&gt;="&amp;DATE($B$3,1,1),반품접수!$B$3:$B$1002,"&lt;="&amp;DATE($B$3,12,31)))</f>
        <v/>
      </c>
      <c r="E75" s="25" t="str">
        <f aca="false">IF($A75="","",SUMPRODUCT((반품접수!$C$3:$C$1002=$A75)*1,IFERROR(SUMIFS(처리내역!$E$3:$E$1502,처리내역!$B$3:$B$1502,반품접수!$A$3:$A$1002,처리내역!$D$3:$D$1502,"재입고"),0)))</f>
        <v/>
      </c>
      <c r="F75" s="25" t="str">
        <f aca="false">IF($A75="","",SUMPRODUCT((반품접수!$C$3:$C$1002=$A75)*1,IFERROR(SUMIFS(처리내역!$E$3:$E$1502,처리내역!$B$3:$B$1502,반품접수!$A$3:$A$1002,처리내역!$D$3:$D$1502,"폐기"),0)))</f>
        <v/>
      </c>
      <c r="G75" s="26" t="str">
        <f aca="false">IF($A75="","",IF($B75=0,"",($B75-$D75)/$B75))</f>
        <v/>
      </c>
    </row>
    <row r="76" customFormat="false" ht="15" hidden="false" customHeight="true" outlineLevel="0" collapsed="false">
      <c r="A76" s="12" t="str">
        <f aca="false">IF(거래처목록!$A73="","",거래처목록!$A73)</f>
        <v/>
      </c>
      <c r="B76" s="25" t="str">
        <f aca="false">IF($A76="","",COUNTIFS(반품접수!$C$3:$C$1002,$A76,반품접수!$B$3:$B$1002,"&gt;="&amp;DATE($B$3,1,1),반품접수!$B$3:$B$1002,"&lt;="&amp;DATE($B$3,12,31)))</f>
        <v/>
      </c>
      <c r="C76" s="25" t="str">
        <f aca="false">IF($A76="","",SUMIFS(반품접수!$I$3:$I$1002,반품접수!$C$3:$C$1002,$A76,반품접수!$B$3:$B$1002,"&gt;="&amp;DATE($B$3,1,1),반품접수!$B$3:$B$1002,"&lt;="&amp;DATE($B$3,12,31)))</f>
        <v/>
      </c>
      <c r="D76" s="25" t="str">
        <f aca="false">IF($A76="","",COUNTIFS(반품접수!$C$3:$C$1002,$A76,반품접수!$O$3:$O$1002,"미처리",반품접수!$B$3:$B$1002,"&gt;="&amp;DATE($B$3,1,1),반품접수!$B$3:$B$1002,"&lt;="&amp;DATE($B$3,12,31))+COUNTIFS(반품접수!$C$3:$C$1002,$A76,반품접수!$O$3:$O$1002,"부분처리",반품접수!$B$3:$B$1002,"&gt;="&amp;DATE($B$3,1,1),반품접수!$B$3:$B$1002,"&lt;="&amp;DATE($B$3,12,31)))</f>
        <v/>
      </c>
      <c r="E76" s="25" t="str">
        <f aca="false">IF($A76="","",SUMPRODUCT((반품접수!$C$3:$C$1002=$A76)*1,IFERROR(SUMIFS(처리내역!$E$3:$E$1502,처리내역!$B$3:$B$1502,반품접수!$A$3:$A$1002,처리내역!$D$3:$D$1502,"재입고"),0)))</f>
        <v/>
      </c>
      <c r="F76" s="25" t="str">
        <f aca="false">IF($A76="","",SUMPRODUCT((반품접수!$C$3:$C$1002=$A76)*1,IFERROR(SUMIFS(처리내역!$E$3:$E$1502,처리내역!$B$3:$B$1502,반품접수!$A$3:$A$1002,처리내역!$D$3:$D$1502,"폐기"),0)))</f>
        <v/>
      </c>
      <c r="G76" s="26" t="str">
        <f aca="false">IF($A76="","",IF($B76=0,"",($B76-$D76)/$B76))</f>
        <v/>
      </c>
    </row>
    <row r="77" customFormat="false" ht="15" hidden="false" customHeight="true" outlineLevel="0" collapsed="false">
      <c r="A77" s="12" t="str">
        <f aca="false">IF(거래처목록!$A74="","",거래처목록!$A74)</f>
        <v/>
      </c>
      <c r="B77" s="25" t="str">
        <f aca="false">IF($A77="","",COUNTIFS(반품접수!$C$3:$C$1002,$A77,반품접수!$B$3:$B$1002,"&gt;="&amp;DATE($B$3,1,1),반품접수!$B$3:$B$1002,"&lt;="&amp;DATE($B$3,12,31)))</f>
        <v/>
      </c>
      <c r="C77" s="25" t="str">
        <f aca="false">IF($A77="","",SUMIFS(반품접수!$I$3:$I$1002,반품접수!$C$3:$C$1002,$A77,반품접수!$B$3:$B$1002,"&gt;="&amp;DATE($B$3,1,1),반품접수!$B$3:$B$1002,"&lt;="&amp;DATE($B$3,12,31)))</f>
        <v/>
      </c>
      <c r="D77" s="25" t="str">
        <f aca="false">IF($A77="","",COUNTIFS(반품접수!$C$3:$C$1002,$A77,반품접수!$O$3:$O$1002,"미처리",반품접수!$B$3:$B$1002,"&gt;="&amp;DATE($B$3,1,1),반품접수!$B$3:$B$1002,"&lt;="&amp;DATE($B$3,12,31))+COUNTIFS(반품접수!$C$3:$C$1002,$A77,반품접수!$O$3:$O$1002,"부분처리",반품접수!$B$3:$B$1002,"&gt;="&amp;DATE($B$3,1,1),반품접수!$B$3:$B$1002,"&lt;="&amp;DATE($B$3,12,31)))</f>
        <v/>
      </c>
      <c r="E77" s="25" t="str">
        <f aca="false">IF($A77="","",SUMPRODUCT((반품접수!$C$3:$C$1002=$A77)*1,IFERROR(SUMIFS(처리내역!$E$3:$E$1502,처리내역!$B$3:$B$1502,반품접수!$A$3:$A$1002,처리내역!$D$3:$D$1502,"재입고"),0)))</f>
        <v/>
      </c>
      <c r="F77" s="25" t="str">
        <f aca="false">IF($A77="","",SUMPRODUCT((반품접수!$C$3:$C$1002=$A77)*1,IFERROR(SUMIFS(처리내역!$E$3:$E$1502,처리내역!$B$3:$B$1502,반품접수!$A$3:$A$1002,처리내역!$D$3:$D$1502,"폐기"),0)))</f>
        <v/>
      </c>
      <c r="G77" s="26" t="str">
        <f aca="false">IF($A77="","",IF($B77=0,"",($B77-$D77)/$B77))</f>
        <v/>
      </c>
    </row>
    <row r="78" customFormat="false" ht="15" hidden="false" customHeight="true" outlineLevel="0" collapsed="false">
      <c r="A78" s="12" t="str">
        <f aca="false">IF(거래처목록!$A75="","",거래처목록!$A75)</f>
        <v/>
      </c>
      <c r="B78" s="25" t="str">
        <f aca="false">IF($A78="","",COUNTIFS(반품접수!$C$3:$C$1002,$A78,반품접수!$B$3:$B$1002,"&gt;="&amp;DATE($B$3,1,1),반품접수!$B$3:$B$1002,"&lt;="&amp;DATE($B$3,12,31)))</f>
        <v/>
      </c>
      <c r="C78" s="25" t="str">
        <f aca="false">IF($A78="","",SUMIFS(반품접수!$I$3:$I$1002,반품접수!$C$3:$C$1002,$A78,반품접수!$B$3:$B$1002,"&gt;="&amp;DATE($B$3,1,1),반품접수!$B$3:$B$1002,"&lt;="&amp;DATE($B$3,12,31)))</f>
        <v/>
      </c>
      <c r="D78" s="25" t="str">
        <f aca="false">IF($A78="","",COUNTIFS(반품접수!$C$3:$C$1002,$A78,반품접수!$O$3:$O$1002,"미처리",반품접수!$B$3:$B$1002,"&gt;="&amp;DATE($B$3,1,1),반품접수!$B$3:$B$1002,"&lt;="&amp;DATE($B$3,12,31))+COUNTIFS(반품접수!$C$3:$C$1002,$A78,반품접수!$O$3:$O$1002,"부분처리",반품접수!$B$3:$B$1002,"&gt;="&amp;DATE($B$3,1,1),반품접수!$B$3:$B$1002,"&lt;="&amp;DATE($B$3,12,31)))</f>
        <v/>
      </c>
      <c r="E78" s="25" t="str">
        <f aca="false">IF($A78="","",SUMPRODUCT((반품접수!$C$3:$C$1002=$A78)*1,IFERROR(SUMIFS(처리내역!$E$3:$E$1502,처리내역!$B$3:$B$1502,반품접수!$A$3:$A$1002,처리내역!$D$3:$D$1502,"재입고"),0)))</f>
        <v/>
      </c>
      <c r="F78" s="25" t="str">
        <f aca="false">IF($A78="","",SUMPRODUCT((반품접수!$C$3:$C$1002=$A78)*1,IFERROR(SUMIFS(처리내역!$E$3:$E$1502,처리내역!$B$3:$B$1502,반품접수!$A$3:$A$1002,처리내역!$D$3:$D$1502,"폐기"),0)))</f>
        <v/>
      </c>
      <c r="G78" s="26" t="str">
        <f aca="false">IF($A78="","",IF($B78=0,"",($B78-$D78)/$B78))</f>
        <v/>
      </c>
    </row>
    <row r="79" customFormat="false" ht="15" hidden="false" customHeight="true" outlineLevel="0" collapsed="false">
      <c r="A79" s="12" t="str">
        <f aca="false">IF(거래처목록!$A76="","",거래처목록!$A76)</f>
        <v/>
      </c>
      <c r="B79" s="25" t="str">
        <f aca="false">IF($A79="","",COUNTIFS(반품접수!$C$3:$C$1002,$A79,반품접수!$B$3:$B$1002,"&gt;="&amp;DATE($B$3,1,1),반품접수!$B$3:$B$1002,"&lt;="&amp;DATE($B$3,12,31)))</f>
        <v/>
      </c>
      <c r="C79" s="25" t="str">
        <f aca="false">IF($A79="","",SUMIFS(반품접수!$I$3:$I$1002,반품접수!$C$3:$C$1002,$A79,반품접수!$B$3:$B$1002,"&gt;="&amp;DATE($B$3,1,1),반품접수!$B$3:$B$1002,"&lt;="&amp;DATE($B$3,12,31)))</f>
        <v/>
      </c>
      <c r="D79" s="25" t="str">
        <f aca="false">IF($A79="","",COUNTIFS(반품접수!$C$3:$C$1002,$A79,반품접수!$O$3:$O$1002,"미처리",반품접수!$B$3:$B$1002,"&gt;="&amp;DATE($B$3,1,1),반품접수!$B$3:$B$1002,"&lt;="&amp;DATE($B$3,12,31))+COUNTIFS(반품접수!$C$3:$C$1002,$A79,반품접수!$O$3:$O$1002,"부분처리",반품접수!$B$3:$B$1002,"&gt;="&amp;DATE($B$3,1,1),반품접수!$B$3:$B$1002,"&lt;="&amp;DATE($B$3,12,31)))</f>
        <v/>
      </c>
      <c r="E79" s="25" t="str">
        <f aca="false">IF($A79="","",SUMPRODUCT((반품접수!$C$3:$C$1002=$A79)*1,IFERROR(SUMIFS(처리내역!$E$3:$E$1502,처리내역!$B$3:$B$1502,반품접수!$A$3:$A$1002,처리내역!$D$3:$D$1502,"재입고"),0)))</f>
        <v/>
      </c>
      <c r="F79" s="25" t="str">
        <f aca="false">IF($A79="","",SUMPRODUCT((반품접수!$C$3:$C$1002=$A79)*1,IFERROR(SUMIFS(처리내역!$E$3:$E$1502,처리내역!$B$3:$B$1502,반품접수!$A$3:$A$1002,처리내역!$D$3:$D$1502,"폐기"),0)))</f>
        <v/>
      </c>
      <c r="G79" s="26" t="str">
        <f aca="false">IF($A79="","",IF($B79=0,"",($B79-$D79)/$B79))</f>
        <v/>
      </c>
    </row>
    <row r="80" customFormat="false" ht="15" hidden="false" customHeight="true" outlineLevel="0" collapsed="false">
      <c r="A80" s="12" t="str">
        <f aca="false">IF(거래처목록!$A77="","",거래처목록!$A77)</f>
        <v/>
      </c>
      <c r="B80" s="25" t="str">
        <f aca="false">IF($A80="","",COUNTIFS(반품접수!$C$3:$C$1002,$A80,반품접수!$B$3:$B$1002,"&gt;="&amp;DATE($B$3,1,1),반품접수!$B$3:$B$1002,"&lt;="&amp;DATE($B$3,12,31)))</f>
        <v/>
      </c>
      <c r="C80" s="25" t="str">
        <f aca="false">IF($A80="","",SUMIFS(반품접수!$I$3:$I$1002,반품접수!$C$3:$C$1002,$A80,반품접수!$B$3:$B$1002,"&gt;="&amp;DATE($B$3,1,1),반품접수!$B$3:$B$1002,"&lt;="&amp;DATE($B$3,12,31)))</f>
        <v/>
      </c>
      <c r="D80" s="25" t="str">
        <f aca="false">IF($A80="","",COUNTIFS(반품접수!$C$3:$C$1002,$A80,반품접수!$O$3:$O$1002,"미처리",반품접수!$B$3:$B$1002,"&gt;="&amp;DATE($B$3,1,1),반품접수!$B$3:$B$1002,"&lt;="&amp;DATE($B$3,12,31))+COUNTIFS(반품접수!$C$3:$C$1002,$A80,반품접수!$O$3:$O$1002,"부분처리",반품접수!$B$3:$B$1002,"&gt;="&amp;DATE($B$3,1,1),반품접수!$B$3:$B$1002,"&lt;="&amp;DATE($B$3,12,31)))</f>
        <v/>
      </c>
      <c r="E80" s="25" t="str">
        <f aca="false">IF($A80="","",SUMPRODUCT((반품접수!$C$3:$C$1002=$A80)*1,IFERROR(SUMIFS(처리내역!$E$3:$E$1502,처리내역!$B$3:$B$1502,반품접수!$A$3:$A$1002,처리내역!$D$3:$D$1502,"재입고"),0)))</f>
        <v/>
      </c>
      <c r="F80" s="25" t="str">
        <f aca="false">IF($A80="","",SUMPRODUCT((반품접수!$C$3:$C$1002=$A80)*1,IFERROR(SUMIFS(처리내역!$E$3:$E$1502,처리내역!$B$3:$B$1502,반품접수!$A$3:$A$1002,처리내역!$D$3:$D$1502,"폐기"),0)))</f>
        <v/>
      </c>
      <c r="G80" s="26" t="str">
        <f aca="false">IF($A80="","",IF($B80=0,"",($B80-$D80)/$B80))</f>
        <v/>
      </c>
    </row>
    <row r="81" customFormat="false" ht="15" hidden="false" customHeight="true" outlineLevel="0" collapsed="false">
      <c r="A81" s="12" t="str">
        <f aca="false">IF(거래처목록!$A78="","",거래처목록!$A78)</f>
        <v/>
      </c>
      <c r="B81" s="25" t="str">
        <f aca="false">IF($A81="","",COUNTIFS(반품접수!$C$3:$C$1002,$A81,반품접수!$B$3:$B$1002,"&gt;="&amp;DATE($B$3,1,1),반품접수!$B$3:$B$1002,"&lt;="&amp;DATE($B$3,12,31)))</f>
        <v/>
      </c>
      <c r="C81" s="25" t="str">
        <f aca="false">IF($A81="","",SUMIFS(반품접수!$I$3:$I$1002,반품접수!$C$3:$C$1002,$A81,반품접수!$B$3:$B$1002,"&gt;="&amp;DATE($B$3,1,1),반품접수!$B$3:$B$1002,"&lt;="&amp;DATE($B$3,12,31)))</f>
        <v/>
      </c>
      <c r="D81" s="25" t="str">
        <f aca="false">IF($A81="","",COUNTIFS(반품접수!$C$3:$C$1002,$A81,반품접수!$O$3:$O$1002,"미처리",반품접수!$B$3:$B$1002,"&gt;="&amp;DATE($B$3,1,1),반품접수!$B$3:$B$1002,"&lt;="&amp;DATE($B$3,12,31))+COUNTIFS(반품접수!$C$3:$C$1002,$A81,반품접수!$O$3:$O$1002,"부분처리",반품접수!$B$3:$B$1002,"&gt;="&amp;DATE($B$3,1,1),반품접수!$B$3:$B$1002,"&lt;="&amp;DATE($B$3,12,31)))</f>
        <v/>
      </c>
      <c r="E81" s="25" t="str">
        <f aca="false">IF($A81="","",SUMPRODUCT((반품접수!$C$3:$C$1002=$A81)*1,IFERROR(SUMIFS(처리내역!$E$3:$E$1502,처리내역!$B$3:$B$1502,반품접수!$A$3:$A$1002,처리내역!$D$3:$D$1502,"재입고"),0)))</f>
        <v/>
      </c>
      <c r="F81" s="25" t="str">
        <f aca="false">IF($A81="","",SUMPRODUCT((반품접수!$C$3:$C$1002=$A81)*1,IFERROR(SUMIFS(처리내역!$E$3:$E$1502,처리내역!$B$3:$B$1502,반품접수!$A$3:$A$1002,처리내역!$D$3:$D$1502,"폐기"),0)))</f>
        <v/>
      </c>
      <c r="G81" s="26" t="str">
        <f aca="false">IF($A81="","",IF($B81=0,"",($B81-$D81)/$B81))</f>
        <v/>
      </c>
    </row>
    <row r="82" customFormat="false" ht="15" hidden="false" customHeight="true" outlineLevel="0" collapsed="false">
      <c r="A82" s="12" t="str">
        <f aca="false">IF(거래처목록!$A79="","",거래처목록!$A79)</f>
        <v/>
      </c>
      <c r="B82" s="25" t="str">
        <f aca="false">IF($A82="","",COUNTIFS(반품접수!$C$3:$C$1002,$A82,반품접수!$B$3:$B$1002,"&gt;="&amp;DATE($B$3,1,1),반품접수!$B$3:$B$1002,"&lt;="&amp;DATE($B$3,12,31)))</f>
        <v/>
      </c>
      <c r="C82" s="25" t="str">
        <f aca="false">IF($A82="","",SUMIFS(반품접수!$I$3:$I$1002,반품접수!$C$3:$C$1002,$A82,반품접수!$B$3:$B$1002,"&gt;="&amp;DATE($B$3,1,1),반품접수!$B$3:$B$1002,"&lt;="&amp;DATE($B$3,12,31)))</f>
        <v/>
      </c>
      <c r="D82" s="25" t="str">
        <f aca="false">IF($A82="","",COUNTIFS(반품접수!$C$3:$C$1002,$A82,반품접수!$O$3:$O$1002,"미처리",반품접수!$B$3:$B$1002,"&gt;="&amp;DATE($B$3,1,1),반품접수!$B$3:$B$1002,"&lt;="&amp;DATE($B$3,12,31))+COUNTIFS(반품접수!$C$3:$C$1002,$A82,반품접수!$O$3:$O$1002,"부분처리",반품접수!$B$3:$B$1002,"&gt;="&amp;DATE($B$3,1,1),반품접수!$B$3:$B$1002,"&lt;="&amp;DATE($B$3,12,31)))</f>
        <v/>
      </c>
      <c r="E82" s="25" t="str">
        <f aca="false">IF($A82="","",SUMPRODUCT((반품접수!$C$3:$C$1002=$A82)*1,IFERROR(SUMIFS(처리내역!$E$3:$E$1502,처리내역!$B$3:$B$1502,반품접수!$A$3:$A$1002,처리내역!$D$3:$D$1502,"재입고"),0)))</f>
        <v/>
      </c>
      <c r="F82" s="25" t="str">
        <f aca="false">IF($A82="","",SUMPRODUCT((반품접수!$C$3:$C$1002=$A82)*1,IFERROR(SUMIFS(처리내역!$E$3:$E$1502,처리내역!$B$3:$B$1502,반품접수!$A$3:$A$1002,처리내역!$D$3:$D$1502,"폐기"),0)))</f>
        <v/>
      </c>
      <c r="G82" s="26" t="str">
        <f aca="false">IF($A82="","",IF($B82=0,"",($B82-$D82)/$B82))</f>
        <v/>
      </c>
    </row>
    <row r="83" customFormat="false" ht="15" hidden="false" customHeight="true" outlineLevel="0" collapsed="false">
      <c r="A83" s="12" t="str">
        <f aca="false">IF(거래처목록!$A80="","",거래처목록!$A80)</f>
        <v/>
      </c>
      <c r="B83" s="25" t="str">
        <f aca="false">IF($A83="","",COUNTIFS(반품접수!$C$3:$C$1002,$A83,반품접수!$B$3:$B$1002,"&gt;="&amp;DATE($B$3,1,1),반품접수!$B$3:$B$1002,"&lt;="&amp;DATE($B$3,12,31)))</f>
        <v/>
      </c>
      <c r="C83" s="25" t="str">
        <f aca="false">IF($A83="","",SUMIFS(반품접수!$I$3:$I$1002,반품접수!$C$3:$C$1002,$A83,반품접수!$B$3:$B$1002,"&gt;="&amp;DATE($B$3,1,1),반품접수!$B$3:$B$1002,"&lt;="&amp;DATE($B$3,12,31)))</f>
        <v/>
      </c>
      <c r="D83" s="25" t="str">
        <f aca="false">IF($A83="","",COUNTIFS(반품접수!$C$3:$C$1002,$A83,반품접수!$O$3:$O$1002,"미처리",반품접수!$B$3:$B$1002,"&gt;="&amp;DATE($B$3,1,1),반품접수!$B$3:$B$1002,"&lt;="&amp;DATE($B$3,12,31))+COUNTIFS(반품접수!$C$3:$C$1002,$A83,반품접수!$O$3:$O$1002,"부분처리",반품접수!$B$3:$B$1002,"&gt;="&amp;DATE($B$3,1,1),반품접수!$B$3:$B$1002,"&lt;="&amp;DATE($B$3,12,31)))</f>
        <v/>
      </c>
      <c r="E83" s="25" t="str">
        <f aca="false">IF($A83="","",SUMPRODUCT((반품접수!$C$3:$C$1002=$A83)*1,IFERROR(SUMIFS(처리내역!$E$3:$E$1502,처리내역!$B$3:$B$1502,반품접수!$A$3:$A$1002,처리내역!$D$3:$D$1502,"재입고"),0)))</f>
        <v/>
      </c>
      <c r="F83" s="25" t="str">
        <f aca="false">IF($A83="","",SUMPRODUCT((반품접수!$C$3:$C$1002=$A83)*1,IFERROR(SUMIFS(처리내역!$E$3:$E$1502,처리내역!$B$3:$B$1502,반품접수!$A$3:$A$1002,처리내역!$D$3:$D$1502,"폐기"),0)))</f>
        <v/>
      </c>
      <c r="G83" s="26" t="str">
        <f aca="false">IF($A83="","",IF($B83=0,"",($B83-$D83)/$B83))</f>
        <v/>
      </c>
    </row>
    <row r="84" customFormat="false" ht="15" hidden="false" customHeight="true" outlineLevel="0" collapsed="false">
      <c r="A84" s="12" t="str">
        <f aca="false">IF(거래처목록!$A81="","",거래처목록!$A81)</f>
        <v/>
      </c>
      <c r="B84" s="25" t="str">
        <f aca="false">IF($A84="","",COUNTIFS(반품접수!$C$3:$C$1002,$A84,반품접수!$B$3:$B$1002,"&gt;="&amp;DATE($B$3,1,1),반품접수!$B$3:$B$1002,"&lt;="&amp;DATE($B$3,12,31)))</f>
        <v/>
      </c>
      <c r="C84" s="25" t="str">
        <f aca="false">IF($A84="","",SUMIFS(반품접수!$I$3:$I$1002,반품접수!$C$3:$C$1002,$A84,반품접수!$B$3:$B$1002,"&gt;="&amp;DATE($B$3,1,1),반품접수!$B$3:$B$1002,"&lt;="&amp;DATE($B$3,12,31)))</f>
        <v/>
      </c>
      <c r="D84" s="25" t="str">
        <f aca="false">IF($A84="","",COUNTIFS(반품접수!$C$3:$C$1002,$A84,반품접수!$O$3:$O$1002,"미처리",반품접수!$B$3:$B$1002,"&gt;="&amp;DATE($B$3,1,1),반품접수!$B$3:$B$1002,"&lt;="&amp;DATE($B$3,12,31))+COUNTIFS(반품접수!$C$3:$C$1002,$A84,반품접수!$O$3:$O$1002,"부분처리",반품접수!$B$3:$B$1002,"&gt;="&amp;DATE($B$3,1,1),반품접수!$B$3:$B$1002,"&lt;="&amp;DATE($B$3,12,31)))</f>
        <v/>
      </c>
      <c r="E84" s="25" t="str">
        <f aca="false">IF($A84="","",SUMPRODUCT((반품접수!$C$3:$C$1002=$A84)*1,IFERROR(SUMIFS(처리내역!$E$3:$E$1502,처리내역!$B$3:$B$1502,반품접수!$A$3:$A$1002,처리내역!$D$3:$D$1502,"재입고"),0)))</f>
        <v/>
      </c>
      <c r="F84" s="25" t="str">
        <f aca="false">IF($A84="","",SUMPRODUCT((반품접수!$C$3:$C$1002=$A84)*1,IFERROR(SUMIFS(처리내역!$E$3:$E$1502,처리내역!$B$3:$B$1502,반품접수!$A$3:$A$1002,처리내역!$D$3:$D$1502,"폐기"),0)))</f>
        <v/>
      </c>
      <c r="G84" s="26" t="str">
        <f aca="false">IF($A84="","",IF($B84=0,"",($B84-$D84)/$B84))</f>
        <v/>
      </c>
    </row>
    <row r="85" customFormat="false" ht="15" hidden="false" customHeight="true" outlineLevel="0" collapsed="false">
      <c r="A85" s="12" t="str">
        <f aca="false">IF(거래처목록!$A82="","",거래처목록!$A82)</f>
        <v/>
      </c>
      <c r="B85" s="25" t="str">
        <f aca="false">IF($A85="","",COUNTIFS(반품접수!$C$3:$C$1002,$A85,반품접수!$B$3:$B$1002,"&gt;="&amp;DATE($B$3,1,1),반품접수!$B$3:$B$1002,"&lt;="&amp;DATE($B$3,12,31)))</f>
        <v/>
      </c>
      <c r="C85" s="25" t="str">
        <f aca="false">IF($A85="","",SUMIFS(반품접수!$I$3:$I$1002,반품접수!$C$3:$C$1002,$A85,반품접수!$B$3:$B$1002,"&gt;="&amp;DATE($B$3,1,1),반품접수!$B$3:$B$1002,"&lt;="&amp;DATE($B$3,12,31)))</f>
        <v/>
      </c>
      <c r="D85" s="25" t="str">
        <f aca="false">IF($A85="","",COUNTIFS(반품접수!$C$3:$C$1002,$A85,반품접수!$O$3:$O$1002,"미처리",반품접수!$B$3:$B$1002,"&gt;="&amp;DATE($B$3,1,1),반품접수!$B$3:$B$1002,"&lt;="&amp;DATE($B$3,12,31))+COUNTIFS(반품접수!$C$3:$C$1002,$A85,반품접수!$O$3:$O$1002,"부분처리",반품접수!$B$3:$B$1002,"&gt;="&amp;DATE($B$3,1,1),반품접수!$B$3:$B$1002,"&lt;="&amp;DATE($B$3,12,31)))</f>
        <v/>
      </c>
      <c r="E85" s="25" t="str">
        <f aca="false">IF($A85="","",SUMPRODUCT((반품접수!$C$3:$C$1002=$A85)*1,IFERROR(SUMIFS(처리내역!$E$3:$E$1502,처리내역!$B$3:$B$1502,반품접수!$A$3:$A$1002,처리내역!$D$3:$D$1502,"재입고"),0)))</f>
        <v/>
      </c>
      <c r="F85" s="25" t="str">
        <f aca="false">IF($A85="","",SUMPRODUCT((반품접수!$C$3:$C$1002=$A85)*1,IFERROR(SUMIFS(처리내역!$E$3:$E$1502,처리내역!$B$3:$B$1502,반품접수!$A$3:$A$1002,처리내역!$D$3:$D$1502,"폐기"),0)))</f>
        <v/>
      </c>
      <c r="G85" s="26" t="str">
        <f aca="false">IF($A85="","",IF($B85=0,"",($B85-$D85)/$B85))</f>
        <v/>
      </c>
    </row>
    <row r="86" customFormat="false" ht="15" hidden="false" customHeight="true" outlineLevel="0" collapsed="false">
      <c r="A86" s="12" t="str">
        <f aca="false">IF(거래처목록!$A83="","",거래처목록!$A83)</f>
        <v/>
      </c>
      <c r="B86" s="25" t="str">
        <f aca="false">IF($A86="","",COUNTIFS(반품접수!$C$3:$C$1002,$A86,반품접수!$B$3:$B$1002,"&gt;="&amp;DATE($B$3,1,1),반품접수!$B$3:$B$1002,"&lt;="&amp;DATE($B$3,12,31)))</f>
        <v/>
      </c>
      <c r="C86" s="25" t="str">
        <f aca="false">IF($A86="","",SUMIFS(반품접수!$I$3:$I$1002,반품접수!$C$3:$C$1002,$A86,반품접수!$B$3:$B$1002,"&gt;="&amp;DATE($B$3,1,1),반품접수!$B$3:$B$1002,"&lt;="&amp;DATE($B$3,12,31)))</f>
        <v/>
      </c>
      <c r="D86" s="25" t="str">
        <f aca="false">IF($A86="","",COUNTIFS(반품접수!$C$3:$C$1002,$A86,반품접수!$O$3:$O$1002,"미처리",반품접수!$B$3:$B$1002,"&gt;="&amp;DATE($B$3,1,1),반품접수!$B$3:$B$1002,"&lt;="&amp;DATE($B$3,12,31))+COUNTIFS(반품접수!$C$3:$C$1002,$A86,반품접수!$O$3:$O$1002,"부분처리",반품접수!$B$3:$B$1002,"&gt;="&amp;DATE($B$3,1,1),반품접수!$B$3:$B$1002,"&lt;="&amp;DATE($B$3,12,31)))</f>
        <v/>
      </c>
      <c r="E86" s="25" t="str">
        <f aca="false">IF($A86="","",SUMPRODUCT((반품접수!$C$3:$C$1002=$A86)*1,IFERROR(SUMIFS(처리내역!$E$3:$E$1502,처리내역!$B$3:$B$1502,반품접수!$A$3:$A$1002,처리내역!$D$3:$D$1502,"재입고"),0)))</f>
        <v/>
      </c>
      <c r="F86" s="25" t="str">
        <f aca="false">IF($A86="","",SUMPRODUCT((반품접수!$C$3:$C$1002=$A86)*1,IFERROR(SUMIFS(처리내역!$E$3:$E$1502,처리내역!$B$3:$B$1502,반품접수!$A$3:$A$1002,처리내역!$D$3:$D$1502,"폐기"),0)))</f>
        <v/>
      </c>
      <c r="G86" s="26" t="str">
        <f aca="false">IF($A86="","",IF($B86=0,"",($B86-$D86)/$B86))</f>
        <v/>
      </c>
    </row>
    <row r="87" customFormat="false" ht="15" hidden="false" customHeight="true" outlineLevel="0" collapsed="false">
      <c r="A87" s="12" t="str">
        <f aca="false">IF(거래처목록!$A84="","",거래처목록!$A84)</f>
        <v/>
      </c>
      <c r="B87" s="25" t="str">
        <f aca="false">IF($A87="","",COUNTIFS(반품접수!$C$3:$C$1002,$A87,반품접수!$B$3:$B$1002,"&gt;="&amp;DATE($B$3,1,1),반품접수!$B$3:$B$1002,"&lt;="&amp;DATE($B$3,12,31)))</f>
        <v/>
      </c>
      <c r="C87" s="25" t="str">
        <f aca="false">IF($A87="","",SUMIFS(반품접수!$I$3:$I$1002,반품접수!$C$3:$C$1002,$A87,반품접수!$B$3:$B$1002,"&gt;="&amp;DATE($B$3,1,1),반품접수!$B$3:$B$1002,"&lt;="&amp;DATE($B$3,12,31)))</f>
        <v/>
      </c>
      <c r="D87" s="25" t="str">
        <f aca="false">IF($A87="","",COUNTIFS(반품접수!$C$3:$C$1002,$A87,반품접수!$O$3:$O$1002,"미처리",반품접수!$B$3:$B$1002,"&gt;="&amp;DATE($B$3,1,1),반품접수!$B$3:$B$1002,"&lt;="&amp;DATE($B$3,12,31))+COUNTIFS(반품접수!$C$3:$C$1002,$A87,반품접수!$O$3:$O$1002,"부분처리",반품접수!$B$3:$B$1002,"&gt;="&amp;DATE($B$3,1,1),반품접수!$B$3:$B$1002,"&lt;="&amp;DATE($B$3,12,31)))</f>
        <v/>
      </c>
      <c r="E87" s="25" t="str">
        <f aca="false">IF($A87="","",SUMPRODUCT((반품접수!$C$3:$C$1002=$A87)*1,IFERROR(SUMIFS(처리내역!$E$3:$E$1502,처리내역!$B$3:$B$1502,반품접수!$A$3:$A$1002,처리내역!$D$3:$D$1502,"재입고"),0)))</f>
        <v/>
      </c>
      <c r="F87" s="25" t="str">
        <f aca="false">IF($A87="","",SUMPRODUCT((반품접수!$C$3:$C$1002=$A87)*1,IFERROR(SUMIFS(처리내역!$E$3:$E$1502,처리내역!$B$3:$B$1502,반품접수!$A$3:$A$1002,처리내역!$D$3:$D$1502,"폐기"),0)))</f>
        <v/>
      </c>
      <c r="G87" s="26" t="str">
        <f aca="false">IF($A87="","",IF($B87=0,"",($B87-$D87)/$B87))</f>
        <v/>
      </c>
    </row>
    <row r="88" customFormat="false" ht="15" hidden="false" customHeight="true" outlineLevel="0" collapsed="false">
      <c r="A88" s="12" t="str">
        <f aca="false">IF(거래처목록!$A85="","",거래처목록!$A85)</f>
        <v/>
      </c>
      <c r="B88" s="25" t="str">
        <f aca="false">IF($A88="","",COUNTIFS(반품접수!$C$3:$C$1002,$A88,반품접수!$B$3:$B$1002,"&gt;="&amp;DATE($B$3,1,1),반품접수!$B$3:$B$1002,"&lt;="&amp;DATE($B$3,12,31)))</f>
        <v/>
      </c>
      <c r="C88" s="25" t="str">
        <f aca="false">IF($A88="","",SUMIFS(반품접수!$I$3:$I$1002,반품접수!$C$3:$C$1002,$A88,반품접수!$B$3:$B$1002,"&gt;="&amp;DATE($B$3,1,1),반품접수!$B$3:$B$1002,"&lt;="&amp;DATE($B$3,12,31)))</f>
        <v/>
      </c>
      <c r="D88" s="25" t="str">
        <f aca="false">IF($A88="","",COUNTIFS(반품접수!$C$3:$C$1002,$A88,반품접수!$O$3:$O$1002,"미처리",반품접수!$B$3:$B$1002,"&gt;="&amp;DATE($B$3,1,1),반품접수!$B$3:$B$1002,"&lt;="&amp;DATE($B$3,12,31))+COUNTIFS(반품접수!$C$3:$C$1002,$A88,반품접수!$O$3:$O$1002,"부분처리",반품접수!$B$3:$B$1002,"&gt;="&amp;DATE($B$3,1,1),반품접수!$B$3:$B$1002,"&lt;="&amp;DATE($B$3,12,31)))</f>
        <v/>
      </c>
      <c r="E88" s="25" t="str">
        <f aca="false">IF($A88="","",SUMPRODUCT((반품접수!$C$3:$C$1002=$A88)*1,IFERROR(SUMIFS(처리내역!$E$3:$E$1502,처리내역!$B$3:$B$1502,반품접수!$A$3:$A$1002,처리내역!$D$3:$D$1502,"재입고"),0)))</f>
        <v/>
      </c>
      <c r="F88" s="25" t="str">
        <f aca="false">IF($A88="","",SUMPRODUCT((반품접수!$C$3:$C$1002=$A88)*1,IFERROR(SUMIFS(처리내역!$E$3:$E$1502,처리내역!$B$3:$B$1502,반품접수!$A$3:$A$1002,처리내역!$D$3:$D$1502,"폐기"),0)))</f>
        <v/>
      </c>
      <c r="G88" s="26" t="str">
        <f aca="false">IF($A88="","",IF($B88=0,"",($B88-$D88)/$B88))</f>
        <v/>
      </c>
    </row>
    <row r="89" customFormat="false" ht="15" hidden="false" customHeight="true" outlineLevel="0" collapsed="false">
      <c r="A89" s="12" t="str">
        <f aca="false">IF(거래처목록!$A86="","",거래처목록!$A86)</f>
        <v/>
      </c>
      <c r="B89" s="25" t="str">
        <f aca="false">IF($A89="","",COUNTIFS(반품접수!$C$3:$C$1002,$A89,반품접수!$B$3:$B$1002,"&gt;="&amp;DATE($B$3,1,1),반품접수!$B$3:$B$1002,"&lt;="&amp;DATE($B$3,12,31)))</f>
        <v/>
      </c>
      <c r="C89" s="25" t="str">
        <f aca="false">IF($A89="","",SUMIFS(반품접수!$I$3:$I$1002,반품접수!$C$3:$C$1002,$A89,반품접수!$B$3:$B$1002,"&gt;="&amp;DATE($B$3,1,1),반품접수!$B$3:$B$1002,"&lt;="&amp;DATE($B$3,12,31)))</f>
        <v/>
      </c>
      <c r="D89" s="25" t="str">
        <f aca="false">IF($A89="","",COUNTIFS(반품접수!$C$3:$C$1002,$A89,반품접수!$O$3:$O$1002,"미처리",반품접수!$B$3:$B$1002,"&gt;="&amp;DATE($B$3,1,1),반품접수!$B$3:$B$1002,"&lt;="&amp;DATE($B$3,12,31))+COUNTIFS(반품접수!$C$3:$C$1002,$A89,반품접수!$O$3:$O$1002,"부분처리",반품접수!$B$3:$B$1002,"&gt;="&amp;DATE($B$3,1,1),반품접수!$B$3:$B$1002,"&lt;="&amp;DATE($B$3,12,31)))</f>
        <v/>
      </c>
      <c r="E89" s="25" t="str">
        <f aca="false">IF($A89="","",SUMPRODUCT((반품접수!$C$3:$C$1002=$A89)*1,IFERROR(SUMIFS(처리내역!$E$3:$E$1502,처리내역!$B$3:$B$1502,반품접수!$A$3:$A$1002,처리내역!$D$3:$D$1502,"재입고"),0)))</f>
        <v/>
      </c>
      <c r="F89" s="25" t="str">
        <f aca="false">IF($A89="","",SUMPRODUCT((반품접수!$C$3:$C$1002=$A89)*1,IFERROR(SUMIFS(처리내역!$E$3:$E$1502,처리내역!$B$3:$B$1502,반품접수!$A$3:$A$1002,처리내역!$D$3:$D$1502,"폐기"),0)))</f>
        <v/>
      </c>
      <c r="G89" s="26" t="str">
        <f aca="false">IF($A89="","",IF($B89=0,"",($B89-$D89)/$B89))</f>
        <v/>
      </c>
    </row>
    <row r="90" customFormat="false" ht="15" hidden="false" customHeight="true" outlineLevel="0" collapsed="false">
      <c r="A90" s="12" t="str">
        <f aca="false">IF(거래처목록!$A87="","",거래처목록!$A87)</f>
        <v/>
      </c>
      <c r="B90" s="25" t="str">
        <f aca="false">IF($A90="","",COUNTIFS(반품접수!$C$3:$C$1002,$A90,반품접수!$B$3:$B$1002,"&gt;="&amp;DATE($B$3,1,1),반품접수!$B$3:$B$1002,"&lt;="&amp;DATE($B$3,12,31)))</f>
        <v/>
      </c>
      <c r="C90" s="25" t="str">
        <f aca="false">IF($A90="","",SUMIFS(반품접수!$I$3:$I$1002,반품접수!$C$3:$C$1002,$A90,반품접수!$B$3:$B$1002,"&gt;="&amp;DATE($B$3,1,1),반품접수!$B$3:$B$1002,"&lt;="&amp;DATE($B$3,12,31)))</f>
        <v/>
      </c>
      <c r="D90" s="25" t="str">
        <f aca="false">IF($A90="","",COUNTIFS(반품접수!$C$3:$C$1002,$A90,반품접수!$O$3:$O$1002,"미처리",반품접수!$B$3:$B$1002,"&gt;="&amp;DATE($B$3,1,1),반품접수!$B$3:$B$1002,"&lt;="&amp;DATE($B$3,12,31))+COUNTIFS(반품접수!$C$3:$C$1002,$A90,반품접수!$O$3:$O$1002,"부분처리",반품접수!$B$3:$B$1002,"&gt;="&amp;DATE($B$3,1,1),반품접수!$B$3:$B$1002,"&lt;="&amp;DATE($B$3,12,31)))</f>
        <v/>
      </c>
      <c r="E90" s="25" t="str">
        <f aca="false">IF($A90="","",SUMPRODUCT((반품접수!$C$3:$C$1002=$A90)*1,IFERROR(SUMIFS(처리내역!$E$3:$E$1502,처리내역!$B$3:$B$1502,반품접수!$A$3:$A$1002,처리내역!$D$3:$D$1502,"재입고"),0)))</f>
        <v/>
      </c>
      <c r="F90" s="25" t="str">
        <f aca="false">IF($A90="","",SUMPRODUCT((반품접수!$C$3:$C$1002=$A90)*1,IFERROR(SUMIFS(처리내역!$E$3:$E$1502,처리내역!$B$3:$B$1502,반품접수!$A$3:$A$1002,처리내역!$D$3:$D$1502,"폐기"),0)))</f>
        <v/>
      </c>
      <c r="G90" s="26" t="str">
        <f aca="false">IF($A90="","",IF($B90=0,"",($B90-$D90)/$B90))</f>
        <v/>
      </c>
    </row>
    <row r="91" customFormat="false" ht="15" hidden="false" customHeight="true" outlineLevel="0" collapsed="false">
      <c r="A91" s="12" t="str">
        <f aca="false">IF(거래처목록!$A88="","",거래처목록!$A88)</f>
        <v/>
      </c>
      <c r="B91" s="25" t="str">
        <f aca="false">IF($A91="","",COUNTIFS(반품접수!$C$3:$C$1002,$A91,반품접수!$B$3:$B$1002,"&gt;="&amp;DATE($B$3,1,1),반품접수!$B$3:$B$1002,"&lt;="&amp;DATE($B$3,12,31)))</f>
        <v/>
      </c>
      <c r="C91" s="25" t="str">
        <f aca="false">IF($A91="","",SUMIFS(반품접수!$I$3:$I$1002,반품접수!$C$3:$C$1002,$A91,반품접수!$B$3:$B$1002,"&gt;="&amp;DATE($B$3,1,1),반품접수!$B$3:$B$1002,"&lt;="&amp;DATE($B$3,12,31)))</f>
        <v/>
      </c>
      <c r="D91" s="25" t="str">
        <f aca="false">IF($A91="","",COUNTIFS(반품접수!$C$3:$C$1002,$A91,반품접수!$O$3:$O$1002,"미처리",반품접수!$B$3:$B$1002,"&gt;="&amp;DATE($B$3,1,1),반품접수!$B$3:$B$1002,"&lt;="&amp;DATE($B$3,12,31))+COUNTIFS(반품접수!$C$3:$C$1002,$A91,반품접수!$O$3:$O$1002,"부분처리",반품접수!$B$3:$B$1002,"&gt;="&amp;DATE($B$3,1,1),반품접수!$B$3:$B$1002,"&lt;="&amp;DATE($B$3,12,31)))</f>
        <v/>
      </c>
      <c r="E91" s="25" t="str">
        <f aca="false">IF($A91="","",SUMPRODUCT((반품접수!$C$3:$C$1002=$A91)*1,IFERROR(SUMIFS(처리내역!$E$3:$E$1502,처리내역!$B$3:$B$1502,반품접수!$A$3:$A$1002,처리내역!$D$3:$D$1502,"재입고"),0)))</f>
        <v/>
      </c>
      <c r="F91" s="25" t="str">
        <f aca="false">IF($A91="","",SUMPRODUCT((반품접수!$C$3:$C$1002=$A91)*1,IFERROR(SUMIFS(처리내역!$E$3:$E$1502,처리내역!$B$3:$B$1502,반품접수!$A$3:$A$1002,처리내역!$D$3:$D$1502,"폐기"),0)))</f>
        <v/>
      </c>
      <c r="G91" s="26" t="str">
        <f aca="false">IF($A91="","",IF($B91=0,"",($B91-$D91)/$B91))</f>
        <v/>
      </c>
    </row>
    <row r="92" customFormat="false" ht="15" hidden="false" customHeight="true" outlineLevel="0" collapsed="false">
      <c r="A92" s="12" t="str">
        <f aca="false">IF(거래처목록!$A89="","",거래처목록!$A89)</f>
        <v/>
      </c>
      <c r="B92" s="25" t="str">
        <f aca="false">IF($A92="","",COUNTIFS(반품접수!$C$3:$C$1002,$A92,반품접수!$B$3:$B$1002,"&gt;="&amp;DATE($B$3,1,1),반품접수!$B$3:$B$1002,"&lt;="&amp;DATE($B$3,12,31)))</f>
        <v/>
      </c>
      <c r="C92" s="25" t="str">
        <f aca="false">IF($A92="","",SUMIFS(반품접수!$I$3:$I$1002,반품접수!$C$3:$C$1002,$A92,반품접수!$B$3:$B$1002,"&gt;="&amp;DATE($B$3,1,1),반품접수!$B$3:$B$1002,"&lt;="&amp;DATE($B$3,12,31)))</f>
        <v/>
      </c>
      <c r="D92" s="25" t="str">
        <f aca="false">IF($A92="","",COUNTIFS(반품접수!$C$3:$C$1002,$A92,반품접수!$O$3:$O$1002,"미처리",반품접수!$B$3:$B$1002,"&gt;="&amp;DATE($B$3,1,1),반품접수!$B$3:$B$1002,"&lt;="&amp;DATE($B$3,12,31))+COUNTIFS(반품접수!$C$3:$C$1002,$A92,반품접수!$O$3:$O$1002,"부분처리",반품접수!$B$3:$B$1002,"&gt;="&amp;DATE($B$3,1,1),반품접수!$B$3:$B$1002,"&lt;="&amp;DATE($B$3,12,31)))</f>
        <v/>
      </c>
      <c r="E92" s="25" t="str">
        <f aca="false">IF($A92="","",SUMPRODUCT((반품접수!$C$3:$C$1002=$A92)*1,IFERROR(SUMIFS(처리내역!$E$3:$E$1502,처리내역!$B$3:$B$1502,반품접수!$A$3:$A$1002,처리내역!$D$3:$D$1502,"재입고"),0)))</f>
        <v/>
      </c>
      <c r="F92" s="25" t="str">
        <f aca="false">IF($A92="","",SUMPRODUCT((반품접수!$C$3:$C$1002=$A92)*1,IFERROR(SUMIFS(처리내역!$E$3:$E$1502,처리내역!$B$3:$B$1502,반품접수!$A$3:$A$1002,처리내역!$D$3:$D$1502,"폐기"),0)))</f>
        <v/>
      </c>
      <c r="G92" s="26" t="str">
        <f aca="false">IF($A92="","",IF($B92=0,"",($B92-$D92)/$B92))</f>
        <v/>
      </c>
    </row>
    <row r="93" customFormat="false" ht="15" hidden="false" customHeight="true" outlineLevel="0" collapsed="false">
      <c r="A93" s="12" t="str">
        <f aca="false">IF(거래처목록!$A90="","",거래처목록!$A90)</f>
        <v/>
      </c>
      <c r="B93" s="25" t="str">
        <f aca="false">IF($A93="","",COUNTIFS(반품접수!$C$3:$C$1002,$A93,반품접수!$B$3:$B$1002,"&gt;="&amp;DATE($B$3,1,1),반품접수!$B$3:$B$1002,"&lt;="&amp;DATE($B$3,12,31)))</f>
        <v/>
      </c>
      <c r="C93" s="25" t="str">
        <f aca="false">IF($A93="","",SUMIFS(반품접수!$I$3:$I$1002,반품접수!$C$3:$C$1002,$A93,반품접수!$B$3:$B$1002,"&gt;="&amp;DATE($B$3,1,1),반품접수!$B$3:$B$1002,"&lt;="&amp;DATE($B$3,12,31)))</f>
        <v/>
      </c>
      <c r="D93" s="25" t="str">
        <f aca="false">IF($A93="","",COUNTIFS(반품접수!$C$3:$C$1002,$A93,반품접수!$O$3:$O$1002,"미처리",반품접수!$B$3:$B$1002,"&gt;="&amp;DATE($B$3,1,1),반품접수!$B$3:$B$1002,"&lt;="&amp;DATE($B$3,12,31))+COUNTIFS(반품접수!$C$3:$C$1002,$A93,반품접수!$O$3:$O$1002,"부분처리",반품접수!$B$3:$B$1002,"&gt;="&amp;DATE($B$3,1,1),반품접수!$B$3:$B$1002,"&lt;="&amp;DATE($B$3,12,31)))</f>
        <v/>
      </c>
      <c r="E93" s="25" t="str">
        <f aca="false">IF($A93="","",SUMPRODUCT((반품접수!$C$3:$C$1002=$A93)*1,IFERROR(SUMIFS(처리내역!$E$3:$E$1502,처리내역!$B$3:$B$1502,반품접수!$A$3:$A$1002,처리내역!$D$3:$D$1502,"재입고"),0)))</f>
        <v/>
      </c>
      <c r="F93" s="25" t="str">
        <f aca="false">IF($A93="","",SUMPRODUCT((반품접수!$C$3:$C$1002=$A93)*1,IFERROR(SUMIFS(처리내역!$E$3:$E$1502,처리내역!$B$3:$B$1502,반품접수!$A$3:$A$1002,처리내역!$D$3:$D$1502,"폐기"),0)))</f>
        <v/>
      </c>
      <c r="G93" s="26" t="str">
        <f aca="false">IF($A93="","",IF($B93=0,"",($B93-$D93)/$B93))</f>
        <v/>
      </c>
    </row>
    <row r="94" customFormat="false" ht="15" hidden="false" customHeight="true" outlineLevel="0" collapsed="false">
      <c r="A94" s="12" t="str">
        <f aca="false">IF(거래처목록!$A91="","",거래처목록!$A91)</f>
        <v/>
      </c>
      <c r="B94" s="25" t="str">
        <f aca="false">IF($A94="","",COUNTIFS(반품접수!$C$3:$C$1002,$A94,반품접수!$B$3:$B$1002,"&gt;="&amp;DATE($B$3,1,1),반품접수!$B$3:$B$1002,"&lt;="&amp;DATE($B$3,12,31)))</f>
        <v/>
      </c>
      <c r="C94" s="25" t="str">
        <f aca="false">IF($A94="","",SUMIFS(반품접수!$I$3:$I$1002,반품접수!$C$3:$C$1002,$A94,반품접수!$B$3:$B$1002,"&gt;="&amp;DATE($B$3,1,1),반품접수!$B$3:$B$1002,"&lt;="&amp;DATE($B$3,12,31)))</f>
        <v/>
      </c>
      <c r="D94" s="25" t="str">
        <f aca="false">IF($A94="","",COUNTIFS(반품접수!$C$3:$C$1002,$A94,반품접수!$O$3:$O$1002,"미처리",반품접수!$B$3:$B$1002,"&gt;="&amp;DATE($B$3,1,1),반품접수!$B$3:$B$1002,"&lt;="&amp;DATE($B$3,12,31))+COUNTIFS(반품접수!$C$3:$C$1002,$A94,반품접수!$O$3:$O$1002,"부분처리",반품접수!$B$3:$B$1002,"&gt;="&amp;DATE($B$3,1,1),반품접수!$B$3:$B$1002,"&lt;="&amp;DATE($B$3,12,31)))</f>
        <v/>
      </c>
      <c r="E94" s="25" t="str">
        <f aca="false">IF($A94="","",SUMPRODUCT((반품접수!$C$3:$C$1002=$A94)*1,IFERROR(SUMIFS(처리내역!$E$3:$E$1502,처리내역!$B$3:$B$1502,반품접수!$A$3:$A$1002,처리내역!$D$3:$D$1502,"재입고"),0)))</f>
        <v/>
      </c>
      <c r="F94" s="25" t="str">
        <f aca="false">IF($A94="","",SUMPRODUCT((반품접수!$C$3:$C$1002=$A94)*1,IFERROR(SUMIFS(처리내역!$E$3:$E$1502,처리내역!$B$3:$B$1502,반품접수!$A$3:$A$1002,처리내역!$D$3:$D$1502,"폐기"),0)))</f>
        <v/>
      </c>
      <c r="G94" s="26" t="str">
        <f aca="false">IF($A94="","",IF($B94=0,"",($B94-$D94)/$B94))</f>
        <v/>
      </c>
    </row>
    <row r="95" customFormat="false" ht="15" hidden="false" customHeight="true" outlineLevel="0" collapsed="false">
      <c r="A95" s="12" t="str">
        <f aca="false">IF(거래처목록!$A92="","",거래처목록!$A92)</f>
        <v/>
      </c>
      <c r="B95" s="25" t="str">
        <f aca="false">IF($A95="","",COUNTIFS(반품접수!$C$3:$C$1002,$A95,반품접수!$B$3:$B$1002,"&gt;="&amp;DATE($B$3,1,1),반품접수!$B$3:$B$1002,"&lt;="&amp;DATE($B$3,12,31)))</f>
        <v/>
      </c>
      <c r="C95" s="25" t="str">
        <f aca="false">IF($A95="","",SUMIFS(반품접수!$I$3:$I$1002,반품접수!$C$3:$C$1002,$A95,반품접수!$B$3:$B$1002,"&gt;="&amp;DATE($B$3,1,1),반품접수!$B$3:$B$1002,"&lt;="&amp;DATE($B$3,12,31)))</f>
        <v/>
      </c>
      <c r="D95" s="25" t="str">
        <f aca="false">IF($A95="","",COUNTIFS(반품접수!$C$3:$C$1002,$A95,반품접수!$O$3:$O$1002,"미처리",반품접수!$B$3:$B$1002,"&gt;="&amp;DATE($B$3,1,1),반품접수!$B$3:$B$1002,"&lt;="&amp;DATE($B$3,12,31))+COUNTIFS(반품접수!$C$3:$C$1002,$A95,반품접수!$O$3:$O$1002,"부분처리",반품접수!$B$3:$B$1002,"&gt;="&amp;DATE($B$3,1,1),반품접수!$B$3:$B$1002,"&lt;="&amp;DATE($B$3,12,31)))</f>
        <v/>
      </c>
      <c r="E95" s="25" t="str">
        <f aca="false">IF($A95="","",SUMPRODUCT((반품접수!$C$3:$C$1002=$A95)*1,IFERROR(SUMIFS(처리내역!$E$3:$E$1502,처리내역!$B$3:$B$1502,반품접수!$A$3:$A$1002,처리내역!$D$3:$D$1502,"재입고"),0)))</f>
        <v/>
      </c>
      <c r="F95" s="25" t="str">
        <f aca="false">IF($A95="","",SUMPRODUCT((반품접수!$C$3:$C$1002=$A95)*1,IFERROR(SUMIFS(처리내역!$E$3:$E$1502,처리내역!$B$3:$B$1502,반품접수!$A$3:$A$1002,처리내역!$D$3:$D$1502,"폐기"),0)))</f>
        <v/>
      </c>
      <c r="G95" s="26" t="str">
        <f aca="false">IF($A95="","",IF($B95=0,"",($B95-$D95)/$B95))</f>
        <v/>
      </c>
    </row>
    <row r="96" customFormat="false" ht="15" hidden="false" customHeight="true" outlineLevel="0" collapsed="false">
      <c r="A96" s="12" t="str">
        <f aca="false">IF(거래처목록!$A93="","",거래처목록!$A93)</f>
        <v/>
      </c>
      <c r="B96" s="25" t="str">
        <f aca="false">IF($A96="","",COUNTIFS(반품접수!$C$3:$C$1002,$A96,반품접수!$B$3:$B$1002,"&gt;="&amp;DATE($B$3,1,1),반품접수!$B$3:$B$1002,"&lt;="&amp;DATE($B$3,12,31)))</f>
        <v/>
      </c>
      <c r="C96" s="25" t="str">
        <f aca="false">IF($A96="","",SUMIFS(반품접수!$I$3:$I$1002,반품접수!$C$3:$C$1002,$A96,반품접수!$B$3:$B$1002,"&gt;="&amp;DATE($B$3,1,1),반품접수!$B$3:$B$1002,"&lt;="&amp;DATE($B$3,12,31)))</f>
        <v/>
      </c>
      <c r="D96" s="25" t="str">
        <f aca="false">IF($A96="","",COUNTIFS(반품접수!$C$3:$C$1002,$A96,반품접수!$O$3:$O$1002,"미처리",반품접수!$B$3:$B$1002,"&gt;="&amp;DATE($B$3,1,1),반품접수!$B$3:$B$1002,"&lt;="&amp;DATE($B$3,12,31))+COUNTIFS(반품접수!$C$3:$C$1002,$A96,반품접수!$O$3:$O$1002,"부분처리",반품접수!$B$3:$B$1002,"&gt;="&amp;DATE($B$3,1,1),반품접수!$B$3:$B$1002,"&lt;="&amp;DATE($B$3,12,31)))</f>
        <v/>
      </c>
      <c r="E96" s="25" t="str">
        <f aca="false">IF($A96="","",SUMPRODUCT((반품접수!$C$3:$C$1002=$A96)*1,IFERROR(SUMIFS(처리내역!$E$3:$E$1502,처리내역!$B$3:$B$1502,반품접수!$A$3:$A$1002,처리내역!$D$3:$D$1502,"재입고"),0)))</f>
        <v/>
      </c>
      <c r="F96" s="25" t="str">
        <f aca="false">IF($A96="","",SUMPRODUCT((반품접수!$C$3:$C$1002=$A96)*1,IFERROR(SUMIFS(처리내역!$E$3:$E$1502,처리내역!$B$3:$B$1502,반품접수!$A$3:$A$1002,처리내역!$D$3:$D$1502,"폐기"),0)))</f>
        <v/>
      </c>
      <c r="G96" s="26" t="str">
        <f aca="false">IF($A96="","",IF($B96=0,"",($B96-$D96)/$B96))</f>
        <v/>
      </c>
    </row>
    <row r="97" customFormat="false" ht="15" hidden="false" customHeight="true" outlineLevel="0" collapsed="false">
      <c r="A97" s="12" t="str">
        <f aca="false">IF(거래처목록!$A94="","",거래처목록!$A94)</f>
        <v/>
      </c>
      <c r="B97" s="25" t="str">
        <f aca="false">IF($A97="","",COUNTIFS(반품접수!$C$3:$C$1002,$A97,반품접수!$B$3:$B$1002,"&gt;="&amp;DATE($B$3,1,1),반품접수!$B$3:$B$1002,"&lt;="&amp;DATE($B$3,12,31)))</f>
        <v/>
      </c>
      <c r="C97" s="25" t="str">
        <f aca="false">IF($A97="","",SUMIFS(반품접수!$I$3:$I$1002,반품접수!$C$3:$C$1002,$A97,반품접수!$B$3:$B$1002,"&gt;="&amp;DATE($B$3,1,1),반품접수!$B$3:$B$1002,"&lt;="&amp;DATE($B$3,12,31)))</f>
        <v/>
      </c>
      <c r="D97" s="25" t="str">
        <f aca="false">IF($A97="","",COUNTIFS(반품접수!$C$3:$C$1002,$A97,반품접수!$O$3:$O$1002,"미처리",반품접수!$B$3:$B$1002,"&gt;="&amp;DATE($B$3,1,1),반품접수!$B$3:$B$1002,"&lt;="&amp;DATE($B$3,12,31))+COUNTIFS(반품접수!$C$3:$C$1002,$A97,반품접수!$O$3:$O$1002,"부분처리",반품접수!$B$3:$B$1002,"&gt;="&amp;DATE($B$3,1,1),반품접수!$B$3:$B$1002,"&lt;="&amp;DATE($B$3,12,31)))</f>
        <v/>
      </c>
      <c r="E97" s="25" t="str">
        <f aca="false">IF($A97="","",SUMPRODUCT((반품접수!$C$3:$C$1002=$A97)*1,IFERROR(SUMIFS(처리내역!$E$3:$E$1502,처리내역!$B$3:$B$1502,반품접수!$A$3:$A$1002,처리내역!$D$3:$D$1502,"재입고"),0)))</f>
        <v/>
      </c>
      <c r="F97" s="25" t="str">
        <f aca="false">IF($A97="","",SUMPRODUCT((반품접수!$C$3:$C$1002=$A97)*1,IFERROR(SUMIFS(처리내역!$E$3:$E$1502,처리내역!$B$3:$B$1502,반품접수!$A$3:$A$1002,처리내역!$D$3:$D$1502,"폐기"),0)))</f>
        <v/>
      </c>
      <c r="G97" s="26" t="str">
        <f aca="false">IF($A97="","",IF($B97=0,"",($B97-$D97)/$B97))</f>
        <v/>
      </c>
    </row>
    <row r="98" customFormat="false" ht="15" hidden="false" customHeight="true" outlineLevel="0" collapsed="false">
      <c r="A98" s="12" t="str">
        <f aca="false">IF(거래처목록!$A95="","",거래처목록!$A95)</f>
        <v/>
      </c>
      <c r="B98" s="25" t="str">
        <f aca="false">IF($A98="","",COUNTIFS(반품접수!$C$3:$C$1002,$A98,반품접수!$B$3:$B$1002,"&gt;="&amp;DATE($B$3,1,1),반품접수!$B$3:$B$1002,"&lt;="&amp;DATE($B$3,12,31)))</f>
        <v/>
      </c>
      <c r="C98" s="25" t="str">
        <f aca="false">IF($A98="","",SUMIFS(반품접수!$I$3:$I$1002,반품접수!$C$3:$C$1002,$A98,반품접수!$B$3:$B$1002,"&gt;="&amp;DATE($B$3,1,1),반품접수!$B$3:$B$1002,"&lt;="&amp;DATE($B$3,12,31)))</f>
        <v/>
      </c>
      <c r="D98" s="25" t="str">
        <f aca="false">IF($A98="","",COUNTIFS(반품접수!$C$3:$C$1002,$A98,반품접수!$O$3:$O$1002,"미처리",반품접수!$B$3:$B$1002,"&gt;="&amp;DATE($B$3,1,1),반품접수!$B$3:$B$1002,"&lt;="&amp;DATE($B$3,12,31))+COUNTIFS(반품접수!$C$3:$C$1002,$A98,반품접수!$O$3:$O$1002,"부분처리",반품접수!$B$3:$B$1002,"&gt;="&amp;DATE($B$3,1,1),반품접수!$B$3:$B$1002,"&lt;="&amp;DATE($B$3,12,31)))</f>
        <v/>
      </c>
      <c r="E98" s="25" t="str">
        <f aca="false">IF($A98="","",SUMPRODUCT((반품접수!$C$3:$C$1002=$A98)*1,IFERROR(SUMIFS(처리내역!$E$3:$E$1502,처리내역!$B$3:$B$1502,반품접수!$A$3:$A$1002,처리내역!$D$3:$D$1502,"재입고"),0)))</f>
        <v/>
      </c>
      <c r="F98" s="25" t="str">
        <f aca="false">IF($A98="","",SUMPRODUCT((반품접수!$C$3:$C$1002=$A98)*1,IFERROR(SUMIFS(처리내역!$E$3:$E$1502,처리내역!$B$3:$B$1502,반품접수!$A$3:$A$1002,처리내역!$D$3:$D$1502,"폐기"),0)))</f>
        <v/>
      </c>
      <c r="G98" s="26" t="str">
        <f aca="false">IF($A98="","",IF($B98=0,"",($B98-$D98)/$B98))</f>
        <v/>
      </c>
    </row>
    <row r="99" customFormat="false" ht="15" hidden="false" customHeight="true" outlineLevel="0" collapsed="false">
      <c r="A99" s="12" t="str">
        <f aca="false">IF(거래처목록!$A96="","",거래처목록!$A96)</f>
        <v/>
      </c>
      <c r="B99" s="25" t="str">
        <f aca="false">IF($A99="","",COUNTIFS(반품접수!$C$3:$C$1002,$A99,반품접수!$B$3:$B$1002,"&gt;="&amp;DATE($B$3,1,1),반품접수!$B$3:$B$1002,"&lt;="&amp;DATE($B$3,12,31)))</f>
        <v/>
      </c>
      <c r="C99" s="25" t="str">
        <f aca="false">IF($A99="","",SUMIFS(반품접수!$I$3:$I$1002,반품접수!$C$3:$C$1002,$A99,반품접수!$B$3:$B$1002,"&gt;="&amp;DATE($B$3,1,1),반품접수!$B$3:$B$1002,"&lt;="&amp;DATE($B$3,12,31)))</f>
        <v/>
      </c>
      <c r="D99" s="25" t="str">
        <f aca="false">IF($A99="","",COUNTIFS(반품접수!$C$3:$C$1002,$A99,반품접수!$O$3:$O$1002,"미처리",반품접수!$B$3:$B$1002,"&gt;="&amp;DATE($B$3,1,1),반품접수!$B$3:$B$1002,"&lt;="&amp;DATE($B$3,12,31))+COUNTIFS(반품접수!$C$3:$C$1002,$A99,반품접수!$O$3:$O$1002,"부분처리",반품접수!$B$3:$B$1002,"&gt;="&amp;DATE($B$3,1,1),반품접수!$B$3:$B$1002,"&lt;="&amp;DATE($B$3,12,31)))</f>
        <v/>
      </c>
      <c r="E99" s="25" t="str">
        <f aca="false">IF($A99="","",SUMPRODUCT((반품접수!$C$3:$C$1002=$A99)*1,IFERROR(SUMIFS(처리내역!$E$3:$E$1502,처리내역!$B$3:$B$1502,반품접수!$A$3:$A$1002,처리내역!$D$3:$D$1502,"재입고"),0)))</f>
        <v/>
      </c>
      <c r="F99" s="25" t="str">
        <f aca="false">IF($A99="","",SUMPRODUCT((반품접수!$C$3:$C$1002=$A99)*1,IFERROR(SUMIFS(처리내역!$E$3:$E$1502,처리내역!$B$3:$B$1502,반품접수!$A$3:$A$1002,처리내역!$D$3:$D$1502,"폐기"),0)))</f>
        <v/>
      </c>
      <c r="G99" s="26" t="str">
        <f aca="false">IF($A99="","",IF($B99=0,"",($B99-$D99)/$B99))</f>
        <v/>
      </c>
    </row>
    <row r="100" customFormat="false" ht="15" hidden="false" customHeight="true" outlineLevel="0" collapsed="false">
      <c r="A100" s="12" t="str">
        <f aca="false">IF(거래처목록!$A97="","",거래처목록!$A97)</f>
        <v/>
      </c>
      <c r="B100" s="25" t="str">
        <f aca="false">IF($A100="","",COUNTIFS(반품접수!$C$3:$C$1002,$A100,반품접수!$B$3:$B$1002,"&gt;="&amp;DATE($B$3,1,1),반품접수!$B$3:$B$1002,"&lt;="&amp;DATE($B$3,12,31)))</f>
        <v/>
      </c>
      <c r="C100" s="25" t="str">
        <f aca="false">IF($A100="","",SUMIFS(반품접수!$I$3:$I$1002,반품접수!$C$3:$C$1002,$A100,반품접수!$B$3:$B$1002,"&gt;="&amp;DATE($B$3,1,1),반품접수!$B$3:$B$1002,"&lt;="&amp;DATE($B$3,12,31)))</f>
        <v/>
      </c>
      <c r="D100" s="25" t="str">
        <f aca="false">IF($A100="","",COUNTIFS(반품접수!$C$3:$C$1002,$A100,반품접수!$O$3:$O$1002,"미처리",반품접수!$B$3:$B$1002,"&gt;="&amp;DATE($B$3,1,1),반품접수!$B$3:$B$1002,"&lt;="&amp;DATE($B$3,12,31))+COUNTIFS(반품접수!$C$3:$C$1002,$A100,반품접수!$O$3:$O$1002,"부분처리",반품접수!$B$3:$B$1002,"&gt;="&amp;DATE($B$3,1,1),반품접수!$B$3:$B$1002,"&lt;="&amp;DATE($B$3,12,31)))</f>
        <v/>
      </c>
      <c r="E100" s="25" t="str">
        <f aca="false">IF($A100="","",SUMPRODUCT((반품접수!$C$3:$C$1002=$A100)*1,IFERROR(SUMIFS(처리내역!$E$3:$E$1502,처리내역!$B$3:$B$1502,반품접수!$A$3:$A$1002,처리내역!$D$3:$D$1502,"재입고"),0)))</f>
        <v/>
      </c>
      <c r="F100" s="25" t="str">
        <f aca="false">IF($A100="","",SUMPRODUCT((반품접수!$C$3:$C$1002=$A100)*1,IFERROR(SUMIFS(처리내역!$E$3:$E$1502,처리내역!$B$3:$B$1502,반품접수!$A$3:$A$1002,처리내역!$D$3:$D$1502,"폐기"),0)))</f>
        <v/>
      </c>
      <c r="G100" s="26" t="str">
        <f aca="false">IF($A100="","",IF($B100=0,"",($B100-$D100)/$B100))</f>
        <v/>
      </c>
    </row>
    <row r="101" customFormat="false" ht="15" hidden="false" customHeight="true" outlineLevel="0" collapsed="false">
      <c r="A101" s="12" t="str">
        <f aca="false">IF(거래처목록!$A98="","",거래처목록!$A98)</f>
        <v/>
      </c>
      <c r="B101" s="25" t="str">
        <f aca="false">IF($A101="","",COUNTIFS(반품접수!$C$3:$C$1002,$A101,반품접수!$B$3:$B$1002,"&gt;="&amp;DATE($B$3,1,1),반품접수!$B$3:$B$1002,"&lt;="&amp;DATE($B$3,12,31)))</f>
        <v/>
      </c>
      <c r="C101" s="25" t="str">
        <f aca="false">IF($A101="","",SUMIFS(반품접수!$I$3:$I$1002,반품접수!$C$3:$C$1002,$A101,반품접수!$B$3:$B$1002,"&gt;="&amp;DATE($B$3,1,1),반품접수!$B$3:$B$1002,"&lt;="&amp;DATE($B$3,12,31)))</f>
        <v/>
      </c>
      <c r="D101" s="25" t="str">
        <f aca="false">IF($A101="","",COUNTIFS(반품접수!$C$3:$C$1002,$A101,반품접수!$O$3:$O$1002,"미처리",반품접수!$B$3:$B$1002,"&gt;="&amp;DATE($B$3,1,1),반품접수!$B$3:$B$1002,"&lt;="&amp;DATE($B$3,12,31))+COUNTIFS(반품접수!$C$3:$C$1002,$A101,반품접수!$O$3:$O$1002,"부분처리",반품접수!$B$3:$B$1002,"&gt;="&amp;DATE($B$3,1,1),반품접수!$B$3:$B$1002,"&lt;="&amp;DATE($B$3,12,31)))</f>
        <v/>
      </c>
      <c r="E101" s="25" t="str">
        <f aca="false">IF($A101="","",SUMPRODUCT((반품접수!$C$3:$C$1002=$A101)*1,IFERROR(SUMIFS(처리내역!$E$3:$E$1502,처리내역!$B$3:$B$1502,반품접수!$A$3:$A$1002,처리내역!$D$3:$D$1502,"재입고"),0)))</f>
        <v/>
      </c>
      <c r="F101" s="25" t="str">
        <f aca="false">IF($A101="","",SUMPRODUCT((반품접수!$C$3:$C$1002=$A101)*1,IFERROR(SUMIFS(처리내역!$E$3:$E$1502,처리내역!$B$3:$B$1502,반품접수!$A$3:$A$1002,처리내역!$D$3:$D$1502,"폐기"),0)))</f>
        <v/>
      </c>
      <c r="G101" s="26" t="str">
        <f aca="false">IF($A101="","",IF($B101=0,"",($B101-$D101)/$B101))</f>
        <v/>
      </c>
    </row>
    <row r="102" customFormat="false" ht="15" hidden="false" customHeight="true" outlineLevel="0" collapsed="false">
      <c r="A102" s="12" t="str">
        <f aca="false">IF(거래처목록!$A99="","",거래처목록!$A99)</f>
        <v/>
      </c>
      <c r="B102" s="25" t="str">
        <f aca="false">IF($A102="","",COUNTIFS(반품접수!$C$3:$C$1002,$A102,반품접수!$B$3:$B$1002,"&gt;="&amp;DATE($B$3,1,1),반품접수!$B$3:$B$1002,"&lt;="&amp;DATE($B$3,12,31)))</f>
        <v/>
      </c>
      <c r="C102" s="25" t="str">
        <f aca="false">IF($A102="","",SUMIFS(반품접수!$I$3:$I$1002,반품접수!$C$3:$C$1002,$A102,반품접수!$B$3:$B$1002,"&gt;="&amp;DATE($B$3,1,1),반품접수!$B$3:$B$1002,"&lt;="&amp;DATE($B$3,12,31)))</f>
        <v/>
      </c>
      <c r="D102" s="25" t="str">
        <f aca="false">IF($A102="","",COUNTIFS(반품접수!$C$3:$C$1002,$A102,반품접수!$O$3:$O$1002,"미처리",반품접수!$B$3:$B$1002,"&gt;="&amp;DATE($B$3,1,1),반품접수!$B$3:$B$1002,"&lt;="&amp;DATE($B$3,12,31))+COUNTIFS(반품접수!$C$3:$C$1002,$A102,반품접수!$O$3:$O$1002,"부분처리",반품접수!$B$3:$B$1002,"&gt;="&amp;DATE($B$3,1,1),반품접수!$B$3:$B$1002,"&lt;="&amp;DATE($B$3,12,31)))</f>
        <v/>
      </c>
      <c r="E102" s="25" t="str">
        <f aca="false">IF($A102="","",SUMPRODUCT((반품접수!$C$3:$C$1002=$A102)*1,IFERROR(SUMIFS(처리내역!$E$3:$E$1502,처리내역!$B$3:$B$1502,반품접수!$A$3:$A$1002,처리내역!$D$3:$D$1502,"재입고"),0)))</f>
        <v/>
      </c>
      <c r="F102" s="25" t="str">
        <f aca="false">IF($A102="","",SUMPRODUCT((반품접수!$C$3:$C$1002=$A102)*1,IFERROR(SUMIFS(처리내역!$E$3:$E$1502,처리내역!$B$3:$B$1502,반품접수!$A$3:$A$1002,처리내역!$D$3:$D$1502,"폐기"),0)))</f>
        <v/>
      </c>
      <c r="G102" s="26" t="str">
        <f aca="false">IF($A102="","",IF($B102=0,"",($B102-$D102)/$B102))</f>
        <v/>
      </c>
    </row>
    <row r="103" customFormat="false" ht="15" hidden="false" customHeight="true" outlineLevel="0" collapsed="false">
      <c r="A103" s="12" t="str">
        <f aca="false">IF(거래처목록!$A100="","",거래처목록!$A100)</f>
        <v/>
      </c>
      <c r="B103" s="25" t="str">
        <f aca="false">IF($A103="","",COUNTIFS(반품접수!$C$3:$C$1002,$A103,반품접수!$B$3:$B$1002,"&gt;="&amp;DATE($B$3,1,1),반품접수!$B$3:$B$1002,"&lt;="&amp;DATE($B$3,12,31)))</f>
        <v/>
      </c>
      <c r="C103" s="25" t="str">
        <f aca="false">IF($A103="","",SUMIFS(반품접수!$I$3:$I$1002,반품접수!$C$3:$C$1002,$A103,반품접수!$B$3:$B$1002,"&gt;="&amp;DATE($B$3,1,1),반품접수!$B$3:$B$1002,"&lt;="&amp;DATE($B$3,12,31)))</f>
        <v/>
      </c>
      <c r="D103" s="25" t="str">
        <f aca="false">IF($A103="","",COUNTIFS(반품접수!$C$3:$C$1002,$A103,반품접수!$O$3:$O$1002,"미처리",반품접수!$B$3:$B$1002,"&gt;="&amp;DATE($B$3,1,1),반품접수!$B$3:$B$1002,"&lt;="&amp;DATE($B$3,12,31))+COUNTIFS(반품접수!$C$3:$C$1002,$A103,반품접수!$O$3:$O$1002,"부분처리",반품접수!$B$3:$B$1002,"&gt;="&amp;DATE($B$3,1,1),반품접수!$B$3:$B$1002,"&lt;="&amp;DATE($B$3,12,31)))</f>
        <v/>
      </c>
      <c r="E103" s="25" t="str">
        <f aca="false">IF($A103="","",SUMPRODUCT((반품접수!$C$3:$C$1002=$A103)*1,IFERROR(SUMIFS(처리내역!$E$3:$E$1502,처리내역!$B$3:$B$1502,반품접수!$A$3:$A$1002,처리내역!$D$3:$D$1502,"재입고"),0)))</f>
        <v/>
      </c>
      <c r="F103" s="25" t="str">
        <f aca="false">IF($A103="","",SUMPRODUCT((반품접수!$C$3:$C$1002=$A103)*1,IFERROR(SUMIFS(처리내역!$E$3:$E$1502,처리내역!$B$3:$B$1502,반품접수!$A$3:$A$1002,처리내역!$D$3:$D$1502,"폐기"),0)))</f>
        <v/>
      </c>
      <c r="G103" s="26" t="str">
        <f aca="false">IF($A103="","",IF($B103=0,"",($B103-$D103)/$B103))</f>
        <v/>
      </c>
    </row>
    <row r="104" customFormat="false" ht="15" hidden="false" customHeight="true" outlineLevel="0" collapsed="false">
      <c r="A104" s="12" t="str">
        <f aca="false">IF(거래처목록!$A101="","",거래처목록!$A101)</f>
        <v/>
      </c>
      <c r="B104" s="25" t="str">
        <f aca="false">IF($A104="","",COUNTIFS(반품접수!$C$3:$C$1002,$A104,반품접수!$B$3:$B$1002,"&gt;="&amp;DATE($B$3,1,1),반품접수!$B$3:$B$1002,"&lt;="&amp;DATE($B$3,12,31)))</f>
        <v/>
      </c>
      <c r="C104" s="25" t="str">
        <f aca="false">IF($A104="","",SUMIFS(반품접수!$I$3:$I$1002,반품접수!$C$3:$C$1002,$A104,반품접수!$B$3:$B$1002,"&gt;="&amp;DATE($B$3,1,1),반품접수!$B$3:$B$1002,"&lt;="&amp;DATE($B$3,12,31)))</f>
        <v/>
      </c>
      <c r="D104" s="25" t="str">
        <f aca="false">IF($A104="","",COUNTIFS(반품접수!$C$3:$C$1002,$A104,반품접수!$O$3:$O$1002,"미처리",반품접수!$B$3:$B$1002,"&gt;="&amp;DATE($B$3,1,1),반품접수!$B$3:$B$1002,"&lt;="&amp;DATE($B$3,12,31))+COUNTIFS(반품접수!$C$3:$C$1002,$A104,반품접수!$O$3:$O$1002,"부분처리",반품접수!$B$3:$B$1002,"&gt;="&amp;DATE($B$3,1,1),반품접수!$B$3:$B$1002,"&lt;="&amp;DATE($B$3,12,31)))</f>
        <v/>
      </c>
      <c r="E104" s="25" t="str">
        <f aca="false">IF($A104="","",SUMPRODUCT((반품접수!$C$3:$C$1002=$A104)*1,IFERROR(SUMIFS(처리내역!$E$3:$E$1502,처리내역!$B$3:$B$1502,반품접수!$A$3:$A$1002,처리내역!$D$3:$D$1502,"재입고"),0)))</f>
        <v/>
      </c>
      <c r="F104" s="25" t="str">
        <f aca="false">IF($A104="","",SUMPRODUCT((반품접수!$C$3:$C$1002=$A104)*1,IFERROR(SUMIFS(처리내역!$E$3:$E$1502,처리내역!$B$3:$B$1502,반품접수!$A$3:$A$1002,처리내역!$D$3:$D$1502,"폐기"),0)))</f>
        <v/>
      </c>
      <c r="G104" s="26" t="str">
        <f aca="false">IF($A104="","",IF($B104=0,"",($B104-$D104)/$B104))</f>
        <v/>
      </c>
    </row>
    <row r="105" customFormat="false" ht="15" hidden="false" customHeight="true" outlineLevel="0" collapsed="false">
      <c r="A105" s="12" t="str">
        <f aca="false">IF(거래처목록!$A102="","",거래처목록!$A102)</f>
        <v/>
      </c>
      <c r="B105" s="25" t="str">
        <f aca="false">IF($A105="","",COUNTIFS(반품접수!$C$3:$C$1002,$A105,반품접수!$B$3:$B$1002,"&gt;="&amp;DATE($B$3,1,1),반품접수!$B$3:$B$1002,"&lt;="&amp;DATE($B$3,12,31)))</f>
        <v/>
      </c>
      <c r="C105" s="25" t="str">
        <f aca="false">IF($A105="","",SUMIFS(반품접수!$I$3:$I$1002,반품접수!$C$3:$C$1002,$A105,반품접수!$B$3:$B$1002,"&gt;="&amp;DATE($B$3,1,1),반품접수!$B$3:$B$1002,"&lt;="&amp;DATE($B$3,12,31)))</f>
        <v/>
      </c>
      <c r="D105" s="25" t="str">
        <f aca="false">IF($A105="","",COUNTIFS(반품접수!$C$3:$C$1002,$A105,반품접수!$O$3:$O$1002,"미처리",반품접수!$B$3:$B$1002,"&gt;="&amp;DATE($B$3,1,1),반품접수!$B$3:$B$1002,"&lt;="&amp;DATE($B$3,12,31))+COUNTIFS(반품접수!$C$3:$C$1002,$A105,반품접수!$O$3:$O$1002,"부분처리",반품접수!$B$3:$B$1002,"&gt;="&amp;DATE($B$3,1,1),반품접수!$B$3:$B$1002,"&lt;="&amp;DATE($B$3,12,31)))</f>
        <v/>
      </c>
      <c r="E105" s="25" t="str">
        <f aca="false">IF($A105="","",SUMPRODUCT((반품접수!$C$3:$C$1002=$A105)*1,IFERROR(SUMIFS(처리내역!$E$3:$E$1502,처리내역!$B$3:$B$1502,반품접수!$A$3:$A$1002,처리내역!$D$3:$D$1502,"재입고"),0)))</f>
        <v/>
      </c>
      <c r="F105" s="25" t="str">
        <f aca="false">IF($A105="","",SUMPRODUCT((반품접수!$C$3:$C$1002=$A105)*1,IFERROR(SUMIFS(처리내역!$E$3:$E$1502,처리내역!$B$3:$B$1502,반품접수!$A$3:$A$1002,처리내역!$D$3:$D$1502,"폐기"),0)))</f>
        <v/>
      </c>
      <c r="G105" s="26" t="str">
        <f aca="false">IF($A105="","",IF($B105=0,"",($B105-$D105)/$B105))</f>
        <v/>
      </c>
    </row>
    <row r="106" customFormat="false" ht="15" hidden="false" customHeight="true" outlineLevel="0" collapsed="false">
      <c r="A106" s="12" t="str">
        <f aca="false">IF(거래처목록!$A103="","",거래처목록!$A103)</f>
        <v/>
      </c>
      <c r="B106" s="25" t="str">
        <f aca="false">IF($A106="","",COUNTIFS(반품접수!$C$3:$C$1002,$A106,반품접수!$B$3:$B$1002,"&gt;="&amp;DATE($B$3,1,1),반품접수!$B$3:$B$1002,"&lt;="&amp;DATE($B$3,12,31)))</f>
        <v/>
      </c>
      <c r="C106" s="25" t="str">
        <f aca="false">IF($A106="","",SUMIFS(반품접수!$I$3:$I$1002,반품접수!$C$3:$C$1002,$A106,반품접수!$B$3:$B$1002,"&gt;="&amp;DATE($B$3,1,1),반품접수!$B$3:$B$1002,"&lt;="&amp;DATE($B$3,12,31)))</f>
        <v/>
      </c>
      <c r="D106" s="25" t="str">
        <f aca="false">IF($A106="","",COUNTIFS(반품접수!$C$3:$C$1002,$A106,반품접수!$O$3:$O$1002,"미처리",반품접수!$B$3:$B$1002,"&gt;="&amp;DATE($B$3,1,1),반품접수!$B$3:$B$1002,"&lt;="&amp;DATE($B$3,12,31))+COUNTIFS(반품접수!$C$3:$C$1002,$A106,반품접수!$O$3:$O$1002,"부분처리",반품접수!$B$3:$B$1002,"&gt;="&amp;DATE($B$3,1,1),반품접수!$B$3:$B$1002,"&lt;="&amp;DATE($B$3,12,31)))</f>
        <v/>
      </c>
      <c r="E106" s="25" t="str">
        <f aca="false">IF($A106="","",SUMPRODUCT((반품접수!$C$3:$C$1002=$A106)*1,IFERROR(SUMIFS(처리내역!$E$3:$E$1502,처리내역!$B$3:$B$1502,반품접수!$A$3:$A$1002,처리내역!$D$3:$D$1502,"재입고"),0)))</f>
        <v/>
      </c>
      <c r="F106" s="25" t="str">
        <f aca="false">IF($A106="","",SUMPRODUCT((반품접수!$C$3:$C$1002=$A106)*1,IFERROR(SUMIFS(처리내역!$E$3:$E$1502,처리내역!$B$3:$B$1502,반품접수!$A$3:$A$1002,처리내역!$D$3:$D$1502,"폐기"),0)))</f>
        <v/>
      </c>
      <c r="G106" s="26" t="str">
        <f aca="false">IF($A106="","",IF($B106=0,"",($B106-$D106)/$B106))</f>
        <v/>
      </c>
    </row>
    <row r="107" customFormat="false" ht="15" hidden="false" customHeight="true" outlineLevel="0" collapsed="false">
      <c r="A107" s="12" t="str">
        <f aca="false">IF(거래처목록!$A104="","",거래처목록!$A104)</f>
        <v/>
      </c>
      <c r="B107" s="25" t="str">
        <f aca="false">IF($A107="","",COUNTIFS(반품접수!$C$3:$C$1002,$A107,반품접수!$B$3:$B$1002,"&gt;="&amp;DATE($B$3,1,1),반품접수!$B$3:$B$1002,"&lt;="&amp;DATE($B$3,12,31)))</f>
        <v/>
      </c>
      <c r="C107" s="25" t="str">
        <f aca="false">IF($A107="","",SUMIFS(반품접수!$I$3:$I$1002,반품접수!$C$3:$C$1002,$A107,반품접수!$B$3:$B$1002,"&gt;="&amp;DATE($B$3,1,1),반품접수!$B$3:$B$1002,"&lt;="&amp;DATE($B$3,12,31)))</f>
        <v/>
      </c>
      <c r="D107" s="25" t="str">
        <f aca="false">IF($A107="","",COUNTIFS(반품접수!$C$3:$C$1002,$A107,반품접수!$O$3:$O$1002,"미처리",반품접수!$B$3:$B$1002,"&gt;="&amp;DATE($B$3,1,1),반품접수!$B$3:$B$1002,"&lt;="&amp;DATE($B$3,12,31))+COUNTIFS(반품접수!$C$3:$C$1002,$A107,반품접수!$O$3:$O$1002,"부분처리",반품접수!$B$3:$B$1002,"&gt;="&amp;DATE($B$3,1,1),반품접수!$B$3:$B$1002,"&lt;="&amp;DATE($B$3,12,31)))</f>
        <v/>
      </c>
      <c r="E107" s="25" t="str">
        <f aca="false">IF($A107="","",SUMPRODUCT((반품접수!$C$3:$C$1002=$A107)*1,IFERROR(SUMIFS(처리내역!$E$3:$E$1502,처리내역!$B$3:$B$1502,반품접수!$A$3:$A$1002,처리내역!$D$3:$D$1502,"재입고"),0)))</f>
        <v/>
      </c>
      <c r="F107" s="25" t="str">
        <f aca="false">IF($A107="","",SUMPRODUCT((반품접수!$C$3:$C$1002=$A107)*1,IFERROR(SUMIFS(처리내역!$E$3:$E$1502,처리내역!$B$3:$B$1502,반품접수!$A$3:$A$1002,처리내역!$D$3:$D$1502,"폐기"),0)))</f>
        <v/>
      </c>
      <c r="G107" s="26" t="str">
        <f aca="false">IF($A107="","",IF($B107=0,"",($B107-$D107)/$B107))</f>
        <v/>
      </c>
    </row>
    <row r="108" customFormat="false" ht="15" hidden="false" customHeight="true" outlineLevel="0" collapsed="false">
      <c r="A108" s="12" t="str">
        <f aca="false">IF(거래처목록!$A105="","",거래처목록!$A105)</f>
        <v/>
      </c>
      <c r="B108" s="25" t="str">
        <f aca="false">IF($A108="","",COUNTIFS(반품접수!$C$3:$C$1002,$A108,반품접수!$B$3:$B$1002,"&gt;="&amp;DATE($B$3,1,1),반품접수!$B$3:$B$1002,"&lt;="&amp;DATE($B$3,12,31)))</f>
        <v/>
      </c>
      <c r="C108" s="25" t="str">
        <f aca="false">IF($A108="","",SUMIFS(반품접수!$I$3:$I$1002,반품접수!$C$3:$C$1002,$A108,반품접수!$B$3:$B$1002,"&gt;="&amp;DATE($B$3,1,1),반품접수!$B$3:$B$1002,"&lt;="&amp;DATE($B$3,12,31)))</f>
        <v/>
      </c>
      <c r="D108" s="25" t="str">
        <f aca="false">IF($A108="","",COUNTIFS(반품접수!$C$3:$C$1002,$A108,반품접수!$O$3:$O$1002,"미처리",반품접수!$B$3:$B$1002,"&gt;="&amp;DATE($B$3,1,1),반품접수!$B$3:$B$1002,"&lt;="&amp;DATE($B$3,12,31))+COUNTIFS(반품접수!$C$3:$C$1002,$A108,반품접수!$O$3:$O$1002,"부분처리",반품접수!$B$3:$B$1002,"&gt;="&amp;DATE($B$3,1,1),반품접수!$B$3:$B$1002,"&lt;="&amp;DATE($B$3,12,31)))</f>
        <v/>
      </c>
      <c r="E108" s="25" t="str">
        <f aca="false">IF($A108="","",SUMPRODUCT((반품접수!$C$3:$C$1002=$A108)*1,IFERROR(SUMIFS(처리내역!$E$3:$E$1502,처리내역!$B$3:$B$1502,반품접수!$A$3:$A$1002,처리내역!$D$3:$D$1502,"재입고"),0)))</f>
        <v/>
      </c>
      <c r="F108" s="25" t="str">
        <f aca="false">IF($A108="","",SUMPRODUCT((반품접수!$C$3:$C$1002=$A108)*1,IFERROR(SUMIFS(처리내역!$E$3:$E$1502,처리내역!$B$3:$B$1502,반품접수!$A$3:$A$1002,처리내역!$D$3:$D$1502,"폐기"),0)))</f>
        <v/>
      </c>
      <c r="G108" s="26" t="str">
        <f aca="false">IF($A108="","",IF($B108=0,"",($B108-$D108)/$B108))</f>
        <v/>
      </c>
    </row>
    <row r="109" customFormat="false" ht="15" hidden="false" customHeight="true" outlineLevel="0" collapsed="false">
      <c r="A109" s="12" t="str">
        <f aca="false">IF(거래처목록!$A106="","",거래처목록!$A106)</f>
        <v/>
      </c>
      <c r="B109" s="25" t="str">
        <f aca="false">IF($A109="","",COUNTIFS(반품접수!$C$3:$C$1002,$A109,반품접수!$B$3:$B$1002,"&gt;="&amp;DATE($B$3,1,1),반품접수!$B$3:$B$1002,"&lt;="&amp;DATE($B$3,12,31)))</f>
        <v/>
      </c>
      <c r="C109" s="25" t="str">
        <f aca="false">IF($A109="","",SUMIFS(반품접수!$I$3:$I$1002,반품접수!$C$3:$C$1002,$A109,반품접수!$B$3:$B$1002,"&gt;="&amp;DATE($B$3,1,1),반품접수!$B$3:$B$1002,"&lt;="&amp;DATE($B$3,12,31)))</f>
        <v/>
      </c>
      <c r="D109" s="25" t="str">
        <f aca="false">IF($A109="","",COUNTIFS(반품접수!$C$3:$C$1002,$A109,반품접수!$O$3:$O$1002,"미처리",반품접수!$B$3:$B$1002,"&gt;="&amp;DATE($B$3,1,1),반품접수!$B$3:$B$1002,"&lt;="&amp;DATE($B$3,12,31))+COUNTIFS(반품접수!$C$3:$C$1002,$A109,반품접수!$O$3:$O$1002,"부분처리",반품접수!$B$3:$B$1002,"&gt;="&amp;DATE($B$3,1,1),반품접수!$B$3:$B$1002,"&lt;="&amp;DATE($B$3,12,31)))</f>
        <v/>
      </c>
      <c r="E109" s="25" t="str">
        <f aca="false">IF($A109="","",SUMPRODUCT((반품접수!$C$3:$C$1002=$A109)*1,IFERROR(SUMIFS(처리내역!$E$3:$E$1502,처리내역!$B$3:$B$1502,반품접수!$A$3:$A$1002,처리내역!$D$3:$D$1502,"재입고"),0)))</f>
        <v/>
      </c>
      <c r="F109" s="25" t="str">
        <f aca="false">IF($A109="","",SUMPRODUCT((반품접수!$C$3:$C$1002=$A109)*1,IFERROR(SUMIFS(처리내역!$E$3:$E$1502,처리내역!$B$3:$B$1502,반품접수!$A$3:$A$1002,처리내역!$D$3:$D$1502,"폐기"),0)))</f>
        <v/>
      </c>
      <c r="G109" s="26" t="str">
        <f aca="false">IF($A109="","",IF($B109=0,"",($B109-$D109)/$B109))</f>
        <v/>
      </c>
    </row>
    <row r="110" customFormat="false" ht="15" hidden="false" customHeight="true" outlineLevel="0" collapsed="false">
      <c r="A110" s="12" t="str">
        <f aca="false">IF(거래처목록!$A107="","",거래처목록!$A107)</f>
        <v/>
      </c>
      <c r="B110" s="25" t="str">
        <f aca="false">IF($A110="","",COUNTIFS(반품접수!$C$3:$C$1002,$A110,반품접수!$B$3:$B$1002,"&gt;="&amp;DATE($B$3,1,1),반품접수!$B$3:$B$1002,"&lt;="&amp;DATE($B$3,12,31)))</f>
        <v/>
      </c>
      <c r="C110" s="25" t="str">
        <f aca="false">IF($A110="","",SUMIFS(반품접수!$I$3:$I$1002,반품접수!$C$3:$C$1002,$A110,반품접수!$B$3:$B$1002,"&gt;="&amp;DATE($B$3,1,1),반품접수!$B$3:$B$1002,"&lt;="&amp;DATE($B$3,12,31)))</f>
        <v/>
      </c>
      <c r="D110" s="25" t="str">
        <f aca="false">IF($A110="","",COUNTIFS(반품접수!$C$3:$C$1002,$A110,반품접수!$O$3:$O$1002,"미처리",반품접수!$B$3:$B$1002,"&gt;="&amp;DATE($B$3,1,1),반품접수!$B$3:$B$1002,"&lt;="&amp;DATE($B$3,12,31))+COUNTIFS(반품접수!$C$3:$C$1002,$A110,반품접수!$O$3:$O$1002,"부분처리",반품접수!$B$3:$B$1002,"&gt;="&amp;DATE($B$3,1,1),반품접수!$B$3:$B$1002,"&lt;="&amp;DATE($B$3,12,31)))</f>
        <v/>
      </c>
      <c r="E110" s="25" t="str">
        <f aca="false">IF($A110="","",SUMPRODUCT((반품접수!$C$3:$C$1002=$A110)*1,IFERROR(SUMIFS(처리내역!$E$3:$E$1502,처리내역!$B$3:$B$1502,반품접수!$A$3:$A$1002,처리내역!$D$3:$D$1502,"재입고"),0)))</f>
        <v/>
      </c>
      <c r="F110" s="25" t="str">
        <f aca="false">IF($A110="","",SUMPRODUCT((반품접수!$C$3:$C$1002=$A110)*1,IFERROR(SUMIFS(처리내역!$E$3:$E$1502,처리내역!$B$3:$B$1502,반품접수!$A$3:$A$1002,처리내역!$D$3:$D$1502,"폐기"),0)))</f>
        <v/>
      </c>
      <c r="G110" s="26" t="str">
        <f aca="false">IF($A110="","",IF($B110=0,"",($B110-$D110)/$B110))</f>
        <v/>
      </c>
    </row>
    <row r="111" customFormat="false" ht="15" hidden="false" customHeight="true" outlineLevel="0" collapsed="false">
      <c r="A111" s="12" t="str">
        <f aca="false">IF(거래처목록!$A108="","",거래처목록!$A108)</f>
        <v/>
      </c>
      <c r="B111" s="25" t="str">
        <f aca="false">IF($A111="","",COUNTIFS(반품접수!$C$3:$C$1002,$A111,반품접수!$B$3:$B$1002,"&gt;="&amp;DATE($B$3,1,1),반품접수!$B$3:$B$1002,"&lt;="&amp;DATE($B$3,12,31)))</f>
        <v/>
      </c>
      <c r="C111" s="25" t="str">
        <f aca="false">IF($A111="","",SUMIFS(반품접수!$I$3:$I$1002,반품접수!$C$3:$C$1002,$A111,반품접수!$B$3:$B$1002,"&gt;="&amp;DATE($B$3,1,1),반품접수!$B$3:$B$1002,"&lt;="&amp;DATE($B$3,12,31)))</f>
        <v/>
      </c>
      <c r="D111" s="25" t="str">
        <f aca="false">IF($A111="","",COUNTIFS(반품접수!$C$3:$C$1002,$A111,반품접수!$O$3:$O$1002,"미처리",반품접수!$B$3:$B$1002,"&gt;="&amp;DATE($B$3,1,1),반품접수!$B$3:$B$1002,"&lt;="&amp;DATE($B$3,12,31))+COUNTIFS(반품접수!$C$3:$C$1002,$A111,반품접수!$O$3:$O$1002,"부분처리",반품접수!$B$3:$B$1002,"&gt;="&amp;DATE($B$3,1,1),반품접수!$B$3:$B$1002,"&lt;="&amp;DATE($B$3,12,31)))</f>
        <v/>
      </c>
      <c r="E111" s="25" t="str">
        <f aca="false">IF($A111="","",SUMPRODUCT((반품접수!$C$3:$C$1002=$A111)*1,IFERROR(SUMIFS(처리내역!$E$3:$E$1502,처리내역!$B$3:$B$1502,반품접수!$A$3:$A$1002,처리내역!$D$3:$D$1502,"재입고"),0)))</f>
        <v/>
      </c>
      <c r="F111" s="25" t="str">
        <f aca="false">IF($A111="","",SUMPRODUCT((반품접수!$C$3:$C$1002=$A111)*1,IFERROR(SUMIFS(처리내역!$E$3:$E$1502,처리내역!$B$3:$B$1502,반품접수!$A$3:$A$1002,처리내역!$D$3:$D$1502,"폐기"),0)))</f>
        <v/>
      </c>
      <c r="G111" s="26" t="str">
        <f aca="false">IF($A111="","",IF($B111=0,"",($B111-$D111)/$B111))</f>
        <v/>
      </c>
    </row>
    <row r="112" customFormat="false" ht="15" hidden="false" customHeight="true" outlineLevel="0" collapsed="false">
      <c r="A112" s="12" t="str">
        <f aca="false">IF(거래처목록!$A109="","",거래처목록!$A109)</f>
        <v/>
      </c>
      <c r="B112" s="25" t="str">
        <f aca="false">IF($A112="","",COUNTIFS(반품접수!$C$3:$C$1002,$A112,반품접수!$B$3:$B$1002,"&gt;="&amp;DATE($B$3,1,1),반품접수!$B$3:$B$1002,"&lt;="&amp;DATE($B$3,12,31)))</f>
        <v/>
      </c>
      <c r="C112" s="25" t="str">
        <f aca="false">IF($A112="","",SUMIFS(반품접수!$I$3:$I$1002,반품접수!$C$3:$C$1002,$A112,반품접수!$B$3:$B$1002,"&gt;="&amp;DATE($B$3,1,1),반품접수!$B$3:$B$1002,"&lt;="&amp;DATE($B$3,12,31)))</f>
        <v/>
      </c>
      <c r="D112" s="25" t="str">
        <f aca="false">IF($A112="","",COUNTIFS(반품접수!$C$3:$C$1002,$A112,반품접수!$O$3:$O$1002,"미처리",반품접수!$B$3:$B$1002,"&gt;="&amp;DATE($B$3,1,1),반품접수!$B$3:$B$1002,"&lt;="&amp;DATE($B$3,12,31))+COUNTIFS(반품접수!$C$3:$C$1002,$A112,반품접수!$O$3:$O$1002,"부분처리",반품접수!$B$3:$B$1002,"&gt;="&amp;DATE($B$3,1,1),반품접수!$B$3:$B$1002,"&lt;="&amp;DATE($B$3,12,31)))</f>
        <v/>
      </c>
      <c r="E112" s="25" t="str">
        <f aca="false">IF($A112="","",SUMPRODUCT((반품접수!$C$3:$C$1002=$A112)*1,IFERROR(SUMIFS(처리내역!$E$3:$E$1502,처리내역!$B$3:$B$1502,반품접수!$A$3:$A$1002,처리내역!$D$3:$D$1502,"재입고"),0)))</f>
        <v/>
      </c>
      <c r="F112" s="25" t="str">
        <f aca="false">IF($A112="","",SUMPRODUCT((반품접수!$C$3:$C$1002=$A112)*1,IFERROR(SUMIFS(처리내역!$E$3:$E$1502,처리내역!$B$3:$B$1502,반품접수!$A$3:$A$1002,처리내역!$D$3:$D$1502,"폐기"),0)))</f>
        <v/>
      </c>
      <c r="G112" s="26" t="str">
        <f aca="false">IF($A112="","",IF($B112=0,"",($B112-$D112)/$B112))</f>
        <v/>
      </c>
    </row>
    <row r="113" customFormat="false" ht="15" hidden="false" customHeight="true" outlineLevel="0" collapsed="false">
      <c r="A113" s="12" t="str">
        <f aca="false">IF(거래처목록!$A110="","",거래처목록!$A110)</f>
        <v/>
      </c>
      <c r="B113" s="25" t="str">
        <f aca="false">IF($A113="","",COUNTIFS(반품접수!$C$3:$C$1002,$A113,반품접수!$B$3:$B$1002,"&gt;="&amp;DATE($B$3,1,1),반품접수!$B$3:$B$1002,"&lt;="&amp;DATE($B$3,12,31)))</f>
        <v/>
      </c>
      <c r="C113" s="25" t="str">
        <f aca="false">IF($A113="","",SUMIFS(반품접수!$I$3:$I$1002,반품접수!$C$3:$C$1002,$A113,반품접수!$B$3:$B$1002,"&gt;="&amp;DATE($B$3,1,1),반품접수!$B$3:$B$1002,"&lt;="&amp;DATE($B$3,12,31)))</f>
        <v/>
      </c>
      <c r="D113" s="25" t="str">
        <f aca="false">IF($A113="","",COUNTIFS(반품접수!$C$3:$C$1002,$A113,반품접수!$O$3:$O$1002,"미처리",반품접수!$B$3:$B$1002,"&gt;="&amp;DATE($B$3,1,1),반품접수!$B$3:$B$1002,"&lt;="&amp;DATE($B$3,12,31))+COUNTIFS(반품접수!$C$3:$C$1002,$A113,반품접수!$O$3:$O$1002,"부분처리",반품접수!$B$3:$B$1002,"&gt;="&amp;DATE($B$3,1,1),반품접수!$B$3:$B$1002,"&lt;="&amp;DATE($B$3,12,31)))</f>
        <v/>
      </c>
      <c r="E113" s="25" t="str">
        <f aca="false">IF($A113="","",SUMPRODUCT((반품접수!$C$3:$C$1002=$A113)*1,IFERROR(SUMIFS(처리내역!$E$3:$E$1502,처리내역!$B$3:$B$1502,반품접수!$A$3:$A$1002,처리내역!$D$3:$D$1502,"재입고"),0)))</f>
        <v/>
      </c>
      <c r="F113" s="25" t="str">
        <f aca="false">IF($A113="","",SUMPRODUCT((반품접수!$C$3:$C$1002=$A113)*1,IFERROR(SUMIFS(처리내역!$E$3:$E$1502,처리내역!$B$3:$B$1502,반품접수!$A$3:$A$1002,처리내역!$D$3:$D$1502,"폐기"),0)))</f>
        <v/>
      </c>
      <c r="G113" s="26" t="str">
        <f aca="false">IF($A113="","",IF($B113=0,"",($B113-$D113)/$B113))</f>
        <v/>
      </c>
    </row>
    <row r="114" customFormat="false" ht="15" hidden="false" customHeight="true" outlineLevel="0" collapsed="false">
      <c r="A114" s="12" t="str">
        <f aca="false">IF(거래처목록!$A111="","",거래처목록!$A111)</f>
        <v/>
      </c>
      <c r="B114" s="25" t="str">
        <f aca="false">IF($A114="","",COUNTIFS(반품접수!$C$3:$C$1002,$A114,반품접수!$B$3:$B$1002,"&gt;="&amp;DATE($B$3,1,1),반품접수!$B$3:$B$1002,"&lt;="&amp;DATE($B$3,12,31)))</f>
        <v/>
      </c>
      <c r="C114" s="25" t="str">
        <f aca="false">IF($A114="","",SUMIFS(반품접수!$I$3:$I$1002,반품접수!$C$3:$C$1002,$A114,반품접수!$B$3:$B$1002,"&gt;="&amp;DATE($B$3,1,1),반품접수!$B$3:$B$1002,"&lt;="&amp;DATE($B$3,12,31)))</f>
        <v/>
      </c>
      <c r="D114" s="25" t="str">
        <f aca="false">IF($A114="","",COUNTIFS(반품접수!$C$3:$C$1002,$A114,반품접수!$O$3:$O$1002,"미처리",반품접수!$B$3:$B$1002,"&gt;="&amp;DATE($B$3,1,1),반품접수!$B$3:$B$1002,"&lt;="&amp;DATE($B$3,12,31))+COUNTIFS(반품접수!$C$3:$C$1002,$A114,반품접수!$O$3:$O$1002,"부분처리",반품접수!$B$3:$B$1002,"&gt;="&amp;DATE($B$3,1,1),반품접수!$B$3:$B$1002,"&lt;="&amp;DATE($B$3,12,31)))</f>
        <v/>
      </c>
      <c r="E114" s="25" t="str">
        <f aca="false">IF($A114="","",SUMPRODUCT((반품접수!$C$3:$C$1002=$A114)*1,IFERROR(SUMIFS(처리내역!$E$3:$E$1502,처리내역!$B$3:$B$1502,반품접수!$A$3:$A$1002,처리내역!$D$3:$D$1502,"재입고"),0)))</f>
        <v/>
      </c>
      <c r="F114" s="25" t="str">
        <f aca="false">IF($A114="","",SUMPRODUCT((반품접수!$C$3:$C$1002=$A114)*1,IFERROR(SUMIFS(처리내역!$E$3:$E$1502,처리내역!$B$3:$B$1502,반품접수!$A$3:$A$1002,처리내역!$D$3:$D$1502,"폐기"),0)))</f>
        <v/>
      </c>
      <c r="G114" s="26" t="str">
        <f aca="false">IF($A114="","",IF($B114=0,"",($B114-$D114)/$B114))</f>
        <v/>
      </c>
    </row>
    <row r="115" customFormat="false" ht="15" hidden="false" customHeight="true" outlineLevel="0" collapsed="false">
      <c r="A115" s="12" t="str">
        <f aca="false">IF(거래처목록!$A112="","",거래처목록!$A112)</f>
        <v/>
      </c>
      <c r="B115" s="25" t="str">
        <f aca="false">IF($A115="","",COUNTIFS(반품접수!$C$3:$C$1002,$A115,반품접수!$B$3:$B$1002,"&gt;="&amp;DATE($B$3,1,1),반품접수!$B$3:$B$1002,"&lt;="&amp;DATE($B$3,12,31)))</f>
        <v/>
      </c>
      <c r="C115" s="25" t="str">
        <f aca="false">IF($A115="","",SUMIFS(반품접수!$I$3:$I$1002,반품접수!$C$3:$C$1002,$A115,반품접수!$B$3:$B$1002,"&gt;="&amp;DATE($B$3,1,1),반품접수!$B$3:$B$1002,"&lt;="&amp;DATE($B$3,12,31)))</f>
        <v/>
      </c>
      <c r="D115" s="25" t="str">
        <f aca="false">IF($A115="","",COUNTIFS(반품접수!$C$3:$C$1002,$A115,반품접수!$O$3:$O$1002,"미처리",반품접수!$B$3:$B$1002,"&gt;="&amp;DATE($B$3,1,1),반품접수!$B$3:$B$1002,"&lt;="&amp;DATE($B$3,12,31))+COUNTIFS(반품접수!$C$3:$C$1002,$A115,반품접수!$O$3:$O$1002,"부분처리",반품접수!$B$3:$B$1002,"&gt;="&amp;DATE($B$3,1,1),반품접수!$B$3:$B$1002,"&lt;="&amp;DATE($B$3,12,31)))</f>
        <v/>
      </c>
      <c r="E115" s="25" t="str">
        <f aca="false">IF($A115="","",SUMPRODUCT((반품접수!$C$3:$C$1002=$A115)*1,IFERROR(SUMIFS(처리내역!$E$3:$E$1502,처리내역!$B$3:$B$1502,반품접수!$A$3:$A$1002,처리내역!$D$3:$D$1502,"재입고"),0)))</f>
        <v/>
      </c>
      <c r="F115" s="25" t="str">
        <f aca="false">IF($A115="","",SUMPRODUCT((반품접수!$C$3:$C$1002=$A115)*1,IFERROR(SUMIFS(처리내역!$E$3:$E$1502,처리내역!$B$3:$B$1502,반품접수!$A$3:$A$1002,처리내역!$D$3:$D$1502,"폐기"),0)))</f>
        <v/>
      </c>
      <c r="G115" s="26" t="str">
        <f aca="false">IF($A115="","",IF($B115=0,"",($B115-$D115)/$B115))</f>
        <v/>
      </c>
    </row>
    <row r="116" customFormat="false" ht="15" hidden="false" customHeight="true" outlineLevel="0" collapsed="false">
      <c r="A116" s="12" t="str">
        <f aca="false">IF(거래처목록!$A113="","",거래처목록!$A113)</f>
        <v/>
      </c>
      <c r="B116" s="25" t="str">
        <f aca="false">IF($A116="","",COUNTIFS(반품접수!$C$3:$C$1002,$A116,반품접수!$B$3:$B$1002,"&gt;="&amp;DATE($B$3,1,1),반품접수!$B$3:$B$1002,"&lt;="&amp;DATE($B$3,12,31)))</f>
        <v/>
      </c>
      <c r="C116" s="25" t="str">
        <f aca="false">IF($A116="","",SUMIFS(반품접수!$I$3:$I$1002,반품접수!$C$3:$C$1002,$A116,반품접수!$B$3:$B$1002,"&gt;="&amp;DATE($B$3,1,1),반품접수!$B$3:$B$1002,"&lt;="&amp;DATE($B$3,12,31)))</f>
        <v/>
      </c>
      <c r="D116" s="25" t="str">
        <f aca="false">IF($A116="","",COUNTIFS(반품접수!$C$3:$C$1002,$A116,반품접수!$O$3:$O$1002,"미처리",반품접수!$B$3:$B$1002,"&gt;="&amp;DATE($B$3,1,1),반품접수!$B$3:$B$1002,"&lt;="&amp;DATE($B$3,12,31))+COUNTIFS(반품접수!$C$3:$C$1002,$A116,반품접수!$O$3:$O$1002,"부분처리",반품접수!$B$3:$B$1002,"&gt;="&amp;DATE($B$3,1,1),반품접수!$B$3:$B$1002,"&lt;="&amp;DATE($B$3,12,31)))</f>
        <v/>
      </c>
      <c r="E116" s="25" t="str">
        <f aca="false">IF($A116="","",SUMPRODUCT((반품접수!$C$3:$C$1002=$A116)*1,IFERROR(SUMIFS(처리내역!$E$3:$E$1502,처리내역!$B$3:$B$1502,반품접수!$A$3:$A$1002,처리내역!$D$3:$D$1502,"재입고"),0)))</f>
        <v/>
      </c>
      <c r="F116" s="25" t="str">
        <f aca="false">IF($A116="","",SUMPRODUCT((반품접수!$C$3:$C$1002=$A116)*1,IFERROR(SUMIFS(처리내역!$E$3:$E$1502,처리내역!$B$3:$B$1502,반품접수!$A$3:$A$1002,처리내역!$D$3:$D$1502,"폐기"),0)))</f>
        <v/>
      </c>
      <c r="G116" s="26" t="str">
        <f aca="false">IF($A116="","",IF($B116=0,"",($B116-$D116)/$B116))</f>
        <v/>
      </c>
    </row>
    <row r="117" customFormat="false" ht="15" hidden="false" customHeight="true" outlineLevel="0" collapsed="false">
      <c r="A117" s="12" t="str">
        <f aca="false">IF(거래처목록!$A114="","",거래처목록!$A114)</f>
        <v/>
      </c>
      <c r="B117" s="25" t="str">
        <f aca="false">IF($A117="","",COUNTIFS(반품접수!$C$3:$C$1002,$A117,반품접수!$B$3:$B$1002,"&gt;="&amp;DATE($B$3,1,1),반품접수!$B$3:$B$1002,"&lt;="&amp;DATE($B$3,12,31)))</f>
        <v/>
      </c>
      <c r="C117" s="25" t="str">
        <f aca="false">IF($A117="","",SUMIFS(반품접수!$I$3:$I$1002,반품접수!$C$3:$C$1002,$A117,반품접수!$B$3:$B$1002,"&gt;="&amp;DATE($B$3,1,1),반품접수!$B$3:$B$1002,"&lt;="&amp;DATE($B$3,12,31)))</f>
        <v/>
      </c>
      <c r="D117" s="25" t="str">
        <f aca="false">IF($A117="","",COUNTIFS(반품접수!$C$3:$C$1002,$A117,반품접수!$O$3:$O$1002,"미처리",반품접수!$B$3:$B$1002,"&gt;="&amp;DATE($B$3,1,1),반품접수!$B$3:$B$1002,"&lt;="&amp;DATE($B$3,12,31))+COUNTIFS(반품접수!$C$3:$C$1002,$A117,반품접수!$O$3:$O$1002,"부분처리",반품접수!$B$3:$B$1002,"&gt;="&amp;DATE($B$3,1,1),반품접수!$B$3:$B$1002,"&lt;="&amp;DATE($B$3,12,31)))</f>
        <v/>
      </c>
      <c r="E117" s="25" t="str">
        <f aca="false">IF($A117="","",SUMPRODUCT((반품접수!$C$3:$C$1002=$A117)*1,IFERROR(SUMIFS(처리내역!$E$3:$E$1502,처리내역!$B$3:$B$1502,반품접수!$A$3:$A$1002,처리내역!$D$3:$D$1502,"재입고"),0)))</f>
        <v/>
      </c>
      <c r="F117" s="25" t="str">
        <f aca="false">IF($A117="","",SUMPRODUCT((반품접수!$C$3:$C$1002=$A117)*1,IFERROR(SUMIFS(처리내역!$E$3:$E$1502,처리내역!$B$3:$B$1502,반품접수!$A$3:$A$1002,처리내역!$D$3:$D$1502,"폐기"),0)))</f>
        <v/>
      </c>
      <c r="G117" s="26" t="str">
        <f aca="false">IF($A117="","",IF($B117=0,"",($B117-$D117)/$B117))</f>
        <v/>
      </c>
    </row>
    <row r="118" customFormat="false" ht="15" hidden="false" customHeight="true" outlineLevel="0" collapsed="false">
      <c r="A118" s="12" t="str">
        <f aca="false">IF(거래처목록!$A115="","",거래처목록!$A115)</f>
        <v/>
      </c>
      <c r="B118" s="25" t="str">
        <f aca="false">IF($A118="","",COUNTIFS(반품접수!$C$3:$C$1002,$A118,반품접수!$B$3:$B$1002,"&gt;="&amp;DATE($B$3,1,1),반품접수!$B$3:$B$1002,"&lt;="&amp;DATE($B$3,12,31)))</f>
        <v/>
      </c>
      <c r="C118" s="25" t="str">
        <f aca="false">IF($A118="","",SUMIFS(반품접수!$I$3:$I$1002,반품접수!$C$3:$C$1002,$A118,반품접수!$B$3:$B$1002,"&gt;="&amp;DATE($B$3,1,1),반품접수!$B$3:$B$1002,"&lt;="&amp;DATE($B$3,12,31)))</f>
        <v/>
      </c>
      <c r="D118" s="25" t="str">
        <f aca="false">IF($A118="","",COUNTIFS(반품접수!$C$3:$C$1002,$A118,반품접수!$O$3:$O$1002,"미처리",반품접수!$B$3:$B$1002,"&gt;="&amp;DATE($B$3,1,1),반품접수!$B$3:$B$1002,"&lt;="&amp;DATE($B$3,12,31))+COUNTIFS(반품접수!$C$3:$C$1002,$A118,반품접수!$O$3:$O$1002,"부분처리",반품접수!$B$3:$B$1002,"&gt;="&amp;DATE($B$3,1,1),반품접수!$B$3:$B$1002,"&lt;="&amp;DATE($B$3,12,31)))</f>
        <v/>
      </c>
      <c r="E118" s="25" t="str">
        <f aca="false">IF($A118="","",SUMPRODUCT((반품접수!$C$3:$C$1002=$A118)*1,IFERROR(SUMIFS(처리내역!$E$3:$E$1502,처리내역!$B$3:$B$1502,반품접수!$A$3:$A$1002,처리내역!$D$3:$D$1502,"재입고"),0)))</f>
        <v/>
      </c>
      <c r="F118" s="25" t="str">
        <f aca="false">IF($A118="","",SUMPRODUCT((반품접수!$C$3:$C$1002=$A118)*1,IFERROR(SUMIFS(처리내역!$E$3:$E$1502,처리내역!$B$3:$B$1502,반품접수!$A$3:$A$1002,처리내역!$D$3:$D$1502,"폐기"),0)))</f>
        <v/>
      </c>
      <c r="G118" s="26" t="str">
        <f aca="false">IF($A118="","",IF($B118=0,"",($B118-$D118)/$B118))</f>
        <v/>
      </c>
    </row>
    <row r="119" customFormat="false" ht="15" hidden="false" customHeight="true" outlineLevel="0" collapsed="false">
      <c r="A119" s="12" t="str">
        <f aca="false">IF(거래처목록!$A116="","",거래처목록!$A116)</f>
        <v/>
      </c>
      <c r="B119" s="25" t="str">
        <f aca="false">IF($A119="","",COUNTIFS(반품접수!$C$3:$C$1002,$A119,반품접수!$B$3:$B$1002,"&gt;="&amp;DATE($B$3,1,1),반품접수!$B$3:$B$1002,"&lt;="&amp;DATE($B$3,12,31)))</f>
        <v/>
      </c>
      <c r="C119" s="25" t="str">
        <f aca="false">IF($A119="","",SUMIFS(반품접수!$I$3:$I$1002,반품접수!$C$3:$C$1002,$A119,반품접수!$B$3:$B$1002,"&gt;="&amp;DATE($B$3,1,1),반품접수!$B$3:$B$1002,"&lt;="&amp;DATE($B$3,12,31)))</f>
        <v/>
      </c>
      <c r="D119" s="25" t="str">
        <f aca="false">IF($A119="","",COUNTIFS(반품접수!$C$3:$C$1002,$A119,반품접수!$O$3:$O$1002,"미처리",반품접수!$B$3:$B$1002,"&gt;="&amp;DATE($B$3,1,1),반품접수!$B$3:$B$1002,"&lt;="&amp;DATE($B$3,12,31))+COUNTIFS(반품접수!$C$3:$C$1002,$A119,반품접수!$O$3:$O$1002,"부분처리",반품접수!$B$3:$B$1002,"&gt;="&amp;DATE($B$3,1,1),반품접수!$B$3:$B$1002,"&lt;="&amp;DATE($B$3,12,31)))</f>
        <v/>
      </c>
      <c r="E119" s="25" t="str">
        <f aca="false">IF($A119="","",SUMPRODUCT((반품접수!$C$3:$C$1002=$A119)*1,IFERROR(SUMIFS(처리내역!$E$3:$E$1502,처리내역!$B$3:$B$1502,반품접수!$A$3:$A$1002,처리내역!$D$3:$D$1502,"재입고"),0)))</f>
        <v/>
      </c>
      <c r="F119" s="25" t="str">
        <f aca="false">IF($A119="","",SUMPRODUCT((반품접수!$C$3:$C$1002=$A119)*1,IFERROR(SUMIFS(처리내역!$E$3:$E$1502,처리내역!$B$3:$B$1502,반품접수!$A$3:$A$1002,처리내역!$D$3:$D$1502,"폐기"),0)))</f>
        <v/>
      </c>
      <c r="G119" s="26" t="str">
        <f aca="false">IF($A119="","",IF($B119=0,"",($B119-$D119)/$B119))</f>
        <v/>
      </c>
    </row>
    <row r="120" customFormat="false" ht="15" hidden="false" customHeight="true" outlineLevel="0" collapsed="false">
      <c r="A120" s="12" t="str">
        <f aca="false">IF(거래처목록!$A117="","",거래처목록!$A117)</f>
        <v/>
      </c>
      <c r="B120" s="25" t="str">
        <f aca="false">IF($A120="","",COUNTIFS(반품접수!$C$3:$C$1002,$A120,반품접수!$B$3:$B$1002,"&gt;="&amp;DATE($B$3,1,1),반품접수!$B$3:$B$1002,"&lt;="&amp;DATE($B$3,12,31)))</f>
        <v/>
      </c>
      <c r="C120" s="25" t="str">
        <f aca="false">IF($A120="","",SUMIFS(반품접수!$I$3:$I$1002,반품접수!$C$3:$C$1002,$A120,반품접수!$B$3:$B$1002,"&gt;="&amp;DATE($B$3,1,1),반품접수!$B$3:$B$1002,"&lt;="&amp;DATE($B$3,12,31)))</f>
        <v/>
      </c>
      <c r="D120" s="25" t="str">
        <f aca="false">IF($A120="","",COUNTIFS(반품접수!$C$3:$C$1002,$A120,반품접수!$O$3:$O$1002,"미처리",반품접수!$B$3:$B$1002,"&gt;="&amp;DATE($B$3,1,1),반품접수!$B$3:$B$1002,"&lt;="&amp;DATE($B$3,12,31))+COUNTIFS(반품접수!$C$3:$C$1002,$A120,반품접수!$O$3:$O$1002,"부분처리",반품접수!$B$3:$B$1002,"&gt;="&amp;DATE($B$3,1,1),반품접수!$B$3:$B$1002,"&lt;="&amp;DATE($B$3,12,31)))</f>
        <v/>
      </c>
      <c r="E120" s="25" t="str">
        <f aca="false">IF($A120="","",SUMPRODUCT((반품접수!$C$3:$C$1002=$A120)*1,IFERROR(SUMIFS(처리내역!$E$3:$E$1502,처리내역!$B$3:$B$1502,반품접수!$A$3:$A$1002,처리내역!$D$3:$D$1502,"재입고"),0)))</f>
        <v/>
      </c>
      <c r="F120" s="25" t="str">
        <f aca="false">IF($A120="","",SUMPRODUCT((반품접수!$C$3:$C$1002=$A120)*1,IFERROR(SUMIFS(처리내역!$E$3:$E$1502,처리내역!$B$3:$B$1502,반품접수!$A$3:$A$1002,처리내역!$D$3:$D$1502,"폐기"),0)))</f>
        <v/>
      </c>
      <c r="G120" s="26" t="str">
        <f aca="false">IF($A120="","",IF($B120=0,"",($B120-$D120)/$B120))</f>
        <v/>
      </c>
    </row>
    <row r="121" customFormat="false" ht="15" hidden="false" customHeight="true" outlineLevel="0" collapsed="false">
      <c r="A121" s="12" t="str">
        <f aca="false">IF(거래처목록!$A118="","",거래처목록!$A118)</f>
        <v/>
      </c>
      <c r="B121" s="25" t="str">
        <f aca="false">IF($A121="","",COUNTIFS(반품접수!$C$3:$C$1002,$A121,반품접수!$B$3:$B$1002,"&gt;="&amp;DATE($B$3,1,1),반품접수!$B$3:$B$1002,"&lt;="&amp;DATE($B$3,12,31)))</f>
        <v/>
      </c>
      <c r="C121" s="25" t="str">
        <f aca="false">IF($A121="","",SUMIFS(반품접수!$I$3:$I$1002,반품접수!$C$3:$C$1002,$A121,반품접수!$B$3:$B$1002,"&gt;="&amp;DATE($B$3,1,1),반품접수!$B$3:$B$1002,"&lt;="&amp;DATE($B$3,12,31)))</f>
        <v/>
      </c>
      <c r="D121" s="25" t="str">
        <f aca="false">IF($A121="","",COUNTIFS(반품접수!$C$3:$C$1002,$A121,반품접수!$O$3:$O$1002,"미처리",반품접수!$B$3:$B$1002,"&gt;="&amp;DATE($B$3,1,1),반품접수!$B$3:$B$1002,"&lt;="&amp;DATE($B$3,12,31))+COUNTIFS(반품접수!$C$3:$C$1002,$A121,반품접수!$O$3:$O$1002,"부분처리",반품접수!$B$3:$B$1002,"&gt;="&amp;DATE($B$3,1,1),반품접수!$B$3:$B$1002,"&lt;="&amp;DATE($B$3,12,31)))</f>
        <v/>
      </c>
      <c r="E121" s="25" t="str">
        <f aca="false">IF($A121="","",SUMPRODUCT((반품접수!$C$3:$C$1002=$A121)*1,IFERROR(SUMIFS(처리내역!$E$3:$E$1502,처리내역!$B$3:$B$1502,반품접수!$A$3:$A$1002,처리내역!$D$3:$D$1502,"재입고"),0)))</f>
        <v/>
      </c>
      <c r="F121" s="25" t="str">
        <f aca="false">IF($A121="","",SUMPRODUCT((반품접수!$C$3:$C$1002=$A121)*1,IFERROR(SUMIFS(처리내역!$E$3:$E$1502,처리내역!$B$3:$B$1502,반품접수!$A$3:$A$1002,처리내역!$D$3:$D$1502,"폐기"),0)))</f>
        <v/>
      </c>
      <c r="G121" s="26" t="str">
        <f aca="false">IF($A121="","",IF($B121=0,"",($B121-$D121)/$B121))</f>
        <v/>
      </c>
    </row>
    <row r="122" customFormat="false" ht="15" hidden="false" customHeight="true" outlineLevel="0" collapsed="false">
      <c r="A122" s="12" t="str">
        <f aca="false">IF(거래처목록!$A119="","",거래처목록!$A119)</f>
        <v/>
      </c>
      <c r="B122" s="25" t="str">
        <f aca="false">IF($A122="","",COUNTIFS(반품접수!$C$3:$C$1002,$A122,반품접수!$B$3:$B$1002,"&gt;="&amp;DATE($B$3,1,1),반품접수!$B$3:$B$1002,"&lt;="&amp;DATE($B$3,12,31)))</f>
        <v/>
      </c>
      <c r="C122" s="25" t="str">
        <f aca="false">IF($A122="","",SUMIFS(반품접수!$I$3:$I$1002,반품접수!$C$3:$C$1002,$A122,반품접수!$B$3:$B$1002,"&gt;="&amp;DATE($B$3,1,1),반품접수!$B$3:$B$1002,"&lt;="&amp;DATE($B$3,12,31)))</f>
        <v/>
      </c>
      <c r="D122" s="25" t="str">
        <f aca="false">IF($A122="","",COUNTIFS(반품접수!$C$3:$C$1002,$A122,반품접수!$O$3:$O$1002,"미처리",반품접수!$B$3:$B$1002,"&gt;="&amp;DATE($B$3,1,1),반품접수!$B$3:$B$1002,"&lt;="&amp;DATE($B$3,12,31))+COUNTIFS(반품접수!$C$3:$C$1002,$A122,반품접수!$O$3:$O$1002,"부분처리",반품접수!$B$3:$B$1002,"&gt;="&amp;DATE($B$3,1,1),반품접수!$B$3:$B$1002,"&lt;="&amp;DATE($B$3,12,31)))</f>
        <v/>
      </c>
      <c r="E122" s="25" t="str">
        <f aca="false">IF($A122="","",SUMPRODUCT((반품접수!$C$3:$C$1002=$A122)*1,IFERROR(SUMIFS(처리내역!$E$3:$E$1502,처리내역!$B$3:$B$1502,반품접수!$A$3:$A$1002,처리내역!$D$3:$D$1502,"재입고"),0)))</f>
        <v/>
      </c>
      <c r="F122" s="25" t="str">
        <f aca="false">IF($A122="","",SUMPRODUCT((반품접수!$C$3:$C$1002=$A122)*1,IFERROR(SUMIFS(처리내역!$E$3:$E$1502,처리내역!$B$3:$B$1502,반품접수!$A$3:$A$1002,처리내역!$D$3:$D$1502,"폐기"),0)))</f>
        <v/>
      </c>
      <c r="G122" s="26" t="str">
        <f aca="false">IF($A122="","",IF($B122=0,"",($B122-$D122)/$B122))</f>
        <v/>
      </c>
    </row>
    <row r="123" customFormat="false" ht="15" hidden="false" customHeight="true" outlineLevel="0" collapsed="false">
      <c r="A123" s="12" t="str">
        <f aca="false">IF(거래처목록!$A120="","",거래처목록!$A120)</f>
        <v/>
      </c>
      <c r="B123" s="25" t="str">
        <f aca="false">IF($A123="","",COUNTIFS(반품접수!$C$3:$C$1002,$A123,반품접수!$B$3:$B$1002,"&gt;="&amp;DATE($B$3,1,1),반품접수!$B$3:$B$1002,"&lt;="&amp;DATE($B$3,12,31)))</f>
        <v/>
      </c>
      <c r="C123" s="25" t="str">
        <f aca="false">IF($A123="","",SUMIFS(반품접수!$I$3:$I$1002,반품접수!$C$3:$C$1002,$A123,반품접수!$B$3:$B$1002,"&gt;="&amp;DATE($B$3,1,1),반품접수!$B$3:$B$1002,"&lt;="&amp;DATE($B$3,12,31)))</f>
        <v/>
      </c>
      <c r="D123" s="25" t="str">
        <f aca="false">IF($A123="","",COUNTIFS(반품접수!$C$3:$C$1002,$A123,반품접수!$O$3:$O$1002,"미처리",반품접수!$B$3:$B$1002,"&gt;="&amp;DATE($B$3,1,1),반품접수!$B$3:$B$1002,"&lt;="&amp;DATE($B$3,12,31))+COUNTIFS(반품접수!$C$3:$C$1002,$A123,반품접수!$O$3:$O$1002,"부분처리",반품접수!$B$3:$B$1002,"&gt;="&amp;DATE($B$3,1,1),반품접수!$B$3:$B$1002,"&lt;="&amp;DATE($B$3,12,31)))</f>
        <v/>
      </c>
      <c r="E123" s="25" t="str">
        <f aca="false">IF($A123="","",SUMPRODUCT((반품접수!$C$3:$C$1002=$A123)*1,IFERROR(SUMIFS(처리내역!$E$3:$E$1502,처리내역!$B$3:$B$1502,반품접수!$A$3:$A$1002,처리내역!$D$3:$D$1502,"재입고"),0)))</f>
        <v/>
      </c>
      <c r="F123" s="25" t="str">
        <f aca="false">IF($A123="","",SUMPRODUCT((반품접수!$C$3:$C$1002=$A123)*1,IFERROR(SUMIFS(처리내역!$E$3:$E$1502,처리내역!$B$3:$B$1502,반품접수!$A$3:$A$1002,처리내역!$D$3:$D$1502,"폐기"),0)))</f>
        <v/>
      </c>
      <c r="G123" s="26" t="str">
        <f aca="false">IF($A123="","",IF($B123=0,"",($B123-$D123)/$B123))</f>
        <v/>
      </c>
    </row>
    <row r="124" customFormat="false" ht="15" hidden="false" customHeight="true" outlineLevel="0" collapsed="false">
      <c r="A124" s="12" t="str">
        <f aca="false">IF(거래처목록!$A121="","",거래처목록!$A121)</f>
        <v/>
      </c>
      <c r="B124" s="25" t="str">
        <f aca="false">IF($A124="","",COUNTIFS(반품접수!$C$3:$C$1002,$A124,반품접수!$B$3:$B$1002,"&gt;="&amp;DATE($B$3,1,1),반품접수!$B$3:$B$1002,"&lt;="&amp;DATE($B$3,12,31)))</f>
        <v/>
      </c>
      <c r="C124" s="25" t="str">
        <f aca="false">IF($A124="","",SUMIFS(반품접수!$I$3:$I$1002,반품접수!$C$3:$C$1002,$A124,반품접수!$B$3:$B$1002,"&gt;="&amp;DATE($B$3,1,1),반품접수!$B$3:$B$1002,"&lt;="&amp;DATE($B$3,12,31)))</f>
        <v/>
      </c>
      <c r="D124" s="25" t="str">
        <f aca="false">IF($A124="","",COUNTIFS(반품접수!$C$3:$C$1002,$A124,반품접수!$O$3:$O$1002,"미처리",반품접수!$B$3:$B$1002,"&gt;="&amp;DATE($B$3,1,1),반품접수!$B$3:$B$1002,"&lt;="&amp;DATE($B$3,12,31))+COUNTIFS(반품접수!$C$3:$C$1002,$A124,반품접수!$O$3:$O$1002,"부분처리",반품접수!$B$3:$B$1002,"&gt;="&amp;DATE($B$3,1,1),반품접수!$B$3:$B$1002,"&lt;="&amp;DATE($B$3,12,31)))</f>
        <v/>
      </c>
      <c r="E124" s="25" t="str">
        <f aca="false">IF($A124="","",SUMPRODUCT((반품접수!$C$3:$C$1002=$A124)*1,IFERROR(SUMIFS(처리내역!$E$3:$E$1502,처리내역!$B$3:$B$1502,반품접수!$A$3:$A$1002,처리내역!$D$3:$D$1502,"재입고"),0)))</f>
        <v/>
      </c>
      <c r="F124" s="25" t="str">
        <f aca="false">IF($A124="","",SUMPRODUCT((반품접수!$C$3:$C$1002=$A124)*1,IFERROR(SUMIFS(처리내역!$E$3:$E$1502,처리내역!$B$3:$B$1502,반품접수!$A$3:$A$1002,처리내역!$D$3:$D$1502,"폐기"),0)))</f>
        <v/>
      </c>
      <c r="G124" s="26" t="str">
        <f aca="false">IF($A124="","",IF($B124=0,"",($B124-$D124)/$B124))</f>
        <v/>
      </c>
    </row>
    <row r="125" customFormat="false" ht="15" hidden="false" customHeight="true" outlineLevel="0" collapsed="false">
      <c r="A125" s="12" t="str">
        <f aca="false">IF(거래처목록!$A122="","",거래처목록!$A122)</f>
        <v/>
      </c>
      <c r="B125" s="25" t="str">
        <f aca="false">IF($A125="","",COUNTIFS(반품접수!$C$3:$C$1002,$A125,반품접수!$B$3:$B$1002,"&gt;="&amp;DATE($B$3,1,1),반품접수!$B$3:$B$1002,"&lt;="&amp;DATE($B$3,12,31)))</f>
        <v/>
      </c>
      <c r="C125" s="25" t="str">
        <f aca="false">IF($A125="","",SUMIFS(반품접수!$I$3:$I$1002,반품접수!$C$3:$C$1002,$A125,반품접수!$B$3:$B$1002,"&gt;="&amp;DATE($B$3,1,1),반품접수!$B$3:$B$1002,"&lt;="&amp;DATE($B$3,12,31)))</f>
        <v/>
      </c>
      <c r="D125" s="25" t="str">
        <f aca="false">IF($A125="","",COUNTIFS(반품접수!$C$3:$C$1002,$A125,반품접수!$O$3:$O$1002,"미처리",반품접수!$B$3:$B$1002,"&gt;="&amp;DATE($B$3,1,1),반품접수!$B$3:$B$1002,"&lt;="&amp;DATE($B$3,12,31))+COUNTIFS(반품접수!$C$3:$C$1002,$A125,반품접수!$O$3:$O$1002,"부분처리",반품접수!$B$3:$B$1002,"&gt;="&amp;DATE($B$3,1,1),반품접수!$B$3:$B$1002,"&lt;="&amp;DATE($B$3,12,31)))</f>
        <v/>
      </c>
      <c r="E125" s="25" t="str">
        <f aca="false">IF($A125="","",SUMPRODUCT((반품접수!$C$3:$C$1002=$A125)*1,IFERROR(SUMIFS(처리내역!$E$3:$E$1502,처리내역!$B$3:$B$1502,반품접수!$A$3:$A$1002,처리내역!$D$3:$D$1502,"재입고"),0)))</f>
        <v/>
      </c>
      <c r="F125" s="25" t="str">
        <f aca="false">IF($A125="","",SUMPRODUCT((반품접수!$C$3:$C$1002=$A125)*1,IFERROR(SUMIFS(처리내역!$E$3:$E$1502,처리내역!$B$3:$B$1502,반품접수!$A$3:$A$1002,처리내역!$D$3:$D$1502,"폐기"),0)))</f>
        <v/>
      </c>
      <c r="G125" s="26" t="str">
        <f aca="false">IF($A125="","",IF($B125=0,"",($B125-$D125)/$B125))</f>
        <v/>
      </c>
    </row>
    <row r="126" customFormat="false" ht="15" hidden="false" customHeight="true" outlineLevel="0" collapsed="false">
      <c r="A126" s="12" t="str">
        <f aca="false">IF(거래처목록!$A123="","",거래처목록!$A123)</f>
        <v/>
      </c>
      <c r="B126" s="25" t="str">
        <f aca="false">IF($A126="","",COUNTIFS(반품접수!$C$3:$C$1002,$A126,반품접수!$B$3:$B$1002,"&gt;="&amp;DATE($B$3,1,1),반품접수!$B$3:$B$1002,"&lt;="&amp;DATE($B$3,12,31)))</f>
        <v/>
      </c>
      <c r="C126" s="25" t="str">
        <f aca="false">IF($A126="","",SUMIFS(반품접수!$I$3:$I$1002,반품접수!$C$3:$C$1002,$A126,반품접수!$B$3:$B$1002,"&gt;="&amp;DATE($B$3,1,1),반품접수!$B$3:$B$1002,"&lt;="&amp;DATE($B$3,12,31)))</f>
        <v/>
      </c>
      <c r="D126" s="25" t="str">
        <f aca="false">IF($A126="","",COUNTIFS(반품접수!$C$3:$C$1002,$A126,반품접수!$O$3:$O$1002,"미처리",반품접수!$B$3:$B$1002,"&gt;="&amp;DATE($B$3,1,1),반품접수!$B$3:$B$1002,"&lt;="&amp;DATE($B$3,12,31))+COUNTIFS(반품접수!$C$3:$C$1002,$A126,반품접수!$O$3:$O$1002,"부분처리",반품접수!$B$3:$B$1002,"&gt;="&amp;DATE($B$3,1,1),반품접수!$B$3:$B$1002,"&lt;="&amp;DATE($B$3,12,31)))</f>
        <v/>
      </c>
      <c r="E126" s="25" t="str">
        <f aca="false">IF($A126="","",SUMPRODUCT((반품접수!$C$3:$C$1002=$A126)*1,IFERROR(SUMIFS(처리내역!$E$3:$E$1502,처리내역!$B$3:$B$1502,반품접수!$A$3:$A$1002,처리내역!$D$3:$D$1502,"재입고"),0)))</f>
        <v/>
      </c>
      <c r="F126" s="25" t="str">
        <f aca="false">IF($A126="","",SUMPRODUCT((반품접수!$C$3:$C$1002=$A126)*1,IFERROR(SUMIFS(처리내역!$E$3:$E$1502,처리내역!$B$3:$B$1502,반품접수!$A$3:$A$1002,처리내역!$D$3:$D$1502,"폐기"),0)))</f>
        <v/>
      </c>
      <c r="G126" s="26" t="str">
        <f aca="false">IF($A126="","",IF($B126=0,"",($B126-$D126)/$B126))</f>
        <v/>
      </c>
    </row>
    <row r="127" customFormat="false" ht="15" hidden="false" customHeight="true" outlineLevel="0" collapsed="false">
      <c r="A127" s="12" t="str">
        <f aca="false">IF(거래처목록!$A124="","",거래처목록!$A124)</f>
        <v/>
      </c>
      <c r="B127" s="25" t="str">
        <f aca="false">IF($A127="","",COUNTIFS(반품접수!$C$3:$C$1002,$A127,반품접수!$B$3:$B$1002,"&gt;="&amp;DATE($B$3,1,1),반품접수!$B$3:$B$1002,"&lt;="&amp;DATE($B$3,12,31)))</f>
        <v/>
      </c>
      <c r="C127" s="25" t="str">
        <f aca="false">IF($A127="","",SUMIFS(반품접수!$I$3:$I$1002,반품접수!$C$3:$C$1002,$A127,반품접수!$B$3:$B$1002,"&gt;="&amp;DATE($B$3,1,1),반품접수!$B$3:$B$1002,"&lt;="&amp;DATE($B$3,12,31)))</f>
        <v/>
      </c>
      <c r="D127" s="25" t="str">
        <f aca="false">IF($A127="","",COUNTIFS(반품접수!$C$3:$C$1002,$A127,반품접수!$O$3:$O$1002,"미처리",반품접수!$B$3:$B$1002,"&gt;="&amp;DATE($B$3,1,1),반품접수!$B$3:$B$1002,"&lt;="&amp;DATE($B$3,12,31))+COUNTIFS(반품접수!$C$3:$C$1002,$A127,반품접수!$O$3:$O$1002,"부분처리",반품접수!$B$3:$B$1002,"&gt;="&amp;DATE($B$3,1,1),반품접수!$B$3:$B$1002,"&lt;="&amp;DATE($B$3,12,31)))</f>
        <v/>
      </c>
      <c r="E127" s="25" t="str">
        <f aca="false">IF($A127="","",SUMPRODUCT((반품접수!$C$3:$C$1002=$A127)*1,IFERROR(SUMIFS(처리내역!$E$3:$E$1502,처리내역!$B$3:$B$1502,반품접수!$A$3:$A$1002,처리내역!$D$3:$D$1502,"재입고"),0)))</f>
        <v/>
      </c>
      <c r="F127" s="25" t="str">
        <f aca="false">IF($A127="","",SUMPRODUCT((반품접수!$C$3:$C$1002=$A127)*1,IFERROR(SUMIFS(처리내역!$E$3:$E$1502,처리내역!$B$3:$B$1502,반품접수!$A$3:$A$1002,처리내역!$D$3:$D$1502,"폐기"),0)))</f>
        <v/>
      </c>
      <c r="G127" s="26" t="str">
        <f aca="false">IF($A127="","",IF($B127=0,"",($B127-$D127)/$B127))</f>
        <v/>
      </c>
    </row>
    <row r="128" customFormat="false" ht="15" hidden="false" customHeight="true" outlineLevel="0" collapsed="false">
      <c r="A128" s="12" t="str">
        <f aca="false">IF(거래처목록!$A125="","",거래처목록!$A125)</f>
        <v/>
      </c>
      <c r="B128" s="25" t="str">
        <f aca="false">IF($A128="","",COUNTIFS(반품접수!$C$3:$C$1002,$A128,반품접수!$B$3:$B$1002,"&gt;="&amp;DATE($B$3,1,1),반품접수!$B$3:$B$1002,"&lt;="&amp;DATE($B$3,12,31)))</f>
        <v/>
      </c>
      <c r="C128" s="25" t="str">
        <f aca="false">IF($A128="","",SUMIFS(반품접수!$I$3:$I$1002,반품접수!$C$3:$C$1002,$A128,반품접수!$B$3:$B$1002,"&gt;="&amp;DATE($B$3,1,1),반품접수!$B$3:$B$1002,"&lt;="&amp;DATE($B$3,12,31)))</f>
        <v/>
      </c>
      <c r="D128" s="25" t="str">
        <f aca="false">IF($A128="","",COUNTIFS(반품접수!$C$3:$C$1002,$A128,반품접수!$O$3:$O$1002,"미처리",반품접수!$B$3:$B$1002,"&gt;="&amp;DATE($B$3,1,1),반품접수!$B$3:$B$1002,"&lt;="&amp;DATE($B$3,12,31))+COUNTIFS(반품접수!$C$3:$C$1002,$A128,반품접수!$O$3:$O$1002,"부분처리",반품접수!$B$3:$B$1002,"&gt;="&amp;DATE($B$3,1,1),반품접수!$B$3:$B$1002,"&lt;="&amp;DATE($B$3,12,31)))</f>
        <v/>
      </c>
      <c r="E128" s="25" t="str">
        <f aca="false">IF($A128="","",SUMPRODUCT((반품접수!$C$3:$C$1002=$A128)*1,IFERROR(SUMIFS(처리내역!$E$3:$E$1502,처리내역!$B$3:$B$1502,반품접수!$A$3:$A$1002,처리내역!$D$3:$D$1502,"재입고"),0)))</f>
        <v/>
      </c>
      <c r="F128" s="25" t="str">
        <f aca="false">IF($A128="","",SUMPRODUCT((반품접수!$C$3:$C$1002=$A128)*1,IFERROR(SUMIFS(처리내역!$E$3:$E$1502,처리내역!$B$3:$B$1502,반품접수!$A$3:$A$1002,처리내역!$D$3:$D$1502,"폐기"),0)))</f>
        <v/>
      </c>
      <c r="G128" s="26" t="str">
        <f aca="false">IF($A128="","",IF($B128=0,"",($B128-$D128)/$B128))</f>
        <v/>
      </c>
    </row>
    <row r="129" customFormat="false" ht="15" hidden="false" customHeight="true" outlineLevel="0" collapsed="false">
      <c r="A129" s="12" t="str">
        <f aca="false">IF(거래처목록!$A126="","",거래처목록!$A126)</f>
        <v/>
      </c>
      <c r="B129" s="25" t="str">
        <f aca="false">IF($A129="","",COUNTIFS(반품접수!$C$3:$C$1002,$A129,반품접수!$B$3:$B$1002,"&gt;="&amp;DATE($B$3,1,1),반품접수!$B$3:$B$1002,"&lt;="&amp;DATE($B$3,12,31)))</f>
        <v/>
      </c>
      <c r="C129" s="25" t="str">
        <f aca="false">IF($A129="","",SUMIFS(반품접수!$I$3:$I$1002,반품접수!$C$3:$C$1002,$A129,반품접수!$B$3:$B$1002,"&gt;="&amp;DATE($B$3,1,1),반품접수!$B$3:$B$1002,"&lt;="&amp;DATE($B$3,12,31)))</f>
        <v/>
      </c>
      <c r="D129" s="25" t="str">
        <f aca="false">IF($A129="","",COUNTIFS(반품접수!$C$3:$C$1002,$A129,반품접수!$O$3:$O$1002,"미처리",반품접수!$B$3:$B$1002,"&gt;="&amp;DATE($B$3,1,1),반품접수!$B$3:$B$1002,"&lt;="&amp;DATE($B$3,12,31))+COUNTIFS(반품접수!$C$3:$C$1002,$A129,반품접수!$O$3:$O$1002,"부분처리",반품접수!$B$3:$B$1002,"&gt;="&amp;DATE($B$3,1,1),반품접수!$B$3:$B$1002,"&lt;="&amp;DATE($B$3,12,31)))</f>
        <v/>
      </c>
      <c r="E129" s="25" t="str">
        <f aca="false">IF($A129="","",SUMPRODUCT((반품접수!$C$3:$C$1002=$A129)*1,IFERROR(SUMIFS(처리내역!$E$3:$E$1502,처리내역!$B$3:$B$1502,반품접수!$A$3:$A$1002,처리내역!$D$3:$D$1502,"재입고"),0)))</f>
        <v/>
      </c>
      <c r="F129" s="25" t="str">
        <f aca="false">IF($A129="","",SUMPRODUCT((반품접수!$C$3:$C$1002=$A129)*1,IFERROR(SUMIFS(처리내역!$E$3:$E$1502,처리내역!$B$3:$B$1502,반품접수!$A$3:$A$1002,처리내역!$D$3:$D$1502,"폐기"),0)))</f>
        <v/>
      </c>
      <c r="G129" s="26" t="str">
        <f aca="false">IF($A129="","",IF($B129=0,"",($B129-$D129)/$B129))</f>
        <v/>
      </c>
    </row>
    <row r="130" customFormat="false" ht="15" hidden="false" customHeight="true" outlineLevel="0" collapsed="false">
      <c r="A130" s="12" t="str">
        <f aca="false">IF(거래처목록!$A127="","",거래처목록!$A127)</f>
        <v/>
      </c>
      <c r="B130" s="25" t="str">
        <f aca="false">IF($A130="","",COUNTIFS(반품접수!$C$3:$C$1002,$A130,반품접수!$B$3:$B$1002,"&gt;="&amp;DATE($B$3,1,1),반품접수!$B$3:$B$1002,"&lt;="&amp;DATE($B$3,12,31)))</f>
        <v/>
      </c>
      <c r="C130" s="25" t="str">
        <f aca="false">IF($A130="","",SUMIFS(반품접수!$I$3:$I$1002,반품접수!$C$3:$C$1002,$A130,반품접수!$B$3:$B$1002,"&gt;="&amp;DATE($B$3,1,1),반품접수!$B$3:$B$1002,"&lt;="&amp;DATE($B$3,12,31)))</f>
        <v/>
      </c>
      <c r="D130" s="25" t="str">
        <f aca="false">IF($A130="","",COUNTIFS(반품접수!$C$3:$C$1002,$A130,반품접수!$O$3:$O$1002,"미처리",반품접수!$B$3:$B$1002,"&gt;="&amp;DATE($B$3,1,1),반품접수!$B$3:$B$1002,"&lt;="&amp;DATE($B$3,12,31))+COUNTIFS(반품접수!$C$3:$C$1002,$A130,반품접수!$O$3:$O$1002,"부분처리",반품접수!$B$3:$B$1002,"&gt;="&amp;DATE($B$3,1,1),반품접수!$B$3:$B$1002,"&lt;="&amp;DATE($B$3,12,31)))</f>
        <v/>
      </c>
      <c r="E130" s="25" t="str">
        <f aca="false">IF($A130="","",SUMPRODUCT((반품접수!$C$3:$C$1002=$A130)*1,IFERROR(SUMIFS(처리내역!$E$3:$E$1502,처리내역!$B$3:$B$1502,반품접수!$A$3:$A$1002,처리내역!$D$3:$D$1502,"재입고"),0)))</f>
        <v/>
      </c>
      <c r="F130" s="25" t="str">
        <f aca="false">IF($A130="","",SUMPRODUCT((반품접수!$C$3:$C$1002=$A130)*1,IFERROR(SUMIFS(처리내역!$E$3:$E$1502,처리내역!$B$3:$B$1502,반품접수!$A$3:$A$1002,처리내역!$D$3:$D$1502,"폐기"),0)))</f>
        <v/>
      </c>
      <c r="G130" s="26" t="str">
        <f aca="false">IF($A130="","",IF($B130=0,"",($B130-$D130)/$B130))</f>
        <v/>
      </c>
    </row>
    <row r="131" customFormat="false" ht="15" hidden="false" customHeight="true" outlineLevel="0" collapsed="false">
      <c r="A131" s="12" t="str">
        <f aca="false">IF(거래처목록!$A128="","",거래처목록!$A128)</f>
        <v/>
      </c>
      <c r="B131" s="25" t="str">
        <f aca="false">IF($A131="","",COUNTIFS(반품접수!$C$3:$C$1002,$A131,반품접수!$B$3:$B$1002,"&gt;="&amp;DATE($B$3,1,1),반품접수!$B$3:$B$1002,"&lt;="&amp;DATE($B$3,12,31)))</f>
        <v/>
      </c>
      <c r="C131" s="25" t="str">
        <f aca="false">IF($A131="","",SUMIFS(반품접수!$I$3:$I$1002,반품접수!$C$3:$C$1002,$A131,반품접수!$B$3:$B$1002,"&gt;="&amp;DATE($B$3,1,1),반품접수!$B$3:$B$1002,"&lt;="&amp;DATE($B$3,12,31)))</f>
        <v/>
      </c>
      <c r="D131" s="25" t="str">
        <f aca="false">IF($A131="","",COUNTIFS(반품접수!$C$3:$C$1002,$A131,반품접수!$O$3:$O$1002,"미처리",반품접수!$B$3:$B$1002,"&gt;="&amp;DATE($B$3,1,1),반품접수!$B$3:$B$1002,"&lt;="&amp;DATE($B$3,12,31))+COUNTIFS(반품접수!$C$3:$C$1002,$A131,반품접수!$O$3:$O$1002,"부분처리",반품접수!$B$3:$B$1002,"&gt;="&amp;DATE($B$3,1,1),반품접수!$B$3:$B$1002,"&lt;="&amp;DATE($B$3,12,31)))</f>
        <v/>
      </c>
      <c r="E131" s="25" t="str">
        <f aca="false">IF($A131="","",SUMPRODUCT((반품접수!$C$3:$C$1002=$A131)*1,IFERROR(SUMIFS(처리내역!$E$3:$E$1502,처리내역!$B$3:$B$1502,반품접수!$A$3:$A$1002,처리내역!$D$3:$D$1502,"재입고"),0)))</f>
        <v/>
      </c>
      <c r="F131" s="25" t="str">
        <f aca="false">IF($A131="","",SUMPRODUCT((반품접수!$C$3:$C$1002=$A131)*1,IFERROR(SUMIFS(처리내역!$E$3:$E$1502,처리내역!$B$3:$B$1502,반품접수!$A$3:$A$1002,처리내역!$D$3:$D$1502,"폐기"),0)))</f>
        <v/>
      </c>
      <c r="G131" s="26" t="str">
        <f aca="false">IF($A131="","",IF($B131=0,"",($B131-$D131)/$B131))</f>
        <v/>
      </c>
    </row>
    <row r="132" customFormat="false" ht="15" hidden="false" customHeight="true" outlineLevel="0" collapsed="false">
      <c r="A132" s="12" t="str">
        <f aca="false">IF(거래처목록!$A129="","",거래처목록!$A129)</f>
        <v/>
      </c>
      <c r="B132" s="25" t="str">
        <f aca="false">IF($A132="","",COUNTIFS(반품접수!$C$3:$C$1002,$A132,반품접수!$B$3:$B$1002,"&gt;="&amp;DATE($B$3,1,1),반품접수!$B$3:$B$1002,"&lt;="&amp;DATE($B$3,12,31)))</f>
        <v/>
      </c>
      <c r="C132" s="25" t="str">
        <f aca="false">IF($A132="","",SUMIFS(반품접수!$I$3:$I$1002,반품접수!$C$3:$C$1002,$A132,반품접수!$B$3:$B$1002,"&gt;="&amp;DATE($B$3,1,1),반품접수!$B$3:$B$1002,"&lt;="&amp;DATE($B$3,12,31)))</f>
        <v/>
      </c>
      <c r="D132" s="25" t="str">
        <f aca="false">IF($A132="","",COUNTIFS(반품접수!$C$3:$C$1002,$A132,반품접수!$O$3:$O$1002,"미처리",반품접수!$B$3:$B$1002,"&gt;="&amp;DATE($B$3,1,1),반품접수!$B$3:$B$1002,"&lt;="&amp;DATE($B$3,12,31))+COUNTIFS(반품접수!$C$3:$C$1002,$A132,반품접수!$O$3:$O$1002,"부분처리",반품접수!$B$3:$B$1002,"&gt;="&amp;DATE($B$3,1,1),반품접수!$B$3:$B$1002,"&lt;="&amp;DATE($B$3,12,31)))</f>
        <v/>
      </c>
      <c r="E132" s="25" t="str">
        <f aca="false">IF($A132="","",SUMPRODUCT((반품접수!$C$3:$C$1002=$A132)*1,IFERROR(SUMIFS(처리내역!$E$3:$E$1502,처리내역!$B$3:$B$1502,반품접수!$A$3:$A$1002,처리내역!$D$3:$D$1502,"재입고"),0)))</f>
        <v/>
      </c>
      <c r="F132" s="25" t="str">
        <f aca="false">IF($A132="","",SUMPRODUCT((반품접수!$C$3:$C$1002=$A132)*1,IFERROR(SUMIFS(처리내역!$E$3:$E$1502,처리내역!$B$3:$B$1502,반품접수!$A$3:$A$1002,처리내역!$D$3:$D$1502,"폐기"),0)))</f>
        <v/>
      </c>
      <c r="G132" s="26" t="str">
        <f aca="false">IF($A132="","",IF($B132=0,"",($B132-$D132)/$B132))</f>
        <v/>
      </c>
    </row>
    <row r="133" customFormat="false" ht="15" hidden="false" customHeight="true" outlineLevel="0" collapsed="false">
      <c r="A133" s="12" t="str">
        <f aca="false">IF(거래처목록!$A130="","",거래처목록!$A130)</f>
        <v/>
      </c>
      <c r="B133" s="25" t="str">
        <f aca="false">IF($A133="","",COUNTIFS(반품접수!$C$3:$C$1002,$A133,반품접수!$B$3:$B$1002,"&gt;="&amp;DATE($B$3,1,1),반품접수!$B$3:$B$1002,"&lt;="&amp;DATE($B$3,12,31)))</f>
        <v/>
      </c>
      <c r="C133" s="25" t="str">
        <f aca="false">IF($A133="","",SUMIFS(반품접수!$I$3:$I$1002,반품접수!$C$3:$C$1002,$A133,반품접수!$B$3:$B$1002,"&gt;="&amp;DATE($B$3,1,1),반품접수!$B$3:$B$1002,"&lt;="&amp;DATE($B$3,12,31)))</f>
        <v/>
      </c>
      <c r="D133" s="25" t="str">
        <f aca="false">IF($A133="","",COUNTIFS(반품접수!$C$3:$C$1002,$A133,반품접수!$O$3:$O$1002,"미처리",반품접수!$B$3:$B$1002,"&gt;="&amp;DATE($B$3,1,1),반품접수!$B$3:$B$1002,"&lt;="&amp;DATE($B$3,12,31))+COUNTIFS(반품접수!$C$3:$C$1002,$A133,반품접수!$O$3:$O$1002,"부분처리",반품접수!$B$3:$B$1002,"&gt;="&amp;DATE($B$3,1,1),반품접수!$B$3:$B$1002,"&lt;="&amp;DATE($B$3,12,31)))</f>
        <v/>
      </c>
      <c r="E133" s="25" t="str">
        <f aca="false">IF($A133="","",SUMPRODUCT((반품접수!$C$3:$C$1002=$A133)*1,IFERROR(SUMIFS(처리내역!$E$3:$E$1502,처리내역!$B$3:$B$1502,반품접수!$A$3:$A$1002,처리내역!$D$3:$D$1502,"재입고"),0)))</f>
        <v/>
      </c>
      <c r="F133" s="25" t="str">
        <f aca="false">IF($A133="","",SUMPRODUCT((반품접수!$C$3:$C$1002=$A133)*1,IFERROR(SUMIFS(처리내역!$E$3:$E$1502,처리내역!$B$3:$B$1502,반품접수!$A$3:$A$1002,처리내역!$D$3:$D$1502,"폐기"),0)))</f>
        <v/>
      </c>
      <c r="G133" s="26" t="str">
        <f aca="false">IF($A133="","",IF($B133=0,"",($B133-$D133)/$B133))</f>
        <v/>
      </c>
    </row>
    <row r="134" customFormat="false" ht="15" hidden="false" customHeight="true" outlineLevel="0" collapsed="false">
      <c r="A134" s="12" t="str">
        <f aca="false">IF(거래처목록!$A131="","",거래처목록!$A131)</f>
        <v/>
      </c>
      <c r="B134" s="25" t="str">
        <f aca="false">IF($A134="","",COUNTIFS(반품접수!$C$3:$C$1002,$A134,반품접수!$B$3:$B$1002,"&gt;="&amp;DATE($B$3,1,1),반품접수!$B$3:$B$1002,"&lt;="&amp;DATE($B$3,12,31)))</f>
        <v/>
      </c>
      <c r="C134" s="25" t="str">
        <f aca="false">IF($A134="","",SUMIFS(반품접수!$I$3:$I$1002,반품접수!$C$3:$C$1002,$A134,반품접수!$B$3:$B$1002,"&gt;="&amp;DATE($B$3,1,1),반품접수!$B$3:$B$1002,"&lt;="&amp;DATE($B$3,12,31)))</f>
        <v/>
      </c>
      <c r="D134" s="25" t="str">
        <f aca="false">IF($A134="","",COUNTIFS(반품접수!$C$3:$C$1002,$A134,반품접수!$O$3:$O$1002,"미처리",반품접수!$B$3:$B$1002,"&gt;="&amp;DATE($B$3,1,1),반품접수!$B$3:$B$1002,"&lt;="&amp;DATE($B$3,12,31))+COUNTIFS(반품접수!$C$3:$C$1002,$A134,반품접수!$O$3:$O$1002,"부분처리",반품접수!$B$3:$B$1002,"&gt;="&amp;DATE($B$3,1,1),반품접수!$B$3:$B$1002,"&lt;="&amp;DATE($B$3,12,31)))</f>
        <v/>
      </c>
      <c r="E134" s="25" t="str">
        <f aca="false">IF($A134="","",SUMPRODUCT((반품접수!$C$3:$C$1002=$A134)*1,IFERROR(SUMIFS(처리내역!$E$3:$E$1502,처리내역!$B$3:$B$1502,반품접수!$A$3:$A$1002,처리내역!$D$3:$D$1502,"재입고"),0)))</f>
        <v/>
      </c>
      <c r="F134" s="25" t="str">
        <f aca="false">IF($A134="","",SUMPRODUCT((반품접수!$C$3:$C$1002=$A134)*1,IFERROR(SUMIFS(처리내역!$E$3:$E$1502,처리내역!$B$3:$B$1502,반품접수!$A$3:$A$1002,처리내역!$D$3:$D$1502,"폐기"),0)))</f>
        <v/>
      </c>
      <c r="G134" s="26" t="str">
        <f aca="false">IF($A134="","",IF($B134=0,"",($B134-$D134)/$B134))</f>
        <v/>
      </c>
    </row>
    <row r="135" customFormat="false" ht="15" hidden="false" customHeight="true" outlineLevel="0" collapsed="false">
      <c r="A135" s="12" t="str">
        <f aca="false">IF(거래처목록!$A132="","",거래처목록!$A132)</f>
        <v/>
      </c>
      <c r="B135" s="25" t="str">
        <f aca="false">IF($A135="","",COUNTIFS(반품접수!$C$3:$C$1002,$A135,반품접수!$B$3:$B$1002,"&gt;="&amp;DATE($B$3,1,1),반품접수!$B$3:$B$1002,"&lt;="&amp;DATE($B$3,12,31)))</f>
        <v/>
      </c>
      <c r="C135" s="25" t="str">
        <f aca="false">IF($A135="","",SUMIFS(반품접수!$I$3:$I$1002,반품접수!$C$3:$C$1002,$A135,반품접수!$B$3:$B$1002,"&gt;="&amp;DATE($B$3,1,1),반품접수!$B$3:$B$1002,"&lt;="&amp;DATE($B$3,12,31)))</f>
        <v/>
      </c>
      <c r="D135" s="25" t="str">
        <f aca="false">IF($A135="","",COUNTIFS(반품접수!$C$3:$C$1002,$A135,반품접수!$O$3:$O$1002,"미처리",반품접수!$B$3:$B$1002,"&gt;="&amp;DATE($B$3,1,1),반품접수!$B$3:$B$1002,"&lt;="&amp;DATE($B$3,12,31))+COUNTIFS(반품접수!$C$3:$C$1002,$A135,반품접수!$O$3:$O$1002,"부분처리",반품접수!$B$3:$B$1002,"&gt;="&amp;DATE($B$3,1,1),반품접수!$B$3:$B$1002,"&lt;="&amp;DATE($B$3,12,31)))</f>
        <v/>
      </c>
      <c r="E135" s="25" t="str">
        <f aca="false">IF($A135="","",SUMPRODUCT((반품접수!$C$3:$C$1002=$A135)*1,IFERROR(SUMIFS(처리내역!$E$3:$E$1502,처리내역!$B$3:$B$1502,반품접수!$A$3:$A$1002,처리내역!$D$3:$D$1502,"재입고"),0)))</f>
        <v/>
      </c>
      <c r="F135" s="25" t="str">
        <f aca="false">IF($A135="","",SUMPRODUCT((반품접수!$C$3:$C$1002=$A135)*1,IFERROR(SUMIFS(처리내역!$E$3:$E$1502,처리내역!$B$3:$B$1502,반품접수!$A$3:$A$1002,처리내역!$D$3:$D$1502,"폐기"),0)))</f>
        <v/>
      </c>
      <c r="G135" s="26" t="str">
        <f aca="false">IF($A135="","",IF($B135=0,"",($B135-$D135)/$B135))</f>
        <v/>
      </c>
    </row>
    <row r="136" customFormat="false" ht="15" hidden="false" customHeight="true" outlineLevel="0" collapsed="false">
      <c r="A136" s="12" t="str">
        <f aca="false">IF(거래처목록!$A133="","",거래처목록!$A133)</f>
        <v/>
      </c>
      <c r="B136" s="25" t="str">
        <f aca="false">IF($A136="","",COUNTIFS(반품접수!$C$3:$C$1002,$A136,반품접수!$B$3:$B$1002,"&gt;="&amp;DATE($B$3,1,1),반품접수!$B$3:$B$1002,"&lt;="&amp;DATE($B$3,12,31)))</f>
        <v/>
      </c>
      <c r="C136" s="25" t="str">
        <f aca="false">IF($A136="","",SUMIFS(반품접수!$I$3:$I$1002,반품접수!$C$3:$C$1002,$A136,반품접수!$B$3:$B$1002,"&gt;="&amp;DATE($B$3,1,1),반품접수!$B$3:$B$1002,"&lt;="&amp;DATE($B$3,12,31)))</f>
        <v/>
      </c>
      <c r="D136" s="25" t="str">
        <f aca="false">IF($A136="","",COUNTIFS(반품접수!$C$3:$C$1002,$A136,반품접수!$O$3:$O$1002,"미처리",반품접수!$B$3:$B$1002,"&gt;="&amp;DATE($B$3,1,1),반품접수!$B$3:$B$1002,"&lt;="&amp;DATE($B$3,12,31))+COUNTIFS(반품접수!$C$3:$C$1002,$A136,반품접수!$O$3:$O$1002,"부분처리",반품접수!$B$3:$B$1002,"&gt;="&amp;DATE($B$3,1,1),반품접수!$B$3:$B$1002,"&lt;="&amp;DATE($B$3,12,31)))</f>
        <v/>
      </c>
      <c r="E136" s="25" t="str">
        <f aca="false">IF($A136="","",SUMPRODUCT((반품접수!$C$3:$C$1002=$A136)*1,IFERROR(SUMIFS(처리내역!$E$3:$E$1502,처리내역!$B$3:$B$1502,반품접수!$A$3:$A$1002,처리내역!$D$3:$D$1502,"재입고"),0)))</f>
        <v/>
      </c>
      <c r="F136" s="25" t="str">
        <f aca="false">IF($A136="","",SUMPRODUCT((반품접수!$C$3:$C$1002=$A136)*1,IFERROR(SUMIFS(처리내역!$E$3:$E$1502,처리내역!$B$3:$B$1502,반품접수!$A$3:$A$1002,처리내역!$D$3:$D$1502,"폐기"),0)))</f>
        <v/>
      </c>
      <c r="G136" s="26" t="str">
        <f aca="false">IF($A136="","",IF($B136=0,"",($B136-$D136)/$B136))</f>
        <v/>
      </c>
    </row>
    <row r="137" customFormat="false" ht="15" hidden="false" customHeight="true" outlineLevel="0" collapsed="false">
      <c r="A137" s="12" t="str">
        <f aca="false">IF(거래처목록!$A134="","",거래처목록!$A134)</f>
        <v/>
      </c>
      <c r="B137" s="25" t="str">
        <f aca="false">IF($A137="","",COUNTIFS(반품접수!$C$3:$C$1002,$A137,반품접수!$B$3:$B$1002,"&gt;="&amp;DATE($B$3,1,1),반품접수!$B$3:$B$1002,"&lt;="&amp;DATE($B$3,12,31)))</f>
        <v/>
      </c>
      <c r="C137" s="25" t="str">
        <f aca="false">IF($A137="","",SUMIFS(반품접수!$I$3:$I$1002,반품접수!$C$3:$C$1002,$A137,반품접수!$B$3:$B$1002,"&gt;="&amp;DATE($B$3,1,1),반품접수!$B$3:$B$1002,"&lt;="&amp;DATE($B$3,12,31)))</f>
        <v/>
      </c>
      <c r="D137" s="25" t="str">
        <f aca="false">IF($A137="","",COUNTIFS(반품접수!$C$3:$C$1002,$A137,반품접수!$O$3:$O$1002,"미처리",반품접수!$B$3:$B$1002,"&gt;="&amp;DATE($B$3,1,1),반품접수!$B$3:$B$1002,"&lt;="&amp;DATE($B$3,12,31))+COUNTIFS(반품접수!$C$3:$C$1002,$A137,반품접수!$O$3:$O$1002,"부분처리",반품접수!$B$3:$B$1002,"&gt;="&amp;DATE($B$3,1,1),반품접수!$B$3:$B$1002,"&lt;="&amp;DATE($B$3,12,31)))</f>
        <v/>
      </c>
      <c r="E137" s="25" t="str">
        <f aca="false">IF($A137="","",SUMPRODUCT((반품접수!$C$3:$C$1002=$A137)*1,IFERROR(SUMIFS(처리내역!$E$3:$E$1502,처리내역!$B$3:$B$1502,반품접수!$A$3:$A$1002,처리내역!$D$3:$D$1502,"재입고"),0)))</f>
        <v/>
      </c>
      <c r="F137" s="25" t="str">
        <f aca="false">IF($A137="","",SUMPRODUCT((반품접수!$C$3:$C$1002=$A137)*1,IFERROR(SUMIFS(처리내역!$E$3:$E$1502,처리내역!$B$3:$B$1502,반품접수!$A$3:$A$1002,처리내역!$D$3:$D$1502,"폐기"),0)))</f>
        <v/>
      </c>
      <c r="G137" s="26" t="str">
        <f aca="false">IF($A137="","",IF($B137=0,"",($B137-$D137)/$B137))</f>
        <v/>
      </c>
    </row>
    <row r="138" customFormat="false" ht="15" hidden="false" customHeight="true" outlineLevel="0" collapsed="false">
      <c r="A138" s="12" t="str">
        <f aca="false">IF(거래처목록!$A135="","",거래처목록!$A135)</f>
        <v/>
      </c>
      <c r="B138" s="25" t="str">
        <f aca="false">IF($A138="","",COUNTIFS(반품접수!$C$3:$C$1002,$A138,반품접수!$B$3:$B$1002,"&gt;="&amp;DATE($B$3,1,1),반품접수!$B$3:$B$1002,"&lt;="&amp;DATE($B$3,12,31)))</f>
        <v/>
      </c>
      <c r="C138" s="25" t="str">
        <f aca="false">IF($A138="","",SUMIFS(반품접수!$I$3:$I$1002,반품접수!$C$3:$C$1002,$A138,반품접수!$B$3:$B$1002,"&gt;="&amp;DATE($B$3,1,1),반품접수!$B$3:$B$1002,"&lt;="&amp;DATE($B$3,12,31)))</f>
        <v/>
      </c>
      <c r="D138" s="25" t="str">
        <f aca="false">IF($A138="","",COUNTIFS(반품접수!$C$3:$C$1002,$A138,반품접수!$O$3:$O$1002,"미처리",반품접수!$B$3:$B$1002,"&gt;="&amp;DATE($B$3,1,1),반품접수!$B$3:$B$1002,"&lt;="&amp;DATE($B$3,12,31))+COUNTIFS(반품접수!$C$3:$C$1002,$A138,반품접수!$O$3:$O$1002,"부분처리",반품접수!$B$3:$B$1002,"&gt;="&amp;DATE($B$3,1,1),반품접수!$B$3:$B$1002,"&lt;="&amp;DATE($B$3,12,31)))</f>
        <v/>
      </c>
      <c r="E138" s="25" t="str">
        <f aca="false">IF($A138="","",SUMPRODUCT((반품접수!$C$3:$C$1002=$A138)*1,IFERROR(SUMIFS(처리내역!$E$3:$E$1502,처리내역!$B$3:$B$1502,반품접수!$A$3:$A$1002,처리내역!$D$3:$D$1502,"재입고"),0)))</f>
        <v/>
      </c>
      <c r="F138" s="25" t="str">
        <f aca="false">IF($A138="","",SUMPRODUCT((반품접수!$C$3:$C$1002=$A138)*1,IFERROR(SUMIFS(처리내역!$E$3:$E$1502,처리내역!$B$3:$B$1502,반품접수!$A$3:$A$1002,처리내역!$D$3:$D$1502,"폐기"),0)))</f>
        <v/>
      </c>
      <c r="G138" s="26" t="str">
        <f aca="false">IF($A138="","",IF($B138=0,"",($B138-$D138)/$B138))</f>
        <v/>
      </c>
    </row>
    <row r="139" customFormat="false" ht="15" hidden="false" customHeight="true" outlineLevel="0" collapsed="false">
      <c r="A139" s="12" t="str">
        <f aca="false">IF(거래처목록!$A136="","",거래처목록!$A136)</f>
        <v/>
      </c>
      <c r="B139" s="25" t="str">
        <f aca="false">IF($A139="","",COUNTIFS(반품접수!$C$3:$C$1002,$A139,반품접수!$B$3:$B$1002,"&gt;="&amp;DATE($B$3,1,1),반품접수!$B$3:$B$1002,"&lt;="&amp;DATE($B$3,12,31)))</f>
        <v/>
      </c>
      <c r="C139" s="25" t="str">
        <f aca="false">IF($A139="","",SUMIFS(반품접수!$I$3:$I$1002,반품접수!$C$3:$C$1002,$A139,반품접수!$B$3:$B$1002,"&gt;="&amp;DATE($B$3,1,1),반품접수!$B$3:$B$1002,"&lt;="&amp;DATE($B$3,12,31)))</f>
        <v/>
      </c>
      <c r="D139" s="25" t="str">
        <f aca="false">IF($A139="","",COUNTIFS(반품접수!$C$3:$C$1002,$A139,반품접수!$O$3:$O$1002,"미처리",반품접수!$B$3:$B$1002,"&gt;="&amp;DATE($B$3,1,1),반품접수!$B$3:$B$1002,"&lt;="&amp;DATE($B$3,12,31))+COUNTIFS(반품접수!$C$3:$C$1002,$A139,반품접수!$O$3:$O$1002,"부분처리",반품접수!$B$3:$B$1002,"&gt;="&amp;DATE($B$3,1,1),반품접수!$B$3:$B$1002,"&lt;="&amp;DATE($B$3,12,31)))</f>
        <v/>
      </c>
      <c r="E139" s="25" t="str">
        <f aca="false">IF($A139="","",SUMPRODUCT((반품접수!$C$3:$C$1002=$A139)*1,IFERROR(SUMIFS(처리내역!$E$3:$E$1502,처리내역!$B$3:$B$1502,반품접수!$A$3:$A$1002,처리내역!$D$3:$D$1502,"재입고"),0)))</f>
        <v/>
      </c>
      <c r="F139" s="25" t="str">
        <f aca="false">IF($A139="","",SUMPRODUCT((반품접수!$C$3:$C$1002=$A139)*1,IFERROR(SUMIFS(처리내역!$E$3:$E$1502,처리내역!$B$3:$B$1502,반품접수!$A$3:$A$1002,처리내역!$D$3:$D$1502,"폐기"),0)))</f>
        <v/>
      </c>
      <c r="G139" s="26" t="str">
        <f aca="false">IF($A139="","",IF($B139=0,"",($B139-$D139)/$B139))</f>
        <v/>
      </c>
    </row>
    <row r="140" customFormat="false" ht="15" hidden="false" customHeight="true" outlineLevel="0" collapsed="false">
      <c r="A140" s="12" t="str">
        <f aca="false">IF(거래처목록!$A137="","",거래처목록!$A137)</f>
        <v/>
      </c>
      <c r="B140" s="25" t="str">
        <f aca="false">IF($A140="","",COUNTIFS(반품접수!$C$3:$C$1002,$A140,반품접수!$B$3:$B$1002,"&gt;="&amp;DATE($B$3,1,1),반품접수!$B$3:$B$1002,"&lt;="&amp;DATE($B$3,12,31)))</f>
        <v/>
      </c>
      <c r="C140" s="25" t="str">
        <f aca="false">IF($A140="","",SUMIFS(반품접수!$I$3:$I$1002,반품접수!$C$3:$C$1002,$A140,반품접수!$B$3:$B$1002,"&gt;="&amp;DATE($B$3,1,1),반품접수!$B$3:$B$1002,"&lt;="&amp;DATE($B$3,12,31)))</f>
        <v/>
      </c>
      <c r="D140" s="25" t="str">
        <f aca="false">IF($A140="","",COUNTIFS(반품접수!$C$3:$C$1002,$A140,반품접수!$O$3:$O$1002,"미처리",반품접수!$B$3:$B$1002,"&gt;="&amp;DATE($B$3,1,1),반품접수!$B$3:$B$1002,"&lt;="&amp;DATE($B$3,12,31))+COUNTIFS(반품접수!$C$3:$C$1002,$A140,반품접수!$O$3:$O$1002,"부분처리",반품접수!$B$3:$B$1002,"&gt;="&amp;DATE($B$3,1,1),반품접수!$B$3:$B$1002,"&lt;="&amp;DATE($B$3,12,31)))</f>
        <v/>
      </c>
      <c r="E140" s="25" t="str">
        <f aca="false">IF($A140="","",SUMPRODUCT((반품접수!$C$3:$C$1002=$A140)*1,IFERROR(SUMIFS(처리내역!$E$3:$E$1502,처리내역!$B$3:$B$1502,반품접수!$A$3:$A$1002,처리내역!$D$3:$D$1502,"재입고"),0)))</f>
        <v/>
      </c>
      <c r="F140" s="25" t="str">
        <f aca="false">IF($A140="","",SUMPRODUCT((반품접수!$C$3:$C$1002=$A140)*1,IFERROR(SUMIFS(처리내역!$E$3:$E$1502,처리내역!$B$3:$B$1502,반품접수!$A$3:$A$1002,처리내역!$D$3:$D$1502,"폐기"),0)))</f>
        <v/>
      </c>
      <c r="G140" s="26" t="str">
        <f aca="false">IF($A140="","",IF($B140=0,"",($B140-$D140)/$B140))</f>
        <v/>
      </c>
    </row>
    <row r="141" customFormat="false" ht="15" hidden="false" customHeight="true" outlineLevel="0" collapsed="false">
      <c r="A141" s="12" t="str">
        <f aca="false">IF(거래처목록!$A138="","",거래처목록!$A138)</f>
        <v/>
      </c>
      <c r="B141" s="25" t="str">
        <f aca="false">IF($A141="","",COUNTIFS(반품접수!$C$3:$C$1002,$A141,반품접수!$B$3:$B$1002,"&gt;="&amp;DATE($B$3,1,1),반품접수!$B$3:$B$1002,"&lt;="&amp;DATE($B$3,12,31)))</f>
        <v/>
      </c>
      <c r="C141" s="25" t="str">
        <f aca="false">IF($A141="","",SUMIFS(반품접수!$I$3:$I$1002,반품접수!$C$3:$C$1002,$A141,반품접수!$B$3:$B$1002,"&gt;="&amp;DATE($B$3,1,1),반품접수!$B$3:$B$1002,"&lt;="&amp;DATE($B$3,12,31)))</f>
        <v/>
      </c>
      <c r="D141" s="25" t="str">
        <f aca="false">IF($A141="","",COUNTIFS(반품접수!$C$3:$C$1002,$A141,반품접수!$O$3:$O$1002,"미처리",반품접수!$B$3:$B$1002,"&gt;="&amp;DATE($B$3,1,1),반품접수!$B$3:$B$1002,"&lt;="&amp;DATE($B$3,12,31))+COUNTIFS(반품접수!$C$3:$C$1002,$A141,반품접수!$O$3:$O$1002,"부분처리",반품접수!$B$3:$B$1002,"&gt;="&amp;DATE($B$3,1,1),반품접수!$B$3:$B$1002,"&lt;="&amp;DATE($B$3,12,31)))</f>
        <v/>
      </c>
      <c r="E141" s="25" t="str">
        <f aca="false">IF($A141="","",SUMPRODUCT((반품접수!$C$3:$C$1002=$A141)*1,IFERROR(SUMIFS(처리내역!$E$3:$E$1502,처리내역!$B$3:$B$1502,반품접수!$A$3:$A$1002,처리내역!$D$3:$D$1502,"재입고"),0)))</f>
        <v/>
      </c>
      <c r="F141" s="25" t="str">
        <f aca="false">IF($A141="","",SUMPRODUCT((반품접수!$C$3:$C$1002=$A141)*1,IFERROR(SUMIFS(처리내역!$E$3:$E$1502,처리내역!$B$3:$B$1502,반품접수!$A$3:$A$1002,처리내역!$D$3:$D$1502,"폐기"),0)))</f>
        <v/>
      </c>
      <c r="G141" s="26" t="str">
        <f aca="false">IF($A141="","",IF($B141=0,"",($B141-$D141)/$B141))</f>
        <v/>
      </c>
    </row>
    <row r="142" customFormat="false" ht="15" hidden="false" customHeight="true" outlineLevel="0" collapsed="false">
      <c r="A142" s="12" t="str">
        <f aca="false">IF(거래처목록!$A139="","",거래처목록!$A139)</f>
        <v/>
      </c>
      <c r="B142" s="25" t="str">
        <f aca="false">IF($A142="","",COUNTIFS(반품접수!$C$3:$C$1002,$A142,반품접수!$B$3:$B$1002,"&gt;="&amp;DATE($B$3,1,1),반품접수!$B$3:$B$1002,"&lt;="&amp;DATE($B$3,12,31)))</f>
        <v/>
      </c>
      <c r="C142" s="25" t="str">
        <f aca="false">IF($A142="","",SUMIFS(반품접수!$I$3:$I$1002,반품접수!$C$3:$C$1002,$A142,반품접수!$B$3:$B$1002,"&gt;="&amp;DATE($B$3,1,1),반품접수!$B$3:$B$1002,"&lt;="&amp;DATE($B$3,12,31)))</f>
        <v/>
      </c>
      <c r="D142" s="25" t="str">
        <f aca="false">IF($A142="","",COUNTIFS(반품접수!$C$3:$C$1002,$A142,반품접수!$O$3:$O$1002,"미처리",반품접수!$B$3:$B$1002,"&gt;="&amp;DATE($B$3,1,1),반품접수!$B$3:$B$1002,"&lt;="&amp;DATE($B$3,12,31))+COUNTIFS(반품접수!$C$3:$C$1002,$A142,반품접수!$O$3:$O$1002,"부분처리",반품접수!$B$3:$B$1002,"&gt;="&amp;DATE($B$3,1,1),반품접수!$B$3:$B$1002,"&lt;="&amp;DATE($B$3,12,31)))</f>
        <v/>
      </c>
      <c r="E142" s="25" t="str">
        <f aca="false">IF($A142="","",SUMPRODUCT((반품접수!$C$3:$C$1002=$A142)*1,IFERROR(SUMIFS(처리내역!$E$3:$E$1502,처리내역!$B$3:$B$1502,반품접수!$A$3:$A$1002,처리내역!$D$3:$D$1502,"재입고"),0)))</f>
        <v/>
      </c>
      <c r="F142" s="25" t="str">
        <f aca="false">IF($A142="","",SUMPRODUCT((반품접수!$C$3:$C$1002=$A142)*1,IFERROR(SUMIFS(처리내역!$E$3:$E$1502,처리내역!$B$3:$B$1502,반품접수!$A$3:$A$1002,처리내역!$D$3:$D$1502,"폐기"),0)))</f>
        <v/>
      </c>
      <c r="G142" s="26" t="str">
        <f aca="false">IF($A142="","",IF($B142=0,"",($B142-$D142)/$B142))</f>
        <v/>
      </c>
    </row>
    <row r="143" customFormat="false" ht="15" hidden="false" customHeight="true" outlineLevel="0" collapsed="false">
      <c r="A143" s="12" t="str">
        <f aca="false">IF(거래처목록!$A140="","",거래처목록!$A140)</f>
        <v/>
      </c>
      <c r="B143" s="25" t="str">
        <f aca="false">IF($A143="","",COUNTIFS(반품접수!$C$3:$C$1002,$A143,반품접수!$B$3:$B$1002,"&gt;="&amp;DATE($B$3,1,1),반품접수!$B$3:$B$1002,"&lt;="&amp;DATE($B$3,12,31)))</f>
        <v/>
      </c>
      <c r="C143" s="25" t="str">
        <f aca="false">IF($A143="","",SUMIFS(반품접수!$I$3:$I$1002,반품접수!$C$3:$C$1002,$A143,반품접수!$B$3:$B$1002,"&gt;="&amp;DATE($B$3,1,1),반품접수!$B$3:$B$1002,"&lt;="&amp;DATE($B$3,12,31)))</f>
        <v/>
      </c>
      <c r="D143" s="25" t="str">
        <f aca="false">IF($A143="","",COUNTIFS(반품접수!$C$3:$C$1002,$A143,반품접수!$O$3:$O$1002,"미처리",반품접수!$B$3:$B$1002,"&gt;="&amp;DATE($B$3,1,1),반품접수!$B$3:$B$1002,"&lt;="&amp;DATE($B$3,12,31))+COUNTIFS(반품접수!$C$3:$C$1002,$A143,반품접수!$O$3:$O$1002,"부분처리",반품접수!$B$3:$B$1002,"&gt;="&amp;DATE($B$3,1,1),반품접수!$B$3:$B$1002,"&lt;="&amp;DATE($B$3,12,31)))</f>
        <v/>
      </c>
      <c r="E143" s="25" t="str">
        <f aca="false">IF($A143="","",SUMPRODUCT((반품접수!$C$3:$C$1002=$A143)*1,IFERROR(SUMIFS(처리내역!$E$3:$E$1502,처리내역!$B$3:$B$1502,반품접수!$A$3:$A$1002,처리내역!$D$3:$D$1502,"재입고"),0)))</f>
        <v/>
      </c>
      <c r="F143" s="25" t="str">
        <f aca="false">IF($A143="","",SUMPRODUCT((반품접수!$C$3:$C$1002=$A143)*1,IFERROR(SUMIFS(처리내역!$E$3:$E$1502,처리내역!$B$3:$B$1502,반품접수!$A$3:$A$1002,처리내역!$D$3:$D$1502,"폐기"),0)))</f>
        <v/>
      </c>
      <c r="G143" s="26" t="str">
        <f aca="false">IF($A143="","",IF($B143=0,"",($B143-$D143)/$B143))</f>
        <v/>
      </c>
    </row>
    <row r="144" customFormat="false" ht="15" hidden="false" customHeight="true" outlineLevel="0" collapsed="false">
      <c r="A144" s="12" t="str">
        <f aca="false">IF(거래처목록!$A141="","",거래처목록!$A141)</f>
        <v/>
      </c>
      <c r="B144" s="25" t="str">
        <f aca="false">IF($A144="","",COUNTIFS(반품접수!$C$3:$C$1002,$A144,반품접수!$B$3:$B$1002,"&gt;="&amp;DATE($B$3,1,1),반품접수!$B$3:$B$1002,"&lt;="&amp;DATE($B$3,12,31)))</f>
        <v/>
      </c>
      <c r="C144" s="25" t="str">
        <f aca="false">IF($A144="","",SUMIFS(반품접수!$I$3:$I$1002,반품접수!$C$3:$C$1002,$A144,반품접수!$B$3:$B$1002,"&gt;="&amp;DATE($B$3,1,1),반품접수!$B$3:$B$1002,"&lt;="&amp;DATE($B$3,12,31)))</f>
        <v/>
      </c>
      <c r="D144" s="25" t="str">
        <f aca="false">IF($A144="","",COUNTIFS(반품접수!$C$3:$C$1002,$A144,반품접수!$O$3:$O$1002,"미처리",반품접수!$B$3:$B$1002,"&gt;="&amp;DATE($B$3,1,1),반품접수!$B$3:$B$1002,"&lt;="&amp;DATE($B$3,12,31))+COUNTIFS(반품접수!$C$3:$C$1002,$A144,반품접수!$O$3:$O$1002,"부분처리",반품접수!$B$3:$B$1002,"&gt;="&amp;DATE($B$3,1,1),반품접수!$B$3:$B$1002,"&lt;="&amp;DATE($B$3,12,31)))</f>
        <v/>
      </c>
      <c r="E144" s="25" t="str">
        <f aca="false">IF($A144="","",SUMPRODUCT((반품접수!$C$3:$C$1002=$A144)*1,IFERROR(SUMIFS(처리내역!$E$3:$E$1502,처리내역!$B$3:$B$1502,반품접수!$A$3:$A$1002,처리내역!$D$3:$D$1502,"재입고"),0)))</f>
        <v/>
      </c>
      <c r="F144" s="25" t="str">
        <f aca="false">IF($A144="","",SUMPRODUCT((반품접수!$C$3:$C$1002=$A144)*1,IFERROR(SUMIFS(처리내역!$E$3:$E$1502,처리내역!$B$3:$B$1502,반품접수!$A$3:$A$1002,처리내역!$D$3:$D$1502,"폐기"),0)))</f>
        <v/>
      </c>
      <c r="G144" s="26" t="str">
        <f aca="false">IF($A144="","",IF($B144=0,"",($B144-$D144)/$B144))</f>
        <v/>
      </c>
    </row>
    <row r="145" customFormat="false" ht="15" hidden="false" customHeight="true" outlineLevel="0" collapsed="false">
      <c r="A145" s="12" t="str">
        <f aca="false">IF(거래처목록!$A142="","",거래처목록!$A142)</f>
        <v/>
      </c>
      <c r="B145" s="25" t="str">
        <f aca="false">IF($A145="","",COUNTIFS(반품접수!$C$3:$C$1002,$A145,반품접수!$B$3:$B$1002,"&gt;="&amp;DATE($B$3,1,1),반품접수!$B$3:$B$1002,"&lt;="&amp;DATE($B$3,12,31)))</f>
        <v/>
      </c>
      <c r="C145" s="25" t="str">
        <f aca="false">IF($A145="","",SUMIFS(반품접수!$I$3:$I$1002,반품접수!$C$3:$C$1002,$A145,반품접수!$B$3:$B$1002,"&gt;="&amp;DATE($B$3,1,1),반품접수!$B$3:$B$1002,"&lt;="&amp;DATE($B$3,12,31)))</f>
        <v/>
      </c>
      <c r="D145" s="25" t="str">
        <f aca="false">IF($A145="","",COUNTIFS(반품접수!$C$3:$C$1002,$A145,반품접수!$O$3:$O$1002,"미처리",반품접수!$B$3:$B$1002,"&gt;="&amp;DATE($B$3,1,1),반품접수!$B$3:$B$1002,"&lt;="&amp;DATE($B$3,12,31))+COUNTIFS(반품접수!$C$3:$C$1002,$A145,반품접수!$O$3:$O$1002,"부분처리",반품접수!$B$3:$B$1002,"&gt;="&amp;DATE($B$3,1,1),반품접수!$B$3:$B$1002,"&lt;="&amp;DATE($B$3,12,31)))</f>
        <v/>
      </c>
      <c r="E145" s="25" t="str">
        <f aca="false">IF($A145="","",SUMPRODUCT((반품접수!$C$3:$C$1002=$A145)*1,IFERROR(SUMIFS(처리내역!$E$3:$E$1502,처리내역!$B$3:$B$1502,반품접수!$A$3:$A$1002,처리내역!$D$3:$D$1502,"재입고"),0)))</f>
        <v/>
      </c>
      <c r="F145" s="25" t="str">
        <f aca="false">IF($A145="","",SUMPRODUCT((반품접수!$C$3:$C$1002=$A145)*1,IFERROR(SUMIFS(처리내역!$E$3:$E$1502,처리내역!$B$3:$B$1502,반품접수!$A$3:$A$1002,처리내역!$D$3:$D$1502,"폐기"),0)))</f>
        <v/>
      </c>
      <c r="G145" s="26" t="str">
        <f aca="false">IF($A145="","",IF($B145=0,"",($B145-$D145)/$B145))</f>
        <v/>
      </c>
    </row>
    <row r="146" customFormat="false" ht="15" hidden="false" customHeight="true" outlineLevel="0" collapsed="false">
      <c r="A146" s="12" t="str">
        <f aca="false">IF(거래처목록!$A143="","",거래처목록!$A143)</f>
        <v/>
      </c>
      <c r="B146" s="25" t="str">
        <f aca="false">IF($A146="","",COUNTIFS(반품접수!$C$3:$C$1002,$A146,반품접수!$B$3:$B$1002,"&gt;="&amp;DATE($B$3,1,1),반품접수!$B$3:$B$1002,"&lt;="&amp;DATE($B$3,12,31)))</f>
        <v/>
      </c>
      <c r="C146" s="25" t="str">
        <f aca="false">IF($A146="","",SUMIFS(반품접수!$I$3:$I$1002,반품접수!$C$3:$C$1002,$A146,반품접수!$B$3:$B$1002,"&gt;="&amp;DATE($B$3,1,1),반품접수!$B$3:$B$1002,"&lt;="&amp;DATE($B$3,12,31)))</f>
        <v/>
      </c>
      <c r="D146" s="25" t="str">
        <f aca="false">IF($A146="","",COUNTIFS(반품접수!$C$3:$C$1002,$A146,반품접수!$O$3:$O$1002,"미처리",반품접수!$B$3:$B$1002,"&gt;="&amp;DATE($B$3,1,1),반품접수!$B$3:$B$1002,"&lt;="&amp;DATE($B$3,12,31))+COUNTIFS(반품접수!$C$3:$C$1002,$A146,반품접수!$O$3:$O$1002,"부분처리",반품접수!$B$3:$B$1002,"&gt;="&amp;DATE($B$3,1,1),반품접수!$B$3:$B$1002,"&lt;="&amp;DATE($B$3,12,31)))</f>
        <v/>
      </c>
      <c r="E146" s="25" t="str">
        <f aca="false">IF($A146="","",SUMPRODUCT((반품접수!$C$3:$C$1002=$A146)*1,IFERROR(SUMIFS(처리내역!$E$3:$E$1502,처리내역!$B$3:$B$1502,반품접수!$A$3:$A$1002,처리내역!$D$3:$D$1502,"재입고"),0)))</f>
        <v/>
      </c>
      <c r="F146" s="25" t="str">
        <f aca="false">IF($A146="","",SUMPRODUCT((반품접수!$C$3:$C$1002=$A146)*1,IFERROR(SUMIFS(처리내역!$E$3:$E$1502,처리내역!$B$3:$B$1502,반품접수!$A$3:$A$1002,처리내역!$D$3:$D$1502,"폐기"),0)))</f>
        <v/>
      </c>
      <c r="G146" s="26" t="str">
        <f aca="false">IF($A146="","",IF($B146=0,"",($B146-$D146)/$B146))</f>
        <v/>
      </c>
    </row>
    <row r="147" customFormat="false" ht="15" hidden="false" customHeight="true" outlineLevel="0" collapsed="false">
      <c r="A147" s="12" t="str">
        <f aca="false">IF(거래처목록!$A144="","",거래처목록!$A144)</f>
        <v/>
      </c>
      <c r="B147" s="25" t="str">
        <f aca="false">IF($A147="","",COUNTIFS(반품접수!$C$3:$C$1002,$A147,반품접수!$B$3:$B$1002,"&gt;="&amp;DATE($B$3,1,1),반품접수!$B$3:$B$1002,"&lt;="&amp;DATE($B$3,12,31)))</f>
        <v/>
      </c>
      <c r="C147" s="25" t="str">
        <f aca="false">IF($A147="","",SUMIFS(반품접수!$I$3:$I$1002,반품접수!$C$3:$C$1002,$A147,반품접수!$B$3:$B$1002,"&gt;="&amp;DATE($B$3,1,1),반품접수!$B$3:$B$1002,"&lt;="&amp;DATE($B$3,12,31)))</f>
        <v/>
      </c>
      <c r="D147" s="25" t="str">
        <f aca="false">IF($A147="","",COUNTIFS(반품접수!$C$3:$C$1002,$A147,반품접수!$O$3:$O$1002,"미처리",반품접수!$B$3:$B$1002,"&gt;="&amp;DATE($B$3,1,1),반품접수!$B$3:$B$1002,"&lt;="&amp;DATE($B$3,12,31))+COUNTIFS(반품접수!$C$3:$C$1002,$A147,반품접수!$O$3:$O$1002,"부분처리",반품접수!$B$3:$B$1002,"&gt;="&amp;DATE($B$3,1,1),반품접수!$B$3:$B$1002,"&lt;="&amp;DATE($B$3,12,31)))</f>
        <v/>
      </c>
      <c r="E147" s="25" t="str">
        <f aca="false">IF($A147="","",SUMPRODUCT((반품접수!$C$3:$C$1002=$A147)*1,IFERROR(SUMIFS(처리내역!$E$3:$E$1502,처리내역!$B$3:$B$1502,반품접수!$A$3:$A$1002,처리내역!$D$3:$D$1502,"재입고"),0)))</f>
        <v/>
      </c>
      <c r="F147" s="25" t="str">
        <f aca="false">IF($A147="","",SUMPRODUCT((반품접수!$C$3:$C$1002=$A147)*1,IFERROR(SUMIFS(처리내역!$E$3:$E$1502,처리내역!$B$3:$B$1502,반품접수!$A$3:$A$1002,처리내역!$D$3:$D$1502,"폐기"),0)))</f>
        <v/>
      </c>
      <c r="G147" s="26" t="str">
        <f aca="false">IF($A147="","",IF($B147=0,"",($B147-$D147)/$B147))</f>
        <v/>
      </c>
    </row>
    <row r="148" customFormat="false" ht="15" hidden="false" customHeight="true" outlineLevel="0" collapsed="false">
      <c r="A148" s="12" t="str">
        <f aca="false">IF(거래처목록!$A145="","",거래처목록!$A145)</f>
        <v/>
      </c>
      <c r="B148" s="25" t="str">
        <f aca="false">IF($A148="","",COUNTIFS(반품접수!$C$3:$C$1002,$A148,반품접수!$B$3:$B$1002,"&gt;="&amp;DATE($B$3,1,1),반품접수!$B$3:$B$1002,"&lt;="&amp;DATE($B$3,12,31)))</f>
        <v/>
      </c>
      <c r="C148" s="25" t="str">
        <f aca="false">IF($A148="","",SUMIFS(반품접수!$I$3:$I$1002,반품접수!$C$3:$C$1002,$A148,반품접수!$B$3:$B$1002,"&gt;="&amp;DATE($B$3,1,1),반품접수!$B$3:$B$1002,"&lt;="&amp;DATE($B$3,12,31)))</f>
        <v/>
      </c>
      <c r="D148" s="25" t="str">
        <f aca="false">IF($A148="","",COUNTIFS(반품접수!$C$3:$C$1002,$A148,반품접수!$O$3:$O$1002,"미처리",반품접수!$B$3:$B$1002,"&gt;="&amp;DATE($B$3,1,1),반품접수!$B$3:$B$1002,"&lt;="&amp;DATE($B$3,12,31))+COUNTIFS(반품접수!$C$3:$C$1002,$A148,반품접수!$O$3:$O$1002,"부분처리",반품접수!$B$3:$B$1002,"&gt;="&amp;DATE($B$3,1,1),반품접수!$B$3:$B$1002,"&lt;="&amp;DATE($B$3,12,31)))</f>
        <v/>
      </c>
      <c r="E148" s="25" t="str">
        <f aca="false">IF($A148="","",SUMPRODUCT((반품접수!$C$3:$C$1002=$A148)*1,IFERROR(SUMIFS(처리내역!$E$3:$E$1502,처리내역!$B$3:$B$1502,반품접수!$A$3:$A$1002,처리내역!$D$3:$D$1502,"재입고"),0)))</f>
        <v/>
      </c>
      <c r="F148" s="25" t="str">
        <f aca="false">IF($A148="","",SUMPRODUCT((반품접수!$C$3:$C$1002=$A148)*1,IFERROR(SUMIFS(처리내역!$E$3:$E$1502,처리내역!$B$3:$B$1502,반품접수!$A$3:$A$1002,처리내역!$D$3:$D$1502,"폐기"),0)))</f>
        <v/>
      </c>
      <c r="G148" s="26" t="str">
        <f aca="false">IF($A148="","",IF($B148=0,"",($B148-$D148)/$B148))</f>
        <v/>
      </c>
    </row>
    <row r="149" customFormat="false" ht="15" hidden="false" customHeight="true" outlineLevel="0" collapsed="false">
      <c r="A149" s="12" t="str">
        <f aca="false">IF(거래처목록!$A146="","",거래처목록!$A146)</f>
        <v/>
      </c>
      <c r="B149" s="25" t="str">
        <f aca="false">IF($A149="","",COUNTIFS(반품접수!$C$3:$C$1002,$A149,반품접수!$B$3:$B$1002,"&gt;="&amp;DATE($B$3,1,1),반품접수!$B$3:$B$1002,"&lt;="&amp;DATE($B$3,12,31)))</f>
        <v/>
      </c>
      <c r="C149" s="25" t="str">
        <f aca="false">IF($A149="","",SUMIFS(반품접수!$I$3:$I$1002,반품접수!$C$3:$C$1002,$A149,반품접수!$B$3:$B$1002,"&gt;="&amp;DATE($B$3,1,1),반품접수!$B$3:$B$1002,"&lt;="&amp;DATE($B$3,12,31)))</f>
        <v/>
      </c>
      <c r="D149" s="25" t="str">
        <f aca="false">IF($A149="","",COUNTIFS(반품접수!$C$3:$C$1002,$A149,반품접수!$O$3:$O$1002,"미처리",반품접수!$B$3:$B$1002,"&gt;="&amp;DATE($B$3,1,1),반품접수!$B$3:$B$1002,"&lt;="&amp;DATE($B$3,12,31))+COUNTIFS(반품접수!$C$3:$C$1002,$A149,반품접수!$O$3:$O$1002,"부분처리",반품접수!$B$3:$B$1002,"&gt;="&amp;DATE($B$3,1,1),반품접수!$B$3:$B$1002,"&lt;="&amp;DATE($B$3,12,31)))</f>
        <v/>
      </c>
      <c r="E149" s="25" t="str">
        <f aca="false">IF($A149="","",SUMPRODUCT((반품접수!$C$3:$C$1002=$A149)*1,IFERROR(SUMIFS(처리내역!$E$3:$E$1502,처리내역!$B$3:$B$1502,반품접수!$A$3:$A$1002,처리내역!$D$3:$D$1502,"재입고"),0)))</f>
        <v/>
      </c>
      <c r="F149" s="25" t="str">
        <f aca="false">IF($A149="","",SUMPRODUCT((반품접수!$C$3:$C$1002=$A149)*1,IFERROR(SUMIFS(처리내역!$E$3:$E$1502,처리내역!$B$3:$B$1502,반품접수!$A$3:$A$1002,처리내역!$D$3:$D$1502,"폐기"),0)))</f>
        <v/>
      </c>
      <c r="G149" s="26" t="str">
        <f aca="false">IF($A149="","",IF($B149=0,"",($B149-$D149)/$B149))</f>
        <v/>
      </c>
    </row>
    <row r="150" customFormat="false" ht="15" hidden="false" customHeight="true" outlineLevel="0" collapsed="false">
      <c r="A150" s="12" t="str">
        <f aca="false">IF(거래처목록!$A147="","",거래처목록!$A147)</f>
        <v/>
      </c>
      <c r="B150" s="25" t="str">
        <f aca="false">IF($A150="","",COUNTIFS(반품접수!$C$3:$C$1002,$A150,반품접수!$B$3:$B$1002,"&gt;="&amp;DATE($B$3,1,1),반품접수!$B$3:$B$1002,"&lt;="&amp;DATE($B$3,12,31)))</f>
        <v/>
      </c>
      <c r="C150" s="25" t="str">
        <f aca="false">IF($A150="","",SUMIFS(반품접수!$I$3:$I$1002,반품접수!$C$3:$C$1002,$A150,반품접수!$B$3:$B$1002,"&gt;="&amp;DATE($B$3,1,1),반품접수!$B$3:$B$1002,"&lt;="&amp;DATE($B$3,12,31)))</f>
        <v/>
      </c>
      <c r="D150" s="25" t="str">
        <f aca="false">IF($A150="","",COUNTIFS(반품접수!$C$3:$C$1002,$A150,반품접수!$O$3:$O$1002,"미처리",반품접수!$B$3:$B$1002,"&gt;="&amp;DATE($B$3,1,1),반품접수!$B$3:$B$1002,"&lt;="&amp;DATE($B$3,12,31))+COUNTIFS(반품접수!$C$3:$C$1002,$A150,반품접수!$O$3:$O$1002,"부분처리",반품접수!$B$3:$B$1002,"&gt;="&amp;DATE($B$3,1,1),반품접수!$B$3:$B$1002,"&lt;="&amp;DATE($B$3,12,31)))</f>
        <v/>
      </c>
      <c r="E150" s="25" t="str">
        <f aca="false">IF($A150="","",SUMPRODUCT((반품접수!$C$3:$C$1002=$A150)*1,IFERROR(SUMIFS(처리내역!$E$3:$E$1502,처리내역!$B$3:$B$1502,반품접수!$A$3:$A$1002,처리내역!$D$3:$D$1502,"재입고"),0)))</f>
        <v/>
      </c>
      <c r="F150" s="25" t="str">
        <f aca="false">IF($A150="","",SUMPRODUCT((반품접수!$C$3:$C$1002=$A150)*1,IFERROR(SUMIFS(처리내역!$E$3:$E$1502,처리내역!$B$3:$B$1502,반품접수!$A$3:$A$1002,처리내역!$D$3:$D$1502,"폐기"),0)))</f>
        <v/>
      </c>
      <c r="G150" s="26" t="str">
        <f aca="false">IF($A150="","",IF($B150=0,"",($B150-$D150)/$B150))</f>
        <v/>
      </c>
    </row>
    <row r="151" customFormat="false" ht="15" hidden="false" customHeight="true" outlineLevel="0" collapsed="false">
      <c r="A151" s="12" t="str">
        <f aca="false">IF(거래처목록!$A148="","",거래처목록!$A148)</f>
        <v/>
      </c>
      <c r="B151" s="25" t="str">
        <f aca="false">IF($A151="","",COUNTIFS(반품접수!$C$3:$C$1002,$A151,반품접수!$B$3:$B$1002,"&gt;="&amp;DATE($B$3,1,1),반품접수!$B$3:$B$1002,"&lt;="&amp;DATE($B$3,12,31)))</f>
        <v/>
      </c>
      <c r="C151" s="25" t="str">
        <f aca="false">IF($A151="","",SUMIFS(반품접수!$I$3:$I$1002,반품접수!$C$3:$C$1002,$A151,반품접수!$B$3:$B$1002,"&gt;="&amp;DATE($B$3,1,1),반품접수!$B$3:$B$1002,"&lt;="&amp;DATE($B$3,12,31)))</f>
        <v/>
      </c>
      <c r="D151" s="25" t="str">
        <f aca="false">IF($A151="","",COUNTIFS(반품접수!$C$3:$C$1002,$A151,반품접수!$O$3:$O$1002,"미처리",반품접수!$B$3:$B$1002,"&gt;="&amp;DATE($B$3,1,1),반품접수!$B$3:$B$1002,"&lt;="&amp;DATE($B$3,12,31))+COUNTIFS(반품접수!$C$3:$C$1002,$A151,반품접수!$O$3:$O$1002,"부분처리",반품접수!$B$3:$B$1002,"&gt;="&amp;DATE($B$3,1,1),반품접수!$B$3:$B$1002,"&lt;="&amp;DATE($B$3,12,31)))</f>
        <v/>
      </c>
      <c r="E151" s="25" t="str">
        <f aca="false">IF($A151="","",SUMPRODUCT((반품접수!$C$3:$C$1002=$A151)*1,IFERROR(SUMIFS(처리내역!$E$3:$E$1502,처리내역!$B$3:$B$1502,반품접수!$A$3:$A$1002,처리내역!$D$3:$D$1502,"재입고"),0)))</f>
        <v/>
      </c>
      <c r="F151" s="25" t="str">
        <f aca="false">IF($A151="","",SUMPRODUCT((반품접수!$C$3:$C$1002=$A151)*1,IFERROR(SUMIFS(처리내역!$E$3:$E$1502,처리내역!$B$3:$B$1502,반품접수!$A$3:$A$1002,처리내역!$D$3:$D$1502,"폐기"),0)))</f>
        <v/>
      </c>
      <c r="G151" s="26" t="str">
        <f aca="false">IF($A151="","",IF($B151=0,"",($B151-$D151)/$B151))</f>
        <v/>
      </c>
    </row>
    <row r="152" customFormat="false" ht="15" hidden="false" customHeight="true" outlineLevel="0" collapsed="false">
      <c r="A152" s="12" t="str">
        <f aca="false">IF(거래처목록!$A149="","",거래처목록!$A149)</f>
        <v/>
      </c>
      <c r="B152" s="25" t="str">
        <f aca="false">IF($A152="","",COUNTIFS(반품접수!$C$3:$C$1002,$A152,반품접수!$B$3:$B$1002,"&gt;="&amp;DATE($B$3,1,1),반품접수!$B$3:$B$1002,"&lt;="&amp;DATE($B$3,12,31)))</f>
        <v/>
      </c>
      <c r="C152" s="25" t="str">
        <f aca="false">IF($A152="","",SUMIFS(반품접수!$I$3:$I$1002,반품접수!$C$3:$C$1002,$A152,반품접수!$B$3:$B$1002,"&gt;="&amp;DATE($B$3,1,1),반품접수!$B$3:$B$1002,"&lt;="&amp;DATE($B$3,12,31)))</f>
        <v/>
      </c>
      <c r="D152" s="25" t="str">
        <f aca="false">IF($A152="","",COUNTIFS(반품접수!$C$3:$C$1002,$A152,반품접수!$O$3:$O$1002,"미처리",반품접수!$B$3:$B$1002,"&gt;="&amp;DATE($B$3,1,1),반품접수!$B$3:$B$1002,"&lt;="&amp;DATE($B$3,12,31))+COUNTIFS(반품접수!$C$3:$C$1002,$A152,반품접수!$O$3:$O$1002,"부분처리",반품접수!$B$3:$B$1002,"&gt;="&amp;DATE($B$3,1,1),반품접수!$B$3:$B$1002,"&lt;="&amp;DATE($B$3,12,31)))</f>
        <v/>
      </c>
      <c r="E152" s="25" t="str">
        <f aca="false">IF($A152="","",SUMPRODUCT((반품접수!$C$3:$C$1002=$A152)*1,IFERROR(SUMIFS(처리내역!$E$3:$E$1502,처리내역!$B$3:$B$1502,반품접수!$A$3:$A$1002,처리내역!$D$3:$D$1502,"재입고"),0)))</f>
        <v/>
      </c>
      <c r="F152" s="25" t="str">
        <f aca="false">IF($A152="","",SUMPRODUCT((반품접수!$C$3:$C$1002=$A152)*1,IFERROR(SUMIFS(처리내역!$E$3:$E$1502,처리내역!$B$3:$B$1502,반품접수!$A$3:$A$1002,처리내역!$D$3:$D$1502,"폐기"),0)))</f>
        <v/>
      </c>
      <c r="G152" s="26" t="str">
        <f aca="false">IF($A152="","",IF($B152=0,"",($B152-$D152)/$B152))</f>
        <v/>
      </c>
    </row>
    <row r="153" customFormat="false" ht="15" hidden="false" customHeight="true" outlineLevel="0" collapsed="false">
      <c r="A153" s="12" t="str">
        <f aca="false">IF(거래처목록!$A150="","",거래처목록!$A150)</f>
        <v/>
      </c>
      <c r="B153" s="25" t="str">
        <f aca="false">IF($A153="","",COUNTIFS(반품접수!$C$3:$C$1002,$A153,반품접수!$B$3:$B$1002,"&gt;="&amp;DATE($B$3,1,1),반품접수!$B$3:$B$1002,"&lt;="&amp;DATE($B$3,12,31)))</f>
        <v/>
      </c>
      <c r="C153" s="25" t="str">
        <f aca="false">IF($A153="","",SUMIFS(반품접수!$I$3:$I$1002,반품접수!$C$3:$C$1002,$A153,반품접수!$B$3:$B$1002,"&gt;="&amp;DATE($B$3,1,1),반품접수!$B$3:$B$1002,"&lt;="&amp;DATE($B$3,12,31)))</f>
        <v/>
      </c>
      <c r="D153" s="25" t="str">
        <f aca="false">IF($A153="","",COUNTIFS(반품접수!$C$3:$C$1002,$A153,반품접수!$O$3:$O$1002,"미처리",반품접수!$B$3:$B$1002,"&gt;="&amp;DATE($B$3,1,1),반품접수!$B$3:$B$1002,"&lt;="&amp;DATE($B$3,12,31))+COUNTIFS(반품접수!$C$3:$C$1002,$A153,반품접수!$O$3:$O$1002,"부분처리",반품접수!$B$3:$B$1002,"&gt;="&amp;DATE($B$3,1,1),반품접수!$B$3:$B$1002,"&lt;="&amp;DATE($B$3,12,31)))</f>
        <v/>
      </c>
      <c r="E153" s="25" t="str">
        <f aca="false">IF($A153="","",SUMPRODUCT((반품접수!$C$3:$C$1002=$A153)*1,IFERROR(SUMIFS(처리내역!$E$3:$E$1502,처리내역!$B$3:$B$1502,반품접수!$A$3:$A$1002,처리내역!$D$3:$D$1502,"재입고"),0)))</f>
        <v/>
      </c>
      <c r="F153" s="25" t="str">
        <f aca="false">IF($A153="","",SUMPRODUCT((반품접수!$C$3:$C$1002=$A153)*1,IFERROR(SUMIFS(처리내역!$E$3:$E$1502,처리내역!$B$3:$B$1502,반품접수!$A$3:$A$1002,처리내역!$D$3:$D$1502,"폐기"),0)))</f>
        <v/>
      </c>
      <c r="G153" s="26" t="str">
        <f aca="false">IF($A153="","",IF($B153=0,"",($B153-$D153)/$B153))</f>
        <v/>
      </c>
    </row>
    <row r="154" customFormat="false" ht="15" hidden="false" customHeight="true" outlineLevel="0" collapsed="false">
      <c r="A154" s="12" t="str">
        <f aca="false">IF(거래처목록!$A151="","",거래처목록!$A151)</f>
        <v/>
      </c>
      <c r="B154" s="25" t="str">
        <f aca="false">IF($A154="","",COUNTIFS(반품접수!$C$3:$C$1002,$A154,반품접수!$B$3:$B$1002,"&gt;="&amp;DATE($B$3,1,1),반품접수!$B$3:$B$1002,"&lt;="&amp;DATE($B$3,12,31)))</f>
        <v/>
      </c>
      <c r="C154" s="25" t="str">
        <f aca="false">IF($A154="","",SUMIFS(반품접수!$I$3:$I$1002,반품접수!$C$3:$C$1002,$A154,반품접수!$B$3:$B$1002,"&gt;="&amp;DATE($B$3,1,1),반품접수!$B$3:$B$1002,"&lt;="&amp;DATE($B$3,12,31)))</f>
        <v/>
      </c>
      <c r="D154" s="25" t="str">
        <f aca="false">IF($A154="","",COUNTIFS(반품접수!$C$3:$C$1002,$A154,반품접수!$O$3:$O$1002,"미처리",반품접수!$B$3:$B$1002,"&gt;="&amp;DATE($B$3,1,1),반품접수!$B$3:$B$1002,"&lt;="&amp;DATE($B$3,12,31))+COUNTIFS(반품접수!$C$3:$C$1002,$A154,반품접수!$O$3:$O$1002,"부분처리",반품접수!$B$3:$B$1002,"&gt;="&amp;DATE($B$3,1,1),반품접수!$B$3:$B$1002,"&lt;="&amp;DATE($B$3,12,31)))</f>
        <v/>
      </c>
      <c r="E154" s="25" t="str">
        <f aca="false">IF($A154="","",SUMPRODUCT((반품접수!$C$3:$C$1002=$A154)*1,IFERROR(SUMIFS(처리내역!$E$3:$E$1502,처리내역!$B$3:$B$1502,반품접수!$A$3:$A$1002,처리내역!$D$3:$D$1502,"재입고"),0)))</f>
        <v/>
      </c>
      <c r="F154" s="25" t="str">
        <f aca="false">IF($A154="","",SUMPRODUCT((반품접수!$C$3:$C$1002=$A154)*1,IFERROR(SUMIFS(처리내역!$E$3:$E$1502,처리내역!$B$3:$B$1502,반품접수!$A$3:$A$1002,처리내역!$D$3:$D$1502,"폐기"),0)))</f>
        <v/>
      </c>
      <c r="G154" s="26" t="str">
        <f aca="false">IF($A154="","",IF($B154=0,"",($B154-$D154)/$B154))</f>
        <v/>
      </c>
    </row>
    <row r="155" customFormat="false" ht="15" hidden="false" customHeight="true" outlineLevel="0" collapsed="false">
      <c r="A155" s="12" t="str">
        <f aca="false">IF(거래처목록!$A152="","",거래처목록!$A152)</f>
        <v/>
      </c>
      <c r="B155" s="25" t="str">
        <f aca="false">IF($A155="","",COUNTIFS(반품접수!$C$3:$C$1002,$A155,반품접수!$B$3:$B$1002,"&gt;="&amp;DATE($B$3,1,1),반품접수!$B$3:$B$1002,"&lt;="&amp;DATE($B$3,12,31)))</f>
        <v/>
      </c>
      <c r="C155" s="25" t="str">
        <f aca="false">IF($A155="","",SUMIFS(반품접수!$I$3:$I$1002,반품접수!$C$3:$C$1002,$A155,반품접수!$B$3:$B$1002,"&gt;="&amp;DATE($B$3,1,1),반품접수!$B$3:$B$1002,"&lt;="&amp;DATE($B$3,12,31)))</f>
        <v/>
      </c>
      <c r="D155" s="25" t="str">
        <f aca="false">IF($A155="","",COUNTIFS(반품접수!$C$3:$C$1002,$A155,반품접수!$O$3:$O$1002,"미처리",반품접수!$B$3:$B$1002,"&gt;="&amp;DATE($B$3,1,1),반품접수!$B$3:$B$1002,"&lt;="&amp;DATE($B$3,12,31))+COUNTIFS(반품접수!$C$3:$C$1002,$A155,반품접수!$O$3:$O$1002,"부분처리",반품접수!$B$3:$B$1002,"&gt;="&amp;DATE($B$3,1,1),반품접수!$B$3:$B$1002,"&lt;="&amp;DATE($B$3,12,31)))</f>
        <v/>
      </c>
      <c r="E155" s="25" t="str">
        <f aca="false">IF($A155="","",SUMPRODUCT((반품접수!$C$3:$C$1002=$A155)*1,IFERROR(SUMIFS(처리내역!$E$3:$E$1502,처리내역!$B$3:$B$1502,반품접수!$A$3:$A$1002,처리내역!$D$3:$D$1502,"재입고"),0)))</f>
        <v/>
      </c>
      <c r="F155" s="25" t="str">
        <f aca="false">IF($A155="","",SUMPRODUCT((반품접수!$C$3:$C$1002=$A155)*1,IFERROR(SUMIFS(처리내역!$E$3:$E$1502,처리내역!$B$3:$B$1502,반품접수!$A$3:$A$1002,처리내역!$D$3:$D$1502,"폐기"),0)))</f>
        <v/>
      </c>
      <c r="G155" s="26" t="str">
        <f aca="false">IF($A155="","",IF($B155=0,"",($B155-$D155)/$B155))</f>
        <v/>
      </c>
    </row>
    <row r="156" customFormat="false" ht="15" hidden="false" customHeight="true" outlineLevel="0" collapsed="false">
      <c r="A156" s="12" t="str">
        <f aca="false">IF(거래처목록!$A153="","",거래처목록!$A153)</f>
        <v/>
      </c>
      <c r="B156" s="25" t="str">
        <f aca="false">IF($A156="","",COUNTIFS(반품접수!$C$3:$C$1002,$A156,반품접수!$B$3:$B$1002,"&gt;="&amp;DATE($B$3,1,1),반품접수!$B$3:$B$1002,"&lt;="&amp;DATE($B$3,12,31)))</f>
        <v/>
      </c>
      <c r="C156" s="25" t="str">
        <f aca="false">IF($A156="","",SUMIFS(반품접수!$I$3:$I$1002,반품접수!$C$3:$C$1002,$A156,반품접수!$B$3:$B$1002,"&gt;="&amp;DATE($B$3,1,1),반품접수!$B$3:$B$1002,"&lt;="&amp;DATE($B$3,12,31)))</f>
        <v/>
      </c>
      <c r="D156" s="25" t="str">
        <f aca="false">IF($A156="","",COUNTIFS(반품접수!$C$3:$C$1002,$A156,반품접수!$O$3:$O$1002,"미처리",반품접수!$B$3:$B$1002,"&gt;="&amp;DATE($B$3,1,1),반품접수!$B$3:$B$1002,"&lt;="&amp;DATE($B$3,12,31))+COUNTIFS(반품접수!$C$3:$C$1002,$A156,반품접수!$O$3:$O$1002,"부분처리",반품접수!$B$3:$B$1002,"&gt;="&amp;DATE($B$3,1,1),반품접수!$B$3:$B$1002,"&lt;="&amp;DATE($B$3,12,31)))</f>
        <v/>
      </c>
      <c r="E156" s="25" t="str">
        <f aca="false">IF($A156="","",SUMPRODUCT((반품접수!$C$3:$C$1002=$A156)*1,IFERROR(SUMIFS(처리내역!$E$3:$E$1502,처리내역!$B$3:$B$1502,반품접수!$A$3:$A$1002,처리내역!$D$3:$D$1502,"재입고"),0)))</f>
        <v/>
      </c>
      <c r="F156" s="25" t="str">
        <f aca="false">IF($A156="","",SUMPRODUCT((반품접수!$C$3:$C$1002=$A156)*1,IFERROR(SUMIFS(처리내역!$E$3:$E$1502,처리내역!$B$3:$B$1502,반품접수!$A$3:$A$1002,처리내역!$D$3:$D$1502,"폐기"),0)))</f>
        <v/>
      </c>
      <c r="G156" s="26" t="str">
        <f aca="false">IF($A156="","",IF($B156=0,"",($B156-$D156)/$B156))</f>
        <v/>
      </c>
    </row>
    <row r="157" customFormat="false" ht="15" hidden="false" customHeight="true" outlineLevel="0" collapsed="false">
      <c r="A157" s="12" t="str">
        <f aca="false">IF(거래처목록!$A154="","",거래처목록!$A154)</f>
        <v/>
      </c>
      <c r="B157" s="25" t="str">
        <f aca="false">IF($A157="","",COUNTIFS(반품접수!$C$3:$C$1002,$A157,반품접수!$B$3:$B$1002,"&gt;="&amp;DATE($B$3,1,1),반품접수!$B$3:$B$1002,"&lt;="&amp;DATE($B$3,12,31)))</f>
        <v/>
      </c>
      <c r="C157" s="25" t="str">
        <f aca="false">IF($A157="","",SUMIFS(반품접수!$I$3:$I$1002,반품접수!$C$3:$C$1002,$A157,반품접수!$B$3:$B$1002,"&gt;="&amp;DATE($B$3,1,1),반품접수!$B$3:$B$1002,"&lt;="&amp;DATE($B$3,12,31)))</f>
        <v/>
      </c>
      <c r="D157" s="25" t="str">
        <f aca="false">IF($A157="","",COUNTIFS(반품접수!$C$3:$C$1002,$A157,반품접수!$O$3:$O$1002,"미처리",반품접수!$B$3:$B$1002,"&gt;="&amp;DATE($B$3,1,1),반품접수!$B$3:$B$1002,"&lt;="&amp;DATE($B$3,12,31))+COUNTIFS(반품접수!$C$3:$C$1002,$A157,반품접수!$O$3:$O$1002,"부분처리",반품접수!$B$3:$B$1002,"&gt;="&amp;DATE($B$3,1,1),반품접수!$B$3:$B$1002,"&lt;="&amp;DATE($B$3,12,31)))</f>
        <v/>
      </c>
      <c r="E157" s="25" t="str">
        <f aca="false">IF($A157="","",SUMPRODUCT((반품접수!$C$3:$C$1002=$A157)*1,IFERROR(SUMIFS(처리내역!$E$3:$E$1502,처리내역!$B$3:$B$1502,반품접수!$A$3:$A$1002,처리내역!$D$3:$D$1502,"재입고"),0)))</f>
        <v/>
      </c>
      <c r="F157" s="25" t="str">
        <f aca="false">IF($A157="","",SUMPRODUCT((반품접수!$C$3:$C$1002=$A157)*1,IFERROR(SUMIFS(처리내역!$E$3:$E$1502,처리내역!$B$3:$B$1502,반품접수!$A$3:$A$1002,처리내역!$D$3:$D$1502,"폐기"),0)))</f>
        <v/>
      </c>
      <c r="G157" s="26" t="str">
        <f aca="false">IF($A157="","",IF($B157=0,"",($B157-$D157)/$B157))</f>
        <v/>
      </c>
    </row>
    <row r="158" customFormat="false" ht="15" hidden="false" customHeight="true" outlineLevel="0" collapsed="false">
      <c r="A158" s="12" t="str">
        <f aca="false">IF(거래처목록!$A155="","",거래처목록!$A155)</f>
        <v/>
      </c>
      <c r="B158" s="25" t="str">
        <f aca="false">IF($A158="","",COUNTIFS(반품접수!$C$3:$C$1002,$A158,반품접수!$B$3:$B$1002,"&gt;="&amp;DATE($B$3,1,1),반품접수!$B$3:$B$1002,"&lt;="&amp;DATE($B$3,12,31)))</f>
        <v/>
      </c>
      <c r="C158" s="25" t="str">
        <f aca="false">IF($A158="","",SUMIFS(반품접수!$I$3:$I$1002,반품접수!$C$3:$C$1002,$A158,반품접수!$B$3:$B$1002,"&gt;="&amp;DATE($B$3,1,1),반품접수!$B$3:$B$1002,"&lt;="&amp;DATE($B$3,12,31)))</f>
        <v/>
      </c>
      <c r="D158" s="25" t="str">
        <f aca="false">IF($A158="","",COUNTIFS(반품접수!$C$3:$C$1002,$A158,반품접수!$O$3:$O$1002,"미처리",반품접수!$B$3:$B$1002,"&gt;="&amp;DATE($B$3,1,1),반품접수!$B$3:$B$1002,"&lt;="&amp;DATE($B$3,12,31))+COUNTIFS(반품접수!$C$3:$C$1002,$A158,반품접수!$O$3:$O$1002,"부분처리",반품접수!$B$3:$B$1002,"&gt;="&amp;DATE($B$3,1,1),반품접수!$B$3:$B$1002,"&lt;="&amp;DATE($B$3,12,31)))</f>
        <v/>
      </c>
      <c r="E158" s="25" t="str">
        <f aca="false">IF($A158="","",SUMPRODUCT((반품접수!$C$3:$C$1002=$A158)*1,IFERROR(SUMIFS(처리내역!$E$3:$E$1502,처리내역!$B$3:$B$1502,반품접수!$A$3:$A$1002,처리내역!$D$3:$D$1502,"재입고"),0)))</f>
        <v/>
      </c>
      <c r="F158" s="25" t="str">
        <f aca="false">IF($A158="","",SUMPRODUCT((반품접수!$C$3:$C$1002=$A158)*1,IFERROR(SUMIFS(처리내역!$E$3:$E$1502,처리내역!$B$3:$B$1502,반품접수!$A$3:$A$1002,처리내역!$D$3:$D$1502,"폐기"),0)))</f>
        <v/>
      </c>
      <c r="G158" s="26" t="str">
        <f aca="false">IF($A158="","",IF($B158=0,"",($B158-$D158)/$B158))</f>
        <v/>
      </c>
    </row>
    <row r="159" customFormat="false" ht="15" hidden="false" customHeight="true" outlineLevel="0" collapsed="false">
      <c r="A159" s="12" t="str">
        <f aca="false">IF(거래처목록!$A156="","",거래처목록!$A156)</f>
        <v/>
      </c>
      <c r="B159" s="25" t="str">
        <f aca="false">IF($A159="","",COUNTIFS(반품접수!$C$3:$C$1002,$A159,반품접수!$B$3:$B$1002,"&gt;="&amp;DATE($B$3,1,1),반품접수!$B$3:$B$1002,"&lt;="&amp;DATE($B$3,12,31)))</f>
        <v/>
      </c>
      <c r="C159" s="25" t="str">
        <f aca="false">IF($A159="","",SUMIFS(반품접수!$I$3:$I$1002,반품접수!$C$3:$C$1002,$A159,반품접수!$B$3:$B$1002,"&gt;="&amp;DATE($B$3,1,1),반품접수!$B$3:$B$1002,"&lt;="&amp;DATE($B$3,12,31)))</f>
        <v/>
      </c>
      <c r="D159" s="25" t="str">
        <f aca="false">IF($A159="","",COUNTIFS(반품접수!$C$3:$C$1002,$A159,반품접수!$O$3:$O$1002,"미처리",반품접수!$B$3:$B$1002,"&gt;="&amp;DATE($B$3,1,1),반품접수!$B$3:$B$1002,"&lt;="&amp;DATE($B$3,12,31))+COUNTIFS(반품접수!$C$3:$C$1002,$A159,반품접수!$O$3:$O$1002,"부분처리",반품접수!$B$3:$B$1002,"&gt;="&amp;DATE($B$3,1,1),반품접수!$B$3:$B$1002,"&lt;="&amp;DATE($B$3,12,31)))</f>
        <v/>
      </c>
      <c r="E159" s="25" t="str">
        <f aca="false">IF($A159="","",SUMPRODUCT((반품접수!$C$3:$C$1002=$A159)*1,IFERROR(SUMIFS(처리내역!$E$3:$E$1502,처리내역!$B$3:$B$1502,반품접수!$A$3:$A$1002,처리내역!$D$3:$D$1502,"재입고"),0)))</f>
        <v/>
      </c>
      <c r="F159" s="25" t="str">
        <f aca="false">IF($A159="","",SUMPRODUCT((반품접수!$C$3:$C$1002=$A159)*1,IFERROR(SUMIFS(처리내역!$E$3:$E$1502,처리내역!$B$3:$B$1502,반품접수!$A$3:$A$1002,처리내역!$D$3:$D$1502,"폐기"),0)))</f>
        <v/>
      </c>
      <c r="G159" s="26" t="str">
        <f aca="false">IF($A159="","",IF($B159=0,"",($B159-$D159)/$B159))</f>
        <v/>
      </c>
    </row>
    <row r="160" customFormat="false" ht="15" hidden="false" customHeight="true" outlineLevel="0" collapsed="false">
      <c r="A160" s="12" t="str">
        <f aca="false">IF(거래처목록!$A157="","",거래처목록!$A157)</f>
        <v/>
      </c>
      <c r="B160" s="25" t="str">
        <f aca="false">IF($A160="","",COUNTIFS(반품접수!$C$3:$C$1002,$A160,반품접수!$B$3:$B$1002,"&gt;="&amp;DATE($B$3,1,1),반품접수!$B$3:$B$1002,"&lt;="&amp;DATE($B$3,12,31)))</f>
        <v/>
      </c>
      <c r="C160" s="25" t="str">
        <f aca="false">IF($A160="","",SUMIFS(반품접수!$I$3:$I$1002,반품접수!$C$3:$C$1002,$A160,반품접수!$B$3:$B$1002,"&gt;="&amp;DATE($B$3,1,1),반품접수!$B$3:$B$1002,"&lt;="&amp;DATE($B$3,12,31)))</f>
        <v/>
      </c>
      <c r="D160" s="25" t="str">
        <f aca="false">IF($A160="","",COUNTIFS(반품접수!$C$3:$C$1002,$A160,반품접수!$O$3:$O$1002,"미처리",반품접수!$B$3:$B$1002,"&gt;="&amp;DATE($B$3,1,1),반품접수!$B$3:$B$1002,"&lt;="&amp;DATE($B$3,12,31))+COUNTIFS(반품접수!$C$3:$C$1002,$A160,반품접수!$O$3:$O$1002,"부분처리",반품접수!$B$3:$B$1002,"&gt;="&amp;DATE($B$3,1,1),반품접수!$B$3:$B$1002,"&lt;="&amp;DATE($B$3,12,31)))</f>
        <v/>
      </c>
      <c r="E160" s="25" t="str">
        <f aca="false">IF($A160="","",SUMPRODUCT((반품접수!$C$3:$C$1002=$A160)*1,IFERROR(SUMIFS(처리내역!$E$3:$E$1502,처리내역!$B$3:$B$1502,반품접수!$A$3:$A$1002,처리내역!$D$3:$D$1502,"재입고"),0)))</f>
        <v/>
      </c>
      <c r="F160" s="25" t="str">
        <f aca="false">IF($A160="","",SUMPRODUCT((반품접수!$C$3:$C$1002=$A160)*1,IFERROR(SUMIFS(처리내역!$E$3:$E$1502,처리내역!$B$3:$B$1502,반품접수!$A$3:$A$1002,처리내역!$D$3:$D$1502,"폐기"),0)))</f>
        <v/>
      </c>
      <c r="G160" s="26" t="str">
        <f aca="false">IF($A160="","",IF($B160=0,"",($B160-$D160)/$B160))</f>
        <v/>
      </c>
    </row>
    <row r="161" customFormat="false" ht="15" hidden="false" customHeight="true" outlineLevel="0" collapsed="false">
      <c r="A161" s="12" t="str">
        <f aca="false">IF(거래처목록!$A158="","",거래처목록!$A158)</f>
        <v/>
      </c>
      <c r="B161" s="25" t="str">
        <f aca="false">IF($A161="","",COUNTIFS(반품접수!$C$3:$C$1002,$A161,반품접수!$B$3:$B$1002,"&gt;="&amp;DATE($B$3,1,1),반품접수!$B$3:$B$1002,"&lt;="&amp;DATE($B$3,12,31)))</f>
        <v/>
      </c>
      <c r="C161" s="25" t="str">
        <f aca="false">IF($A161="","",SUMIFS(반품접수!$I$3:$I$1002,반품접수!$C$3:$C$1002,$A161,반품접수!$B$3:$B$1002,"&gt;="&amp;DATE($B$3,1,1),반품접수!$B$3:$B$1002,"&lt;="&amp;DATE($B$3,12,31)))</f>
        <v/>
      </c>
      <c r="D161" s="25" t="str">
        <f aca="false">IF($A161="","",COUNTIFS(반품접수!$C$3:$C$1002,$A161,반품접수!$O$3:$O$1002,"미처리",반품접수!$B$3:$B$1002,"&gt;="&amp;DATE($B$3,1,1),반품접수!$B$3:$B$1002,"&lt;="&amp;DATE($B$3,12,31))+COUNTIFS(반품접수!$C$3:$C$1002,$A161,반품접수!$O$3:$O$1002,"부분처리",반품접수!$B$3:$B$1002,"&gt;="&amp;DATE($B$3,1,1),반품접수!$B$3:$B$1002,"&lt;="&amp;DATE($B$3,12,31)))</f>
        <v/>
      </c>
      <c r="E161" s="25" t="str">
        <f aca="false">IF($A161="","",SUMPRODUCT((반품접수!$C$3:$C$1002=$A161)*1,IFERROR(SUMIFS(처리내역!$E$3:$E$1502,처리내역!$B$3:$B$1502,반품접수!$A$3:$A$1002,처리내역!$D$3:$D$1502,"재입고"),0)))</f>
        <v/>
      </c>
      <c r="F161" s="25" t="str">
        <f aca="false">IF($A161="","",SUMPRODUCT((반품접수!$C$3:$C$1002=$A161)*1,IFERROR(SUMIFS(처리내역!$E$3:$E$1502,처리내역!$B$3:$B$1502,반품접수!$A$3:$A$1002,처리내역!$D$3:$D$1502,"폐기"),0)))</f>
        <v/>
      </c>
      <c r="G161" s="26" t="str">
        <f aca="false">IF($A161="","",IF($B161=0,"",($B161-$D161)/$B161))</f>
        <v/>
      </c>
    </row>
    <row r="162" customFormat="false" ht="15" hidden="false" customHeight="true" outlineLevel="0" collapsed="false">
      <c r="A162" s="12" t="str">
        <f aca="false">IF(거래처목록!$A159="","",거래처목록!$A159)</f>
        <v/>
      </c>
      <c r="B162" s="25" t="str">
        <f aca="false">IF($A162="","",COUNTIFS(반품접수!$C$3:$C$1002,$A162,반품접수!$B$3:$B$1002,"&gt;="&amp;DATE($B$3,1,1),반품접수!$B$3:$B$1002,"&lt;="&amp;DATE($B$3,12,31)))</f>
        <v/>
      </c>
      <c r="C162" s="25" t="str">
        <f aca="false">IF($A162="","",SUMIFS(반품접수!$I$3:$I$1002,반품접수!$C$3:$C$1002,$A162,반품접수!$B$3:$B$1002,"&gt;="&amp;DATE($B$3,1,1),반품접수!$B$3:$B$1002,"&lt;="&amp;DATE($B$3,12,31)))</f>
        <v/>
      </c>
      <c r="D162" s="25" t="str">
        <f aca="false">IF($A162="","",COUNTIFS(반품접수!$C$3:$C$1002,$A162,반품접수!$O$3:$O$1002,"미처리",반품접수!$B$3:$B$1002,"&gt;="&amp;DATE($B$3,1,1),반품접수!$B$3:$B$1002,"&lt;="&amp;DATE($B$3,12,31))+COUNTIFS(반품접수!$C$3:$C$1002,$A162,반품접수!$O$3:$O$1002,"부분처리",반품접수!$B$3:$B$1002,"&gt;="&amp;DATE($B$3,1,1),반품접수!$B$3:$B$1002,"&lt;="&amp;DATE($B$3,12,31)))</f>
        <v/>
      </c>
      <c r="E162" s="25" t="str">
        <f aca="false">IF($A162="","",SUMPRODUCT((반품접수!$C$3:$C$1002=$A162)*1,IFERROR(SUMIFS(처리내역!$E$3:$E$1502,처리내역!$B$3:$B$1502,반품접수!$A$3:$A$1002,처리내역!$D$3:$D$1502,"재입고"),0)))</f>
        <v/>
      </c>
      <c r="F162" s="25" t="str">
        <f aca="false">IF($A162="","",SUMPRODUCT((반품접수!$C$3:$C$1002=$A162)*1,IFERROR(SUMIFS(처리내역!$E$3:$E$1502,처리내역!$B$3:$B$1502,반품접수!$A$3:$A$1002,처리내역!$D$3:$D$1502,"폐기"),0)))</f>
        <v/>
      </c>
      <c r="G162" s="26" t="str">
        <f aca="false">IF($A162="","",IF($B162=0,"",($B162-$D162)/$B162))</f>
        <v/>
      </c>
    </row>
    <row r="163" customFormat="false" ht="15" hidden="false" customHeight="true" outlineLevel="0" collapsed="false">
      <c r="A163" s="12" t="str">
        <f aca="false">IF(거래처목록!$A160="","",거래처목록!$A160)</f>
        <v/>
      </c>
      <c r="B163" s="25" t="str">
        <f aca="false">IF($A163="","",COUNTIFS(반품접수!$C$3:$C$1002,$A163,반품접수!$B$3:$B$1002,"&gt;="&amp;DATE($B$3,1,1),반품접수!$B$3:$B$1002,"&lt;="&amp;DATE($B$3,12,31)))</f>
        <v/>
      </c>
      <c r="C163" s="25" t="str">
        <f aca="false">IF($A163="","",SUMIFS(반품접수!$I$3:$I$1002,반품접수!$C$3:$C$1002,$A163,반품접수!$B$3:$B$1002,"&gt;="&amp;DATE($B$3,1,1),반품접수!$B$3:$B$1002,"&lt;="&amp;DATE($B$3,12,31)))</f>
        <v/>
      </c>
      <c r="D163" s="25" t="str">
        <f aca="false">IF($A163="","",COUNTIFS(반품접수!$C$3:$C$1002,$A163,반품접수!$O$3:$O$1002,"미처리",반품접수!$B$3:$B$1002,"&gt;="&amp;DATE($B$3,1,1),반품접수!$B$3:$B$1002,"&lt;="&amp;DATE($B$3,12,31))+COUNTIFS(반품접수!$C$3:$C$1002,$A163,반품접수!$O$3:$O$1002,"부분처리",반품접수!$B$3:$B$1002,"&gt;="&amp;DATE($B$3,1,1),반품접수!$B$3:$B$1002,"&lt;="&amp;DATE($B$3,12,31)))</f>
        <v/>
      </c>
      <c r="E163" s="25" t="str">
        <f aca="false">IF($A163="","",SUMPRODUCT((반품접수!$C$3:$C$1002=$A163)*1,IFERROR(SUMIFS(처리내역!$E$3:$E$1502,처리내역!$B$3:$B$1502,반품접수!$A$3:$A$1002,처리내역!$D$3:$D$1502,"재입고"),0)))</f>
        <v/>
      </c>
      <c r="F163" s="25" t="str">
        <f aca="false">IF($A163="","",SUMPRODUCT((반품접수!$C$3:$C$1002=$A163)*1,IFERROR(SUMIFS(처리내역!$E$3:$E$1502,처리내역!$B$3:$B$1502,반품접수!$A$3:$A$1002,처리내역!$D$3:$D$1502,"폐기"),0)))</f>
        <v/>
      </c>
      <c r="G163" s="26" t="str">
        <f aca="false">IF($A163="","",IF($B163=0,"",($B163-$D163)/$B163))</f>
        <v/>
      </c>
    </row>
    <row r="164" customFormat="false" ht="15" hidden="false" customHeight="true" outlineLevel="0" collapsed="false">
      <c r="A164" s="12" t="str">
        <f aca="false">IF(거래처목록!$A161="","",거래처목록!$A161)</f>
        <v/>
      </c>
      <c r="B164" s="25" t="str">
        <f aca="false">IF($A164="","",COUNTIFS(반품접수!$C$3:$C$1002,$A164,반품접수!$B$3:$B$1002,"&gt;="&amp;DATE($B$3,1,1),반품접수!$B$3:$B$1002,"&lt;="&amp;DATE($B$3,12,31)))</f>
        <v/>
      </c>
      <c r="C164" s="25" t="str">
        <f aca="false">IF($A164="","",SUMIFS(반품접수!$I$3:$I$1002,반품접수!$C$3:$C$1002,$A164,반품접수!$B$3:$B$1002,"&gt;="&amp;DATE($B$3,1,1),반품접수!$B$3:$B$1002,"&lt;="&amp;DATE($B$3,12,31)))</f>
        <v/>
      </c>
      <c r="D164" s="25" t="str">
        <f aca="false">IF($A164="","",COUNTIFS(반품접수!$C$3:$C$1002,$A164,반품접수!$O$3:$O$1002,"미처리",반품접수!$B$3:$B$1002,"&gt;="&amp;DATE($B$3,1,1),반품접수!$B$3:$B$1002,"&lt;="&amp;DATE($B$3,12,31))+COUNTIFS(반품접수!$C$3:$C$1002,$A164,반품접수!$O$3:$O$1002,"부분처리",반품접수!$B$3:$B$1002,"&gt;="&amp;DATE($B$3,1,1),반품접수!$B$3:$B$1002,"&lt;="&amp;DATE($B$3,12,31)))</f>
        <v/>
      </c>
      <c r="E164" s="25" t="str">
        <f aca="false">IF($A164="","",SUMPRODUCT((반품접수!$C$3:$C$1002=$A164)*1,IFERROR(SUMIFS(처리내역!$E$3:$E$1502,처리내역!$B$3:$B$1502,반품접수!$A$3:$A$1002,처리내역!$D$3:$D$1502,"재입고"),0)))</f>
        <v/>
      </c>
      <c r="F164" s="25" t="str">
        <f aca="false">IF($A164="","",SUMPRODUCT((반품접수!$C$3:$C$1002=$A164)*1,IFERROR(SUMIFS(처리내역!$E$3:$E$1502,처리내역!$B$3:$B$1502,반품접수!$A$3:$A$1002,처리내역!$D$3:$D$1502,"폐기"),0)))</f>
        <v/>
      </c>
      <c r="G164" s="26" t="str">
        <f aca="false">IF($A164="","",IF($B164=0,"",($B164-$D164)/$B164))</f>
        <v/>
      </c>
    </row>
    <row r="165" customFormat="false" ht="15" hidden="false" customHeight="true" outlineLevel="0" collapsed="false">
      <c r="A165" s="12" t="str">
        <f aca="false">IF(거래처목록!$A162="","",거래처목록!$A162)</f>
        <v/>
      </c>
      <c r="B165" s="25" t="str">
        <f aca="false">IF($A165="","",COUNTIFS(반품접수!$C$3:$C$1002,$A165,반품접수!$B$3:$B$1002,"&gt;="&amp;DATE($B$3,1,1),반품접수!$B$3:$B$1002,"&lt;="&amp;DATE($B$3,12,31)))</f>
        <v/>
      </c>
      <c r="C165" s="25" t="str">
        <f aca="false">IF($A165="","",SUMIFS(반품접수!$I$3:$I$1002,반품접수!$C$3:$C$1002,$A165,반품접수!$B$3:$B$1002,"&gt;="&amp;DATE($B$3,1,1),반품접수!$B$3:$B$1002,"&lt;="&amp;DATE($B$3,12,31)))</f>
        <v/>
      </c>
      <c r="D165" s="25" t="str">
        <f aca="false">IF($A165="","",COUNTIFS(반품접수!$C$3:$C$1002,$A165,반품접수!$O$3:$O$1002,"미처리",반품접수!$B$3:$B$1002,"&gt;="&amp;DATE($B$3,1,1),반품접수!$B$3:$B$1002,"&lt;="&amp;DATE($B$3,12,31))+COUNTIFS(반품접수!$C$3:$C$1002,$A165,반품접수!$O$3:$O$1002,"부분처리",반품접수!$B$3:$B$1002,"&gt;="&amp;DATE($B$3,1,1),반품접수!$B$3:$B$1002,"&lt;="&amp;DATE($B$3,12,31)))</f>
        <v/>
      </c>
      <c r="E165" s="25" t="str">
        <f aca="false">IF($A165="","",SUMPRODUCT((반품접수!$C$3:$C$1002=$A165)*1,IFERROR(SUMIFS(처리내역!$E$3:$E$1502,처리내역!$B$3:$B$1502,반품접수!$A$3:$A$1002,처리내역!$D$3:$D$1502,"재입고"),0)))</f>
        <v/>
      </c>
      <c r="F165" s="25" t="str">
        <f aca="false">IF($A165="","",SUMPRODUCT((반품접수!$C$3:$C$1002=$A165)*1,IFERROR(SUMIFS(처리내역!$E$3:$E$1502,처리내역!$B$3:$B$1502,반품접수!$A$3:$A$1002,처리내역!$D$3:$D$1502,"폐기"),0)))</f>
        <v/>
      </c>
      <c r="G165" s="26" t="str">
        <f aca="false">IF($A165="","",IF($B165=0,"",($B165-$D165)/$B165))</f>
        <v/>
      </c>
    </row>
    <row r="166" customFormat="false" ht="15" hidden="false" customHeight="true" outlineLevel="0" collapsed="false">
      <c r="A166" s="12" t="str">
        <f aca="false">IF(거래처목록!$A163="","",거래처목록!$A163)</f>
        <v/>
      </c>
      <c r="B166" s="25" t="str">
        <f aca="false">IF($A166="","",COUNTIFS(반품접수!$C$3:$C$1002,$A166,반품접수!$B$3:$B$1002,"&gt;="&amp;DATE($B$3,1,1),반품접수!$B$3:$B$1002,"&lt;="&amp;DATE($B$3,12,31)))</f>
        <v/>
      </c>
      <c r="C166" s="25" t="str">
        <f aca="false">IF($A166="","",SUMIFS(반품접수!$I$3:$I$1002,반품접수!$C$3:$C$1002,$A166,반품접수!$B$3:$B$1002,"&gt;="&amp;DATE($B$3,1,1),반품접수!$B$3:$B$1002,"&lt;="&amp;DATE($B$3,12,31)))</f>
        <v/>
      </c>
      <c r="D166" s="25" t="str">
        <f aca="false">IF($A166="","",COUNTIFS(반품접수!$C$3:$C$1002,$A166,반품접수!$O$3:$O$1002,"미처리",반품접수!$B$3:$B$1002,"&gt;="&amp;DATE($B$3,1,1),반품접수!$B$3:$B$1002,"&lt;="&amp;DATE($B$3,12,31))+COUNTIFS(반품접수!$C$3:$C$1002,$A166,반품접수!$O$3:$O$1002,"부분처리",반품접수!$B$3:$B$1002,"&gt;="&amp;DATE($B$3,1,1),반품접수!$B$3:$B$1002,"&lt;="&amp;DATE($B$3,12,31)))</f>
        <v/>
      </c>
      <c r="E166" s="25" t="str">
        <f aca="false">IF($A166="","",SUMPRODUCT((반품접수!$C$3:$C$1002=$A166)*1,IFERROR(SUMIFS(처리내역!$E$3:$E$1502,처리내역!$B$3:$B$1502,반품접수!$A$3:$A$1002,처리내역!$D$3:$D$1502,"재입고"),0)))</f>
        <v/>
      </c>
      <c r="F166" s="25" t="str">
        <f aca="false">IF($A166="","",SUMPRODUCT((반품접수!$C$3:$C$1002=$A166)*1,IFERROR(SUMIFS(처리내역!$E$3:$E$1502,처리내역!$B$3:$B$1502,반품접수!$A$3:$A$1002,처리내역!$D$3:$D$1502,"폐기"),0)))</f>
        <v/>
      </c>
      <c r="G166" s="26" t="str">
        <f aca="false">IF($A166="","",IF($B166=0,"",($B166-$D166)/$B166))</f>
        <v/>
      </c>
    </row>
    <row r="167" customFormat="false" ht="15" hidden="false" customHeight="true" outlineLevel="0" collapsed="false">
      <c r="A167" s="12" t="str">
        <f aca="false">IF(거래처목록!$A164="","",거래처목록!$A164)</f>
        <v/>
      </c>
      <c r="B167" s="25" t="str">
        <f aca="false">IF($A167="","",COUNTIFS(반품접수!$C$3:$C$1002,$A167,반품접수!$B$3:$B$1002,"&gt;="&amp;DATE($B$3,1,1),반품접수!$B$3:$B$1002,"&lt;="&amp;DATE($B$3,12,31)))</f>
        <v/>
      </c>
      <c r="C167" s="25" t="str">
        <f aca="false">IF($A167="","",SUMIFS(반품접수!$I$3:$I$1002,반품접수!$C$3:$C$1002,$A167,반품접수!$B$3:$B$1002,"&gt;="&amp;DATE($B$3,1,1),반품접수!$B$3:$B$1002,"&lt;="&amp;DATE($B$3,12,31)))</f>
        <v/>
      </c>
      <c r="D167" s="25" t="str">
        <f aca="false">IF($A167="","",COUNTIFS(반품접수!$C$3:$C$1002,$A167,반품접수!$O$3:$O$1002,"미처리",반품접수!$B$3:$B$1002,"&gt;="&amp;DATE($B$3,1,1),반품접수!$B$3:$B$1002,"&lt;="&amp;DATE($B$3,12,31))+COUNTIFS(반품접수!$C$3:$C$1002,$A167,반품접수!$O$3:$O$1002,"부분처리",반품접수!$B$3:$B$1002,"&gt;="&amp;DATE($B$3,1,1),반품접수!$B$3:$B$1002,"&lt;="&amp;DATE($B$3,12,31)))</f>
        <v/>
      </c>
      <c r="E167" s="25" t="str">
        <f aca="false">IF($A167="","",SUMPRODUCT((반품접수!$C$3:$C$1002=$A167)*1,IFERROR(SUMIFS(처리내역!$E$3:$E$1502,처리내역!$B$3:$B$1502,반품접수!$A$3:$A$1002,처리내역!$D$3:$D$1502,"재입고"),0)))</f>
        <v/>
      </c>
      <c r="F167" s="25" t="str">
        <f aca="false">IF($A167="","",SUMPRODUCT((반품접수!$C$3:$C$1002=$A167)*1,IFERROR(SUMIFS(처리내역!$E$3:$E$1502,처리내역!$B$3:$B$1502,반품접수!$A$3:$A$1002,처리내역!$D$3:$D$1502,"폐기"),0)))</f>
        <v/>
      </c>
      <c r="G167" s="26" t="str">
        <f aca="false">IF($A167="","",IF($B167=0,"",($B167-$D167)/$B167))</f>
        <v/>
      </c>
    </row>
    <row r="168" customFormat="false" ht="15" hidden="false" customHeight="true" outlineLevel="0" collapsed="false">
      <c r="A168" s="12" t="str">
        <f aca="false">IF(거래처목록!$A165="","",거래처목록!$A165)</f>
        <v/>
      </c>
      <c r="B168" s="25" t="str">
        <f aca="false">IF($A168="","",COUNTIFS(반품접수!$C$3:$C$1002,$A168,반품접수!$B$3:$B$1002,"&gt;="&amp;DATE($B$3,1,1),반품접수!$B$3:$B$1002,"&lt;="&amp;DATE($B$3,12,31)))</f>
        <v/>
      </c>
      <c r="C168" s="25" t="str">
        <f aca="false">IF($A168="","",SUMIFS(반품접수!$I$3:$I$1002,반품접수!$C$3:$C$1002,$A168,반품접수!$B$3:$B$1002,"&gt;="&amp;DATE($B$3,1,1),반품접수!$B$3:$B$1002,"&lt;="&amp;DATE($B$3,12,31)))</f>
        <v/>
      </c>
      <c r="D168" s="25" t="str">
        <f aca="false">IF($A168="","",COUNTIFS(반품접수!$C$3:$C$1002,$A168,반품접수!$O$3:$O$1002,"미처리",반품접수!$B$3:$B$1002,"&gt;="&amp;DATE($B$3,1,1),반품접수!$B$3:$B$1002,"&lt;="&amp;DATE($B$3,12,31))+COUNTIFS(반품접수!$C$3:$C$1002,$A168,반품접수!$O$3:$O$1002,"부분처리",반품접수!$B$3:$B$1002,"&gt;="&amp;DATE($B$3,1,1),반품접수!$B$3:$B$1002,"&lt;="&amp;DATE($B$3,12,31)))</f>
        <v/>
      </c>
      <c r="E168" s="25" t="str">
        <f aca="false">IF($A168="","",SUMPRODUCT((반품접수!$C$3:$C$1002=$A168)*1,IFERROR(SUMIFS(처리내역!$E$3:$E$1502,처리내역!$B$3:$B$1502,반품접수!$A$3:$A$1002,처리내역!$D$3:$D$1502,"재입고"),0)))</f>
        <v/>
      </c>
      <c r="F168" s="25" t="str">
        <f aca="false">IF($A168="","",SUMPRODUCT((반품접수!$C$3:$C$1002=$A168)*1,IFERROR(SUMIFS(처리내역!$E$3:$E$1502,처리내역!$B$3:$B$1502,반품접수!$A$3:$A$1002,처리내역!$D$3:$D$1502,"폐기"),0)))</f>
        <v/>
      </c>
      <c r="G168" s="26" t="str">
        <f aca="false">IF($A168="","",IF($B168=0,"",($B168-$D168)/$B168))</f>
        <v/>
      </c>
    </row>
    <row r="169" customFormat="false" ht="15" hidden="false" customHeight="true" outlineLevel="0" collapsed="false">
      <c r="A169" s="12" t="str">
        <f aca="false">IF(거래처목록!$A166="","",거래처목록!$A166)</f>
        <v/>
      </c>
      <c r="B169" s="25" t="str">
        <f aca="false">IF($A169="","",COUNTIFS(반품접수!$C$3:$C$1002,$A169,반품접수!$B$3:$B$1002,"&gt;="&amp;DATE($B$3,1,1),반품접수!$B$3:$B$1002,"&lt;="&amp;DATE($B$3,12,31)))</f>
        <v/>
      </c>
      <c r="C169" s="25" t="str">
        <f aca="false">IF($A169="","",SUMIFS(반품접수!$I$3:$I$1002,반품접수!$C$3:$C$1002,$A169,반품접수!$B$3:$B$1002,"&gt;="&amp;DATE($B$3,1,1),반품접수!$B$3:$B$1002,"&lt;="&amp;DATE($B$3,12,31)))</f>
        <v/>
      </c>
      <c r="D169" s="25" t="str">
        <f aca="false">IF($A169="","",COUNTIFS(반품접수!$C$3:$C$1002,$A169,반품접수!$O$3:$O$1002,"미처리",반품접수!$B$3:$B$1002,"&gt;="&amp;DATE($B$3,1,1),반품접수!$B$3:$B$1002,"&lt;="&amp;DATE($B$3,12,31))+COUNTIFS(반품접수!$C$3:$C$1002,$A169,반품접수!$O$3:$O$1002,"부분처리",반품접수!$B$3:$B$1002,"&gt;="&amp;DATE($B$3,1,1),반품접수!$B$3:$B$1002,"&lt;="&amp;DATE($B$3,12,31)))</f>
        <v/>
      </c>
      <c r="E169" s="25" t="str">
        <f aca="false">IF($A169="","",SUMPRODUCT((반품접수!$C$3:$C$1002=$A169)*1,IFERROR(SUMIFS(처리내역!$E$3:$E$1502,처리내역!$B$3:$B$1502,반품접수!$A$3:$A$1002,처리내역!$D$3:$D$1502,"재입고"),0)))</f>
        <v/>
      </c>
      <c r="F169" s="25" t="str">
        <f aca="false">IF($A169="","",SUMPRODUCT((반품접수!$C$3:$C$1002=$A169)*1,IFERROR(SUMIFS(처리내역!$E$3:$E$1502,처리내역!$B$3:$B$1502,반품접수!$A$3:$A$1002,처리내역!$D$3:$D$1502,"폐기"),0)))</f>
        <v/>
      </c>
      <c r="G169" s="26" t="str">
        <f aca="false">IF($A169="","",IF($B169=0,"",($B169-$D169)/$B169))</f>
        <v/>
      </c>
    </row>
    <row r="170" customFormat="false" ht="15" hidden="false" customHeight="true" outlineLevel="0" collapsed="false">
      <c r="A170" s="12" t="str">
        <f aca="false">IF(거래처목록!$A167="","",거래처목록!$A167)</f>
        <v/>
      </c>
      <c r="B170" s="25" t="str">
        <f aca="false">IF($A170="","",COUNTIFS(반품접수!$C$3:$C$1002,$A170,반품접수!$B$3:$B$1002,"&gt;="&amp;DATE($B$3,1,1),반품접수!$B$3:$B$1002,"&lt;="&amp;DATE($B$3,12,31)))</f>
        <v/>
      </c>
      <c r="C170" s="25" t="str">
        <f aca="false">IF($A170="","",SUMIFS(반품접수!$I$3:$I$1002,반품접수!$C$3:$C$1002,$A170,반품접수!$B$3:$B$1002,"&gt;="&amp;DATE($B$3,1,1),반품접수!$B$3:$B$1002,"&lt;="&amp;DATE($B$3,12,31)))</f>
        <v/>
      </c>
      <c r="D170" s="25" t="str">
        <f aca="false">IF($A170="","",COUNTIFS(반품접수!$C$3:$C$1002,$A170,반품접수!$O$3:$O$1002,"미처리",반품접수!$B$3:$B$1002,"&gt;="&amp;DATE($B$3,1,1),반품접수!$B$3:$B$1002,"&lt;="&amp;DATE($B$3,12,31))+COUNTIFS(반품접수!$C$3:$C$1002,$A170,반품접수!$O$3:$O$1002,"부분처리",반품접수!$B$3:$B$1002,"&gt;="&amp;DATE($B$3,1,1),반품접수!$B$3:$B$1002,"&lt;="&amp;DATE($B$3,12,31)))</f>
        <v/>
      </c>
      <c r="E170" s="25" t="str">
        <f aca="false">IF($A170="","",SUMPRODUCT((반품접수!$C$3:$C$1002=$A170)*1,IFERROR(SUMIFS(처리내역!$E$3:$E$1502,처리내역!$B$3:$B$1502,반품접수!$A$3:$A$1002,처리내역!$D$3:$D$1502,"재입고"),0)))</f>
        <v/>
      </c>
      <c r="F170" s="25" t="str">
        <f aca="false">IF($A170="","",SUMPRODUCT((반품접수!$C$3:$C$1002=$A170)*1,IFERROR(SUMIFS(처리내역!$E$3:$E$1502,처리내역!$B$3:$B$1502,반품접수!$A$3:$A$1002,처리내역!$D$3:$D$1502,"폐기"),0)))</f>
        <v/>
      </c>
      <c r="G170" s="26" t="str">
        <f aca="false">IF($A170="","",IF($B170=0,"",($B170-$D170)/$B170))</f>
        <v/>
      </c>
    </row>
    <row r="171" customFormat="false" ht="15" hidden="false" customHeight="true" outlineLevel="0" collapsed="false">
      <c r="A171" s="12" t="str">
        <f aca="false">IF(거래처목록!$A168="","",거래처목록!$A168)</f>
        <v/>
      </c>
      <c r="B171" s="25" t="str">
        <f aca="false">IF($A171="","",COUNTIFS(반품접수!$C$3:$C$1002,$A171,반품접수!$B$3:$B$1002,"&gt;="&amp;DATE($B$3,1,1),반품접수!$B$3:$B$1002,"&lt;="&amp;DATE($B$3,12,31)))</f>
        <v/>
      </c>
      <c r="C171" s="25" t="str">
        <f aca="false">IF($A171="","",SUMIFS(반품접수!$I$3:$I$1002,반품접수!$C$3:$C$1002,$A171,반품접수!$B$3:$B$1002,"&gt;="&amp;DATE($B$3,1,1),반품접수!$B$3:$B$1002,"&lt;="&amp;DATE($B$3,12,31)))</f>
        <v/>
      </c>
      <c r="D171" s="25" t="str">
        <f aca="false">IF($A171="","",COUNTIFS(반품접수!$C$3:$C$1002,$A171,반품접수!$O$3:$O$1002,"미처리",반품접수!$B$3:$B$1002,"&gt;="&amp;DATE($B$3,1,1),반품접수!$B$3:$B$1002,"&lt;="&amp;DATE($B$3,12,31))+COUNTIFS(반품접수!$C$3:$C$1002,$A171,반품접수!$O$3:$O$1002,"부분처리",반품접수!$B$3:$B$1002,"&gt;="&amp;DATE($B$3,1,1),반품접수!$B$3:$B$1002,"&lt;="&amp;DATE($B$3,12,31)))</f>
        <v/>
      </c>
      <c r="E171" s="25" t="str">
        <f aca="false">IF($A171="","",SUMPRODUCT((반품접수!$C$3:$C$1002=$A171)*1,IFERROR(SUMIFS(처리내역!$E$3:$E$1502,처리내역!$B$3:$B$1502,반품접수!$A$3:$A$1002,처리내역!$D$3:$D$1502,"재입고"),0)))</f>
        <v/>
      </c>
      <c r="F171" s="25" t="str">
        <f aca="false">IF($A171="","",SUMPRODUCT((반품접수!$C$3:$C$1002=$A171)*1,IFERROR(SUMIFS(처리내역!$E$3:$E$1502,처리내역!$B$3:$B$1502,반품접수!$A$3:$A$1002,처리내역!$D$3:$D$1502,"폐기"),0)))</f>
        <v/>
      </c>
      <c r="G171" s="26" t="str">
        <f aca="false">IF($A171="","",IF($B171=0,"",($B171-$D171)/$B171))</f>
        <v/>
      </c>
    </row>
    <row r="172" customFormat="false" ht="15" hidden="false" customHeight="true" outlineLevel="0" collapsed="false">
      <c r="A172" s="12" t="str">
        <f aca="false">IF(거래처목록!$A169="","",거래처목록!$A169)</f>
        <v/>
      </c>
      <c r="B172" s="25" t="str">
        <f aca="false">IF($A172="","",COUNTIFS(반품접수!$C$3:$C$1002,$A172,반품접수!$B$3:$B$1002,"&gt;="&amp;DATE($B$3,1,1),반품접수!$B$3:$B$1002,"&lt;="&amp;DATE($B$3,12,31)))</f>
        <v/>
      </c>
      <c r="C172" s="25" t="str">
        <f aca="false">IF($A172="","",SUMIFS(반품접수!$I$3:$I$1002,반품접수!$C$3:$C$1002,$A172,반품접수!$B$3:$B$1002,"&gt;="&amp;DATE($B$3,1,1),반품접수!$B$3:$B$1002,"&lt;="&amp;DATE($B$3,12,31)))</f>
        <v/>
      </c>
      <c r="D172" s="25" t="str">
        <f aca="false">IF($A172="","",COUNTIFS(반품접수!$C$3:$C$1002,$A172,반품접수!$O$3:$O$1002,"미처리",반품접수!$B$3:$B$1002,"&gt;="&amp;DATE($B$3,1,1),반품접수!$B$3:$B$1002,"&lt;="&amp;DATE($B$3,12,31))+COUNTIFS(반품접수!$C$3:$C$1002,$A172,반품접수!$O$3:$O$1002,"부분처리",반품접수!$B$3:$B$1002,"&gt;="&amp;DATE($B$3,1,1),반품접수!$B$3:$B$1002,"&lt;="&amp;DATE($B$3,12,31)))</f>
        <v/>
      </c>
      <c r="E172" s="25" t="str">
        <f aca="false">IF($A172="","",SUMPRODUCT((반품접수!$C$3:$C$1002=$A172)*1,IFERROR(SUMIFS(처리내역!$E$3:$E$1502,처리내역!$B$3:$B$1502,반품접수!$A$3:$A$1002,처리내역!$D$3:$D$1502,"재입고"),0)))</f>
        <v/>
      </c>
      <c r="F172" s="25" t="str">
        <f aca="false">IF($A172="","",SUMPRODUCT((반품접수!$C$3:$C$1002=$A172)*1,IFERROR(SUMIFS(처리내역!$E$3:$E$1502,처리내역!$B$3:$B$1502,반품접수!$A$3:$A$1002,처리내역!$D$3:$D$1502,"폐기"),0)))</f>
        <v/>
      </c>
      <c r="G172" s="26" t="str">
        <f aca="false">IF($A172="","",IF($B172=0,"",($B172-$D172)/$B172))</f>
        <v/>
      </c>
    </row>
    <row r="173" customFormat="false" ht="15" hidden="false" customHeight="true" outlineLevel="0" collapsed="false">
      <c r="A173" s="12" t="str">
        <f aca="false">IF(거래처목록!$A170="","",거래처목록!$A170)</f>
        <v/>
      </c>
      <c r="B173" s="25" t="str">
        <f aca="false">IF($A173="","",COUNTIFS(반품접수!$C$3:$C$1002,$A173,반품접수!$B$3:$B$1002,"&gt;="&amp;DATE($B$3,1,1),반품접수!$B$3:$B$1002,"&lt;="&amp;DATE($B$3,12,31)))</f>
        <v/>
      </c>
      <c r="C173" s="25" t="str">
        <f aca="false">IF($A173="","",SUMIFS(반품접수!$I$3:$I$1002,반품접수!$C$3:$C$1002,$A173,반품접수!$B$3:$B$1002,"&gt;="&amp;DATE($B$3,1,1),반품접수!$B$3:$B$1002,"&lt;="&amp;DATE($B$3,12,31)))</f>
        <v/>
      </c>
      <c r="D173" s="25" t="str">
        <f aca="false">IF($A173="","",COUNTIFS(반품접수!$C$3:$C$1002,$A173,반품접수!$O$3:$O$1002,"미처리",반품접수!$B$3:$B$1002,"&gt;="&amp;DATE($B$3,1,1),반품접수!$B$3:$B$1002,"&lt;="&amp;DATE($B$3,12,31))+COUNTIFS(반품접수!$C$3:$C$1002,$A173,반품접수!$O$3:$O$1002,"부분처리",반품접수!$B$3:$B$1002,"&gt;="&amp;DATE($B$3,1,1),반품접수!$B$3:$B$1002,"&lt;="&amp;DATE($B$3,12,31)))</f>
        <v/>
      </c>
      <c r="E173" s="25" t="str">
        <f aca="false">IF($A173="","",SUMPRODUCT((반품접수!$C$3:$C$1002=$A173)*1,IFERROR(SUMIFS(처리내역!$E$3:$E$1502,처리내역!$B$3:$B$1502,반품접수!$A$3:$A$1002,처리내역!$D$3:$D$1502,"재입고"),0)))</f>
        <v/>
      </c>
      <c r="F173" s="25" t="str">
        <f aca="false">IF($A173="","",SUMPRODUCT((반품접수!$C$3:$C$1002=$A173)*1,IFERROR(SUMIFS(처리내역!$E$3:$E$1502,처리내역!$B$3:$B$1502,반품접수!$A$3:$A$1002,처리내역!$D$3:$D$1502,"폐기"),0)))</f>
        <v/>
      </c>
      <c r="G173" s="26" t="str">
        <f aca="false">IF($A173="","",IF($B173=0,"",($B173-$D173)/$B173))</f>
        <v/>
      </c>
    </row>
    <row r="174" customFormat="false" ht="15" hidden="false" customHeight="true" outlineLevel="0" collapsed="false">
      <c r="A174" s="12" t="str">
        <f aca="false">IF(거래처목록!$A171="","",거래처목록!$A171)</f>
        <v/>
      </c>
      <c r="B174" s="25" t="str">
        <f aca="false">IF($A174="","",COUNTIFS(반품접수!$C$3:$C$1002,$A174,반품접수!$B$3:$B$1002,"&gt;="&amp;DATE($B$3,1,1),반품접수!$B$3:$B$1002,"&lt;="&amp;DATE($B$3,12,31)))</f>
        <v/>
      </c>
      <c r="C174" s="25" t="str">
        <f aca="false">IF($A174="","",SUMIFS(반품접수!$I$3:$I$1002,반품접수!$C$3:$C$1002,$A174,반품접수!$B$3:$B$1002,"&gt;="&amp;DATE($B$3,1,1),반품접수!$B$3:$B$1002,"&lt;="&amp;DATE($B$3,12,31)))</f>
        <v/>
      </c>
      <c r="D174" s="25" t="str">
        <f aca="false">IF($A174="","",COUNTIFS(반품접수!$C$3:$C$1002,$A174,반품접수!$O$3:$O$1002,"미처리",반품접수!$B$3:$B$1002,"&gt;="&amp;DATE($B$3,1,1),반품접수!$B$3:$B$1002,"&lt;="&amp;DATE($B$3,12,31))+COUNTIFS(반품접수!$C$3:$C$1002,$A174,반품접수!$O$3:$O$1002,"부분처리",반품접수!$B$3:$B$1002,"&gt;="&amp;DATE($B$3,1,1),반품접수!$B$3:$B$1002,"&lt;="&amp;DATE($B$3,12,31)))</f>
        <v/>
      </c>
      <c r="E174" s="25" t="str">
        <f aca="false">IF($A174="","",SUMPRODUCT((반품접수!$C$3:$C$1002=$A174)*1,IFERROR(SUMIFS(처리내역!$E$3:$E$1502,처리내역!$B$3:$B$1502,반품접수!$A$3:$A$1002,처리내역!$D$3:$D$1502,"재입고"),0)))</f>
        <v/>
      </c>
      <c r="F174" s="25" t="str">
        <f aca="false">IF($A174="","",SUMPRODUCT((반품접수!$C$3:$C$1002=$A174)*1,IFERROR(SUMIFS(처리내역!$E$3:$E$1502,처리내역!$B$3:$B$1502,반품접수!$A$3:$A$1002,처리내역!$D$3:$D$1502,"폐기"),0)))</f>
        <v/>
      </c>
      <c r="G174" s="26" t="str">
        <f aca="false">IF($A174="","",IF($B174=0,"",($B174-$D174)/$B174))</f>
        <v/>
      </c>
    </row>
    <row r="175" customFormat="false" ht="15" hidden="false" customHeight="true" outlineLevel="0" collapsed="false">
      <c r="A175" s="12" t="str">
        <f aca="false">IF(거래처목록!$A172="","",거래처목록!$A172)</f>
        <v/>
      </c>
      <c r="B175" s="25" t="str">
        <f aca="false">IF($A175="","",COUNTIFS(반품접수!$C$3:$C$1002,$A175,반품접수!$B$3:$B$1002,"&gt;="&amp;DATE($B$3,1,1),반품접수!$B$3:$B$1002,"&lt;="&amp;DATE($B$3,12,31)))</f>
        <v/>
      </c>
      <c r="C175" s="25" t="str">
        <f aca="false">IF($A175="","",SUMIFS(반품접수!$I$3:$I$1002,반품접수!$C$3:$C$1002,$A175,반품접수!$B$3:$B$1002,"&gt;="&amp;DATE($B$3,1,1),반품접수!$B$3:$B$1002,"&lt;="&amp;DATE($B$3,12,31)))</f>
        <v/>
      </c>
      <c r="D175" s="25" t="str">
        <f aca="false">IF($A175="","",COUNTIFS(반품접수!$C$3:$C$1002,$A175,반품접수!$O$3:$O$1002,"미처리",반품접수!$B$3:$B$1002,"&gt;="&amp;DATE($B$3,1,1),반품접수!$B$3:$B$1002,"&lt;="&amp;DATE($B$3,12,31))+COUNTIFS(반품접수!$C$3:$C$1002,$A175,반품접수!$O$3:$O$1002,"부분처리",반품접수!$B$3:$B$1002,"&gt;="&amp;DATE($B$3,1,1),반품접수!$B$3:$B$1002,"&lt;="&amp;DATE($B$3,12,31)))</f>
        <v/>
      </c>
      <c r="E175" s="25" t="str">
        <f aca="false">IF($A175="","",SUMPRODUCT((반품접수!$C$3:$C$1002=$A175)*1,IFERROR(SUMIFS(처리내역!$E$3:$E$1502,처리내역!$B$3:$B$1502,반품접수!$A$3:$A$1002,처리내역!$D$3:$D$1502,"재입고"),0)))</f>
        <v/>
      </c>
      <c r="F175" s="25" t="str">
        <f aca="false">IF($A175="","",SUMPRODUCT((반품접수!$C$3:$C$1002=$A175)*1,IFERROR(SUMIFS(처리내역!$E$3:$E$1502,처리내역!$B$3:$B$1502,반품접수!$A$3:$A$1002,처리내역!$D$3:$D$1502,"폐기"),0)))</f>
        <v/>
      </c>
      <c r="G175" s="26" t="str">
        <f aca="false">IF($A175="","",IF($B175=0,"",($B175-$D175)/$B175))</f>
        <v/>
      </c>
    </row>
    <row r="176" customFormat="false" ht="15" hidden="false" customHeight="true" outlineLevel="0" collapsed="false">
      <c r="A176" s="12" t="str">
        <f aca="false">IF(거래처목록!$A173="","",거래처목록!$A173)</f>
        <v/>
      </c>
      <c r="B176" s="25" t="str">
        <f aca="false">IF($A176="","",COUNTIFS(반품접수!$C$3:$C$1002,$A176,반품접수!$B$3:$B$1002,"&gt;="&amp;DATE($B$3,1,1),반품접수!$B$3:$B$1002,"&lt;="&amp;DATE($B$3,12,31)))</f>
        <v/>
      </c>
      <c r="C176" s="25" t="str">
        <f aca="false">IF($A176="","",SUMIFS(반품접수!$I$3:$I$1002,반품접수!$C$3:$C$1002,$A176,반품접수!$B$3:$B$1002,"&gt;="&amp;DATE($B$3,1,1),반품접수!$B$3:$B$1002,"&lt;="&amp;DATE($B$3,12,31)))</f>
        <v/>
      </c>
      <c r="D176" s="25" t="str">
        <f aca="false">IF($A176="","",COUNTIFS(반품접수!$C$3:$C$1002,$A176,반품접수!$O$3:$O$1002,"미처리",반품접수!$B$3:$B$1002,"&gt;="&amp;DATE($B$3,1,1),반품접수!$B$3:$B$1002,"&lt;="&amp;DATE($B$3,12,31))+COUNTIFS(반품접수!$C$3:$C$1002,$A176,반품접수!$O$3:$O$1002,"부분처리",반품접수!$B$3:$B$1002,"&gt;="&amp;DATE($B$3,1,1),반품접수!$B$3:$B$1002,"&lt;="&amp;DATE($B$3,12,31)))</f>
        <v/>
      </c>
      <c r="E176" s="25" t="str">
        <f aca="false">IF($A176="","",SUMPRODUCT((반품접수!$C$3:$C$1002=$A176)*1,IFERROR(SUMIFS(처리내역!$E$3:$E$1502,처리내역!$B$3:$B$1502,반품접수!$A$3:$A$1002,처리내역!$D$3:$D$1502,"재입고"),0)))</f>
        <v/>
      </c>
      <c r="F176" s="25" t="str">
        <f aca="false">IF($A176="","",SUMPRODUCT((반품접수!$C$3:$C$1002=$A176)*1,IFERROR(SUMIFS(처리내역!$E$3:$E$1502,처리내역!$B$3:$B$1502,반품접수!$A$3:$A$1002,처리내역!$D$3:$D$1502,"폐기"),0)))</f>
        <v/>
      </c>
      <c r="G176" s="26" t="str">
        <f aca="false">IF($A176="","",IF($B176=0,"",($B176-$D176)/$B176))</f>
        <v/>
      </c>
    </row>
    <row r="177" customFormat="false" ht="15" hidden="false" customHeight="true" outlineLevel="0" collapsed="false">
      <c r="A177" s="12" t="str">
        <f aca="false">IF(거래처목록!$A174="","",거래처목록!$A174)</f>
        <v/>
      </c>
      <c r="B177" s="25" t="str">
        <f aca="false">IF($A177="","",COUNTIFS(반품접수!$C$3:$C$1002,$A177,반품접수!$B$3:$B$1002,"&gt;="&amp;DATE($B$3,1,1),반품접수!$B$3:$B$1002,"&lt;="&amp;DATE($B$3,12,31)))</f>
        <v/>
      </c>
      <c r="C177" s="25" t="str">
        <f aca="false">IF($A177="","",SUMIFS(반품접수!$I$3:$I$1002,반품접수!$C$3:$C$1002,$A177,반품접수!$B$3:$B$1002,"&gt;="&amp;DATE($B$3,1,1),반품접수!$B$3:$B$1002,"&lt;="&amp;DATE($B$3,12,31)))</f>
        <v/>
      </c>
      <c r="D177" s="25" t="str">
        <f aca="false">IF($A177="","",COUNTIFS(반품접수!$C$3:$C$1002,$A177,반품접수!$O$3:$O$1002,"미처리",반품접수!$B$3:$B$1002,"&gt;="&amp;DATE($B$3,1,1),반품접수!$B$3:$B$1002,"&lt;="&amp;DATE($B$3,12,31))+COUNTIFS(반품접수!$C$3:$C$1002,$A177,반품접수!$O$3:$O$1002,"부분처리",반품접수!$B$3:$B$1002,"&gt;="&amp;DATE($B$3,1,1),반품접수!$B$3:$B$1002,"&lt;="&amp;DATE($B$3,12,31)))</f>
        <v/>
      </c>
      <c r="E177" s="25" t="str">
        <f aca="false">IF($A177="","",SUMPRODUCT((반품접수!$C$3:$C$1002=$A177)*1,IFERROR(SUMIFS(처리내역!$E$3:$E$1502,처리내역!$B$3:$B$1502,반품접수!$A$3:$A$1002,처리내역!$D$3:$D$1502,"재입고"),0)))</f>
        <v/>
      </c>
      <c r="F177" s="25" t="str">
        <f aca="false">IF($A177="","",SUMPRODUCT((반품접수!$C$3:$C$1002=$A177)*1,IFERROR(SUMIFS(처리내역!$E$3:$E$1502,처리내역!$B$3:$B$1502,반품접수!$A$3:$A$1002,처리내역!$D$3:$D$1502,"폐기"),0)))</f>
        <v/>
      </c>
      <c r="G177" s="26" t="str">
        <f aca="false">IF($A177="","",IF($B177=0,"",($B177-$D177)/$B177))</f>
        <v/>
      </c>
    </row>
    <row r="178" customFormat="false" ht="15" hidden="false" customHeight="true" outlineLevel="0" collapsed="false">
      <c r="A178" s="12" t="str">
        <f aca="false">IF(거래처목록!$A175="","",거래처목록!$A175)</f>
        <v/>
      </c>
      <c r="B178" s="25" t="str">
        <f aca="false">IF($A178="","",COUNTIFS(반품접수!$C$3:$C$1002,$A178,반품접수!$B$3:$B$1002,"&gt;="&amp;DATE($B$3,1,1),반품접수!$B$3:$B$1002,"&lt;="&amp;DATE($B$3,12,31)))</f>
        <v/>
      </c>
      <c r="C178" s="25" t="str">
        <f aca="false">IF($A178="","",SUMIFS(반품접수!$I$3:$I$1002,반품접수!$C$3:$C$1002,$A178,반품접수!$B$3:$B$1002,"&gt;="&amp;DATE($B$3,1,1),반품접수!$B$3:$B$1002,"&lt;="&amp;DATE($B$3,12,31)))</f>
        <v/>
      </c>
      <c r="D178" s="25" t="str">
        <f aca="false">IF($A178="","",COUNTIFS(반품접수!$C$3:$C$1002,$A178,반품접수!$O$3:$O$1002,"미처리",반품접수!$B$3:$B$1002,"&gt;="&amp;DATE($B$3,1,1),반품접수!$B$3:$B$1002,"&lt;="&amp;DATE($B$3,12,31))+COUNTIFS(반품접수!$C$3:$C$1002,$A178,반품접수!$O$3:$O$1002,"부분처리",반품접수!$B$3:$B$1002,"&gt;="&amp;DATE($B$3,1,1),반품접수!$B$3:$B$1002,"&lt;="&amp;DATE($B$3,12,31)))</f>
        <v/>
      </c>
      <c r="E178" s="25" t="str">
        <f aca="false">IF($A178="","",SUMPRODUCT((반품접수!$C$3:$C$1002=$A178)*1,IFERROR(SUMIFS(처리내역!$E$3:$E$1502,처리내역!$B$3:$B$1502,반품접수!$A$3:$A$1002,처리내역!$D$3:$D$1502,"재입고"),0)))</f>
        <v/>
      </c>
      <c r="F178" s="25" t="str">
        <f aca="false">IF($A178="","",SUMPRODUCT((반품접수!$C$3:$C$1002=$A178)*1,IFERROR(SUMIFS(처리내역!$E$3:$E$1502,처리내역!$B$3:$B$1502,반품접수!$A$3:$A$1002,처리내역!$D$3:$D$1502,"폐기"),0)))</f>
        <v/>
      </c>
      <c r="G178" s="26" t="str">
        <f aca="false">IF($A178="","",IF($B178=0,"",($B178-$D178)/$B178))</f>
        <v/>
      </c>
    </row>
    <row r="179" customFormat="false" ht="15" hidden="false" customHeight="true" outlineLevel="0" collapsed="false">
      <c r="A179" s="12" t="str">
        <f aca="false">IF(거래처목록!$A176="","",거래처목록!$A176)</f>
        <v/>
      </c>
      <c r="B179" s="25" t="str">
        <f aca="false">IF($A179="","",COUNTIFS(반품접수!$C$3:$C$1002,$A179,반품접수!$B$3:$B$1002,"&gt;="&amp;DATE($B$3,1,1),반품접수!$B$3:$B$1002,"&lt;="&amp;DATE($B$3,12,31)))</f>
        <v/>
      </c>
      <c r="C179" s="25" t="str">
        <f aca="false">IF($A179="","",SUMIFS(반품접수!$I$3:$I$1002,반품접수!$C$3:$C$1002,$A179,반품접수!$B$3:$B$1002,"&gt;="&amp;DATE($B$3,1,1),반품접수!$B$3:$B$1002,"&lt;="&amp;DATE($B$3,12,31)))</f>
        <v/>
      </c>
      <c r="D179" s="25" t="str">
        <f aca="false">IF($A179="","",COUNTIFS(반품접수!$C$3:$C$1002,$A179,반품접수!$O$3:$O$1002,"미처리",반품접수!$B$3:$B$1002,"&gt;="&amp;DATE($B$3,1,1),반품접수!$B$3:$B$1002,"&lt;="&amp;DATE($B$3,12,31))+COUNTIFS(반품접수!$C$3:$C$1002,$A179,반품접수!$O$3:$O$1002,"부분처리",반품접수!$B$3:$B$1002,"&gt;="&amp;DATE($B$3,1,1),반품접수!$B$3:$B$1002,"&lt;="&amp;DATE($B$3,12,31)))</f>
        <v/>
      </c>
      <c r="E179" s="25" t="str">
        <f aca="false">IF($A179="","",SUMPRODUCT((반품접수!$C$3:$C$1002=$A179)*1,IFERROR(SUMIFS(처리내역!$E$3:$E$1502,처리내역!$B$3:$B$1502,반품접수!$A$3:$A$1002,처리내역!$D$3:$D$1502,"재입고"),0)))</f>
        <v/>
      </c>
      <c r="F179" s="25" t="str">
        <f aca="false">IF($A179="","",SUMPRODUCT((반품접수!$C$3:$C$1002=$A179)*1,IFERROR(SUMIFS(처리내역!$E$3:$E$1502,처리내역!$B$3:$B$1502,반품접수!$A$3:$A$1002,처리내역!$D$3:$D$1502,"폐기"),0)))</f>
        <v/>
      </c>
      <c r="G179" s="26" t="str">
        <f aca="false">IF($A179="","",IF($B179=0,"",($B179-$D179)/$B179))</f>
        <v/>
      </c>
    </row>
    <row r="180" customFormat="false" ht="15" hidden="false" customHeight="true" outlineLevel="0" collapsed="false">
      <c r="A180" s="12" t="str">
        <f aca="false">IF(거래처목록!$A177="","",거래처목록!$A177)</f>
        <v/>
      </c>
      <c r="B180" s="25" t="str">
        <f aca="false">IF($A180="","",COUNTIFS(반품접수!$C$3:$C$1002,$A180,반품접수!$B$3:$B$1002,"&gt;="&amp;DATE($B$3,1,1),반품접수!$B$3:$B$1002,"&lt;="&amp;DATE($B$3,12,31)))</f>
        <v/>
      </c>
      <c r="C180" s="25" t="str">
        <f aca="false">IF($A180="","",SUMIFS(반품접수!$I$3:$I$1002,반품접수!$C$3:$C$1002,$A180,반품접수!$B$3:$B$1002,"&gt;="&amp;DATE($B$3,1,1),반품접수!$B$3:$B$1002,"&lt;="&amp;DATE($B$3,12,31)))</f>
        <v/>
      </c>
      <c r="D180" s="25" t="str">
        <f aca="false">IF($A180="","",COUNTIFS(반품접수!$C$3:$C$1002,$A180,반품접수!$O$3:$O$1002,"미처리",반품접수!$B$3:$B$1002,"&gt;="&amp;DATE($B$3,1,1),반품접수!$B$3:$B$1002,"&lt;="&amp;DATE($B$3,12,31))+COUNTIFS(반품접수!$C$3:$C$1002,$A180,반품접수!$O$3:$O$1002,"부분처리",반품접수!$B$3:$B$1002,"&gt;="&amp;DATE($B$3,1,1),반품접수!$B$3:$B$1002,"&lt;="&amp;DATE($B$3,12,31)))</f>
        <v/>
      </c>
      <c r="E180" s="25" t="str">
        <f aca="false">IF($A180="","",SUMPRODUCT((반품접수!$C$3:$C$1002=$A180)*1,IFERROR(SUMIFS(처리내역!$E$3:$E$1502,처리내역!$B$3:$B$1502,반품접수!$A$3:$A$1002,처리내역!$D$3:$D$1502,"재입고"),0)))</f>
        <v/>
      </c>
      <c r="F180" s="25" t="str">
        <f aca="false">IF($A180="","",SUMPRODUCT((반품접수!$C$3:$C$1002=$A180)*1,IFERROR(SUMIFS(처리내역!$E$3:$E$1502,처리내역!$B$3:$B$1502,반품접수!$A$3:$A$1002,처리내역!$D$3:$D$1502,"폐기"),0)))</f>
        <v/>
      </c>
      <c r="G180" s="26" t="str">
        <f aca="false">IF($A180="","",IF($B180=0,"",($B180-$D180)/$B180))</f>
        <v/>
      </c>
    </row>
    <row r="181" customFormat="false" ht="15" hidden="false" customHeight="true" outlineLevel="0" collapsed="false">
      <c r="A181" s="12" t="str">
        <f aca="false">IF(거래처목록!$A178="","",거래처목록!$A178)</f>
        <v/>
      </c>
      <c r="B181" s="25" t="str">
        <f aca="false">IF($A181="","",COUNTIFS(반품접수!$C$3:$C$1002,$A181,반품접수!$B$3:$B$1002,"&gt;="&amp;DATE($B$3,1,1),반품접수!$B$3:$B$1002,"&lt;="&amp;DATE($B$3,12,31)))</f>
        <v/>
      </c>
      <c r="C181" s="25" t="str">
        <f aca="false">IF($A181="","",SUMIFS(반품접수!$I$3:$I$1002,반품접수!$C$3:$C$1002,$A181,반품접수!$B$3:$B$1002,"&gt;="&amp;DATE($B$3,1,1),반품접수!$B$3:$B$1002,"&lt;="&amp;DATE($B$3,12,31)))</f>
        <v/>
      </c>
      <c r="D181" s="25" t="str">
        <f aca="false">IF($A181="","",COUNTIFS(반품접수!$C$3:$C$1002,$A181,반품접수!$O$3:$O$1002,"미처리",반품접수!$B$3:$B$1002,"&gt;="&amp;DATE($B$3,1,1),반품접수!$B$3:$B$1002,"&lt;="&amp;DATE($B$3,12,31))+COUNTIFS(반품접수!$C$3:$C$1002,$A181,반품접수!$O$3:$O$1002,"부분처리",반품접수!$B$3:$B$1002,"&gt;="&amp;DATE($B$3,1,1),반품접수!$B$3:$B$1002,"&lt;="&amp;DATE($B$3,12,31)))</f>
        <v/>
      </c>
      <c r="E181" s="25" t="str">
        <f aca="false">IF($A181="","",SUMPRODUCT((반품접수!$C$3:$C$1002=$A181)*1,IFERROR(SUMIFS(처리내역!$E$3:$E$1502,처리내역!$B$3:$B$1502,반품접수!$A$3:$A$1002,처리내역!$D$3:$D$1502,"재입고"),0)))</f>
        <v/>
      </c>
      <c r="F181" s="25" t="str">
        <f aca="false">IF($A181="","",SUMPRODUCT((반품접수!$C$3:$C$1002=$A181)*1,IFERROR(SUMIFS(처리내역!$E$3:$E$1502,처리내역!$B$3:$B$1502,반품접수!$A$3:$A$1002,처리내역!$D$3:$D$1502,"폐기"),0)))</f>
        <v/>
      </c>
      <c r="G181" s="26" t="str">
        <f aca="false">IF($A181="","",IF($B181=0,"",($B181-$D181)/$B181))</f>
        <v/>
      </c>
    </row>
    <row r="182" customFormat="false" ht="15" hidden="false" customHeight="true" outlineLevel="0" collapsed="false">
      <c r="A182" s="12" t="str">
        <f aca="false">IF(거래처목록!$A179="","",거래처목록!$A179)</f>
        <v/>
      </c>
      <c r="B182" s="25" t="str">
        <f aca="false">IF($A182="","",COUNTIFS(반품접수!$C$3:$C$1002,$A182,반품접수!$B$3:$B$1002,"&gt;="&amp;DATE($B$3,1,1),반품접수!$B$3:$B$1002,"&lt;="&amp;DATE($B$3,12,31)))</f>
        <v/>
      </c>
      <c r="C182" s="25" t="str">
        <f aca="false">IF($A182="","",SUMIFS(반품접수!$I$3:$I$1002,반품접수!$C$3:$C$1002,$A182,반품접수!$B$3:$B$1002,"&gt;="&amp;DATE($B$3,1,1),반품접수!$B$3:$B$1002,"&lt;="&amp;DATE($B$3,12,31)))</f>
        <v/>
      </c>
      <c r="D182" s="25" t="str">
        <f aca="false">IF($A182="","",COUNTIFS(반품접수!$C$3:$C$1002,$A182,반품접수!$O$3:$O$1002,"미처리",반품접수!$B$3:$B$1002,"&gt;="&amp;DATE($B$3,1,1),반품접수!$B$3:$B$1002,"&lt;="&amp;DATE($B$3,12,31))+COUNTIFS(반품접수!$C$3:$C$1002,$A182,반품접수!$O$3:$O$1002,"부분처리",반품접수!$B$3:$B$1002,"&gt;="&amp;DATE($B$3,1,1),반품접수!$B$3:$B$1002,"&lt;="&amp;DATE($B$3,12,31)))</f>
        <v/>
      </c>
      <c r="E182" s="25" t="str">
        <f aca="false">IF($A182="","",SUMPRODUCT((반품접수!$C$3:$C$1002=$A182)*1,IFERROR(SUMIFS(처리내역!$E$3:$E$1502,처리내역!$B$3:$B$1502,반품접수!$A$3:$A$1002,처리내역!$D$3:$D$1502,"재입고"),0)))</f>
        <v/>
      </c>
      <c r="F182" s="25" t="str">
        <f aca="false">IF($A182="","",SUMPRODUCT((반품접수!$C$3:$C$1002=$A182)*1,IFERROR(SUMIFS(처리내역!$E$3:$E$1502,처리내역!$B$3:$B$1502,반품접수!$A$3:$A$1002,처리내역!$D$3:$D$1502,"폐기"),0)))</f>
        <v/>
      </c>
      <c r="G182" s="26" t="str">
        <f aca="false">IF($A182="","",IF($B182=0,"",($B182-$D182)/$B182))</f>
        <v/>
      </c>
    </row>
    <row r="183" customFormat="false" ht="15" hidden="false" customHeight="true" outlineLevel="0" collapsed="false">
      <c r="A183" s="12" t="str">
        <f aca="false">IF(거래처목록!$A180="","",거래처목록!$A180)</f>
        <v/>
      </c>
      <c r="B183" s="25" t="str">
        <f aca="false">IF($A183="","",COUNTIFS(반품접수!$C$3:$C$1002,$A183,반품접수!$B$3:$B$1002,"&gt;="&amp;DATE($B$3,1,1),반품접수!$B$3:$B$1002,"&lt;="&amp;DATE($B$3,12,31)))</f>
        <v/>
      </c>
      <c r="C183" s="25" t="str">
        <f aca="false">IF($A183="","",SUMIFS(반품접수!$I$3:$I$1002,반품접수!$C$3:$C$1002,$A183,반품접수!$B$3:$B$1002,"&gt;="&amp;DATE($B$3,1,1),반품접수!$B$3:$B$1002,"&lt;="&amp;DATE($B$3,12,31)))</f>
        <v/>
      </c>
      <c r="D183" s="25" t="str">
        <f aca="false">IF($A183="","",COUNTIFS(반품접수!$C$3:$C$1002,$A183,반품접수!$O$3:$O$1002,"미처리",반품접수!$B$3:$B$1002,"&gt;="&amp;DATE($B$3,1,1),반품접수!$B$3:$B$1002,"&lt;="&amp;DATE($B$3,12,31))+COUNTIFS(반품접수!$C$3:$C$1002,$A183,반품접수!$O$3:$O$1002,"부분처리",반품접수!$B$3:$B$1002,"&gt;="&amp;DATE($B$3,1,1),반품접수!$B$3:$B$1002,"&lt;="&amp;DATE($B$3,12,31)))</f>
        <v/>
      </c>
      <c r="E183" s="25" t="str">
        <f aca="false">IF($A183="","",SUMPRODUCT((반품접수!$C$3:$C$1002=$A183)*1,IFERROR(SUMIFS(처리내역!$E$3:$E$1502,처리내역!$B$3:$B$1502,반품접수!$A$3:$A$1002,처리내역!$D$3:$D$1502,"재입고"),0)))</f>
        <v/>
      </c>
      <c r="F183" s="25" t="str">
        <f aca="false">IF($A183="","",SUMPRODUCT((반품접수!$C$3:$C$1002=$A183)*1,IFERROR(SUMIFS(처리내역!$E$3:$E$1502,처리내역!$B$3:$B$1502,반품접수!$A$3:$A$1002,처리내역!$D$3:$D$1502,"폐기"),0)))</f>
        <v/>
      </c>
      <c r="G183" s="26" t="str">
        <f aca="false">IF($A183="","",IF($B183=0,"",($B183-$D183)/$B183))</f>
        <v/>
      </c>
    </row>
    <row r="184" customFormat="false" ht="15" hidden="false" customHeight="true" outlineLevel="0" collapsed="false">
      <c r="A184" s="12" t="str">
        <f aca="false">IF(거래처목록!$A181="","",거래처목록!$A181)</f>
        <v/>
      </c>
      <c r="B184" s="25" t="str">
        <f aca="false">IF($A184="","",COUNTIFS(반품접수!$C$3:$C$1002,$A184,반품접수!$B$3:$B$1002,"&gt;="&amp;DATE($B$3,1,1),반품접수!$B$3:$B$1002,"&lt;="&amp;DATE($B$3,12,31)))</f>
        <v/>
      </c>
      <c r="C184" s="25" t="str">
        <f aca="false">IF($A184="","",SUMIFS(반품접수!$I$3:$I$1002,반품접수!$C$3:$C$1002,$A184,반품접수!$B$3:$B$1002,"&gt;="&amp;DATE($B$3,1,1),반품접수!$B$3:$B$1002,"&lt;="&amp;DATE($B$3,12,31)))</f>
        <v/>
      </c>
      <c r="D184" s="25" t="str">
        <f aca="false">IF($A184="","",COUNTIFS(반품접수!$C$3:$C$1002,$A184,반품접수!$O$3:$O$1002,"미처리",반품접수!$B$3:$B$1002,"&gt;="&amp;DATE($B$3,1,1),반품접수!$B$3:$B$1002,"&lt;="&amp;DATE($B$3,12,31))+COUNTIFS(반품접수!$C$3:$C$1002,$A184,반품접수!$O$3:$O$1002,"부분처리",반품접수!$B$3:$B$1002,"&gt;="&amp;DATE($B$3,1,1),반품접수!$B$3:$B$1002,"&lt;="&amp;DATE($B$3,12,31)))</f>
        <v/>
      </c>
      <c r="E184" s="25" t="str">
        <f aca="false">IF($A184="","",SUMPRODUCT((반품접수!$C$3:$C$1002=$A184)*1,IFERROR(SUMIFS(처리내역!$E$3:$E$1502,처리내역!$B$3:$B$1502,반품접수!$A$3:$A$1002,처리내역!$D$3:$D$1502,"재입고"),0)))</f>
        <v/>
      </c>
      <c r="F184" s="25" t="str">
        <f aca="false">IF($A184="","",SUMPRODUCT((반품접수!$C$3:$C$1002=$A184)*1,IFERROR(SUMIFS(처리내역!$E$3:$E$1502,처리내역!$B$3:$B$1502,반품접수!$A$3:$A$1002,처리내역!$D$3:$D$1502,"폐기"),0)))</f>
        <v/>
      </c>
      <c r="G184" s="26" t="str">
        <f aca="false">IF($A184="","",IF($B184=0,"",($B184-$D184)/$B184))</f>
        <v/>
      </c>
    </row>
    <row r="185" customFormat="false" ht="15" hidden="false" customHeight="true" outlineLevel="0" collapsed="false">
      <c r="A185" s="12" t="str">
        <f aca="false">IF(거래처목록!$A182="","",거래처목록!$A182)</f>
        <v/>
      </c>
      <c r="B185" s="25" t="str">
        <f aca="false">IF($A185="","",COUNTIFS(반품접수!$C$3:$C$1002,$A185,반품접수!$B$3:$B$1002,"&gt;="&amp;DATE($B$3,1,1),반품접수!$B$3:$B$1002,"&lt;="&amp;DATE($B$3,12,31)))</f>
        <v/>
      </c>
      <c r="C185" s="25" t="str">
        <f aca="false">IF($A185="","",SUMIFS(반품접수!$I$3:$I$1002,반품접수!$C$3:$C$1002,$A185,반품접수!$B$3:$B$1002,"&gt;="&amp;DATE($B$3,1,1),반품접수!$B$3:$B$1002,"&lt;="&amp;DATE($B$3,12,31)))</f>
        <v/>
      </c>
      <c r="D185" s="25" t="str">
        <f aca="false">IF($A185="","",COUNTIFS(반품접수!$C$3:$C$1002,$A185,반품접수!$O$3:$O$1002,"미처리",반품접수!$B$3:$B$1002,"&gt;="&amp;DATE($B$3,1,1),반품접수!$B$3:$B$1002,"&lt;="&amp;DATE($B$3,12,31))+COUNTIFS(반품접수!$C$3:$C$1002,$A185,반품접수!$O$3:$O$1002,"부분처리",반품접수!$B$3:$B$1002,"&gt;="&amp;DATE($B$3,1,1),반품접수!$B$3:$B$1002,"&lt;="&amp;DATE($B$3,12,31)))</f>
        <v/>
      </c>
      <c r="E185" s="25" t="str">
        <f aca="false">IF($A185="","",SUMPRODUCT((반품접수!$C$3:$C$1002=$A185)*1,IFERROR(SUMIFS(처리내역!$E$3:$E$1502,처리내역!$B$3:$B$1502,반품접수!$A$3:$A$1002,처리내역!$D$3:$D$1502,"재입고"),0)))</f>
        <v/>
      </c>
      <c r="F185" s="25" t="str">
        <f aca="false">IF($A185="","",SUMPRODUCT((반품접수!$C$3:$C$1002=$A185)*1,IFERROR(SUMIFS(처리내역!$E$3:$E$1502,처리내역!$B$3:$B$1502,반품접수!$A$3:$A$1002,처리내역!$D$3:$D$1502,"폐기"),0)))</f>
        <v/>
      </c>
      <c r="G185" s="26" t="str">
        <f aca="false">IF($A185="","",IF($B185=0,"",($B185-$D185)/$B185))</f>
        <v/>
      </c>
    </row>
    <row r="186" customFormat="false" ht="15" hidden="false" customHeight="true" outlineLevel="0" collapsed="false">
      <c r="A186" s="12" t="str">
        <f aca="false">IF(거래처목록!$A183="","",거래처목록!$A183)</f>
        <v/>
      </c>
      <c r="B186" s="25" t="str">
        <f aca="false">IF($A186="","",COUNTIFS(반품접수!$C$3:$C$1002,$A186,반품접수!$B$3:$B$1002,"&gt;="&amp;DATE($B$3,1,1),반품접수!$B$3:$B$1002,"&lt;="&amp;DATE($B$3,12,31)))</f>
        <v/>
      </c>
      <c r="C186" s="25" t="str">
        <f aca="false">IF($A186="","",SUMIFS(반품접수!$I$3:$I$1002,반품접수!$C$3:$C$1002,$A186,반품접수!$B$3:$B$1002,"&gt;="&amp;DATE($B$3,1,1),반품접수!$B$3:$B$1002,"&lt;="&amp;DATE($B$3,12,31)))</f>
        <v/>
      </c>
      <c r="D186" s="25" t="str">
        <f aca="false">IF($A186="","",COUNTIFS(반품접수!$C$3:$C$1002,$A186,반품접수!$O$3:$O$1002,"미처리",반품접수!$B$3:$B$1002,"&gt;="&amp;DATE($B$3,1,1),반품접수!$B$3:$B$1002,"&lt;="&amp;DATE($B$3,12,31))+COUNTIFS(반품접수!$C$3:$C$1002,$A186,반품접수!$O$3:$O$1002,"부분처리",반품접수!$B$3:$B$1002,"&gt;="&amp;DATE($B$3,1,1),반품접수!$B$3:$B$1002,"&lt;="&amp;DATE($B$3,12,31)))</f>
        <v/>
      </c>
      <c r="E186" s="25" t="str">
        <f aca="false">IF($A186="","",SUMPRODUCT((반품접수!$C$3:$C$1002=$A186)*1,IFERROR(SUMIFS(처리내역!$E$3:$E$1502,처리내역!$B$3:$B$1502,반품접수!$A$3:$A$1002,처리내역!$D$3:$D$1502,"재입고"),0)))</f>
        <v/>
      </c>
      <c r="F186" s="25" t="str">
        <f aca="false">IF($A186="","",SUMPRODUCT((반품접수!$C$3:$C$1002=$A186)*1,IFERROR(SUMIFS(처리내역!$E$3:$E$1502,처리내역!$B$3:$B$1502,반품접수!$A$3:$A$1002,처리내역!$D$3:$D$1502,"폐기"),0)))</f>
        <v/>
      </c>
      <c r="G186" s="26" t="str">
        <f aca="false">IF($A186="","",IF($B186=0,"",($B186-$D186)/$B186))</f>
        <v/>
      </c>
    </row>
    <row r="187" customFormat="false" ht="15" hidden="false" customHeight="true" outlineLevel="0" collapsed="false">
      <c r="A187" s="12" t="str">
        <f aca="false">IF(거래처목록!$A184="","",거래처목록!$A184)</f>
        <v/>
      </c>
      <c r="B187" s="25" t="str">
        <f aca="false">IF($A187="","",COUNTIFS(반품접수!$C$3:$C$1002,$A187,반품접수!$B$3:$B$1002,"&gt;="&amp;DATE($B$3,1,1),반품접수!$B$3:$B$1002,"&lt;="&amp;DATE($B$3,12,31)))</f>
        <v/>
      </c>
      <c r="C187" s="25" t="str">
        <f aca="false">IF($A187="","",SUMIFS(반품접수!$I$3:$I$1002,반품접수!$C$3:$C$1002,$A187,반품접수!$B$3:$B$1002,"&gt;="&amp;DATE($B$3,1,1),반품접수!$B$3:$B$1002,"&lt;="&amp;DATE($B$3,12,31)))</f>
        <v/>
      </c>
      <c r="D187" s="25" t="str">
        <f aca="false">IF($A187="","",COUNTIFS(반품접수!$C$3:$C$1002,$A187,반품접수!$O$3:$O$1002,"미처리",반품접수!$B$3:$B$1002,"&gt;="&amp;DATE($B$3,1,1),반품접수!$B$3:$B$1002,"&lt;="&amp;DATE($B$3,12,31))+COUNTIFS(반품접수!$C$3:$C$1002,$A187,반품접수!$O$3:$O$1002,"부분처리",반품접수!$B$3:$B$1002,"&gt;="&amp;DATE($B$3,1,1),반품접수!$B$3:$B$1002,"&lt;="&amp;DATE($B$3,12,31)))</f>
        <v/>
      </c>
      <c r="E187" s="25" t="str">
        <f aca="false">IF($A187="","",SUMPRODUCT((반품접수!$C$3:$C$1002=$A187)*1,IFERROR(SUMIFS(처리내역!$E$3:$E$1502,처리내역!$B$3:$B$1502,반품접수!$A$3:$A$1002,처리내역!$D$3:$D$1502,"재입고"),0)))</f>
        <v/>
      </c>
      <c r="F187" s="25" t="str">
        <f aca="false">IF($A187="","",SUMPRODUCT((반품접수!$C$3:$C$1002=$A187)*1,IFERROR(SUMIFS(처리내역!$E$3:$E$1502,처리내역!$B$3:$B$1502,반품접수!$A$3:$A$1002,처리내역!$D$3:$D$1502,"폐기"),0)))</f>
        <v/>
      </c>
      <c r="G187" s="26" t="str">
        <f aca="false">IF($A187="","",IF($B187=0,"",($B187-$D187)/$B187))</f>
        <v/>
      </c>
    </row>
    <row r="188" customFormat="false" ht="15" hidden="false" customHeight="true" outlineLevel="0" collapsed="false">
      <c r="A188" s="12" t="str">
        <f aca="false">IF(거래처목록!$A185="","",거래처목록!$A185)</f>
        <v/>
      </c>
      <c r="B188" s="25" t="str">
        <f aca="false">IF($A188="","",COUNTIFS(반품접수!$C$3:$C$1002,$A188,반품접수!$B$3:$B$1002,"&gt;="&amp;DATE($B$3,1,1),반품접수!$B$3:$B$1002,"&lt;="&amp;DATE($B$3,12,31)))</f>
        <v/>
      </c>
      <c r="C188" s="25" t="str">
        <f aca="false">IF($A188="","",SUMIFS(반품접수!$I$3:$I$1002,반품접수!$C$3:$C$1002,$A188,반품접수!$B$3:$B$1002,"&gt;="&amp;DATE($B$3,1,1),반품접수!$B$3:$B$1002,"&lt;="&amp;DATE($B$3,12,31)))</f>
        <v/>
      </c>
      <c r="D188" s="25" t="str">
        <f aca="false">IF($A188="","",COUNTIFS(반품접수!$C$3:$C$1002,$A188,반품접수!$O$3:$O$1002,"미처리",반품접수!$B$3:$B$1002,"&gt;="&amp;DATE($B$3,1,1),반품접수!$B$3:$B$1002,"&lt;="&amp;DATE($B$3,12,31))+COUNTIFS(반품접수!$C$3:$C$1002,$A188,반품접수!$O$3:$O$1002,"부분처리",반품접수!$B$3:$B$1002,"&gt;="&amp;DATE($B$3,1,1),반품접수!$B$3:$B$1002,"&lt;="&amp;DATE($B$3,12,31)))</f>
        <v/>
      </c>
      <c r="E188" s="25" t="str">
        <f aca="false">IF($A188="","",SUMPRODUCT((반품접수!$C$3:$C$1002=$A188)*1,IFERROR(SUMIFS(처리내역!$E$3:$E$1502,처리내역!$B$3:$B$1502,반품접수!$A$3:$A$1002,처리내역!$D$3:$D$1502,"재입고"),0)))</f>
        <v/>
      </c>
      <c r="F188" s="25" t="str">
        <f aca="false">IF($A188="","",SUMPRODUCT((반품접수!$C$3:$C$1002=$A188)*1,IFERROR(SUMIFS(처리내역!$E$3:$E$1502,처리내역!$B$3:$B$1502,반품접수!$A$3:$A$1002,처리내역!$D$3:$D$1502,"폐기"),0)))</f>
        <v/>
      </c>
      <c r="G188" s="26" t="str">
        <f aca="false">IF($A188="","",IF($B188=0,"",($B188-$D188)/$B188))</f>
        <v/>
      </c>
    </row>
    <row r="189" customFormat="false" ht="15" hidden="false" customHeight="true" outlineLevel="0" collapsed="false">
      <c r="A189" s="12" t="str">
        <f aca="false">IF(거래처목록!$A186="","",거래처목록!$A186)</f>
        <v/>
      </c>
      <c r="B189" s="25" t="str">
        <f aca="false">IF($A189="","",COUNTIFS(반품접수!$C$3:$C$1002,$A189,반품접수!$B$3:$B$1002,"&gt;="&amp;DATE($B$3,1,1),반품접수!$B$3:$B$1002,"&lt;="&amp;DATE($B$3,12,31)))</f>
        <v/>
      </c>
      <c r="C189" s="25" t="str">
        <f aca="false">IF($A189="","",SUMIFS(반품접수!$I$3:$I$1002,반품접수!$C$3:$C$1002,$A189,반품접수!$B$3:$B$1002,"&gt;="&amp;DATE($B$3,1,1),반품접수!$B$3:$B$1002,"&lt;="&amp;DATE($B$3,12,31)))</f>
        <v/>
      </c>
      <c r="D189" s="25" t="str">
        <f aca="false">IF($A189="","",COUNTIFS(반품접수!$C$3:$C$1002,$A189,반품접수!$O$3:$O$1002,"미처리",반품접수!$B$3:$B$1002,"&gt;="&amp;DATE($B$3,1,1),반품접수!$B$3:$B$1002,"&lt;="&amp;DATE($B$3,12,31))+COUNTIFS(반품접수!$C$3:$C$1002,$A189,반품접수!$O$3:$O$1002,"부분처리",반품접수!$B$3:$B$1002,"&gt;="&amp;DATE($B$3,1,1),반품접수!$B$3:$B$1002,"&lt;="&amp;DATE($B$3,12,31)))</f>
        <v/>
      </c>
      <c r="E189" s="25" t="str">
        <f aca="false">IF($A189="","",SUMPRODUCT((반품접수!$C$3:$C$1002=$A189)*1,IFERROR(SUMIFS(처리내역!$E$3:$E$1502,처리내역!$B$3:$B$1502,반품접수!$A$3:$A$1002,처리내역!$D$3:$D$1502,"재입고"),0)))</f>
        <v/>
      </c>
      <c r="F189" s="25" t="str">
        <f aca="false">IF($A189="","",SUMPRODUCT((반품접수!$C$3:$C$1002=$A189)*1,IFERROR(SUMIFS(처리내역!$E$3:$E$1502,처리내역!$B$3:$B$1502,반품접수!$A$3:$A$1002,처리내역!$D$3:$D$1502,"폐기"),0)))</f>
        <v/>
      </c>
      <c r="G189" s="26" t="str">
        <f aca="false">IF($A189="","",IF($B189=0,"",($B189-$D189)/$B189))</f>
        <v/>
      </c>
    </row>
    <row r="190" customFormat="false" ht="15" hidden="false" customHeight="true" outlineLevel="0" collapsed="false">
      <c r="A190" s="12" t="str">
        <f aca="false">IF(거래처목록!$A187="","",거래처목록!$A187)</f>
        <v/>
      </c>
      <c r="B190" s="25" t="str">
        <f aca="false">IF($A190="","",COUNTIFS(반품접수!$C$3:$C$1002,$A190,반품접수!$B$3:$B$1002,"&gt;="&amp;DATE($B$3,1,1),반품접수!$B$3:$B$1002,"&lt;="&amp;DATE($B$3,12,31)))</f>
        <v/>
      </c>
      <c r="C190" s="25" t="str">
        <f aca="false">IF($A190="","",SUMIFS(반품접수!$I$3:$I$1002,반품접수!$C$3:$C$1002,$A190,반품접수!$B$3:$B$1002,"&gt;="&amp;DATE($B$3,1,1),반품접수!$B$3:$B$1002,"&lt;="&amp;DATE($B$3,12,31)))</f>
        <v/>
      </c>
      <c r="D190" s="25" t="str">
        <f aca="false">IF($A190="","",COUNTIFS(반품접수!$C$3:$C$1002,$A190,반품접수!$O$3:$O$1002,"미처리",반품접수!$B$3:$B$1002,"&gt;="&amp;DATE($B$3,1,1),반품접수!$B$3:$B$1002,"&lt;="&amp;DATE($B$3,12,31))+COUNTIFS(반품접수!$C$3:$C$1002,$A190,반품접수!$O$3:$O$1002,"부분처리",반품접수!$B$3:$B$1002,"&gt;="&amp;DATE($B$3,1,1),반품접수!$B$3:$B$1002,"&lt;="&amp;DATE($B$3,12,31)))</f>
        <v/>
      </c>
      <c r="E190" s="25" t="str">
        <f aca="false">IF($A190="","",SUMPRODUCT((반품접수!$C$3:$C$1002=$A190)*1,IFERROR(SUMIFS(처리내역!$E$3:$E$1502,처리내역!$B$3:$B$1502,반품접수!$A$3:$A$1002,처리내역!$D$3:$D$1502,"재입고"),0)))</f>
        <v/>
      </c>
      <c r="F190" s="25" t="str">
        <f aca="false">IF($A190="","",SUMPRODUCT((반품접수!$C$3:$C$1002=$A190)*1,IFERROR(SUMIFS(처리내역!$E$3:$E$1502,처리내역!$B$3:$B$1502,반품접수!$A$3:$A$1002,처리내역!$D$3:$D$1502,"폐기"),0)))</f>
        <v/>
      </c>
      <c r="G190" s="26" t="str">
        <f aca="false">IF($A190="","",IF($B190=0,"",($B190-$D190)/$B190))</f>
        <v/>
      </c>
    </row>
    <row r="191" customFormat="false" ht="15" hidden="false" customHeight="true" outlineLevel="0" collapsed="false">
      <c r="A191" s="12" t="str">
        <f aca="false">IF(거래처목록!$A188="","",거래처목록!$A188)</f>
        <v/>
      </c>
      <c r="B191" s="25" t="str">
        <f aca="false">IF($A191="","",COUNTIFS(반품접수!$C$3:$C$1002,$A191,반품접수!$B$3:$B$1002,"&gt;="&amp;DATE($B$3,1,1),반품접수!$B$3:$B$1002,"&lt;="&amp;DATE($B$3,12,31)))</f>
        <v/>
      </c>
      <c r="C191" s="25" t="str">
        <f aca="false">IF($A191="","",SUMIFS(반품접수!$I$3:$I$1002,반품접수!$C$3:$C$1002,$A191,반품접수!$B$3:$B$1002,"&gt;="&amp;DATE($B$3,1,1),반품접수!$B$3:$B$1002,"&lt;="&amp;DATE($B$3,12,31)))</f>
        <v/>
      </c>
      <c r="D191" s="25" t="str">
        <f aca="false">IF($A191="","",COUNTIFS(반품접수!$C$3:$C$1002,$A191,반품접수!$O$3:$O$1002,"미처리",반품접수!$B$3:$B$1002,"&gt;="&amp;DATE($B$3,1,1),반품접수!$B$3:$B$1002,"&lt;="&amp;DATE($B$3,12,31))+COUNTIFS(반품접수!$C$3:$C$1002,$A191,반품접수!$O$3:$O$1002,"부분처리",반품접수!$B$3:$B$1002,"&gt;="&amp;DATE($B$3,1,1),반품접수!$B$3:$B$1002,"&lt;="&amp;DATE($B$3,12,31)))</f>
        <v/>
      </c>
      <c r="E191" s="25" t="str">
        <f aca="false">IF($A191="","",SUMPRODUCT((반품접수!$C$3:$C$1002=$A191)*1,IFERROR(SUMIFS(처리내역!$E$3:$E$1502,처리내역!$B$3:$B$1502,반품접수!$A$3:$A$1002,처리내역!$D$3:$D$1502,"재입고"),0)))</f>
        <v/>
      </c>
      <c r="F191" s="25" t="str">
        <f aca="false">IF($A191="","",SUMPRODUCT((반품접수!$C$3:$C$1002=$A191)*1,IFERROR(SUMIFS(처리내역!$E$3:$E$1502,처리내역!$B$3:$B$1502,반품접수!$A$3:$A$1002,처리내역!$D$3:$D$1502,"폐기"),0)))</f>
        <v/>
      </c>
      <c r="G191" s="26" t="str">
        <f aca="false">IF($A191="","",IF($B191=0,"",($B191-$D191)/$B191))</f>
        <v/>
      </c>
    </row>
    <row r="192" customFormat="false" ht="15" hidden="false" customHeight="true" outlineLevel="0" collapsed="false">
      <c r="A192" s="12" t="str">
        <f aca="false">IF(거래처목록!$A189="","",거래처목록!$A189)</f>
        <v/>
      </c>
      <c r="B192" s="25" t="str">
        <f aca="false">IF($A192="","",COUNTIFS(반품접수!$C$3:$C$1002,$A192,반품접수!$B$3:$B$1002,"&gt;="&amp;DATE($B$3,1,1),반품접수!$B$3:$B$1002,"&lt;="&amp;DATE($B$3,12,31)))</f>
        <v/>
      </c>
      <c r="C192" s="25" t="str">
        <f aca="false">IF($A192="","",SUMIFS(반품접수!$I$3:$I$1002,반품접수!$C$3:$C$1002,$A192,반품접수!$B$3:$B$1002,"&gt;="&amp;DATE($B$3,1,1),반품접수!$B$3:$B$1002,"&lt;="&amp;DATE($B$3,12,31)))</f>
        <v/>
      </c>
      <c r="D192" s="25" t="str">
        <f aca="false">IF($A192="","",COUNTIFS(반품접수!$C$3:$C$1002,$A192,반품접수!$O$3:$O$1002,"미처리",반품접수!$B$3:$B$1002,"&gt;="&amp;DATE($B$3,1,1),반품접수!$B$3:$B$1002,"&lt;="&amp;DATE($B$3,12,31))+COUNTIFS(반품접수!$C$3:$C$1002,$A192,반품접수!$O$3:$O$1002,"부분처리",반품접수!$B$3:$B$1002,"&gt;="&amp;DATE($B$3,1,1),반품접수!$B$3:$B$1002,"&lt;="&amp;DATE($B$3,12,31)))</f>
        <v/>
      </c>
      <c r="E192" s="25" t="str">
        <f aca="false">IF($A192="","",SUMPRODUCT((반품접수!$C$3:$C$1002=$A192)*1,IFERROR(SUMIFS(처리내역!$E$3:$E$1502,처리내역!$B$3:$B$1502,반품접수!$A$3:$A$1002,처리내역!$D$3:$D$1502,"재입고"),0)))</f>
        <v/>
      </c>
      <c r="F192" s="25" t="str">
        <f aca="false">IF($A192="","",SUMPRODUCT((반품접수!$C$3:$C$1002=$A192)*1,IFERROR(SUMIFS(처리내역!$E$3:$E$1502,처리내역!$B$3:$B$1502,반품접수!$A$3:$A$1002,처리내역!$D$3:$D$1502,"폐기"),0)))</f>
        <v/>
      </c>
      <c r="G192" s="26" t="str">
        <f aca="false">IF($A192="","",IF($B192=0,"",($B192-$D192)/$B192))</f>
        <v/>
      </c>
    </row>
    <row r="193" customFormat="false" ht="15" hidden="false" customHeight="true" outlineLevel="0" collapsed="false">
      <c r="A193" s="12" t="str">
        <f aca="false">IF(거래처목록!$A190="","",거래처목록!$A190)</f>
        <v/>
      </c>
      <c r="B193" s="25" t="str">
        <f aca="false">IF($A193="","",COUNTIFS(반품접수!$C$3:$C$1002,$A193,반품접수!$B$3:$B$1002,"&gt;="&amp;DATE($B$3,1,1),반품접수!$B$3:$B$1002,"&lt;="&amp;DATE($B$3,12,31)))</f>
        <v/>
      </c>
      <c r="C193" s="25" t="str">
        <f aca="false">IF($A193="","",SUMIFS(반품접수!$I$3:$I$1002,반품접수!$C$3:$C$1002,$A193,반품접수!$B$3:$B$1002,"&gt;="&amp;DATE($B$3,1,1),반품접수!$B$3:$B$1002,"&lt;="&amp;DATE($B$3,12,31)))</f>
        <v/>
      </c>
      <c r="D193" s="25" t="str">
        <f aca="false">IF($A193="","",COUNTIFS(반품접수!$C$3:$C$1002,$A193,반품접수!$O$3:$O$1002,"미처리",반품접수!$B$3:$B$1002,"&gt;="&amp;DATE($B$3,1,1),반품접수!$B$3:$B$1002,"&lt;="&amp;DATE($B$3,12,31))+COUNTIFS(반품접수!$C$3:$C$1002,$A193,반품접수!$O$3:$O$1002,"부분처리",반품접수!$B$3:$B$1002,"&gt;="&amp;DATE($B$3,1,1),반품접수!$B$3:$B$1002,"&lt;="&amp;DATE($B$3,12,31)))</f>
        <v/>
      </c>
      <c r="E193" s="25" t="str">
        <f aca="false">IF($A193="","",SUMPRODUCT((반품접수!$C$3:$C$1002=$A193)*1,IFERROR(SUMIFS(처리내역!$E$3:$E$1502,처리내역!$B$3:$B$1502,반품접수!$A$3:$A$1002,처리내역!$D$3:$D$1502,"재입고"),0)))</f>
        <v/>
      </c>
      <c r="F193" s="25" t="str">
        <f aca="false">IF($A193="","",SUMPRODUCT((반품접수!$C$3:$C$1002=$A193)*1,IFERROR(SUMIFS(처리내역!$E$3:$E$1502,처리내역!$B$3:$B$1502,반품접수!$A$3:$A$1002,처리내역!$D$3:$D$1502,"폐기"),0)))</f>
        <v/>
      </c>
      <c r="G193" s="26" t="str">
        <f aca="false">IF($A193="","",IF($B193=0,"",($B193-$D193)/$B193))</f>
        <v/>
      </c>
    </row>
    <row r="194" customFormat="false" ht="15" hidden="false" customHeight="true" outlineLevel="0" collapsed="false">
      <c r="A194" s="12" t="str">
        <f aca="false">IF(거래처목록!$A191="","",거래처목록!$A191)</f>
        <v/>
      </c>
      <c r="B194" s="25" t="str">
        <f aca="false">IF($A194="","",COUNTIFS(반품접수!$C$3:$C$1002,$A194,반품접수!$B$3:$B$1002,"&gt;="&amp;DATE($B$3,1,1),반품접수!$B$3:$B$1002,"&lt;="&amp;DATE($B$3,12,31)))</f>
        <v/>
      </c>
      <c r="C194" s="25" t="str">
        <f aca="false">IF($A194="","",SUMIFS(반품접수!$I$3:$I$1002,반품접수!$C$3:$C$1002,$A194,반품접수!$B$3:$B$1002,"&gt;="&amp;DATE($B$3,1,1),반품접수!$B$3:$B$1002,"&lt;="&amp;DATE($B$3,12,31)))</f>
        <v/>
      </c>
      <c r="D194" s="25" t="str">
        <f aca="false">IF($A194="","",COUNTIFS(반품접수!$C$3:$C$1002,$A194,반품접수!$O$3:$O$1002,"미처리",반품접수!$B$3:$B$1002,"&gt;="&amp;DATE($B$3,1,1),반품접수!$B$3:$B$1002,"&lt;="&amp;DATE($B$3,12,31))+COUNTIFS(반품접수!$C$3:$C$1002,$A194,반품접수!$O$3:$O$1002,"부분처리",반품접수!$B$3:$B$1002,"&gt;="&amp;DATE($B$3,1,1),반품접수!$B$3:$B$1002,"&lt;="&amp;DATE($B$3,12,31)))</f>
        <v/>
      </c>
      <c r="E194" s="25" t="str">
        <f aca="false">IF($A194="","",SUMPRODUCT((반품접수!$C$3:$C$1002=$A194)*1,IFERROR(SUMIFS(처리내역!$E$3:$E$1502,처리내역!$B$3:$B$1502,반품접수!$A$3:$A$1002,처리내역!$D$3:$D$1502,"재입고"),0)))</f>
        <v/>
      </c>
      <c r="F194" s="25" t="str">
        <f aca="false">IF($A194="","",SUMPRODUCT((반품접수!$C$3:$C$1002=$A194)*1,IFERROR(SUMIFS(처리내역!$E$3:$E$1502,처리내역!$B$3:$B$1502,반품접수!$A$3:$A$1002,처리내역!$D$3:$D$1502,"폐기"),0)))</f>
        <v/>
      </c>
      <c r="G194" s="26" t="str">
        <f aca="false">IF($A194="","",IF($B194=0,"",($B194-$D194)/$B194))</f>
        <v/>
      </c>
    </row>
    <row r="195" customFormat="false" ht="15" hidden="false" customHeight="true" outlineLevel="0" collapsed="false">
      <c r="A195" s="12" t="str">
        <f aca="false">IF(거래처목록!$A192="","",거래처목록!$A192)</f>
        <v/>
      </c>
      <c r="B195" s="25" t="str">
        <f aca="false">IF($A195="","",COUNTIFS(반품접수!$C$3:$C$1002,$A195,반품접수!$B$3:$B$1002,"&gt;="&amp;DATE($B$3,1,1),반품접수!$B$3:$B$1002,"&lt;="&amp;DATE($B$3,12,31)))</f>
        <v/>
      </c>
      <c r="C195" s="25" t="str">
        <f aca="false">IF($A195="","",SUMIFS(반품접수!$I$3:$I$1002,반품접수!$C$3:$C$1002,$A195,반품접수!$B$3:$B$1002,"&gt;="&amp;DATE($B$3,1,1),반품접수!$B$3:$B$1002,"&lt;="&amp;DATE($B$3,12,31)))</f>
        <v/>
      </c>
      <c r="D195" s="25" t="str">
        <f aca="false">IF($A195="","",COUNTIFS(반품접수!$C$3:$C$1002,$A195,반품접수!$O$3:$O$1002,"미처리",반품접수!$B$3:$B$1002,"&gt;="&amp;DATE($B$3,1,1),반품접수!$B$3:$B$1002,"&lt;="&amp;DATE($B$3,12,31))+COUNTIFS(반품접수!$C$3:$C$1002,$A195,반품접수!$O$3:$O$1002,"부분처리",반품접수!$B$3:$B$1002,"&gt;="&amp;DATE($B$3,1,1),반품접수!$B$3:$B$1002,"&lt;="&amp;DATE($B$3,12,31)))</f>
        <v/>
      </c>
      <c r="E195" s="25" t="str">
        <f aca="false">IF($A195="","",SUMPRODUCT((반품접수!$C$3:$C$1002=$A195)*1,IFERROR(SUMIFS(처리내역!$E$3:$E$1502,처리내역!$B$3:$B$1502,반품접수!$A$3:$A$1002,처리내역!$D$3:$D$1502,"재입고"),0)))</f>
        <v/>
      </c>
      <c r="F195" s="25" t="str">
        <f aca="false">IF($A195="","",SUMPRODUCT((반품접수!$C$3:$C$1002=$A195)*1,IFERROR(SUMIFS(처리내역!$E$3:$E$1502,처리내역!$B$3:$B$1502,반품접수!$A$3:$A$1002,처리내역!$D$3:$D$1502,"폐기"),0)))</f>
        <v/>
      </c>
      <c r="G195" s="26" t="str">
        <f aca="false">IF($A195="","",IF($B195=0,"",($B195-$D195)/$B195))</f>
        <v/>
      </c>
    </row>
    <row r="196" customFormat="false" ht="15" hidden="false" customHeight="true" outlineLevel="0" collapsed="false">
      <c r="A196" s="12" t="str">
        <f aca="false">IF(거래처목록!$A193="","",거래처목록!$A193)</f>
        <v/>
      </c>
      <c r="B196" s="25" t="str">
        <f aca="false">IF($A196="","",COUNTIFS(반품접수!$C$3:$C$1002,$A196,반품접수!$B$3:$B$1002,"&gt;="&amp;DATE($B$3,1,1),반품접수!$B$3:$B$1002,"&lt;="&amp;DATE($B$3,12,31)))</f>
        <v/>
      </c>
      <c r="C196" s="25" t="str">
        <f aca="false">IF($A196="","",SUMIFS(반품접수!$I$3:$I$1002,반품접수!$C$3:$C$1002,$A196,반품접수!$B$3:$B$1002,"&gt;="&amp;DATE($B$3,1,1),반품접수!$B$3:$B$1002,"&lt;="&amp;DATE($B$3,12,31)))</f>
        <v/>
      </c>
      <c r="D196" s="25" t="str">
        <f aca="false">IF($A196="","",COUNTIFS(반품접수!$C$3:$C$1002,$A196,반품접수!$O$3:$O$1002,"미처리",반품접수!$B$3:$B$1002,"&gt;="&amp;DATE($B$3,1,1),반품접수!$B$3:$B$1002,"&lt;="&amp;DATE($B$3,12,31))+COUNTIFS(반품접수!$C$3:$C$1002,$A196,반품접수!$O$3:$O$1002,"부분처리",반품접수!$B$3:$B$1002,"&gt;="&amp;DATE($B$3,1,1),반품접수!$B$3:$B$1002,"&lt;="&amp;DATE($B$3,12,31)))</f>
        <v/>
      </c>
      <c r="E196" s="25" t="str">
        <f aca="false">IF($A196="","",SUMPRODUCT((반품접수!$C$3:$C$1002=$A196)*1,IFERROR(SUMIFS(처리내역!$E$3:$E$1502,처리내역!$B$3:$B$1502,반품접수!$A$3:$A$1002,처리내역!$D$3:$D$1502,"재입고"),0)))</f>
        <v/>
      </c>
      <c r="F196" s="25" t="str">
        <f aca="false">IF($A196="","",SUMPRODUCT((반품접수!$C$3:$C$1002=$A196)*1,IFERROR(SUMIFS(처리내역!$E$3:$E$1502,처리내역!$B$3:$B$1502,반품접수!$A$3:$A$1002,처리내역!$D$3:$D$1502,"폐기"),0)))</f>
        <v/>
      </c>
      <c r="G196" s="26" t="str">
        <f aca="false">IF($A196="","",IF($B196=0,"",($B196-$D196)/$B196))</f>
        <v/>
      </c>
    </row>
    <row r="197" customFormat="false" ht="15" hidden="false" customHeight="true" outlineLevel="0" collapsed="false">
      <c r="A197" s="12" t="str">
        <f aca="false">IF(거래처목록!$A194="","",거래처목록!$A194)</f>
        <v/>
      </c>
      <c r="B197" s="25" t="str">
        <f aca="false">IF($A197="","",COUNTIFS(반품접수!$C$3:$C$1002,$A197,반품접수!$B$3:$B$1002,"&gt;="&amp;DATE($B$3,1,1),반품접수!$B$3:$B$1002,"&lt;="&amp;DATE($B$3,12,31)))</f>
        <v/>
      </c>
      <c r="C197" s="25" t="str">
        <f aca="false">IF($A197="","",SUMIFS(반품접수!$I$3:$I$1002,반품접수!$C$3:$C$1002,$A197,반품접수!$B$3:$B$1002,"&gt;="&amp;DATE($B$3,1,1),반품접수!$B$3:$B$1002,"&lt;="&amp;DATE($B$3,12,31)))</f>
        <v/>
      </c>
      <c r="D197" s="25" t="str">
        <f aca="false">IF($A197="","",COUNTIFS(반품접수!$C$3:$C$1002,$A197,반품접수!$O$3:$O$1002,"미처리",반품접수!$B$3:$B$1002,"&gt;="&amp;DATE($B$3,1,1),반품접수!$B$3:$B$1002,"&lt;="&amp;DATE($B$3,12,31))+COUNTIFS(반품접수!$C$3:$C$1002,$A197,반품접수!$O$3:$O$1002,"부분처리",반품접수!$B$3:$B$1002,"&gt;="&amp;DATE($B$3,1,1),반품접수!$B$3:$B$1002,"&lt;="&amp;DATE($B$3,12,31)))</f>
        <v/>
      </c>
      <c r="E197" s="25" t="str">
        <f aca="false">IF($A197="","",SUMPRODUCT((반품접수!$C$3:$C$1002=$A197)*1,IFERROR(SUMIFS(처리내역!$E$3:$E$1502,처리내역!$B$3:$B$1502,반품접수!$A$3:$A$1002,처리내역!$D$3:$D$1502,"재입고"),0)))</f>
        <v/>
      </c>
      <c r="F197" s="25" t="str">
        <f aca="false">IF($A197="","",SUMPRODUCT((반품접수!$C$3:$C$1002=$A197)*1,IFERROR(SUMIFS(처리내역!$E$3:$E$1502,처리내역!$B$3:$B$1502,반품접수!$A$3:$A$1002,처리내역!$D$3:$D$1502,"폐기"),0)))</f>
        <v/>
      </c>
      <c r="G197" s="26" t="str">
        <f aca="false">IF($A197="","",IF($B197=0,"",($B197-$D197)/$B197))</f>
        <v/>
      </c>
    </row>
    <row r="198" customFormat="false" ht="15" hidden="false" customHeight="true" outlineLevel="0" collapsed="false">
      <c r="A198" s="12" t="str">
        <f aca="false">IF(거래처목록!$A195="","",거래처목록!$A195)</f>
        <v/>
      </c>
      <c r="B198" s="25" t="str">
        <f aca="false">IF($A198="","",COUNTIFS(반품접수!$C$3:$C$1002,$A198,반품접수!$B$3:$B$1002,"&gt;="&amp;DATE($B$3,1,1),반품접수!$B$3:$B$1002,"&lt;="&amp;DATE($B$3,12,31)))</f>
        <v/>
      </c>
      <c r="C198" s="25" t="str">
        <f aca="false">IF($A198="","",SUMIFS(반품접수!$I$3:$I$1002,반품접수!$C$3:$C$1002,$A198,반품접수!$B$3:$B$1002,"&gt;="&amp;DATE($B$3,1,1),반품접수!$B$3:$B$1002,"&lt;="&amp;DATE($B$3,12,31)))</f>
        <v/>
      </c>
      <c r="D198" s="25" t="str">
        <f aca="false">IF($A198="","",COUNTIFS(반품접수!$C$3:$C$1002,$A198,반품접수!$O$3:$O$1002,"미처리",반품접수!$B$3:$B$1002,"&gt;="&amp;DATE($B$3,1,1),반품접수!$B$3:$B$1002,"&lt;="&amp;DATE($B$3,12,31))+COUNTIFS(반품접수!$C$3:$C$1002,$A198,반품접수!$O$3:$O$1002,"부분처리",반품접수!$B$3:$B$1002,"&gt;="&amp;DATE($B$3,1,1),반품접수!$B$3:$B$1002,"&lt;="&amp;DATE($B$3,12,31)))</f>
        <v/>
      </c>
      <c r="E198" s="25" t="str">
        <f aca="false">IF($A198="","",SUMPRODUCT((반품접수!$C$3:$C$1002=$A198)*1,IFERROR(SUMIFS(처리내역!$E$3:$E$1502,처리내역!$B$3:$B$1502,반품접수!$A$3:$A$1002,처리내역!$D$3:$D$1502,"재입고"),0)))</f>
        <v/>
      </c>
      <c r="F198" s="25" t="str">
        <f aca="false">IF($A198="","",SUMPRODUCT((반품접수!$C$3:$C$1002=$A198)*1,IFERROR(SUMIFS(처리내역!$E$3:$E$1502,처리내역!$B$3:$B$1502,반품접수!$A$3:$A$1002,처리내역!$D$3:$D$1502,"폐기"),0)))</f>
        <v/>
      </c>
      <c r="G198" s="26" t="str">
        <f aca="false">IF($A198="","",IF($B198=0,"",($B198-$D198)/$B198))</f>
        <v/>
      </c>
    </row>
    <row r="199" customFormat="false" ht="15" hidden="false" customHeight="true" outlineLevel="0" collapsed="false">
      <c r="A199" s="12" t="str">
        <f aca="false">IF(거래처목록!$A196="","",거래처목록!$A196)</f>
        <v/>
      </c>
      <c r="B199" s="25" t="str">
        <f aca="false">IF($A199="","",COUNTIFS(반품접수!$C$3:$C$1002,$A199,반품접수!$B$3:$B$1002,"&gt;="&amp;DATE($B$3,1,1),반품접수!$B$3:$B$1002,"&lt;="&amp;DATE($B$3,12,31)))</f>
        <v/>
      </c>
      <c r="C199" s="25" t="str">
        <f aca="false">IF($A199="","",SUMIFS(반품접수!$I$3:$I$1002,반품접수!$C$3:$C$1002,$A199,반품접수!$B$3:$B$1002,"&gt;="&amp;DATE($B$3,1,1),반품접수!$B$3:$B$1002,"&lt;="&amp;DATE($B$3,12,31)))</f>
        <v/>
      </c>
      <c r="D199" s="25" t="str">
        <f aca="false">IF($A199="","",COUNTIFS(반품접수!$C$3:$C$1002,$A199,반품접수!$O$3:$O$1002,"미처리",반품접수!$B$3:$B$1002,"&gt;="&amp;DATE($B$3,1,1),반품접수!$B$3:$B$1002,"&lt;="&amp;DATE($B$3,12,31))+COUNTIFS(반품접수!$C$3:$C$1002,$A199,반품접수!$O$3:$O$1002,"부분처리",반품접수!$B$3:$B$1002,"&gt;="&amp;DATE($B$3,1,1),반품접수!$B$3:$B$1002,"&lt;="&amp;DATE($B$3,12,31)))</f>
        <v/>
      </c>
      <c r="E199" s="25" t="str">
        <f aca="false">IF($A199="","",SUMPRODUCT((반품접수!$C$3:$C$1002=$A199)*1,IFERROR(SUMIFS(처리내역!$E$3:$E$1502,처리내역!$B$3:$B$1502,반품접수!$A$3:$A$1002,처리내역!$D$3:$D$1502,"재입고"),0)))</f>
        <v/>
      </c>
      <c r="F199" s="25" t="str">
        <f aca="false">IF($A199="","",SUMPRODUCT((반품접수!$C$3:$C$1002=$A199)*1,IFERROR(SUMIFS(처리내역!$E$3:$E$1502,처리내역!$B$3:$B$1502,반품접수!$A$3:$A$1002,처리내역!$D$3:$D$1502,"폐기"),0)))</f>
        <v/>
      </c>
      <c r="G199" s="26" t="str">
        <f aca="false">IF($A199="","",IF($B199=0,"",($B199-$D199)/$B199))</f>
        <v/>
      </c>
    </row>
    <row r="200" customFormat="false" ht="15" hidden="false" customHeight="true" outlineLevel="0" collapsed="false">
      <c r="A200" s="12" t="str">
        <f aca="false">IF(거래처목록!$A197="","",거래처목록!$A197)</f>
        <v/>
      </c>
      <c r="B200" s="25" t="str">
        <f aca="false">IF($A200="","",COUNTIFS(반품접수!$C$3:$C$1002,$A200,반품접수!$B$3:$B$1002,"&gt;="&amp;DATE($B$3,1,1),반품접수!$B$3:$B$1002,"&lt;="&amp;DATE($B$3,12,31)))</f>
        <v/>
      </c>
      <c r="C200" s="25" t="str">
        <f aca="false">IF($A200="","",SUMIFS(반품접수!$I$3:$I$1002,반품접수!$C$3:$C$1002,$A200,반품접수!$B$3:$B$1002,"&gt;="&amp;DATE($B$3,1,1),반품접수!$B$3:$B$1002,"&lt;="&amp;DATE($B$3,12,31)))</f>
        <v/>
      </c>
      <c r="D200" s="25" t="str">
        <f aca="false">IF($A200="","",COUNTIFS(반품접수!$C$3:$C$1002,$A200,반품접수!$O$3:$O$1002,"미처리",반품접수!$B$3:$B$1002,"&gt;="&amp;DATE($B$3,1,1),반품접수!$B$3:$B$1002,"&lt;="&amp;DATE($B$3,12,31))+COUNTIFS(반품접수!$C$3:$C$1002,$A200,반품접수!$O$3:$O$1002,"부분처리",반품접수!$B$3:$B$1002,"&gt;="&amp;DATE($B$3,1,1),반품접수!$B$3:$B$1002,"&lt;="&amp;DATE($B$3,12,31)))</f>
        <v/>
      </c>
      <c r="E200" s="25" t="str">
        <f aca="false">IF($A200="","",SUMPRODUCT((반품접수!$C$3:$C$1002=$A200)*1,IFERROR(SUMIFS(처리내역!$E$3:$E$1502,처리내역!$B$3:$B$1502,반품접수!$A$3:$A$1002,처리내역!$D$3:$D$1502,"재입고"),0)))</f>
        <v/>
      </c>
      <c r="F200" s="25" t="str">
        <f aca="false">IF($A200="","",SUMPRODUCT((반품접수!$C$3:$C$1002=$A200)*1,IFERROR(SUMIFS(처리내역!$E$3:$E$1502,처리내역!$B$3:$B$1502,반품접수!$A$3:$A$1002,처리내역!$D$3:$D$1502,"폐기"),0)))</f>
        <v/>
      </c>
      <c r="G200" s="26" t="str">
        <f aca="false">IF($A200="","",IF($B200=0,"",($B200-$D200)/$B200))</f>
        <v/>
      </c>
    </row>
    <row r="201" customFormat="false" ht="15" hidden="false" customHeight="true" outlineLevel="0" collapsed="false">
      <c r="A201" s="12" t="str">
        <f aca="false">IF(거래처목록!$A198="","",거래처목록!$A198)</f>
        <v/>
      </c>
      <c r="B201" s="25" t="str">
        <f aca="false">IF($A201="","",COUNTIFS(반품접수!$C$3:$C$1002,$A201,반품접수!$B$3:$B$1002,"&gt;="&amp;DATE($B$3,1,1),반품접수!$B$3:$B$1002,"&lt;="&amp;DATE($B$3,12,31)))</f>
        <v/>
      </c>
      <c r="C201" s="25" t="str">
        <f aca="false">IF($A201="","",SUMIFS(반품접수!$I$3:$I$1002,반품접수!$C$3:$C$1002,$A201,반품접수!$B$3:$B$1002,"&gt;="&amp;DATE($B$3,1,1),반품접수!$B$3:$B$1002,"&lt;="&amp;DATE($B$3,12,31)))</f>
        <v/>
      </c>
      <c r="D201" s="25" t="str">
        <f aca="false">IF($A201="","",COUNTIFS(반품접수!$C$3:$C$1002,$A201,반품접수!$O$3:$O$1002,"미처리",반품접수!$B$3:$B$1002,"&gt;="&amp;DATE($B$3,1,1),반품접수!$B$3:$B$1002,"&lt;="&amp;DATE($B$3,12,31))+COUNTIFS(반품접수!$C$3:$C$1002,$A201,반품접수!$O$3:$O$1002,"부분처리",반품접수!$B$3:$B$1002,"&gt;="&amp;DATE($B$3,1,1),반품접수!$B$3:$B$1002,"&lt;="&amp;DATE($B$3,12,31)))</f>
        <v/>
      </c>
      <c r="E201" s="25" t="str">
        <f aca="false">IF($A201="","",SUMPRODUCT((반품접수!$C$3:$C$1002=$A201)*1,IFERROR(SUMIFS(처리내역!$E$3:$E$1502,처리내역!$B$3:$B$1502,반품접수!$A$3:$A$1002,처리내역!$D$3:$D$1502,"재입고"),0)))</f>
        <v/>
      </c>
      <c r="F201" s="25" t="str">
        <f aca="false">IF($A201="","",SUMPRODUCT((반품접수!$C$3:$C$1002=$A201)*1,IFERROR(SUMIFS(처리내역!$E$3:$E$1502,처리내역!$B$3:$B$1502,반품접수!$A$3:$A$1002,처리내역!$D$3:$D$1502,"폐기"),0)))</f>
        <v/>
      </c>
      <c r="G201" s="26" t="str">
        <f aca="false">IF($A201="","",IF($B201=0,"",($B201-$D201)/$B201))</f>
        <v/>
      </c>
    </row>
    <row r="202" customFormat="false" ht="15" hidden="false" customHeight="true" outlineLevel="0" collapsed="false">
      <c r="A202" s="12" t="str">
        <f aca="false">IF(거래처목록!$A199="","",거래처목록!$A199)</f>
        <v/>
      </c>
      <c r="B202" s="25" t="str">
        <f aca="false">IF($A202="","",COUNTIFS(반품접수!$C$3:$C$1002,$A202,반품접수!$B$3:$B$1002,"&gt;="&amp;DATE($B$3,1,1),반품접수!$B$3:$B$1002,"&lt;="&amp;DATE($B$3,12,31)))</f>
        <v/>
      </c>
      <c r="C202" s="25" t="str">
        <f aca="false">IF($A202="","",SUMIFS(반품접수!$I$3:$I$1002,반품접수!$C$3:$C$1002,$A202,반품접수!$B$3:$B$1002,"&gt;="&amp;DATE($B$3,1,1),반품접수!$B$3:$B$1002,"&lt;="&amp;DATE($B$3,12,31)))</f>
        <v/>
      </c>
      <c r="D202" s="25" t="str">
        <f aca="false">IF($A202="","",COUNTIFS(반품접수!$C$3:$C$1002,$A202,반품접수!$O$3:$O$1002,"미처리",반품접수!$B$3:$B$1002,"&gt;="&amp;DATE($B$3,1,1),반품접수!$B$3:$B$1002,"&lt;="&amp;DATE($B$3,12,31))+COUNTIFS(반품접수!$C$3:$C$1002,$A202,반품접수!$O$3:$O$1002,"부분처리",반품접수!$B$3:$B$1002,"&gt;="&amp;DATE($B$3,1,1),반품접수!$B$3:$B$1002,"&lt;="&amp;DATE($B$3,12,31)))</f>
        <v/>
      </c>
      <c r="E202" s="25" t="str">
        <f aca="false">IF($A202="","",SUMPRODUCT((반품접수!$C$3:$C$1002=$A202)*1,IFERROR(SUMIFS(처리내역!$E$3:$E$1502,처리내역!$B$3:$B$1502,반품접수!$A$3:$A$1002,처리내역!$D$3:$D$1502,"재입고"),0)))</f>
        <v/>
      </c>
      <c r="F202" s="25" t="str">
        <f aca="false">IF($A202="","",SUMPRODUCT((반품접수!$C$3:$C$1002=$A202)*1,IFERROR(SUMIFS(처리내역!$E$3:$E$1502,처리내역!$B$3:$B$1502,반품접수!$A$3:$A$1002,처리내역!$D$3:$D$1502,"폐기"),0)))</f>
        <v/>
      </c>
      <c r="G202" s="26" t="str">
        <f aca="false">IF($A202="","",IF($B202=0,"",($B202-$D202)/$B202))</f>
        <v/>
      </c>
    </row>
    <row r="203" customFormat="false" ht="15" hidden="false" customHeight="true" outlineLevel="0" collapsed="false">
      <c r="A203" s="12" t="str">
        <f aca="false">IF(거래처목록!$A200="","",거래처목록!$A200)</f>
        <v/>
      </c>
      <c r="B203" s="25" t="str">
        <f aca="false">IF($A203="","",COUNTIFS(반품접수!$C$3:$C$1002,$A203,반품접수!$B$3:$B$1002,"&gt;="&amp;DATE($B$3,1,1),반품접수!$B$3:$B$1002,"&lt;="&amp;DATE($B$3,12,31)))</f>
        <v/>
      </c>
      <c r="C203" s="25" t="str">
        <f aca="false">IF($A203="","",SUMIFS(반품접수!$I$3:$I$1002,반품접수!$C$3:$C$1002,$A203,반품접수!$B$3:$B$1002,"&gt;="&amp;DATE($B$3,1,1),반품접수!$B$3:$B$1002,"&lt;="&amp;DATE($B$3,12,31)))</f>
        <v/>
      </c>
      <c r="D203" s="25" t="str">
        <f aca="false">IF($A203="","",COUNTIFS(반품접수!$C$3:$C$1002,$A203,반품접수!$O$3:$O$1002,"미처리",반품접수!$B$3:$B$1002,"&gt;="&amp;DATE($B$3,1,1),반품접수!$B$3:$B$1002,"&lt;="&amp;DATE($B$3,12,31))+COUNTIFS(반품접수!$C$3:$C$1002,$A203,반품접수!$O$3:$O$1002,"부분처리",반품접수!$B$3:$B$1002,"&gt;="&amp;DATE($B$3,1,1),반품접수!$B$3:$B$1002,"&lt;="&amp;DATE($B$3,12,31)))</f>
        <v/>
      </c>
      <c r="E203" s="25" t="str">
        <f aca="false">IF($A203="","",SUMPRODUCT((반품접수!$C$3:$C$1002=$A203)*1,IFERROR(SUMIFS(처리내역!$E$3:$E$1502,처리내역!$B$3:$B$1502,반품접수!$A$3:$A$1002,처리내역!$D$3:$D$1502,"재입고"),0)))</f>
        <v/>
      </c>
      <c r="F203" s="25" t="str">
        <f aca="false">IF($A203="","",SUMPRODUCT((반품접수!$C$3:$C$1002=$A203)*1,IFERROR(SUMIFS(처리내역!$E$3:$E$1502,처리내역!$B$3:$B$1502,반품접수!$A$3:$A$1002,처리내역!$D$3:$D$1502,"폐기"),0)))</f>
        <v/>
      </c>
      <c r="G203" s="26" t="str">
        <f aca="false">IF($A203="","",IF($B203=0,"",($B203-$D203)/$B203))</f>
        <v/>
      </c>
    </row>
    <row r="204" customFormat="false" ht="15" hidden="false" customHeight="true" outlineLevel="0" collapsed="false">
      <c r="A204" s="12" t="str">
        <f aca="false">IF(거래처목록!$A201="","",거래처목록!$A201)</f>
        <v/>
      </c>
      <c r="B204" s="25" t="str">
        <f aca="false">IF($A204="","",COUNTIFS(반품접수!$C$3:$C$1002,$A204,반품접수!$B$3:$B$1002,"&gt;="&amp;DATE($B$3,1,1),반품접수!$B$3:$B$1002,"&lt;="&amp;DATE($B$3,12,31)))</f>
        <v/>
      </c>
      <c r="C204" s="25" t="str">
        <f aca="false">IF($A204="","",SUMIFS(반품접수!$I$3:$I$1002,반품접수!$C$3:$C$1002,$A204,반품접수!$B$3:$B$1002,"&gt;="&amp;DATE($B$3,1,1),반품접수!$B$3:$B$1002,"&lt;="&amp;DATE($B$3,12,31)))</f>
        <v/>
      </c>
      <c r="D204" s="25" t="str">
        <f aca="false">IF($A204="","",COUNTIFS(반품접수!$C$3:$C$1002,$A204,반품접수!$O$3:$O$1002,"미처리",반품접수!$B$3:$B$1002,"&gt;="&amp;DATE($B$3,1,1),반품접수!$B$3:$B$1002,"&lt;="&amp;DATE($B$3,12,31))+COUNTIFS(반품접수!$C$3:$C$1002,$A204,반품접수!$O$3:$O$1002,"부분처리",반품접수!$B$3:$B$1002,"&gt;="&amp;DATE($B$3,1,1),반품접수!$B$3:$B$1002,"&lt;="&amp;DATE($B$3,12,31)))</f>
        <v/>
      </c>
      <c r="E204" s="25" t="str">
        <f aca="false">IF($A204="","",SUMPRODUCT((반품접수!$C$3:$C$1002=$A204)*1,IFERROR(SUMIFS(처리내역!$E$3:$E$1502,처리내역!$B$3:$B$1502,반품접수!$A$3:$A$1002,처리내역!$D$3:$D$1502,"재입고"),0)))</f>
        <v/>
      </c>
      <c r="F204" s="25" t="str">
        <f aca="false">IF($A204="","",SUMPRODUCT((반품접수!$C$3:$C$1002=$A204)*1,IFERROR(SUMIFS(처리내역!$E$3:$E$1502,처리내역!$B$3:$B$1502,반품접수!$A$3:$A$1002,처리내역!$D$3:$D$1502,"폐기"),0)))</f>
        <v/>
      </c>
      <c r="G204" s="26" t="str">
        <f aca="false">IF($A204="","",IF($B204=0,"",($B204-$D204)/$B204))</f>
        <v/>
      </c>
    </row>
    <row r="205" customFormat="false" ht="15" hidden="false" customHeight="true" outlineLevel="0" collapsed="false">
      <c r="A205" s="12" t="str">
        <f aca="false">IF(거래처목록!$A202="","",거래처목록!$A202)</f>
        <v/>
      </c>
      <c r="B205" s="25" t="str">
        <f aca="false">IF($A205="","",COUNTIFS(반품접수!$C$3:$C$1002,$A205,반품접수!$B$3:$B$1002,"&gt;="&amp;DATE($B$3,1,1),반품접수!$B$3:$B$1002,"&lt;="&amp;DATE($B$3,12,31)))</f>
        <v/>
      </c>
      <c r="C205" s="25" t="str">
        <f aca="false">IF($A205="","",SUMIFS(반품접수!$I$3:$I$1002,반품접수!$C$3:$C$1002,$A205,반품접수!$B$3:$B$1002,"&gt;="&amp;DATE($B$3,1,1),반품접수!$B$3:$B$1002,"&lt;="&amp;DATE($B$3,12,31)))</f>
        <v/>
      </c>
      <c r="D205" s="25" t="str">
        <f aca="false">IF($A205="","",COUNTIFS(반품접수!$C$3:$C$1002,$A205,반품접수!$O$3:$O$1002,"미처리",반품접수!$B$3:$B$1002,"&gt;="&amp;DATE($B$3,1,1),반품접수!$B$3:$B$1002,"&lt;="&amp;DATE($B$3,12,31))+COUNTIFS(반품접수!$C$3:$C$1002,$A205,반품접수!$O$3:$O$1002,"부분처리",반품접수!$B$3:$B$1002,"&gt;="&amp;DATE($B$3,1,1),반품접수!$B$3:$B$1002,"&lt;="&amp;DATE($B$3,12,31)))</f>
        <v/>
      </c>
      <c r="E205" s="25" t="str">
        <f aca="false">IF($A205="","",SUMPRODUCT((반품접수!$C$3:$C$1002=$A205)*1,IFERROR(SUMIFS(처리내역!$E$3:$E$1502,처리내역!$B$3:$B$1502,반품접수!$A$3:$A$1002,처리내역!$D$3:$D$1502,"재입고"),0)))</f>
        <v/>
      </c>
      <c r="F205" s="25" t="str">
        <f aca="false">IF($A205="","",SUMPRODUCT((반품접수!$C$3:$C$1002=$A205)*1,IFERROR(SUMIFS(처리내역!$E$3:$E$1502,처리내역!$B$3:$B$1502,반품접수!$A$3:$A$1002,처리내역!$D$3:$D$1502,"폐기"),0)))</f>
        <v/>
      </c>
      <c r="G205" s="26" t="str">
        <f aca="false">IF($A205="","",IF($B205=0,"",($B205-$D205)/$B205))</f>
        <v/>
      </c>
    </row>
    <row r="206" customFormat="false" ht="15" hidden="false" customHeight="true" outlineLevel="0" collapsed="false">
      <c r="A206" s="12" t="str">
        <f aca="false">IF(거래처목록!$A203="","",거래처목록!$A203)</f>
        <v/>
      </c>
      <c r="B206" s="25" t="str">
        <f aca="false">IF($A206="","",COUNTIFS(반품접수!$C$3:$C$1002,$A206,반품접수!$B$3:$B$1002,"&gt;="&amp;DATE($B$3,1,1),반품접수!$B$3:$B$1002,"&lt;="&amp;DATE($B$3,12,31)))</f>
        <v/>
      </c>
      <c r="C206" s="25" t="str">
        <f aca="false">IF($A206="","",SUMIFS(반품접수!$I$3:$I$1002,반품접수!$C$3:$C$1002,$A206,반품접수!$B$3:$B$1002,"&gt;="&amp;DATE($B$3,1,1),반품접수!$B$3:$B$1002,"&lt;="&amp;DATE($B$3,12,31)))</f>
        <v/>
      </c>
      <c r="D206" s="25" t="str">
        <f aca="false">IF($A206="","",COUNTIFS(반품접수!$C$3:$C$1002,$A206,반품접수!$O$3:$O$1002,"미처리",반품접수!$B$3:$B$1002,"&gt;="&amp;DATE($B$3,1,1),반품접수!$B$3:$B$1002,"&lt;="&amp;DATE($B$3,12,31))+COUNTIFS(반품접수!$C$3:$C$1002,$A206,반품접수!$O$3:$O$1002,"부분처리",반품접수!$B$3:$B$1002,"&gt;="&amp;DATE($B$3,1,1),반품접수!$B$3:$B$1002,"&lt;="&amp;DATE($B$3,12,31)))</f>
        <v/>
      </c>
      <c r="E206" s="25" t="str">
        <f aca="false">IF($A206="","",SUMPRODUCT((반품접수!$C$3:$C$1002=$A206)*1,IFERROR(SUMIFS(처리내역!$E$3:$E$1502,처리내역!$B$3:$B$1502,반품접수!$A$3:$A$1002,처리내역!$D$3:$D$1502,"재입고"),0)))</f>
        <v/>
      </c>
      <c r="F206" s="25" t="str">
        <f aca="false">IF($A206="","",SUMPRODUCT((반품접수!$C$3:$C$1002=$A206)*1,IFERROR(SUMIFS(처리내역!$E$3:$E$1502,처리내역!$B$3:$B$1502,반품접수!$A$3:$A$1002,처리내역!$D$3:$D$1502,"폐기"),0)))</f>
        <v/>
      </c>
      <c r="G206" s="26" t="str">
        <f aca="false">IF($A206="","",IF($B206=0,"",($B206-$D206)/$B206))</f>
        <v/>
      </c>
    </row>
    <row r="207" customFormat="false" ht="15" hidden="false" customHeight="true" outlineLevel="0" collapsed="false">
      <c r="A207" s="12" t="str">
        <f aca="false">IF(거래처목록!$A204="","",거래처목록!$A204)</f>
        <v/>
      </c>
      <c r="B207" s="25" t="str">
        <f aca="false">IF($A207="","",COUNTIFS(반품접수!$C$3:$C$1002,$A207,반품접수!$B$3:$B$1002,"&gt;="&amp;DATE($B$3,1,1),반품접수!$B$3:$B$1002,"&lt;="&amp;DATE($B$3,12,31)))</f>
        <v/>
      </c>
      <c r="C207" s="25" t="str">
        <f aca="false">IF($A207="","",SUMIFS(반품접수!$I$3:$I$1002,반품접수!$C$3:$C$1002,$A207,반품접수!$B$3:$B$1002,"&gt;="&amp;DATE($B$3,1,1),반품접수!$B$3:$B$1002,"&lt;="&amp;DATE($B$3,12,31)))</f>
        <v/>
      </c>
      <c r="D207" s="25" t="str">
        <f aca="false">IF($A207="","",COUNTIFS(반품접수!$C$3:$C$1002,$A207,반품접수!$O$3:$O$1002,"미처리",반품접수!$B$3:$B$1002,"&gt;="&amp;DATE($B$3,1,1),반품접수!$B$3:$B$1002,"&lt;="&amp;DATE($B$3,12,31))+COUNTIFS(반품접수!$C$3:$C$1002,$A207,반품접수!$O$3:$O$1002,"부분처리",반품접수!$B$3:$B$1002,"&gt;="&amp;DATE($B$3,1,1),반품접수!$B$3:$B$1002,"&lt;="&amp;DATE($B$3,12,31)))</f>
        <v/>
      </c>
      <c r="E207" s="25" t="str">
        <f aca="false">IF($A207="","",SUMPRODUCT((반품접수!$C$3:$C$1002=$A207)*1,IFERROR(SUMIFS(처리내역!$E$3:$E$1502,처리내역!$B$3:$B$1502,반품접수!$A$3:$A$1002,처리내역!$D$3:$D$1502,"재입고"),0)))</f>
        <v/>
      </c>
      <c r="F207" s="25" t="str">
        <f aca="false">IF($A207="","",SUMPRODUCT((반품접수!$C$3:$C$1002=$A207)*1,IFERROR(SUMIFS(처리내역!$E$3:$E$1502,처리내역!$B$3:$B$1502,반품접수!$A$3:$A$1002,처리내역!$D$3:$D$1502,"폐기"),0)))</f>
        <v/>
      </c>
      <c r="G207" s="26" t="str">
        <f aca="false">IF($A207="","",IF($B207=0,"",($B207-$D207)/$B207))</f>
        <v/>
      </c>
    </row>
    <row r="208" customFormat="false" ht="15" hidden="false" customHeight="true" outlineLevel="0" collapsed="false">
      <c r="A208" s="12" t="str">
        <f aca="false">IF(거래처목록!$A205="","",거래처목록!$A205)</f>
        <v/>
      </c>
      <c r="B208" s="25" t="str">
        <f aca="false">IF($A208="","",COUNTIFS(반품접수!$C$3:$C$1002,$A208,반품접수!$B$3:$B$1002,"&gt;="&amp;DATE($B$3,1,1),반품접수!$B$3:$B$1002,"&lt;="&amp;DATE($B$3,12,31)))</f>
        <v/>
      </c>
      <c r="C208" s="25" t="str">
        <f aca="false">IF($A208="","",SUMIFS(반품접수!$I$3:$I$1002,반품접수!$C$3:$C$1002,$A208,반품접수!$B$3:$B$1002,"&gt;="&amp;DATE($B$3,1,1),반품접수!$B$3:$B$1002,"&lt;="&amp;DATE($B$3,12,31)))</f>
        <v/>
      </c>
      <c r="D208" s="25" t="str">
        <f aca="false">IF($A208="","",COUNTIFS(반품접수!$C$3:$C$1002,$A208,반품접수!$O$3:$O$1002,"미처리",반품접수!$B$3:$B$1002,"&gt;="&amp;DATE($B$3,1,1),반품접수!$B$3:$B$1002,"&lt;="&amp;DATE($B$3,12,31))+COUNTIFS(반품접수!$C$3:$C$1002,$A208,반품접수!$O$3:$O$1002,"부분처리",반품접수!$B$3:$B$1002,"&gt;="&amp;DATE($B$3,1,1),반품접수!$B$3:$B$1002,"&lt;="&amp;DATE($B$3,12,31)))</f>
        <v/>
      </c>
      <c r="E208" s="25" t="str">
        <f aca="false">IF($A208="","",SUMPRODUCT((반품접수!$C$3:$C$1002=$A208)*1,IFERROR(SUMIFS(처리내역!$E$3:$E$1502,처리내역!$B$3:$B$1502,반품접수!$A$3:$A$1002,처리내역!$D$3:$D$1502,"재입고"),0)))</f>
        <v/>
      </c>
      <c r="F208" s="25" t="str">
        <f aca="false">IF($A208="","",SUMPRODUCT((반품접수!$C$3:$C$1002=$A208)*1,IFERROR(SUMIFS(처리내역!$E$3:$E$1502,처리내역!$B$3:$B$1502,반품접수!$A$3:$A$1002,처리내역!$D$3:$D$1502,"폐기"),0)))</f>
        <v/>
      </c>
      <c r="G208" s="26" t="str">
        <f aca="false">IF($A208="","",IF($B208=0,"",($B208-$D208)/$B208))</f>
        <v/>
      </c>
    </row>
    <row r="209" customFormat="false" ht="15" hidden="false" customHeight="true" outlineLevel="0" collapsed="false">
      <c r="A209" s="12" t="str">
        <f aca="false">IF(거래처목록!$A206="","",거래처목록!$A206)</f>
        <v/>
      </c>
      <c r="B209" s="25" t="str">
        <f aca="false">IF($A209="","",COUNTIFS(반품접수!$C$3:$C$1002,$A209,반품접수!$B$3:$B$1002,"&gt;="&amp;DATE($B$3,1,1),반품접수!$B$3:$B$1002,"&lt;="&amp;DATE($B$3,12,31)))</f>
        <v/>
      </c>
      <c r="C209" s="25" t="str">
        <f aca="false">IF($A209="","",SUMIFS(반품접수!$I$3:$I$1002,반품접수!$C$3:$C$1002,$A209,반품접수!$B$3:$B$1002,"&gt;="&amp;DATE($B$3,1,1),반품접수!$B$3:$B$1002,"&lt;="&amp;DATE($B$3,12,31)))</f>
        <v/>
      </c>
      <c r="D209" s="25" t="str">
        <f aca="false">IF($A209="","",COUNTIFS(반품접수!$C$3:$C$1002,$A209,반품접수!$O$3:$O$1002,"미처리",반품접수!$B$3:$B$1002,"&gt;="&amp;DATE($B$3,1,1),반품접수!$B$3:$B$1002,"&lt;="&amp;DATE($B$3,12,31))+COUNTIFS(반품접수!$C$3:$C$1002,$A209,반품접수!$O$3:$O$1002,"부분처리",반품접수!$B$3:$B$1002,"&gt;="&amp;DATE($B$3,1,1),반품접수!$B$3:$B$1002,"&lt;="&amp;DATE($B$3,12,31)))</f>
        <v/>
      </c>
      <c r="E209" s="25" t="str">
        <f aca="false">IF($A209="","",SUMPRODUCT((반품접수!$C$3:$C$1002=$A209)*1,IFERROR(SUMIFS(처리내역!$E$3:$E$1502,처리내역!$B$3:$B$1502,반품접수!$A$3:$A$1002,처리내역!$D$3:$D$1502,"재입고"),0)))</f>
        <v/>
      </c>
      <c r="F209" s="25" t="str">
        <f aca="false">IF($A209="","",SUMPRODUCT((반품접수!$C$3:$C$1002=$A209)*1,IFERROR(SUMIFS(처리내역!$E$3:$E$1502,처리내역!$B$3:$B$1502,반품접수!$A$3:$A$1002,처리내역!$D$3:$D$1502,"폐기"),0)))</f>
        <v/>
      </c>
      <c r="G209" s="26" t="str">
        <f aca="false">IF($A209="","",IF($B209=0,"",($B209-$D209)/$B209))</f>
        <v/>
      </c>
    </row>
    <row r="210" customFormat="false" ht="15" hidden="false" customHeight="true" outlineLevel="0" collapsed="false">
      <c r="A210" s="12" t="str">
        <f aca="false">IF(거래처목록!$A207="","",거래처목록!$A207)</f>
        <v/>
      </c>
      <c r="B210" s="25" t="str">
        <f aca="false">IF($A210="","",COUNTIFS(반품접수!$C$3:$C$1002,$A210,반품접수!$B$3:$B$1002,"&gt;="&amp;DATE($B$3,1,1),반품접수!$B$3:$B$1002,"&lt;="&amp;DATE($B$3,12,31)))</f>
        <v/>
      </c>
      <c r="C210" s="25" t="str">
        <f aca="false">IF($A210="","",SUMIFS(반품접수!$I$3:$I$1002,반품접수!$C$3:$C$1002,$A210,반품접수!$B$3:$B$1002,"&gt;="&amp;DATE($B$3,1,1),반품접수!$B$3:$B$1002,"&lt;="&amp;DATE($B$3,12,31)))</f>
        <v/>
      </c>
      <c r="D210" s="25" t="str">
        <f aca="false">IF($A210="","",COUNTIFS(반품접수!$C$3:$C$1002,$A210,반품접수!$O$3:$O$1002,"미처리",반품접수!$B$3:$B$1002,"&gt;="&amp;DATE($B$3,1,1),반품접수!$B$3:$B$1002,"&lt;="&amp;DATE($B$3,12,31))+COUNTIFS(반품접수!$C$3:$C$1002,$A210,반품접수!$O$3:$O$1002,"부분처리",반품접수!$B$3:$B$1002,"&gt;="&amp;DATE($B$3,1,1),반품접수!$B$3:$B$1002,"&lt;="&amp;DATE($B$3,12,31)))</f>
        <v/>
      </c>
      <c r="E210" s="25" t="str">
        <f aca="false">IF($A210="","",SUMPRODUCT((반품접수!$C$3:$C$1002=$A210)*1,IFERROR(SUMIFS(처리내역!$E$3:$E$1502,처리내역!$B$3:$B$1502,반품접수!$A$3:$A$1002,처리내역!$D$3:$D$1502,"재입고"),0)))</f>
        <v/>
      </c>
      <c r="F210" s="25" t="str">
        <f aca="false">IF($A210="","",SUMPRODUCT((반품접수!$C$3:$C$1002=$A210)*1,IFERROR(SUMIFS(처리내역!$E$3:$E$1502,처리내역!$B$3:$B$1502,반품접수!$A$3:$A$1002,처리내역!$D$3:$D$1502,"폐기"),0)))</f>
        <v/>
      </c>
      <c r="G210" s="26" t="str">
        <f aca="false">IF($A210="","",IF($B210=0,"",($B210-$D210)/$B210))</f>
        <v/>
      </c>
    </row>
    <row r="211" customFormat="false" ht="15" hidden="false" customHeight="true" outlineLevel="0" collapsed="false">
      <c r="A211" s="12" t="str">
        <f aca="false">IF(거래처목록!$A208="","",거래처목록!$A208)</f>
        <v/>
      </c>
      <c r="B211" s="25" t="str">
        <f aca="false">IF($A211="","",COUNTIFS(반품접수!$C$3:$C$1002,$A211,반품접수!$B$3:$B$1002,"&gt;="&amp;DATE($B$3,1,1),반품접수!$B$3:$B$1002,"&lt;="&amp;DATE($B$3,12,31)))</f>
        <v/>
      </c>
      <c r="C211" s="25" t="str">
        <f aca="false">IF($A211="","",SUMIFS(반품접수!$I$3:$I$1002,반품접수!$C$3:$C$1002,$A211,반품접수!$B$3:$B$1002,"&gt;="&amp;DATE($B$3,1,1),반품접수!$B$3:$B$1002,"&lt;="&amp;DATE($B$3,12,31)))</f>
        <v/>
      </c>
      <c r="D211" s="25" t="str">
        <f aca="false">IF($A211="","",COUNTIFS(반품접수!$C$3:$C$1002,$A211,반품접수!$O$3:$O$1002,"미처리",반품접수!$B$3:$B$1002,"&gt;="&amp;DATE($B$3,1,1),반품접수!$B$3:$B$1002,"&lt;="&amp;DATE($B$3,12,31))+COUNTIFS(반품접수!$C$3:$C$1002,$A211,반품접수!$O$3:$O$1002,"부분처리",반품접수!$B$3:$B$1002,"&gt;="&amp;DATE($B$3,1,1),반품접수!$B$3:$B$1002,"&lt;="&amp;DATE($B$3,12,31)))</f>
        <v/>
      </c>
      <c r="E211" s="25" t="str">
        <f aca="false">IF($A211="","",SUMPRODUCT((반품접수!$C$3:$C$1002=$A211)*1,IFERROR(SUMIFS(처리내역!$E$3:$E$1502,처리내역!$B$3:$B$1502,반품접수!$A$3:$A$1002,처리내역!$D$3:$D$1502,"재입고"),0)))</f>
        <v/>
      </c>
      <c r="F211" s="25" t="str">
        <f aca="false">IF($A211="","",SUMPRODUCT((반품접수!$C$3:$C$1002=$A211)*1,IFERROR(SUMIFS(처리내역!$E$3:$E$1502,처리내역!$B$3:$B$1502,반품접수!$A$3:$A$1002,처리내역!$D$3:$D$1502,"폐기"),0)))</f>
        <v/>
      </c>
      <c r="G211" s="26" t="str">
        <f aca="false">IF($A211="","",IF($B211=0,"",($B211-$D211)/$B211))</f>
        <v/>
      </c>
    </row>
    <row r="212" customFormat="false" ht="15" hidden="false" customHeight="true" outlineLevel="0" collapsed="false">
      <c r="A212" s="12" t="str">
        <f aca="false">IF(거래처목록!$A209="","",거래처목록!$A209)</f>
        <v/>
      </c>
      <c r="B212" s="25" t="str">
        <f aca="false">IF($A212="","",COUNTIFS(반품접수!$C$3:$C$1002,$A212,반품접수!$B$3:$B$1002,"&gt;="&amp;DATE($B$3,1,1),반품접수!$B$3:$B$1002,"&lt;="&amp;DATE($B$3,12,31)))</f>
        <v/>
      </c>
      <c r="C212" s="25" t="str">
        <f aca="false">IF($A212="","",SUMIFS(반품접수!$I$3:$I$1002,반품접수!$C$3:$C$1002,$A212,반품접수!$B$3:$B$1002,"&gt;="&amp;DATE($B$3,1,1),반품접수!$B$3:$B$1002,"&lt;="&amp;DATE($B$3,12,31)))</f>
        <v/>
      </c>
      <c r="D212" s="25" t="str">
        <f aca="false">IF($A212="","",COUNTIFS(반품접수!$C$3:$C$1002,$A212,반품접수!$O$3:$O$1002,"미처리",반품접수!$B$3:$B$1002,"&gt;="&amp;DATE($B$3,1,1),반품접수!$B$3:$B$1002,"&lt;="&amp;DATE($B$3,12,31))+COUNTIFS(반품접수!$C$3:$C$1002,$A212,반품접수!$O$3:$O$1002,"부분처리",반품접수!$B$3:$B$1002,"&gt;="&amp;DATE($B$3,1,1),반품접수!$B$3:$B$1002,"&lt;="&amp;DATE($B$3,12,31)))</f>
        <v/>
      </c>
      <c r="E212" s="25" t="str">
        <f aca="false">IF($A212="","",SUMPRODUCT((반품접수!$C$3:$C$1002=$A212)*1,IFERROR(SUMIFS(처리내역!$E$3:$E$1502,처리내역!$B$3:$B$1502,반품접수!$A$3:$A$1002,처리내역!$D$3:$D$1502,"재입고"),0)))</f>
        <v/>
      </c>
      <c r="F212" s="25" t="str">
        <f aca="false">IF($A212="","",SUMPRODUCT((반품접수!$C$3:$C$1002=$A212)*1,IFERROR(SUMIFS(처리내역!$E$3:$E$1502,처리내역!$B$3:$B$1502,반품접수!$A$3:$A$1002,처리내역!$D$3:$D$1502,"폐기"),0)))</f>
        <v/>
      </c>
      <c r="G212" s="26" t="str">
        <f aca="false">IF($A212="","",IF($B212=0,"",($B212-$D212)/$B212))</f>
        <v/>
      </c>
    </row>
    <row r="213" customFormat="false" ht="15" hidden="false" customHeight="true" outlineLevel="0" collapsed="false">
      <c r="A213" s="12" t="str">
        <f aca="false">IF(거래처목록!$A210="","",거래처목록!$A210)</f>
        <v/>
      </c>
      <c r="B213" s="25" t="str">
        <f aca="false">IF($A213="","",COUNTIFS(반품접수!$C$3:$C$1002,$A213,반품접수!$B$3:$B$1002,"&gt;="&amp;DATE($B$3,1,1),반품접수!$B$3:$B$1002,"&lt;="&amp;DATE($B$3,12,31)))</f>
        <v/>
      </c>
      <c r="C213" s="25" t="str">
        <f aca="false">IF($A213="","",SUMIFS(반품접수!$I$3:$I$1002,반품접수!$C$3:$C$1002,$A213,반품접수!$B$3:$B$1002,"&gt;="&amp;DATE($B$3,1,1),반품접수!$B$3:$B$1002,"&lt;="&amp;DATE($B$3,12,31)))</f>
        <v/>
      </c>
      <c r="D213" s="25" t="str">
        <f aca="false">IF($A213="","",COUNTIFS(반품접수!$C$3:$C$1002,$A213,반품접수!$O$3:$O$1002,"미처리",반품접수!$B$3:$B$1002,"&gt;="&amp;DATE($B$3,1,1),반품접수!$B$3:$B$1002,"&lt;="&amp;DATE($B$3,12,31))+COUNTIFS(반품접수!$C$3:$C$1002,$A213,반품접수!$O$3:$O$1002,"부분처리",반품접수!$B$3:$B$1002,"&gt;="&amp;DATE($B$3,1,1),반품접수!$B$3:$B$1002,"&lt;="&amp;DATE($B$3,12,31)))</f>
        <v/>
      </c>
      <c r="E213" s="25" t="str">
        <f aca="false">IF($A213="","",SUMPRODUCT((반품접수!$C$3:$C$1002=$A213)*1,IFERROR(SUMIFS(처리내역!$E$3:$E$1502,처리내역!$B$3:$B$1502,반품접수!$A$3:$A$1002,처리내역!$D$3:$D$1502,"재입고"),0)))</f>
        <v/>
      </c>
      <c r="F213" s="25" t="str">
        <f aca="false">IF($A213="","",SUMPRODUCT((반품접수!$C$3:$C$1002=$A213)*1,IFERROR(SUMIFS(처리내역!$E$3:$E$1502,처리내역!$B$3:$B$1502,반품접수!$A$3:$A$1002,처리내역!$D$3:$D$1502,"폐기"),0)))</f>
        <v/>
      </c>
      <c r="G213" s="26" t="str">
        <f aca="false">IF($A213="","",IF($B213=0,"",($B213-$D213)/$B213))</f>
        <v/>
      </c>
    </row>
    <row r="214" customFormat="false" ht="15" hidden="false" customHeight="true" outlineLevel="0" collapsed="false">
      <c r="A214" s="12" t="str">
        <f aca="false">IF(거래처목록!$A211="","",거래처목록!$A211)</f>
        <v/>
      </c>
      <c r="B214" s="25" t="str">
        <f aca="false">IF($A214="","",COUNTIFS(반품접수!$C$3:$C$1002,$A214,반품접수!$B$3:$B$1002,"&gt;="&amp;DATE($B$3,1,1),반품접수!$B$3:$B$1002,"&lt;="&amp;DATE($B$3,12,31)))</f>
        <v/>
      </c>
      <c r="C214" s="25" t="str">
        <f aca="false">IF($A214="","",SUMIFS(반품접수!$I$3:$I$1002,반품접수!$C$3:$C$1002,$A214,반품접수!$B$3:$B$1002,"&gt;="&amp;DATE($B$3,1,1),반품접수!$B$3:$B$1002,"&lt;="&amp;DATE($B$3,12,31)))</f>
        <v/>
      </c>
      <c r="D214" s="25" t="str">
        <f aca="false">IF($A214="","",COUNTIFS(반품접수!$C$3:$C$1002,$A214,반품접수!$O$3:$O$1002,"미처리",반품접수!$B$3:$B$1002,"&gt;="&amp;DATE($B$3,1,1),반품접수!$B$3:$B$1002,"&lt;="&amp;DATE($B$3,12,31))+COUNTIFS(반품접수!$C$3:$C$1002,$A214,반품접수!$O$3:$O$1002,"부분처리",반품접수!$B$3:$B$1002,"&gt;="&amp;DATE($B$3,1,1),반품접수!$B$3:$B$1002,"&lt;="&amp;DATE($B$3,12,31)))</f>
        <v/>
      </c>
      <c r="E214" s="25" t="str">
        <f aca="false">IF($A214="","",SUMPRODUCT((반품접수!$C$3:$C$1002=$A214)*1,IFERROR(SUMIFS(처리내역!$E$3:$E$1502,처리내역!$B$3:$B$1502,반품접수!$A$3:$A$1002,처리내역!$D$3:$D$1502,"재입고"),0)))</f>
        <v/>
      </c>
      <c r="F214" s="25" t="str">
        <f aca="false">IF($A214="","",SUMPRODUCT((반품접수!$C$3:$C$1002=$A214)*1,IFERROR(SUMIFS(처리내역!$E$3:$E$1502,처리내역!$B$3:$B$1502,반품접수!$A$3:$A$1002,처리내역!$D$3:$D$1502,"폐기"),0)))</f>
        <v/>
      </c>
      <c r="G214" s="26" t="str">
        <f aca="false">IF($A214="","",IF($B214=0,"",($B214-$D214)/$B214))</f>
        <v/>
      </c>
    </row>
    <row r="215" customFormat="false" ht="15" hidden="false" customHeight="true" outlineLevel="0" collapsed="false">
      <c r="A215" s="12" t="str">
        <f aca="false">IF(거래처목록!$A212="","",거래처목록!$A212)</f>
        <v/>
      </c>
      <c r="B215" s="25" t="str">
        <f aca="false">IF($A215="","",COUNTIFS(반품접수!$C$3:$C$1002,$A215,반품접수!$B$3:$B$1002,"&gt;="&amp;DATE($B$3,1,1),반품접수!$B$3:$B$1002,"&lt;="&amp;DATE($B$3,12,31)))</f>
        <v/>
      </c>
      <c r="C215" s="25" t="str">
        <f aca="false">IF($A215="","",SUMIFS(반품접수!$I$3:$I$1002,반품접수!$C$3:$C$1002,$A215,반품접수!$B$3:$B$1002,"&gt;="&amp;DATE($B$3,1,1),반품접수!$B$3:$B$1002,"&lt;="&amp;DATE($B$3,12,31)))</f>
        <v/>
      </c>
      <c r="D215" s="25" t="str">
        <f aca="false">IF($A215="","",COUNTIFS(반품접수!$C$3:$C$1002,$A215,반품접수!$O$3:$O$1002,"미처리",반품접수!$B$3:$B$1002,"&gt;="&amp;DATE($B$3,1,1),반품접수!$B$3:$B$1002,"&lt;="&amp;DATE($B$3,12,31))+COUNTIFS(반품접수!$C$3:$C$1002,$A215,반품접수!$O$3:$O$1002,"부분처리",반품접수!$B$3:$B$1002,"&gt;="&amp;DATE($B$3,1,1),반품접수!$B$3:$B$1002,"&lt;="&amp;DATE($B$3,12,31)))</f>
        <v/>
      </c>
      <c r="E215" s="25" t="str">
        <f aca="false">IF($A215="","",SUMPRODUCT((반품접수!$C$3:$C$1002=$A215)*1,IFERROR(SUMIFS(처리내역!$E$3:$E$1502,처리내역!$B$3:$B$1502,반품접수!$A$3:$A$1002,처리내역!$D$3:$D$1502,"재입고"),0)))</f>
        <v/>
      </c>
      <c r="F215" s="25" t="str">
        <f aca="false">IF($A215="","",SUMPRODUCT((반품접수!$C$3:$C$1002=$A215)*1,IFERROR(SUMIFS(처리내역!$E$3:$E$1502,처리내역!$B$3:$B$1502,반품접수!$A$3:$A$1002,처리내역!$D$3:$D$1502,"폐기"),0)))</f>
        <v/>
      </c>
      <c r="G215" s="26" t="str">
        <f aca="false">IF($A215="","",IF($B215=0,"",($B215-$D215)/$B215))</f>
        <v/>
      </c>
    </row>
    <row r="216" customFormat="false" ht="15" hidden="false" customHeight="true" outlineLevel="0" collapsed="false">
      <c r="A216" s="12" t="str">
        <f aca="false">IF(거래처목록!$A213="","",거래처목록!$A213)</f>
        <v/>
      </c>
      <c r="B216" s="25" t="str">
        <f aca="false">IF($A216="","",COUNTIFS(반품접수!$C$3:$C$1002,$A216,반품접수!$B$3:$B$1002,"&gt;="&amp;DATE($B$3,1,1),반품접수!$B$3:$B$1002,"&lt;="&amp;DATE($B$3,12,31)))</f>
        <v/>
      </c>
      <c r="C216" s="25" t="str">
        <f aca="false">IF($A216="","",SUMIFS(반품접수!$I$3:$I$1002,반품접수!$C$3:$C$1002,$A216,반품접수!$B$3:$B$1002,"&gt;="&amp;DATE($B$3,1,1),반품접수!$B$3:$B$1002,"&lt;="&amp;DATE($B$3,12,31)))</f>
        <v/>
      </c>
      <c r="D216" s="25" t="str">
        <f aca="false">IF($A216="","",COUNTIFS(반품접수!$C$3:$C$1002,$A216,반품접수!$O$3:$O$1002,"미처리",반품접수!$B$3:$B$1002,"&gt;="&amp;DATE($B$3,1,1),반품접수!$B$3:$B$1002,"&lt;="&amp;DATE($B$3,12,31))+COUNTIFS(반품접수!$C$3:$C$1002,$A216,반품접수!$O$3:$O$1002,"부분처리",반품접수!$B$3:$B$1002,"&gt;="&amp;DATE($B$3,1,1),반품접수!$B$3:$B$1002,"&lt;="&amp;DATE($B$3,12,31)))</f>
        <v/>
      </c>
      <c r="E216" s="25" t="str">
        <f aca="false">IF($A216="","",SUMPRODUCT((반품접수!$C$3:$C$1002=$A216)*1,IFERROR(SUMIFS(처리내역!$E$3:$E$1502,처리내역!$B$3:$B$1502,반품접수!$A$3:$A$1002,처리내역!$D$3:$D$1502,"재입고"),0)))</f>
        <v/>
      </c>
      <c r="F216" s="25" t="str">
        <f aca="false">IF($A216="","",SUMPRODUCT((반품접수!$C$3:$C$1002=$A216)*1,IFERROR(SUMIFS(처리내역!$E$3:$E$1502,처리내역!$B$3:$B$1502,반품접수!$A$3:$A$1002,처리내역!$D$3:$D$1502,"폐기"),0)))</f>
        <v/>
      </c>
      <c r="G216" s="26" t="str">
        <f aca="false">IF($A216="","",IF($B216=0,"",($B216-$D216)/$B216))</f>
        <v/>
      </c>
    </row>
    <row r="217" customFormat="false" ht="15" hidden="false" customHeight="true" outlineLevel="0" collapsed="false">
      <c r="A217" s="12" t="str">
        <f aca="false">IF(거래처목록!$A214="","",거래처목록!$A214)</f>
        <v/>
      </c>
      <c r="B217" s="25" t="str">
        <f aca="false">IF($A217="","",COUNTIFS(반품접수!$C$3:$C$1002,$A217,반품접수!$B$3:$B$1002,"&gt;="&amp;DATE($B$3,1,1),반품접수!$B$3:$B$1002,"&lt;="&amp;DATE($B$3,12,31)))</f>
        <v/>
      </c>
      <c r="C217" s="25" t="str">
        <f aca="false">IF($A217="","",SUMIFS(반품접수!$I$3:$I$1002,반품접수!$C$3:$C$1002,$A217,반품접수!$B$3:$B$1002,"&gt;="&amp;DATE($B$3,1,1),반품접수!$B$3:$B$1002,"&lt;="&amp;DATE($B$3,12,31)))</f>
        <v/>
      </c>
      <c r="D217" s="25" t="str">
        <f aca="false">IF($A217="","",COUNTIFS(반품접수!$C$3:$C$1002,$A217,반품접수!$O$3:$O$1002,"미처리",반품접수!$B$3:$B$1002,"&gt;="&amp;DATE($B$3,1,1),반품접수!$B$3:$B$1002,"&lt;="&amp;DATE($B$3,12,31))+COUNTIFS(반품접수!$C$3:$C$1002,$A217,반품접수!$O$3:$O$1002,"부분처리",반품접수!$B$3:$B$1002,"&gt;="&amp;DATE($B$3,1,1),반품접수!$B$3:$B$1002,"&lt;="&amp;DATE($B$3,12,31)))</f>
        <v/>
      </c>
      <c r="E217" s="25" t="str">
        <f aca="false">IF($A217="","",SUMPRODUCT((반품접수!$C$3:$C$1002=$A217)*1,IFERROR(SUMIFS(처리내역!$E$3:$E$1502,처리내역!$B$3:$B$1502,반품접수!$A$3:$A$1002,처리내역!$D$3:$D$1502,"재입고"),0)))</f>
        <v/>
      </c>
      <c r="F217" s="25" t="str">
        <f aca="false">IF($A217="","",SUMPRODUCT((반품접수!$C$3:$C$1002=$A217)*1,IFERROR(SUMIFS(처리내역!$E$3:$E$1502,처리내역!$B$3:$B$1502,반품접수!$A$3:$A$1002,처리내역!$D$3:$D$1502,"폐기"),0)))</f>
        <v/>
      </c>
      <c r="G217" s="26" t="str">
        <f aca="false">IF($A217="","",IF($B217=0,"",($B217-$D217)/$B217))</f>
        <v/>
      </c>
    </row>
    <row r="218" customFormat="false" ht="15" hidden="false" customHeight="true" outlineLevel="0" collapsed="false">
      <c r="A218" s="12" t="str">
        <f aca="false">IF(거래처목록!$A215="","",거래처목록!$A215)</f>
        <v/>
      </c>
      <c r="B218" s="25" t="str">
        <f aca="false">IF($A218="","",COUNTIFS(반품접수!$C$3:$C$1002,$A218,반품접수!$B$3:$B$1002,"&gt;="&amp;DATE($B$3,1,1),반품접수!$B$3:$B$1002,"&lt;="&amp;DATE($B$3,12,31)))</f>
        <v/>
      </c>
      <c r="C218" s="25" t="str">
        <f aca="false">IF($A218="","",SUMIFS(반품접수!$I$3:$I$1002,반품접수!$C$3:$C$1002,$A218,반품접수!$B$3:$B$1002,"&gt;="&amp;DATE($B$3,1,1),반품접수!$B$3:$B$1002,"&lt;="&amp;DATE($B$3,12,31)))</f>
        <v/>
      </c>
      <c r="D218" s="25" t="str">
        <f aca="false">IF($A218="","",COUNTIFS(반품접수!$C$3:$C$1002,$A218,반품접수!$O$3:$O$1002,"미처리",반품접수!$B$3:$B$1002,"&gt;="&amp;DATE($B$3,1,1),반품접수!$B$3:$B$1002,"&lt;="&amp;DATE($B$3,12,31))+COUNTIFS(반품접수!$C$3:$C$1002,$A218,반품접수!$O$3:$O$1002,"부분처리",반품접수!$B$3:$B$1002,"&gt;="&amp;DATE($B$3,1,1),반품접수!$B$3:$B$1002,"&lt;="&amp;DATE($B$3,12,31)))</f>
        <v/>
      </c>
      <c r="E218" s="25" t="str">
        <f aca="false">IF($A218="","",SUMPRODUCT((반품접수!$C$3:$C$1002=$A218)*1,IFERROR(SUMIFS(처리내역!$E$3:$E$1502,처리내역!$B$3:$B$1502,반품접수!$A$3:$A$1002,처리내역!$D$3:$D$1502,"재입고"),0)))</f>
        <v/>
      </c>
      <c r="F218" s="25" t="str">
        <f aca="false">IF($A218="","",SUMPRODUCT((반품접수!$C$3:$C$1002=$A218)*1,IFERROR(SUMIFS(처리내역!$E$3:$E$1502,처리내역!$B$3:$B$1502,반품접수!$A$3:$A$1002,처리내역!$D$3:$D$1502,"폐기"),0)))</f>
        <v/>
      </c>
      <c r="G218" s="26" t="str">
        <f aca="false">IF($A218="","",IF($B218=0,"",($B218-$D218)/$B218))</f>
        <v/>
      </c>
    </row>
    <row r="219" customFormat="false" ht="15" hidden="false" customHeight="true" outlineLevel="0" collapsed="false">
      <c r="A219" s="12" t="str">
        <f aca="false">IF(거래처목록!$A216="","",거래처목록!$A216)</f>
        <v/>
      </c>
      <c r="B219" s="25" t="str">
        <f aca="false">IF($A219="","",COUNTIFS(반품접수!$C$3:$C$1002,$A219,반품접수!$B$3:$B$1002,"&gt;="&amp;DATE($B$3,1,1),반품접수!$B$3:$B$1002,"&lt;="&amp;DATE($B$3,12,31)))</f>
        <v/>
      </c>
      <c r="C219" s="25" t="str">
        <f aca="false">IF($A219="","",SUMIFS(반품접수!$I$3:$I$1002,반품접수!$C$3:$C$1002,$A219,반품접수!$B$3:$B$1002,"&gt;="&amp;DATE($B$3,1,1),반품접수!$B$3:$B$1002,"&lt;="&amp;DATE($B$3,12,31)))</f>
        <v/>
      </c>
      <c r="D219" s="25" t="str">
        <f aca="false">IF($A219="","",COUNTIFS(반품접수!$C$3:$C$1002,$A219,반품접수!$O$3:$O$1002,"미처리",반품접수!$B$3:$B$1002,"&gt;="&amp;DATE($B$3,1,1),반품접수!$B$3:$B$1002,"&lt;="&amp;DATE($B$3,12,31))+COUNTIFS(반품접수!$C$3:$C$1002,$A219,반품접수!$O$3:$O$1002,"부분처리",반품접수!$B$3:$B$1002,"&gt;="&amp;DATE($B$3,1,1),반품접수!$B$3:$B$1002,"&lt;="&amp;DATE($B$3,12,31)))</f>
        <v/>
      </c>
      <c r="E219" s="25" t="str">
        <f aca="false">IF($A219="","",SUMPRODUCT((반품접수!$C$3:$C$1002=$A219)*1,IFERROR(SUMIFS(처리내역!$E$3:$E$1502,처리내역!$B$3:$B$1502,반품접수!$A$3:$A$1002,처리내역!$D$3:$D$1502,"재입고"),0)))</f>
        <v/>
      </c>
      <c r="F219" s="25" t="str">
        <f aca="false">IF($A219="","",SUMPRODUCT((반품접수!$C$3:$C$1002=$A219)*1,IFERROR(SUMIFS(처리내역!$E$3:$E$1502,처리내역!$B$3:$B$1502,반품접수!$A$3:$A$1002,처리내역!$D$3:$D$1502,"폐기"),0)))</f>
        <v/>
      </c>
      <c r="G219" s="26" t="str">
        <f aca="false">IF($A219="","",IF($B219=0,"",($B219-$D219)/$B219))</f>
        <v/>
      </c>
    </row>
    <row r="220" customFormat="false" ht="15" hidden="false" customHeight="true" outlineLevel="0" collapsed="false">
      <c r="A220" s="12" t="str">
        <f aca="false">IF(거래처목록!$A217="","",거래처목록!$A217)</f>
        <v/>
      </c>
      <c r="B220" s="25" t="str">
        <f aca="false">IF($A220="","",COUNTIFS(반품접수!$C$3:$C$1002,$A220,반품접수!$B$3:$B$1002,"&gt;="&amp;DATE($B$3,1,1),반품접수!$B$3:$B$1002,"&lt;="&amp;DATE($B$3,12,31)))</f>
        <v/>
      </c>
      <c r="C220" s="25" t="str">
        <f aca="false">IF($A220="","",SUMIFS(반품접수!$I$3:$I$1002,반품접수!$C$3:$C$1002,$A220,반품접수!$B$3:$B$1002,"&gt;="&amp;DATE($B$3,1,1),반품접수!$B$3:$B$1002,"&lt;="&amp;DATE($B$3,12,31)))</f>
        <v/>
      </c>
      <c r="D220" s="25" t="str">
        <f aca="false">IF($A220="","",COUNTIFS(반품접수!$C$3:$C$1002,$A220,반품접수!$O$3:$O$1002,"미처리",반품접수!$B$3:$B$1002,"&gt;="&amp;DATE($B$3,1,1),반품접수!$B$3:$B$1002,"&lt;="&amp;DATE($B$3,12,31))+COUNTIFS(반품접수!$C$3:$C$1002,$A220,반품접수!$O$3:$O$1002,"부분처리",반품접수!$B$3:$B$1002,"&gt;="&amp;DATE($B$3,1,1),반품접수!$B$3:$B$1002,"&lt;="&amp;DATE($B$3,12,31)))</f>
        <v/>
      </c>
      <c r="E220" s="25" t="str">
        <f aca="false">IF($A220="","",SUMPRODUCT((반품접수!$C$3:$C$1002=$A220)*1,IFERROR(SUMIFS(처리내역!$E$3:$E$1502,처리내역!$B$3:$B$1502,반품접수!$A$3:$A$1002,처리내역!$D$3:$D$1502,"재입고"),0)))</f>
        <v/>
      </c>
      <c r="F220" s="25" t="str">
        <f aca="false">IF($A220="","",SUMPRODUCT((반품접수!$C$3:$C$1002=$A220)*1,IFERROR(SUMIFS(처리내역!$E$3:$E$1502,처리내역!$B$3:$B$1502,반품접수!$A$3:$A$1002,처리내역!$D$3:$D$1502,"폐기"),0)))</f>
        <v/>
      </c>
      <c r="G220" s="26" t="str">
        <f aca="false">IF($A220="","",IF($B220=0,"",($B220-$D220)/$B220))</f>
        <v/>
      </c>
    </row>
    <row r="221" customFormat="false" ht="15" hidden="false" customHeight="true" outlineLevel="0" collapsed="false">
      <c r="A221" s="12" t="str">
        <f aca="false">IF(거래처목록!$A218="","",거래처목록!$A218)</f>
        <v/>
      </c>
      <c r="B221" s="25" t="str">
        <f aca="false">IF($A221="","",COUNTIFS(반품접수!$C$3:$C$1002,$A221,반품접수!$B$3:$B$1002,"&gt;="&amp;DATE($B$3,1,1),반품접수!$B$3:$B$1002,"&lt;="&amp;DATE($B$3,12,31)))</f>
        <v/>
      </c>
      <c r="C221" s="25" t="str">
        <f aca="false">IF($A221="","",SUMIFS(반품접수!$I$3:$I$1002,반품접수!$C$3:$C$1002,$A221,반품접수!$B$3:$B$1002,"&gt;="&amp;DATE($B$3,1,1),반품접수!$B$3:$B$1002,"&lt;="&amp;DATE($B$3,12,31)))</f>
        <v/>
      </c>
      <c r="D221" s="25" t="str">
        <f aca="false">IF($A221="","",COUNTIFS(반품접수!$C$3:$C$1002,$A221,반품접수!$O$3:$O$1002,"미처리",반품접수!$B$3:$B$1002,"&gt;="&amp;DATE($B$3,1,1),반품접수!$B$3:$B$1002,"&lt;="&amp;DATE($B$3,12,31))+COUNTIFS(반품접수!$C$3:$C$1002,$A221,반품접수!$O$3:$O$1002,"부분처리",반품접수!$B$3:$B$1002,"&gt;="&amp;DATE($B$3,1,1),반품접수!$B$3:$B$1002,"&lt;="&amp;DATE($B$3,12,31)))</f>
        <v/>
      </c>
      <c r="E221" s="25" t="str">
        <f aca="false">IF($A221="","",SUMPRODUCT((반품접수!$C$3:$C$1002=$A221)*1,IFERROR(SUMIFS(처리내역!$E$3:$E$1502,처리내역!$B$3:$B$1502,반품접수!$A$3:$A$1002,처리내역!$D$3:$D$1502,"재입고"),0)))</f>
        <v/>
      </c>
      <c r="F221" s="25" t="str">
        <f aca="false">IF($A221="","",SUMPRODUCT((반품접수!$C$3:$C$1002=$A221)*1,IFERROR(SUMIFS(처리내역!$E$3:$E$1502,처리내역!$B$3:$B$1502,반품접수!$A$3:$A$1002,처리내역!$D$3:$D$1502,"폐기"),0)))</f>
        <v/>
      </c>
      <c r="G221" s="26" t="str">
        <f aca="false">IF($A221="","",IF($B221=0,"",($B221-$D221)/$B221))</f>
        <v/>
      </c>
    </row>
    <row r="222" customFormat="false" ht="15" hidden="false" customHeight="true" outlineLevel="0" collapsed="false">
      <c r="A222" s="12" t="str">
        <f aca="false">IF(거래처목록!$A219="","",거래처목록!$A219)</f>
        <v/>
      </c>
      <c r="B222" s="25" t="str">
        <f aca="false">IF($A222="","",COUNTIFS(반품접수!$C$3:$C$1002,$A222,반품접수!$B$3:$B$1002,"&gt;="&amp;DATE($B$3,1,1),반품접수!$B$3:$B$1002,"&lt;="&amp;DATE($B$3,12,31)))</f>
        <v/>
      </c>
      <c r="C222" s="25" t="str">
        <f aca="false">IF($A222="","",SUMIFS(반품접수!$I$3:$I$1002,반품접수!$C$3:$C$1002,$A222,반품접수!$B$3:$B$1002,"&gt;="&amp;DATE($B$3,1,1),반품접수!$B$3:$B$1002,"&lt;="&amp;DATE($B$3,12,31)))</f>
        <v/>
      </c>
      <c r="D222" s="25" t="str">
        <f aca="false">IF($A222="","",COUNTIFS(반품접수!$C$3:$C$1002,$A222,반품접수!$O$3:$O$1002,"미처리",반품접수!$B$3:$B$1002,"&gt;="&amp;DATE($B$3,1,1),반품접수!$B$3:$B$1002,"&lt;="&amp;DATE($B$3,12,31))+COUNTIFS(반품접수!$C$3:$C$1002,$A222,반품접수!$O$3:$O$1002,"부분처리",반품접수!$B$3:$B$1002,"&gt;="&amp;DATE($B$3,1,1),반품접수!$B$3:$B$1002,"&lt;="&amp;DATE($B$3,12,31)))</f>
        <v/>
      </c>
      <c r="E222" s="25" t="str">
        <f aca="false">IF($A222="","",SUMPRODUCT((반품접수!$C$3:$C$1002=$A222)*1,IFERROR(SUMIFS(처리내역!$E$3:$E$1502,처리내역!$B$3:$B$1502,반품접수!$A$3:$A$1002,처리내역!$D$3:$D$1502,"재입고"),0)))</f>
        <v/>
      </c>
      <c r="F222" s="25" t="str">
        <f aca="false">IF($A222="","",SUMPRODUCT((반품접수!$C$3:$C$1002=$A222)*1,IFERROR(SUMIFS(처리내역!$E$3:$E$1502,처리내역!$B$3:$B$1502,반품접수!$A$3:$A$1002,처리내역!$D$3:$D$1502,"폐기"),0)))</f>
        <v/>
      </c>
      <c r="G222" s="26" t="str">
        <f aca="false">IF($A222="","",IF($B222=0,"",($B222-$D222)/$B222))</f>
        <v/>
      </c>
    </row>
    <row r="223" customFormat="false" ht="15" hidden="false" customHeight="true" outlineLevel="0" collapsed="false">
      <c r="A223" s="12" t="str">
        <f aca="false">IF(거래처목록!$A220="","",거래처목록!$A220)</f>
        <v/>
      </c>
      <c r="B223" s="25" t="str">
        <f aca="false">IF($A223="","",COUNTIFS(반품접수!$C$3:$C$1002,$A223,반품접수!$B$3:$B$1002,"&gt;="&amp;DATE($B$3,1,1),반품접수!$B$3:$B$1002,"&lt;="&amp;DATE($B$3,12,31)))</f>
        <v/>
      </c>
      <c r="C223" s="25" t="str">
        <f aca="false">IF($A223="","",SUMIFS(반품접수!$I$3:$I$1002,반품접수!$C$3:$C$1002,$A223,반품접수!$B$3:$B$1002,"&gt;="&amp;DATE($B$3,1,1),반품접수!$B$3:$B$1002,"&lt;="&amp;DATE($B$3,12,31)))</f>
        <v/>
      </c>
      <c r="D223" s="25" t="str">
        <f aca="false">IF($A223="","",COUNTIFS(반품접수!$C$3:$C$1002,$A223,반품접수!$O$3:$O$1002,"미처리",반품접수!$B$3:$B$1002,"&gt;="&amp;DATE($B$3,1,1),반품접수!$B$3:$B$1002,"&lt;="&amp;DATE($B$3,12,31))+COUNTIFS(반품접수!$C$3:$C$1002,$A223,반품접수!$O$3:$O$1002,"부분처리",반품접수!$B$3:$B$1002,"&gt;="&amp;DATE($B$3,1,1),반품접수!$B$3:$B$1002,"&lt;="&amp;DATE($B$3,12,31)))</f>
        <v/>
      </c>
      <c r="E223" s="25" t="str">
        <f aca="false">IF($A223="","",SUMPRODUCT((반품접수!$C$3:$C$1002=$A223)*1,IFERROR(SUMIFS(처리내역!$E$3:$E$1502,처리내역!$B$3:$B$1502,반품접수!$A$3:$A$1002,처리내역!$D$3:$D$1502,"재입고"),0)))</f>
        <v/>
      </c>
      <c r="F223" s="25" t="str">
        <f aca="false">IF($A223="","",SUMPRODUCT((반품접수!$C$3:$C$1002=$A223)*1,IFERROR(SUMIFS(처리내역!$E$3:$E$1502,처리내역!$B$3:$B$1502,반품접수!$A$3:$A$1002,처리내역!$D$3:$D$1502,"폐기"),0)))</f>
        <v/>
      </c>
      <c r="G223" s="26" t="str">
        <f aca="false">IF($A223="","",IF($B223=0,"",($B223-$D223)/$B223))</f>
        <v/>
      </c>
    </row>
    <row r="224" customFormat="false" ht="15" hidden="false" customHeight="true" outlineLevel="0" collapsed="false">
      <c r="A224" s="12" t="str">
        <f aca="false">IF(거래처목록!$A221="","",거래처목록!$A221)</f>
        <v/>
      </c>
      <c r="B224" s="25" t="str">
        <f aca="false">IF($A224="","",COUNTIFS(반품접수!$C$3:$C$1002,$A224,반품접수!$B$3:$B$1002,"&gt;="&amp;DATE($B$3,1,1),반품접수!$B$3:$B$1002,"&lt;="&amp;DATE($B$3,12,31)))</f>
        <v/>
      </c>
      <c r="C224" s="25" t="str">
        <f aca="false">IF($A224="","",SUMIFS(반품접수!$I$3:$I$1002,반품접수!$C$3:$C$1002,$A224,반품접수!$B$3:$B$1002,"&gt;="&amp;DATE($B$3,1,1),반품접수!$B$3:$B$1002,"&lt;="&amp;DATE($B$3,12,31)))</f>
        <v/>
      </c>
      <c r="D224" s="25" t="str">
        <f aca="false">IF($A224="","",COUNTIFS(반품접수!$C$3:$C$1002,$A224,반품접수!$O$3:$O$1002,"미처리",반품접수!$B$3:$B$1002,"&gt;="&amp;DATE($B$3,1,1),반품접수!$B$3:$B$1002,"&lt;="&amp;DATE($B$3,12,31))+COUNTIFS(반품접수!$C$3:$C$1002,$A224,반품접수!$O$3:$O$1002,"부분처리",반품접수!$B$3:$B$1002,"&gt;="&amp;DATE($B$3,1,1),반품접수!$B$3:$B$1002,"&lt;="&amp;DATE($B$3,12,31)))</f>
        <v/>
      </c>
      <c r="E224" s="25" t="str">
        <f aca="false">IF($A224="","",SUMPRODUCT((반품접수!$C$3:$C$1002=$A224)*1,IFERROR(SUMIFS(처리내역!$E$3:$E$1502,처리내역!$B$3:$B$1502,반품접수!$A$3:$A$1002,처리내역!$D$3:$D$1502,"재입고"),0)))</f>
        <v/>
      </c>
      <c r="F224" s="25" t="str">
        <f aca="false">IF($A224="","",SUMPRODUCT((반품접수!$C$3:$C$1002=$A224)*1,IFERROR(SUMIFS(처리내역!$E$3:$E$1502,처리내역!$B$3:$B$1502,반품접수!$A$3:$A$1002,처리내역!$D$3:$D$1502,"폐기"),0)))</f>
        <v/>
      </c>
      <c r="G224" s="26" t="str">
        <f aca="false">IF($A224="","",IF($B224=0,"",($B224-$D224)/$B224))</f>
        <v/>
      </c>
    </row>
    <row r="225" customFormat="false" ht="15" hidden="false" customHeight="true" outlineLevel="0" collapsed="false">
      <c r="A225" s="12" t="str">
        <f aca="false">IF(거래처목록!$A222="","",거래처목록!$A222)</f>
        <v/>
      </c>
      <c r="B225" s="25" t="str">
        <f aca="false">IF($A225="","",COUNTIFS(반품접수!$C$3:$C$1002,$A225,반품접수!$B$3:$B$1002,"&gt;="&amp;DATE($B$3,1,1),반품접수!$B$3:$B$1002,"&lt;="&amp;DATE($B$3,12,31)))</f>
        <v/>
      </c>
      <c r="C225" s="25" t="str">
        <f aca="false">IF($A225="","",SUMIFS(반품접수!$I$3:$I$1002,반품접수!$C$3:$C$1002,$A225,반품접수!$B$3:$B$1002,"&gt;="&amp;DATE($B$3,1,1),반품접수!$B$3:$B$1002,"&lt;="&amp;DATE($B$3,12,31)))</f>
        <v/>
      </c>
      <c r="D225" s="25" t="str">
        <f aca="false">IF($A225="","",COUNTIFS(반품접수!$C$3:$C$1002,$A225,반품접수!$O$3:$O$1002,"미처리",반품접수!$B$3:$B$1002,"&gt;="&amp;DATE($B$3,1,1),반품접수!$B$3:$B$1002,"&lt;="&amp;DATE($B$3,12,31))+COUNTIFS(반품접수!$C$3:$C$1002,$A225,반품접수!$O$3:$O$1002,"부분처리",반품접수!$B$3:$B$1002,"&gt;="&amp;DATE($B$3,1,1),반품접수!$B$3:$B$1002,"&lt;="&amp;DATE($B$3,12,31)))</f>
        <v/>
      </c>
      <c r="E225" s="25" t="str">
        <f aca="false">IF($A225="","",SUMPRODUCT((반품접수!$C$3:$C$1002=$A225)*1,IFERROR(SUMIFS(처리내역!$E$3:$E$1502,처리내역!$B$3:$B$1502,반품접수!$A$3:$A$1002,처리내역!$D$3:$D$1502,"재입고"),0)))</f>
        <v/>
      </c>
      <c r="F225" s="25" t="str">
        <f aca="false">IF($A225="","",SUMPRODUCT((반품접수!$C$3:$C$1002=$A225)*1,IFERROR(SUMIFS(처리내역!$E$3:$E$1502,처리내역!$B$3:$B$1502,반품접수!$A$3:$A$1002,처리내역!$D$3:$D$1502,"폐기"),0)))</f>
        <v/>
      </c>
      <c r="G225" s="26" t="str">
        <f aca="false">IF($A225="","",IF($B225=0,"",($B225-$D225)/$B225))</f>
        <v/>
      </c>
    </row>
    <row r="226" customFormat="false" ht="15" hidden="false" customHeight="true" outlineLevel="0" collapsed="false">
      <c r="A226" s="12" t="str">
        <f aca="false">IF(거래처목록!$A223="","",거래처목록!$A223)</f>
        <v/>
      </c>
      <c r="B226" s="25" t="str">
        <f aca="false">IF($A226="","",COUNTIFS(반품접수!$C$3:$C$1002,$A226,반품접수!$B$3:$B$1002,"&gt;="&amp;DATE($B$3,1,1),반품접수!$B$3:$B$1002,"&lt;="&amp;DATE($B$3,12,31)))</f>
        <v/>
      </c>
      <c r="C226" s="25" t="str">
        <f aca="false">IF($A226="","",SUMIFS(반품접수!$I$3:$I$1002,반품접수!$C$3:$C$1002,$A226,반품접수!$B$3:$B$1002,"&gt;="&amp;DATE($B$3,1,1),반품접수!$B$3:$B$1002,"&lt;="&amp;DATE($B$3,12,31)))</f>
        <v/>
      </c>
      <c r="D226" s="25" t="str">
        <f aca="false">IF($A226="","",COUNTIFS(반품접수!$C$3:$C$1002,$A226,반품접수!$O$3:$O$1002,"미처리",반품접수!$B$3:$B$1002,"&gt;="&amp;DATE($B$3,1,1),반품접수!$B$3:$B$1002,"&lt;="&amp;DATE($B$3,12,31))+COUNTIFS(반품접수!$C$3:$C$1002,$A226,반품접수!$O$3:$O$1002,"부분처리",반품접수!$B$3:$B$1002,"&gt;="&amp;DATE($B$3,1,1),반품접수!$B$3:$B$1002,"&lt;="&amp;DATE($B$3,12,31)))</f>
        <v/>
      </c>
      <c r="E226" s="25" t="str">
        <f aca="false">IF($A226="","",SUMPRODUCT((반품접수!$C$3:$C$1002=$A226)*1,IFERROR(SUMIFS(처리내역!$E$3:$E$1502,처리내역!$B$3:$B$1502,반품접수!$A$3:$A$1002,처리내역!$D$3:$D$1502,"재입고"),0)))</f>
        <v/>
      </c>
      <c r="F226" s="25" t="str">
        <f aca="false">IF($A226="","",SUMPRODUCT((반품접수!$C$3:$C$1002=$A226)*1,IFERROR(SUMIFS(처리내역!$E$3:$E$1502,처리내역!$B$3:$B$1502,반품접수!$A$3:$A$1002,처리내역!$D$3:$D$1502,"폐기"),0)))</f>
        <v/>
      </c>
      <c r="G226" s="26" t="str">
        <f aca="false">IF($A226="","",IF($B226=0,"",($B226-$D226)/$B226))</f>
        <v/>
      </c>
    </row>
    <row r="227" customFormat="false" ht="15" hidden="false" customHeight="true" outlineLevel="0" collapsed="false">
      <c r="A227" s="12" t="str">
        <f aca="false">IF(거래처목록!$A224="","",거래처목록!$A224)</f>
        <v/>
      </c>
      <c r="B227" s="25" t="str">
        <f aca="false">IF($A227="","",COUNTIFS(반품접수!$C$3:$C$1002,$A227,반품접수!$B$3:$B$1002,"&gt;="&amp;DATE($B$3,1,1),반품접수!$B$3:$B$1002,"&lt;="&amp;DATE($B$3,12,31)))</f>
        <v/>
      </c>
      <c r="C227" s="25" t="str">
        <f aca="false">IF($A227="","",SUMIFS(반품접수!$I$3:$I$1002,반품접수!$C$3:$C$1002,$A227,반품접수!$B$3:$B$1002,"&gt;="&amp;DATE($B$3,1,1),반품접수!$B$3:$B$1002,"&lt;="&amp;DATE($B$3,12,31)))</f>
        <v/>
      </c>
      <c r="D227" s="25" t="str">
        <f aca="false">IF($A227="","",COUNTIFS(반품접수!$C$3:$C$1002,$A227,반품접수!$O$3:$O$1002,"미처리",반품접수!$B$3:$B$1002,"&gt;="&amp;DATE($B$3,1,1),반품접수!$B$3:$B$1002,"&lt;="&amp;DATE($B$3,12,31))+COUNTIFS(반품접수!$C$3:$C$1002,$A227,반품접수!$O$3:$O$1002,"부분처리",반품접수!$B$3:$B$1002,"&gt;="&amp;DATE($B$3,1,1),반품접수!$B$3:$B$1002,"&lt;="&amp;DATE($B$3,12,31)))</f>
        <v/>
      </c>
      <c r="E227" s="25" t="str">
        <f aca="false">IF($A227="","",SUMPRODUCT((반품접수!$C$3:$C$1002=$A227)*1,IFERROR(SUMIFS(처리내역!$E$3:$E$1502,처리내역!$B$3:$B$1502,반품접수!$A$3:$A$1002,처리내역!$D$3:$D$1502,"재입고"),0)))</f>
        <v/>
      </c>
      <c r="F227" s="25" t="str">
        <f aca="false">IF($A227="","",SUMPRODUCT((반품접수!$C$3:$C$1002=$A227)*1,IFERROR(SUMIFS(처리내역!$E$3:$E$1502,처리내역!$B$3:$B$1502,반품접수!$A$3:$A$1002,처리내역!$D$3:$D$1502,"폐기"),0)))</f>
        <v/>
      </c>
      <c r="G227" s="26" t="str">
        <f aca="false">IF($A227="","",IF($B227=0,"",($B227-$D227)/$B227))</f>
        <v/>
      </c>
    </row>
    <row r="228" customFormat="false" ht="15" hidden="false" customHeight="true" outlineLevel="0" collapsed="false">
      <c r="A228" s="12" t="str">
        <f aca="false">IF(거래처목록!$A225="","",거래처목록!$A225)</f>
        <v/>
      </c>
      <c r="B228" s="25" t="str">
        <f aca="false">IF($A228="","",COUNTIFS(반품접수!$C$3:$C$1002,$A228,반품접수!$B$3:$B$1002,"&gt;="&amp;DATE($B$3,1,1),반품접수!$B$3:$B$1002,"&lt;="&amp;DATE($B$3,12,31)))</f>
        <v/>
      </c>
      <c r="C228" s="25" t="str">
        <f aca="false">IF($A228="","",SUMIFS(반품접수!$I$3:$I$1002,반품접수!$C$3:$C$1002,$A228,반품접수!$B$3:$B$1002,"&gt;="&amp;DATE($B$3,1,1),반품접수!$B$3:$B$1002,"&lt;="&amp;DATE($B$3,12,31)))</f>
        <v/>
      </c>
      <c r="D228" s="25" t="str">
        <f aca="false">IF($A228="","",COUNTIFS(반품접수!$C$3:$C$1002,$A228,반품접수!$O$3:$O$1002,"미처리",반품접수!$B$3:$B$1002,"&gt;="&amp;DATE($B$3,1,1),반품접수!$B$3:$B$1002,"&lt;="&amp;DATE($B$3,12,31))+COUNTIFS(반품접수!$C$3:$C$1002,$A228,반품접수!$O$3:$O$1002,"부분처리",반품접수!$B$3:$B$1002,"&gt;="&amp;DATE($B$3,1,1),반품접수!$B$3:$B$1002,"&lt;="&amp;DATE($B$3,12,31)))</f>
        <v/>
      </c>
      <c r="E228" s="25" t="str">
        <f aca="false">IF($A228="","",SUMPRODUCT((반품접수!$C$3:$C$1002=$A228)*1,IFERROR(SUMIFS(처리내역!$E$3:$E$1502,처리내역!$B$3:$B$1502,반품접수!$A$3:$A$1002,처리내역!$D$3:$D$1502,"재입고"),0)))</f>
        <v/>
      </c>
      <c r="F228" s="25" t="str">
        <f aca="false">IF($A228="","",SUMPRODUCT((반품접수!$C$3:$C$1002=$A228)*1,IFERROR(SUMIFS(처리내역!$E$3:$E$1502,처리내역!$B$3:$B$1502,반품접수!$A$3:$A$1002,처리내역!$D$3:$D$1502,"폐기"),0)))</f>
        <v/>
      </c>
      <c r="G228" s="26" t="str">
        <f aca="false">IF($A228="","",IF($B228=0,"",($B228-$D228)/$B228))</f>
        <v/>
      </c>
    </row>
    <row r="229" customFormat="false" ht="15" hidden="false" customHeight="true" outlineLevel="0" collapsed="false">
      <c r="A229" s="12" t="str">
        <f aca="false">IF(거래처목록!$A226="","",거래처목록!$A226)</f>
        <v/>
      </c>
      <c r="B229" s="25" t="str">
        <f aca="false">IF($A229="","",COUNTIFS(반품접수!$C$3:$C$1002,$A229,반품접수!$B$3:$B$1002,"&gt;="&amp;DATE($B$3,1,1),반품접수!$B$3:$B$1002,"&lt;="&amp;DATE($B$3,12,31)))</f>
        <v/>
      </c>
      <c r="C229" s="25" t="str">
        <f aca="false">IF($A229="","",SUMIFS(반품접수!$I$3:$I$1002,반품접수!$C$3:$C$1002,$A229,반품접수!$B$3:$B$1002,"&gt;="&amp;DATE($B$3,1,1),반품접수!$B$3:$B$1002,"&lt;="&amp;DATE($B$3,12,31)))</f>
        <v/>
      </c>
      <c r="D229" s="25" t="str">
        <f aca="false">IF($A229="","",COUNTIFS(반품접수!$C$3:$C$1002,$A229,반품접수!$O$3:$O$1002,"미처리",반품접수!$B$3:$B$1002,"&gt;="&amp;DATE($B$3,1,1),반품접수!$B$3:$B$1002,"&lt;="&amp;DATE($B$3,12,31))+COUNTIFS(반품접수!$C$3:$C$1002,$A229,반품접수!$O$3:$O$1002,"부분처리",반품접수!$B$3:$B$1002,"&gt;="&amp;DATE($B$3,1,1),반품접수!$B$3:$B$1002,"&lt;="&amp;DATE($B$3,12,31)))</f>
        <v/>
      </c>
      <c r="E229" s="25" t="str">
        <f aca="false">IF($A229="","",SUMPRODUCT((반품접수!$C$3:$C$1002=$A229)*1,IFERROR(SUMIFS(처리내역!$E$3:$E$1502,처리내역!$B$3:$B$1502,반품접수!$A$3:$A$1002,처리내역!$D$3:$D$1502,"재입고"),0)))</f>
        <v/>
      </c>
      <c r="F229" s="25" t="str">
        <f aca="false">IF($A229="","",SUMPRODUCT((반품접수!$C$3:$C$1002=$A229)*1,IFERROR(SUMIFS(처리내역!$E$3:$E$1502,처리내역!$B$3:$B$1502,반품접수!$A$3:$A$1002,처리내역!$D$3:$D$1502,"폐기"),0)))</f>
        <v/>
      </c>
      <c r="G229" s="26" t="str">
        <f aca="false">IF($A229="","",IF($B229=0,"",($B229-$D229)/$B229))</f>
        <v/>
      </c>
    </row>
    <row r="230" customFormat="false" ht="15" hidden="false" customHeight="true" outlineLevel="0" collapsed="false">
      <c r="A230" s="12" t="str">
        <f aca="false">IF(거래처목록!$A227="","",거래처목록!$A227)</f>
        <v/>
      </c>
      <c r="B230" s="25" t="str">
        <f aca="false">IF($A230="","",COUNTIFS(반품접수!$C$3:$C$1002,$A230,반품접수!$B$3:$B$1002,"&gt;="&amp;DATE($B$3,1,1),반품접수!$B$3:$B$1002,"&lt;="&amp;DATE($B$3,12,31)))</f>
        <v/>
      </c>
      <c r="C230" s="25" t="str">
        <f aca="false">IF($A230="","",SUMIFS(반품접수!$I$3:$I$1002,반품접수!$C$3:$C$1002,$A230,반품접수!$B$3:$B$1002,"&gt;="&amp;DATE($B$3,1,1),반품접수!$B$3:$B$1002,"&lt;="&amp;DATE($B$3,12,31)))</f>
        <v/>
      </c>
      <c r="D230" s="25" t="str">
        <f aca="false">IF($A230="","",COUNTIFS(반품접수!$C$3:$C$1002,$A230,반품접수!$O$3:$O$1002,"미처리",반품접수!$B$3:$B$1002,"&gt;="&amp;DATE($B$3,1,1),반품접수!$B$3:$B$1002,"&lt;="&amp;DATE($B$3,12,31))+COUNTIFS(반품접수!$C$3:$C$1002,$A230,반품접수!$O$3:$O$1002,"부분처리",반품접수!$B$3:$B$1002,"&gt;="&amp;DATE($B$3,1,1),반품접수!$B$3:$B$1002,"&lt;="&amp;DATE($B$3,12,31)))</f>
        <v/>
      </c>
      <c r="E230" s="25" t="str">
        <f aca="false">IF($A230="","",SUMPRODUCT((반품접수!$C$3:$C$1002=$A230)*1,IFERROR(SUMIFS(처리내역!$E$3:$E$1502,처리내역!$B$3:$B$1502,반품접수!$A$3:$A$1002,처리내역!$D$3:$D$1502,"재입고"),0)))</f>
        <v/>
      </c>
      <c r="F230" s="25" t="str">
        <f aca="false">IF($A230="","",SUMPRODUCT((반품접수!$C$3:$C$1002=$A230)*1,IFERROR(SUMIFS(처리내역!$E$3:$E$1502,처리내역!$B$3:$B$1502,반품접수!$A$3:$A$1002,처리내역!$D$3:$D$1502,"폐기"),0)))</f>
        <v/>
      </c>
      <c r="G230" s="26" t="str">
        <f aca="false">IF($A230="","",IF($B230=0,"",($B230-$D230)/$B230))</f>
        <v/>
      </c>
    </row>
    <row r="231" customFormat="false" ht="15" hidden="false" customHeight="true" outlineLevel="0" collapsed="false">
      <c r="A231" s="12" t="str">
        <f aca="false">IF(거래처목록!$A228="","",거래처목록!$A228)</f>
        <v/>
      </c>
      <c r="B231" s="25" t="str">
        <f aca="false">IF($A231="","",COUNTIFS(반품접수!$C$3:$C$1002,$A231,반품접수!$B$3:$B$1002,"&gt;="&amp;DATE($B$3,1,1),반품접수!$B$3:$B$1002,"&lt;="&amp;DATE($B$3,12,31)))</f>
        <v/>
      </c>
      <c r="C231" s="25" t="str">
        <f aca="false">IF($A231="","",SUMIFS(반품접수!$I$3:$I$1002,반품접수!$C$3:$C$1002,$A231,반품접수!$B$3:$B$1002,"&gt;="&amp;DATE($B$3,1,1),반품접수!$B$3:$B$1002,"&lt;="&amp;DATE($B$3,12,31)))</f>
        <v/>
      </c>
      <c r="D231" s="25" t="str">
        <f aca="false">IF($A231="","",COUNTIFS(반품접수!$C$3:$C$1002,$A231,반품접수!$O$3:$O$1002,"미처리",반품접수!$B$3:$B$1002,"&gt;="&amp;DATE($B$3,1,1),반품접수!$B$3:$B$1002,"&lt;="&amp;DATE($B$3,12,31))+COUNTIFS(반품접수!$C$3:$C$1002,$A231,반품접수!$O$3:$O$1002,"부분처리",반품접수!$B$3:$B$1002,"&gt;="&amp;DATE($B$3,1,1),반품접수!$B$3:$B$1002,"&lt;="&amp;DATE($B$3,12,31)))</f>
        <v/>
      </c>
      <c r="E231" s="25" t="str">
        <f aca="false">IF($A231="","",SUMPRODUCT((반품접수!$C$3:$C$1002=$A231)*1,IFERROR(SUMIFS(처리내역!$E$3:$E$1502,처리내역!$B$3:$B$1502,반품접수!$A$3:$A$1002,처리내역!$D$3:$D$1502,"재입고"),0)))</f>
        <v/>
      </c>
      <c r="F231" s="25" t="str">
        <f aca="false">IF($A231="","",SUMPRODUCT((반품접수!$C$3:$C$1002=$A231)*1,IFERROR(SUMIFS(처리내역!$E$3:$E$1502,처리내역!$B$3:$B$1502,반품접수!$A$3:$A$1002,처리내역!$D$3:$D$1502,"폐기"),0)))</f>
        <v/>
      </c>
      <c r="G231" s="26" t="str">
        <f aca="false">IF($A231="","",IF($B231=0,"",($B231-$D231)/$B231))</f>
        <v/>
      </c>
    </row>
    <row r="232" customFormat="false" ht="15" hidden="false" customHeight="true" outlineLevel="0" collapsed="false">
      <c r="A232" s="12" t="str">
        <f aca="false">IF(거래처목록!$A229="","",거래처목록!$A229)</f>
        <v/>
      </c>
      <c r="B232" s="25" t="str">
        <f aca="false">IF($A232="","",COUNTIFS(반품접수!$C$3:$C$1002,$A232,반품접수!$B$3:$B$1002,"&gt;="&amp;DATE($B$3,1,1),반품접수!$B$3:$B$1002,"&lt;="&amp;DATE($B$3,12,31)))</f>
        <v/>
      </c>
      <c r="C232" s="25" t="str">
        <f aca="false">IF($A232="","",SUMIFS(반품접수!$I$3:$I$1002,반품접수!$C$3:$C$1002,$A232,반품접수!$B$3:$B$1002,"&gt;="&amp;DATE($B$3,1,1),반품접수!$B$3:$B$1002,"&lt;="&amp;DATE($B$3,12,31)))</f>
        <v/>
      </c>
      <c r="D232" s="25" t="str">
        <f aca="false">IF($A232="","",COUNTIFS(반품접수!$C$3:$C$1002,$A232,반품접수!$O$3:$O$1002,"미처리",반품접수!$B$3:$B$1002,"&gt;="&amp;DATE($B$3,1,1),반품접수!$B$3:$B$1002,"&lt;="&amp;DATE($B$3,12,31))+COUNTIFS(반품접수!$C$3:$C$1002,$A232,반품접수!$O$3:$O$1002,"부분처리",반품접수!$B$3:$B$1002,"&gt;="&amp;DATE($B$3,1,1),반품접수!$B$3:$B$1002,"&lt;="&amp;DATE($B$3,12,31)))</f>
        <v/>
      </c>
      <c r="E232" s="25" t="str">
        <f aca="false">IF($A232="","",SUMPRODUCT((반품접수!$C$3:$C$1002=$A232)*1,IFERROR(SUMIFS(처리내역!$E$3:$E$1502,처리내역!$B$3:$B$1502,반품접수!$A$3:$A$1002,처리내역!$D$3:$D$1502,"재입고"),0)))</f>
        <v/>
      </c>
      <c r="F232" s="25" t="str">
        <f aca="false">IF($A232="","",SUMPRODUCT((반품접수!$C$3:$C$1002=$A232)*1,IFERROR(SUMIFS(처리내역!$E$3:$E$1502,처리내역!$B$3:$B$1502,반품접수!$A$3:$A$1002,처리내역!$D$3:$D$1502,"폐기"),0)))</f>
        <v/>
      </c>
      <c r="G232" s="26" t="str">
        <f aca="false">IF($A232="","",IF($B232=0,"",($B232-$D232)/$B232))</f>
        <v/>
      </c>
    </row>
    <row r="233" customFormat="false" ht="15" hidden="false" customHeight="true" outlineLevel="0" collapsed="false">
      <c r="A233" s="12" t="str">
        <f aca="false">IF(거래처목록!$A230="","",거래처목록!$A230)</f>
        <v/>
      </c>
      <c r="B233" s="25" t="str">
        <f aca="false">IF($A233="","",COUNTIFS(반품접수!$C$3:$C$1002,$A233,반품접수!$B$3:$B$1002,"&gt;="&amp;DATE($B$3,1,1),반품접수!$B$3:$B$1002,"&lt;="&amp;DATE($B$3,12,31)))</f>
        <v/>
      </c>
      <c r="C233" s="25" t="str">
        <f aca="false">IF($A233="","",SUMIFS(반품접수!$I$3:$I$1002,반품접수!$C$3:$C$1002,$A233,반품접수!$B$3:$B$1002,"&gt;="&amp;DATE($B$3,1,1),반품접수!$B$3:$B$1002,"&lt;="&amp;DATE($B$3,12,31)))</f>
        <v/>
      </c>
      <c r="D233" s="25" t="str">
        <f aca="false">IF($A233="","",COUNTIFS(반품접수!$C$3:$C$1002,$A233,반품접수!$O$3:$O$1002,"미처리",반품접수!$B$3:$B$1002,"&gt;="&amp;DATE($B$3,1,1),반품접수!$B$3:$B$1002,"&lt;="&amp;DATE($B$3,12,31))+COUNTIFS(반품접수!$C$3:$C$1002,$A233,반품접수!$O$3:$O$1002,"부분처리",반품접수!$B$3:$B$1002,"&gt;="&amp;DATE($B$3,1,1),반품접수!$B$3:$B$1002,"&lt;="&amp;DATE($B$3,12,31)))</f>
        <v/>
      </c>
      <c r="E233" s="25" t="str">
        <f aca="false">IF($A233="","",SUMPRODUCT((반품접수!$C$3:$C$1002=$A233)*1,IFERROR(SUMIFS(처리내역!$E$3:$E$1502,처리내역!$B$3:$B$1502,반품접수!$A$3:$A$1002,처리내역!$D$3:$D$1502,"재입고"),0)))</f>
        <v/>
      </c>
      <c r="F233" s="25" t="str">
        <f aca="false">IF($A233="","",SUMPRODUCT((반품접수!$C$3:$C$1002=$A233)*1,IFERROR(SUMIFS(처리내역!$E$3:$E$1502,처리내역!$B$3:$B$1502,반품접수!$A$3:$A$1002,처리내역!$D$3:$D$1502,"폐기"),0)))</f>
        <v/>
      </c>
      <c r="G233" s="26" t="str">
        <f aca="false">IF($A233="","",IF($B233=0,"",($B233-$D233)/$B233))</f>
        <v/>
      </c>
    </row>
    <row r="234" customFormat="false" ht="15" hidden="false" customHeight="true" outlineLevel="0" collapsed="false">
      <c r="A234" s="12" t="str">
        <f aca="false">IF(거래처목록!$A231="","",거래처목록!$A231)</f>
        <v/>
      </c>
      <c r="B234" s="25" t="str">
        <f aca="false">IF($A234="","",COUNTIFS(반품접수!$C$3:$C$1002,$A234,반품접수!$B$3:$B$1002,"&gt;="&amp;DATE($B$3,1,1),반품접수!$B$3:$B$1002,"&lt;="&amp;DATE($B$3,12,31)))</f>
        <v/>
      </c>
      <c r="C234" s="25" t="str">
        <f aca="false">IF($A234="","",SUMIFS(반품접수!$I$3:$I$1002,반품접수!$C$3:$C$1002,$A234,반품접수!$B$3:$B$1002,"&gt;="&amp;DATE($B$3,1,1),반품접수!$B$3:$B$1002,"&lt;="&amp;DATE($B$3,12,31)))</f>
        <v/>
      </c>
      <c r="D234" s="25" t="str">
        <f aca="false">IF($A234="","",COUNTIFS(반품접수!$C$3:$C$1002,$A234,반품접수!$O$3:$O$1002,"미처리",반품접수!$B$3:$B$1002,"&gt;="&amp;DATE($B$3,1,1),반품접수!$B$3:$B$1002,"&lt;="&amp;DATE($B$3,12,31))+COUNTIFS(반품접수!$C$3:$C$1002,$A234,반품접수!$O$3:$O$1002,"부분처리",반품접수!$B$3:$B$1002,"&gt;="&amp;DATE($B$3,1,1),반품접수!$B$3:$B$1002,"&lt;="&amp;DATE($B$3,12,31)))</f>
        <v/>
      </c>
      <c r="E234" s="25" t="str">
        <f aca="false">IF($A234="","",SUMPRODUCT((반품접수!$C$3:$C$1002=$A234)*1,IFERROR(SUMIFS(처리내역!$E$3:$E$1502,처리내역!$B$3:$B$1502,반품접수!$A$3:$A$1002,처리내역!$D$3:$D$1502,"재입고"),0)))</f>
        <v/>
      </c>
      <c r="F234" s="25" t="str">
        <f aca="false">IF($A234="","",SUMPRODUCT((반품접수!$C$3:$C$1002=$A234)*1,IFERROR(SUMIFS(처리내역!$E$3:$E$1502,처리내역!$B$3:$B$1502,반품접수!$A$3:$A$1002,처리내역!$D$3:$D$1502,"폐기"),0)))</f>
        <v/>
      </c>
      <c r="G234" s="26" t="str">
        <f aca="false">IF($A234="","",IF($B234=0,"",($B234-$D234)/$B234))</f>
        <v/>
      </c>
    </row>
    <row r="235" customFormat="false" ht="15" hidden="false" customHeight="true" outlineLevel="0" collapsed="false">
      <c r="A235" s="12" t="str">
        <f aca="false">IF(거래처목록!$A232="","",거래처목록!$A232)</f>
        <v/>
      </c>
      <c r="B235" s="25" t="str">
        <f aca="false">IF($A235="","",COUNTIFS(반품접수!$C$3:$C$1002,$A235,반품접수!$B$3:$B$1002,"&gt;="&amp;DATE($B$3,1,1),반품접수!$B$3:$B$1002,"&lt;="&amp;DATE($B$3,12,31)))</f>
        <v/>
      </c>
      <c r="C235" s="25" t="str">
        <f aca="false">IF($A235="","",SUMIFS(반품접수!$I$3:$I$1002,반품접수!$C$3:$C$1002,$A235,반품접수!$B$3:$B$1002,"&gt;="&amp;DATE($B$3,1,1),반품접수!$B$3:$B$1002,"&lt;="&amp;DATE($B$3,12,31)))</f>
        <v/>
      </c>
      <c r="D235" s="25" t="str">
        <f aca="false">IF($A235="","",COUNTIFS(반품접수!$C$3:$C$1002,$A235,반품접수!$O$3:$O$1002,"미처리",반품접수!$B$3:$B$1002,"&gt;="&amp;DATE($B$3,1,1),반품접수!$B$3:$B$1002,"&lt;="&amp;DATE($B$3,12,31))+COUNTIFS(반품접수!$C$3:$C$1002,$A235,반품접수!$O$3:$O$1002,"부분처리",반품접수!$B$3:$B$1002,"&gt;="&amp;DATE($B$3,1,1),반품접수!$B$3:$B$1002,"&lt;="&amp;DATE($B$3,12,31)))</f>
        <v/>
      </c>
      <c r="E235" s="25" t="str">
        <f aca="false">IF($A235="","",SUMPRODUCT((반품접수!$C$3:$C$1002=$A235)*1,IFERROR(SUMIFS(처리내역!$E$3:$E$1502,처리내역!$B$3:$B$1502,반품접수!$A$3:$A$1002,처리내역!$D$3:$D$1502,"재입고"),0)))</f>
        <v/>
      </c>
      <c r="F235" s="25" t="str">
        <f aca="false">IF($A235="","",SUMPRODUCT((반품접수!$C$3:$C$1002=$A235)*1,IFERROR(SUMIFS(처리내역!$E$3:$E$1502,처리내역!$B$3:$B$1502,반품접수!$A$3:$A$1002,처리내역!$D$3:$D$1502,"폐기"),0)))</f>
        <v/>
      </c>
      <c r="G235" s="26" t="str">
        <f aca="false">IF($A235="","",IF($B235=0,"",($B235-$D235)/$B235))</f>
        <v/>
      </c>
    </row>
    <row r="236" customFormat="false" ht="15" hidden="false" customHeight="true" outlineLevel="0" collapsed="false">
      <c r="A236" s="12" t="str">
        <f aca="false">IF(거래처목록!$A233="","",거래처목록!$A233)</f>
        <v/>
      </c>
      <c r="B236" s="25" t="str">
        <f aca="false">IF($A236="","",COUNTIFS(반품접수!$C$3:$C$1002,$A236,반품접수!$B$3:$B$1002,"&gt;="&amp;DATE($B$3,1,1),반품접수!$B$3:$B$1002,"&lt;="&amp;DATE($B$3,12,31)))</f>
        <v/>
      </c>
      <c r="C236" s="25" t="str">
        <f aca="false">IF($A236="","",SUMIFS(반품접수!$I$3:$I$1002,반품접수!$C$3:$C$1002,$A236,반품접수!$B$3:$B$1002,"&gt;="&amp;DATE($B$3,1,1),반품접수!$B$3:$B$1002,"&lt;="&amp;DATE($B$3,12,31)))</f>
        <v/>
      </c>
      <c r="D236" s="25" t="str">
        <f aca="false">IF($A236="","",COUNTIFS(반품접수!$C$3:$C$1002,$A236,반품접수!$O$3:$O$1002,"미처리",반품접수!$B$3:$B$1002,"&gt;="&amp;DATE($B$3,1,1),반품접수!$B$3:$B$1002,"&lt;="&amp;DATE($B$3,12,31))+COUNTIFS(반품접수!$C$3:$C$1002,$A236,반품접수!$O$3:$O$1002,"부분처리",반품접수!$B$3:$B$1002,"&gt;="&amp;DATE($B$3,1,1),반품접수!$B$3:$B$1002,"&lt;="&amp;DATE($B$3,12,31)))</f>
        <v/>
      </c>
      <c r="E236" s="25" t="str">
        <f aca="false">IF($A236="","",SUMPRODUCT((반품접수!$C$3:$C$1002=$A236)*1,IFERROR(SUMIFS(처리내역!$E$3:$E$1502,처리내역!$B$3:$B$1502,반품접수!$A$3:$A$1002,처리내역!$D$3:$D$1502,"재입고"),0)))</f>
        <v/>
      </c>
      <c r="F236" s="25" t="str">
        <f aca="false">IF($A236="","",SUMPRODUCT((반품접수!$C$3:$C$1002=$A236)*1,IFERROR(SUMIFS(처리내역!$E$3:$E$1502,처리내역!$B$3:$B$1502,반품접수!$A$3:$A$1002,처리내역!$D$3:$D$1502,"폐기"),0)))</f>
        <v/>
      </c>
      <c r="G236" s="26" t="str">
        <f aca="false">IF($A236="","",IF($B236=0,"",($B236-$D236)/$B236))</f>
        <v/>
      </c>
    </row>
    <row r="237" customFormat="false" ht="15" hidden="false" customHeight="true" outlineLevel="0" collapsed="false">
      <c r="A237" s="12" t="str">
        <f aca="false">IF(거래처목록!$A234="","",거래처목록!$A234)</f>
        <v/>
      </c>
      <c r="B237" s="25" t="str">
        <f aca="false">IF($A237="","",COUNTIFS(반품접수!$C$3:$C$1002,$A237,반품접수!$B$3:$B$1002,"&gt;="&amp;DATE($B$3,1,1),반품접수!$B$3:$B$1002,"&lt;="&amp;DATE($B$3,12,31)))</f>
        <v/>
      </c>
      <c r="C237" s="25" t="str">
        <f aca="false">IF($A237="","",SUMIFS(반품접수!$I$3:$I$1002,반품접수!$C$3:$C$1002,$A237,반품접수!$B$3:$B$1002,"&gt;="&amp;DATE($B$3,1,1),반품접수!$B$3:$B$1002,"&lt;="&amp;DATE($B$3,12,31)))</f>
        <v/>
      </c>
      <c r="D237" s="25" t="str">
        <f aca="false">IF($A237="","",COUNTIFS(반품접수!$C$3:$C$1002,$A237,반품접수!$O$3:$O$1002,"미처리",반품접수!$B$3:$B$1002,"&gt;="&amp;DATE($B$3,1,1),반품접수!$B$3:$B$1002,"&lt;="&amp;DATE($B$3,12,31))+COUNTIFS(반품접수!$C$3:$C$1002,$A237,반품접수!$O$3:$O$1002,"부분처리",반품접수!$B$3:$B$1002,"&gt;="&amp;DATE($B$3,1,1),반품접수!$B$3:$B$1002,"&lt;="&amp;DATE($B$3,12,31)))</f>
        <v/>
      </c>
      <c r="E237" s="25" t="str">
        <f aca="false">IF($A237="","",SUMPRODUCT((반품접수!$C$3:$C$1002=$A237)*1,IFERROR(SUMIFS(처리내역!$E$3:$E$1502,처리내역!$B$3:$B$1502,반품접수!$A$3:$A$1002,처리내역!$D$3:$D$1502,"재입고"),0)))</f>
        <v/>
      </c>
      <c r="F237" s="25" t="str">
        <f aca="false">IF($A237="","",SUMPRODUCT((반품접수!$C$3:$C$1002=$A237)*1,IFERROR(SUMIFS(처리내역!$E$3:$E$1502,처리내역!$B$3:$B$1502,반품접수!$A$3:$A$1002,처리내역!$D$3:$D$1502,"폐기"),0)))</f>
        <v/>
      </c>
      <c r="G237" s="26" t="str">
        <f aca="false">IF($A237="","",IF($B237=0,"",($B237-$D237)/$B237))</f>
        <v/>
      </c>
    </row>
    <row r="238" customFormat="false" ht="15" hidden="false" customHeight="true" outlineLevel="0" collapsed="false">
      <c r="A238" s="12" t="str">
        <f aca="false">IF(거래처목록!$A235="","",거래처목록!$A235)</f>
        <v/>
      </c>
      <c r="B238" s="25" t="str">
        <f aca="false">IF($A238="","",COUNTIFS(반품접수!$C$3:$C$1002,$A238,반품접수!$B$3:$B$1002,"&gt;="&amp;DATE($B$3,1,1),반품접수!$B$3:$B$1002,"&lt;="&amp;DATE($B$3,12,31)))</f>
        <v/>
      </c>
      <c r="C238" s="25" t="str">
        <f aca="false">IF($A238="","",SUMIFS(반품접수!$I$3:$I$1002,반품접수!$C$3:$C$1002,$A238,반품접수!$B$3:$B$1002,"&gt;="&amp;DATE($B$3,1,1),반품접수!$B$3:$B$1002,"&lt;="&amp;DATE($B$3,12,31)))</f>
        <v/>
      </c>
      <c r="D238" s="25" t="str">
        <f aca="false">IF($A238="","",COUNTIFS(반품접수!$C$3:$C$1002,$A238,반품접수!$O$3:$O$1002,"미처리",반품접수!$B$3:$B$1002,"&gt;="&amp;DATE($B$3,1,1),반품접수!$B$3:$B$1002,"&lt;="&amp;DATE($B$3,12,31))+COUNTIFS(반품접수!$C$3:$C$1002,$A238,반품접수!$O$3:$O$1002,"부분처리",반품접수!$B$3:$B$1002,"&gt;="&amp;DATE($B$3,1,1),반품접수!$B$3:$B$1002,"&lt;="&amp;DATE($B$3,12,31)))</f>
        <v/>
      </c>
      <c r="E238" s="25" t="str">
        <f aca="false">IF($A238="","",SUMPRODUCT((반품접수!$C$3:$C$1002=$A238)*1,IFERROR(SUMIFS(처리내역!$E$3:$E$1502,처리내역!$B$3:$B$1502,반품접수!$A$3:$A$1002,처리내역!$D$3:$D$1502,"재입고"),0)))</f>
        <v/>
      </c>
      <c r="F238" s="25" t="str">
        <f aca="false">IF($A238="","",SUMPRODUCT((반품접수!$C$3:$C$1002=$A238)*1,IFERROR(SUMIFS(처리내역!$E$3:$E$1502,처리내역!$B$3:$B$1502,반품접수!$A$3:$A$1002,처리내역!$D$3:$D$1502,"폐기"),0)))</f>
        <v/>
      </c>
      <c r="G238" s="26" t="str">
        <f aca="false">IF($A238="","",IF($B238=0,"",($B238-$D238)/$B238))</f>
        <v/>
      </c>
    </row>
    <row r="239" customFormat="false" ht="15" hidden="false" customHeight="true" outlineLevel="0" collapsed="false">
      <c r="A239" s="12" t="str">
        <f aca="false">IF(거래처목록!$A236="","",거래처목록!$A236)</f>
        <v/>
      </c>
      <c r="B239" s="25" t="str">
        <f aca="false">IF($A239="","",COUNTIFS(반품접수!$C$3:$C$1002,$A239,반품접수!$B$3:$B$1002,"&gt;="&amp;DATE($B$3,1,1),반품접수!$B$3:$B$1002,"&lt;="&amp;DATE($B$3,12,31)))</f>
        <v/>
      </c>
      <c r="C239" s="25" t="str">
        <f aca="false">IF($A239="","",SUMIFS(반품접수!$I$3:$I$1002,반품접수!$C$3:$C$1002,$A239,반품접수!$B$3:$B$1002,"&gt;="&amp;DATE($B$3,1,1),반품접수!$B$3:$B$1002,"&lt;="&amp;DATE($B$3,12,31)))</f>
        <v/>
      </c>
      <c r="D239" s="25" t="str">
        <f aca="false">IF($A239="","",COUNTIFS(반품접수!$C$3:$C$1002,$A239,반품접수!$O$3:$O$1002,"미처리",반품접수!$B$3:$B$1002,"&gt;="&amp;DATE($B$3,1,1),반품접수!$B$3:$B$1002,"&lt;="&amp;DATE($B$3,12,31))+COUNTIFS(반품접수!$C$3:$C$1002,$A239,반품접수!$O$3:$O$1002,"부분처리",반품접수!$B$3:$B$1002,"&gt;="&amp;DATE($B$3,1,1),반품접수!$B$3:$B$1002,"&lt;="&amp;DATE($B$3,12,31)))</f>
        <v/>
      </c>
      <c r="E239" s="25" t="str">
        <f aca="false">IF($A239="","",SUMPRODUCT((반품접수!$C$3:$C$1002=$A239)*1,IFERROR(SUMIFS(처리내역!$E$3:$E$1502,처리내역!$B$3:$B$1502,반품접수!$A$3:$A$1002,처리내역!$D$3:$D$1502,"재입고"),0)))</f>
        <v/>
      </c>
      <c r="F239" s="25" t="str">
        <f aca="false">IF($A239="","",SUMPRODUCT((반품접수!$C$3:$C$1002=$A239)*1,IFERROR(SUMIFS(처리내역!$E$3:$E$1502,처리내역!$B$3:$B$1502,반품접수!$A$3:$A$1002,처리내역!$D$3:$D$1502,"폐기"),0)))</f>
        <v/>
      </c>
      <c r="G239" s="26" t="str">
        <f aca="false">IF($A239="","",IF($B239=0,"",($B239-$D239)/$B239))</f>
        <v/>
      </c>
    </row>
    <row r="240" customFormat="false" ht="15" hidden="false" customHeight="true" outlineLevel="0" collapsed="false">
      <c r="A240" s="12" t="str">
        <f aca="false">IF(거래처목록!$A237="","",거래처목록!$A237)</f>
        <v/>
      </c>
      <c r="B240" s="25" t="str">
        <f aca="false">IF($A240="","",COUNTIFS(반품접수!$C$3:$C$1002,$A240,반품접수!$B$3:$B$1002,"&gt;="&amp;DATE($B$3,1,1),반품접수!$B$3:$B$1002,"&lt;="&amp;DATE($B$3,12,31)))</f>
        <v/>
      </c>
      <c r="C240" s="25" t="str">
        <f aca="false">IF($A240="","",SUMIFS(반품접수!$I$3:$I$1002,반품접수!$C$3:$C$1002,$A240,반품접수!$B$3:$B$1002,"&gt;="&amp;DATE($B$3,1,1),반품접수!$B$3:$B$1002,"&lt;="&amp;DATE($B$3,12,31)))</f>
        <v/>
      </c>
      <c r="D240" s="25" t="str">
        <f aca="false">IF($A240="","",COUNTIFS(반품접수!$C$3:$C$1002,$A240,반품접수!$O$3:$O$1002,"미처리",반품접수!$B$3:$B$1002,"&gt;="&amp;DATE($B$3,1,1),반품접수!$B$3:$B$1002,"&lt;="&amp;DATE($B$3,12,31))+COUNTIFS(반품접수!$C$3:$C$1002,$A240,반품접수!$O$3:$O$1002,"부분처리",반품접수!$B$3:$B$1002,"&gt;="&amp;DATE($B$3,1,1),반품접수!$B$3:$B$1002,"&lt;="&amp;DATE($B$3,12,31)))</f>
        <v/>
      </c>
      <c r="E240" s="25" t="str">
        <f aca="false">IF($A240="","",SUMPRODUCT((반품접수!$C$3:$C$1002=$A240)*1,IFERROR(SUMIFS(처리내역!$E$3:$E$1502,처리내역!$B$3:$B$1502,반품접수!$A$3:$A$1002,처리내역!$D$3:$D$1502,"재입고"),0)))</f>
        <v/>
      </c>
      <c r="F240" s="25" t="str">
        <f aca="false">IF($A240="","",SUMPRODUCT((반품접수!$C$3:$C$1002=$A240)*1,IFERROR(SUMIFS(처리내역!$E$3:$E$1502,처리내역!$B$3:$B$1502,반품접수!$A$3:$A$1002,처리내역!$D$3:$D$1502,"폐기"),0)))</f>
        <v/>
      </c>
      <c r="G240" s="26" t="str">
        <f aca="false">IF($A240="","",IF($B240=0,"",($B240-$D240)/$B240))</f>
        <v/>
      </c>
    </row>
    <row r="241" customFormat="false" ht="15" hidden="false" customHeight="true" outlineLevel="0" collapsed="false">
      <c r="A241" s="12" t="str">
        <f aca="false">IF(거래처목록!$A238="","",거래처목록!$A238)</f>
        <v/>
      </c>
      <c r="B241" s="25" t="str">
        <f aca="false">IF($A241="","",COUNTIFS(반품접수!$C$3:$C$1002,$A241,반품접수!$B$3:$B$1002,"&gt;="&amp;DATE($B$3,1,1),반품접수!$B$3:$B$1002,"&lt;="&amp;DATE($B$3,12,31)))</f>
        <v/>
      </c>
      <c r="C241" s="25" t="str">
        <f aca="false">IF($A241="","",SUMIFS(반품접수!$I$3:$I$1002,반품접수!$C$3:$C$1002,$A241,반품접수!$B$3:$B$1002,"&gt;="&amp;DATE($B$3,1,1),반품접수!$B$3:$B$1002,"&lt;="&amp;DATE($B$3,12,31)))</f>
        <v/>
      </c>
      <c r="D241" s="25" t="str">
        <f aca="false">IF($A241="","",COUNTIFS(반품접수!$C$3:$C$1002,$A241,반품접수!$O$3:$O$1002,"미처리",반품접수!$B$3:$B$1002,"&gt;="&amp;DATE($B$3,1,1),반품접수!$B$3:$B$1002,"&lt;="&amp;DATE($B$3,12,31))+COUNTIFS(반품접수!$C$3:$C$1002,$A241,반품접수!$O$3:$O$1002,"부분처리",반품접수!$B$3:$B$1002,"&gt;="&amp;DATE($B$3,1,1),반품접수!$B$3:$B$1002,"&lt;="&amp;DATE($B$3,12,31)))</f>
        <v/>
      </c>
      <c r="E241" s="25" t="str">
        <f aca="false">IF($A241="","",SUMPRODUCT((반품접수!$C$3:$C$1002=$A241)*1,IFERROR(SUMIFS(처리내역!$E$3:$E$1502,처리내역!$B$3:$B$1502,반품접수!$A$3:$A$1002,처리내역!$D$3:$D$1502,"재입고"),0)))</f>
        <v/>
      </c>
      <c r="F241" s="25" t="str">
        <f aca="false">IF($A241="","",SUMPRODUCT((반품접수!$C$3:$C$1002=$A241)*1,IFERROR(SUMIFS(처리내역!$E$3:$E$1502,처리내역!$B$3:$B$1502,반품접수!$A$3:$A$1002,처리내역!$D$3:$D$1502,"폐기"),0)))</f>
        <v/>
      </c>
      <c r="G241" s="26" t="str">
        <f aca="false">IF($A241="","",IF($B241=0,"",($B241-$D241)/$B241))</f>
        <v/>
      </c>
    </row>
    <row r="242" customFormat="false" ht="15" hidden="false" customHeight="true" outlineLevel="0" collapsed="false">
      <c r="A242" s="12" t="str">
        <f aca="false">IF(거래처목록!$A239="","",거래처목록!$A239)</f>
        <v/>
      </c>
      <c r="B242" s="25" t="str">
        <f aca="false">IF($A242="","",COUNTIFS(반품접수!$C$3:$C$1002,$A242,반품접수!$B$3:$B$1002,"&gt;="&amp;DATE($B$3,1,1),반품접수!$B$3:$B$1002,"&lt;="&amp;DATE($B$3,12,31)))</f>
        <v/>
      </c>
      <c r="C242" s="25" t="str">
        <f aca="false">IF($A242="","",SUMIFS(반품접수!$I$3:$I$1002,반품접수!$C$3:$C$1002,$A242,반품접수!$B$3:$B$1002,"&gt;="&amp;DATE($B$3,1,1),반품접수!$B$3:$B$1002,"&lt;="&amp;DATE($B$3,12,31)))</f>
        <v/>
      </c>
      <c r="D242" s="25" t="str">
        <f aca="false">IF($A242="","",COUNTIFS(반품접수!$C$3:$C$1002,$A242,반품접수!$O$3:$O$1002,"미처리",반품접수!$B$3:$B$1002,"&gt;="&amp;DATE($B$3,1,1),반품접수!$B$3:$B$1002,"&lt;="&amp;DATE($B$3,12,31))+COUNTIFS(반품접수!$C$3:$C$1002,$A242,반품접수!$O$3:$O$1002,"부분처리",반품접수!$B$3:$B$1002,"&gt;="&amp;DATE($B$3,1,1),반품접수!$B$3:$B$1002,"&lt;="&amp;DATE($B$3,12,31)))</f>
        <v/>
      </c>
      <c r="E242" s="25" t="str">
        <f aca="false">IF($A242="","",SUMPRODUCT((반품접수!$C$3:$C$1002=$A242)*1,IFERROR(SUMIFS(처리내역!$E$3:$E$1502,처리내역!$B$3:$B$1502,반품접수!$A$3:$A$1002,처리내역!$D$3:$D$1502,"재입고"),0)))</f>
        <v/>
      </c>
      <c r="F242" s="25" t="str">
        <f aca="false">IF($A242="","",SUMPRODUCT((반품접수!$C$3:$C$1002=$A242)*1,IFERROR(SUMIFS(처리내역!$E$3:$E$1502,처리내역!$B$3:$B$1502,반품접수!$A$3:$A$1002,처리내역!$D$3:$D$1502,"폐기"),0)))</f>
        <v/>
      </c>
      <c r="G242" s="26" t="str">
        <f aca="false">IF($A242="","",IF($B242=0,"",($B242-$D242)/$B242))</f>
        <v/>
      </c>
    </row>
    <row r="243" customFormat="false" ht="15" hidden="false" customHeight="true" outlineLevel="0" collapsed="false">
      <c r="A243" s="12" t="str">
        <f aca="false">IF(거래처목록!$A240="","",거래처목록!$A240)</f>
        <v/>
      </c>
      <c r="B243" s="25" t="str">
        <f aca="false">IF($A243="","",COUNTIFS(반품접수!$C$3:$C$1002,$A243,반품접수!$B$3:$B$1002,"&gt;="&amp;DATE($B$3,1,1),반품접수!$B$3:$B$1002,"&lt;="&amp;DATE($B$3,12,31)))</f>
        <v/>
      </c>
      <c r="C243" s="25" t="str">
        <f aca="false">IF($A243="","",SUMIFS(반품접수!$I$3:$I$1002,반품접수!$C$3:$C$1002,$A243,반품접수!$B$3:$B$1002,"&gt;="&amp;DATE($B$3,1,1),반품접수!$B$3:$B$1002,"&lt;="&amp;DATE($B$3,12,31)))</f>
        <v/>
      </c>
      <c r="D243" s="25" t="str">
        <f aca="false">IF($A243="","",COUNTIFS(반품접수!$C$3:$C$1002,$A243,반품접수!$O$3:$O$1002,"미처리",반품접수!$B$3:$B$1002,"&gt;="&amp;DATE($B$3,1,1),반품접수!$B$3:$B$1002,"&lt;="&amp;DATE($B$3,12,31))+COUNTIFS(반품접수!$C$3:$C$1002,$A243,반품접수!$O$3:$O$1002,"부분처리",반품접수!$B$3:$B$1002,"&gt;="&amp;DATE($B$3,1,1),반품접수!$B$3:$B$1002,"&lt;="&amp;DATE($B$3,12,31)))</f>
        <v/>
      </c>
      <c r="E243" s="25" t="str">
        <f aca="false">IF($A243="","",SUMPRODUCT((반품접수!$C$3:$C$1002=$A243)*1,IFERROR(SUMIFS(처리내역!$E$3:$E$1502,처리내역!$B$3:$B$1502,반품접수!$A$3:$A$1002,처리내역!$D$3:$D$1502,"재입고"),0)))</f>
        <v/>
      </c>
      <c r="F243" s="25" t="str">
        <f aca="false">IF($A243="","",SUMPRODUCT((반품접수!$C$3:$C$1002=$A243)*1,IFERROR(SUMIFS(처리내역!$E$3:$E$1502,처리내역!$B$3:$B$1502,반품접수!$A$3:$A$1002,처리내역!$D$3:$D$1502,"폐기"),0)))</f>
        <v/>
      </c>
      <c r="G243" s="26" t="str">
        <f aca="false">IF($A243="","",IF($B243=0,"",($B243-$D243)/$B243))</f>
        <v/>
      </c>
    </row>
    <row r="244" customFormat="false" ht="15" hidden="false" customHeight="true" outlineLevel="0" collapsed="false">
      <c r="A244" s="12" t="str">
        <f aca="false">IF(거래처목록!$A241="","",거래처목록!$A241)</f>
        <v/>
      </c>
      <c r="B244" s="25" t="str">
        <f aca="false">IF($A244="","",COUNTIFS(반품접수!$C$3:$C$1002,$A244,반품접수!$B$3:$B$1002,"&gt;="&amp;DATE($B$3,1,1),반품접수!$B$3:$B$1002,"&lt;="&amp;DATE($B$3,12,31)))</f>
        <v/>
      </c>
      <c r="C244" s="25" t="str">
        <f aca="false">IF($A244="","",SUMIFS(반품접수!$I$3:$I$1002,반품접수!$C$3:$C$1002,$A244,반품접수!$B$3:$B$1002,"&gt;="&amp;DATE($B$3,1,1),반품접수!$B$3:$B$1002,"&lt;="&amp;DATE($B$3,12,31)))</f>
        <v/>
      </c>
      <c r="D244" s="25" t="str">
        <f aca="false">IF($A244="","",COUNTIFS(반품접수!$C$3:$C$1002,$A244,반품접수!$O$3:$O$1002,"미처리",반품접수!$B$3:$B$1002,"&gt;="&amp;DATE($B$3,1,1),반품접수!$B$3:$B$1002,"&lt;="&amp;DATE($B$3,12,31))+COUNTIFS(반품접수!$C$3:$C$1002,$A244,반품접수!$O$3:$O$1002,"부분처리",반품접수!$B$3:$B$1002,"&gt;="&amp;DATE($B$3,1,1),반품접수!$B$3:$B$1002,"&lt;="&amp;DATE($B$3,12,31)))</f>
        <v/>
      </c>
      <c r="E244" s="25" t="str">
        <f aca="false">IF($A244="","",SUMPRODUCT((반품접수!$C$3:$C$1002=$A244)*1,IFERROR(SUMIFS(처리내역!$E$3:$E$1502,처리내역!$B$3:$B$1502,반품접수!$A$3:$A$1002,처리내역!$D$3:$D$1502,"재입고"),0)))</f>
        <v/>
      </c>
      <c r="F244" s="25" t="str">
        <f aca="false">IF($A244="","",SUMPRODUCT((반품접수!$C$3:$C$1002=$A244)*1,IFERROR(SUMIFS(처리내역!$E$3:$E$1502,처리내역!$B$3:$B$1502,반품접수!$A$3:$A$1002,처리내역!$D$3:$D$1502,"폐기"),0)))</f>
        <v/>
      </c>
      <c r="G244" s="26" t="str">
        <f aca="false">IF($A244="","",IF($B244=0,"",($B244-$D244)/$B244))</f>
        <v/>
      </c>
    </row>
    <row r="245" customFormat="false" ht="15" hidden="false" customHeight="true" outlineLevel="0" collapsed="false">
      <c r="A245" s="12" t="str">
        <f aca="false">IF(거래처목록!$A242="","",거래처목록!$A242)</f>
        <v/>
      </c>
      <c r="B245" s="25" t="str">
        <f aca="false">IF($A245="","",COUNTIFS(반품접수!$C$3:$C$1002,$A245,반품접수!$B$3:$B$1002,"&gt;="&amp;DATE($B$3,1,1),반품접수!$B$3:$B$1002,"&lt;="&amp;DATE($B$3,12,31)))</f>
        <v/>
      </c>
      <c r="C245" s="25" t="str">
        <f aca="false">IF($A245="","",SUMIFS(반품접수!$I$3:$I$1002,반품접수!$C$3:$C$1002,$A245,반품접수!$B$3:$B$1002,"&gt;="&amp;DATE($B$3,1,1),반품접수!$B$3:$B$1002,"&lt;="&amp;DATE($B$3,12,31)))</f>
        <v/>
      </c>
      <c r="D245" s="25" t="str">
        <f aca="false">IF($A245="","",COUNTIFS(반품접수!$C$3:$C$1002,$A245,반품접수!$O$3:$O$1002,"미처리",반품접수!$B$3:$B$1002,"&gt;="&amp;DATE($B$3,1,1),반품접수!$B$3:$B$1002,"&lt;="&amp;DATE($B$3,12,31))+COUNTIFS(반품접수!$C$3:$C$1002,$A245,반품접수!$O$3:$O$1002,"부분처리",반품접수!$B$3:$B$1002,"&gt;="&amp;DATE($B$3,1,1),반품접수!$B$3:$B$1002,"&lt;="&amp;DATE($B$3,12,31)))</f>
        <v/>
      </c>
      <c r="E245" s="25" t="str">
        <f aca="false">IF($A245="","",SUMPRODUCT((반품접수!$C$3:$C$1002=$A245)*1,IFERROR(SUMIFS(처리내역!$E$3:$E$1502,처리내역!$B$3:$B$1502,반품접수!$A$3:$A$1002,처리내역!$D$3:$D$1502,"재입고"),0)))</f>
        <v/>
      </c>
      <c r="F245" s="25" t="str">
        <f aca="false">IF($A245="","",SUMPRODUCT((반품접수!$C$3:$C$1002=$A245)*1,IFERROR(SUMIFS(처리내역!$E$3:$E$1502,처리내역!$B$3:$B$1502,반품접수!$A$3:$A$1002,처리내역!$D$3:$D$1502,"폐기"),0)))</f>
        <v/>
      </c>
      <c r="G245" s="26" t="str">
        <f aca="false">IF($A245="","",IF($B245=0,"",($B245-$D245)/$B245))</f>
        <v/>
      </c>
    </row>
    <row r="246" customFormat="false" ht="15" hidden="false" customHeight="true" outlineLevel="0" collapsed="false">
      <c r="A246" s="12" t="str">
        <f aca="false">IF(거래처목록!$A243="","",거래처목록!$A243)</f>
        <v/>
      </c>
      <c r="B246" s="25" t="str">
        <f aca="false">IF($A246="","",COUNTIFS(반품접수!$C$3:$C$1002,$A246,반품접수!$B$3:$B$1002,"&gt;="&amp;DATE($B$3,1,1),반품접수!$B$3:$B$1002,"&lt;="&amp;DATE($B$3,12,31)))</f>
        <v/>
      </c>
      <c r="C246" s="25" t="str">
        <f aca="false">IF($A246="","",SUMIFS(반품접수!$I$3:$I$1002,반품접수!$C$3:$C$1002,$A246,반품접수!$B$3:$B$1002,"&gt;="&amp;DATE($B$3,1,1),반품접수!$B$3:$B$1002,"&lt;="&amp;DATE($B$3,12,31)))</f>
        <v/>
      </c>
      <c r="D246" s="25" t="str">
        <f aca="false">IF($A246="","",COUNTIFS(반품접수!$C$3:$C$1002,$A246,반품접수!$O$3:$O$1002,"미처리",반품접수!$B$3:$B$1002,"&gt;="&amp;DATE($B$3,1,1),반품접수!$B$3:$B$1002,"&lt;="&amp;DATE($B$3,12,31))+COUNTIFS(반품접수!$C$3:$C$1002,$A246,반품접수!$O$3:$O$1002,"부분처리",반품접수!$B$3:$B$1002,"&gt;="&amp;DATE($B$3,1,1),반품접수!$B$3:$B$1002,"&lt;="&amp;DATE($B$3,12,31)))</f>
        <v/>
      </c>
      <c r="E246" s="25" t="str">
        <f aca="false">IF($A246="","",SUMPRODUCT((반품접수!$C$3:$C$1002=$A246)*1,IFERROR(SUMIFS(처리내역!$E$3:$E$1502,처리내역!$B$3:$B$1502,반품접수!$A$3:$A$1002,처리내역!$D$3:$D$1502,"재입고"),0)))</f>
        <v/>
      </c>
      <c r="F246" s="25" t="str">
        <f aca="false">IF($A246="","",SUMPRODUCT((반품접수!$C$3:$C$1002=$A246)*1,IFERROR(SUMIFS(처리내역!$E$3:$E$1502,처리내역!$B$3:$B$1502,반품접수!$A$3:$A$1002,처리내역!$D$3:$D$1502,"폐기"),0)))</f>
        <v/>
      </c>
      <c r="G246" s="26" t="str">
        <f aca="false">IF($A246="","",IF($B246=0,"",($B246-$D246)/$B246))</f>
        <v/>
      </c>
    </row>
    <row r="247" customFormat="false" ht="15" hidden="false" customHeight="true" outlineLevel="0" collapsed="false">
      <c r="A247" s="12" t="str">
        <f aca="false">IF(거래처목록!$A244="","",거래처목록!$A244)</f>
        <v/>
      </c>
      <c r="B247" s="25" t="str">
        <f aca="false">IF($A247="","",COUNTIFS(반품접수!$C$3:$C$1002,$A247,반품접수!$B$3:$B$1002,"&gt;="&amp;DATE($B$3,1,1),반품접수!$B$3:$B$1002,"&lt;="&amp;DATE($B$3,12,31)))</f>
        <v/>
      </c>
      <c r="C247" s="25" t="str">
        <f aca="false">IF($A247="","",SUMIFS(반품접수!$I$3:$I$1002,반품접수!$C$3:$C$1002,$A247,반품접수!$B$3:$B$1002,"&gt;="&amp;DATE($B$3,1,1),반품접수!$B$3:$B$1002,"&lt;="&amp;DATE($B$3,12,31)))</f>
        <v/>
      </c>
      <c r="D247" s="25" t="str">
        <f aca="false">IF($A247="","",COUNTIFS(반품접수!$C$3:$C$1002,$A247,반품접수!$O$3:$O$1002,"미처리",반품접수!$B$3:$B$1002,"&gt;="&amp;DATE($B$3,1,1),반품접수!$B$3:$B$1002,"&lt;="&amp;DATE($B$3,12,31))+COUNTIFS(반품접수!$C$3:$C$1002,$A247,반품접수!$O$3:$O$1002,"부분처리",반품접수!$B$3:$B$1002,"&gt;="&amp;DATE($B$3,1,1),반품접수!$B$3:$B$1002,"&lt;="&amp;DATE($B$3,12,31)))</f>
        <v/>
      </c>
      <c r="E247" s="25" t="str">
        <f aca="false">IF($A247="","",SUMPRODUCT((반품접수!$C$3:$C$1002=$A247)*1,IFERROR(SUMIFS(처리내역!$E$3:$E$1502,처리내역!$B$3:$B$1502,반품접수!$A$3:$A$1002,처리내역!$D$3:$D$1502,"재입고"),0)))</f>
        <v/>
      </c>
      <c r="F247" s="25" t="str">
        <f aca="false">IF($A247="","",SUMPRODUCT((반품접수!$C$3:$C$1002=$A247)*1,IFERROR(SUMIFS(처리내역!$E$3:$E$1502,처리내역!$B$3:$B$1502,반품접수!$A$3:$A$1002,처리내역!$D$3:$D$1502,"폐기"),0)))</f>
        <v/>
      </c>
      <c r="G247" s="26" t="str">
        <f aca="false">IF($A247="","",IF($B247=0,"",($B247-$D247)/$B247))</f>
        <v/>
      </c>
    </row>
    <row r="248" customFormat="false" ht="15" hidden="false" customHeight="true" outlineLevel="0" collapsed="false">
      <c r="A248" s="12" t="str">
        <f aca="false">IF(거래처목록!$A245="","",거래처목록!$A245)</f>
        <v/>
      </c>
      <c r="B248" s="25" t="str">
        <f aca="false">IF($A248="","",COUNTIFS(반품접수!$C$3:$C$1002,$A248,반품접수!$B$3:$B$1002,"&gt;="&amp;DATE($B$3,1,1),반품접수!$B$3:$B$1002,"&lt;="&amp;DATE($B$3,12,31)))</f>
        <v/>
      </c>
      <c r="C248" s="25" t="str">
        <f aca="false">IF($A248="","",SUMIFS(반품접수!$I$3:$I$1002,반품접수!$C$3:$C$1002,$A248,반품접수!$B$3:$B$1002,"&gt;="&amp;DATE($B$3,1,1),반품접수!$B$3:$B$1002,"&lt;="&amp;DATE($B$3,12,31)))</f>
        <v/>
      </c>
      <c r="D248" s="25" t="str">
        <f aca="false">IF($A248="","",COUNTIFS(반품접수!$C$3:$C$1002,$A248,반품접수!$O$3:$O$1002,"미처리",반품접수!$B$3:$B$1002,"&gt;="&amp;DATE($B$3,1,1),반품접수!$B$3:$B$1002,"&lt;="&amp;DATE($B$3,12,31))+COUNTIFS(반품접수!$C$3:$C$1002,$A248,반품접수!$O$3:$O$1002,"부분처리",반품접수!$B$3:$B$1002,"&gt;="&amp;DATE($B$3,1,1),반품접수!$B$3:$B$1002,"&lt;="&amp;DATE($B$3,12,31)))</f>
        <v/>
      </c>
      <c r="E248" s="25" t="str">
        <f aca="false">IF($A248="","",SUMPRODUCT((반품접수!$C$3:$C$1002=$A248)*1,IFERROR(SUMIFS(처리내역!$E$3:$E$1502,처리내역!$B$3:$B$1502,반품접수!$A$3:$A$1002,처리내역!$D$3:$D$1502,"재입고"),0)))</f>
        <v/>
      </c>
      <c r="F248" s="25" t="str">
        <f aca="false">IF($A248="","",SUMPRODUCT((반품접수!$C$3:$C$1002=$A248)*1,IFERROR(SUMIFS(처리내역!$E$3:$E$1502,처리내역!$B$3:$B$1502,반품접수!$A$3:$A$1002,처리내역!$D$3:$D$1502,"폐기"),0)))</f>
        <v/>
      </c>
      <c r="G248" s="26" t="str">
        <f aca="false">IF($A248="","",IF($B248=0,"",($B248-$D248)/$B248))</f>
        <v/>
      </c>
    </row>
    <row r="249" customFormat="false" ht="15" hidden="false" customHeight="true" outlineLevel="0" collapsed="false">
      <c r="A249" s="12" t="str">
        <f aca="false">IF(거래처목록!$A246="","",거래처목록!$A246)</f>
        <v/>
      </c>
      <c r="B249" s="25" t="str">
        <f aca="false">IF($A249="","",COUNTIFS(반품접수!$C$3:$C$1002,$A249,반품접수!$B$3:$B$1002,"&gt;="&amp;DATE($B$3,1,1),반품접수!$B$3:$B$1002,"&lt;="&amp;DATE($B$3,12,31)))</f>
        <v/>
      </c>
      <c r="C249" s="25" t="str">
        <f aca="false">IF($A249="","",SUMIFS(반품접수!$I$3:$I$1002,반품접수!$C$3:$C$1002,$A249,반품접수!$B$3:$B$1002,"&gt;="&amp;DATE($B$3,1,1),반품접수!$B$3:$B$1002,"&lt;="&amp;DATE($B$3,12,31)))</f>
        <v/>
      </c>
      <c r="D249" s="25" t="str">
        <f aca="false">IF($A249="","",COUNTIFS(반품접수!$C$3:$C$1002,$A249,반품접수!$O$3:$O$1002,"미처리",반품접수!$B$3:$B$1002,"&gt;="&amp;DATE($B$3,1,1),반품접수!$B$3:$B$1002,"&lt;="&amp;DATE($B$3,12,31))+COUNTIFS(반품접수!$C$3:$C$1002,$A249,반품접수!$O$3:$O$1002,"부분처리",반품접수!$B$3:$B$1002,"&gt;="&amp;DATE($B$3,1,1),반품접수!$B$3:$B$1002,"&lt;="&amp;DATE($B$3,12,31)))</f>
        <v/>
      </c>
      <c r="E249" s="25" t="str">
        <f aca="false">IF($A249="","",SUMPRODUCT((반품접수!$C$3:$C$1002=$A249)*1,IFERROR(SUMIFS(처리내역!$E$3:$E$1502,처리내역!$B$3:$B$1502,반품접수!$A$3:$A$1002,처리내역!$D$3:$D$1502,"재입고"),0)))</f>
        <v/>
      </c>
      <c r="F249" s="25" t="str">
        <f aca="false">IF($A249="","",SUMPRODUCT((반품접수!$C$3:$C$1002=$A249)*1,IFERROR(SUMIFS(처리내역!$E$3:$E$1502,처리내역!$B$3:$B$1502,반품접수!$A$3:$A$1002,처리내역!$D$3:$D$1502,"폐기"),0)))</f>
        <v/>
      </c>
      <c r="G249" s="26" t="str">
        <f aca="false">IF($A249="","",IF($B249=0,"",($B249-$D249)/$B249))</f>
        <v/>
      </c>
    </row>
    <row r="250" customFormat="false" ht="15" hidden="false" customHeight="true" outlineLevel="0" collapsed="false">
      <c r="A250" s="12" t="str">
        <f aca="false">IF(거래처목록!$A247="","",거래처목록!$A247)</f>
        <v/>
      </c>
      <c r="B250" s="25" t="str">
        <f aca="false">IF($A250="","",COUNTIFS(반품접수!$C$3:$C$1002,$A250,반품접수!$B$3:$B$1002,"&gt;="&amp;DATE($B$3,1,1),반품접수!$B$3:$B$1002,"&lt;="&amp;DATE($B$3,12,31)))</f>
        <v/>
      </c>
      <c r="C250" s="25" t="str">
        <f aca="false">IF($A250="","",SUMIFS(반품접수!$I$3:$I$1002,반품접수!$C$3:$C$1002,$A250,반품접수!$B$3:$B$1002,"&gt;="&amp;DATE($B$3,1,1),반품접수!$B$3:$B$1002,"&lt;="&amp;DATE($B$3,12,31)))</f>
        <v/>
      </c>
      <c r="D250" s="25" t="str">
        <f aca="false">IF($A250="","",COUNTIFS(반품접수!$C$3:$C$1002,$A250,반품접수!$O$3:$O$1002,"미처리",반품접수!$B$3:$B$1002,"&gt;="&amp;DATE($B$3,1,1),반품접수!$B$3:$B$1002,"&lt;="&amp;DATE($B$3,12,31))+COUNTIFS(반품접수!$C$3:$C$1002,$A250,반품접수!$O$3:$O$1002,"부분처리",반품접수!$B$3:$B$1002,"&gt;="&amp;DATE($B$3,1,1),반품접수!$B$3:$B$1002,"&lt;="&amp;DATE($B$3,12,31)))</f>
        <v/>
      </c>
      <c r="E250" s="25" t="str">
        <f aca="false">IF($A250="","",SUMPRODUCT((반품접수!$C$3:$C$1002=$A250)*1,IFERROR(SUMIFS(처리내역!$E$3:$E$1502,처리내역!$B$3:$B$1502,반품접수!$A$3:$A$1002,처리내역!$D$3:$D$1502,"재입고"),0)))</f>
        <v/>
      </c>
      <c r="F250" s="25" t="str">
        <f aca="false">IF($A250="","",SUMPRODUCT((반품접수!$C$3:$C$1002=$A250)*1,IFERROR(SUMIFS(처리내역!$E$3:$E$1502,처리내역!$B$3:$B$1502,반품접수!$A$3:$A$1002,처리내역!$D$3:$D$1502,"폐기"),0)))</f>
        <v/>
      </c>
      <c r="G250" s="26" t="str">
        <f aca="false">IF($A250="","",IF($B250=0,"",($B250-$D250)/$B250))</f>
        <v/>
      </c>
    </row>
    <row r="251" customFormat="false" ht="15" hidden="false" customHeight="true" outlineLevel="0" collapsed="false">
      <c r="A251" s="12" t="str">
        <f aca="false">IF(거래처목록!$A248="","",거래처목록!$A248)</f>
        <v/>
      </c>
      <c r="B251" s="25" t="str">
        <f aca="false">IF($A251="","",COUNTIFS(반품접수!$C$3:$C$1002,$A251,반품접수!$B$3:$B$1002,"&gt;="&amp;DATE($B$3,1,1),반품접수!$B$3:$B$1002,"&lt;="&amp;DATE($B$3,12,31)))</f>
        <v/>
      </c>
      <c r="C251" s="25" t="str">
        <f aca="false">IF($A251="","",SUMIFS(반품접수!$I$3:$I$1002,반품접수!$C$3:$C$1002,$A251,반품접수!$B$3:$B$1002,"&gt;="&amp;DATE($B$3,1,1),반품접수!$B$3:$B$1002,"&lt;="&amp;DATE($B$3,12,31)))</f>
        <v/>
      </c>
      <c r="D251" s="25" t="str">
        <f aca="false">IF($A251="","",COUNTIFS(반품접수!$C$3:$C$1002,$A251,반품접수!$O$3:$O$1002,"미처리",반품접수!$B$3:$B$1002,"&gt;="&amp;DATE($B$3,1,1),반품접수!$B$3:$B$1002,"&lt;="&amp;DATE($B$3,12,31))+COUNTIFS(반품접수!$C$3:$C$1002,$A251,반품접수!$O$3:$O$1002,"부분처리",반품접수!$B$3:$B$1002,"&gt;="&amp;DATE($B$3,1,1),반품접수!$B$3:$B$1002,"&lt;="&amp;DATE($B$3,12,31)))</f>
        <v/>
      </c>
      <c r="E251" s="25" t="str">
        <f aca="false">IF($A251="","",SUMPRODUCT((반품접수!$C$3:$C$1002=$A251)*1,IFERROR(SUMIFS(처리내역!$E$3:$E$1502,처리내역!$B$3:$B$1502,반품접수!$A$3:$A$1002,처리내역!$D$3:$D$1502,"재입고"),0)))</f>
        <v/>
      </c>
      <c r="F251" s="25" t="str">
        <f aca="false">IF($A251="","",SUMPRODUCT((반품접수!$C$3:$C$1002=$A251)*1,IFERROR(SUMIFS(처리내역!$E$3:$E$1502,처리내역!$B$3:$B$1502,반품접수!$A$3:$A$1002,처리내역!$D$3:$D$1502,"폐기"),0)))</f>
        <v/>
      </c>
      <c r="G251" s="26" t="str">
        <f aca="false">IF($A251="","",IF($B251=0,"",($B251-$D251)/$B251))</f>
        <v/>
      </c>
    </row>
    <row r="252" customFormat="false" ht="15" hidden="false" customHeight="true" outlineLevel="0" collapsed="false">
      <c r="A252" s="12" t="str">
        <f aca="false">IF(거래처목록!$A249="","",거래처목록!$A249)</f>
        <v/>
      </c>
      <c r="B252" s="25" t="str">
        <f aca="false">IF($A252="","",COUNTIFS(반품접수!$C$3:$C$1002,$A252,반품접수!$B$3:$B$1002,"&gt;="&amp;DATE($B$3,1,1),반품접수!$B$3:$B$1002,"&lt;="&amp;DATE($B$3,12,31)))</f>
        <v/>
      </c>
      <c r="C252" s="25" t="str">
        <f aca="false">IF($A252="","",SUMIFS(반품접수!$I$3:$I$1002,반품접수!$C$3:$C$1002,$A252,반품접수!$B$3:$B$1002,"&gt;="&amp;DATE($B$3,1,1),반품접수!$B$3:$B$1002,"&lt;="&amp;DATE($B$3,12,31)))</f>
        <v/>
      </c>
      <c r="D252" s="25" t="str">
        <f aca="false">IF($A252="","",COUNTIFS(반품접수!$C$3:$C$1002,$A252,반품접수!$O$3:$O$1002,"미처리",반품접수!$B$3:$B$1002,"&gt;="&amp;DATE($B$3,1,1),반품접수!$B$3:$B$1002,"&lt;="&amp;DATE($B$3,12,31))+COUNTIFS(반품접수!$C$3:$C$1002,$A252,반품접수!$O$3:$O$1002,"부분처리",반품접수!$B$3:$B$1002,"&gt;="&amp;DATE($B$3,1,1),반품접수!$B$3:$B$1002,"&lt;="&amp;DATE($B$3,12,31)))</f>
        <v/>
      </c>
      <c r="E252" s="25" t="str">
        <f aca="false">IF($A252="","",SUMPRODUCT((반품접수!$C$3:$C$1002=$A252)*1,IFERROR(SUMIFS(처리내역!$E$3:$E$1502,처리내역!$B$3:$B$1502,반품접수!$A$3:$A$1002,처리내역!$D$3:$D$1502,"재입고"),0)))</f>
        <v/>
      </c>
      <c r="F252" s="25" t="str">
        <f aca="false">IF($A252="","",SUMPRODUCT((반품접수!$C$3:$C$1002=$A252)*1,IFERROR(SUMIFS(처리내역!$E$3:$E$1502,처리내역!$B$3:$B$1502,반품접수!$A$3:$A$1002,처리내역!$D$3:$D$1502,"폐기"),0)))</f>
        <v/>
      </c>
      <c r="G252" s="26" t="str">
        <f aca="false">IF($A252="","",IF($B252=0,"",($B252-$D252)/$B252))</f>
        <v/>
      </c>
    </row>
    <row r="253" customFormat="false" ht="15" hidden="false" customHeight="true" outlineLevel="0" collapsed="false">
      <c r="A253" s="12" t="str">
        <f aca="false">IF(거래처목록!$A250="","",거래처목록!$A250)</f>
        <v/>
      </c>
      <c r="B253" s="25" t="str">
        <f aca="false">IF($A253="","",COUNTIFS(반품접수!$C$3:$C$1002,$A253,반품접수!$B$3:$B$1002,"&gt;="&amp;DATE($B$3,1,1),반품접수!$B$3:$B$1002,"&lt;="&amp;DATE($B$3,12,31)))</f>
        <v/>
      </c>
      <c r="C253" s="25" t="str">
        <f aca="false">IF($A253="","",SUMIFS(반품접수!$I$3:$I$1002,반품접수!$C$3:$C$1002,$A253,반품접수!$B$3:$B$1002,"&gt;="&amp;DATE($B$3,1,1),반품접수!$B$3:$B$1002,"&lt;="&amp;DATE($B$3,12,31)))</f>
        <v/>
      </c>
      <c r="D253" s="25" t="str">
        <f aca="false">IF($A253="","",COUNTIFS(반품접수!$C$3:$C$1002,$A253,반품접수!$O$3:$O$1002,"미처리",반품접수!$B$3:$B$1002,"&gt;="&amp;DATE($B$3,1,1),반품접수!$B$3:$B$1002,"&lt;="&amp;DATE($B$3,12,31))+COUNTIFS(반품접수!$C$3:$C$1002,$A253,반품접수!$O$3:$O$1002,"부분처리",반품접수!$B$3:$B$1002,"&gt;="&amp;DATE($B$3,1,1),반품접수!$B$3:$B$1002,"&lt;="&amp;DATE($B$3,12,31)))</f>
        <v/>
      </c>
      <c r="E253" s="25" t="str">
        <f aca="false">IF($A253="","",SUMPRODUCT((반품접수!$C$3:$C$1002=$A253)*1,IFERROR(SUMIFS(처리내역!$E$3:$E$1502,처리내역!$B$3:$B$1502,반품접수!$A$3:$A$1002,처리내역!$D$3:$D$1502,"재입고"),0)))</f>
        <v/>
      </c>
      <c r="F253" s="25" t="str">
        <f aca="false">IF($A253="","",SUMPRODUCT((반품접수!$C$3:$C$1002=$A253)*1,IFERROR(SUMIFS(처리내역!$E$3:$E$1502,처리내역!$B$3:$B$1502,반품접수!$A$3:$A$1002,처리내역!$D$3:$D$1502,"폐기"),0)))</f>
        <v/>
      </c>
      <c r="G253" s="26" t="str">
        <f aca="false">IF($A253="","",IF($B253=0,"",($B253-$D253)/$B253))</f>
        <v/>
      </c>
    </row>
    <row r="254" customFormat="false" ht="15" hidden="false" customHeight="true" outlineLevel="0" collapsed="false">
      <c r="A254" s="12" t="str">
        <f aca="false">IF(거래처목록!$A251="","",거래처목록!$A251)</f>
        <v/>
      </c>
      <c r="B254" s="25" t="str">
        <f aca="false">IF($A254="","",COUNTIFS(반품접수!$C$3:$C$1002,$A254,반품접수!$B$3:$B$1002,"&gt;="&amp;DATE($B$3,1,1),반품접수!$B$3:$B$1002,"&lt;="&amp;DATE($B$3,12,31)))</f>
        <v/>
      </c>
      <c r="C254" s="25" t="str">
        <f aca="false">IF($A254="","",SUMIFS(반품접수!$I$3:$I$1002,반품접수!$C$3:$C$1002,$A254,반품접수!$B$3:$B$1002,"&gt;="&amp;DATE($B$3,1,1),반품접수!$B$3:$B$1002,"&lt;="&amp;DATE($B$3,12,31)))</f>
        <v/>
      </c>
      <c r="D254" s="25" t="str">
        <f aca="false">IF($A254="","",COUNTIFS(반품접수!$C$3:$C$1002,$A254,반품접수!$O$3:$O$1002,"미처리",반품접수!$B$3:$B$1002,"&gt;="&amp;DATE($B$3,1,1),반품접수!$B$3:$B$1002,"&lt;="&amp;DATE($B$3,12,31))+COUNTIFS(반품접수!$C$3:$C$1002,$A254,반품접수!$O$3:$O$1002,"부분처리",반품접수!$B$3:$B$1002,"&gt;="&amp;DATE($B$3,1,1),반품접수!$B$3:$B$1002,"&lt;="&amp;DATE($B$3,12,31)))</f>
        <v/>
      </c>
      <c r="E254" s="25" t="str">
        <f aca="false">IF($A254="","",SUMPRODUCT((반품접수!$C$3:$C$1002=$A254)*1,IFERROR(SUMIFS(처리내역!$E$3:$E$1502,처리내역!$B$3:$B$1502,반품접수!$A$3:$A$1002,처리내역!$D$3:$D$1502,"재입고"),0)))</f>
        <v/>
      </c>
      <c r="F254" s="25" t="str">
        <f aca="false">IF($A254="","",SUMPRODUCT((반품접수!$C$3:$C$1002=$A254)*1,IFERROR(SUMIFS(처리내역!$E$3:$E$1502,처리내역!$B$3:$B$1502,반품접수!$A$3:$A$1002,처리내역!$D$3:$D$1502,"폐기"),0)))</f>
        <v/>
      </c>
      <c r="G254" s="26" t="str">
        <f aca="false">IF($A254="","",IF($B254=0,"",($B254-$D254)/$B254))</f>
        <v/>
      </c>
    </row>
    <row r="255" customFormat="false" ht="15" hidden="false" customHeight="true" outlineLevel="0" collapsed="false">
      <c r="A255" s="12" t="str">
        <f aca="false">IF(거래처목록!$A252="","",거래처목록!$A252)</f>
        <v/>
      </c>
      <c r="B255" s="25" t="str">
        <f aca="false">IF($A255="","",COUNTIFS(반품접수!$C$3:$C$1002,$A255,반품접수!$B$3:$B$1002,"&gt;="&amp;DATE($B$3,1,1),반품접수!$B$3:$B$1002,"&lt;="&amp;DATE($B$3,12,31)))</f>
        <v/>
      </c>
      <c r="C255" s="25" t="str">
        <f aca="false">IF($A255="","",SUMIFS(반품접수!$I$3:$I$1002,반품접수!$C$3:$C$1002,$A255,반품접수!$B$3:$B$1002,"&gt;="&amp;DATE($B$3,1,1),반품접수!$B$3:$B$1002,"&lt;="&amp;DATE($B$3,12,31)))</f>
        <v/>
      </c>
      <c r="D255" s="25" t="str">
        <f aca="false">IF($A255="","",COUNTIFS(반품접수!$C$3:$C$1002,$A255,반품접수!$O$3:$O$1002,"미처리",반품접수!$B$3:$B$1002,"&gt;="&amp;DATE($B$3,1,1),반품접수!$B$3:$B$1002,"&lt;="&amp;DATE($B$3,12,31))+COUNTIFS(반품접수!$C$3:$C$1002,$A255,반품접수!$O$3:$O$1002,"부분처리",반품접수!$B$3:$B$1002,"&gt;="&amp;DATE($B$3,1,1),반품접수!$B$3:$B$1002,"&lt;="&amp;DATE($B$3,12,31)))</f>
        <v/>
      </c>
      <c r="E255" s="25" t="str">
        <f aca="false">IF($A255="","",SUMPRODUCT((반품접수!$C$3:$C$1002=$A255)*1,IFERROR(SUMIFS(처리내역!$E$3:$E$1502,처리내역!$B$3:$B$1502,반품접수!$A$3:$A$1002,처리내역!$D$3:$D$1502,"재입고"),0)))</f>
        <v/>
      </c>
      <c r="F255" s="25" t="str">
        <f aca="false">IF($A255="","",SUMPRODUCT((반품접수!$C$3:$C$1002=$A255)*1,IFERROR(SUMIFS(처리내역!$E$3:$E$1502,처리내역!$B$3:$B$1502,반품접수!$A$3:$A$1002,처리내역!$D$3:$D$1502,"폐기"),0)))</f>
        <v/>
      </c>
      <c r="G255" s="26" t="str">
        <f aca="false">IF($A255="","",IF($B255=0,"",($B255-$D255)/$B255))</f>
        <v/>
      </c>
    </row>
    <row r="256" customFormat="false" ht="15" hidden="false" customHeight="true" outlineLevel="0" collapsed="false">
      <c r="A256" s="12" t="str">
        <f aca="false">IF(거래처목록!$A253="","",거래처목록!$A253)</f>
        <v/>
      </c>
      <c r="B256" s="25" t="str">
        <f aca="false">IF($A256="","",COUNTIFS(반품접수!$C$3:$C$1002,$A256,반품접수!$B$3:$B$1002,"&gt;="&amp;DATE($B$3,1,1),반품접수!$B$3:$B$1002,"&lt;="&amp;DATE($B$3,12,31)))</f>
        <v/>
      </c>
      <c r="C256" s="25" t="str">
        <f aca="false">IF($A256="","",SUMIFS(반품접수!$I$3:$I$1002,반품접수!$C$3:$C$1002,$A256,반품접수!$B$3:$B$1002,"&gt;="&amp;DATE($B$3,1,1),반품접수!$B$3:$B$1002,"&lt;="&amp;DATE($B$3,12,31)))</f>
        <v/>
      </c>
      <c r="D256" s="25" t="str">
        <f aca="false">IF($A256="","",COUNTIFS(반품접수!$C$3:$C$1002,$A256,반품접수!$O$3:$O$1002,"미처리",반품접수!$B$3:$B$1002,"&gt;="&amp;DATE($B$3,1,1),반품접수!$B$3:$B$1002,"&lt;="&amp;DATE($B$3,12,31))+COUNTIFS(반품접수!$C$3:$C$1002,$A256,반품접수!$O$3:$O$1002,"부분처리",반품접수!$B$3:$B$1002,"&gt;="&amp;DATE($B$3,1,1),반품접수!$B$3:$B$1002,"&lt;="&amp;DATE($B$3,12,31)))</f>
        <v/>
      </c>
      <c r="E256" s="25" t="str">
        <f aca="false">IF($A256="","",SUMPRODUCT((반품접수!$C$3:$C$1002=$A256)*1,IFERROR(SUMIFS(처리내역!$E$3:$E$1502,처리내역!$B$3:$B$1502,반품접수!$A$3:$A$1002,처리내역!$D$3:$D$1502,"재입고"),0)))</f>
        <v/>
      </c>
      <c r="F256" s="25" t="str">
        <f aca="false">IF($A256="","",SUMPRODUCT((반품접수!$C$3:$C$1002=$A256)*1,IFERROR(SUMIFS(처리내역!$E$3:$E$1502,처리내역!$B$3:$B$1502,반품접수!$A$3:$A$1002,처리내역!$D$3:$D$1502,"폐기"),0)))</f>
        <v/>
      </c>
      <c r="G256" s="26" t="str">
        <f aca="false">IF($A256="","",IF($B256=0,"",($B256-$D256)/$B256))</f>
        <v/>
      </c>
    </row>
    <row r="257" customFormat="false" ht="15" hidden="false" customHeight="true" outlineLevel="0" collapsed="false">
      <c r="A257" s="12" t="str">
        <f aca="false">IF(거래처목록!$A254="","",거래처목록!$A254)</f>
        <v/>
      </c>
      <c r="B257" s="25" t="str">
        <f aca="false">IF($A257="","",COUNTIFS(반품접수!$C$3:$C$1002,$A257,반품접수!$B$3:$B$1002,"&gt;="&amp;DATE($B$3,1,1),반품접수!$B$3:$B$1002,"&lt;="&amp;DATE($B$3,12,31)))</f>
        <v/>
      </c>
      <c r="C257" s="25" t="str">
        <f aca="false">IF($A257="","",SUMIFS(반품접수!$I$3:$I$1002,반품접수!$C$3:$C$1002,$A257,반품접수!$B$3:$B$1002,"&gt;="&amp;DATE($B$3,1,1),반품접수!$B$3:$B$1002,"&lt;="&amp;DATE($B$3,12,31)))</f>
        <v/>
      </c>
      <c r="D257" s="25" t="str">
        <f aca="false">IF($A257="","",COUNTIFS(반품접수!$C$3:$C$1002,$A257,반품접수!$O$3:$O$1002,"미처리",반품접수!$B$3:$B$1002,"&gt;="&amp;DATE($B$3,1,1),반품접수!$B$3:$B$1002,"&lt;="&amp;DATE($B$3,12,31))+COUNTIFS(반품접수!$C$3:$C$1002,$A257,반품접수!$O$3:$O$1002,"부분처리",반품접수!$B$3:$B$1002,"&gt;="&amp;DATE($B$3,1,1),반품접수!$B$3:$B$1002,"&lt;="&amp;DATE($B$3,12,31)))</f>
        <v/>
      </c>
      <c r="E257" s="25" t="str">
        <f aca="false">IF($A257="","",SUMPRODUCT((반품접수!$C$3:$C$1002=$A257)*1,IFERROR(SUMIFS(처리내역!$E$3:$E$1502,처리내역!$B$3:$B$1502,반품접수!$A$3:$A$1002,처리내역!$D$3:$D$1502,"재입고"),0)))</f>
        <v/>
      </c>
      <c r="F257" s="25" t="str">
        <f aca="false">IF($A257="","",SUMPRODUCT((반품접수!$C$3:$C$1002=$A257)*1,IFERROR(SUMIFS(처리내역!$E$3:$E$1502,처리내역!$B$3:$B$1502,반품접수!$A$3:$A$1002,처리내역!$D$3:$D$1502,"폐기"),0)))</f>
        <v/>
      </c>
      <c r="G257" s="26" t="str">
        <f aca="false">IF($A257="","",IF($B257=0,"",($B257-$D257)/$B257))</f>
        <v/>
      </c>
    </row>
    <row r="258" customFormat="false" ht="15" hidden="false" customHeight="true" outlineLevel="0" collapsed="false">
      <c r="A258" s="12" t="str">
        <f aca="false">IF(거래처목록!$A255="","",거래처목록!$A255)</f>
        <v/>
      </c>
      <c r="B258" s="25" t="str">
        <f aca="false">IF($A258="","",COUNTIFS(반품접수!$C$3:$C$1002,$A258,반품접수!$B$3:$B$1002,"&gt;="&amp;DATE($B$3,1,1),반품접수!$B$3:$B$1002,"&lt;="&amp;DATE($B$3,12,31)))</f>
        <v/>
      </c>
      <c r="C258" s="25" t="str">
        <f aca="false">IF($A258="","",SUMIFS(반품접수!$I$3:$I$1002,반품접수!$C$3:$C$1002,$A258,반품접수!$B$3:$B$1002,"&gt;="&amp;DATE($B$3,1,1),반품접수!$B$3:$B$1002,"&lt;="&amp;DATE($B$3,12,31)))</f>
        <v/>
      </c>
      <c r="D258" s="25" t="str">
        <f aca="false">IF($A258="","",COUNTIFS(반품접수!$C$3:$C$1002,$A258,반품접수!$O$3:$O$1002,"미처리",반품접수!$B$3:$B$1002,"&gt;="&amp;DATE($B$3,1,1),반품접수!$B$3:$B$1002,"&lt;="&amp;DATE($B$3,12,31))+COUNTIFS(반품접수!$C$3:$C$1002,$A258,반품접수!$O$3:$O$1002,"부분처리",반품접수!$B$3:$B$1002,"&gt;="&amp;DATE($B$3,1,1),반품접수!$B$3:$B$1002,"&lt;="&amp;DATE($B$3,12,31)))</f>
        <v/>
      </c>
      <c r="E258" s="25" t="str">
        <f aca="false">IF($A258="","",SUMPRODUCT((반품접수!$C$3:$C$1002=$A258)*1,IFERROR(SUMIFS(처리내역!$E$3:$E$1502,처리내역!$B$3:$B$1502,반품접수!$A$3:$A$1002,처리내역!$D$3:$D$1502,"재입고"),0)))</f>
        <v/>
      </c>
      <c r="F258" s="25" t="str">
        <f aca="false">IF($A258="","",SUMPRODUCT((반품접수!$C$3:$C$1002=$A258)*1,IFERROR(SUMIFS(처리내역!$E$3:$E$1502,처리내역!$B$3:$B$1502,반품접수!$A$3:$A$1002,처리내역!$D$3:$D$1502,"폐기"),0)))</f>
        <v/>
      </c>
      <c r="G258" s="26" t="str">
        <f aca="false">IF($A258="","",IF($B258=0,"",($B258-$D258)/$B258))</f>
        <v/>
      </c>
    </row>
    <row r="259" customFormat="false" ht="15" hidden="false" customHeight="true" outlineLevel="0" collapsed="false">
      <c r="A259" s="12" t="str">
        <f aca="false">IF(거래처목록!$A256="","",거래처목록!$A256)</f>
        <v/>
      </c>
      <c r="B259" s="25" t="str">
        <f aca="false">IF($A259="","",COUNTIFS(반품접수!$C$3:$C$1002,$A259,반품접수!$B$3:$B$1002,"&gt;="&amp;DATE($B$3,1,1),반품접수!$B$3:$B$1002,"&lt;="&amp;DATE($B$3,12,31)))</f>
        <v/>
      </c>
      <c r="C259" s="25" t="str">
        <f aca="false">IF($A259="","",SUMIFS(반품접수!$I$3:$I$1002,반품접수!$C$3:$C$1002,$A259,반품접수!$B$3:$B$1002,"&gt;="&amp;DATE($B$3,1,1),반품접수!$B$3:$B$1002,"&lt;="&amp;DATE($B$3,12,31)))</f>
        <v/>
      </c>
      <c r="D259" s="25" t="str">
        <f aca="false">IF($A259="","",COUNTIFS(반품접수!$C$3:$C$1002,$A259,반품접수!$O$3:$O$1002,"미처리",반품접수!$B$3:$B$1002,"&gt;="&amp;DATE($B$3,1,1),반품접수!$B$3:$B$1002,"&lt;="&amp;DATE($B$3,12,31))+COUNTIFS(반품접수!$C$3:$C$1002,$A259,반품접수!$O$3:$O$1002,"부분처리",반품접수!$B$3:$B$1002,"&gt;="&amp;DATE($B$3,1,1),반품접수!$B$3:$B$1002,"&lt;="&amp;DATE($B$3,12,31)))</f>
        <v/>
      </c>
      <c r="E259" s="25" t="str">
        <f aca="false">IF($A259="","",SUMPRODUCT((반품접수!$C$3:$C$1002=$A259)*1,IFERROR(SUMIFS(처리내역!$E$3:$E$1502,처리내역!$B$3:$B$1502,반품접수!$A$3:$A$1002,처리내역!$D$3:$D$1502,"재입고"),0)))</f>
        <v/>
      </c>
      <c r="F259" s="25" t="str">
        <f aca="false">IF($A259="","",SUMPRODUCT((반품접수!$C$3:$C$1002=$A259)*1,IFERROR(SUMIFS(처리내역!$E$3:$E$1502,처리내역!$B$3:$B$1502,반품접수!$A$3:$A$1002,처리내역!$D$3:$D$1502,"폐기"),0)))</f>
        <v/>
      </c>
      <c r="G259" s="26" t="str">
        <f aca="false">IF($A259="","",IF($B259=0,"",($B259-$D259)/$B259))</f>
        <v/>
      </c>
    </row>
    <row r="260" customFormat="false" ht="15" hidden="false" customHeight="true" outlineLevel="0" collapsed="false">
      <c r="A260" s="12" t="str">
        <f aca="false">IF(거래처목록!$A257="","",거래처목록!$A257)</f>
        <v/>
      </c>
      <c r="B260" s="25" t="str">
        <f aca="false">IF($A260="","",COUNTIFS(반품접수!$C$3:$C$1002,$A260,반품접수!$B$3:$B$1002,"&gt;="&amp;DATE($B$3,1,1),반품접수!$B$3:$B$1002,"&lt;="&amp;DATE($B$3,12,31)))</f>
        <v/>
      </c>
      <c r="C260" s="25" t="str">
        <f aca="false">IF($A260="","",SUMIFS(반품접수!$I$3:$I$1002,반품접수!$C$3:$C$1002,$A260,반품접수!$B$3:$B$1002,"&gt;="&amp;DATE($B$3,1,1),반품접수!$B$3:$B$1002,"&lt;="&amp;DATE($B$3,12,31)))</f>
        <v/>
      </c>
      <c r="D260" s="25" t="str">
        <f aca="false">IF($A260="","",COUNTIFS(반품접수!$C$3:$C$1002,$A260,반품접수!$O$3:$O$1002,"미처리",반품접수!$B$3:$B$1002,"&gt;="&amp;DATE($B$3,1,1),반품접수!$B$3:$B$1002,"&lt;="&amp;DATE($B$3,12,31))+COUNTIFS(반품접수!$C$3:$C$1002,$A260,반품접수!$O$3:$O$1002,"부분처리",반품접수!$B$3:$B$1002,"&gt;="&amp;DATE($B$3,1,1),반품접수!$B$3:$B$1002,"&lt;="&amp;DATE($B$3,12,31)))</f>
        <v/>
      </c>
      <c r="E260" s="25" t="str">
        <f aca="false">IF($A260="","",SUMPRODUCT((반품접수!$C$3:$C$1002=$A260)*1,IFERROR(SUMIFS(처리내역!$E$3:$E$1502,처리내역!$B$3:$B$1502,반품접수!$A$3:$A$1002,처리내역!$D$3:$D$1502,"재입고"),0)))</f>
        <v/>
      </c>
      <c r="F260" s="25" t="str">
        <f aca="false">IF($A260="","",SUMPRODUCT((반품접수!$C$3:$C$1002=$A260)*1,IFERROR(SUMIFS(처리내역!$E$3:$E$1502,처리내역!$B$3:$B$1502,반품접수!$A$3:$A$1002,처리내역!$D$3:$D$1502,"폐기"),0)))</f>
        <v/>
      </c>
      <c r="G260" s="26" t="str">
        <f aca="false">IF($A260="","",IF($B260=0,"",($B260-$D260)/$B260))</f>
        <v/>
      </c>
    </row>
    <row r="261" customFormat="false" ht="15" hidden="false" customHeight="true" outlineLevel="0" collapsed="false">
      <c r="A261" s="12" t="str">
        <f aca="false">IF(거래처목록!$A258="","",거래처목록!$A258)</f>
        <v/>
      </c>
      <c r="B261" s="25" t="str">
        <f aca="false">IF($A261="","",COUNTIFS(반품접수!$C$3:$C$1002,$A261,반품접수!$B$3:$B$1002,"&gt;="&amp;DATE($B$3,1,1),반품접수!$B$3:$B$1002,"&lt;="&amp;DATE($B$3,12,31)))</f>
        <v/>
      </c>
      <c r="C261" s="25" t="str">
        <f aca="false">IF($A261="","",SUMIFS(반품접수!$I$3:$I$1002,반품접수!$C$3:$C$1002,$A261,반품접수!$B$3:$B$1002,"&gt;="&amp;DATE($B$3,1,1),반품접수!$B$3:$B$1002,"&lt;="&amp;DATE($B$3,12,31)))</f>
        <v/>
      </c>
      <c r="D261" s="25" t="str">
        <f aca="false">IF($A261="","",COUNTIFS(반품접수!$C$3:$C$1002,$A261,반품접수!$O$3:$O$1002,"미처리",반품접수!$B$3:$B$1002,"&gt;="&amp;DATE($B$3,1,1),반품접수!$B$3:$B$1002,"&lt;="&amp;DATE($B$3,12,31))+COUNTIFS(반품접수!$C$3:$C$1002,$A261,반품접수!$O$3:$O$1002,"부분처리",반품접수!$B$3:$B$1002,"&gt;="&amp;DATE($B$3,1,1),반품접수!$B$3:$B$1002,"&lt;="&amp;DATE($B$3,12,31)))</f>
        <v/>
      </c>
      <c r="E261" s="25" t="str">
        <f aca="false">IF($A261="","",SUMPRODUCT((반품접수!$C$3:$C$1002=$A261)*1,IFERROR(SUMIFS(처리내역!$E$3:$E$1502,처리내역!$B$3:$B$1502,반품접수!$A$3:$A$1002,처리내역!$D$3:$D$1502,"재입고"),0)))</f>
        <v/>
      </c>
      <c r="F261" s="25" t="str">
        <f aca="false">IF($A261="","",SUMPRODUCT((반품접수!$C$3:$C$1002=$A261)*1,IFERROR(SUMIFS(처리내역!$E$3:$E$1502,처리내역!$B$3:$B$1502,반품접수!$A$3:$A$1002,처리내역!$D$3:$D$1502,"폐기"),0)))</f>
        <v/>
      </c>
      <c r="G261" s="26" t="str">
        <f aca="false">IF($A261="","",IF($B261=0,"",($B261-$D261)/$B261))</f>
        <v/>
      </c>
    </row>
    <row r="262" customFormat="false" ht="15" hidden="false" customHeight="true" outlineLevel="0" collapsed="false">
      <c r="A262" s="12" t="str">
        <f aca="false">IF(거래처목록!$A259="","",거래처목록!$A259)</f>
        <v/>
      </c>
      <c r="B262" s="25" t="str">
        <f aca="false">IF($A262="","",COUNTIFS(반품접수!$C$3:$C$1002,$A262,반품접수!$B$3:$B$1002,"&gt;="&amp;DATE($B$3,1,1),반품접수!$B$3:$B$1002,"&lt;="&amp;DATE($B$3,12,31)))</f>
        <v/>
      </c>
      <c r="C262" s="25" t="str">
        <f aca="false">IF($A262="","",SUMIFS(반품접수!$I$3:$I$1002,반품접수!$C$3:$C$1002,$A262,반품접수!$B$3:$B$1002,"&gt;="&amp;DATE($B$3,1,1),반품접수!$B$3:$B$1002,"&lt;="&amp;DATE($B$3,12,31)))</f>
        <v/>
      </c>
      <c r="D262" s="25" t="str">
        <f aca="false">IF($A262="","",COUNTIFS(반품접수!$C$3:$C$1002,$A262,반품접수!$O$3:$O$1002,"미처리",반품접수!$B$3:$B$1002,"&gt;="&amp;DATE($B$3,1,1),반품접수!$B$3:$B$1002,"&lt;="&amp;DATE($B$3,12,31))+COUNTIFS(반품접수!$C$3:$C$1002,$A262,반품접수!$O$3:$O$1002,"부분처리",반품접수!$B$3:$B$1002,"&gt;="&amp;DATE($B$3,1,1),반품접수!$B$3:$B$1002,"&lt;="&amp;DATE($B$3,12,31)))</f>
        <v/>
      </c>
      <c r="E262" s="25" t="str">
        <f aca="false">IF($A262="","",SUMPRODUCT((반품접수!$C$3:$C$1002=$A262)*1,IFERROR(SUMIFS(처리내역!$E$3:$E$1502,처리내역!$B$3:$B$1502,반품접수!$A$3:$A$1002,처리내역!$D$3:$D$1502,"재입고"),0)))</f>
        <v/>
      </c>
      <c r="F262" s="25" t="str">
        <f aca="false">IF($A262="","",SUMPRODUCT((반품접수!$C$3:$C$1002=$A262)*1,IFERROR(SUMIFS(처리내역!$E$3:$E$1502,처리내역!$B$3:$B$1502,반품접수!$A$3:$A$1002,처리내역!$D$3:$D$1502,"폐기"),0)))</f>
        <v/>
      </c>
      <c r="G262" s="26" t="str">
        <f aca="false">IF($A262="","",IF($B262=0,"",($B262-$D262)/$B262))</f>
        <v/>
      </c>
    </row>
    <row r="263" customFormat="false" ht="15" hidden="false" customHeight="true" outlineLevel="0" collapsed="false">
      <c r="A263" s="12" t="str">
        <f aca="false">IF(거래처목록!$A260="","",거래처목록!$A260)</f>
        <v/>
      </c>
      <c r="B263" s="25" t="str">
        <f aca="false">IF($A263="","",COUNTIFS(반품접수!$C$3:$C$1002,$A263,반품접수!$B$3:$B$1002,"&gt;="&amp;DATE($B$3,1,1),반품접수!$B$3:$B$1002,"&lt;="&amp;DATE($B$3,12,31)))</f>
        <v/>
      </c>
      <c r="C263" s="25" t="str">
        <f aca="false">IF($A263="","",SUMIFS(반품접수!$I$3:$I$1002,반품접수!$C$3:$C$1002,$A263,반품접수!$B$3:$B$1002,"&gt;="&amp;DATE($B$3,1,1),반품접수!$B$3:$B$1002,"&lt;="&amp;DATE($B$3,12,31)))</f>
        <v/>
      </c>
      <c r="D263" s="25" t="str">
        <f aca="false">IF($A263="","",COUNTIFS(반품접수!$C$3:$C$1002,$A263,반품접수!$O$3:$O$1002,"미처리",반품접수!$B$3:$B$1002,"&gt;="&amp;DATE($B$3,1,1),반품접수!$B$3:$B$1002,"&lt;="&amp;DATE($B$3,12,31))+COUNTIFS(반품접수!$C$3:$C$1002,$A263,반품접수!$O$3:$O$1002,"부분처리",반품접수!$B$3:$B$1002,"&gt;="&amp;DATE($B$3,1,1),반품접수!$B$3:$B$1002,"&lt;="&amp;DATE($B$3,12,31)))</f>
        <v/>
      </c>
      <c r="E263" s="25" t="str">
        <f aca="false">IF($A263="","",SUMPRODUCT((반품접수!$C$3:$C$1002=$A263)*1,IFERROR(SUMIFS(처리내역!$E$3:$E$1502,처리내역!$B$3:$B$1502,반품접수!$A$3:$A$1002,처리내역!$D$3:$D$1502,"재입고"),0)))</f>
        <v/>
      </c>
      <c r="F263" s="25" t="str">
        <f aca="false">IF($A263="","",SUMPRODUCT((반품접수!$C$3:$C$1002=$A263)*1,IFERROR(SUMIFS(처리내역!$E$3:$E$1502,처리내역!$B$3:$B$1502,반품접수!$A$3:$A$1002,처리내역!$D$3:$D$1502,"폐기"),0)))</f>
        <v/>
      </c>
      <c r="G263" s="26" t="str">
        <f aca="false">IF($A263="","",IF($B263=0,"",($B263-$D263)/$B263))</f>
        <v/>
      </c>
    </row>
    <row r="264" customFormat="false" ht="15" hidden="false" customHeight="true" outlineLevel="0" collapsed="false">
      <c r="A264" s="12" t="str">
        <f aca="false">IF(거래처목록!$A261="","",거래처목록!$A261)</f>
        <v/>
      </c>
      <c r="B264" s="25" t="str">
        <f aca="false">IF($A264="","",COUNTIFS(반품접수!$C$3:$C$1002,$A264,반품접수!$B$3:$B$1002,"&gt;="&amp;DATE($B$3,1,1),반품접수!$B$3:$B$1002,"&lt;="&amp;DATE($B$3,12,31)))</f>
        <v/>
      </c>
      <c r="C264" s="25" t="str">
        <f aca="false">IF($A264="","",SUMIFS(반품접수!$I$3:$I$1002,반품접수!$C$3:$C$1002,$A264,반품접수!$B$3:$B$1002,"&gt;="&amp;DATE($B$3,1,1),반품접수!$B$3:$B$1002,"&lt;="&amp;DATE($B$3,12,31)))</f>
        <v/>
      </c>
      <c r="D264" s="25" t="str">
        <f aca="false">IF($A264="","",COUNTIFS(반품접수!$C$3:$C$1002,$A264,반품접수!$O$3:$O$1002,"미처리",반품접수!$B$3:$B$1002,"&gt;="&amp;DATE($B$3,1,1),반품접수!$B$3:$B$1002,"&lt;="&amp;DATE($B$3,12,31))+COUNTIFS(반품접수!$C$3:$C$1002,$A264,반품접수!$O$3:$O$1002,"부분처리",반품접수!$B$3:$B$1002,"&gt;="&amp;DATE($B$3,1,1),반품접수!$B$3:$B$1002,"&lt;="&amp;DATE($B$3,12,31)))</f>
        <v/>
      </c>
      <c r="E264" s="25" t="str">
        <f aca="false">IF($A264="","",SUMPRODUCT((반품접수!$C$3:$C$1002=$A264)*1,IFERROR(SUMIFS(처리내역!$E$3:$E$1502,처리내역!$B$3:$B$1502,반품접수!$A$3:$A$1002,처리내역!$D$3:$D$1502,"재입고"),0)))</f>
        <v/>
      </c>
      <c r="F264" s="25" t="str">
        <f aca="false">IF($A264="","",SUMPRODUCT((반품접수!$C$3:$C$1002=$A264)*1,IFERROR(SUMIFS(처리내역!$E$3:$E$1502,처리내역!$B$3:$B$1502,반품접수!$A$3:$A$1002,처리내역!$D$3:$D$1502,"폐기"),0)))</f>
        <v/>
      </c>
      <c r="G264" s="26" t="str">
        <f aca="false">IF($A264="","",IF($B264=0,"",($B264-$D264)/$B264))</f>
        <v/>
      </c>
    </row>
    <row r="265" customFormat="false" ht="15" hidden="false" customHeight="true" outlineLevel="0" collapsed="false">
      <c r="A265" s="12" t="str">
        <f aca="false">IF(거래처목록!$A262="","",거래처목록!$A262)</f>
        <v/>
      </c>
      <c r="B265" s="25" t="str">
        <f aca="false">IF($A265="","",COUNTIFS(반품접수!$C$3:$C$1002,$A265,반품접수!$B$3:$B$1002,"&gt;="&amp;DATE($B$3,1,1),반품접수!$B$3:$B$1002,"&lt;="&amp;DATE($B$3,12,31)))</f>
        <v/>
      </c>
      <c r="C265" s="25" t="str">
        <f aca="false">IF($A265="","",SUMIFS(반품접수!$I$3:$I$1002,반품접수!$C$3:$C$1002,$A265,반품접수!$B$3:$B$1002,"&gt;="&amp;DATE($B$3,1,1),반품접수!$B$3:$B$1002,"&lt;="&amp;DATE($B$3,12,31)))</f>
        <v/>
      </c>
      <c r="D265" s="25" t="str">
        <f aca="false">IF($A265="","",COUNTIFS(반품접수!$C$3:$C$1002,$A265,반품접수!$O$3:$O$1002,"미처리",반품접수!$B$3:$B$1002,"&gt;="&amp;DATE($B$3,1,1),반품접수!$B$3:$B$1002,"&lt;="&amp;DATE($B$3,12,31))+COUNTIFS(반품접수!$C$3:$C$1002,$A265,반품접수!$O$3:$O$1002,"부분처리",반품접수!$B$3:$B$1002,"&gt;="&amp;DATE($B$3,1,1),반품접수!$B$3:$B$1002,"&lt;="&amp;DATE($B$3,12,31)))</f>
        <v/>
      </c>
      <c r="E265" s="25" t="str">
        <f aca="false">IF($A265="","",SUMPRODUCT((반품접수!$C$3:$C$1002=$A265)*1,IFERROR(SUMIFS(처리내역!$E$3:$E$1502,처리내역!$B$3:$B$1502,반품접수!$A$3:$A$1002,처리내역!$D$3:$D$1502,"재입고"),0)))</f>
        <v/>
      </c>
      <c r="F265" s="25" t="str">
        <f aca="false">IF($A265="","",SUMPRODUCT((반품접수!$C$3:$C$1002=$A265)*1,IFERROR(SUMIFS(처리내역!$E$3:$E$1502,처리내역!$B$3:$B$1502,반품접수!$A$3:$A$1002,처리내역!$D$3:$D$1502,"폐기"),0)))</f>
        <v/>
      </c>
      <c r="G265" s="26" t="str">
        <f aca="false">IF($A265="","",IF($B265=0,"",($B265-$D265)/$B265))</f>
        <v/>
      </c>
    </row>
    <row r="266" customFormat="false" ht="15" hidden="false" customHeight="true" outlineLevel="0" collapsed="false">
      <c r="A266" s="12" t="str">
        <f aca="false">IF(거래처목록!$A263="","",거래처목록!$A263)</f>
        <v/>
      </c>
      <c r="B266" s="25" t="str">
        <f aca="false">IF($A266="","",COUNTIFS(반품접수!$C$3:$C$1002,$A266,반품접수!$B$3:$B$1002,"&gt;="&amp;DATE($B$3,1,1),반품접수!$B$3:$B$1002,"&lt;="&amp;DATE($B$3,12,31)))</f>
        <v/>
      </c>
      <c r="C266" s="25" t="str">
        <f aca="false">IF($A266="","",SUMIFS(반품접수!$I$3:$I$1002,반품접수!$C$3:$C$1002,$A266,반품접수!$B$3:$B$1002,"&gt;="&amp;DATE($B$3,1,1),반품접수!$B$3:$B$1002,"&lt;="&amp;DATE($B$3,12,31)))</f>
        <v/>
      </c>
      <c r="D266" s="25" t="str">
        <f aca="false">IF($A266="","",COUNTIFS(반품접수!$C$3:$C$1002,$A266,반품접수!$O$3:$O$1002,"미처리",반품접수!$B$3:$B$1002,"&gt;="&amp;DATE($B$3,1,1),반품접수!$B$3:$B$1002,"&lt;="&amp;DATE($B$3,12,31))+COUNTIFS(반품접수!$C$3:$C$1002,$A266,반품접수!$O$3:$O$1002,"부분처리",반품접수!$B$3:$B$1002,"&gt;="&amp;DATE($B$3,1,1),반품접수!$B$3:$B$1002,"&lt;="&amp;DATE($B$3,12,31)))</f>
        <v/>
      </c>
      <c r="E266" s="25" t="str">
        <f aca="false">IF($A266="","",SUMPRODUCT((반품접수!$C$3:$C$1002=$A266)*1,IFERROR(SUMIFS(처리내역!$E$3:$E$1502,처리내역!$B$3:$B$1502,반품접수!$A$3:$A$1002,처리내역!$D$3:$D$1502,"재입고"),0)))</f>
        <v/>
      </c>
      <c r="F266" s="25" t="str">
        <f aca="false">IF($A266="","",SUMPRODUCT((반품접수!$C$3:$C$1002=$A266)*1,IFERROR(SUMIFS(처리내역!$E$3:$E$1502,처리내역!$B$3:$B$1502,반품접수!$A$3:$A$1002,처리내역!$D$3:$D$1502,"폐기"),0)))</f>
        <v/>
      </c>
      <c r="G266" s="26" t="str">
        <f aca="false">IF($A266="","",IF($B266=0,"",($B266-$D266)/$B266))</f>
        <v/>
      </c>
    </row>
    <row r="267" customFormat="false" ht="15" hidden="false" customHeight="true" outlineLevel="0" collapsed="false">
      <c r="A267" s="12" t="str">
        <f aca="false">IF(거래처목록!$A264="","",거래처목록!$A264)</f>
        <v/>
      </c>
      <c r="B267" s="25" t="str">
        <f aca="false">IF($A267="","",COUNTIFS(반품접수!$C$3:$C$1002,$A267,반품접수!$B$3:$B$1002,"&gt;="&amp;DATE($B$3,1,1),반품접수!$B$3:$B$1002,"&lt;="&amp;DATE($B$3,12,31)))</f>
        <v/>
      </c>
      <c r="C267" s="25" t="str">
        <f aca="false">IF($A267="","",SUMIFS(반품접수!$I$3:$I$1002,반품접수!$C$3:$C$1002,$A267,반품접수!$B$3:$B$1002,"&gt;="&amp;DATE($B$3,1,1),반품접수!$B$3:$B$1002,"&lt;="&amp;DATE($B$3,12,31)))</f>
        <v/>
      </c>
      <c r="D267" s="25" t="str">
        <f aca="false">IF($A267="","",COUNTIFS(반품접수!$C$3:$C$1002,$A267,반품접수!$O$3:$O$1002,"미처리",반품접수!$B$3:$B$1002,"&gt;="&amp;DATE($B$3,1,1),반품접수!$B$3:$B$1002,"&lt;="&amp;DATE($B$3,12,31))+COUNTIFS(반품접수!$C$3:$C$1002,$A267,반품접수!$O$3:$O$1002,"부분처리",반품접수!$B$3:$B$1002,"&gt;="&amp;DATE($B$3,1,1),반품접수!$B$3:$B$1002,"&lt;="&amp;DATE($B$3,12,31)))</f>
        <v/>
      </c>
      <c r="E267" s="25" t="str">
        <f aca="false">IF($A267="","",SUMPRODUCT((반품접수!$C$3:$C$1002=$A267)*1,IFERROR(SUMIFS(처리내역!$E$3:$E$1502,처리내역!$B$3:$B$1502,반품접수!$A$3:$A$1002,처리내역!$D$3:$D$1502,"재입고"),0)))</f>
        <v/>
      </c>
      <c r="F267" s="25" t="str">
        <f aca="false">IF($A267="","",SUMPRODUCT((반품접수!$C$3:$C$1002=$A267)*1,IFERROR(SUMIFS(처리내역!$E$3:$E$1502,처리내역!$B$3:$B$1502,반품접수!$A$3:$A$1002,처리내역!$D$3:$D$1502,"폐기"),0)))</f>
        <v/>
      </c>
      <c r="G267" s="26" t="str">
        <f aca="false">IF($A267="","",IF($B267=0,"",($B267-$D267)/$B267))</f>
        <v/>
      </c>
    </row>
    <row r="268" customFormat="false" ht="15" hidden="false" customHeight="true" outlineLevel="0" collapsed="false">
      <c r="A268" s="12" t="str">
        <f aca="false">IF(거래처목록!$A265="","",거래처목록!$A265)</f>
        <v/>
      </c>
      <c r="B268" s="25" t="str">
        <f aca="false">IF($A268="","",COUNTIFS(반품접수!$C$3:$C$1002,$A268,반품접수!$B$3:$B$1002,"&gt;="&amp;DATE($B$3,1,1),반품접수!$B$3:$B$1002,"&lt;="&amp;DATE($B$3,12,31)))</f>
        <v/>
      </c>
      <c r="C268" s="25" t="str">
        <f aca="false">IF($A268="","",SUMIFS(반품접수!$I$3:$I$1002,반품접수!$C$3:$C$1002,$A268,반품접수!$B$3:$B$1002,"&gt;="&amp;DATE($B$3,1,1),반품접수!$B$3:$B$1002,"&lt;="&amp;DATE($B$3,12,31)))</f>
        <v/>
      </c>
      <c r="D268" s="25" t="str">
        <f aca="false">IF($A268="","",COUNTIFS(반품접수!$C$3:$C$1002,$A268,반품접수!$O$3:$O$1002,"미처리",반품접수!$B$3:$B$1002,"&gt;="&amp;DATE($B$3,1,1),반품접수!$B$3:$B$1002,"&lt;="&amp;DATE($B$3,12,31))+COUNTIFS(반품접수!$C$3:$C$1002,$A268,반품접수!$O$3:$O$1002,"부분처리",반품접수!$B$3:$B$1002,"&gt;="&amp;DATE($B$3,1,1),반품접수!$B$3:$B$1002,"&lt;="&amp;DATE($B$3,12,31)))</f>
        <v/>
      </c>
      <c r="E268" s="25" t="str">
        <f aca="false">IF($A268="","",SUMPRODUCT((반품접수!$C$3:$C$1002=$A268)*1,IFERROR(SUMIFS(처리내역!$E$3:$E$1502,처리내역!$B$3:$B$1502,반품접수!$A$3:$A$1002,처리내역!$D$3:$D$1502,"재입고"),0)))</f>
        <v/>
      </c>
      <c r="F268" s="25" t="str">
        <f aca="false">IF($A268="","",SUMPRODUCT((반품접수!$C$3:$C$1002=$A268)*1,IFERROR(SUMIFS(처리내역!$E$3:$E$1502,처리내역!$B$3:$B$1502,반품접수!$A$3:$A$1002,처리내역!$D$3:$D$1502,"폐기"),0)))</f>
        <v/>
      </c>
      <c r="G268" s="26" t="str">
        <f aca="false">IF($A268="","",IF($B268=0,"",($B268-$D268)/$B268))</f>
        <v/>
      </c>
    </row>
    <row r="269" customFormat="false" ht="15" hidden="false" customHeight="true" outlineLevel="0" collapsed="false">
      <c r="A269" s="12" t="str">
        <f aca="false">IF(거래처목록!$A266="","",거래처목록!$A266)</f>
        <v/>
      </c>
      <c r="B269" s="25" t="str">
        <f aca="false">IF($A269="","",COUNTIFS(반품접수!$C$3:$C$1002,$A269,반품접수!$B$3:$B$1002,"&gt;="&amp;DATE($B$3,1,1),반품접수!$B$3:$B$1002,"&lt;="&amp;DATE($B$3,12,31)))</f>
        <v/>
      </c>
      <c r="C269" s="25" t="str">
        <f aca="false">IF($A269="","",SUMIFS(반품접수!$I$3:$I$1002,반품접수!$C$3:$C$1002,$A269,반품접수!$B$3:$B$1002,"&gt;="&amp;DATE($B$3,1,1),반품접수!$B$3:$B$1002,"&lt;="&amp;DATE($B$3,12,31)))</f>
        <v/>
      </c>
      <c r="D269" s="25" t="str">
        <f aca="false">IF($A269="","",COUNTIFS(반품접수!$C$3:$C$1002,$A269,반품접수!$O$3:$O$1002,"미처리",반품접수!$B$3:$B$1002,"&gt;="&amp;DATE($B$3,1,1),반품접수!$B$3:$B$1002,"&lt;="&amp;DATE($B$3,12,31))+COUNTIFS(반품접수!$C$3:$C$1002,$A269,반품접수!$O$3:$O$1002,"부분처리",반품접수!$B$3:$B$1002,"&gt;="&amp;DATE($B$3,1,1),반품접수!$B$3:$B$1002,"&lt;="&amp;DATE($B$3,12,31)))</f>
        <v/>
      </c>
      <c r="E269" s="25" t="str">
        <f aca="false">IF($A269="","",SUMPRODUCT((반품접수!$C$3:$C$1002=$A269)*1,IFERROR(SUMIFS(처리내역!$E$3:$E$1502,처리내역!$B$3:$B$1502,반품접수!$A$3:$A$1002,처리내역!$D$3:$D$1502,"재입고"),0)))</f>
        <v/>
      </c>
      <c r="F269" s="25" t="str">
        <f aca="false">IF($A269="","",SUMPRODUCT((반품접수!$C$3:$C$1002=$A269)*1,IFERROR(SUMIFS(처리내역!$E$3:$E$1502,처리내역!$B$3:$B$1502,반품접수!$A$3:$A$1002,처리내역!$D$3:$D$1502,"폐기"),0)))</f>
        <v/>
      </c>
      <c r="G269" s="26" t="str">
        <f aca="false">IF($A269="","",IF($B269=0,"",($B269-$D269)/$B269))</f>
        <v/>
      </c>
    </row>
    <row r="270" customFormat="false" ht="15" hidden="false" customHeight="true" outlineLevel="0" collapsed="false">
      <c r="A270" s="12" t="str">
        <f aca="false">IF(거래처목록!$A267="","",거래처목록!$A267)</f>
        <v/>
      </c>
      <c r="B270" s="25" t="str">
        <f aca="false">IF($A270="","",COUNTIFS(반품접수!$C$3:$C$1002,$A270,반품접수!$B$3:$B$1002,"&gt;="&amp;DATE($B$3,1,1),반품접수!$B$3:$B$1002,"&lt;="&amp;DATE($B$3,12,31)))</f>
        <v/>
      </c>
      <c r="C270" s="25" t="str">
        <f aca="false">IF($A270="","",SUMIFS(반품접수!$I$3:$I$1002,반품접수!$C$3:$C$1002,$A270,반품접수!$B$3:$B$1002,"&gt;="&amp;DATE($B$3,1,1),반품접수!$B$3:$B$1002,"&lt;="&amp;DATE($B$3,12,31)))</f>
        <v/>
      </c>
      <c r="D270" s="25" t="str">
        <f aca="false">IF($A270="","",COUNTIFS(반품접수!$C$3:$C$1002,$A270,반품접수!$O$3:$O$1002,"미처리",반품접수!$B$3:$B$1002,"&gt;="&amp;DATE($B$3,1,1),반품접수!$B$3:$B$1002,"&lt;="&amp;DATE($B$3,12,31))+COUNTIFS(반품접수!$C$3:$C$1002,$A270,반품접수!$O$3:$O$1002,"부분처리",반품접수!$B$3:$B$1002,"&gt;="&amp;DATE($B$3,1,1),반품접수!$B$3:$B$1002,"&lt;="&amp;DATE($B$3,12,31)))</f>
        <v/>
      </c>
      <c r="E270" s="25" t="str">
        <f aca="false">IF($A270="","",SUMPRODUCT((반품접수!$C$3:$C$1002=$A270)*1,IFERROR(SUMIFS(처리내역!$E$3:$E$1502,처리내역!$B$3:$B$1502,반품접수!$A$3:$A$1002,처리내역!$D$3:$D$1502,"재입고"),0)))</f>
        <v/>
      </c>
      <c r="F270" s="25" t="str">
        <f aca="false">IF($A270="","",SUMPRODUCT((반품접수!$C$3:$C$1002=$A270)*1,IFERROR(SUMIFS(처리내역!$E$3:$E$1502,처리내역!$B$3:$B$1502,반품접수!$A$3:$A$1002,처리내역!$D$3:$D$1502,"폐기"),0)))</f>
        <v/>
      </c>
      <c r="G270" s="26" t="str">
        <f aca="false">IF($A270="","",IF($B270=0,"",($B270-$D270)/$B270))</f>
        <v/>
      </c>
    </row>
    <row r="271" customFormat="false" ht="15" hidden="false" customHeight="true" outlineLevel="0" collapsed="false">
      <c r="A271" s="12" t="str">
        <f aca="false">IF(거래처목록!$A268="","",거래처목록!$A268)</f>
        <v/>
      </c>
      <c r="B271" s="25" t="str">
        <f aca="false">IF($A271="","",COUNTIFS(반품접수!$C$3:$C$1002,$A271,반품접수!$B$3:$B$1002,"&gt;="&amp;DATE($B$3,1,1),반품접수!$B$3:$B$1002,"&lt;="&amp;DATE($B$3,12,31)))</f>
        <v/>
      </c>
      <c r="C271" s="25" t="str">
        <f aca="false">IF($A271="","",SUMIFS(반품접수!$I$3:$I$1002,반품접수!$C$3:$C$1002,$A271,반품접수!$B$3:$B$1002,"&gt;="&amp;DATE($B$3,1,1),반품접수!$B$3:$B$1002,"&lt;="&amp;DATE($B$3,12,31)))</f>
        <v/>
      </c>
      <c r="D271" s="25" t="str">
        <f aca="false">IF($A271="","",COUNTIFS(반품접수!$C$3:$C$1002,$A271,반품접수!$O$3:$O$1002,"미처리",반품접수!$B$3:$B$1002,"&gt;="&amp;DATE($B$3,1,1),반품접수!$B$3:$B$1002,"&lt;="&amp;DATE($B$3,12,31))+COUNTIFS(반품접수!$C$3:$C$1002,$A271,반품접수!$O$3:$O$1002,"부분처리",반품접수!$B$3:$B$1002,"&gt;="&amp;DATE($B$3,1,1),반품접수!$B$3:$B$1002,"&lt;="&amp;DATE($B$3,12,31)))</f>
        <v/>
      </c>
      <c r="E271" s="25" t="str">
        <f aca="false">IF($A271="","",SUMPRODUCT((반품접수!$C$3:$C$1002=$A271)*1,IFERROR(SUMIFS(처리내역!$E$3:$E$1502,처리내역!$B$3:$B$1502,반품접수!$A$3:$A$1002,처리내역!$D$3:$D$1502,"재입고"),0)))</f>
        <v/>
      </c>
      <c r="F271" s="25" t="str">
        <f aca="false">IF($A271="","",SUMPRODUCT((반품접수!$C$3:$C$1002=$A271)*1,IFERROR(SUMIFS(처리내역!$E$3:$E$1502,처리내역!$B$3:$B$1502,반품접수!$A$3:$A$1002,처리내역!$D$3:$D$1502,"폐기"),0)))</f>
        <v/>
      </c>
      <c r="G271" s="26" t="str">
        <f aca="false">IF($A271="","",IF($B271=0,"",($B271-$D271)/$B271))</f>
        <v/>
      </c>
    </row>
    <row r="272" customFormat="false" ht="15" hidden="false" customHeight="true" outlineLevel="0" collapsed="false">
      <c r="A272" s="12" t="str">
        <f aca="false">IF(거래처목록!$A269="","",거래처목록!$A269)</f>
        <v/>
      </c>
      <c r="B272" s="25" t="str">
        <f aca="false">IF($A272="","",COUNTIFS(반품접수!$C$3:$C$1002,$A272,반품접수!$B$3:$B$1002,"&gt;="&amp;DATE($B$3,1,1),반품접수!$B$3:$B$1002,"&lt;="&amp;DATE($B$3,12,31)))</f>
        <v/>
      </c>
      <c r="C272" s="25" t="str">
        <f aca="false">IF($A272="","",SUMIFS(반품접수!$I$3:$I$1002,반품접수!$C$3:$C$1002,$A272,반품접수!$B$3:$B$1002,"&gt;="&amp;DATE($B$3,1,1),반품접수!$B$3:$B$1002,"&lt;="&amp;DATE($B$3,12,31)))</f>
        <v/>
      </c>
      <c r="D272" s="25" t="str">
        <f aca="false">IF($A272="","",COUNTIFS(반품접수!$C$3:$C$1002,$A272,반품접수!$O$3:$O$1002,"미처리",반품접수!$B$3:$B$1002,"&gt;="&amp;DATE($B$3,1,1),반품접수!$B$3:$B$1002,"&lt;="&amp;DATE($B$3,12,31))+COUNTIFS(반품접수!$C$3:$C$1002,$A272,반품접수!$O$3:$O$1002,"부분처리",반품접수!$B$3:$B$1002,"&gt;="&amp;DATE($B$3,1,1),반품접수!$B$3:$B$1002,"&lt;="&amp;DATE($B$3,12,31)))</f>
        <v/>
      </c>
      <c r="E272" s="25" t="str">
        <f aca="false">IF($A272="","",SUMPRODUCT((반품접수!$C$3:$C$1002=$A272)*1,IFERROR(SUMIFS(처리내역!$E$3:$E$1502,처리내역!$B$3:$B$1502,반품접수!$A$3:$A$1002,처리내역!$D$3:$D$1502,"재입고"),0)))</f>
        <v/>
      </c>
      <c r="F272" s="25" t="str">
        <f aca="false">IF($A272="","",SUMPRODUCT((반품접수!$C$3:$C$1002=$A272)*1,IFERROR(SUMIFS(처리내역!$E$3:$E$1502,처리내역!$B$3:$B$1502,반품접수!$A$3:$A$1002,처리내역!$D$3:$D$1502,"폐기"),0)))</f>
        <v/>
      </c>
      <c r="G272" s="26" t="str">
        <f aca="false">IF($A272="","",IF($B272=0,"",($B272-$D272)/$B272))</f>
        <v/>
      </c>
    </row>
    <row r="273" customFormat="false" ht="15" hidden="false" customHeight="true" outlineLevel="0" collapsed="false">
      <c r="A273" s="12" t="str">
        <f aca="false">IF(거래처목록!$A270="","",거래처목록!$A270)</f>
        <v/>
      </c>
      <c r="B273" s="25" t="str">
        <f aca="false">IF($A273="","",COUNTIFS(반품접수!$C$3:$C$1002,$A273,반품접수!$B$3:$B$1002,"&gt;="&amp;DATE($B$3,1,1),반품접수!$B$3:$B$1002,"&lt;="&amp;DATE($B$3,12,31)))</f>
        <v/>
      </c>
      <c r="C273" s="25" t="str">
        <f aca="false">IF($A273="","",SUMIFS(반품접수!$I$3:$I$1002,반품접수!$C$3:$C$1002,$A273,반품접수!$B$3:$B$1002,"&gt;="&amp;DATE($B$3,1,1),반품접수!$B$3:$B$1002,"&lt;="&amp;DATE($B$3,12,31)))</f>
        <v/>
      </c>
      <c r="D273" s="25" t="str">
        <f aca="false">IF($A273="","",COUNTIFS(반품접수!$C$3:$C$1002,$A273,반품접수!$O$3:$O$1002,"미처리",반품접수!$B$3:$B$1002,"&gt;="&amp;DATE($B$3,1,1),반품접수!$B$3:$B$1002,"&lt;="&amp;DATE($B$3,12,31))+COUNTIFS(반품접수!$C$3:$C$1002,$A273,반품접수!$O$3:$O$1002,"부분처리",반품접수!$B$3:$B$1002,"&gt;="&amp;DATE($B$3,1,1),반품접수!$B$3:$B$1002,"&lt;="&amp;DATE($B$3,12,31)))</f>
        <v/>
      </c>
      <c r="E273" s="25" t="str">
        <f aca="false">IF($A273="","",SUMPRODUCT((반품접수!$C$3:$C$1002=$A273)*1,IFERROR(SUMIFS(처리내역!$E$3:$E$1502,처리내역!$B$3:$B$1502,반품접수!$A$3:$A$1002,처리내역!$D$3:$D$1502,"재입고"),0)))</f>
        <v/>
      </c>
      <c r="F273" s="25" t="str">
        <f aca="false">IF($A273="","",SUMPRODUCT((반품접수!$C$3:$C$1002=$A273)*1,IFERROR(SUMIFS(처리내역!$E$3:$E$1502,처리내역!$B$3:$B$1502,반품접수!$A$3:$A$1002,처리내역!$D$3:$D$1502,"폐기"),0)))</f>
        <v/>
      </c>
      <c r="G273" s="26" t="str">
        <f aca="false">IF($A273="","",IF($B273=0,"",($B273-$D273)/$B273))</f>
        <v/>
      </c>
    </row>
    <row r="274" customFormat="false" ht="15" hidden="false" customHeight="true" outlineLevel="0" collapsed="false">
      <c r="A274" s="12" t="str">
        <f aca="false">IF(거래처목록!$A271="","",거래처목록!$A271)</f>
        <v/>
      </c>
      <c r="B274" s="25" t="str">
        <f aca="false">IF($A274="","",COUNTIFS(반품접수!$C$3:$C$1002,$A274,반품접수!$B$3:$B$1002,"&gt;="&amp;DATE($B$3,1,1),반품접수!$B$3:$B$1002,"&lt;="&amp;DATE($B$3,12,31)))</f>
        <v/>
      </c>
      <c r="C274" s="25" t="str">
        <f aca="false">IF($A274="","",SUMIFS(반품접수!$I$3:$I$1002,반품접수!$C$3:$C$1002,$A274,반품접수!$B$3:$B$1002,"&gt;="&amp;DATE($B$3,1,1),반품접수!$B$3:$B$1002,"&lt;="&amp;DATE($B$3,12,31)))</f>
        <v/>
      </c>
      <c r="D274" s="25" t="str">
        <f aca="false">IF($A274="","",COUNTIFS(반품접수!$C$3:$C$1002,$A274,반품접수!$O$3:$O$1002,"미처리",반품접수!$B$3:$B$1002,"&gt;="&amp;DATE($B$3,1,1),반품접수!$B$3:$B$1002,"&lt;="&amp;DATE($B$3,12,31))+COUNTIFS(반품접수!$C$3:$C$1002,$A274,반품접수!$O$3:$O$1002,"부분처리",반품접수!$B$3:$B$1002,"&gt;="&amp;DATE($B$3,1,1),반품접수!$B$3:$B$1002,"&lt;="&amp;DATE($B$3,12,31)))</f>
        <v/>
      </c>
      <c r="E274" s="25" t="str">
        <f aca="false">IF($A274="","",SUMPRODUCT((반품접수!$C$3:$C$1002=$A274)*1,IFERROR(SUMIFS(처리내역!$E$3:$E$1502,처리내역!$B$3:$B$1502,반품접수!$A$3:$A$1002,처리내역!$D$3:$D$1502,"재입고"),0)))</f>
        <v/>
      </c>
      <c r="F274" s="25" t="str">
        <f aca="false">IF($A274="","",SUMPRODUCT((반품접수!$C$3:$C$1002=$A274)*1,IFERROR(SUMIFS(처리내역!$E$3:$E$1502,처리내역!$B$3:$B$1502,반품접수!$A$3:$A$1002,처리내역!$D$3:$D$1502,"폐기"),0)))</f>
        <v/>
      </c>
      <c r="G274" s="26" t="str">
        <f aca="false">IF($A274="","",IF($B274=0,"",($B274-$D274)/$B274))</f>
        <v/>
      </c>
    </row>
    <row r="275" customFormat="false" ht="15" hidden="false" customHeight="true" outlineLevel="0" collapsed="false">
      <c r="A275" s="12" t="str">
        <f aca="false">IF(거래처목록!$A272="","",거래처목록!$A272)</f>
        <v/>
      </c>
      <c r="B275" s="25" t="str">
        <f aca="false">IF($A275="","",COUNTIFS(반품접수!$C$3:$C$1002,$A275,반품접수!$B$3:$B$1002,"&gt;="&amp;DATE($B$3,1,1),반품접수!$B$3:$B$1002,"&lt;="&amp;DATE($B$3,12,31)))</f>
        <v/>
      </c>
      <c r="C275" s="25" t="str">
        <f aca="false">IF($A275="","",SUMIFS(반품접수!$I$3:$I$1002,반품접수!$C$3:$C$1002,$A275,반품접수!$B$3:$B$1002,"&gt;="&amp;DATE($B$3,1,1),반품접수!$B$3:$B$1002,"&lt;="&amp;DATE($B$3,12,31)))</f>
        <v/>
      </c>
      <c r="D275" s="25" t="str">
        <f aca="false">IF($A275="","",COUNTIFS(반품접수!$C$3:$C$1002,$A275,반품접수!$O$3:$O$1002,"미처리",반품접수!$B$3:$B$1002,"&gt;="&amp;DATE($B$3,1,1),반품접수!$B$3:$B$1002,"&lt;="&amp;DATE($B$3,12,31))+COUNTIFS(반품접수!$C$3:$C$1002,$A275,반품접수!$O$3:$O$1002,"부분처리",반품접수!$B$3:$B$1002,"&gt;="&amp;DATE($B$3,1,1),반품접수!$B$3:$B$1002,"&lt;="&amp;DATE($B$3,12,31)))</f>
        <v/>
      </c>
      <c r="E275" s="25" t="str">
        <f aca="false">IF($A275="","",SUMPRODUCT((반품접수!$C$3:$C$1002=$A275)*1,IFERROR(SUMIFS(처리내역!$E$3:$E$1502,처리내역!$B$3:$B$1502,반품접수!$A$3:$A$1002,처리내역!$D$3:$D$1502,"재입고"),0)))</f>
        <v/>
      </c>
      <c r="F275" s="25" t="str">
        <f aca="false">IF($A275="","",SUMPRODUCT((반품접수!$C$3:$C$1002=$A275)*1,IFERROR(SUMIFS(처리내역!$E$3:$E$1502,처리내역!$B$3:$B$1502,반품접수!$A$3:$A$1002,처리내역!$D$3:$D$1502,"폐기"),0)))</f>
        <v/>
      </c>
      <c r="G275" s="26" t="str">
        <f aca="false">IF($A275="","",IF($B275=0,"",($B275-$D275)/$B275))</f>
        <v/>
      </c>
    </row>
    <row r="276" customFormat="false" ht="15" hidden="false" customHeight="true" outlineLevel="0" collapsed="false">
      <c r="A276" s="12" t="str">
        <f aca="false">IF(거래처목록!$A273="","",거래처목록!$A273)</f>
        <v/>
      </c>
      <c r="B276" s="25" t="str">
        <f aca="false">IF($A276="","",COUNTIFS(반품접수!$C$3:$C$1002,$A276,반품접수!$B$3:$B$1002,"&gt;="&amp;DATE($B$3,1,1),반품접수!$B$3:$B$1002,"&lt;="&amp;DATE($B$3,12,31)))</f>
        <v/>
      </c>
      <c r="C276" s="25" t="str">
        <f aca="false">IF($A276="","",SUMIFS(반품접수!$I$3:$I$1002,반품접수!$C$3:$C$1002,$A276,반품접수!$B$3:$B$1002,"&gt;="&amp;DATE($B$3,1,1),반품접수!$B$3:$B$1002,"&lt;="&amp;DATE($B$3,12,31)))</f>
        <v/>
      </c>
      <c r="D276" s="25" t="str">
        <f aca="false">IF($A276="","",COUNTIFS(반품접수!$C$3:$C$1002,$A276,반품접수!$O$3:$O$1002,"미처리",반품접수!$B$3:$B$1002,"&gt;="&amp;DATE($B$3,1,1),반품접수!$B$3:$B$1002,"&lt;="&amp;DATE($B$3,12,31))+COUNTIFS(반품접수!$C$3:$C$1002,$A276,반품접수!$O$3:$O$1002,"부분처리",반품접수!$B$3:$B$1002,"&gt;="&amp;DATE($B$3,1,1),반품접수!$B$3:$B$1002,"&lt;="&amp;DATE($B$3,12,31)))</f>
        <v/>
      </c>
      <c r="E276" s="25" t="str">
        <f aca="false">IF($A276="","",SUMPRODUCT((반품접수!$C$3:$C$1002=$A276)*1,IFERROR(SUMIFS(처리내역!$E$3:$E$1502,처리내역!$B$3:$B$1502,반품접수!$A$3:$A$1002,처리내역!$D$3:$D$1502,"재입고"),0)))</f>
        <v/>
      </c>
      <c r="F276" s="25" t="str">
        <f aca="false">IF($A276="","",SUMPRODUCT((반품접수!$C$3:$C$1002=$A276)*1,IFERROR(SUMIFS(처리내역!$E$3:$E$1502,처리내역!$B$3:$B$1502,반품접수!$A$3:$A$1002,처리내역!$D$3:$D$1502,"폐기"),0)))</f>
        <v/>
      </c>
      <c r="G276" s="26" t="str">
        <f aca="false">IF($A276="","",IF($B276=0,"",($B276-$D276)/$B276))</f>
        <v/>
      </c>
    </row>
    <row r="277" customFormat="false" ht="15" hidden="false" customHeight="true" outlineLevel="0" collapsed="false">
      <c r="A277" s="12" t="str">
        <f aca="false">IF(거래처목록!$A274="","",거래처목록!$A274)</f>
        <v/>
      </c>
      <c r="B277" s="25" t="str">
        <f aca="false">IF($A277="","",COUNTIFS(반품접수!$C$3:$C$1002,$A277,반품접수!$B$3:$B$1002,"&gt;="&amp;DATE($B$3,1,1),반품접수!$B$3:$B$1002,"&lt;="&amp;DATE($B$3,12,31)))</f>
        <v/>
      </c>
      <c r="C277" s="25" t="str">
        <f aca="false">IF($A277="","",SUMIFS(반품접수!$I$3:$I$1002,반품접수!$C$3:$C$1002,$A277,반품접수!$B$3:$B$1002,"&gt;="&amp;DATE($B$3,1,1),반품접수!$B$3:$B$1002,"&lt;="&amp;DATE($B$3,12,31)))</f>
        <v/>
      </c>
      <c r="D277" s="25" t="str">
        <f aca="false">IF($A277="","",COUNTIFS(반품접수!$C$3:$C$1002,$A277,반품접수!$O$3:$O$1002,"미처리",반품접수!$B$3:$B$1002,"&gt;="&amp;DATE($B$3,1,1),반품접수!$B$3:$B$1002,"&lt;="&amp;DATE($B$3,12,31))+COUNTIFS(반품접수!$C$3:$C$1002,$A277,반품접수!$O$3:$O$1002,"부분처리",반품접수!$B$3:$B$1002,"&gt;="&amp;DATE($B$3,1,1),반품접수!$B$3:$B$1002,"&lt;="&amp;DATE($B$3,12,31)))</f>
        <v/>
      </c>
      <c r="E277" s="25" t="str">
        <f aca="false">IF($A277="","",SUMPRODUCT((반품접수!$C$3:$C$1002=$A277)*1,IFERROR(SUMIFS(처리내역!$E$3:$E$1502,처리내역!$B$3:$B$1502,반품접수!$A$3:$A$1002,처리내역!$D$3:$D$1502,"재입고"),0)))</f>
        <v/>
      </c>
      <c r="F277" s="25" t="str">
        <f aca="false">IF($A277="","",SUMPRODUCT((반품접수!$C$3:$C$1002=$A277)*1,IFERROR(SUMIFS(처리내역!$E$3:$E$1502,처리내역!$B$3:$B$1502,반품접수!$A$3:$A$1002,처리내역!$D$3:$D$1502,"폐기"),0)))</f>
        <v/>
      </c>
      <c r="G277" s="26" t="str">
        <f aca="false">IF($A277="","",IF($B277=0,"",($B277-$D277)/$B277))</f>
        <v/>
      </c>
    </row>
    <row r="278" customFormat="false" ht="15" hidden="false" customHeight="true" outlineLevel="0" collapsed="false">
      <c r="A278" s="12" t="str">
        <f aca="false">IF(거래처목록!$A275="","",거래처목록!$A275)</f>
        <v/>
      </c>
      <c r="B278" s="25" t="str">
        <f aca="false">IF($A278="","",COUNTIFS(반품접수!$C$3:$C$1002,$A278,반품접수!$B$3:$B$1002,"&gt;="&amp;DATE($B$3,1,1),반품접수!$B$3:$B$1002,"&lt;="&amp;DATE($B$3,12,31)))</f>
        <v/>
      </c>
      <c r="C278" s="25" t="str">
        <f aca="false">IF($A278="","",SUMIFS(반품접수!$I$3:$I$1002,반품접수!$C$3:$C$1002,$A278,반품접수!$B$3:$B$1002,"&gt;="&amp;DATE($B$3,1,1),반품접수!$B$3:$B$1002,"&lt;="&amp;DATE($B$3,12,31)))</f>
        <v/>
      </c>
      <c r="D278" s="25" t="str">
        <f aca="false">IF($A278="","",COUNTIFS(반품접수!$C$3:$C$1002,$A278,반품접수!$O$3:$O$1002,"미처리",반품접수!$B$3:$B$1002,"&gt;="&amp;DATE($B$3,1,1),반품접수!$B$3:$B$1002,"&lt;="&amp;DATE($B$3,12,31))+COUNTIFS(반품접수!$C$3:$C$1002,$A278,반품접수!$O$3:$O$1002,"부분처리",반품접수!$B$3:$B$1002,"&gt;="&amp;DATE($B$3,1,1),반품접수!$B$3:$B$1002,"&lt;="&amp;DATE($B$3,12,31)))</f>
        <v/>
      </c>
      <c r="E278" s="25" t="str">
        <f aca="false">IF($A278="","",SUMPRODUCT((반품접수!$C$3:$C$1002=$A278)*1,IFERROR(SUMIFS(처리내역!$E$3:$E$1502,처리내역!$B$3:$B$1502,반품접수!$A$3:$A$1002,처리내역!$D$3:$D$1502,"재입고"),0)))</f>
        <v/>
      </c>
      <c r="F278" s="25" t="str">
        <f aca="false">IF($A278="","",SUMPRODUCT((반품접수!$C$3:$C$1002=$A278)*1,IFERROR(SUMIFS(처리내역!$E$3:$E$1502,처리내역!$B$3:$B$1502,반품접수!$A$3:$A$1002,처리내역!$D$3:$D$1502,"폐기"),0)))</f>
        <v/>
      </c>
      <c r="G278" s="26" t="str">
        <f aca="false">IF($A278="","",IF($B278=0,"",($B278-$D278)/$B278))</f>
        <v/>
      </c>
    </row>
    <row r="279" customFormat="false" ht="15" hidden="false" customHeight="true" outlineLevel="0" collapsed="false">
      <c r="A279" s="12" t="str">
        <f aca="false">IF(거래처목록!$A276="","",거래처목록!$A276)</f>
        <v/>
      </c>
      <c r="B279" s="25" t="str">
        <f aca="false">IF($A279="","",COUNTIFS(반품접수!$C$3:$C$1002,$A279,반품접수!$B$3:$B$1002,"&gt;="&amp;DATE($B$3,1,1),반품접수!$B$3:$B$1002,"&lt;="&amp;DATE($B$3,12,31)))</f>
        <v/>
      </c>
      <c r="C279" s="25" t="str">
        <f aca="false">IF($A279="","",SUMIFS(반품접수!$I$3:$I$1002,반품접수!$C$3:$C$1002,$A279,반품접수!$B$3:$B$1002,"&gt;="&amp;DATE($B$3,1,1),반품접수!$B$3:$B$1002,"&lt;="&amp;DATE($B$3,12,31)))</f>
        <v/>
      </c>
      <c r="D279" s="25" t="str">
        <f aca="false">IF($A279="","",COUNTIFS(반품접수!$C$3:$C$1002,$A279,반품접수!$O$3:$O$1002,"미처리",반품접수!$B$3:$B$1002,"&gt;="&amp;DATE($B$3,1,1),반품접수!$B$3:$B$1002,"&lt;="&amp;DATE($B$3,12,31))+COUNTIFS(반품접수!$C$3:$C$1002,$A279,반품접수!$O$3:$O$1002,"부분처리",반품접수!$B$3:$B$1002,"&gt;="&amp;DATE($B$3,1,1),반품접수!$B$3:$B$1002,"&lt;="&amp;DATE($B$3,12,31)))</f>
        <v/>
      </c>
      <c r="E279" s="25" t="str">
        <f aca="false">IF($A279="","",SUMPRODUCT((반품접수!$C$3:$C$1002=$A279)*1,IFERROR(SUMIFS(처리내역!$E$3:$E$1502,처리내역!$B$3:$B$1502,반품접수!$A$3:$A$1002,처리내역!$D$3:$D$1502,"재입고"),0)))</f>
        <v/>
      </c>
      <c r="F279" s="25" t="str">
        <f aca="false">IF($A279="","",SUMPRODUCT((반품접수!$C$3:$C$1002=$A279)*1,IFERROR(SUMIFS(처리내역!$E$3:$E$1502,처리내역!$B$3:$B$1502,반품접수!$A$3:$A$1002,처리내역!$D$3:$D$1502,"폐기"),0)))</f>
        <v/>
      </c>
      <c r="G279" s="26" t="str">
        <f aca="false">IF($A279="","",IF($B279=0,"",($B279-$D279)/$B279))</f>
        <v/>
      </c>
    </row>
    <row r="280" customFormat="false" ht="15" hidden="false" customHeight="true" outlineLevel="0" collapsed="false">
      <c r="A280" s="12" t="str">
        <f aca="false">IF(거래처목록!$A277="","",거래처목록!$A277)</f>
        <v/>
      </c>
      <c r="B280" s="25" t="str">
        <f aca="false">IF($A280="","",COUNTIFS(반품접수!$C$3:$C$1002,$A280,반품접수!$B$3:$B$1002,"&gt;="&amp;DATE($B$3,1,1),반품접수!$B$3:$B$1002,"&lt;="&amp;DATE($B$3,12,31)))</f>
        <v/>
      </c>
      <c r="C280" s="25" t="str">
        <f aca="false">IF($A280="","",SUMIFS(반품접수!$I$3:$I$1002,반품접수!$C$3:$C$1002,$A280,반품접수!$B$3:$B$1002,"&gt;="&amp;DATE($B$3,1,1),반품접수!$B$3:$B$1002,"&lt;="&amp;DATE($B$3,12,31)))</f>
        <v/>
      </c>
      <c r="D280" s="25" t="str">
        <f aca="false">IF($A280="","",COUNTIFS(반품접수!$C$3:$C$1002,$A280,반품접수!$O$3:$O$1002,"미처리",반품접수!$B$3:$B$1002,"&gt;="&amp;DATE($B$3,1,1),반품접수!$B$3:$B$1002,"&lt;="&amp;DATE($B$3,12,31))+COUNTIFS(반품접수!$C$3:$C$1002,$A280,반품접수!$O$3:$O$1002,"부분처리",반품접수!$B$3:$B$1002,"&gt;="&amp;DATE($B$3,1,1),반품접수!$B$3:$B$1002,"&lt;="&amp;DATE($B$3,12,31)))</f>
        <v/>
      </c>
      <c r="E280" s="25" t="str">
        <f aca="false">IF($A280="","",SUMPRODUCT((반품접수!$C$3:$C$1002=$A280)*1,IFERROR(SUMIFS(처리내역!$E$3:$E$1502,처리내역!$B$3:$B$1502,반품접수!$A$3:$A$1002,처리내역!$D$3:$D$1502,"재입고"),0)))</f>
        <v/>
      </c>
      <c r="F280" s="25" t="str">
        <f aca="false">IF($A280="","",SUMPRODUCT((반품접수!$C$3:$C$1002=$A280)*1,IFERROR(SUMIFS(처리내역!$E$3:$E$1502,처리내역!$B$3:$B$1502,반품접수!$A$3:$A$1002,처리내역!$D$3:$D$1502,"폐기"),0)))</f>
        <v/>
      </c>
      <c r="G280" s="26" t="str">
        <f aca="false">IF($A280="","",IF($B280=0,"",($B280-$D280)/$B280))</f>
        <v/>
      </c>
    </row>
    <row r="281" customFormat="false" ht="15" hidden="false" customHeight="true" outlineLevel="0" collapsed="false">
      <c r="A281" s="12" t="str">
        <f aca="false">IF(거래처목록!$A278="","",거래처목록!$A278)</f>
        <v/>
      </c>
      <c r="B281" s="25" t="str">
        <f aca="false">IF($A281="","",COUNTIFS(반품접수!$C$3:$C$1002,$A281,반품접수!$B$3:$B$1002,"&gt;="&amp;DATE($B$3,1,1),반품접수!$B$3:$B$1002,"&lt;="&amp;DATE($B$3,12,31)))</f>
        <v/>
      </c>
      <c r="C281" s="25" t="str">
        <f aca="false">IF($A281="","",SUMIFS(반품접수!$I$3:$I$1002,반품접수!$C$3:$C$1002,$A281,반품접수!$B$3:$B$1002,"&gt;="&amp;DATE($B$3,1,1),반품접수!$B$3:$B$1002,"&lt;="&amp;DATE($B$3,12,31)))</f>
        <v/>
      </c>
      <c r="D281" s="25" t="str">
        <f aca="false">IF($A281="","",COUNTIFS(반품접수!$C$3:$C$1002,$A281,반품접수!$O$3:$O$1002,"미처리",반품접수!$B$3:$B$1002,"&gt;="&amp;DATE($B$3,1,1),반품접수!$B$3:$B$1002,"&lt;="&amp;DATE($B$3,12,31))+COUNTIFS(반품접수!$C$3:$C$1002,$A281,반품접수!$O$3:$O$1002,"부분처리",반품접수!$B$3:$B$1002,"&gt;="&amp;DATE($B$3,1,1),반품접수!$B$3:$B$1002,"&lt;="&amp;DATE($B$3,12,31)))</f>
        <v/>
      </c>
      <c r="E281" s="25" t="str">
        <f aca="false">IF($A281="","",SUMPRODUCT((반품접수!$C$3:$C$1002=$A281)*1,IFERROR(SUMIFS(처리내역!$E$3:$E$1502,처리내역!$B$3:$B$1502,반품접수!$A$3:$A$1002,처리내역!$D$3:$D$1502,"재입고"),0)))</f>
        <v/>
      </c>
      <c r="F281" s="25" t="str">
        <f aca="false">IF($A281="","",SUMPRODUCT((반품접수!$C$3:$C$1002=$A281)*1,IFERROR(SUMIFS(처리내역!$E$3:$E$1502,처리내역!$B$3:$B$1502,반품접수!$A$3:$A$1002,처리내역!$D$3:$D$1502,"폐기"),0)))</f>
        <v/>
      </c>
      <c r="G281" s="26" t="str">
        <f aca="false">IF($A281="","",IF($B281=0,"",($B281-$D281)/$B281))</f>
        <v/>
      </c>
    </row>
    <row r="282" customFormat="false" ht="15" hidden="false" customHeight="true" outlineLevel="0" collapsed="false">
      <c r="A282" s="12" t="str">
        <f aca="false">IF(거래처목록!$A279="","",거래처목록!$A279)</f>
        <v/>
      </c>
      <c r="B282" s="25" t="str">
        <f aca="false">IF($A282="","",COUNTIFS(반품접수!$C$3:$C$1002,$A282,반품접수!$B$3:$B$1002,"&gt;="&amp;DATE($B$3,1,1),반품접수!$B$3:$B$1002,"&lt;="&amp;DATE($B$3,12,31)))</f>
        <v/>
      </c>
      <c r="C282" s="25" t="str">
        <f aca="false">IF($A282="","",SUMIFS(반품접수!$I$3:$I$1002,반품접수!$C$3:$C$1002,$A282,반품접수!$B$3:$B$1002,"&gt;="&amp;DATE($B$3,1,1),반품접수!$B$3:$B$1002,"&lt;="&amp;DATE($B$3,12,31)))</f>
        <v/>
      </c>
      <c r="D282" s="25" t="str">
        <f aca="false">IF($A282="","",COUNTIFS(반품접수!$C$3:$C$1002,$A282,반품접수!$O$3:$O$1002,"미처리",반품접수!$B$3:$B$1002,"&gt;="&amp;DATE($B$3,1,1),반품접수!$B$3:$B$1002,"&lt;="&amp;DATE($B$3,12,31))+COUNTIFS(반품접수!$C$3:$C$1002,$A282,반품접수!$O$3:$O$1002,"부분처리",반품접수!$B$3:$B$1002,"&gt;="&amp;DATE($B$3,1,1),반품접수!$B$3:$B$1002,"&lt;="&amp;DATE($B$3,12,31)))</f>
        <v/>
      </c>
      <c r="E282" s="25" t="str">
        <f aca="false">IF($A282="","",SUMPRODUCT((반품접수!$C$3:$C$1002=$A282)*1,IFERROR(SUMIFS(처리내역!$E$3:$E$1502,처리내역!$B$3:$B$1502,반품접수!$A$3:$A$1002,처리내역!$D$3:$D$1502,"재입고"),0)))</f>
        <v/>
      </c>
      <c r="F282" s="25" t="str">
        <f aca="false">IF($A282="","",SUMPRODUCT((반품접수!$C$3:$C$1002=$A282)*1,IFERROR(SUMIFS(처리내역!$E$3:$E$1502,처리내역!$B$3:$B$1502,반품접수!$A$3:$A$1002,처리내역!$D$3:$D$1502,"폐기"),0)))</f>
        <v/>
      </c>
      <c r="G282" s="26" t="str">
        <f aca="false">IF($A282="","",IF($B282=0,"",($B282-$D282)/$B282))</f>
        <v/>
      </c>
    </row>
    <row r="283" customFormat="false" ht="15" hidden="false" customHeight="true" outlineLevel="0" collapsed="false">
      <c r="A283" s="12" t="str">
        <f aca="false">IF(거래처목록!$A280="","",거래처목록!$A280)</f>
        <v/>
      </c>
      <c r="B283" s="25" t="str">
        <f aca="false">IF($A283="","",COUNTIFS(반품접수!$C$3:$C$1002,$A283,반품접수!$B$3:$B$1002,"&gt;="&amp;DATE($B$3,1,1),반품접수!$B$3:$B$1002,"&lt;="&amp;DATE($B$3,12,31)))</f>
        <v/>
      </c>
      <c r="C283" s="25" t="str">
        <f aca="false">IF($A283="","",SUMIFS(반품접수!$I$3:$I$1002,반품접수!$C$3:$C$1002,$A283,반품접수!$B$3:$B$1002,"&gt;="&amp;DATE($B$3,1,1),반품접수!$B$3:$B$1002,"&lt;="&amp;DATE($B$3,12,31)))</f>
        <v/>
      </c>
      <c r="D283" s="25" t="str">
        <f aca="false">IF($A283="","",COUNTIFS(반품접수!$C$3:$C$1002,$A283,반품접수!$O$3:$O$1002,"미처리",반품접수!$B$3:$B$1002,"&gt;="&amp;DATE($B$3,1,1),반품접수!$B$3:$B$1002,"&lt;="&amp;DATE($B$3,12,31))+COUNTIFS(반품접수!$C$3:$C$1002,$A283,반품접수!$O$3:$O$1002,"부분처리",반품접수!$B$3:$B$1002,"&gt;="&amp;DATE($B$3,1,1),반품접수!$B$3:$B$1002,"&lt;="&amp;DATE($B$3,12,31)))</f>
        <v/>
      </c>
      <c r="E283" s="25" t="str">
        <f aca="false">IF($A283="","",SUMPRODUCT((반품접수!$C$3:$C$1002=$A283)*1,IFERROR(SUMIFS(처리내역!$E$3:$E$1502,처리내역!$B$3:$B$1502,반품접수!$A$3:$A$1002,처리내역!$D$3:$D$1502,"재입고"),0)))</f>
        <v/>
      </c>
      <c r="F283" s="25" t="str">
        <f aca="false">IF($A283="","",SUMPRODUCT((반품접수!$C$3:$C$1002=$A283)*1,IFERROR(SUMIFS(처리내역!$E$3:$E$1502,처리내역!$B$3:$B$1502,반품접수!$A$3:$A$1002,처리내역!$D$3:$D$1502,"폐기"),0)))</f>
        <v/>
      </c>
      <c r="G283" s="26" t="str">
        <f aca="false">IF($A283="","",IF($B283=0,"",($B283-$D283)/$B283))</f>
        <v/>
      </c>
    </row>
    <row r="284" customFormat="false" ht="15" hidden="false" customHeight="true" outlineLevel="0" collapsed="false">
      <c r="A284" s="12" t="str">
        <f aca="false">IF(거래처목록!$A281="","",거래처목록!$A281)</f>
        <v/>
      </c>
      <c r="B284" s="25" t="str">
        <f aca="false">IF($A284="","",COUNTIFS(반품접수!$C$3:$C$1002,$A284,반품접수!$B$3:$B$1002,"&gt;="&amp;DATE($B$3,1,1),반품접수!$B$3:$B$1002,"&lt;="&amp;DATE($B$3,12,31)))</f>
        <v/>
      </c>
      <c r="C284" s="25" t="str">
        <f aca="false">IF($A284="","",SUMIFS(반품접수!$I$3:$I$1002,반품접수!$C$3:$C$1002,$A284,반품접수!$B$3:$B$1002,"&gt;="&amp;DATE($B$3,1,1),반품접수!$B$3:$B$1002,"&lt;="&amp;DATE($B$3,12,31)))</f>
        <v/>
      </c>
      <c r="D284" s="25" t="str">
        <f aca="false">IF($A284="","",COUNTIFS(반품접수!$C$3:$C$1002,$A284,반품접수!$O$3:$O$1002,"미처리",반품접수!$B$3:$B$1002,"&gt;="&amp;DATE($B$3,1,1),반품접수!$B$3:$B$1002,"&lt;="&amp;DATE($B$3,12,31))+COUNTIFS(반품접수!$C$3:$C$1002,$A284,반품접수!$O$3:$O$1002,"부분처리",반품접수!$B$3:$B$1002,"&gt;="&amp;DATE($B$3,1,1),반품접수!$B$3:$B$1002,"&lt;="&amp;DATE($B$3,12,31)))</f>
        <v/>
      </c>
      <c r="E284" s="25" t="str">
        <f aca="false">IF($A284="","",SUMPRODUCT((반품접수!$C$3:$C$1002=$A284)*1,IFERROR(SUMIFS(처리내역!$E$3:$E$1502,처리내역!$B$3:$B$1502,반품접수!$A$3:$A$1002,처리내역!$D$3:$D$1502,"재입고"),0)))</f>
        <v/>
      </c>
      <c r="F284" s="25" t="str">
        <f aca="false">IF($A284="","",SUMPRODUCT((반품접수!$C$3:$C$1002=$A284)*1,IFERROR(SUMIFS(처리내역!$E$3:$E$1502,처리내역!$B$3:$B$1502,반품접수!$A$3:$A$1002,처리내역!$D$3:$D$1502,"폐기"),0)))</f>
        <v/>
      </c>
      <c r="G284" s="26" t="str">
        <f aca="false">IF($A284="","",IF($B284=0,"",($B284-$D284)/$B284))</f>
        <v/>
      </c>
    </row>
    <row r="285" customFormat="false" ht="15" hidden="false" customHeight="true" outlineLevel="0" collapsed="false">
      <c r="A285" s="12" t="str">
        <f aca="false">IF(거래처목록!$A282="","",거래처목록!$A282)</f>
        <v/>
      </c>
      <c r="B285" s="25" t="str">
        <f aca="false">IF($A285="","",COUNTIFS(반품접수!$C$3:$C$1002,$A285,반품접수!$B$3:$B$1002,"&gt;="&amp;DATE($B$3,1,1),반품접수!$B$3:$B$1002,"&lt;="&amp;DATE($B$3,12,31)))</f>
        <v/>
      </c>
      <c r="C285" s="25" t="str">
        <f aca="false">IF($A285="","",SUMIFS(반품접수!$I$3:$I$1002,반품접수!$C$3:$C$1002,$A285,반품접수!$B$3:$B$1002,"&gt;="&amp;DATE($B$3,1,1),반품접수!$B$3:$B$1002,"&lt;="&amp;DATE($B$3,12,31)))</f>
        <v/>
      </c>
      <c r="D285" s="25" t="str">
        <f aca="false">IF($A285="","",COUNTIFS(반품접수!$C$3:$C$1002,$A285,반품접수!$O$3:$O$1002,"미처리",반품접수!$B$3:$B$1002,"&gt;="&amp;DATE($B$3,1,1),반품접수!$B$3:$B$1002,"&lt;="&amp;DATE($B$3,12,31))+COUNTIFS(반품접수!$C$3:$C$1002,$A285,반품접수!$O$3:$O$1002,"부분처리",반품접수!$B$3:$B$1002,"&gt;="&amp;DATE($B$3,1,1),반품접수!$B$3:$B$1002,"&lt;="&amp;DATE($B$3,12,31)))</f>
        <v/>
      </c>
      <c r="E285" s="25" t="str">
        <f aca="false">IF($A285="","",SUMPRODUCT((반품접수!$C$3:$C$1002=$A285)*1,IFERROR(SUMIFS(처리내역!$E$3:$E$1502,처리내역!$B$3:$B$1502,반품접수!$A$3:$A$1002,처리내역!$D$3:$D$1502,"재입고"),0)))</f>
        <v/>
      </c>
      <c r="F285" s="25" t="str">
        <f aca="false">IF($A285="","",SUMPRODUCT((반품접수!$C$3:$C$1002=$A285)*1,IFERROR(SUMIFS(처리내역!$E$3:$E$1502,처리내역!$B$3:$B$1502,반품접수!$A$3:$A$1002,처리내역!$D$3:$D$1502,"폐기"),0)))</f>
        <v/>
      </c>
      <c r="G285" s="26" t="str">
        <f aca="false">IF($A285="","",IF($B285=0,"",($B285-$D285)/$B285))</f>
        <v/>
      </c>
    </row>
    <row r="286" customFormat="false" ht="15" hidden="false" customHeight="true" outlineLevel="0" collapsed="false">
      <c r="A286" s="12" t="str">
        <f aca="false">IF(거래처목록!$A283="","",거래처목록!$A283)</f>
        <v/>
      </c>
      <c r="B286" s="25" t="str">
        <f aca="false">IF($A286="","",COUNTIFS(반품접수!$C$3:$C$1002,$A286,반품접수!$B$3:$B$1002,"&gt;="&amp;DATE($B$3,1,1),반품접수!$B$3:$B$1002,"&lt;="&amp;DATE($B$3,12,31)))</f>
        <v/>
      </c>
      <c r="C286" s="25" t="str">
        <f aca="false">IF($A286="","",SUMIFS(반품접수!$I$3:$I$1002,반품접수!$C$3:$C$1002,$A286,반품접수!$B$3:$B$1002,"&gt;="&amp;DATE($B$3,1,1),반품접수!$B$3:$B$1002,"&lt;="&amp;DATE($B$3,12,31)))</f>
        <v/>
      </c>
      <c r="D286" s="25" t="str">
        <f aca="false">IF($A286="","",COUNTIFS(반품접수!$C$3:$C$1002,$A286,반품접수!$O$3:$O$1002,"미처리",반품접수!$B$3:$B$1002,"&gt;="&amp;DATE($B$3,1,1),반품접수!$B$3:$B$1002,"&lt;="&amp;DATE($B$3,12,31))+COUNTIFS(반품접수!$C$3:$C$1002,$A286,반품접수!$O$3:$O$1002,"부분처리",반품접수!$B$3:$B$1002,"&gt;="&amp;DATE($B$3,1,1),반품접수!$B$3:$B$1002,"&lt;="&amp;DATE($B$3,12,31)))</f>
        <v/>
      </c>
      <c r="E286" s="25" t="str">
        <f aca="false">IF($A286="","",SUMPRODUCT((반품접수!$C$3:$C$1002=$A286)*1,IFERROR(SUMIFS(처리내역!$E$3:$E$1502,처리내역!$B$3:$B$1502,반품접수!$A$3:$A$1002,처리내역!$D$3:$D$1502,"재입고"),0)))</f>
        <v/>
      </c>
      <c r="F286" s="25" t="str">
        <f aca="false">IF($A286="","",SUMPRODUCT((반품접수!$C$3:$C$1002=$A286)*1,IFERROR(SUMIFS(처리내역!$E$3:$E$1502,처리내역!$B$3:$B$1502,반품접수!$A$3:$A$1002,처리내역!$D$3:$D$1502,"폐기"),0)))</f>
        <v/>
      </c>
      <c r="G286" s="26" t="str">
        <f aca="false">IF($A286="","",IF($B286=0,"",($B286-$D286)/$B286))</f>
        <v/>
      </c>
    </row>
    <row r="287" customFormat="false" ht="15" hidden="false" customHeight="true" outlineLevel="0" collapsed="false">
      <c r="A287" s="12" t="str">
        <f aca="false">IF(거래처목록!$A284="","",거래처목록!$A284)</f>
        <v/>
      </c>
      <c r="B287" s="25" t="str">
        <f aca="false">IF($A287="","",COUNTIFS(반품접수!$C$3:$C$1002,$A287,반품접수!$B$3:$B$1002,"&gt;="&amp;DATE($B$3,1,1),반품접수!$B$3:$B$1002,"&lt;="&amp;DATE($B$3,12,31)))</f>
        <v/>
      </c>
      <c r="C287" s="25" t="str">
        <f aca="false">IF($A287="","",SUMIFS(반품접수!$I$3:$I$1002,반품접수!$C$3:$C$1002,$A287,반품접수!$B$3:$B$1002,"&gt;="&amp;DATE($B$3,1,1),반품접수!$B$3:$B$1002,"&lt;="&amp;DATE($B$3,12,31)))</f>
        <v/>
      </c>
      <c r="D287" s="25" t="str">
        <f aca="false">IF($A287="","",COUNTIFS(반품접수!$C$3:$C$1002,$A287,반품접수!$O$3:$O$1002,"미처리",반품접수!$B$3:$B$1002,"&gt;="&amp;DATE($B$3,1,1),반품접수!$B$3:$B$1002,"&lt;="&amp;DATE($B$3,12,31))+COUNTIFS(반품접수!$C$3:$C$1002,$A287,반품접수!$O$3:$O$1002,"부분처리",반품접수!$B$3:$B$1002,"&gt;="&amp;DATE($B$3,1,1),반품접수!$B$3:$B$1002,"&lt;="&amp;DATE($B$3,12,31)))</f>
        <v/>
      </c>
      <c r="E287" s="25" t="str">
        <f aca="false">IF($A287="","",SUMPRODUCT((반품접수!$C$3:$C$1002=$A287)*1,IFERROR(SUMIFS(처리내역!$E$3:$E$1502,처리내역!$B$3:$B$1502,반품접수!$A$3:$A$1002,처리내역!$D$3:$D$1502,"재입고"),0)))</f>
        <v/>
      </c>
      <c r="F287" s="25" t="str">
        <f aca="false">IF($A287="","",SUMPRODUCT((반품접수!$C$3:$C$1002=$A287)*1,IFERROR(SUMIFS(처리내역!$E$3:$E$1502,처리내역!$B$3:$B$1502,반품접수!$A$3:$A$1002,처리내역!$D$3:$D$1502,"폐기"),0)))</f>
        <v/>
      </c>
      <c r="G287" s="26" t="str">
        <f aca="false">IF($A287="","",IF($B287=0,"",($B287-$D287)/$B287))</f>
        <v/>
      </c>
    </row>
    <row r="288" customFormat="false" ht="15" hidden="false" customHeight="true" outlineLevel="0" collapsed="false">
      <c r="A288" s="12" t="str">
        <f aca="false">IF(거래처목록!$A285="","",거래처목록!$A285)</f>
        <v/>
      </c>
      <c r="B288" s="25" t="str">
        <f aca="false">IF($A288="","",COUNTIFS(반품접수!$C$3:$C$1002,$A288,반품접수!$B$3:$B$1002,"&gt;="&amp;DATE($B$3,1,1),반품접수!$B$3:$B$1002,"&lt;="&amp;DATE($B$3,12,31)))</f>
        <v/>
      </c>
      <c r="C288" s="25" t="str">
        <f aca="false">IF($A288="","",SUMIFS(반품접수!$I$3:$I$1002,반품접수!$C$3:$C$1002,$A288,반품접수!$B$3:$B$1002,"&gt;="&amp;DATE($B$3,1,1),반품접수!$B$3:$B$1002,"&lt;="&amp;DATE($B$3,12,31)))</f>
        <v/>
      </c>
      <c r="D288" s="25" t="str">
        <f aca="false">IF($A288="","",COUNTIFS(반품접수!$C$3:$C$1002,$A288,반품접수!$O$3:$O$1002,"미처리",반품접수!$B$3:$B$1002,"&gt;="&amp;DATE($B$3,1,1),반품접수!$B$3:$B$1002,"&lt;="&amp;DATE($B$3,12,31))+COUNTIFS(반품접수!$C$3:$C$1002,$A288,반품접수!$O$3:$O$1002,"부분처리",반품접수!$B$3:$B$1002,"&gt;="&amp;DATE($B$3,1,1),반품접수!$B$3:$B$1002,"&lt;="&amp;DATE($B$3,12,31)))</f>
        <v/>
      </c>
      <c r="E288" s="25" t="str">
        <f aca="false">IF($A288="","",SUMPRODUCT((반품접수!$C$3:$C$1002=$A288)*1,IFERROR(SUMIFS(처리내역!$E$3:$E$1502,처리내역!$B$3:$B$1502,반품접수!$A$3:$A$1002,처리내역!$D$3:$D$1502,"재입고"),0)))</f>
        <v/>
      </c>
      <c r="F288" s="25" t="str">
        <f aca="false">IF($A288="","",SUMPRODUCT((반품접수!$C$3:$C$1002=$A288)*1,IFERROR(SUMIFS(처리내역!$E$3:$E$1502,처리내역!$B$3:$B$1502,반품접수!$A$3:$A$1002,처리내역!$D$3:$D$1502,"폐기"),0)))</f>
        <v/>
      </c>
      <c r="G288" s="26" t="str">
        <f aca="false">IF($A288="","",IF($B288=0,"",($B288-$D288)/$B288))</f>
        <v/>
      </c>
    </row>
    <row r="289" customFormat="false" ht="15" hidden="false" customHeight="true" outlineLevel="0" collapsed="false">
      <c r="A289" s="12" t="str">
        <f aca="false">IF(거래처목록!$A286="","",거래처목록!$A286)</f>
        <v/>
      </c>
      <c r="B289" s="25" t="str">
        <f aca="false">IF($A289="","",COUNTIFS(반품접수!$C$3:$C$1002,$A289,반품접수!$B$3:$B$1002,"&gt;="&amp;DATE($B$3,1,1),반품접수!$B$3:$B$1002,"&lt;="&amp;DATE($B$3,12,31)))</f>
        <v/>
      </c>
      <c r="C289" s="25" t="str">
        <f aca="false">IF($A289="","",SUMIFS(반품접수!$I$3:$I$1002,반품접수!$C$3:$C$1002,$A289,반품접수!$B$3:$B$1002,"&gt;="&amp;DATE($B$3,1,1),반품접수!$B$3:$B$1002,"&lt;="&amp;DATE($B$3,12,31)))</f>
        <v/>
      </c>
      <c r="D289" s="25" t="str">
        <f aca="false">IF($A289="","",COUNTIFS(반품접수!$C$3:$C$1002,$A289,반품접수!$O$3:$O$1002,"미처리",반품접수!$B$3:$B$1002,"&gt;="&amp;DATE($B$3,1,1),반품접수!$B$3:$B$1002,"&lt;="&amp;DATE($B$3,12,31))+COUNTIFS(반품접수!$C$3:$C$1002,$A289,반품접수!$O$3:$O$1002,"부분처리",반품접수!$B$3:$B$1002,"&gt;="&amp;DATE($B$3,1,1),반품접수!$B$3:$B$1002,"&lt;="&amp;DATE($B$3,12,31)))</f>
        <v/>
      </c>
      <c r="E289" s="25" t="str">
        <f aca="false">IF($A289="","",SUMPRODUCT((반품접수!$C$3:$C$1002=$A289)*1,IFERROR(SUMIFS(처리내역!$E$3:$E$1502,처리내역!$B$3:$B$1502,반품접수!$A$3:$A$1002,처리내역!$D$3:$D$1502,"재입고"),0)))</f>
        <v/>
      </c>
      <c r="F289" s="25" t="str">
        <f aca="false">IF($A289="","",SUMPRODUCT((반품접수!$C$3:$C$1002=$A289)*1,IFERROR(SUMIFS(처리내역!$E$3:$E$1502,처리내역!$B$3:$B$1502,반품접수!$A$3:$A$1002,처리내역!$D$3:$D$1502,"폐기"),0)))</f>
        <v/>
      </c>
      <c r="G289" s="26" t="str">
        <f aca="false">IF($A289="","",IF($B289=0,"",($B289-$D289)/$B289))</f>
        <v/>
      </c>
    </row>
    <row r="290" customFormat="false" ht="15" hidden="false" customHeight="true" outlineLevel="0" collapsed="false">
      <c r="A290" s="12" t="str">
        <f aca="false">IF(거래처목록!$A287="","",거래처목록!$A287)</f>
        <v/>
      </c>
      <c r="B290" s="25" t="str">
        <f aca="false">IF($A290="","",COUNTIFS(반품접수!$C$3:$C$1002,$A290,반품접수!$B$3:$B$1002,"&gt;="&amp;DATE($B$3,1,1),반품접수!$B$3:$B$1002,"&lt;="&amp;DATE($B$3,12,31)))</f>
        <v/>
      </c>
      <c r="C290" s="25" t="str">
        <f aca="false">IF($A290="","",SUMIFS(반품접수!$I$3:$I$1002,반품접수!$C$3:$C$1002,$A290,반품접수!$B$3:$B$1002,"&gt;="&amp;DATE($B$3,1,1),반품접수!$B$3:$B$1002,"&lt;="&amp;DATE($B$3,12,31)))</f>
        <v/>
      </c>
      <c r="D290" s="25" t="str">
        <f aca="false">IF($A290="","",COUNTIFS(반품접수!$C$3:$C$1002,$A290,반품접수!$O$3:$O$1002,"미처리",반품접수!$B$3:$B$1002,"&gt;="&amp;DATE($B$3,1,1),반품접수!$B$3:$B$1002,"&lt;="&amp;DATE($B$3,12,31))+COUNTIFS(반품접수!$C$3:$C$1002,$A290,반품접수!$O$3:$O$1002,"부분처리",반품접수!$B$3:$B$1002,"&gt;="&amp;DATE($B$3,1,1),반품접수!$B$3:$B$1002,"&lt;="&amp;DATE($B$3,12,31)))</f>
        <v/>
      </c>
      <c r="E290" s="25" t="str">
        <f aca="false">IF($A290="","",SUMPRODUCT((반품접수!$C$3:$C$1002=$A290)*1,IFERROR(SUMIFS(처리내역!$E$3:$E$1502,처리내역!$B$3:$B$1502,반품접수!$A$3:$A$1002,처리내역!$D$3:$D$1502,"재입고"),0)))</f>
        <v/>
      </c>
      <c r="F290" s="25" t="str">
        <f aca="false">IF($A290="","",SUMPRODUCT((반품접수!$C$3:$C$1002=$A290)*1,IFERROR(SUMIFS(처리내역!$E$3:$E$1502,처리내역!$B$3:$B$1502,반품접수!$A$3:$A$1002,처리내역!$D$3:$D$1502,"폐기"),0)))</f>
        <v/>
      </c>
      <c r="G290" s="26" t="str">
        <f aca="false">IF($A290="","",IF($B290=0,"",($B290-$D290)/$B290))</f>
        <v/>
      </c>
    </row>
    <row r="291" customFormat="false" ht="15" hidden="false" customHeight="true" outlineLevel="0" collapsed="false">
      <c r="A291" s="12" t="str">
        <f aca="false">IF(거래처목록!$A288="","",거래처목록!$A288)</f>
        <v/>
      </c>
      <c r="B291" s="25" t="str">
        <f aca="false">IF($A291="","",COUNTIFS(반품접수!$C$3:$C$1002,$A291,반품접수!$B$3:$B$1002,"&gt;="&amp;DATE($B$3,1,1),반품접수!$B$3:$B$1002,"&lt;="&amp;DATE($B$3,12,31)))</f>
        <v/>
      </c>
      <c r="C291" s="25" t="str">
        <f aca="false">IF($A291="","",SUMIFS(반품접수!$I$3:$I$1002,반품접수!$C$3:$C$1002,$A291,반품접수!$B$3:$B$1002,"&gt;="&amp;DATE($B$3,1,1),반품접수!$B$3:$B$1002,"&lt;="&amp;DATE($B$3,12,31)))</f>
        <v/>
      </c>
      <c r="D291" s="25" t="str">
        <f aca="false">IF($A291="","",COUNTIFS(반품접수!$C$3:$C$1002,$A291,반품접수!$O$3:$O$1002,"미처리",반품접수!$B$3:$B$1002,"&gt;="&amp;DATE($B$3,1,1),반품접수!$B$3:$B$1002,"&lt;="&amp;DATE($B$3,12,31))+COUNTIFS(반품접수!$C$3:$C$1002,$A291,반품접수!$O$3:$O$1002,"부분처리",반품접수!$B$3:$B$1002,"&gt;="&amp;DATE($B$3,1,1),반품접수!$B$3:$B$1002,"&lt;="&amp;DATE($B$3,12,31)))</f>
        <v/>
      </c>
      <c r="E291" s="25" t="str">
        <f aca="false">IF($A291="","",SUMPRODUCT((반품접수!$C$3:$C$1002=$A291)*1,IFERROR(SUMIFS(처리내역!$E$3:$E$1502,처리내역!$B$3:$B$1502,반품접수!$A$3:$A$1002,처리내역!$D$3:$D$1502,"재입고"),0)))</f>
        <v/>
      </c>
      <c r="F291" s="25" t="str">
        <f aca="false">IF($A291="","",SUMPRODUCT((반품접수!$C$3:$C$1002=$A291)*1,IFERROR(SUMIFS(처리내역!$E$3:$E$1502,처리내역!$B$3:$B$1502,반품접수!$A$3:$A$1002,처리내역!$D$3:$D$1502,"폐기"),0)))</f>
        <v/>
      </c>
      <c r="G291" s="26" t="str">
        <f aca="false">IF($A291="","",IF($B291=0,"",($B291-$D291)/$B291))</f>
        <v/>
      </c>
    </row>
    <row r="292" customFormat="false" ht="15" hidden="false" customHeight="true" outlineLevel="0" collapsed="false">
      <c r="A292" s="12" t="str">
        <f aca="false">IF(거래처목록!$A289="","",거래처목록!$A289)</f>
        <v/>
      </c>
      <c r="B292" s="25" t="str">
        <f aca="false">IF($A292="","",COUNTIFS(반품접수!$C$3:$C$1002,$A292,반품접수!$B$3:$B$1002,"&gt;="&amp;DATE($B$3,1,1),반품접수!$B$3:$B$1002,"&lt;="&amp;DATE($B$3,12,31)))</f>
        <v/>
      </c>
      <c r="C292" s="25" t="str">
        <f aca="false">IF($A292="","",SUMIFS(반품접수!$I$3:$I$1002,반품접수!$C$3:$C$1002,$A292,반품접수!$B$3:$B$1002,"&gt;="&amp;DATE($B$3,1,1),반품접수!$B$3:$B$1002,"&lt;="&amp;DATE($B$3,12,31)))</f>
        <v/>
      </c>
      <c r="D292" s="25" t="str">
        <f aca="false">IF($A292="","",COUNTIFS(반품접수!$C$3:$C$1002,$A292,반품접수!$O$3:$O$1002,"미처리",반품접수!$B$3:$B$1002,"&gt;="&amp;DATE($B$3,1,1),반품접수!$B$3:$B$1002,"&lt;="&amp;DATE($B$3,12,31))+COUNTIFS(반품접수!$C$3:$C$1002,$A292,반품접수!$O$3:$O$1002,"부분처리",반품접수!$B$3:$B$1002,"&gt;="&amp;DATE($B$3,1,1),반품접수!$B$3:$B$1002,"&lt;="&amp;DATE($B$3,12,31)))</f>
        <v/>
      </c>
      <c r="E292" s="25" t="str">
        <f aca="false">IF($A292="","",SUMPRODUCT((반품접수!$C$3:$C$1002=$A292)*1,IFERROR(SUMIFS(처리내역!$E$3:$E$1502,처리내역!$B$3:$B$1502,반품접수!$A$3:$A$1002,처리내역!$D$3:$D$1502,"재입고"),0)))</f>
        <v/>
      </c>
      <c r="F292" s="25" t="str">
        <f aca="false">IF($A292="","",SUMPRODUCT((반품접수!$C$3:$C$1002=$A292)*1,IFERROR(SUMIFS(처리내역!$E$3:$E$1502,처리내역!$B$3:$B$1502,반품접수!$A$3:$A$1002,처리내역!$D$3:$D$1502,"폐기"),0)))</f>
        <v/>
      </c>
      <c r="G292" s="26" t="str">
        <f aca="false">IF($A292="","",IF($B292=0,"",($B292-$D292)/$B292))</f>
        <v/>
      </c>
    </row>
    <row r="293" customFormat="false" ht="15" hidden="false" customHeight="true" outlineLevel="0" collapsed="false">
      <c r="A293" s="12" t="str">
        <f aca="false">IF(거래처목록!$A290="","",거래처목록!$A290)</f>
        <v/>
      </c>
      <c r="B293" s="25" t="str">
        <f aca="false">IF($A293="","",COUNTIFS(반품접수!$C$3:$C$1002,$A293,반품접수!$B$3:$B$1002,"&gt;="&amp;DATE($B$3,1,1),반품접수!$B$3:$B$1002,"&lt;="&amp;DATE($B$3,12,31)))</f>
        <v/>
      </c>
      <c r="C293" s="25" t="str">
        <f aca="false">IF($A293="","",SUMIFS(반품접수!$I$3:$I$1002,반품접수!$C$3:$C$1002,$A293,반품접수!$B$3:$B$1002,"&gt;="&amp;DATE($B$3,1,1),반품접수!$B$3:$B$1002,"&lt;="&amp;DATE($B$3,12,31)))</f>
        <v/>
      </c>
      <c r="D293" s="25" t="str">
        <f aca="false">IF($A293="","",COUNTIFS(반품접수!$C$3:$C$1002,$A293,반품접수!$O$3:$O$1002,"미처리",반품접수!$B$3:$B$1002,"&gt;="&amp;DATE($B$3,1,1),반품접수!$B$3:$B$1002,"&lt;="&amp;DATE($B$3,12,31))+COUNTIFS(반품접수!$C$3:$C$1002,$A293,반품접수!$O$3:$O$1002,"부분처리",반품접수!$B$3:$B$1002,"&gt;="&amp;DATE($B$3,1,1),반품접수!$B$3:$B$1002,"&lt;="&amp;DATE($B$3,12,31)))</f>
        <v/>
      </c>
      <c r="E293" s="25" t="str">
        <f aca="false">IF($A293="","",SUMPRODUCT((반품접수!$C$3:$C$1002=$A293)*1,IFERROR(SUMIFS(처리내역!$E$3:$E$1502,처리내역!$B$3:$B$1502,반품접수!$A$3:$A$1002,처리내역!$D$3:$D$1502,"재입고"),0)))</f>
        <v/>
      </c>
      <c r="F293" s="25" t="str">
        <f aca="false">IF($A293="","",SUMPRODUCT((반품접수!$C$3:$C$1002=$A293)*1,IFERROR(SUMIFS(처리내역!$E$3:$E$1502,처리내역!$B$3:$B$1502,반품접수!$A$3:$A$1002,처리내역!$D$3:$D$1502,"폐기"),0)))</f>
        <v/>
      </c>
      <c r="G293" s="26" t="str">
        <f aca="false">IF($A293="","",IF($B293=0,"",($B293-$D293)/$B293))</f>
        <v/>
      </c>
    </row>
    <row r="294" customFormat="false" ht="15" hidden="false" customHeight="true" outlineLevel="0" collapsed="false">
      <c r="A294" s="12" t="str">
        <f aca="false">IF(거래처목록!$A291="","",거래처목록!$A291)</f>
        <v/>
      </c>
      <c r="B294" s="25" t="str">
        <f aca="false">IF($A294="","",COUNTIFS(반품접수!$C$3:$C$1002,$A294,반품접수!$B$3:$B$1002,"&gt;="&amp;DATE($B$3,1,1),반품접수!$B$3:$B$1002,"&lt;="&amp;DATE($B$3,12,31)))</f>
        <v/>
      </c>
      <c r="C294" s="25" t="str">
        <f aca="false">IF($A294="","",SUMIFS(반품접수!$I$3:$I$1002,반품접수!$C$3:$C$1002,$A294,반품접수!$B$3:$B$1002,"&gt;="&amp;DATE($B$3,1,1),반품접수!$B$3:$B$1002,"&lt;="&amp;DATE($B$3,12,31)))</f>
        <v/>
      </c>
      <c r="D294" s="25" t="str">
        <f aca="false">IF($A294="","",COUNTIFS(반품접수!$C$3:$C$1002,$A294,반품접수!$O$3:$O$1002,"미처리",반품접수!$B$3:$B$1002,"&gt;="&amp;DATE($B$3,1,1),반품접수!$B$3:$B$1002,"&lt;="&amp;DATE($B$3,12,31))+COUNTIFS(반품접수!$C$3:$C$1002,$A294,반품접수!$O$3:$O$1002,"부분처리",반품접수!$B$3:$B$1002,"&gt;="&amp;DATE($B$3,1,1),반품접수!$B$3:$B$1002,"&lt;="&amp;DATE($B$3,12,31)))</f>
        <v/>
      </c>
      <c r="E294" s="25" t="str">
        <f aca="false">IF($A294="","",SUMPRODUCT((반품접수!$C$3:$C$1002=$A294)*1,IFERROR(SUMIFS(처리내역!$E$3:$E$1502,처리내역!$B$3:$B$1502,반품접수!$A$3:$A$1002,처리내역!$D$3:$D$1502,"재입고"),0)))</f>
        <v/>
      </c>
      <c r="F294" s="25" t="str">
        <f aca="false">IF($A294="","",SUMPRODUCT((반품접수!$C$3:$C$1002=$A294)*1,IFERROR(SUMIFS(처리내역!$E$3:$E$1502,처리내역!$B$3:$B$1502,반품접수!$A$3:$A$1002,처리내역!$D$3:$D$1502,"폐기"),0)))</f>
        <v/>
      </c>
      <c r="G294" s="26" t="str">
        <f aca="false">IF($A294="","",IF($B294=0,"",($B294-$D294)/$B294))</f>
        <v/>
      </c>
    </row>
    <row r="295" customFormat="false" ht="15" hidden="false" customHeight="true" outlineLevel="0" collapsed="false">
      <c r="A295" s="12" t="str">
        <f aca="false">IF(거래처목록!$A292="","",거래처목록!$A292)</f>
        <v/>
      </c>
      <c r="B295" s="25" t="str">
        <f aca="false">IF($A295="","",COUNTIFS(반품접수!$C$3:$C$1002,$A295,반품접수!$B$3:$B$1002,"&gt;="&amp;DATE($B$3,1,1),반품접수!$B$3:$B$1002,"&lt;="&amp;DATE($B$3,12,31)))</f>
        <v/>
      </c>
      <c r="C295" s="25" t="str">
        <f aca="false">IF($A295="","",SUMIFS(반품접수!$I$3:$I$1002,반품접수!$C$3:$C$1002,$A295,반품접수!$B$3:$B$1002,"&gt;="&amp;DATE($B$3,1,1),반품접수!$B$3:$B$1002,"&lt;="&amp;DATE($B$3,12,31)))</f>
        <v/>
      </c>
      <c r="D295" s="25" t="str">
        <f aca="false">IF($A295="","",COUNTIFS(반품접수!$C$3:$C$1002,$A295,반품접수!$O$3:$O$1002,"미처리",반품접수!$B$3:$B$1002,"&gt;="&amp;DATE($B$3,1,1),반품접수!$B$3:$B$1002,"&lt;="&amp;DATE($B$3,12,31))+COUNTIFS(반품접수!$C$3:$C$1002,$A295,반품접수!$O$3:$O$1002,"부분처리",반품접수!$B$3:$B$1002,"&gt;="&amp;DATE($B$3,1,1),반품접수!$B$3:$B$1002,"&lt;="&amp;DATE($B$3,12,31)))</f>
        <v/>
      </c>
      <c r="E295" s="25" t="str">
        <f aca="false">IF($A295="","",SUMPRODUCT((반품접수!$C$3:$C$1002=$A295)*1,IFERROR(SUMIFS(처리내역!$E$3:$E$1502,처리내역!$B$3:$B$1502,반품접수!$A$3:$A$1002,처리내역!$D$3:$D$1502,"재입고"),0)))</f>
        <v/>
      </c>
      <c r="F295" s="25" t="str">
        <f aca="false">IF($A295="","",SUMPRODUCT((반품접수!$C$3:$C$1002=$A295)*1,IFERROR(SUMIFS(처리내역!$E$3:$E$1502,처리내역!$B$3:$B$1502,반품접수!$A$3:$A$1002,처리내역!$D$3:$D$1502,"폐기"),0)))</f>
        <v/>
      </c>
      <c r="G295" s="26" t="str">
        <f aca="false">IF($A295="","",IF($B295=0,"",($B295-$D295)/$B295))</f>
        <v/>
      </c>
    </row>
    <row r="296" customFormat="false" ht="15" hidden="false" customHeight="true" outlineLevel="0" collapsed="false">
      <c r="A296" s="12" t="str">
        <f aca="false">IF(거래처목록!$A293="","",거래처목록!$A293)</f>
        <v/>
      </c>
      <c r="B296" s="25" t="str">
        <f aca="false">IF($A296="","",COUNTIFS(반품접수!$C$3:$C$1002,$A296,반품접수!$B$3:$B$1002,"&gt;="&amp;DATE($B$3,1,1),반품접수!$B$3:$B$1002,"&lt;="&amp;DATE($B$3,12,31)))</f>
        <v/>
      </c>
      <c r="C296" s="25" t="str">
        <f aca="false">IF($A296="","",SUMIFS(반품접수!$I$3:$I$1002,반품접수!$C$3:$C$1002,$A296,반품접수!$B$3:$B$1002,"&gt;="&amp;DATE($B$3,1,1),반품접수!$B$3:$B$1002,"&lt;="&amp;DATE($B$3,12,31)))</f>
        <v/>
      </c>
      <c r="D296" s="25" t="str">
        <f aca="false">IF($A296="","",COUNTIFS(반품접수!$C$3:$C$1002,$A296,반품접수!$O$3:$O$1002,"미처리",반품접수!$B$3:$B$1002,"&gt;="&amp;DATE($B$3,1,1),반품접수!$B$3:$B$1002,"&lt;="&amp;DATE($B$3,12,31))+COUNTIFS(반품접수!$C$3:$C$1002,$A296,반품접수!$O$3:$O$1002,"부분처리",반품접수!$B$3:$B$1002,"&gt;="&amp;DATE($B$3,1,1),반품접수!$B$3:$B$1002,"&lt;="&amp;DATE($B$3,12,31)))</f>
        <v/>
      </c>
      <c r="E296" s="25" t="str">
        <f aca="false">IF($A296="","",SUMPRODUCT((반품접수!$C$3:$C$1002=$A296)*1,IFERROR(SUMIFS(처리내역!$E$3:$E$1502,처리내역!$B$3:$B$1502,반품접수!$A$3:$A$1002,처리내역!$D$3:$D$1502,"재입고"),0)))</f>
        <v/>
      </c>
      <c r="F296" s="25" t="str">
        <f aca="false">IF($A296="","",SUMPRODUCT((반품접수!$C$3:$C$1002=$A296)*1,IFERROR(SUMIFS(처리내역!$E$3:$E$1502,처리내역!$B$3:$B$1502,반품접수!$A$3:$A$1002,처리내역!$D$3:$D$1502,"폐기"),0)))</f>
        <v/>
      </c>
      <c r="G296" s="26" t="str">
        <f aca="false">IF($A296="","",IF($B296=0,"",($B296-$D296)/$B296))</f>
        <v/>
      </c>
    </row>
    <row r="297" customFormat="false" ht="15" hidden="false" customHeight="true" outlineLevel="0" collapsed="false">
      <c r="A297" s="12" t="str">
        <f aca="false">IF(거래처목록!$A294="","",거래처목록!$A294)</f>
        <v/>
      </c>
      <c r="B297" s="25" t="str">
        <f aca="false">IF($A297="","",COUNTIFS(반품접수!$C$3:$C$1002,$A297,반품접수!$B$3:$B$1002,"&gt;="&amp;DATE($B$3,1,1),반품접수!$B$3:$B$1002,"&lt;="&amp;DATE($B$3,12,31)))</f>
        <v/>
      </c>
      <c r="C297" s="25" t="str">
        <f aca="false">IF($A297="","",SUMIFS(반품접수!$I$3:$I$1002,반품접수!$C$3:$C$1002,$A297,반품접수!$B$3:$B$1002,"&gt;="&amp;DATE($B$3,1,1),반품접수!$B$3:$B$1002,"&lt;="&amp;DATE($B$3,12,31)))</f>
        <v/>
      </c>
      <c r="D297" s="25" t="str">
        <f aca="false">IF($A297="","",COUNTIFS(반품접수!$C$3:$C$1002,$A297,반품접수!$O$3:$O$1002,"미처리",반품접수!$B$3:$B$1002,"&gt;="&amp;DATE($B$3,1,1),반품접수!$B$3:$B$1002,"&lt;="&amp;DATE($B$3,12,31))+COUNTIFS(반품접수!$C$3:$C$1002,$A297,반품접수!$O$3:$O$1002,"부분처리",반품접수!$B$3:$B$1002,"&gt;="&amp;DATE($B$3,1,1),반품접수!$B$3:$B$1002,"&lt;="&amp;DATE($B$3,12,31)))</f>
        <v/>
      </c>
      <c r="E297" s="25" t="str">
        <f aca="false">IF($A297="","",SUMPRODUCT((반품접수!$C$3:$C$1002=$A297)*1,IFERROR(SUMIFS(처리내역!$E$3:$E$1502,처리내역!$B$3:$B$1502,반품접수!$A$3:$A$1002,처리내역!$D$3:$D$1502,"재입고"),0)))</f>
        <v/>
      </c>
      <c r="F297" s="25" t="str">
        <f aca="false">IF($A297="","",SUMPRODUCT((반품접수!$C$3:$C$1002=$A297)*1,IFERROR(SUMIFS(처리내역!$E$3:$E$1502,처리내역!$B$3:$B$1502,반품접수!$A$3:$A$1002,처리내역!$D$3:$D$1502,"폐기"),0)))</f>
        <v/>
      </c>
      <c r="G297" s="26" t="str">
        <f aca="false">IF($A297="","",IF($B297=0,"",($B297-$D297)/$B297))</f>
        <v/>
      </c>
    </row>
    <row r="298" customFormat="false" ht="15" hidden="false" customHeight="true" outlineLevel="0" collapsed="false">
      <c r="A298" s="12" t="str">
        <f aca="false">IF(거래처목록!$A295="","",거래처목록!$A295)</f>
        <v/>
      </c>
      <c r="B298" s="25" t="str">
        <f aca="false">IF($A298="","",COUNTIFS(반품접수!$C$3:$C$1002,$A298,반품접수!$B$3:$B$1002,"&gt;="&amp;DATE($B$3,1,1),반품접수!$B$3:$B$1002,"&lt;="&amp;DATE($B$3,12,31)))</f>
        <v/>
      </c>
      <c r="C298" s="25" t="str">
        <f aca="false">IF($A298="","",SUMIFS(반품접수!$I$3:$I$1002,반품접수!$C$3:$C$1002,$A298,반품접수!$B$3:$B$1002,"&gt;="&amp;DATE($B$3,1,1),반품접수!$B$3:$B$1002,"&lt;="&amp;DATE($B$3,12,31)))</f>
        <v/>
      </c>
      <c r="D298" s="25" t="str">
        <f aca="false">IF($A298="","",COUNTIFS(반품접수!$C$3:$C$1002,$A298,반품접수!$O$3:$O$1002,"미처리",반품접수!$B$3:$B$1002,"&gt;="&amp;DATE($B$3,1,1),반품접수!$B$3:$B$1002,"&lt;="&amp;DATE($B$3,12,31))+COUNTIFS(반품접수!$C$3:$C$1002,$A298,반품접수!$O$3:$O$1002,"부분처리",반품접수!$B$3:$B$1002,"&gt;="&amp;DATE($B$3,1,1),반품접수!$B$3:$B$1002,"&lt;="&amp;DATE($B$3,12,31)))</f>
        <v/>
      </c>
      <c r="E298" s="25" t="str">
        <f aca="false">IF($A298="","",SUMPRODUCT((반품접수!$C$3:$C$1002=$A298)*1,IFERROR(SUMIFS(처리내역!$E$3:$E$1502,처리내역!$B$3:$B$1502,반품접수!$A$3:$A$1002,처리내역!$D$3:$D$1502,"재입고"),0)))</f>
        <v/>
      </c>
      <c r="F298" s="25" t="str">
        <f aca="false">IF($A298="","",SUMPRODUCT((반품접수!$C$3:$C$1002=$A298)*1,IFERROR(SUMIFS(처리내역!$E$3:$E$1502,처리내역!$B$3:$B$1502,반품접수!$A$3:$A$1002,처리내역!$D$3:$D$1502,"폐기"),0)))</f>
        <v/>
      </c>
      <c r="G298" s="26" t="str">
        <f aca="false">IF($A298="","",IF($B298=0,"",($B298-$D298)/$B298))</f>
        <v/>
      </c>
    </row>
    <row r="299" customFormat="false" ht="15" hidden="false" customHeight="true" outlineLevel="0" collapsed="false">
      <c r="A299" s="12" t="str">
        <f aca="false">IF(거래처목록!$A296="","",거래처목록!$A296)</f>
        <v/>
      </c>
      <c r="B299" s="25" t="str">
        <f aca="false">IF($A299="","",COUNTIFS(반품접수!$C$3:$C$1002,$A299,반품접수!$B$3:$B$1002,"&gt;="&amp;DATE($B$3,1,1),반품접수!$B$3:$B$1002,"&lt;="&amp;DATE($B$3,12,31)))</f>
        <v/>
      </c>
      <c r="C299" s="25" t="str">
        <f aca="false">IF($A299="","",SUMIFS(반품접수!$I$3:$I$1002,반품접수!$C$3:$C$1002,$A299,반품접수!$B$3:$B$1002,"&gt;="&amp;DATE($B$3,1,1),반품접수!$B$3:$B$1002,"&lt;="&amp;DATE($B$3,12,31)))</f>
        <v/>
      </c>
      <c r="D299" s="25" t="str">
        <f aca="false">IF($A299="","",COUNTIFS(반품접수!$C$3:$C$1002,$A299,반품접수!$O$3:$O$1002,"미처리",반품접수!$B$3:$B$1002,"&gt;="&amp;DATE($B$3,1,1),반품접수!$B$3:$B$1002,"&lt;="&amp;DATE($B$3,12,31))+COUNTIFS(반품접수!$C$3:$C$1002,$A299,반품접수!$O$3:$O$1002,"부분처리",반품접수!$B$3:$B$1002,"&gt;="&amp;DATE($B$3,1,1),반품접수!$B$3:$B$1002,"&lt;="&amp;DATE($B$3,12,31)))</f>
        <v/>
      </c>
      <c r="E299" s="25" t="str">
        <f aca="false">IF($A299="","",SUMPRODUCT((반품접수!$C$3:$C$1002=$A299)*1,IFERROR(SUMIFS(처리내역!$E$3:$E$1502,처리내역!$B$3:$B$1502,반품접수!$A$3:$A$1002,처리내역!$D$3:$D$1502,"재입고"),0)))</f>
        <v/>
      </c>
      <c r="F299" s="25" t="str">
        <f aca="false">IF($A299="","",SUMPRODUCT((반품접수!$C$3:$C$1002=$A299)*1,IFERROR(SUMIFS(처리내역!$E$3:$E$1502,처리내역!$B$3:$B$1502,반품접수!$A$3:$A$1002,처리내역!$D$3:$D$1502,"폐기"),0)))</f>
        <v/>
      </c>
      <c r="G299" s="26" t="str">
        <f aca="false">IF($A299="","",IF($B299=0,"",($B299-$D299)/$B299))</f>
        <v/>
      </c>
    </row>
    <row r="300" customFormat="false" ht="15" hidden="false" customHeight="true" outlineLevel="0" collapsed="false">
      <c r="A300" s="12" t="str">
        <f aca="false">IF(거래처목록!$A297="","",거래처목록!$A297)</f>
        <v/>
      </c>
      <c r="B300" s="25" t="str">
        <f aca="false">IF($A300="","",COUNTIFS(반품접수!$C$3:$C$1002,$A300,반품접수!$B$3:$B$1002,"&gt;="&amp;DATE($B$3,1,1),반품접수!$B$3:$B$1002,"&lt;="&amp;DATE($B$3,12,31)))</f>
        <v/>
      </c>
      <c r="C300" s="25" t="str">
        <f aca="false">IF($A300="","",SUMIFS(반품접수!$I$3:$I$1002,반품접수!$C$3:$C$1002,$A300,반품접수!$B$3:$B$1002,"&gt;="&amp;DATE($B$3,1,1),반품접수!$B$3:$B$1002,"&lt;="&amp;DATE($B$3,12,31)))</f>
        <v/>
      </c>
      <c r="D300" s="25" t="str">
        <f aca="false">IF($A300="","",COUNTIFS(반품접수!$C$3:$C$1002,$A300,반품접수!$O$3:$O$1002,"미처리",반품접수!$B$3:$B$1002,"&gt;="&amp;DATE($B$3,1,1),반품접수!$B$3:$B$1002,"&lt;="&amp;DATE($B$3,12,31))+COUNTIFS(반품접수!$C$3:$C$1002,$A300,반품접수!$O$3:$O$1002,"부분처리",반품접수!$B$3:$B$1002,"&gt;="&amp;DATE($B$3,1,1),반품접수!$B$3:$B$1002,"&lt;="&amp;DATE($B$3,12,31)))</f>
        <v/>
      </c>
      <c r="E300" s="25" t="str">
        <f aca="false">IF($A300="","",SUMPRODUCT((반품접수!$C$3:$C$1002=$A300)*1,IFERROR(SUMIFS(처리내역!$E$3:$E$1502,처리내역!$B$3:$B$1502,반품접수!$A$3:$A$1002,처리내역!$D$3:$D$1502,"재입고"),0)))</f>
        <v/>
      </c>
      <c r="F300" s="25" t="str">
        <f aca="false">IF($A300="","",SUMPRODUCT((반품접수!$C$3:$C$1002=$A300)*1,IFERROR(SUMIFS(처리내역!$E$3:$E$1502,처리내역!$B$3:$B$1502,반품접수!$A$3:$A$1002,처리내역!$D$3:$D$1502,"폐기"),0)))</f>
        <v/>
      </c>
      <c r="G300" s="26" t="str">
        <f aca="false">IF($A300="","",IF($B300=0,"",($B300-$D300)/$B300))</f>
        <v/>
      </c>
    </row>
    <row r="301" customFormat="false" ht="15" hidden="false" customHeight="true" outlineLevel="0" collapsed="false">
      <c r="A301" s="12" t="str">
        <f aca="false">IF(거래처목록!$A298="","",거래처목록!$A298)</f>
        <v/>
      </c>
      <c r="B301" s="25" t="str">
        <f aca="false">IF($A301="","",COUNTIFS(반품접수!$C$3:$C$1002,$A301,반품접수!$B$3:$B$1002,"&gt;="&amp;DATE($B$3,1,1),반품접수!$B$3:$B$1002,"&lt;="&amp;DATE($B$3,12,31)))</f>
        <v/>
      </c>
      <c r="C301" s="25" t="str">
        <f aca="false">IF($A301="","",SUMIFS(반품접수!$I$3:$I$1002,반품접수!$C$3:$C$1002,$A301,반품접수!$B$3:$B$1002,"&gt;="&amp;DATE($B$3,1,1),반품접수!$B$3:$B$1002,"&lt;="&amp;DATE($B$3,12,31)))</f>
        <v/>
      </c>
      <c r="D301" s="25" t="str">
        <f aca="false">IF($A301="","",COUNTIFS(반품접수!$C$3:$C$1002,$A301,반품접수!$O$3:$O$1002,"미처리",반품접수!$B$3:$B$1002,"&gt;="&amp;DATE($B$3,1,1),반품접수!$B$3:$B$1002,"&lt;="&amp;DATE($B$3,12,31))+COUNTIFS(반품접수!$C$3:$C$1002,$A301,반품접수!$O$3:$O$1002,"부분처리",반품접수!$B$3:$B$1002,"&gt;="&amp;DATE($B$3,1,1),반품접수!$B$3:$B$1002,"&lt;="&amp;DATE($B$3,12,31)))</f>
        <v/>
      </c>
      <c r="E301" s="25" t="str">
        <f aca="false">IF($A301="","",SUMPRODUCT((반품접수!$C$3:$C$1002=$A301)*1,IFERROR(SUMIFS(처리내역!$E$3:$E$1502,처리내역!$B$3:$B$1502,반품접수!$A$3:$A$1002,처리내역!$D$3:$D$1502,"재입고"),0)))</f>
        <v/>
      </c>
      <c r="F301" s="25" t="str">
        <f aca="false">IF($A301="","",SUMPRODUCT((반품접수!$C$3:$C$1002=$A301)*1,IFERROR(SUMIFS(처리내역!$E$3:$E$1502,처리내역!$B$3:$B$1502,반품접수!$A$3:$A$1002,처리내역!$D$3:$D$1502,"폐기"),0)))</f>
        <v/>
      </c>
      <c r="G301" s="26" t="str">
        <f aca="false">IF($A301="","",IF($B301=0,"",($B301-$D301)/$B301))</f>
        <v/>
      </c>
    </row>
    <row r="302" customFormat="false" ht="15" hidden="false" customHeight="true" outlineLevel="0" collapsed="false">
      <c r="A302" s="12" t="str">
        <f aca="false">IF(거래처목록!$A299="","",거래처목록!$A299)</f>
        <v/>
      </c>
      <c r="B302" s="25" t="str">
        <f aca="false">IF($A302="","",COUNTIFS(반품접수!$C$3:$C$1002,$A302,반품접수!$B$3:$B$1002,"&gt;="&amp;DATE($B$3,1,1),반품접수!$B$3:$B$1002,"&lt;="&amp;DATE($B$3,12,31)))</f>
        <v/>
      </c>
      <c r="C302" s="25" t="str">
        <f aca="false">IF($A302="","",SUMIFS(반품접수!$I$3:$I$1002,반품접수!$C$3:$C$1002,$A302,반품접수!$B$3:$B$1002,"&gt;="&amp;DATE($B$3,1,1),반품접수!$B$3:$B$1002,"&lt;="&amp;DATE($B$3,12,31)))</f>
        <v/>
      </c>
      <c r="D302" s="25" t="str">
        <f aca="false">IF($A302="","",COUNTIFS(반품접수!$C$3:$C$1002,$A302,반품접수!$O$3:$O$1002,"미처리",반품접수!$B$3:$B$1002,"&gt;="&amp;DATE($B$3,1,1),반품접수!$B$3:$B$1002,"&lt;="&amp;DATE($B$3,12,31))+COUNTIFS(반품접수!$C$3:$C$1002,$A302,반품접수!$O$3:$O$1002,"부분처리",반품접수!$B$3:$B$1002,"&gt;="&amp;DATE($B$3,1,1),반품접수!$B$3:$B$1002,"&lt;="&amp;DATE($B$3,12,31)))</f>
        <v/>
      </c>
      <c r="E302" s="25" t="str">
        <f aca="false">IF($A302="","",SUMPRODUCT((반품접수!$C$3:$C$1002=$A302)*1,IFERROR(SUMIFS(처리내역!$E$3:$E$1502,처리내역!$B$3:$B$1502,반품접수!$A$3:$A$1002,처리내역!$D$3:$D$1502,"재입고"),0)))</f>
        <v/>
      </c>
      <c r="F302" s="25" t="str">
        <f aca="false">IF($A302="","",SUMPRODUCT((반품접수!$C$3:$C$1002=$A302)*1,IFERROR(SUMIFS(처리내역!$E$3:$E$1502,처리내역!$B$3:$B$1502,반품접수!$A$3:$A$1002,처리내역!$D$3:$D$1502,"폐기"),0)))</f>
        <v/>
      </c>
      <c r="G302" s="26" t="str">
        <f aca="false">IF($A302="","",IF($B302=0,"",($B302-$D302)/$B302))</f>
        <v/>
      </c>
    </row>
    <row r="303" customFormat="false" ht="15" hidden="false" customHeight="true" outlineLevel="0" collapsed="false">
      <c r="A303" s="12" t="str">
        <f aca="false">IF(거래처목록!$A300="","",거래처목록!$A300)</f>
        <v/>
      </c>
      <c r="B303" s="25" t="str">
        <f aca="false">IF($A303="","",COUNTIFS(반품접수!$C$3:$C$1002,$A303,반품접수!$B$3:$B$1002,"&gt;="&amp;DATE($B$3,1,1),반품접수!$B$3:$B$1002,"&lt;="&amp;DATE($B$3,12,31)))</f>
        <v/>
      </c>
      <c r="C303" s="25" t="str">
        <f aca="false">IF($A303="","",SUMIFS(반품접수!$I$3:$I$1002,반품접수!$C$3:$C$1002,$A303,반품접수!$B$3:$B$1002,"&gt;="&amp;DATE($B$3,1,1),반품접수!$B$3:$B$1002,"&lt;="&amp;DATE($B$3,12,31)))</f>
        <v/>
      </c>
      <c r="D303" s="25" t="str">
        <f aca="false">IF($A303="","",COUNTIFS(반품접수!$C$3:$C$1002,$A303,반품접수!$O$3:$O$1002,"미처리",반품접수!$B$3:$B$1002,"&gt;="&amp;DATE($B$3,1,1),반품접수!$B$3:$B$1002,"&lt;="&amp;DATE($B$3,12,31))+COUNTIFS(반품접수!$C$3:$C$1002,$A303,반품접수!$O$3:$O$1002,"부분처리",반품접수!$B$3:$B$1002,"&gt;="&amp;DATE($B$3,1,1),반품접수!$B$3:$B$1002,"&lt;="&amp;DATE($B$3,12,31)))</f>
        <v/>
      </c>
      <c r="E303" s="25" t="str">
        <f aca="false">IF($A303="","",SUMPRODUCT((반품접수!$C$3:$C$1002=$A303)*1,IFERROR(SUMIFS(처리내역!$E$3:$E$1502,처리내역!$B$3:$B$1502,반품접수!$A$3:$A$1002,처리내역!$D$3:$D$1502,"재입고"),0)))</f>
        <v/>
      </c>
      <c r="F303" s="25" t="str">
        <f aca="false">IF($A303="","",SUMPRODUCT((반품접수!$C$3:$C$1002=$A303)*1,IFERROR(SUMIFS(처리내역!$E$3:$E$1502,처리내역!$B$3:$B$1502,반품접수!$A$3:$A$1002,처리내역!$D$3:$D$1502,"폐기"),0)))</f>
        <v/>
      </c>
      <c r="G303" s="26" t="str">
        <f aca="false">IF($A303="","",IF($B303=0,"",($B303-$D303)/$B303))</f>
        <v/>
      </c>
    </row>
    <row r="304" customFormat="false" ht="15" hidden="false" customHeight="true" outlineLevel="0" collapsed="false">
      <c r="A304" s="12" t="str">
        <f aca="false">IF(거래처목록!$A301="","",거래처목록!$A301)</f>
        <v/>
      </c>
      <c r="B304" s="25" t="str">
        <f aca="false">IF($A304="","",COUNTIFS(반품접수!$C$3:$C$1002,$A304,반품접수!$B$3:$B$1002,"&gt;="&amp;DATE($B$3,1,1),반품접수!$B$3:$B$1002,"&lt;="&amp;DATE($B$3,12,31)))</f>
        <v/>
      </c>
      <c r="C304" s="25" t="str">
        <f aca="false">IF($A304="","",SUMIFS(반품접수!$I$3:$I$1002,반품접수!$C$3:$C$1002,$A304,반품접수!$B$3:$B$1002,"&gt;="&amp;DATE($B$3,1,1),반품접수!$B$3:$B$1002,"&lt;="&amp;DATE($B$3,12,31)))</f>
        <v/>
      </c>
      <c r="D304" s="25" t="str">
        <f aca="false">IF($A304="","",COUNTIFS(반품접수!$C$3:$C$1002,$A304,반품접수!$O$3:$O$1002,"미처리",반품접수!$B$3:$B$1002,"&gt;="&amp;DATE($B$3,1,1),반품접수!$B$3:$B$1002,"&lt;="&amp;DATE($B$3,12,31))+COUNTIFS(반품접수!$C$3:$C$1002,$A304,반품접수!$O$3:$O$1002,"부분처리",반품접수!$B$3:$B$1002,"&gt;="&amp;DATE($B$3,1,1),반품접수!$B$3:$B$1002,"&lt;="&amp;DATE($B$3,12,31)))</f>
        <v/>
      </c>
      <c r="E304" s="25" t="str">
        <f aca="false">IF($A304="","",SUMPRODUCT((반품접수!$C$3:$C$1002=$A304)*1,IFERROR(SUMIFS(처리내역!$E$3:$E$1502,처리내역!$B$3:$B$1502,반품접수!$A$3:$A$1002,처리내역!$D$3:$D$1502,"재입고"),0)))</f>
        <v/>
      </c>
      <c r="F304" s="25" t="str">
        <f aca="false">IF($A304="","",SUMPRODUCT((반품접수!$C$3:$C$1002=$A304)*1,IFERROR(SUMIFS(처리내역!$E$3:$E$1502,처리내역!$B$3:$B$1502,반품접수!$A$3:$A$1002,처리내역!$D$3:$D$1502,"폐기"),0)))</f>
        <v/>
      </c>
      <c r="G304" s="26" t="str">
        <f aca="false">IF($A304="","",IF($B304=0,"",($B304-$D304)/$B304))</f>
        <v/>
      </c>
    </row>
    <row r="305" customFormat="false" ht="15" hidden="false" customHeight="true" outlineLevel="0" collapsed="false">
      <c r="A305" s="12" t="str">
        <f aca="false">IF(거래처목록!$A302="","",거래처목록!$A302)</f>
        <v/>
      </c>
      <c r="B305" s="25" t="str">
        <f aca="false">IF($A305="","",COUNTIFS(반품접수!$C$3:$C$1002,$A305,반품접수!$B$3:$B$1002,"&gt;="&amp;DATE($B$3,1,1),반품접수!$B$3:$B$1002,"&lt;="&amp;DATE($B$3,12,31)))</f>
        <v/>
      </c>
      <c r="C305" s="25" t="str">
        <f aca="false">IF($A305="","",SUMIFS(반품접수!$I$3:$I$1002,반품접수!$C$3:$C$1002,$A305,반품접수!$B$3:$B$1002,"&gt;="&amp;DATE($B$3,1,1),반품접수!$B$3:$B$1002,"&lt;="&amp;DATE($B$3,12,31)))</f>
        <v/>
      </c>
      <c r="D305" s="25" t="str">
        <f aca="false">IF($A305="","",COUNTIFS(반품접수!$C$3:$C$1002,$A305,반품접수!$O$3:$O$1002,"미처리",반품접수!$B$3:$B$1002,"&gt;="&amp;DATE($B$3,1,1),반품접수!$B$3:$B$1002,"&lt;="&amp;DATE($B$3,12,31))+COUNTIFS(반품접수!$C$3:$C$1002,$A305,반품접수!$O$3:$O$1002,"부분처리",반품접수!$B$3:$B$1002,"&gt;="&amp;DATE($B$3,1,1),반품접수!$B$3:$B$1002,"&lt;="&amp;DATE($B$3,12,31)))</f>
        <v/>
      </c>
      <c r="E305" s="25" t="str">
        <f aca="false">IF($A305="","",SUMPRODUCT((반품접수!$C$3:$C$1002=$A305)*1,IFERROR(SUMIFS(처리내역!$E$3:$E$1502,처리내역!$B$3:$B$1502,반품접수!$A$3:$A$1002,처리내역!$D$3:$D$1502,"재입고"),0)))</f>
        <v/>
      </c>
      <c r="F305" s="25" t="str">
        <f aca="false">IF($A305="","",SUMPRODUCT((반품접수!$C$3:$C$1002=$A305)*1,IFERROR(SUMIFS(처리내역!$E$3:$E$1502,처리내역!$B$3:$B$1502,반품접수!$A$3:$A$1002,처리내역!$D$3:$D$1502,"폐기"),0)))</f>
        <v/>
      </c>
      <c r="G305" s="26" t="str">
        <f aca="false">IF($A305="","",IF($B305=0,"",($B305-$D305)/$B305))</f>
        <v/>
      </c>
    </row>
    <row r="307" customFormat="false" ht="15" hidden="false" customHeight="true" outlineLevel="0" collapsed="false">
      <c r="A307" s="30" t="s">
        <v>114</v>
      </c>
      <c r="B307" s="29" t="n">
        <f aca="false">SUM(B6:B305)</f>
        <v>5</v>
      </c>
      <c r="C307" s="29" t="n">
        <f aca="false">SUM(C6:C305)</f>
        <v>256</v>
      </c>
      <c r="D307" s="29" t="n">
        <f aca="false">SUM(D6:D305)</f>
        <v>3</v>
      </c>
      <c r="E307" s="29" t="n">
        <f aca="false">SUM(E6:E305)</f>
        <v>30</v>
      </c>
      <c r="F307" s="29" t="n">
        <f aca="false">SUM(F6:F305)</f>
        <v>22</v>
      </c>
    </row>
  </sheetData>
  <mergeCells count="1">
    <mergeCell ref="A1:G1"/>
  </mergeCells>
  <conditionalFormatting sqref="A6:G305">
    <cfRule type="expression" priority="2" aboveAverage="0" equalAverage="0" bottom="0" percent="0" rank="0" text="" dxfId="2">
      <formula>AND($A6&lt;&gt;"",$D6&gt;0)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6" min="4" style="1" width="11"/>
    <col collapsed="false" customWidth="true" hidden="false" outlineLevel="0" max="7" min="7" style="1" width="14"/>
    <col collapsed="false" customWidth="true" hidden="false" outlineLevel="0" max="8" min="8" style="1" width="15"/>
  </cols>
  <sheetData>
    <row r="1" customFormat="false" ht="25.5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99</v>
      </c>
      <c r="B3" s="23" t="n">
        <v>2026</v>
      </c>
    </row>
    <row r="5" customFormat="false" ht="15" hidden="false" customHeight="true" outlineLevel="0" collapsed="false">
      <c r="A5" s="8" t="s">
        <v>123</v>
      </c>
      <c r="B5" s="8" t="s">
        <v>117</v>
      </c>
      <c r="C5" s="8" t="s">
        <v>118</v>
      </c>
      <c r="D5" s="8" t="s">
        <v>124</v>
      </c>
      <c r="E5" s="8" t="s">
        <v>125</v>
      </c>
      <c r="F5" s="8" t="s">
        <v>126</v>
      </c>
      <c r="G5" s="8" t="s">
        <v>127</v>
      </c>
      <c r="H5" s="8" t="s">
        <v>105</v>
      </c>
    </row>
    <row r="6" customFormat="false" ht="15" hidden="false" customHeight="true" outlineLevel="0" collapsed="false">
      <c r="A6" s="19" t="n">
        <v>1</v>
      </c>
      <c r="B6" s="25" t="n">
        <f aca="false">COUNTIFS(반품접수!$B$3:$B$1002,"&gt;="&amp;DATE($B$3,1,1),반품접수!$B$3:$B$1002,"&lt;="&amp;EOMONTH(DATE($B$3,1,1),0))</f>
        <v>0</v>
      </c>
      <c r="C6" s="25" t="n">
        <f aca="false">SUMIFS(반품접수!$I$3:$I$1002,반품접수!$B$3:$B$1002,"&gt;="&amp;DATE($B$3,1,1),반품접수!$B$3:$B$1002,"&lt;="&amp;EOMONTH(DATE($B$3,1,1),0))</f>
        <v>0</v>
      </c>
      <c r="D6" s="25" t="n">
        <f aca="false">COUNTIFS(반품접수!$J$3:$J$1002,"반품",반품접수!$B$3:$B$1002,"&gt;="&amp;DATE($B$3,1,1),반품접수!$B$3:$B$1002,"&lt;="&amp;EOMONTH(DATE($B$3,1,1),0))</f>
        <v>0</v>
      </c>
      <c r="E6" s="25" t="n">
        <f aca="false">COUNTIFS(반품접수!$J$3:$J$1002,"불량",반품접수!$B$3:$B$1002,"&gt;="&amp;DATE($B$3,1,1),반품접수!$B$3:$B$1002,"&lt;="&amp;EOMONTH(DATE($B$3,1,1),0))</f>
        <v>0</v>
      </c>
      <c r="F6" s="25" t="n">
        <f aca="false">COUNTIFS(반품접수!$J$3:$J$1002,"교환",반품접수!$B$3:$B$1002,"&gt;="&amp;DATE($B$3,1,1),반품접수!$B$3:$B$1002,"&lt;="&amp;EOMONTH(DATE($B$3,1,1),0))</f>
        <v>0</v>
      </c>
      <c r="G6" s="25" t="n">
        <f aca="false">SUMIFS(처리내역!$E$3:$E$1502,처리내역!$A$3:$A$1502,"&gt;="&amp;DATE($B$3,1,1),처리내역!$A$3:$A$1502,"&lt;="&amp;EOMONTH(DATE($B$3,1,1),0))</f>
        <v>0</v>
      </c>
      <c r="H6" s="31" t="n">
        <f aca="false">SUMIFS(처리내역!$G$3:$G$1502,처리내역!$A$3:$A$1502,"&gt;="&amp;DATE($B$3,1,1),처리내역!$A$3:$A$1502,"&lt;="&amp;EOMONTH(DATE($B$3,1,1),0))</f>
        <v>0</v>
      </c>
    </row>
    <row r="7" customFormat="false" ht="15" hidden="false" customHeight="true" outlineLevel="0" collapsed="false">
      <c r="A7" s="19" t="n">
        <v>2</v>
      </c>
      <c r="B7" s="25" t="n">
        <f aca="false">COUNTIFS(반품접수!$B$3:$B$1002,"&gt;="&amp;DATE($B$3,2,1),반품접수!$B$3:$B$1002,"&lt;="&amp;EOMONTH(DATE($B$3,2,1),0))</f>
        <v>0</v>
      </c>
      <c r="C7" s="25" t="n">
        <f aca="false">SUMIFS(반품접수!$I$3:$I$1002,반품접수!$B$3:$B$1002,"&gt;="&amp;DATE($B$3,2,1),반품접수!$B$3:$B$1002,"&lt;="&amp;EOMONTH(DATE($B$3,2,1),0))</f>
        <v>0</v>
      </c>
      <c r="D7" s="25" t="n">
        <f aca="false">COUNTIFS(반품접수!$J$3:$J$1002,"반품",반품접수!$B$3:$B$1002,"&gt;="&amp;DATE($B$3,2,1),반품접수!$B$3:$B$1002,"&lt;="&amp;EOMONTH(DATE($B$3,2,1),0))</f>
        <v>0</v>
      </c>
      <c r="E7" s="25" t="n">
        <f aca="false">COUNTIFS(반품접수!$J$3:$J$1002,"불량",반품접수!$B$3:$B$1002,"&gt;="&amp;DATE($B$3,2,1),반품접수!$B$3:$B$1002,"&lt;="&amp;EOMONTH(DATE($B$3,2,1),0))</f>
        <v>0</v>
      </c>
      <c r="F7" s="25" t="n">
        <f aca="false">COUNTIFS(반품접수!$J$3:$J$1002,"교환",반품접수!$B$3:$B$1002,"&gt;="&amp;DATE($B$3,2,1),반품접수!$B$3:$B$1002,"&lt;="&amp;EOMONTH(DATE($B$3,2,1),0))</f>
        <v>0</v>
      </c>
      <c r="G7" s="25" t="n">
        <f aca="false">SUMIFS(처리내역!$E$3:$E$1502,처리내역!$A$3:$A$1502,"&gt;="&amp;DATE($B$3,2,1),처리내역!$A$3:$A$1502,"&lt;="&amp;EOMONTH(DATE($B$3,2,1),0))</f>
        <v>0</v>
      </c>
      <c r="H7" s="31" t="n">
        <f aca="false">SUMIFS(처리내역!$G$3:$G$1502,처리내역!$A$3:$A$1502,"&gt;="&amp;DATE($B$3,2,1),처리내역!$A$3:$A$1502,"&lt;="&amp;EOMONTH(DATE($B$3,2,1),0))</f>
        <v>0</v>
      </c>
    </row>
    <row r="8" customFormat="false" ht="15" hidden="false" customHeight="true" outlineLevel="0" collapsed="false">
      <c r="A8" s="19" t="n">
        <v>3</v>
      </c>
      <c r="B8" s="25" t="n">
        <f aca="false">COUNTIFS(반품접수!$B$3:$B$1002,"&gt;="&amp;DATE($B$3,3,1),반품접수!$B$3:$B$1002,"&lt;="&amp;EOMONTH(DATE($B$3,3,1),0))</f>
        <v>0</v>
      </c>
      <c r="C8" s="25" t="n">
        <f aca="false">SUMIFS(반품접수!$I$3:$I$1002,반품접수!$B$3:$B$1002,"&gt;="&amp;DATE($B$3,3,1),반품접수!$B$3:$B$1002,"&lt;="&amp;EOMONTH(DATE($B$3,3,1),0))</f>
        <v>0</v>
      </c>
      <c r="D8" s="25" t="n">
        <f aca="false">COUNTIFS(반품접수!$J$3:$J$1002,"반품",반품접수!$B$3:$B$1002,"&gt;="&amp;DATE($B$3,3,1),반품접수!$B$3:$B$1002,"&lt;="&amp;EOMONTH(DATE($B$3,3,1),0))</f>
        <v>0</v>
      </c>
      <c r="E8" s="25" t="n">
        <f aca="false">COUNTIFS(반품접수!$J$3:$J$1002,"불량",반품접수!$B$3:$B$1002,"&gt;="&amp;DATE($B$3,3,1),반품접수!$B$3:$B$1002,"&lt;="&amp;EOMONTH(DATE($B$3,3,1),0))</f>
        <v>0</v>
      </c>
      <c r="F8" s="25" t="n">
        <f aca="false">COUNTIFS(반품접수!$J$3:$J$1002,"교환",반품접수!$B$3:$B$1002,"&gt;="&amp;DATE($B$3,3,1),반품접수!$B$3:$B$1002,"&lt;="&amp;EOMONTH(DATE($B$3,3,1),0))</f>
        <v>0</v>
      </c>
      <c r="G8" s="25" t="n">
        <f aca="false">SUMIFS(처리내역!$E$3:$E$1502,처리내역!$A$3:$A$1502,"&gt;="&amp;DATE($B$3,3,1),처리내역!$A$3:$A$1502,"&lt;="&amp;EOMONTH(DATE($B$3,3,1),0))</f>
        <v>0</v>
      </c>
      <c r="H8" s="31" t="n">
        <f aca="false">SUMIFS(처리내역!$G$3:$G$1502,처리내역!$A$3:$A$1502,"&gt;="&amp;DATE($B$3,3,1),처리내역!$A$3:$A$1502,"&lt;="&amp;EOMONTH(DATE($B$3,3,1),0))</f>
        <v>0</v>
      </c>
    </row>
    <row r="9" customFormat="false" ht="15" hidden="false" customHeight="true" outlineLevel="0" collapsed="false">
      <c r="A9" s="19" t="n">
        <v>4</v>
      </c>
      <c r="B9" s="25" t="n">
        <f aca="false">COUNTIFS(반품접수!$B$3:$B$1002,"&gt;="&amp;DATE($B$3,4,1),반품접수!$B$3:$B$1002,"&lt;="&amp;EOMONTH(DATE($B$3,4,1),0))</f>
        <v>0</v>
      </c>
      <c r="C9" s="25" t="n">
        <f aca="false">SUMIFS(반품접수!$I$3:$I$1002,반품접수!$B$3:$B$1002,"&gt;="&amp;DATE($B$3,4,1),반품접수!$B$3:$B$1002,"&lt;="&amp;EOMONTH(DATE($B$3,4,1),0))</f>
        <v>0</v>
      </c>
      <c r="D9" s="25" t="n">
        <f aca="false">COUNTIFS(반품접수!$J$3:$J$1002,"반품",반품접수!$B$3:$B$1002,"&gt;="&amp;DATE($B$3,4,1),반품접수!$B$3:$B$1002,"&lt;="&amp;EOMONTH(DATE($B$3,4,1),0))</f>
        <v>0</v>
      </c>
      <c r="E9" s="25" t="n">
        <f aca="false">COUNTIFS(반품접수!$J$3:$J$1002,"불량",반품접수!$B$3:$B$1002,"&gt;="&amp;DATE($B$3,4,1),반품접수!$B$3:$B$1002,"&lt;="&amp;EOMONTH(DATE($B$3,4,1),0))</f>
        <v>0</v>
      </c>
      <c r="F9" s="25" t="n">
        <f aca="false">COUNTIFS(반품접수!$J$3:$J$1002,"교환",반품접수!$B$3:$B$1002,"&gt;="&amp;DATE($B$3,4,1),반품접수!$B$3:$B$1002,"&lt;="&amp;EOMONTH(DATE($B$3,4,1),0))</f>
        <v>0</v>
      </c>
      <c r="G9" s="25" t="n">
        <f aca="false">SUMIFS(처리내역!$E$3:$E$1502,처리내역!$A$3:$A$1502,"&gt;="&amp;DATE($B$3,4,1),처리내역!$A$3:$A$1502,"&lt;="&amp;EOMONTH(DATE($B$3,4,1),0))</f>
        <v>0</v>
      </c>
      <c r="H9" s="31" t="n">
        <f aca="false">SUMIFS(처리내역!$G$3:$G$1502,처리내역!$A$3:$A$1502,"&gt;="&amp;DATE($B$3,4,1),처리내역!$A$3:$A$1502,"&lt;="&amp;EOMONTH(DATE($B$3,4,1),0))</f>
        <v>0</v>
      </c>
    </row>
    <row r="10" customFormat="false" ht="15" hidden="false" customHeight="true" outlineLevel="0" collapsed="false">
      <c r="A10" s="19" t="n">
        <v>5</v>
      </c>
      <c r="B10" s="25" t="n">
        <f aca="false">COUNTIFS(반품접수!$B$3:$B$1002,"&gt;="&amp;DATE($B$3,5,1),반품접수!$B$3:$B$1002,"&lt;="&amp;EOMONTH(DATE($B$3,5,1),0))</f>
        <v>0</v>
      </c>
      <c r="C10" s="25" t="n">
        <f aca="false">SUMIFS(반품접수!$I$3:$I$1002,반품접수!$B$3:$B$1002,"&gt;="&amp;DATE($B$3,5,1),반품접수!$B$3:$B$1002,"&lt;="&amp;EOMONTH(DATE($B$3,5,1),0))</f>
        <v>0</v>
      </c>
      <c r="D10" s="25" t="n">
        <f aca="false">COUNTIFS(반품접수!$J$3:$J$1002,"반품",반품접수!$B$3:$B$1002,"&gt;="&amp;DATE($B$3,5,1),반품접수!$B$3:$B$1002,"&lt;="&amp;EOMONTH(DATE($B$3,5,1),0))</f>
        <v>0</v>
      </c>
      <c r="E10" s="25" t="n">
        <f aca="false">COUNTIFS(반품접수!$J$3:$J$1002,"불량",반품접수!$B$3:$B$1002,"&gt;="&amp;DATE($B$3,5,1),반품접수!$B$3:$B$1002,"&lt;="&amp;EOMONTH(DATE($B$3,5,1),0))</f>
        <v>0</v>
      </c>
      <c r="F10" s="25" t="n">
        <f aca="false">COUNTIFS(반품접수!$J$3:$J$1002,"교환",반품접수!$B$3:$B$1002,"&gt;="&amp;DATE($B$3,5,1),반품접수!$B$3:$B$1002,"&lt;="&amp;EOMONTH(DATE($B$3,5,1),0))</f>
        <v>0</v>
      </c>
      <c r="G10" s="25" t="n">
        <f aca="false">SUMIFS(처리내역!$E$3:$E$1502,처리내역!$A$3:$A$1502,"&gt;="&amp;DATE($B$3,5,1),처리내역!$A$3:$A$1502,"&lt;="&amp;EOMONTH(DATE($B$3,5,1),0))</f>
        <v>0</v>
      </c>
      <c r="H10" s="31" t="n">
        <f aca="false">SUMIFS(처리내역!$G$3:$G$1502,처리내역!$A$3:$A$1502,"&gt;="&amp;DATE($B$3,5,1),처리내역!$A$3:$A$1502,"&lt;="&amp;EOMONTH(DATE($B$3,5,1),0))</f>
        <v>0</v>
      </c>
    </row>
    <row r="11" customFormat="false" ht="15" hidden="false" customHeight="true" outlineLevel="0" collapsed="false">
      <c r="A11" s="19" t="n">
        <v>6</v>
      </c>
      <c r="B11" s="25" t="n">
        <f aca="false">COUNTIFS(반품접수!$B$3:$B$1002,"&gt;="&amp;DATE($B$3,6,1),반품접수!$B$3:$B$1002,"&lt;="&amp;EOMONTH(DATE($B$3,6,1),0))</f>
        <v>0</v>
      </c>
      <c r="C11" s="25" t="n">
        <f aca="false">SUMIFS(반품접수!$I$3:$I$1002,반품접수!$B$3:$B$1002,"&gt;="&amp;DATE($B$3,6,1),반품접수!$B$3:$B$1002,"&lt;="&amp;EOMONTH(DATE($B$3,6,1),0))</f>
        <v>0</v>
      </c>
      <c r="D11" s="25" t="n">
        <f aca="false">COUNTIFS(반품접수!$J$3:$J$1002,"반품",반품접수!$B$3:$B$1002,"&gt;="&amp;DATE($B$3,6,1),반품접수!$B$3:$B$1002,"&lt;="&amp;EOMONTH(DATE($B$3,6,1),0))</f>
        <v>0</v>
      </c>
      <c r="E11" s="25" t="n">
        <f aca="false">COUNTIFS(반품접수!$J$3:$J$1002,"불량",반품접수!$B$3:$B$1002,"&gt;="&amp;DATE($B$3,6,1),반품접수!$B$3:$B$1002,"&lt;="&amp;EOMONTH(DATE($B$3,6,1),0))</f>
        <v>0</v>
      </c>
      <c r="F11" s="25" t="n">
        <f aca="false">COUNTIFS(반품접수!$J$3:$J$1002,"교환",반품접수!$B$3:$B$1002,"&gt;="&amp;DATE($B$3,6,1),반품접수!$B$3:$B$1002,"&lt;="&amp;EOMONTH(DATE($B$3,6,1),0))</f>
        <v>0</v>
      </c>
      <c r="G11" s="25" t="n">
        <f aca="false">SUMIFS(처리내역!$E$3:$E$1502,처리내역!$A$3:$A$1502,"&gt;="&amp;DATE($B$3,6,1),처리내역!$A$3:$A$1502,"&lt;="&amp;EOMONTH(DATE($B$3,6,1),0))</f>
        <v>0</v>
      </c>
      <c r="H11" s="31" t="n">
        <f aca="false">SUMIFS(처리내역!$G$3:$G$1502,처리내역!$A$3:$A$1502,"&gt;="&amp;DATE($B$3,6,1),처리내역!$A$3:$A$1502,"&lt;="&amp;EOMONTH(DATE($B$3,6,1),0))</f>
        <v>0</v>
      </c>
    </row>
    <row r="12" customFormat="false" ht="15" hidden="false" customHeight="true" outlineLevel="0" collapsed="false">
      <c r="A12" s="19" t="n">
        <v>7</v>
      </c>
      <c r="B12" s="25" t="n">
        <f aca="false">COUNTIFS(반품접수!$B$3:$B$1002,"&gt;="&amp;DATE($B$3,7,1),반품접수!$B$3:$B$1002,"&lt;="&amp;EOMONTH(DATE($B$3,7,1),0))</f>
        <v>0</v>
      </c>
      <c r="C12" s="25" t="n">
        <f aca="false">SUMIFS(반품접수!$I$3:$I$1002,반품접수!$B$3:$B$1002,"&gt;="&amp;DATE($B$3,7,1),반품접수!$B$3:$B$1002,"&lt;="&amp;EOMONTH(DATE($B$3,7,1),0))</f>
        <v>0</v>
      </c>
      <c r="D12" s="25" t="n">
        <f aca="false">COUNTIFS(반품접수!$J$3:$J$1002,"반품",반품접수!$B$3:$B$1002,"&gt;="&amp;DATE($B$3,7,1),반품접수!$B$3:$B$1002,"&lt;="&amp;EOMONTH(DATE($B$3,7,1),0))</f>
        <v>0</v>
      </c>
      <c r="E12" s="25" t="n">
        <f aca="false">COUNTIFS(반품접수!$J$3:$J$1002,"불량",반품접수!$B$3:$B$1002,"&gt;="&amp;DATE($B$3,7,1),반품접수!$B$3:$B$1002,"&lt;="&amp;EOMONTH(DATE($B$3,7,1),0))</f>
        <v>0</v>
      </c>
      <c r="F12" s="25" t="n">
        <f aca="false">COUNTIFS(반품접수!$J$3:$J$1002,"교환",반품접수!$B$3:$B$1002,"&gt;="&amp;DATE($B$3,7,1),반품접수!$B$3:$B$1002,"&lt;="&amp;EOMONTH(DATE($B$3,7,1),0))</f>
        <v>0</v>
      </c>
      <c r="G12" s="25" t="n">
        <f aca="false">SUMIFS(처리내역!$E$3:$E$1502,처리내역!$A$3:$A$1502,"&gt;="&amp;DATE($B$3,7,1),처리내역!$A$3:$A$1502,"&lt;="&amp;EOMONTH(DATE($B$3,7,1),0))</f>
        <v>0</v>
      </c>
      <c r="H12" s="31" t="n">
        <f aca="false">SUMIFS(처리내역!$G$3:$G$1502,처리내역!$A$3:$A$1502,"&gt;="&amp;DATE($B$3,7,1),처리내역!$A$3:$A$1502,"&lt;="&amp;EOMONTH(DATE($B$3,7,1),0))</f>
        <v>0</v>
      </c>
    </row>
    <row r="13" customFormat="false" ht="15" hidden="false" customHeight="true" outlineLevel="0" collapsed="false">
      <c r="A13" s="19" t="n">
        <v>8</v>
      </c>
      <c r="B13" s="25" t="n">
        <f aca="false">COUNTIFS(반품접수!$B$3:$B$1002,"&gt;="&amp;DATE($B$3,8,1),반품접수!$B$3:$B$1002,"&lt;="&amp;EOMONTH(DATE($B$3,8,1),0))</f>
        <v>1</v>
      </c>
      <c r="C13" s="25" t="n">
        <f aca="false">SUMIFS(반품접수!$I$3:$I$1002,반품접수!$B$3:$B$1002,"&gt;="&amp;DATE($B$3,8,1),반품접수!$B$3:$B$1002,"&lt;="&amp;EOMONTH(DATE($B$3,8,1),0))</f>
        <v>3</v>
      </c>
      <c r="D13" s="25" t="n">
        <f aca="false">COUNTIFS(반품접수!$J$3:$J$1002,"반품",반품접수!$B$3:$B$1002,"&gt;="&amp;DATE($B$3,8,1),반품접수!$B$3:$B$1002,"&lt;="&amp;EOMONTH(DATE($B$3,8,1),0))</f>
        <v>0</v>
      </c>
      <c r="E13" s="25" t="n">
        <f aca="false">COUNTIFS(반품접수!$J$3:$J$1002,"불량",반품접수!$B$3:$B$1002,"&gt;="&amp;DATE($B$3,8,1),반품접수!$B$3:$B$1002,"&lt;="&amp;EOMONTH(DATE($B$3,8,1),0))</f>
        <v>1</v>
      </c>
      <c r="F13" s="25" t="n">
        <f aca="false">COUNTIFS(반품접수!$J$3:$J$1002,"교환",반품접수!$B$3:$B$1002,"&gt;="&amp;DATE($B$3,8,1),반품접수!$B$3:$B$1002,"&lt;="&amp;EOMONTH(DATE($B$3,8,1),0))</f>
        <v>0</v>
      </c>
      <c r="G13" s="25" t="n">
        <f aca="false">SUMIFS(처리내역!$E$3:$E$1502,처리내역!$A$3:$A$1502,"&gt;="&amp;DATE($B$3,8,1),처리내역!$A$3:$A$1502,"&lt;="&amp;EOMONTH(DATE($B$3,8,1),0))</f>
        <v>0</v>
      </c>
      <c r="H13" s="31" t="n">
        <f aca="false">SUMIFS(처리내역!$G$3:$G$1502,처리내역!$A$3:$A$1502,"&gt;="&amp;DATE($B$3,8,1),처리내역!$A$3:$A$1502,"&lt;="&amp;EOMONTH(DATE($B$3,8,1),0))</f>
        <v>0</v>
      </c>
    </row>
    <row r="14" customFormat="false" ht="15" hidden="false" customHeight="true" outlineLevel="0" collapsed="false">
      <c r="A14" s="19" t="n">
        <v>9</v>
      </c>
      <c r="B14" s="25" t="n">
        <f aca="false">COUNTIFS(반품접수!$B$3:$B$1002,"&gt;="&amp;DATE($B$3,9,1),반품접수!$B$3:$B$1002,"&lt;="&amp;EOMONTH(DATE($B$3,9,1),0))</f>
        <v>4</v>
      </c>
      <c r="C14" s="25" t="n">
        <f aca="false">SUMIFS(반품접수!$I$3:$I$1002,반품접수!$B$3:$B$1002,"&gt;="&amp;DATE($B$3,9,1),반품접수!$B$3:$B$1002,"&lt;="&amp;EOMONTH(DATE($B$3,9,1),0))</f>
        <v>253</v>
      </c>
      <c r="D14" s="25" t="n">
        <f aca="false">COUNTIFS(반품접수!$J$3:$J$1002,"반품",반품접수!$B$3:$B$1002,"&gt;="&amp;DATE($B$3,9,1),반품접수!$B$3:$B$1002,"&lt;="&amp;EOMONTH(DATE($B$3,9,1),0))</f>
        <v>2</v>
      </c>
      <c r="E14" s="25" t="n">
        <f aca="false">COUNTIFS(반품접수!$J$3:$J$1002,"불량",반품접수!$B$3:$B$1002,"&gt;="&amp;DATE($B$3,9,1),반품접수!$B$3:$B$1002,"&lt;="&amp;EOMONTH(DATE($B$3,9,1),0))</f>
        <v>1</v>
      </c>
      <c r="F14" s="25" t="n">
        <f aca="false">COUNTIFS(반품접수!$J$3:$J$1002,"교환",반품접수!$B$3:$B$1002,"&gt;="&amp;DATE($B$3,9,1),반품접수!$B$3:$B$1002,"&lt;="&amp;EOMONTH(DATE($B$3,9,1),0))</f>
        <v>1</v>
      </c>
      <c r="G14" s="25" t="n">
        <f aca="false">SUMIFS(처리내역!$E$3:$E$1502,처리내역!$A$3:$A$1502,"&gt;="&amp;DATE($B$3,9,1),처리내역!$A$3:$A$1502,"&lt;="&amp;EOMONTH(DATE($B$3,9,1),0))</f>
        <v>54</v>
      </c>
      <c r="H14" s="31" t="n">
        <f aca="false">SUMIFS(처리내역!$G$3:$G$1502,처리내역!$A$3:$A$1502,"&gt;="&amp;DATE($B$3,9,1),처리내역!$A$3:$A$1502,"&lt;="&amp;EOMONTH(DATE($B$3,9,1),0))</f>
        <v>130000</v>
      </c>
    </row>
    <row r="15" customFormat="false" ht="15" hidden="false" customHeight="true" outlineLevel="0" collapsed="false">
      <c r="A15" s="19" t="n">
        <v>10</v>
      </c>
      <c r="B15" s="25" t="n">
        <f aca="false">COUNTIFS(반품접수!$B$3:$B$1002,"&gt;="&amp;DATE($B$3,10,1),반품접수!$B$3:$B$1002,"&lt;="&amp;EOMONTH(DATE($B$3,10,1),0))</f>
        <v>0</v>
      </c>
      <c r="C15" s="25" t="n">
        <f aca="false">SUMIFS(반품접수!$I$3:$I$1002,반품접수!$B$3:$B$1002,"&gt;="&amp;DATE($B$3,10,1),반품접수!$B$3:$B$1002,"&lt;="&amp;EOMONTH(DATE($B$3,10,1),0))</f>
        <v>0</v>
      </c>
      <c r="D15" s="25" t="n">
        <f aca="false">COUNTIFS(반품접수!$J$3:$J$1002,"반품",반품접수!$B$3:$B$1002,"&gt;="&amp;DATE($B$3,10,1),반품접수!$B$3:$B$1002,"&lt;="&amp;EOMONTH(DATE($B$3,10,1),0))</f>
        <v>0</v>
      </c>
      <c r="E15" s="25" t="n">
        <f aca="false">COUNTIFS(반품접수!$J$3:$J$1002,"불량",반품접수!$B$3:$B$1002,"&gt;="&amp;DATE($B$3,10,1),반품접수!$B$3:$B$1002,"&lt;="&amp;EOMONTH(DATE($B$3,10,1),0))</f>
        <v>0</v>
      </c>
      <c r="F15" s="25" t="n">
        <f aca="false">COUNTIFS(반품접수!$J$3:$J$1002,"교환",반품접수!$B$3:$B$1002,"&gt;="&amp;DATE($B$3,10,1),반품접수!$B$3:$B$1002,"&lt;="&amp;EOMONTH(DATE($B$3,10,1),0))</f>
        <v>0</v>
      </c>
      <c r="G15" s="25" t="n">
        <f aca="false">SUMIFS(처리내역!$E$3:$E$1502,처리내역!$A$3:$A$1502,"&gt;="&amp;DATE($B$3,10,1),처리내역!$A$3:$A$1502,"&lt;="&amp;EOMONTH(DATE($B$3,10,1),0))</f>
        <v>0</v>
      </c>
      <c r="H15" s="31" t="n">
        <f aca="false">SUMIFS(처리내역!$G$3:$G$1502,처리내역!$A$3:$A$1502,"&gt;="&amp;DATE($B$3,10,1),처리내역!$A$3:$A$1502,"&lt;="&amp;EOMONTH(DATE($B$3,10,1),0))</f>
        <v>0</v>
      </c>
    </row>
    <row r="16" customFormat="false" ht="15" hidden="false" customHeight="true" outlineLevel="0" collapsed="false">
      <c r="A16" s="19" t="n">
        <v>11</v>
      </c>
      <c r="B16" s="25" t="n">
        <f aca="false">COUNTIFS(반품접수!$B$3:$B$1002,"&gt;="&amp;DATE($B$3,11,1),반품접수!$B$3:$B$1002,"&lt;="&amp;EOMONTH(DATE($B$3,11,1),0))</f>
        <v>0</v>
      </c>
      <c r="C16" s="25" t="n">
        <f aca="false">SUMIFS(반품접수!$I$3:$I$1002,반품접수!$B$3:$B$1002,"&gt;="&amp;DATE($B$3,11,1),반품접수!$B$3:$B$1002,"&lt;="&amp;EOMONTH(DATE($B$3,11,1),0))</f>
        <v>0</v>
      </c>
      <c r="D16" s="25" t="n">
        <f aca="false">COUNTIFS(반품접수!$J$3:$J$1002,"반품",반품접수!$B$3:$B$1002,"&gt;="&amp;DATE($B$3,11,1),반품접수!$B$3:$B$1002,"&lt;="&amp;EOMONTH(DATE($B$3,11,1),0))</f>
        <v>0</v>
      </c>
      <c r="E16" s="25" t="n">
        <f aca="false">COUNTIFS(반품접수!$J$3:$J$1002,"불량",반품접수!$B$3:$B$1002,"&gt;="&amp;DATE($B$3,11,1),반품접수!$B$3:$B$1002,"&lt;="&amp;EOMONTH(DATE($B$3,11,1),0))</f>
        <v>0</v>
      </c>
      <c r="F16" s="25" t="n">
        <f aca="false">COUNTIFS(반품접수!$J$3:$J$1002,"교환",반품접수!$B$3:$B$1002,"&gt;="&amp;DATE($B$3,11,1),반품접수!$B$3:$B$1002,"&lt;="&amp;EOMONTH(DATE($B$3,11,1),0))</f>
        <v>0</v>
      </c>
      <c r="G16" s="25" t="n">
        <f aca="false">SUMIFS(처리내역!$E$3:$E$1502,처리내역!$A$3:$A$1502,"&gt;="&amp;DATE($B$3,11,1),처리내역!$A$3:$A$1502,"&lt;="&amp;EOMONTH(DATE($B$3,11,1),0))</f>
        <v>0</v>
      </c>
      <c r="H16" s="31" t="n">
        <f aca="false">SUMIFS(처리내역!$G$3:$G$1502,처리내역!$A$3:$A$1502,"&gt;="&amp;DATE($B$3,11,1),처리내역!$A$3:$A$1502,"&lt;="&amp;EOMONTH(DATE($B$3,11,1),0))</f>
        <v>0</v>
      </c>
    </row>
    <row r="17" customFormat="false" ht="15" hidden="false" customHeight="true" outlineLevel="0" collapsed="false">
      <c r="A17" s="19" t="n">
        <v>12</v>
      </c>
      <c r="B17" s="25" t="n">
        <f aca="false">COUNTIFS(반품접수!$B$3:$B$1002,"&gt;="&amp;DATE($B$3,12,1),반품접수!$B$3:$B$1002,"&lt;="&amp;EOMONTH(DATE($B$3,12,1),0))</f>
        <v>0</v>
      </c>
      <c r="C17" s="25" t="n">
        <f aca="false">SUMIFS(반품접수!$I$3:$I$1002,반품접수!$B$3:$B$1002,"&gt;="&amp;DATE($B$3,12,1),반품접수!$B$3:$B$1002,"&lt;="&amp;EOMONTH(DATE($B$3,12,1),0))</f>
        <v>0</v>
      </c>
      <c r="D17" s="25" t="n">
        <f aca="false">COUNTIFS(반품접수!$J$3:$J$1002,"반품",반품접수!$B$3:$B$1002,"&gt;="&amp;DATE($B$3,12,1),반품접수!$B$3:$B$1002,"&lt;="&amp;EOMONTH(DATE($B$3,12,1),0))</f>
        <v>0</v>
      </c>
      <c r="E17" s="25" t="n">
        <f aca="false">COUNTIFS(반품접수!$J$3:$J$1002,"불량",반품접수!$B$3:$B$1002,"&gt;="&amp;DATE($B$3,12,1),반품접수!$B$3:$B$1002,"&lt;="&amp;EOMONTH(DATE($B$3,12,1),0))</f>
        <v>0</v>
      </c>
      <c r="F17" s="25" t="n">
        <f aca="false">COUNTIFS(반품접수!$J$3:$J$1002,"교환",반품접수!$B$3:$B$1002,"&gt;="&amp;DATE($B$3,12,1),반품접수!$B$3:$B$1002,"&lt;="&amp;EOMONTH(DATE($B$3,12,1),0))</f>
        <v>0</v>
      </c>
      <c r="G17" s="25" t="n">
        <f aca="false">SUMIFS(처리내역!$E$3:$E$1502,처리내역!$A$3:$A$1502,"&gt;="&amp;DATE($B$3,12,1),처리내역!$A$3:$A$1502,"&lt;="&amp;EOMONTH(DATE($B$3,12,1),0))</f>
        <v>0</v>
      </c>
      <c r="H17" s="31" t="n">
        <f aca="false">SUMIFS(처리내역!$G$3:$G$1502,처리내역!$A$3:$A$1502,"&gt;="&amp;DATE($B$3,12,1),처리내역!$A$3:$A$1502,"&lt;="&amp;EOMONTH(DATE($B$3,12,1),0))</f>
        <v>0</v>
      </c>
    </row>
    <row r="18" customFormat="false" ht="15" hidden="false" customHeight="true" outlineLevel="0" collapsed="false">
      <c r="A18" s="28" t="s">
        <v>114</v>
      </c>
      <c r="B18" s="29" t="n">
        <f aca="false">SUM(B6:B17)</f>
        <v>5</v>
      </c>
      <c r="C18" s="29" t="n">
        <f aca="false">SUM(C6:C17)</f>
        <v>256</v>
      </c>
      <c r="D18" s="29" t="n">
        <f aca="false">SUM(D6:D17)</f>
        <v>2</v>
      </c>
      <c r="E18" s="29" t="n">
        <f aca="false">SUM(E6:E17)</f>
        <v>2</v>
      </c>
      <c r="F18" s="29" t="n">
        <f aca="false">SUM(F6:F17)</f>
        <v>1</v>
      </c>
      <c r="G18" s="29" t="n">
        <f aca="false">SUM(G6:G17)</f>
        <v>54</v>
      </c>
      <c r="H18" s="32" t="n">
        <f aca="false">SUM(H6:H17)</f>
        <v>130000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2026-09-14T08:56:34Z</dcterms:created>
  <dc:creator>openpyxl</dc:creator>
  <dc:description/>
  <dc:language>en-US</dc:language>
  <cp:lastModifiedBy/>
  <dcterms:modified xsi:type="dcterms:W3CDTF">2026-09-14T08:58:23Z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